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\\Bsc\actuarial\Reserves\Distribution\BIS\TEST CASES\MODELS\"/>
    </mc:Choice>
  </mc:AlternateContent>
  <bookViews>
    <workbookView xWindow="22680" yWindow="0" windowWidth="24420" windowHeight="9810" activeTab="1"/>
  </bookViews>
  <sheets>
    <sheet name="BIS-2" sheetId="14" r:id="rId1"/>
    <sheet name="Summary" sheetId="6" r:id="rId2"/>
    <sheet name="scexp" sheetId="12" r:id="rId3"/>
    <sheet name="SAMPLE CODE" sheetId="15" r:id="rId4"/>
    <sheet name="MCF" sheetId="4" r:id="rId5"/>
    <sheet name="TMR" sheetId="3" r:id="rId6"/>
    <sheet name="BIS" sheetId="2" r:id="rId7"/>
    <sheet name="CAC" sheetId="5" r:id="rId8"/>
    <sheet name="COA" sheetId="9" r:id="rId9"/>
  </sheets>
  <definedNames>
    <definedName name="_xlnm._FilterDatabase" localSheetId="5" hidden="1">TMR!$A$21:$E$1563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97" i="2" l="1"/>
  <c r="L2497" i="2" s="1"/>
  <c r="M2497" i="2" s="1"/>
  <c r="N2497" i="2" s="1"/>
  <c r="K2496" i="14" l="1"/>
  <c r="L2496" i="14" s="1"/>
  <c r="M2496" i="14" s="1"/>
  <c r="N2496" i="14" s="1"/>
  <c r="K2495" i="14"/>
  <c r="L2495" i="14" s="1"/>
  <c r="M2495" i="14" s="1"/>
  <c r="N2495" i="14" s="1"/>
  <c r="L2494" i="14"/>
  <c r="M2494" i="14" s="1"/>
  <c r="N2494" i="14" s="1"/>
  <c r="K2494" i="14"/>
  <c r="M2493" i="14"/>
  <c r="N2493" i="14" s="1"/>
  <c r="K2493" i="14"/>
  <c r="L2493" i="14" s="1"/>
  <c r="K2492" i="14"/>
  <c r="L2492" i="14" s="1"/>
  <c r="M2492" i="14" s="1"/>
  <c r="N2492" i="14" s="1"/>
  <c r="K2491" i="14"/>
  <c r="L2491" i="14" s="1"/>
  <c r="M2491" i="14" s="1"/>
  <c r="N2491" i="14" s="1"/>
  <c r="L2490" i="14"/>
  <c r="M2490" i="14" s="1"/>
  <c r="N2490" i="14" s="1"/>
  <c r="K2490" i="14"/>
  <c r="K2489" i="14"/>
  <c r="L2489" i="14" s="1"/>
  <c r="M2489" i="14" s="1"/>
  <c r="N2489" i="14" s="1"/>
  <c r="K2488" i="14"/>
  <c r="L2488" i="14" s="1"/>
  <c r="M2488" i="14" s="1"/>
  <c r="N2488" i="14" s="1"/>
  <c r="K2487" i="14"/>
  <c r="L2487" i="14" s="1"/>
  <c r="M2487" i="14" s="1"/>
  <c r="N2487" i="14" s="1"/>
  <c r="L2486" i="14"/>
  <c r="M2486" i="14" s="1"/>
  <c r="N2486" i="14" s="1"/>
  <c r="K2486" i="14"/>
  <c r="M2485" i="14"/>
  <c r="N2485" i="14" s="1"/>
  <c r="K2485" i="14"/>
  <c r="L2485" i="14" s="1"/>
  <c r="K2484" i="14"/>
  <c r="L2484" i="14" s="1"/>
  <c r="M2484" i="14" s="1"/>
  <c r="N2484" i="14" s="1"/>
  <c r="K2483" i="14"/>
  <c r="L2483" i="14" s="1"/>
  <c r="M2483" i="14" s="1"/>
  <c r="N2483" i="14" s="1"/>
  <c r="L2482" i="14"/>
  <c r="M2482" i="14" s="1"/>
  <c r="N2482" i="14" s="1"/>
  <c r="K2482" i="14"/>
  <c r="M2481" i="14"/>
  <c r="N2481" i="14" s="1"/>
  <c r="K2481" i="14"/>
  <c r="L2481" i="14" s="1"/>
  <c r="K2480" i="14"/>
  <c r="L2480" i="14" s="1"/>
  <c r="M2480" i="14" s="1"/>
  <c r="N2480" i="14" s="1"/>
  <c r="K2479" i="14"/>
  <c r="L2479" i="14" s="1"/>
  <c r="M2479" i="14" s="1"/>
  <c r="N2479" i="14" s="1"/>
  <c r="L2478" i="14"/>
  <c r="M2478" i="14" s="1"/>
  <c r="N2478" i="14" s="1"/>
  <c r="K2478" i="14"/>
  <c r="M2477" i="14"/>
  <c r="N2477" i="14" s="1"/>
  <c r="K2477" i="14"/>
  <c r="L2477" i="14" s="1"/>
  <c r="K2476" i="14"/>
  <c r="L2476" i="14" s="1"/>
  <c r="M2476" i="14" s="1"/>
  <c r="N2476" i="14" s="1"/>
  <c r="K2475" i="14"/>
  <c r="L2475" i="14" s="1"/>
  <c r="M2475" i="14" s="1"/>
  <c r="N2475" i="14" s="1"/>
  <c r="L2474" i="14"/>
  <c r="M2474" i="14" s="1"/>
  <c r="N2474" i="14" s="1"/>
  <c r="K2474" i="14"/>
  <c r="M2473" i="14"/>
  <c r="N2473" i="14" s="1"/>
  <c r="K2473" i="14"/>
  <c r="L2473" i="14" s="1"/>
  <c r="K2472" i="14"/>
  <c r="L2472" i="14" s="1"/>
  <c r="M2472" i="14" s="1"/>
  <c r="N2472" i="14" s="1"/>
  <c r="K2471" i="14"/>
  <c r="L2471" i="14" s="1"/>
  <c r="M2471" i="14" s="1"/>
  <c r="N2471" i="14" s="1"/>
  <c r="L2470" i="14"/>
  <c r="M2470" i="14" s="1"/>
  <c r="N2470" i="14" s="1"/>
  <c r="K2470" i="14"/>
  <c r="M2469" i="14"/>
  <c r="N2469" i="14" s="1"/>
  <c r="K2469" i="14"/>
  <c r="L2469" i="14" s="1"/>
  <c r="K2468" i="14"/>
  <c r="L2468" i="14" s="1"/>
  <c r="M2468" i="14" s="1"/>
  <c r="N2468" i="14" s="1"/>
  <c r="K2467" i="14"/>
  <c r="L2467" i="14" s="1"/>
  <c r="M2467" i="14" s="1"/>
  <c r="N2467" i="14" s="1"/>
  <c r="L2466" i="14"/>
  <c r="M2466" i="14" s="1"/>
  <c r="N2466" i="14" s="1"/>
  <c r="K2466" i="14"/>
  <c r="M2465" i="14"/>
  <c r="N2465" i="14" s="1"/>
  <c r="K2465" i="14"/>
  <c r="L2465" i="14" s="1"/>
  <c r="K2464" i="14"/>
  <c r="L2464" i="14" s="1"/>
  <c r="M2464" i="14" s="1"/>
  <c r="N2464" i="14" s="1"/>
  <c r="K2463" i="14"/>
  <c r="L2463" i="14" s="1"/>
  <c r="M2463" i="14" s="1"/>
  <c r="N2463" i="14" s="1"/>
  <c r="L2462" i="14"/>
  <c r="M2462" i="14" s="1"/>
  <c r="N2462" i="14" s="1"/>
  <c r="K2462" i="14"/>
  <c r="M2461" i="14"/>
  <c r="N2461" i="14" s="1"/>
  <c r="K2461" i="14"/>
  <c r="L2461" i="14" s="1"/>
  <c r="K2460" i="14"/>
  <c r="L2460" i="14" s="1"/>
  <c r="M2460" i="14" s="1"/>
  <c r="N2460" i="14" s="1"/>
  <c r="K2459" i="14"/>
  <c r="L2459" i="14" s="1"/>
  <c r="M2459" i="14" s="1"/>
  <c r="N2459" i="14" s="1"/>
  <c r="L2458" i="14"/>
  <c r="M2458" i="14" s="1"/>
  <c r="N2458" i="14" s="1"/>
  <c r="K2458" i="14"/>
  <c r="M2457" i="14"/>
  <c r="N2457" i="14" s="1"/>
  <c r="K2457" i="14"/>
  <c r="L2457" i="14" s="1"/>
  <c r="K2456" i="14"/>
  <c r="L2456" i="14" s="1"/>
  <c r="M2456" i="14" s="1"/>
  <c r="N2456" i="14" s="1"/>
  <c r="K2455" i="14"/>
  <c r="L2455" i="14" s="1"/>
  <c r="M2455" i="14" s="1"/>
  <c r="N2455" i="14" s="1"/>
  <c r="L2454" i="14"/>
  <c r="M2454" i="14" s="1"/>
  <c r="N2454" i="14" s="1"/>
  <c r="K2454" i="14"/>
  <c r="M2453" i="14"/>
  <c r="N2453" i="14" s="1"/>
  <c r="K2453" i="14"/>
  <c r="L2453" i="14" s="1"/>
  <c r="K2452" i="14"/>
  <c r="L2452" i="14" s="1"/>
  <c r="M2452" i="14" s="1"/>
  <c r="N2452" i="14" s="1"/>
  <c r="K2451" i="14"/>
  <c r="L2451" i="14" s="1"/>
  <c r="M2451" i="14" s="1"/>
  <c r="N2451" i="14" s="1"/>
  <c r="L2450" i="14"/>
  <c r="M2450" i="14" s="1"/>
  <c r="N2450" i="14" s="1"/>
  <c r="K2450" i="14"/>
  <c r="M2449" i="14"/>
  <c r="N2449" i="14" s="1"/>
  <c r="K2449" i="14"/>
  <c r="L2449" i="14" s="1"/>
  <c r="K2448" i="14"/>
  <c r="L2448" i="14" s="1"/>
  <c r="M2448" i="14" s="1"/>
  <c r="N2448" i="14" s="1"/>
  <c r="K2447" i="14"/>
  <c r="L2447" i="14" s="1"/>
  <c r="M2447" i="14" s="1"/>
  <c r="N2447" i="14" s="1"/>
  <c r="L2446" i="14"/>
  <c r="M2446" i="14" s="1"/>
  <c r="N2446" i="14" s="1"/>
  <c r="K2446" i="14"/>
  <c r="M2445" i="14"/>
  <c r="N2445" i="14" s="1"/>
  <c r="K2445" i="14"/>
  <c r="L2445" i="14" s="1"/>
  <c r="K2444" i="14"/>
  <c r="L2444" i="14" s="1"/>
  <c r="M2444" i="14" s="1"/>
  <c r="N2444" i="14" s="1"/>
  <c r="K2443" i="14"/>
  <c r="L2443" i="14" s="1"/>
  <c r="M2443" i="14" s="1"/>
  <c r="N2443" i="14" s="1"/>
  <c r="L2442" i="14"/>
  <c r="M2442" i="14" s="1"/>
  <c r="N2442" i="14" s="1"/>
  <c r="K2442" i="14"/>
  <c r="M2441" i="14"/>
  <c r="N2441" i="14" s="1"/>
  <c r="K2441" i="14"/>
  <c r="L2441" i="14" s="1"/>
  <c r="K2440" i="14"/>
  <c r="L2440" i="14" s="1"/>
  <c r="M2440" i="14" s="1"/>
  <c r="N2440" i="14" s="1"/>
  <c r="K2439" i="14"/>
  <c r="L2439" i="14" s="1"/>
  <c r="M2439" i="14" s="1"/>
  <c r="N2439" i="14" s="1"/>
  <c r="L2438" i="14"/>
  <c r="M2438" i="14" s="1"/>
  <c r="N2438" i="14" s="1"/>
  <c r="K2438" i="14"/>
  <c r="M2437" i="14"/>
  <c r="N2437" i="14" s="1"/>
  <c r="K2437" i="14"/>
  <c r="L2437" i="14" s="1"/>
  <c r="K2436" i="14"/>
  <c r="L2436" i="14" s="1"/>
  <c r="M2436" i="14" s="1"/>
  <c r="N2436" i="14" s="1"/>
  <c r="K2435" i="14"/>
  <c r="L2435" i="14" s="1"/>
  <c r="M2435" i="14" s="1"/>
  <c r="N2435" i="14" s="1"/>
  <c r="L2434" i="14"/>
  <c r="M2434" i="14" s="1"/>
  <c r="N2434" i="14" s="1"/>
  <c r="K2434" i="14"/>
  <c r="M2433" i="14"/>
  <c r="N2433" i="14" s="1"/>
  <c r="K2433" i="14"/>
  <c r="L2433" i="14" s="1"/>
  <c r="K2432" i="14"/>
  <c r="L2432" i="14" s="1"/>
  <c r="M2432" i="14" s="1"/>
  <c r="N2432" i="14" s="1"/>
  <c r="K2431" i="14"/>
  <c r="L2431" i="14" s="1"/>
  <c r="M2431" i="14" s="1"/>
  <c r="N2431" i="14" s="1"/>
  <c r="L2430" i="14"/>
  <c r="M2430" i="14" s="1"/>
  <c r="N2430" i="14" s="1"/>
  <c r="K2430" i="14"/>
  <c r="M2429" i="14"/>
  <c r="N2429" i="14" s="1"/>
  <c r="K2429" i="14"/>
  <c r="L2429" i="14" s="1"/>
  <c r="K2428" i="14"/>
  <c r="L2428" i="14" s="1"/>
  <c r="M2428" i="14" s="1"/>
  <c r="N2428" i="14" s="1"/>
  <c r="K2427" i="14"/>
  <c r="L2427" i="14" s="1"/>
  <c r="M2427" i="14" s="1"/>
  <c r="N2427" i="14" s="1"/>
  <c r="L2426" i="14"/>
  <c r="M2426" i="14" s="1"/>
  <c r="N2426" i="14" s="1"/>
  <c r="K2426" i="14"/>
  <c r="M2425" i="14"/>
  <c r="N2425" i="14" s="1"/>
  <c r="K2425" i="14"/>
  <c r="L2425" i="14" s="1"/>
  <c r="K2424" i="14"/>
  <c r="L2424" i="14" s="1"/>
  <c r="M2424" i="14" s="1"/>
  <c r="N2424" i="14" s="1"/>
  <c r="K2423" i="14"/>
  <c r="L2423" i="14" s="1"/>
  <c r="M2423" i="14" s="1"/>
  <c r="N2423" i="14" s="1"/>
  <c r="L2422" i="14"/>
  <c r="M2422" i="14" s="1"/>
  <c r="N2422" i="14" s="1"/>
  <c r="K2422" i="14"/>
  <c r="M2421" i="14"/>
  <c r="N2421" i="14" s="1"/>
  <c r="K2421" i="14"/>
  <c r="L2421" i="14" s="1"/>
  <c r="K2420" i="14"/>
  <c r="L2420" i="14" s="1"/>
  <c r="M2420" i="14" s="1"/>
  <c r="N2420" i="14" s="1"/>
  <c r="K2419" i="14"/>
  <c r="L2419" i="14" s="1"/>
  <c r="M2419" i="14" s="1"/>
  <c r="N2419" i="14" s="1"/>
  <c r="L2418" i="14"/>
  <c r="M2418" i="14" s="1"/>
  <c r="N2418" i="14" s="1"/>
  <c r="K2418" i="14"/>
  <c r="M2417" i="14"/>
  <c r="N2417" i="14" s="1"/>
  <c r="K2417" i="14"/>
  <c r="L2417" i="14" s="1"/>
  <c r="K2416" i="14"/>
  <c r="L2416" i="14" s="1"/>
  <c r="M2416" i="14" s="1"/>
  <c r="N2416" i="14" s="1"/>
  <c r="K2415" i="14"/>
  <c r="L2415" i="14" s="1"/>
  <c r="M2415" i="14" s="1"/>
  <c r="N2415" i="14" s="1"/>
  <c r="L2414" i="14"/>
  <c r="M2414" i="14" s="1"/>
  <c r="N2414" i="14" s="1"/>
  <c r="K2414" i="14"/>
  <c r="M2413" i="14"/>
  <c r="N2413" i="14" s="1"/>
  <c r="K2413" i="14"/>
  <c r="L2413" i="14" s="1"/>
  <c r="K2412" i="14"/>
  <c r="L2412" i="14" s="1"/>
  <c r="M2412" i="14" s="1"/>
  <c r="N2412" i="14" s="1"/>
  <c r="L2411" i="14"/>
  <c r="M2411" i="14" s="1"/>
  <c r="N2411" i="14" s="1"/>
  <c r="K2411" i="14"/>
  <c r="K2410" i="14"/>
  <c r="L2410" i="14" s="1"/>
  <c r="M2410" i="14" s="1"/>
  <c r="N2410" i="14" s="1"/>
  <c r="L2409" i="14"/>
  <c r="M2409" i="14" s="1"/>
  <c r="N2409" i="14" s="1"/>
  <c r="K2409" i="14"/>
  <c r="K2408" i="14"/>
  <c r="L2408" i="14" s="1"/>
  <c r="M2408" i="14" s="1"/>
  <c r="N2408" i="14" s="1"/>
  <c r="L2407" i="14"/>
  <c r="M2407" i="14" s="1"/>
  <c r="N2407" i="14" s="1"/>
  <c r="K2407" i="14"/>
  <c r="K2406" i="14"/>
  <c r="L2406" i="14" s="1"/>
  <c r="M2406" i="14" s="1"/>
  <c r="N2406" i="14" s="1"/>
  <c r="L2405" i="14"/>
  <c r="M2405" i="14" s="1"/>
  <c r="N2405" i="14" s="1"/>
  <c r="K2405" i="14"/>
  <c r="K2404" i="14"/>
  <c r="L2404" i="14" s="1"/>
  <c r="M2404" i="14" s="1"/>
  <c r="N2404" i="14" s="1"/>
  <c r="L2403" i="14"/>
  <c r="M2403" i="14" s="1"/>
  <c r="N2403" i="14" s="1"/>
  <c r="K2403" i="14"/>
  <c r="K2402" i="14"/>
  <c r="L2402" i="14" s="1"/>
  <c r="M2402" i="14" s="1"/>
  <c r="N2402" i="14" s="1"/>
  <c r="L2401" i="14"/>
  <c r="M2401" i="14" s="1"/>
  <c r="N2401" i="14" s="1"/>
  <c r="K2401" i="14"/>
  <c r="K2400" i="14"/>
  <c r="L2400" i="14" s="1"/>
  <c r="M2400" i="14" s="1"/>
  <c r="N2400" i="14" s="1"/>
  <c r="L2399" i="14"/>
  <c r="M2399" i="14" s="1"/>
  <c r="N2399" i="14" s="1"/>
  <c r="K2399" i="14"/>
  <c r="K2398" i="14"/>
  <c r="L2398" i="14" s="1"/>
  <c r="M2398" i="14" s="1"/>
  <c r="N2398" i="14" s="1"/>
  <c r="L2397" i="14"/>
  <c r="M2397" i="14" s="1"/>
  <c r="N2397" i="14" s="1"/>
  <c r="K2397" i="14"/>
  <c r="K2396" i="14"/>
  <c r="L2396" i="14" s="1"/>
  <c r="M2396" i="14" s="1"/>
  <c r="N2396" i="14" s="1"/>
  <c r="L2395" i="14"/>
  <c r="M2395" i="14" s="1"/>
  <c r="N2395" i="14" s="1"/>
  <c r="K2395" i="14"/>
  <c r="K2394" i="14"/>
  <c r="L2394" i="14" s="1"/>
  <c r="M2394" i="14" s="1"/>
  <c r="N2394" i="14" s="1"/>
  <c r="L2393" i="14"/>
  <c r="M2393" i="14" s="1"/>
  <c r="N2393" i="14" s="1"/>
  <c r="K2393" i="14"/>
  <c r="K2392" i="14"/>
  <c r="L2392" i="14" s="1"/>
  <c r="M2392" i="14" s="1"/>
  <c r="N2392" i="14" s="1"/>
  <c r="L2391" i="14"/>
  <c r="M2391" i="14" s="1"/>
  <c r="N2391" i="14" s="1"/>
  <c r="K2391" i="14"/>
  <c r="K2390" i="14"/>
  <c r="L2390" i="14" s="1"/>
  <c r="M2390" i="14" s="1"/>
  <c r="N2390" i="14" s="1"/>
  <c r="L2389" i="14"/>
  <c r="M2389" i="14" s="1"/>
  <c r="N2389" i="14" s="1"/>
  <c r="K2389" i="14"/>
  <c r="K2388" i="14"/>
  <c r="L2388" i="14" s="1"/>
  <c r="M2388" i="14" s="1"/>
  <c r="N2388" i="14" s="1"/>
  <c r="L2387" i="14"/>
  <c r="M2387" i="14" s="1"/>
  <c r="N2387" i="14" s="1"/>
  <c r="K2387" i="14"/>
  <c r="K2386" i="14"/>
  <c r="L2386" i="14" s="1"/>
  <c r="M2386" i="14" s="1"/>
  <c r="N2386" i="14" s="1"/>
  <c r="L2385" i="14"/>
  <c r="M2385" i="14" s="1"/>
  <c r="N2385" i="14" s="1"/>
  <c r="K2385" i="14"/>
  <c r="K2384" i="14"/>
  <c r="L2384" i="14" s="1"/>
  <c r="M2384" i="14" s="1"/>
  <c r="N2384" i="14" s="1"/>
  <c r="L2383" i="14"/>
  <c r="M2383" i="14" s="1"/>
  <c r="N2383" i="14" s="1"/>
  <c r="K2383" i="14"/>
  <c r="K2382" i="14"/>
  <c r="L2382" i="14" s="1"/>
  <c r="M2382" i="14" s="1"/>
  <c r="N2382" i="14" s="1"/>
  <c r="L2381" i="14"/>
  <c r="M2381" i="14" s="1"/>
  <c r="N2381" i="14" s="1"/>
  <c r="K2381" i="14"/>
  <c r="K2380" i="14"/>
  <c r="L2380" i="14" s="1"/>
  <c r="M2380" i="14" s="1"/>
  <c r="N2380" i="14" s="1"/>
  <c r="L2379" i="14"/>
  <c r="M2379" i="14" s="1"/>
  <c r="N2379" i="14" s="1"/>
  <c r="K2379" i="14"/>
  <c r="K2378" i="14"/>
  <c r="L2378" i="14" s="1"/>
  <c r="M2378" i="14" s="1"/>
  <c r="N2378" i="14" s="1"/>
  <c r="L2377" i="14"/>
  <c r="M2377" i="14" s="1"/>
  <c r="N2377" i="14" s="1"/>
  <c r="K2377" i="14"/>
  <c r="K2376" i="14"/>
  <c r="L2376" i="14" s="1"/>
  <c r="M2376" i="14" s="1"/>
  <c r="N2376" i="14" s="1"/>
  <c r="L2375" i="14"/>
  <c r="M2375" i="14" s="1"/>
  <c r="N2375" i="14" s="1"/>
  <c r="K2375" i="14"/>
  <c r="K2374" i="14"/>
  <c r="L2374" i="14" s="1"/>
  <c r="M2374" i="14" s="1"/>
  <c r="N2374" i="14" s="1"/>
  <c r="L2373" i="14"/>
  <c r="M2373" i="14" s="1"/>
  <c r="N2373" i="14" s="1"/>
  <c r="K2373" i="14"/>
  <c r="K2372" i="14"/>
  <c r="L2372" i="14" s="1"/>
  <c r="M2372" i="14" s="1"/>
  <c r="N2372" i="14" s="1"/>
  <c r="L2371" i="14"/>
  <c r="M2371" i="14" s="1"/>
  <c r="N2371" i="14" s="1"/>
  <c r="K2371" i="14"/>
  <c r="K2370" i="14"/>
  <c r="L2370" i="14" s="1"/>
  <c r="M2370" i="14" s="1"/>
  <c r="N2370" i="14" s="1"/>
  <c r="L2369" i="14"/>
  <c r="M2369" i="14" s="1"/>
  <c r="N2369" i="14" s="1"/>
  <c r="K2369" i="14"/>
  <c r="K2368" i="14"/>
  <c r="L2368" i="14" s="1"/>
  <c r="M2368" i="14" s="1"/>
  <c r="N2368" i="14" s="1"/>
  <c r="L2367" i="14"/>
  <c r="M2367" i="14" s="1"/>
  <c r="N2367" i="14" s="1"/>
  <c r="K2367" i="14"/>
  <c r="K2366" i="14"/>
  <c r="L2366" i="14" s="1"/>
  <c r="M2366" i="14" s="1"/>
  <c r="N2366" i="14" s="1"/>
  <c r="L2365" i="14"/>
  <c r="M2365" i="14" s="1"/>
  <c r="N2365" i="14" s="1"/>
  <c r="K2365" i="14"/>
  <c r="K2364" i="14"/>
  <c r="L2364" i="14" s="1"/>
  <c r="M2364" i="14" s="1"/>
  <c r="N2364" i="14" s="1"/>
  <c r="L2363" i="14"/>
  <c r="M2363" i="14" s="1"/>
  <c r="N2363" i="14" s="1"/>
  <c r="K2363" i="14"/>
  <c r="K2362" i="14"/>
  <c r="L2362" i="14" s="1"/>
  <c r="M2362" i="14" s="1"/>
  <c r="N2362" i="14" s="1"/>
  <c r="L2361" i="14"/>
  <c r="M2361" i="14" s="1"/>
  <c r="N2361" i="14" s="1"/>
  <c r="K2361" i="14"/>
  <c r="K2360" i="14"/>
  <c r="L2360" i="14" s="1"/>
  <c r="M2360" i="14" s="1"/>
  <c r="N2360" i="14" s="1"/>
  <c r="L2359" i="14"/>
  <c r="M2359" i="14" s="1"/>
  <c r="N2359" i="14" s="1"/>
  <c r="K2359" i="14"/>
  <c r="K2358" i="14"/>
  <c r="L2358" i="14" s="1"/>
  <c r="M2358" i="14" s="1"/>
  <c r="N2358" i="14" s="1"/>
  <c r="L2357" i="14"/>
  <c r="M2357" i="14" s="1"/>
  <c r="N2357" i="14" s="1"/>
  <c r="K2357" i="14"/>
  <c r="K2356" i="14"/>
  <c r="L2356" i="14" s="1"/>
  <c r="M2356" i="14" s="1"/>
  <c r="N2356" i="14" s="1"/>
  <c r="L2355" i="14"/>
  <c r="M2355" i="14" s="1"/>
  <c r="N2355" i="14" s="1"/>
  <c r="K2355" i="14"/>
  <c r="K2354" i="14"/>
  <c r="L2354" i="14" s="1"/>
  <c r="M2354" i="14" s="1"/>
  <c r="N2354" i="14" s="1"/>
  <c r="L2353" i="14"/>
  <c r="M2353" i="14" s="1"/>
  <c r="N2353" i="14" s="1"/>
  <c r="K2353" i="14"/>
  <c r="K2352" i="14"/>
  <c r="L2352" i="14" s="1"/>
  <c r="M2352" i="14" s="1"/>
  <c r="N2352" i="14" s="1"/>
  <c r="L2351" i="14"/>
  <c r="M2351" i="14" s="1"/>
  <c r="N2351" i="14" s="1"/>
  <c r="K2351" i="14"/>
  <c r="K2350" i="14"/>
  <c r="L2350" i="14" s="1"/>
  <c r="M2350" i="14" s="1"/>
  <c r="N2350" i="14" s="1"/>
  <c r="L2349" i="14"/>
  <c r="M2349" i="14" s="1"/>
  <c r="N2349" i="14" s="1"/>
  <c r="K2349" i="14"/>
  <c r="K2348" i="14"/>
  <c r="L2348" i="14" s="1"/>
  <c r="M2348" i="14" s="1"/>
  <c r="N2348" i="14" s="1"/>
  <c r="L2347" i="14"/>
  <c r="M2347" i="14" s="1"/>
  <c r="N2347" i="14" s="1"/>
  <c r="K2347" i="14"/>
  <c r="K2346" i="14"/>
  <c r="L2346" i="14" s="1"/>
  <c r="M2346" i="14" s="1"/>
  <c r="N2346" i="14" s="1"/>
  <c r="L2345" i="14"/>
  <c r="M2345" i="14" s="1"/>
  <c r="N2345" i="14" s="1"/>
  <c r="K2345" i="14"/>
  <c r="K2344" i="14"/>
  <c r="L2344" i="14" s="1"/>
  <c r="M2344" i="14" s="1"/>
  <c r="N2344" i="14" s="1"/>
  <c r="L2343" i="14"/>
  <c r="M2343" i="14" s="1"/>
  <c r="N2343" i="14" s="1"/>
  <c r="K2343" i="14"/>
  <c r="K2342" i="14"/>
  <c r="L2342" i="14" s="1"/>
  <c r="M2342" i="14" s="1"/>
  <c r="N2342" i="14" s="1"/>
  <c r="L2341" i="14"/>
  <c r="M2341" i="14" s="1"/>
  <c r="N2341" i="14" s="1"/>
  <c r="K2341" i="14"/>
  <c r="K2340" i="14"/>
  <c r="L2340" i="14" s="1"/>
  <c r="M2340" i="14" s="1"/>
  <c r="N2340" i="14" s="1"/>
  <c r="L2339" i="14"/>
  <c r="M2339" i="14" s="1"/>
  <c r="N2339" i="14" s="1"/>
  <c r="K2339" i="14"/>
  <c r="K2338" i="14"/>
  <c r="L2338" i="14" s="1"/>
  <c r="M2338" i="14" s="1"/>
  <c r="N2338" i="14" s="1"/>
  <c r="L2337" i="14"/>
  <c r="M2337" i="14" s="1"/>
  <c r="N2337" i="14" s="1"/>
  <c r="K2337" i="14"/>
  <c r="K2336" i="14"/>
  <c r="L2336" i="14" s="1"/>
  <c r="M2336" i="14" s="1"/>
  <c r="N2336" i="14" s="1"/>
  <c r="L2335" i="14"/>
  <c r="M2335" i="14" s="1"/>
  <c r="N2335" i="14" s="1"/>
  <c r="K2335" i="14"/>
  <c r="K2334" i="14"/>
  <c r="L2334" i="14" s="1"/>
  <c r="M2334" i="14" s="1"/>
  <c r="N2334" i="14" s="1"/>
  <c r="L2333" i="14"/>
  <c r="M2333" i="14" s="1"/>
  <c r="N2333" i="14" s="1"/>
  <c r="K2333" i="14"/>
  <c r="K2332" i="14"/>
  <c r="L2332" i="14" s="1"/>
  <c r="M2332" i="14" s="1"/>
  <c r="N2332" i="14" s="1"/>
  <c r="L2331" i="14"/>
  <c r="M2331" i="14" s="1"/>
  <c r="N2331" i="14" s="1"/>
  <c r="K2331" i="14"/>
  <c r="K2330" i="14"/>
  <c r="L2330" i="14" s="1"/>
  <c r="M2330" i="14" s="1"/>
  <c r="N2330" i="14" s="1"/>
  <c r="L2329" i="14"/>
  <c r="M2329" i="14" s="1"/>
  <c r="N2329" i="14" s="1"/>
  <c r="K2329" i="14"/>
  <c r="K2328" i="14"/>
  <c r="L2328" i="14" s="1"/>
  <c r="M2328" i="14" s="1"/>
  <c r="N2328" i="14" s="1"/>
  <c r="L2327" i="14"/>
  <c r="M2327" i="14" s="1"/>
  <c r="N2327" i="14" s="1"/>
  <c r="K2327" i="14"/>
  <c r="K2326" i="14"/>
  <c r="L2326" i="14" s="1"/>
  <c r="M2326" i="14" s="1"/>
  <c r="N2326" i="14" s="1"/>
  <c r="L2325" i="14"/>
  <c r="M2325" i="14" s="1"/>
  <c r="N2325" i="14" s="1"/>
  <c r="K2325" i="14"/>
  <c r="L2324" i="14"/>
  <c r="M2324" i="14" s="1"/>
  <c r="N2324" i="14" s="1"/>
  <c r="K2324" i="14"/>
  <c r="L2323" i="14"/>
  <c r="M2323" i="14" s="1"/>
  <c r="N2323" i="14" s="1"/>
  <c r="K2323" i="14"/>
  <c r="N2322" i="14"/>
  <c r="K2322" i="14"/>
  <c r="L2322" i="14" s="1"/>
  <c r="M2322" i="14" s="1"/>
  <c r="N2321" i="14"/>
  <c r="L2321" i="14"/>
  <c r="M2321" i="14" s="1"/>
  <c r="K2321" i="14"/>
  <c r="L2320" i="14"/>
  <c r="M2320" i="14" s="1"/>
  <c r="N2320" i="14" s="1"/>
  <c r="K2320" i="14"/>
  <c r="L2319" i="14"/>
  <c r="M2319" i="14" s="1"/>
  <c r="N2319" i="14" s="1"/>
  <c r="K2319" i="14"/>
  <c r="N2318" i="14"/>
  <c r="K2318" i="14"/>
  <c r="L2318" i="14" s="1"/>
  <c r="M2318" i="14" s="1"/>
  <c r="N2317" i="14"/>
  <c r="L2317" i="14"/>
  <c r="M2317" i="14" s="1"/>
  <c r="K2317" i="14"/>
  <c r="K2316" i="14"/>
  <c r="L2316" i="14" s="1"/>
  <c r="M2316" i="14" s="1"/>
  <c r="N2316" i="14" s="1"/>
  <c r="L2315" i="14"/>
  <c r="M2315" i="14" s="1"/>
  <c r="N2315" i="14" s="1"/>
  <c r="K2315" i="14"/>
  <c r="K2314" i="14"/>
  <c r="L2314" i="14" s="1"/>
  <c r="M2314" i="14" s="1"/>
  <c r="N2314" i="14" s="1"/>
  <c r="N2313" i="14"/>
  <c r="L2313" i="14"/>
  <c r="M2313" i="14" s="1"/>
  <c r="K2313" i="14"/>
  <c r="N2312" i="14"/>
  <c r="L2312" i="14"/>
  <c r="M2312" i="14" s="1"/>
  <c r="K2312" i="14"/>
  <c r="K2311" i="14"/>
  <c r="L2311" i="14" s="1"/>
  <c r="M2311" i="14" s="1"/>
  <c r="N2311" i="14" s="1"/>
  <c r="N2310" i="14"/>
  <c r="K2310" i="14"/>
  <c r="L2310" i="14" s="1"/>
  <c r="M2310" i="14" s="1"/>
  <c r="L2309" i="14"/>
  <c r="M2309" i="14" s="1"/>
  <c r="N2309" i="14" s="1"/>
  <c r="K2309" i="14"/>
  <c r="L2308" i="14"/>
  <c r="M2308" i="14" s="1"/>
  <c r="N2308" i="14" s="1"/>
  <c r="K2308" i="14"/>
  <c r="L2307" i="14"/>
  <c r="M2307" i="14" s="1"/>
  <c r="N2307" i="14" s="1"/>
  <c r="K2307" i="14"/>
  <c r="N2306" i="14"/>
  <c r="K2306" i="14"/>
  <c r="L2306" i="14" s="1"/>
  <c r="M2306" i="14" s="1"/>
  <c r="N2305" i="14"/>
  <c r="L2305" i="14"/>
  <c r="M2305" i="14" s="1"/>
  <c r="K2305" i="14"/>
  <c r="L2304" i="14"/>
  <c r="M2304" i="14" s="1"/>
  <c r="N2304" i="14" s="1"/>
  <c r="K2304" i="14"/>
  <c r="L2303" i="14"/>
  <c r="M2303" i="14" s="1"/>
  <c r="N2303" i="14" s="1"/>
  <c r="K2303" i="14"/>
  <c r="N2302" i="14"/>
  <c r="K2302" i="14"/>
  <c r="L2302" i="14" s="1"/>
  <c r="M2302" i="14" s="1"/>
  <c r="N2301" i="14"/>
  <c r="L2301" i="14"/>
  <c r="M2301" i="14" s="1"/>
  <c r="K2301" i="14"/>
  <c r="K2300" i="14"/>
  <c r="L2300" i="14" s="1"/>
  <c r="M2300" i="14" s="1"/>
  <c r="N2300" i="14" s="1"/>
  <c r="L2299" i="14"/>
  <c r="M2299" i="14" s="1"/>
  <c r="N2299" i="14" s="1"/>
  <c r="K2299" i="14"/>
  <c r="K2298" i="14"/>
  <c r="L2298" i="14" s="1"/>
  <c r="M2298" i="14" s="1"/>
  <c r="N2298" i="14" s="1"/>
  <c r="N2297" i="14"/>
  <c r="L2297" i="14"/>
  <c r="M2297" i="14" s="1"/>
  <c r="K2297" i="14"/>
  <c r="N2296" i="14"/>
  <c r="L2296" i="14"/>
  <c r="M2296" i="14" s="1"/>
  <c r="K2296" i="14"/>
  <c r="K2295" i="14"/>
  <c r="L2295" i="14" s="1"/>
  <c r="M2295" i="14" s="1"/>
  <c r="N2295" i="14" s="1"/>
  <c r="N2294" i="14"/>
  <c r="K2294" i="14"/>
  <c r="L2294" i="14" s="1"/>
  <c r="M2294" i="14" s="1"/>
  <c r="L2293" i="14"/>
  <c r="M2293" i="14" s="1"/>
  <c r="N2293" i="14" s="1"/>
  <c r="K2293" i="14"/>
  <c r="L2292" i="14"/>
  <c r="M2292" i="14" s="1"/>
  <c r="N2292" i="14" s="1"/>
  <c r="K2292" i="14"/>
  <c r="L2291" i="14"/>
  <c r="M2291" i="14" s="1"/>
  <c r="N2291" i="14" s="1"/>
  <c r="K2291" i="14"/>
  <c r="N2290" i="14"/>
  <c r="K2290" i="14"/>
  <c r="L2290" i="14" s="1"/>
  <c r="M2290" i="14" s="1"/>
  <c r="N2289" i="14"/>
  <c r="L2289" i="14"/>
  <c r="M2289" i="14" s="1"/>
  <c r="K2289" i="14"/>
  <c r="L2288" i="14"/>
  <c r="M2288" i="14" s="1"/>
  <c r="N2288" i="14" s="1"/>
  <c r="K2288" i="14"/>
  <c r="L2287" i="14"/>
  <c r="M2287" i="14" s="1"/>
  <c r="N2287" i="14" s="1"/>
  <c r="K2287" i="14"/>
  <c r="N2286" i="14"/>
  <c r="K2286" i="14"/>
  <c r="L2286" i="14" s="1"/>
  <c r="M2286" i="14" s="1"/>
  <c r="N2285" i="14"/>
  <c r="L2285" i="14"/>
  <c r="M2285" i="14" s="1"/>
  <c r="K2285" i="14"/>
  <c r="L2284" i="14"/>
  <c r="M2284" i="14" s="1"/>
  <c r="N2284" i="14" s="1"/>
  <c r="K2284" i="14"/>
  <c r="M2283" i="14"/>
  <c r="N2283" i="14" s="1"/>
  <c r="L2283" i="14"/>
  <c r="K2283" i="14"/>
  <c r="L2282" i="14"/>
  <c r="M2282" i="14" s="1"/>
  <c r="N2282" i="14" s="1"/>
  <c r="K2282" i="14"/>
  <c r="M2281" i="14"/>
  <c r="N2281" i="14" s="1"/>
  <c r="L2281" i="14"/>
  <c r="K2281" i="14"/>
  <c r="L2280" i="14"/>
  <c r="M2280" i="14" s="1"/>
  <c r="N2280" i="14" s="1"/>
  <c r="K2280" i="14"/>
  <c r="M2279" i="14"/>
  <c r="N2279" i="14" s="1"/>
  <c r="L2279" i="14"/>
  <c r="K2279" i="14"/>
  <c r="L2278" i="14"/>
  <c r="M2278" i="14" s="1"/>
  <c r="N2278" i="14" s="1"/>
  <c r="K2278" i="14"/>
  <c r="M2277" i="14"/>
  <c r="N2277" i="14" s="1"/>
  <c r="L2277" i="14"/>
  <c r="K2277" i="14"/>
  <c r="L2276" i="14"/>
  <c r="M2276" i="14" s="1"/>
  <c r="N2276" i="14" s="1"/>
  <c r="K2276" i="14"/>
  <c r="M2275" i="14"/>
  <c r="N2275" i="14" s="1"/>
  <c r="L2275" i="14"/>
  <c r="K2275" i="14"/>
  <c r="L2274" i="14"/>
  <c r="M2274" i="14" s="1"/>
  <c r="N2274" i="14" s="1"/>
  <c r="K2274" i="14"/>
  <c r="M2273" i="14"/>
  <c r="N2273" i="14" s="1"/>
  <c r="L2273" i="14"/>
  <c r="K2273" i="14"/>
  <c r="L2272" i="14"/>
  <c r="M2272" i="14" s="1"/>
  <c r="N2272" i="14" s="1"/>
  <c r="K2272" i="14"/>
  <c r="M2271" i="14"/>
  <c r="N2271" i="14" s="1"/>
  <c r="L2271" i="14"/>
  <c r="K2271" i="14"/>
  <c r="L2270" i="14"/>
  <c r="M2270" i="14" s="1"/>
  <c r="N2270" i="14" s="1"/>
  <c r="K2270" i="14"/>
  <c r="M2269" i="14"/>
  <c r="N2269" i="14" s="1"/>
  <c r="L2269" i="14"/>
  <c r="K2269" i="14"/>
  <c r="L2268" i="14"/>
  <c r="M2268" i="14" s="1"/>
  <c r="N2268" i="14" s="1"/>
  <c r="K2268" i="14"/>
  <c r="M2267" i="14"/>
  <c r="N2267" i="14" s="1"/>
  <c r="L2267" i="14"/>
  <c r="K2267" i="14"/>
  <c r="L2266" i="14"/>
  <c r="M2266" i="14" s="1"/>
  <c r="N2266" i="14" s="1"/>
  <c r="K2266" i="14"/>
  <c r="M2265" i="14"/>
  <c r="N2265" i="14" s="1"/>
  <c r="L2265" i="14"/>
  <c r="K2265" i="14"/>
  <c r="L2264" i="14"/>
  <c r="M2264" i="14" s="1"/>
  <c r="N2264" i="14" s="1"/>
  <c r="K2264" i="14"/>
  <c r="M2263" i="14"/>
  <c r="N2263" i="14" s="1"/>
  <c r="L2263" i="14"/>
  <c r="K2263" i="14"/>
  <c r="L2262" i="14"/>
  <c r="M2262" i="14" s="1"/>
  <c r="N2262" i="14" s="1"/>
  <c r="K2262" i="14"/>
  <c r="M2261" i="14"/>
  <c r="N2261" i="14" s="1"/>
  <c r="L2261" i="14"/>
  <c r="K2261" i="14"/>
  <c r="L2260" i="14"/>
  <c r="M2260" i="14" s="1"/>
  <c r="N2260" i="14" s="1"/>
  <c r="K2260" i="14"/>
  <c r="M2259" i="14"/>
  <c r="N2259" i="14" s="1"/>
  <c r="L2259" i="14"/>
  <c r="K2259" i="14"/>
  <c r="L2258" i="14"/>
  <c r="M2258" i="14" s="1"/>
  <c r="N2258" i="14" s="1"/>
  <c r="K2258" i="14"/>
  <c r="M2257" i="14"/>
  <c r="N2257" i="14" s="1"/>
  <c r="L2257" i="14"/>
  <c r="K2257" i="14"/>
  <c r="L2256" i="14"/>
  <c r="M2256" i="14" s="1"/>
  <c r="N2256" i="14" s="1"/>
  <c r="K2256" i="14"/>
  <c r="M2255" i="14"/>
  <c r="N2255" i="14" s="1"/>
  <c r="L2255" i="14"/>
  <c r="K2255" i="14"/>
  <c r="L2254" i="14"/>
  <c r="M2254" i="14" s="1"/>
  <c r="N2254" i="14" s="1"/>
  <c r="K2254" i="14"/>
  <c r="M2253" i="14"/>
  <c r="N2253" i="14" s="1"/>
  <c r="L2253" i="14"/>
  <c r="K2253" i="14"/>
  <c r="L2252" i="14"/>
  <c r="M2252" i="14" s="1"/>
  <c r="N2252" i="14" s="1"/>
  <c r="K2252" i="14"/>
  <c r="M2251" i="14"/>
  <c r="N2251" i="14" s="1"/>
  <c r="L2251" i="14"/>
  <c r="K2251" i="14"/>
  <c r="L2250" i="14"/>
  <c r="M2250" i="14" s="1"/>
  <c r="N2250" i="14" s="1"/>
  <c r="K2250" i="14"/>
  <c r="M2249" i="14"/>
  <c r="N2249" i="14" s="1"/>
  <c r="L2249" i="14"/>
  <c r="K2249" i="14"/>
  <c r="L2248" i="14"/>
  <c r="M2248" i="14" s="1"/>
  <c r="N2248" i="14" s="1"/>
  <c r="K2248" i="14"/>
  <c r="L2247" i="14"/>
  <c r="M2247" i="14" s="1"/>
  <c r="N2247" i="14" s="1"/>
  <c r="K2247" i="14"/>
  <c r="L2246" i="14"/>
  <c r="M2246" i="14" s="1"/>
  <c r="N2246" i="14" s="1"/>
  <c r="K2246" i="14"/>
  <c r="N2245" i="14"/>
  <c r="L2245" i="14"/>
  <c r="M2245" i="14" s="1"/>
  <c r="K2245" i="14"/>
  <c r="L2244" i="14"/>
  <c r="M2244" i="14" s="1"/>
  <c r="N2244" i="14" s="1"/>
  <c r="K2244" i="14"/>
  <c r="L2243" i="14"/>
  <c r="M2243" i="14" s="1"/>
  <c r="N2243" i="14" s="1"/>
  <c r="K2243" i="14"/>
  <c r="L2242" i="14"/>
  <c r="M2242" i="14" s="1"/>
  <c r="N2242" i="14" s="1"/>
  <c r="K2242" i="14"/>
  <c r="N2241" i="14"/>
  <c r="L2241" i="14"/>
  <c r="M2241" i="14" s="1"/>
  <c r="K2241" i="14"/>
  <c r="L2240" i="14"/>
  <c r="M2240" i="14" s="1"/>
  <c r="N2240" i="14" s="1"/>
  <c r="K2240" i="14"/>
  <c r="L2239" i="14"/>
  <c r="M2239" i="14" s="1"/>
  <c r="N2239" i="14" s="1"/>
  <c r="K2239" i="14"/>
  <c r="L2238" i="14"/>
  <c r="M2238" i="14" s="1"/>
  <c r="N2238" i="14" s="1"/>
  <c r="K2238" i="14"/>
  <c r="N2237" i="14"/>
  <c r="L2237" i="14"/>
  <c r="M2237" i="14" s="1"/>
  <c r="K2237" i="14"/>
  <c r="L2236" i="14"/>
  <c r="M2236" i="14" s="1"/>
  <c r="N2236" i="14" s="1"/>
  <c r="K2236" i="14"/>
  <c r="L2235" i="14"/>
  <c r="M2235" i="14" s="1"/>
  <c r="N2235" i="14" s="1"/>
  <c r="K2235" i="14"/>
  <c r="L2234" i="14"/>
  <c r="M2234" i="14" s="1"/>
  <c r="N2234" i="14" s="1"/>
  <c r="K2234" i="14"/>
  <c r="N2233" i="14"/>
  <c r="L2233" i="14"/>
  <c r="M2233" i="14" s="1"/>
  <c r="K2233" i="14"/>
  <c r="L2232" i="14"/>
  <c r="M2232" i="14" s="1"/>
  <c r="N2232" i="14" s="1"/>
  <c r="K2232" i="14"/>
  <c r="L2231" i="14"/>
  <c r="M2231" i="14" s="1"/>
  <c r="N2231" i="14" s="1"/>
  <c r="K2231" i="14"/>
  <c r="L2230" i="14"/>
  <c r="M2230" i="14" s="1"/>
  <c r="N2230" i="14" s="1"/>
  <c r="K2230" i="14"/>
  <c r="N2229" i="14"/>
  <c r="L2229" i="14"/>
  <c r="M2229" i="14" s="1"/>
  <c r="K2229" i="14"/>
  <c r="L2228" i="14"/>
  <c r="M2228" i="14" s="1"/>
  <c r="N2228" i="14" s="1"/>
  <c r="K2228" i="14"/>
  <c r="L2227" i="14"/>
  <c r="M2227" i="14" s="1"/>
  <c r="N2227" i="14" s="1"/>
  <c r="K2227" i="14"/>
  <c r="L2226" i="14"/>
  <c r="M2226" i="14" s="1"/>
  <c r="N2226" i="14" s="1"/>
  <c r="K2226" i="14"/>
  <c r="N2225" i="14"/>
  <c r="L2225" i="14"/>
  <c r="M2225" i="14" s="1"/>
  <c r="K2225" i="14"/>
  <c r="L2224" i="14"/>
  <c r="M2224" i="14" s="1"/>
  <c r="N2224" i="14" s="1"/>
  <c r="K2224" i="14"/>
  <c r="L2223" i="14"/>
  <c r="M2223" i="14" s="1"/>
  <c r="N2223" i="14" s="1"/>
  <c r="K2223" i="14"/>
  <c r="L2222" i="14"/>
  <c r="M2222" i="14" s="1"/>
  <c r="N2222" i="14" s="1"/>
  <c r="K2222" i="14"/>
  <c r="N2221" i="14"/>
  <c r="L2221" i="14"/>
  <c r="M2221" i="14" s="1"/>
  <c r="K2221" i="14"/>
  <c r="L2220" i="14"/>
  <c r="M2220" i="14" s="1"/>
  <c r="N2220" i="14" s="1"/>
  <c r="K2220" i="14"/>
  <c r="L2219" i="14"/>
  <c r="M2219" i="14" s="1"/>
  <c r="N2219" i="14" s="1"/>
  <c r="K2219" i="14"/>
  <c r="L2218" i="14"/>
  <c r="M2218" i="14" s="1"/>
  <c r="N2218" i="14" s="1"/>
  <c r="K2218" i="14"/>
  <c r="N2217" i="14"/>
  <c r="L2217" i="14"/>
  <c r="M2217" i="14" s="1"/>
  <c r="K2217" i="14"/>
  <c r="L2216" i="14"/>
  <c r="M2216" i="14" s="1"/>
  <c r="N2216" i="14" s="1"/>
  <c r="K2216" i="14"/>
  <c r="L2215" i="14"/>
  <c r="M2215" i="14" s="1"/>
  <c r="N2215" i="14" s="1"/>
  <c r="K2215" i="14"/>
  <c r="L2214" i="14"/>
  <c r="M2214" i="14" s="1"/>
  <c r="N2214" i="14" s="1"/>
  <c r="K2214" i="14"/>
  <c r="N2213" i="14"/>
  <c r="L2213" i="14"/>
  <c r="M2213" i="14" s="1"/>
  <c r="K2213" i="14"/>
  <c r="L2212" i="14"/>
  <c r="M2212" i="14" s="1"/>
  <c r="N2212" i="14" s="1"/>
  <c r="K2212" i="14"/>
  <c r="L2211" i="14"/>
  <c r="M2211" i="14" s="1"/>
  <c r="N2211" i="14" s="1"/>
  <c r="K2211" i="14"/>
  <c r="L2210" i="14"/>
  <c r="M2210" i="14" s="1"/>
  <c r="N2210" i="14" s="1"/>
  <c r="K2210" i="14"/>
  <c r="N2209" i="14"/>
  <c r="L2209" i="14"/>
  <c r="M2209" i="14" s="1"/>
  <c r="K2209" i="14"/>
  <c r="L2208" i="14"/>
  <c r="M2208" i="14" s="1"/>
  <c r="N2208" i="14" s="1"/>
  <c r="K2208" i="14"/>
  <c r="L2207" i="14"/>
  <c r="M2207" i="14" s="1"/>
  <c r="N2207" i="14" s="1"/>
  <c r="K2207" i="14"/>
  <c r="L2206" i="14"/>
  <c r="M2206" i="14" s="1"/>
  <c r="N2206" i="14" s="1"/>
  <c r="K2206" i="14"/>
  <c r="N2205" i="14"/>
  <c r="L2205" i="14"/>
  <c r="M2205" i="14" s="1"/>
  <c r="K2205" i="14"/>
  <c r="L2204" i="14"/>
  <c r="M2204" i="14" s="1"/>
  <c r="N2204" i="14" s="1"/>
  <c r="K2204" i="14"/>
  <c r="L2203" i="14"/>
  <c r="M2203" i="14" s="1"/>
  <c r="N2203" i="14" s="1"/>
  <c r="K2203" i="14"/>
  <c r="L2202" i="14"/>
  <c r="M2202" i="14" s="1"/>
  <c r="N2202" i="14" s="1"/>
  <c r="K2202" i="14"/>
  <c r="N2201" i="14"/>
  <c r="L2201" i="14"/>
  <c r="M2201" i="14" s="1"/>
  <c r="K2201" i="14"/>
  <c r="L2200" i="14"/>
  <c r="M2200" i="14" s="1"/>
  <c r="N2200" i="14" s="1"/>
  <c r="K2200" i="14"/>
  <c r="L2199" i="14"/>
  <c r="M2199" i="14" s="1"/>
  <c r="N2199" i="14" s="1"/>
  <c r="K2199" i="14"/>
  <c r="L2198" i="14"/>
  <c r="M2198" i="14" s="1"/>
  <c r="N2198" i="14" s="1"/>
  <c r="K2198" i="14"/>
  <c r="N2197" i="14"/>
  <c r="L2197" i="14"/>
  <c r="M2197" i="14" s="1"/>
  <c r="K2197" i="14"/>
  <c r="L2196" i="14"/>
  <c r="M2196" i="14" s="1"/>
  <c r="N2196" i="14" s="1"/>
  <c r="K2196" i="14"/>
  <c r="L2195" i="14"/>
  <c r="M2195" i="14" s="1"/>
  <c r="N2195" i="14" s="1"/>
  <c r="K2195" i="14"/>
  <c r="L2194" i="14"/>
  <c r="M2194" i="14" s="1"/>
  <c r="N2194" i="14" s="1"/>
  <c r="K2194" i="14"/>
  <c r="N2193" i="14"/>
  <c r="L2193" i="14"/>
  <c r="M2193" i="14" s="1"/>
  <c r="K2193" i="14"/>
  <c r="L2192" i="14"/>
  <c r="M2192" i="14" s="1"/>
  <c r="N2192" i="14" s="1"/>
  <c r="K2192" i="14"/>
  <c r="L2191" i="14"/>
  <c r="M2191" i="14" s="1"/>
  <c r="N2191" i="14" s="1"/>
  <c r="K2191" i="14"/>
  <c r="L2190" i="14"/>
  <c r="M2190" i="14" s="1"/>
  <c r="N2190" i="14" s="1"/>
  <c r="K2190" i="14"/>
  <c r="N2189" i="14"/>
  <c r="L2189" i="14"/>
  <c r="M2189" i="14" s="1"/>
  <c r="K2189" i="14"/>
  <c r="L2188" i="14"/>
  <c r="M2188" i="14" s="1"/>
  <c r="N2188" i="14" s="1"/>
  <c r="K2188" i="14"/>
  <c r="L2187" i="14"/>
  <c r="M2187" i="14" s="1"/>
  <c r="N2187" i="14" s="1"/>
  <c r="K2187" i="14"/>
  <c r="L2186" i="14"/>
  <c r="M2186" i="14" s="1"/>
  <c r="N2186" i="14" s="1"/>
  <c r="K2186" i="14"/>
  <c r="N2185" i="14"/>
  <c r="L2185" i="14"/>
  <c r="M2185" i="14" s="1"/>
  <c r="K2185" i="14"/>
  <c r="L2184" i="14"/>
  <c r="M2184" i="14" s="1"/>
  <c r="N2184" i="14" s="1"/>
  <c r="K2184" i="14"/>
  <c r="L2183" i="14"/>
  <c r="M2183" i="14" s="1"/>
  <c r="N2183" i="14" s="1"/>
  <c r="K2183" i="14"/>
  <c r="L2182" i="14"/>
  <c r="M2182" i="14" s="1"/>
  <c r="N2182" i="14" s="1"/>
  <c r="K2182" i="14"/>
  <c r="N2181" i="14"/>
  <c r="L2181" i="14"/>
  <c r="M2181" i="14" s="1"/>
  <c r="K2181" i="14"/>
  <c r="L2180" i="14"/>
  <c r="M2180" i="14" s="1"/>
  <c r="N2180" i="14" s="1"/>
  <c r="K2180" i="14"/>
  <c r="L2179" i="14"/>
  <c r="M2179" i="14" s="1"/>
  <c r="N2179" i="14" s="1"/>
  <c r="K2179" i="14"/>
  <c r="L2178" i="14"/>
  <c r="M2178" i="14" s="1"/>
  <c r="N2178" i="14" s="1"/>
  <c r="K2178" i="14"/>
  <c r="N2177" i="14"/>
  <c r="L2177" i="14"/>
  <c r="M2177" i="14" s="1"/>
  <c r="K2177" i="14"/>
  <c r="L2176" i="14"/>
  <c r="M2176" i="14" s="1"/>
  <c r="N2176" i="14" s="1"/>
  <c r="K2176" i="14"/>
  <c r="L2175" i="14"/>
  <c r="M2175" i="14" s="1"/>
  <c r="N2175" i="14" s="1"/>
  <c r="K2175" i="14"/>
  <c r="L2174" i="14"/>
  <c r="M2174" i="14" s="1"/>
  <c r="N2174" i="14" s="1"/>
  <c r="K2174" i="14"/>
  <c r="N2173" i="14"/>
  <c r="L2173" i="14"/>
  <c r="M2173" i="14" s="1"/>
  <c r="K2173" i="14"/>
  <c r="L2172" i="14"/>
  <c r="M2172" i="14" s="1"/>
  <c r="N2172" i="14" s="1"/>
  <c r="K2172" i="14"/>
  <c r="L2171" i="14"/>
  <c r="M2171" i="14" s="1"/>
  <c r="N2171" i="14" s="1"/>
  <c r="K2171" i="14"/>
  <c r="L2170" i="14"/>
  <c r="M2170" i="14" s="1"/>
  <c r="N2170" i="14" s="1"/>
  <c r="K2170" i="14"/>
  <c r="N2169" i="14"/>
  <c r="L2169" i="14"/>
  <c r="M2169" i="14" s="1"/>
  <c r="K2169" i="14"/>
  <c r="L2168" i="14"/>
  <c r="M2168" i="14" s="1"/>
  <c r="N2168" i="14" s="1"/>
  <c r="K2168" i="14"/>
  <c r="L2167" i="14"/>
  <c r="M2167" i="14" s="1"/>
  <c r="N2167" i="14" s="1"/>
  <c r="K2167" i="14"/>
  <c r="L2166" i="14"/>
  <c r="M2166" i="14" s="1"/>
  <c r="N2166" i="14" s="1"/>
  <c r="K2166" i="14"/>
  <c r="N2165" i="14"/>
  <c r="L2165" i="14"/>
  <c r="M2165" i="14" s="1"/>
  <c r="K2165" i="14"/>
  <c r="L2164" i="14"/>
  <c r="M2164" i="14" s="1"/>
  <c r="N2164" i="14" s="1"/>
  <c r="K2164" i="14"/>
  <c r="L2163" i="14"/>
  <c r="M2163" i="14" s="1"/>
  <c r="N2163" i="14" s="1"/>
  <c r="K2163" i="14"/>
  <c r="L2162" i="14"/>
  <c r="M2162" i="14" s="1"/>
  <c r="N2162" i="14" s="1"/>
  <c r="K2162" i="14"/>
  <c r="N2161" i="14"/>
  <c r="L2161" i="14"/>
  <c r="M2161" i="14" s="1"/>
  <c r="K2161" i="14"/>
  <c r="L2160" i="14"/>
  <c r="M2160" i="14" s="1"/>
  <c r="N2160" i="14" s="1"/>
  <c r="K2160" i="14"/>
  <c r="L2159" i="14"/>
  <c r="M2159" i="14" s="1"/>
  <c r="N2159" i="14" s="1"/>
  <c r="K2159" i="14"/>
  <c r="L2158" i="14"/>
  <c r="M2158" i="14" s="1"/>
  <c r="N2158" i="14" s="1"/>
  <c r="K2158" i="14"/>
  <c r="N2157" i="14"/>
  <c r="L2157" i="14"/>
  <c r="M2157" i="14" s="1"/>
  <c r="K2157" i="14"/>
  <c r="L2156" i="14"/>
  <c r="M2156" i="14" s="1"/>
  <c r="N2156" i="14" s="1"/>
  <c r="K2156" i="14"/>
  <c r="L2155" i="14"/>
  <c r="M2155" i="14" s="1"/>
  <c r="N2155" i="14" s="1"/>
  <c r="K2155" i="14"/>
  <c r="L2154" i="14"/>
  <c r="M2154" i="14" s="1"/>
  <c r="N2154" i="14" s="1"/>
  <c r="K2154" i="14"/>
  <c r="N2153" i="14"/>
  <c r="L2153" i="14"/>
  <c r="M2153" i="14" s="1"/>
  <c r="K2153" i="14"/>
  <c r="L2152" i="14"/>
  <c r="M2152" i="14" s="1"/>
  <c r="N2152" i="14" s="1"/>
  <c r="K2152" i="14"/>
  <c r="L2151" i="14"/>
  <c r="M2151" i="14" s="1"/>
  <c r="N2151" i="14" s="1"/>
  <c r="K2151" i="14"/>
  <c r="L2150" i="14"/>
  <c r="M2150" i="14" s="1"/>
  <c r="N2150" i="14" s="1"/>
  <c r="K2150" i="14"/>
  <c r="N2149" i="14"/>
  <c r="L2149" i="14"/>
  <c r="M2149" i="14" s="1"/>
  <c r="K2149" i="14"/>
  <c r="L2148" i="14"/>
  <c r="M2148" i="14" s="1"/>
  <c r="N2148" i="14" s="1"/>
  <c r="K2148" i="14"/>
  <c r="L2147" i="14"/>
  <c r="M2147" i="14" s="1"/>
  <c r="N2147" i="14" s="1"/>
  <c r="K2147" i="14"/>
  <c r="L2146" i="14"/>
  <c r="M2146" i="14" s="1"/>
  <c r="N2146" i="14" s="1"/>
  <c r="K2146" i="14"/>
  <c r="N2145" i="14"/>
  <c r="L2145" i="14"/>
  <c r="M2145" i="14" s="1"/>
  <c r="K2145" i="14"/>
  <c r="L2144" i="14"/>
  <c r="M2144" i="14" s="1"/>
  <c r="N2144" i="14" s="1"/>
  <c r="K2144" i="14"/>
  <c r="L2143" i="14"/>
  <c r="M2143" i="14" s="1"/>
  <c r="N2143" i="14" s="1"/>
  <c r="K2143" i="14"/>
  <c r="L2142" i="14"/>
  <c r="M2142" i="14" s="1"/>
  <c r="N2142" i="14" s="1"/>
  <c r="K2142" i="14"/>
  <c r="N2141" i="14"/>
  <c r="L2141" i="14"/>
  <c r="M2141" i="14" s="1"/>
  <c r="K2141" i="14"/>
  <c r="L2140" i="14"/>
  <c r="M2140" i="14" s="1"/>
  <c r="N2140" i="14" s="1"/>
  <c r="K2140" i="14"/>
  <c r="L2139" i="14"/>
  <c r="M2139" i="14" s="1"/>
  <c r="N2139" i="14" s="1"/>
  <c r="K2139" i="14"/>
  <c r="L2138" i="14"/>
  <c r="M2138" i="14" s="1"/>
  <c r="N2138" i="14" s="1"/>
  <c r="K2138" i="14"/>
  <c r="N2137" i="14"/>
  <c r="L2137" i="14"/>
  <c r="M2137" i="14" s="1"/>
  <c r="K2137" i="14"/>
  <c r="L2136" i="14"/>
  <c r="M2136" i="14" s="1"/>
  <c r="N2136" i="14" s="1"/>
  <c r="K2136" i="14"/>
  <c r="L2135" i="14"/>
  <c r="M2135" i="14" s="1"/>
  <c r="N2135" i="14" s="1"/>
  <c r="K2135" i="14"/>
  <c r="L2134" i="14"/>
  <c r="M2134" i="14" s="1"/>
  <c r="N2134" i="14" s="1"/>
  <c r="K2134" i="14"/>
  <c r="N2133" i="14"/>
  <c r="L2133" i="14"/>
  <c r="M2133" i="14" s="1"/>
  <c r="K2133" i="14"/>
  <c r="L2132" i="14"/>
  <c r="M2132" i="14" s="1"/>
  <c r="N2132" i="14" s="1"/>
  <c r="K2132" i="14"/>
  <c r="L2131" i="14"/>
  <c r="M2131" i="14" s="1"/>
  <c r="N2131" i="14" s="1"/>
  <c r="K2131" i="14"/>
  <c r="L2130" i="14"/>
  <c r="M2130" i="14" s="1"/>
  <c r="N2130" i="14" s="1"/>
  <c r="K2130" i="14"/>
  <c r="N2129" i="14"/>
  <c r="L2129" i="14"/>
  <c r="M2129" i="14" s="1"/>
  <c r="K2129" i="14"/>
  <c r="L2128" i="14"/>
  <c r="M2128" i="14" s="1"/>
  <c r="N2128" i="14" s="1"/>
  <c r="K2128" i="14"/>
  <c r="L2127" i="14"/>
  <c r="M2127" i="14" s="1"/>
  <c r="N2127" i="14" s="1"/>
  <c r="K2127" i="14"/>
  <c r="L2126" i="14"/>
  <c r="M2126" i="14" s="1"/>
  <c r="N2126" i="14" s="1"/>
  <c r="K2126" i="14"/>
  <c r="N2125" i="14"/>
  <c r="L2125" i="14"/>
  <c r="M2125" i="14" s="1"/>
  <c r="K2125" i="14"/>
  <c r="L2124" i="14"/>
  <c r="M2124" i="14" s="1"/>
  <c r="N2124" i="14" s="1"/>
  <c r="K2124" i="14"/>
  <c r="L2123" i="14"/>
  <c r="M2123" i="14" s="1"/>
  <c r="N2123" i="14" s="1"/>
  <c r="K2123" i="14"/>
  <c r="L2122" i="14"/>
  <c r="M2122" i="14" s="1"/>
  <c r="N2122" i="14" s="1"/>
  <c r="K2122" i="14"/>
  <c r="N2121" i="14"/>
  <c r="L2121" i="14"/>
  <c r="M2121" i="14" s="1"/>
  <c r="K2121" i="14"/>
  <c r="L2120" i="14"/>
  <c r="M2120" i="14" s="1"/>
  <c r="N2120" i="14" s="1"/>
  <c r="K2120" i="14"/>
  <c r="L2119" i="14"/>
  <c r="M2119" i="14" s="1"/>
  <c r="N2119" i="14" s="1"/>
  <c r="K2119" i="14"/>
  <c r="L2118" i="14"/>
  <c r="M2118" i="14" s="1"/>
  <c r="N2118" i="14" s="1"/>
  <c r="K2118" i="14"/>
  <c r="N2117" i="14"/>
  <c r="L2117" i="14"/>
  <c r="M2117" i="14" s="1"/>
  <c r="K2117" i="14"/>
  <c r="L2116" i="14"/>
  <c r="M2116" i="14" s="1"/>
  <c r="N2116" i="14" s="1"/>
  <c r="K2116" i="14"/>
  <c r="N2115" i="14"/>
  <c r="L2115" i="14"/>
  <c r="M2115" i="14" s="1"/>
  <c r="K2115" i="14"/>
  <c r="L2114" i="14"/>
  <c r="M2114" i="14" s="1"/>
  <c r="N2114" i="14" s="1"/>
  <c r="K2114" i="14"/>
  <c r="N2113" i="14"/>
  <c r="L2113" i="14"/>
  <c r="M2113" i="14" s="1"/>
  <c r="K2113" i="14"/>
  <c r="N2112" i="14"/>
  <c r="L2112" i="14"/>
  <c r="M2112" i="14" s="1"/>
  <c r="K2112" i="14"/>
  <c r="L2111" i="14"/>
  <c r="M2111" i="14" s="1"/>
  <c r="N2111" i="14" s="1"/>
  <c r="K2111" i="14"/>
  <c r="L2110" i="14"/>
  <c r="M2110" i="14" s="1"/>
  <c r="N2110" i="14" s="1"/>
  <c r="K2110" i="14"/>
  <c r="N2109" i="14"/>
  <c r="L2109" i="14"/>
  <c r="M2109" i="14" s="1"/>
  <c r="K2109" i="14"/>
  <c r="L2108" i="14"/>
  <c r="M2108" i="14" s="1"/>
  <c r="N2108" i="14" s="1"/>
  <c r="K2108" i="14"/>
  <c r="N2107" i="14"/>
  <c r="L2107" i="14"/>
  <c r="M2107" i="14" s="1"/>
  <c r="K2107" i="14"/>
  <c r="L2106" i="14"/>
  <c r="M2106" i="14" s="1"/>
  <c r="N2106" i="14" s="1"/>
  <c r="K2106" i="14"/>
  <c r="N2105" i="14"/>
  <c r="L2105" i="14"/>
  <c r="M2105" i="14" s="1"/>
  <c r="K2105" i="14"/>
  <c r="N2104" i="14"/>
  <c r="L2104" i="14"/>
  <c r="M2104" i="14" s="1"/>
  <c r="K2104" i="14"/>
  <c r="L2103" i="14"/>
  <c r="M2103" i="14" s="1"/>
  <c r="N2103" i="14" s="1"/>
  <c r="K2103" i="14"/>
  <c r="L2102" i="14"/>
  <c r="M2102" i="14" s="1"/>
  <c r="N2102" i="14" s="1"/>
  <c r="K2102" i="14"/>
  <c r="N2101" i="14"/>
  <c r="L2101" i="14"/>
  <c r="M2101" i="14" s="1"/>
  <c r="K2101" i="14"/>
  <c r="L2100" i="14"/>
  <c r="M2100" i="14" s="1"/>
  <c r="N2100" i="14" s="1"/>
  <c r="K2100" i="14"/>
  <c r="N2099" i="14"/>
  <c r="L2099" i="14"/>
  <c r="M2099" i="14" s="1"/>
  <c r="K2099" i="14"/>
  <c r="L2098" i="14"/>
  <c r="M2098" i="14" s="1"/>
  <c r="N2098" i="14" s="1"/>
  <c r="K2098" i="14"/>
  <c r="N2097" i="14"/>
  <c r="L2097" i="14"/>
  <c r="M2097" i="14" s="1"/>
  <c r="K2097" i="14"/>
  <c r="N2096" i="14"/>
  <c r="L2096" i="14"/>
  <c r="M2096" i="14" s="1"/>
  <c r="K2096" i="14"/>
  <c r="L2095" i="14"/>
  <c r="M2095" i="14" s="1"/>
  <c r="N2095" i="14" s="1"/>
  <c r="K2095" i="14"/>
  <c r="L2094" i="14"/>
  <c r="M2094" i="14" s="1"/>
  <c r="N2094" i="14" s="1"/>
  <c r="K2094" i="14"/>
  <c r="N2093" i="14"/>
  <c r="L2093" i="14"/>
  <c r="M2093" i="14" s="1"/>
  <c r="K2093" i="14"/>
  <c r="L2092" i="14"/>
  <c r="M2092" i="14" s="1"/>
  <c r="N2092" i="14" s="1"/>
  <c r="K2092" i="14"/>
  <c r="N2091" i="14"/>
  <c r="L2091" i="14"/>
  <c r="M2091" i="14" s="1"/>
  <c r="K2091" i="14"/>
  <c r="L2090" i="14"/>
  <c r="M2090" i="14" s="1"/>
  <c r="N2090" i="14" s="1"/>
  <c r="K2090" i="14"/>
  <c r="N2089" i="14"/>
  <c r="L2089" i="14"/>
  <c r="M2089" i="14" s="1"/>
  <c r="K2089" i="14"/>
  <c r="N2088" i="14"/>
  <c r="L2088" i="14"/>
  <c r="M2088" i="14" s="1"/>
  <c r="K2088" i="14"/>
  <c r="L2087" i="14"/>
  <c r="M2087" i="14" s="1"/>
  <c r="N2087" i="14" s="1"/>
  <c r="K2087" i="14"/>
  <c r="L2086" i="14"/>
  <c r="M2086" i="14" s="1"/>
  <c r="N2086" i="14" s="1"/>
  <c r="K2086" i="14"/>
  <c r="N2085" i="14"/>
  <c r="L2085" i="14"/>
  <c r="M2085" i="14" s="1"/>
  <c r="K2085" i="14"/>
  <c r="L2084" i="14"/>
  <c r="M2084" i="14" s="1"/>
  <c r="N2084" i="14" s="1"/>
  <c r="K2084" i="14"/>
  <c r="N2083" i="14"/>
  <c r="L2083" i="14"/>
  <c r="M2083" i="14" s="1"/>
  <c r="K2083" i="14"/>
  <c r="L2082" i="14"/>
  <c r="M2082" i="14" s="1"/>
  <c r="N2082" i="14" s="1"/>
  <c r="K2082" i="14"/>
  <c r="N2081" i="14"/>
  <c r="L2081" i="14"/>
  <c r="M2081" i="14" s="1"/>
  <c r="K2081" i="14"/>
  <c r="N2080" i="14"/>
  <c r="L2080" i="14"/>
  <c r="M2080" i="14" s="1"/>
  <c r="K2080" i="14"/>
  <c r="L2079" i="14"/>
  <c r="M2079" i="14" s="1"/>
  <c r="N2079" i="14" s="1"/>
  <c r="K2079" i="14"/>
  <c r="L2078" i="14"/>
  <c r="M2078" i="14" s="1"/>
  <c r="N2078" i="14" s="1"/>
  <c r="K2078" i="14"/>
  <c r="N2077" i="14"/>
  <c r="L2077" i="14"/>
  <c r="M2077" i="14" s="1"/>
  <c r="K2077" i="14"/>
  <c r="L2076" i="14"/>
  <c r="M2076" i="14" s="1"/>
  <c r="N2076" i="14" s="1"/>
  <c r="K2076" i="14"/>
  <c r="N2075" i="14"/>
  <c r="L2075" i="14"/>
  <c r="M2075" i="14" s="1"/>
  <c r="K2075" i="14"/>
  <c r="L2074" i="14"/>
  <c r="M2074" i="14" s="1"/>
  <c r="N2074" i="14" s="1"/>
  <c r="K2074" i="14"/>
  <c r="N2073" i="14"/>
  <c r="L2073" i="14"/>
  <c r="M2073" i="14" s="1"/>
  <c r="K2073" i="14"/>
  <c r="N2072" i="14"/>
  <c r="L2072" i="14"/>
  <c r="M2072" i="14" s="1"/>
  <c r="K2072" i="14"/>
  <c r="L2071" i="14"/>
  <c r="M2071" i="14" s="1"/>
  <c r="N2071" i="14" s="1"/>
  <c r="K2071" i="14"/>
  <c r="L2070" i="14"/>
  <c r="M2070" i="14" s="1"/>
  <c r="N2070" i="14" s="1"/>
  <c r="K2070" i="14"/>
  <c r="N2069" i="14"/>
  <c r="L2069" i="14"/>
  <c r="M2069" i="14" s="1"/>
  <c r="K2069" i="14"/>
  <c r="L2068" i="14"/>
  <c r="M2068" i="14" s="1"/>
  <c r="N2068" i="14" s="1"/>
  <c r="K2068" i="14"/>
  <c r="N2067" i="14"/>
  <c r="L2067" i="14"/>
  <c r="M2067" i="14" s="1"/>
  <c r="K2067" i="14"/>
  <c r="L2066" i="14"/>
  <c r="M2066" i="14" s="1"/>
  <c r="N2066" i="14" s="1"/>
  <c r="K2066" i="14"/>
  <c r="N2065" i="14"/>
  <c r="L2065" i="14"/>
  <c r="M2065" i="14" s="1"/>
  <c r="K2065" i="14"/>
  <c r="N2064" i="14"/>
  <c r="L2064" i="14"/>
  <c r="M2064" i="14" s="1"/>
  <c r="K2064" i="14"/>
  <c r="L2063" i="14"/>
  <c r="M2063" i="14" s="1"/>
  <c r="N2063" i="14" s="1"/>
  <c r="K2063" i="14"/>
  <c r="L2062" i="14"/>
  <c r="M2062" i="14" s="1"/>
  <c r="N2062" i="14" s="1"/>
  <c r="K2062" i="14"/>
  <c r="N2061" i="14"/>
  <c r="L2061" i="14"/>
  <c r="M2061" i="14" s="1"/>
  <c r="K2061" i="14"/>
  <c r="L2060" i="14"/>
  <c r="M2060" i="14" s="1"/>
  <c r="N2060" i="14" s="1"/>
  <c r="K2060" i="14"/>
  <c r="N2059" i="14"/>
  <c r="L2059" i="14"/>
  <c r="M2059" i="14" s="1"/>
  <c r="K2059" i="14"/>
  <c r="L2058" i="14"/>
  <c r="M2058" i="14" s="1"/>
  <c r="N2058" i="14" s="1"/>
  <c r="K2058" i="14"/>
  <c r="N2057" i="14"/>
  <c r="L2057" i="14"/>
  <c r="M2057" i="14" s="1"/>
  <c r="K2057" i="14"/>
  <c r="N2056" i="14"/>
  <c r="L2056" i="14"/>
  <c r="M2056" i="14" s="1"/>
  <c r="K2056" i="14"/>
  <c r="L2055" i="14"/>
  <c r="M2055" i="14" s="1"/>
  <c r="N2055" i="14" s="1"/>
  <c r="K2055" i="14"/>
  <c r="L2054" i="14"/>
  <c r="M2054" i="14" s="1"/>
  <c r="N2054" i="14" s="1"/>
  <c r="K2054" i="14"/>
  <c r="N2053" i="14"/>
  <c r="L2053" i="14"/>
  <c r="M2053" i="14" s="1"/>
  <c r="K2053" i="14"/>
  <c r="L2052" i="14"/>
  <c r="M2052" i="14" s="1"/>
  <c r="N2052" i="14" s="1"/>
  <c r="K2052" i="14"/>
  <c r="N2051" i="14"/>
  <c r="L2051" i="14"/>
  <c r="M2051" i="14" s="1"/>
  <c r="K2051" i="14"/>
  <c r="L2050" i="14"/>
  <c r="M2050" i="14" s="1"/>
  <c r="N2050" i="14" s="1"/>
  <c r="K2050" i="14"/>
  <c r="N2049" i="14"/>
  <c r="L2049" i="14"/>
  <c r="M2049" i="14" s="1"/>
  <c r="K2049" i="14"/>
  <c r="N2048" i="14"/>
  <c r="L2048" i="14"/>
  <c r="M2048" i="14" s="1"/>
  <c r="K2048" i="14"/>
  <c r="L2047" i="14"/>
  <c r="M2047" i="14" s="1"/>
  <c r="N2047" i="14" s="1"/>
  <c r="K2047" i="14"/>
  <c r="L2046" i="14"/>
  <c r="M2046" i="14" s="1"/>
  <c r="N2046" i="14" s="1"/>
  <c r="K2046" i="14"/>
  <c r="N2045" i="14"/>
  <c r="L2045" i="14"/>
  <c r="M2045" i="14" s="1"/>
  <c r="K2045" i="14"/>
  <c r="L2044" i="14"/>
  <c r="M2044" i="14" s="1"/>
  <c r="N2044" i="14" s="1"/>
  <c r="K2044" i="14"/>
  <c r="N2043" i="14"/>
  <c r="L2043" i="14"/>
  <c r="M2043" i="14" s="1"/>
  <c r="K2043" i="14"/>
  <c r="L2042" i="14"/>
  <c r="M2042" i="14" s="1"/>
  <c r="N2042" i="14" s="1"/>
  <c r="K2042" i="14"/>
  <c r="N2041" i="14"/>
  <c r="L2041" i="14"/>
  <c r="M2041" i="14" s="1"/>
  <c r="K2041" i="14"/>
  <c r="N2040" i="14"/>
  <c r="L2040" i="14"/>
  <c r="M2040" i="14" s="1"/>
  <c r="K2040" i="14"/>
  <c r="L2039" i="14"/>
  <c r="M2039" i="14" s="1"/>
  <c r="N2039" i="14" s="1"/>
  <c r="K2039" i="14"/>
  <c r="L2038" i="14"/>
  <c r="M2038" i="14" s="1"/>
  <c r="N2038" i="14" s="1"/>
  <c r="K2038" i="14"/>
  <c r="N2037" i="14"/>
  <c r="L2037" i="14"/>
  <c r="M2037" i="14" s="1"/>
  <c r="K2037" i="14"/>
  <c r="L2036" i="14"/>
  <c r="M2036" i="14" s="1"/>
  <c r="N2036" i="14" s="1"/>
  <c r="K2036" i="14"/>
  <c r="N2035" i="14"/>
  <c r="L2035" i="14"/>
  <c r="M2035" i="14" s="1"/>
  <c r="K2035" i="14"/>
  <c r="L2034" i="14"/>
  <c r="M2034" i="14" s="1"/>
  <c r="N2034" i="14" s="1"/>
  <c r="K2034" i="14"/>
  <c r="N2033" i="14"/>
  <c r="L2033" i="14"/>
  <c r="M2033" i="14" s="1"/>
  <c r="K2033" i="14"/>
  <c r="N2032" i="14"/>
  <c r="L2032" i="14"/>
  <c r="M2032" i="14" s="1"/>
  <c r="K2032" i="14"/>
  <c r="L2031" i="14"/>
  <c r="M2031" i="14" s="1"/>
  <c r="N2031" i="14" s="1"/>
  <c r="K2031" i="14"/>
  <c r="L2030" i="14"/>
  <c r="M2030" i="14" s="1"/>
  <c r="N2030" i="14" s="1"/>
  <c r="K2030" i="14"/>
  <c r="N2029" i="14"/>
  <c r="L2029" i="14"/>
  <c r="M2029" i="14" s="1"/>
  <c r="K2029" i="14"/>
  <c r="L2028" i="14"/>
  <c r="M2028" i="14" s="1"/>
  <c r="N2028" i="14" s="1"/>
  <c r="K2028" i="14"/>
  <c r="N2027" i="14"/>
  <c r="L2027" i="14"/>
  <c r="M2027" i="14" s="1"/>
  <c r="K2027" i="14"/>
  <c r="L2026" i="14"/>
  <c r="M2026" i="14" s="1"/>
  <c r="N2026" i="14" s="1"/>
  <c r="K2026" i="14"/>
  <c r="N2025" i="14"/>
  <c r="L2025" i="14"/>
  <c r="M2025" i="14" s="1"/>
  <c r="K2025" i="14"/>
  <c r="N2024" i="14"/>
  <c r="L2024" i="14"/>
  <c r="M2024" i="14" s="1"/>
  <c r="K2024" i="14"/>
  <c r="L2023" i="14"/>
  <c r="M2023" i="14" s="1"/>
  <c r="N2023" i="14" s="1"/>
  <c r="K2023" i="14"/>
  <c r="L2022" i="14"/>
  <c r="M2022" i="14" s="1"/>
  <c r="N2022" i="14" s="1"/>
  <c r="K2022" i="14"/>
  <c r="N2021" i="14"/>
  <c r="L2021" i="14"/>
  <c r="M2021" i="14" s="1"/>
  <c r="K2021" i="14"/>
  <c r="L2020" i="14"/>
  <c r="M2020" i="14" s="1"/>
  <c r="N2020" i="14" s="1"/>
  <c r="K2020" i="14"/>
  <c r="N2019" i="14"/>
  <c r="L2019" i="14"/>
  <c r="M2019" i="14" s="1"/>
  <c r="K2019" i="14"/>
  <c r="L2018" i="14"/>
  <c r="M2018" i="14" s="1"/>
  <c r="N2018" i="14" s="1"/>
  <c r="K2018" i="14"/>
  <c r="N2017" i="14"/>
  <c r="L2017" i="14"/>
  <c r="M2017" i="14" s="1"/>
  <c r="K2017" i="14"/>
  <c r="N2016" i="14"/>
  <c r="L2016" i="14"/>
  <c r="M2016" i="14" s="1"/>
  <c r="K2016" i="14"/>
  <c r="L2015" i="14"/>
  <c r="M2015" i="14" s="1"/>
  <c r="N2015" i="14" s="1"/>
  <c r="K2015" i="14"/>
  <c r="L2014" i="14"/>
  <c r="M2014" i="14" s="1"/>
  <c r="N2014" i="14" s="1"/>
  <c r="K2014" i="14"/>
  <c r="N2013" i="14"/>
  <c r="L2013" i="14"/>
  <c r="M2013" i="14" s="1"/>
  <c r="K2013" i="14"/>
  <c r="L2012" i="14"/>
  <c r="M2012" i="14" s="1"/>
  <c r="N2012" i="14" s="1"/>
  <c r="K2012" i="14"/>
  <c r="N2011" i="14"/>
  <c r="L2011" i="14"/>
  <c r="M2011" i="14" s="1"/>
  <c r="K2011" i="14"/>
  <c r="L2010" i="14"/>
  <c r="M2010" i="14" s="1"/>
  <c r="N2010" i="14" s="1"/>
  <c r="K2010" i="14"/>
  <c r="N2009" i="14"/>
  <c r="L2009" i="14"/>
  <c r="M2009" i="14" s="1"/>
  <c r="K2009" i="14"/>
  <c r="N2008" i="14"/>
  <c r="L2008" i="14"/>
  <c r="M2008" i="14" s="1"/>
  <c r="K2008" i="14"/>
  <c r="L2007" i="14"/>
  <c r="M2007" i="14" s="1"/>
  <c r="N2007" i="14" s="1"/>
  <c r="K2007" i="14"/>
  <c r="L2006" i="14"/>
  <c r="M2006" i="14" s="1"/>
  <c r="N2006" i="14" s="1"/>
  <c r="K2006" i="14"/>
  <c r="N2005" i="14"/>
  <c r="L2005" i="14"/>
  <c r="M2005" i="14" s="1"/>
  <c r="K2005" i="14"/>
  <c r="L2004" i="14"/>
  <c r="M2004" i="14" s="1"/>
  <c r="N2004" i="14" s="1"/>
  <c r="K2004" i="14"/>
  <c r="N2003" i="14"/>
  <c r="L2003" i="14"/>
  <c r="M2003" i="14" s="1"/>
  <c r="K2003" i="14"/>
  <c r="L2002" i="14"/>
  <c r="M2002" i="14" s="1"/>
  <c r="N2002" i="14" s="1"/>
  <c r="K2002" i="14"/>
  <c r="N2001" i="14"/>
  <c r="L2001" i="14"/>
  <c r="M2001" i="14" s="1"/>
  <c r="K2001" i="14"/>
  <c r="N2000" i="14"/>
  <c r="L2000" i="14"/>
  <c r="M2000" i="14" s="1"/>
  <c r="K2000" i="14"/>
  <c r="L1999" i="14"/>
  <c r="M1999" i="14" s="1"/>
  <c r="N1999" i="14" s="1"/>
  <c r="K1999" i="14"/>
  <c r="L1998" i="14"/>
  <c r="M1998" i="14" s="1"/>
  <c r="N1998" i="14" s="1"/>
  <c r="K1998" i="14"/>
  <c r="N1997" i="14"/>
  <c r="L1997" i="14"/>
  <c r="M1997" i="14" s="1"/>
  <c r="K1997" i="14"/>
  <c r="L1996" i="14"/>
  <c r="M1996" i="14" s="1"/>
  <c r="N1996" i="14" s="1"/>
  <c r="K1996" i="14"/>
  <c r="N1995" i="14"/>
  <c r="L1995" i="14"/>
  <c r="M1995" i="14" s="1"/>
  <c r="K1995" i="14"/>
  <c r="L1994" i="14"/>
  <c r="M1994" i="14" s="1"/>
  <c r="N1994" i="14" s="1"/>
  <c r="K1994" i="14"/>
  <c r="N1993" i="14"/>
  <c r="L1993" i="14"/>
  <c r="M1993" i="14" s="1"/>
  <c r="K1993" i="14"/>
  <c r="N1992" i="14"/>
  <c r="L1992" i="14"/>
  <c r="M1992" i="14" s="1"/>
  <c r="K1992" i="14"/>
  <c r="L1991" i="14"/>
  <c r="M1991" i="14" s="1"/>
  <c r="N1991" i="14" s="1"/>
  <c r="K1991" i="14"/>
  <c r="L1990" i="14"/>
  <c r="M1990" i="14" s="1"/>
  <c r="N1990" i="14" s="1"/>
  <c r="K1990" i="14"/>
  <c r="N1989" i="14"/>
  <c r="L1989" i="14"/>
  <c r="M1989" i="14" s="1"/>
  <c r="K1989" i="14"/>
  <c r="L1988" i="14"/>
  <c r="M1988" i="14" s="1"/>
  <c r="N1988" i="14" s="1"/>
  <c r="K1988" i="14"/>
  <c r="N1987" i="14"/>
  <c r="L1987" i="14"/>
  <c r="M1987" i="14" s="1"/>
  <c r="K1987" i="14"/>
  <c r="L1986" i="14"/>
  <c r="M1986" i="14" s="1"/>
  <c r="N1986" i="14" s="1"/>
  <c r="K1986" i="14"/>
  <c r="N1985" i="14"/>
  <c r="L1985" i="14"/>
  <c r="M1985" i="14" s="1"/>
  <c r="K1985" i="14"/>
  <c r="N1984" i="14"/>
  <c r="L1984" i="14"/>
  <c r="M1984" i="14" s="1"/>
  <c r="K1984" i="14"/>
  <c r="L1983" i="14"/>
  <c r="M1983" i="14" s="1"/>
  <c r="N1983" i="14" s="1"/>
  <c r="K1983" i="14"/>
  <c r="L1982" i="14"/>
  <c r="M1982" i="14" s="1"/>
  <c r="N1982" i="14" s="1"/>
  <c r="K1982" i="14"/>
  <c r="N1981" i="14"/>
  <c r="L1981" i="14"/>
  <c r="M1981" i="14" s="1"/>
  <c r="K1981" i="14"/>
  <c r="L1980" i="14"/>
  <c r="M1980" i="14" s="1"/>
  <c r="N1980" i="14" s="1"/>
  <c r="K1980" i="14"/>
  <c r="N1979" i="14"/>
  <c r="L1979" i="14"/>
  <c r="M1979" i="14" s="1"/>
  <c r="K1979" i="14"/>
  <c r="L1978" i="14"/>
  <c r="M1978" i="14" s="1"/>
  <c r="N1978" i="14" s="1"/>
  <c r="K1978" i="14"/>
  <c r="N1977" i="14"/>
  <c r="L1977" i="14"/>
  <c r="M1977" i="14" s="1"/>
  <c r="K1977" i="14"/>
  <c r="N1976" i="14"/>
  <c r="L1976" i="14"/>
  <c r="M1976" i="14" s="1"/>
  <c r="K1976" i="14"/>
  <c r="L1975" i="14"/>
  <c r="M1975" i="14" s="1"/>
  <c r="N1975" i="14" s="1"/>
  <c r="K1975" i="14"/>
  <c r="L1974" i="14"/>
  <c r="M1974" i="14" s="1"/>
  <c r="N1974" i="14" s="1"/>
  <c r="K1974" i="14"/>
  <c r="N1973" i="14"/>
  <c r="L1973" i="14"/>
  <c r="M1973" i="14" s="1"/>
  <c r="K1973" i="14"/>
  <c r="L1972" i="14"/>
  <c r="M1972" i="14" s="1"/>
  <c r="N1972" i="14" s="1"/>
  <c r="K1972" i="14"/>
  <c r="N1971" i="14"/>
  <c r="L1971" i="14"/>
  <c r="M1971" i="14" s="1"/>
  <c r="K1971" i="14"/>
  <c r="L1970" i="14"/>
  <c r="M1970" i="14" s="1"/>
  <c r="N1970" i="14" s="1"/>
  <c r="K1970" i="14"/>
  <c r="N1969" i="14"/>
  <c r="L1969" i="14"/>
  <c r="M1969" i="14" s="1"/>
  <c r="K1969" i="14"/>
  <c r="N1968" i="14"/>
  <c r="L1968" i="14"/>
  <c r="M1968" i="14" s="1"/>
  <c r="K1968" i="14"/>
  <c r="L1967" i="14"/>
  <c r="M1967" i="14" s="1"/>
  <c r="N1967" i="14" s="1"/>
  <c r="K1967" i="14"/>
  <c r="L1966" i="14"/>
  <c r="M1966" i="14" s="1"/>
  <c r="N1966" i="14" s="1"/>
  <c r="K1966" i="14"/>
  <c r="N1965" i="14"/>
  <c r="L1965" i="14"/>
  <c r="M1965" i="14" s="1"/>
  <c r="K1965" i="14"/>
  <c r="L1964" i="14"/>
  <c r="M1964" i="14" s="1"/>
  <c r="N1964" i="14" s="1"/>
  <c r="K1964" i="14"/>
  <c r="N1963" i="14"/>
  <c r="L1963" i="14"/>
  <c r="M1963" i="14" s="1"/>
  <c r="K1963" i="14"/>
  <c r="L1962" i="14"/>
  <c r="M1962" i="14" s="1"/>
  <c r="N1962" i="14" s="1"/>
  <c r="K1962" i="14"/>
  <c r="N1961" i="14"/>
  <c r="L1961" i="14"/>
  <c r="M1961" i="14" s="1"/>
  <c r="K1961" i="14"/>
  <c r="N1960" i="14"/>
  <c r="L1960" i="14"/>
  <c r="M1960" i="14" s="1"/>
  <c r="K1960" i="14"/>
  <c r="L1959" i="14"/>
  <c r="M1959" i="14" s="1"/>
  <c r="N1959" i="14" s="1"/>
  <c r="K1959" i="14"/>
  <c r="L1958" i="14"/>
  <c r="M1958" i="14" s="1"/>
  <c r="N1958" i="14" s="1"/>
  <c r="K1958" i="14"/>
  <c r="N1957" i="14"/>
  <c r="L1957" i="14"/>
  <c r="M1957" i="14" s="1"/>
  <c r="K1957" i="14"/>
  <c r="L1956" i="14"/>
  <c r="M1956" i="14" s="1"/>
  <c r="N1956" i="14" s="1"/>
  <c r="K1956" i="14"/>
  <c r="N1955" i="14"/>
  <c r="L1955" i="14"/>
  <c r="M1955" i="14" s="1"/>
  <c r="K1955" i="14"/>
  <c r="L1954" i="14"/>
  <c r="M1954" i="14" s="1"/>
  <c r="N1954" i="14" s="1"/>
  <c r="K1954" i="14"/>
  <c r="N1953" i="14"/>
  <c r="L1953" i="14"/>
  <c r="M1953" i="14" s="1"/>
  <c r="K1953" i="14"/>
  <c r="N1952" i="14"/>
  <c r="L1952" i="14"/>
  <c r="M1952" i="14" s="1"/>
  <c r="K1952" i="14"/>
  <c r="L1951" i="14"/>
  <c r="M1951" i="14" s="1"/>
  <c r="N1951" i="14" s="1"/>
  <c r="K1951" i="14"/>
  <c r="L1950" i="14"/>
  <c r="M1950" i="14" s="1"/>
  <c r="N1950" i="14" s="1"/>
  <c r="K1950" i="14"/>
  <c r="N1949" i="14"/>
  <c r="L1949" i="14"/>
  <c r="M1949" i="14" s="1"/>
  <c r="K1949" i="14"/>
  <c r="L1948" i="14"/>
  <c r="M1948" i="14" s="1"/>
  <c r="N1948" i="14" s="1"/>
  <c r="K1948" i="14"/>
  <c r="N1947" i="14"/>
  <c r="L1947" i="14"/>
  <c r="M1947" i="14" s="1"/>
  <c r="K1947" i="14"/>
  <c r="L1946" i="14"/>
  <c r="M1946" i="14" s="1"/>
  <c r="N1946" i="14" s="1"/>
  <c r="K1946" i="14"/>
  <c r="N1945" i="14"/>
  <c r="L1945" i="14"/>
  <c r="M1945" i="14" s="1"/>
  <c r="K1945" i="14"/>
  <c r="N1944" i="14"/>
  <c r="L1944" i="14"/>
  <c r="M1944" i="14" s="1"/>
  <c r="K1944" i="14"/>
  <c r="L1943" i="14"/>
  <c r="M1943" i="14" s="1"/>
  <c r="N1943" i="14" s="1"/>
  <c r="K1943" i="14"/>
  <c r="L1942" i="14"/>
  <c r="M1942" i="14" s="1"/>
  <c r="N1942" i="14" s="1"/>
  <c r="K1942" i="14"/>
  <c r="N1941" i="14"/>
  <c r="L1941" i="14"/>
  <c r="M1941" i="14" s="1"/>
  <c r="K1941" i="14"/>
  <c r="L1940" i="14"/>
  <c r="M1940" i="14" s="1"/>
  <c r="N1940" i="14" s="1"/>
  <c r="K1940" i="14"/>
  <c r="N1939" i="14"/>
  <c r="L1939" i="14"/>
  <c r="M1939" i="14" s="1"/>
  <c r="K1939" i="14"/>
  <c r="L1938" i="14"/>
  <c r="M1938" i="14" s="1"/>
  <c r="N1938" i="14" s="1"/>
  <c r="K1938" i="14"/>
  <c r="N1937" i="14"/>
  <c r="L1937" i="14"/>
  <c r="M1937" i="14" s="1"/>
  <c r="K1937" i="14"/>
  <c r="N1936" i="14"/>
  <c r="L1936" i="14"/>
  <c r="M1936" i="14" s="1"/>
  <c r="K1936" i="14"/>
  <c r="L1935" i="14"/>
  <c r="M1935" i="14" s="1"/>
  <c r="N1935" i="14" s="1"/>
  <c r="K1935" i="14"/>
  <c r="L1934" i="14"/>
  <c r="M1934" i="14" s="1"/>
  <c r="N1934" i="14" s="1"/>
  <c r="K1934" i="14"/>
  <c r="N1933" i="14"/>
  <c r="L1933" i="14"/>
  <c r="M1933" i="14" s="1"/>
  <c r="K1933" i="14"/>
  <c r="L1932" i="14"/>
  <c r="M1932" i="14" s="1"/>
  <c r="N1932" i="14" s="1"/>
  <c r="K1932" i="14"/>
  <c r="N1931" i="14"/>
  <c r="L1931" i="14"/>
  <c r="M1931" i="14" s="1"/>
  <c r="K1931" i="14"/>
  <c r="L1930" i="14"/>
  <c r="M1930" i="14" s="1"/>
  <c r="N1930" i="14" s="1"/>
  <c r="K1930" i="14"/>
  <c r="N1929" i="14"/>
  <c r="L1929" i="14"/>
  <c r="M1929" i="14" s="1"/>
  <c r="K1929" i="14"/>
  <c r="N1928" i="14"/>
  <c r="L1928" i="14"/>
  <c r="M1928" i="14" s="1"/>
  <c r="K1928" i="14"/>
  <c r="L1927" i="14"/>
  <c r="M1927" i="14" s="1"/>
  <c r="N1927" i="14" s="1"/>
  <c r="K1927" i="14"/>
  <c r="L1926" i="14"/>
  <c r="M1926" i="14" s="1"/>
  <c r="N1926" i="14" s="1"/>
  <c r="K1926" i="14"/>
  <c r="N1925" i="14"/>
  <c r="L1925" i="14"/>
  <c r="M1925" i="14" s="1"/>
  <c r="K1925" i="14"/>
  <c r="L1924" i="14"/>
  <c r="M1924" i="14" s="1"/>
  <c r="N1924" i="14" s="1"/>
  <c r="K1924" i="14"/>
  <c r="N1923" i="14"/>
  <c r="L1923" i="14"/>
  <c r="M1923" i="14" s="1"/>
  <c r="K1923" i="14"/>
  <c r="L1922" i="14"/>
  <c r="M1922" i="14" s="1"/>
  <c r="N1922" i="14" s="1"/>
  <c r="K1922" i="14"/>
  <c r="L1921" i="14"/>
  <c r="M1921" i="14" s="1"/>
  <c r="N1921" i="14" s="1"/>
  <c r="K1921" i="14"/>
  <c r="N1920" i="14"/>
  <c r="L1920" i="14"/>
  <c r="M1920" i="14" s="1"/>
  <c r="K1920" i="14"/>
  <c r="L1919" i="14"/>
  <c r="M1919" i="14" s="1"/>
  <c r="N1919" i="14" s="1"/>
  <c r="K1919" i="14"/>
  <c r="N1918" i="14"/>
  <c r="L1918" i="14"/>
  <c r="M1918" i="14" s="1"/>
  <c r="K1918" i="14"/>
  <c r="L1917" i="14"/>
  <c r="M1917" i="14" s="1"/>
  <c r="N1917" i="14" s="1"/>
  <c r="K1917" i="14"/>
  <c r="N1916" i="14"/>
  <c r="L1916" i="14"/>
  <c r="M1916" i="14" s="1"/>
  <c r="K1916" i="14"/>
  <c r="L1915" i="14"/>
  <c r="M1915" i="14" s="1"/>
  <c r="N1915" i="14" s="1"/>
  <c r="K1915" i="14"/>
  <c r="N1914" i="14"/>
  <c r="L1914" i="14"/>
  <c r="M1914" i="14" s="1"/>
  <c r="K1914" i="14"/>
  <c r="L1913" i="14"/>
  <c r="M1913" i="14" s="1"/>
  <c r="N1913" i="14" s="1"/>
  <c r="K1913" i="14"/>
  <c r="N1912" i="14"/>
  <c r="L1912" i="14"/>
  <c r="M1912" i="14" s="1"/>
  <c r="K1912" i="14"/>
  <c r="L1911" i="14"/>
  <c r="M1911" i="14" s="1"/>
  <c r="N1911" i="14" s="1"/>
  <c r="K1911" i="14"/>
  <c r="N1910" i="14"/>
  <c r="L1910" i="14"/>
  <c r="M1910" i="14" s="1"/>
  <c r="K1910" i="14"/>
  <c r="L1909" i="14"/>
  <c r="M1909" i="14" s="1"/>
  <c r="N1909" i="14" s="1"/>
  <c r="K1909" i="14"/>
  <c r="N1908" i="14"/>
  <c r="L1908" i="14"/>
  <c r="M1908" i="14" s="1"/>
  <c r="K1908" i="14"/>
  <c r="L1907" i="14"/>
  <c r="M1907" i="14" s="1"/>
  <c r="N1907" i="14" s="1"/>
  <c r="K1907" i="14"/>
  <c r="N1906" i="14"/>
  <c r="L1906" i="14"/>
  <c r="M1906" i="14" s="1"/>
  <c r="K1906" i="14"/>
  <c r="L1905" i="14"/>
  <c r="M1905" i="14" s="1"/>
  <c r="N1905" i="14" s="1"/>
  <c r="K1905" i="14"/>
  <c r="N1904" i="14"/>
  <c r="L1904" i="14"/>
  <c r="M1904" i="14" s="1"/>
  <c r="K1904" i="14"/>
  <c r="L1903" i="14"/>
  <c r="M1903" i="14" s="1"/>
  <c r="N1903" i="14" s="1"/>
  <c r="K1903" i="14"/>
  <c r="N1902" i="14"/>
  <c r="L1902" i="14"/>
  <c r="M1902" i="14" s="1"/>
  <c r="K1902" i="14"/>
  <c r="L1901" i="14"/>
  <c r="M1901" i="14" s="1"/>
  <c r="N1901" i="14" s="1"/>
  <c r="K1901" i="14"/>
  <c r="N1900" i="14"/>
  <c r="L1900" i="14"/>
  <c r="M1900" i="14" s="1"/>
  <c r="K1900" i="14"/>
  <c r="L1899" i="14"/>
  <c r="M1899" i="14" s="1"/>
  <c r="N1899" i="14" s="1"/>
  <c r="K1899" i="14"/>
  <c r="N1898" i="14"/>
  <c r="L1898" i="14"/>
  <c r="M1898" i="14" s="1"/>
  <c r="K1898" i="14"/>
  <c r="L1897" i="14"/>
  <c r="M1897" i="14" s="1"/>
  <c r="N1897" i="14" s="1"/>
  <c r="K1897" i="14"/>
  <c r="N1896" i="14"/>
  <c r="L1896" i="14"/>
  <c r="M1896" i="14" s="1"/>
  <c r="K1896" i="14"/>
  <c r="L1895" i="14"/>
  <c r="M1895" i="14" s="1"/>
  <c r="N1895" i="14" s="1"/>
  <c r="K1895" i="14"/>
  <c r="N1894" i="14"/>
  <c r="L1894" i="14"/>
  <c r="M1894" i="14" s="1"/>
  <c r="K1894" i="14"/>
  <c r="L1893" i="14"/>
  <c r="M1893" i="14" s="1"/>
  <c r="N1893" i="14" s="1"/>
  <c r="K1893" i="14"/>
  <c r="N1892" i="14"/>
  <c r="L1892" i="14"/>
  <c r="M1892" i="14" s="1"/>
  <c r="K1892" i="14"/>
  <c r="L1891" i="14"/>
  <c r="M1891" i="14" s="1"/>
  <c r="N1891" i="14" s="1"/>
  <c r="K1891" i="14"/>
  <c r="N1890" i="14"/>
  <c r="L1890" i="14"/>
  <c r="M1890" i="14" s="1"/>
  <c r="K1890" i="14"/>
  <c r="L1889" i="14"/>
  <c r="M1889" i="14" s="1"/>
  <c r="N1889" i="14" s="1"/>
  <c r="K1889" i="14"/>
  <c r="N1888" i="14"/>
  <c r="L1888" i="14"/>
  <c r="M1888" i="14" s="1"/>
  <c r="K1888" i="14"/>
  <c r="L1887" i="14"/>
  <c r="M1887" i="14" s="1"/>
  <c r="N1887" i="14" s="1"/>
  <c r="K1887" i="14"/>
  <c r="N1886" i="14"/>
  <c r="L1886" i="14"/>
  <c r="M1886" i="14" s="1"/>
  <c r="K1886" i="14"/>
  <c r="L1885" i="14"/>
  <c r="M1885" i="14" s="1"/>
  <c r="N1885" i="14" s="1"/>
  <c r="K1885" i="14"/>
  <c r="N1884" i="14"/>
  <c r="L1884" i="14"/>
  <c r="M1884" i="14" s="1"/>
  <c r="K1884" i="14"/>
  <c r="L1883" i="14"/>
  <c r="M1883" i="14" s="1"/>
  <c r="N1883" i="14" s="1"/>
  <c r="K1883" i="14"/>
  <c r="N1882" i="14"/>
  <c r="L1882" i="14"/>
  <c r="M1882" i="14" s="1"/>
  <c r="K1882" i="14"/>
  <c r="L1881" i="14"/>
  <c r="M1881" i="14" s="1"/>
  <c r="N1881" i="14" s="1"/>
  <c r="K1881" i="14"/>
  <c r="N1880" i="14"/>
  <c r="L1880" i="14"/>
  <c r="M1880" i="14" s="1"/>
  <c r="K1880" i="14"/>
  <c r="L1879" i="14"/>
  <c r="M1879" i="14" s="1"/>
  <c r="N1879" i="14" s="1"/>
  <c r="K1879" i="14"/>
  <c r="N1878" i="14"/>
  <c r="L1878" i="14"/>
  <c r="M1878" i="14" s="1"/>
  <c r="K1878" i="14"/>
  <c r="L1877" i="14"/>
  <c r="M1877" i="14" s="1"/>
  <c r="N1877" i="14" s="1"/>
  <c r="K1877" i="14"/>
  <c r="N1876" i="14"/>
  <c r="L1876" i="14"/>
  <c r="M1876" i="14" s="1"/>
  <c r="K1876" i="14"/>
  <c r="L1875" i="14"/>
  <c r="M1875" i="14" s="1"/>
  <c r="N1875" i="14" s="1"/>
  <c r="K1875" i="14"/>
  <c r="N1874" i="14"/>
  <c r="L1874" i="14"/>
  <c r="M1874" i="14" s="1"/>
  <c r="K1874" i="14"/>
  <c r="L1873" i="14"/>
  <c r="M1873" i="14" s="1"/>
  <c r="N1873" i="14" s="1"/>
  <c r="K1873" i="14"/>
  <c r="N1872" i="14"/>
  <c r="L1872" i="14"/>
  <c r="M1872" i="14" s="1"/>
  <c r="K1872" i="14"/>
  <c r="L1871" i="14"/>
  <c r="M1871" i="14" s="1"/>
  <c r="N1871" i="14" s="1"/>
  <c r="K1871" i="14"/>
  <c r="N1870" i="14"/>
  <c r="L1870" i="14"/>
  <c r="M1870" i="14" s="1"/>
  <c r="K1870" i="14"/>
  <c r="L1869" i="14"/>
  <c r="M1869" i="14" s="1"/>
  <c r="N1869" i="14" s="1"/>
  <c r="K1869" i="14"/>
  <c r="N1868" i="14"/>
  <c r="L1868" i="14"/>
  <c r="M1868" i="14" s="1"/>
  <c r="K1868" i="14"/>
  <c r="L1867" i="14"/>
  <c r="M1867" i="14" s="1"/>
  <c r="N1867" i="14" s="1"/>
  <c r="K1867" i="14"/>
  <c r="N1866" i="14"/>
  <c r="L1866" i="14"/>
  <c r="M1866" i="14" s="1"/>
  <c r="K1866" i="14"/>
  <c r="L1865" i="14"/>
  <c r="M1865" i="14" s="1"/>
  <c r="N1865" i="14" s="1"/>
  <c r="K1865" i="14"/>
  <c r="N1864" i="14"/>
  <c r="L1864" i="14"/>
  <c r="M1864" i="14" s="1"/>
  <c r="K1864" i="14"/>
  <c r="L1863" i="14"/>
  <c r="M1863" i="14" s="1"/>
  <c r="N1863" i="14" s="1"/>
  <c r="K1863" i="14"/>
  <c r="N1862" i="14"/>
  <c r="L1862" i="14"/>
  <c r="M1862" i="14" s="1"/>
  <c r="K1862" i="14"/>
  <c r="L1861" i="14"/>
  <c r="M1861" i="14" s="1"/>
  <c r="N1861" i="14" s="1"/>
  <c r="K1861" i="14"/>
  <c r="N1860" i="14"/>
  <c r="L1860" i="14"/>
  <c r="M1860" i="14" s="1"/>
  <c r="K1860" i="14"/>
  <c r="L1859" i="14"/>
  <c r="M1859" i="14" s="1"/>
  <c r="N1859" i="14" s="1"/>
  <c r="K1859" i="14"/>
  <c r="N1858" i="14"/>
  <c r="L1858" i="14"/>
  <c r="M1858" i="14" s="1"/>
  <c r="K1858" i="14"/>
  <c r="L1857" i="14"/>
  <c r="M1857" i="14" s="1"/>
  <c r="N1857" i="14" s="1"/>
  <c r="K1857" i="14"/>
  <c r="N1856" i="14"/>
  <c r="L1856" i="14"/>
  <c r="M1856" i="14" s="1"/>
  <c r="K1856" i="14"/>
  <c r="L1855" i="14"/>
  <c r="M1855" i="14" s="1"/>
  <c r="N1855" i="14" s="1"/>
  <c r="K1855" i="14"/>
  <c r="N1854" i="14"/>
  <c r="L1854" i="14"/>
  <c r="M1854" i="14" s="1"/>
  <c r="K1854" i="14"/>
  <c r="L1853" i="14"/>
  <c r="M1853" i="14" s="1"/>
  <c r="N1853" i="14" s="1"/>
  <c r="K1853" i="14"/>
  <c r="N1852" i="14"/>
  <c r="L1852" i="14"/>
  <c r="M1852" i="14" s="1"/>
  <c r="K1852" i="14"/>
  <c r="L1851" i="14"/>
  <c r="M1851" i="14" s="1"/>
  <c r="N1851" i="14" s="1"/>
  <c r="K1851" i="14"/>
  <c r="N1850" i="14"/>
  <c r="L1850" i="14"/>
  <c r="M1850" i="14" s="1"/>
  <c r="K1850" i="14"/>
  <c r="L1849" i="14"/>
  <c r="M1849" i="14" s="1"/>
  <c r="N1849" i="14" s="1"/>
  <c r="K1849" i="14"/>
  <c r="N1848" i="14"/>
  <c r="L1848" i="14"/>
  <c r="M1848" i="14" s="1"/>
  <c r="K1848" i="14"/>
  <c r="L1847" i="14"/>
  <c r="M1847" i="14" s="1"/>
  <c r="N1847" i="14" s="1"/>
  <c r="K1847" i="14"/>
  <c r="N1846" i="14"/>
  <c r="L1846" i="14"/>
  <c r="M1846" i="14" s="1"/>
  <c r="K1846" i="14"/>
  <c r="L1845" i="14"/>
  <c r="M1845" i="14" s="1"/>
  <c r="N1845" i="14" s="1"/>
  <c r="K1845" i="14"/>
  <c r="N1844" i="14"/>
  <c r="L1844" i="14"/>
  <c r="M1844" i="14" s="1"/>
  <c r="K1844" i="14"/>
  <c r="L1843" i="14"/>
  <c r="M1843" i="14" s="1"/>
  <c r="N1843" i="14" s="1"/>
  <c r="K1843" i="14"/>
  <c r="N1842" i="14"/>
  <c r="L1842" i="14"/>
  <c r="M1842" i="14" s="1"/>
  <c r="K1842" i="14"/>
  <c r="L1841" i="14"/>
  <c r="M1841" i="14" s="1"/>
  <c r="N1841" i="14" s="1"/>
  <c r="K1841" i="14"/>
  <c r="N1840" i="14"/>
  <c r="L1840" i="14"/>
  <c r="M1840" i="14" s="1"/>
  <c r="K1840" i="14"/>
  <c r="L1839" i="14"/>
  <c r="M1839" i="14" s="1"/>
  <c r="N1839" i="14" s="1"/>
  <c r="K1839" i="14"/>
  <c r="N1838" i="14"/>
  <c r="L1838" i="14"/>
  <c r="M1838" i="14" s="1"/>
  <c r="K1838" i="14"/>
  <c r="L1837" i="14"/>
  <c r="M1837" i="14" s="1"/>
  <c r="N1837" i="14" s="1"/>
  <c r="K1837" i="14"/>
  <c r="N1836" i="14"/>
  <c r="L1836" i="14"/>
  <c r="M1836" i="14" s="1"/>
  <c r="K1836" i="14"/>
  <c r="L1835" i="14"/>
  <c r="M1835" i="14" s="1"/>
  <c r="N1835" i="14" s="1"/>
  <c r="K1835" i="14"/>
  <c r="N1834" i="14"/>
  <c r="L1834" i="14"/>
  <c r="M1834" i="14" s="1"/>
  <c r="K1834" i="14"/>
  <c r="L1833" i="14"/>
  <c r="M1833" i="14" s="1"/>
  <c r="N1833" i="14" s="1"/>
  <c r="K1833" i="14"/>
  <c r="N1832" i="14"/>
  <c r="L1832" i="14"/>
  <c r="M1832" i="14" s="1"/>
  <c r="K1832" i="14"/>
  <c r="L1831" i="14"/>
  <c r="M1831" i="14" s="1"/>
  <c r="N1831" i="14" s="1"/>
  <c r="K1831" i="14"/>
  <c r="N1830" i="14"/>
  <c r="L1830" i="14"/>
  <c r="M1830" i="14" s="1"/>
  <c r="K1830" i="14"/>
  <c r="L1829" i="14"/>
  <c r="M1829" i="14" s="1"/>
  <c r="N1829" i="14" s="1"/>
  <c r="K1829" i="14"/>
  <c r="N1828" i="14"/>
  <c r="L1828" i="14"/>
  <c r="M1828" i="14" s="1"/>
  <c r="K1828" i="14"/>
  <c r="L1827" i="14"/>
  <c r="M1827" i="14" s="1"/>
  <c r="N1827" i="14" s="1"/>
  <c r="K1827" i="14"/>
  <c r="N1826" i="14"/>
  <c r="L1826" i="14"/>
  <c r="M1826" i="14" s="1"/>
  <c r="K1826" i="14"/>
  <c r="L1825" i="14"/>
  <c r="M1825" i="14" s="1"/>
  <c r="N1825" i="14" s="1"/>
  <c r="K1825" i="14"/>
  <c r="N1824" i="14"/>
  <c r="L1824" i="14"/>
  <c r="M1824" i="14" s="1"/>
  <c r="K1824" i="14"/>
  <c r="L1823" i="14"/>
  <c r="M1823" i="14" s="1"/>
  <c r="N1823" i="14" s="1"/>
  <c r="K1823" i="14"/>
  <c r="N1822" i="14"/>
  <c r="L1822" i="14"/>
  <c r="M1822" i="14" s="1"/>
  <c r="K1822" i="14"/>
  <c r="L1821" i="14"/>
  <c r="M1821" i="14" s="1"/>
  <c r="N1821" i="14" s="1"/>
  <c r="K1821" i="14"/>
  <c r="N1820" i="14"/>
  <c r="L1820" i="14"/>
  <c r="M1820" i="14" s="1"/>
  <c r="K1820" i="14"/>
  <c r="L1819" i="14"/>
  <c r="M1819" i="14" s="1"/>
  <c r="N1819" i="14" s="1"/>
  <c r="K1819" i="14"/>
  <c r="N1818" i="14"/>
  <c r="L1818" i="14"/>
  <c r="M1818" i="14" s="1"/>
  <c r="K1818" i="14"/>
  <c r="L1817" i="14"/>
  <c r="M1817" i="14" s="1"/>
  <c r="N1817" i="14" s="1"/>
  <c r="K1817" i="14"/>
  <c r="N1816" i="14"/>
  <c r="L1816" i="14"/>
  <c r="M1816" i="14" s="1"/>
  <c r="K1816" i="14"/>
  <c r="L1815" i="14"/>
  <c r="M1815" i="14" s="1"/>
  <c r="N1815" i="14" s="1"/>
  <c r="K1815" i="14"/>
  <c r="N1814" i="14"/>
  <c r="L1814" i="14"/>
  <c r="M1814" i="14" s="1"/>
  <c r="K1814" i="14"/>
  <c r="L1813" i="14"/>
  <c r="M1813" i="14" s="1"/>
  <c r="N1813" i="14" s="1"/>
  <c r="K1813" i="14"/>
  <c r="N1812" i="14"/>
  <c r="L1812" i="14"/>
  <c r="M1812" i="14" s="1"/>
  <c r="K1812" i="14"/>
  <c r="L1811" i="14"/>
  <c r="M1811" i="14" s="1"/>
  <c r="N1811" i="14" s="1"/>
  <c r="K1811" i="14"/>
  <c r="N1810" i="14"/>
  <c r="L1810" i="14"/>
  <c r="M1810" i="14" s="1"/>
  <c r="K1810" i="14"/>
  <c r="L1809" i="14"/>
  <c r="M1809" i="14" s="1"/>
  <c r="N1809" i="14" s="1"/>
  <c r="K1809" i="14"/>
  <c r="N1808" i="14"/>
  <c r="L1808" i="14"/>
  <c r="M1808" i="14" s="1"/>
  <c r="K1808" i="14"/>
  <c r="L1807" i="14"/>
  <c r="M1807" i="14" s="1"/>
  <c r="N1807" i="14" s="1"/>
  <c r="K1807" i="14"/>
  <c r="N1806" i="14"/>
  <c r="L1806" i="14"/>
  <c r="M1806" i="14" s="1"/>
  <c r="K1806" i="14"/>
  <c r="L1805" i="14"/>
  <c r="M1805" i="14" s="1"/>
  <c r="N1805" i="14" s="1"/>
  <c r="K1805" i="14"/>
  <c r="N1804" i="14"/>
  <c r="L1804" i="14"/>
  <c r="M1804" i="14" s="1"/>
  <c r="K1804" i="14"/>
  <c r="L1803" i="14"/>
  <c r="M1803" i="14" s="1"/>
  <c r="N1803" i="14" s="1"/>
  <c r="K1803" i="14"/>
  <c r="N1802" i="14"/>
  <c r="L1802" i="14"/>
  <c r="M1802" i="14" s="1"/>
  <c r="K1802" i="14"/>
  <c r="L1801" i="14"/>
  <c r="M1801" i="14" s="1"/>
  <c r="N1801" i="14" s="1"/>
  <c r="K1801" i="14"/>
  <c r="N1800" i="14"/>
  <c r="L1800" i="14"/>
  <c r="M1800" i="14" s="1"/>
  <c r="K1800" i="14"/>
  <c r="L1799" i="14"/>
  <c r="M1799" i="14" s="1"/>
  <c r="N1799" i="14" s="1"/>
  <c r="K1799" i="14"/>
  <c r="N1798" i="14"/>
  <c r="L1798" i="14"/>
  <c r="M1798" i="14" s="1"/>
  <c r="K1798" i="14"/>
  <c r="L1797" i="14"/>
  <c r="M1797" i="14" s="1"/>
  <c r="N1797" i="14" s="1"/>
  <c r="K1797" i="14"/>
  <c r="N1796" i="14"/>
  <c r="L1796" i="14"/>
  <c r="M1796" i="14" s="1"/>
  <c r="K1796" i="14"/>
  <c r="L1795" i="14"/>
  <c r="M1795" i="14" s="1"/>
  <c r="N1795" i="14" s="1"/>
  <c r="K1795" i="14"/>
  <c r="N1794" i="14"/>
  <c r="L1794" i="14"/>
  <c r="M1794" i="14" s="1"/>
  <c r="K1794" i="14"/>
  <c r="L1793" i="14"/>
  <c r="M1793" i="14" s="1"/>
  <c r="N1793" i="14" s="1"/>
  <c r="K1793" i="14"/>
  <c r="N1792" i="14"/>
  <c r="L1792" i="14"/>
  <c r="M1792" i="14" s="1"/>
  <c r="K1792" i="14"/>
  <c r="L1791" i="14"/>
  <c r="M1791" i="14" s="1"/>
  <c r="N1791" i="14" s="1"/>
  <c r="K1791" i="14"/>
  <c r="N1790" i="14"/>
  <c r="L1790" i="14"/>
  <c r="M1790" i="14" s="1"/>
  <c r="K1790" i="14"/>
  <c r="L1789" i="14"/>
  <c r="M1789" i="14" s="1"/>
  <c r="N1789" i="14" s="1"/>
  <c r="K1789" i="14"/>
  <c r="N1788" i="14"/>
  <c r="L1788" i="14"/>
  <c r="M1788" i="14" s="1"/>
  <c r="K1788" i="14"/>
  <c r="L1787" i="14"/>
  <c r="M1787" i="14" s="1"/>
  <c r="N1787" i="14" s="1"/>
  <c r="K1787" i="14"/>
  <c r="N1786" i="14"/>
  <c r="L1786" i="14"/>
  <c r="M1786" i="14" s="1"/>
  <c r="K1786" i="14"/>
  <c r="L1785" i="14"/>
  <c r="M1785" i="14" s="1"/>
  <c r="N1785" i="14" s="1"/>
  <c r="K1785" i="14"/>
  <c r="N1784" i="14"/>
  <c r="L1784" i="14"/>
  <c r="M1784" i="14" s="1"/>
  <c r="K1784" i="14"/>
  <c r="L1783" i="14"/>
  <c r="M1783" i="14" s="1"/>
  <c r="N1783" i="14" s="1"/>
  <c r="K1783" i="14"/>
  <c r="N1782" i="14"/>
  <c r="L1782" i="14"/>
  <c r="M1782" i="14" s="1"/>
  <c r="K1782" i="14"/>
  <c r="L1781" i="14"/>
  <c r="M1781" i="14" s="1"/>
  <c r="N1781" i="14" s="1"/>
  <c r="K1781" i="14"/>
  <c r="N1780" i="14"/>
  <c r="L1780" i="14"/>
  <c r="M1780" i="14" s="1"/>
  <c r="K1780" i="14"/>
  <c r="L1779" i="14"/>
  <c r="M1779" i="14" s="1"/>
  <c r="N1779" i="14" s="1"/>
  <c r="K1779" i="14"/>
  <c r="N1778" i="14"/>
  <c r="L1778" i="14"/>
  <c r="M1778" i="14" s="1"/>
  <c r="K1778" i="14"/>
  <c r="L1777" i="14"/>
  <c r="M1777" i="14" s="1"/>
  <c r="N1777" i="14" s="1"/>
  <c r="K1777" i="14"/>
  <c r="N1776" i="14"/>
  <c r="L1776" i="14"/>
  <c r="M1776" i="14" s="1"/>
  <c r="K1776" i="14"/>
  <c r="L1775" i="14"/>
  <c r="M1775" i="14" s="1"/>
  <c r="N1775" i="14" s="1"/>
  <c r="K1775" i="14"/>
  <c r="N1774" i="14"/>
  <c r="L1774" i="14"/>
  <c r="M1774" i="14" s="1"/>
  <c r="K1774" i="14"/>
  <c r="L1773" i="14"/>
  <c r="M1773" i="14" s="1"/>
  <c r="N1773" i="14" s="1"/>
  <c r="K1773" i="14"/>
  <c r="N1772" i="14"/>
  <c r="L1772" i="14"/>
  <c r="M1772" i="14" s="1"/>
  <c r="K1772" i="14"/>
  <c r="L1771" i="14"/>
  <c r="M1771" i="14" s="1"/>
  <c r="N1771" i="14" s="1"/>
  <c r="K1771" i="14"/>
  <c r="N1770" i="14"/>
  <c r="L1770" i="14"/>
  <c r="M1770" i="14" s="1"/>
  <c r="K1770" i="14"/>
  <c r="L1769" i="14"/>
  <c r="M1769" i="14" s="1"/>
  <c r="N1769" i="14" s="1"/>
  <c r="K1769" i="14"/>
  <c r="N1768" i="14"/>
  <c r="L1768" i="14"/>
  <c r="M1768" i="14" s="1"/>
  <c r="K1768" i="14"/>
  <c r="L1767" i="14"/>
  <c r="M1767" i="14" s="1"/>
  <c r="N1767" i="14" s="1"/>
  <c r="K1767" i="14"/>
  <c r="N1766" i="14"/>
  <c r="L1766" i="14"/>
  <c r="M1766" i="14" s="1"/>
  <c r="K1766" i="14"/>
  <c r="L1765" i="14"/>
  <c r="M1765" i="14" s="1"/>
  <c r="N1765" i="14" s="1"/>
  <c r="K1765" i="14"/>
  <c r="N1764" i="14"/>
  <c r="L1764" i="14"/>
  <c r="M1764" i="14" s="1"/>
  <c r="K1764" i="14"/>
  <c r="L1763" i="14"/>
  <c r="M1763" i="14" s="1"/>
  <c r="N1763" i="14" s="1"/>
  <c r="K1763" i="14"/>
  <c r="N1762" i="14"/>
  <c r="L1762" i="14"/>
  <c r="M1762" i="14" s="1"/>
  <c r="K1762" i="14"/>
  <c r="L1761" i="14"/>
  <c r="M1761" i="14" s="1"/>
  <c r="N1761" i="14" s="1"/>
  <c r="K1761" i="14"/>
  <c r="N1760" i="14"/>
  <c r="L1760" i="14"/>
  <c r="M1760" i="14" s="1"/>
  <c r="K1760" i="14"/>
  <c r="L1759" i="14"/>
  <c r="M1759" i="14" s="1"/>
  <c r="N1759" i="14" s="1"/>
  <c r="K1759" i="14"/>
  <c r="N1758" i="14"/>
  <c r="L1758" i="14"/>
  <c r="M1758" i="14" s="1"/>
  <c r="K1758" i="14"/>
  <c r="L1757" i="14"/>
  <c r="M1757" i="14" s="1"/>
  <c r="N1757" i="14" s="1"/>
  <c r="K1757" i="14"/>
  <c r="N1756" i="14"/>
  <c r="L1756" i="14"/>
  <c r="M1756" i="14" s="1"/>
  <c r="K1756" i="14"/>
  <c r="L1755" i="14"/>
  <c r="M1755" i="14" s="1"/>
  <c r="N1755" i="14" s="1"/>
  <c r="K1755" i="14"/>
  <c r="N1754" i="14"/>
  <c r="L1754" i="14"/>
  <c r="M1754" i="14" s="1"/>
  <c r="K1754" i="14"/>
  <c r="L1753" i="14"/>
  <c r="M1753" i="14" s="1"/>
  <c r="N1753" i="14" s="1"/>
  <c r="K1753" i="14"/>
  <c r="N1752" i="14"/>
  <c r="L1752" i="14"/>
  <c r="M1752" i="14" s="1"/>
  <c r="K1752" i="14"/>
  <c r="L1751" i="14"/>
  <c r="M1751" i="14" s="1"/>
  <c r="N1751" i="14" s="1"/>
  <c r="K1751" i="14"/>
  <c r="N1750" i="14"/>
  <c r="L1750" i="14"/>
  <c r="M1750" i="14" s="1"/>
  <c r="K1750" i="14"/>
  <c r="L1749" i="14"/>
  <c r="M1749" i="14" s="1"/>
  <c r="N1749" i="14" s="1"/>
  <c r="K1749" i="14"/>
  <c r="N1748" i="14"/>
  <c r="L1748" i="14"/>
  <c r="M1748" i="14" s="1"/>
  <c r="K1748" i="14"/>
  <c r="L1747" i="14"/>
  <c r="M1747" i="14" s="1"/>
  <c r="N1747" i="14" s="1"/>
  <c r="K1747" i="14"/>
  <c r="N1746" i="14"/>
  <c r="L1746" i="14"/>
  <c r="M1746" i="14" s="1"/>
  <c r="K1746" i="14"/>
  <c r="L1745" i="14"/>
  <c r="M1745" i="14" s="1"/>
  <c r="N1745" i="14" s="1"/>
  <c r="K1745" i="14"/>
  <c r="N1744" i="14"/>
  <c r="L1744" i="14"/>
  <c r="M1744" i="14" s="1"/>
  <c r="K1744" i="14"/>
  <c r="L1743" i="14"/>
  <c r="M1743" i="14" s="1"/>
  <c r="N1743" i="14" s="1"/>
  <c r="K1743" i="14"/>
  <c r="N1742" i="14"/>
  <c r="L1742" i="14"/>
  <c r="M1742" i="14" s="1"/>
  <c r="K1742" i="14"/>
  <c r="L1741" i="14"/>
  <c r="M1741" i="14" s="1"/>
  <c r="N1741" i="14" s="1"/>
  <c r="K1741" i="14"/>
  <c r="N1740" i="14"/>
  <c r="L1740" i="14"/>
  <c r="M1740" i="14" s="1"/>
  <c r="K1740" i="14"/>
  <c r="L1739" i="14"/>
  <c r="M1739" i="14" s="1"/>
  <c r="N1739" i="14" s="1"/>
  <c r="K1739" i="14"/>
  <c r="N1738" i="14"/>
  <c r="L1738" i="14"/>
  <c r="M1738" i="14" s="1"/>
  <c r="K1738" i="14"/>
  <c r="L1737" i="14"/>
  <c r="M1737" i="14" s="1"/>
  <c r="N1737" i="14" s="1"/>
  <c r="K1737" i="14"/>
  <c r="N1736" i="14"/>
  <c r="L1736" i="14"/>
  <c r="M1736" i="14" s="1"/>
  <c r="K1736" i="14"/>
  <c r="L1735" i="14"/>
  <c r="M1735" i="14" s="1"/>
  <c r="N1735" i="14" s="1"/>
  <c r="K1735" i="14"/>
  <c r="N1734" i="14"/>
  <c r="L1734" i="14"/>
  <c r="M1734" i="14" s="1"/>
  <c r="K1734" i="14"/>
  <c r="L1733" i="14"/>
  <c r="M1733" i="14" s="1"/>
  <c r="N1733" i="14" s="1"/>
  <c r="K1733" i="14"/>
  <c r="N1732" i="14"/>
  <c r="L1732" i="14"/>
  <c r="M1732" i="14" s="1"/>
  <c r="K1732" i="14"/>
  <c r="L1731" i="14"/>
  <c r="M1731" i="14" s="1"/>
  <c r="N1731" i="14" s="1"/>
  <c r="K1731" i="14"/>
  <c r="N1730" i="14"/>
  <c r="L1730" i="14"/>
  <c r="M1730" i="14" s="1"/>
  <c r="K1730" i="14"/>
  <c r="L1729" i="14"/>
  <c r="M1729" i="14" s="1"/>
  <c r="N1729" i="14" s="1"/>
  <c r="K1729" i="14"/>
  <c r="N1728" i="14"/>
  <c r="L1728" i="14"/>
  <c r="M1728" i="14" s="1"/>
  <c r="K1728" i="14"/>
  <c r="L1727" i="14"/>
  <c r="M1727" i="14" s="1"/>
  <c r="N1727" i="14" s="1"/>
  <c r="K1727" i="14"/>
  <c r="N1726" i="14"/>
  <c r="L1726" i="14"/>
  <c r="M1726" i="14" s="1"/>
  <c r="K1726" i="14"/>
  <c r="L1725" i="14"/>
  <c r="M1725" i="14" s="1"/>
  <c r="N1725" i="14" s="1"/>
  <c r="K1725" i="14"/>
  <c r="N1724" i="14"/>
  <c r="L1724" i="14"/>
  <c r="M1724" i="14" s="1"/>
  <c r="K1724" i="14"/>
  <c r="L1723" i="14"/>
  <c r="M1723" i="14" s="1"/>
  <c r="N1723" i="14" s="1"/>
  <c r="K1723" i="14"/>
  <c r="N1722" i="14"/>
  <c r="L1722" i="14"/>
  <c r="M1722" i="14" s="1"/>
  <c r="K1722" i="14"/>
  <c r="L1721" i="14"/>
  <c r="M1721" i="14" s="1"/>
  <c r="N1721" i="14" s="1"/>
  <c r="K1721" i="14"/>
  <c r="N1720" i="14"/>
  <c r="L1720" i="14"/>
  <c r="M1720" i="14" s="1"/>
  <c r="K1720" i="14"/>
  <c r="L1719" i="14"/>
  <c r="M1719" i="14" s="1"/>
  <c r="N1719" i="14" s="1"/>
  <c r="K1719" i="14"/>
  <c r="N1718" i="14"/>
  <c r="L1718" i="14"/>
  <c r="M1718" i="14" s="1"/>
  <c r="K1718" i="14"/>
  <c r="L1717" i="14"/>
  <c r="M1717" i="14" s="1"/>
  <c r="N1717" i="14" s="1"/>
  <c r="K1717" i="14"/>
  <c r="N1716" i="14"/>
  <c r="L1716" i="14"/>
  <c r="M1716" i="14" s="1"/>
  <c r="K1716" i="14"/>
  <c r="L1715" i="14"/>
  <c r="M1715" i="14" s="1"/>
  <c r="N1715" i="14" s="1"/>
  <c r="K1715" i="14"/>
  <c r="N1714" i="14"/>
  <c r="L1714" i="14"/>
  <c r="M1714" i="14" s="1"/>
  <c r="K1714" i="14"/>
  <c r="L1713" i="14"/>
  <c r="M1713" i="14" s="1"/>
  <c r="N1713" i="14" s="1"/>
  <c r="K1713" i="14"/>
  <c r="N1712" i="14"/>
  <c r="L1712" i="14"/>
  <c r="M1712" i="14" s="1"/>
  <c r="K1712" i="14"/>
  <c r="L1711" i="14"/>
  <c r="M1711" i="14" s="1"/>
  <c r="N1711" i="14" s="1"/>
  <c r="K1711" i="14"/>
  <c r="N1710" i="14"/>
  <c r="L1710" i="14"/>
  <c r="M1710" i="14" s="1"/>
  <c r="K1710" i="14"/>
  <c r="L1709" i="14"/>
  <c r="M1709" i="14" s="1"/>
  <c r="N1709" i="14" s="1"/>
  <c r="K1709" i="14"/>
  <c r="N1708" i="14"/>
  <c r="L1708" i="14"/>
  <c r="M1708" i="14" s="1"/>
  <c r="K1708" i="14"/>
  <c r="L1707" i="14"/>
  <c r="M1707" i="14" s="1"/>
  <c r="N1707" i="14" s="1"/>
  <c r="K1707" i="14"/>
  <c r="N1706" i="14"/>
  <c r="L1706" i="14"/>
  <c r="M1706" i="14" s="1"/>
  <c r="K1706" i="14"/>
  <c r="L1705" i="14"/>
  <c r="M1705" i="14" s="1"/>
  <c r="N1705" i="14" s="1"/>
  <c r="K1705" i="14"/>
  <c r="N1704" i="14"/>
  <c r="L1704" i="14"/>
  <c r="M1704" i="14" s="1"/>
  <c r="K1704" i="14"/>
  <c r="L1703" i="14"/>
  <c r="M1703" i="14" s="1"/>
  <c r="N1703" i="14" s="1"/>
  <c r="K1703" i="14"/>
  <c r="N1702" i="14"/>
  <c r="L1702" i="14"/>
  <c r="M1702" i="14" s="1"/>
  <c r="K1702" i="14"/>
  <c r="L1701" i="14"/>
  <c r="M1701" i="14" s="1"/>
  <c r="N1701" i="14" s="1"/>
  <c r="K1701" i="14"/>
  <c r="N1700" i="14"/>
  <c r="L1700" i="14"/>
  <c r="M1700" i="14" s="1"/>
  <c r="K1700" i="14"/>
  <c r="L1699" i="14"/>
  <c r="M1699" i="14" s="1"/>
  <c r="N1699" i="14" s="1"/>
  <c r="K1699" i="14"/>
  <c r="N1698" i="14"/>
  <c r="L1698" i="14"/>
  <c r="M1698" i="14" s="1"/>
  <c r="K1698" i="14"/>
  <c r="L1697" i="14"/>
  <c r="M1697" i="14" s="1"/>
  <c r="N1697" i="14" s="1"/>
  <c r="K1697" i="14"/>
  <c r="N1696" i="14"/>
  <c r="L1696" i="14"/>
  <c r="M1696" i="14" s="1"/>
  <c r="K1696" i="14"/>
  <c r="L1695" i="14"/>
  <c r="M1695" i="14" s="1"/>
  <c r="N1695" i="14" s="1"/>
  <c r="K1695" i="14"/>
  <c r="N1694" i="14"/>
  <c r="L1694" i="14"/>
  <c r="M1694" i="14" s="1"/>
  <c r="K1694" i="14"/>
  <c r="L1693" i="14"/>
  <c r="M1693" i="14" s="1"/>
  <c r="N1693" i="14" s="1"/>
  <c r="K1693" i="14"/>
  <c r="N1692" i="14"/>
  <c r="L1692" i="14"/>
  <c r="M1692" i="14" s="1"/>
  <c r="K1692" i="14"/>
  <c r="L1691" i="14"/>
  <c r="M1691" i="14" s="1"/>
  <c r="N1691" i="14" s="1"/>
  <c r="K1691" i="14"/>
  <c r="N1690" i="14"/>
  <c r="L1690" i="14"/>
  <c r="M1690" i="14" s="1"/>
  <c r="K1690" i="14"/>
  <c r="L1689" i="14"/>
  <c r="M1689" i="14" s="1"/>
  <c r="N1689" i="14" s="1"/>
  <c r="K1689" i="14"/>
  <c r="N1688" i="14"/>
  <c r="L1688" i="14"/>
  <c r="M1688" i="14" s="1"/>
  <c r="K1688" i="14"/>
  <c r="L1687" i="14"/>
  <c r="M1687" i="14" s="1"/>
  <c r="N1687" i="14" s="1"/>
  <c r="K1687" i="14"/>
  <c r="N1686" i="14"/>
  <c r="L1686" i="14"/>
  <c r="M1686" i="14" s="1"/>
  <c r="K1686" i="14"/>
  <c r="L1685" i="14"/>
  <c r="M1685" i="14" s="1"/>
  <c r="N1685" i="14" s="1"/>
  <c r="K1685" i="14"/>
  <c r="N1684" i="14"/>
  <c r="L1684" i="14"/>
  <c r="M1684" i="14" s="1"/>
  <c r="K1684" i="14"/>
  <c r="L1683" i="14"/>
  <c r="M1683" i="14" s="1"/>
  <c r="N1683" i="14" s="1"/>
  <c r="K1683" i="14"/>
  <c r="N1682" i="14"/>
  <c r="L1682" i="14"/>
  <c r="M1682" i="14" s="1"/>
  <c r="K1682" i="14"/>
  <c r="L1681" i="14"/>
  <c r="M1681" i="14" s="1"/>
  <c r="N1681" i="14" s="1"/>
  <c r="K1681" i="14"/>
  <c r="N1680" i="14"/>
  <c r="L1680" i="14"/>
  <c r="M1680" i="14" s="1"/>
  <c r="K1680" i="14"/>
  <c r="L1679" i="14"/>
  <c r="M1679" i="14" s="1"/>
  <c r="N1679" i="14" s="1"/>
  <c r="K1679" i="14"/>
  <c r="N1678" i="14"/>
  <c r="L1678" i="14"/>
  <c r="M1678" i="14" s="1"/>
  <c r="K1678" i="14"/>
  <c r="L1677" i="14"/>
  <c r="M1677" i="14" s="1"/>
  <c r="N1677" i="14" s="1"/>
  <c r="K1677" i="14"/>
  <c r="N1676" i="14"/>
  <c r="L1676" i="14"/>
  <c r="M1676" i="14" s="1"/>
  <c r="K1676" i="14"/>
  <c r="L1675" i="14"/>
  <c r="M1675" i="14" s="1"/>
  <c r="N1675" i="14" s="1"/>
  <c r="K1675" i="14"/>
  <c r="N1674" i="14"/>
  <c r="L1674" i="14"/>
  <c r="M1674" i="14" s="1"/>
  <c r="K1674" i="14"/>
  <c r="L1673" i="14"/>
  <c r="M1673" i="14" s="1"/>
  <c r="N1673" i="14" s="1"/>
  <c r="K1673" i="14"/>
  <c r="N1672" i="14"/>
  <c r="L1672" i="14"/>
  <c r="M1672" i="14" s="1"/>
  <c r="K1672" i="14"/>
  <c r="L1671" i="14"/>
  <c r="M1671" i="14" s="1"/>
  <c r="N1671" i="14" s="1"/>
  <c r="K1671" i="14"/>
  <c r="N1670" i="14"/>
  <c r="L1670" i="14"/>
  <c r="M1670" i="14" s="1"/>
  <c r="K1670" i="14"/>
  <c r="L1669" i="14"/>
  <c r="M1669" i="14" s="1"/>
  <c r="N1669" i="14" s="1"/>
  <c r="K1669" i="14"/>
  <c r="N1668" i="14"/>
  <c r="L1668" i="14"/>
  <c r="M1668" i="14" s="1"/>
  <c r="K1668" i="14"/>
  <c r="L1667" i="14"/>
  <c r="M1667" i="14" s="1"/>
  <c r="N1667" i="14" s="1"/>
  <c r="K1667" i="14"/>
  <c r="N1666" i="14"/>
  <c r="L1666" i="14"/>
  <c r="M1666" i="14" s="1"/>
  <c r="K1666" i="14"/>
  <c r="L1665" i="14"/>
  <c r="M1665" i="14" s="1"/>
  <c r="N1665" i="14" s="1"/>
  <c r="K1665" i="14"/>
  <c r="N1664" i="14"/>
  <c r="L1664" i="14"/>
  <c r="M1664" i="14" s="1"/>
  <c r="K1664" i="14"/>
  <c r="L1663" i="14"/>
  <c r="M1663" i="14" s="1"/>
  <c r="N1663" i="14" s="1"/>
  <c r="K1663" i="14"/>
  <c r="N1662" i="14"/>
  <c r="L1662" i="14"/>
  <c r="M1662" i="14" s="1"/>
  <c r="K1662" i="14"/>
  <c r="L1661" i="14"/>
  <c r="M1661" i="14" s="1"/>
  <c r="N1661" i="14" s="1"/>
  <c r="K1661" i="14"/>
  <c r="N1660" i="14"/>
  <c r="L1660" i="14"/>
  <c r="M1660" i="14" s="1"/>
  <c r="K1660" i="14"/>
  <c r="L1659" i="14"/>
  <c r="M1659" i="14" s="1"/>
  <c r="N1659" i="14" s="1"/>
  <c r="K1659" i="14"/>
  <c r="N1658" i="14"/>
  <c r="L1658" i="14"/>
  <c r="M1658" i="14" s="1"/>
  <c r="K1658" i="14"/>
  <c r="L1657" i="14"/>
  <c r="M1657" i="14" s="1"/>
  <c r="N1657" i="14" s="1"/>
  <c r="K1657" i="14"/>
  <c r="N1656" i="14"/>
  <c r="L1656" i="14"/>
  <c r="M1656" i="14" s="1"/>
  <c r="K1656" i="14"/>
  <c r="L1655" i="14"/>
  <c r="M1655" i="14" s="1"/>
  <c r="N1655" i="14" s="1"/>
  <c r="K1655" i="14"/>
  <c r="N1654" i="14"/>
  <c r="L1654" i="14"/>
  <c r="M1654" i="14" s="1"/>
  <c r="K1654" i="14"/>
  <c r="L1653" i="14"/>
  <c r="M1653" i="14" s="1"/>
  <c r="N1653" i="14" s="1"/>
  <c r="K1653" i="14"/>
  <c r="N1652" i="14"/>
  <c r="L1652" i="14"/>
  <c r="M1652" i="14" s="1"/>
  <c r="K1652" i="14"/>
  <c r="L1651" i="14"/>
  <c r="M1651" i="14" s="1"/>
  <c r="N1651" i="14" s="1"/>
  <c r="K1651" i="14"/>
  <c r="N1650" i="14"/>
  <c r="L1650" i="14"/>
  <c r="M1650" i="14" s="1"/>
  <c r="K1650" i="14"/>
  <c r="L1649" i="14"/>
  <c r="M1649" i="14" s="1"/>
  <c r="N1649" i="14" s="1"/>
  <c r="K1649" i="14"/>
  <c r="N1648" i="14"/>
  <c r="L1648" i="14"/>
  <c r="M1648" i="14" s="1"/>
  <c r="K1648" i="14"/>
  <c r="L1647" i="14"/>
  <c r="M1647" i="14" s="1"/>
  <c r="N1647" i="14" s="1"/>
  <c r="K1647" i="14"/>
  <c r="N1646" i="14"/>
  <c r="L1646" i="14"/>
  <c r="M1646" i="14" s="1"/>
  <c r="K1646" i="14"/>
  <c r="L1645" i="14"/>
  <c r="M1645" i="14" s="1"/>
  <c r="N1645" i="14" s="1"/>
  <c r="K1645" i="14"/>
  <c r="N1644" i="14"/>
  <c r="L1644" i="14"/>
  <c r="M1644" i="14" s="1"/>
  <c r="K1644" i="14"/>
  <c r="L1643" i="14"/>
  <c r="M1643" i="14" s="1"/>
  <c r="N1643" i="14" s="1"/>
  <c r="K1643" i="14"/>
  <c r="N1642" i="14"/>
  <c r="L1642" i="14"/>
  <c r="M1642" i="14" s="1"/>
  <c r="K1642" i="14"/>
  <c r="L1641" i="14"/>
  <c r="M1641" i="14" s="1"/>
  <c r="N1641" i="14" s="1"/>
  <c r="K1641" i="14"/>
  <c r="N1640" i="14"/>
  <c r="L1640" i="14"/>
  <c r="M1640" i="14" s="1"/>
  <c r="K1640" i="14"/>
  <c r="L1639" i="14"/>
  <c r="M1639" i="14" s="1"/>
  <c r="N1639" i="14" s="1"/>
  <c r="K1639" i="14"/>
  <c r="N1638" i="14"/>
  <c r="L1638" i="14"/>
  <c r="M1638" i="14" s="1"/>
  <c r="K1638" i="14"/>
  <c r="L1637" i="14"/>
  <c r="M1637" i="14" s="1"/>
  <c r="N1637" i="14" s="1"/>
  <c r="K1637" i="14"/>
  <c r="N1636" i="14"/>
  <c r="L1636" i="14"/>
  <c r="M1636" i="14" s="1"/>
  <c r="K1636" i="14"/>
  <c r="L1635" i="14"/>
  <c r="M1635" i="14" s="1"/>
  <c r="N1635" i="14" s="1"/>
  <c r="K1635" i="14"/>
  <c r="N1634" i="14"/>
  <c r="L1634" i="14"/>
  <c r="M1634" i="14" s="1"/>
  <c r="K1634" i="14"/>
  <c r="L1633" i="14"/>
  <c r="M1633" i="14" s="1"/>
  <c r="N1633" i="14" s="1"/>
  <c r="K1633" i="14"/>
  <c r="N1632" i="14"/>
  <c r="L1632" i="14"/>
  <c r="M1632" i="14" s="1"/>
  <c r="K1632" i="14"/>
  <c r="L1631" i="14"/>
  <c r="M1631" i="14" s="1"/>
  <c r="N1631" i="14" s="1"/>
  <c r="K1631" i="14"/>
  <c r="N1630" i="14"/>
  <c r="L1630" i="14"/>
  <c r="M1630" i="14" s="1"/>
  <c r="K1630" i="14"/>
  <c r="L1629" i="14"/>
  <c r="M1629" i="14" s="1"/>
  <c r="N1629" i="14" s="1"/>
  <c r="K1629" i="14"/>
  <c r="N1628" i="14"/>
  <c r="L1628" i="14"/>
  <c r="M1628" i="14" s="1"/>
  <c r="K1628" i="14"/>
  <c r="L1627" i="14"/>
  <c r="M1627" i="14" s="1"/>
  <c r="N1627" i="14" s="1"/>
  <c r="K1627" i="14"/>
  <c r="N1626" i="14"/>
  <c r="L1626" i="14"/>
  <c r="M1626" i="14" s="1"/>
  <c r="K1626" i="14"/>
  <c r="L1625" i="14"/>
  <c r="M1625" i="14" s="1"/>
  <c r="N1625" i="14" s="1"/>
  <c r="K1625" i="14"/>
  <c r="N1624" i="14"/>
  <c r="L1624" i="14"/>
  <c r="M1624" i="14" s="1"/>
  <c r="K1624" i="14"/>
  <c r="L1623" i="14"/>
  <c r="M1623" i="14" s="1"/>
  <c r="N1623" i="14" s="1"/>
  <c r="K1623" i="14"/>
  <c r="N1622" i="14"/>
  <c r="L1622" i="14"/>
  <c r="M1622" i="14" s="1"/>
  <c r="K1622" i="14"/>
  <c r="L1621" i="14"/>
  <c r="M1621" i="14" s="1"/>
  <c r="N1621" i="14" s="1"/>
  <c r="K1621" i="14"/>
  <c r="N1620" i="14"/>
  <c r="L1620" i="14"/>
  <c r="M1620" i="14" s="1"/>
  <c r="K1620" i="14"/>
  <c r="L1619" i="14"/>
  <c r="M1619" i="14" s="1"/>
  <c r="N1619" i="14" s="1"/>
  <c r="K1619" i="14"/>
  <c r="N1618" i="14"/>
  <c r="L1618" i="14"/>
  <c r="M1618" i="14" s="1"/>
  <c r="K1618" i="14"/>
  <c r="L1617" i="14"/>
  <c r="M1617" i="14" s="1"/>
  <c r="N1617" i="14" s="1"/>
  <c r="K1617" i="14"/>
  <c r="N1616" i="14"/>
  <c r="L1616" i="14"/>
  <c r="M1616" i="14" s="1"/>
  <c r="K1616" i="14"/>
  <c r="L1615" i="14"/>
  <c r="M1615" i="14" s="1"/>
  <c r="N1615" i="14" s="1"/>
  <c r="K1615" i="14"/>
  <c r="N1614" i="14"/>
  <c r="L1614" i="14"/>
  <c r="M1614" i="14" s="1"/>
  <c r="K1614" i="14"/>
  <c r="L1613" i="14"/>
  <c r="M1613" i="14" s="1"/>
  <c r="N1613" i="14" s="1"/>
  <c r="K1613" i="14"/>
  <c r="N1612" i="14"/>
  <c r="L1612" i="14"/>
  <c r="M1612" i="14" s="1"/>
  <c r="K1612" i="14"/>
  <c r="L1611" i="14"/>
  <c r="M1611" i="14" s="1"/>
  <c r="N1611" i="14" s="1"/>
  <c r="K1611" i="14"/>
  <c r="N1610" i="14"/>
  <c r="L1610" i="14"/>
  <c r="M1610" i="14" s="1"/>
  <c r="K1610" i="14"/>
  <c r="L1609" i="14"/>
  <c r="M1609" i="14" s="1"/>
  <c r="N1609" i="14" s="1"/>
  <c r="K1609" i="14"/>
  <c r="N1608" i="14"/>
  <c r="L1608" i="14"/>
  <c r="M1608" i="14" s="1"/>
  <c r="K1608" i="14"/>
  <c r="L1607" i="14"/>
  <c r="M1607" i="14" s="1"/>
  <c r="N1607" i="14" s="1"/>
  <c r="K1607" i="14"/>
  <c r="N1606" i="14"/>
  <c r="L1606" i="14"/>
  <c r="M1606" i="14" s="1"/>
  <c r="K1606" i="14"/>
  <c r="L1605" i="14"/>
  <c r="M1605" i="14" s="1"/>
  <c r="N1605" i="14" s="1"/>
  <c r="K1605" i="14"/>
  <c r="N1604" i="14"/>
  <c r="L1604" i="14"/>
  <c r="M1604" i="14" s="1"/>
  <c r="K1604" i="14"/>
  <c r="L1603" i="14"/>
  <c r="M1603" i="14" s="1"/>
  <c r="N1603" i="14" s="1"/>
  <c r="K1603" i="14"/>
  <c r="N1602" i="14"/>
  <c r="L1602" i="14"/>
  <c r="M1602" i="14" s="1"/>
  <c r="K1602" i="14"/>
  <c r="L1601" i="14"/>
  <c r="M1601" i="14" s="1"/>
  <c r="N1601" i="14" s="1"/>
  <c r="K1601" i="14"/>
  <c r="N1600" i="14"/>
  <c r="L1600" i="14"/>
  <c r="M1600" i="14" s="1"/>
  <c r="K1600" i="14"/>
  <c r="L1599" i="14"/>
  <c r="M1599" i="14" s="1"/>
  <c r="N1599" i="14" s="1"/>
  <c r="K1599" i="14"/>
  <c r="N1598" i="14"/>
  <c r="L1598" i="14"/>
  <c r="M1598" i="14" s="1"/>
  <c r="K1598" i="14"/>
  <c r="L1597" i="14"/>
  <c r="M1597" i="14" s="1"/>
  <c r="N1597" i="14" s="1"/>
  <c r="K1597" i="14"/>
  <c r="N1596" i="14"/>
  <c r="L1596" i="14"/>
  <c r="M1596" i="14" s="1"/>
  <c r="K1596" i="14"/>
  <c r="L1595" i="14"/>
  <c r="M1595" i="14" s="1"/>
  <c r="N1595" i="14" s="1"/>
  <c r="K1595" i="14"/>
  <c r="N1594" i="14"/>
  <c r="L1594" i="14"/>
  <c r="M1594" i="14" s="1"/>
  <c r="K1594" i="14"/>
  <c r="L1593" i="14"/>
  <c r="M1593" i="14" s="1"/>
  <c r="N1593" i="14" s="1"/>
  <c r="K1593" i="14"/>
  <c r="N1592" i="14"/>
  <c r="L1592" i="14"/>
  <c r="M1592" i="14" s="1"/>
  <c r="K1592" i="14"/>
  <c r="L1591" i="14"/>
  <c r="M1591" i="14" s="1"/>
  <c r="N1591" i="14" s="1"/>
  <c r="K1591" i="14"/>
  <c r="N1590" i="14"/>
  <c r="L1590" i="14"/>
  <c r="M1590" i="14" s="1"/>
  <c r="K1590" i="14"/>
  <c r="L1589" i="14"/>
  <c r="M1589" i="14" s="1"/>
  <c r="N1589" i="14" s="1"/>
  <c r="K1589" i="14"/>
  <c r="N1588" i="14"/>
  <c r="L1588" i="14"/>
  <c r="M1588" i="14" s="1"/>
  <c r="K1588" i="14"/>
  <c r="L1587" i="14"/>
  <c r="M1587" i="14" s="1"/>
  <c r="N1587" i="14" s="1"/>
  <c r="K1587" i="14"/>
  <c r="N1586" i="14"/>
  <c r="L1586" i="14"/>
  <c r="M1586" i="14" s="1"/>
  <c r="K1586" i="14"/>
  <c r="L1585" i="14"/>
  <c r="M1585" i="14" s="1"/>
  <c r="N1585" i="14" s="1"/>
  <c r="K1585" i="14"/>
  <c r="N1584" i="14"/>
  <c r="L1584" i="14"/>
  <c r="M1584" i="14" s="1"/>
  <c r="K1584" i="14"/>
  <c r="L1583" i="14"/>
  <c r="M1583" i="14" s="1"/>
  <c r="N1583" i="14" s="1"/>
  <c r="K1583" i="14"/>
  <c r="N1582" i="14"/>
  <c r="L1582" i="14"/>
  <c r="M1582" i="14" s="1"/>
  <c r="K1582" i="14"/>
  <c r="L1581" i="14"/>
  <c r="M1581" i="14" s="1"/>
  <c r="N1581" i="14" s="1"/>
  <c r="K1581" i="14"/>
  <c r="N1580" i="14"/>
  <c r="L1580" i="14"/>
  <c r="M1580" i="14" s="1"/>
  <c r="K1580" i="14"/>
  <c r="L1579" i="14"/>
  <c r="M1579" i="14" s="1"/>
  <c r="N1579" i="14" s="1"/>
  <c r="K1579" i="14"/>
  <c r="N1578" i="14"/>
  <c r="L1578" i="14"/>
  <c r="M1578" i="14" s="1"/>
  <c r="K1578" i="14"/>
  <c r="L1577" i="14"/>
  <c r="M1577" i="14" s="1"/>
  <c r="N1577" i="14" s="1"/>
  <c r="K1577" i="14"/>
  <c r="N1576" i="14"/>
  <c r="L1576" i="14"/>
  <c r="M1576" i="14" s="1"/>
  <c r="K1576" i="14"/>
  <c r="L1575" i="14"/>
  <c r="M1575" i="14" s="1"/>
  <c r="N1575" i="14" s="1"/>
  <c r="K1575" i="14"/>
  <c r="N1574" i="14"/>
  <c r="L1574" i="14"/>
  <c r="M1574" i="14" s="1"/>
  <c r="K1574" i="14"/>
  <c r="L1573" i="14"/>
  <c r="M1573" i="14" s="1"/>
  <c r="N1573" i="14" s="1"/>
  <c r="K1573" i="14"/>
  <c r="N1572" i="14"/>
  <c r="L1572" i="14"/>
  <c r="M1572" i="14" s="1"/>
  <c r="K1572" i="14"/>
  <c r="L1571" i="14"/>
  <c r="M1571" i="14" s="1"/>
  <c r="N1571" i="14" s="1"/>
  <c r="K1571" i="14"/>
  <c r="N1570" i="14"/>
  <c r="L1570" i="14"/>
  <c r="M1570" i="14" s="1"/>
  <c r="K1570" i="14"/>
  <c r="L1569" i="14"/>
  <c r="M1569" i="14" s="1"/>
  <c r="N1569" i="14" s="1"/>
  <c r="K1569" i="14"/>
  <c r="N1568" i="14"/>
  <c r="L1568" i="14"/>
  <c r="M1568" i="14" s="1"/>
  <c r="K1568" i="14"/>
  <c r="L1567" i="14"/>
  <c r="M1567" i="14" s="1"/>
  <c r="N1567" i="14" s="1"/>
  <c r="K1567" i="14"/>
  <c r="N1566" i="14"/>
  <c r="L1566" i="14"/>
  <c r="M1566" i="14" s="1"/>
  <c r="K1566" i="14"/>
  <c r="L1565" i="14"/>
  <c r="M1565" i="14" s="1"/>
  <c r="N1565" i="14" s="1"/>
  <c r="K1565" i="14"/>
  <c r="N1564" i="14"/>
  <c r="L1564" i="14"/>
  <c r="M1564" i="14" s="1"/>
  <c r="K1564" i="14"/>
  <c r="L1563" i="14"/>
  <c r="M1563" i="14" s="1"/>
  <c r="N1563" i="14" s="1"/>
  <c r="K1563" i="14"/>
  <c r="N1562" i="14"/>
  <c r="L1562" i="14"/>
  <c r="M1562" i="14" s="1"/>
  <c r="K1562" i="14"/>
  <c r="L1561" i="14"/>
  <c r="M1561" i="14" s="1"/>
  <c r="N1561" i="14" s="1"/>
  <c r="K1561" i="14"/>
  <c r="N1560" i="14"/>
  <c r="L1560" i="14"/>
  <c r="M1560" i="14" s="1"/>
  <c r="K1560" i="14"/>
  <c r="L1559" i="14"/>
  <c r="M1559" i="14" s="1"/>
  <c r="N1559" i="14" s="1"/>
  <c r="K1559" i="14"/>
  <c r="N1558" i="14"/>
  <c r="L1558" i="14"/>
  <c r="M1558" i="14" s="1"/>
  <c r="K1558" i="14"/>
  <c r="L1557" i="14"/>
  <c r="M1557" i="14" s="1"/>
  <c r="N1557" i="14" s="1"/>
  <c r="K1557" i="14"/>
  <c r="N1556" i="14"/>
  <c r="L1556" i="14"/>
  <c r="M1556" i="14" s="1"/>
  <c r="K1556" i="14"/>
  <c r="L1555" i="14"/>
  <c r="M1555" i="14" s="1"/>
  <c r="N1555" i="14" s="1"/>
  <c r="K1555" i="14"/>
  <c r="N1554" i="14"/>
  <c r="L1554" i="14"/>
  <c r="M1554" i="14" s="1"/>
  <c r="K1554" i="14"/>
  <c r="L1553" i="14"/>
  <c r="M1553" i="14" s="1"/>
  <c r="N1553" i="14" s="1"/>
  <c r="K1553" i="14"/>
  <c r="N1552" i="14"/>
  <c r="L1552" i="14"/>
  <c r="M1552" i="14" s="1"/>
  <c r="K1552" i="14"/>
  <c r="L1551" i="14"/>
  <c r="M1551" i="14" s="1"/>
  <c r="N1551" i="14" s="1"/>
  <c r="K1551" i="14"/>
  <c r="N1550" i="14"/>
  <c r="L1550" i="14"/>
  <c r="M1550" i="14" s="1"/>
  <c r="K1550" i="14"/>
  <c r="L1549" i="14"/>
  <c r="M1549" i="14" s="1"/>
  <c r="N1549" i="14" s="1"/>
  <c r="K1549" i="14"/>
  <c r="N1548" i="14"/>
  <c r="L1548" i="14"/>
  <c r="M1548" i="14" s="1"/>
  <c r="K1548" i="14"/>
  <c r="L1547" i="14"/>
  <c r="M1547" i="14" s="1"/>
  <c r="N1547" i="14" s="1"/>
  <c r="K1547" i="14"/>
  <c r="N1546" i="14"/>
  <c r="L1546" i="14"/>
  <c r="M1546" i="14" s="1"/>
  <c r="K1546" i="14"/>
  <c r="L1545" i="14"/>
  <c r="M1545" i="14" s="1"/>
  <c r="N1545" i="14" s="1"/>
  <c r="K1545" i="14"/>
  <c r="N1544" i="14"/>
  <c r="L1544" i="14"/>
  <c r="M1544" i="14" s="1"/>
  <c r="K1544" i="14"/>
  <c r="L1543" i="14"/>
  <c r="M1543" i="14" s="1"/>
  <c r="N1543" i="14" s="1"/>
  <c r="K1543" i="14"/>
  <c r="N1542" i="14"/>
  <c r="L1542" i="14"/>
  <c r="M1542" i="14" s="1"/>
  <c r="K1542" i="14"/>
  <c r="L1541" i="14"/>
  <c r="M1541" i="14" s="1"/>
  <c r="N1541" i="14" s="1"/>
  <c r="K1541" i="14"/>
  <c r="N1540" i="14"/>
  <c r="L1540" i="14"/>
  <c r="M1540" i="14" s="1"/>
  <c r="K1540" i="14"/>
  <c r="L1539" i="14"/>
  <c r="M1539" i="14" s="1"/>
  <c r="N1539" i="14" s="1"/>
  <c r="K1539" i="14"/>
  <c r="N1538" i="14"/>
  <c r="L1538" i="14"/>
  <c r="M1538" i="14" s="1"/>
  <c r="K1538" i="14"/>
  <c r="L1537" i="14"/>
  <c r="M1537" i="14" s="1"/>
  <c r="N1537" i="14" s="1"/>
  <c r="K1537" i="14"/>
  <c r="N1536" i="14"/>
  <c r="L1536" i="14"/>
  <c r="M1536" i="14" s="1"/>
  <c r="K1536" i="14"/>
  <c r="L1535" i="14"/>
  <c r="M1535" i="14" s="1"/>
  <c r="N1535" i="14" s="1"/>
  <c r="K1535" i="14"/>
  <c r="N1534" i="14"/>
  <c r="L1534" i="14"/>
  <c r="M1534" i="14" s="1"/>
  <c r="K1534" i="14"/>
  <c r="L1533" i="14"/>
  <c r="M1533" i="14" s="1"/>
  <c r="N1533" i="14" s="1"/>
  <c r="K1533" i="14"/>
  <c r="N1532" i="14"/>
  <c r="L1532" i="14"/>
  <c r="M1532" i="14" s="1"/>
  <c r="K1532" i="14"/>
  <c r="L1531" i="14"/>
  <c r="M1531" i="14" s="1"/>
  <c r="N1531" i="14" s="1"/>
  <c r="K1531" i="14"/>
  <c r="N1530" i="14"/>
  <c r="L1530" i="14"/>
  <c r="M1530" i="14" s="1"/>
  <c r="K1530" i="14"/>
  <c r="L1529" i="14"/>
  <c r="M1529" i="14" s="1"/>
  <c r="N1529" i="14" s="1"/>
  <c r="K1529" i="14"/>
  <c r="N1528" i="14"/>
  <c r="L1528" i="14"/>
  <c r="M1528" i="14" s="1"/>
  <c r="K1528" i="14"/>
  <c r="L1527" i="14"/>
  <c r="M1527" i="14" s="1"/>
  <c r="N1527" i="14" s="1"/>
  <c r="K1527" i="14"/>
  <c r="N1526" i="14"/>
  <c r="L1526" i="14"/>
  <c r="M1526" i="14" s="1"/>
  <c r="K1526" i="14"/>
  <c r="L1525" i="14"/>
  <c r="M1525" i="14" s="1"/>
  <c r="N1525" i="14" s="1"/>
  <c r="K1525" i="14"/>
  <c r="N1524" i="14"/>
  <c r="L1524" i="14"/>
  <c r="M1524" i="14" s="1"/>
  <c r="K1524" i="14"/>
  <c r="L1523" i="14"/>
  <c r="M1523" i="14" s="1"/>
  <c r="N1523" i="14" s="1"/>
  <c r="K1523" i="14"/>
  <c r="N1522" i="14"/>
  <c r="L1522" i="14"/>
  <c r="M1522" i="14" s="1"/>
  <c r="K1522" i="14"/>
  <c r="L1521" i="14"/>
  <c r="M1521" i="14" s="1"/>
  <c r="N1521" i="14" s="1"/>
  <c r="K1521" i="14"/>
  <c r="N1520" i="14"/>
  <c r="L1520" i="14"/>
  <c r="M1520" i="14" s="1"/>
  <c r="K1520" i="14"/>
  <c r="L1519" i="14"/>
  <c r="M1519" i="14" s="1"/>
  <c r="N1519" i="14" s="1"/>
  <c r="K1519" i="14"/>
  <c r="N1518" i="14"/>
  <c r="L1518" i="14"/>
  <c r="M1518" i="14" s="1"/>
  <c r="K1518" i="14"/>
  <c r="L1517" i="14"/>
  <c r="M1517" i="14" s="1"/>
  <c r="N1517" i="14" s="1"/>
  <c r="K1517" i="14"/>
  <c r="N1516" i="14"/>
  <c r="L1516" i="14"/>
  <c r="M1516" i="14" s="1"/>
  <c r="K1516" i="14"/>
  <c r="L1515" i="14"/>
  <c r="M1515" i="14" s="1"/>
  <c r="N1515" i="14" s="1"/>
  <c r="K1515" i="14"/>
  <c r="N1514" i="14"/>
  <c r="L1514" i="14"/>
  <c r="M1514" i="14" s="1"/>
  <c r="K1514" i="14"/>
  <c r="L1513" i="14"/>
  <c r="M1513" i="14" s="1"/>
  <c r="N1513" i="14" s="1"/>
  <c r="K1513" i="14"/>
  <c r="N1512" i="14"/>
  <c r="L1512" i="14"/>
  <c r="M1512" i="14" s="1"/>
  <c r="K1512" i="14"/>
  <c r="L1511" i="14"/>
  <c r="M1511" i="14" s="1"/>
  <c r="N1511" i="14" s="1"/>
  <c r="K1511" i="14"/>
  <c r="N1510" i="14"/>
  <c r="L1510" i="14"/>
  <c r="M1510" i="14" s="1"/>
  <c r="K1510" i="14"/>
  <c r="L1509" i="14"/>
  <c r="M1509" i="14" s="1"/>
  <c r="N1509" i="14" s="1"/>
  <c r="K1509" i="14"/>
  <c r="N1508" i="14"/>
  <c r="L1508" i="14"/>
  <c r="M1508" i="14" s="1"/>
  <c r="K1508" i="14"/>
  <c r="L1507" i="14"/>
  <c r="M1507" i="14" s="1"/>
  <c r="N1507" i="14" s="1"/>
  <c r="K1507" i="14"/>
  <c r="N1506" i="14"/>
  <c r="L1506" i="14"/>
  <c r="M1506" i="14" s="1"/>
  <c r="K1506" i="14"/>
  <c r="L1505" i="14"/>
  <c r="M1505" i="14" s="1"/>
  <c r="N1505" i="14" s="1"/>
  <c r="K1505" i="14"/>
  <c r="N1504" i="14"/>
  <c r="L1504" i="14"/>
  <c r="M1504" i="14" s="1"/>
  <c r="K1504" i="14"/>
  <c r="L1503" i="14"/>
  <c r="M1503" i="14" s="1"/>
  <c r="N1503" i="14" s="1"/>
  <c r="K1503" i="14"/>
  <c r="N1502" i="14"/>
  <c r="L1502" i="14"/>
  <c r="M1502" i="14" s="1"/>
  <c r="K1502" i="14"/>
  <c r="L1501" i="14"/>
  <c r="M1501" i="14" s="1"/>
  <c r="N1501" i="14" s="1"/>
  <c r="K1501" i="14"/>
  <c r="N1500" i="14"/>
  <c r="L1500" i="14"/>
  <c r="M1500" i="14" s="1"/>
  <c r="K1500" i="14"/>
  <c r="L1499" i="14"/>
  <c r="M1499" i="14" s="1"/>
  <c r="N1499" i="14" s="1"/>
  <c r="K1499" i="14"/>
  <c r="N1498" i="14"/>
  <c r="L1498" i="14"/>
  <c r="M1498" i="14" s="1"/>
  <c r="K1498" i="14"/>
  <c r="L1497" i="14"/>
  <c r="M1497" i="14" s="1"/>
  <c r="N1497" i="14" s="1"/>
  <c r="K1497" i="14"/>
  <c r="N1496" i="14"/>
  <c r="L1496" i="14"/>
  <c r="M1496" i="14" s="1"/>
  <c r="K1496" i="14"/>
  <c r="L1495" i="14"/>
  <c r="M1495" i="14" s="1"/>
  <c r="N1495" i="14" s="1"/>
  <c r="K1495" i="14"/>
  <c r="N1494" i="14"/>
  <c r="L1494" i="14"/>
  <c r="M1494" i="14" s="1"/>
  <c r="K1494" i="14"/>
  <c r="L1493" i="14"/>
  <c r="M1493" i="14" s="1"/>
  <c r="N1493" i="14" s="1"/>
  <c r="K1493" i="14"/>
  <c r="N1492" i="14"/>
  <c r="L1492" i="14"/>
  <c r="M1492" i="14" s="1"/>
  <c r="K1492" i="14"/>
  <c r="L1491" i="14"/>
  <c r="M1491" i="14" s="1"/>
  <c r="N1491" i="14" s="1"/>
  <c r="K1491" i="14"/>
  <c r="N1490" i="14"/>
  <c r="L1490" i="14"/>
  <c r="M1490" i="14" s="1"/>
  <c r="K1490" i="14"/>
  <c r="L1489" i="14"/>
  <c r="M1489" i="14" s="1"/>
  <c r="N1489" i="14" s="1"/>
  <c r="K1489" i="14"/>
  <c r="N1488" i="14"/>
  <c r="L1488" i="14"/>
  <c r="M1488" i="14" s="1"/>
  <c r="K1488" i="14"/>
  <c r="L1487" i="14"/>
  <c r="M1487" i="14" s="1"/>
  <c r="N1487" i="14" s="1"/>
  <c r="K1487" i="14"/>
  <c r="N1486" i="14"/>
  <c r="L1486" i="14"/>
  <c r="M1486" i="14" s="1"/>
  <c r="K1486" i="14"/>
  <c r="L1485" i="14"/>
  <c r="M1485" i="14" s="1"/>
  <c r="N1485" i="14" s="1"/>
  <c r="K1485" i="14"/>
  <c r="N1484" i="14"/>
  <c r="L1484" i="14"/>
  <c r="M1484" i="14" s="1"/>
  <c r="K1484" i="14"/>
  <c r="L1483" i="14"/>
  <c r="M1483" i="14" s="1"/>
  <c r="N1483" i="14" s="1"/>
  <c r="K1483" i="14"/>
  <c r="N1482" i="14"/>
  <c r="L1482" i="14"/>
  <c r="M1482" i="14" s="1"/>
  <c r="K1482" i="14"/>
  <c r="L1481" i="14"/>
  <c r="M1481" i="14" s="1"/>
  <c r="N1481" i="14" s="1"/>
  <c r="K1481" i="14"/>
  <c r="N1480" i="14"/>
  <c r="L1480" i="14"/>
  <c r="M1480" i="14" s="1"/>
  <c r="K1480" i="14"/>
  <c r="L1479" i="14"/>
  <c r="M1479" i="14" s="1"/>
  <c r="N1479" i="14" s="1"/>
  <c r="K1479" i="14"/>
  <c r="N1478" i="14"/>
  <c r="L1478" i="14"/>
  <c r="M1478" i="14" s="1"/>
  <c r="K1478" i="14"/>
  <c r="L1477" i="14"/>
  <c r="M1477" i="14" s="1"/>
  <c r="N1477" i="14" s="1"/>
  <c r="K1477" i="14"/>
  <c r="N1476" i="14"/>
  <c r="L1476" i="14"/>
  <c r="M1476" i="14" s="1"/>
  <c r="K1476" i="14"/>
  <c r="L1475" i="14"/>
  <c r="M1475" i="14" s="1"/>
  <c r="N1475" i="14" s="1"/>
  <c r="K1475" i="14"/>
  <c r="N1474" i="14"/>
  <c r="L1474" i="14"/>
  <c r="M1474" i="14" s="1"/>
  <c r="K1474" i="14"/>
  <c r="L1473" i="14"/>
  <c r="M1473" i="14" s="1"/>
  <c r="N1473" i="14" s="1"/>
  <c r="K1473" i="14"/>
  <c r="N1472" i="14"/>
  <c r="L1472" i="14"/>
  <c r="M1472" i="14" s="1"/>
  <c r="K1472" i="14"/>
  <c r="L1471" i="14"/>
  <c r="M1471" i="14" s="1"/>
  <c r="N1471" i="14" s="1"/>
  <c r="K1471" i="14"/>
  <c r="N1470" i="14"/>
  <c r="L1470" i="14"/>
  <c r="M1470" i="14" s="1"/>
  <c r="K1470" i="14"/>
  <c r="L1469" i="14"/>
  <c r="M1469" i="14" s="1"/>
  <c r="N1469" i="14" s="1"/>
  <c r="K1469" i="14"/>
  <c r="N1468" i="14"/>
  <c r="L1468" i="14"/>
  <c r="M1468" i="14" s="1"/>
  <c r="K1468" i="14"/>
  <c r="L1467" i="14"/>
  <c r="M1467" i="14" s="1"/>
  <c r="N1467" i="14" s="1"/>
  <c r="K1467" i="14"/>
  <c r="N1466" i="14"/>
  <c r="L1466" i="14"/>
  <c r="M1466" i="14" s="1"/>
  <c r="K1466" i="14"/>
  <c r="L1465" i="14"/>
  <c r="M1465" i="14" s="1"/>
  <c r="N1465" i="14" s="1"/>
  <c r="K1465" i="14"/>
  <c r="N1464" i="14"/>
  <c r="L1464" i="14"/>
  <c r="M1464" i="14" s="1"/>
  <c r="K1464" i="14"/>
  <c r="L1463" i="14"/>
  <c r="M1463" i="14" s="1"/>
  <c r="N1463" i="14" s="1"/>
  <c r="K1463" i="14"/>
  <c r="N1462" i="14"/>
  <c r="L1462" i="14"/>
  <c r="M1462" i="14" s="1"/>
  <c r="K1462" i="14"/>
  <c r="L1461" i="14"/>
  <c r="M1461" i="14" s="1"/>
  <c r="N1461" i="14" s="1"/>
  <c r="K1461" i="14"/>
  <c r="N1460" i="14"/>
  <c r="L1460" i="14"/>
  <c r="M1460" i="14" s="1"/>
  <c r="K1460" i="14"/>
  <c r="L1459" i="14"/>
  <c r="M1459" i="14" s="1"/>
  <c r="N1459" i="14" s="1"/>
  <c r="K1459" i="14"/>
  <c r="N1458" i="14"/>
  <c r="L1458" i="14"/>
  <c r="M1458" i="14" s="1"/>
  <c r="K1458" i="14"/>
  <c r="L1457" i="14"/>
  <c r="M1457" i="14" s="1"/>
  <c r="N1457" i="14" s="1"/>
  <c r="K1457" i="14"/>
  <c r="N1456" i="14"/>
  <c r="L1456" i="14"/>
  <c r="M1456" i="14" s="1"/>
  <c r="K1456" i="14"/>
  <c r="L1455" i="14"/>
  <c r="M1455" i="14" s="1"/>
  <c r="N1455" i="14" s="1"/>
  <c r="K1455" i="14"/>
  <c r="N1454" i="14"/>
  <c r="L1454" i="14"/>
  <c r="M1454" i="14" s="1"/>
  <c r="K1454" i="14"/>
  <c r="L1453" i="14"/>
  <c r="M1453" i="14" s="1"/>
  <c r="N1453" i="14" s="1"/>
  <c r="K1453" i="14"/>
  <c r="N1452" i="14"/>
  <c r="L1452" i="14"/>
  <c r="M1452" i="14" s="1"/>
  <c r="K1452" i="14"/>
  <c r="L1451" i="14"/>
  <c r="M1451" i="14" s="1"/>
  <c r="N1451" i="14" s="1"/>
  <c r="K1451" i="14"/>
  <c r="N1450" i="14"/>
  <c r="L1450" i="14"/>
  <c r="M1450" i="14" s="1"/>
  <c r="K1450" i="14"/>
  <c r="L1449" i="14"/>
  <c r="M1449" i="14" s="1"/>
  <c r="N1449" i="14" s="1"/>
  <c r="K1449" i="14"/>
  <c r="N1448" i="14"/>
  <c r="L1448" i="14"/>
  <c r="M1448" i="14" s="1"/>
  <c r="K1448" i="14"/>
  <c r="L1447" i="14"/>
  <c r="M1447" i="14" s="1"/>
  <c r="N1447" i="14" s="1"/>
  <c r="K1447" i="14"/>
  <c r="N1446" i="14"/>
  <c r="L1446" i="14"/>
  <c r="M1446" i="14" s="1"/>
  <c r="K1446" i="14"/>
  <c r="L1445" i="14"/>
  <c r="M1445" i="14" s="1"/>
  <c r="N1445" i="14" s="1"/>
  <c r="K1445" i="14"/>
  <c r="N1444" i="14"/>
  <c r="L1444" i="14"/>
  <c r="M1444" i="14" s="1"/>
  <c r="K1444" i="14"/>
  <c r="L1443" i="14"/>
  <c r="M1443" i="14" s="1"/>
  <c r="N1443" i="14" s="1"/>
  <c r="K1443" i="14"/>
  <c r="N1442" i="14"/>
  <c r="L1442" i="14"/>
  <c r="M1442" i="14" s="1"/>
  <c r="K1442" i="14"/>
  <c r="L1441" i="14"/>
  <c r="M1441" i="14" s="1"/>
  <c r="N1441" i="14" s="1"/>
  <c r="K1441" i="14"/>
  <c r="N1440" i="14"/>
  <c r="L1440" i="14"/>
  <c r="M1440" i="14" s="1"/>
  <c r="K1440" i="14"/>
  <c r="L1439" i="14"/>
  <c r="M1439" i="14" s="1"/>
  <c r="N1439" i="14" s="1"/>
  <c r="K1439" i="14"/>
  <c r="N1438" i="14"/>
  <c r="L1438" i="14"/>
  <c r="M1438" i="14" s="1"/>
  <c r="K1438" i="14"/>
  <c r="L1437" i="14"/>
  <c r="M1437" i="14" s="1"/>
  <c r="N1437" i="14" s="1"/>
  <c r="K1437" i="14"/>
  <c r="N1436" i="14"/>
  <c r="L1436" i="14"/>
  <c r="M1436" i="14" s="1"/>
  <c r="K1436" i="14"/>
  <c r="L1435" i="14"/>
  <c r="M1435" i="14" s="1"/>
  <c r="N1435" i="14" s="1"/>
  <c r="K1435" i="14"/>
  <c r="N1434" i="14"/>
  <c r="L1434" i="14"/>
  <c r="M1434" i="14" s="1"/>
  <c r="K1434" i="14"/>
  <c r="L1433" i="14"/>
  <c r="M1433" i="14" s="1"/>
  <c r="N1433" i="14" s="1"/>
  <c r="K1433" i="14"/>
  <c r="N1432" i="14"/>
  <c r="L1432" i="14"/>
  <c r="M1432" i="14" s="1"/>
  <c r="K1432" i="14"/>
  <c r="L1431" i="14"/>
  <c r="M1431" i="14" s="1"/>
  <c r="N1431" i="14" s="1"/>
  <c r="K1431" i="14"/>
  <c r="N1430" i="14"/>
  <c r="L1430" i="14"/>
  <c r="M1430" i="14" s="1"/>
  <c r="K1430" i="14"/>
  <c r="L1429" i="14"/>
  <c r="M1429" i="14" s="1"/>
  <c r="N1429" i="14" s="1"/>
  <c r="K1429" i="14"/>
  <c r="N1428" i="14"/>
  <c r="L1428" i="14"/>
  <c r="M1428" i="14" s="1"/>
  <c r="K1428" i="14"/>
  <c r="L1427" i="14"/>
  <c r="M1427" i="14" s="1"/>
  <c r="N1427" i="14" s="1"/>
  <c r="K1427" i="14"/>
  <c r="N1426" i="14"/>
  <c r="L1426" i="14"/>
  <c r="M1426" i="14" s="1"/>
  <c r="K1426" i="14"/>
  <c r="L1425" i="14"/>
  <c r="M1425" i="14" s="1"/>
  <c r="N1425" i="14" s="1"/>
  <c r="K1425" i="14"/>
  <c r="N1424" i="14"/>
  <c r="L1424" i="14"/>
  <c r="M1424" i="14" s="1"/>
  <c r="K1424" i="14"/>
  <c r="L1423" i="14"/>
  <c r="M1423" i="14" s="1"/>
  <c r="N1423" i="14" s="1"/>
  <c r="K1423" i="14"/>
  <c r="N1422" i="14"/>
  <c r="L1422" i="14"/>
  <c r="M1422" i="14" s="1"/>
  <c r="K1422" i="14"/>
  <c r="L1421" i="14"/>
  <c r="M1421" i="14" s="1"/>
  <c r="N1421" i="14" s="1"/>
  <c r="K1421" i="14"/>
  <c r="N1420" i="14"/>
  <c r="L1420" i="14"/>
  <c r="M1420" i="14" s="1"/>
  <c r="K1420" i="14"/>
  <c r="L1419" i="14"/>
  <c r="M1419" i="14" s="1"/>
  <c r="N1419" i="14" s="1"/>
  <c r="K1419" i="14"/>
  <c r="N1418" i="14"/>
  <c r="L1418" i="14"/>
  <c r="M1418" i="14" s="1"/>
  <c r="K1418" i="14"/>
  <c r="L1417" i="14"/>
  <c r="M1417" i="14" s="1"/>
  <c r="N1417" i="14" s="1"/>
  <c r="K1417" i="14"/>
  <c r="N1416" i="14"/>
  <c r="L1416" i="14"/>
  <c r="M1416" i="14" s="1"/>
  <c r="K1416" i="14"/>
  <c r="L1415" i="14"/>
  <c r="M1415" i="14" s="1"/>
  <c r="N1415" i="14" s="1"/>
  <c r="K1415" i="14"/>
  <c r="N1414" i="14"/>
  <c r="L1414" i="14"/>
  <c r="M1414" i="14" s="1"/>
  <c r="K1414" i="14"/>
  <c r="L1413" i="14"/>
  <c r="M1413" i="14" s="1"/>
  <c r="N1413" i="14" s="1"/>
  <c r="K1413" i="14"/>
  <c r="N1412" i="14"/>
  <c r="L1412" i="14"/>
  <c r="M1412" i="14" s="1"/>
  <c r="K1412" i="14"/>
  <c r="L1411" i="14"/>
  <c r="M1411" i="14" s="1"/>
  <c r="N1411" i="14" s="1"/>
  <c r="K1411" i="14"/>
  <c r="N1410" i="14"/>
  <c r="L1410" i="14"/>
  <c r="M1410" i="14" s="1"/>
  <c r="K1410" i="14"/>
  <c r="L1409" i="14"/>
  <c r="M1409" i="14" s="1"/>
  <c r="N1409" i="14" s="1"/>
  <c r="K1409" i="14"/>
  <c r="N1408" i="14"/>
  <c r="L1408" i="14"/>
  <c r="M1408" i="14" s="1"/>
  <c r="K1408" i="14"/>
  <c r="L1407" i="14"/>
  <c r="M1407" i="14" s="1"/>
  <c r="N1407" i="14" s="1"/>
  <c r="K1407" i="14"/>
  <c r="N1406" i="14"/>
  <c r="L1406" i="14"/>
  <c r="M1406" i="14" s="1"/>
  <c r="K1406" i="14"/>
  <c r="L1405" i="14"/>
  <c r="M1405" i="14" s="1"/>
  <c r="N1405" i="14" s="1"/>
  <c r="K1405" i="14"/>
  <c r="N1404" i="14"/>
  <c r="L1404" i="14"/>
  <c r="M1404" i="14" s="1"/>
  <c r="K1404" i="14"/>
  <c r="L1403" i="14"/>
  <c r="M1403" i="14" s="1"/>
  <c r="N1403" i="14" s="1"/>
  <c r="K1403" i="14"/>
  <c r="L1402" i="14"/>
  <c r="M1402" i="14" s="1"/>
  <c r="N1402" i="14" s="1"/>
  <c r="K1402" i="14"/>
  <c r="L1401" i="14"/>
  <c r="M1401" i="14" s="1"/>
  <c r="N1401" i="14" s="1"/>
  <c r="K1401" i="14"/>
  <c r="N1400" i="14"/>
  <c r="L1400" i="14"/>
  <c r="M1400" i="14" s="1"/>
  <c r="K1400" i="14"/>
  <c r="L1399" i="14"/>
  <c r="M1399" i="14" s="1"/>
  <c r="N1399" i="14" s="1"/>
  <c r="K1399" i="14"/>
  <c r="N1398" i="14"/>
  <c r="L1398" i="14"/>
  <c r="M1398" i="14" s="1"/>
  <c r="K1398" i="14"/>
  <c r="L1397" i="14"/>
  <c r="M1397" i="14" s="1"/>
  <c r="N1397" i="14" s="1"/>
  <c r="K1397" i="14"/>
  <c r="N1396" i="14"/>
  <c r="L1396" i="14"/>
  <c r="M1396" i="14" s="1"/>
  <c r="K1396" i="14"/>
  <c r="N1395" i="14"/>
  <c r="L1395" i="14"/>
  <c r="M1395" i="14" s="1"/>
  <c r="K1395" i="14"/>
  <c r="L1394" i="14"/>
  <c r="M1394" i="14" s="1"/>
  <c r="N1394" i="14" s="1"/>
  <c r="K1394" i="14"/>
  <c r="L1393" i="14"/>
  <c r="M1393" i="14" s="1"/>
  <c r="N1393" i="14" s="1"/>
  <c r="K1393" i="14"/>
  <c r="N1392" i="14"/>
  <c r="L1392" i="14"/>
  <c r="M1392" i="14" s="1"/>
  <c r="K1392" i="14"/>
  <c r="L1391" i="14"/>
  <c r="M1391" i="14" s="1"/>
  <c r="N1391" i="14" s="1"/>
  <c r="K1391" i="14"/>
  <c r="N1390" i="14"/>
  <c r="L1390" i="14"/>
  <c r="M1390" i="14" s="1"/>
  <c r="K1390" i="14"/>
  <c r="L1389" i="14"/>
  <c r="M1389" i="14" s="1"/>
  <c r="N1389" i="14" s="1"/>
  <c r="K1389" i="14"/>
  <c r="N1388" i="14"/>
  <c r="L1388" i="14"/>
  <c r="M1388" i="14" s="1"/>
  <c r="K1388" i="14"/>
  <c r="N1387" i="14"/>
  <c r="L1387" i="14"/>
  <c r="M1387" i="14" s="1"/>
  <c r="K1387" i="14"/>
  <c r="L1386" i="14"/>
  <c r="M1386" i="14" s="1"/>
  <c r="N1386" i="14" s="1"/>
  <c r="K1386" i="14"/>
  <c r="L1385" i="14"/>
  <c r="M1385" i="14" s="1"/>
  <c r="N1385" i="14" s="1"/>
  <c r="K1385" i="14"/>
  <c r="N1384" i="14"/>
  <c r="L1384" i="14"/>
  <c r="M1384" i="14" s="1"/>
  <c r="K1384" i="14"/>
  <c r="L1383" i="14"/>
  <c r="M1383" i="14" s="1"/>
  <c r="N1383" i="14" s="1"/>
  <c r="K1383" i="14"/>
  <c r="N1382" i="14"/>
  <c r="L1382" i="14"/>
  <c r="M1382" i="14" s="1"/>
  <c r="K1382" i="14"/>
  <c r="L1381" i="14"/>
  <c r="M1381" i="14" s="1"/>
  <c r="N1381" i="14" s="1"/>
  <c r="K1381" i="14"/>
  <c r="N1380" i="14"/>
  <c r="L1380" i="14"/>
  <c r="M1380" i="14" s="1"/>
  <c r="K1380" i="14"/>
  <c r="N1379" i="14"/>
  <c r="L1379" i="14"/>
  <c r="M1379" i="14" s="1"/>
  <c r="K1379" i="14"/>
  <c r="L1378" i="14"/>
  <c r="M1378" i="14" s="1"/>
  <c r="N1378" i="14" s="1"/>
  <c r="K1378" i="14"/>
  <c r="L1377" i="14"/>
  <c r="M1377" i="14" s="1"/>
  <c r="N1377" i="14" s="1"/>
  <c r="K1377" i="14"/>
  <c r="N1376" i="14"/>
  <c r="L1376" i="14"/>
  <c r="M1376" i="14" s="1"/>
  <c r="K1376" i="14"/>
  <c r="L1375" i="14"/>
  <c r="M1375" i="14" s="1"/>
  <c r="N1375" i="14" s="1"/>
  <c r="K1375" i="14"/>
  <c r="N1374" i="14"/>
  <c r="L1374" i="14"/>
  <c r="M1374" i="14" s="1"/>
  <c r="K1374" i="14"/>
  <c r="L1373" i="14"/>
  <c r="M1373" i="14" s="1"/>
  <c r="N1373" i="14" s="1"/>
  <c r="K1373" i="14"/>
  <c r="N1372" i="14"/>
  <c r="L1372" i="14"/>
  <c r="M1372" i="14" s="1"/>
  <c r="K1372" i="14"/>
  <c r="L1371" i="14"/>
  <c r="M1371" i="14" s="1"/>
  <c r="N1371" i="14" s="1"/>
  <c r="K1371" i="14"/>
  <c r="N1370" i="14"/>
  <c r="L1370" i="14"/>
  <c r="M1370" i="14" s="1"/>
  <c r="K1370" i="14"/>
  <c r="L1369" i="14"/>
  <c r="M1369" i="14" s="1"/>
  <c r="N1369" i="14" s="1"/>
  <c r="K1369" i="14"/>
  <c r="N1368" i="14"/>
  <c r="L1368" i="14"/>
  <c r="M1368" i="14" s="1"/>
  <c r="K1368" i="14"/>
  <c r="L1367" i="14"/>
  <c r="M1367" i="14" s="1"/>
  <c r="N1367" i="14" s="1"/>
  <c r="K1367" i="14"/>
  <c r="N1366" i="14"/>
  <c r="L1366" i="14"/>
  <c r="M1366" i="14" s="1"/>
  <c r="K1366" i="14"/>
  <c r="L1365" i="14"/>
  <c r="M1365" i="14" s="1"/>
  <c r="N1365" i="14" s="1"/>
  <c r="K1365" i="14"/>
  <c r="N1364" i="14"/>
  <c r="L1364" i="14"/>
  <c r="M1364" i="14" s="1"/>
  <c r="K1364" i="14"/>
  <c r="L1363" i="14"/>
  <c r="M1363" i="14" s="1"/>
  <c r="N1363" i="14" s="1"/>
  <c r="K1363" i="14"/>
  <c r="N1362" i="14"/>
  <c r="L1362" i="14"/>
  <c r="M1362" i="14" s="1"/>
  <c r="K1362" i="14"/>
  <c r="L1361" i="14"/>
  <c r="M1361" i="14" s="1"/>
  <c r="N1361" i="14" s="1"/>
  <c r="K1361" i="14"/>
  <c r="N1360" i="14"/>
  <c r="L1360" i="14"/>
  <c r="M1360" i="14" s="1"/>
  <c r="K1360" i="14"/>
  <c r="L1359" i="14"/>
  <c r="M1359" i="14" s="1"/>
  <c r="N1359" i="14" s="1"/>
  <c r="K1359" i="14"/>
  <c r="N1358" i="14"/>
  <c r="L1358" i="14"/>
  <c r="M1358" i="14" s="1"/>
  <c r="K1358" i="14"/>
  <c r="L1357" i="14"/>
  <c r="M1357" i="14" s="1"/>
  <c r="N1357" i="14" s="1"/>
  <c r="K1357" i="14"/>
  <c r="N1356" i="14"/>
  <c r="L1356" i="14"/>
  <c r="M1356" i="14" s="1"/>
  <c r="K1356" i="14"/>
  <c r="L1355" i="14"/>
  <c r="M1355" i="14" s="1"/>
  <c r="N1355" i="14" s="1"/>
  <c r="K1355" i="14"/>
  <c r="N1354" i="14"/>
  <c r="L1354" i="14"/>
  <c r="M1354" i="14" s="1"/>
  <c r="K1354" i="14"/>
  <c r="L1353" i="14"/>
  <c r="M1353" i="14" s="1"/>
  <c r="N1353" i="14" s="1"/>
  <c r="K1353" i="14"/>
  <c r="N1352" i="14"/>
  <c r="L1352" i="14"/>
  <c r="M1352" i="14" s="1"/>
  <c r="K1352" i="14"/>
  <c r="L1351" i="14"/>
  <c r="M1351" i="14" s="1"/>
  <c r="N1351" i="14" s="1"/>
  <c r="K1351" i="14"/>
  <c r="N1350" i="14"/>
  <c r="L1350" i="14"/>
  <c r="M1350" i="14" s="1"/>
  <c r="K1350" i="14"/>
  <c r="L1349" i="14"/>
  <c r="M1349" i="14" s="1"/>
  <c r="N1349" i="14" s="1"/>
  <c r="K1349" i="14"/>
  <c r="N1348" i="14"/>
  <c r="L1348" i="14"/>
  <c r="M1348" i="14" s="1"/>
  <c r="K1348" i="14"/>
  <c r="L1347" i="14"/>
  <c r="M1347" i="14" s="1"/>
  <c r="N1347" i="14" s="1"/>
  <c r="K1347" i="14"/>
  <c r="N1346" i="14"/>
  <c r="L1346" i="14"/>
  <c r="M1346" i="14" s="1"/>
  <c r="K1346" i="14"/>
  <c r="L1345" i="14"/>
  <c r="M1345" i="14" s="1"/>
  <c r="N1345" i="14" s="1"/>
  <c r="K1345" i="14"/>
  <c r="N1344" i="14"/>
  <c r="L1344" i="14"/>
  <c r="M1344" i="14" s="1"/>
  <c r="K1344" i="14"/>
  <c r="L1343" i="14"/>
  <c r="M1343" i="14" s="1"/>
  <c r="N1343" i="14" s="1"/>
  <c r="K1343" i="14"/>
  <c r="N1342" i="14"/>
  <c r="L1342" i="14"/>
  <c r="M1342" i="14" s="1"/>
  <c r="K1342" i="14"/>
  <c r="L1341" i="14"/>
  <c r="M1341" i="14" s="1"/>
  <c r="N1341" i="14" s="1"/>
  <c r="K1341" i="14"/>
  <c r="N1340" i="14"/>
  <c r="L1340" i="14"/>
  <c r="M1340" i="14" s="1"/>
  <c r="K1340" i="14"/>
  <c r="L1339" i="14"/>
  <c r="M1339" i="14" s="1"/>
  <c r="N1339" i="14" s="1"/>
  <c r="K1339" i="14"/>
  <c r="N1338" i="14"/>
  <c r="L1338" i="14"/>
  <c r="M1338" i="14" s="1"/>
  <c r="K1338" i="14"/>
  <c r="L1337" i="14"/>
  <c r="M1337" i="14" s="1"/>
  <c r="N1337" i="14" s="1"/>
  <c r="K1337" i="14"/>
  <c r="N1336" i="14"/>
  <c r="L1336" i="14"/>
  <c r="M1336" i="14" s="1"/>
  <c r="K1336" i="14"/>
  <c r="L1335" i="14"/>
  <c r="M1335" i="14" s="1"/>
  <c r="N1335" i="14" s="1"/>
  <c r="K1335" i="14"/>
  <c r="N1334" i="14"/>
  <c r="L1334" i="14"/>
  <c r="M1334" i="14" s="1"/>
  <c r="K1334" i="14"/>
  <c r="L1333" i="14"/>
  <c r="M1333" i="14" s="1"/>
  <c r="N1333" i="14" s="1"/>
  <c r="K1333" i="14"/>
  <c r="N1332" i="14"/>
  <c r="L1332" i="14"/>
  <c r="M1332" i="14" s="1"/>
  <c r="K1332" i="14"/>
  <c r="L1331" i="14"/>
  <c r="M1331" i="14" s="1"/>
  <c r="N1331" i="14" s="1"/>
  <c r="K1331" i="14"/>
  <c r="N1330" i="14"/>
  <c r="L1330" i="14"/>
  <c r="M1330" i="14" s="1"/>
  <c r="K1330" i="14"/>
  <c r="L1329" i="14"/>
  <c r="M1329" i="14" s="1"/>
  <c r="N1329" i="14" s="1"/>
  <c r="K1329" i="14"/>
  <c r="N1328" i="14"/>
  <c r="L1328" i="14"/>
  <c r="M1328" i="14" s="1"/>
  <c r="K1328" i="14"/>
  <c r="L1327" i="14"/>
  <c r="M1327" i="14" s="1"/>
  <c r="N1327" i="14" s="1"/>
  <c r="K1327" i="14"/>
  <c r="N1326" i="14"/>
  <c r="L1326" i="14"/>
  <c r="M1326" i="14" s="1"/>
  <c r="K1326" i="14"/>
  <c r="L1325" i="14"/>
  <c r="M1325" i="14" s="1"/>
  <c r="N1325" i="14" s="1"/>
  <c r="K1325" i="14"/>
  <c r="N1324" i="14"/>
  <c r="L1324" i="14"/>
  <c r="M1324" i="14" s="1"/>
  <c r="K1324" i="14"/>
  <c r="L1323" i="14"/>
  <c r="M1323" i="14" s="1"/>
  <c r="N1323" i="14" s="1"/>
  <c r="K1323" i="14"/>
  <c r="N1322" i="14"/>
  <c r="L1322" i="14"/>
  <c r="M1322" i="14" s="1"/>
  <c r="K1322" i="14"/>
  <c r="M1321" i="14"/>
  <c r="N1321" i="14" s="1"/>
  <c r="L1321" i="14"/>
  <c r="K1321" i="14"/>
  <c r="M1320" i="14"/>
  <c r="N1320" i="14" s="1"/>
  <c r="L1320" i="14"/>
  <c r="K1320" i="14"/>
  <c r="M1319" i="14"/>
  <c r="N1319" i="14" s="1"/>
  <c r="L1319" i="14"/>
  <c r="K1319" i="14"/>
  <c r="M1318" i="14"/>
  <c r="N1318" i="14" s="1"/>
  <c r="L1318" i="14"/>
  <c r="K1318" i="14"/>
  <c r="M1317" i="14"/>
  <c r="N1317" i="14" s="1"/>
  <c r="L1317" i="14"/>
  <c r="K1317" i="14"/>
  <c r="M1316" i="14"/>
  <c r="N1316" i="14" s="1"/>
  <c r="L1316" i="14"/>
  <c r="K1316" i="14"/>
  <c r="M1315" i="14"/>
  <c r="N1315" i="14" s="1"/>
  <c r="L1315" i="14"/>
  <c r="K1315" i="14"/>
  <c r="M1314" i="14"/>
  <c r="N1314" i="14" s="1"/>
  <c r="L1314" i="14"/>
  <c r="K1314" i="14"/>
  <c r="M1313" i="14"/>
  <c r="N1313" i="14" s="1"/>
  <c r="L1313" i="14"/>
  <c r="K1313" i="14"/>
  <c r="M1312" i="14"/>
  <c r="N1312" i="14" s="1"/>
  <c r="L1312" i="14"/>
  <c r="K1312" i="14"/>
  <c r="M1311" i="14"/>
  <c r="N1311" i="14" s="1"/>
  <c r="L1311" i="14"/>
  <c r="K1311" i="14"/>
  <c r="M1310" i="14"/>
  <c r="N1310" i="14" s="1"/>
  <c r="L1310" i="14"/>
  <c r="K1310" i="14"/>
  <c r="M1309" i="14"/>
  <c r="N1309" i="14" s="1"/>
  <c r="L1309" i="14"/>
  <c r="K1309" i="14"/>
  <c r="M1308" i="14"/>
  <c r="N1308" i="14" s="1"/>
  <c r="L1308" i="14"/>
  <c r="K1308" i="14"/>
  <c r="M1307" i="14"/>
  <c r="N1307" i="14" s="1"/>
  <c r="L1307" i="14"/>
  <c r="K1307" i="14"/>
  <c r="M1306" i="14"/>
  <c r="N1306" i="14" s="1"/>
  <c r="L1306" i="14"/>
  <c r="K1306" i="14"/>
  <c r="M1305" i="14"/>
  <c r="N1305" i="14" s="1"/>
  <c r="L1305" i="14"/>
  <c r="K1305" i="14"/>
  <c r="M1304" i="14"/>
  <c r="N1304" i="14" s="1"/>
  <c r="L1304" i="14"/>
  <c r="K1304" i="14"/>
  <c r="M1303" i="14"/>
  <c r="N1303" i="14" s="1"/>
  <c r="L1303" i="14"/>
  <c r="K1303" i="14"/>
  <c r="M1302" i="14"/>
  <c r="N1302" i="14" s="1"/>
  <c r="L1302" i="14"/>
  <c r="K1302" i="14"/>
  <c r="M1301" i="14"/>
  <c r="N1301" i="14" s="1"/>
  <c r="L1301" i="14"/>
  <c r="K1301" i="14"/>
  <c r="M1300" i="14"/>
  <c r="N1300" i="14" s="1"/>
  <c r="L1300" i="14"/>
  <c r="K1300" i="14"/>
  <c r="M1299" i="14"/>
  <c r="N1299" i="14" s="1"/>
  <c r="L1299" i="14"/>
  <c r="K1299" i="14"/>
  <c r="M1298" i="14"/>
  <c r="N1298" i="14" s="1"/>
  <c r="L1298" i="14"/>
  <c r="K1298" i="14"/>
  <c r="M1297" i="14"/>
  <c r="N1297" i="14" s="1"/>
  <c r="L1297" i="14"/>
  <c r="K1297" i="14"/>
  <c r="M1296" i="14"/>
  <c r="N1296" i="14" s="1"/>
  <c r="L1296" i="14"/>
  <c r="K1296" i="14"/>
  <c r="M1295" i="14"/>
  <c r="N1295" i="14" s="1"/>
  <c r="L1295" i="14"/>
  <c r="K1295" i="14"/>
  <c r="M1294" i="14"/>
  <c r="N1294" i="14" s="1"/>
  <c r="L1294" i="14"/>
  <c r="K1294" i="14"/>
  <c r="M1293" i="14"/>
  <c r="N1293" i="14" s="1"/>
  <c r="L1293" i="14"/>
  <c r="K1293" i="14"/>
  <c r="M1292" i="14"/>
  <c r="N1292" i="14" s="1"/>
  <c r="L1292" i="14"/>
  <c r="K1292" i="14"/>
  <c r="M1291" i="14"/>
  <c r="N1291" i="14" s="1"/>
  <c r="L1291" i="14"/>
  <c r="K1291" i="14"/>
  <c r="M1290" i="14"/>
  <c r="N1290" i="14" s="1"/>
  <c r="L1290" i="14"/>
  <c r="K1290" i="14"/>
  <c r="M1289" i="14"/>
  <c r="N1289" i="14" s="1"/>
  <c r="L1289" i="14"/>
  <c r="K1289" i="14"/>
  <c r="M1288" i="14"/>
  <c r="N1288" i="14" s="1"/>
  <c r="L1288" i="14"/>
  <c r="K1288" i="14"/>
  <c r="M1287" i="14"/>
  <c r="N1287" i="14" s="1"/>
  <c r="L1287" i="14"/>
  <c r="K1287" i="14"/>
  <c r="M1286" i="14"/>
  <c r="N1286" i="14" s="1"/>
  <c r="L1286" i="14"/>
  <c r="K1286" i="14"/>
  <c r="M1285" i="14"/>
  <c r="N1285" i="14" s="1"/>
  <c r="L1285" i="14"/>
  <c r="K1285" i="14"/>
  <c r="M1284" i="14"/>
  <c r="N1284" i="14" s="1"/>
  <c r="L1284" i="14"/>
  <c r="K1284" i="14"/>
  <c r="M1283" i="14"/>
  <c r="N1283" i="14" s="1"/>
  <c r="L1283" i="14"/>
  <c r="K1283" i="14"/>
  <c r="M1282" i="14"/>
  <c r="N1282" i="14" s="1"/>
  <c r="L1282" i="14"/>
  <c r="K1282" i="14"/>
  <c r="M1281" i="14"/>
  <c r="N1281" i="14" s="1"/>
  <c r="L1281" i="14"/>
  <c r="K1281" i="14"/>
  <c r="M1280" i="14"/>
  <c r="N1280" i="14" s="1"/>
  <c r="L1280" i="14"/>
  <c r="K1280" i="14"/>
  <c r="M1279" i="14"/>
  <c r="N1279" i="14" s="1"/>
  <c r="L1279" i="14"/>
  <c r="K1279" i="14"/>
  <c r="M1278" i="14"/>
  <c r="N1278" i="14" s="1"/>
  <c r="L1278" i="14"/>
  <c r="K1278" i="14"/>
  <c r="M1277" i="14"/>
  <c r="N1277" i="14" s="1"/>
  <c r="L1277" i="14"/>
  <c r="K1277" i="14"/>
  <c r="M1276" i="14"/>
  <c r="N1276" i="14" s="1"/>
  <c r="L1276" i="14"/>
  <c r="K1276" i="14"/>
  <c r="M1275" i="14"/>
  <c r="N1275" i="14" s="1"/>
  <c r="L1275" i="14"/>
  <c r="K1275" i="14"/>
  <c r="M1274" i="14"/>
  <c r="N1274" i="14" s="1"/>
  <c r="L1274" i="14"/>
  <c r="K1274" i="14"/>
  <c r="M1273" i="14"/>
  <c r="N1273" i="14" s="1"/>
  <c r="L1273" i="14"/>
  <c r="K1273" i="14"/>
  <c r="M1272" i="14"/>
  <c r="N1272" i="14" s="1"/>
  <c r="L1272" i="14"/>
  <c r="K1272" i="14"/>
  <c r="M1271" i="14"/>
  <c r="N1271" i="14" s="1"/>
  <c r="L1271" i="14"/>
  <c r="K1271" i="14"/>
  <c r="M1270" i="14"/>
  <c r="N1270" i="14" s="1"/>
  <c r="L1270" i="14"/>
  <c r="K1270" i="14"/>
  <c r="M1269" i="14"/>
  <c r="N1269" i="14" s="1"/>
  <c r="L1269" i="14"/>
  <c r="K1269" i="14"/>
  <c r="M1268" i="14"/>
  <c r="N1268" i="14" s="1"/>
  <c r="L1268" i="14"/>
  <c r="K1268" i="14"/>
  <c r="M1267" i="14"/>
  <c r="N1267" i="14" s="1"/>
  <c r="L1267" i="14"/>
  <c r="K1267" i="14"/>
  <c r="M1266" i="14"/>
  <c r="N1266" i="14" s="1"/>
  <c r="L1266" i="14"/>
  <c r="K1266" i="14"/>
  <c r="M1265" i="14"/>
  <c r="N1265" i="14" s="1"/>
  <c r="L1265" i="14"/>
  <c r="K1265" i="14"/>
  <c r="M1264" i="14"/>
  <c r="N1264" i="14" s="1"/>
  <c r="L1264" i="14"/>
  <c r="K1264" i="14"/>
  <c r="M1263" i="14"/>
  <c r="N1263" i="14" s="1"/>
  <c r="L1263" i="14"/>
  <c r="K1263" i="14"/>
  <c r="M1262" i="14"/>
  <c r="N1262" i="14" s="1"/>
  <c r="L1262" i="14"/>
  <c r="K1262" i="14"/>
  <c r="M1261" i="14"/>
  <c r="N1261" i="14" s="1"/>
  <c r="L1261" i="14"/>
  <c r="K1261" i="14"/>
  <c r="M1260" i="14"/>
  <c r="N1260" i="14" s="1"/>
  <c r="L1260" i="14"/>
  <c r="K1260" i="14"/>
  <c r="M1259" i="14"/>
  <c r="N1259" i="14" s="1"/>
  <c r="L1259" i="14"/>
  <c r="K1259" i="14"/>
  <c r="M1258" i="14"/>
  <c r="N1258" i="14" s="1"/>
  <c r="L1258" i="14"/>
  <c r="K1258" i="14"/>
  <c r="M1257" i="14"/>
  <c r="N1257" i="14" s="1"/>
  <c r="L1257" i="14"/>
  <c r="K1257" i="14"/>
  <c r="L1256" i="14"/>
  <c r="M1256" i="14" s="1"/>
  <c r="N1256" i="14" s="1"/>
  <c r="K1256" i="14"/>
  <c r="L1255" i="14"/>
  <c r="M1255" i="14" s="1"/>
  <c r="N1255" i="14" s="1"/>
  <c r="K1255" i="14"/>
  <c r="M1254" i="14"/>
  <c r="N1254" i="14" s="1"/>
  <c r="L1254" i="14"/>
  <c r="K1254" i="14"/>
  <c r="L1253" i="14"/>
  <c r="M1253" i="14" s="1"/>
  <c r="N1253" i="14" s="1"/>
  <c r="K1253" i="14"/>
  <c r="L1252" i="14"/>
  <c r="M1252" i="14" s="1"/>
  <c r="N1252" i="14" s="1"/>
  <c r="K1252" i="14"/>
  <c r="L1251" i="14"/>
  <c r="M1251" i="14" s="1"/>
  <c r="N1251" i="14" s="1"/>
  <c r="K1251" i="14"/>
  <c r="M1250" i="14"/>
  <c r="N1250" i="14" s="1"/>
  <c r="L1250" i="14"/>
  <c r="K1250" i="14"/>
  <c r="L1249" i="14"/>
  <c r="M1249" i="14" s="1"/>
  <c r="N1249" i="14" s="1"/>
  <c r="K1249" i="14"/>
  <c r="L1248" i="14"/>
  <c r="M1248" i="14" s="1"/>
  <c r="N1248" i="14" s="1"/>
  <c r="K1248" i="14"/>
  <c r="L1247" i="14"/>
  <c r="M1247" i="14" s="1"/>
  <c r="N1247" i="14" s="1"/>
  <c r="K1247" i="14"/>
  <c r="M1246" i="14"/>
  <c r="N1246" i="14" s="1"/>
  <c r="L1246" i="14"/>
  <c r="K1246" i="14"/>
  <c r="L1245" i="14"/>
  <c r="M1245" i="14" s="1"/>
  <c r="N1245" i="14" s="1"/>
  <c r="K1245" i="14"/>
  <c r="L1244" i="14"/>
  <c r="M1244" i="14" s="1"/>
  <c r="N1244" i="14" s="1"/>
  <c r="K1244" i="14"/>
  <c r="L1243" i="14"/>
  <c r="M1243" i="14" s="1"/>
  <c r="N1243" i="14" s="1"/>
  <c r="K1243" i="14"/>
  <c r="M1242" i="14"/>
  <c r="N1242" i="14" s="1"/>
  <c r="L1242" i="14"/>
  <c r="K1242" i="14"/>
  <c r="L1241" i="14"/>
  <c r="M1241" i="14" s="1"/>
  <c r="N1241" i="14" s="1"/>
  <c r="K1241" i="14"/>
  <c r="L1240" i="14"/>
  <c r="M1240" i="14" s="1"/>
  <c r="N1240" i="14" s="1"/>
  <c r="K1240" i="14"/>
  <c r="L1239" i="14"/>
  <c r="M1239" i="14" s="1"/>
  <c r="N1239" i="14" s="1"/>
  <c r="K1239" i="14"/>
  <c r="M1238" i="14"/>
  <c r="N1238" i="14" s="1"/>
  <c r="L1238" i="14"/>
  <c r="K1238" i="14"/>
  <c r="L1237" i="14"/>
  <c r="M1237" i="14" s="1"/>
  <c r="N1237" i="14" s="1"/>
  <c r="K1237" i="14"/>
  <c r="L1236" i="14"/>
  <c r="M1236" i="14" s="1"/>
  <c r="N1236" i="14" s="1"/>
  <c r="K1236" i="14"/>
  <c r="L1235" i="14"/>
  <c r="M1235" i="14" s="1"/>
  <c r="N1235" i="14" s="1"/>
  <c r="K1235" i="14"/>
  <c r="M1234" i="14"/>
  <c r="N1234" i="14" s="1"/>
  <c r="L1234" i="14"/>
  <c r="K1234" i="14"/>
  <c r="L1233" i="14"/>
  <c r="M1233" i="14" s="1"/>
  <c r="N1233" i="14" s="1"/>
  <c r="K1233" i="14"/>
  <c r="L1232" i="14"/>
  <c r="M1232" i="14" s="1"/>
  <c r="N1232" i="14" s="1"/>
  <c r="K1232" i="14"/>
  <c r="L1231" i="14"/>
  <c r="M1231" i="14" s="1"/>
  <c r="N1231" i="14" s="1"/>
  <c r="K1231" i="14"/>
  <c r="M1230" i="14"/>
  <c r="N1230" i="14" s="1"/>
  <c r="L1230" i="14"/>
  <c r="K1230" i="14"/>
  <c r="L1229" i="14"/>
  <c r="M1229" i="14" s="1"/>
  <c r="N1229" i="14" s="1"/>
  <c r="K1229" i="14"/>
  <c r="L1228" i="14"/>
  <c r="M1228" i="14" s="1"/>
  <c r="N1228" i="14" s="1"/>
  <c r="K1228" i="14"/>
  <c r="L1227" i="14"/>
  <c r="M1227" i="14" s="1"/>
  <c r="N1227" i="14" s="1"/>
  <c r="K1227" i="14"/>
  <c r="M1226" i="14"/>
  <c r="N1226" i="14" s="1"/>
  <c r="L1226" i="14"/>
  <c r="K1226" i="14"/>
  <c r="L1225" i="14"/>
  <c r="M1225" i="14" s="1"/>
  <c r="N1225" i="14" s="1"/>
  <c r="K1225" i="14"/>
  <c r="L1224" i="14"/>
  <c r="M1224" i="14" s="1"/>
  <c r="N1224" i="14" s="1"/>
  <c r="K1224" i="14"/>
  <c r="L1223" i="14"/>
  <c r="M1223" i="14" s="1"/>
  <c r="N1223" i="14" s="1"/>
  <c r="K1223" i="14"/>
  <c r="M1222" i="14"/>
  <c r="N1222" i="14" s="1"/>
  <c r="L1222" i="14"/>
  <c r="K1222" i="14"/>
  <c r="L1221" i="14"/>
  <c r="M1221" i="14" s="1"/>
  <c r="N1221" i="14" s="1"/>
  <c r="K1221" i="14"/>
  <c r="L1220" i="14"/>
  <c r="M1220" i="14" s="1"/>
  <c r="N1220" i="14" s="1"/>
  <c r="K1220" i="14"/>
  <c r="L1219" i="14"/>
  <c r="M1219" i="14" s="1"/>
  <c r="N1219" i="14" s="1"/>
  <c r="K1219" i="14"/>
  <c r="M1218" i="14"/>
  <c r="N1218" i="14" s="1"/>
  <c r="L1218" i="14"/>
  <c r="K1218" i="14"/>
  <c r="L1217" i="14"/>
  <c r="M1217" i="14" s="1"/>
  <c r="N1217" i="14" s="1"/>
  <c r="K1217" i="14"/>
  <c r="L1216" i="14"/>
  <c r="M1216" i="14" s="1"/>
  <c r="N1216" i="14" s="1"/>
  <c r="K1216" i="14"/>
  <c r="L1215" i="14"/>
  <c r="M1215" i="14" s="1"/>
  <c r="N1215" i="14" s="1"/>
  <c r="K1215" i="14"/>
  <c r="M1214" i="14"/>
  <c r="N1214" i="14" s="1"/>
  <c r="L1214" i="14"/>
  <c r="K1214" i="14"/>
  <c r="L1213" i="14"/>
  <c r="M1213" i="14" s="1"/>
  <c r="N1213" i="14" s="1"/>
  <c r="K1213" i="14"/>
  <c r="L1212" i="14"/>
  <c r="M1212" i="14" s="1"/>
  <c r="N1212" i="14" s="1"/>
  <c r="K1212" i="14"/>
  <c r="L1211" i="14"/>
  <c r="M1211" i="14" s="1"/>
  <c r="N1211" i="14" s="1"/>
  <c r="K1211" i="14"/>
  <c r="M1210" i="14"/>
  <c r="N1210" i="14" s="1"/>
  <c r="L1210" i="14"/>
  <c r="K1210" i="14"/>
  <c r="L1209" i="14"/>
  <c r="M1209" i="14" s="1"/>
  <c r="N1209" i="14" s="1"/>
  <c r="K1209" i="14"/>
  <c r="L1208" i="14"/>
  <c r="M1208" i="14" s="1"/>
  <c r="N1208" i="14" s="1"/>
  <c r="K1208" i="14"/>
  <c r="L1207" i="14"/>
  <c r="M1207" i="14" s="1"/>
  <c r="N1207" i="14" s="1"/>
  <c r="K1207" i="14"/>
  <c r="M1206" i="14"/>
  <c r="N1206" i="14" s="1"/>
  <c r="L1206" i="14"/>
  <c r="K1206" i="14"/>
  <c r="L1205" i="14"/>
  <c r="M1205" i="14" s="1"/>
  <c r="N1205" i="14" s="1"/>
  <c r="K1205" i="14"/>
  <c r="L1204" i="14"/>
  <c r="M1204" i="14" s="1"/>
  <c r="N1204" i="14" s="1"/>
  <c r="K1204" i="14"/>
  <c r="L1203" i="14"/>
  <c r="M1203" i="14" s="1"/>
  <c r="N1203" i="14" s="1"/>
  <c r="K1203" i="14"/>
  <c r="M1202" i="14"/>
  <c r="N1202" i="14" s="1"/>
  <c r="L1202" i="14"/>
  <c r="K1202" i="14"/>
  <c r="L1201" i="14"/>
  <c r="M1201" i="14" s="1"/>
  <c r="N1201" i="14" s="1"/>
  <c r="K1201" i="14"/>
  <c r="L1200" i="14"/>
  <c r="M1200" i="14" s="1"/>
  <c r="N1200" i="14" s="1"/>
  <c r="K1200" i="14"/>
  <c r="L1199" i="14"/>
  <c r="M1199" i="14" s="1"/>
  <c r="N1199" i="14" s="1"/>
  <c r="K1199" i="14"/>
  <c r="M1198" i="14"/>
  <c r="N1198" i="14" s="1"/>
  <c r="L1198" i="14"/>
  <c r="K1198" i="14"/>
  <c r="L1197" i="14"/>
  <c r="M1197" i="14" s="1"/>
  <c r="N1197" i="14" s="1"/>
  <c r="K1197" i="14"/>
  <c r="L1196" i="14"/>
  <c r="M1196" i="14" s="1"/>
  <c r="N1196" i="14" s="1"/>
  <c r="K1196" i="14"/>
  <c r="L1195" i="14"/>
  <c r="M1195" i="14" s="1"/>
  <c r="N1195" i="14" s="1"/>
  <c r="K1195" i="14"/>
  <c r="M1194" i="14"/>
  <c r="N1194" i="14" s="1"/>
  <c r="L1194" i="14"/>
  <c r="K1194" i="14"/>
  <c r="L1193" i="14"/>
  <c r="M1193" i="14" s="1"/>
  <c r="N1193" i="14" s="1"/>
  <c r="K1193" i="14"/>
  <c r="L1192" i="14"/>
  <c r="M1192" i="14" s="1"/>
  <c r="N1192" i="14" s="1"/>
  <c r="K1192" i="14"/>
  <c r="L1191" i="14"/>
  <c r="M1191" i="14" s="1"/>
  <c r="N1191" i="14" s="1"/>
  <c r="K1191" i="14"/>
  <c r="M1190" i="14"/>
  <c r="N1190" i="14" s="1"/>
  <c r="L1190" i="14"/>
  <c r="K1190" i="14"/>
  <c r="L1189" i="14"/>
  <c r="M1189" i="14" s="1"/>
  <c r="N1189" i="14" s="1"/>
  <c r="K1189" i="14"/>
  <c r="L1188" i="14"/>
  <c r="M1188" i="14" s="1"/>
  <c r="N1188" i="14" s="1"/>
  <c r="K1188" i="14"/>
  <c r="L1187" i="14"/>
  <c r="M1187" i="14" s="1"/>
  <c r="N1187" i="14" s="1"/>
  <c r="K1187" i="14"/>
  <c r="M1186" i="14"/>
  <c r="N1186" i="14" s="1"/>
  <c r="L1186" i="14"/>
  <c r="K1186" i="14"/>
  <c r="L1185" i="14"/>
  <c r="M1185" i="14" s="1"/>
  <c r="N1185" i="14" s="1"/>
  <c r="K1185" i="14"/>
  <c r="L1184" i="14"/>
  <c r="M1184" i="14" s="1"/>
  <c r="N1184" i="14" s="1"/>
  <c r="K1184" i="14"/>
  <c r="L1183" i="14"/>
  <c r="M1183" i="14" s="1"/>
  <c r="N1183" i="14" s="1"/>
  <c r="K1183" i="14"/>
  <c r="M1182" i="14"/>
  <c r="N1182" i="14" s="1"/>
  <c r="L1182" i="14"/>
  <c r="K1182" i="14"/>
  <c r="L1181" i="14"/>
  <c r="M1181" i="14" s="1"/>
  <c r="N1181" i="14" s="1"/>
  <c r="K1181" i="14"/>
  <c r="L1180" i="14"/>
  <c r="M1180" i="14" s="1"/>
  <c r="N1180" i="14" s="1"/>
  <c r="K1180" i="14"/>
  <c r="L1179" i="14"/>
  <c r="M1179" i="14" s="1"/>
  <c r="N1179" i="14" s="1"/>
  <c r="K1179" i="14"/>
  <c r="M1178" i="14"/>
  <c r="N1178" i="14" s="1"/>
  <c r="L1178" i="14"/>
  <c r="K1178" i="14"/>
  <c r="L1177" i="14"/>
  <c r="M1177" i="14" s="1"/>
  <c r="N1177" i="14" s="1"/>
  <c r="K1177" i="14"/>
  <c r="L1176" i="14"/>
  <c r="M1176" i="14" s="1"/>
  <c r="N1176" i="14" s="1"/>
  <c r="K1176" i="14"/>
  <c r="L1175" i="14"/>
  <c r="M1175" i="14" s="1"/>
  <c r="N1175" i="14" s="1"/>
  <c r="K1175" i="14"/>
  <c r="M1174" i="14"/>
  <c r="N1174" i="14" s="1"/>
  <c r="L1174" i="14"/>
  <c r="K1174" i="14"/>
  <c r="L1173" i="14"/>
  <c r="M1173" i="14" s="1"/>
  <c r="N1173" i="14" s="1"/>
  <c r="K1173" i="14"/>
  <c r="L1172" i="14"/>
  <c r="M1172" i="14" s="1"/>
  <c r="N1172" i="14" s="1"/>
  <c r="K1172" i="14"/>
  <c r="L1171" i="14"/>
  <c r="M1171" i="14" s="1"/>
  <c r="N1171" i="14" s="1"/>
  <c r="K1171" i="14"/>
  <c r="M1170" i="14"/>
  <c r="N1170" i="14" s="1"/>
  <c r="L1170" i="14"/>
  <c r="K1170" i="14"/>
  <c r="L1169" i="14"/>
  <c r="M1169" i="14" s="1"/>
  <c r="N1169" i="14" s="1"/>
  <c r="K1169" i="14"/>
  <c r="L1168" i="14"/>
  <c r="M1168" i="14" s="1"/>
  <c r="N1168" i="14" s="1"/>
  <c r="K1168" i="14"/>
  <c r="L1167" i="14"/>
  <c r="M1167" i="14" s="1"/>
  <c r="N1167" i="14" s="1"/>
  <c r="K1167" i="14"/>
  <c r="M1166" i="14"/>
  <c r="N1166" i="14" s="1"/>
  <c r="L1166" i="14"/>
  <c r="K1166" i="14"/>
  <c r="L1165" i="14"/>
  <c r="M1165" i="14" s="1"/>
  <c r="N1165" i="14" s="1"/>
  <c r="K1165" i="14"/>
  <c r="L1164" i="14"/>
  <c r="M1164" i="14" s="1"/>
  <c r="N1164" i="14" s="1"/>
  <c r="K1164" i="14"/>
  <c r="L1163" i="14"/>
  <c r="M1163" i="14" s="1"/>
  <c r="N1163" i="14" s="1"/>
  <c r="K1163" i="14"/>
  <c r="M1162" i="14"/>
  <c r="N1162" i="14" s="1"/>
  <c r="L1162" i="14"/>
  <c r="K1162" i="14"/>
  <c r="L1161" i="14"/>
  <c r="M1161" i="14" s="1"/>
  <c r="N1161" i="14" s="1"/>
  <c r="K1161" i="14"/>
  <c r="L1160" i="14"/>
  <c r="M1160" i="14" s="1"/>
  <c r="N1160" i="14" s="1"/>
  <c r="K1160" i="14"/>
  <c r="L1159" i="14"/>
  <c r="M1159" i="14" s="1"/>
  <c r="N1159" i="14" s="1"/>
  <c r="K1159" i="14"/>
  <c r="M1158" i="14"/>
  <c r="N1158" i="14" s="1"/>
  <c r="L1158" i="14"/>
  <c r="K1158" i="14"/>
  <c r="L1157" i="14"/>
  <c r="M1157" i="14" s="1"/>
  <c r="N1157" i="14" s="1"/>
  <c r="K1157" i="14"/>
  <c r="L1156" i="14"/>
  <c r="M1156" i="14" s="1"/>
  <c r="N1156" i="14" s="1"/>
  <c r="K1156" i="14"/>
  <c r="L1155" i="14"/>
  <c r="M1155" i="14" s="1"/>
  <c r="N1155" i="14" s="1"/>
  <c r="K1155" i="14"/>
  <c r="M1154" i="14"/>
  <c r="N1154" i="14" s="1"/>
  <c r="L1154" i="14"/>
  <c r="K1154" i="14"/>
  <c r="L1153" i="14"/>
  <c r="M1153" i="14" s="1"/>
  <c r="N1153" i="14" s="1"/>
  <c r="K1153" i="14"/>
  <c r="L1152" i="14"/>
  <c r="M1152" i="14" s="1"/>
  <c r="N1152" i="14" s="1"/>
  <c r="K1152" i="14"/>
  <c r="L1151" i="14"/>
  <c r="M1151" i="14" s="1"/>
  <c r="N1151" i="14" s="1"/>
  <c r="K1151" i="14"/>
  <c r="M1150" i="14"/>
  <c r="N1150" i="14" s="1"/>
  <c r="L1150" i="14"/>
  <c r="K1150" i="14"/>
  <c r="L1149" i="14"/>
  <c r="M1149" i="14" s="1"/>
  <c r="N1149" i="14" s="1"/>
  <c r="K1149" i="14"/>
  <c r="L1148" i="14"/>
  <c r="M1148" i="14" s="1"/>
  <c r="N1148" i="14" s="1"/>
  <c r="K1148" i="14"/>
  <c r="L1147" i="14"/>
  <c r="M1147" i="14" s="1"/>
  <c r="N1147" i="14" s="1"/>
  <c r="K1147" i="14"/>
  <c r="M1146" i="14"/>
  <c r="N1146" i="14" s="1"/>
  <c r="L1146" i="14"/>
  <c r="K1146" i="14"/>
  <c r="L1145" i="14"/>
  <c r="M1145" i="14" s="1"/>
  <c r="N1145" i="14" s="1"/>
  <c r="K1145" i="14"/>
  <c r="L1144" i="14"/>
  <c r="M1144" i="14" s="1"/>
  <c r="N1144" i="14" s="1"/>
  <c r="K1144" i="14"/>
  <c r="L1143" i="14"/>
  <c r="M1143" i="14" s="1"/>
  <c r="N1143" i="14" s="1"/>
  <c r="K1143" i="14"/>
  <c r="M1142" i="14"/>
  <c r="N1142" i="14" s="1"/>
  <c r="L1142" i="14"/>
  <c r="K1142" i="14"/>
  <c r="L1141" i="14"/>
  <c r="M1141" i="14" s="1"/>
  <c r="N1141" i="14" s="1"/>
  <c r="K1141" i="14"/>
  <c r="L1140" i="14"/>
  <c r="M1140" i="14" s="1"/>
  <c r="N1140" i="14" s="1"/>
  <c r="K1140" i="14"/>
  <c r="L1139" i="14"/>
  <c r="M1139" i="14" s="1"/>
  <c r="N1139" i="14" s="1"/>
  <c r="K1139" i="14"/>
  <c r="M1138" i="14"/>
  <c r="N1138" i="14" s="1"/>
  <c r="L1138" i="14"/>
  <c r="K1138" i="14"/>
  <c r="L1137" i="14"/>
  <c r="M1137" i="14" s="1"/>
  <c r="N1137" i="14" s="1"/>
  <c r="K1137" i="14"/>
  <c r="L1136" i="14"/>
  <c r="M1136" i="14" s="1"/>
  <c r="N1136" i="14" s="1"/>
  <c r="K1136" i="14"/>
  <c r="L1135" i="14"/>
  <c r="M1135" i="14" s="1"/>
  <c r="N1135" i="14" s="1"/>
  <c r="K1135" i="14"/>
  <c r="M1134" i="14"/>
  <c r="N1134" i="14" s="1"/>
  <c r="L1134" i="14"/>
  <c r="K1134" i="14"/>
  <c r="L1133" i="14"/>
  <c r="M1133" i="14" s="1"/>
  <c r="N1133" i="14" s="1"/>
  <c r="K1133" i="14"/>
  <c r="L1132" i="14"/>
  <c r="M1132" i="14" s="1"/>
  <c r="N1132" i="14" s="1"/>
  <c r="K1132" i="14"/>
  <c r="L1131" i="14"/>
  <c r="M1131" i="14" s="1"/>
  <c r="N1131" i="14" s="1"/>
  <c r="K1131" i="14"/>
  <c r="M1130" i="14"/>
  <c r="N1130" i="14" s="1"/>
  <c r="L1130" i="14"/>
  <c r="K1130" i="14"/>
  <c r="L1129" i="14"/>
  <c r="M1129" i="14" s="1"/>
  <c r="N1129" i="14" s="1"/>
  <c r="K1129" i="14"/>
  <c r="L1128" i="14"/>
  <c r="M1128" i="14" s="1"/>
  <c r="N1128" i="14" s="1"/>
  <c r="K1128" i="14"/>
  <c r="L1127" i="14"/>
  <c r="M1127" i="14" s="1"/>
  <c r="N1127" i="14" s="1"/>
  <c r="K1127" i="14"/>
  <c r="M1126" i="14"/>
  <c r="N1126" i="14" s="1"/>
  <c r="L1126" i="14"/>
  <c r="K1126" i="14"/>
  <c r="L1125" i="14"/>
  <c r="M1125" i="14" s="1"/>
  <c r="N1125" i="14" s="1"/>
  <c r="K1125" i="14"/>
  <c r="L1124" i="14"/>
  <c r="M1124" i="14" s="1"/>
  <c r="N1124" i="14" s="1"/>
  <c r="K1124" i="14"/>
  <c r="L1123" i="14"/>
  <c r="M1123" i="14" s="1"/>
  <c r="N1123" i="14" s="1"/>
  <c r="K1123" i="14"/>
  <c r="M1122" i="14"/>
  <c r="N1122" i="14" s="1"/>
  <c r="L1122" i="14"/>
  <c r="K1122" i="14"/>
  <c r="L1121" i="14"/>
  <c r="M1121" i="14" s="1"/>
  <c r="N1121" i="14" s="1"/>
  <c r="K1121" i="14"/>
  <c r="L1120" i="14"/>
  <c r="M1120" i="14" s="1"/>
  <c r="N1120" i="14" s="1"/>
  <c r="K1120" i="14"/>
  <c r="L1119" i="14"/>
  <c r="M1119" i="14" s="1"/>
  <c r="N1119" i="14" s="1"/>
  <c r="K1119" i="14"/>
  <c r="M1118" i="14"/>
  <c r="N1118" i="14" s="1"/>
  <c r="L1118" i="14"/>
  <c r="K1118" i="14"/>
  <c r="L1117" i="14"/>
  <c r="M1117" i="14" s="1"/>
  <c r="N1117" i="14" s="1"/>
  <c r="K1117" i="14"/>
  <c r="L1116" i="14"/>
  <c r="M1116" i="14" s="1"/>
  <c r="N1116" i="14" s="1"/>
  <c r="K1116" i="14"/>
  <c r="L1115" i="14"/>
  <c r="M1115" i="14" s="1"/>
  <c r="N1115" i="14" s="1"/>
  <c r="K1115" i="14"/>
  <c r="M1114" i="14"/>
  <c r="N1114" i="14" s="1"/>
  <c r="L1114" i="14"/>
  <c r="K1114" i="14"/>
  <c r="L1113" i="14"/>
  <c r="M1113" i="14" s="1"/>
  <c r="N1113" i="14" s="1"/>
  <c r="K1113" i="14"/>
  <c r="L1112" i="14"/>
  <c r="M1112" i="14" s="1"/>
  <c r="N1112" i="14" s="1"/>
  <c r="K1112" i="14"/>
  <c r="L1111" i="14"/>
  <c r="M1111" i="14" s="1"/>
  <c r="N1111" i="14" s="1"/>
  <c r="K1111" i="14"/>
  <c r="M1110" i="14"/>
  <c r="N1110" i="14" s="1"/>
  <c r="L1110" i="14"/>
  <c r="K1110" i="14"/>
  <c r="L1109" i="14"/>
  <c r="M1109" i="14" s="1"/>
  <c r="N1109" i="14" s="1"/>
  <c r="K1109" i="14"/>
  <c r="L1108" i="14"/>
  <c r="M1108" i="14" s="1"/>
  <c r="N1108" i="14" s="1"/>
  <c r="K1108" i="14"/>
  <c r="L1107" i="14"/>
  <c r="M1107" i="14" s="1"/>
  <c r="N1107" i="14" s="1"/>
  <c r="K1107" i="14"/>
  <c r="M1106" i="14"/>
  <c r="N1106" i="14" s="1"/>
  <c r="L1106" i="14"/>
  <c r="K1106" i="14"/>
  <c r="L1105" i="14"/>
  <c r="M1105" i="14" s="1"/>
  <c r="N1105" i="14" s="1"/>
  <c r="K1105" i="14"/>
  <c r="L1104" i="14"/>
  <c r="M1104" i="14" s="1"/>
  <c r="N1104" i="14" s="1"/>
  <c r="K1104" i="14"/>
  <c r="L1103" i="14"/>
  <c r="M1103" i="14" s="1"/>
  <c r="N1103" i="14" s="1"/>
  <c r="K1103" i="14"/>
  <c r="M1102" i="14"/>
  <c r="N1102" i="14" s="1"/>
  <c r="L1102" i="14"/>
  <c r="K1102" i="14"/>
  <c r="L1101" i="14"/>
  <c r="M1101" i="14" s="1"/>
  <c r="N1101" i="14" s="1"/>
  <c r="K1101" i="14"/>
  <c r="L1100" i="14"/>
  <c r="M1100" i="14" s="1"/>
  <c r="N1100" i="14" s="1"/>
  <c r="K1100" i="14"/>
  <c r="L1099" i="14"/>
  <c r="M1099" i="14" s="1"/>
  <c r="N1099" i="14" s="1"/>
  <c r="K1099" i="14"/>
  <c r="M1098" i="14"/>
  <c r="N1098" i="14" s="1"/>
  <c r="L1098" i="14"/>
  <c r="K1098" i="14"/>
  <c r="L1097" i="14"/>
  <c r="M1097" i="14" s="1"/>
  <c r="N1097" i="14" s="1"/>
  <c r="K1097" i="14"/>
  <c r="L1096" i="14"/>
  <c r="M1096" i="14" s="1"/>
  <c r="N1096" i="14" s="1"/>
  <c r="K1096" i="14"/>
  <c r="L1095" i="14"/>
  <c r="M1095" i="14" s="1"/>
  <c r="N1095" i="14" s="1"/>
  <c r="K1095" i="14"/>
  <c r="M1094" i="14"/>
  <c r="N1094" i="14" s="1"/>
  <c r="L1094" i="14"/>
  <c r="K1094" i="14"/>
  <c r="L1093" i="14"/>
  <c r="M1093" i="14" s="1"/>
  <c r="N1093" i="14" s="1"/>
  <c r="K1093" i="14"/>
  <c r="L1092" i="14"/>
  <c r="M1092" i="14" s="1"/>
  <c r="N1092" i="14" s="1"/>
  <c r="K1092" i="14"/>
  <c r="L1091" i="14"/>
  <c r="M1091" i="14" s="1"/>
  <c r="N1091" i="14" s="1"/>
  <c r="K1091" i="14"/>
  <c r="M1090" i="14"/>
  <c r="N1090" i="14" s="1"/>
  <c r="L1090" i="14"/>
  <c r="K1090" i="14"/>
  <c r="L1089" i="14"/>
  <c r="M1089" i="14" s="1"/>
  <c r="N1089" i="14" s="1"/>
  <c r="K1089" i="14"/>
  <c r="L1088" i="14"/>
  <c r="M1088" i="14" s="1"/>
  <c r="N1088" i="14" s="1"/>
  <c r="K1088" i="14"/>
  <c r="L1087" i="14"/>
  <c r="M1087" i="14" s="1"/>
  <c r="N1087" i="14" s="1"/>
  <c r="K1087" i="14"/>
  <c r="M1086" i="14"/>
  <c r="N1086" i="14" s="1"/>
  <c r="L1086" i="14"/>
  <c r="K1086" i="14"/>
  <c r="L1085" i="14"/>
  <c r="M1085" i="14" s="1"/>
  <c r="N1085" i="14" s="1"/>
  <c r="K1085" i="14"/>
  <c r="L1084" i="14"/>
  <c r="M1084" i="14" s="1"/>
  <c r="N1084" i="14" s="1"/>
  <c r="K1084" i="14"/>
  <c r="L1083" i="14"/>
  <c r="M1083" i="14" s="1"/>
  <c r="N1083" i="14" s="1"/>
  <c r="K1083" i="14"/>
  <c r="M1082" i="14"/>
  <c r="N1082" i="14" s="1"/>
  <c r="L1082" i="14"/>
  <c r="K1082" i="14"/>
  <c r="L1081" i="14"/>
  <c r="M1081" i="14" s="1"/>
  <c r="N1081" i="14" s="1"/>
  <c r="K1081" i="14"/>
  <c r="L1080" i="14"/>
  <c r="M1080" i="14" s="1"/>
  <c r="N1080" i="14" s="1"/>
  <c r="K1080" i="14"/>
  <c r="L1079" i="14"/>
  <c r="M1079" i="14" s="1"/>
  <c r="N1079" i="14" s="1"/>
  <c r="K1079" i="14"/>
  <c r="M1078" i="14"/>
  <c r="N1078" i="14" s="1"/>
  <c r="L1078" i="14"/>
  <c r="K1078" i="14"/>
  <c r="L1077" i="14"/>
  <c r="M1077" i="14" s="1"/>
  <c r="N1077" i="14" s="1"/>
  <c r="K1077" i="14"/>
  <c r="L1076" i="14"/>
  <c r="M1076" i="14" s="1"/>
  <c r="N1076" i="14" s="1"/>
  <c r="K1076" i="14"/>
  <c r="L1075" i="14"/>
  <c r="M1075" i="14" s="1"/>
  <c r="N1075" i="14" s="1"/>
  <c r="K1075" i="14"/>
  <c r="M1074" i="14"/>
  <c r="N1074" i="14" s="1"/>
  <c r="L1074" i="14"/>
  <c r="K1074" i="14"/>
  <c r="L1073" i="14"/>
  <c r="M1073" i="14" s="1"/>
  <c r="N1073" i="14" s="1"/>
  <c r="K1073" i="14"/>
  <c r="L1072" i="14"/>
  <c r="M1072" i="14" s="1"/>
  <c r="N1072" i="14" s="1"/>
  <c r="K1072" i="14"/>
  <c r="L1071" i="14"/>
  <c r="M1071" i="14" s="1"/>
  <c r="N1071" i="14" s="1"/>
  <c r="K1071" i="14"/>
  <c r="M1070" i="14"/>
  <c r="N1070" i="14" s="1"/>
  <c r="L1070" i="14"/>
  <c r="K1070" i="14"/>
  <c r="L1069" i="14"/>
  <c r="M1069" i="14" s="1"/>
  <c r="N1069" i="14" s="1"/>
  <c r="K1069" i="14"/>
  <c r="L1068" i="14"/>
  <c r="M1068" i="14" s="1"/>
  <c r="N1068" i="14" s="1"/>
  <c r="K1068" i="14"/>
  <c r="L1067" i="14"/>
  <c r="M1067" i="14" s="1"/>
  <c r="N1067" i="14" s="1"/>
  <c r="K1067" i="14"/>
  <c r="M1066" i="14"/>
  <c r="N1066" i="14" s="1"/>
  <c r="L1066" i="14"/>
  <c r="K1066" i="14"/>
  <c r="L1065" i="14"/>
  <c r="M1065" i="14" s="1"/>
  <c r="N1065" i="14" s="1"/>
  <c r="K1065" i="14"/>
  <c r="L1064" i="14"/>
  <c r="M1064" i="14" s="1"/>
  <c r="N1064" i="14" s="1"/>
  <c r="K1064" i="14"/>
  <c r="L1063" i="14"/>
  <c r="M1063" i="14" s="1"/>
  <c r="N1063" i="14" s="1"/>
  <c r="K1063" i="14"/>
  <c r="M1062" i="14"/>
  <c r="N1062" i="14" s="1"/>
  <c r="L1062" i="14"/>
  <c r="K1062" i="14"/>
  <c r="L1061" i="14"/>
  <c r="M1061" i="14" s="1"/>
  <c r="N1061" i="14" s="1"/>
  <c r="K1061" i="14"/>
  <c r="L1060" i="14"/>
  <c r="M1060" i="14" s="1"/>
  <c r="N1060" i="14" s="1"/>
  <c r="K1060" i="14"/>
  <c r="L1059" i="14"/>
  <c r="M1059" i="14" s="1"/>
  <c r="N1059" i="14" s="1"/>
  <c r="K1059" i="14"/>
  <c r="M1058" i="14"/>
  <c r="N1058" i="14" s="1"/>
  <c r="L1058" i="14"/>
  <c r="K1058" i="14"/>
  <c r="L1057" i="14"/>
  <c r="M1057" i="14" s="1"/>
  <c r="N1057" i="14" s="1"/>
  <c r="K1057" i="14"/>
  <c r="L1056" i="14"/>
  <c r="M1056" i="14" s="1"/>
  <c r="N1056" i="14" s="1"/>
  <c r="K1056" i="14"/>
  <c r="L1055" i="14"/>
  <c r="M1055" i="14" s="1"/>
  <c r="N1055" i="14" s="1"/>
  <c r="K1055" i="14"/>
  <c r="M1054" i="14"/>
  <c r="N1054" i="14" s="1"/>
  <c r="L1054" i="14"/>
  <c r="K1054" i="14"/>
  <c r="L1053" i="14"/>
  <c r="M1053" i="14" s="1"/>
  <c r="N1053" i="14" s="1"/>
  <c r="K1053" i="14"/>
  <c r="L1052" i="14"/>
  <c r="M1052" i="14" s="1"/>
  <c r="N1052" i="14" s="1"/>
  <c r="K1052" i="14"/>
  <c r="L1051" i="14"/>
  <c r="M1051" i="14" s="1"/>
  <c r="N1051" i="14" s="1"/>
  <c r="K1051" i="14"/>
  <c r="M1050" i="14"/>
  <c r="N1050" i="14" s="1"/>
  <c r="L1050" i="14"/>
  <c r="K1050" i="14"/>
  <c r="L1049" i="14"/>
  <c r="M1049" i="14" s="1"/>
  <c r="N1049" i="14" s="1"/>
  <c r="K1049" i="14"/>
  <c r="L1048" i="14"/>
  <c r="M1048" i="14" s="1"/>
  <c r="N1048" i="14" s="1"/>
  <c r="K1048" i="14"/>
  <c r="L1047" i="14"/>
  <c r="M1047" i="14" s="1"/>
  <c r="N1047" i="14" s="1"/>
  <c r="K1047" i="14"/>
  <c r="M1046" i="14"/>
  <c r="N1046" i="14" s="1"/>
  <c r="L1046" i="14"/>
  <c r="K1046" i="14"/>
  <c r="L1045" i="14"/>
  <c r="M1045" i="14" s="1"/>
  <c r="N1045" i="14" s="1"/>
  <c r="K1045" i="14"/>
  <c r="L1044" i="14"/>
  <c r="M1044" i="14" s="1"/>
  <c r="N1044" i="14" s="1"/>
  <c r="K1044" i="14"/>
  <c r="L1043" i="14"/>
  <c r="M1043" i="14" s="1"/>
  <c r="N1043" i="14" s="1"/>
  <c r="K1043" i="14"/>
  <c r="M1042" i="14"/>
  <c r="N1042" i="14" s="1"/>
  <c r="L1042" i="14"/>
  <c r="K1042" i="14"/>
  <c r="L1041" i="14"/>
  <c r="M1041" i="14" s="1"/>
  <c r="N1041" i="14" s="1"/>
  <c r="K1041" i="14"/>
  <c r="L1040" i="14"/>
  <c r="M1040" i="14" s="1"/>
  <c r="N1040" i="14" s="1"/>
  <c r="K1040" i="14"/>
  <c r="L1039" i="14"/>
  <c r="M1039" i="14" s="1"/>
  <c r="N1039" i="14" s="1"/>
  <c r="K1039" i="14"/>
  <c r="M1038" i="14"/>
  <c r="N1038" i="14" s="1"/>
  <c r="L1038" i="14"/>
  <c r="K1038" i="14"/>
  <c r="L1037" i="14"/>
  <c r="M1037" i="14" s="1"/>
  <c r="N1037" i="14" s="1"/>
  <c r="K1037" i="14"/>
  <c r="L1036" i="14"/>
  <c r="M1036" i="14" s="1"/>
  <c r="N1036" i="14" s="1"/>
  <c r="K1036" i="14"/>
  <c r="L1035" i="14"/>
  <c r="M1035" i="14" s="1"/>
  <c r="N1035" i="14" s="1"/>
  <c r="K1035" i="14"/>
  <c r="M1034" i="14"/>
  <c r="N1034" i="14" s="1"/>
  <c r="L1034" i="14"/>
  <c r="K1034" i="14"/>
  <c r="L1033" i="14"/>
  <c r="M1033" i="14" s="1"/>
  <c r="N1033" i="14" s="1"/>
  <c r="K1033" i="14"/>
  <c r="L1032" i="14"/>
  <c r="M1032" i="14" s="1"/>
  <c r="N1032" i="14" s="1"/>
  <c r="K1032" i="14"/>
  <c r="L1031" i="14"/>
  <c r="M1031" i="14" s="1"/>
  <c r="N1031" i="14" s="1"/>
  <c r="K1031" i="14"/>
  <c r="M1030" i="14"/>
  <c r="N1030" i="14" s="1"/>
  <c r="L1030" i="14"/>
  <c r="K1030" i="14"/>
  <c r="L1029" i="14"/>
  <c r="M1029" i="14" s="1"/>
  <c r="N1029" i="14" s="1"/>
  <c r="K1029" i="14"/>
  <c r="L1028" i="14"/>
  <c r="M1028" i="14" s="1"/>
  <c r="N1028" i="14" s="1"/>
  <c r="K1028" i="14"/>
  <c r="L1027" i="14"/>
  <c r="M1027" i="14" s="1"/>
  <c r="N1027" i="14" s="1"/>
  <c r="K1027" i="14"/>
  <c r="M1026" i="14"/>
  <c r="N1026" i="14" s="1"/>
  <c r="L1026" i="14"/>
  <c r="K1026" i="14"/>
  <c r="L1025" i="14"/>
  <c r="M1025" i="14" s="1"/>
  <c r="N1025" i="14" s="1"/>
  <c r="K1025" i="14"/>
  <c r="L1024" i="14"/>
  <c r="M1024" i="14" s="1"/>
  <c r="N1024" i="14" s="1"/>
  <c r="K1024" i="14"/>
  <c r="L1023" i="14"/>
  <c r="M1023" i="14" s="1"/>
  <c r="N1023" i="14" s="1"/>
  <c r="K1023" i="14"/>
  <c r="M1022" i="14"/>
  <c r="N1022" i="14" s="1"/>
  <c r="L1022" i="14"/>
  <c r="K1022" i="14"/>
  <c r="L1021" i="14"/>
  <c r="M1021" i="14" s="1"/>
  <c r="N1021" i="14" s="1"/>
  <c r="K1021" i="14"/>
  <c r="L1020" i="14"/>
  <c r="M1020" i="14" s="1"/>
  <c r="N1020" i="14" s="1"/>
  <c r="K1020" i="14"/>
  <c r="L1019" i="14"/>
  <c r="M1019" i="14" s="1"/>
  <c r="N1019" i="14" s="1"/>
  <c r="K1019" i="14"/>
  <c r="M1018" i="14"/>
  <c r="N1018" i="14" s="1"/>
  <c r="L1018" i="14"/>
  <c r="K1018" i="14"/>
  <c r="L1017" i="14"/>
  <c r="M1017" i="14" s="1"/>
  <c r="N1017" i="14" s="1"/>
  <c r="K1017" i="14"/>
  <c r="L1016" i="14"/>
  <c r="M1016" i="14" s="1"/>
  <c r="N1016" i="14" s="1"/>
  <c r="K1016" i="14"/>
  <c r="L1015" i="14"/>
  <c r="M1015" i="14" s="1"/>
  <c r="N1015" i="14" s="1"/>
  <c r="K1015" i="14"/>
  <c r="M1014" i="14"/>
  <c r="N1014" i="14" s="1"/>
  <c r="L1014" i="14"/>
  <c r="K1014" i="14"/>
  <c r="L1013" i="14"/>
  <c r="M1013" i="14" s="1"/>
  <c r="N1013" i="14" s="1"/>
  <c r="K1013" i="14"/>
  <c r="L1012" i="14"/>
  <c r="M1012" i="14" s="1"/>
  <c r="N1012" i="14" s="1"/>
  <c r="K1012" i="14"/>
  <c r="L1011" i="14"/>
  <c r="M1011" i="14" s="1"/>
  <c r="N1011" i="14" s="1"/>
  <c r="K1011" i="14"/>
  <c r="M1010" i="14"/>
  <c r="N1010" i="14" s="1"/>
  <c r="L1010" i="14"/>
  <c r="K1010" i="14"/>
  <c r="L1009" i="14"/>
  <c r="M1009" i="14" s="1"/>
  <c r="N1009" i="14" s="1"/>
  <c r="K1009" i="14"/>
  <c r="L1008" i="14"/>
  <c r="M1008" i="14" s="1"/>
  <c r="N1008" i="14" s="1"/>
  <c r="K1008" i="14"/>
  <c r="L1007" i="14"/>
  <c r="M1007" i="14" s="1"/>
  <c r="N1007" i="14" s="1"/>
  <c r="K1007" i="14"/>
  <c r="M1006" i="14"/>
  <c r="N1006" i="14" s="1"/>
  <c r="L1006" i="14"/>
  <c r="K1006" i="14"/>
  <c r="L1005" i="14"/>
  <c r="M1005" i="14" s="1"/>
  <c r="N1005" i="14" s="1"/>
  <c r="K1005" i="14"/>
  <c r="L1004" i="14"/>
  <c r="M1004" i="14" s="1"/>
  <c r="N1004" i="14" s="1"/>
  <c r="K1004" i="14"/>
  <c r="L1003" i="14"/>
  <c r="M1003" i="14" s="1"/>
  <c r="N1003" i="14" s="1"/>
  <c r="K1003" i="14"/>
  <c r="M1002" i="14"/>
  <c r="N1002" i="14" s="1"/>
  <c r="L1002" i="14"/>
  <c r="K1002" i="14"/>
  <c r="L1001" i="14"/>
  <c r="M1001" i="14" s="1"/>
  <c r="N1001" i="14" s="1"/>
  <c r="K1001" i="14"/>
  <c r="L1000" i="14"/>
  <c r="M1000" i="14" s="1"/>
  <c r="N1000" i="14" s="1"/>
  <c r="K1000" i="14"/>
  <c r="L999" i="14"/>
  <c r="M999" i="14" s="1"/>
  <c r="N999" i="14" s="1"/>
  <c r="K999" i="14"/>
  <c r="M998" i="14"/>
  <c r="N998" i="14" s="1"/>
  <c r="L998" i="14"/>
  <c r="K998" i="14"/>
  <c r="L997" i="14"/>
  <c r="M997" i="14" s="1"/>
  <c r="N997" i="14" s="1"/>
  <c r="K997" i="14"/>
  <c r="L996" i="14"/>
  <c r="M996" i="14" s="1"/>
  <c r="N996" i="14" s="1"/>
  <c r="K996" i="14"/>
  <c r="L995" i="14"/>
  <c r="M995" i="14" s="1"/>
  <c r="N995" i="14" s="1"/>
  <c r="K995" i="14"/>
  <c r="M994" i="14"/>
  <c r="N994" i="14" s="1"/>
  <c r="L994" i="14"/>
  <c r="K994" i="14"/>
  <c r="L993" i="14"/>
  <c r="M993" i="14" s="1"/>
  <c r="N993" i="14" s="1"/>
  <c r="K993" i="14"/>
  <c r="L992" i="14"/>
  <c r="M992" i="14" s="1"/>
  <c r="N992" i="14" s="1"/>
  <c r="K992" i="14"/>
  <c r="L991" i="14"/>
  <c r="M991" i="14" s="1"/>
  <c r="N991" i="14" s="1"/>
  <c r="K991" i="14"/>
  <c r="M990" i="14"/>
  <c r="N990" i="14" s="1"/>
  <c r="L990" i="14"/>
  <c r="K990" i="14"/>
  <c r="L989" i="14"/>
  <c r="M989" i="14" s="1"/>
  <c r="N989" i="14" s="1"/>
  <c r="K989" i="14"/>
  <c r="L988" i="14"/>
  <c r="M988" i="14" s="1"/>
  <c r="N988" i="14" s="1"/>
  <c r="K988" i="14"/>
  <c r="L987" i="14"/>
  <c r="M987" i="14" s="1"/>
  <c r="N987" i="14" s="1"/>
  <c r="K987" i="14"/>
  <c r="M986" i="14"/>
  <c r="N986" i="14" s="1"/>
  <c r="L986" i="14"/>
  <c r="K986" i="14"/>
  <c r="L985" i="14"/>
  <c r="M985" i="14" s="1"/>
  <c r="N985" i="14" s="1"/>
  <c r="K985" i="14"/>
  <c r="L984" i="14"/>
  <c r="M984" i="14" s="1"/>
  <c r="N984" i="14" s="1"/>
  <c r="K984" i="14"/>
  <c r="L983" i="14"/>
  <c r="M983" i="14" s="1"/>
  <c r="N983" i="14" s="1"/>
  <c r="K983" i="14"/>
  <c r="M982" i="14"/>
  <c r="N982" i="14" s="1"/>
  <c r="L982" i="14"/>
  <c r="K982" i="14"/>
  <c r="L981" i="14"/>
  <c r="M981" i="14" s="1"/>
  <c r="N981" i="14" s="1"/>
  <c r="K981" i="14"/>
  <c r="L980" i="14"/>
  <c r="M980" i="14" s="1"/>
  <c r="N980" i="14" s="1"/>
  <c r="K980" i="14"/>
  <c r="L979" i="14"/>
  <c r="M979" i="14" s="1"/>
  <c r="N979" i="14" s="1"/>
  <c r="K979" i="14"/>
  <c r="M978" i="14"/>
  <c r="N978" i="14" s="1"/>
  <c r="L978" i="14"/>
  <c r="K978" i="14"/>
  <c r="L977" i="14"/>
  <c r="M977" i="14" s="1"/>
  <c r="N977" i="14" s="1"/>
  <c r="K977" i="14"/>
  <c r="L976" i="14"/>
  <c r="M976" i="14" s="1"/>
  <c r="N976" i="14" s="1"/>
  <c r="K976" i="14"/>
  <c r="L975" i="14"/>
  <c r="M975" i="14" s="1"/>
  <c r="N975" i="14" s="1"/>
  <c r="K975" i="14"/>
  <c r="M974" i="14"/>
  <c r="N974" i="14" s="1"/>
  <c r="L974" i="14"/>
  <c r="K974" i="14"/>
  <c r="L973" i="14"/>
  <c r="M973" i="14" s="1"/>
  <c r="N973" i="14" s="1"/>
  <c r="K973" i="14"/>
  <c r="L972" i="14"/>
  <c r="M972" i="14" s="1"/>
  <c r="N972" i="14" s="1"/>
  <c r="K972" i="14"/>
  <c r="L971" i="14"/>
  <c r="M971" i="14" s="1"/>
  <c r="N971" i="14" s="1"/>
  <c r="K971" i="14"/>
  <c r="M970" i="14"/>
  <c r="N970" i="14" s="1"/>
  <c r="L970" i="14"/>
  <c r="K970" i="14"/>
  <c r="L969" i="14"/>
  <c r="M969" i="14" s="1"/>
  <c r="N969" i="14" s="1"/>
  <c r="K969" i="14"/>
  <c r="L968" i="14"/>
  <c r="M968" i="14" s="1"/>
  <c r="N968" i="14" s="1"/>
  <c r="K968" i="14"/>
  <c r="L967" i="14"/>
  <c r="M967" i="14" s="1"/>
  <c r="N967" i="14" s="1"/>
  <c r="K967" i="14"/>
  <c r="M966" i="14"/>
  <c r="N966" i="14" s="1"/>
  <c r="L966" i="14"/>
  <c r="K966" i="14"/>
  <c r="L965" i="14"/>
  <c r="M965" i="14" s="1"/>
  <c r="N965" i="14" s="1"/>
  <c r="K965" i="14"/>
  <c r="L964" i="14"/>
  <c r="M964" i="14" s="1"/>
  <c r="N964" i="14" s="1"/>
  <c r="K964" i="14"/>
  <c r="L963" i="14"/>
  <c r="M963" i="14" s="1"/>
  <c r="N963" i="14" s="1"/>
  <c r="K963" i="14"/>
  <c r="M962" i="14"/>
  <c r="N962" i="14" s="1"/>
  <c r="L962" i="14"/>
  <c r="K962" i="14"/>
  <c r="L961" i="14"/>
  <c r="M961" i="14" s="1"/>
  <c r="N961" i="14" s="1"/>
  <c r="K961" i="14"/>
  <c r="L960" i="14"/>
  <c r="M960" i="14" s="1"/>
  <c r="N960" i="14" s="1"/>
  <c r="K960" i="14"/>
  <c r="L959" i="14"/>
  <c r="M959" i="14" s="1"/>
  <c r="N959" i="14" s="1"/>
  <c r="K959" i="14"/>
  <c r="M958" i="14"/>
  <c r="N958" i="14" s="1"/>
  <c r="L958" i="14"/>
  <c r="K958" i="14"/>
  <c r="L957" i="14"/>
  <c r="M957" i="14" s="1"/>
  <c r="N957" i="14" s="1"/>
  <c r="K957" i="14"/>
  <c r="L956" i="14"/>
  <c r="M956" i="14" s="1"/>
  <c r="N956" i="14" s="1"/>
  <c r="K956" i="14"/>
  <c r="L955" i="14"/>
  <c r="M955" i="14" s="1"/>
  <c r="N955" i="14" s="1"/>
  <c r="K955" i="14"/>
  <c r="M954" i="14"/>
  <c r="N954" i="14" s="1"/>
  <c r="L954" i="14"/>
  <c r="K954" i="14"/>
  <c r="L953" i="14"/>
  <c r="M953" i="14" s="1"/>
  <c r="N953" i="14" s="1"/>
  <c r="K953" i="14"/>
  <c r="L952" i="14"/>
  <c r="M952" i="14" s="1"/>
  <c r="N952" i="14" s="1"/>
  <c r="K952" i="14"/>
  <c r="L951" i="14"/>
  <c r="M951" i="14" s="1"/>
  <c r="N951" i="14" s="1"/>
  <c r="K951" i="14"/>
  <c r="M950" i="14"/>
  <c r="N950" i="14" s="1"/>
  <c r="L950" i="14"/>
  <c r="K950" i="14"/>
  <c r="L949" i="14"/>
  <c r="M949" i="14" s="1"/>
  <c r="N949" i="14" s="1"/>
  <c r="K949" i="14"/>
  <c r="L948" i="14"/>
  <c r="M948" i="14" s="1"/>
  <c r="N948" i="14" s="1"/>
  <c r="K948" i="14"/>
  <c r="L947" i="14"/>
  <c r="M947" i="14" s="1"/>
  <c r="N947" i="14" s="1"/>
  <c r="K947" i="14"/>
  <c r="M946" i="14"/>
  <c r="N946" i="14" s="1"/>
  <c r="L946" i="14"/>
  <c r="K946" i="14"/>
  <c r="L945" i="14"/>
  <c r="M945" i="14" s="1"/>
  <c r="N945" i="14" s="1"/>
  <c r="K945" i="14"/>
  <c r="L944" i="14"/>
  <c r="M944" i="14" s="1"/>
  <c r="N944" i="14" s="1"/>
  <c r="K944" i="14"/>
  <c r="L943" i="14"/>
  <c r="M943" i="14" s="1"/>
  <c r="N943" i="14" s="1"/>
  <c r="K943" i="14"/>
  <c r="M942" i="14"/>
  <c r="N942" i="14" s="1"/>
  <c r="L942" i="14"/>
  <c r="K942" i="14"/>
  <c r="L941" i="14"/>
  <c r="M941" i="14" s="1"/>
  <c r="N941" i="14" s="1"/>
  <c r="K941" i="14"/>
  <c r="L940" i="14"/>
  <c r="M940" i="14" s="1"/>
  <c r="N940" i="14" s="1"/>
  <c r="K940" i="14"/>
  <c r="L939" i="14"/>
  <c r="M939" i="14" s="1"/>
  <c r="N939" i="14" s="1"/>
  <c r="K939" i="14"/>
  <c r="M938" i="14"/>
  <c r="N938" i="14" s="1"/>
  <c r="L938" i="14"/>
  <c r="K938" i="14"/>
  <c r="L937" i="14"/>
  <c r="M937" i="14" s="1"/>
  <c r="N937" i="14" s="1"/>
  <c r="K937" i="14"/>
  <c r="L936" i="14"/>
  <c r="M936" i="14" s="1"/>
  <c r="N936" i="14" s="1"/>
  <c r="K936" i="14"/>
  <c r="L935" i="14"/>
  <c r="M935" i="14" s="1"/>
  <c r="N935" i="14" s="1"/>
  <c r="K935" i="14"/>
  <c r="M934" i="14"/>
  <c r="N934" i="14" s="1"/>
  <c r="L934" i="14"/>
  <c r="K934" i="14"/>
  <c r="L933" i="14"/>
  <c r="M933" i="14" s="1"/>
  <c r="N933" i="14" s="1"/>
  <c r="K933" i="14"/>
  <c r="L932" i="14"/>
  <c r="M932" i="14" s="1"/>
  <c r="N932" i="14" s="1"/>
  <c r="K932" i="14"/>
  <c r="L931" i="14"/>
  <c r="M931" i="14" s="1"/>
  <c r="N931" i="14" s="1"/>
  <c r="K931" i="14"/>
  <c r="M930" i="14"/>
  <c r="N930" i="14" s="1"/>
  <c r="L930" i="14"/>
  <c r="K930" i="14"/>
  <c r="L929" i="14"/>
  <c r="M929" i="14" s="1"/>
  <c r="N929" i="14" s="1"/>
  <c r="K929" i="14"/>
  <c r="L928" i="14"/>
  <c r="M928" i="14" s="1"/>
  <c r="N928" i="14" s="1"/>
  <c r="K928" i="14"/>
  <c r="L927" i="14"/>
  <c r="M927" i="14" s="1"/>
  <c r="N927" i="14" s="1"/>
  <c r="K927" i="14"/>
  <c r="M926" i="14"/>
  <c r="N926" i="14" s="1"/>
  <c r="L926" i="14"/>
  <c r="K926" i="14"/>
  <c r="L925" i="14"/>
  <c r="M925" i="14" s="1"/>
  <c r="N925" i="14" s="1"/>
  <c r="K925" i="14"/>
  <c r="L924" i="14"/>
  <c r="M924" i="14" s="1"/>
  <c r="N924" i="14" s="1"/>
  <c r="K924" i="14"/>
  <c r="L923" i="14"/>
  <c r="M923" i="14" s="1"/>
  <c r="N923" i="14" s="1"/>
  <c r="K923" i="14"/>
  <c r="M922" i="14"/>
  <c r="N922" i="14" s="1"/>
  <c r="L922" i="14"/>
  <c r="K922" i="14"/>
  <c r="L921" i="14"/>
  <c r="M921" i="14" s="1"/>
  <c r="N921" i="14" s="1"/>
  <c r="K921" i="14"/>
  <c r="L920" i="14"/>
  <c r="M920" i="14" s="1"/>
  <c r="N920" i="14" s="1"/>
  <c r="K920" i="14"/>
  <c r="L919" i="14"/>
  <c r="M919" i="14" s="1"/>
  <c r="N919" i="14" s="1"/>
  <c r="K919" i="14"/>
  <c r="M918" i="14"/>
  <c r="N918" i="14" s="1"/>
  <c r="L918" i="14"/>
  <c r="K918" i="14"/>
  <c r="L917" i="14"/>
  <c r="M917" i="14" s="1"/>
  <c r="N917" i="14" s="1"/>
  <c r="K917" i="14"/>
  <c r="L916" i="14"/>
  <c r="M916" i="14" s="1"/>
  <c r="N916" i="14" s="1"/>
  <c r="K916" i="14"/>
  <c r="L915" i="14"/>
  <c r="M915" i="14" s="1"/>
  <c r="N915" i="14" s="1"/>
  <c r="K915" i="14"/>
  <c r="M914" i="14"/>
  <c r="N914" i="14" s="1"/>
  <c r="L914" i="14"/>
  <c r="K914" i="14"/>
  <c r="L913" i="14"/>
  <c r="M913" i="14" s="1"/>
  <c r="N913" i="14" s="1"/>
  <c r="K913" i="14"/>
  <c r="L912" i="14"/>
  <c r="M912" i="14" s="1"/>
  <c r="N912" i="14" s="1"/>
  <c r="K912" i="14"/>
  <c r="L911" i="14"/>
  <c r="M911" i="14" s="1"/>
  <c r="N911" i="14" s="1"/>
  <c r="K911" i="14"/>
  <c r="M910" i="14"/>
  <c r="N910" i="14" s="1"/>
  <c r="L910" i="14"/>
  <c r="K910" i="14"/>
  <c r="L909" i="14"/>
  <c r="M909" i="14" s="1"/>
  <c r="N909" i="14" s="1"/>
  <c r="K909" i="14"/>
  <c r="L908" i="14"/>
  <c r="M908" i="14" s="1"/>
  <c r="N908" i="14" s="1"/>
  <c r="K908" i="14"/>
  <c r="L907" i="14"/>
  <c r="M907" i="14" s="1"/>
  <c r="N907" i="14" s="1"/>
  <c r="K907" i="14"/>
  <c r="M906" i="14"/>
  <c r="N906" i="14" s="1"/>
  <c r="L906" i="14"/>
  <c r="K906" i="14"/>
  <c r="L905" i="14"/>
  <c r="M905" i="14" s="1"/>
  <c r="N905" i="14" s="1"/>
  <c r="K905" i="14"/>
  <c r="L904" i="14"/>
  <c r="M904" i="14" s="1"/>
  <c r="N904" i="14" s="1"/>
  <c r="K904" i="14"/>
  <c r="L903" i="14"/>
  <c r="M903" i="14" s="1"/>
  <c r="N903" i="14" s="1"/>
  <c r="K903" i="14"/>
  <c r="M902" i="14"/>
  <c r="N902" i="14" s="1"/>
  <c r="L902" i="14"/>
  <c r="K902" i="14"/>
  <c r="L901" i="14"/>
  <c r="M901" i="14" s="1"/>
  <c r="N901" i="14" s="1"/>
  <c r="K901" i="14"/>
  <c r="L900" i="14"/>
  <c r="M900" i="14" s="1"/>
  <c r="N900" i="14" s="1"/>
  <c r="K900" i="14"/>
  <c r="L899" i="14"/>
  <c r="M899" i="14" s="1"/>
  <c r="N899" i="14" s="1"/>
  <c r="K899" i="14"/>
  <c r="M898" i="14"/>
  <c r="N898" i="14" s="1"/>
  <c r="L898" i="14"/>
  <c r="K898" i="14"/>
  <c r="L897" i="14"/>
  <c r="M897" i="14" s="1"/>
  <c r="N897" i="14" s="1"/>
  <c r="K897" i="14"/>
  <c r="L896" i="14"/>
  <c r="M896" i="14" s="1"/>
  <c r="N896" i="14" s="1"/>
  <c r="K896" i="14"/>
  <c r="L895" i="14"/>
  <c r="M895" i="14" s="1"/>
  <c r="N895" i="14" s="1"/>
  <c r="K895" i="14"/>
  <c r="M894" i="14"/>
  <c r="N894" i="14" s="1"/>
  <c r="L894" i="14"/>
  <c r="K894" i="14"/>
  <c r="L893" i="14"/>
  <c r="M893" i="14" s="1"/>
  <c r="N893" i="14" s="1"/>
  <c r="K893" i="14"/>
  <c r="L892" i="14"/>
  <c r="M892" i="14" s="1"/>
  <c r="N892" i="14" s="1"/>
  <c r="K892" i="14"/>
  <c r="L891" i="14"/>
  <c r="M891" i="14" s="1"/>
  <c r="N891" i="14" s="1"/>
  <c r="K891" i="14"/>
  <c r="M890" i="14"/>
  <c r="N890" i="14" s="1"/>
  <c r="L890" i="14"/>
  <c r="K890" i="14"/>
  <c r="L889" i="14"/>
  <c r="M889" i="14" s="1"/>
  <c r="N889" i="14" s="1"/>
  <c r="K889" i="14"/>
  <c r="L888" i="14"/>
  <c r="M888" i="14" s="1"/>
  <c r="N888" i="14" s="1"/>
  <c r="K888" i="14"/>
  <c r="L887" i="14"/>
  <c r="M887" i="14" s="1"/>
  <c r="N887" i="14" s="1"/>
  <c r="K887" i="14"/>
  <c r="M886" i="14"/>
  <c r="N886" i="14" s="1"/>
  <c r="L886" i="14"/>
  <c r="K886" i="14"/>
  <c r="L885" i="14"/>
  <c r="M885" i="14" s="1"/>
  <c r="N885" i="14" s="1"/>
  <c r="K885" i="14"/>
  <c r="L884" i="14"/>
  <c r="M884" i="14" s="1"/>
  <c r="N884" i="14" s="1"/>
  <c r="K884" i="14"/>
  <c r="L883" i="14"/>
  <c r="M883" i="14" s="1"/>
  <c r="N883" i="14" s="1"/>
  <c r="K883" i="14"/>
  <c r="M882" i="14"/>
  <c r="N882" i="14" s="1"/>
  <c r="L882" i="14"/>
  <c r="K882" i="14"/>
  <c r="L881" i="14"/>
  <c r="M881" i="14" s="1"/>
  <c r="N881" i="14" s="1"/>
  <c r="K881" i="14"/>
  <c r="L880" i="14"/>
  <c r="M880" i="14" s="1"/>
  <c r="N880" i="14" s="1"/>
  <c r="K880" i="14"/>
  <c r="L879" i="14"/>
  <c r="M879" i="14" s="1"/>
  <c r="N879" i="14" s="1"/>
  <c r="K879" i="14"/>
  <c r="M878" i="14"/>
  <c r="N878" i="14" s="1"/>
  <c r="L878" i="14"/>
  <c r="K878" i="14"/>
  <c r="L877" i="14"/>
  <c r="M877" i="14" s="1"/>
  <c r="N877" i="14" s="1"/>
  <c r="K877" i="14"/>
  <c r="L876" i="14"/>
  <c r="M876" i="14" s="1"/>
  <c r="N876" i="14" s="1"/>
  <c r="K876" i="14"/>
  <c r="L875" i="14"/>
  <c r="M875" i="14" s="1"/>
  <c r="N875" i="14" s="1"/>
  <c r="K875" i="14"/>
  <c r="M874" i="14"/>
  <c r="N874" i="14" s="1"/>
  <c r="L874" i="14"/>
  <c r="K874" i="14"/>
  <c r="L873" i="14"/>
  <c r="M873" i="14" s="1"/>
  <c r="N873" i="14" s="1"/>
  <c r="K873" i="14"/>
  <c r="L872" i="14"/>
  <c r="M872" i="14" s="1"/>
  <c r="N872" i="14" s="1"/>
  <c r="K872" i="14"/>
  <c r="L871" i="14"/>
  <c r="M871" i="14" s="1"/>
  <c r="N871" i="14" s="1"/>
  <c r="K871" i="14"/>
  <c r="M870" i="14"/>
  <c r="N870" i="14" s="1"/>
  <c r="L870" i="14"/>
  <c r="K870" i="14"/>
  <c r="L869" i="14"/>
  <c r="M869" i="14" s="1"/>
  <c r="N869" i="14" s="1"/>
  <c r="K869" i="14"/>
  <c r="L868" i="14"/>
  <c r="M868" i="14" s="1"/>
  <c r="N868" i="14" s="1"/>
  <c r="K868" i="14"/>
  <c r="L867" i="14"/>
  <c r="M867" i="14" s="1"/>
  <c r="N867" i="14" s="1"/>
  <c r="K867" i="14"/>
  <c r="M866" i="14"/>
  <c r="N866" i="14" s="1"/>
  <c r="L866" i="14"/>
  <c r="K866" i="14"/>
  <c r="L865" i="14"/>
  <c r="M865" i="14" s="1"/>
  <c r="N865" i="14" s="1"/>
  <c r="K865" i="14"/>
  <c r="L864" i="14"/>
  <c r="M864" i="14" s="1"/>
  <c r="N864" i="14" s="1"/>
  <c r="K864" i="14"/>
  <c r="L863" i="14"/>
  <c r="M863" i="14" s="1"/>
  <c r="N863" i="14" s="1"/>
  <c r="K863" i="14"/>
  <c r="M862" i="14"/>
  <c r="N862" i="14" s="1"/>
  <c r="L862" i="14"/>
  <c r="K862" i="14"/>
  <c r="L861" i="14"/>
  <c r="M861" i="14" s="1"/>
  <c r="N861" i="14" s="1"/>
  <c r="K861" i="14"/>
  <c r="L860" i="14"/>
  <c r="M860" i="14" s="1"/>
  <c r="N860" i="14" s="1"/>
  <c r="K860" i="14"/>
  <c r="L859" i="14"/>
  <c r="M859" i="14" s="1"/>
  <c r="N859" i="14" s="1"/>
  <c r="K859" i="14"/>
  <c r="M858" i="14"/>
  <c r="N858" i="14" s="1"/>
  <c r="L858" i="14"/>
  <c r="K858" i="14"/>
  <c r="L857" i="14"/>
  <c r="M857" i="14" s="1"/>
  <c r="N857" i="14" s="1"/>
  <c r="K857" i="14"/>
  <c r="L856" i="14"/>
  <c r="M856" i="14" s="1"/>
  <c r="N856" i="14" s="1"/>
  <c r="K856" i="14"/>
  <c r="L855" i="14"/>
  <c r="M855" i="14" s="1"/>
  <c r="N855" i="14" s="1"/>
  <c r="K855" i="14"/>
  <c r="M854" i="14"/>
  <c r="N854" i="14" s="1"/>
  <c r="L854" i="14"/>
  <c r="K854" i="14"/>
  <c r="L853" i="14"/>
  <c r="M853" i="14" s="1"/>
  <c r="N853" i="14" s="1"/>
  <c r="K853" i="14"/>
  <c r="L852" i="14"/>
  <c r="M852" i="14" s="1"/>
  <c r="N852" i="14" s="1"/>
  <c r="K852" i="14"/>
  <c r="L851" i="14"/>
  <c r="M851" i="14" s="1"/>
  <c r="N851" i="14" s="1"/>
  <c r="K851" i="14"/>
  <c r="M850" i="14"/>
  <c r="N850" i="14" s="1"/>
  <c r="L850" i="14"/>
  <c r="K850" i="14"/>
  <c r="L849" i="14"/>
  <c r="M849" i="14" s="1"/>
  <c r="N849" i="14" s="1"/>
  <c r="K849" i="14"/>
  <c r="L848" i="14"/>
  <c r="M848" i="14" s="1"/>
  <c r="N848" i="14" s="1"/>
  <c r="K848" i="14"/>
  <c r="L847" i="14"/>
  <c r="M847" i="14" s="1"/>
  <c r="N847" i="14" s="1"/>
  <c r="K847" i="14"/>
  <c r="M846" i="14"/>
  <c r="N846" i="14" s="1"/>
  <c r="L846" i="14"/>
  <c r="K846" i="14"/>
  <c r="L845" i="14"/>
  <c r="M845" i="14" s="1"/>
  <c r="N845" i="14" s="1"/>
  <c r="K845" i="14"/>
  <c r="L844" i="14"/>
  <c r="M844" i="14" s="1"/>
  <c r="N844" i="14" s="1"/>
  <c r="K844" i="14"/>
  <c r="L843" i="14"/>
  <c r="M843" i="14" s="1"/>
  <c r="N843" i="14" s="1"/>
  <c r="K843" i="14"/>
  <c r="M842" i="14"/>
  <c r="N842" i="14" s="1"/>
  <c r="L842" i="14"/>
  <c r="K842" i="14"/>
  <c r="L841" i="14"/>
  <c r="M841" i="14" s="1"/>
  <c r="N841" i="14" s="1"/>
  <c r="K841" i="14"/>
  <c r="L840" i="14"/>
  <c r="M840" i="14" s="1"/>
  <c r="N840" i="14" s="1"/>
  <c r="K840" i="14"/>
  <c r="L839" i="14"/>
  <c r="M839" i="14" s="1"/>
  <c r="N839" i="14" s="1"/>
  <c r="K839" i="14"/>
  <c r="M838" i="14"/>
  <c r="N838" i="14" s="1"/>
  <c r="L838" i="14"/>
  <c r="K838" i="14"/>
  <c r="L837" i="14"/>
  <c r="M837" i="14" s="1"/>
  <c r="N837" i="14" s="1"/>
  <c r="K837" i="14"/>
  <c r="L836" i="14"/>
  <c r="M836" i="14" s="1"/>
  <c r="N836" i="14" s="1"/>
  <c r="K836" i="14"/>
  <c r="L835" i="14"/>
  <c r="M835" i="14" s="1"/>
  <c r="N835" i="14" s="1"/>
  <c r="K835" i="14"/>
  <c r="M834" i="14"/>
  <c r="N834" i="14" s="1"/>
  <c r="L834" i="14"/>
  <c r="K834" i="14"/>
  <c r="L833" i="14"/>
  <c r="M833" i="14" s="1"/>
  <c r="N833" i="14" s="1"/>
  <c r="K833" i="14"/>
  <c r="L832" i="14"/>
  <c r="M832" i="14" s="1"/>
  <c r="N832" i="14" s="1"/>
  <c r="K832" i="14"/>
  <c r="L831" i="14"/>
  <c r="M831" i="14" s="1"/>
  <c r="N831" i="14" s="1"/>
  <c r="K831" i="14"/>
  <c r="M830" i="14"/>
  <c r="N830" i="14" s="1"/>
  <c r="L830" i="14"/>
  <c r="K830" i="14"/>
  <c r="L829" i="14"/>
  <c r="M829" i="14" s="1"/>
  <c r="N829" i="14" s="1"/>
  <c r="K829" i="14"/>
  <c r="L828" i="14"/>
  <c r="M828" i="14" s="1"/>
  <c r="N828" i="14" s="1"/>
  <c r="K828" i="14"/>
  <c r="L827" i="14"/>
  <c r="M827" i="14" s="1"/>
  <c r="N827" i="14" s="1"/>
  <c r="K827" i="14"/>
  <c r="M826" i="14"/>
  <c r="N826" i="14" s="1"/>
  <c r="L826" i="14"/>
  <c r="K826" i="14"/>
  <c r="L825" i="14"/>
  <c r="M825" i="14" s="1"/>
  <c r="N825" i="14" s="1"/>
  <c r="K825" i="14"/>
  <c r="L824" i="14"/>
  <c r="M824" i="14" s="1"/>
  <c r="N824" i="14" s="1"/>
  <c r="K824" i="14"/>
  <c r="L823" i="14"/>
  <c r="M823" i="14" s="1"/>
  <c r="N823" i="14" s="1"/>
  <c r="K823" i="14"/>
  <c r="M822" i="14"/>
  <c r="N822" i="14" s="1"/>
  <c r="L822" i="14"/>
  <c r="K822" i="14"/>
  <c r="L821" i="14"/>
  <c r="M821" i="14" s="1"/>
  <c r="N821" i="14" s="1"/>
  <c r="K821" i="14"/>
  <c r="L820" i="14"/>
  <c r="M820" i="14" s="1"/>
  <c r="N820" i="14" s="1"/>
  <c r="K820" i="14"/>
  <c r="L819" i="14"/>
  <c r="M819" i="14" s="1"/>
  <c r="N819" i="14" s="1"/>
  <c r="K819" i="14"/>
  <c r="M818" i="14"/>
  <c r="N818" i="14" s="1"/>
  <c r="L818" i="14"/>
  <c r="K818" i="14"/>
  <c r="L817" i="14"/>
  <c r="M817" i="14" s="1"/>
  <c r="N817" i="14" s="1"/>
  <c r="K817" i="14"/>
  <c r="L816" i="14"/>
  <c r="M816" i="14" s="1"/>
  <c r="N816" i="14" s="1"/>
  <c r="K816" i="14"/>
  <c r="L815" i="14"/>
  <c r="M815" i="14" s="1"/>
  <c r="N815" i="14" s="1"/>
  <c r="K815" i="14"/>
  <c r="M814" i="14"/>
  <c r="N814" i="14" s="1"/>
  <c r="L814" i="14"/>
  <c r="K814" i="14"/>
  <c r="L813" i="14"/>
  <c r="M813" i="14" s="1"/>
  <c r="N813" i="14" s="1"/>
  <c r="K813" i="14"/>
  <c r="L812" i="14"/>
  <c r="M812" i="14" s="1"/>
  <c r="N812" i="14" s="1"/>
  <c r="K812" i="14"/>
  <c r="L811" i="14"/>
  <c r="M811" i="14" s="1"/>
  <c r="N811" i="14" s="1"/>
  <c r="K811" i="14"/>
  <c r="M810" i="14"/>
  <c r="N810" i="14" s="1"/>
  <c r="L810" i="14"/>
  <c r="K810" i="14"/>
  <c r="L809" i="14"/>
  <c r="M809" i="14" s="1"/>
  <c r="N809" i="14" s="1"/>
  <c r="K809" i="14"/>
  <c r="L808" i="14"/>
  <c r="M808" i="14" s="1"/>
  <c r="N808" i="14" s="1"/>
  <c r="K808" i="14"/>
  <c r="L807" i="14"/>
  <c r="M807" i="14" s="1"/>
  <c r="N807" i="14" s="1"/>
  <c r="K807" i="14"/>
  <c r="M806" i="14"/>
  <c r="N806" i="14" s="1"/>
  <c r="L806" i="14"/>
  <c r="K806" i="14"/>
  <c r="L805" i="14"/>
  <c r="M805" i="14" s="1"/>
  <c r="N805" i="14" s="1"/>
  <c r="K805" i="14"/>
  <c r="L804" i="14"/>
  <c r="M804" i="14" s="1"/>
  <c r="N804" i="14" s="1"/>
  <c r="K804" i="14"/>
  <c r="L803" i="14"/>
  <c r="M803" i="14" s="1"/>
  <c r="N803" i="14" s="1"/>
  <c r="K803" i="14"/>
  <c r="M802" i="14"/>
  <c r="N802" i="14" s="1"/>
  <c r="L802" i="14"/>
  <c r="K802" i="14"/>
  <c r="L801" i="14"/>
  <c r="M801" i="14" s="1"/>
  <c r="N801" i="14" s="1"/>
  <c r="K801" i="14"/>
  <c r="L800" i="14"/>
  <c r="M800" i="14" s="1"/>
  <c r="N800" i="14" s="1"/>
  <c r="K800" i="14"/>
  <c r="L799" i="14"/>
  <c r="M799" i="14" s="1"/>
  <c r="N799" i="14" s="1"/>
  <c r="K799" i="14"/>
  <c r="M798" i="14"/>
  <c r="N798" i="14" s="1"/>
  <c r="L798" i="14"/>
  <c r="K798" i="14"/>
  <c r="L797" i="14"/>
  <c r="M797" i="14" s="1"/>
  <c r="N797" i="14" s="1"/>
  <c r="K797" i="14"/>
  <c r="L796" i="14"/>
  <c r="M796" i="14" s="1"/>
  <c r="N796" i="14" s="1"/>
  <c r="K796" i="14"/>
  <c r="L795" i="14"/>
  <c r="M795" i="14" s="1"/>
  <c r="N795" i="14" s="1"/>
  <c r="K795" i="14"/>
  <c r="M794" i="14"/>
  <c r="N794" i="14" s="1"/>
  <c r="L794" i="14"/>
  <c r="K794" i="14"/>
  <c r="L793" i="14"/>
  <c r="M793" i="14" s="1"/>
  <c r="N793" i="14" s="1"/>
  <c r="K793" i="14"/>
  <c r="L792" i="14"/>
  <c r="M792" i="14" s="1"/>
  <c r="N792" i="14" s="1"/>
  <c r="K792" i="14"/>
  <c r="L791" i="14"/>
  <c r="M791" i="14" s="1"/>
  <c r="N791" i="14" s="1"/>
  <c r="K791" i="14"/>
  <c r="M790" i="14"/>
  <c r="N790" i="14" s="1"/>
  <c r="L790" i="14"/>
  <c r="K790" i="14"/>
  <c r="L789" i="14"/>
  <c r="M789" i="14" s="1"/>
  <c r="N789" i="14" s="1"/>
  <c r="K789" i="14"/>
  <c r="L788" i="14"/>
  <c r="M788" i="14" s="1"/>
  <c r="N788" i="14" s="1"/>
  <c r="K788" i="14"/>
  <c r="L787" i="14"/>
  <c r="M787" i="14" s="1"/>
  <c r="N787" i="14" s="1"/>
  <c r="K787" i="14"/>
  <c r="M786" i="14"/>
  <c r="N786" i="14" s="1"/>
  <c r="L786" i="14"/>
  <c r="K786" i="14"/>
  <c r="L785" i="14"/>
  <c r="M785" i="14" s="1"/>
  <c r="N785" i="14" s="1"/>
  <c r="K785" i="14"/>
  <c r="L784" i="14"/>
  <c r="M784" i="14" s="1"/>
  <c r="N784" i="14" s="1"/>
  <c r="K784" i="14"/>
  <c r="L783" i="14"/>
  <c r="M783" i="14" s="1"/>
  <c r="N783" i="14" s="1"/>
  <c r="K783" i="14"/>
  <c r="M782" i="14"/>
  <c r="N782" i="14" s="1"/>
  <c r="L782" i="14"/>
  <c r="K782" i="14"/>
  <c r="L781" i="14"/>
  <c r="M781" i="14" s="1"/>
  <c r="N781" i="14" s="1"/>
  <c r="K781" i="14"/>
  <c r="L780" i="14"/>
  <c r="M780" i="14" s="1"/>
  <c r="N780" i="14" s="1"/>
  <c r="K780" i="14"/>
  <c r="L779" i="14"/>
  <c r="M779" i="14" s="1"/>
  <c r="N779" i="14" s="1"/>
  <c r="K779" i="14"/>
  <c r="M778" i="14"/>
  <c r="N778" i="14" s="1"/>
  <c r="L778" i="14"/>
  <c r="K778" i="14"/>
  <c r="L777" i="14"/>
  <c r="M777" i="14" s="1"/>
  <c r="N777" i="14" s="1"/>
  <c r="K777" i="14"/>
  <c r="L776" i="14"/>
  <c r="M776" i="14" s="1"/>
  <c r="N776" i="14" s="1"/>
  <c r="K776" i="14"/>
  <c r="L775" i="14"/>
  <c r="M775" i="14" s="1"/>
  <c r="N775" i="14" s="1"/>
  <c r="K775" i="14"/>
  <c r="M774" i="14"/>
  <c r="N774" i="14" s="1"/>
  <c r="L774" i="14"/>
  <c r="K774" i="14"/>
  <c r="L773" i="14"/>
  <c r="M773" i="14" s="1"/>
  <c r="N773" i="14" s="1"/>
  <c r="K773" i="14"/>
  <c r="L772" i="14"/>
  <c r="M772" i="14" s="1"/>
  <c r="N772" i="14" s="1"/>
  <c r="K772" i="14"/>
  <c r="L771" i="14"/>
  <c r="M771" i="14" s="1"/>
  <c r="N771" i="14" s="1"/>
  <c r="K771" i="14"/>
  <c r="M770" i="14"/>
  <c r="N770" i="14" s="1"/>
  <c r="L770" i="14"/>
  <c r="K770" i="14"/>
  <c r="L769" i="14"/>
  <c r="M769" i="14" s="1"/>
  <c r="N769" i="14" s="1"/>
  <c r="K769" i="14"/>
  <c r="L768" i="14"/>
  <c r="M768" i="14" s="1"/>
  <c r="N768" i="14" s="1"/>
  <c r="K768" i="14"/>
  <c r="L767" i="14"/>
  <c r="M767" i="14" s="1"/>
  <c r="N767" i="14" s="1"/>
  <c r="K767" i="14"/>
  <c r="M766" i="14"/>
  <c r="N766" i="14" s="1"/>
  <c r="L766" i="14"/>
  <c r="K766" i="14"/>
  <c r="L765" i="14"/>
  <c r="M765" i="14" s="1"/>
  <c r="N765" i="14" s="1"/>
  <c r="K765" i="14"/>
  <c r="L764" i="14"/>
  <c r="M764" i="14" s="1"/>
  <c r="N764" i="14" s="1"/>
  <c r="K764" i="14"/>
  <c r="L763" i="14"/>
  <c r="M763" i="14" s="1"/>
  <c r="N763" i="14" s="1"/>
  <c r="K763" i="14"/>
  <c r="M762" i="14"/>
  <c r="N762" i="14" s="1"/>
  <c r="L762" i="14"/>
  <c r="K762" i="14"/>
  <c r="L761" i="14"/>
  <c r="M761" i="14" s="1"/>
  <c r="N761" i="14" s="1"/>
  <c r="K761" i="14"/>
  <c r="L760" i="14"/>
  <c r="M760" i="14" s="1"/>
  <c r="N760" i="14" s="1"/>
  <c r="K760" i="14"/>
  <c r="L759" i="14"/>
  <c r="M759" i="14" s="1"/>
  <c r="N759" i="14" s="1"/>
  <c r="K759" i="14"/>
  <c r="M758" i="14"/>
  <c r="N758" i="14" s="1"/>
  <c r="L758" i="14"/>
  <c r="K758" i="14"/>
  <c r="L757" i="14"/>
  <c r="M757" i="14" s="1"/>
  <c r="N757" i="14" s="1"/>
  <c r="K757" i="14"/>
  <c r="L756" i="14"/>
  <c r="M756" i="14" s="1"/>
  <c r="N756" i="14" s="1"/>
  <c r="K756" i="14"/>
  <c r="L755" i="14"/>
  <c r="M755" i="14" s="1"/>
  <c r="N755" i="14" s="1"/>
  <c r="K755" i="14"/>
  <c r="M754" i="14"/>
  <c r="N754" i="14" s="1"/>
  <c r="L754" i="14"/>
  <c r="K754" i="14"/>
  <c r="L753" i="14"/>
  <c r="M753" i="14" s="1"/>
  <c r="N753" i="14" s="1"/>
  <c r="K753" i="14"/>
  <c r="L752" i="14"/>
  <c r="M752" i="14" s="1"/>
  <c r="N752" i="14" s="1"/>
  <c r="K752" i="14"/>
  <c r="L751" i="14"/>
  <c r="M751" i="14" s="1"/>
  <c r="N751" i="14" s="1"/>
  <c r="K751" i="14"/>
  <c r="M750" i="14"/>
  <c r="N750" i="14" s="1"/>
  <c r="L750" i="14"/>
  <c r="K750" i="14"/>
  <c r="L749" i="14"/>
  <c r="M749" i="14" s="1"/>
  <c r="N749" i="14" s="1"/>
  <c r="K749" i="14"/>
  <c r="L748" i="14"/>
  <c r="M748" i="14" s="1"/>
  <c r="N748" i="14" s="1"/>
  <c r="K748" i="14"/>
  <c r="L747" i="14"/>
  <c r="M747" i="14" s="1"/>
  <c r="N747" i="14" s="1"/>
  <c r="K747" i="14"/>
  <c r="M746" i="14"/>
  <c r="N746" i="14" s="1"/>
  <c r="L746" i="14"/>
  <c r="K746" i="14"/>
  <c r="L745" i="14"/>
  <c r="M745" i="14" s="1"/>
  <c r="N745" i="14" s="1"/>
  <c r="K745" i="14"/>
  <c r="L744" i="14"/>
  <c r="M744" i="14" s="1"/>
  <c r="N744" i="14" s="1"/>
  <c r="K744" i="14"/>
  <c r="L743" i="14"/>
  <c r="M743" i="14" s="1"/>
  <c r="N743" i="14" s="1"/>
  <c r="K743" i="14"/>
  <c r="M742" i="14"/>
  <c r="N742" i="14" s="1"/>
  <c r="L742" i="14"/>
  <c r="K742" i="14"/>
  <c r="L741" i="14"/>
  <c r="M741" i="14" s="1"/>
  <c r="N741" i="14" s="1"/>
  <c r="K741" i="14"/>
  <c r="L740" i="14"/>
  <c r="M740" i="14" s="1"/>
  <c r="N740" i="14" s="1"/>
  <c r="K740" i="14"/>
  <c r="L739" i="14"/>
  <c r="M739" i="14" s="1"/>
  <c r="N739" i="14" s="1"/>
  <c r="K739" i="14"/>
  <c r="M738" i="14"/>
  <c r="N738" i="14" s="1"/>
  <c r="L738" i="14"/>
  <c r="K738" i="14"/>
  <c r="L737" i="14"/>
  <c r="M737" i="14" s="1"/>
  <c r="N737" i="14" s="1"/>
  <c r="K737" i="14"/>
  <c r="L736" i="14"/>
  <c r="M736" i="14" s="1"/>
  <c r="N736" i="14" s="1"/>
  <c r="K736" i="14"/>
  <c r="L735" i="14"/>
  <c r="M735" i="14" s="1"/>
  <c r="N735" i="14" s="1"/>
  <c r="K735" i="14"/>
  <c r="M734" i="14"/>
  <c r="N734" i="14" s="1"/>
  <c r="L734" i="14"/>
  <c r="K734" i="14"/>
  <c r="L733" i="14"/>
  <c r="M733" i="14" s="1"/>
  <c r="N733" i="14" s="1"/>
  <c r="K733" i="14"/>
  <c r="L732" i="14"/>
  <c r="M732" i="14" s="1"/>
  <c r="N732" i="14" s="1"/>
  <c r="K732" i="14"/>
  <c r="L731" i="14"/>
  <c r="M731" i="14" s="1"/>
  <c r="N731" i="14" s="1"/>
  <c r="K731" i="14"/>
  <c r="M730" i="14"/>
  <c r="N730" i="14" s="1"/>
  <c r="L730" i="14"/>
  <c r="K730" i="14"/>
  <c r="L729" i="14"/>
  <c r="M729" i="14" s="1"/>
  <c r="N729" i="14" s="1"/>
  <c r="K729" i="14"/>
  <c r="L728" i="14"/>
  <c r="M728" i="14" s="1"/>
  <c r="N728" i="14" s="1"/>
  <c r="K728" i="14"/>
  <c r="L727" i="14"/>
  <c r="M727" i="14" s="1"/>
  <c r="N727" i="14" s="1"/>
  <c r="K727" i="14"/>
  <c r="M726" i="14"/>
  <c r="N726" i="14" s="1"/>
  <c r="L726" i="14"/>
  <c r="K726" i="14"/>
  <c r="L725" i="14"/>
  <c r="M725" i="14" s="1"/>
  <c r="N725" i="14" s="1"/>
  <c r="K725" i="14"/>
  <c r="L724" i="14"/>
  <c r="M724" i="14" s="1"/>
  <c r="N724" i="14" s="1"/>
  <c r="K724" i="14"/>
  <c r="L723" i="14"/>
  <c r="M723" i="14" s="1"/>
  <c r="N723" i="14" s="1"/>
  <c r="K723" i="14"/>
  <c r="M722" i="14"/>
  <c r="N722" i="14" s="1"/>
  <c r="L722" i="14"/>
  <c r="K722" i="14"/>
  <c r="L721" i="14"/>
  <c r="M721" i="14" s="1"/>
  <c r="N721" i="14" s="1"/>
  <c r="K721" i="14"/>
  <c r="L720" i="14"/>
  <c r="M720" i="14" s="1"/>
  <c r="N720" i="14" s="1"/>
  <c r="K720" i="14"/>
  <c r="L719" i="14"/>
  <c r="M719" i="14" s="1"/>
  <c r="N719" i="14" s="1"/>
  <c r="K719" i="14"/>
  <c r="M718" i="14"/>
  <c r="N718" i="14" s="1"/>
  <c r="L718" i="14"/>
  <c r="K718" i="14"/>
  <c r="L717" i="14"/>
  <c r="M717" i="14" s="1"/>
  <c r="N717" i="14" s="1"/>
  <c r="K717" i="14"/>
  <c r="L716" i="14"/>
  <c r="M716" i="14" s="1"/>
  <c r="N716" i="14" s="1"/>
  <c r="K716" i="14"/>
  <c r="L715" i="14"/>
  <c r="M715" i="14" s="1"/>
  <c r="N715" i="14" s="1"/>
  <c r="K715" i="14"/>
  <c r="M714" i="14"/>
  <c r="N714" i="14" s="1"/>
  <c r="L714" i="14"/>
  <c r="K714" i="14"/>
  <c r="L713" i="14"/>
  <c r="M713" i="14" s="1"/>
  <c r="N713" i="14" s="1"/>
  <c r="K713" i="14"/>
  <c r="L712" i="14"/>
  <c r="M712" i="14" s="1"/>
  <c r="N712" i="14" s="1"/>
  <c r="K712" i="14"/>
  <c r="L711" i="14"/>
  <c r="M711" i="14" s="1"/>
  <c r="N711" i="14" s="1"/>
  <c r="K711" i="14"/>
  <c r="M710" i="14"/>
  <c r="N710" i="14" s="1"/>
  <c r="L710" i="14"/>
  <c r="K710" i="14"/>
  <c r="L709" i="14"/>
  <c r="M709" i="14" s="1"/>
  <c r="N709" i="14" s="1"/>
  <c r="K709" i="14"/>
  <c r="L708" i="14"/>
  <c r="M708" i="14" s="1"/>
  <c r="N708" i="14" s="1"/>
  <c r="K708" i="14"/>
  <c r="L707" i="14"/>
  <c r="M707" i="14" s="1"/>
  <c r="N707" i="14" s="1"/>
  <c r="K707" i="14"/>
  <c r="M706" i="14"/>
  <c r="N706" i="14" s="1"/>
  <c r="L706" i="14"/>
  <c r="K706" i="14"/>
  <c r="L705" i="14"/>
  <c r="M705" i="14" s="1"/>
  <c r="N705" i="14" s="1"/>
  <c r="K705" i="14"/>
  <c r="L704" i="14"/>
  <c r="M704" i="14" s="1"/>
  <c r="N704" i="14" s="1"/>
  <c r="K704" i="14"/>
  <c r="L703" i="14"/>
  <c r="M703" i="14" s="1"/>
  <c r="N703" i="14" s="1"/>
  <c r="K703" i="14"/>
  <c r="M702" i="14"/>
  <c r="N702" i="14" s="1"/>
  <c r="L702" i="14"/>
  <c r="K702" i="14"/>
  <c r="L701" i="14"/>
  <c r="M701" i="14" s="1"/>
  <c r="N701" i="14" s="1"/>
  <c r="K701" i="14"/>
  <c r="L700" i="14"/>
  <c r="M700" i="14" s="1"/>
  <c r="N700" i="14" s="1"/>
  <c r="K700" i="14"/>
  <c r="L699" i="14"/>
  <c r="M699" i="14" s="1"/>
  <c r="N699" i="14" s="1"/>
  <c r="K699" i="14"/>
  <c r="M698" i="14"/>
  <c r="N698" i="14" s="1"/>
  <c r="L698" i="14"/>
  <c r="K698" i="14"/>
  <c r="L697" i="14"/>
  <c r="M697" i="14" s="1"/>
  <c r="N697" i="14" s="1"/>
  <c r="K697" i="14"/>
  <c r="L696" i="14"/>
  <c r="M696" i="14" s="1"/>
  <c r="N696" i="14" s="1"/>
  <c r="K696" i="14"/>
  <c r="L695" i="14"/>
  <c r="M695" i="14" s="1"/>
  <c r="N695" i="14" s="1"/>
  <c r="K695" i="14"/>
  <c r="M694" i="14"/>
  <c r="N694" i="14" s="1"/>
  <c r="L694" i="14"/>
  <c r="K694" i="14"/>
  <c r="L693" i="14"/>
  <c r="M693" i="14" s="1"/>
  <c r="N693" i="14" s="1"/>
  <c r="K693" i="14"/>
  <c r="L692" i="14"/>
  <c r="M692" i="14" s="1"/>
  <c r="N692" i="14" s="1"/>
  <c r="K692" i="14"/>
  <c r="L691" i="14"/>
  <c r="M691" i="14" s="1"/>
  <c r="N691" i="14" s="1"/>
  <c r="K691" i="14"/>
  <c r="M690" i="14"/>
  <c r="N690" i="14" s="1"/>
  <c r="L690" i="14"/>
  <c r="K690" i="14"/>
  <c r="L689" i="14"/>
  <c r="M689" i="14" s="1"/>
  <c r="N689" i="14" s="1"/>
  <c r="K689" i="14"/>
  <c r="L688" i="14"/>
  <c r="M688" i="14" s="1"/>
  <c r="N688" i="14" s="1"/>
  <c r="K688" i="14"/>
  <c r="L687" i="14"/>
  <c r="M687" i="14" s="1"/>
  <c r="N687" i="14" s="1"/>
  <c r="K687" i="14"/>
  <c r="M686" i="14"/>
  <c r="N686" i="14" s="1"/>
  <c r="L686" i="14"/>
  <c r="K686" i="14"/>
  <c r="L685" i="14"/>
  <c r="M685" i="14" s="1"/>
  <c r="N685" i="14" s="1"/>
  <c r="K685" i="14"/>
  <c r="L684" i="14"/>
  <c r="M684" i="14" s="1"/>
  <c r="N684" i="14" s="1"/>
  <c r="K684" i="14"/>
  <c r="L683" i="14"/>
  <c r="M683" i="14" s="1"/>
  <c r="N683" i="14" s="1"/>
  <c r="K683" i="14"/>
  <c r="M682" i="14"/>
  <c r="N682" i="14" s="1"/>
  <c r="L682" i="14"/>
  <c r="K682" i="14"/>
  <c r="L681" i="14"/>
  <c r="M681" i="14" s="1"/>
  <c r="N681" i="14" s="1"/>
  <c r="K681" i="14"/>
  <c r="L680" i="14"/>
  <c r="M680" i="14" s="1"/>
  <c r="N680" i="14" s="1"/>
  <c r="K680" i="14"/>
  <c r="L679" i="14"/>
  <c r="M679" i="14" s="1"/>
  <c r="N679" i="14" s="1"/>
  <c r="K679" i="14"/>
  <c r="M678" i="14"/>
  <c r="N678" i="14" s="1"/>
  <c r="L678" i="14"/>
  <c r="K678" i="14"/>
  <c r="L677" i="14"/>
  <c r="M677" i="14" s="1"/>
  <c r="N677" i="14" s="1"/>
  <c r="K677" i="14"/>
  <c r="L676" i="14"/>
  <c r="M676" i="14" s="1"/>
  <c r="N676" i="14" s="1"/>
  <c r="K676" i="14"/>
  <c r="L675" i="14"/>
  <c r="M675" i="14" s="1"/>
  <c r="N675" i="14" s="1"/>
  <c r="K675" i="14"/>
  <c r="M674" i="14"/>
  <c r="N674" i="14" s="1"/>
  <c r="L674" i="14"/>
  <c r="K674" i="14"/>
  <c r="L673" i="14"/>
  <c r="M673" i="14" s="1"/>
  <c r="N673" i="14" s="1"/>
  <c r="K673" i="14"/>
  <c r="L672" i="14"/>
  <c r="M672" i="14" s="1"/>
  <c r="N672" i="14" s="1"/>
  <c r="K672" i="14"/>
  <c r="L671" i="14"/>
  <c r="M671" i="14" s="1"/>
  <c r="N671" i="14" s="1"/>
  <c r="K671" i="14"/>
  <c r="M670" i="14"/>
  <c r="N670" i="14" s="1"/>
  <c r="L670" i="14"/>
  <c r="K670" i="14"/>
  <c r="L669" i="14"/>
  <c r="M669" i="14" s="1"/>
  <c r="N669" i="14" s="1"/>
  <c r="K669" i="14"/>
  <c r="L668" i="14"/>
  <c r="M668" i="14" s="1"/>
  <c r="N668" i="14" s="1"/>
  <c r="K668" i="14"/>
  <c r="L667" i="14"/>
  <c r="M667" i="14" s="1"/>
  <c r="N667" i="14" s="1"/>
  <c r="K667" i="14"/>
  <c r="M666" i="14"/>
  <c r="N666" i="14" s="1"/>
  <c r="L666" i="14"/>
  <c r="K666" i="14"/>
  <c r="L665" i="14"/>
  <c r="M665" i="14" s="1"/>
  <c r="N665" i="14" s="1"/>
  <c r="K665" i="14"/>
  <c r="L664" i="14"/>
  <c r="M664" i="14" s="1"/>
  <c r="N664" i="14" s="1"/>
  <c r="K664" i="14"/>
  <c r="L663" i="14"/>
  <c r="M663" i="14" s="1"/>
  <c r="N663" i="14" s="1"/>
  <c r="K663" i="14"/>
  <c r="M662" i="14"/>
  <c r="N662" i="14" s="1"/>
  <c r="L662" i="14"/>
  <c r="K662" i="14"/>
  <c r="L661" i="14"/>
  <c r="M661" i="14" s="1"/>
  <c r="N661" i="14" s="1"/>
  <c r="K661" i="14"/>
  <c r="L660" i="14"/>
  <c r="M660" i="14" s="1"/>
  <c r="N660" i="14" s="1"/>
  <c r="K660" i="14"/>
  <c r="L659" i="14"/>
  <c r="M659" i="14" s="1"/>
  <c r="N659" i="14" s="1"/>
  <c r="K659" i="14"/>
  <c r="M658" i="14"/>
  <c r="N658" i="14" s="1"/>
  <c r="L658" i="14"/>
  <c r="K658" i="14"/>
  <c r="L657" i="14"/>
  <c r="M657" i="14" s="1"/>
  <c r="N657" i="14" s="1"/>
  <c r="K657" i="14"/>
  <c r="L656" i="14"/>
  <c r="M656" i="14" s="1"/>
  <c r="N656" i="14" s="1"/>
  <c r="K656" i="14"/>
  <c r="L655" i="14"/>
  <c r="M655" i="14" s="1"/>
  <c r="N655" i="14" s="1"/>
  <c r="K655" i="14"/>
  <c r="M654" i="14"/>
  <c r="N654" i="14" s="1"/>
  <c r="L654" i="14"/>
  <c r="K654" i="14"/>
  <c r="L653" i="14"/>
  <c r="M653" i="14" s="1"/>
  <c r="N653" i="14" s="1"/>
  <c r="K653" i="14"/>
  <c r="L652" i="14"/>
  <c r="M652" i="14" s="1"/>
  <c r="N652" i="14" s="1"/>
  <c r="K652" i="14"/>
  <c r="L651" i="14"/>
  <c r="M651" i="14" s="1"/>
  <c r="N651" i="14" s="1"/>
  <c r="K651" i="14"/>
  <c r="M650" i="14"/>
  <c r="N650" i="14" s="1"/>
  <c r="L650" i="14"/>
  <c r="K650" i="14"/>
  <c r="L649" i="14"/>
  <c r="M649" i="14" s="1"/>
  <c r="N649" i="14" s="1"/>
  <c r="K649" i="14"/>
  <c r="L648" i="14"/>
  <c r="M648" i="14" s="1"/>
  <c r="N648" i="14" s="1"/>
  <c r="K648" i="14"/>
  <c r="L647" i="14"/>
  <c r="M647" i="14" s="1"/>
  <c r="N647" i="14" s="1"/>
  <c r="K647" i="14"/>
  <c r="M646" i="14"/>
  <c r="N646" i="14" s="1"/>
  <c r="L646" i="14"/>
  <c r="K646" i="14"/>
  <c r="L645" i="14"/>
  <c r="M645" i="14" s="1"/>
  <c r="N645" i="14" s="1"/>
  <c r="K645" i="14"/>
  <c r="L644" i="14"/>
  <c r="M644" i="14" s="1"/>
  <c r="N644" i="14" s="1"/>
  <c r="K644" i="14"/>
  <c r="L643" i="14"/>
  <c r="M643" i="14" s="1"/>
  <c r="N643" i="14" s="1"/>
  <c r="K643" i="14"/>
  <c r="M642" i="14"/>
  <c r="N642" i="14" s="1"/>
  <c r="L642" i="14"/>
  <c r="K642" i="14"/>
  <c r="L641" i="14"/>
  <c r="M641" i="14" s="1"/>
  <c r="N641" i="14" s="1"/>
  <c r="K641" i="14"/>
  <c r="L640" i="14"/>
  <c r="M640" i="14" s="1"/>
  <c r="N640" i="14" s="1"/>
  <c r="K640" i="14"/>
  <c r="L639" i="14"/>
  <c r="M639" i="14" s="1"/>
  <c r="N639" i="14" s="1"/>
  <c r="K639" i="14"/>
  <c r="M638" i="14"/>
  <c r="N638" i="14" s="1"/>
  <c r="L638" i="14"/>
  <c r="K638" i="14"/>
  <c r="L637" i="14"/>
  <c r="M637" i="14" s="1"/>
  <c r="N637" i="14" s="1"/>
  <c r="K637" i="14"/>
  <c r="L636" i="14"/>
  <c r="M636" i="14" s="1"/>
  <c r="N636" i="14" s="1"/>
  <c r="K636" i="14"/>
  <c r="L635" i="14"/>
  <c r="M635" i="14" s="1"/>
  <c r="N635" i="14" s="1"/>
  <c r="K635" i="14"/>
  <c r="M634" i="14"/>
  <c r="N634" i="14" s="1"/>
  <c r="L634" i="14"/>
  <c r="K634" i="14"/>
  <c r="L633" i="14"/>
  <c r="M633" i="14" s="1"/>
  <c r="N633" i="14" s="1"/>
  <c r="K633" i="14"/>
  <c r="L632" i="14"/>
  <c r="M632" i="14" s="1"/>
  <c r="N632" i="14" s="1"/>
  <c r="K632" i="14"/>
  <c r="L631" i="14"/>
  <c r="M631" i="14" s="1"/>
  <c r="N631" i="14" s="1"/>
  <c r="K631" i="14"/>
  <c r="M630" i="14"/>
  <c r="N630" i="14" s="1"/>
  <c r="L630" i="14"/>
  <c r="K630" i="14"/>
  <c r="L629" i="14"/>
  <c r="M629" i="14" s="1"/>
  <c r="N629" i="14" s="1"/>
  <c r="K629" i="14"/>
  <c r="L628" i="14"/>
  <c r="M628" i="14" s="1"/>
  <c r="N628" i="14" s="1"/>
  <c r="K628" i="14"/>
  <c r="L627" i="14"/>
  <c r="M627" i="14" s="1"/>
  <c r="N627" i="14" s="1"/>
  <c r="K627" i="14"/>
  <c r="M626" i="14"/>
  <c r="N626" i="14" s="1"/>
  <c r="L626" i="14"/>
  <c r="K626" i="14"/>
  <c r="L625" i="14"/>
  <c r="M625" i="14" s="1"/>
  <c r="N625" i="14" s="1"/>
  <c r="K625" i="14"/>
  <c r="L624" i="14"/>
  <c r="M624" i="14" s="1"/>
  <c r="N624" i="14" s="1"/>
  <c r="K624" i="14"/>
  <c r="L623" i="14"/>
  <c r="M623" i="14" s="1"/>
  <c r="N623" i="14" s="1"/>
  <c r="K623" i="14"/>
  <c r="M622" i="14"/>
  <c r="N622" i="14" s="1"/>
  <c r="L622" i="14"/>
  <c r="K622" i="14"/>
  <c r="L621" i="14"/>
  <c r="M621" i="14" s="1"/>
  <c r="N621" i="14" s="1"/>
  <c r="K621" i="14"/>
  <c r="L620" i="14"/>
  <c r="M620" i="14" s="1"/>
  <c r="N620" i="14" s="1"/>
  <c r="K620" i="14"/>
  <c r="L619" i="14"/>
  <c r="M619" i="14" s="1"/>
  <c r="N619" i="14" s="1"/>
  <c r="K619" i="14"/>
  <c r="M618" i="14"/>
  <c r="N618" i="14" s="1"/>
  <c r="L618" i="14"/>
  <c r="K618" i="14"/>
  <c r="L617" i="14"/>
  <c r="M617" i="14" s="1"/>
  <c r="N617" i="14" s="1"/>
  <c r="K617" i="14"/>
  <c r="L616" i="14"/>
  <c r="M616" i="14" s="1"/>
  <c r="N616" i="14" s="1"/>
  <c r="K616" i="14"/>
  <c r="L615" i="14"/>
  <c r="M615" i="14" s="1"/>
  <c r="N615" i="14" s="1"/>
  <c r="K615" i="14"/>
  <c r="M614" i="14"/>
  <c r="N614" i="14" s="1"/>
  <c r="L614" i="14"/>
  <c r="K614" i="14"/>
  <c r="L613" i="14"/>
  <c r="M613" i="14" s="1"/>
  <c r="N613" i="14" s="1"/>
  <c r="K613" i="14"/>
  <c r="L612" i="14"/>
  <c r="M612" i="14" s="1"/>
  <c r="N612" i="14" s="1"/>
  <c r="K612" i="14"/>
  <c r="L611" i="14"/>
  <c r="M611" i="14" s="1"/>
  <c r="N611" i="14" s="1"/>
  <c r="K611" i="14"/>
  <c r="M610" i="14"/>
  <c r="N610" i="14" s="1"/>
  <c r="L610" i="14"/>
  <c r="K610" i="14"/>
  <c r="L609" i="14"/>
  <c r="M609" i="14" s="1"/>
  <c r="N609" i="14" s="1"/>
  <c r="K609" i="14"/>
  <c r="L608" i="14"/>
  <c r="M608" i="14" s="1"/>
  <c r="N608" i="14" s="1"/>
  <c r="K608" i="14"/>
  <c r="L607" i="14"/>
  <c r="M607" i="14" s="1"/>
  <c r="N607" i="14" s="1"/>
  <c r="K607" i="14"/>
  <c r="M606" i="14"/>
  <c r="N606" i="14" s="1"/>
  <c r="L606" i="14"/>
  <c r="K606" i="14"/>
  <c r="L605" i="14"/>
  <c r="M605" i="14" s="1"/>
  <c r="N605" i="14" s="1"/>
  <c r="K605" i="14"/>
  <c r="L604" i="14"/>
  <c r="M604" i="14" s="1"/>
  <c r="N604" i="14" s="1"/>
  <c r="K604" i="14"/>
  <c r="L603" i="14"/>
  <c r="M603" i="14" s="1"/>
  <c r="N603" i="14" s="1"/>
  <c r="K603" i="14"/>
  <c r="M602" i="14"/>
  <c r="N602" i="14" s="1"/>
  <c r="L602" i="14"/>
  <c r="K602" i="14"/>
  <c r="L601" i="14"/>
  <c r="M601" i="14" s="1"/>
  <c r="N601" i="14" s="1"/>
  <c r="K601" i="14"/>
  <c r="L600" i="14"/>
  <c r="M600" i="14" s="1"/>
  <c r="N600" i="14" s="1"/>
  <c r="K600" i="14"/>
  <c r="L599" i="14"/>
  <c r="M599" i="14" s="1"/>
  <c r="N599" i="14" s="1"/>
  <c r="K599" i="14"/>
  <c r="M598" i="14"/>
  <c r="N598" i="14" s="1"/>
  <c r="L598" i="14"/>
  <c r="K598" i="14"/>
  <c r="L597" i="14"/>
  <c r="M597" i="14" s="1"/>
  <c r="N597" i="14" s="1"/>
  <c r="K597" i="14"/>
  <c r="L596" i="14"/>
  <c r="M596" i="14" s="1"/>
  <c r="N596" i="14" s="1"/>
  <c r="K596" i="14"/>
  <c r="L595" i="14"/>
  <c r="M595" i="14" s="1"/>
  <c r="N595" i="14" s="1"/>
  <c r="K595" i="14"/>
  <c r="M594" i="14"/>
  <c r="N594" i="14" s="1"/>
  <c r="L594" i="14"/>
  <c r="K594" i="14"/>
  <c r="L593" i="14"/>
  <c r="M593" i="14" s="1"/>
  <c r="N593" i="14" s="1"/>
  <c r="K593" i="14"/>
  <c r="L592" i="14"/>
  <c r="M592" i="14" s="1"/>
  <c r="N592" i="14" s="1"/>
  <c r="K592" i="14"/>
  <c r="L591" i="14"/>
  <c r="M591" i="14" s="1"/>
  <c r="N591" i="14" s="1"/>
  <c r="K591" i="14"/>
  <c r="M590" i="14"/>
  <c r="N590" i="14" s="1"/>
  <c r="L590" i="14"/>
  <c r="K590" i="14"/>
  <c r="L589" i="14"/>
  <c r="M589" i="14" s="1"/>
  <c r="N589" i="14" s="1"/>
  <c r="K589" i="14"/>
  <c r="L588" i="14"/>
  <c r="M588" i="14" s="1"/>
  <c r="N588" i="14" s="1"/>
  <c r="K588" i="14"/>
  <c r="L587" i="14"/>
  <c r="M587" i="14" s="1"/>
  <c r="N587" i="14" s="1"/>
  <c r="K587" i="14"/>
  <c r="M586" i="14"/>
  <c r="N586" i="14" s="1"/>
  <c r="L586" i="14"/>
  <c r="K586" i="14"/>
  <c r="L585" i="14"/>
  <c r="M585" i="14" s="1"/>
  <c r="N585" i="14" s="1"/>
  <c r="K585" i="14"/>
  <c r="L584" i="14"/>
  <c r="M584" i="14" s="1"/>
  <c r="N584" i="14" s="1"/>
  <c r="K584" i="14"/>
  <c r="L583" i="14"/>
  <c r="M583" i="14" s="1"/>
  <c r="N583" i="14" s="1"/>
  <c r="K583" i="14"/>
  <c r="M582" i="14"/>
  <c r="N582" i="14" s="1"/>
  <c r="L582" i="14"/>
  <c r="K582" i="14"/>
  <c r="L581" i="14"/>
  <c r="M581" i="14" s="1"/>
  <c r="N581" i="14" s="1"/>
  <c r="K581" i="14"/>
  <c r="L580" i="14"/>
  <c r="M580" i="14" s="1"/>
  <c r="N580" i="14" s="1"/>
  <c r="K580" i="14"/>
  <c r="L579" i="14"/>
  <c r="M579" i="14" s="1"/>
  <c r="N579" i="14" s="1"/>
  <c r="K579" i="14"/>
  <c r="M578" i="14"/>
  <c r="N578" i="14" s="1"/>
  <c r="L578" i="14"/>
  <c r="K578" i="14"/>
  <c r="L577" i="14"/>
  <c r="M577" i="14" s="1"/>
  <c r="N577" i="14" s="1"/>
  <c r="K577" i="14"/>
  <c r="L576" i="14"/>
  <c r="M576" i="14" s="1"/>
  <c r="N576" i="14" s="1"/>
  <c r="K576" i="14"/>
  <c r="L575" i="14"/>
  <c r="M575" i="14" s="1"/>
  <c r="N575" i="14" s="1"/>
  <c r="K575" i="14"/>
  <c r="M574" i="14"/>
  <c r="N574" i="14" s="1"/>
  <c r="L574" i="14"/>
  <c r="K574" i="14"/>
  <c r="L573" i="14"/>
  <c r="M573" i="14" s="1"/>
  <c r="N573" i="14" s="1"/>
  <c r="K573" i="14"/>
  <c r="L572" i="14"/>
  <c r="M572" i="14" s="1"/>
  <c r="N572" i="14" s="1"/>
  <c r="K572" i="14"/>
  <c r="L571" i="14"/>
  <c r="M571" i="14" s="1"/>
  <c r="N571" i="14" s="1"/>
  <c r="K571" i="14"/>
  <c r="M570" i="14"/>
  <c r="N570" i="14" s="1"/>
  <c r="L570" i="14"/>
  <c r="K570" i="14"/>
  <c r="L569" i="14"/>
  <c r="M569" i="14" s="1"/>
  <c r="N569" i="14" s="1"/>
  <c r="K569" i="14"/>
  <c r="M568" i="14"/>
  <c r="N568" i="14" s="1"/>
  <c r="L568" i="14"/>
  <c r="K568" i="14"/>
  <c r="L567" i="14"/>
  <c r="M567" i="14" s="1"/>
  <c r="N567" i="14" s="1"/>
  <c r="K567" i="14"/>
  <c r="M566" i="14"/>
  <c r="N566" i="14" s="1"/>
  <c r="L566" i="14"/>
  <c r="K566" i="14"/>
  <c r="M565" i="14"/>
  <c r="N565" i="14" s="1"/>
  <c r="L565" i="14"/>
  <c r="K565" i="14"/>
  <c r="L564" i="14"/>
  <c r="M564" i="14" s="1"/>
  <c r="N564" i="14" s="1"/>
  <c r="K564" i="14"/>
  <c r="L563" i="14"/>
  <c r="M563" i="14" s="1"/>
  <c r="N563" i="14" s="1"/>
  <c r="K563" i="14"/>
  <c r="M562" i="14"/>
  <c r="N562" i="14" s="1"/>
  <c r="L562" i="14"/>
  <c r="K562" i="14"/>
  <c r="L561" i="14"/>
  <c r="M561" i="14" s="1"/>
  <c r="N561" i="14" s="1"/>
  <c r="K561" i="14"/>
  <c r="L560" i="14"/>
  <c r="M560" i="14" s="1"/>
  <c r="N560" i="14" s="1"/>
  <c r="K560" i="14"/>
  <c r="L559" i="14"/>
  <c r="M559" i="14" s="1"/>
  <c r="N559" i="14" s="1"/>
  <c r="K559" i="14"/>
  <c r="M558" i="14"/>
  <c r="N558" i="14" s="1"/>
  <c r="L558" i="14"/>
  <c r="K558" i="14"/>
  <c r="L557" i="14"/>
  <c r="M557" i="14" s="1"/>
  <c r="N557" i="14" s="1"/>
  <c r="K557" i="14"/>
  <c r="L556" i="14"/>
  <c r="M556" i="14" s="1"/>
  <c r="N556" i="14" s="1"/>
  <c r="K556" i="14"/>
  <c r="L555" i="14"/>
  <c r="M555" i="14" s="1"/>
  <c r="N555" i="14" s="1"/>
  <c r="K555" i="14"/>
  <c r="M554" i="14"/>
  <c r="N554" i="14" s="1"/>
  <c r="L554" i="14"/>
  <c r="K554" i="14"/>
  <c r="L553" i="14"/>
  <c r="M553" i="14" s="1"/>
  <c r="N553" i="14" s="1"/>
  <c r="K553" i="14"/>
  <c r="M552" i="14"/>
  <c r="N552" i="14" s="1"/>
  <c r="L552" i="14"/>
  <c r="K552" i="14"/>
  <c r="L551" i="14"/>
  <c r="M551" i="14" s="1"/>
  <c r="N551" i="14" s="1"/>
  <c r="K551" i="14"/>
  <c r="M550" i="14"/>
  <c r="N550" i="14" s="1"/>
  <c r="L550" i="14"/>
  <c r="K550" i="14"/>
  <c r="M549" i="14"/>
  <c r="N549" i="14" s="1"/>
  <c r="L549" i="14"/>
  <c r="K549" i="14"/>
  <c r="L548" i="14"/>
  <c r="M548" i="14" s="1"/>
  <c r="N548" i="14" s="1"/>
  <c r="K548" i="14"/>
  <c r="L547" i="14"/>
  <c r="M547" i="14" s="1"/>
  <c r="N547" i="14" s="1"/>
  <c r="K547" i="14"/>
  <c r="M546" i="14"/>
  <c r="N546" i="14" s="1"/>
  <c r="L546" i="14"/>
  <c r="K546" i="14"/>
  <c r="L545" i="14"/>
  <c r="M545" i="14" s="1"/>
  <c r="N545" i="14" s="1"/>
  <c r="K545" i="14"/>
  <c r="L544" i="14"/>
  <c r="M544" i="14" s="1"/>
  <c r="N544" i="14" s="1"/>
  <c r="K544" i="14"/>
  <c r="L543" i="14"/>
  <c r="M543" i="14" s="1"/>
  <c r="N543" i="14" s="1"/>
  <c r="K543" i="14"/>
  <c r="M542" i="14"/>
  <c r="N542" i="14" s="1"/>
  <c r="L542" i="14"/>
  <c r="K542" i="14"/>
  <c r="L541" i="14"/>
  <c r="M541" i="14" s="1"/>
  <c r="N541" i="14" s="1"/>
  <c r="K541" i="14"/>
  <c r="L540" i="14"/>
  <c r="M540" i="14" s="1"/>
  <c r="N540" i="14" s="1"/>
  <c r="K540" i="14"/>
  <c r="L539" i="14"/>
  <c r="M539" i="14" s="1"/>
  <c r="N539" i="14" s="1"/>
  <c r="K539" i="14"/>
  <c r="M538" i="14"/>
  <c r="N538" i="14" s="1"/>
  <c r="L538" i="14"/>
  <c r="K538" i="14"/>
  <c r="L537" i="14"/>
  <c r="M537" i="14" s="1"/>
  <c r="N537" i="14" s="1"/>
  <c r="K537" i="14"/>
  <c r="M536" i="14"/>
  <c r="N536" i="14" s="1"/>
  <c r="L536" i="14"/>
  <c r="K536" i="14"/>
  <c r="L535" i="14"/>
  <c r="M535" i="14" s="1"/>
  <c r="N535" i="14" s="1"/>
  <c r="K535" i="14"/>
  <c r="M534" i="14"/>
  <c r="N534" i="14" s="1"/>
  <c r="L534" i="14"/>
  <c r="K534" i="14"/>
  <c r="M533" i="14"/>
  <c r="N533" i="14" s="1"/>
  <c r="L533" i="14"/>
  <c r="K533" i="14"/>
  <c r="L532" i="14"/>
  <c r="M532" i="14" s="1"/>
  <c r="N532" i="14" s="1"/>
  <c r="K532" i="14"/>
  <c r="L531" i="14"/>
  <c r="M531" i="14" s="1"/>
  <c r="N531" i="14" s="1"/>
  <c r="K531" i="14"/>
  <c r="M530" i="14"/>
  <c r="N530" i="14" s="1"/>
  <c r="L530" i="14"/>
  <c r="K530" i="14"/>
  <c r="L529" i="14"/>
  <c r="M529" i="14" s="1"/>
  <c r="N529" i="14" s="1"/>
  <c r="K529" i="14"/>
  <c r="L528" i="14"/>
  <c r="M528" i="14" s="1"/>
  <c r="N528" i="14" s="1"/>
  <c r="K528" i="14"/>
  <c r="L527" i="14"/>
  <c r="M527" i="14" s="1"/>
  <c r="N527" i="14" s="1"/>
  <c r="K527" i="14"/>
  <c r="M526" i="14"/>
  <c r="N526" i="14" s="1"/>
  <c r="L526" i="14"/>
  <c r="K526" i="14"/>
  <c r="L525" i="14"/>
  <c r="M525" i="14" s="1"/>
  <c r="N525" i="14" s="1"/>
  <c r="K525" i="14"/>
  <c r="L524" i="14"/>
  <c r="M524" i="14" s="1"/>
  <c r="N524" i="14" s="1"/>
  <c r="K524" i="14"/>
  <c r="L523" i="14"/>
  <c r="M523" i="14" s="1"/>
  <c r="N523" i="14" s="1"/>
  <c r="K523" i="14"/>
  <c r="M522" i="14"/>
  <c r="N522" i="14" s="1"/>
  <c r="L522" i="14"/>
  <c r="K522" i="14"/>
  <c r="L521" i="14"/>
  <c r="M521" i="14" s="1"/>
  <c r="N521" i="14" s="1"/>
  <c r="K521" i="14"/>
  <c r="M520" i="14"/>
  <c r="N520" i="14" s="1"/>
  <c r="L520" i="14"/>
  <c r="K520" i="14"/>
  <c r="L519" i="14"/>
  <c r="M519" i="14" s="1"/>
  <c r="N519" i="14" s="1"/>
  <c r="K519" i="14"/>
  <c r="M518" i="14"/>
  <c r="N518" i="14" s="1"/>
  <c r="L518" i="14"/>
  <c r="K518" i="14"/>
  <c r="M517" i="14"/>
  <c r="N517" i="14" s="1"/>
  <c r="L517" i="14"/>
  <c r="K517" i="14"/>
  <c r="L516" i="14"/>
  <c r="M516" i="14" s="1"/>
  <c r="N516" i="14" s="1"/>
  <c r="K516" i="14"/>
  <c r="L515" i="14"/>
  <c r="M515" i="14" s="1"/>
  <c r="N515" i="14" s="1"/>
  <c r="K515" i="14"/>
  <c r="M514" i="14"/>
  <c r="N514" i="14" s="1"/>
  <c r="L514" i="14"/>
  <c r="K514" i="14"/>
  <c r="L513" i="14"/>
  <c r="M513" i="14" s="1"/>
  <c r="N513" i="14" s="1"/>
  <c r="K513" i="14"/>
  <c r="L512" i="14"/>
  <c r="M512" i="14" s="1"/>
  <c r="N512" i="14" s="1"/>
  <c r="K512" i="14"/>
  <c r="L511" i="14"/>
  <c r="M511" i="14" s="1"/>
  <c r="N511" i="14" s="1"/>
  <c r="K511" i="14"/>
  <c r="M510" i="14"/>
  <c r="N510" i="14" s="1"/>
  <c r="L510" i="14"/>
  <c r="K510" i="14"/>
  <c r="L509" i="14"/>
  <c r="M509" i="14" s="1"/>
  <c r="N509" i="14" s="1"/>
  <c r="K509" i="14"/>
  <c r="L508" i="14"/>
  <c r="M508" i="14" s="1"/>
  <c r="N508" i="14" s="1"/>
  <c r="K508" i="14"/>
  <c r="L507" i="14"/>
  <c r="M507" i="14" s="1"/>
  <c r="N507" i="14" s="1"/>
  <c r="K507" i="14"/>
  <c r="M506" i="14"/>
  <c r="N506" i="14" s="1"/>
  <c r="L506" i="14"/>
  <c r="K506" i="14"/>
  <c r="L505" i="14"/>
  <c r="M505" i="14" s="1"/>
  <c r="N505" i="14" s="1"/>
  <c r="K505" i="14"/>
  <c r="M504" i="14"/>
  <c r="N504" i="14" s="1"/>
  <c r="L504" i="14"/>
  <c r="K504" i="14"/>
  <c r="L503" i="14"/>
  <c r="M503" i="14" s="1"/>
  <c r="N503" i="14" s="1"/>
  <c r="K503" i="14"/>
  <c r="M502" i="14"/>
  <c r="N502" i="14" s="1"/>
  <c r="L502" i="14"/>
  <c r="K502" i="14"/>
  <c r="M501" i="14"/>
  <c r="N501" i="14" s="1"/>
  <c r="L501" i="14"/>
  <c r="K501" i="14"/>
  <c r="L500" i="14"/>
  <c r="M500" i="14" s="1"/>
  <c r="N500" i="14" s="1"/>
  <c r="K500" i="14"/>
  <c r="L499" i="14"/>
  <c r="M499" i="14" s="1"/>
  <c r="N499" i="14" s="1"/>
  <c r="K499" i="14"/>
  <c r="M498" i="14"/>
  <c r="N498" i="14" s="1"/>
  <c r="L498" i="14"/>
  <c r="K498" i="14"/>
  <c r="L497" i="14"/>
  <c r="M497" i="14" s="1"/>
  <c r="N497" i="14" s="1"/>
  <c r="K497" i="14"/>
  <c r="L496" i="14"/>
  <c r="M496" i="14" s="1"/>
  <c r="N496" i="14" s="1"/>
  <c r="K496" i="14"/>
  <c r="L495" i="14"/>
  <c r="M495" i="14" s="1"/>
  <c r="N495" i="14" s="1"/>
  <c r="K495" i="14"/>
  <c r="M494" i="14"/>
  <c r="N494" i="14" s="1"/>
  <c r="L494" i="14"/>
  <c r="K494" i="14"/>
  <c r="L493" i="14"/>
  <c r="M493" i="14" s="1"/>
  <c r="N493" i="14" s="1"/>
  <c r="K493" i="14"/>
  <c r="L492" i="14"/>
  <c r="M492" i="14" s="1"/>
  <c r="N492" i="14" s="1"/>
  <c r="K492" i="14"/>
  <c r="L491" i="14"/>
  <c r="M491" i="14" s="1"/>
  <c r="N491" i="14" s="1"/>
  <c r="K491" i="14"/>
  <c r="M490" i="14"/>
  <c r="N490" i="14" s="1"/>
  <c r="L490" i="14"/>
  <c r="K490" i="14"/>
  <c r="L489" i="14"/>
  <c r="M489" i="14" s="1"/>
  <c r="N489" i="14" s="1"/>
  <c r="K489" i="14"/>
  <c r="M488" i="14"/>
  <c r="N488" i="14" s="1"/>
  <c r="L488" i="14"/>
  <c r="K488" i="14"/>
  <c r="L487" i="14"/>
  <c r="M487" i="14" s="1"/>
  <c r="N487" i="14" s="1"/>
  <c r="K487" i="14"/>
  <c r="M486" i="14"/>
  <c r="N486" i="14" s="1"/>
  <c r="L486" i="14"/>
  <c r="K486" i="14"/>
  <c r="M485" i="14"/>
  <c r="N485" i="14" s="1"/>
  <c r="L485" i="14"/>
  <c r="K485" i="14"/>
  <c r="L484" i="14"/>
  <c r="M484" i="14" s="1"/>
  <c r="N484" i="14" s="1"/>
  <c r="K484" i="14"/>
  <c r="L483" i="14"/>
  <c r="M483" i="14" s="1"/>
  <c r="N483" i="14" s="1"/>
  <c r="K483" i="14"/>
  <c r="M482" i="14"/>
  <c r="N482" i="14" s="1"/>
  <c r="L482" i="14"/>
  <c r="K482" i="14"/>
  <c r="L481" i="14"/>
  <c r="M481" i="14" s="1"/>
  <c r="N481" i="14" s="1"/>
  <c r="K481" i="14"/>
  <c r="L480" i="14"/>
  <c r="M480" i="14" s="1"/>
  <c r="N480" i="14" s="1"/>
  <c r="K480" i="14"/>
  <c r="L479" i="14"/>
  <c r="M479" i="14" s="1"/>
  <c r="N479" i="14" s="1"/>
  <c r="K479" i="14"/>
  <c r="M478" i="14"/>
  <c r="N478" i="14" s="1"/>
  <c r="L478" i="14"/>
  <c r="K478" i="14"/>
  <c r="L477" i="14"/>
  <c r="M477" i="14" s="1"/>
  <c r="N477" i="14" s="1"/>
  <c r="K477" i="14"/>
  <c r="L476" i="14"/>
  <c r="M476" i="14" s="1"/>
  <c r="N476" i="14" s="1"/>
  <c r="K476" i="14"/>
  <c r="L475" i="14"/>
  <c r="M475" i="14" s="1"/>
  <c r="N475" i="14" s="1"/>
  <c r="K475" i="14"/>
  <c r="M474" i="14"/>
  <c r="N474" i="14" s="1"/>
  <c r="L474" i="14"/>
  <c r="K474" i="14"/>
  <c r="L473" i="14"/>
  <c r="M473" i="14" s="1"/>
  <c r="N473" i="14" s="1"/>
  <c r="K473" i="14"/>
  <c r="M472" i="14"/>
  <c r="N472" i="14" s="1"/>
  <c r="L472" i="14"/>
  <c r="K472" i="14"/>
  <c r="L471" i="14"/>
  <c r="M471" i="14" s="1"/>
  <c r="N471" i="14" s="1"/>
  <c r="K471" i="14"/>
  <c r="M470" i="14"/>
  <c r="N470" i="14" s="1"/>
  <c r="L470" i="14"/>
  <c r="K470" i="14"/>
  <c r="M469" i="14"/>
  <c r="N469" i="14" s="1"/>
  <c r="L469" i="14"/>
  <c r="K469" i="14"/>
  <c r="L468" i="14"/>
  <c r="M468" i="14" s="1"/>
  <c r="N468" i="14" s="1"/>
  <c r="K468" i="14"/>
  <c r="L467" i="14"/>
  <c r="M467" i="14" s="1"/>
  <c r="N467" i="14" s="1"/>
  <c r="K467" i="14"/>
  <c r="M466" i="14"/>
  <c r="N466" i="14" s="1"/>
  <c r="L466" i="14"/>
  <c r="K466" i="14"/>
  <c r="L465" i="14"/>
  <c r="M465" i="14" s="1"/>
  <c r="N465" i="14" s="1"/>
  <c r="K465" i="14"/>
  <c r="L464" i="14"/>
  <c r="M464" i="14" s="1"/>
  <c r="N464" i="14" s="1"/>
  <c r="K464" i="14"/>
  <c r="L463" i="14"/>
  <c r="M463" i="14" s="1"/>
  <c r="N463" i="14" s="1"/>
  <c r="K463" i="14"/>
  <c r="M462" i="14"/>
  <c r="N462" i="14" s="1"/>
  <c r="L462" i="14"/>
  <c r="K462" i="14"/>
  <c r="L461" i="14"/>
  <c r="M461" i="14" s="1"/>
  <c r="N461" i="14" s="1"/>
  <c r="K461" i="14"/>
  <c r="L460" i="14"/>
  <c r="M460" i="14" s="1"/>
  <c r="N460" i="14" s="1"/>
  <c r="K460" i="14"/>
  <c r="L459" i="14"/>
  <c r="M459" i="14" s="1"/>
  <c r="N459" i="14" s="1"/>
  <c r="K459" i="14"/>
  <c r="M458" i="14"/>
  <c r="N458" i="14" s="1"/>
  <c r="L458" i="14"/>
  <c r="K458" i="14"/>
  <c r="L457" i="14"/>
  <c r="M457" i="14" s="1"/>
  <c r="N457" i="14" s="1"/>
  <c r="K457" i="14"/>
  <c r="M456" i="14"/>
  <c r="N456" i="14" s="1"/>
  <c r="L456" i="14"/>
  <c r="K456" i="14"/>
  <c r="L455" i="14"/>
  <c r="M455" i="14" s="1"/>
  <c r="N455" i="14" s="1"/>
  <c r="K455" i="14"/>
  <c r="M454" i="14"/>
  <c r="N454" i="14" s="1"/>
  <c r="L454" i="14"/>
  <c r="K454" i="14"/>
  <c r="M453" i="14"/>
  <c r="N453" i="14" s="1"/>
  <c r="L453" i="14"/>
  <c r="K453" i="14"/>
  <c r="L452" i="14"/>
  <c r="M452" i="14" s="1"/>
  <c r="N452" i="14" s="1"/>
  <c r="K452" i="14"/>
  <c r="L451" i="14"/>
  <c r="M451" i="14" s="1"/>
  <c r="N451" i="14" s="1"/>
  <c r="K451" i="14"/>
  <c r="M450" i="14"/>
  <c r="N450" i="14" s="1"/>
  <c r="L450" i="14"/>
  <c r="K450" i="14"/>
  <c r="L449" i="14"/>
  <c r="M449" i="14" s="1"/>
  <c r="N449" i="14" s="1"/>
  <c r="K449" i="14"/>
  <c r="L448" i="14"/>
  <c r="M448" i="14" s="1"/>
  <c r="N448" i="14" s="1"/>
  <c r="K448" i="14"/>
  <c r="L447" i="14"/>
  <c r="M447" i="14" s="1"/>
  <c r="N447" i="14" s="1"/>
  <c r="K447" i="14"/>
  <c r="M446" i="14"/>
  <c r="N446" i="14" s="1"/>
  <c r="L446" i="14"/>
  <c r="K446" i="14"/>
  <c r="L445" i="14"/>
  <c r="M445" i="14" s="1"/>
  <c r="N445" i="14" s="1"/>
  <c r="K445" i="14"/>
  <c r="L444" i="14"/>
  <c r="M444" i="14" s="1"/>
  <c r="N444" i="14" s="1"/>
  <c r="K444" i="14"/>
  <c r="L443" i="14"/>
  <c r="M443" i="14" s="1"/>
  <c r="N443" i="14" s="1"/>
  <c r="K443" i="14"/>
  <c r="M442" i="14"/>
  <c r="N442" i="14" s="1"/>
  <c r="L442" i="14"/>
  <c r="K442" i="14"/>
  <c r="L441" i="14"/>
  <c r="M441" i="14" s="1"/>
  <c r="N441" i="14" s="1"/>
  <c r="K441" i="14"/>
  <c r="M440" i="14"/>
  <c r="N440" i="14" s="1"/>
  <c r="L440" i="14"/>
  <c r="K440" i="14"/>
  <c r="L439" i="14"/>
  <c r="M439" i="14" s="1"/>
  <c r="N439" i="14" s="1"/>
  <c r="K439" i="14"/>
  <c r="M438" i="14"/>
  <c r="N438" i="14" s="1"/>
  <c r="L438" i="14"/>
  <c r="K438" i="14"/>
  <c r="M437" i="14"/>
  <c r="N437" i="14" s="1"/>
  <c r="L437" i="14"/>
  <c r="K437" i="14"/>
  <c r="L436" i="14"/>
  <c r="M436" i="14" s="1"/>
  <c r="N436" i="14" s="1"/>
  <c r="K436" i="14"/>
  <c r="L435" i="14"/>
  <c r="M435" i="14" s="1"/>
  <c r="N435" i="14" s="1"/>
  <c r="K435" i="14"/>
  <c r="M434" i="14"/>
  <c r="N434" i="14" s="1"/>
  <c r="L434" i="14"/>
  <c r="K434" i="14"/>
  <c r="L433" i="14"/>
  <c r="M433" i="14" s="1"/>
  <c r="N433" i="14" s="1"/>
  <c r="K433" i="14"/>
  <c r="L432" i="14"/>
  <c r="M432" i="14" s="1"/>
  <c r="N432" i="14" s="1"/>
  <c r="K432" i="14"/>
  <c r="L431" i="14"/>
  <c r="M431" i="14" s="1"/>
  <c r="N431" i="14" s="1"/>
  <c r="K431" i="14"/>
  <c r="M430" i="14"/>
  <c r="N430" i="14" s="1"/>
  <c r="L430" i="14"/>
  <c r="K430" i="14"/>
  <c r="L429" i="14"/>
  <c r="M429" i="14" s="1"/>
  <c r="N429" i="14" s="1"/>
  <c r="K429" i="14"/>
  <c r="L428" i="14"/>
  <c r="M428" i="14" s="1"/>
  <c r="N428" i="14" s="1"/>
  <c r="K428" i="14"/>
  <c r="L427" i="14"/>
  <c r="M427" i="14" s="1"/>
  <c r="N427" i="14" s="1"/>
  <c r="K427" i="14"/>
  <c r="M426" i="14"/>
  <c r="N426" i="14" s="1"/>
  <c r="L426" i="14"/>
  <c r="K426" i="14"/>
  <c r="L425" i="14"/>
  <c r="M425" i="14" s="1"/>
  <c r="N425" i="14" s="1"/>
  <c r="K425" i="14"/>
  <c r="M424" i="14"/>
  <c r="N424" i="14" s="1"/>
  <c r="L424" i="14"/>
  <c r="K424" i="14"/>
  <c r="L423" i="14"/>
  <c r="M423" i="14" s="1"/>
  <c r="N423" i="14" s="1"/>
  <c r="K423" i="14"/>
  <c r="M422" i="14"/>
  <c r="N422" i="14" s="1"/>
  <c r="L422" i="14"/>
  <c r="K422" i="14"/>
  <c r="M421" i="14"/>
  <c r="N421" i="14" s="1"/>
  <c r="L421" i="14"/>
  <c r="K421" i="14"/>
  <c r="L420" i="14"/>
  <c r="M420" i="14" s="1"/>
  <c r="N420" i="14" s="1"/>
  <c r="K420" i="14"/>
  <c r="L419" i="14"/>
  <c r="M419" i="14" s="1"/>
  <c r="N419" i="14" s="1"/>
  <c r="K419" i="14"/>
  <c r="M418" i="14"/>
  <c r="N418" i="14" s="1"/>
  <c r="L418" i="14"/>
  <c r="K418" i="14"/>
  <c r="L417" i="14"/>
  <c r="M417" i="14" s="1"/>
  <c r="N417" i="14" s="1"/>
  <c r="K417" i="14"/>
  <c r="L416" i="14"/>
  <c r="M416" i="14" s="1"/>
  <c r="N416" i="14" s="1"/>
  <c r="K416" i="14"/>
  <c r="L415" i="14"/>
  <c r="M415" i="14" s="1"/>
  <c r="N415" i="14" s="1"/>
  <c r="K415" i="14"/>
  <c r="M414" i="14"/>
  <c r="N414" i="14" s="1"/>
  <c r="L414" i="14"/>
  <c r="K414" i="14"/>
  <c r="L413" i="14"/>
  <c r="M413" i="14" s="1"/>
  <c r="N413" i="14" s="1"/>
  <c r="K413" i="14"/>
  <c r="L412" i="14"/>
  <c r="M412" i="14" s="1"/>
  <c r="N412" i="14" s="1"/>
  <c r="K412" i="14"/>
  <c r="L411" i="14"/>
  <c r="M411" i="14" s="1"/>
  <c r="N411" i="14" s="1"/>
  <c r="K411" i="14"/>
  <c r="M410" i="14"/>
  <c r="N410" i="14" s="1"/>
  <c r="L410" i="14"/>
  <c r="K410" i="14"/>
  <c r="L409" i="14"/>
  <c r="M409" i="14" s="1"/>
  <c r="N409" i="14" s="1"/>
  <c r="K409" i="14"/>
  <c r="M408" i="14"/>
  <c r="N408" i="14" s="1"/>
  <c r="L408" i="14"/>
  <c r="K408" i="14"/>
  <c r="L407" i="14"/>
  <c r="M407" i="14" s="1"/>
  <c r="N407" i="14" s="1"/>
  <c r="K407" i="14"/>
  <c r="M406" i="14"/>
  <c r="N406" i="14" s="1"/>
  <c r="L406" i="14"/>
  <c r="K406" i="14"/>
  <c r="M405" i="14"/>
  <c r="N405" i="14" s="1"/>
  <c r="L405" i="14"/>
  <c r="K405" i="14"/>
  <c r="L404" i="14"/>
  <c r="M404" i="14" s="1"/>
  <c r="N404" i="14" s="1"/>
  <c r="K404" i="14"/>
  <c r="L403" i="14"/>
  <c r="M403" i="14" s="1"/>
  <c r="N403" i="14" s="1"/>
  <c r="K403" i="14"/>
  <c r="M402" i="14"/>
  <c r="N402" i="14" s="1"/>
  <c r="L402" i="14"/>
  <c r="K402" i="14"/>
  <c r="L401" i="14"/>
  <c r="M401" i="14" s="1"/>
  <c r="N401" i="14" s="1"/>
  <c r="K401" i="14"/>
  <c r="L400" i="14"/>
  <c r="M400" i="14" s="1"/>
  <c r="N400" i="14" s="1"/>
  <c r="K400" i="14"/>
  <c r="L399" i="14"/>
  <c r="M399" i="14" s="1"/>
  <c r="N399" i="14" s="1"/>
  <c r="K399" i="14"/>
  <c r="M398" i="14"/>
  <c r="N398" i="14" s="1"/>
  <c r="L398" i="14"/>
  <c r="K398" i="14"/>
  <c r="L397" i="14"/>
  <c r="M397" i="14" s="1"/>
  <c r="N397" i="14" s="1"/>
  <c r="K397" i="14"/>
  <c r="L396" i="14"/>
  <c r="M396" i="14" s="1"/>
  <c r="N396" i="14" s="1"/>
  <c r="K396" i="14"/>
  <c r="L395" i="14"/>
  <c r="M395" i="14" s="1"/>
  <c r="N395" i="14" s="1"/>
  <c r="K395" i="14"/>
  <c r="M394" i="14"/>
  <c r="N394" i="14" s="1"/>
  <c r="L394" i="14"/>
  <c r="K394" i="14"/>
  <c r="L393" i="14"/>
  <c r="M393" i="14" s="1"/>
  <c r="N393" i="14" s="1"/>
  <c r="K393" i="14"/>
  <c r="M392" i="14"/>
  <c r="N392" i="14" s="1"/>
  <c r="L392" i="14"/>
  <c r="K392" i="14"/>
  <c r="L391" i="14"/>
  <c r="M391" i="14" s="1"/>
  <c r="N391" i="14" s="1"/>
  <c r="K391" i="14"/>
  <c r="M390" i="14"/>
  <c r="N390" i="14" s="1"/>
  <c r="L390" i="14"/>
  <c r="K390" i="14"/>
  <c r="M389" i="14"/>
  <c r="N389" i="14" s="1"/>
  <c r="L389" i="14"/>
  <c r="K389" i="14"/>
  <c r="L388" i="14"/>
  <c r="M388" i="14" s="1"/>
  <c r="N388" i="14" s="1"/>
  <c r="K388" i="14"/>
  <c r="L387" i="14"/>
  <c r="M387" i="14" s="1"/>
  <c r="N387" i="14" s="1"/>
  <c r="K387" i="14"/>
  <c r="M386" i="14"/>
  <c r="N386" i="14" s="1"/>
  <c r="L386" i="14"/>
  <c r="K386" i="14"/>
  <c r="L385" i="14"/>
  <c r="M385" i="14" s="1"/>
  <c r="N385" i="14" s="1"/>
  <c r="K385" i="14"/>
  <c r="L384" i="14"/>
  <c r="M384" i="14" s="1"/>
  <c r="N384" i="14" s="1"/>
  <c r="K384" i="14"/>
  <c r="L383" i="14"/>
  <c r="M383" i="14" s="1"/>
  <c r="N383" i="14" s="1"/>
  <c r="K383" i="14"/>
  <c r="M382" i="14"/>
  <c r="N382" i="14" s="1"/>
  <c r="L382" i="14"/>
  <c r="K382" i="14"/>
  <c r="L381" i="14"/>
  <c r="M381" i="14" s="1"/>
  <c r="N381" i="14" s="1"/>
  <c r="K381" i="14"/>
  <c r="L380" i="14"/>
  <c r="M380" i="14" s="1"/>
  <c r="N380" i="14" s="1"/>
  <c r="K380" i="14"/>
  <c r="L379" i="14"/>
  <c r="M379" i="14" s="1"/>
  <c r="N379" i="14" s="1"/>
  <c r="K379" i="14"/>
  <c r="M378" i="14"/>
  <c r="N378" i="14" s="1"/>
  <c r="L378" i="14"/>
  <c r="K378" i="14"/>
  <c r="L377" i="14"/>
  <c r="M377" i="14" s="1"/>
  <c r="N377" i="14" s="1"/>
  <c r="K377" i="14"/>
  <c r="M376" i="14"/>
  <c r="N376" i="14" s="1"/>
  <c r="L376" i="14"/>
  <c r="K376" i="14"/>
  <c r="L375" i="14"/>
  <c r="M375" i="14" s="1"/>
  <c r="N375" i="14" s="1"/>
  <c r="K375" i="14"/>
  <c r="M374" i="14"/>
  <c r="N374" i="14" s="1"/>
  <c r="L374" i="14"/>
  <c r="K374" i="14"/>
  <c r="M373" i="14"/>
  <c r="N373" i="14" s="1"/>
  <c r="L373" i="14"/>
  <c r="K373" i="14"/>
  <c r="L372" i="14"/>
  <c r="M372" i="14" s="1"/>
  <c r="N372" i="14" s="1"/>
  <c r="K372" i="14"/>
  <c r="L371" i="14"/>
  <c r="M371" i="14" s="1"/>
  <c r="N371" i="14" s="1"/>
  <c r="K371" i="14"/>
  <c r="M370" i="14"/>
  <c r="N370" i="14" s="1"/>
  <c r="L370" i="14"/>
  <c r="K370" i="14"/>
  <c r="L369" i="14"/>
  <c r="M369" i="14" s="1"/>
  <c r="N369" i="14" s="1"/>
  <c r="K369" i="14"/>
  <c r="L368" i="14"/>
  <c r="M368" i="14" s="1"/>
  <c r="N368" i="14" s="1"/>
  <c r="K368" i="14"/>
  <c r="L367" i="14"/>
  <c r="M367" i="14" s="1"/>
  <c r="N367" i="14" s="1"/>
  <c r="K367" i="14"/>
  <c r="M366" i="14"/>
  <c r="N366" i="14" s="1"/>
  <c r="L366" i="14"/>
  <c r="K366" i="14"/>
  <c r="L365" i="14"/>
  <c r="M365" i="14" s="1"/>
  <c r="N365" i="14" s="1"/>
  <c r="K365" i="14"/>
  <c r="L364" i="14"/>
  <c r="M364" i="14" s="1"/>
  <c r="N364" i="14" s="1"/>
  <c r="K364" i="14"/>
  <c r="L363" i="14"/>
  <c r="M363" i="14" s="1"/>
  <c r="N363" i="14" s="1"/>
  <c r="K363" i="14"/>
  <c r="M362" i="14"/>
  <c r="N362" i="14" s="1"/>
  <c r="L362" i="14"/>
  <c r="K362" i="14"/>
  <c r="L361" i="14"/>
  <c r="M361" i="14" s="1"/>
  <c r="N361" i="14" s="1"/>
  <c r="K361" i="14"/>
  <c r="M360" i="14"/>
  <c r="N360" i="14" s="1"/>
  <c r="L360" i="14"/>
  <c r="K360" i="14"/>
  <c r="L359" i="14"/>
  <c r="M359" i="14" s="1"/>
  <c r="N359" i="14" s="1"/>
  <c r="K359" i="14"/>
  <c r="M358" i="14"/>
  <c r="N358" i="14" s="1"/>
  <c r="L358" i="14"/>
  <c r="K358" i="14"/>
  <c r="M357" i="14"/>
  <c r="N357" i="14" s="1"/>
  <c r="L357" i="14"/>
  <c r="K357" i="14"/>
  <c r="L356" i="14"/>
  <c r="M356" i="14" s="1"/>
  <c r="N356" i="14" s="1"/>
  <c r="K356" i="14"/>
  <c r="L355" i="14"/>
  <c r="M355" i="14" s="1"/>
  <c r="N355" i="14" s="1"/>
  <c r="K355" i="14"/>
  <c r="M354" i="14"/>
  <c r="N354" i="14" s="1"/>
  <c r="L354" i="14"/>
  <c r="K354" i="14"/>
  <c r="L353" i="14"/>
  <c r="M353" i="14" s="1"/>
  <c r="N353" i="14" s="1"/>
  <c r="K353" i="14"/>
  <c r="L352" i="14"/>
  <c r="M352" i="14" s="1"/>
  <c r="N352" i="14" s="1"/>
  <c r="K352" i="14"/>
  <c r="L351" i="14"/>
  <c r="M351" i="14" s="1"/>
  <c r="N351" i="14" s="1"/>
  <c r="K351" i="14"/>
  <c r="M350" i="14"/>
  <c r="N350" i="14" s="1"/>
  <c r="L350" i="14"/>
  <c r="K350" i="14"/>
  <c r="L349" i="14"/>
  <c r="M349" i="14" s="1"/>
  <c r="N349" i="14" s="1"/>
  <c r="K349" i="14"/>
  <c r="L348" i="14"/>
  <c r="M348" i="14" s="1"/>
  <c r="N348" i="14" s="1"/>
  <c r="K348" i="14"/>
  <c r="L347" i="14"/>
  <c r="M347" i="14" s="1"/>
  <c r="N347" i="14" s="1"/>
  <c r="K347" i="14"/>
  <c r="M346" i="14"/>
  <c r="N346" i="14" s="1"/>
  <c r="L346" i="14"/>
  <c r="K346" i="14"/>
  <c r="L345" i="14"/>
  <c r="M345" i="14" s="1"/>
  <c r="N345" i="14" s="1"/>
  <c r="K345" i="14"/>
  <c r="M344" i="14"/>
  <c r="N344" i="14" s="1"/>
  <c r="L344" i="14"/>
  <c r="K344" i="14"/>
  <c r="L343" i="14"/>
  <c r="M343" i="14" s="1"/>
  <c r="N343" i="14" s="1"/>
  <c r="K343" i="14"/>
  <c r="M342" i="14"/>
  <c r="N342" i="14" s="1"/>
  <c r="L342" i="14"/>
  <c r="K342" i="14"/>
  <c r="M341" i="14"/>
  <c r="N341" i="14" s="1"/>
  <c r="L341" i="14"/>
  <c r="K341" i="14"/>
  <c r="L340" i="14"/>
  <c r="M340" i="14" s="1"/>
  <c r="N340" i="14" s="1"/>
  <c r="K340" i="14"/>
  <c r="L339" i="14"/>
  <c r="M339" i="14" s="1"/>
  <c r="N339" i="14" s="1"/>
  <c r="K339" i="14"/>
  <c r="M338" i="14"/>
  <c r="N338" i="14" s="1"/>
  <c r="L338" i="14"/>
  <c r="K338" i="14"/>
  <c r="L337" i="14"/>
  <c r="M337" i="14" s="1"/>
  <c r="N337" i="14" s="1"/>
  <c r="K337" i="14"/>
  <c r="L336" i="14"/>
  <c r="M336" i="14" s="1"/>
  <c r="N336" i="14" s="1"/>
  <c r="K336" i="14"/>
  <c r="L335" i="14"/>
  <c r="M335" i="14" s="1"/>
  <c r="N335" i="14" s="1"/>
  <c r="K335" i="14"/>
  <c r="M334" i="14"/>
  <c r="N334" i="14" s="1"/>
  <c r="L334" i="14"/>
  <c r="K334" i="14"/>
  <c r="L333" i="14"/>
  <c r="M333" i="14" s="1"/>
  <c r="N333" i="14" s="1"/>
  <c r="K333" i="14"/>
  <c r="L332" i="14"/>
  <c r="M332" i="14" s="1"/>
  <c r="N332" i="14" s="1"/>
  <c r="K332" i="14"/>
  <c r="L331" i="14"/>
  <c r="M331" i="14" s="1"/>
  <c r="N331" i="14" s="1"/>
  <c r="K331" i="14"/>
  <c r="M330" i="14"/>
  <c r="N330" i="14" s="1"/>
  <c r="L330" i="14"/>
  <c r="K330" i="14"/>
  <c r="L329" i="14"/>
  <c r="M329" i="14" s="1"/>
  <c r="N329" i="14" s="1"/>
  <c r="K329" i="14"/>
  <c r="M328" i="14"/>
  <c r="N328" i="14" s="1"/>
  <c r="L328" i="14"/>
  <c r="K328" i="14"/>
  <c r="L327" i="14"/>
  <c r="M327" i="14" s="1"/>
  <c r="N327" i="14" s="1"/>
  <c r="K327" i="14"/>
  <c r="M326" i="14"/>
  <c r="N326" i="14" s="1"/>
  <c r="L326" i="14"/>
  <c r="K326" i="14"/>
  <c r="M325" i="14"/>
  <c r="N325" i="14" s="1"/>
  <c r="L325" i="14"/>
  <c r="K325" i="14"/>
  <c r="L324" i="14"/>
  <c r="M324" i="14" s="1"/>
  <c r="N324" i="14" s="1"/>
  <c r="K324" i="14"/>
  <c r="L323" i="14"/>
  <c r="M323" i="14" s="1"/>
  <c r="N323" i="14" s="1"/>
  <c r="K323" i="14"/>
  <c r="M322" i="14"/>
  <c r="N322" i="14" s="1"/>
  <c r="L322" i="14"/>
  <c r="K322" i="14"/>
  <c r="L321" i="14"/>
  <c r="M321" i="14" s="1"/>
  <c r="N321" i="14" s="1"/>
  <c r="K321" i="14"/>
  <c r="L320" i="14"/>
  <c r="M320" i="14" s="1"/>
  <c r="N320" i="14" s="1"/>
  <c r="K320" i="14"/>
  <c r="L319" i="14"/>
  <c r="M319" i="14" s="1"/>
  <c r="N319" i="14" s="1"/>
  <c r="K319" i="14"/>
  <c r="M318" i="14"/>
  <c r="N318" i="14" s="1"/>
  <c r="L318" i="14"/>
  <c r="K318" i="14"/>
  <c r="L317" i="14"/>
  <c r="M317" i="14" s="1"/>
  <c r="N317" i="14" s="1"/>
  <c r="K317" i="14"/>
  <c r="L316" i="14"/>
  <c r="M316" i="14" s="1"/>
  <c r="N316" i="14" s="1"/>
  <c r="K316" i="14"/>
  <c r="L315" i="14"/>
  <c r="M315" i="14" s="1"/>
  <c r="N315" i="14" s="1"/>
  <c r="K315" i="14"/>
  <c r="M314" i="14"/>
  <c r="N314" i="14" s="1"/>
  <c r="L314" i="14"/>
  <c r="K314" i="14"/>
  <c r="L313" i="14"/>
  <c r="M313" i="14" s="1"/>
  <c r="N313" i="14" s="1"/>
  <c r="K313" i="14"/>
  <c r="M312" i="14"/>
  <c r="N312" i="14" s="1"/>
  <c r="L312" i="14"/>
  <c r="K312" i="14"/>
  <c r="L311" i="14"/>
  <c r="M311" i="14" s="1"/>
  <c r="N311" i="14" s="1"/>
  <c r="K311" i="14"/>
  <c r="M310" i="14"/>
  <c r="N310" i="14" s="1"/>
  <c r="L310" i="14"/>
  <c r="K310" i="14"/>
  <c r="M309" i="14"/>
  <c r="N309" i="14" s="1"/>
  <c r="L309" i="14"/>
  <c r="K309" i="14"/>
  <c r="L308" i="14"/>
  <c r="M308" i="14" s="1"/>
  <c r="N308" i="14" s="1"/>
  <c r="K308" i="14"/>
  <c r="L307" i="14"/>
  <c r="M307" i="14" s="1"/>
  <c r="N307" i="14" s="1"/>
  <c r="K307" i="14"/>
  <c r="M306" i="14"/>
  <c r="N306" i="14" s="1"/>
  <c r="L306" i="14"/>
  <c r="K306" i="14"/>
  <c r="L305" i="14"/>
  <c r="M305" i="14" s="1"/>
  <c r="N305" i="14" s="1"/>
  <c r="K305" i="14"/>
  <c r="L304" i="14"/>
  <c r="M304" i="14" s="1"/>
  <c r="N304" i="14" s="1"/>
  <c r="K304" i="14"/>
  <c r="L303" i="14"/>
  <c r="M303" i="14" s="1"/>
  <c r="N303" i="14" s="1"/>
  <c r="K303" i="14"/>
  <c r="M302" i="14"/>
  <c r="N302" i="14" s="1"/>
  <c r="L302" i="14"/>
  <c r="K302" i="14"/>
  <c r="L301" i="14"/>
  <c r="M301" i="14" s="1"/>
  <c r="N301" i="14" s="1"/>
  <c r="K301" i="14"/>
  <c r="L300" i="14"/>
  <c r="M300" i="14" s="1"/>
  <c r="N300" i="14" s="1"/>
  <c r="K300" i="14"/>
  <c r="L299" i="14"/>
  <c r="M299" i="14" s="1"/>
  <c r="N299" i="14" s="1"/>
  <c r="K299" i="14"/>
  <c r="M298" i="14"/>
  <c r="N298" i="14" s="1"/>
  <c r="L298" i="14"/>
  <c r="K298" i="14"/>
  <c r="L297" i="14"/>
  <c r="M297" i="14" s="1"/>
  <c r="N297" i="14" s="1"/>
  <c r="K297" i="14"/>
  <c r="M296" i="14"/>
  <c r="N296" i="14" s="1"/>
  <c r="L296" i="14"/>
  <c r="K296" i="14"/>
  <c r="L295" i="14"/>
  <c r="M295" i="14" s="1"/>
  <c r="N295" i="14" s="1"/>
  <c r="K295" i="14"/>
  <c r="M294" i="14"/>
  <c r="N294" i="14" s="1"/>
  <c r="L294" i="14"/>
  <c r="K294" i="14"/>
  <c r="M293" i="14"/>
  <c r="N293" i="14" s="1"/>
  <c r="L293" i="14"/>
  <c r="K293" i="14"/>
  <c r="L292" i="14"/>
  <c r="M292" i="14" s="1"/>
  <c r="N292" i="14" s="1"/>
  <c r="K292" i="14"/>
  <c r="L291" i="14"/>
  <c r="M291" i="14" s="1"/>
  <c r="N291" i="14" s="1"/>
  <c r="K291" i="14"/>
  <c r="M290" i="14"/>
  <c r="N290" i="14" s="1"/>
  <c r="L290" i="14"/>
  <c r="K290" i="14"/>
  <c r="L289" i="14"/>
  <c r="M289" i="14" s="1"/>
  <c r="N289" i="14" s="1"/>
  <c r="K289" i="14"/>
  <c r="L288" i="14"/>
  <c r="M288" i="14" s="1"/>
  <c r="N288" i="14" s="1"/>
  <c r="K288" i="14"/>
  <c r="L287" i="14"/>
  <c r="M287" i="14" s="1"/>
  <c r="N287" i="14" s="1"/>
  <c r="K287" i="14"/>
  <c r="M286" i="14"/>
  <c r="N286" i="14" s="1"/>
  <c r="L286" i="14"/>
  <c r="K286" i="14"/>
  <c r="L285" i="14"/>
  <c r="M285" i="14" s="1"/>
  <c r="N285" i="14" s="1"/>
  <c r="K285" i="14"/>
  <c r="L284" i="14"/>
  <c r="M284" i="14" s="1"/>
  <c r="N284" i="14" s="1"/>
  <c r="K284" i="14"/>
  <c r="L283" i="14"/>
  <c r="M283" i="14" s="1"/>
  <c r="N283" i="14" s="1"/>
  <c r="K283" i="14"/>
  <c r="M282" i="14"/>
  <c r="N282" i="14" s="1"/>
  <c r="L282" i="14"/>
  <c r="K282" i="14"/>
  <c r="L281" i="14"/>
  <c r="M281" i="14" s="1"/>
  <c r="N281" i="14" s="1"/>
  <c r="K281" i="14"/>
  <c r="M280" i="14"/>
  <c r="N280" i="14" s="1"/>
  <c r="L280" i="14"/>
  <c r="K280" i="14"/>
  <c r="L279" i="14"/>
  <c r="M279" i="14" s="1"/>
  <c r="N279" i="14" s="1"/>
  <c r="K279" i="14"/>
  <c r="M278" i="14"/>
  <c r="N278" i="14" s="1"/>
  <c r="L278" i="14"/>
  <c r="K278" i="14"/>
  <c r="M277" i="14"/>
  <c r="N277" i="14" s="1"/>
  <c r="L277" i="14"/>
  <c r="K277" i="14"/>
  <c r="L276" i="14"/>
  <c r="M276" i="14" s="1"/>
  <c r="N276" i="14" s="1"/>
  <c r="K276" i="14"/>
  <c r="L275" i="14"/>
  <c r="M275" i="14" s="1"/>
  <c r="N275" i="14" s="1"/>
  <c r="K275" i="14"/>
  <c r="M274" i="14"/>
  <c r="N274" i="14" s="1"/>
  <c r="L274" i="14"/>
  <c r="K274" i="14"/>
  <c r="L273" i="14"/>
  <c r="M273" i="14" s="1"/>
  <c r="N273" i="14" s="1"/>
  <c r="K273" i="14"/>
  <c r="L272" i="14"/>
  <c r="M272" i="14" s="1"/>
  <c r="N272" i="14" s="1"/>
  <c r="K272" i="14"/>
  <c r="L271" i="14"/>
  <c r="M271" i="14" s="1"/>
  <c r="N271" i="14" s="1"/>
  <c r="K271" i="14"/>
  <c r="M270" i="14"/>
  <c r="N270" i="14" s="1"/>
  <c r="L270" i="14"/>
  <c r="K270" i="14"/>
  <c r="L269" i="14"/>
  <c r="M269" i="14" s="1"/>
  <c r="N269" i="14" s="1"/>
  <c r="K269" i="14"/>
  <c r="L268" i="14"/>
  <c r="M268" i="14" s="1"/>
  <c r="N268" i="14" s="1"/>
  <c r="K268" i="14"/>
  <c r="L267" i="14"/>
  <c r="M267" i="14" s="1"/>
  <c r="N267" i="14" s="1"/>
  <c r="K267" i="14"/>
  <c r="M266" i="14"/>
  <c r="N266" i="14" s="1"/>
  <c r="L266" i="14"/>
  <c r="K266" i="14"/>
  <c r="L265" i="14"/>
  <c r="M265" i="14" s="1"/>
  <c r="N265" i="14" s="1"/>
  <c r="K265" i="14"/>
  <c r="M264" i="14"/>
  <c r="N264" i="14" s="1"/>
  <c r="L264" i="14"/>
  <c r="K264" i="14"/>
  <c r="L263" i="14"/>
  <c r="M263" i="14" s="1"/>
  <c r="N263" i="14" s="1"/>
  <c r="K263" i="14"/>
  <c r="M262" i="14"/>
  <c r="N262" i="14" s="1"/>
  <c r="L262" i="14"/>
  <c r="K262" i="14"/>
  <c r="M261" i="14"/>
  <c r="N261" i="14" s="1"/>
  <c r="L261" i="14"/>
  <c r="K261" i="14"/>
  <c r="L260" i="14"/>
  <c r="M260" i="14" s="1"/>
  <c r="N260" i="14" s="1"/>
  <c r="K260" i="14"/>
  <c r="L259" i="14"/>
  <c r="M259" i="14" s="1"/>
  <c r="N259" i="14" s="1"/>
  <c r="K259" i="14"/>
  <c r="M258" i="14"/>
  <c r="N258" i="14" s="1"/>
  <c r="L258" i="14"/>
  <c r="K258" i="14"/>
  <c r="L257" i="14"/>
  <c r="M257" i="14" s="1"/>
  <c r="N257" i="14" s="1"/>
  <c r="K257" i="14"/>
  <c r="L256" i="14"/>
  <c r="M256" i="14" s="1"/>
  <c r="N256" i="14" s="1"/>
  <c r="K256" i="14"/>
  <c r="L255" i="14"/>
  <c r="M255" i="14" s="1"/>
  <c r="N255" i="14" s="1"/>
  <c r="K255" i="14"/>
  <c r="M254" i="14"/>
  <c r="N254" i="14" s="1"/>
  <c r="L254" i="14"/>
  <c r="K254" i="14"/>
  <c r="L253" i="14"/>
  <c r="M253" i="14" s="1"/>
  <c r="N253" i="14" s="1"/>
  <c r="K253" i="14"/>
  <c r="L252" i="14"/>
  <c r="M252" i="14" s="1"/>
  <c r="N252" i="14" s="1"/>
  <c r="K252" i="14"/>
  <c r="L251" i="14"/>
  <c r="M251" i="14" s="1"/>
  <c r="N251" i="14" s="1"/>
  <c r="K251" i="14"/>
  <c r="M250" i="14"/>
  <c r="N250" i="14" s="1"/>
  <c r="L250" i="14"/>
  <c r="K250" i="14"/>
  <c r="L249" i="14"/>
  <c r="M249" i="14" s="1"/>
  <c r="N249" i="14" s="1"/>
  <c r="K249" i="14"/>
  <c r="M248" i="14"/>
  <c r="N248" i="14" s="1"/>
  <c r="L248" i="14"/>
  <c r="K248" i="14"/>
  <c r="L247" i="14"/>
  <c r="M247" i="14" s="1"/>
  <c r="N247" i="14" s="1"/>
  <c r="K247" i="14"/>
  <c r="M246" i="14"/>
  <c r="N246" i="14" s="1"/>
  <c r="L246" i="14"/>
  <c r="K246" i="14"/>
  <c r="M245" i="14"/>
  <c r="N245" i="14" s="1"/>
  <c r="L245" i="14"/>
  <c r="K245" i="14"/>
  <c r="L244" i="14"/>
  <c r="M244" i="14" s="1"/>
  <c r="N244" i="14" s="1"/>
  <c r="K244" i="14"/>
  <c r="L243" i="14"/>
  <c r="M243" i="14" s="1"/>
  <c r="N243" i="14" s="1"/>
  <c r="K243" i="14"/>
  <c r="M242" i="14"/>
  <c r="N242" i="14" s="1"/>
  <c r="L242" i="14"/>
  <c r="K242" i="14"/>
  <c r="L241" i="14"/>
  <c r="M241" i="14" s="1"/>
  <c r="N241" i="14" s="1"/>
  <c r="K241" i="14"/>
  <c r="L240" i="14"/>
  <c r="M240" i="14" s="1"/>
  <c r="N240" i="14" s="1"/>
  <c r="K240" i="14"/>
  <c r="L239" i="14"/>
  <c r="M239" i="14" s="1"/>
  <c r="N239" i="14" s="1"/>
  <c r="K239" i="14"/>
  <c r="M238" i="14"/>
  <c r="N238" i="14" s="1"/>
  <c r="L238" i="14"/>
  <c r="K238" i="14"/>
  <c r="L237" i="14"/>
  <c r="M237" i="14" s="1"/>
  <c r="N237" i="14" s="1"/>
  <c r="K237" i="14"/>
  <c r="L236" i="14"/>
  <c r="M236" i="14" s="1"/>
  <c r="N236" i="14" s="1"/>
  <c r="K236" i="14"/>
  <c r="L235" i="14"/>
  <c r="M235" i="14" s="1"/>
  <c r="N235" i="14" s="1"/>
  <c r="K235" i="14"/>
  <c r="M234" i="14"/>
  <c r="N234" i="14" s="1"/>
  <c r="L234" i="14"/>
  <c r="K234" i="14"/>
  <c r="L233" i="14"/>
  <c r="M233" i="14" s="1"/>
  <c r="N233" i="14" s="1"/>
  <c r="K233" i="14"/>
  <c r="M232" i="14"/>
  <c r="N232" i="14" s="1"/>
  <c r="L232" i="14"/>
  <c r="K232" i="14"/>
  <c r="L231" i="14"/>
  <c r="M231" i="14" s="1"/>
  <c r="N231" i="14" s="1"/>
  <c r="K231" i="14"/>
  <c r="M230" i="14"/>
  <c r="N230" i="14" s="1"/>
  <c r="L230" i="14"/>
  <c r="K230" i="14"/>
  <c r="M229" i="14"/>
  <c r="N229" i="14" s="1"/>
  <c r="L229" i="14"/>
  <c r="K229" i="14"/>
  <c r="L228" i="14"/>
  <c r="M228" i="14" s="1"/>
  <c r="N228" i="14" s="1"/>
  <c r="K228" i="14"/>
  <c r="L227" i="14"/>
  <c r="M227" i="14" s="1"/>
  <c r="N227" i="14" s="1"/>
  <c r="K227" i="14"/>
  <c r="M226" i="14"/>
  <c r="N226" i="14" s="1"/>
  <c r="L226" i="14"/>
  <c r="K226" i="14"/>
  <c r="L225" i="14"/>
  <c r="M225" i="14" s="1"/>
  <c r="N225" i="14" s="1"/>
  <c r="K225" i="14"/>
  <c r="L224" i="14"/>
  <c r="M224" i="14" s="1"/>
  <c r="N224" i="14" s="1"/>
  <c r="K224" i="14"/>
  <c r="L223" i="14"/>
  <c r="M223" i="14" s="1"/>
  <c r="N223" i="14" s="1"/>
  <c r="K223" i="14"/>
  <c r="M222" i="14"/>
  <c r="N222" i="14" s="1"/>
  <c r="L222" i="14"/>
  <c r="K222" i="14"/>
  <c r="L221" i="14"/>
  <c r="M221" i="14" s="1"/>
  <c r="N221" i="14" s="1"/>
  <c r="K221" i="14"/>
  <c r="L220" i="14"/>
  <c r="M220" i="14" s="1"/>
  <c r="N220" i="14" s="1"/>
  <c r="K220" i="14"/>
  <c r="L219" i="14"/>
  <c r="M219" i="14" s="1"/>
  <c r="N219" i="14" s="1"/>
  <c r="K219" i="14"/>
  <c r="M218" i="14"/>
  <c r="N218" i="14" s="1"/>
  <c r="L218" i="14"/>
  <c r="K218" i="14"/>
  <c r="L217" i="14"/>
  <c r="M217" i="14" s="1"/>
  <c r="N217" i="14" s="1"/>
  <c r="K217" i="14"/>
  <c r="M216" i="14"/>
  <c r="N216" i="14" s="1"/>
  <c r="L216" i="14"/>
  <c r="K216" i="14"/>
  <c r="L215" i="14"/>
  <c r="M215" i="14" s="1"/>
  <c r="N215" i="14" s="1"/>
  <c r="K215" i="14"/>
  <c r="M214" i="14"/>
  <c r="N214" i="14" s="1"/>
  <c r="L214" i="14"/>
  <c r="K214" i="14"/>
  <c r="M213" i="14"/>
  <c r="N213" i="14" s="1"/>
  <c r="L213" i="14"/>
  <c r="K213" i="14"/>
  <c r="L212" i="14"/>
  <c r="M212" i="14" s="1"/>
  <c r="N212" i="14" s="1"/>
  <c r="K212" i="14"/>
  <c r="L211" i="14"/>
  <c r="M211" i="14" s="1"/>
  <c r="N211" i="14" s="1"/>
  <c r="K211" i="14"/>
  <c r="M210" i="14"/>
  <c r="N210" i="14" s="1"/>
  <c r="L210" i="14"/>
  <c r="K210" i="14"/>
  <c r="L209" i="14"/>
  <c r="M209" i="14" s="1"/>
  <c r="N209" i="14" s="1"/>
  <c r="K209" i="14"/>
  <c r="L208" i="14"/>
  <c r="M208" i="14" s="1"/>
  <c r="N208" i="14" s="1"/>
  <c r="K208" i="14"/>
  <c r="L207" i="14"/>
  <c r="M207" i="14" s="1"/>
  <c r="N207" i="14" s="1"/>
  <c r="K207" i="14"/>
  <c r="M206" i="14"/>
  <c r="N206" i="14" s="1"/>
  <c r="L206" i="14"/>
  <c r="K206" i="14"/>
  <c r="L205" i="14"/>
  <c r="M205" i="14" s="1"/>
  <c r="N205" i="14" s="1"/>
  <c r="K205" i="14"/>
  <c r="L204" i="14"/>
  <c r="M204" i="14" s="1"/>
  <c r="N204" i="14" s="1"/>
  <c r="K204" i="14"/>
  <c r="L203" i="14"/>
  <c r="M203" i="14" s="1"/>
  <c r="N203" i="14" s="1"/>
  <c r="K203" i="14"/>
  <c r="M202" i="14"/>
  <c r="N202" i="14" s="1"/>
  <c r="L202" i="14"/>
  <c r="K202" i="14"/>
  <c r="L201" i="14"/>
  <c r="M201" i="14" s="1"/>
  <c r="N201" i="14" s="1"/>
  <c r="K201" i="14"/>
  <c r="M200" i="14"/>
  <c r="N200" i="14" s="1"/>
  <c r="L200" i="14"/>
  <c r="K200" i="14"/>
  <c r="L199" i="14"/>
  <c r="M199" i="14" s="1"/>
  <c r="N199" i="14" s="1"/>
  <c r="K199" i="14"/>
  <c r="M198" i="14"/>
  <c r="N198" i="14" s="1"/>
  <c r="L198" i="14"/>
  <c r="K198" i="14"/>
  <c r="M197" i="14"/>
  <c r="N197" i="14" s="1"/>
  <c r="L197" i="14"/>
  <c r="K197" i="14"/>
  <c r="L196" i="14"/>
  <c r="M196" i="14" s="1"/>
  <c r="N196" i="14" s="1"/>
  <c r="K196" i="14"/>
  <c r="L195" i="14"/>
  <c r="M195" i="14" s="1"/>
  <c r="N195" i="14" s="1"/>
  <c r="K195" i="14"/>
  <c r="M194" i="14"/>
  <c r="N194" i="14" s="1"/>
  <c r="L194" i="14"/>
  <c r="K194" i="14"/>
  <c r="L193" i="14"/>
  <c r="M193" i="14" s="1"/>
  <c r="N193" i="14" s="1"/>
  <c r="K193" i="14"/>
  <c r="L192" i="14"/>
  <c r="M192" i="14" s="1"/>
  <c r="N192" i="14" s="1"/>
  <c r="K192" i="14"/>
  <c r="L191" i="14"/>
  <c r="M191" i="14" s="1"/>
  <c r="N191" i="14" s="1"/>
  <c r="K191" i="14"/>
  <c r="M190" i="14"/>
  <c r="N190" i="14" s="1"/>
  <c r="L190" i="14"/>
  <c r="K190" i="14"/>
  <c r="L189" i="14"/>
  <c r="M189" i="14" s="1"/>
  <c r="N189" i="14" s="1"/>
  <c r="K189" i="14"/>
  <c r="L188" i="14"/>
  <c r="M188" i="14" s="1"/>
  <c r="N188" i="14" s="1"/>
  <c r="K188" i="14"/>
  <c r="L187" i="14"/>
  <c r="M187" i="14" s="1"/>
  <c r="N187" i="14" s="1"/>
  <c r="K187" i="14"/>
  <c r="M186" i="14"/>
  <c r="N186" i="14" s="1"/>
  <c r="L186" i="14"/>
  <c r="K186" i="14"/>
  <c r="L185" i="14"/>
  <c r="M185" i="14" s="1"/>
  <c r="N185" i="14" s="1"/>
  <c r="K185" i="14"/>
  <c r="M184" i="14"/>
  <c r="N184" i="14" s="1"/>
  <c r="L184" i="14"/>
  <c r="K184" i="14"/>
  <c r="L183" i="14"/>
  <c r="M183" i="14" s="1"/>
  <c r="N183" i="14" s="1"/>
  <c r="K183" i="14"/>
  <c r="M182" i="14"/>
  <c r="N182" i="14" s="1"/>
  <c r="L182" i="14"/>
  <c r="K182" i="14"/>
  <c r="M181" i="14"/>
  <c r="N181" i="14" s="1"/>
  <c r="L181" i="14"/>
  <c r="K181" i="14"/>
  <c r="L180" i="14"/>
  <c r="M180" i="14" s="1"/>
  <c r="N180" i="14" s="1"/>
  <c r="K180" i="14"/>
  <c r="L179" i="14"/>
  <c r="M179" i="14" s="1"/>
  <c r="N179" i="14" s="1"/>
  <c r="K179" i="14"/>
  <c r="M178" i="14"/>
  <c r="N178" i="14" s="1"/>
  <c r="L178" i="14"/>
  <c r="K178" i="14"/>
  <c r="L177" i="14"/>
  <c r="M177" i="14" s="1"/>
  <c r="N177" i="14" s="1"/>
  <c r="K177" i="14"/>
  <c r="L176" i="14"/>
  <c r="M176" i="14" s="1"/>
  <c r="N176" i="14" s="1"/>
  <c r="K176" i="14"/>
  <c r="L175" i="14"/>
  <c r="M175" i="14" s="1"/>
  <c r="N175" i="14" s="1"/>
  <c r="K175" i="14"/>
  <c r="M174" i="14"/>
  <c r="N174" i="14" s="1"/>
  <c r="L174" i="14"/>
  <c r="K174" i="14"/>
  <c r="L173" i="14"/>
  <c r="M173" i="14" s="1"/>
  <c r="N173" i="14" s="1"/>
  <c r="K173" i="14"/>
  <c r="L172" i="14"/>
  <c r="M172" i="14" s="1"/>
  <c r="N172" i="14" s="1"/>
  <c r="K172" i="14"/>
  <c r="L171" i="14"/>
  <c r="M171" i="14" s="1"/>
  <c r="N171" i="14" s="1"/>
  <c r="K171" i="14"/>
  <c r="M170" i="14"/>
  <c r="N170" i="14" s="1"/>
  <c r="L170" i="14"/>
  <c r="K170" i="14"/>
  <c r="L169" i="14"/>
  <c r="M169" i="14" s="1"/>
  <c r="N169" i="14" s="1"/>
  <c r="K169" i="14"/>
  <c r="M168" i="14"/>
  <c r="N168" i="14" s="1"/>
  <c r="L168" i="14"/>
  <c r="K168" i="14"/>
  <c r="L167" i="14"/>
  <c r="M167" i="14" s="1"/>
  <c r="N167" i="14" s="1"/>
  <c r="K167" i="14"/>
  <c r="M166" i="14"/>
  <c r="N166" i="14" s="1"/>
  <c r="L166" i="14"/>
  <c r="K166" i="14"/>
  <c r="M165" i="14"/>
  <c r="N165" i="14" s="1"/>
  <c r="L165" i="14"/>
  <c r="K165" i="14"/>
  <c r="L164" i="14"/>
  <c r="M164" i="14" s="1"/>
  <c r="N164" i="14" s="1"/>
  <c r="K164" i="14"/>
  <c r="L163" i="14"/>
  <c r="M163" i="14" s="1"/>
  <c r="N163" i="14" s="1"/>
  <c r="K163" i="14"/>
  <c r="M162" i="14"/>
  <c r="N162" i="14" s="1"/>
  <c r="L162" i="14"/>
  <c r="K162" i="14"/>
  <c r="L161" i="14"/>
  <c r="M161" i="14" s="1"/>
  <c r="N161" i="14" s="1"/>
  <c r="K161" i="14"/>
  <c r="L160" i="14"/>
  <c r="M160" i="14" s="1"/>
  <c r="N160" i="14" s="1"/>
  <c r="K160" i="14"/>
  <c r="L159" i="14"/>
  <c r="M159" i="14" s="1"/>
  <c r="N159" i="14" s="1"/>
  <c r="K159" i="14"/>
  <c r="M158" i="14"/>
  <c r="N158" i="14" s="1"/>
  <c r="L158" i="14"/>
  <c r="K158" i="14"/>
  <c r="L157" i="14"/>
  <c r="M157" i="14" s="1"/>
  <c r="N157" i="14" s="1"/>
  <c r="K157" i="14"/>
  <c r="L156" i="14"/>
  <c r="M156" i="14" s="1"/>
  <c r="N156" i="14" s="1"/>
  <c r="K156" i="14"/>
  <c r="L155" i="14"/>
  <c r="M155" i="14" s="1"/>
  <c r="N155" i="14" s="1"/>
  <c r="K155" i="14"/>
  <c r="M154" i="14"/>
  <c r="N154" i="14" s="1"/>
  <c r="L154" i="14"/>
  <c r="K154" i="14"/>
  <c r="L153" i="14"/>
  <c r="M153" i="14" s="1"/>
  <c r="N153" i="14" s="1"/>
  <c r="K153" i="14"/>
  <c r="M152" i="14"/>
  <c r="N152" i="14" s="1"/>
  <c r="L152" i="14"/>
  <c r="K152" i="14"/>
  <c r="L151" i="14"/>
  <c r="M151" i="14" s="1"/>
  <c r="N151" i="14" s="1"/>
  <c r="K151" i="14"/>
  <c r="M150" i="14"/>
  <c r="N150" i="14" s="1"/>
  <c r="L150" i="14"/>
  <c r="K150" i="14"/>
  <c r="M149" i="14"/>
  <c r="N149" i="14" s="1"/>
  <c r="L149" i="14"/>
  <c r="K149" i="14"/>
  <c r="L148" i="14"/>
  <c r="M148" i="14" s="1"/>
  <c r="N148" i="14" s="1"/>
  <c r="K148" i="14"/>
  <c r="L147" i="14"/>
  <c r="M147" i="14" s="1"/>
  <c r="N147" i="14" s="1"/>
  <c r="K147" i="14"/>
  <c r="M146" i="14"/>
  <c r="N146" i="14" s="1"/>
  <c r="L146" i="14"/>
  <c r="K146" i="14"/>
  <c r="L145" i="14"/>
  <c r="M145" i="14" s="1"/>
  <c r="N145" i="14" s="1"/>
  <c r="K145" i="14"/>
  <c r="L144" i="14"/>
  <c r="M144" i="14" s="1"/>
  <c r="N144" i="14" s="1"/>
  <c r="K144" i="14"/>
  <c r="L143" i="14"/>
  <c r="M143" i="14" s="1"/>
  <c r="N143" i="14" s="1"/>
  <c r="K143" i="14"/>
  <c r="M142" i="14"/>
  <c r="N142" i="14" s="1"/>
  <c r="L142" i="14"/>
  <c r="K142" i="14"/>
  <c r="L141" i="14"/>
  <c r="M141" i="14" s="1"/>
  <c r="N141" i="14" s="1"/>
  <c r="K141" i="14"/>
  <c r="L140" i="14"/>
  <c r="M140" i="14" s="1"/>
  <c r="N140" i="14" s="1"/>
  <c r="K140" i="14"/>
  <c r="L139" i="14"/>
  <c r="M139" i="14" s="1"/>
  <c r="N139" i="14" s="1"/>
  <c r="K139" i="14"/>
  <c r="M138" i="14"/>
  <c r="N138" i="14" s="1"/>
  <c r="L138" i="14"/>
  <c r="K138" i="14"/>
  <c r="L137" i="14"/>
  <c r="M137" i="14" s="1"/>
  <c r="N137" i="14" s="1"/>
  <c r="K137" i="14"/>
  <c r="M136" i="14"/>
  <c r="N136" i="14" s="1"/>
  <c r="L136" i="14"/>
  <c r="K136" i="14"/>
  <c r="L135" i="14"/>
  <c r="M135" i="14" s="1"/>
  <c r="N135" i="14" s="1"/>
  <c r="K135" i="14"/>
  <c r="M134" i="14"/>
  <c r="N134" i="14" s="1"/>
  <c r="L134" i="14"/>
  <c r="K134" i="14"/>
  <c r="M133" i="14"/>
  <c r="N133" i="14" s="1"/>
  <c r="L133" i="14"/>
  <c r="K133" i="14"/>
  <c r="L132" i="14"/>
  <c r="M132" i="14" s="1"/>
  <c r="N132" i="14" s="1"/>
  <c r="K132" i="14"/>
  <c r="L131" i="14"/>
  <c r="M131" i="14" s="1"/>
  <c r="N131" i="14" s="1"/>
  <c r="K131" i="14"/>
  <c r="M130" i="14"/>
  <c r="N130" i="14" s="1"/>
  <c r="L130" i="14"/>
  <c r="K130" i="14"/>
  <c r="L129" i="14"/>
  <c r="M129" i="14" s="1"/>
  <c r="N129" i="14" s="1"/>
  <c r="K129" i="14"/>
  <c r="L128" i="14"/>
  <c r="M128" i="14" s="1"/>
  <c r="N128" i="14" s="1"/>
  <c r="K128" i="14"/>
  <c r="L127" i="14"/>
  <c r="M127" i="14" s="1"/>
  <c r="N127" i="14" s="1"/>
  <c r="K127" i="14"/>
  <c r="M126" i="14"/>
  <c r="N126" i="14" s="1"/>
  <c r="L126" i="14"/>
  <c r="K126" i="14"/>
  <c r="L125" i="14"/>
  <c r="M125" i="14" s="1"/>
  <c r="N125" i="14" s="1"/>
  <c r="K125" i="14"/>
  <c r="L124" i="14"/>
  <c r="M124" i="14" s="1"/>
  <c r="N124" i="14" s="1"/>
  <c r="K124" i="14"/>
  <c r="L123" i="14"/>
  <c r="M123" i="14" s="1"/>
  <c r="N123" i="14" s="1"/>
  <c r="K123" i="14"/>
  <c r="M122" i="14"/>
  <c r="N122" i="14" s="1"/>
  <c r="L122" i="14"/>
  <c r="K122" i="14"/>
  <c r="L121" i="14"/>
  <c r="M121" i="14" s="1"/>
  <c r="N121" i="14" s="1"/>
  <c r="K121" i="14"/>
  <c r="M120" i="14"/>
  <c r="N120" i="14" s="1"/>
  <c r="L120" i="14"/>
  <c r="K120" i="14"/>
  <c r="L119" i="14"/>
  <c r="M119" i="14" s="1"/>
  <c r="N119" i="14" s="1"/>
  <c r="K119" i="14"/>
  <c r="M118" i="14"/>
  <c r="N118" i="14" s="1"/>
  <c r="L118" i="14"/>
  <c r="K118" i="14"/>
  <c r="M117" i="14"/>
  <c r="N117" i="14" s="1"/>
  <c r="L117" i="14"/>
  <c r="K117" i="14"/>
  <c r="L116" i="14"/>
  <c r="M116" i="14" s="1"/>
  <c r="N116" i="14" s="1"/>
  <c r="K116" i="14"/>
  <c r="L115" i="14"/>
  <c r="M115" i="14" s="1"/>
  <c r="N115" i="14" s="1"/>
  <c r="K115" i="14"/>
  <c r="M114" i="14"/>
  <c r="N114" i="14" s="1"/>
  <c r="L114" i="14"/>
  <c r="K114" i="14"/>
  <c r="L113" i="14"/>
  <c r="M113" i="14" s="1"/>
  <c r="N113" i="14" s="1"/>
  <c r="K113" i="14"/>
  <c r="L112" i="14"/>
  <c r="M112" i="14" s="1"/>
  <c r="N112" i="14" s="1"/>
  <c r="K112" i="14"/>
  <c r="L111" i="14"/>
  <c r="M111" i="14" s="1"/>
  <c r="N111" i="14" s="1"/>
  <c r="K111" i="14"/>
  <c r="M110" i="14"/>
  <c r="N110" i="14" s="1"/>
  <c r="L110" i="14"/>
  <c r="K110" i="14"/>
  <c r="L109" i="14"/>
  <c r="M109" i="14" s="1"/>
  <c r="N109" i="14" s="1"/>
  <c r="K109" i="14"/>
  <c r="L108" i="14"/>
  <c r="M108" i="14" s="1"/>
  <c r="N108" i="14" s="1"/>
  <c r="K108" i="14"/>
  <c r="L107" i="14"/>
  <c r="M107" i="14" s="1"/>
  <c r="N107" i="14" s="1"/>
  <c r="K107" i="14"/>
  <c r="M106" i="14"/>
  <c r="N106" i="14" s="1"/>
  <c r="L106" i="14"/>
  <c r="K106" i="14"/>
  <c r="L105" i="14"/>
  <c r="M105" i="14" s="1"/>
  <c r="N105" i="14" s="1"/>
  <c r="K105" i="14"/>
  <c r="M104" i="14"/>
  <c r="N104" i="14" s="1"/>
  <c r="L104" i="14"/>
  <c r="K104" i="14"/>
  <c r="L103" i="14"/>
  <c r="M103" i="14" s="1"/>
  <c r="N103" i="14" s="1"/>
  <c r="K103" i="14"/>
  <c r="M102" i="14"/>
  <c r="N102" i="14" s="1"/>
  <c r="L102" i="14"/>
  <c r="K102" i="14"/>
  <c r="M101" i="14"/>
  <c r="N101" i="14" s="1"/>
  <c r="L101" i="14"/>
  <c r="K101" i="14"/>
  <c r="L100" i="14"/>
  <c r="M100" i="14" s="1"/>
  <c r="N100" i="14" s="1"/>
  <c r="K100" i="14"/>
  <c r="L99" i="14"/>
  <c r="M99" i="14" s="1"/>
  <c r="N99" i="14" s="1"/>
  <c r="K99" i="14"/>
  <c r="M98" i="14"/>
  <c r="N98" i="14" s="1"/>
  <c r="L98" i="14"/>
  <c r="K98" i="14"/>
  <c r="L97" i="14"/>
  <c r="M97" i="14" s="1"/>
  <c r="N97" i="14" s="1"/>
  <c r="K97" i="14"/>
  <c r="L96" i="14"/>
  <c r="M96" i="14" s="1"/>
  <c r="N96" i="14" s="1"/>
  <c r="K96" i="14"/>
  <c r="L95" i="14"/>
  <c r="M95" i="14" s="1"/>
  <c r="N95" i="14" s="1"/>
  <c r="K95" i="14"/>
  <c r="M94" i="14"/>
  <c r="N94" i="14" s="1"/>
  <c r="L94" i="14"/>
  <c r="K94" i="14"/>
  <c r="L93" i="14"/>
  <c r="M93" i="14" s="1"/>
  <c r="N93" i="14" s="1"/>
  <c r="K93" i="14"/>
  <c r="L92" i="14"/>
  <c r="M92" i="14" s="1"/>
  <c r="N92" i="14" s="1"/>
  <c r="K92" i="14"/>
  <c r="L91" i="14"/>
  <c r="M91" i="14" s="1"/>
  <c r="N91" i="14" s="1"/>
  <c r="K91" i="14"/>
  <c r="M90" i="14"/>
  <c r="N90" i="14" s="1"/>
  <c r="L90" i="14"/>
  <c r="K90" i="14"/>
  <c r="L89" i="14"/>
  <c r="M89" i="14" s="1"/>
  <c r="N89" i="14" s="1"/>
  <c r="K89" i="14"/>
  <c r="M88" i="14"/>
  <c r="N88" i="14" s="1"/>
  <c r="L88" i="14"/>
  <c r="K88" i="14"/>
  <c r="L87" i="14"/>
  <c r="M87" i="14" s="1"/>
  <c r="N87" i="14" s="1"/>
  <c r="K87" i="14"/>
  <c r="M86" i="14"/>
  <c r="N86" i="14" s="1"/>
  <c r="L86" i="14"/>
  <c r="K86" i="14"/>
  <c r="M85" i="14"/>
  <c r="N85" i="14" s="1"/>
  <c r="L85" i="14"/>
  <c r="K85" i="14"/>
  <c r="L84" i="14"/>
  <c r="M84" i="14" s="1"/>
  <c r="N84" i="14" s="1"/>
  <c r="K84" i="14"/>
  <c r="L83" i="14"/>
  <c r="M83" i="14" s="1"/>
  <c r="N83" i="14" s="1"/>
  <c r="K83" i="14"/>
  <c r="M82" i="14"/>
  <c r="N82" i="14" s="1"/>
  <c r="L82" i="14"/>
  <c r="K82" i="14"/>
  <c r="L81" i="14"/>
  <c r="M81" i="14" s="1"/>
  <c r="N81" i="14" s="1"/>
  <c r="K81" i="14"/>
  <c r="L80" i="14"/>
  <c r="M80" i="14" s="1"/>
  <c r="N80" i="14" s="1"/>
  <c r="K80" i="14"/>
  <c r="L79" i="14"/>
  <c r="M79" i="14" s="1"/>
  <c r="N79" i="14" s="1"/>
  <c r="K79" i="14"/>
  <c r="M78" i="14"/>
  <c r="N78" i="14" s="1"/>
  <c r="L78" i="14"/>
  <c r="K78" i="14"/>
  <c r="L77" i="14"/>
  <c r="M77" i="14" s="1"/>
  <c r="N77" i="14" s="1"/>
  <c r="K77" i="14"/>
  <c r="L76" i="14"/>
  <c r="M76" i="14" s="1"/>
  <c r="N76" i="14" s="1"/>
  <c r="K76" i="14"/>
  <c r="L75" i="14"/>
  <c r="M75" i="14" s="1"/>
  <c r="N75" i="14" s="1"/>
  <c r="K75" i="14"/>
  <c r="M74" i="14"/>
  <c r="N74" i="14" s="1"/>
  <c r="L74" i="14"/>
  <c r="K74" i="14"/>
  <c r="L73" i="14"/>
  <c r="M73" i="14" s="1"/>
  <c r="N73" i="14" s="1"/>
  <c r="K73" i="14"/>
  <c r="M72" i="14"/>
  <c r="N72" i="14" s="1"/>
  <c r="L72" i="14"/>
  <c r="K72" i="14"/>
  <c r="L71" i="14"/>
  <c r="M71" i="14" s="1"/>
  <c r="N71" i="14" s="1"/>
  <c r="K71" i="14"/>
  <c r="M70" i="14"/>
  <c r="N70" i="14" s="1"/>
  <c r="L70" i="14"/>
  <c r="K70" i="14"/>
  <c r="M69" i="14"/>
  <c r="N69" i="14" s="1"/>
  <c r="L69" i="14"/>
  <c r="K69" i="14"/>
  <c r="L68" i="14"/>
  <c r="M68" i="14" s="1"/>
  <c r="N68" i="14" s="1"/>
  <c r="K68" i="14"/>
  <c r="L67" i="14"/>
  <c r="M67" i="14" s="1"/>
  <c r="N67" i="14" s="1"/>
  <c r="K67" i="14"/>
  <c r="M66" i="14"/>
  <c r="N66" i="14" s="1"/>
  <c r="L66" i="14"/>
  <c r="K66" i="14"/>
  <c r="L65" i="14"/>
  <c r="M65" i="14" s="1"/>
  <c r="N65" i="14" s="1"/>
  <c r="K65" i="14"/>
  <c r="L64" i="14"/>
  <c r="M64" i="14" s="1"/>
  <c r="N64" i="14" s="1"/>
  <c r="K64" i="14"/>
  <c r="L63" i="14"/>
  <c r="M63" i="14" s="1"/>
  <c r="N63" i="14" s="1"/>
  <c r="K63" i="14"/>
  <c r="M62" i="14"/>
  <c r="N62" i="14" s="1"/>
  <c r="L62" i="14"/>
  <c r="K62" i="14"/>
  <c r="L61" i="14"/>
  <c r="M61" i="14" s="1"/>
  <c r="N61" i="14" s="1"/>
  <c r="K61" i="14"/>
  <c r="L60" i="14"/>
  <c r="M60" i="14" s="1"/>
  <c r="N60" i="14" s="1"/>
  <c r="K60" i="14"/>
  <c r="L59" i="14"/>
  <c r="M59" i="14" s="1"/>
  <c r="N59" i="14" s="1"/>
  <c r="K59" i="14"/>
  <c r="M58" i="14"/>
  <c r="N58" i="14" s="1"/>
  <c r="L58" i="14"/>
  <c r="K58" i="14"/>
  <c r="L57" i="14"/>
  <c r="M57" i="14" s="1"/>
  <c r="N57" i="14" s="1"/>
  <c r="K57" i="14"/>
  <c r="M56" i="14"/>
  <c r="N56" i="14" s="1"/>
  <c r="L56" i="14"/>
  <c r="K56" i="14"/>
  <c r="L55" i="14"/>
  <c r="M55" i="14" s="1"/>
  <c r="N55" i="14" s="1"/>
  <c r="K55" i="14"/>
  <c r="M54" i="14"/>
  <c r="N54" i="14" s="1"/>
  <c r="L54" i="14"/>
  <c r="K54" i="14"/>
  <c r="M53" i="14"/>
  <c r="N53" i="14" s="1"/>
  <c r="L53" i="14"/>
  <c r="K53" i="14"/>
  <c r="L52" i="14"/>
  <c r="M52" i="14" s="1"/>
  <c r="N52" i="14" s="1"/>
  <c r="K52" i="14"/>
  <c r="M51" i="14"/>
  <c r="N51" i="14" s="1"/>
  <c r="K51" i="14"/>
  <c r="L51" i="14" s="1"/>
  <c r="K50" i="14"/>
  <c r="L50" i="14" s="1"/>
  <c r="M50" i="14" s="1"/>
  <c r="N50" i="14" s="1"/>
  <c r="M49" i="14"/>
  <c r="N49" i="14" s="1"/>
  <c r="L49" i="14"/>
  <c r="K49" i="14"/>
  <c r="M48" i="14"/>
  <c r="N48" i="14" s="1"/>
  <c r="L48" i="14"/>
  <c r="K48" i="14"/>
  <c r="K47" i="14"/>
  <c r="L47" i="14" s="1"/>
  <c r="M47" i="14" s="1"/>
  <c r="N47" i="14" s="1"/>
  <c r="K46" i="14"/>
  <c r="L46" i="14" s="1"/>
  <c r="M46" i="14" s="1"/>
  <c r="N46" i="14" s="1"/>
  <c r="M45" i="14"/>
  <c r="N45" i="14" s="1"/>
  <c r="L45" i="14"/>
  <c r="K45" i="14"/>
  <c r="L44" i="14"/>
  <c r="M44" i="14" s="1"/>
  <c r="N44" i="14" s="1"/>
  <c r="K44" i="14"/>
  <c r="M43" i="14"/>
  <c r="N43" i="14" s="1"/>
  <c r="K43" i="14"/>
  <c r="L43" i="14" s="1"/>
  <c r="K42" i="14"/>
  <c r="L42" i="14" s="1"/>
  <c r="M42" i="14" s="1"/>
  <c r="N42" i="14" s="1"/>
  <c r="L41" i="14"/>
  <c r="M41" i="14" s="1"/>
  <c r="N41" i="14" s="1"/>
  <c r="K41" i="14"/>
  <c r="K40" i="14"/>
  <c r="L40" i="14" s="1"/>
  <c r="M40" i="14" s="1"/>
  <c r="N40" i="14" s="1"/>
  <c r="N39" i="14"/>
  <c r="K39" i="14"/>
  <c r="L39" i="14" s="1"/>
  <c r="M39" i="14" s="1"/>
  <c r="L38" i="14"/>
  <c r="M38" i="14" s="1"/>
  <c r="N38" i="14" s="1"/>
  <c r="K38" i="14"/>
  <c r="L37" i="14"/>
  <c r="M37" i="14" s="1"/>
  <c r="N37" i="14" s="1"/>
  <c r="K37" i="14"/>
  <c r="K36" i="14"/>
  <c r="L36" i="14" s="1"/>
  <c r="M36" i="14" s="1"/>
  <c r="N36" i="14" s="1"/>
  <c r="K35" i="14"/>
  <c r="L35" i="14" s="1"/>
  <c r="M35" i="14" s="1"/>
  <c r="N35" i="14" s="1"/>
  <c r="L34" i="14"/>
  <c r="M34" i="14" s="1"/>
  <c r="N34" i="14" s="1"/>
  <c r="K34" i="14"/>
  <c r="K33" i="14"/>
  <c r="L33" i="14" s="1"/>
  <c r="M33" i="14" s="1"/>
  <c r="N33" i="14" s="1"/>
  <c r="K32" i="14"/>
  <c r="L32" i="14" s="1"/>
  <c r="M32" i="14" s="1"/>
  <c r="N32" i="14" s="1"/>
  <c r="N31" i="14"/>
  <c r="K31" i="14"/>
  <c r="L31" i="14" s="1"/>
  <c r="M31" i="14" s="1"/>
  <c r="L30" i="14"/>
  <c r="M30" i="14" s="1"/>
  <c r="N30" i="14" s="1"/>
  <c r="K30" i="14"/>
  <c r="L29" i="14"/>
  <c r="M29" i="14" s="1"/>
  <c r="N29" i="14" s="1"/>
  <c r="K29" i="14"/>
  <c r="K28" i="14"/>
  <c r="L28" i="14" s="1"/>
  <c r="M28" i="14" s="1"/>
  <c r="N28" i="14" s="1"/>
  <c r="M27" i="14"/>
  <c r="N27" i="14" s="1"/>
  <c r="L27" i="14"/>
  <c r="K27" i="14"/>
  <c r="M26" i="14"/>
  <c r="N26" i="14" s="1"/>
  <c r="L26" i="14"/>
  <c r="K26" i="14"/>
  <c r="M25" i="14"/>
  <c r="N25" i="14" s="1"/>
  <c r="L25" i="14"/>
  <c r="K25" i="14"/>
  <c r="M24" i="14"/>
  <c r="N24" i="14" s="1"/>
  <c r="L24" i="14"/>
  <c r="K24" i="14"/>
  <c r="M23" i="14"/>
  <c r="N23" i="14" s="1"/>
  <c r="L23" i="14"/>
  <c r="K23" i="14"/>
  <c r="M22" i="14"/>
  <c r="N22" i="14" s="1"/>
  <c r="L22" i="14"/>
  <c r="K22" i="14"/>
  <c r="M21" i="14"/>
  <c r="N21" i="14" s="1"/>
  <c r="L21" i="14"/>
  <c r="K21" i="14"/>
  <c r="M20" i="14"/>
  <c r="N20" i="14" s="1"/>
  <c r="L20" i="14"/>
  <c r="K20" i="14"/>
  <c r="M19" i="14"/>
  <c r="N19" i="14" s="1"/>
  <c r="L19" i="14"/>
  <c r="K19" i="14"/>
  <c r="M18" i="14"/>
  <c r="N18" i="14" s="1"/>
  <c r="L18" i="14"/>
  <c r="K18" i="14"/>
  <c r="M17" i="14"/>
  <c r="N17" i="14" s="1"/>
  <c r="L17" i="14"/>
  <c r="K17" i="14"/>
  <c r="M16" i="14"/>
  <c r="N16" i="14" s="1"/>
  <c r="L16" i="14"/>
  <c r="K16" i="14"/>
  <c r="M15" i="14"/>
  <c r="N15" i="14" s="1"/>
  <c r="L15" i="14"/>
  <c r="K15" i="14"/>
  <c r="M14" i="14"/>
  <c r="N14" i="14" s="1"/>
  <c r="L14" i="14"/>
  <c r="K14" i="14"/>
  <c r="M13" i="14"/>
  <c r="N13" i="14" s="1"/>
  <c r="L13" i="14"/>
  <c r="K13" i="14"/>
  <c r="M12" i="14"/>
  <c r="N12" i="14" s="1"/>
  <c r="L12" i="14"/>
  <c r="K12" i="14"/>
  <c r="M11" i="14"/>
  <c r="N11" i="14" s="1"/>
  <c r="L11" i="14"/>
  <c r="K11" i="14"/>
  <c r="M10" i="14"/>
  <c r="N10" i="14" s="1"/>
  <c r="L10" i="14"/>
  <c r="K10" i="14"/>
  <c r="M9" i="14"/>
  <c r="N9" i="14" s="1"/>
  <c r="L9" i="14"/>
  <c r="K9" i="14"/>
  <c r="L8" i="14"/>
  <c r="M8" i="14" s="1"/>
  <c r="N8" i="14" s="1"/>
  <c r="K8" i="14"/>
  <c r="L7" i="14"/>
  <c r="M7" i="14" s="1"/>
  <c r="N7" i="14" s="1"/>
  <c r="K7" i="14"/>
  <c r="L6" i="14"/>
  <c r="M6" i="14" s="1"/>
  <c r="N6" i="14" s="1"/>
  <c r="K6" i="14"/>
  <c r="L5" i="14"/>
  <c r="M5" i="14" s="1"/>
  <c r="N5" i="14" s="1"/>
  <c r="K5" i="14"/>
  <c r="L4" i="14"/>
  <c r="M4" i="14" s="1"/>
  <c r="N4" i="14" s="1"/>
  <c r="K4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P3" i="14" s="1"/>
  <c r="L3" i="14"/>
  <c r="M3" i="14" s="1"/>
  <c r="N3" i="14" s="1"/>
  <c r="K3" i="14"/>
  <c r="AE30" i="14" l="1"/>
  <c r="AA30" i="14"/>
  <c r="W30" i="14"/>
  <c r="S30" i="14"/>
  <c r="AC30" i="14"/>
  <c r="X30" i="14"/>
  <c r="R30" i="14"/>
  <c r="Z30" i="14"/>
  <c r="T30" i="14"/>
  <c r="AF30" i="14"/>
  <c r="Y30" i="14"/>
  <c r="AD30" i="14"/>
  <c r="AB30" i="14"/>
  <c r="U30" i="14"/>
  <c r="V30" i="14"/>
  <c r="AE28" i="14"/>
  <c r="AA28" i="14"/>
  <c r="W28" i="14"/>
  <c r="S28" i="14"/>
  <c r="AF28" i="14"/>
  <c r="Z28" i="14"/>
  <c r="U28" i="14"/>
  <c r="Y28" i="14"/>
  <c r="R28" i="14"/>
  <c r="AD28" i="14"/>
  <c r="V28" i="14"/>
  <c r="AB28" i="14"/>
  <c r="T28" i="14"/>
  <c r="X28" i="14"/>
  <c r="AC28" i="14"/>
  <c r="AC21" i="14"/>
  <c r="Y21" i="14"/>
  <c r="U21" i="14"/>
  <c r="AD21" i="14"/>
  <c r="X21" i="14"/>
  <c r="S21" i="14"/>
  <c r="AB21" i="14"/>
  <c r="R21" i="14"/>
  <c r="AA21" i="14"/>
  <c r="Z21" i="14"/>
  <c r="W21" i="14"/>
  <c r="AF21" i="14"/>
  <c r="V21" i="14"/>
  <c r="AE21" i="14"/>
  <c r="T21" i="14"/>
  <c r="AC23" i="14"/>
  <c r="Y23" i="14"/>
  <c r="U23" i="14"/>
  <c r="AD23" i="14"/>
  <c r="X23" i="14"/>
  <c r="S23" i="14"/>
  <c r="W23" i="14"/>
  <c r="AF23" i="14"/>
  <c r="V23" i="14"/>
  <c r="Z23" i="14"/>
  <c r="AB23" i="14"/>
  <c r="R23" i="14"/>
  <c r="AA23" i="14"/>
  <c r="AE23" i="14"/>
  <c r="T23" i="14"/>
  <c r="AC17" i="14"/>
  <c r="Y17" i="14"/>
  <c r="R49" i="14" s="1"/>
  <c r="U17" i="14"/>
  <c r="R50" i="14" s="1"/>
  <c r="AD17" i="14"/>
  <c r="X17" i="14"/>
  <c r="R48" i="14" s="1"/>
  <c r="S17" i="14"/>
  <c r="R45" i="14" s="1"/>
  <c r="W17" i="14"/>
  <c r="R47" i="14" s="1"/>
  <c r="V17" i="14"/>
  <c r="R46" i="14" s="1"/>
  <c r="AE17" i="14"/>
  <c r="T17" i="14"/>
  <c r="R51" i="14" s="1"/>
  <c r="AB17" i="14"/>
  <c r="R17" i="14"/>
  <c r="AF17" i="14"/>
  <c r="AA17" i="14"/>
  <c r="R42" i="14" s="1"/>
  <c r="Z17" i="14"/>
  <c r="R43" i="14" s="1"/>
  <c r="AE31" i="14"/>
  <c r="AA31" i="14"/>
  <c r="W31" i="14"/>
  <c r="S31" i="14"/>
  <c r="AD31" i="14"/>
  <c r="Y31" i="14"/>
  <c r="T31" i="14"/>
  <c r="AB31" i="14"/>
  <c r="U31" i="14"/>
  <c r="Z31" i="14"/>
  <c r="R31" i="14"/>
  <c r="X31" i="14"/>
  <c r="AF31" i="14"/>
  <c r="AC31" i="14"/>
  <c r="V31" i="14"/>
  <c r="AE32" i="14"/>
  <c r="AA32" i="14"/>
  <c r="W32" i="14"/>
  <c r="S32" i="14"/>
  <c r="AF32" i="14"/>
  <c r="Z32" i="14"/>
  <c r="U32" i="14"/>
  <c r="AC32" i="14"/>
  <c r="V32" i="14"/>
  <c r="AB32" i="14"/>
  <c r="T32" i="14"/>
  <c r="R32" i="14"/>
  <c r="Y32" i="14"/>
  <c r="AD32" i="14"/>
  <c r="X32" i="14"/>
  <c r="AC26" i="14"/>
  <c r="Y26" i="14"/>
  <c r="U26" i="14"/>
  <c r="AD26" i="14"/>
  <c r="X26" i="14"/>
  <c r="S26" i="14"/>
  <c r="R26" i="14"/>
  <c r="AF26" i="14"/>
  <c r="V26" i="14"/>
  <c r="Z26" i="14"/>
  <c r="AB26" i="14"/>
  <c r="W26" i="14"/>
  <c r="AA26" i="14"/>
  <c r="AE26" i="14"/>
  <c r="T26" i="14"/>
  <c r="AC12" i="14"/>
  <c r="Y12" i="14"/>
  <c r="U12" i="14"/>
  <c r="AD12" i="14"/>
  <c r="X12" i="14"/>
  <c r="S12" i="14"/>
  <c r="AB12" i="14"/>
  <c r="R12" i="14"/>
  <c r="P12" i="14" s="1"/>
  <c r="AA12" i="14"/>
  <c r="AE12" i="14"/>
  <c r="T12" i="14"/>
  <c r="W12" i="14"/>
  <c r="AF12" i="14"/>
  <c r="V12" i="14"/>
  <c r="Z12" i="14"/>
  <c r="AE34" i="14"/>
  <c r="AA34" i="14"/>
  <c r="W34" i="14"/>
  <c r="S34" i="14"/>
  <c r="AC34" i="14"/>
  <c r="X34" i="14"/>
  <c r="R34" i="14"/>
  <c r="AD34" i="14"/>
  <c r="V34" i="14"/>
  <c r="AB34" i="14"/>
  <c r="U34" i="14"/>
  <c r="AF34" i="14"/>
  <c r="Z34" i="14"/>
  <c r="T34" i="14"/>
  <c r="Y34" i="14"/>
  <c r="AC7" i="14"/>
  <c r="Y7" i="14"/>
  <c r="U7" i="14"/>
  <c r="AF7" i="14"/>
  <c r="AB7" i="14"/>
  <c r="X7" i="14"/>
  <c r="T7" i="14"/>
  <c r="AA7" i="14"/>
  <c r="S7" i="14"/>
  <c r="V7" i="14"/>
  <c r="AE7" i="14"/>
  <c r="W7" i="14"/>
  <c r="AD7" i="14"/>
  <c r="Z7" i="14"/>
  <c r="R7" i="14"/>
  <c r="AE36" i="14"/>
  <c r="AA36" i="14"/>
  <c r="W36" i="14"/>
  <c r="S36" i="14"/>
  <c r="AF36" i="14"/>
  <c r="Z36" i="14"/>
  <c r="U36" i="14"/>
  <c r="Y36" i="14"/>
  <c r="R36" i="14"/>
  <c r="AD36" i="14"/>
  <c r="V36" i="14"/>
  <c r="T36" i="14"/>
  <c r="X36" i="14"/>
  <c r="AC36" i="14"/>
  <c r="AB36" i="14"/>
  <c r="Z16" i="14"/>
  <c r="T16" i="14"/>
  <c r="AE16" i="14"/>
  <c r="AC4" i="14"/>
  <c r="Y4" i="14"/>
  <c r="U4" i="14"/>
  <c r="AF4" i="14"/>
  <c r="X4" i="14"/>
  <c r="AE4" i="14"/>
  <c r="W4" i="14"/>
  <c r="AD4" i="14"/>
  <c r="V4" i="14"/>
  <c r="AB4" i="14"/>
  <c r="T4" i="14"/>
  <c r="AA4" i="14"/>
  <c r="S4" i="14"/>
  <c r="Z4" i="14"/>
  <c r="R4" i="14"/>
  <c r="AC19" i="14"/>
  <c r="Y19" i="14"/>
  <c r="U19" i="14"/>
  <c r="AD19" i="14"/>
  <c r="X19" i="14"/>
  <c r="S19" i="14"/>
  <c r="AB19" i="14"/>
  <c r="W19" i="14"/>
  <c r="R19" i="14"/>
  <c r="AF19" i="14"/>
  <c r="AA19" i="14"/>
  <c r="V19" i="14"/>
  <c r="AE19" i="14"/>
  <c r="Z19" i="14"/>
  <c r="T19" i="14"/>
  <c r="AE29" i="14"/>
  <c r="AA29" i="14"/>
  <c r="W29" i="14"/>
  <c r="S29" i="14"/>
  <c r="AB29" i="14"/>
  <c r="V29" i="14"/>
  <c r="Z29" i="14"/>
  <c r="T29" i="14"/>
  <c r="Y29" i="14"/>
  <c r="AD29" i="14"/>
  <c r="AF29" i="14"/>
  <c r="R29" i="14"/>
  <c r="X29" i="14"/>
  <c r="AC29" i="14"/>
  <c r="U29" i="14"/>
  <c r="AC15" i="14"/>
  <c r="Y15" i="14"/>
  <c r="U15" i="14"/>
  <c r="AD15" i="14"/>
  <c r="X15" i="14"/>
  <c r="S15" i="14"/>
  <c r="R15" i="14"/>
  <c r="AF15" i="14"/>
  <c r="AA15" i="14"/>
  <c r="AB15" i="14"/>
  <c r="W15" i="14"/>
  <c r="V15" i="14"/>
  <c r="AE15" i="14"/>
  <c r="Z15" i="14"/>
  <c r="T15" i="14"/>
  <c r="AC13" i="14"/>
  <c r="Y13" i="14"/>
  <c r="U13" i="14"/>
  <c r="AD13" i="14"/>
  <c r="X13" i="14"/>
  <c r="S13" i="14"/>
  <c r="W13" i="14"/>
  <c r="AF13" i="14"/>
  <c r="V13" i="14"/>
  <c r="AE13" i="14"/>
  <c r="AB13" i="14"/>
  <c r="R13" i="14"/>
  <c r="AA13" i="14"/>
  <c r="Z13" i="14"/>
  <c r="T13" i="14"/>
  <c r="AE27" i="14"/>
  <c r="AA27" i="14"/>
  <c r="AD27" i="14"/>
  <c r="Y27" i="14"/>
  <c r="U27" i="14"/>
  <c r="AF27" i="14"/>
  <c r="X27" i="14"/>
  <c r="S27" i="14"/>
  <c r="AC27" i="14"/>
  <c r="R27" i="14"/>
  <c r="AB27" i="14"/>
  <c r="Z27" i="14"/>
  <c r="T27" i="14"/>
  <c r="W27" i="14"/>
  <c r="V27" i="14"/>
  <c r="AD33" i="14"/>
  <c r="X33" i="14"/>
  <c r="AC33" i="14"/>
  <c r="T33" i="14"/>
  <c r="AF33" i="14"/>
  <c r="R33" i="14"/>
  <c r="U33" i="14"/>
  <c r="Z33" i="14"/>
  <c r="Y33" i="14"/>
  <c r="AD8" i="14"/>
  <c r="Y8" i="14"/>
  <c r="U8" i="14"/>
  <c r="X8" i="14"/>
  <c r="AA8" i="14"/>
  <c r="S8" i="14"/>
  <c r="AE8" i="14"/>
  <c r="V8" i="14"/>
  <c r="AB8" i="14"/>
  <c r="T8" i="14"/>
  <c r="AF8" i="14"/>
  <c r="W8" i="14"/>
  <c r="Z8" i="14"/>
  <c r="R8" i="14"/>
  <c r="AE38" i="14"/>
  <c r="AA38" i="14"/>
  <c r="W38" i="14"/>
  <c r="S38" i="14"/>
  <c r="AC38" i="14"/>
  <c r="X38" i="14"/>
  <c r="R38" i="14"/>
  <c r="Z38" i="14"/>
  <c r="T38" i="14"/>
  <c r="Y38" i="14"/>
  <c r="AD38" i="14"/>
  <c r="V38" i="14"/>
  <c r="U38" i="14"/>
  <c r="AF38" i="14"/>
  <c r="AB38" i="14"/>
  <c r="AC39" i="14"/>
  <c r="V39" i="14"/>
  <c r="T46" i="14" s="1"/>
  <c r="Z25" i="14"/>
  <c r="T25" i="14"/>
  <c r="AE25" i="14"/>
  <c r="AC22" i="14"/>
  <c r="Y22" i="14"/>
  <c r="U22" i="14"/>
  <c r="AD22" i="14"/>
  <c r="X22" i="14"/>
  <c r="S22" i="14"/>
  <c r="AB22" i="14"/>
  <c r="W22" i="14"/>
  <c r="R22" i="14"/>
  <c r="AE22" i="14"/>
  <c r="Z22" i="14"/>
  <c r="AF22" i="14"/>
  <c r="AA22" i="14"/>
  <c r="V22" i="14"/>
  <c r="T22" i="14"/>
  <c r="AC14" i="14"/>
  <c r="Y14" i="14"/>
  <c r="U14" i="14"/>
  <c r="AD14" i="14"/>
  <c r="X14" i="14"/>
  <c r="S14" i="14"/>
  <c r="R14" i="14"/>
  <c r="AF14" i="14"/>
  <c r="AA14" i="14"/>
  <c r="AB14" i="14"/>
  <c r="W14" i="14"/>
  <c r="V14" i="14"/>
  <c r="AE14" i="14"/>
  <c r="Z14" i="14"/>
  <c r="T14" i="14"/>
  <c r="AC5" i="14"/>
  <c r="Y5" i="14"/>
  <c r="U5" i="14"/>
  <c r="AF5" i="14"/>
  <c r="X5" i="14"/>
  <c r="AE5" i="14"/>
  <c r="W5" i="14"/>
  <c r="AD5" i="14"/>
  <c r="Z5" i="14"/>
  <c r="V5" i="14"/>
  <c r="R5" i="14"/>
  <c r="AB5" i="14"/>
  <c r="T5" i="14"/>
  <c r="AA5" i="14"/>
  <c r="S5" i="14"/>
  <c r="AC6" i="14"/>
  <c r="Y6" i="14"/>
  <c r="U6" i="14"/>
  <c r="AF6" i="14"/>
  <c r="X6" i="14"/>
  <c r="W6" i="14"/>
  <c r="AB6" i="14"/>
  <c r="T6" i="14"/>
  <c r="AE6" i="14"/>
  <c r="AA6" i="14"/>
  <c r="S6" i="14"/>
  <c r="AD6" i="14"/>
  <c r="Z6" i="14"/>
  <c r="V6" i="14"/>
  <c r="R6" i="14"/>
  <c r="AC18" i="14"/>
  <c r="Y18" i="14"/>
  <c r="U18" i="14"/>
  <c r="AD18" i="14"/>
  <c r="X18" i="14"/>
  <c r="S18" i="14"/>
  <c r="AB18" i="14"/>
  <c r="W18" i="14"/>
  <c r="R18" i="14"/>
  <c r="V18" i="14"/>
  <c r="Z18" i="14"/>
  <c r="AF18" i="14"/>
  <c r="AA18" i="14"/>
  <c r="AE18" i="14"/>
  <c r="T18" i="14"/>
  <c r="AC24" i="14"/>
  <c r="Y24" i="14"/>
  <c r="U24" i="14"/>
  <c r="AD24" i="14"/>
  <c r="X24" i="14"/>
  <c r="S24" i="14"/>
  <c r="AB24" i="14"/>
  <c r="W24" i="14"/>
  <c r="R24" i="14"/>
  <c r="AF24" i="14"/>
  <c r="AA24" i="14"/>
  <c r="V24" i="14"/>
  <c r="AE24" i="14"/>
  <c r="Z24" i="14"/>
  <c r="T24" i="14"/>
  <c r="AC11" i="14"/>
  <c r="Y11" i="14"/>
  <c r="U11" i="14"/>
  <c r="AD11" i="14"/>
  <c r="X11" i="14"/>
  <c r="S11" i="14"/>
  <c r="AB11" i="14"/>
  <c r="R11" i="14"/>
  <c r="AF11" i="14"/>
  <c r="V11" i="14"/>
  <c r="Z11" i="14"/>
  <c r="W11" i="14"/>
  <c r="AA11" i="14"/>
  <c r="AE11" i="14"/>
  <c r="T11" i="14"/>
  <c r="W16" i="14"/>
  <c r="AE35" i="14"/>
  <c r="AA35" i="14"/>
  <c r="S42" i="14" s="1"/>
  <c r="W35" i="14"/>
  <c r="S47" i="14" s="1"/>
  <c r="S35" i="14"/>
  <c r="S45" i="14" s="1"/>
  <c r="AD35" i="14"/>
  <c r="Y35" i="14"/>
  <c r="S49" i="14" s="1"/>
  <c r="T35" i="14"/>
  <c r="S51" i="14" s="1"/>
  <c r="AF35" i="14"/>
  <c r="X35" i="14"/>
  <c r="S48" i="14" s="1"/>
  <c r="AC35" i="14"/>
  <c r="AB35" i="14"/>
  <c r="Z35" i="14"/>
  <c r="S43" i="14" s="1"/>
  <c r="V35" i="14"/>
  <c r="S46" i="14" s="1"/>
  <c r="U35" i="14"/>
  <c r="S50" i="14" s="1"/>
  <c r="R35" i="14"/>
  <c r="AC10" i="14"/>
  <c r="Y10" i="14"/>
  <c r="U10" i="14"/>
  <c r="AD10" i="14"/>
  <c r="X10" i="14"/>
  <c r="S10" i="14"/>
  <c r="W10" i="14"/>
  <c r="AA10" i="14"/>
  <c r="AE10" i="14"/>
  <c r="T10" i="14"/>
  <c r="AB10" i="14"/>
  <c r="R10" i="14"/>
  <c r="AF10" i="14"/>
  <c r="V10" i="14"/>
  <c r="Z10" i="14"/>
  <c r="AB9" i="14"/>
  <c r="R9" i="14"/>
  <c r="AF9" i="14"/>
  <c r="V9" i="14"/>
  <c r="Z9" i="14"/>
  <c r="W9" i="14"/>
  <c r="AA9" i="14"/>
  <c r="AE9" i="14"/>
  <c r="T9" i="14"/>
  <c r="AE20" i="14"/>
  <c r="T20" i="14"/>
  <c r="Z20" i="14"/>
  <c r="AE37" i="14"/>
  <c r="AA37" i="14"/>
  <c r="W37" i="14"/>
  <c r="S37" i="14"/>
  <c r="AB37" i="14"/>
  <c r="V37" i="14"/>
  <c r="AE39" i="14"/>
  <c r="AF39" i="14"/>
  <c r="AA39" i="14"/>
  <c r="T42" i="14" s="1"/>
  <c r="W39" i="14"/>
  <c r="T47" i="14" s="1"/>
  <c r="S39" i="14"/>
  <c r="T45" i="14" s="1"/>
  <c r="AD39" i="14"/>
  <c r="Y39" i="14"/>
  <c r="T49" i="14" s="1"/>
  <c r="T39" i="14"/>
  <c r="T51" i="14" s="1"/>
  <c r="AC25" i="14"/>
  <c r="Y25" i="14"/>
  <c r="U25" i="14"/>
  <c r="AC20" i="14"/>
  <c r="Y20" i="14"/>
  <c r="U20" i="14"/>
  <c r="V16" i="14"/>
  <c r="AF16" i="14"/>
  <c r="AA20" i="14"/>
  <c r="V25" i="14"/>
  <c r="AF25" i="14"/>
  <c r="AD37" i="14"/>
  <c r="R20" i="14"/>
  <c r="AB20" i="14"/>
  <c r="R25" i="14"/>
  <c r="AB25" i="14"/>
  <c r="R37" i="14"/>
  <c r="AF37" i="14"/>
  <c r="Z39" i="14"/>
  <c r="T43" i="14" s="1"/>
  <c r="AC9" i="14"/>
  <c r="Y9" i="14"/>
  <c r="U9" i="14"/>
  <c r="U37" i="14"/>
  <c r="AC37" i="14"/>
  <c r="AC16" i="14"/>
  <c r="Y16" i="14"/>
  <c r="U16" i="14"/>
  <c r="AA16" i="14"/>
  <c r="V20" i="14"/>
  <c r="AF20" i="14"/>
  <c r="AA25" i="14"/>
  <c r="X37" i="14"/>
  <c r="X39" i="14"/>
  <c r="T48" i="14" s="1"/>
  <c r="R16" i="14"/>
  <c r="P16" i="14" s="1"/>
  <c r="AB16" i="14"/>
  <c r="W20" i="14"/>
  <c r="W25" i="14"/>
  <c r="Y37" i="14"/>
  <c r="R39" i="14"/>
  <c r="S9" i="14"/>
  <c r="X9" i="14"/>
  <c r="AD9" i="14"/>
  <c r="S16" i="14"/>
  <c r="X16" i="14"/>
  <c r="AD16" i="14"/>
  <c r="S20" i="14"/>
  <c r="X20" i="14"/>
  <c r="AD20" i="14"/>
  <c r="S25" i="14"/>
  <c r="X25" i="14"/>
  <c r="AD25" i="14"/>
  <c r="T37" i="14"/>
  <c r="Z37" i="14"/>
  <c r="U39" i="14"/>
  <c r="T50" i="14" s="1"/>
  <c r="AB39" i="14"/>
  <c r="AE33" i="14"/>
  <c r="AA33" i="14"/>
  <c r="W33" i="14"/>
  <c r="S33" i="14"/>
  <c r="AB33" i="14"/>
  <c r="V33" i="14"/>
  <c r="AC8" i="14"/>
  <c r="P8" i="14" l="1"/>
  <c r="R44" i="14"/>
  <c r="P17" i="14"/>
  <c r="V48" i="14"/>
  <c r="V44" i="14"/>
  <c r="V51" i="14"/>
  <c r="V47" i="14"/>
  <c r="V43" i="14"/>
  <c r="V45" i="14"/>
  <c r="P15" i="14"/>
  <c r="V50" i="14"/>
  <c r="V49" i="14"/>
  <c r="V42" i="14"/>
  <c r="V46" i="14"/>
  <c r="P30" i="14"/>
  <c r="U49" i="14"/>
  <c r="U45" i="14"/>
  <c r="U50" i="14"/>
  <c r="U46" i="14"/>
  <c r="U42" i="14"/>
  <c r="U51" i="14"/>
  <c r="U48" i="14"/>
  <c r="U43" i="14"/>
  <c r="P27" i="14"/>
  <c r="U44" i="14"/>
  <c r="U47" i="14"/>
  <c r="P26" i="14"/>
  <c r="P37" i="14"/>
  <c r="P9" i="14"/>
  <c r="P14" i="14"/>
  <c r="P4" i="14"/>
  <c r="P36" i="14"/>
  <c r="P34" i="14"/>
  <c r="P32" i="14"/>
  <c r="P31" i="14"/>
  <c r="P21" i="14"/>
  <c r="P24" i="14"/>
  <c r="P6" i="14"/>
  <c r="P28" i="14"/>
  <c r="P20" i="14"/>
  <c r="P38" i="14"/>
  <c r="P33" i="14"/>
  <c r="P13" i="14"/>
  <c r="P19" i="14"/>
  <c r="P11" i="14"/>
  <c r="P39" i="14"/>
  <c r="T44" i="14"/>
  <c r="P25" i="14"/>
  <c r="P10" i="14"/>
  <c r="S44" i="14"/>
  <c r="P35" i="14"/>
  <c r="P18" i="14"/>
  <c r="P5" i="14"/>
  <c r="P22" i="14"/>
  <c r="P29" i="14"/>
  <c r="P7" i="14"/>
  <c r="P23" i="14"/>
  <c r="D24" i="6" l="1"/>
  <c r="D23" i="6"/>
  <c r="D22" i="6"/>
  <c r="D21" i="6"/>
  <c r="D20" i="6"/>
  <c r="D19" i="6"/>
  <c r="D18" i="6"/>
  <c r="D17" i="6"/>
  <c r="D16" i="6"/>
  <c r="D15" i="6"/>
  <c r="I50" i="3"/>
  <c r="I49" i="3"/>
  <c r="I48" i="3"/>
  <c r="I47" i="3"/>
  <c r="I46" i="3"/>
  <c r="I45" i="3"/>
  <c r="I44" i="3"/>
  <c r="I43" i="3"/>
  <c r="I42" i="3"/>
  <c r="I41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E23" i="3"/>
  <c r="G39" i="3" l="1"/>
  <c r="C12" i="6"/>
  <c r="C11" i="6"/>
  <c r="C10" i="6"/>
  <c r="C9" i="6"/>
  <c r="C8" i="6"/>
  <c r="C7" i="6"/>
  <c r="C6" i="6"/>
  <c r="C5" i="6"/>
  <c r="C4" i="6"/>
  <c r="C3" i="6"/>
  <c r="M56" i="4"/>
  <c r="M55" i="4"/>
  <c r="M54" i="4"/>
  <c r="M53" i="4"/>
  <c r="M52" i="4"/>
  <c r="M51" i="4"/>
  <c r="M50" i="4"/>
  <c r="M49" i="4"/>
  <c r="M48" i="4"/>
  <c r="M47" i="4"/>
  <c r="K2496" i="2" l="1"/>
  <c r="L2496" i="2" s="1"/>
  <c r="M2496" i="2" s="1"/>
  <c r="N2496" i="2" s="1"/>
  <c r="K2495" i="2"/>
  <c r="L2495" i="2" s="1"/>
  <c r="M2495" i="2" s="1"/>
  <c r="N2495" i="2" s="1"/>
  <c r="K2494" i="2"/>
  <c r="L2494" i="2" s="1"/>
  <c r="M2494" i="2" s="1"/>
  <c r="N2494" i="2" s="1"/>
  <c r="K2493" i="2"/>
  <c r="L2493" i="2" s="1"/>
  <c r="M2493" i="2" s="1"/>
  <c r="N2493" i="2" s="1"/>
  <c r="K2492" i="2"/>
  <c r="L2492" i="2" s="1"/>
  <c r="M2492" i="2" s="1"/>
  <c r="N2492" i="2" s="1"/>
  <c r="K2491" i="2"/>
  <c r="L2491" i="2" s="1"/>
  <c r="M2491" i="2" s="1"/>
  <c r="N2491" i="2" s="1"/>
  <c r="K2490" i="2"/>
  <c r="L2490" i="2" s="1"/>
  <c r="M2490" i="2" s="1"/>
  <c r="N2490" i="2" s="1"/>
  <c r="K2489" i="2"/>
  <c r="L2489" i="2" s="1"/>
  <c r="M2489" i="2" s="1"/>
  <c r="N2489" i="2" s="1"/>
  <c r="K2488" i="2"/>
  <c r="L2488" i="2" s="1"/>
  <c r="M2488" i="2" s="1"/>
  <c r="N2488" i="2" s="1"/>
  <c r="K2487" i="2"/>
  <c r="L2487" i="2" s="1"/>
  <c r="M2487" i="2" s="1"/>
  <c r="N2487" i="2" s="1"/>
  <c r="K2486" i="2"/>
  <c r="L2486" i="2" s="1"/>
  <c r="M2486" i="2" s="1"/>
  <c r="N2486" i="2" s="1"/>
  <c r="K2485" i="2"/>
  <c r="L2485" i="2" s="1"/>
  <c r="M2485" i="2" s="1"/>
  <c r="N2485" i="2" s="1"/>
  <c r="K2484" i="2"/>
  <c r="L2484" i="2" s="1"/>
  <c r="M2484" i="2" s="1"/>
  <c r="N2484" i="2" s="1"/>
  <c r="L2483" i="2"/>
  <c r="M2483" i="2" s="1"/>
  <c r="N2483" i="2" s="1"/>
  <c r="K2483" i="2"/>
  <c r="K2482" i="2"/>
  <c r="L2482" i="2" s="1"/>
  <c r="M2482" i="2" s="1"/>
  <c r="N2482" i="2" s="1"/>
  <c r="K2481" i="2"/>
  <c r="L2481" i="2" s="1"/>
  <c r="M2481" i="2" s="1"/>
  <c r="N2481" i="2" s="1"/>
  <c r="K2480" i="2"/>
  <c r="L2480" i="2" s="1"/>
  <c r="M2480" i="2" s="1"/>
  <c r="N2480" i="2" s="1"/>
  <c r="K2479" i="2"/>
  <c r="L2479" i="2" s="1"/>
  <c r="M2479" i="2" s="1"/>
  <c r="N2479" i="2" s="1"/>
  <c r="K2478" i="2"/>
  <c r="L2478" i="2" s="1"/>
  <c r="M2478" i="2" s="1"/>
  <c r="N2478" i="2" s="1"/>
  <c r="K2477" i="2"/>
  <c r="L2477" i="2" s="1"/>
  <c r="M2477" i="2" s="1"/>
  <c r="N2477" i="2" s="1"/>
  <c r="K2476" i="2"/>
  <c r="L2476" i="2" s="1"/>
  <c r="M2476" i="2" s="1"/>
  <c r="N2476" i="2" s="1"/>
  <c r="K2475" i="2"/>
  <c r="L2475" i="2" s="1"/>
  <c r="M2475" i="2" s="1"/>
  <c r="N2475" i="2" s="1"/>
  <c r="K2474" i="2"/>
  <c r="L2474" i="2" s="1"/>
  <c r="M2474" i="2" s="1"/>
  <c r="N2474" i="2" s="1"/>
  <c r="K2473" i="2"/>
  <c r="L2473" i="2" s="1"/>
  <c r="M2473" i="2" s="1"/>
  <c r="N2473" i="2" s="1"/>
  <c r="K2472" i="2"/>
  <c r="L2472" i="2" s="1"/>
  <c r="M2472" i="2" s="1"/>
  <c r="N2472" i="2" s="1"/>
  <c r="K2471" i="2"/>
  <c r="L2471" i="2" s="1"/>
  <c r="M2471" i="2" s="1"/>
  <c r="N2471" i="2" s="1"/>
  <c r="K2470" i="2"/>
  <c r="L2470" i="2" s="1"/>
  <c r="M2470" i="2" s="1"/>
  <c r="N2470" i="2" s="1"/>
  <c r="K2469" i="2"/>
  <c r="L2469" i="2" s="1"/>
  <c r="M2469" i="2" s="1"/>
  <c r="N2469" i="2" s="1"/>
  <c r="K2468" i="2"/>
  <c r="L2468" i="2" s="1"/>
  <c r="M2468" i="2" s="1"/>
  <c r="N2468" i="2" s="1"/>
  <c r="K2467" i="2"/>
  <c r="L2467" i="2" s="1"/>
  <c r="M2467" i="2" s="1"/>
  <c r="N2467" i="2" s="1"/>
  <c r="K2466" i="2"/>
  <c r="L2466" i="2" s="1"/>
  <c r="M2466" i="2" s="1"/>
  <c r="N2466" i="2" s="1"/>
  <c r="K2465" i="2"/>
  <c r="L2465" i="2" s="1"/>
  <c r="M2465" i="2" s="1"/>
  <c r="N2465" i="2" s="1"/>
  <c r="K2464" i="2"/>
  <c r="L2464" i="2" s="1"/>
  <c r="M2464" i="2" s="1"/>
  <c r="N2464" i="2" s="1"/>
  <c r="K2463" i="2"/>
  <c r="L2463" i="2" s="1"/>
  <c r="M2463" i="2" s="1"/>
  <c r="N2463" i="2" s="1"/>
  <c r="K2462" i="2"/>
  <c r="L2462" i="2" s="1"/>
  <c r="M2462" i="2" s="1"/>
  <c r="N2462" i="2" s="1"/>
  <c r="K2461" i="2"/>
  <c r="L2461" i="2" s="1"/>
  <c r="M2461" i="2" s="1"/>
  <c r="N2461" i="2" s="1"/>
  <c r="K2460" i="2"/>
  <c r="L2460" i="2" s="1"/>
  <c r="M2460" i="2" s="1"/>
  <c r="N2460" i="2" s="1"/>
  <c r="K2459" i="2"/>
  <c r="L2459" i="2" s="1"/>
  <c r="M2459" i="2" s="1"/>
  <c r="N2459" i="2" s="1"/>
  <c r="K2458" i="2"/>
  <c r="L2458" i="2" s="1"/>
  <c r="M2458" i="2" s="1"/>
  <c r="N2458" i="2" s="1"/>
  <c r="K2457" i="2"/>
  <c r="L2457" i="2" s="1"/>
  <c r="M2457" i="2" s="1"/>
  <c r="N2457" i="2" s="1"/>
  <c r="K2456" i="2"/>
  <c r="L2456" i="2" s="1"/>
  <c r="M2456" i="2" s="1"/>
  <c r="N2456" i="2" s="1"/>
  <c r="K2455" i="2"/>
  <c r="L2455" i="2" s="1"/>
  <c r="M2455" i="2" s="1"/>
  <c r="N2455" i="2" s="1"/>
  <c r="K2454" i="2"/>
  <c r="L2454" i="2" s="1"/>
  <c r="M2454" i="2" s="1"/>
  <c r="N2454" i="2" s="1"/>
  <c r="K2453" i="2"/>
  <c r="L2453" i="2" s="1"/>
  <c r="M2453" i="2" s="1"/>
  <c r="N2453" i="2" s="1"/>
  <c r="K2452" i="2"/>
  <c r="L2452" i="2" s="1"/>
  <c r="M2452" i="2" s="1"/>
  <c r="N2452" i="2" s="1"/>
  <c r="L2451" i="2"/>
  <c r="M2451" i="2" s="1"/>
  <c r="N2451" i="2" s="1"/>
  <c r="K2451" i="2"/>
  <c r="K2450" i="2"/>
  <c r="L2450" i="2" s="1"/>
  <c r="M2450" i="2" s="1"/>
  <c r="N2450" i="2" s="1"/>
  <c r="K2449" i="2"/>
  <c r="L2449" i="2" s="1"/>
  <c r="M2449" i="2" s="1"/>
  <c r="N2449" i="2" s="1"/>
  <c r="K2448" i="2"/>
  <c r="L2448" i="2" s="1"/>
  <c r="M2448" i="2" s="1"/>
  <c r="N2448" i="2" s="1"/>
  <c r="K2447" i="2"/>
  <c r="L2447" i="2" s="1"/>
  <c r="M2447" i="2" s="1"/>
  <c r="N2447" i="2" s="1"/>
  <c r="K2446" i="2"/>
  <c r="L2446" i="2" s="1"/>
  <c r="M2446" i="2" s="1"/>
  <c r="N2446" i="2" s="1"/>
  <c r="K2445" i="2"/>
  <c r="L2445" i="2" s="1"/>
  <c r="M2445" i="2" s="1"/>
  <c r="N2445" i="2" s="1"/>
  <c r="K2444" i="2"/>
  <c r="L2444" i="2" s="1"/>
  <c r="M2444" i="2" s="1"/>
  <c r="N2444" i="2" s="1"/>
  <c r="K2443" i="2"/>
  <c r="L2443" i="2" s="1"/>
  <c r="M2443" i="2" s="1"/>
  <c r="N2443" i="2" s="1"/>
  <c r="K2442" i="2"/>
  <c r="L2442" i="2" s="1"/>
  <c r="M2442" i="2" s="1"/>
  <c r="N2442" i="2" s="1"/>
  <c r="K2441" i="2"/>
  <c r="L2441" i="2" s="1"/>
  <c r="M2441" i="2" s="1"/>
  <c r="N2441" i="2" s="1"/>
  <c r="K2440" i="2"/>
  <c r="L2440" i="2" s="1"/>
  <c r="M2440" i="2" s="1"/>
  <c r="N2440" i="2" s="1"/>
  <c r="K2439" i="2"/>
  <c r="L2439" i="2" s="1"/>
  <c r="M2439" i="2" s="1"/>
  <c r="N2439" i="2" s="1"/>
  <c r="K2438" i="2"/>
  <c r="L2438" i="2" s="1"/>
  <c r="M2438" i="2" s="1"/>
  <c r="N2438" i="2" s="1"/>
  <c r="K2437" i="2"/>
  <c r="L2437" i="2" s="1"/>
  <c r="M2437" i="2" s="1"/>
  <c r="N2437" i="2" s="1"/>
  <c r="K2436" i="2"/>
  <c r="L2436" i="2" s="1"/>
  <c r="M2436" i="2" s="1"/>
  <c r="N2436" i="2" s="1"/>
  <c r="K2435" i="2"/>
  <c r="L2435" i="2" s="1"/>
  <c r="M2435" i="2" s="1"/>
  <c r="N2435" i="2" s="1"/>
  <c r="K2434" i="2"/>
  <c r="L2434" i="2" s="1"/>
  <c r="M2434" i="2" s="1"/>
  <c r="N2434" i="2" s="1"/>
  <c r="K2433" i="2"/>
  <c r="L2433" i="2" s="1"/>
  <c r="M2433" i="2" s="1"/>
  <c r="N2433" i="2" s="1"/>
  <c r="K2432" i="2"/>
  <c r="L2432" i="2" s="1"/>
  <c r="M2432" i="2" s="1"/>
  <c r="N2432" i="2" s="1"/>
  <c r="K2431" i="2"/>
  <c r="L2431" i="2" s="1"/>
  <c r="M2431" i="2" s="1"/>
  <c r="N2431" i="2" s="1"/>
  <c r="K2430" i="2"/>
  <c r="L2430" i="2" s="1"/>
  <c r="M2430" i="2" s="1"/>
  <c r="N2430" i="2" s="1"/>
  <c r="K2429" i="2"/>
  <c r="L2429" i="2" s="1"/>
  <c r="M2429" i="2" s="1"/>
  <c r="N2429" i="2" s="1"/>
  <c r="J12" i="6" l="1"/>
  <c r="J11" i="6"/>
  <c r="J10" i="6"/>
  <c r="J9" i="6"/>
  <c r="J8" i="6"/>
  <c r="J7" i="6"/>
  <c r="J6" i="6"/>
  <c r="J5" i="6"/>
  <c r="J4" i="6"/>
  <c r="J3" i="6"/>
  <c r="I2" i="6"/>
  <c r="L56" i="4"/>
  <c r="L55" i="4"/>
  <c r="L54" i="4"/>
  <c r="L53" i="4"/>
  <c r="L52" i="4"/>
  <c r="L51" i="4"/>
  <c r="L50" i="4"/>
  <c r="L49" i="4"/>
  <c r="L48" i="4"/>
  <c r="L47" i="4"/>
  <c r="G44" i="4" l="1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K2428" i="2" l="1"/>
  <c r="L2428" i="2" s="1"/>
  <c r="M2428" i="2" s="1"/>
  <c r="N2428" i="2" s="1"/>
  <c r="K2427" i="2"/>
  <c r="L2427" i="2" s="1"/>
  <c r="M2427" i="2" s="1"/>
  <c r="N2427" i="2" s="1"/>
  <c r="K2426" i="2"/>
  <c r="L2426" i="2" s="1"/>
  <c r="M2426" i="2" s="1"/>
  <c r="N2426" i="2" s="1"/>
  <c r="K2425" i="2"/>
  <c r="L2425" i="2" s="1"/>
  <c r="M2425" i="2" s="1"/>
  <c r="N2425" i="2" s="1"/>
  <c r="K2424" i="2"/>
  <c r="L2424" i="2" s="1"/>
  <c r="M2424" i="2" s="1"/>
  <c r="N2424" i="2" s="1"/>
  <c r="K2423" i="2"/>
  <c r="L2423" i="2" s="1"/>
  <c r="M2423" i="2" s="1"/>
  <c r="N2423" i="2" s="1"/>
  <c r="K2422" i="2"/>
  <c r="L2422" i="2" s="1"/>
  <c r="M2422" i="2" s="1"/>
  <c r="N2422" i="2" s="1"/>
  <c r="K2421" i="2"/>
  <c r="L2421" i="2" s="1"/>
  <c r="M2421" i="2" s="1"/>
  <c r="N2421" i="2" s="1"/>
  <c r="K2420" i="2"/>
  <c r="L2420" i="2" s="1"/>
  <c r="M2420" i="2" s="1"/>
  <c r="N2420" i="2" s="1"/>
  <c r="K2419" i="2"/>
  <c r="L2419" i="2" s="1"/>
  <c r="M2419" i="2" s="1"/>
  <c r="N2419" i="2" s="1"/>
  <c r="K2418" i="2"/>
  <c r="L2418" i="2" s="1"/>
  <c r="M2418" i="2" s="1"/>
  <c r="N2418" i="2" s="1"/>
  <c r="K2417" i="2"/>
  <c r="L2417" i="2" s="1"/>
  <c r="M2417" i="2" s="1"/>
  <c r="N2417" i="2" s="1"/>
  <c r="K2416" i="2"/>
  <c r="L2416" i="2" s="1"/>
  <c r="M2416" i="2" s="1"/>
  <c r="N2416" i="2" s="1"/>
  <c r="K2415" i="2"/>
  <c r="L2415" i="2" s="1"/>
  <c r="M2415" i="2" s="1"/>
  <c r="N2415" i="2" s="1"/>
  <c r="K2414" i="2"/>
  <c r="L2414" i="2" s="1"/>
  <c r="M2414" i="2" s="1"/>
  <c r="N2414" i="2" s="1"/>
  <c r="K2413" i="2"/>
  <c r="L2413" i="2" s="1"/>
  <c r="M2413" i="2" s="1"/>
  <c r="N2413" i="2" s="1"/>
  <c r="K2412" i="2"/>
  <c r="L2412" i="2" s="1"/>
  <c r="M2412" i="2" s="1"/>
  <c r="N2412" i="2" s="1"/>
  <c r="K2411" i="2"/>
  <c r="L2411" i="2" s="1"/>
  <c r="M2411" i="2" s="1"/>
  <c r="N2411" i="2" s="1"/>
  <c r="K2410" i="2"/>
  <c r="L2410" i="2" s="1"/>
  <c r="M2410" i="2" s="1"/>
  <c r="N2410" i="2" s="1"/>
  <c r="K2409" i="2"/>
  <c r="L2409" i="2" s="1"/>
  <c r="M2409" i="2" s="1"/>
  <c r="N2409" i="2" s="1"/>
  <c r="K2408" i="2"/>
  <c r="L2408" i="2" s="1"/>
  <c r="M2408" i="2" s="1"/>
  <c r="N2408" i="2" s="1"/>
  <c r="K2407" i="2"/>
  <c r="L2407" i="2" s="1"/>
  <c r="M2407" i="2" s="1"/>
  <c r="N2407" i="2" s="1"/>
  <c r="K2406" i="2"/>
  <c r="L2406" i="2" s="1"/>
  <c r="M2406" i="2" s="1"/>
  <c r="N2406" i="2" s="1"/>
  <c r="K2405" i="2"/>
  <c r="L2405" i="2" s="1"/>
  <c r="M2405" i="2" s="1"/>
  <c r="N2405" i="2" s="1"/>
  <c r="K2404" i="2"/>
  <c r="L2404" i="2" s="1"/>
  <c r="M2404" i="2" s="1"/>
  <c r="N2404" i="2" s="1"/>
  <c r="K2403" i="2"/>
  <c r="L2403" i="2" s="1"/>
  <c r="M2403" i="2" s="1"/>
  <c r="N2403" i="2" s="1"/>
  <c r="K2402" i="2"/>
  <c r="L2402" i="2" s="1"/>
  <c r="M2402" i="2" s="1"/>
  <c r="N2402" i="2" s="1"/>
  <c r="K2401" i="2"/>
  <c r="L2401" i="2" s="1"/>
  <c r="M2401" i="2" s="1"/>
  <c r="N2401" i="2" s="1"/>
  <c r="K2400" i="2"/>
  <c r="L2400" i="2" s="1"/>
  <c r="M2400" i="2" s="1"/>
  <c r="N2400" i="2" s="1"/>
  <c r="K2399" i="2"/>
  <c r="L2399" i="2" s="1"/>
  <c r="M2399" i="2" s="1"/>
  <c r="N2399" i="2" s="1"/>
  <c r="K2398" i="2"/>
  <c r="L2398" i="2" s="1"/>
  <c r="M2398" i="2" s="1"/>
  <c r="N2398" i="2" s="1"/>
  <c r="K2397" i="2"/>
  <c r="L2397" i="2" s="1"/>
  <c r="M2397" i="2" s="1"/>
  <c r="N2397" i="2" s="1"/>
  <c r="K2396" i="2"/>
  <c r="L2396" i="2" s="1"/>
  <c r="M2396" i="2" s="1"/>
  <c r="N2396" i="2" s="1"/>
  <c r="K2395" i="2"/>
  <c r="L2395" i="2" s="1"/>
  <c r="M2395" i="2" s="1"/>
  <c r="N2395" i="2" s="1"/>
  <c r="K2394" i="2"/>
  <c r="L2394" i="2" s="1"/>
  <c r="M2394" i="2" s="1"/>
  <c r="N2394" i="2" s="1"/>
  <c r="K2393" i="2"/>
  <c r="L2393" i="2" s="1"/>
  <c r="M2393" i="2" s="1"/>
  <c r="N2393" i="2" s="1"/>
  <c r="K2392" i="2"/>
  <c r="L2392" i="2" s="1"/>
  <c r="M2392" i="2" s="1"/>
  <c r="N2392" i="2" s="1"/>
  <c r="K2391" i="2"/>
  <c r="L2391" i="2" s="1"/>
  <c r="M2391" i="2" s="1"/>
  <c r="N2391" i="2" s="1"/>
  <c r="K2390" i="2"/>
  <c r="L2390" i="2" s="1"/>
  <c r="M2390" i="2" s="1"/>
  <c r="N2390" i="2" s="1"/>
  <c r="K2389" i="2"/>
  <c r="L2389" i="2" s="1"/>
  <c r="M2389" i="2" s="1"/>
  <c r="N2389" i="2" s="1"/>
  <c r="K2388" i="2"/>
  <c r="L2388" i="2" s="1"/>
  <c r="M2388" i="2" s="1"/>
  <c r="N2388" i="2" s="1"/>
  <c r="K2387" i="2"/>
  <c r="L2387" i="2" s="1"/>
  <c r="M2387" i="2" s="1"/>
  <c r="N2387" i="2" s="1"/>
  <c r="K2386" i="2"/>
  <c r="L2386" i="2" s="1"/>
  <c r="M2386" i="2" s="1"/>
  <c r="N2386" i="2" s="1"/>
  <c r="K2385" i="2"/>
  <c r="L2385" i="2" s="1"/>
  <c r="M2385" i="2" s="1"/>
  <c r="N2385" i="2" s="1"/>
  <c r="K2384" i="2"/>
  <c r="L2384" i="2" s="1"/>
  <c r="M2384" i="2" s="1"/>
  <c r="N2384" i="2" s="1"/>
  <c r="K2383" i="2"/>
  <c r="L2383" i="2" s="1"/>
  <c r="M2383" i="2" s="1"/>
  <c r="N2383" i="2" s="1"/>
  <c r="K2382" i="2"/>
  <c r="L2382" i="2" s="1"/>
  <c r="M2382" i="2" s="1"/>
  <c r="N2382" i="2" s="1"/>
  <c r="K2381" i="2"/>
  <c r="L2381" i="2" s="1"/>
  <c r="M2381" i="2" s="1"/>
  <c r="N2381" i="2" s="1"/>
  <c r="K2380" i="2"/>
  <c r="L2380" i="2" s="1"/>
  <c r="M2380" i="2" s="1"/>
  <c r="N2380" i="2" s="1"/>
  <c r="K2379" i="2"/>
  <c r="L2379" i="2" s="1"/>
  <c r="M2379" i="2" s="1"/>
  <c r="N2379" i="2" s="1"/>
  <c r="K2378" i="2"/>
  <c r="L2378" i="2" s="1"/>
  <c r="M2378" i="2" s="1"/>
  <c r="N2378" i="2" s="1"/>
  <c r="K2377" i="2"/>
  <c r="L2377" i="2" s="1"/>
  <c r="M2377" i="2" s="1"/>
  <c r="N2377" i="2" s="1"/>
  <c r="K2376" i="2"/>
  <c r="L2376" i="2" s="1"/>
  <c r="M2376" i="2" s="1"/>
  <c r="N2376" i="2" s="1"/>
  <c r="K2375" i="2"/>
  <c r="L2375" i="2" s="1"/>
  <c r="M2375" i="2" s="1"/>
  <c r="N2375" i="2" s="1"/>
  <c r="K2374" i="2"/>
  <c r="L2374" i="2" s="1"/>
  <c r="M2374" i="2" s="1"/>
  <c r="N2374" i="2" s="1"/>
  <c r="K2373" i="2"/>
  <c r="L2373" i="2" s="1"/>
  <c r="M2373" i="2" s="1"/>
  <c r="N2373" i="2" s="1"/>
  <c r="K2372" i="2"/>
  <c r="L2372" i="2" s="1"/>
  <c r="M2372" i="2" s="1"/>
  <c r="N2372" i="2" s="1"/>
  <c r="K2371" i="2"/>
  <c r="L2371" i="2" s="1"/>
  <c r="M2371" i="2" s="1"/>
  <c r="N2371" i="2" s="1"/>
  <c r="K2370" i="2"/>
  <c r="L2370" i="2" s="1"/>
  <c r="M2370" i="2" s="1"/>
  <c r="N2370" i="2" s="1"/>
  <c r="K2369" i="2"/>
  <c r="L2369" i="2" s="1"/>
  <c r="M2369" i="2" s="1"/>
  <c r="N2369" i="2" s="1"/>
  <c r="K2368" i="2"/>
  <c r="L2368" i="2" s="1"/>
  <c r="M2368" i="2" s="1"/>
  <c r="N2368" i="2" s="1"/>
  <c r="K2367" i="2"/>
  <c r="L2367" i="2" s="1"/>
  <c r="M2367" i="2" s="1"/>
  <c r="N2367" i="2" s="1"/>
  <c r="K2366" i="2"/>
  <c r="L2366" i="2" s="1"/>
  <c r="M2366" i="2" s="1"/>
  <c r="N2366" i="2" s="1"/>
  <c r="K2365" i="2"/>
  <c r="L2365" i="2" s="1"/>
  <c r="M2365" i="2" s="1"/>
  <c r="N2365" i="2" s="1"/>
  <c r="K2364" i="2"/>
  <c r="L2364" i="2" s="1"/>
  <c r="M2364" i="2" s="1"/>
  <c r="N2364" i="2" s="1"/>
  <c r="K2363" i="2"/>
  <c r="L2363" i="2" s="1"/>
  <c r="M2363" i="2" s="1"/>
  <c r="N2363" i="2" s="1"/>
  <c r="K2362" i="2"/>
  <c r="L2362" i="2" s="1"/>
  <c r="M2362" i="2" s="1"/>
  <c r="N2362" i="2" s="1"/>
  <c r="K2361" i="2"/>
  <c r="L2361" i="2" s="1"/>
  <c r="M2361" i="2" s="1"/>
  <c r="N2361" i="2" s="1"/>
  <c r="K2360" i="2"/>
  <c r="L2360" i="2" s="1"/>
  <c r="M2360" i="2" s="1"/>
  <c r="N2360" i="2" s="1"/>
  <c r="K2359" i="2"/>
  <c r="L2359" i="2" s="1"/>
  <c r="M2359" i="2" s="1"/>
  <c r="N2359" i="2" s="1"/>
  <c r="K2358" i="2"/>
  <c r="L2358" i="2" s="1"/>
  <c r="M2358" i="2" s="1"/>
  <c r="N2358" i="2" s="1"/>
  <c r="K2357" i="2"/>
  <c r="L2357" i="2" s="1"/>
  <c r="M2357" i="2" s="1"/>
  <c r="N2357" i="2" s="1"/>
  <c r="K2356" i="2"/>
  <c r="L2356" i="2" s="1"/>
  <c r="M2356" i="2" s="1"/>
  <c r="N2356" i="2" s="1"/>
  <c r="K2355" i="2"/>
  <c r="L2355" i="2" s="1"/>
  <c r="M2355" i="2" s="1"/>
  <c r="N2355" i="2" s="1"/>
  <c r="K2354" i="2"/>
  <c r="L2354" i="2" s="1"/>
  <c r="M2354" i="2" s="1"/>
  <c r="N2354" i="2" s="1"/>
  <c r="K2353" i="2"/>
  <c r="L2353" i="2" s="1"/>
  <c r="M2353" i="2" s="1"/>
  <c r="N2353" i="2" s="1"/>
  <c r="K2352" i="2"/>
  <c r="L2352" i="2" s="1"/>
  <c r="M2352" i="2" s="1"/>
  <c r="N2352" i="2" s="1"/>
  <c r="K2351" i="2"/>
  <c r="L2351" i="2" s="1"/>
  <c r="M2351" i="2" s="1"/>
  <c r="N2351" i="2" s="1"/>
  <c r="K2350" i="2"/>
  <c r="L2350" i="2" s="1"/>
  <c r="M2350" i="2" s="1"/>
  <c r="N2350" i="2" s="1"/>
  <c r="K2349" i="2"/>
  <c r="L2349" i="2" s="1"/>
  <c r="M2349" i="2" s="1"/>
  <c r="N2349" i="2" s="1"/>
  <c r="K2348" i="2"/>
  <c r="L2348" i="2" s="1"/>
  <c r="M2348" i="2" s="1"/>
  <c r="N2348" i="2" s="1"/>
  <c r="K2347" i="2"/>
  <c r="L2347" i="2" s="1"/>
  <c r="M2347" i="2" s="1"/>
  <c r="N2347" i="2" s="1"/>
  <c r="K2346" i="2"/>
  <c r="L2346" i="2" s="1"/>
  <c r="M2346" i="2" s="1"/>
  <c r="N2346" i="2" s="1"/>
  <c r="K2345" i="2"/>
  <c r="L2345" i="2" s="1"/>
  <c r="M2345" i="2" s="1"/>
  <c r="N2345" i="2" s="1"/>
  <c r="K2344" i="2"/>
  <c r="L2344" i="2" s="1"/>
  <c r="M2344" i="2" s="1"/>
  <c r="N2344" i="2" s="1"/>
  <c r="K2343" i="2"/>
  <c r="L2343" i="2" s="1"/>
  <c r="M2343" i="2" s="1"/>
  <c r="N2343" i="2" s="1"/>
  <c r="K2342" i="2"/>
  <c r="L2342" i="2" s="1"/>
  <c r="M2342" i="2" s="1"/>
  <c r="N2342" i="2" s="1"/>
  <c r="K2341" i="2"/>
  <c r="L2341" i="2" s="1"/>
  <c r="M2341" i="2" s="1"/>
  <c r="N2341" i="2" s="1"/>
  <c r="K2340" i="2"/>
  <c r="L2340" i="2" s="1"/>
  <c r="M2340" i="2" s="1"/>
  <c r="N2340" i="2" s="1"/>
  <c r="K2339" i="2"/>
  <c r="L2339" i="2" s="1"/>
  <c r="M2339" i="2" s="1"/>
  <c r="N2339" i="2" s="1"/>
  <c r="K2338" i="2"/>
  <c r="L2338" i="2" s="1"/>
  <c r="M2338" i="2" s="1"/>
  <c r="N2338" i="2" s="1"/>
  <c r="K2337" i="2"/>
  <c r="L2337" i="2" s="1"/>
  <c r="M2337" i="2" s="1"/>
  <c r="N2337" i="2" s="1"/>
  <c r="K2336" i="2"/>
  <c r="L2336" i="2" s="1"/>
  <c r="M2336" i="2" s="1"/>
  <c r="N2336" i="2" s="1"/>
  <c r="K2335" i="2"/>
  <c r="L2335" i="2" s="1"/>
  <c r="M2335" i="2" s="1"/>
  <c r="N2335" i="2" s="1"/>
  <c r="K2334" i="2"/>
  <c r="L2334" i="2" s="1"/>
  <c r="M2334" i="2" s="1"/>
  <c r="N2334" i="2" s="1"/>
  <c r="K2333" i="2"/>
  <c r="L2333" i="2" s="1"/>
  <c r="M2333" i="2" s="1"/>
  <c r="N2333" i="2" s="1"/>
  <c r="K2332" i="2"/>
  <c r="L2332" i="2" s="1"/>
  <c r="M2332" i="2" s="1"/>
  <c r="N2332" i="2" s="1"/>
  <c r="K2331" i="2"/>
  <c r="L2331" i="2" s="1"/>
  <c r="M2331" i="2" s="1"/>
  <c r="N2331" i="2" s="1"/>
  <c r="K2330" i="2"/>
  <c r="L2330" i="2" s="1"/>
  <c r="M2330" i="2" s="1"/>
  <c r="N2330" i="2" s="1"/>
  <c r="K2329" i="2"/>
  <c r="L2329" i="2" s="1"/>
  <c r="M2329" i="2" s="1"/>
  <c r="N2329" i="2" s="1"/>
  <c r="K2328" i="2"/>
  <c r="L2328" i="2" s="1"/>
  <c r="M2328" i="2" s="1"/>
  <c r="N2328" i="2" s="1"/>
  <c r="K2327" i="2"/>
  <c r="L2327" i="2" s="1"/>
  <c r="M2327" i="2" s="1"/>
  <c r="N2327" i="2" s="1"/>
  <c r="K2326" i="2"/>
  <c r="L2326" i="2" s="1"/>
  <c r="M2326" i="2" s="1"/>
  <c r="N2326" i="2" s="1"/>
  <c r="K2325" i="2"/>
  <c r="L2325" i="2" s="1"/>
  <c r="M2325" i="2" s="1"/>
  <c r="N2325" i="2" s="1"/>
  <c r="K2324" i="2"/>
  <c r="L2324" i="2" s="1"/>
  <c r="M2324" i="2" s="1"/>
  <c r="N2324" i="2" s="1"/>
  <c r="K2323" i="2"/>
  <c r="L2323" i="2" s="1"/>
  <c r="M2323" i="2" s="1"/>
  <c r="N2323" i="2" s="1"/>
  <c r="K2322" i="2"/>
  <c r="L2322" i="2" s="1"/>
  <c r="M2322" i="2" s="1"/>
  <c r="N2322" i="2" s="1"/>
  <c r="K2321" i="2"/>
  <c r="L2321" i="2" s="1"/>
  <c r="M2321" i="2" s="1"/>
  <c r="N2321" i="2" s="1"/>
  <c r="K2320" i="2"/>
  <c r="L2320" i="2" s="1"/>
  <c r="M2320" i="2" s="1"/>
  <c r="N2320" i="2" s="1"/>
  <c r="K2319" i="2"/>
  <c r="L2319" i="2" s="1"/>
  <c r="M2319" i="2" s="1"/>
  <c r="N2319" i="2" s="1"/>
  <c r="K2318" i="2"/>
  <c r="L2318" i="2" s="1"/>
  <c r="M2318" i="2" s="1"/>
  <c r="N2318" i="2" s="1"/>
  <c r="K2317" i="2"/>
  <c r="L2317" i="2" s="1"/>
  <c r="M2317" i="2" s="1"/>
  <c r="N2317" i="2" s="1"/>
  <c r="K2316" i="2"/>
  <c r="L2316" i="2" s="1"/>
  <c r="M2316" i="2" s="1"/>
  <c r="N2316" i="2" s="1"/>
  <c r="K2315" i="2"/>
  <c r="L2315" i="2" s="1"/>
  <c r="M2315" i="2" s="1"/>
  <c r="N2315" i="2" s="1"/>
  <c r="K2314" i="2"/>
  <c r="L2314" i="2" s="1"/>
  <c r="M2314" i="2" s="1"/>
  <c r="N2314" i="2" s="1"/>
  <c r="K2313" i="2"/>
  <c r="L2313" i="2" s="1"/>
  <c r="M2313" i="2" s="1"/>
  <c r="N2313" i="2" s="1"/>
  <c r="K2312" i="2"/>
  <c r="L2312" i="2" s="1"/>
  <c r="M2312" i="2" s="1"/>
  <c r="N2312" i="2" s="1"/>
  <c r="K2311" i="2"/>
  <c r="L2311" i="2" s="1"/>
  <c r="M2311" i="2" s="1"/>
  <c r="N2311" i="2" s="1"/>
  <c r="K2310" i="2"/>
  <c r="L2310" i="2" s="1"/>
  <c r="M2310" i="2" s="1"/>
  <c r="N2310" i="2" s="1"/>
  <c r="K2309" i="2"/>
  <c r="L2309" i="2" s="1"/>
  <c r="M2309" i="2" s="1"/>
  <c r="N2309" i="2" s="1"/>
  <c r="K2308" i="2"/>
  <c r="L2308" i="2" s="1"/>
  <c r="M2308" i="2" s="1"/>
  <c r="N2308" i="2" s="1"/>
  <c r="K2307" i="2"/>
  <c r="L2307" i="2" s="1"/>
  <c r="M2307" i="2" s="1"/>
  <c r="N2307" i="2" s="1"/>
  <c r="K2306" i="2"/>
  <c r="L2306" i="2" s="1"/>
  <c r="M2306" i="2" s="1"/>
  <c r="N2306" i="2" s="1"/>
  <c r="K2305" i="2"/>
  <c r="L2305" i="2" s="1"/>
  <c r="M2305" i="2" s="1"/>
  <c r="N2305" i="2" s="1"/>
  <c r="K2304" i="2"/>
  <c r="L2304" i="2" s="1"/>
  <c r="M2304" i="2" s="1"/>
  <c r="N2304" i="2" s="1"/>
  <c r="K2303" i="2"/>
  <c r="L2303" i="2" s="1"/>
  <c r="M2303" i="2" s="1"/>
  <c r="N2303" i="2" s="1"/>
  <c r="K2302" i="2"/>
  <c r="L2302" i="2" s="1"/>
  <c r="M2302" i="2" s="1"/>
  <c r="N2302" i="2" s="1"/>
  <c r="K2301" i="2"/>
  <c r="L2301" i="2" s="1"/>
  <c r="M2301" i="2" s="1"/>
  <c r="N2301" i="2" s="1"/>
  <c r="K2300" i="2"/>
  <c r="L2300" i="2" s="1"/>
  <c r="M2300" i="2" s="1"/>
  <c r="N2300" i="2" s="1"/>
  <c r="K2299" i="2"/>
  <c r="L2299" i="2" s="1"/>
  <c r="M2299" i="2" s="1"/>
  <c r="N2299" i="2" s="1"/>
  <c r="K2298" i="2"/>
  <c r="L2298" i="2" s="1"/>
  <c r="M2298" i="2" s="1"/>
  <c r="N2298" i="2" s="1"/>
  <c r="K2297" i="2"/>
  <c r="L2297" i="2" s="1"/>
  <c r="M2297" i="2" s="1"/>
  <c r="N2297" i="2" s="1"/>
  <c r="K2296" i="2"/>
  <c r="L2296" i="2" s="1"/>
  <c r="M2296" i="2" s="1"/>
  <c r="N2296" i="2" s="1"/>
  <c r="K2295" i="2"/>
  <c r="L2295" i="2" s="1"/>
  <c r="M2295" i="2" s="1"/>
  <c r="N2295" i="2" s="1"/>
  <c r="K2294" i="2"/>
  <c r="L2294" i="2" s="1"/>
  <c r="M2294" i="2" s="1"/>
  <c r="N2294" i="2" s="1"/>
  <c r="K2293" i="2"/>
  <c r="L2293" i="2" s="1"/>
  <c r="M2293" i="2" s="1"/>
  <c r="N2293" i="2" s="1"/>
  <c r="K2292" i="2"/>
  <c r="L2292" i="2" s="1"/>
  <c r="M2292" i="2" s="1"/>
  <c r="N2292" i="2" s="1"/>
  <c r="K2291" i="2"/>
  <c r="L2291" i="2" s="1"/>
  <c r="M2291" i="2" s="1"/>
  <c r="N2291" i="2" s="1"/>
  <c r="K2290" i="2"/>
  <c r="L2290" i="2" s="1"/>
  <c r="M2290" i="2" s="1"/>
  <c r="N2290" i="2" s="1"/>
  <c r="K2289" i="2"/>
  <c r="L2289" i="2" s="1"/>
  <c r="M2289" i="2" s="1"/>
  <c r="N2289" i="2" s="1"/>
  <c r="K2288" i="2"/>
  <c r="L2288" i="2" s="1"/>
  <c r="M2288" i="2" s="1"/>
  <c r="N2288" i="2" s="1"/>
  <c r="K2287" i="2"/>
  <c r="L2287" i="2" s="1"/>
  <c r="M2287" i="2" s="1"/>
  <c r="N2287" i="2" s="1"/>
  <c r="K2286" i="2"/>
  <c r="L2286" i="2" s="1"/>
  <c r="M2286" i="2" s="1"/>
  <c r="N2286" i="2" s="1"/>
  <c r="K2285" i="2"/>
  <c r="L2285" i="2" s="1"/>
  <c r="M2285" i="2" s="1"/>
  <c r="N2285" i="2" s="1"/>
  <c r="K2284" i="2"/>
  <c r="L2284" i="2" s="1"/>
  <c r="M2284" i="2" s="1"/>
  <c r="N2284" i="2" s="1"/>
  <c r="K2283" i="2"/>
  <c r="L2283" i="2" s="1"/>
  <c r="M2283" i="2" s="1"/>
  <c r="N2283" i="2" s="1"/>
  <c r="K2282" i="2"/>
  <c r="L2282" i="2" s="1"/>
  <c r="M2282" i="2" s="1"/>
  <c r="N2282" i="2" s="1"/>
  <c r="K2281" i="2"/>
  <c r="L2281" i="2" s="1"/>
  <c r="M2281" i="2" s="1"/>
  <c r="N2281" i="2" s="1"/>
  <c r="K2280" i="2"/>
  <c r="L2280" i="2" s="1"/>
  <c r="M2280" i="2" s="1"/>
  <c r="N2280" i="2" s="1"/>
  <c r="K2279" i="2"/>
  <c r="L2279" i="2" s="1"/>
  <c r="M2279" i="2" s="1"/>
  <c r="N2279" i="2" s="1"/>
  <c r="K2278" i="2"/>
  <c r="L2278" i="2" s="1"/>
  <c r="M2278" i="2" s="1"/>
  <c r="N2278" i="2" s="1"/>
  <c r="K2277" i="2"/>
  <c r="L2277" i="2" s="1"/>
  <c r="M2277" i="2" s="1"/>
  <c r="N2277" i="2" s="1"/>
  <c r="K2276" i="2"/>
  <c r="L2276" i="2" s="1"/>
  <c r="M2276" i="2" s="1"/>
  <c r="N2276" i="2" s="1"/>
  <c r="K2275" i="2"/>
  <c r="L2275" i="2" s="1"/>
  <c r="M2275" i="2" s="1"/>
  <c r="N2275" i="2" s="1"/>
  <c r="K2274" i="2"/>
  <c r="L2274" i="2" s="1"/>
  <c r="M2274" i="2" s="1"/>
  <c r="N2274" i="2" s="1"/>
  <c r="K2273" i="2"/>
  <c r="L2273" i="2" s="1"/>
  <c r="M2273" i="2" s="1"/>
  <c r="N2273" i="2" s="1"/>
  <c r="K2272" i="2"/>
  <c r="L2272" i="2" s="1"/>
  <c r="M2272" i="2" s="1"/>
  <c r="N2272" i="2" s="1"/>
  <c r="K2271" i="2"/>
  <c r="L2271" i="2" s="1"/>
  <c r="M2271" i="2" s="1"/>
  <c r="N2271" i="2" s="1"/>
  <c r="K2270" i="2"/>
  <c r="L2270" i="2" s="1"/>
  <c r="M2270" i="2" s="1"/>
  <c r="N2270" i="2" s="1"/>
  <c r="K2269" i="2"/>
  <c r="L2269" i="2" s="1"/>
  <c r="M2269" i="2" s="1"/>
  <c r="N2269" i="2" s="1"/>
  <c r="K2268" i="2"/>
  <c r="L2268" i="2" s="1"/>
  <c r="M2268" i="2" s="1"/>
  <c r="N2268" i="2" s="1"/>
  <c r="K2267" i="2"/>
  <c r="L2267" i="2" s="1"/>
  <c r="M2267" i="2" s="1"/>
  <c r="N2267" i="2" s="1"/>
  <c r="K2266" i="2"/>
  <c r="L2266" i="2" s="1"/>
  <c r="M2266" i="2" s="1"/>
  <c r="N2266" i="2" s="1"/>
  <c r="K2265" i="2"/>
  <c r="L2265" i="2" s="1"/>
  <c r="M2265" i="2" s="1"/>
  <c r="N2265" i="2" s="1"/>
  <c r="K2264" i="2"/>
  <c r="L2264" i="2" s="1"/>
  <c r="M2264" i="2" s="1"/>
  <c r="N2264" i="2" s="1"/>
  <c r="K2263" i="2"/>
  <c r="L2263" i="2" s="1"/>
  <c r="M2263" i="2" s="1"/>
  <c r="N2263" i="2" s="1"/>
  <c r="K2262" i="2"/>
  <c r="L2262" i="2" s="1"/>
  <c r="M2262" i="2" s="1"/>
  <c r="N2262" i="2" s="1"/>
  <c r="K2261" i="2"/>
  <c r="L2261" i="2" s="1"/>
  <c r="M2261" i="2" s="1"/>
  <c r="N2261" i="2" s="1"/>
  <c r="K2260" i="2"/>
  <c r="L2260" i="2" s="1"/>
  <c r="M2260" i="2" s="1"/>
  <c r="N2260" i="2" s="1"/>
  <c r="K2259" i="2" l="1"/>
  <c r="L2259" i="2" s="1"/>
  <c r="M2259" i="2" s="1"/>
  <c r="N2259" i="2" s="1"/>
  <c r="K2258" i="2"/>
  <c r="L2258" i="2" s="1"/>
  <c r="M2258" i="2" s="1"/>
  <c r="N2258" i="2" s="1"/>
  <c r="K2257" i="2"/>
  <c r="L2257" i="2" s="1"/>
  <c r="M2257" i="2" s="1"/>
  <c r="N2257" i="2" s="1"/>
  <c r="K2256" i="2"/>
  <c r="L2256" i="2" s="1"/>
  <c r="M2256" i="2" s="1"/>
  <c r="N2256" i="2" s="1"/>
  <c r="K2255" i="2"/>
  <c r="L2255" i="2" s="1"/>
  <c r="M2255" i="2" s="1"/>
  <c r="N2255" i="2" s="1"/>
  <c r="K2254" i="2"/>
  <c r="L2254" i="2" s="1"/>
  <c r="M2254" i="2" s="1"/>
  <c r="N2254" i="2" s="1"/>
  <c r="K2253" i="2"/>
  <c r="L2253" i="2" s="1"/>
  <c r="M2253" i="2" s="1"/>
  <c r="N2253" i="2" s="1"/>
  <c r="K2252" i="2"/>
  <c r="L2252" i="2" s="1"/>
  <c r="M2252" i="2" s="1"/>
  <c r="N2252" i="2" s="1"/>
  <c r="K2251" i="2"/>
  <c r="L2251" i="2" s="1"/>
  <c r="M2251" i="2" s="1"/>
  <c r="N2251" i="2" s="1"/>
  <c r="K2250" i="2"/>
  <c r="L2250" i="2" s="1"/>
  <c r="M2250" i="2" s="1"/>
  <c r="N2250" i="2" s="1"/>
  <c r="K2249" i="2"/>
  <c r="L2249" i="2" s="1"/>
  <c r="M2249" i="2" s="1"/>
  <c r="N2249" i="2" s="1"/>
  <c r="K2248" i="2"/>
  <c r="L2248" i="2" s="1"/>
  <c r="M2248" i="2" s="1"/>
  <c r="N2248" i="2" s="1"/>
  <c r="K2247" i="2"/>
  <c r="L2247" i="2" s="1"/>
  <c r="M2247" i="2" s="1"/>
  <c r="N2247" i="2" s="1"/>
  <c r="K2246" i="2"/>
  <c r="L2246" i="2" s="1"/>
  <c r="M2246" i="2" s="1"/>
  <c r="N2246" i="2" s="1"/>
  <c r="K2245" i="2"/>
  <c r="L2245" i="2" s="1"/>
  <c r="M2245" i="2" s="1"/>
  <c r="N2245" i="2" s="1"/>
  <c r="K2244" i="2"/>
  <c r="L2244" i="2" s="1"/>
  <c r="M2244" i="2" s="1"/>
  <c r="N2244" i="2" s="1"/>
  <c r="K2243" i="2"/>
  <c r="L2243" i="2" s="1"/>
  <c r="M2243" i="2" s="1"/>
  <c r="N2243" i="2" s="1"/>
  <c r="K2242" i="2"/>
  <c r="L2242" i="2" s="1"/>
  <c r="M2242" i="2" s="1"/>
  <c r="N2242" i="2" s="1"/>
  <c r="K2241" i="2"/>
  <c r="L2241" i="2" s="1"/>
  <c r="M2241" i="2" s="1"/>
  <c r="N2241" i="2" s="1"/>
  <c r="K2240" i="2"/>
  <c r="L2240" i="2" s="1"/>
  <c r="M2240" i="2" s="1"/>
  <c r="N2240" i="2" s="1"/>
  <c r="K2239" i="2"/>
  <c r="L2239" i="2" s="1"/>
  <c r="M2239" i="2" s="1"/>
  <c r="N2239" i="2" s="1"/>
  <c r="K2238" i="2"/>
  <c r="L2238" i="2" s="1"/>
  <c r="M2238" i="2" s="1"/>
  <c r="N2238" i="2" s="1"/>
  <c r="K2237" i="2"/>
  <c r="L2237" i="2" s="1"/>
  <c r="M2237" i="2" s="1"/>
  <c r="N2237" i="2" s="1"/>
  <c r="K2236" i="2"/>
  <c r="L2236" i="2" s="1"/>
  <c r="M2236" i="2" s="1"/>
  <c r="N2236" i="2" s="1"/>
  <c r="K2235" i="2"/>
  <c r="L2235" i="2" s="1"/>
  <c r="M2235" i="2" s="1"/>
  <c r="N2235" i="2" s="1"/>
  <c r="K2234" i="2"/>
  <c r="L2234" i="2" s="1"/>
  <c r="M2234" i="2" s="1"/>
  <c r="N2234" i="2" s="1"/>
  <c r="K2233" i="2"/>
  <c r="L2233" i="2" s="1"/>
  <c r="M2233" i="2" s="1"/>
  <c r="N2233" i="2" s="1"/>
  <c r="K2232" i="2"/>
  <c r="L2232" i="2" s="1"/>
  <c r="M2232" i="2" s="1"/>
  <c r="N2232" i="2" s="1"/>
  <c r="K2231" i="2"/>
  <c r="L2231" i="2" s="1"/>
  <c r="M2231" i="2" s="1"/>
  <c r="N2231" i="2" s="1"/>
  <c r="K2230" i="2"/>
  <c r="L2230" i="2" s="1"/>
  <c r="M2230" i="2" s="1"/>
  <c r="N2230" i="2" s="1"/>
  <c r="K2229" i="2"/>
  <c r="L2229" i="2" s="1"/>
  <c r="M2229" i="2" s="1"/>
  <c r="N2229" i="2" s="1"/>
  <c r="K2228" i="2"/>
  <c r="L2228" i="2" s="1"/>
  <c r="M2228" i="2" s="1"/>
  <c r="N2228" i="2" s="1"/>
  <c r="K2227" i="2"/>
  <c r="L2227" i="2" s="1"/>
  <c r="M2227" i="2" s="1"/>
  <c r="N2227" i="2" s="1"/>
  <c r="K2226" i="2"/>
  <c r="L2226" i="2" s="1"/>
  <c r="M2226" i="2" s="1"/>
  <c r="N2226" i="2" s="1"/>
  <c r="K2225" i="2"/>
  <c r="L2225" i="2" s="1"/>
  <c r="M2225" i="2" s="1"/>
  <c r="N2225" i="2" s="1"/>
  <c r="K2224" i="2"/>
  <c r="L2224" i="2" s="1"/>
  <c r="M2224" i="2" s="1"/>
  <c r="N2224" i="2" s="1"/>
  <c r="K2223" i="2"/>
  <c r="L2223" i="2" s="1"/>
  <c r="M2223" i="2" s="1"/>
  <c r="N2223" i="2" s="1"/>
  <c r="K2222" i="2"/>
  <c r="L2222" i="2" s="1"/>
  <c r="M2222" i="2" s="1"/>
  <c r="N2222" i="2" s="1"/>
  <c r="K2221" i="2"/>
  <c r="L2221" i="2" s="1"/>
  <c r="M2221" i="2" s="1"/>
  <c r="N2221" i="2" s="1"/>
  <c r="K2220" i="2"/>
  <c r="L2220" i="2" s="1"/>
  <c r="M2220" i="2" s="1"/>
  <c r="N2220" i="2" s="1"/>
  <c r="K2219" i="2"/>
  <c r="L2219" i="2" s="1"/>
  <c r="M2219" i="2" s="1"/>
  <c r="N2219" i="2" s="1"/>
  <c r="K2218" i="2"/>
  <c r="L2218" i="2" s="1"/>
  <c r="M2218" i="2" s="1"/>
  <c r="N2218" i="2" s="1"/>
  <c r="K2217" i="2"/>
  <c r="L2217" i="2" s="1"/>
  <c r="M2217" i="2" s="1"/>
  <c r="N2217" i="2" s="1"/>
  <c r="K2216" i="2"/>
  <c r="L2216" i="2" s="1"/>
  <c r="M2216" i="2" s="1"/>
  <c r="N2216" i="2" s="1"/>
  <c r="K2215" i="2"/>
  <c r="L2215" i="2" s="1"/>
  <c r="M2215" i="2" s="1"/>
  <c r="N2215" i="2" s="1"/>
  <c r="K2214" i="2"/>
  <c r="L2214" i="2" s="1"/>
  <c r="M2214" i="2" s="1"/>
  <c r="N2214" i="2" s="1"/>
  <c r="K2213" i="2"/>
  <c r="L2213" i="2" s="1"/>
  <c r="M2213" i="2" s="1"/>
  <c r="N2213" i="2" s="1"/>
  <c r="K2212" i="2"/>
  <c r="L2212" i="2" s="1"/>
  <c r="M2212" i="2" s="1"/>
  <c r="N2212" i="2" s="1"/>
  <c r="K2211" i="2"/>
  <c r="L2211" i="2" s="1"/>
  <c r="M2211" i="2" s="1"/>
  <c r="N2211" i="2" s="1"/>
  <c r="K2210" i="2"/>
  <c r="L2210" i="2" s="1"/>
  <c r="M2210" i="2" s="1"/>
  <c r="N2210" i="2" s="1"/>
  <c r="K2209" i="2"/>
  <c r="L2209" i="2" s="1"/>
  <c r="M2209" i="2" s="1"/>
  <c r="N2209" i="2" s="1"/>
  <c r="K2208" i="2"/>
  <c r="L2208" i="2" s="1"/>
  <c r="M2208" i="2" s="1"/>
  <c r="N2208" i="2" s="1"/>
  <c r="K2207" i="2"/>
  <c r="L2207" i="2" s="1"/>
  <c r="M2207" i="2" s="1"/>
  <c r="N2207" i="2" s="1"/>
  <c r="K2206" i="2"/>
  <c r="L2206" i="2" s="1"/>
  <c r="M2206" i="2" s="1"/>
  <c r="N2206" i="2" s="1"/>
  <c r="K2205" i="2"/>
  <c r="L2205" i="2" s="1"/>
  <c r="M2205" i="2" s="1"/>
  <c r="N2205" i="2" s="1"/>
  <c r="K2204" i="2"/>
  <c r="L2204" i="2" s="1"/>
  <c r="M2204" i="2" s="1"/>
  <c r="N2204" i="2" s="1"/>
  <c r="K2203" i="2"/>
  <c r="L2203" i="2" s="1"/>
  <c r="M2203" i="2" s="1"/>
  <c r="N2203" i="2" s="1"/>
  <c r="K2202" i="2"/>
  <c r="L2202" i="2" s="1"/>
  <c r="M2202" i="2" s="1"/>
  <c r="N2202" i="2" s="1"/>
  <c r="K2201" i="2"/>
  <c r="L2201" i="2" s="1"/>
  <c r="M2201" i="2" s="1"/>
  <c r="N2201" i="2" s="1"/>
  <c r="K2200" i="2"/>
  <c r="L2200" i="2" s="1"/>
  <c r="M2200" i="2" s="1"/>
  <c r="N2200" i="2" s="1"/>
  <c r="K2199" i="2"/>
  <c r="L2199" i="2" s="1"/>
  <c r="M2199" i="2" s="1"/>
  <c r="N2199" i="2" s="1"/>
  <c r="K2198" i="2"/>
  <c r="L2198" i="2" s="1"/>
  <c r="M2198" i="2" s="1"/>
  <c r="N2198" i="2" s="1"/>
  <c r="K2197" i="2"/>
  <c r="L2197" i="2" s="1"/>
  <c r="M2197" i="2" s="1"/>
  <c r="N2197" i="2" s="1"/>
  <c r="K2196" i="2"/>
  <c r="L2196" i="2" s="1"/>
  <c r="M2196" i="2" s="1"/>
  <c r="N2196" i="2" s="1"/>
  <c r="K2195" i="2"/>
  <c r="L2195" i="2" s="1"/>
  <c r="M2195" i="2" s="1"/>
  <c r="N2195" i="2" s="1"/>
  <c r="K2194" i="2"/>
  <c r="L2194" i="2" s="1"/>
  <c r="M2194" i="2" s="1"/>
  <c r="N2194" i="2" s="1"/>
  <c r="K2193" i="2"/>
  <c r="L2193" i="2" s="1"/>
  <c r="M2193" i="2" s="1"/>
  <c r="N2193" i="2" s="1"/>
  <c r="K2192" i="2"/>
  <c r="L2192" i="2" s="1"/>
  <c r="M2192" i="2" s="1"/>
  <c r="N2192" i="2" s="1"/>
  <c r="K2191" i="2"/>
  <c r="L2191" i="2" s="1"/>
  <c r="M2191" i="2" s="1"/>
  <c r="N2191" i="2" s="1"/>
  <c r="K2190" i="2"/>
  <c r="L2190" i="2" s="1"/>
  <c r="M2190" i="2" s="1"/>
  <c r="N2190" i="2" s="1"/>
  <c r="K2189" i="2"/>
  <c r="L2189" i="2" s="1"/>
  <c r="M2189" i="2" s="1"/>
  <c r="N2189" i="2" s="1"/>
  <c r="K2188" i="2"/>
  <c r="L2188" i="2" s="1"/>
  <c r="M2188" i="2" s="1"/>
  <c r="N2188" i="2" s="1"/>
  <c r="K2187" i="2"/>
  <c r="L2187" i="2" s="1"/>
  <c r="M2187" i="2" s="1"/>
  <c r="N2187" i="2" s="1"/>
  <c r="K2186" i="2"/>
  <c r="L2186" i="2" s="1"/>
  <c r="M2186" i="2" s="1"/>
  <c r="N2186" i="2" s="1"/>
  <c r="K2185" i="2"/>
  <c r="L2185" i="2" s="1"/>
  <c r="M2185" i="2" s="1"/>
  <c r="N2185" i="2" s="1"/>
  <c r="K2184" i="2"/>
  <c r="L2184" i="2" s="1"/>
  <c r="M2184" i="2" s="1"/>
  <c r="N2184" i="2" s="1"/>
  <c r="K2183" i="2"/>
  <c r="L2183" i="2" s="1"/>
  <c r="M2183" i="2" s="1"/>
  <c r="N2183" i="2" s="1"/>
  <c r="K2182" i="2"/>
  <c r="L2182" i="2" s="1"/>
  <c r="M2182" i="2" s="1"/>
  <c r="N2182" i="2" s="1"/>
  <c r="K2181" i="2"/>
  <c r="L2181" i="2" s="1"/>
  <c r="M2181" i="2" s="1"/>
  <c r="N2181" i="2" s="1"/>
  <c r="K2180" i="2"/>
  <c r="L2180" i="2" s="1"/>
  <c r="M2180" i="2" s="1"/>
  <c r="N2180" i="2" s="1"/>
  <c r="K2179" i="2"/>
  <c r="L2179" i="2" s="1"/>
  <c r="M2179" i="2" s="1"/>
  <c r="N2179" i="2" s="1"/>
  <c r="K2178" i="2"/>
  <c r="L2178" i="2" s="1"/>
  <c r="M2178" i="2" s="1"/>
  <c r="N2178" i="2" s="1"/>
  <c r="K2177" i="2"/>
  <c r="L2177" i="2" s="1"/>
  <c r="M2177" i="2" s="1"/>
  <c r="N2177" i="2" s="1"/>
  <c r="K2176" i="2"/>
  <c r="L2176" i="2" s="1"/>
  <c r="M2176" i="2" s="1"/>
  <c r="N2176" i="2" s="1"/>
  <c r="K2175" i="2"/>
  <c r="L2175" i="2" s="1"/>
  <c r="M2175" i="2" s="1"/>
  <c r="N2175" i="2" s="1"/>
  <c r="K2174" i="2"/>
  <c r="L2174" i="2" s="1"/>
  <c r="M2174" i="2" s="1"/>
  <c r="N2174" i="2" s="1"/>
  <c r="K2173" i="2"/>
  <c r="L2173" i="2" s="1"/>
  <c r="M2173" i="2" s="1"/>
  <c r="N2173" i="2" s="1"/>
  <c r="K2172" i="2"/>
  <c r="L2172" i="2" s="1"/>
  <c r="M2172" i="2" s="1"/>
  <c r="N2172" i="2" s="1"/>
  <c r="K2171" i="2"/>
  <c r="L2171" i="2" s="1"/>
  <c r="M2171" i="2" s="1"/>
  <c r="N2171" i="2" s="1"/>
  <c r="K2170" i="2"/>
  <c r="L2170" i="2" s="1"/>
  <c r="M2170" i="2" s="1"/>
  <c r="N2170" i="2" s="1"/>
  <c r="K2169" i="2"/>
  <c r="L2169" i="2" s="1"/>
  <c r="M2169" i="2" s="1"/>
  <c r="N2169" i="2" s="1"/>
  <c r="K2168" i="2"/>
  <c r="L2168" i="2" s="1"/>
  <c r="M2168" i="2" s="1"/>
  <c r="N2168" i="2" s="1"/>
  <c r="K2167" i="2"/>
  <c r="L2167" i="2" s="1"/>
  <c r="M2167" i="2" s="1"/>
  <c r="N2167" i="2" s="1"/>
  <c r="K2166" i="2"/>
  <c r="L2166" i="2" s="1"/>
  <c r="M2166" i="2" s="1"/>
  <c r="N2166" i="2" s="1"/>
  <c r="K2165" i="2"/>
  <c r="L2165" i="2" s="1"/>
  <c r="M2165" i="2" s="1"/>
  <c r="N2165" i="2" s="1"/>
  <c r="K2164" i="2"/>
  <c r="L2164" i="2" s="1"/>
  <c r="M2164" i="2" s="1"/>
  <c r="N2164" i="2" s="1"/>
  <c r="K2163" i="2"/>
  <c r="L2163" i="2" s="1"/>
  <c r="M2163" i="2" s="1"/>
  <c r="N2163" i="2" s="1"/>
  <c r="K2162" i="2"/>
  <c r="L2162" i="2" s="1"/>
  <c r="M2162" i="2" s="1"/>
  <c r="N2162" i="2" s="1"/>
  <c r="K2161" i="2"/>
  <c r="L2161" i="2" s="1"/>
  <c r="M2161" i="2" s="1"/>
  <c r="N2161" i="2" s="1"/>
  <c r="K2160" i="2"/>
  <c r="L2160" i="2" s="1"/>
  <c r="M2160" i="2" s="1"/>
  <c r="N2160" i="2" s="1"/>
  <c r="K2159" i="2"/>
  <c r="L2159" i="2" s="1"/>
  <c r="M2159" i="2" s="1"/>
  <c r="N2159" i="2" s="1"/>
  <c r="K2158" i="2"/>
  <c r="L2158" i="2" s="1"/>
  <c r="M2158" i="2" s="1"/>
  <c r="N2158" i="2" s="1"/>
  <c r="K2157" i="2"/>
  <c r="L2157" i="2" s="1"/>
  <c r="M2157" i="2" s="1"/>
  <c r="N2157" i="2" s="1"/>
  <c r="K2156" i="2"/>
  <c r="L2156" i="2" s="1"/>
  <c r="M2156" i="2" s="1"/>
  <c r="N2156" i="2" s="1"/>
  <c r="K2155" i="2"/>
  <c r="L2155" i="2" s="1"/>
  <c r="M2155" i="2" s="1"/>
  <c r="N2155" i="2" s="1"/>
  <c r="K2154" i="2"/>
  <c r="L2154" i="2" s="1"/>
  <c r="M2154" i="2" s="1"/>
  <c r="N2154" i="2" s="1"/>
  <c r="K2153" i="2"/>
  <c r="L2153" i="2" s="1"/>
  <c r="M2153" i="2" s="1"/>
  <c r="N2153" i="2" s="1"/>
  <c r="K2152" i="2"/>
  <c r="L2152" i="2" s="1"/>
  <c r="M2152" i="2" s="1"/>
  <c r="N2152" i="2" s="1"/>
  <c r="K2151" i="2"/>
  <c r="L2151" i="2" s="1"/>
  <c r="M2151" i="2" s="1"/>
  <c r="N2151" i="2" s="1"/>
  <c r="K2150" i="2"/>
  <c r="L2150" i="2" s="1"/>
  <c r="M2150" i="2" s="1"/>
  <c r="N2150" i="2" s="1"/>
  <c r="K2149" i="2"/>
  <c r="L2149" i="2" s="1"/>
  <c r="M2149" i="2" s="1"/>
  <c r="N2149" i="2" s="1"/>
  <c r="K2148" i="2"/>
  <c r="L2148" i="2" s="1"/>
  <c r="M2148" i="2" s="1"/>
  <c r="N2148" i="2" s="1"/>
  <c r="K2147" i="2"/>
  <c r="L2147" i="2" s="1"/>
  <c r="M2147" i="2" s="1"/>
  <c r="N2147" i="2" s="1"/>
  <c r="K2146" i="2"/>
  <c r="L2146" i="2" s="1"/>
  <c r="M2146" i="2" s="1"/>
  <c r="N2146" i="2" s="1"/>
  <c r="K2145" i="2"/>
  <c r="L2145" i="2" s="1"/>
  <c r="M2145" i="2" s="1"/>
  <c r="N2145" i="2" s="1"/>
  <c r="K2144" i="2"/>
  <c r="L2144" i="2" s="1"/>
  <c r="M2144" i="2" s="1"/>
  <c r="N2144" i="2" s="1"/>
  <c r="K2143" i="2"/>
  <c r="L2143" i="2" s="1"/>
  <c r="M2143" i="2" s="1"/>
  <c r="N2143" i="2" s="1"/>
  <c r="K2142" i="2"/>
  <c r="L2142" i="2" s="1"/>
  <c r="M2142" i="2" s="1"/>
  <c r="N2142" i="2" s="1"/>
  <c r="K2141" i="2"/>
  <c r="L2141" i="2" s="1"/>
  <c r="M2141" i="2" s="1"/>
  <c r="N2141" i="2" s="1"/>
  <c r="K2140" i="2"/>
  <c r="L2140" i="2" s="1"/>
  <c r="M2140" i="2" s="1"/>
  <c r="N2140" i="2" s="1"/>
  <c r="K2139" i="2"/>
  <c r="L2139" i="2" s="1"/>
  <c r="M2139" i="2" s="1"/>
  <c r="N2139" i="2" s="1"/>
  <c r="K2138" i="2"/>
  <c r="L2138" i="2" s="1"/>
  <c r="M2138" i="2" s="1"/>
  <c r="N2138" i="2" s="1"/>
  <c r="K2137" i="2"/>
  <c r="L2137" i="2" s="1"/>
  <c r="M2137" i="2" s="1"/>
  <c r="N2137" i="2" s="1"/>
  <c r="K2136" i="2"/>
  <c r="L2136" i="2" s="1"/>
  <c r="M2136" i="2" s="1"/>
  <c r="N2136" i="2" s="1"/>
  <c r="K2135" i="2"/>
  <c r="L2135" i="2" s="1"/>
  <c r="M2135" i="2" s="1"/>
  <c r="N2135" i="2" s="1"/>
  <c r="K2134" i="2"/>
  <c r="L2134" i="2" s="1"/>
  <c r="M2134" i="2" s="1"/>
  <c r="N2134" i="2" s="1"/>
  <c r="K2133" i="2"/>
  <c r="L2133" i="2" s="1"/>
  <c r="M2133" i="2" s="1"/>
  <c r="N2133" i="2" s="1"/>
  <c r="K2132" i="2"/>
  <c r="L2132" i="2" s="1"/>
  <c r="M2132" i="2" s="1"/>
  <c r="N2132" i="2" s="1"/>
  <c r="K2131" i="2"/>
  <c r="L2131" i="2" s="1"/>
  <c r="M2131" i="2" s="1"/>
  <c r="N2131" i="2" s="1"/>
  <c r="K2130" i="2"/>
  <c r="L2130" i="2" s="1"/>
  <c r="M2130" i="2" s="1"/>
  <c r="N2130" i="2" s="1"/>
  <c r="K2129" i="2"/>
  <c r="L2129" i="2" s="1"/>
  <c r="M2129" i="2" s="1"/>
  <c r="N2129" i="2" s="1"/>
  <c r="K2128" i="2"/>
  <c r="L2128" i="2" s="1"/>
  <c r="M2128" i="2" s="1"/>
  <c r="N2128" i="2" s="1"/>
  <c r="K2127" i="2"/>
  <c r="L2127" i="2" s="1"/>
  <c r="M2127" i="2" s="1"/>
  <c r="N2127" i="2" s="1"/>
  <c r="K2126" i="2"/>
  <c r="L2126" i="2" s="1"/>
  <c r="M2126" i="2" s="1"/>
  <c r="N2126" i="2" s="1"/>
  <c r="K2125" i="2"/>
  <c r="L2125" i="2" s="1"/>
  <c r="M2125" i="2" s="1"/>
  <c r="N2125" i="2" s="1"/>
  <c r="K2124" i="2"/>
  <c r="L2124" i="2" s="1"/>
  <c r="M2124" i="2" s="1"/>
  <c r="N2124" i="2" s="1"/>
  <c r="K2123" i="2"/>
  <c r="L2123" i="2" s="1"/>
  <c r="M2123" i="2" s="1"/>
  <c r="N2123" i="2" s="1"/>
  <c r="K2122" i="2"/>
  <c r="L2122" i="2" s="1"/>
  <c r="M2122" i="2" s="1"/>
  <c r="N2122" i="2" s="1"/>
  <c r="K2121" i="2"/>
  <c r="L2121" i="2" s="1"/>
  <c r="M2121" i="2" s="1"/>
  <c r="N2121" i="2" s="1"/>
  <c r="K2120" i="2"/>
  <c r="L2120" i="2" s="1"/>
  <c r="M2120" i="2" s="1"/>
  <c r="N2120" i="2" s="1"/>
  <c r="K2119" i="2"/>
  <c r="L2119" i="2" s="1"/>
  <c r="M2119" i="2" s="1"/>
  <c r="N2119" i="2" s="1"/>
  <c r="K2118" i="2"/>
  <c r="L2118" i="2" s="1"/>
  <c r="M2118" i="2" s="1"/>
  <c r="N2118" i="2" s="1"/>
  <c r="K2117" i="2"/>
  <c r="L2117" i="2" s="1"/>
  <c r="M2117" i="2" s="1"/>
  <c r="N2117" i="2" s="1"/>
  <c r="K2116" i="2"/>
  <c r="L2116" i="2" s="1"/>
  <c r="M2116" i="2" s="1"/>
  <c r="N2116" i="2" s="1"/>
  <c r="K2115" i="2"/>
  <c r="L2115" i="2" s="1"/>
  <c r="M2115" i="2" s="1"/>
  <c r="N2115" i="2" s="1"/>
  <c r="K2114" i="2"/>
  <c r="L2114" i="2" s="1"/>
  <c r="M2114" i="2" s="1"/>
  <c r="N2114" i="2" s="1"/>
  <c r="K2113" i="2"/>
  <c r="L2113" i="2" s="1"/>
  <c r="M2113" i="2" s="1"/>
  <c r="N2113" i="2" s="1"/>
  <c r="K2112" i="2"/>
  <c r="L2112" i="2" s="1"/>
  <c r="M2112" i="2" s="1"/>
  <c r="N2112" i="2" s="1"/>
  <c r="K2111" i="2"/>
  <c r="L2111" i="2" s="1"/>
  <c r="M2111" i="2" s="1"/>
  <c r="N2111" i="2" s="1"/>
  <c r="K2110" i="2"/>
  <c r="L2110" i="2" s="1"/>
  <c r="M2110" i="2" s="1"/>
  <c r="N2110" i="2" s="1"/>
  <c r="K2109" i="2"/>
  <c r="L2109" i="2" s="1"/>
  <c r="M2109" i="2" s="1"/>
  <c r="N2109" i="2" s="1"/>
  <c r="K2108" i="2"/>
  <c r="L2108" i="2" s="1"/>
  <c r="M2108" i="2" s="1"/>
  <c r="N2108" i="2" s="1"/>
  <c r="K2107" i="2"/>
  <c r="L2107" i="2" s="1"/>
  <c r="M2107" i="2" s="1"/>
  <c r="N2107" i="2" s="1"/>
  <c r="K2106" i="2"/>
  <c r="L2106" i="2" s="1"/>
  <c r="M2106" i="2" s="1"/>
  <c r="N2106" i="2" s="1"/>
  <c r="K2105" i="2"/>
  <c r="L2105" i="2" s="1"/>
  <c r="M2105" i="2" s="1"/>
  <c r="N2105" i="2" s="1"/>
  <c r="K2104" i="2"/>
  <c r="L2104" i="2" s="1"/>
  <c r="M2104" i="2" s="1"/>
  <c r="N2104" i="2" s="1"/>
  <c r="K2103" i="2"/>
  <c r="L2103" i="2" s="1"/>
  <c r="M2103" i="2" s="1"/>
  <c r="N2103" i="2" s="1"/>
  <c r="K2102" i="2"/>
  <c r="L2102" i="2" s="1"/>
  <c r="M2102" i="2" s="1"/>
  <c r="N2102" i="2" s="1"/>
  <c r="K2101" i="2"/>
  <c r="L2101" i="2" s="1"/>
  <c r="M2101" i="2" s="1"/>
  <c r="N2101" i="2" s="1"/>
  <c r="K2100" i="2"/>
  <c r="L2100" i="2" s="1"/>
  <c r="M2100" i="2" s="1"/>
  <c r="N2100" i="2" s="1"/>
  <c r="K2099" i="2"/>
  <c r="L2099" i="2" s="1"/>
  <c r="M2099" i="2" s="1"/>
  <c r="N2099" i="2" s="1"/>
  <c r="K2098" i="2"/>
  <c r="L2098" i="2" s="1"/>
  <c r="M2098" i="2" s="1"/>
  <c r="N2098" i="2" s="1"/>
  <c r="K2097" i="2"/>
  <c r="L2097" i="2" s="1"/>
  <c r="M2097" i="2" s="1"/>
  <c r="N2097" i="2" s="1"/>
  <c r="K2096" i="2"/>
  <c r="L2096" i="2" s="1"/>
  <c r="M2096" i="2" s="1"/>
  <c r="N2096" i="2" s="1"/>
  <c r="K2095" i="2"/>
  <c r="L2095" i="2" s="1"/>
  <c r="M2095" i="2" s="1"/>
  <c r="N2095" i="2" s="1"/>
  <c r="K2094" i="2"/>
  <c r="L2094" i="2" s="1"/>
  <c r="M2094" i="2" s="1"/>
  <c r="N2094" i="2" s="1"/>
  <c r="K2093" i="2"/>
  <c r="L2093" i="2" s="1"/>
  <c r="M2093" i="2" s="1"/>
  <c r="N2093" i="2" s="1"/>
  <c r="K2092" i="2"/>
  <c r="L2092" i="2" s="1"/>
  <c r="M2092" i="2" s="1"/>
  <c r="N2092" i="2" s="1"/>
  <c r="K2091" i="2"/>
  <c r="L2091" i="2" s="1"/>
  <c r="M2091" i="2" s="1"/>
  <c r="N2091" i="2" s="1"/>
  <c r="K2090" i="2"/>
  <c r="L2090" i="2" s="1"/>
  <c r="M2090" i="2" s="1"/>
  <c r="N2090" i="2" s="1"/>
  <c r="K2089" i="2"/>
  <c r="L2089" i="2" s="1"/>
  <c r="M2089" i="2" s="1"/>
  <c r="N2089" i="2" s="1"/>
  <c r="K2088" i="2"/>
  <c r="L2088" i="2" s="1"/>
  <c r="M2088" i="2" s="1"/>
  <c r="N2088" i="2" s="1"/>
  <c r="K2087" i="2"/>
  <c r="L2087" i="2" s="1"/>
  <c r="M2087" i="2" s="1"/>
  <c r="N2087" i="2" s="1"/>
  <c r="K2086" i="2"/>
  <c r="L2086" i="2" s="1"/>
  <c r="M2086" i="2" s="1"/>
  <c r="N2086" i="2" s="1"/>
  <c r="K2085" i="2"/>
  <c r="L2085" i="2" s="1"/>
  <c r="M2085" i="2" s="1"/>
  <c r="N2085" i="2" s="1"/>
  <c r="K2084" i="2"/>
  <c r="L2084" i="2" s="1"/>
  <c r="M2084" i="2" s="1"/>
  <c r="N2084" i="2" s="1"/>
  <c r="K2083" i="2"/>
  <c r="L2083" i="2" s="1"/>
  <c r="M2083" i="2" s="1"/>
  <c r="N2083" i="2" s="1"/>
  <c r="K2082" i="2"/>
  <c r="L2082" i="2" s="1"/>
  <c r="M2082" i="2" s="1"/>
  <c r="N2082" i="2" s="1"/>
  <c r="K2081" i="2"/>
  <c r="L2081" i="2" s="1"/>
  <c r="M2081" i="2" s="1"/>
  <c r="N2081" i="2" s="1"/>
  <c r="K2080" i="2"/>
  <c r="L2080" i="2" s="1"/>
  <c r="M2080" i="2" s="1"/>
  <c r="N2080" i="2" s="1"/>
  <c r="K2079" i="2"/>
  <c r="L2079" i="2" s="1"/>
  <c r="M2079" i="2" s="1"/>
  <c r="N2079" i="2" s="1"/>
  <c r="K2078" i="2"/>
  <c r="L2078" i="2" s="1"/>
  <c r="M2078" i="2" s="1"/>
  <c r="N2078" i="2" s="1"/>
  <c r="K2077" i="2"/>
  <c r="L2077" i="2" s="1"/>
  <c r="M2077" i="2" s="1"/>
  <c r="N2077" i="2" s="1"/>
  <c r="K2076" i="2"/>
  <c r="L2076" i="2" s="1"/>
  <c r="M2076" i="2" s="1"/>
  <c r="N2076" i="2" s="1"/>
  <c r="K2075" i="2"/>
  <c r="L2075" i="2" s="1"/>
  <c r="M2075" i="2" s="1"/>
  <c r="N2075" i="2" s="1"/>
  <c r="K2074" i="2"/>
  <c r="L2074" i="2" s="1"/>
  <c r="M2074" i="2" s="1"/>
  <c r="N2074" i="2" s="1"/>
  <c r="K2073" i="2"/>
  <c r="L2073" i="2" s="1"/>
  <c r="M2073" i="2" s="1"/>
  <c r="N2073" i="2" s="1"/>
  <c r="K2072" i="2"/>
  <c r="L2072" i="2" s="1"/>
  <c r="M2072" i="2" s="1"/>
  <c r="N2072" i="2" s="1"/>
  <c r="K2071" i="2"/>
  <c r="L2071" i="2" s="1"/>
  <c r="M2071" i="2" s="1"/>
  <c r="N2071" i="2" s="1"/>
  <c r="K2070" i="2"/>
  <c r="L2070" i="2" s="1"/>
  <c r="M2070" i="2" s="1"/>
  <c r="N2070" i="2" s="1"/>
  <c r="K2069" i="2"/>
  <c r="L2069" i="2" s="1"/>
  <c r="M2069" i="2" s="1"/>
  <c r="N2069" i="2" s="1"/>
  <c r="K2068" i="2"/>
  <c r="L2068" i="2" s="1"/>
  <c r="M2068" i="2" s="1"/>
  <c r="N2068" i="2" s="1"/>
  <c r="K2067" i="2"/>
  <c r="L2067" i="2" s="1"/>
  <c r="M2067" i="2" s="1"/>
  <c r="N2067" i="2" s="1"/>
  <c r="K2066" i="2"/>
  <c r="L2066" i="2" s="1"/>
  <c r="M2066" i="2" s="1"/>
  <c r="N2066" i="2" s="1"/>
  <c r="K2065" i="2"/>
  <c r="L2065" i="2" s="1"/>
  <c r="M2065" i="2" s="1"/>
  <c r="N2065" i="2" s="1"/>
  <c r="K2064" i="2"/>
  <c r="L2064" i="2" s="1"/>
  <c r="M2064" i="2" s="1"/>
  <c r="N2064" i="2" s="1"/>
  <c r="K2063" i="2"/>
  <c r="L2063" i="2" s="1"/>
  <c r="M2063" i="2" s="1"/>
  <c r="N2063" i="2" s="1"/>
  <c r="K2062" i="2"/>
  <c r="L2062" i="2" s="1"/>
  <c r="M2062" i="2" s="1"/>
  <c r="N2062" i="2" s="1"/>
  <c r="K2061" i="2"/>
  <c r="L2061" i="2" s="1"/>
  <c r="M2061" i="2" s="1"/>
  <c r="N2061" i="2" s="1"/>
  <c r="K2060" i="2"/>
  <c r="L2060" i="2" s="1"/>
  <c r="M2060" i="2" s="1"/>
  <c r="N2060" i="2" s="1"/>
  <c r="K2059" i="2"/>
  <c r="L2059" i="2" s="1"/>
  <c r="M2059" i="2" s="1"/>
  <c r="N2059" i="2" s="1"/>
  <c r="K2058" i="2"/>
  <c r="L2058" i="2" s="1"/>
  <c r="M2058" i="2" s="1"/>
  <c r="N2058" i="2" s="1"/>
  <c r="K2057" i="2"/>
  <c r="L2057" i="2" s="1"/>
  <c r="M2057" i="2" s="1"/>
  <c r="N2057" i="2" s="1"/>
  <c r="K2056" i="2"/>
  <c r="L2056" i="2" s="1"/>
  <c r="M2056" i="2" s="1"/>
  <c r="N2056" i="2" s="1"/>
  <c r="K2055" i="2"/>
  <c r="L2055" i="2" s="1"/>
  <c r="M2055" i="2" s="1"/>
  <c r="N2055" i="2" s="1"/>
  <c r="K2054" i="2"/>
  <c r="L2054" i="2" s="1"/>
  <c r="M2054" i="2" s="1"/>
  <c r="N2054" i="2" s="1"/>
  <c r="K2053" i="2"/>
  <c r="L2053" i="2" s="1"/>
  <c r="M2053" i="2" s="1"/>
  <c r="N2053" i="2" s="1"/>
  <c r="K2052" i="2"/>
  <c r="L2052" i="2" s="1"/>
  <c r="M2052" i="2" s="1"/>
  <c r="N2052" i="2" s="1"/>
  <c r="K2051" i="2"/>
  <c r="L2051" i="2" s="1"/>
  <c r="M2051" i="2" s="1"/>
  <c r="N2051" i="2" s="1"/>
  <c r="K2050" i="2"/>
  <c r="L2050" i="2" s="1"/>
  <c r="M2050" i="2" s="1"/>
  <c r="N2050" i="2" s="1"/>
  <c r="K2049" i="2"/>
  <c r="L2049" i="2" s="1"/>
  <c r="M2049" i="2" s="1"/>
  <c r="N2049" i="2" s="1"/>
  <c r="K2048" i="2"/>
  <c r="L2048" i="2" s="1"/>
  <c r="M2048" i="2" s="1"/>
  <c r="N2048" i="2" s="1"/>
  <c r="K2047" i="2"/>
  <c r="L2047" i="2" s="1"/>
  <c r="M2047" i="2" s="1"/>
  <c r="N2047" i="2" s="1"/>
  <c r="K2046" i="2"/>
  <c r="L2046" i="2" s="1"/>
  <c r="M2046" i="2" s="1"/>
  <c r="N2046" i="2" s="1"/>
  <c r="K2045" i="2"/>
  <c r="L2045" i="2" s="1"/>
  <c r="M2045" i="2" s="1"/>
  <c r="N2045" i="2" s="1"/>
  <c r="K2044" i="2"/>
  <c r="L2044" i="2" s="1"/>
  <c r="M2044" i="2" s="1"/>
  <c r="N2044" i="2" s="1"/>
  <c r="K2043" i="2"/>
  <c r="L2043" i="2" s="1"/>
  <c r="M2043" i="2" s="1"/>
  <c r="N2043" i="2" s="1"/>
  <c r="K2042" i="2"/>
  <c r="L2042" i="2" s="1"/>
  <c r="M2042" i="2" s="1"/>
  <c r="N2042" i="2" s="1"/>
  <c r="K2041" i="2"/>
  <c r="L2041" i="2" s="1"/>
  <c r="M2041" i="2" s="1"/>
  <c r="N2041" i="2" s="1"/>
  <c r="K2040" i="2"/>
  <c r="L2040" i="2" s="1"/>
  <c r="M2040" i="2" s="1"/>
  <c r="N2040" i="2" s="1"/>
  <c r="K2039" i="2"/>
  <c r="L2039" i="2" s="1"/>
  <c r="M2039" i="2" s="1"/>
  <c r="N2039" i="2" s="1"/>
  <c r="K2038" i="2"/>
  <c r="L2038" i="2" s="1"/>
  <c r="M2038" i="2" s="1"/>
  <c r="N2038" i="2" s="1"/>
  <c r="K2037" i="2"/>
  <c r="L2037" i="2" s="1"/>
  <c r="M2037" i="2" s="1"/>
  <c r="N2037" i="2" s="1"/>
  <c r="K2036" i="2"/>
  <c r="L2036" i="2" s="1"/>
  <c r="M2036" i="2" s="1"/>
  <c r="N2036" i="2" s="1"/>
  <c r="K2035" i="2"/>
  <c r="L2035" i="2" s="1"/>
  <c r="M2035" i="2" s="1"/>
  <c r="N2035" i="2" s="1"/>
  <c r="K2034" i="2"/>
  <c r="L2034" i="2" s="1"/>
  <c r="M2034" i="2" s="1"/>
  <c r="N2034" i="2" s="1"/>
  <c r="K2033" i="2"/>
  <c r="L2033" i="2" s="1"/>
  <c r="M2033" i="2" s="1"/>
  <c r="N2033" i="2" s="1"/>
  <c r="K2032" i="2"/>
  <c r="L2032" i="2" s="1"/>
  <c r="M2032" i="2" s="1"/>
  <c r="N2032" i="2" s="1"/>
  <c r="K2031" i="2"/>
  <c r="L2031" i="2" s="1"/>
  <c r="M2031" i="2" s="1"/>
  <c r="N2031" i="2" s="1"/>
  <c r="K2030" i="2"/>
  <c r="L2030" i="2" s="1"/>
  <c r="M2030" i="2" s="1"/>
  <c r="N2030" i="2" s="1"/>
  <c r="K2029" i="2"/>
  <c r="L2029" i="2" s="1"/>
  <c r="M2029" i="2" s="1"/>
  <c r="N2029" i="2" s="1"/>
  <c r="K2028" i="2"/>
  <c r="L2028" i="2" s="1"/>
  <c r="M2028" i="2" s="1"/>
  <c r="N2028" i="2" s="1"/>
  <c r="K2027" i="2"/>
  <c r="L2027" i="2" s="1"/>
  <c r="M2027" i="2" s="1"/>
  <c r="N2027" i="2" s="1"/>
  <c r="K2026" i="2"/>
  <c r="L2026" i="2" s="1"/>
  <c r="M2026" i="2" s="1"/>
  <c r="N2026" i="2" s="1"/>
  <c r="K2025" i="2"/>
  <c r="L2025" i="2" s="1"/>
  <c r="M2025" i="2" s="1"/>
  <c r="N2025" i="2" s="1"/>
  <c r="K2024" i="2"/>
  <c r="L2024" i="2" s="1"/>
  <c r="M2024" i="2" s="1"/>
  <c r="N2024" i="2" s="1"/>
  <c r="K2023" i="2"/>
  <c r="L2023" i="2" s="1"/>
  <c r="M2023" i="2" s="1"/>
  <c r="N2023" i="2" s="1"/>
  <c r="K2022" i="2"/>
  <c r="L2022" i="2" s="1"/>
  <c r="M2022" i="2" s="1"/>
  <c r="N2022" i="2" s="1"/>
  <c r="K2021" i="2"/>
  <c r="L2021" i="2" s="1"/>
  <c r="M2021" i="2" s="1"/>
  <c r="N2021" i="2" s="1"/>
  <c r="K2020" i="2"/>
  <c r="L2020" i="2" s="1"/>
  <c r="M2020" i="2" s="1"/>
  <c r="N2020" i="2" s="1"/>
  <c r="K2019" i="2"/>
  <c r="L2019" i="2" s="1"/>
  <c r="M2019" i="2" s="1"/>
  <c r="N2019" i="2" s="1"/>
  <c r="K2018" i="2"/>
  <c r="L2018" i="2" s="1"/>
  <c r="M2018" i="2" s="1"/>
  <c r="N2018" i="2" s="1"/>
  <c r="K2017" i="2"/>
  <c r="L2017" i="2" s="1"/>
  <c r="M2017" i="2" s="1"/>
  <c r="N2017" i="2" s="1"/>
  <c r="K2016" i="2"/>
  <c r="L2016" i="2" s="1"/>
  <c r="M2016" i="2" s="1"/>
  <c r="N2016" i="2" s="1"/>
  <c r="K2015" i="2"/>
  <c r="L2015" i="2" s="1"/>
  <c r="M2015" i="2" s="1"/>
  <c r="N2015" i="2" s="1"/>
  <c r="K2014" i="2"/>
  <c r="L2014" i="2" s="1"/>
  <c r="M2014" i="2" s="1"/>
  <c r="N2014" i="2" s="1"/>
  <c r="K2013" i="2"/>
  <c r="L2013" i="2" s="1"/>
  <c r="M2013" i="2" s="1"/>
  <c r="N2013" i="2" s="1"/>
  <c r="K2012" i="2"/>
  <c r="L2012" i="2" s="1"/>
  <c r="M2012" i="2" s="1"/>
  <c r="N2012" i="2" s="1"/>
  <c r="K2011" i="2"/>
  <c r="L2011" i="2" s="1"/>
  <c r="M2011" i="2" s="1"/>
  <c r="N2011" i="2" s="1"/>
  <c r="K2010" i="2"/>
  <c r="L2010" i="2" s="1"/>
  <c r="M2010" i="2" s="1"/>
  <c r="N2010" i="2" s="1"/>
  <c r="K2009" i="2"/>
  <c r="L2009" i="2" s="1"/>
  <c r="M2009" i="2" s="1"/>
  <c r="N2009" i="2" s="1"/>
  <c r="K2008" i="2"/>
  <c r="L2008" i="2" s="1"/>
  <c r="M2008" i="2" s="1"/>
  <c r="N2008" i="2" s="1"/>
  <c r="K2007" i="2"/>
  <c r="L2007" i="2" s="1"/>
  <c r="M2007" i="2" s="1"/>
  <c r="N2007" i="2" s="1"/>
  <c r="K2006" i="2"/>
  <c r="L2006" i="2" s="1"/>
  <c r="M2006" i="2" s="1"/>
  <c r="N2006" i="2" s="1"/>
  <c r="K2005" i="2"/>
  <c r="L2005" i="2" s="1"/>
  <c r="M2005" i="2" s="1"/>
  <c r="N2005" i="2" s="1"/>
  <c r="K2004" i="2"/>
  <c r="L2004" i="2" s="1"/>
  <c r="M2004" i="2" s="1"/>
  <c r="N2004" i="2" s="1"/>
  <c r="K2003" i="2"/>
  <c r="L2003" i="2" s="1"/>
  <c r="M2003" i="2" s="1"/>
  <c r="N2003" i="2" s="1"/>
  <c r="K2002" i="2"/>
  <c r="L2002" i="2" s="1"/>
  <c r="M2002" i="2" s="1"/>
  <c r="N2002" i="2" s="1"/>
  <c r="K2001" i="2"/>
  <c r="L2001" i="2" s="1"/>
  <c r="M2001" i="2" s="1"/>
  <c r="N2001" i="2" s="1"/>
  <c r="K2000" i="2"/>
  <c r="L2000" i="2" s="1"/>
  <c r="M2000" i="2" s="1"/>
  <c r="N2000" i="2" s="1"/>
  <c r="K1999" i="2"/>
  <c r="L1999" i="2" s="1"/>
  <c r="M1999" i="2" s="1"/>
  <c r="N1999" i="2" s="1"/>
  <c r="K1998" i="2"/>
  <c r="L1998" i="2" s="1"/>
  <c r="M1998" i="2" s="1"/>
  <c r="N1998" i="2" s="1"/>
  <c r="K1997" i="2"/>
  <c r="L1997" i="2" s="1"/>
  <c r="M1997" i="2" s="1"/>
  <c r="N1997" i="2" s="1"/>
  <c r="K1996" i="2"/>
  <c r="L1996" i="2" s="1"/>
  <c r="M1996" i="2" s="1"/>
  <c r="N1996" i="2" s="1"/>
  <c r="K1995" i="2"/>
  <c r="L1995" i="2" s="1"/>
  <c r="M1995" i="2" s="1"/>
  <c r="N1995" i="2" s="1"/>
  <c r="K1994" i="2"/>
  <c r="L1994" i="2" s="1"/>
  <c r="M1994" i="2" s="1"/>
  <c r="N1994" i="2" s="1"/>
  <c r="K1993" i="2"/>
  <c r="L1993" i="2" s="1"/>
  <c r="M1993" i="2" s="1"/>
  <c r="N1993" i="2" s="1"/>
  <c r="K1992" i="2"/>
  <c r="L1992" i="2" s="1"/>
  <c r="M1992" i="2" s="1"/>
  <c r="N1992" i="2" s="1"/>
  <c r="K1991" i="2"/>
  <c r="L1991" i="2" s="1"/>
  <c r="M1991" i="2" s="1"/>
  <c r="N1991" i="2" s="1"/>
  <c r="K1990" i="2"/>
  <c r="L1990" i="2" s="1"/>
  <c r="M1990" i="2" s="1"/>
  <c r="N1990" i="2" s="1"/>
  <c r="K1989" i="2"/>
  <c r="L1989" i="2" s="1"/>
  <c r="M1989" i="2" s="1"/>
  <c r="N1989" i="2" s="1"/>
  <c r="K1988" i="2"/>
  <c r="L1988" i="2" s="1"/>
  <c r="M1988" i="2" s="1"/>
  <c r="N1988" i="2" s="1"/>
  <c r="K1987" i="2"/>
  <c r="L1987" i="2" s="1"/>
  <c r="M1987" i="2" s="1"/>
  <c r="N1987" i="2" s="1"/>
  <c r="K1986" i="2"/>
  <c r="L1986" i="2" s="1"/>
  <c r="M1986" i="2" s="1"/>
  <c r="N1986" i="2" s="1"/>
  <c r="K1985" i="2"/>
  <c r="L1985" i="2" s="1"/>
  <c r="M1985" i="2" s="1"/>
  <c r="N1985" i="2" s="1"/>
  <c r="K1984" i="2"/>
  <c r="L1984" i="2" s="1"/>
  <c r="M1984" i="2" s="1"/>
  <c r="N1984" i="2" s="1"/>
  <c r="K1983" i="2"/>
  <c r="L1983" i="2" s="1"/>
  <c r="M1983" i="2" s="1"/>
  <c r="N1983" i="2" s="1"/>
  <c r="K1982" i="2"/>
  <c r="L1982" i="2" s="1"/>
  <c r="M1982" i="2" s="1"/>
  <c r="N1982" i="2" s="1"/>
  <c r="K1981" i="2"/>
  <c r="L1981" i="2" s="1"/>
  <c r="M1981" i="2" s="1"/>
  <c r="N1981" i="2" s="1"/>
  <c r="K1980" i="2"/>
  <c r="L1980" i="2" s="1"/>
  <c r="M1980" i="2" s="1"/>
  <c r="N1980" i="2" s="1"/>
  <c r="K1979" i="2"/>
  <c r="L1979" i="2" s="1"/>
  <c r="M1979" i="2" s="1"/>
  <c r="N1979" i="2" s="1"/>
  <c r="K1978" i="2"/>
  <c r="L1978" i="2" s="1"/>
  <c r="M1978" i="2" s="1"/>
  <c r="N1978" i="2" s="1"/>
  <c r="K1977" i="2"/>
  <c r="L1977" i="2" s="1"/>
  <c r="M1977" i="2" s="1"/>
  <c r="N1977" i="2" s="1"/>
  <c r="K1976" i="2"/>
  <c r="L1976" i="2" s="1"/>
  <c r="M1976" i="2" s="1"/>
  <c r="N1976" i="2" s="1"/>
  <c r="K1975" i="2"/>
  <c r="L1975" i="2" s="1"/>
  <c r="M1975" i="2" s="1"/>
  <c r="N1975" i="2" s="1"/>
  <c r="K1974" i="2"/>
  <c r="L1974" i="2" s="1"/>
  <c r="M1974" i="2" s="1"/>
  <c r="N1974" i="2" s="1"/>
  <c r="K1973" i="2"/>
  <c r="L1973" i="2" s="1"/>
  <c r="M1973" i="2" s="1"/>
  <c r="N1973" i="2" s="1"/>
  <c r="K1972" i="2"/>
  <c r="L1972" i="2" s="1"/>
  <c r="M1972" i="2" s="1"/>
  <c r="N1972" i="2" s="1"/>
  <c r="K1971" i="2"/>
  <c r="L1971" i="2" s="1"/>
  <c r="M1971" i="2" s="1"/>
  <c r="N1971" i="2" s="1"/>
  <c r="K1970" i="2"/>
  <c r="L1970" i="2" s="1"/>
  <c r="M1970" i="2" s="1"/>
  <c r="N1970" i="2" s="1"/>
  <c r="K1969" i="2"/>
  <c r="L1969" i="2" s="1"/>
  <c r="M1969" i="2" s="1"/>
  <c r="N1969" i="2" s="1"/>
  <c r="K1968" i="2"/>
  <c r="L1968" i="2" s="1"/>
  <c r="M1968" i="2" s="1"/>
  <c r="N1968" i="2" s="1"/>
  <c r="K1967" i="2"/>
  <c r="L1967" i="2" s="1"/>
  <c r="M1967" i="2" s="1"/>
  <c r="N1967" i="2" s="1"/>
  <c r="K1966" i="2"/>
  <c r="L1966" i="2" s="1"/>
  <c r="M1966" i="2" s="1"/>
  <c r="N1966" i="2" s="1"/>
  <c r="K1965" i="2"/>
  <c r="L1965" i="2" s="1"/>
  <c r="M1965" i="2" s="1"/>
  <c r="N1965" i="2" s="1"/>
  <c r="K1964" i="2"/>
  <c r="L1964" i="2" s="1"/>
  <c r="M1964" i="2" s="1"/>
  <c r="N1964" i="2" s="1"/>
  <c r="K1963" i="2"/>
  <c r="L1963" i="2" s="1"/>
  <c r="M1963" i="2" s="1"/>
  <c r="N1963" i="2" s="1"/>
  <c r="K1962" i="2"/>
  <c r="L1962" i="2" s="1"/>
  <c r="M1962" i="2" s="1"/>
  <c r="N1962" i="2" s="1"/>
  <c r="K1961" i="2"/>
  <c r="L1961" i="2" s="1"/>
  <c r="M1961" i="2" s="1"/>
  <c r="N1961" i="2" s="1"/>
  <c r="K1960" i="2"/>
  <c r="L1960" i="2" s="1"/>
  <c r="M1960" i="2" s="1"/>
  <c r="N1960" i="2" s="1"/>
  <c r="K1959" i="2"/>
  <c r="L1959" i="2" s="1"/>
  <c r="M1959" i="2" s="1"/>
  <c r="N1959" i="2" s="1"/>
  <c r="K1958" i="2"/>
  <c r="L1958" i="2" s="1"/>
  <c r="M1958" i="2" s="1"/>
  <c r="N1958" i="2" s="1"/>
  <c r="K1957" i="2"/>
  <c r="L1957" i="2" s="1"/>
  <c r="M1957" i="2" s="1"/>
  <c r="N1957" i="2" s="1"/>
  <c r="K1956" i="2"/>
  <c r="L1956" i="2" s="1"/>
  <c r="M1956" i="2" s="1"/>
  <c r="N1956" i="2" s="1"/>
  <c r="K1955" i="2"/>
  <c r="L1955" i="2" s="1"/>
  <c r="M1955" i="2" s="1"/>
  <c r="N1955" i="2" s="1"/>
  <c r="K1954" i="2"/>
  <c r="L1954" i="2" s="1"/>
  <c r="M1954" i="2" s="1"/>
  <c r="N1954" i="2" s="1"/>
  <c r="K1953" i="2"/>
  <c r="L1953" i="2" s="1"/>
  <c r="M1953" i="2" s="1"/>
  <c r="N1953" i="2" s="1"/>
  <c r="K1952" i="2"/>
  <c r="L1952" i="2" s="1"/>
  <c r="M1952" i="2" s="1"/>
  <c r="N1952" i="2" s="1"/>
  <c r="K1951" i="2"/>
  <c r="L1951" i="2" s="1"/>
  <c r="M1951" i="2" s="1"/>
  <c r="N1951" i="2" s="1"/>
  <c r="K1950" i="2"/>
  <c r="L1950" i="2" s="1"/>
  <c r="M1950" i="2" s="1"/>
  <c r="N1950" i="2" s="1"/>
  <c r="K1949" i="2"/>
  <c r="L1949" i="2" s="1"/>
  <c r="M1949" i="2" s="1"/>
  <c r="N1949" i="2" s="1"/>
  <c r="K1948" i="2"/>
  <c r="L1948" i="2" s="1"/>
  <c r="M1948" i="2" s="1"/>
  <c r="N1948" i="2" s="1"/>
  <c r="K1947" i="2"/>
  <c r="L1947" i="2" s="1"/>
  <c r="M1947" i="2" s="1"/>
  <c r="N1947" i="2" s="1"/>
  <c r="K1946" i="2"/>
  <c r="L1946" i="2" s="1"/>
  <c r="M1946" i="2" s="1"/>
  <c r="N1946" i="2" s="1"/>
  <c r="K1945" i="2"/>
  <c r="L1945" i="2" s="1"/>
  <c r="M1945" i="2" s="1"/>
  <c r="N1945" i="2" s="1"/>
  <c r="K1944" i="2"/>
  <c r="L1944" i="2" s="1"/>
  <c r="M1944" i="2" s="1"/>
  <c r="N1944" i="2" s="1"/>
  <c r="K1943" i="2"/>
  <c r="L1943" i="2" s="1"/>
  <c r="M1943" i="2" s="1"/>
  <c r="N1943" i="2" s="1"/>
  <c r="K1942" i="2"/>
  <c r="L1942" i="2" s="1"/>
  <c r="M1942" i="2" s="1"/>
  <c r="N1942" i="2" s="1"/>
  <c r="K1941" i="2"/>
  <c r="L1941" i="2" s="1"/>
  <c r="M1941" i="2" s="1"/>
  <c r="N1941" i="2" s="1"/>
  <c r="K1940" i="2"/>
  <c r="L1940" i="2" s="1"/>
  <c r="M1940" i="2" s="1"/>
  <c r="N1940" i="2" s="1"/>
  <c r="K1939" i="2"/>
  <c r="L1939" i="2" s="1"/>
  <c r="M1939" i="2" s="1"/>
  <c r="N1939" i="2" s="1"/>
  <c r="K1938" i="2"/>
  <c r="L1938" i="2" s="1"/>
  <c r="M1938" i="2" s="1"/>
  <c r="N1938" i="2" s="1"/>
  <c r="K1937" i="2"/>
  <c r="L1937" i="2" s="1"/>
  <c r="M1937" i="2" s="1"/>
  <c r="N1937" i="2" s="1"/>
  <c r="K1936" i="2"/>
  <c r="L1936" i="2" s="1"/>
  <c r="M1936" i="2" s="1"/>
  <c r="N1936" i="2" s="1"/>
  <c r="K1935" i="2"/>
  <c r="L1935" i="2" s="1"/>
  <c r="M1935" i="2" s="1"/>
  <c r="N1935" i="2" s="1"/>
  <c r="K1934" i="2"/>
  <c r="L1934" i="2" s="1"/>
  <c r="M1934" i="2" s="1"/>
  <c r="N1934" i="2" s="1"/>
  <c r="K1933" i="2"/>
  <c r="L1933" i="2" s="1"/>
  <c r="M1933" i="2" s="1"/>
  <c r="N1933" i="2" s="1"/>
  <c r="K1932" i="2"/>
  <c r="L1932" i="2" s="1"/>
  <c r="M1932" i="2" s="1"/>
  <c r="N1932" i="2" s="1"/>
  <c r="K1931" i="2"/>
  <c r="L1931" i="2" s="1"/>
  <c r="M1931" i="2" s="1"/>
  <c r="N1931" i="2" s="1"/>
  <c r="K1930" i="2"/>
  <c r="L1930" i="2" s="1"/>
  <c r="M1930" i="2" s="1"/>
  <c r="N1930" i="2" s="1"/>
  <c r="K1929" i="2"/>
  <c r="L1929" i="2" s="1"/>
  <c r="M1929" i="2" s="1"/>
  <c r="N1929" i="2" s="1"/>
  <c r="K1928" i="2"/>
  <c r="L1928" i="2" s="1"/>
  <c r="M1928" i="2" s="1"/>
  <c r="N1928" i="2" s="1"/>
  <c r="K1927" i="2"/>
  <c r="L1927" i="2" s="1"/>
  <c r="M1927" i="2" s="1"/>
  <c r="N1927" i="2" s="1"/>
  <c r="K1926" i="2"/>
  <c r="L1926" i="2" s="1"/>
  <c r="M1926" i="2" s="1"/>
  <c r="N1926" i="2" s="1"/>
  <c r="K1925" i="2"/>
  <c r="L1925" i="2" s="1"/>
  <c r="M1925" i="2" s="1"/>
  <c r="N1925" i="2" s="1"/>
  <c r="K1924" i="2"/>
  <c r="L1924" i="2" s="1"/>
  <c r="M1924" i="2" s="1"/>
  <c r="N1924" i="2" s="1"/>
  <c r="K1923" i="2"/>
  <c r="L1923" i="2" s="1"/>
  <c r="M1923" i="2" s="1"/>
  <c r="N1923" i="2" s="1"/>
  <c r="K1922" i="2"/>
  <c r="L1922" i="2" s="1"/>
  <c r="M1922" i="2" s="1"/>
  <c r="N1922" i="2" s="1"/>
  <c r="K1921" i="2"/>
  <c r="L1921" i="2" s="1"/>
  <c r="M1921" i="2" s="1"/>
  <c r="N1921" i="2" s="1"/>
  <c r="K1920" i="2"/>
  <c r="L1920" i="2" s="1"/>
  <c r="M1920" i="2" s="1"/>
  <c r="N1920" i="2" s="1"/>
  <c r="K1919" i="2"/>
  <c r="L1919" i="2" s="1"/>
  <c r="M1919" i="2" s="1"/>
  <c r="N1919" i="2" s="1"/>
  <c r="K1918" i="2"/>
  <c r="L1918" i="2" s="1"/>
  <c r="M1918" i="2" s="1"/>
  <c r="N1918" i="2" s="1"/>
  <c r="K1917" i="2"/>
  <c r="L1917" i="2" s="1"/>
  <c r="M1917" i="2" s="1"/>
  <c r="N1917" i="2" s="1"/>
  <c r="K1916" i="2"/>
  <c r="L1916" i="2" s="1"/>
  <c r="M1916" i="2" s="1"/>
  <c r="N1916" i="2" s="1"/>
  <c r="K1915" i="2"/>
  <c r="L1915" i="2" s="1"/>
  <c r="M1915" i="2" s="1"/>
  <c r="N1915" i="2" s="1"/>
  <c r="K1914" i="2"/>
  <c r="L1914" i="2" s="1"/>
  <c r="M1914" i="2" s="1"/>
  <c r="N1914" i="2" s="1"/>
  <c r="K1913" i="2"/>
  <c r="L1913" i="2" s="1"/>
  <c r="M1913" i="2" s="1"/>
  <c r="N1913" i="2" s="1"/>
  <c r="K1912" i="2"/>
  <c r="L1912" i="2" s="1"/>
  <c r="M1912" i="2" s="1"/>
  <c r="N1912" i="2" s="1"/>
  <c r="K1911" i="2"/>
  <c r="L1911" i="2" s="1"/>
  <c r="M1911" i="2" s="1"/>
  <c r="N1911" i="2" s="1"/>
  <c r="K1910" i="2"/>
  <c r="L1910" i="2" s="1"/>
  <c r="M1910" i="2" s="1"/>
  <c r="N1910" i="2" s="1"/>
  <c r="K1909" i="2"/>
  <c r="L1909" i="2" s="1"/>
  <c r="M1909" i="2" s="1"/>
  <c r="N1909" i="2" s="1"/>
  <c r="K1908" i="2"/>
  <c r="L1908" i="2" s="1"/>
  <c r="M1908" i="2" s="1"/>
  <c r="N1908" i="2" s="1"/>
  <c r="K1907" i="2"/>
  <c r="L1907" i="2" s="1"/>
  <c r="M1907" i="2" s="1"/>
  <c r="N1907" i="2" s="1"/>
  <c r="K1906" i="2"/>
  <c r="L1906" i="2" s="1"/>
  <c r="M1906" i="2" s="1"/>
  <c r="N1906" i="2" s="1"/>
  <c r="K1905" i="2"/>
  <c r="L1905" i="2" s="1"/>
  <c r="M1905" i="2" s="1"/>
  <c r="N1905" i="2" s="1"/>
  <c r="K1904" i="2"/>
  <c r="L1904" i="2" s="1"/>
  <c r="M1904" i="2" s="1"/>
  <c r="N1904" i="2" s="1"/>
  <c r="K1903" i="2"/>
  <c r="L1903" i="2" s="1"/>
  <c r="M1903" i="2" s="1"/>
  <c r="N1903" i="2" s="1"/>
  <c r="K1902" i="2"/>
  <c r="L1902" i="2" s="1"/>
  <c r="M1902" i="2" s="1"/>
  <c r="N1902" i="2" s="1"/>
  <c r="K1901" i="2"/>
  <c r="L1901" i="2" s="1"/>
  <c r="M1901" i="2" s="1"/>
  <c r="N1901" i="2" s="1"/>
  <c r="K1900" i="2"/>
  <c r="L1900" i="2" s="1"/>
  <c r="M1900" i="2" s="1"/>
  <c r="N1900" i="2" s="1"/>
  <c r="K1899" i="2"/>
  <c r="L1899" i="2" s="1"/>
  <c r="M1899" i="2" s="1"/>
  <c r="N1899" i="2" s="1"/>
  <c r="K1898" i="2"/>
  <c r="L1898" i="2" s="1"/>
  <c r="M1898" i="2" s="1"/>
  <c r="N1898" i="2" s="1"/>
  <c r="K1897" i="2"/>
  <c r="L1897" i="2" s="1"/>
  <c r="M1897" i="2" s="1"/>
  <c r="N1897" i="2" s="1"/>
  <c r="K1896" i="2"/>
  <c r="L1896" i="2" s="1"/>
  <c r="M1896" i="2" s="1"/>
  <c r="N1896" i="2" s="1"/>
  <c r="K1895" i="2"/>
  <c r="L1895" i="2" s="1"/>
  <c r="M1895" i="2" s="1"/>
  <c r="N1895" i="2" s="1"/>
  <c r="K1894" i="2"/>
  <c r="L1894" i="2" s="1"/>
  <c r="M1894" i="2" s="1"/>
  <c r="N1894" i="2" s="1"/>
  <c r="K1893" i="2"/>
  <c r="L1893" i="2" s="1"/>
  <c r="M1893" i="2" s="1"/>
  <c r="N1893" i="2" s="1"/>
  <c r="K1892" i="2"/>
  <c r="L1892" i="2" s="1"/>
  <c r="M1892" i="2" s="1"/>
  <c r="N1892" i="2" s="1"/>
  <c r="K1891" i="2"/>
  <c r="L1891" i="2" s="1"/>
  <c r="M1891" i="2" s="1"/>
  <c r="N1891" i="2" s="1"/>
  <c r="K1890" i="2"/>
  <c r="L1890" i="2" s="1"/>
  <c r="M1890" i="2" s="1"/>
  <c r="N1890" i="2" s="1"/>
  <c r="K1889" i="2"/>
  <c r="L1889" i="2" s="1"/>
  <c r="M1889" i="2" s="1"/>
  <c r="N1889" i="2" s="1"/>
  <c r="K1888" i="2"/>
  <c r="L1888" i="2" s="1"/>
  <c r="M1888" i="2" s="1"/>
  <c r="N1888" i="2" s="1"/>
  <c r="K1887" i="2"/>
  <c r="L1887" i="2" s="1"/>
  <c r="M1887" i="2" s="1"/>
  <c r="N1887" i="2" s="1"/>
  <c r="K1886" i="2"/>
  <c r="L1886" i="2" s="1"/>
  <c r="M1886" i="2" s="1"/>
  <c r="N1886" i="2" s="1"/>
  <c r="K1885" i="2"/>
  <c r="L1885" i="2" s="1"/>
  <c r="M1885" i="2" s="1"/>
  <c r="N1885" i="2" s="1"/>
  <c r="K1884" i="2"/>
  <c r="L1884" i="2" s="1"/>
  <c r="M1884" i="2" s="1"/>
  <c r="N1884" i="2" s="1"/>
  <c r="K1883" i="2"/>
  <c r="L1883" i="2" s="1"/>
  <c r="M1883" i="2" s="1"/>
  <c r="N1883" i="2" s="1"/>
  <c r="K1882" i="2"/>
  <c r="L1882" i="2" s="1"/>
  <c r="M1882" i="2" s="1"/>
  <c r="N1882" i="2" s="1"/>
  <c r="K1881" i="2"/>
  <c r="L1881" i="2" s="1"/>
  <c r="M1881" i="2" s="1"/>
  <c r="N1881" i="2" s="1"/>
  <c r="K1880" i="2"/>
  <c r="L1880" i="2" s="1"/>
  <c r="M1880" i="2" s="1"/>
  <c r="N1880" i="2" s="1"/>
  <c r="K1879" i="2"/>
  <c r="L1879" i="2" s="1"/>
  <c r="M1879" i="2" s="1"/>
  <c r="N1879" i="2" s="1"/>
  <c r="K1878" i="2"/>
  <c r="L1878" i="2" s="1"/>
  <c r="M1878" i="2" s="1"/>
  <c r="N1878" i="2" s="1"/>
  <c r="K1877" i="2"/>
  <c r="L1877" i="2" s="1"/>
  <c r="M1877" i="2" s="1"/>
  <c r="N1877" i="2" s="1"/>
  <c r="K1876" i="2"/>
  <c r="L1876" i="2" s="1"/>
  <c r="M1876" i="2" s="1"/>
  <c r="N1876" i="2" s="1"/>
  <c r="K1875" i="2"/>
  <c r="L1875" i="2" s="1"/>
  <c r="M1875" i="2" s="1"/>
  <c r="N1875" i="2" s="1"/>
  <c r="K1874" i="2"/>
  <c r="L1874" i="2" s="1"/>
  <c r="M1874" i="2" s="1"/>
  <c r="N1874" i="2" s="1"/>
  <c r="K1873" i="2"/>
  <c r="L1873" i="2" s="1"/>
  <c r="M1873" i="2" s="1"/>
  <c r="N1873" i="2" s="1"/>
  <c r="K1872" i="2"/>
  <c r="L1872" i="2" s="1"/>
  <c r="M1872" i="2" s="1"/>
  <c r="N1872" i="2" s="1"/>
  <c r="K1871" i="2"/>
  <c r="L1871" i="2" s="1"/>
  <c r="M1871" i="2" s="1"/>
  <c r="N1871" i="2" s="1"/>
  <c r="K1870" i="2"/>
  <c r="L1870" i="2" s="1"/>
  <c r="M1870" i="2" s="1"/>
  <c r="N1870" i="2" s="1"/>
  <c r="K1869" i="2"/>
  <c r="L1869" i="2" s="1"/>
  <c r="M1869" i="2" s="1"/>
  <c r="N1869" i="2" s="1"/>
  <c r="K1868" i="2"/>
  <c r="L1868" i="2" s="1"/>
  <c r="M1868" i="2" s="1"/>
  <c r="N1868" i="2" s="1"/>
  <c r="K1867" i="2"/>
  <c r="L1867" i="2" s="1"/>
  <c r="M1867" i="2" s="1"/>
  <c r="N1867" i="2" s="1"/>
  <c r="K1866" i="2"/>
  <c r="L1866" i="2" s="1"/>
  <c r="M1866" i="2" s="1"/>
  <c r="N1866" i="2" s="1"/>
  <c r="K1865" i="2"/>
  <c r="L1865" i="2" s="1"/>
  <c r="M1865" i="2" s="1"/>
  <c r="N1865" i="2" s="1"/>
  <c r="K1864" i="2"/>
  <c r="L1864" i="2" s="1"/>
  <c r="M1864" i="2" s="1"/>
  <c r="N1864" i="2" s="1"/>
  <c r="K1863" i="2"/>
  <c r="L1863" i="2" s="1"/>
  <c r="M1863" i="2" s="1"/>
  <c r="N1863" i="2" s="1"/>
  <c r="K1862" i="2"/>
  <c r="L1862" i="2" s="1"/>
  <c r="M1862" i="2" s="1"/>
  <c r="N1862" i="2" s="1"/>
  <c r="K1861" i="2"/>
  <c r="L1861" i="2" s="1"/>
  <c r="M1861" i="2" s="1"/>
  <c r="N1861" i="2" s="1"/>
  <c r="K1860" i="2"/>
  <c r="L1860" i="2" s="1"/>
  <c r="M1860" i="2" s="1"/>
  <c r="N1860" i="2" s="1"/>
  <c r="K1859" i="2"/>
  <c r="L1859" i="2" s="1"/>
  <c r="M1859" i="2" s="1"/>
  <c r="N1859" i="2" s="1"/>
  <c r="K1858" i="2"/>
  <c r="L1858" i="2" s="1"/>
  <c r="M1858" i="2" s="1"/>
  <c r="N1858" i="2" s="1"/>
  <c r="K1857" i="2"/>
  <c r="L1857" i="2" s="1"/>
  <c r="M1857" i="2" s="1"/>
  <c r="N1857" i="2" s="1"/>
  <c r="K1856" i="2"/>
  <c r="L1856" i="2" s="1"/>
  <c r="M1856" i="2" s="1"/>
  <c r="N1856" i="2" s="1"/>
  <c r="K1855" i="2"/>
  <c r="L1855" i="2" s="1"/>
  <c r="M1855" i="2" s="1"/>
  <c r="N1855" i="2" s="1"/>
  <c r="K1854" i="2"/>
  <c r="L1854" i="2" s="1"/>
  <c r="M1854" i="2" s="1"/>
  <c r="N1854" i="2" s="1"/>
  <c r="K1853" i="2"/>
  <c r="L1853" i="2" s="1"/>
  <c r="M1853" i="2" s="1"/>
  <c r="N1853" i="2" s="1"/>
  <c r="K1852" i="2"/>
  <c r="L1852" i="2" s="1"/>
  <c r="M1852" i="2" s="1"/>
  <c r="N1852" i="2" s="1"/>
  <c r="K1851" i="2"/>
  <c r="L1851" i="2" s="1"/>
  <c r="M1851" i="2" s="1"/>
  <c r="N1851" i="2" s="1"/>
  <c r="K1850" i="2"/>
  <c r="L1850" i="2" s="1"/>
  <c r="M1850" i="2" s="1"/>
  <c r="N1850" i="2" s="1"/>
  <c r="K1849" i="2"/>
  <c r="L1849" i="2" s="1"/>
  <c r="M1849" i="2" s="1"/>
  <c r="N1849" i="2" s="1"/>
  <c r="K1848" i="2"/>
  <c r="L1848" i="2" s="1"/>
  <c r="M1848" i="2" s="1"/>
  <c r="N1848" i="2" s="1"/>
  <c r="K1847" i="2"/>
  <c r="L1847" i="2" s="1"/>
  <c r="M1847" i="2" s="1"/>
  <c r="N1847" i="2" s="1"/>
  <c r="K1846" i="2"/>
  <c r="L1846" i="2" s="1"/>
  <c r="M1846" i="2" s="1"/>
  <c r="N1846" i="2" s="1"/>
  <c r="K1845" i="2"/>
  <c r="L1845" i="2" s="1"/>
  <c r="M1845" i="2" s="1"/>
  <c r="N1845" i="2" s="1"/>
  <c r="K1844" i="2"/>
  <c r="L1844" i="2" s="1"/>
  <c r="M1844" i="2" s="1"/>
  <c r="N1844" i="2" s="1"/>
  <c r="K1843" i="2"/>
  <c r="L1843" i="2" s="1"/>
  <c r="M1843" i="2" s="1"/>
  <c r="N1843" i="2" s="1"/>
  <c r="K1842" i="2"/>
  <c r="L1842" i="2" s="1"/>
  <c r="M1842" i="2" s="1"/>
  <c r="N1842" i="2" s="1"/>
  <c r="K1841" i="2"/>
  <c r="L1841" i="2" s="1"/>
  <c r="M1841" i="2" s="1"/>
  <c r="N1841" i="2" s="1"/>
  <c r="K1840" i="2"/>
  <c r="L1840" i="2" s="1"/>
  <c r="M1840" i="2" s="1"/>
  <c r="N1840" i="2" s="1"/>
  <c r="K1839" i="2"/>
  <c r="L1839" i="2" s="1"/>
  <c r="M1839" i="2" s="1"/>
  <c r="N1839" i="2" s="1"/>
  <c r="K1838" i="2"/>
  <c r="L1838" i="2" s="1"/>
  <c r="M1838" i="2" s="1"/>
  <c r="N1838" i="2" s="1"/>
  <c r="K1837" i="2"/>
  <c r="L1837" i="2" s="1"/>
  <c r="M1837" i="2" s="1"/>
  <c r="N1837" i="2" s="1"/>
  <c r="K1836" i="2"/>
  <c r="L1836" i="2" s="1"/>
  <c r="M1836" i="2" s="1"/>
  <c r="N1836" i="2" s="1"/>
  <c r="K1835" i="2"/>
  <c r="L1835" i="2" s="1"/>
  <c r="M1835" i="2" s="1"/>
  <c r="N1835" i="2" s="1"/>
  <c r="K1834" i="2"/>
  <c r="L1834" i="2" s="1"/>
  <c r="M1834" i="2" s="1"/>
  <c r="N1834" i="2" s="1"/>
  <c r="K1833" i="2"/>
  <c r="L1833" i="2" s="1"/>
  <c r="M1833" i="2" s="1"/>
  <c r="N1833" i="2" s="1"/>
  <c r="K1832" i="2"/>
  <c r="L1832" i="2" s="1"/>
  <c r="M1832" i="2" s="1"/>
  <c r="N1832" i="2" s="1"/>
  <c r="K1831" i="2"/>
  <c r="L1831" i="2" s="1"/>
  <c r="M1831" i="2" s="1"/>
  <c r="N1831" i="2" s="1"/>
  <c r="K1830" i="2"/>
  <c r="L1830" i="2" s="1"/>
  <c r="M1830" i="2" s="1"/>
  <c r="N1830" i="2" s="1"/>
  <c r="K1829" i="2"/>
  <c r="L1829" i="2" s="1"/>
  <c r="M1829" i="2" s="1"/>
  <c r="N1829" i="2" s="1"/>
  <c r="K1828" i="2"/>
  <c r="L1828" i="2" s="1"/>
  <c r="M1828" i="2" s="1"/>
  <c r="N1828" i="2" s="1"/>
  <c r="K1827" i="2"/>
  <c r="L1827" i="2" s="1"/>
  <c r="M1827" i="2" s="1"/>
  <c r="N1827" i="2" s="1"/>
  <c r="K1826" i="2"/>
  <c r="L1826" i="2" s="1"/>
  <c r="M1826" i="2" s="1"/>
  <c r="N1826" i="2" s="1"/>
  <c r="K1825" i="2"/>
  <c r="L1825" i="2" s="1"/>
  <c r="M1825" i="2" s="1"/>
  <c r="N1825" i="2" s="1"/>
  <c r="K1824" i="2"/>
  <c r="L1824" i="2" s="1"/>
  <c r="M1824" i="2" s="1"/>
  <c r="N1824" i="2" s="1"/>
  <c r="K1823" i="2"/>
  <c r="L1823" i="2" s="1"/>
  <c r="M1823" i="2" s="1"/>
  <c r="N1823" i="2" s="1"/>
  <c r="K1822" i="2"/>
  <c r="L1822" i="2" s="1"/>
  <c r="M1822" i="2" s="1"/>
  <c r="N1822" i="2" s="1"/>
  <c r="K1821" i="2"/>
  <c r="L1821" i="2" s="1"/>
  <c r="M1821" i="2" s="1"/>
  <c r="N1821" i="2" s="1"/>
  <c r="K1820" i="2"/>
  <c r="L1820" i="2" s="1"/>
  <c r="M1820" i="2" s="1"/>
  <c r="N1820" i="2" s="1"/>
  <c r="K1819" i="2"/>
  <c r="L1819" i="2" s="1"/>
  <c r="M1819" i="2" s="1"/>
  <c r="N1819" i="2" s="1"/>
  <c r="K1818" i="2"/>
  <c r="L1818" i="2" s="1"/>
  <c r="M1818" i="2" s="1"/>
  <c r="N1818" i="2" s="1"/>
  <c r="K1817" i="2"/>
  <c r="L1817" i="2" s="1"/>
  <c r="M1817" i="2" s="1"/>
  <c r="N1817" i="2" s="1"/>
  <c r="K1816" i="2"/>
  <c r="L1816" i="2" s="1"/>
  <c r="M1816" i="2" s="1"/>
  <c r="N1816" i="2" s="1"/>
  <c r="K1815" i="2"/>
  <c r="L1815" i="2" s="1"/>
  <c r="M1815" i="2" s="1"/>
  <c r="N1815" i="2" s="1"/>
  <c r="K1814" i="2"/>
  <c r="L1814" i="2" s="1"/>
  <c r="M1814" i="2" s="1"/>
  <c r="N1814" i="2" s="1"/>
  <c r="K1813" i="2"/>
  <c r="L1813" i="2" s="1"/>
  <c r="M1813" i="2" s="1"/>
  <c r="N1813" i="2" s="1"/>
  <c r="K1812" i="2"/>
  <c r="L1812" i="2" s="1"/>
  <c r="M1812" i="2" s="1"/>
  <c r="N1812" i="2" s="1"/>
  <c r="K1811" i="2"/>
  <c r="L1811" i="2" s="1"/>
  <c r="M1811" i="2" s="1"/>
  <c r="N1811" i="2" s="1"/>
  <c r="K1810" i="2"/>
  <c r="L1810" i="2" s="1"/>
  <c r="M1810" i="2" s="1"/>
  <c r="N1810" i="2" s="1"/>
  <c r="K1809" i="2"/>
  <c r="L1809" i="2" s="1"/>
  <c r="M1809" i="2" s="1"/>
  <c r="N1809" i="2" s="1"/>
  <c r="K1808" i="2"/>
  <c r="L1808" i="2" s="1"/>
  <c r="M1808" i="2" s="1"/>
  <c r="N1808" i="2" s="1"/>
  <c r="K1807" i="2"/>
  <c r="L1807" i="2" s="1"/>
  <c r="M1807" i="2" s="1"/>
  <c r="N1807" i="2" s="1"/>
  <c r="K1806" i="2"/>
  <c r="L1806" i="2" s="1"/>
  <c r="M1806" i="2" s="1"/>
  <c r="N1806" i="2" s="1"/>
  <c r="K1805" i="2"/>
  <c r="L1805" i="2" s="1"/>
  <c r="M1805" i="2" s="1"/>
  <c r="N1805" i="2" s="1"/>
  <c r="K1804" i="2"/>
  <c r="L1804" i="2" s="1"/>
  <c r="M1804" i="2" s="1"/>
  <c r="N1804" i="2" s="1"/>
  <c r="K1803" i="2"/>
  <c r="L1803" i="2" s="1"/>
  <c r="M1803" i="2" s="1"/>
  <c r="N1803" i="2" s="1"/>
  <c r="K1802" i="2"/>
  <c r="L1802" i="2" s="1"/>
  <c r="M1802" i="2" s="1"/>
  <c r="N1802" i="2" s="1"/>
  <c r="K1801" i="2"/>
  <c r="L1801" i="2" s="1"/>
  <c r="M1801" i="2" s="1"/>
  <c r="N1801" i="2" s="1"/>
  <c r="K1800" i="2"/>
  <c r="L1800" i="2" s="1"/>
  <c r="M1800" i="2" s="1"/>
  <c r="N1800" i="2" s="1"/>
  <c r="K1799" i="2"/>
  <c r="L1799" i="2" s="1"/>
  <c r="M1799" i="2" s="1"/>
  <c r="N1799" i="2" s="1"/>
  <c r="K1798" i="2"/>
  <c r="L1798" i="2" s="1"/>
  <c r="M1798" i="2" s="1"/>
  <c r="N1798" i="2" s="1"/>
  <c r="K1797" i="2"/>
  <c r="L1797" i="2" s="1"/>
  <c r="M1797" i="2" s="1"/>
  <c r="N1797" i="2" s="1"/>
  <c r="K1796" i="2"/>
  <c r="L1796" i="2" s="1"/>
  <c r="M1796" i="2" s="1"/>
  <c r="N1796" i="2" s="1"/>
  <c r="K1795" i="2"/>
  <c r="L1795" i="2" s="1"/>
  <c r="M1795" i="2" s="1"/>
  <c r="N1795" i="2" s="1"/>
  <c r="K1794" i="2"/>
  <c r="L1794" i="2" s="1"/>
  <c r="M1794" i="2" s="1"/>
  <c r="N1794" i="2" s="1"/>
  <c r="K1793" i="2"/>
  <c r="L1793" i="2" s="1"/>
  <c r="M1793" i="2" s="1"/>
  <c r="N1793" i="2" s="1"/>
  <c r="K1792" i="2"/>
  <c r="L1792" i="2" s="1"/>
  <c r="M1792" i="2" s="1"/>
  <c r="N1792" i="2" s="1"/>
  <c r="K1791" i="2"/>
  <c r="L1791" i="2" s="1"/>
  <c r="M1791" i="2" s="1"/>
  <c r="N1791" i="2" s="1"/>
  <c r="K1790" i="2"/>
  <c r="L1790" i="2" s="1"/>
  <c r="M1790" i="2" s="1"/>
  <c r="N1790" i="2" s="1"/>
  <c r="K1789" i="2"/>
  <c r="L1789" i="2" s="1"/>
  <c r="M1789" i="2" s="1"/>
  <c r="N1789" i="2" s="1"/>
  <c r="K1788" i="2"/>
  <c r="L1788" i="2" s="1"/>
  <c r="M1788" i="2" s="1"/>
  <c r="N1788" i="2" s="1"/>
  <c r="K1787" i="2"/>
  <c r="L1787" i="2" s="1"/>
  <c r="M1787" i="2" s="1"/>
  <c r="N1787" i="2" s="1"/>
  <c r="K1786" i="2"/>
  <c r="L1786" i="2" s="1"/>
  <c r="M1786" i="2" s="1"/>
  <c r="N1786" i="2" s="1"/>
  <c r="K1785" i="2"/>
  <c r="L1785" i="2" s="1"/>
  <c r="M1785" i="2" s="1"/>
  <c r="N1785" i="2" s="1"/>
  <c r="K1784" i="2"/>
  <c r="L1784" i="2" s="1"/>
  <c r="M1784" i="2" s="1"/>
  <c r="N1784" i="2" s="1"/>
  <c r="K1783" i="2"/>
  <c r="L1783" i="2" s="1"/>
  <c r="M1783" i="2" s="1"/>
  <c r="N1783" i="2" s="1"/>
  <c r="K1782" i="2"/>
  <c r="L1782" i="2" s="1"/>
  <c r="M1782" i="2" s="1"/>
  <c r="N1782" i="2" s="1"/>
  <c r="K1781" i="2"/>
  <c r="L1781" i="2" s="1"/>
  <c r="M1781" i="2" s="1"/>
  <c r="N1781" i="2" s="1"/>
  <c r="K1780" i="2"/>
  <c r="L1780" i="2" s="1"/>
  <c r="M1780" i="2" s="1"/>
  <c r="N1780" i="2" s="1"/>
  <c r="K1779" i="2"/>
  <c r="L1779" i="2" s="1"/>
  <c r="M1779" i="2" s="1"/>
  <c r="N1779" i="2" s="1"/>
  <c r="K1778" i="2"/>
  <c r="L1778" i="2" s="1"/>
  <c r="M1778" i="2" s="1"/>
  <c r="N1778" i="2" s="1"/>
  <c r="K1777" i="2"/>
  <c r="L1777" i="2" s="1"/>
  <c r="M1777" i="2" s="1"/>
  <c r="N1777" i="2" s="1"/>
  <c r="K1776" i="2"/>
  <c r="L1776" i="2" s="1"/>
  <c r="M1776" i="2" s="1"/>
  <c r="N1776" i="2" s="1"/>
  <c r="K1775" i="2"/>
  <c r="L1775" i="2" s="1"/>
  <c r="M1775" i="2" s="1"/>
  <c r="N1775" i="2" s="1"/>
  <c r="K1774" i="2"/>
  <c r="L1774" i="2" s="1"/>
  <c r="M1774" i="2" s="1"/>
  <c r="N1774" i="2" s="1"/>
  <c r="K1773" i="2"/>
  <c r="L1773" i="2" s="1"/>
  <c r="M1773" i="2" s="1"/>
  <c r="N1773" i="2" s="1"/>
  <c r="K1772" i="2"/>
  <c r="L1772" i="2" s="1"/>
  <c r="M1772" i="2" s="1"/>
  <c r="N1772" i="2" s="1"/>
  <c r="K1771" i="2"/>
  <c r="L1771" i="2" s="1"/>
  <c r="M1771" i="2" s="1"/>
  <c r="N1771" i="2" s="1"/>
  <c r="K1770" i="2"/>
  <c r="L1770" i="2" s="1"/>
  <c r="M1770" i="2" s="1"/>
  <c r="N1770" i="2" s="1"/>
  <c r="K1769" i="2"/>
  <c r="L1769" i="2" s="1"/>
  <c r="M1769" i="2" s="1"/>
  <c r="N1769" i="2" s="1"/>
  <c r="K1768" i="2"/>
  <c r="L1768" i="2" s="1"/>
  <c r="M1768" i="2" s="1"/>
  <c r="N1768" i="2" s="1"/>
  <c r="K1767" i="2"/>
  <c r="L1767" i="2" s="1"/>
  <c r="M1767" i="2" s="1"/>
  <c r="N1767" i="2" s="1"/>
  <c r="K1766" i="2"/>
  <c r="L1766" i="2" s="1"/>
  <c r="M1766" i="2" s="1"/>
  <c r="N1766" i="2" s="1"/>
  <c r="K1765" i="2"/>
  <c r="L1765" i="2" s="1"/>
  <c r="M1765" i="2" s="1"/>
  <c r="N1765" i="2" s="1"/>
  <c r="K1764" i="2"/>
  <c r="L1764" i="2" s="1"/>
  <c r="M1764" i="2" s="1"/>
  <c r="N1764" i="2" s="1"/>
  <c r="K1763" i="2"/>
  <c r="L1763" i="2" s="1"/>
  <c r="M1763" i="2" s="1"/>
  <c r="N1763" i="2" s="1"/>
  <c r="K1762" i="2"/>
  <c r="L1762" i="2" s="1"/>
  <c r="M1762" i="2" s="1"/>
  <c r="N1762" i="2" s="1"/>
  <c r="K1761" i="2"/>
  <c r="L1761" i="2" s="1"/>
  <c r="M1761" i="2" s="1"/>
  <c r="N1761" i="2" s="1"/>
  <c r="K1760" i="2"/>
  <c r="L1760" i="2" s="1"/>
  <c r="M1760" i="2" s="1"/>
  <c r="N1760" i="2" s="1"/>
  <c r="K1759" i="2"/>
  <c r="L1759" i="2" s="1"/>
  <c r="M1759" i="2" s="1"/>
  <c r="N1759" i="2" s="1"/>
  <c r="K1758" i="2"/>
  <c r="L1758" i="2" s="1"/>
  <c r="M1758" i="2" s="1"/>
  <c r="N1758" i="2" s="1"/>
  <c r="K1757" i="2"/>
  <c r="L1757" i="2" s="1"/>
  <c r="M1757" i="2" s="1"/>
  <c r="N1757" i="2" s="1"/>
  <c r="K1756" i="2"/>
  <c r="L1756" i="2" s="1"/>
  <c r="M1756" i="2" s="1"/>
  <c r="N1756" i="2" s="1"/>
  <c r="K1755" i="2"/>
  <c r="L1755" i="2" s="1"/>
  <c r="M1755" i="2" s="1"/>
  <c r="N1755" i="2" s="1"/>
  <c r="K1754" i="2"/>
  <c r="L1754" i="2" s="1"/>
  <c r="M1754" i="2" s="1"/>
  <c r="N1754" i="2" s="1"/>
  <c r="K1753" i="2"/>
  <c r="L1753" i="2" s="1"/>
  <c r="M1753" i="2" s="1"/>
  <c r="N1753" i="2" s="1"/>
  <c r="K1752" i="2"/>
  <c r="L1752" i="2" s="1"/>
  <c r="M1752" i="2" s="1"/>
  <c r="N1752" i="2" s="1"/>
  <c r="K1751" i="2"/>
  <c r="L1751" i="2" s="1"/>
  <c r="M1751" i="2" s="1"/>
  <c r="N1751" i="2" s="1"/>
  <c r="K1750" i="2"/>
  <c r="L1750" i="2" s="1"/>
  <c r="M1750" i="2" s="1"/>
  <c r="N1750" i="2" s="1"/>
  <c r="K1749" i="2"/>
  <c r="L1749" i="2" s="1"/>
  <c r="M1749" i="2" s="1"/>
  <c r="N1749" i="2" s="1"/>
  <c r="K1748" i="2"/>
  <c r="L1748" i="2" s="1"/>
  <c r="M1748" i="2" s="1"/>
  <c r="N1748" i="2" s="1"/>
  <c r="K1747" i="2"/>
  <c r="L1747" i="2" s="1"/>
  <c r="M1747" i="2" s="1"/>
  <c r="N1747" i="2" s="1"/>
  <c r="K1746" i="2"/>
  <c r="L1746" i="2" s="1"/>
  <c r="M1746" i="2" s="1"/>
  <c r="N1746" i="2" s="1"/>
  <c r="K1745" i="2"/>
  <c r="L1745" i="2" s="1"/>
  <c r="M1745" i="2" s="1"/>
  <c r="N1745" i="2" s="1"/>
  <c r="K1744" i="2"/>
  <c r="L1744" i="2" s="1"/>
  <c r="M1744" i="2" s="1"/>
  <c r="N1744" i="2" s="1"/>
  <c r="K1743" i="2"/>
  <c r="L1743" i="2" s="1"/>
  <c r="M1743" i="2" s="1"/>
  <c r="N1743" i="2" s="1"/>
  <c r="K1742" i="2"/>
  <c r="L1742" i="2" s="1"/>
  <c r="M1742" i="2" s="1"/>
  <c r="N1742" i="2" s="1"/>
  <c r="K1741" i="2"/>
  <c r="L1741" i="2" s="1"/>
  <c r="M1741" i="2" s="1"/>
  <c r="N1741" i="2" s="1"/>
  <c r="K1740" i="2"/>
  <c r="L1740" i="2" s="1"/>
  <c r="M1740" i="2" s="1"/>
  <c r="N1740" i="2" s="1"/>
  <c r="K1739" i="2"/>
  <c r="L1739" i="2" s="1"/>
  <c r="M1739" i="2" s="1"/>
  <c r="N1739" i="2" s="1"/>
  <c r="K1738" i="2"/>
  <c r="L1738" i="2" s="1"/>
  <c r="M1738" i="2" s="1"/>
  <c r="N1738" i="2" s="1"/>
  <c r="K1737" i="2"/>
  <c r="L1737" i="2" s="1"/>
  <c r="M1737" i="2" s="1"/>
  <c r="N1737" i="2" s="1"/>
  <c r="K1736" i="2"/>
  <c r="L1736" i="2" s="1"/>
  <c r="M1736" i="2" s="1"/>
  <c r="N1736" i="2" s="1"/>
  <c r="K1735" i="2"/>
  <c r="L1735" i="2" s="1"/>
  <c r="M1735" i="2" s="1"/>
  <c r="N1735" i="2" s="1"/>
  <c r="K1734" i="2"/>
  <c r="L1734" i="2" s="1"/>
  <c r="M1734" i="2" s="1"/>
  <c r="N1734" i="2" s="1"/>
  <c r="K1733" i="2"/>
  <c r="L1733" i="2" s="1"/>
  <c r="M1733" i="2" s="1"/>
  <c r="N1733" i="2" s="1"/>
  <c r="K1732" i="2"/>
  <c r="L1732" i="2" s="1"/>
  <c r="M1732" i="2" s="1"/>
  <c r="N1732" i="2" s="1"/>
  <c r="K1731" i="2"/>
  <c r="L1731" i="2" s="1"/>
  <c r="M1731" i="2" s="1"/>
  <c r="N1731" i="2" s="1"/>
  <c r="K1730" i="2"/>
  <c r="L1730" i="2" s="1"/>
  <c r="M1730" i="2" s="1"/>
  <c r="N1730" i="2" s="1"/>
  <c r="K1729" i="2"/>
  <c r="L1729" i="2" s="1"/>
  <c r="M1729" i="2" s="1"/>
  <c r="N1729" i="2" s="1"/>
  <c r="K1728" i="2"/>
  <c r="L1728" i="2" s="1"/>
  <c r="M1728" i="2" s="1"/>
  <c r="N1728" i="2" s="1"/>
  <c r="K1727" i="2"/>
  <c r="L1727" i="2" s="1"/>
  <c r="M1727" i="2" s="1"/>
  <c r="N1727" i="2" s="1"/>
  <c r="K1726" i="2"/>
  <c r="L1726" i="2" s="1"/>
  <c r="M1726" i="2" s="1"/>
  <c r="N1726" i="2" s="1"/>
  <c r="K1725" i="2"/>
  <c r="L1725" i="2" s="1"/>
  <c r="M1725" i="2" s="1"/>
  <c r="N1725" i="2" s="1"/>
  <c r="K1724" i="2"/>
  <c r="L1724" i="2" s="1"/>
  <c r="M1724" i="2" s="1"/>
  <c r="N1724" i="2" s="1"/>
  <c r="K1723" i="2"/>
  <c r="L1723" i="2" s="1"/>
  <c r="M1723" i="2" s="1"/>
  <c r="N1723" i="2" s="1"/>
  <c r="K1722" i="2"/>
  <c r="L1722" i="2" s="1"/>
  <c r="M1722" i="2" s="1"/>
  <c r="N1722" i="2" s="1"/>
  <c r="K1721" i="2"/>
  <c r="L1721" i="2" s="1"/>
  <c r="M1721" i="2" s="1"/>
  <c r="N1721" i="2" s="1"/>
  <c r="K1720" i="2"/>
  <c r="L1720" i="2" s="1"/>
  <c r="M1720" i="2" s="1"/>
  <c r="N1720" i="2" s="1"/>
  <c r="K1719" i="2"/>
  <c r="L1719" i="2" s="1"/>
  <c r="M1719" i="2" s="1"/>
  <c r="N1719" i="2" s="1"/>
  <c r="K1718" i="2"/>
  <c r="L1718" i="2" s="1"/>
  <c r="M1718" i="2" s="1"/>
  <c r="N1718" i="2" s="1"/>
  <c r="K1717" i="2"/>
  <c r="L1717" i="2" s="1"/>
  <c r="M1717" i="2" s="1"/>
  <c r="N1717" i="2" s="1"/>
  <c r="K1716" i="2"/>
  <c r="L1716" i="2" s="1"/>
  <c r="M1716" i="2" s="1"/>
  <c r="N1716" i="2" s="1"/>
  <c r="K1715" i="2"/>
  <c r="L1715" i="2" s="1"/>
  <c r="M1715" i="2" s="1"/>
  <c r="N1715" i="2" s="1"/>
  <c r="K1714" i="2"/>
  <c r="L1714" i="2" s="1"/>
  <c r="M1714" i="2" s="1"/>
  <c r="N1714" i="2" s="1"/>
  <c r="K1713" i="2"/>
  <c r="L1713" i="2" s="1"/>
  <c r="M1713" i="2" s="1"/>
  <c r="N1713" i="2" s="1"/>
  <c r="K1712" i="2"/>
  <c r="L1712" i="2" s="1"/>
  <c r="M1712" i="2" s="1"/>
  <c r="N1712" i="2" s="1"/>
  <c r="K1711" i="2"/>
  <c r="L1711" i="2" s="1"/>
  <c r="M1711" i="2" s="1"/>
  <c r="N1711" i="2" s="1"/>
  <c r="K1710" i="2"/>
  <c r="L1710" i="2" s="1"/>
  <c r="M1710" i="2" s="1"/>
  <c r="N1710" i="2" s="1"/>
  <c r="K1709" i="2"/>
  <c r="L1709" i="2" s="1"/>
  <c r="M1709" i="2" s="1"/>
  <c r="N1709" i="2" s="1"/>
  <c r="K1708" i="2"/>
  <c r="L1708" i="2" s="1"/>
  <c r="M1708" i="2" s="1"/>
  <c r="N1708" i="2" s="1"/>
  <c r="K1707" i="2"/>
  <c r="L1707" i="2" s="1"/>
  <c r="M1707" i="2" s="1"/>
  <c r="N1707" i="2" s="1"/>
  <c r="K1706" i="2"/>
  <c r="L1706" i="2" s="1"/>
  <c r="M1706" i="2" s="1"/>
  <c r="N1706" i="2" s="1"/>
  <c r="K1705" i="2"/>
  <c r="L1705" i="2" s="1"/>
  <c r="M1705" i="2" s="1"/>
  <c r="N1705" i="2" s="1"/>
  <c r="K1704" i="2"/>
  <c r="L1704" i="2" s="1"/>
  <c r="M1704" i="2" s="1"/>
  <c r="N1704" i="2" s="1"/>
  <c r="K1703" i="2"/>
  <c r="L1703" i="2" s="1"/>
  <c r="M1703" i="2" s="1"/>
  <c r="N1703" i="2" s="1"/>
  <c r="K1702" i="2"/>
  <c r="L1702" i="2" s="1"/>
  <c r="M1702" i="2" s="1"/>
  <c r="N1702" i="2" s="1"/>
  <c r="K1701" i="2"/>
  <c r="L1701" i="2" s="1"/>
  <c r="M1701" i="2" s="1"/>
  <c r="N1701" i="2" s="1"/>
  <c r="K1700" i="2"/>
  <c r="L1700" i="2" s="1"/>
  <c r="M1700" i="2" s="1"/>
  <c r="N1700" i="2" s="1"/>
  <c r="K1699" i="2"/>
  <c r="L1699" i="2" s="1"/>
  <c r="M1699" i="2" s="1"/>
  <c r="N1699" i="2" s="1"/>
  <c r="K1698" i="2"/>
  <c r="L1698" i="2" s="1"/>
  <c r="M1698" i="2" s="1"/>
  <c r="N1698" i="2" s="1"/>
  <c r="K1697" i="2"/>
  <c r="L1697" i="2" s="1"/>
  <c r="M1697" i="2" s="1"/>
  <c r="N1697" i="2" s="1"/>
  <c r="K1696" i="2"/>
  <c r="L1696" i="2" s="1"/>
  <c r="M1696" i="2" s="1"/>
  <c r="N1696" i="2" s="1"/>
  <c r="K1695" i="2"/>
  <c r="L1695" i="2" s="1"/>
  <c r="M1695" i="2" s="1"/>
  <c r="N1695" i="2" s="1"/>
  <c r="K1694" i="2"/>
  <c r="L1694" i="2" s="1"/>
  <c r="M1694" i="2" s="1"/>
  <c r="N1694" i="2" s="1"/>
  <c r="K1693" i="2"/>
  <c r="L1693" i="2" s="1"/>
  <c r="M1693" i="2" s="1"/>
  <c r="N1693" i="2" s="1"/>
  <c r="K1692" i="2"/>
  <c r="L1692" i="2" s="1"/>
  <c r="M1692" i="2" s="1"/>
  <c r="N1692" i="2" s="1"/>
  <c r="K1691" i="2"/>
  <c r="L1691" i="2" s="1"/>
  <c r="M1691" i="2" s="1"/>
  <c r="N1691" i="2" s="1"/>
  <c r="K1690" i="2"/>
  <c r="L1690" i="2" s="1"/>
  <c r="M1690" i="2" s="1"/>
  <c r="N1690" i="2" s="1"/>
  <c r="K1689" i="2"/>
  <c r="L1689" i="2" s="1"/>
  <c r="M1689" i="2" s="1"/>
  <c r="N1689" i="2" s="1"/>
  <c r="K1688" i="2"/>
  <c r="L1688" i="2" s="1"/>
  <c r="M1688" i="2" s="1"/>
  <c r="N1688" i="2" s="1"/>
  <c r="K1687" i="2"/>
  <c r="L1687" i="2" s="1"/>
  <c r="M1687" i="2" s="1"/>
  <c r="N1687" i="2" s="1"/>
  <c r="K1686" i="2"/>
  <c r="L1686" i="2" s="1"/>
  <c r="M1686" i="2" s="1"/>
  <c r="N1686" i="2" s="1"/>
  <c r="K1685" i="2"/>
  <c r="L1685" i="2" s="1"/>
  <c r="M1685" i="2" s="1"/>
  <c r="N1685" i="2" s="1"/>
  <c r="K1684" i="2"/>
  <c r="L1684" i="2" s="1"/>
  <c r="M1684" i="2" s="1"/>
  <c r="N1684" i="2" s="1"/>
  <c r="K1683" i="2"/>
  <c r="L1683" i="2" s="1"/>
  <c r="M1683" i="2" s="1"/>
  <c r="N1683" i="2" s="1"/>
  <c r="K1682" i="2"/>
  <c r="L1682" i="2" s="1"/>
  <c r="M1682" i="2" s="1"/>
  <c r="N1682" i="2" s="1"/>
  <c r="K1681" i="2"/>
  <c r="L1681" i="2" s="1"/>
  <c r="M1681" i="2" s="1"/>
  <c r="N1681" i="2" s="1"/>
  <c r="K1680" i="2"/>
  <c r="L1680" i="2" s="1"/>
  <c r="M1680" i="2" s="1"/>
  <c r="N1680" i="2" s="1"/>
  <c r="K1679" i="2"/>
  <c r="L1679" i="2" s="1"/>
  <c r="M1679" i="2" s="1"/>
  <c r="N1679" i="2" s="1"/>
  <c r="K1678" i="2"/>
  <c r="L1678" i="2" s="1"/>
  <c r="M1678" i="2" s="1"/>
  <c r="N1678" i="2" s="1"/>
  <c r="K1677" i="2"/>
  <c r="L1677" i="2" s="1"/>
  <c r="M1677" i="2" s="1"/>
  <c r="N1677" i="2" s="1"/>
  <c r="K1676" i="2"/>
  <c r="L1676" i="2" s="1"/>
  <c r="M1676" i="2" s="1"/>
  <c r="N1676" i="2" s="1"/>
  <c r="K1675" i="2"/>
  <c r="L1675" i="2" s="1"/>
  <c r="M1675" i="2" s="1"/>
  <c r="N1675" i="2" s="1"/>
  <c r="K1674" i="2"/>
  <c r="L1674" i="2" s="1"/>
  <c r="M1674" i="2" s="1"/>
  <c r="N1674" i="2" s="1"/>
  <c r="K1673" i="2"/>
  <c r="L1673" i="2" s="1"/>
  <c r="M1673" i="2" s="1"/>
  <c r="N1673" i="2" s="1"/>
  <c r="K1672" i="2"/>
  <c r="L1672" i="2" s="1"/>
  <c r="M1672" i="2" s="1"/>
  <c r="N1672" i="2" s="1"/>
  <c r="K1671" i="2"/>
  <c r="L1671" i="2" s="1"/>
  <c r="M1671" i="2" s="1"/>
  <c r="N1671" i="2" s="1"/>
  <c r="K1670" i="2"/>
  <c r="L1670" i="2" s="1"/>
  <c r="M1670" i="2" s="1"/>
  <c r="N1670" i="2" s="1"/>
  <c r="K1669" i="2"/>
  <c r="L1669" i="2" s="1"/>
  <c r="M1669" i="2" s="1"/>
  <c r="N1669" i="2" s="1"/>
  <c r="K1668" i="2"/>
  <c r="L1668" i="2" s="1"/>
  <c r="M1668" i="2" s="1"/>
  <c r="N1668" i="2" s="1"/>
  <c r="K1667" i="2"/>
  <c r="L1667" i="2" s="1"/>
  <c r="M1667" i="2" s="1"/>
  <c r="N1667" i="2" s="1"/>
  <c r="K1666" i="2"/>
  <c r="L1666" i="2" s="1"/>
  <c r="M1666" i="2" s="1"/>
  <c r="N1666" i="2" s="1"/>
  <c r="K1665" i="2"/>
  <c r="L1665" i="2" s="1"/>
  <c r="M1665" i="2" s="1"/>
  <c r="N1665" i="2" s="1"/>
  <c r="K1664" i="2"/>
  <c r="L1664" i="2" s="1"/>
  <c r="M1664" i="2" s="1"/>
  <c r="N1664" i="2" s="1"/>
  <c r="K1663" i="2"/>
  <c r="L1663" i="2" s="1"/>
  <c r="M1663" i="2" s="1"/>
  <c r="N1663" i="2" s="1"/>
  <c r="K1662" i="2"/>
  <c r="L1662" i="2" s="1"/>
  <c r="M1662" i="2" s="1"/>
  <c r="N1662" i="2" s="1"/>
  <c r="K1661" i="2"/>
  <c r="L1661" i="2" s="1"/>
  <c r="M1661" i="2" s="1"/>
  <c r="N1661" i="2" s="1"/>
  <c r="K1660" i="2"/>
  <c r="L1660" i="2" s="1"/>
  <c r="M1660" i="2" s="1"/>
  <c r="N1660" i="2" s="1"/>
  <c r="K1659" i="2"/>
  <c r="L1659" i="2" s="1"/>
  <c r="M1659" i="2" s="1"/>
  <c r="N1659" i="2" s="1"/>
  <c r="K1658" i="2"/>
  <c r="L1658" i="2" s="1"/>
  <c r="M1658" i="2" s="1"/>
  <c r="N1658" i="2" s="1"/>
  <c r="K1657" i="2"/>
  <c r="L1657" i="2" s="1"/>
  <c r="M1657" i="2" s="1"/>
  <c r="N1657" i="2" s="1"/>
  <c r="K1656" i="2"/>
  <c r="L1656" i="2" s="1"/>
  <c r="M1656" i="2" s="1"/>
  <c r="N1656" i="2" s="1"/>
  <c r="K1655" i="2"/>
  <c r="L1655" i="2" s="1"/>
  <c r="M1655" i="2" s="1"/>
  <c r="N1655" i="2" s="1"/>
  <c r="K1654" i="2"/>
  <c r="L1654" i="2" s="1"/>
  <c r="M1654" i="2" s="1"/>
  <c r="N1654" i="2" s="1"/>
  <c r="K1653" i="2"/>
  <c r="L1653" i="2" s="1"/>
  <c r="M1653" i="2" s="1"/>
  <c r="N1653" i="2" s="1"/>
  <c r="K1652" i="2"/>
  <c r="L1652" i="2" s="1"/>
  <c r="M1652" i="2" s="1"/>
  <c r="N1652" i="2" s="1"/>
  <c r="K1651" i="2"/>
  <c r="L1651" i="2" s="1"/>
  <c r="M1651" i="2" s="1"/>
  <c r="N1651" i="2" s="1"/>
  <c r="K1650" i="2"/>
  <c r="L1650" i="2" s="1"/>
  <c r="M1650" i="2" s="1"/>
  <c r="N1650" i="2" s="1"/>
  <c r="K1649" i="2"/>
  <c r="L1649" i="2" s="1"/>
  <c r="M1649" i="2" s="1"/>
  <c r="N1649" i="2" s="1"/>
  <c r="K1648" i="2"/>
  <c r="L1648" i="2" s="1"/>
  <c r="M1648" i="2" s="1"/>
  <c r="N1648" i="2" s="1"/>
  <c r="K1647" i="2"/>
  <c r="L1647" i="2" s="1"/>
  <c r="M1647" i="2" s="1"/>
  <c r="N1647" i="2" s="1"/>
  <c r="K1646" i="2"/>
  <c r="L1646" i="2" s="1"/>
  <c r="M1646" i="2" s="1"/>
  <c r="N1646" i="2" s="1"/>
  <c r="K1645" i="2"/>
  <c r="L1645" i="2" s="1"/>
  <c r="M1645" i="2" s="1"/>
  <c r="N1645" i="2" s="1"/>
  <c r="K1644" i="2"/>
  <c r="L1644" i="2" s="1"/>
  <c r="M1644" i="2" s="1"/>
  <c r="N1644" i="2" s="1"/>
  <c r="K1643" i="2"/>
  <c r="L1643" i="2" s="1"/>
  <c r="M1643" i="2" s="1"/>
  <c r="N1643" i="2" s="1"/>
  <c r="K1642" i="2"/>
  <c r="L1642" i="2" s="1"/>
  <c r="M1642" i="2" s="1"/>
  <c r="N1642" i="2" s="1"/>
  <c r="K1641" i="2"/>
  <c r="L1641" i="2" s="1"/>
  <c r="M1641" i="2" s="1"/>
  <c r="N1641" i="2" s="1"/>
  <c r="K1640" i="2"/>
  <c r="L1640" i="2" s="1"/>
  <c r="M1640" i="2" s="1"/>
  <c r="N1640" i="2" s="1"/>
  <c r="K1639" i="2"/>
  <c r="L1639" i="2" s="1"/>
  <c r="M1639" i="2" s="1"/>
  <c r="N1639" i="2" s="1"/>
  <c r="K1638" i="2"/>
  <c r="L1638" i="2" s="1"/>
  <c r="M1638" i="2" s="1"/>
  <c r="N1638" i="2" s="1"/>
  <c r="K1637" i="2"/>
  <c r="L1637" i="2" s="1"/>
  <c r="M1637" i="2" s="1"/>
  <c r="N1637" i="2" s="1"/>
  <c r="K1636" i="2"/>
  <c r="L1636" i="2" s="1"/>
  <c r="M1636" i="2" s="1"/>
  <c r="N1636" i="2" s="1"/>
  <c r="K1635" i="2"/>
  <c r="L1635" i="2" s="1"/>
  <c r="M1635" i="2" s="1"/>
  <c r="N1635" i="2" s="1"/>
  <c r="K1634" i="2"/>
  <c r="L1634" i="2" s="1"/>
  <c r="M1634" i="2" s="1"/>
  <c r="N1634" i="2" s="1"/>
  <c r="K1633" i="2"/>
  <c r="L1633" i="2" s="1"/>
  <c r="M1633" i="2" s="1"/>
  <c r="N1633" i="2" s="1"/>
  <c r="K1632" i="2"/>
  <c r="L1632" i="2" s="1"/>
  <c r="M1632" i="2" s="1"/>
  <c r="N1632" i="2" s="1"/>
  <c r="K1631" i="2"/>
  <c r="L1631" i="2" s="1"/>
  <c r="M1631" i="2" s="1"/>
  <c r="N1631" i="2" s="1"/>
  <c r="K1630" i="2"/>
  <c r="L1630" i="2" s="1"/>
  <c r="M1630" i="2" s="1"/>
  <c r="N1630" i="2" s="1"/>
  <c r="K1629" i="2"/>
  <c r="L1629" i="2" s="1"/>
  <c r="M1629" i="2" s="1"/>
  <c r="N1629" i="2" s="1"/>
  <c r="K1628" i="2"/>
  <c r="L1628" i="2" s="1"/>
  <c r="M1628" i="2" s="1"/>
  <c r="N1628" i="2" s="1"/>
  <c r="K1627" i="2"/>
  <c r="L1627" i="2" s="1"/>
  <c r="M1627" i="2" s="1"/>
  <c r="N1627" i="2" s="1"/>
  <c r="K1626" i="2"/>
  <c r="L1626" i="2" s="1"/>
  <c r="M1626" i="2" s="1"/>
  <c r="N1626" i="2" s="1"/>
  <c r="K1625" i="2"/>
  <c r="L1625" i="2" s="1"/>
  <c r="M1625" i="2" s="1"/>
  <c r="N1625" i="2" s="1"/>
  <c r="K1624" i="2"/>
  <c r="L1624" i="2" s="1"/>
  <c r="M1624" i="2" s="1"/>
  <c r="N1624" i="2" s="1"/>
  <c r="K1623" i="2"/>
  <c r="L1623" i="2" s="1"/>
  <c r="M1623" i="2" s="1"/>
  <c r="N1623" i="2" s="1"/>
  <c r="K1622" i="2"/>
  <c r="L1622" i="2" s="1"/>
  <c r="M1622" i="2" s="1"/>
  <c r="N1622" i="2" s="1"/>
  <c r="K1621" i="2"/>
  <c r="L1621" i="2" s="1"/>
  <c r="M1621" i="2" s="1"/>
  <c r="N1621" i="2" s="1"/>
  <c r="K1620" i="2"/>
  <c r="L1620" i="2" s="1"/>
  <c r="M1620" i="2" s="1"/>
  <c r="N1620" i="2" s="1"/>
  <c r="K1619" i="2"/>
  <c r="L1619" i="2" s="1"/>
  <c r="M1619" i="2" s="1"/>
  <c r="N1619" i="2" s="1"/>
  <c r="K1618" i="2"/>
  <c r="L1618" i="2" s="1"/>
  <c r="M1618" i="2" s="1"/>
  <c r="N1618" i="2" s="1"/>
  <c r="K1617" i="2"/>
  <c r="L1617" i="2" s="1"/>
  <c r="M1617" i="2" s="1"/>
  <c r="N1617" i="2" s="1"/>
  <c r="K1616" i="2"/>
  <c r="L1616" i="2" s="1"/>
  <c r="M1616" i="2" s="1"/>
  <c r="N1616" i="2" s="1"/>
  <c r="K1615" i="2"/>
  <c r="L1615" i="2" s="1"/>
  <c r="M1615" i="2" s="1"/>
  <c r="N1615" i="2" s="1"/>
  <c r="K1614" i="2"/>
  <c r="L1614" i="2" s="1"/>
  <c r="M1614" i="2" s="1"/>
  <c r="N1614" i="2" s="1"/>
  <c r="K1613" i="2"/>
  <c r="L1613" i="2" s="1"/>
  <c r="M1613" i="2" s="1"/>
  <c r="N1613" i="2" s="1"/>
  <c r="K1612" i="2"/>
  <c r="L1612" i="2" s="1"/>
  <c r="M1612" i="2" s="1"/>
  <c r="N1612" i="2" s="1"/>
  <c r="K1611" i="2"/>
  <c r="L1611" i="2" s="1"/>
  <c r="M1611" i="2" s="1"/>
  <c r="N1611" i="2" s="1"/>
  <c r="K1610" i="2"/>
  <c r="L1610" i="2" s="1"/>
  <c r="M1610" i="2" s="1"/>
  <c r="N1610" i="2" s="1"/>
  <c r="K1609" i="2"/>
  <c r="L1609" i="2" s="1"/>
  <c r="M1609" i="2" s="1"/>
  <c r="N1609" i="2" s="1"/>
  <c r="K1608" i="2"/>
  <c r="L1608" i="2" s="1"/>
  <c r="M1608" i="2" s="1"/>
  <c r="N1608" i="2" s="1"/>
  <c r="K1607" i="2"/>
  <c r="L1607" i="2" s="1"/>
  <c r="M1607" i="2" s="1"/>
  <c r="N1607" i="2" s="1"/>
  <c r="K1606" i="2"/>
  <c r="L1606" i="2" s="1"/>
  <c r="M1606" i="2" s="1"/>
  <c r="N1606" i="2" s="1"/>
  <c r="K1605" i="2"/>
  <c r="L1605" i="2" s="1"/>
  <c r="M1605" i="2" s="1"/>
  <c r="N1605" i="2" s="1"/>
  <c r="K1604" i="2"/>
  <c r="L1604" i="2" s="1"/>
  <c r="M1604" i="2" s="1"/>
  <c r="N1604" i="2" s="1"/>
  <c r="K1603" i="2"/>
  <c r="L1603" i="2" s="1"/>
  <c r="M1603" i="2" s="1"/>
  <c r="N1603" i="2" s="1"/>
  <c r="K1602" i="2"/>
  <c r="L1602" i="2" s="1"/>
  <c r="M1602" i="2" s="1"/>
  <c r="N1602" i="2" s="1"/>
  <c r="K1601" i="2"/>
  <c r="L1601" i="2" s="1"/>
  <c r="M1601" i="2" s="1"/>
  <c r="N1601" i="2" s="1"/>
  <c r="K1600" i="2"/>
  <c r="L1600" i="2" s="1"/>
  <c r="M1600" i="2" s="1"/>
  <c r="N1600" i="2" s="1"/>
  <c r="K1599" i="2"/>
  <c r="L1599" i="2" s="1"/>
  <c r="M1599" i="2" s="1"/>
  <c r="N1599" i="2" s="1"/>
  <c r="K1598" i="2"/>
  <c r="L1598" i="2" s="1"/>
  <c r="M1598" i="2" s="1"/>
  <c r="N1598" i="2" s="1"/>
  <c r="K1597" i="2"/>
  <c r="L1597" i="2" s="1"/>
  <c r="M1597" i="2" s="1"/>
  <c r="N1597" i="2" s="1"/>
  <c r="K1596" i="2"/>
  <c r="L1596" i="2" s="1"/>
  <c r="M1596" i="2" s="1"/>
  <c r="N1596" i="2" s="1"/>
  <c r="K1595" i="2"/>
  <c r="L1595" i="2" s="1"/>
  <c r="M1595" i="2" s="1"/>
  <c r="N1595" i="2" s="1"/>
  <c r="K1594" i="2"/>
  <c r="L1594" i="2" s="1"/>
  <c r="M1594" i="2" s="1"/>
  <c r="N1594" i="2" s="1"/>
  <c r="K1593" i="2"/>
  <c r="L1593" i="2" s="1"/>
  <c r="M1593" i="2" s="1"/>
  <c r="N1593" i="2" s="1"/>
  <c r="K1592" i="2"/>
  <c r="L1592" i="2" s="1"/>
  <c r="M1592" i="2" s="1"/>
  <c r="N1592" i="2" s="1"/>
  <c r="K1591" i="2"/>
  <c r="L1591" i="2" s="1"/>
  <c r="M1591" i="2" s="1"/>
  <c r="N1591" i="2" s="1"/>
  <c r="K1590" i="2"/>
  <c r="L1590" i="2" s="1"/>
  <c r="M1590" i="2" s="1"/>
  <c r="N1590" i="2" s="1"/>
  <c r="K1589" i="2"/>
  <c r="L1589" i="2" s="1"/>
  <c r="M1589" i="2" s="1"/>
  <c r="N1589" i="2" s="1"/>
  <c r="K1588" i="2"/>
  <c r="L1588" i="2" s="1"/>
  <c r="M1588" i="2" s="1"/>
  <c r="N1588" i="2" s="1"/>
  <c r="K1587" i="2"/>
  <c r="L1587" i="2" s="1"/>
  <c r="M1587" i="2" s="1"/>
  <c r="N1587" i="2" s="1"/>
  <c r="K1586" i="2"/>
  <c r="L1586" i="2" s="1"/>
  <c r="M1586" i="2" s="1"/>
  <c r="N1586" i="2" s="1"/>
  <c r="K1585" i="2"/>
  <c r="L1585" i="2" s="1"/>
  <c r="M1585" i="2" s="1"/>
  <c r="N1585" i="2" s="1"/>
  <c r="K1584" i="2"/>
  <c r="L1584" i="2" s="1"/>
  <c r="M1584" i="2" s="1"/>
  <c r="N1584" i="2" s="1"/>
  <c r="K1583" i="2"/>
  <c r="L1583" i="2" s="1"/>
  <c r="M1583" i="2" s="1"/>
  <c r="N1583" i="2" s="1"/>
  <c r="K1582" i="2"/>
  <c r="L1582" i="2" s="1"/>
  <c r="M1582" i="2" s="1"/>
  <c r="N1582" i="2" s="1"/>
  <c r="K1581" i="2"/>
  <c r="L1581" i="2" s="1"/>
  <c r="M1581" i="2" s="1"/>
  <c r="N1581" i="2" s="1"/>
  <c r="K1580" i="2"/>
  <c r="L1580" i="2" s="1"/>
  <c r="M1580" i="2" s="1"/>
  <c r="N1580" i="2" s="1"/>
  <c r="K1579" i="2"/>
  <c r="L1579" i="2" s="1"/>
  <c r="M1579" i="2" s="1"/>
  <c r="N1579" i="2" s="1"/>
  <c r="K1578" i="2"/>
  <c r="L1578" i="2" s="1"/>
  <c r="M1578" i="2" s="1"/>
  <c r="N1578" i="2" s="1"/>
  <c r="K1577" i="2"/>
  <c r="L1577" i="2" s="1"/>
  <c r="M1577" i="2" s="1"/>
  <c r="N1577" i="2" s="1"/>
  <c r="K1576" i="2"/>
  <c r="L1576" i="2" s="1"/>
  <c r="M1576" i="2" s="1"/>
  <c r="N1576" i="2" s="1"/>
  <c r="K1575" i="2"/>
  <c r="L1575" i="2" s="1"/>
  <c r="M1575" i="2" s="1"/>
  <c r="N1575" i="2" s="1"/>
  <c r="K1574" i="2"/>
  <c r="L1574" i="2" s="1"/>
  <c r="M1574" i="2" s="1"/>
  <c r="N1574" i="2" s="1"/>
  <c r="K1573" i="2"/>
  <c r="L1573" i="2" s="1"/>
  <c r="M1573" i="2" s="1"/>
  <c r="N1573" i="2" s="1"/>
  <c r="K1572" i="2"/>
  <c r="L1572" i="2" s="1"/>
  <c r="M1572" i="2" s="1"/>
  <c r="N1572" i="2" s="1"/>
  <c r="K1571" i="2"/>
  <c r="L1571" i="2" s="1"/>
  <c r="M1571" i="2" s="1"/>
  <c r="N1571" i="2" s="1"/>
  <c r="K1570" i="2"/>
  <c r="L1570" i="2" s="1"/>
  <c r="M1570" i="2" s="1"/>
  <c r="N1570" i="2" s="1"/>
  <c r="K1569" i="2"/>
  <c r="L1569" i="2" s="1"/>
  <c r="M1569" i="2" s="1"/>
  <c r="N1569" i="2" s="1"/>
  <c r="K1568" i="2"/>
  <c r="L1568" i="2" s="1"/>
  <c r="M1568" i="2" s="1"/>
  <c r="N1568" i="2" s="1"/>
  <c r="K1567" i="2"/>
  <c r="L1567" i="2" s="1"/>
  <c r="M1567" i="2" s="1"/>
  <c r="N1567" i="2" s="1"/>
  <c r="K1566" i="2"/>
  <c r="L1566" i="2" s="1"/>
  <c r="M1566" i="2" s="1"/>
  <c r="N1566" i="2" s="1"/>
  <c r="K1565" i="2"/>
  <c r="L1565" i="2" s="1"/>
  <c r="M1565" i="2" s="1"/>
  <c r="N1565" i="2" s="1"/>
  <c r="K1564" i="2"/>
  <c r="L1564" i="2" s="1"/>
  <c r="M1564" i="2" s="1"/>
  <c r="N1564" i="2" s="1"/>
  <c r="K1563" i="2"/>
  <c r="L1563" i="2" s="1"/>
  <c r="M1563" i="2" s="1"/>
  <c r="N1563" i="2" s="1"/>
  <c r="K1562" i="2"/>
  <c r="L1562" i="2" s="1"/>
  <c r="M1562" i="2" s="1"/>
  <c r="N1562" i="2" s="1"/>
  <c r="K1561" i="2"/>
  <c r="L1561" i="2" s="1"/>
  <c r="M1561" i="2" s="1"/>
  <c r="N1561" i="2" s="1"/>
  <c r="K1560" i="2"/>
  <c r="L1560" i="2" s="1"/>
  <c r="M1560" i="2" s="1"/>
  <c r="N1560" i="2" s="1"/>
  <c r="K1559" i="2"/>
  <c r="L1559" i="2" s="1"/>
  <c r="M1559" i="2" s="1"/>
  <c r="N1559" i="2" s="1"/>
  <c r="K1558" i="2"/>
  <c r="L1558" i="2" s="1"/>
  <c r="M1558" i="2" s="1"/>
  <c r="N1558" i="2" s="1"/>
  <c r="K1557" i="2"/>
  <c r="L1557" i="2" s="1"/>
  <c r="M1557" i="2" s="1"/>
  <c r="N1557" i="2" s="1"/>
  <c r="K1556" i="2"/>
  <c r="L1556" i="2" s="1"/>
  <c r="M1556" i="2" s="1"/>
  <c r="N1556" i="2" s="1"/>
  <c r="K1555" i="2"/>
  <c r="L1555" i="2" s="1"/>
  <c r="M1555" i="2" s="1"/>
  <c r="N1555" i="2" s="1"/>
  <c r="K1554" i="2"/>
  <c r="L1554" i="2" s="1"/>
  <c r="M1554" i="2" s="1"/>
  <c r="N1554" i="2" s="1"/>
  <c r="K1553" i="2"/>
  <c r="L1553" i="2" s="1"/>
  <c r="M1553" i="2" s="1"/>
  <c r="N1553" i="2" s="1"/>
  <c r="K1552" i="2"/>
  <c r="L1552" i="2" s="1"/>
  <c r="M1552" i="2" s="1"/>
  <c r="N1552" i="2" s="1"/>
  <c r="K1551" i="2"/>
  <c r="L1551" i="2" s="1"/>
  <c r="M1551" i="2" s="1"/>
  <c r="N1551" i="2" s="1"/>
  <c r="K1550" i="2"/>
  <c r="L1550" i="2" s="1"/>
  <c r="M1550" i="2" s="1"/>
  <c r="N1550" i="2" s="1"/>
  <c r="K1549" i="2"/>
  <c r="L1549" i="2" s="1"/>
  <c r="M1549" i="2" s="1"/>
  <c r="N1549" i="2" s="1"/>
  <c r="K1548" i="2"/>
  <c r="L1548" i="2" s="1"/>
  <c r="M1548" i="2" s="1"/>
  <c r="N1548" i="2" s="1"/>
  <c r="K1547" i="2"/>
  <c r="L1547" i="2" s="1"/>
  <c r="M1547" i="2" s="1"/>
  <c r="N1547" i="2" s="1"/>
  <c r="K1546" i="2"/>
  <c r="L1546" i="2" s="1"/>
  <c r="M1546" i="2" s="1"/>
  <c r="N1546" i="2" s="1"/>
  <c r="K1545" i="2"/>
  <c r="L1545" i="2" s="1"/>
  <c r="M1545" i="2" s="1"/>
  <c r="N1545" i="2" s="1"/>
  <c r="K1544" i="2"/>
  <c r="L1544" i="2" s="1"/>
  <c r="M1544" i="2" s="1"/>
  <c r="N1544" i="2" s="1"/>
  <c r="K1543" i="2"/>
  <c r="L1543" i="2" s="1"/>
  <c r="M1543" i="2" s="1"/>
  <c r="N1543" i="2" s="1"/>
  <c r="K1542" i="2"/>
  <c r="L1542" i="2" s="1"/>
  <c r="M1542" i="2" s="1"/>
  <c r="N1542" i="2" s="1"/>
  <c r="K1541" i="2"/>
  <c r="L1541" i="2" s="1"/>
  <c r="M1541" i="2" s="1"/>
  <c r="N1541" i="2" s="1"/>
  <c r="K1540" i="2"/>
  <c r="L1540" i="2" s="1"/>
  <c r="M1540" i="2" s="1"/>
  <c r="N1540" i="2" s="1"/>
  <c r="K1539" i="2"/>
  <c r="L1539" i="2" s="1"/>
  <c r="M1539" i="2" s="1"/>
  <c r="N1539" i="2" s="1"/>
  <c r="K1538" i="2"/>
  <c r="L1538" i="2" s="1"/>
  <c r="M1538" i="2" s="1"/>
  <c r="N1538" i="2" s="1"/>
  <c r="K1537" i="2"/>
  <c r="L1537" i="2" s="1"/>
  <c r="M1537" i="2" s="1"/>
  <c r="N1537" i="2" s="1"/>
  <c r="K1536" i="2"/>
  <c r="L1536" i="2" s="1"/>
  <c r="M1536" i="2" s="1"/>
  <c r="N1536" i="2" s="1"/>
  <c r="K1535" i="2"/>
  <c r="L1535" i="2" s="1"/>
  <c r="M1535" i="2" s="1"/>
  <c r="N1535" i="2" s="1"/>
  <c r="K1534" i="2"/>
  <c r="L1534" i="2" s="1"/>
  <c r="M1534" i="2" s="1"/>
  <c r="N1534" i="2" s="1"/>
  <c r="K1533" i="2"/>
  <c r="L1533" i="2" s="1"/>
  <c r="M1533" i="2" s="1"/>
  <c r="N1533" i="2" s="1"/>
  <c r="K1532" i="2"/>
  <c r="L1532" i="2" s="1"/>
  <c r="M1532" i="2" s="1"/>
  <c r="N1532" i="2" s="1"/>
  <c r="K1531" i="2"/>
  <c r="L1531" i="2" s="1"/>
  <c r="M1531" i="2" s="1"/>
  <c r="N1531" i="2" s="1"/>
  <c r="K1530" i="2"/>
  <c r="L1530" i="2" s="1"/>
  <c r="M1530" i="2" s="1"/>
  <c r="N1530" i="2" s="1"/>
  <c r="K1529" i="2"/>
  <c r="L1529" i="2" s="1"/>
  <c r="M1529" i="2" s="1"/>
  <c r="N1529" i="2" s="1"/>
  <c r="K1528" i="2"/>
  <c r="L1528" i="2" s="1"/>
  <c r="M1528" i="2" s="1"/>
  <c r="N1528" i="2" s="1"/>
  <c r="K1527" i="2"/>
  <c r="L1527" i="2" s="1"/>
  <c r="M1527" i="2" s="1"/>
  <c r="N1527" i="2" s="1"/>
  <c r="K1526" i="2"/>
  <c r="L1526" i="2" s="1"/>
  <c r="M1526" i="2" s="1"/>
  <c r="N1526" i="2" s="1"/>
  <c r="K1525" i="2"/>
  <c r="L1525" i="2" s="1"/>
  <c r="M1525" i="2" s="1"/>
  <c r="N1525" i="2" s="1"/>
  <c r="K1524" i="2"/>
  <c r="L1524" i="2" s="1"/>
  <c r="M1524" i="2" s="1"/>
  <c r="N1524" i="2" s="1"/>
  <c r="K1523" i="2"/>
  <c r="L1523" i="2" s="1"/>
  <c r="M1523" i="2" s="1"/>
  <c r="N1523" i="2" s="1"/>
  <c r="K1522" i="2"/>
  <c r="L1522" i="2" s="1"/>
  <c r="M1522" i="2" s="1"/>
  <c r="N1522" i="2" s="1"/>
  <c r="K1521" i="2"/>
  <c r="L1521" i="2" s="1"/>
  <c r="M1521" i="2" s="1"/>
  <c r="N1521" i="2" s="1"/>
  <c r="K1520" i="2"/>
  <c r="L1520" i="2" s="1"/>
  <c r="M1520" i="2" s="1"/>
  <c r="N1520" i="2" s="1"/>
  <c r="K1519" i="2"/>
  <c r="L1519" i="2" s="1"/>
  <c r="M1519" i="2" s="1"/>
  <c r="N1519" i="2" s="1"/>
  <c r="K1518" i="2"/>
  <c r="L1518" i="2" s="1"/>
  <c r="M1518" i="2" s="1"/>
  <c r="N1518" i="2" s="1"/>
  <c r="K1517" i="2"/>
  <c r="L1517" i="2" s="1"/>
  <c r="M1517" i="2" s="1"/>
  <c r="N1517" i="2" s="1"/>
  <c r="K1516" i="2"/>
  <c r="L1516" i="2" s="1"/>
  <c r="M1516" i="2" s="1"/>
  <c r="N1516" i="2" s="1"/>
  <c r="K1515" i="2"/>
  <c r="L1515" i="2" s="1"/>
  <c r="M1515" i="2" s="1"/>
  <c r="N1515" i="2" s="1"/>
  <c r="K1514" i="2"/>
  <c r="L1514" i="2" s="1"/>
  <c r="M1514" i="2" s="1"/>
  <c r="N1514" i="2" s="1"/>
  <c r="K1513" i="2"/>
  <c r="L1513" i="2" s="1"/>
  <c r="M1513" i="2" s="1"/>
  <c r="N1513" i="2" s="1"/>
  <c r="K1512" i="2"/>
  <c r="L1512" i="2" s="1"/>
  <c r="M1512" i="2" s="1"/>
  <c r="N1512" i="2" s="1"/>
  <c r="K1511" i="2"/>
  <c r="L1511" i="2" s="1"/>
  <c r="M1511" i="2" s="1"/>
  <c r="N1511" i="2" s="1"/>
  <c r="K1510" i="2"/>
  <c r="L1510" i="2" s="1"/>
  <c r="M1510" i="2" s="1"/>
  <c r="N1510" i="2" s="1"/>
  <c r="K1509" i="2"/>
  <c r="L1509" i="2" s="1"/>
  <c r="M1509" i="2" s="1"/>
  <c r="N1509" i="2" s="1"/>
  <c r="K1508" i="2"/>
  <c r="L1508" i="2" s="1"/>
  <c r="M1508" i="2" s="1"/>
  <c r="N1508" i="2" s="1"/>
  <c r="K1507" i="2"/>
  <c r="L1507" i="2" s="1"/>
  <c r="M1507" i="2" s="1"/>
  <c r="N1507" i="2" s="1"/>
  <c r="K1506" i="2"/>
  <c r="L1506" i="2" s="1"/>
  <c r="M1506" i="2" s="1"/>
  <c r="N1506" i="2" s="1"/>
  <c r="K1505" i="2"/>
  <c r="L1505" i="2" s="1"/>
  <c r="M1505" i="2" s="1"/>
  <c r="N1505" i="2" s="1"/>
  <c r="K1504" i="2"/>
  <c r="L1504" i="2" s="1"/>
  <c r="M1504" i="2" s="1"/>
  <c r="N1504" i="2" s="1"/>
  <c r="K1503" i="2"/>
  <c r="L1503" i="2" s="1"/>
  <c r="M1503" i="2" s="1"/>
  <c r="N1503" i="2" s="1"/>
  <c r="K1502" i="2"/>
  <c r="L1502" i="2" s="1"/>
  <c r="M1502" i="2" s="1"/>
  <c r="N1502" i="2" s="1"/>
  <c r="K1501" i="2"/>
  <c r="L1501" i="2" s="1"/>
  <c r="M1501" i="2" s="1"/>
  <c r="N1501" i="2" s="1"/>
  <c r="K1500" i="2"/>
  <c r="L1500" i="2" s="1"/>
  <c r="M1500" i="2" s="1"/>
  <c r="N1500" i="2" s="1"/>
  <c r="K1499" i="2"/>
  <c r="L1499" i="2" s="1"/>
  <c r="M1499" i="2" s="1"/>
  <c r="N1499" i="2" s="1"/>
  <c r="K1498" i="2"/>
  <c r="L1498" i="2" s="1"/>
  <c r="M1498" i="2" s="1"/>
  <c r="N1498" i="2" s="1"/>
  <c r="K1497" i="2"/>
  <c r="L1497" i="2" s="1"/>
  <c r="M1497" i="2" s="1"/>
  <c r="N1497" i="2" s="1"/>
  <c r="K1496" i="2"/>
  <c r="L1496" i="2" s="1"/>
  <c r="M1496" i="2" s="1"/>
  <c r="N1496" i="2" s="1"/>
  <c r="K1495" i="2"/>
  <c r="L1495" i="2" s="1"/>
  <c r="M1495" i="2" s="1"/>
  <c r="N1495" i="2" s="1"/>
  <c r="K1494" i="2"/>
  <c r="L1494" i="2" s="1"/>
  <c r="M1494" i="2" s="1"/>
  <c r="N1494" i="2" s="1"/>
  <c r="K1493" i="2"/>
  <c r="L1493" i="2" s="1"/>
  <c r="M1493" i="2" s="1"/>
  <c r="N1493" i="2" s="1"/>
  <c r="K1492" i="2"/>
  <c r="L1492" i="2" s="1"/>
  <c r="M1492" i="2" s="1"/>
  <c r="N1492" i="2" s="1"/>
  <c r="K1491" i="2"/>
  <c r="L1491" i="2" s="1"/>
  <c r="M1491" i="2" s="1"/>
  <c r="N1491" i="2" s="1"/>
  <c r="K1490" i="2"/>
  <c r="L1490" i="2" s="1"/>
  <c r="M1490" i="2" s="1"/>
  <c r="N1490" i="2" s="1"/>
  <c r="K1489" i="2"/>
  <c r="L1489" i="2" s="1"/>
  <c r="M1489" i="2" s="1"/>
  <c r="N1489" i="2" s="1"/>
  <c r="K1488" i="2"/>
  <c r="L1488" i="2" s="1"/>
  <c r="M1488" i="2" s="1"/>
  <c r="N1488" i="2" s="1"/>
  <c r="K1487" i="2"/>
  <c r="L1487" i="2" s="1"/>
  <c r="M1487" i="2" s="1"/>
  <c r="N1487" i="2" s="1"/>
  <c r="K1486" i="2"/>
  <c r="L1486" i="2" s="1"/>
  <c r="M1486" i="2" s="1"/>
  <c r="N1486" i="2" s="1"/>
  <c r="K1485" i="2"/>
  <c r="L1485" i="2" s="1"/>
  <c r="M1485" i="2" s="1"/>
  <c r="N1485" i="2" s="1"/>
  <c r="K1484" i="2"/>
  <c r="L1484" i="2" s="1"/>
  <c r="M1484" i="2" s="1"/>
  <c r="N1484" i="2" s="1"/>
  <c r="K1483" i="2"/>
  <c r="L1483" i="2" s="1"/>
  <c r="M1483" i="2" s="1"/>
  <c r="N1483" i="2" s="1"/>
  <c r="K1482" i="2"/>
  <c r="L1482" i="2" s="1"/>
  <c r="M1482" i="2" s="1"/>
  <c r="N1482" i="2" s="1"/>
  <c r="K1481" i="2"/>
  <c r="L1481" i="2" s="1"/>
  <c r="M1481" i="2" s="1"/>
  <c r="N1481" i="2" s="1"/>
  <c r="K1480" i="2"/>
  <c r="L1480" i="2" s="1"/>
  <c r="M1480" i="2" s="1"/>
  <c r="N1480" i="2" s="1"/>
  <c r="K1479" i="2"/>
  <c r="L1479" i="2" s="1"/>
  <c r="M1479" i="2" s="1"/>
  <c r="N1479" i="2" s="1"/>
  <c r="K1478" i="2"/>
  <c r="L1478" i="2" s="1"/>
  <c r="M1478" i="2" s="1"/>
  <c r="N1478" i="2" s="1"/>
  <c r="K1477" i="2"/>
  <c r="L1477" i="2" s="1"/>
  <c r="M1477" i="2" s="1"/>
  <c r="N1477" i="2" s="1"/>
  <c r="K1476" i="2"/>
  <c r="L1476" i="2" s="1"/>
  <c r="M1476" i="2" s="1"/>
  <c r="N1476" i="2" s="1"/>
  <c r="K1475" i="2"/>
  <c r="L1475" i="2" s="1"/>
  <c r="M1475" i="2" s="1"/>
  <c r="N1475" i="2" s="1"/>
  <c r="K1474" i="2"/>
  <c r="L1474" i="2" s="1"/>
  <c r="M1474" i="2" s="1"/>
  <c r="N1474" i="2" s="1"/>
  <c r="K1473" i="2"/>
  <c r="L1473" i="2" s="1"/>
  <c r="M1473" i="2" s="1"/>
  <c r="N1473" i="2" s="1"/>
  <c r="K1472" i="2"/>
  <c r="L1472" i="2" s="1"/>
  <c r="M1472" i="2" s="1"/>
  <c r="N1472" i="2" s="1"/>
  <c r="K1471" i="2"/>
  <c r="L1471" i="2" s="1"/>
  <c r="M1471" i="2" s="1"/>
  <c r="N1471" i="2" s="1"/>
  <c r="K1470" i="2"/>
  <c r="L1470" i="2" s="1"/>
  <c r="M1470" i="2" s="1"/>
  <c r="N1470" i="2" s="1"/>
  <c r="K1469" i="2"/>
  <c r="L1469" i="2" s="1"/>
  <c r="M1469" i="2" s="1"/>
  <c r="N1469" i="2" s="1"/>
  <c r="K1468" i="2"/>
  <c r="L1468" i="2" s="1"/>
  <c r="M1468" i="2" s="1"/>
  <c r="N1468" i="2" s="1"/>
  <c r="K1467" i="2"/>
  <c r="L1467" i="2" s="1"/>
  <c r="M1467" i="2" s="1"/>
  <c r="N1467" i="2" s="1"/>
  <c r="K1466" i="2"/>
  <c r="L1466" i="2" s="1"/>
  <c r="M1466" i="2" s="1"/>
  <c r="N1466" i="2" s="1"/>
  <c r="K1465" i="2"/>
  <c r="L1465" i="2" s="1"/>
  <c r="M1465" i="2" s="1"/>
  <c r="N1465" i="2" s="1"/>
  <c r="K1464" i="2"/>
  <c r="L1464" i="2" s="1"/>
  <c r="M1464" i="2" s="1"/>
  <c r="N1464" i="2" s="1"/>
  <c r="K1463" i="2"/>
  <c r="L1463" i="2" s="1"/>
  <c r="M1463" i="2" s="1"/>
  <c r="N1463" i="2" s="1"/>
  <c r="K1462" i="2"/>
  <c r="L1462" i="2" s="1"/>
  <c r="M1462" i="2" s="1"/>
  <c r="N1462" i="2" s="1"/>
  <c r="K1461" i="2"/>
  <c r="L1461" i="2" s="1"/>
  <c r="M1461" i="2" s="1"/>
  <c r="N1461" i="2" s="1"/>
  <c r="K1460" i="2"/>
  <c r="L1460" i="2" s="1"/>
  <c r="M1460" i="2" s="1"/>
  <c r="N1460" i="2" s="1"/>
  <c r="K1459" i="2"/>
  <c r="L1459" i="2" s="1"/>
  <c r="M1459" i="2" s="1"/>
  <c r="N1459" i="2" s="1"/>
  <c r="K1458" i="2"/>
  <c r="L1458" i="2" s="1"/>
  <c r="M1458" i="2" s="1"/>
  <c r="N1458" i="2" s="1"/>
  <c r="K1457" i="2"/>
  <c r="L1457" i="2" s="1"/>
  <c r="M1457" i="2" s="1"/>
  <c r="N1457" i="2" s="1"/>
  <c r="K1456" i="2"/>
  <c r="L1456" i="2" s="1"/>
  <c r="M1456" i="2" s="1"/>
  <c r="N1456" i="2" s="1"/>
  <c r="K1455" i="2"/>
  <c r="L1455" i="2" s="1"/>
  <c r="M1455" i="2" s="1"/>
  <c r="N1455" i="2" s="1"/>
  <c r="K1454" i="2"/>
  <c r="L1454" i="2" s="1"/>
  <c r="M1454" i="2" s="1"/>
  <c r="N1454" i="2" s="1"/>
  <c r="K1453" i="2"/>
  <c r="L1453" i="2" s="1"/>
  <c r="M1453" i="2" s="1"/>
  <c r="N1453" i="2" s="1"/>
  <c r="K1452" i="2"/>
  <c r="L1452" i="2" s="1"/>
  <c r="M1452" i="2" s="1"/>
  <c r="N1452" i="2" s="1"/>
  <c r="K1451" i="2"/>
  <c r="L1451" i="2" s="1"/>
  <c r="M1451" i="2" s="1"/>
  <c r="N1451" i="2" s="1"/>
  <c r="K1450" i="2"/>
  <c r="L1450" i="2" s="1"/>
  <c r="M1450" i="2" s="1"/>
  <c r="N1450" i="2" s="1"/>
  <c r="K1449" i="2"/>
  <c r="L1449" i="2" s="1"/>
  <c r="M1449" i="2" s="1"/>
  <c r="N1449" i="2" s="1"/>
  <c r="K1448" i="2"/>
  <c r="L1448" i="2" s="1"/>
  <c r="M1448" i="2" s="1"/>
  <c r="N1448" i="2" s="1"/>
  <c r="K1447" i="2"/>
  <c r="L1447" i="2" s="1"/>
  <c r="M1447" i="2" s="1"/>
  <c r="N1447" i="2" s="1"/>
  <c r="K1446" i="2"/>
  <c r="L1446" i="2" s="1"/>
  <c r="M1446" i="2" s="1"/>
  <c r="N1446" i="2" s="1"/>
  <c r="K1445" i="2"/>
  <c r="L1445" i="2" s="1"/>
  <c r="M1445" i="2" s="1"/>
  <c r="N1445" i="2" s="1"/>
  <c r="K1444" i="2"/>
  <c r="L1444" i="2" s="1"/>
  <c r="M1444" i="2" s="1"/>
  <c r="N1444" i="2" s="1"/>
  <c r="K1443" i="2"/>
  <c r="L1443" i="2" s="1"/>
  <c r="M1443" i="2" s="1"/>
  <c r="N1443" i="2" s="1"/>
  <c r="K1442" i="2"/>
  <c r="L1442" i="2" s="1"/>
  <c r="M1442" i="2" s="1"/>
  <c r="N1442" i="2" s="1"/>
  <c r="K1441" i="2"/>
  <c r="L1441" i="2" s="1"/>
  <c r="M1441" i="2" s="1"/>
  <c r="N1441" i="2" s="1"/>
  <c r="K1440" i="2"/>
  <c r="L1440" i="2" s="1"/>
  <c r="M1440" i="2" s="1"/>
  <c r="N1440" i="2" s="1"/>
  <c r="K1439" i="2"/>
  <c r="L1439" i="2" s="1"/>
  <c r="M1439" i="2" s="1"/>
  <c r="N1439" i="2" s="1"/>
  <c r="K1438" i="2"/>
  <c r="L1438" i="2" s="1"/>
  <c r="M1438" i="2" s="1"/>
  <c r="N1438" i="2" s="1"/>
  <c r="K1437" i="2"/>
  <c r="L1437" i="2" s="1"/>
  <c r="M1437" i="2" s="1"/>
  <c r="N1437" i="2" s="1"/>
  <c r="K1436" i="2"/>
  <c r="L1436" i="2" s="1"/>
  <c r="M1436" i="2" s="1"/>
  <c r="N1436" i="2" s="1"/>
  <c r="K1435" i="2"/>
  <c r="L1435" i="2" s="1"/>
  <c r="M1435" i="2" s="1"/>
  <c r="N1435" i="2" s="1"/>
  <c r="K1434" i="2"/>
  <c r="L1434" i="2" s="1"/>
  <c r="M1434" i="2" s="1"/>
  <c r="N1434" i="2" s="1"/>
  <c r="K1433" i="2"/>
  <c r="L1433" i="2" s="1"/>
  <c r="M1433" i="2" s="1"/>
  <c r="N1433" i="2" s="1"/>
  <c r="K1432" i="2"/>
  <c r="L1432" i="2" s="1"/>
  <c r="M1432" i="2" s="1"/>
  <c r="N1432" i="2" s="1"/>
  <c r="K1431" i="2"/>
  <c r="L1431" i="2" s="1"/>
  <c r="M1431" i="2" s="1"/>
  <c r="N1431" i="2" s="1"/>
  <c r="K1430" i="2"/>
  <c r="L1430" i="2" s="1"/>
  <c r="M1430" i="2" s="1"/>
  <c r="N1430" i="2" s="1"/>
  <c r="K1429" i="2"/>
  <c r="L1429" i="2" s="1"/>
  <c r="M1429" i="2" s="1"/>
  <c r="N1429" i="2" s="1"/>
  <c r="K1428" i="2"/>
  <c r="L1428" i="2" s="1"/>
  <c r="M1428" i="2" s="1"/>
  <c r="N1428" i="2" s="1"/>
  <c r="K1427" i="2"/>
  <c r="L1427" i="2" s="1"/>
  <c r="M1427" i="2" s="1"/>
  <c r="N1427" i="2" s="1"/>
  <c r="K1426" i="2"/>
  <c r="L1426" i="2" s="1"/>
  <c r="M1426" i="2" s="1"/>
  <c r="N1426" i="2" s="1"/>
  <c r="K1425" i="2"/>
  <c r="L1425" i="2" s="1"/>
  <c r="M1425" i="2" s="1"/>
  <c r="N1425" i="2" s="1"/>
  <c r="K1424" i="2"/>
  <c r="L1424" i="2" s="1"/>
  <c r="M1424" i="2" s="1"/>
  <c r="N1424" i="2" s="1"/>
  <c r="K1423" i="2"/>
  <c r="L1423" i="2" s="1"/>
  <c r="M1423" i="2" s="1"/>
  <c r="N1423" i="2" s="1"/>
  <c r="K1422" i="2"/>
  <c r="L1422" i="2" s="1"/>
  <c r="M1422" i="2" s="1"/>
  <c r="N1422" i="2" s="1"/>
  <c r="K1421" i="2"/>
  <c r="L1421" i="2" s="1"/>
  <c r="M1421" i="2" s="1"/>
  <c r="N1421" i="2" s="1"/>
  <c r="K1420" i="2"/>
  <c r="L1420" i="2" s="1"/>
  <c r="M1420" i="2" s="1"/>
  <c r="N1420" i="2" s="1"/>
  <c r="K1419" i="2"/>
  <c r="L1419" i="2" s="1"/>
  <c r="M1419" i="2" s="1"/>
  <c r="N1419" i="2" s="1"/>
  <c r="K1418" i="2"/>
  <c r="L1418" i="2" s="1"/>
  <c r="M1418" i="2" s="1"/>
  <c r="N1418" i="2" s="1"/>
  <c r="K1417" i="2"/>
  <c r="L1417" i="2" s="1"/>
  <c r="M1417" i="2" s="1"/>
  <c r="N1417" i="2" s="1"/>
  <c r="K1416" i="2"/>
  <c r="L1416" i="2" s="1"/>
  <c r="M1416" i="2" s="1"/>
  <c r="N1416" i="2" s="1"/>
  <c r="K1415" i="2"/>
  <c r="L1415" i="2" s="1"/>
  <c r="M1415" i="2" s="1"/>
  <c r="N1415" i="2" s="1"/>
  <c r="K1414" i="2"/>
  <c r="L1414" i="2" s="1"/>
  <c r="M1414" i="2" s="1"/>
  <c r="N1414" i="2" s="1"/>
  <c r="K1413" i="2"/>
  <c r="L1413" i="2" s="1"/>
  <c r="M1413" i="2" s="1"/>
  <c r="N1413" i="2" s="1"/>
  <c r="K1412" i="2"/>
  <c r="L1412" i="2" s="1"/>
  <c r="M1412" i="2" s="1"/>
  <c r="N1412" i="2" s="1"/>
  <c r="K1411" i="2"/>
  <c r="L1411" i="2" s="1"/>
  <c r="M1411" i="2" s="1"/>
  <c r="N1411" i="2" s="1"/>
  <c r="K1410" i="2"/>
  <c r="L1410" i="2" s="1"/>
  <c r="M1410" i="2" s="1"/>
  <c r="N1410" i="2" s="1"/>
  <c r="K1409" i="2"/>
  <c r="L1409" i="2" s="1"/>
  <c r="M1409" i="2" s="1"/>
  <c r="N1409" i="2" s="1"/>
  <c r="K1408" i="2"/>
  <c r="L1408" i="2" s="1"/>
  <c r="M1408" i="2" s="1"/>
  <c r="N1408" i="2" s="1"/>
  <c r="K1407" i="2"/>
  <c r="L1407" i="2" s="1"/>
  <c r="M1407" i="2" s="1"/>
  <c r="N1407" i="2" s="1"/>
  <c r="K1406" i="2"/>
  <c r="L1406" i="2" s="1"/>
  <c r="M1406" i="2" s="1"/>
  <c r="N1406" i="2" s="1"/>
  <c r="K1405" i="2"/>
  <c r="L1405" i="2" s="1"/>
  <c r="M1405" i="2" s="1"/>
  <c r="N1405" i="2" s="1"/>
  <c r="K1404" i="2"/>
  <c r="L1404" i="2" s="1"/>
  <c r="M1404" i="2" s="1"/>
  <c r="N1404" i="2" s="1"/>
  <c r="K1403" i="2"/>
  <c r="L1403" i="2" s="1"/>
  <c r="M1403" i="2" s="1"/>
  <c r="N1403" i="2" s="1"/>
  <c r="K1402" i="2"/>
  <c r="L1402" i="2" s="1"/>
  <c r="M1402" i="2" s="1"/>
  <c r="N1402" i="2" s="1"/>
  <c r="K1401" i="2"/>
  <c r="L1401" i="2" s="1"/>
  <c r="M1401" i="2" s="1"/>
  <c r="N1401" i="2" s="1"/>
  <c r="K1400" i="2"/>
  <c r="L1400" i="2" s="1"/>
  <c r="M1400" i="2" s="1"/>
  <c r="N1400" i="2" s="1"/>
  <c r="K1399" i="2"/>
  <c r="L1399" i="2" s="1"/>
  <c r="M1399" i="2" s="1"/>
  <c r="N1399" i="2" s="1"/>
  <c r="K1398" i="2"/>
  <c r="L1398" i="2" s="1"/>
  <c r="M1398" i="2" s="1"/>
  <c r="N1398" i="2" s="1"/>
  <c r="K1397" i="2"/>
  <c r="L1397" i="2" s="1"/>
  <c r="M1397" i="2" s="1"/>
  <c r="N1397" i="2" s="1"/>
  <c r="K1396" i="2"/>
  <c r="L1396" i="2" s="1"/>
  <c r="M1396" i="2" s="1"/>
  <c r="N1396" i="2" s="1"/>
  <c r="K1395" i="2"/>
  <c r="L1395" i="2" s="1"/>
  <c r="M1395" i="2" s="1"/>
  <c r="N1395" i="2" s="1"/>
  <c r="K1394" i="2"/>
  <c r="L1394" i="2" s="1"/>
  <c r="M1394" i="2" s="1"/>
  <c r="N1394" i="2" s="1"/>
  <c r="K1393" i="2"/>
  <c r="L1393" i="2" s="1"/>
  <c r="M1393" i="2" s="1"/>
  <c r="N1393" i="2" s="1"/>
  <c r="K1392" i="2"/>
  <c r="L1392" i="2" s="1"/>
  <c r="M1392" i="2" s="1"/>
  <c r="N1392" i="2" s="1"/>
  <c r="K1391" i="2"/>
  <c r="L1391" i="2" s="1"/>
  <c r="M1391" i="2" s="1"/>
  <c r="N1391" i="2" s="1"/>
  <c r="K1390" i="2"/>
  <c r="L1390" i="2" s="1"/>
  <c r="M1390" i="2" s="1"/>
  <c r="N1390" i="2" s="1"/>
  <c r="K1389" i="2"/>
  <c r="L1389" i="2" s="1"/>
  <c r="M1389" i="2" s="1"/>
  <c r="N1389" i="2" s="1"/>
  <c r="K1388" i="2"/>
  <c r="L1388" i="2" s="1"/>
  <c r="M1388" i="2" s="1"/>
  <c r="N1388" i="2" s="1"/>
  <c r="K1387" i="2"/>
  <c r="L1387" i="2" s="1"/>
  <c r="M1387" i="2" s="1"/>
  <c r="N1387" i="2" s="1"/>
  <c r="K1386" i="2"/>
  <c r="L1386" i="2" s="1"/>
  <c r="M1386" i="2" s="1"/>
  <c r="N1386" i="2" s="1"/>
  <c r="K1385" i="2"/>
  <c r="L1385" i="2" s="1"/>
  <c r="M1385" i="2" s="1"/>
  <c r="N1385" i="2" s="1"/>
  <c r="K1384" i="2"/>
  <c r="L1384" i="2" s="1"/>
  <c r="M1384" i="2" s="1"/>
  <c r="N1384" i="2" s="1"/>
  <c r="K1383" i="2"/>
  <c r="L1383" i="2" s="1"/>
  <c r="M1383" i="2" s="1"/>
  <c r="N1383" i="2" s="1"/>
  <c r="K1382" i="2"/>
  <c r="L1382" i="2" s="1"/>
  <c r="M1382" i="2" s="1"/>
  <c r="N1382" i="2" s="1"/>
  <c r="K1381" i="2"/>
  <c r="L1381" i="2" s="1"/>
  <c r="M1381" i="2" s="1"/>
  <c r="N1381" i="2" s="1"/>
  <c r="K1380" i="2"/>
  <c r="L1380" i="2" s="1"/>
  <c r="M1380" i="2" s="1"/>
  <c r="N1380" i="2" s="1"/>
  <c r="K1379" i="2"/>
  <c r="L1379" i="2" s="1"/>
  <c r="M1379" i="2" s="1"/>
  <c r="N1379" i="2" s="1"/>
  <c r="K1378" i="2"/>
  <c r="L1378" i="2" s="1"/>
  <c r="M1378" i="2" s="1"/>
  <c r="N1378" i="2" s="1"/>
  <c r="K1377" i="2"/>
  <c r="L1377" i="2" s="1"/>
  <c r="M1377" i="2" s="1"/>
  <c r="N1377" i="2" s="1"/>
  <c r="K1376" i="2"/>
  <c r="L1376" i="2" s="1"/>
  <c r="M1376" i="2" s="1"/>
  <c r="N1376" i="2" s="1"/>
  <c r="K1375" i="2"/>
  <c r="L1375" i="2" s="1"/>
  <c r="M1375" i="2" s="1"/>
  <c r="N1375" i="2" s="1"/>
  <c r="K1374" i="2"/>
  <c r="L1374" i="2" s="1"/>
  <c r="M1374" i="2" s="1"/>
  <c r="N1374" i="2" s="1"/>
  <c r="K1373" i="2"/>
  <c r="L1373" i="2" s="1"/>
  <c r="M1373" i="2" s="1"/>
  <c r="N1373" i="2" s="1"/>
  <c r="K1372" i="2"/>
  <c r="L1372" i="2" s="1"/>
  <c r="M1372" i="2" s="1"/>
  <c r="N1372" i="2" s="1"/>
  <c r="K1371" i="2"/>
  <c r="L1371" i="2" s="1"/>
  <c r="M1371" i="2" s="1"/>
  <c r="N1371" i="2" s="1"/>
  <c r="K1370" i="2"/>
  <c r="L1370" i="2" s="1"/>
  <c r="M1370" i="2" s="1"/>
  <c r="N1370" i="2" s="1"/>
  <c r="K1369" i="2"/>
  <c r="L1369" i="2" s="1"/>
  <c r="M1369" i="2" s="1"/>
  <c r="N1369" i="2" s="1"/>
  <c r="K1368" i="2"/>
  <c r="L1368" i="2" s="1"/>
  <c r="M1368" i="2" s="1"/>
  <c r="N1368" i="2" s="1"/>
  <c r="K1367" i="2"/>
  <c r="L1367" i="2" s="1"/>
  <c r="M1367" i="2" s="1"/>
  <c r="N1367" i="2" s="1"/>
  <c r="K1366" i="2"/>
  <c r="L1366" i="2" s="1"/>
  <c r="M1366" i="2" s="1"/>
  <c r="N1366" i="2" s="1"/>
  <c r="K1365" i="2"/>
  <c r="L1365" i="2" s="1"/>
  <c r="M1365" i="2" s="1"/>
  <c r="N1365" i="2" s="1"/>
  <c r="K1364" i="2"/>
  <c r="L1364" i="2" s="1"/>
  <c r="M1364" i="2" s="1"/>
  <c r="N1364" i="2" s="1"/>
  <c r="K1363" i="2"/>
  <c r="L1363" i="2" s="1"/>
  <c r="M1363" i="2" s="1"/>
  <c r="N1363" i="2" s="1"/>
  <c r="K1362" i="2"/>
  <c r="L1362" i="2" s="1"/>
  <c r="M1362" i="2" s="1"/>
  <c r="N1362" i="2" s="1"/>
  <c r="K1361" i="2"/>
  <c r="L1361" i="2" s="1"/>
  <c r="M1361" i="2" s="1"/>
  <c r="N1361" i="2" s="1"/>
  <c r="K1360" i="2"/>
  <c r="L1360" i="2" s="1"/>
  <c r="M1360" i="2" s="1"/>
  <c r="N1360" i="2" s="1"/>
  <c r="K1359" i="2"/>
  <c r="L1359" i="2" s="1"/>
  <c r="M1359" i="2" s="1"/>
  <c r="N1359" i="2" s="1"/>
  <c r="K1358" i="2"/>
  <c r="L1358" i="2" s="1"/>
  <c r="M1358" i="2" s="1"/>
  <c r="N1358" i="2" s="1"/>
  <c r="K1357" i="2"/>
  <c r="L1357" i="2" s="1"/>
  <c r="M1357" i="2" s="1"/>
  <c r="N1357" i="2" s="1"/>
  <c r="K1356" i="2"/>
  <c r="L1356" i="2" s="1"/>
  <c r="M1356" i="2" s="1"/>
  <c r="N1356" i="2" s="1"/>
  <c r="K1355" i="2"/>
  <c r="L1355" i="2" s="1"/>
  <c r="M1355" i="2" s="1"/>
  <c r="N1355" i="2" s="1"/>
  <c r="K1354" i="2"/>
  <c r="L1354" i="2" s="1"/>
  <c r="M1354" i="2" s="1"/>
  <c r="N1354" i="2" s="1"/>
  <c r="K1353" i="2"/>
  <c r="L1353" i="2" s="1"/>
  <c r="M1353" i="2" s="1"/>
  <c r="N1353" i="2" s="1"/>
  <c r="K1352" i="2"/>
  <c r="L1352" i="2" s="1"/>
  <c r="M1352" i="2" s="1"/>
  <c r="N1352" i="2" s="1"/>
  <c r="K1351" i="2"/>
  <c r="L1351" i="2" s="1"/>
  <c r="M1351" i="2" s="1"/>
  <c r="N1351" i="2" s="1"/>
  <c r="K1350" i="2"/>
  <c r="L1350" i="2" s="1"/>
  <c r="M1350" i="2" s="1"/>
  <c r="N1350" i="2" s="1"/>
  <c r="K1349" i="2"/>
  <c r="L1349" i="2" s="1"/>
  <c r="M1349" i="2" s="1"/>
  <c r="N1349" i="2" s="1"/>
  <c r="K1348" i="2"/>
  <c r="L1348" i="2" s="1"/>
  <c r="M1348" i="2" s="1"/>
  <c r="N1348" i="2" s="1"/>
  <c r="K1347" i="2"/>
  <c r="L1347" i="2" s="1"/>
  <c r="M1347" i="2" s="1"/>
  <c r="N1347" i="2" s="1"/>
  <c r="K1346" i="2"/>
  <c r="L1346" i="2" s="1"/>
  <c r="M1346" i="2" s="1"/>
  <c r="N1346" i="2" s="1"/>
  <c r="K1345" i="2"/>
  <c r="L1345" i="2" s="1"/>
  <c r="M1345" i="2" s="1"/>
  <c r="N1345" i="2" s="1"/>
  <c r="K1344" i="2"/>
  <c r="L1344" i="2" s="1"/>
  <c r="M1344" i="2" s="1"/>
  <c r="N1344" i="2" s="1"/>
  <c r="K1343" i="2"/>
  <c r="L1343" i="2" s="1"/>
  <c r="M1343" i="2" s="1"/>
  <c r="N1343" i="2" s="1"/>
  <c r="K1342" i="2"/>
  <c r="L1342" i="2" s="1"/>
  <c r="M1342" i="2" s="1"/>
  <c r="N1342" i="2" s="1"/>
  <c r="K1341" i="2"/>
  <c r="L1341" i="2" s="1"/>
  <c r="M1341" i="2" s="1"/>
  <c r="N1341" i="2" s="1"/>
  <c r="K1340" i="2"/>
  <c r="L1340" i="2" s="1"/>
  <c r="M1340" i="2" s="1"/>
  <c r="N1340" i="2" s="1"/>
  <c r="K1339" i="2"/>
  <c r="L1339" i="2" s="1"/>
  <c r="M1339" i="2" s="1"/>
  <c r="N1339" i="2" s="1"/>
  <c r="K1338" i="2"/>
  <c r="L1338" i="2" s="1"/>
  <c r="M1338" i="2" s="1"/>
  <c r="N1338" i="2" s="1"/>
  <c r="K1337" i="2"/>
  <c r="L1337" i="2" s="1"/>
  <c r="M1337" i="2" s="1"/>
  <c r="N1337" i="2" s="1"/>
  <c r="K1336" i="2"/>
  <c r="L1336" i="2" s="1"/>
  <c r="M1336" i="2" s="1"/>
  <c r="N1336" i="2" s="1"/>
  <c r="K1335" i="2"/>
  <c r="L1335" i="2" s="1"/>
  <c r="M1335" i="2" s="1"/>
  <c r="N1335" i="2" s="1"/>
  <c r="K1334" i="2"/>
  <c r="L1334" i="2" s="1"/>
  <c r="M1334" i="2" s="1"/>
  <c r="N1334" i="2" s="1"/>
  <c r="K1333" i="2"/>
  <c r="L1333" i="2" s="1"/>
  <c r="M1333" i="2" s="1"/>
  <c r="N1333" i="2" s="1"/>
  <c r="K1332" i="2"/>
  <c r="L1332" i="2" s="1"/>
  <c r="M1332" i="2" s="1"/>
  <c r="N1332" i="2" s="1"/>
  <c r="K1331" i="2"/>
  <c r="L1331" i="2" s="1"/>
  <c r="M1331" i="2" s="1"/>
  <c r="N1331" i="2" s="1"/>
  <c r="K1330" i="2"/>
  <c r="L1330" i="2" s="1"/>
  <c r="M1330" i="2" s="1"/>
  <c r="N1330" i="2" s="1"/>
  <c r="K1329" i="2"/>
  <c r="L1329" i="2" s="1"/>
  <c r="M1329" i="2" s="1"/>
  <c r="N1329" i="2" s="1"/>
  <c r="K1328" i="2"/>
  <c r="L1328" i="2" s="1"/>
  <c r="M1328" i="2" s="1"/>
  <c r="N1328" i="2" s="1"/>
  <c r="K1327" i="2"/>
  <c r="L1327" i="2" s="1"/>
  <c r="M1327" i="2" s="1"/>
  <c r="N1327" i="2" s="1"/>
  <c r="K1326" i="2"/>
  <c r="L1326" i="2" s="1"/>
  <c r="M1326" i="2" s="1"/>
  <c r="N1326" i="2" s="1"/>
  <c r="K1325" i="2"/>
  <c r="L1325" i="2" s="1"/>
  <c r="M1325" i="2" s="1"/>
  <c r="N1325" i="2" s="1"/>
  <c r="K1324" i="2"/>
  <c r="L1324" i="2" s="1"/>
  <c r="M1324" i="2" s="1"/>
  <c r="N1324" i="2" s="1"/>
  <c r="K1323" i="2"/>
  <c r="L1323" i="2" s="1"/>
  <c r="M1323" i="2" s="1"/>
  <c r="N1323" i="2" s="1"/>
  <c r="K1322" i="2"/>
  <c r="L1322" i="2" s="1"/>
  <c r="M1322" i="2" s="1"/>
  <c r="N1322" i="2" s="1"/>
  <c r="K1321" i="2"/>
  <c r="L1321" i="2" s="1"/>
  <c r="M1321" i="2" s="1"/>
  <c r="N1321" i="2" s="1"/>
  <c r="K1320" i="2"/>
  <c r="L1320" i="2" s="1"/>
  <c r="M1320" i="2" s="1"/>
  <c r="N1320" i="2" s="1"/>
  <c r="K1319" i="2"/>
  <c r="L1319" i="2" s="1"/>
  <c r="M1319" i="2" s="1"/>
  <c r="N1319" i="2" s="1"/>
  <c r="K1318" i="2"/>
  <c r="L1318" i="2" s="1"/>
  <c r="M1318" i="2" s="1"/>
  <c r="N1318" i="2" s="1"/>
  <c r="K1317" i="2"/>
  <c r="L1317" i="2" s="1"/>
  <c r="M1317" i="2" s="1"/>
  <c r="N1317" i="2" s="1"/>
  <c r="K1316" i="2"/>
  <c r="L1316" i="2" s="1"/>
  <c r="M1316" i="2" s="1"/>
  <c r="N1316" i="2" s="1"/>
  <c r="K1315" i="2"/>
  <c r="L1315" i="2" s="1"/>
  <c r="M1315" i="2" s="1"/>
  <c r="N1315" i="2" s="1"/>
  <c r="K1314" i="2"/>
  <c r="L1314" i="2" s="1"/>
  <c r="M1314" i="2" s="1"/>
  <c r="N1314" i="2" s="1"/>
  <c r="K1313" i="2"/>
  <c r="L1313" i="2" s="1"/>
  <c r="M1313" i="2" s="1"/>
  <c r="N1313" i="2" s="1"/>
  <c r="K1312" i="2"/>
  <c r="L1312" i="2" s="1"/>
  <c r="M1312" i="2" s="1"/>
  <c r="N1312" i="2" s="1"/>
  <c r="K1311" i="2"/>
  <c r="L1311" i="2" s="1"/>
  <c r="M1311" i="2" s="1"/>
  <c r="N1311" i="2" s="1"/>
  <c r="K1310" i="2"/>
  <c r="L1310" i="2" s="1"/>
  <c r="M1310" i="2" s="1"/>
  <c r="N1310" i="2" s="1"/>
  <c r="K1309" i="2"/>
  <c r="L1309" i="2" s="1"/>
  <c r="M1309" i="2" s="1"/>
  <c r="N1309" i="2" s="1"/>
  <c r="K1308" i="2"/>
  <c r="L1308" i="2" s="1"/>
  <c r="M1308" i="2" s="1"/>
  <c r="N1308" i="2" s="1"/>
  <c r="K1307" i="2"/>
  <c r="L1307" i="2" s="1"/>
  <c r="M1307" i="2" s="1"/>
  <c r="N1307" i="2" s="1"/>
  <c r="K1306" i="2"/>
  <c r="L1306" i="2" s="1"/>
  <c r="M1306" i="2" s="1"/>
  <c r="N1306" i="2" s="1"/>
  <c r="K1305" i="2"/>
  <c r="L1305" i="2" s="1"/>
  <c r="M1305" i="2" s="1"/>
  <c r="N1305" i="2" s="1"/>
  <c r="K1304" i="2"/>
  <c r="L1304" i="2" s="1"/>
  <c r="M1304" i="2" s="1"/>
  <c r="N1304" i="2" s="1"/>
  <c r="K1303" i="2"/>
  <c r="L1303" i="2" s="1"/>
  <c r="M1303" i="2" s="1"/>
  <c r="N1303" i="2" s="1"/>
  <c r="K1302" i="2"/>
  <c r="L1302" i="2" s="1"/>
  <c r="M1302" i="2" s="1"/>
  <c r="N1302" i="2" s="1"/>
  <c r="K1301" i="2"/>
  <c r="L1301" i="2" s="1"/>
  <c r="M1301" i="2" s="1"/>
  <c r="N1301" i="2" s="1"/>
  <c r="K1300" i="2"/>
  <c r="L1300" i="2" s="1"/>
  <c r="M1300" i="2" s="1"/>
  <c r="N1300" i="2" s="1"/>
  <c r="K1299" i="2"/>
  <c r="L1299" i="2" s="1"/>
  <c r="M1299" i="2" s="1"/>
  <c r="N1299" i="2" s="1"/>
  <c r="K1298" i="2"/>
  <c r="L1298" i="2" s="1"/>
  <c r="M1298" i="2" s="1"/>
  <c r="N1298" i="2" s="1"/>
  <c r="K1297" i="2"/>
  <c r="L1297" i="2" s="1"/>
  <c r="M1297" i="2" s="1"/>
  <c r="N1297" i="2" s="1"/>
  <c r="K1296" i="2"/>
  <c r="L1296" i="2" s="1"/>
  <c r="M1296" i="2" s="1"/>
  <c r="N1296" i="2" s="1"/>
  <c r="K1295" i="2"/>
  <c r="L1295" i="2" s="1"/>
  <c r="M1295" i="2" s="1"/>
  <c r="N1295" i="2" s="1"/>
  <c r="K1294" i="2"/>
  <c r="L1294" i="2" s="1"/>
  <c r="M1294" i="2" s="1"/>
  <c r="N1294" i="2" s="1"/>
  <c r="K1293" i="2"/>
  <c r="L1293" i="2" s="1"/>
  <c r="M1293" i="2" s="1"/>
  <c r="N1293" i="2" s="1"/>
  <c r="K1292" i="2"/>
  <c r="L1292" i="2" s="1"/>
  <c r="M1292" i="2" s="1"/>
  <c r="N1292" i="2" s="1"/>
  <c r="K1291" i="2"/>
  <c r="L1291" i="2" s="1"/>
  <c r="M1291" i="2" s="1"/>
  <c r="N1291" i="2" s="1"/>
  <c r="K1290" i="2"/>
  <c r="L1290" i="2" s="1"/>
  <c r="M1290" i="2" s="1"/>
  <c r="N1290" i="2" s="1"/>
  <c r="K1289" i="2"/>
  <c r="L1289" i="2" s="1"/>
  <c r="M1289" i="2" s="1"/>
  <c r="N1289" i="2" s="1"/>
  <c r="K1288" i="2"/>
  <c r="L1288" i="2" s="1"/>
  <c r="M1288" i="2" s="1"/>
  <c r="N1288" i="2" s="1"/>
  <c r="K1287" i="2"/>
  <c r="L1287" i="2" s="1"/>
  <c r="M1287" i="2" s="1"/>
  <c r="N1287" i="2" s="1"/>
  <c r="K1286" i="2"/>
  <c r="L1286" i="2" s="1"/>
  <c r="M1286" i="2" s="1"/>
  <c r="N1286" i="2" s="1"/>
  <c r="K1285" i="2"/>
  <c r="L1285" i="2" s="1"/>
  <c r="M1285" i="2" s="1"/>
  <c r="N1285" i="2" s="1"/>
  <c r="K1284" i="2"/>
  <c r="L1284" i="2" s="1"/>
  <c r="M1284" i="2" s="1"/>
  <c r="N1284" i="2" s="1"/>
  <c r="K1283" i="2"/>
  <c r="L1283" i="2" s="1"/>
  <c r="M1283" i="2" s="1"/>
  <c r="N1283" i="2" s="1"/>
  <c r="K1282" i="2"/>
  <c r="L1282" i="2" s="1"/>
  <c r="M1282" i="2" s="1"/>
  <c r="N1282" i="2" s="1"/>
  <c r="K1281" i="2"/>
  <c r="L1281" i="2" s="1"/>
  <c r="M1281" i="2" s="1"/>
  <c r="N1281" i="2" s="1"/>
  <c r="K1280" i="2"/>
  <c r="L1280" i="2" s="1"/>
  <c r="M1280" i="2" s="1"/>
  <c r="N1280" i="2" s="1"/>
  <c r="K1279" i="2"/>
  <c r="L1279" i="2" s="1"/>
  <c r="M1279" i="2" s="1"/>
  <c r="N1279" i="2" s="1"/>
  <c r="K1278" i="2"/>
  <c r="L1278" i="2" s="1"/>
  <c r="M1278" i="2" s="1"/>
  <c r="N1278" i="2" s="1"/>
  <c r="K1277" i="2"/>
  <c r="L1277" i="2" s="1"/>
  <c r="M1277" i="2" s="1"/>
  <c r="N1277" i="2" s="1"/>
  <c r="K1276" i="2"/>
  <c r="L1276" i="2" s="1"/>
  <c r="M1276" i="2" s="1"/>
  <c r="N1276" i="2" s="1"/>
  <c r="K1275" i="2"/>
  <c r="L1275" i="2" s="1"/>
  <c r="M1275" i="2" s="1"/>
  <c r="N1275" i="2" s="1"/>
  <c r="K1274" i="2"/>
  <c r="L1274" i="2" s="1"/>
  <c r="M1274" i="2" s="1"/>
  <c r="N1274" i="2" s="1"/>
  <c r="K1273" i="2"/>
  <c r="L1273" i="2" s="1"/>
  <c r="M1273" i="2" s="1"/>
  <c r="N1273" i="2" s="1"/>
  <c r="K1272" i="2"/>
  <c r="L1272" i="2" s="1"/>
  <c r="M1272" i="2" s="1"/>
  <c r="N1272" i="2" s="1"/>
  <c r="K1271" i="2"/>
  <c r="L1271" i="2" s="1"/>
  <c r="M1271" i="2" s="1"/>
  <c r="N1271" i="2" s="1"/>
  <c r="K1270" i="2"/>
  <c r="L1270" i="2" s="1"/>
  <c r="M1270" i="2" s="1"/>
  <c r="N1270" i="2" s="1"/>
  <c r="K1269" i="2"/>
  <c r="L1269" i="2" s="1"/>
  <c r="M1269" i="2" s="1"/>
  <c r="N1269" i="2" s="1"/>
  <c r="K1268" i="2"/>
  <c r="L1268" i="2" s="1"/>
  <c r="M1268" i="2" s="1"/>
  <c r="N1268" i="2" s="1"/>
  <c r="K1267" i="2"/>
  <c r="L1267" i="2" s="1"/>
  <c r="M1267" i="2" s="1"/>
  <c r="N1267" i="2" s="1"/>
  <c r="K1266" i="2"/>
  <c r="L1266" i="2" s="1"/>
  <c r="M1266" i="2" s="1"/>
  <c r="N1266" i="2" s="1"/>
  <c r="K1265" i="2"/>
  <c r="L1265" i="2" s="1"/>
  <c r="M1265" i="2" s="1"/>
  <c r="N1265" i="2" s="1"/>
  <c r="K1264" i="2"/>
  <c r="L1264" i="2" s="1"/>
  <c r="M1264" i="2" s="1"/>
  <c r="N1264" i="2" s="1"/>
  <c r="K1263" i="2"/>
  <c r="L1263" i="2" s="1"/>
  <c r="M1263" i="2" s="1"/>
  <c r="N1263" i="2" s="1"/>
  <c r="K1262" i="2"/>
  <c r="L1262" i="2" s="1"/>
  <c r="M1262" i="2" s="1"/>
  <c r="N1262" i="2" s="1"/>
  <c r="K1261" i="2"/>
  <c r="L1261" i="2" s="1"/>
  <c r="M1261" i="2" s="1"/>
  <c r="N1261" i="2" s="1"/>
  <c r="K1260" i="2"/>
  <c r="L1260" i="2" s="1"/>
  <c r="M1260" i="2" s="1"/>
  <c r="N1260" i="2" s="1"/>
  <c r="K1259" i="2"/>
  <c r="L1259" i="2" s="1"/>
  <c r="M1259" i="2" s="1"/>
  <c r="N1259" i="2" s="1"/>
  <c r="K1258" i="2"/>
  <c r="L1258" i="2" s="1"/>
  <c r="M1258" i="2" s="1"/>
  <c r="N1258" i="2" s="1"/>
  <c r="K1257" i="2"/>
  <c r="L1257" i="2" s="1"/>
  <c r="M1257" i="2" s="1"/>
  <c r="N1257" i="2" s="1"/>
  <c r="K1256" i="2"/>
  <c r="L1256" i="2" s="1"/>
  <c r="M1256" i="2" s="1"/>
  <c r="N1256" i="2" s="1"/>
  <c r="K1255" i="2"/>
  <c r="L1255" i="2" s="1"/>
  <c r="M1255" i="2" s="1"/>
  <c r="N1255" i="2" s="1"/>
  <c r="K1254" i="2"/>
  <c r="L1254" i="2" s="1"/>
  <c r="M1254" i="2" s="1"/>
  <c r="N1254" i="2" s="1"/>
  <c r="K1253" i="2"/>
  <c r="L1253" i="2" s="1"/>
  <c r="M1253" i="2" s="1"/>
  <c r="N1253" i="2" s="1"/>
  <c r="K1252" i="2"/>
  <c r="L1252" i="2" s="1"/>
  <c r="M1252" i="2" s="1"/>
  <c r="N1252" i="2" s="1"/>
  <c r="K1251" i="2"/>
  <c r="L1251" i="2" s="1"/>
  <c r="M1251" i="2" s="1"/>
  <c r="N1251" i="2" s="1"/>
  <c r="K1250" i="2"/>
  <c r="L1250" i="2" s="1"/>
  <c r="M1250" i="2" s="1"/>
  <c r="N1250" i="2" s="1"/>
  <c r="K1249" i="2"/>
  <c r="L1249" i="2" s="1"/>
  <c r="M1249" i="2" s="1"/>
  <c r="N1249" i="2" s="1"/>
  <c r="K1248" i="2"/>
  <c r="L1248" i="2" s="1"/>
  <c r="M1248" i="2" s="1"/>
  <c r="N1248" i="2" s="1"/>
  <c r="K1247" i="2"/>
  <c r="L1247" i="2" s="1"/>
  <c r="M1247" i="2" s="1"/>
  <c r="N1247" i="2" s="1"/>
  <c r="K1246" i="2"/>
  <c r="L1246" i="2" s="1"/>
  <c r="M1246" i="2" s="1"/>
  <c r="N1246" i="2" s="1"/>
  <c r="K1245" i="2"/>
  <c r="L1245" i="2" s="1"/>
  <c r="M1245" i="2" s="1"/>
  <c r="N1245" i="2" s="1"/>
  <c r="K1244" i="2"/>
  <c r="L1244" i="2" s="1"/>
  <c r="M1244" i="2" s="1"/>
  <c r="N1244" i="2" s="1"/>
  <c r="K1243" i="2"/>
  <c r="L1243" i="2" s="1"/>
  <c r="M1243" i="2" s="1"/>
  <c r="N1243" i="2" s="1"/>
  <c r="K1242" i="2"/>
  <c r="L1242" i="2" s="1"/>
  <c r="M1242" i="2" s="1"/>
  <c r="N1242" i="2" s="1"/>
  <c r="K1241" i="2"/>
  <c r="L1241" i="2" s="1"/>
  <c r="M1241" i="2" s="1"/>
  <c r="N1241" i="2" s="1"/>
  <c r="K1240" i="2"/>
  <c r="L1240" i="2" s="1"/>
  <c r="M1240" i="2" s="1"/>
  <c r="N1240" i="2" s="1"/>
  <c r="K1239" i="2"/>
  <c r="L1239" i="2" s="1"/>
  <c r="M1239" i="2" s="1"/>
  <c r="N1239" i="2" s="1"/>
  <c r="K1238" i="2"/>
  <c r="L1238" i="2" s="1"/>
  <c r="M1238" i="2" s="1"/>
  <c r="N1238" i="2" s="1"/>
  <c r="K1237" i="2"/>
  <c r="L1237" i="2" s="1"/>
  <c r="M1237" i="2" s="1"/>
  <c r="N1237" i="2" s="1"/>
  <c r="K1236" i="2"/>
  <c r="L1236" i="2" s="1"/>
  <c r="M1236" i="2" s="1"/>
  <c r="N1236" i="2" s="1"/>
  <c r="K1235" i="2"/>
  <c r="L1235" i="2" s="1"/>
  <c r="M1235" i="2" s="1"/>
  <c r="N1235" i="2" s="1"/>
  <c r="K1234" i="2"/>
  <c r="L1234" i="2" s="1"/>
  <c r="M1234" i="2" s="1"/>
  <c r="N1234" i="2" s="1"/>
  <c r="K1233" i="2"/>
  <c r="L1233" i="2" s="1"/>
  <c r="M1233" i="2" s="1"/>
  <c r="N1233" i="2" s="1"/>
  <c r="K1232" i="2"/>
  <c r="L1232" i="2" s="1"/>
  <c r="M1232" i="2" s="1"/>
  <c r="N1232" i="2" s="1"/>
  <c r="K1231" i="2"/>
  <c r="L1231" i="2" s="1"/>
  <c r="M1231" i="2" s="1"/>
  <c r="N1231" i="2" s="1"/>
  <c r="K1230" i="2"/>
  <c r="L1230" i="2" s="1"/>
  <c r="M1230" i="2" s="1"/>
  <c r="N1230" i="2" s="1"/>
  <c r="K1229" i="2"/>
  <c r="L1229" i="2" s="1"/>
  <c r="M1229" i="2" s="1"/>
  <c r="N1229" i="2" s="1"/>
  <c r="K1228" i="2"/>
  <c r="L1228" i="2" s="1"/>
  <c r="M1228" i="2" s="1"/>
  <c r="N1228" i="2" s="1"/>
  <c r="K1227" i="2"/>
  <c r="L1227" i="2" s="1"/>
  <c r="M1227" i="2" s="1"/>
  <c r="N1227" i="2" s="1"/>
  <c r="K1226" i="2"/>
  <c r="L1226" i="2" s="1"/>
  <c r="M1226" i="2" s="1"/>
  <c r="N1226" i="2" s="1"/>
  <c r="K1225" i="2"/>
  <c r="L1225" i="2" s="1"/>
  <c r="M1225" i="2" s="1"/>
  <c r="N1225" i="2" s="1"/>
  <c r="K1224" i="2"/>
  <c r="L1224" i="2" s="1"/>
  <c r="M1224" i="2" s="1"/>
  <c r="N1224" i="2" s="1"/>
  <c r="K1223" i="2"/>
  <c r="L1223" i="2" s="1"/>
  <c r="M1223" i="2" s="1"/>
  <c r="N1223" i="2" s="1"/>
  <c r="K1222" i="2"/>
  <c r="L1222" i="2" s="1"/>
  <c r="M1222" i="2" s="1"/>
  <c r="N1222" i="2" s="1"/>
  <c r="K1221" i="2"/>
  <c r="L1221" i="2" s="1"/>
  <c r="M1221" i="2" s="1"/>
  <c r="N1221" i="2" s="1"/>
  <c r="K1220" i="2"/>
  <c r="L1220" i="2" s="1"/>
  <c r="M1220" i="2" s="1"/>
  <c r="N1220" i="2" s="1"/>
  <c r="K1219" i="2"/>
  <c r="L1219" i="2" s="1"/>
  <c r="M1219" i="2" s="1"/>
  <c r="N1219" i="2" s="1"/>
  <c r="K1218" i="2"/>
  <c r="L1218" i="2" s="1"/>
  <c r="M1218" i="2" s="1"/>
  <c r="N1218" i="2" s="1"/>
  <c r="K1217" i="2"/>
  <c r="L1217" i="2" s="1"/>
  <c r="M1217" i="2" s="1"/>
  <c r="N1217" i="2" s="1"/>
  <c r="K1216" i="2"/>
  <c r="L1216" i="2" s="1"/>
  <c r="M1216" i="2" s="1"/>
  <c r="N1216" i="2" s="1"/>
  <c r="K1215" i="2"/>
  <c r="L1215" i="2" s="1"/>
  <c r="M1215" i="2" s="1"/>
  <c r="N1215" i="2" s="1"/>
  <c r="K1214" i="2"/>
  <c r="L1214" i="2" s="1"/>
  <c r="M1214" i="2" s="1"/>
  <c r="N1214" i="2" s="1"/>
  <c r="K1213" i="2"/>
  <c r="L1213" i="2" s="1"/>
  <c r="M1213" i="2" s="1"/>
  <c r="N1213" i="2" s="1"/>
  <c r="K1212" i="2"/>
  <c r="L1212" i="2" s="1"/>
  <c r="M1212" i="2" s="1"/>
  <c r="N1212" i="2" s="1"/>
  <c r="K1211" i="2"/>
  <c r="L1211" i="2" s="1"/>
  <c r="M1211" i="2" s="1"/>
  <c r="N1211" i="2" s="1"/>
  <c r="K1210" i="2"/>
  <c r="L1210" i="2" s="1"/>
  <c r="M1210" i="2" s="1"/>
  <c r="N1210" i="2" s="1"/>
  <c r="K1209" i="2"/>
  <c r="L1209" i="2" s="1"/>
  <c r="M1209" i="2" s="1"/>
  <c r="N1209" i="2" s="1"/>
  <c r="K1208" i="2"/>
  <c r="L1208" i="2" s="1"/>
  <c r="M1208" i="2" s="1"/>
  <c r="N1208" i="2" s="1"/>
  <c r="K1207" i="2"/>
  <c r="L1207" i="2" s="1"/>
  <c r="M1207" i="2" s="1"/>
  <c r="N1207" i="2" s="1"/>
  <c r="K1206" i="2"/>
  <c r="L1206" i="2" s="1"/>
  <c r="M1206" i="2" s="1"/>
  <c r="N1206" i="2" s="1"/>
  <c r="K1205" i="2"/>
  <c r="L1205" i="2" s="1"/>
  <c r="M1205" i="2" s="1"/>
  <c r="N1205" i="2" s="1"/>
  <c r="K1204" i="2"/>
  <c r="L1204" i="2" s="1"/>
  <c r="M1204" i="2" s="1"/>
  <c r="N1204" i="2" s="1"/>
  <c r="K1203" i="2"/>
  <c r="L1203" i="2" s="1"/>
  <c r="M1203" i="2" s="1"/>
  <c r="N1203" i="2" s="1"/>
  <c r="K1202" i="2"/>
  <c r="L1202" i="2" s="1"/>
  <c r="M1202" i="2" s="1"/>
  <c r="N1202" i="2" s="1"/>
  <c r="K1201" i="2"/>
  <c r="L1201" i="2" s="1"/>
  <c r="M1201" i="2" s="1"/>
  <c r="N1201" i="2" s="1"/>
  <c r="K1200" i="2"/>
  <c r="L1200" i="2" s="1"/>
  <c r="M1200" i="2" s="1"/>
  <c r="N1200" i="2" s="1"/>
  <c r="K1199" i="2"/>
  <c r="L1199" i="2" s="1"/>
  <c r="M1199" i="2" s="1"/>
  <c r="N1199" i="2" s="1"/>
  <c r="K1198" i="2"/>
  <c r="L1198" i="2" s="1"/>
  <c r="M1198" i="2" s="1"/>
  <c r="N1198" i="2" s="1"/>
  <c r="K1197" i="2"/>
  <c r="L1197" i="2" s="1"/>
  <c r="M1197" i="2" s="1"/>
  <c r="N1197" i="2" s="1"/>
  <c r="K1196" i="2"/>
  <c r="L1196" i="2" s="1"/>
  <c r="M1196" i="2" s="1"/>
  <c r="N1196" i="2" s="1"/>
  <c r="K1195" i="2"/>
  <c r="L1195" i="2" s="1"/>
  <c r="M1195" i="2" s="1"/>
  <c r="N1195" i="2" s="1"/>
  <c r="K1194" i="2"/>
  <c r="L1194" i="2" s="1"/>
  <c r="M1194" i="2" s="1"/>
  <c r="N1194" i="2" s="1"/>
  <c r="K1193" i="2"/>
  <c r="L1193" i="2" s="1"/>
  <c r="M1193" i="2" s="1"/>
  <c r="N1193" i="2" s="1"/>
  <c r="K1192" i="2"/>
  <c r="L1192" i="2" s="1"/>
  <c r="M1192" i="2" s="1"/>
  <c r="N1192" i="2" s="1"/>
  <c r="K1191" i="2"/>
  <c r="L1191" i="2" s="1"/>
  <c r="M1191" i="2" s="1"/>
  <c r="N1191" i="2" s="1"/>
  <c r="K1190" i="2"/>
  <c r="L1190" i="2" s="1"/>
  <c r="M1190" i="2" s="1"/>
  <c r="N1190" i="2" s="1"/>
  <c r="K1189" i="2"/>
  <c r="L1189" i="2" s="1"/>
  <c r="M1189" i="2" s="1"/>
  <c r="N1189" i="2" s="1"/>
  <c r="K1188" i="2"/>
  <c r="L1188" i="2" s="1"/>
  <c r="M1188" i="2" s="1"/>
  <c r="N1188" i="2" s="1"/>
  <c r="K1187" i="2"/>
  <c r="L1187" i="2" s="1"/>
  <c r="M1187" i="2" s="1"/>
  <c r="N1187" i="2" s="1"/>
  <c r="K1186" i="2"/>
  <c r="L1186" i="2" s="1"/>
  <c r="M1186" i="2" s="1"/>
  <c r="N1186" i="2" s="1"/>
  <c r="K1185" i="2"/>
  <c r="L1185" i="2" s="1"/>
  <c r="M1185" i="2" s="1"/>
  <c r="N1185" i="2" s="1"/>
  <c r="K1184" i="2"/>
  <c r="L1184" i="2" s="1"/>
  <c r="M1184" i="2" s="1"/>
  <c r="N1184" i="2" s="1"/>
  <c r="K1183" i="2"/>
  <c r="L1183" i="2" s="1"/>
  <c r="M1183" i="2" s="1"/>
  <c r="N1183" i="2" s="1"/>
  <c r="K1182" i="2"/>
  <c r="L1182" i="2" s="1"/>
  <c r="M1182" i="2" s="1"/>
  <c r="N1182" i="2" s="1"/>
  <c r="K1181" i="2"/>
  <c r="L1181" i="2" s="1"/>
  <c r="M1181" i="2" s="1"/>
  <c r="N1181" i="2" s="1"/>
  <c r="K1180" i="2"/>
  <c r="L1180" i="2" s="1"/>
  <c r="M1180" i="2" s="1"/>
  <c r="N1180" i="2" s="1"/>
  <c r="K1179" i="2"/>
  <c r="L1179" i="2" s="1"/>
  <c r="M1179" i="2" s="1"/>
  <c r="N1179" i="2" s="1"/>
  <c r="K1178" i="2"/>
  <c r="L1178" i="2" s="1"/>
  <c r="M1178" i="2" s="1"/>
  <c r="N1178" i="2" s="1"/>
  <c r="K1177" i="2"/>
  <c r="L1177" i="2" s="1"/>
  <c r="M1177" i="2" s="1"/>
  <c r="N1177" i="2" s="1"/>
  <c r="K1176" i="2"/>
  <c r="L1176" i="2" s="1"/>
  <c r="M1176" i="2" s="1"/>
  <c r="N1176" i="2" s="1"/>
  <c r="K1175" i="2"/>
  <c r="L1175" i="2" s="1"/>
  <c r="M1175" i="2" s="1"/>
  <c r="N1175" i="2" s="1"/>
  <c r="K1174" i="2"/>
  <c r="L1174" i="2" s="1"/>
  <c r="M1174" i="2" s="1"/>
  <c r="N1174" i="2" s="1"/>
  <c r="K1173" i="2"/>
  <c r="L1173" i="2" s="1"/>
  <c r="M1173" i="2" s="1"/>
  <c r="N1173" i="2" s="1"/>
  <c r="K1172" i="2"/>
  <c r="L1172" i="2" s="1"/>
  <c r="M1172" i="2" s="1"/>
  <c r="N1172" i="2" s="1"/>
  <c r="K1171" i="2"/>
  <c r="L1171" i="2" s="1"/>
  <c r="M1171" i="2" s="1"/>
  <c r="N1171" i="2" s="1"/>
  <c r="K1170" i="2"/>
  <c r="L1170" i="2" s="1"/>
  <c r="M1170" i="2" s="1"/>
  <c r="N1170" i="2" s="1"/>
  <c r="K1169" i="2"/>
  <c r="L1169" i="2" s="1"/>
  <c r="M1169" i="2" s="1"/>
  <c r="N1169" i="2" s="1"/>
  <c r="K1168" i="2"/>
  <c r="L1168" i="2" s="1"/>
  <c r="M1168" i="2" s="1"/>
  <c r="N1168" i="2" s="1"/>
  <c r="K1167" i="2"/>
  <c r="L1167" i="2" s="1"/>
  <c r="M1167" i="2" s="1"/>
  <c r="N1167" i="2" s="1"/>
  <c r="K1166" i="2"/>
  <c r="L1166" i="2" s="1"/>
  <c r="M1166" i="2" s="1"/>
  <c r="N1166" i="2" s="1"/>
  <c r="K1165" i="2"/>
  <c r="L1165" i="2" s="1"/>
  <c r="M1165" i="2" s="1"/>
  <c r="N1165" i="2" s="1"/>
  <c r="K1164" i="2"/>
  <c r="L1164" i="2" s="1"/>
  <c r="M1164" i="2" s="1"/>
  <c r="N1164" i="2" s="1"/>
  <c r="K1163" i="2"/>
  <c r="L1163" i="2" s="1"/>
  <c r="M1163" i="2" s="1"/>
  <c r="N1163" i="2" s="1"/>
  <c r="K1162" i="2"/>
  <c r="L1162" i="2" s="1"/>
  <c r="M1162" i="2" s="1"/>
  <c r="N1162" i="2" s="1"/>
  <c r="K1161" i="2"/>
  <c r="L1161" i="2" s="1"/>
  <c r="M1161" i="2" s="1"/>
  <c r="N1161" i="2" s="1"/>
  <c r="K1160" i="2"/>
  <c r="L1160" i="2" s="1"/>
  <c r="M1160" i="2" s="1"/>
  <c r="N1160" i="2" s="1"/>
  <c r="K1159" i="2"/>
  <c r="L1159" i="2" s="1"/>
  <c r="M1159" i="2" s="1"/>
  <c r="N1159" i="2" s="1"/>
  <c r="K1158" i="2"/>
  <c r="L1158" i="2" s="1"/>
  <c r="M1158" i="2" s="1"/>
  <c r="N1158" i="2" s="1"/>
  <c r="K1157" i="2"/>
  <c r="L1157" i="2" s="1"/>
  <c r="M1157" i="2" s="1"/>
  <c r="N1157" i="2" s="1"/>
  <c r="K1156" i="2"/>
  <c r="L1156" i="2" s="1"/>
  <c r="M1156" i="2" s="1"/>
  <c r="N1156" i="2" s="1"/>
  <c r="K1155" i="2"/>
  <c r="L1155" i="2" s="1"/>
  <c r="M1155" i="2" s="1"/>
  <c r="N1155" i="2" s="1"/>
  <c r="K1154" i="2"/>
  <c r="L1154" i="2" s="1"/>
  <c r="M1154" i="2" s="1"/>
  <c r="N1154" i="2" s="1"/>
  <c r="K1153" i="2"/>
  <c r="L1153" i="2" s="1"/>
  <c r="M1153" i="2" s="1"/>
  <c r="N1153" i="2" s="1"/>
  <c r="K1152" i="2"/>
  <c r="L1152" i="2" s="1"/>
  <c r="M1152" i="2" s="1"/>
  <c r="N1152" i="2" s="1"/>
  <c r="K1151" i="2"/>
  <c r="L1151" i="2" s="1"/>
  <c r="M1151" i="2" s="1"/>
  <c r="N1151" i="2" s="1"/>
  <c r="K1150" i="2"/>
  <c r="L1150" i="2" s="1"/>
  <c r="M1150" i="2" s="1"/>
  <c r="N1150" i="2" s="1"/>
  <c r="K1149" i="2"/>
  <c r="L1149" i="2" s="1"/>
  <c r="M1149" i="2" s="1"/>
  <c r="N1149" i="2" s="1"/>
  <c r="K1148" i="2"/>
  <c r="L1148" i="2" s="1"/>
  <c r="M1148" i="2" s="1"/>
  <c r="N1148" i="2" s="1"/>
  <c r="K1147" i="2"/>
  <c r="L1147" i="2" s="1"/>
  <c r="M1147" i="2" s="1"/>
  <c r="N1147" i="2" s="1"/>
  <c r="K1146" i="2"/>
  <c r="L1146" i="2" s="1"/>
  <c r="M1146" i="2" s="1"/>
  <c r="N1146" i="2" s="1"/>
  <c r="K1145" i="2"/>
  <c r="L1145" i="2" s="1"/>
  <c r="M1145" i="2" s="1"/>
  <c r="N1145" i="2" s="1"/>
  <c r="K1144" i="2"/>
  <c r="L1144" i="2" s="1"/>
  <c r="M1144" i="2" s="1"/>
  <c r="N1144" i="2" s="1"/>
  <c r="K1143" i="2"/>
  <c r="L1143" i="2" s="1"/>
  <c r="M1143" i="2" s="1"/>
  <c r="N1143" i="2" s="1"/>
  <c r="K1142" i="2"/>
  <c r="L1142" i="2" s="1"/>
  <c r="M1142" i="2" s="1"/>
  <c r="N1142" i="2" s="1"/>
  <c r="K1141" i="2"/>
  <c r="L1141" i="2" s="1"/>
  <c r="M1141" i="2" s="1"/>
  <c r="N1141" i="2" s="1"/>
  <c r="K1140" i="2"/>
  <c r="L1140" i="2" s="1"/>
  <c r="M1140" i="2" s="1"/>
  <c r="N1140" i="2" s="1"/>
  <c r="K1139" i="2"/>
  <c r="L1139" i="2" s="1"/>
  <c r="M1139" i="2" s="1"/>
  <c r="N1139" i="2" s="1"/>
  <c r="K1138" i="2"/>
  <c r="L1138" i="2" s="1"/>
  <c r="M1138" i="2" s="1"/>
  <c r="N1138" i="2" s="1"/>
  <c r="K1137" i="2"/>
  <c r="L1137" i="2" s="1"/>
  <c r="M1137" i="2" s="1"/>
  <c r="N1137" i="2" s="1"/>
  <c r="K1136" i="2"/>
  <c r="L1136" i="2" s="1"/>
  <c r="M1136" i="2" s="1"/>
  <c r="N1136" i="2" s="1"/>
  <c r="K1135" i="2"/>
  <c r="L1135" i="2" s="1"/>
  <c r="M1135" i="2" s="1"/>
  <c r="N1135" i="2" s="1"/>
  <c r="K1134" i="2"/>
  <c r="L1134" i="2" s="1"/>
  <c r="M1134" i="2" s="1"/>
  <c r="N1134" i="2" s="1"/>
  <c r="K1133" i="2"/>
  <c r="L1133" i="2" s="1"/>
  <c r="M1133" i="2" s="1"/>
  <c r="N1133" i="2" s="1"/>
  <c r="K1132" i="2"/>
  <c r="L1132" i="2" s="1"/>
  <c r="M1132" i="2" s="1"/>
  <c r="N1132" i="2" s="1"/>
  <c r="K1131" i="2"/>
  <c r="L1131" i="2" s="1"/>
  <c r="M1131" i="2" s="1"/>
  <c r="N1131" i="2" s="1"/>
  <c r="K1130" i="2"/>
  <c r="L1130" i="2" s="1"/>
  <c r="M1130" i="2" s="1"/>
  <c r="N1130" i="2" s="1"/>
  <c r="K1129" i="2"/>
  <c r="L1129" i="2" s="1"/>
  <c r="M1129" i="2" s="1"/>
  <c r="N1129" i="2" s="1"/>
  <c r="K1128" i="2"/>
  <c r="L1128" i="2" s="1"/>
  <c r="M1128" i="2" s="1"/>
  <c r="N1128" i="2" s="1"/>
  <c r="K1127" i="2"/>
  <c r="L1127" i="2" s="1"/>
  <c r="M1127" i="2" s="1"/>
  <c r="N1127" i="2" s="1"/>
  <c r="K1126" i="2"/>
  <c r="L1126" i="2" s="1"/>
  <c r="M1126" i="2" s="1"/>
  <c r="N1126" i="2" s="1"/>
  <c r="K1125" i="2"/>
  <c r="L1125" i="2" s="1"/>
  <c r="M1125" i="2" s="1"/>
  <c r="N1125" i="2" s="1"/>
  <c r="K1124" i="2"/>
  <c r="L1124" i="2" s="1"/>
  <c r="M1124" i="2" s="1"/>
  <c r="N1124" i="2" s="1"/>
  <c r="K1123" i="2"/>
  <c r="L1123" i="2" s="1"/>
  <c r="M1123" i="2" s="1"/>
  <c r="N1123" i="2" s="1"/>
  <c r="K1122" i="2"/>
  <c r="L1122" i="2" s="1"/>
  <c r="M1122" i="2" s="1"/>
  <c r="N1122" i="2" s="1"/>
  <c r="K1121" i="2"/>
  <c r="L1121" i="2" s="1"/>
  <c r="M1121" i="2" s="1"/>
  <c r="N1121" i="2" s="1"/>
  <c r="K1120" i="2"/>
  <c r="L1120" i="2" s="1"/>
  <c r="M1120" i="2" s="1"/>
  <c r="N1120" i="2" s="1"/>
  <c r="K1119" i="2"/>
  <c r="L1119" i="2" s="1"/>
  <c r="M1119" i="2" s="1"/>
  <c r="N1119" i="2" s="1"/>
  <c r="K1118" i="2"/>
  <c r="L1118" i="2" s="1"/>
  <c r="M1118" i="2" s="1"/>
  <c r="N1118" i="2" s="1"/>
  <c r="K1117" i="2"/>
  <c r="L1117" i="2" s="1"/>
  <c r="M1117" i="2" s="1"/>
  <c r="N1117" i="2" s="1"/>
  <c r="K1116" i="2"/>
  <c r="L1116" i="2" s="1"/>
  <c r="M1116" i="2" s="1"/>
  <c r="N1116" i="2" s="1"/>
  <c r="K1115" i="2"/>
  <c r="L1115" i="2" s="1"/>
  <c r="M1115" i="2" s="1"/>
  <c r="N1115" i="2" s="1"/>
  <c r="K1114" i="2"/>
  <c r="L1114" i="2" s="1"/>
  <c r="M1114" i="2" s="1"/>
  <c r="N1114" i="2" s="1"/>
  <c r="K1113" i="2"/>
  <c r="L1113" i="2" s="1"/>
  <c r="M1113" i="2" s="1"/>
  <c r="N1113" i="2" s="1"/>
  <c r="K1112" i="2"/>
  <c r="L1112" i="2" s="1"/>
  <c r="M1112" i="2" s="1"/>
  <c r="N1112" i="2" s="1"/>
  <c r="K1111" i="2"/>
  <c r="L1111" i="2" s="1"/>
  <c r="M1111" i="2" s="1"/>
  <c r="N1111" i="2" s="1"/>
  <c r="K1110" i="2"/>
  <c r="L1110" i="2" s="1"/>
  <c r="M1110" i="2" s="1"/>
  <c r="N1110" i="2" s="1"/>
  <c r="K1109" i="2"/>
  <c r="L1109" i="2" s="1"/>
  <c r="M1109" i="2" s="1"/>
  <c r="N1109" i="2" s="1"/>
  <c r="K1108" i="2"/>
  <c r="L1108" i="2" s="1"/>
  <c r="M1108" i="2" s="1"/>
  <c r="N1108" i="2" s="1"/>
  <c r="K1107" i="2"/>
  <c r="L1107" i="2" s="1"/>
  <c r="M1107" i="2" s="1"/>
  <c r="N1107" i="2" s="1"/>
  <c r="K1106" i="2"/>
  <c r="L1106" i="2" s="1"/>
  <c r="M1106" i="2" s="1"/>
  <c r="N1106" i="2" s="1"/>
  <c r="K1105" i="2"/>
  <c r="L1105" i="2" s="1"/>
  <c r="M1105" i="2" s="1"/>
  <c r="N1105" i="2" s="1"/>
  <c r="K1104" i="2"/>
  <c r="L1104" i="2" s="1"/>
  <c r="M1104" i="2" s="1"/>
  <c r="N1104" i="2" s="1"/>
  <c r="K1103" i="2"/>
  <c r="L1103" i="2" s="1"/>
  <c r="M1103" i="2" s="1"/>
  <c r="N1103" i="2" s="1"/>
  <c r="K1102" i="2"/>
  <c r="L1102" i="2" s="1"/>
  <c r="M1102" i="2" s="1"/>
  <c r="N1102" i="2" s="1"/>
  <c r="K1101" i="2"/>
  <c r="L1101" i="2" s="1"/>
  <c r="M1101" i="2" s="1"/>
  <c r="N1101" i="2" s="1"/>
  <c r="K1100" i="2"/>
  <c r="L1100" i="2" s="1"/>
  <c r="M1100" i="2" s="1"/>
  <c r="N1100" i="2" s="1"/>
  <c r="K1099" i="2"/>
  <c r="L1099" i="2" s="1"/>
  <c r="M1099" i="2" s="1"/>
  <c r="N1099" i="2" s="1"/>
  <c r="K1098" i="2"/>
  <c r="L1098" i="2" s="1"/>
  <c r="M1098" i="2" s="1"/>
  <c r="N1098" i="2" s="1"/>
  <c r="K1097" i="2"/>
  <c r="L1097" i="2" s="1"/>
  <c r="M1097" i="2" s="1"/>
  <c r="N1097" i="2" s="1"/>
  <c r="K1096" i="2"/>
  <c r="L1096" i="2" s="1"/>
  <c r="M1096" i="2" s="1"/>
  <c r="N1096" i="2" s="1"/>
  <c r="K1095" i="2"/>
  <c r="L1095" i="2" s="1"/>
  <c r="M1095" i="2" s="1"/>
  <c r="N1095" i="2" s="1"/>
  <c r="K1094" i="2"/>
  <c r="L1094" i="2" s="1"/>
  <c r="M1094" i="2" s="1"/>
  <c r="N1094" i="2" s="1"/>
  <c r="K1093" i="2"/>
  <c r="L1093" i="2" s="1"/>
  <c r="M1093" i="2" s="1"/>
  <c r="N1093" i="2" s="1"/>
  <c r="K1092" i="2"/>
  <c r="L1092" i="2" s="1"/>
  <c r="M1092" i="2" s="1"/>
  <c r="N1092" i="2" s="1"/>
  <c r="K1091" i="2"/>
  <c r="L1091" i="2" s="1"/>
  <c r="M1091" i="2" s="1"/>
  <c r="N1091" i="2" s="1"/>
  <c r="K1090" i="2"/>
  <c r="L1090" i="2" s="1"/>
  <c r="M1090" i="2" s="1"/>
  <c r="N1090" i="2" s="1"/>
  <c r="K1089" i="2"/>
  <c r="L1089" i="2" s="1"/>
  <c r="M1089" i="2" s="1"/>
  <c r="N1089" i="2" s="1"/>
  <c r="K1088" i="2"/>
  <c r="L1088" i="2" s="1"/>
  <c r="M1088" i="2" s="1"/>
  <c r="N1088" i="2" s="1"/>
  <c r="K1087" i="2"/>
  <c r="L1087" i="2" s="1"/>
  <c r="M1087" i="2" s="1"/>
  <c r="N1087" i="2" s="1"/>
  <c r="K1086" i="2"/>
  <c r="L1086" i="2" s="1"/>
  <c r="M1086" i="2" s="1"/>
  <c r="N1086" i="2" s="1"/>
  <c r="K1085" i="2"/>
  <c r="L1085" i="2" s="1"/>
  <c r="M1085" i="2" s="1"/>
  <c r="N1085" i="2" s="1"/>
  <c r="K1084" i="2"/>
  <c r="L1084" i="2" s="1"/>
  <c r="M1084" i="2" s="1"/>
  <c r="N1084" i="2" s="1"/>
  <c r="K1083" i="2"/>
  <c r="L1083" i="2" s="1"/>
  <c r="M1083" i="2" s="1"/>
  <c r="N1083" i="2" s="1"/>
  <c r="K1082" i="2"/>
  <c r="L1082" i="2" s="1"/>
  <c r="M1082" i="2" s="1"/>
  <c r="N1082" i="2" s="1"/>
  <c r="K1081" i="2"/>
  <c r="L1081" i="2" s="1"/>
  <c r="M1081" i="2" s="1"/>
  <c r="N1081" i="2" s="1"/>
  <c r="K1080" i="2"/>
  <c r="L1080" i="2" s="1"/>
  <c r="M1080" i="2" s="1"/>
  <c r="N1080" i="2" s="1"/>
  <c r="K1079" i="2"/>
  <c r="L1079" i="2" s="1"/>
  <c r="M1079" i="2" s="1"/>
  <c r="N1079" i="2" s="1"/>
  <c r="K1078" i="2"/>
  <c r="L1078" i="2" s="1"/>
  <c r="M1078" i="2" s="1"/>
  <c r="N1078" i="2" s="1"/>
  <c r="K1077" i="2"/>
  <c r="L1077" i="2" s="1"/>
  <c r="M1077" i="2" s="1"/>
  <c r="N1077" i="2" s="1"/>
  <c r="K1076" i="2"/>
  <c r="L1076" i="2" s="1"/>
  <c r="M1076" i="2" s="1"/>
  <c r="N1076" i="2" s="1"/>
  <c r="K1075" i="2"/>
  <c r="L1075" i="2" s="1"/>
  <c r="M1075" i="2" s="1"/>
  <c r="N1075" i="2" s="1"/>
  <c r="K1074" i="2"/>
  <c r="L1074" i="2" s="1"/>
  <c r="M1074" i="2" s="1"/>
  <c r="N1074" i="2" s="1"/>
  <c r="K1073" i="2"/>
  <c r="L1073" i="2" s="1"/>
  <c r="M1073" i="2" s="1"/>
  <c r="N1073" i="2" s="1"/>
  <c r="K1072" i="2"/>
  <c r="L1072" i="2" s="1"/>
  <c r="M1072" i="2" s="1"/>
  <c r="N1072" i="2" s="1"/>
  <c r="K1071" i="2"/>
  <c r="L1071" i="2" s="1"/>
  <c r="M1071" i="2" s="1"/>
  <c r="N1071" i="2" s="1"/>
  <c r="K1070" i="2"/>
  <c r="L1070" i="2" s="1"/>
  <c r="M1070" i="2" s="1"/>
  <c r="N1070" i="2" s="1"/>
  <c r="K1069" i="2"/>
  <c r="L1069" i="2" s="1"/>
  <c r="M1069" i="2" s="1"/>
  <c r="N1069" i="2" s="1"/>
  <c r="K1068" i="2"/>
  <c r="L1068" i="2" s="1"/>
  <c r="M1068" i="2" s="1"/>
  <c r="N1068" i="2" s="1"/>
  <c r="K1067" i="2"/>
  <c r="L1067" i="2" s="1"/>
  <c r="M1067" i="2" s="1"/>
  <c r="N1067" i="2" s="1"/>
  <c r="K1066" i="2"/>
  <c r="L1066" i="2" s="1"/>
  <c r="M1066" i="2" s="1"/>
  <c r="N1066" i="2" s="1"/>
  <c r="K1065" i="2"/>
  <c r="L1065" i="2" s="1"/>
  <c r="M1065" i="2" s="1"/>
  <c r="N1065" i="2" s="1"/>
  <c r="K1064" i="2"/>
  <c r="L1064" i="2" s="1"/>
  <c r="M1064" i="2" s="1"/>
  <c r="N1064" i="2" s="1"/>
  <c r="K1063" i="2"/>
  <c r="L1063" i="2" s="1"/>
  <c r="M1063" i="2" s="1"/>
  <c r="N1063" i="2" s="1"/>
  <c r="K1062" i="2"/>
  <c r="L1062" i="2" s="1"/>
  <c r="M1062" i="2" s="1"/>
  <c r="N1062" i="2" s="1"/>
  <c r="K1061" i="2"/>
  <c r="L1061" i="2" s="1"/>
  <c r="M1061" i="2" s="1"/>
  <c r="N1061" i="2" s="1"/>
  <c r="K1060" i="2"/>
  <c r="L1060" i="2" s="1"/>
  <c r="M1060" i="2" s="1"/>
  <c r="N1060" i="2" s="1"/>
  <c r="K1059" i="2"/>
  <c r="L1059" i="2" s="1"/>
  <c r="M1059" i="2" s="1"/>
  <c r="N1059" i="2" s="1"/>
  <c r="K1058" i="2"/>
  <c r="L1058" i="2" s="1"/>
  <c r="M1058" i="2" s="1"/>
  <c r="N1058" i="2" s="1"/>
  <c r="K1057" i="2"/>
  <c r="L1057" i="2" s="1"/>
  <c r="M1057" i="2" s="1"/>
  <c r="N1057" i="2" s="1"/>
  <c r="K1056" i="2"/>
  <c r="L1056" i="2" s="1"/>
  <c r="M1056" i="2" s="1"/>
  <c r="N1056" i="2" s="1"/>
  <c r="K1055" i="2"/>
  <c r="L1055" i="2" s="1"/>
  <c r="M1055" i="2" s="1"/>
  <c r="N1055" i="2" s="1"/>
  <c r="K1054" i="2"/>
  <c r="L1054" i="2" s="1"/>
  <c r="M1054" i="2" s="1"/>
  <c r="N1054" i="2" s="1"/>
  <c r="K1053" i="2"/>
  <c r="L1053" i="2" s="1"/>
  <c r="M1053" i="2" s="1"/>
  <c r="N1053" i="2" s="1"/>
  <c r="K1052" i="2"/>
  <c r="L1052" i="2" s="1"/>
  <c r="M1052" i="2" s="1"/>
  <c r="N1052" i="2" s="1"/>
  <c r="K1051" i="2"/>
  <c r="L1051" i="2" s="1"/>
  <c r="M1051" i="2" s="1"/>
  <c r="N1051" i="2" s="1"/>
  <c r="K1050" i="2"/>
  <c r="L1050" i="2" s="1"/>
  <c r="M1050" i="2" s="1"/>
  <c r="N1050" i="2" s="1"/>
  <c r="K1049" i="2"/>
  <c r="L1049" i="2" s="1"/>
  <c r="M1049" i="2" s="1"/>
  <c r="N1049" i="2" s="1"/>
  <c r="K1048" i="2"/>
  <c r="L1048" i="2" s="1"/>
  <c r="M1048" i="2" s="1"/>
  <c r="N1048" i="2" s="1"/>
  <c r="K1047" i="2"/>
  <c r="L1047" i="2" s="1"/>
  <c r="M1047" i="2" s="1"/>
  <c r="N1047" i="2" s="1"/>
  <c r="K1046" i="2"/>
  <c r="L1046" i="2" s="1"/>
  <c r="M1046" i="2" s="1"/>
  <c r="N1046" i="2" s="1"/>
  <c r="K1045" i="2"/>
  <c r="L1045" i="2" s="1"/>
  <c r="M1045" i="2" s="1"/>
  <c r="N1045" i="2" s="1"/>
  <c r="K1044" i="2"/>
  <c r="L1044" i="2" s="1"/>
  <c r="M1044" i="2" s="1"/>
  <c r="N1044" i="2" s="1"/>
  <c r="K1043" i="2"/>
  <c r="L1043" i="2" s="1"/>
  <c r="M1043" i="2" s="1"/>
  <c r="N1043" i="2" s="1"/>
  <c r="K1042" i="2"/>
  <c r="L1042" i="2" s="1"/>
  <c r="M1042" i="2" s="1"/>
  <c r="N1042" i="2" s="1"/>
  <c r="K1041" i="2"/>
  <c r="L1041" i="2" s="1"/>
  <c r="M1041" i="2" s="1"/>
  <c r="N1041" i="2" s="1"/>
  <c r="K1040" i="2"/>
  <c r="L1040" i="2" s="1"/>
  <c r="M1040" i="2" s="1"/>
  <c r="N1040" i="2" s="1"/>
  <c r="K1039" i="2"/>
  <c r="L1039" i="2" s="1"/>
  <c r="M1039" i="2" s="1"/>
  <c r="N1039" i="2" s="1"/>
  <c r="K1038" i="2"/>
  <c r="L1038" i="2" s="1"/>
  <c r="M1038" i="2" s="1"/>
  <c r="N1038" i="2" s="1"/>
  <c r="K1037" i="2"/>
  <c r="L1037" i="2" s="1"/>
  <c r="M1037" i="2" s="1"/>
  <c r="N1037" i="2" s="1"/>
  <c r="K1036" i="2"/>
  <c r="L1036" i="2" s="1"/>
  <c r="M1036" i="2" s="1"/>
  <c r="N1036" i="2" s="1"/>
  <c r="K1035" i="2"/>
  <c r="L1035" i="2" s="1"/>
  <c r="M1035" i="2" s="1"/>
  <c r="N1035" i="2" s="1"/>
  <c r="K1034" i="2"/>
  <c r="L1034" i="2" s="1"/>
  <c r="M1034" i="2" s="1"/>
  <c r="N1034" i="2" s="1"/>
  <c r="K1033" i="2"/>
  <c r="L1033" i="2" s="1"/>
  <c r="M1033" i="2" s="1"/>
  <c r="N1033" i="2" s="1"/>
  <c r="K1032" i="2"/>
  <c r="L1032" i="2" s="1"/>
  <c r="M1032" i="2" s="1"/>
  <c r="N1032" i="2" s="1"/>
  <c r="K1031" i="2"/>
  <c r="L1031" i="2" s="1"/>
  <c r="M1031" i="2" s="1"/>
  <c r="N1031" i="2" s="1"/>
  <c r="K1030" i="2"/>
  <c r="L1030" i="2" s="1"/>
  <c r="M1030" i="2" s="1"/>
  <c r="N1030" i="2" s="1"/>
  <c r="K1029" i="2"/>
  <c r="L1029" i="2" s="1"/>
  <c r="M1029" i="2" s="1"/>
  <c r="N1029" i="2" s="1"/>
  <c r="K1028" i="2"/>
  <c r="L1028" i="2" s="1"/>
  <c r="M1028" i="2" s="1"/>
  <c r="N1028" i="2" s="1"/>
  <c r="K1027" i="2"/>
  <c r="L1027" i="2" s="1"/>
  <c r="M1027" i="2" s="1"/>
  <c r="N1027" i="2" s="1"/>
  <c r="K1026" i="2"/>
  <c r="L1026" i="2" s="1"/>
  <c r="M1026" i="2" s="1"/>
  <c r="N1026" i="2" s="1"/>
  <c r="K1025" i="2"/>
  <c r="L1025" i="2" s="1"/>
  <c r="M1025" i="2" s="1"/>
  <c r="N1025" i="2" s="1"/>
  <c r="K1024" i="2"/>
  <c r="L1024" i="2" s="1"/>
  <c r="M1024" i="2" s="1"/>
  <c r="N1024" i="2" s="1"/>
  <c r="K1023" i="2"/>
  <c r="L1023" i="2" s="1"/>
  <c r="M1023" i="2" s="1"/>
  <c r="N1023" i="2" s="1"/>
  <c r="K1022" i="2"/>
  <c r="L1022" i="2" s="1"/>
  <c r="M1022" i="2" s="1"/>
  <c r="N1022" i="2" s="1"/>
  <c r="K1021" i="2"/>
  <c r="L1021" i="2" s="1"/>
  <c r="M1021" i="2" s="1"/>
  <c r="N1021" i="2" s="1"/>
  <c r="K1020" i="2"/>
  <c r="L1020" i="2" s="1"/>
  <c r="M1020" i="2" s="1"/>
  <c r="N1020" i="2" s="1"/>
  <c r="K1019" i="2"/>
  <c r="L1019" i="2" s="1"/>
  <c r="M1019" i="2" s="1"/>
  <c r="N1019" i="2" s="1"/>
  <c r="K1018" i="2"/>
  <c r="L1018" i="2" s="1"/>
  <c r="M1018" i="2" s="1"/>
  <c r="N1018" i="2" s="1"/>
  <c r="K1017" i="2"/>
  <c r="L1017" i="2" s="1"/>
  <c r="M1017" i="2" s="1"/>
  <c r="N1017" i="2" s="1"/>
  <c r="K1016" i="2"/>
  <c r="L1016" i="2" s="1"/>
  <c r="M1016" i="2" s="1"/>
  <c r="N1016" i="2" s="1"/>
  <c r="K1015" i="2"/>
  <c r="L1015" i="2" s="1"/>
  <c r="M1015" i="2" s="1"/>
  <c r="N1015" i="2" s="1"/>
  <c r="K1014" i="2"/>
  <c r="L1014" i="2" s="1"/>
  <c r="M1014" i="2" s="1"/>
  <c r="N1014" i="2" s="1"/>
  <c r="K1013" i="2"/>
  <c r="L1013" i="2" s="1"/>
  <c r="M1013" i="2" s="1"/>
  <c r="N1013" i="2" s="1"/>
  <c r="K1012" i="2"/>
  <c r="L1012" i="2" s="1"/>
  <c r="M1012" i="2" s="1"/>
  <c r="N1012" i="2" s="1"/>
  <c r="K1011" i="2"/>
  <c r="L1011" i="2" s="1"/>
  <c r="M1011" i="2" s="1"/>
  <c r="N1011" i="2" s="1"/>
  <c r="K1010" i="2"/>
  <c r="L1010" i="2" s="1"/>
  <c r="M1010" i="2" s="1"/>
  <c r="N1010" i="2" s="1"/>
  <c r="K1009" i="2"/>
  <c r="L1009" i="2" s="1"/>
  <c r="M1009" i="2" s="1"/>
  <c r="N1009" i="2" s="1"/>
  <c r="K1008" i="2"/>
  <c r="L1008" i="2" s="1"/>
  <c r="M1008" i="2" s="1"/>
  <c r="N1008" i="2" s="1"/>
  <c r="K1007" i="2"/>
  <c r="L1007" i="2" s="1"/>
  <c r="M1007" i="2" s="1"/>
  <c r="N1007" i="2" s="1"/>
  <c r="K1006" i="2"/>
  <c r="L1006" i="2" s="1"/>
  <c r="M1006" i="2" s="1"/>
  <c r="N1006" i="2" s="1"/>
  <c r="K1005" i="2"/>
  <c r="L1005" i="2" s="1"/>
  <c r="M1005" i="2" s="1"/>
  <c r="N1005" i="2" s="1"/>
  <c r="K1004" i="2"/>
  <c r="L1004" i="2" s="1"/>
  <c r="M1004" i="2" s="1"/>
  <c r="N1004" i="2" s="1"/>
  <c r="K1003" i="2"/>
  <c r="L1003" i="2" s="1"/>
  <c r="M1003" i="2" s="1"/>
  <c r="N1003" i="2" s="1"/>
  <c r="K1002" i="2"/>
  <c r="L1002" i="2" s="1"/>
  <c r="M1002" i="2" s="1"/>
  <c r="N1002" i="2" s="1"/>
  <c r="K1001" i="2"/>
  <c r="L1001" i="2" s="1"/>
  <c r="M1001" i="2" s="1"/>
  <c r="N1001" i="2" s="1"/>
  <c r="K1000" i="2"/>
  <c r="L1000" i="2" s="1"/>
  <c r="M1000" i="2" s="1"/>
  <c r="N1000" i="2" s="1"/>
  <c r="K999" i="2"/>
  <c r="L999" i="2" s="1"/>
  <c r="M999" i="2" s="1"/>
  <c r="N999" i="2" s="1"/>
  <c r="K998" i="2"/>
  <c r="L998" i="2" s="1"/>
  <c r="M998" i="2" s="1"/>
  <c r="N998" i="2" s="1"/>
  <c r="K997" i="2"/>
  <c r="L997" i="2" s="1"/>
  <c r="M997" i="2" s="1"/>
  <c r="N997" i="2" s="1"/>
  <c r="K996" i="2"/>
  <c r="L996" i="2" s="1"/>
  <c r="M996" i="2" s="1"/>
  <c r="N996" i="2" s="1"/>
  <c r="K995" i="2"/>
  <c r="L995" i="2" s="1"/>
  <c r="M995" i="2" s="1"/>
  <c r="N995" i="2" s="1"/>
  <c r="K994" i="2"/>
  <c r="L994" i="2" s="1"/>
  <c r="M994" i="2" s="1"/>
  <c r="N994" i="2" s="1"/>
  <c r="K993" i="2"/>
  <c r="L993" i="2" s="1"/>
  <c r="M993" i="2" s="1"/>
  <c r="N993" i="2" s="1"/>
  <c r="K992" i="2"/>
  <c r="L992" i="2" s="1"/>
  <c r="M992" i="2" s="1"/>
  <c r="N992" i="2" s="1"/>
  <c r="K991" i="2"/>
  <c r="L991" i="2" s="1"/>
  <c r="M991" i="2" s="1"/>
  <c r="N991" i="2" s="1"/>
  <c r="K990" i="2"/>
  <c r="L990" i="2" s="1"/>
  <c r="M990" i="2" s="1"/>
  <c r="N990" i="2" s="1"/>
  <c r="K989" i="2"/>
  <c r="L989" i="2" s="1"/>
  <c r="M989" i="2" s="1"/>
  <c r="N989" i="2" s="1"/>
  <c r="K988" i="2"/>
  <c r="L988" i="2" s="1"/>
  <c r="M988" i="2" s="1"/>
  <c r="N988" i="2" s="1"/>
  <c r="K987" i="2"/>
  <c r="L987" i="2" s="1"/>
  <c r="M987" i="2" s="1"/>
  <c r="N987" i="2" s="1"/>
  <c r="K986" i="2"/>
  <c r="L986" i="2" s="1"/>
  <c r="M986" i="2" s="1"/>
  <c r="N986" i="2" s="1"/>
  <c r="K985" i="2"/>
  <c r="L985" i="2" s="1"/>
  <c r="M985" i="2" s="1"/>
  <c r="N985" i="2" s="1"/>
  <c r="K984" i="2"/>
  <c r="L984" i="2" s="1"/>
  <c r="M984" i="2" s="1"/>
  <c r="N984" i="2" s="1"/>
  <c r="K983" i="2"/>
  <c r="L983" i="2" s="1"/>
  <c r="M983" i="2" s="1"/>
  <c r="N983" i="2" s="1"/>
  <c r="K982" i="2"/>
  <c r="L982" i="2" s="1"/>
  <c r="M982" i="2" s="1"/>
  <c r="N982" i="2" s="1"/>
  <c r="K981" i="2"/>
  <c r="L981" i="2" s="1"/>
  <c r="M981" i="2" s="1"/>
  <c r="N981" i="2" s="1"/>
  <c r="K980" i="2"/>
  <c r="L980" i="2" s="1"/>
  <c r="M980" i="2" s="1"/>
  <c r="N980" i="2" s="1"/>
  <c r="K979" i="2"/>
  <c r="L979" i="2" s="1"/>
  <c r="M979" i="2" s="1"/>
  <c r="N979" i="2" s="1"/>
  <c r="K978" i="2"/>
  <c r="L978" i="2" s="1"/>
  <c r="M978" i="2" s="1"/>
  <c r="N978" i="2" s="1"/>
  <c r="K977" i="2"/>
  <c r="L977" i="2" s="1"/>
  <c r="M977" i="2" s="1"/>
  <c r="N977" i="2" s="1"/>
  <c r="K976" i="2"/>
  <c r="L976" i="2" s="1"/>
  <c r="M976" i="2" s="1"/>
  <c r="N976" i="2" s="1"/>
  <c r="K975" i="2"/>
  <c r="L975" i="2" s="1"/>
  <c r="M975" i="2" s="1"/>
  <c r="N975" i="2" s="1"/>
  <c r="K974" i="2"/>
  <c r="L974" i="2" s="1"/>
  <c r="M974" i="2" s="1"/>
  <c r="N974" i="2" s="1"/>
  <c r="K973" i="2"/>
  <c r="L973" i="2" s="1"/>
  <c r="M973" i="2" s="1"/>
  <c r="N973" i="2" s="1"/>
  <c r="K972" i="2"/>
  <c r="L972" i="2" s="1"/>
  <c r="M972" i="2" s="1"/>
  <c r="N972" i="2" s="1"/>
  <c r="K971" i="2"/>
  <c r="L971" i="2" s="1"/>
  <c r="M971" i="2" s="1"/>
  <c r="N971" i="2" s="1"/>
  <c r="K970" i="2"/>
  <c r="L970" i="2" s="1"/>
  <c r="M970" i="2" s="1"/>
  <c r="N970" i="2" s="1"/>
  <c r="K969" i="2"/>
  <c r="L969" i="2" s="1"/>
  <c r="M969" i="2" s="1"/>
  <c r="N969" i="2" s="1"/>
  <c r="K968" i="2"/>
  <c r="L968" i="2" s="1"/>
  <c r="M968" i="2" s="1"/>
  <c r="N968" i="2" s="1"/>
  <c r="K967" i="2"/>
  <c r="L967" i="2" s="1"/>
  <c r="M967" i="2" s="1"/>
  <c r="N967" i="2" s="1"/>
  <c r="K966" i="2"/>
  <c r="L966" i="2" s="1"/>
  <c r="M966" i="2" s="1"/>
  <c r="N966" i="2" s="1"/>
  <c r="K965" i="2"/>
  <c r="L965" i="2" s="1"/>
  <c r="M965" i="2" s="1"/>
  <c r="N965" i="2" s="1"/>
  <c r="K964" i="2"/>
  <c r="L964" i="2" s="1"/>
  <c r="M964" i="2" s="1"/>
  <c r="N964" i="2" s="1"/>
  <c r="K963" i="2"/>
  <c r="L963" i="2" s="1"/>
  <c r="M963" i="2" s="1"/>
  <c r="N963" i="2" s="1"/>
  <c r="K962" i="2"/>
  <c r="L962" i="2" s="1"/>
  <c r="M962" i="2" s="1"/>
  <c r="N962" i="2" s="1"/>
  <c r="K961" i="2"/>
  <c r="L961" i="2" s="1"/>
  <c r="M961" i="2" s="1"/>
  <c r="N961" i="2" s="1"/>
  <c r="K960" i="2"/>
  <c r="L960" i="2" s="1"/>
  <c r="M960" i="2" s="1"/>
  <c r="N960" i="2" s="1"/>
  <c r="K959" i="2"/>
  <c r="L959" i="2" s="1"/>
  <c r="M959" i="2" s="1"/>
  <c r="N959" i="2" s="1"/>
  <c r="K958" i="2"/>
  <c r="L958" i="2" s="1"/>
  <c r="M958" i="2" s="1"/>
  <c r="N958" i="2" s="1"/>
  <c r="K957" i="2"/>
  <c r="L957" i="2" s="1"/>
  <c r="M957" i="2" s="1"/>
  <c r="N957" i="2" s="1"/>
  <c r="K956" i="2"/>
  <c r="L956" i="2" s="1"/>
  <c r="M956" i="2" s="1"/>
  <c r="N956" i="2" s="1"/>
  <c r="K955" i="2"/>
  <c r="L955" i="2" s="1"/>
  <c r="M955" i="2" s="1"/>
  <c r="N955" i="2" s="1"/>
  <c r="K954" i="2"/>
  <c r="L954" i="2" s="1"/>
  <c r="M954" i="2" s="1"/>
  <c r="N954" i="2" s="1"/>
  <c r="K953" i="2"/>
  <c r="L953" i="2" s="1"/>
  <c r="M953" i="2" s="1"/>
  <c r="N953" i="2" s="1"/>
  <c r="K952" i="2"/>
  <c r="L952" i="2" s="1"/>
  <c r="M952" i="2" s="1"/>
  <c r="N952" i="2" s="1"/>
  <c r="K951" i="2"/>
  <c r="L951" i="2" s="1"/>
  <c r="M951" i="2" s="1"/>
  <c r="N951" i="2" s="1"/>
  <c r="K950" i="2"/>
  <c r="L950" i="2" s="1"/>
  <c r="M950" i="2" s="1"/>
  <c r="N950" i="2" s="1"/>
  <c r="K949" i="2"/>
  <c r="L949" i="2" s="1"/>
  <c r="M949" i="2" s="1"/>
  <c r="N949" i="2" s="1"/>
  <c r="K948" i="2"/>
  <c r="L948" i="2" s="1"/>
  <c r="M948" i="2" s="1"/>
  <c r="N948" i="2" s="1"/>
  <c r="K947" i="2"/>
  <c r="L947" i="2" s="1"/>
  <c r="M947" i="2" s="1"/>
  <c r="N947" i="2" s="1"/>
  <c r="K946" i="2"/>
  <c r="L946" i="2" s="1"/>
  <c r="M946" i="2" s="1"/>
  <c r="N946" i="2" s="1"/>
  <c r="K945" i="2"/>
  <c r="L945" i="2" s="1"/>
  <c r="M945" i="2" s="1"/>
  <c r="N945" i="2" s="1"/>
  <c r="K944" i="2"/>
  <c r="L944" i="2" s="1"/>
  <c r="M944" i="2" s="1"/>
  <c r="N944" i="2" s="1"/>
  <c r="K943" i="2"/>
  <c r="L943" i="2" s="1"/>
  <c r="M943" i="2" s="1"/>
  <c r="N943" i="2" s="1"/>
  <c r="K942" i="2"/>
  <c r="L942" i="2" s="1"/>
  <c r="M942" i="2" s="1"/>
  <c r="N942" i="2" s="1"/>
  <c r="K941" i="2"/>
  <c r="L941" i="2" s="1"/>
  <c r="M941" i="2" s="1"/>
  <c r="N941" i="2" s="1"/>
  <c r="K940" i="2"/>
  <c r="L940" i="2" s="1"/>
  <c r="M940" i="2" s="1"/>
  <c r="N940" i="2" s="1"/>
  <c r="K939" i="2"/>
  <c r="L939" i="2" s="1"/>
  <c r="M939" i="2" s="1"/>
  <c r="N939" i="2" s="1"/>
  <c r="K938" i="2"/>
  <c r="L938" i="2" s="1"/>
  <c r="M938" i="2" s="1"/>
  <c r="N938" i="2" s="1"/>
  <c r="K937" i="2"/>
  <c r="L937" i="2" s="1"/>
  <c r="M937" i="2" s="1"/>
  <c r="N937" i="2" s="1"/>
  <c r="K936" i="2"/>
  <c r="L936" i="2" s="1"/>
  <c r="M936" i="2" s="1"/>
  <c r="N936" i="2" s="1"/>
  <c r="K935" i="2"/>
  <c r="L935" i="2" s="1"/>
  <c r="M935" i="2" s="1"/>
  <c r="N935" i="2" s="1"/>
  <c r="K934" i="2"/>
  <c r="L934" i="2" s="1"/>
  <c r="M934" i="2" s="1"/>
  <c r="N934" i="2" s="1"/>
  <c r="K933" i="2"/>
  <c r="L933" i="2" s="1"/>
  <c r="M933" i="2" s="1"/>
  <c r="N933" i="2" s="1"/>
  <c r="K932" i="2"/>
  <c r="L932" i="2" s="1"/>
  <c r="M932" i="2" s="1"/>
  <c r="N932" i="2" s="1"/>
  <c r="K931" i="2"/>
  <c r="L931" i="2" s="1"/>
  <c r="M931" i="2" s="1"/>
  <c r="N931" i="2" s="1"/>
  <c r="K930" i="2"/>
  <c r="L930" i="2" s="1"/>
  <c r="M930" i="2" s="1"/>
  <c r="N930" i="2" s="1"/>
  <c r="K929" i="2"/>
  <c r="L929" i="2" s="1"/>
  <c r="M929" i="2" s="1"/>
  <c r="N929" i="2" s="1"/>
  <c r="K928" i="2"/>
  <c r="L928" i="2" s="1"/>
  <c r="M928" i="2" s="1"/>
  <c r="N928" i="2" s="1"/>
  <c r="K927" i="2"/>
  <c r="L927" i="2" s="1"/>
  <c r="M927" i="2" s="1"/>
  <c r="N927" i="2" s="1"/>
  <c r="K926" i="2"/>
  <c r="L926" i="2" s="1"/>
  <c r="M926" i="2" s="1"/>
  <c r="N926" i="2" s="1"/>
  <c r="K925" i="2"/>
  <c r="L925" i="2" s="1"/>
  <c r="M925" i="2" s="1"/>
  <c r="N925" i="2" s="1"/>
  <c r="K924" i="2"/>
  <c r="L924" i="2" s="1"/>
  <c r="M924" i="2" s="1"/>
  <c r="N924" i="2" s="1"/>
  <c r="K923" i="2"/>
  <c r="L923" i="2" s="1"/>
  <c r="M923" i="2" s="1"/>
  <c r="N923" i="2" s="1"/>
  <c r="K922" i="2"/>
  <c r="L922" i="2" s="1"/>
  <c r="M922" i="2" s="1"/>
  <c r="N922" i="2" s="1"/>
  <c r="K921" i="2"/>
  <c r="L921" i="2" s="1"/>
  <c r="M921" i="2" s="1"/>
  <c r="N921" i="2" s="1"/>
  <c r="K920" i="2"/>
  <c r="L920" i="2" s="1"/>
  <c r="M920" i="2" s="1"/>
  <c r="N920" i="2" s="1"/>
  <c r="K919" i="2"/>
  <c r="L919" i="2" s="1"/>
  <c r="M919" i="2" s="1"/>
  <c r="N919" i="2" s="1"/>
  <c r="K918" i="2"/>
  <c r="L918" i="2" s="1"/>
  <c r="M918" i="2" s="1"/>
  <c r="N918" i="2" s="1"/>
  <c r="K917" i="2"/>
  <c r="L917" i="2" s="1"/>
  <c r="M917" i="2" s="1"/>
  <c r="N917" i="2" s="1"/>
  <c r="K916" i="2"/>
  <c r="L916" i="2" s="1"/>
  <c r="M916" i="2" s="1"/>
  <c r="N916" i="2" s="1"/>
  <c r="K915" i="2"/>
  <c r="L915" i="2" s="1"/>
  <c r="M915" i="2" s="1"/>
  <c r="N915" i="2" s="1"/>
  <c r="K914" i="2"/>
  <c r="L914" i="2" s="1"/>
  <c r="M914" i="2" s="1"/>
  <c r="N914" i="2" s="1"/>
  <c r="K913" i="2"/>
  <c r="L913" i="2" s="1"/>
  <c r="M913" i="2" s="1"/>
  <c r="N913" i="2" s="1"/>
  <c r="K912" i="2"/>
  <c r="L912" i="2" s="1"/>
  <c r="M912" i="2" s="1"/>
  <c r="N912" i="2" s="1"/>
  <c r="K911" i="2"/>
  <c r="L911" i="2" s="1"/>
  <c r="M911" i="2" s="1"/>
  <c r="N911" i="2" s="1"/>
  <c r="K910" i="2"/>
  <c r="L910" i="2" s="1"/>
  <c r="M910" i="2" s="1"/>
  <c r="N910" i="2" s="1"/>
  <c r="K909" i="2"/>
  <c r="L909" i="2" s="1"/>
  <c r="M909" i="2" s="1"/>
  <c r="N909" i="2" s="1"/>
  <c r="K908" i="2"/>
  <c r="L908" i="2" s="1"/>
  <c r="M908" i="2" s="1"/>
  <c r="N908" i="2" s="1"/>
  <c r="K907" i="2"/>
  <c r="L907" i="2" s="1"/>
  <c r="M907" i="2" s="1"/>
  <c r="N907" i="2" s="1"/>
  <c r="K906" i="2"/>
  <c r="L906" i="2" s="1"/>
  <c r="M906" i="2" s="1"/>
  <c r="N906" i="2" s="1"/>
  <c r="K905" i="2"/>
  <c r="L905" i="2" s="1"/>
  <c r="M905" i="2" s="1"/>
  <c r="N905" i="2" s="1"/>
  <c r="K904" i="2"/>
  <c r="L904" i="2" s="1"/>
  <c r="M904" i="2" s="1"/>
  <c r="N904" i="2" s="1"/>
  <c r="K903" i="2"/>
  <c r="L903" i="2" s="1"/>
  <c r="M903" i="2" s="1"/>
  <c r="N903" i="2" s="1"/>
  <c r="K902" i="2"/>
  <c r="L902" i="2" s="1"/>
  <c r="M902" i="2" s="1"/>
  <c r="N902" i="2" s="1"/>
  <c r="K901" i="2"/>
  <c r="L901" i="2" s="1"/>
  <c r="M901" i="2" s="1"/>
  <c r="N901" i="2" s="1"/>
  <c r="K900" i="2"/>
  <c r="L900" i="2" s="1"/>
  <c r="M900" i="2" s="1"/>
  <c r="N900" i="2" s="1"/>
  <c r="K899" i="2"/>
  <c r="L899" i="2" s="1"/>
  <c r="M899" i="2" s="1"/>
  <c r="N899" i="2" s="1"/>
  <c r="K898" i="2"/>
  <c r="L898" i="2" s="1"/>
  <c r="M898" i="2" s="1"/>
  <c r="N898" i="2" s="1"/>
  <c r="K897" i="2"/>
  <c r="L897" i="2" s="1"/>
  <c r="M897" i="2" s="1"/>
  <c r="N897" i="2" s="1"/>
  <c r="K896" i="2"/>
  <c r="L896" i="2" s="1"/>
  <c r="M896" i="2" s="1"/>
  <c r="N896" i="2" s="1"/>
  <c r="K895" i="2"/>
  <c r="L895" i="2" s="1"/>
  <c r="M895" i="2" s="1"/>
  <c r="N895" i="2" s="1"/>
  <c r="K894" i="2"/>
  <c r="L894" i="2" s="1"/>
  <c r="M894" i="2" s="1"/>
  <c r="N894" i="2" s="1"/>
  <c r="K893" i="2"/>
  <c r="L893" i="2" s="1"/>
  <c r="M893" i="2" s="1"/>
  <c r="N893" i="2" s="1"/>
  <c r="K892" i="2"/>
  <c r="L892" i="2" s="1"/>
  <c r="M892" i="2" s="1"/>
  <c r="N892" i="2" s="1"/>
  <c r="K891" i="2"/>
  <c r="L891" i="2" s="1"/>
  <c r="M891" i="2" s="1"/>
  <c r="N891" i="2" s="1"/>
  <c r="K890" i="2"/>
  <c r="L890" i="2" s="1"/>
  <c r="M890" i="2" s="1"/>
  <c r="N890" i="2" s="1"/>
  <c r="K889" i="2"/>
  <c r="L889" i="2" s="1"/>
  <c r="M889" i="2" s="1"/>
  <c r="N889" i="2" s="1"/>
  <c r="K888" i="2"/>
  <c r="L888" i="2" s="1"/>
  <c r="M888" i="2" s="1"/>
  <c r="N888" i="2" s="1"/>
  <c r="K887" i="2"/>
  <c r="L887" i="2" s="1"/>
  <c r="M887" i="2" s="1"/>
  <c r="N887" i="2" s="1"/>
  <c r="K886" i="2"/>
  <c r="L886" i="2" s="1"/>
  <c r="M886" i="2" s="1"/>
  <c r="N886" i="2" s="1"/>
  <c r="K885" i="2"/>
  <c r="L885" i="2" s="1"/>
  <c r="M885" i="2" s="1"/>
  <c r="N885" i="2" s="1"/>
  <c r="K884" i="2"/>
  <c r="L884" i="2" s="1"/>
  <c r="M884" i="2" s="1"/>
  <c r="N884" i="2" s="1"/>
  <c r="K883" i="2"/>
  <c r="L883" i="2" s="1"/>
  <c r="M883" i="2" s="1"/>
  <c r="N883" i="2" s="1"/>
  <c r="K882" i="2"/>
  <c r="L882" i="2" s="1"/>
  <c r="M882" i="2" s="1"/>
  <c r="N882" i="2" s="1"/>
  <c r="K881" i="2"/>
  <c r="L881" i="2" s="1"/>
  <c r="M881" i="2" s="1"/>
  <c r="N881" i="2" s="1"/>
  <c r="K880" i="2"/>
  <c r="L880" i="2" s="1"/>
  <c r="M880" i="2" s="1"/>
  <c r="N880" i="2" s="1"/>
  <c r="K879" i="2"/>
  <c r="L879" i="2" s="1"/>
  <c r="M879" i="2" s="1"/>
  <c r="N879" i="2" s="1"/>
  <c r="K878" i="2"/>
  <c r="L878" i="2" s="1"/>
  <c r="M878" i="2" s="1"/>
  <c r="N878" i="2" s="1"/>
  <c r="K877" i="2"/>
  <c r="L877" i="2" s="1"/>
  <c r="M877" i="2" s="1"/>
  <c r="N877" i="2" s="1"/>
  <c r="K876" i="2"/>
  <c r="L876" i="2" s="1"/>
  <c r="M876" i="2" s="1"/>
  <c r="N876" i="2" s="1"/>
  <c r="K875" i="2"/>
  <c r="L875" i="2" s="1"/>
  <c r="M875" i="2" s="1"/>
  <c r="N875" i="2" s="1"/>
  <c r="K874" i="2"/>
  <c r="L874" i="2" s="1"/>
  <c r="M874" i="2" s="1"/>
  <c r="N874" i="2" s="1"/>
  <c r="K873" i="2"/>
  <c r="L873" i="2" s="1"/>
  <c r="M873" i="2" s="1"/>
  <c r="N873" i="2" s="1"/>
  <c r="K872" i="2"/>
  <c r="L872" i="2" s="1"/>
  <c r="M872" i="2" s="1"/>
  <c r="N872" i="2" s="1"/>
  <c r="K871" i="2"/>
  <c r="L871" i="2" s="1"/>
  <c r="M871" i="2" s="1"/>
  <c r="N871" i="2" s="1"/>
  <c r="K870" i="2"/>
  <c r="L870" i="2" s="1"/>
  <c r="M870" i="2" s="1"/>
  <c r="N870" i="2" s="1"/>
  <c r="K869" i="2"/>
  <c r="L869" i="2" s="1"/>
  <c r="M869" i="2" s="1"/>
  <c r="N869" i="2" s="1"/>
  <c r="K868" i="2"/>
  <c r="L868" i="2" s="1"/>
  <c r="M868" i="2" s="1"/>
  <c r="N868" i="2" s="1"/>
  <c r="K867" i="2"/>
  <c r="L867" i="2" s="1"/>
  <c r="M867" i="2" s="1"/>
  <c r="N867" i="2" s="1"/>
  <c r="K866" i="2"/>
  <c r="L866" i="2" s="1"/>
  <c r="M866" i="2" s="1"/>
  <c r="N866" i="2" s="1"/>
  <c r="K865" i="2"/>
  <c r="L865" i="2" s="1"/>
  <c r="M865" i="2" s="1"/>
  <c r="N865" i="2" s="1"/>
  <c r="K864" i="2"/>
  <c r="L864" i="2" s="1"/>
  <c r="M864" i="2" s="1"/>
  <c r="N864" i="2" s="1"/>
  <c r="K863" i="2"/>
  <c r="L863" i="2" s="1"/>
  <c r="M863" i="2" s="1"/>
  <c r="N863" i="2" s="1"/>
  <c r="K862" i="2"/>
  <c r="L862" i="2" s="1"/>
  <c r="M862" i="2" s="1"/>
  <c r="N862" i="2" s="1"/>
  <c r="K861" i="2"/>
  <c r="L861" i="2" s="1"/>
  <c r="M861" i="2" s="1"/>
  <c r="N861" i="2" s="1"/>
  <c r="K860" i="2"/>
  <c r="L860" i="2" s="1"/>
  <c r="M860" i="2" s="1"/>
  <c r="N860" i="2" s="1"/>
  <c r="K859" i="2"/>
  <c r="L859" i="2" s="1"/>
  <c r="M859" i="2" s="1"/>
  <c r="N859" i="2" s="1"/>
  <c r="K858" i="2"/>
  <c r="L858" i="2" s="1"/>
  <c r="M858" i="2" s="1"/>
  <c r="N858" i="2" s="1"/>
  <c r="K857" i="2"/>
  <c r="L857" i="2" s="1"/>
  <c r="M857" i="2" s="1"/>
  <c r="N857" i="2" s="1"/>
  <c r="K856" i="2"/>
  <c r="L856" i="2" s="1"/>
  <c r="M856" i="2" s="1"/>
  <c r="N856" i="2" s="1"/>
  <c r="K855" i="2"/>
  <c r="L855" i="2" s="1"/>
  <c r="M855" i="2" s="1"/>
  <c r="N855" i="2" s="1"/>
  <c r="K854" i="2"/>
  <c r="L854" i="2" s="1"/>
  <c r="M854" i="2" s="1"/>
  <c r="N854" i="2" s="1"/>
  <c r="K853" i="2"/>
  <c r="L853" i="2" s="1"/>
  <c r="M853" i="2" s="1"/>
  <c r="N853" i="2" s="1"/>
  <c r="K852" i="2"/>
  <c r="L852" i="2" s="1"/>
  <c r="M852" i="2" s="1"/>
  <c r="N852" i="2" s="1"/>
  <c r="K851" i="2"/>
  <c r="L851" i="2" s="1"/>
  <c r="M851" i="2" s="1"/>
  <c r="N851" i="2" s="1"/>
  <c r="K850" i="2"/>
  <c r="L850" i="2" s="1"/>
  <c r="M850" i="2" s="1"/>
  <c r="N850" i="2" s="1"/>
  <c r="K849" i="2"/>
  <c r="L849" i="2" s="1"/>
  <c r="M849" i="2" s="1"/>
  <c r="N849" i="2" s="1"/>
  <c r="K848" i="2"/>
  <c r="L848" i="2" s="1"/>
  <c r="M848" i="2" s="1"/>
  <c r="N848" i="2" s="1"/>
  <c r="K847" i="2"/>
  <c r="L847" i="2" s="1"/>
  <c r="M847" i="2" s="1"/>
  <c r="N847" i="2" s="1"/>
  <c r="K846" i="2"/>
  <c r="L846" i="2" s="1"/>
  <c r="M846" i="2" s="1"/>
  <c r="N846" i="2" s="1"/>
  <c r="K845" i="2"/>
  <c r="L845" i="2" s="1"/>
  <c r="M845" i="2" s="1"/>
  <c r="N845" i="2" s="1"/>
  <c r="K844" i="2"/>
  <c r="L844" i="2" s="1"/>
  <c r="M844" i="2" s="1"/>
  <c r="N844" i="2" s="1"/>
  <c r="K843" i="2"/>
  <c r="L843" i="2" s="1"/>
  <c r="M843" i="2" s="1"/>
  <c r="N843" i="2" s="1"/>
  <c r="K842" i="2"/>
  <c r="L842" i="2" s="1"/>
  <c r="M842" i="2" s="1"/>
  <c r="N842" i="2" s="1"/>
  <c r="K841" i="2"/>
  <c r="L841" i="2" s="1"/>
  <c r="M841" i="2" s="1"/>
  <c r="N841" i="2" s="1"/>
  <c r="K840" i="2"/>
  <c r="L840" i="2" s="1"/>
  <c r="M840" i="2" s="1"/>
  <c r="N840" i="2" s="1"/>
  <c r="K839" i="2"/>
  <c r="L839" i="2" s="1"/>
  <c r="M839" i="2" s="1"/>
  <c r="N839" i="2" s="1"/>
  <c r="K838" i="2"/>
  <c r="L838" i="2" s="1"/>
  <c r="M838" i="2" s="1"/>
  <c r="N838" i="2" s="1"/>
  <c r="K837" i="2"/>
  <c r="L837" i="2" s="1"/>
  <c r="M837" i="2" s="1"/>
  <c r="N837" i="2" s="1"/>
  <c r="K836" i="2"/>
  <c r="L836" i="2" s="1"/>
  <c r="M836" i="2" s="1"/>
  <c r="N836" i="2" s="1"/>
  <c r="K835" i="2"/>
  <c r="L835" i="2" s="1"/>
  <c r="M835" i="2" s="1"/>
  <c r="N835" i="2" s="1"/>
  <c r="K834" i="2"/>
  <c r="L834" i="2" s="1"/>
  <c r="M834" i="2" s="1"/>
  <c r="N834" i="2" s="1"/>
  <c r="K833" i="2"/>
  <c r="L833" i="2" s="1"/>
  <c r="M833" i="2" s="1"/>
  <c r="N833" i="2" s="1"/>
  <c r="K832" i="2"/>
  <c r="L832" i="2" s="1"/>
  <c r="M832" i="2" s="1"/>
  <c r="N832" i="2" s="1"/>
  <c r="K831" i="2"/>
  <c r="L831" i="2" s="1"/>
  <c r="M831" i="2" s="1"/>
  <c r="N831" i="2" s="1"/>
  <c r="K830" i="2"/>
  <c r="L830" i="2" s="1"/>
  <c r="M830" i="2" s="1"/>
  <c r="N830" i="2" s="1"/>
  <c r="K829" i="2"/>
  <c r="L829" i="2" s="1"/>
  <c r="M829" i="2" s="1"/>
  <c r="N829" i="2" s="1"/>
  <c r="K828" i="2"/>
  <c r="L828" i="2" s="1"/>
  <c r="M828" i="2" s="1"/>
  <c r="N828" i="2" s="1"/>
  <c r="K827" i="2"/>
  <c r="L827" i="2" s="1"/>
  <c r="M827" i="2" s="1"/>
  <c r="N827" i="2" s="1"/>
  <c r="K826" i="2"/>
  <c r="L826" i="2" s="1"/>
  <c r="M826" i="2" s="1"/>
  <c r="N826" i="2" s="1"/>
  <c r="K825" i="2"/>
  <c r="L825" i="2" s="1"/>
  <c r="M825" i="2" s="1"/>
  <c r="N825" i="2" s="1"/>
  <c r="K824" i="2"/>
  <c r="L824" i="2" s="1"/>
  <c r="M824" i="2" s="1"/>
  <c r="N824" i="2" s="1"/>
  <c r="K823" i="2"/>
  <c r="L823" i="2" s="1"/>
  <c r="M823" i="2" s="1"/>
  <c r="N823" i="2" s="1"/>
  <c r="K822" i="2"/>
  <c r="L822" i="2" s="1"/>
  <c r="M822" i="2" s="1"/>
  <c r="N822" i="2" s="1"/>
  <c r="K821" i="2"/>
  <c r="L821" i="2" s="1"/>
  <c r="M821" i="2" s="1"/>
  <c r="N821" i="2" s="1"/>
  <c r="K820" i="2"/>
  <c r="L820" i="2" s="1"/>
  <c r="M820" i="2" s="1"/>
  <c r="N820" i="2" s="1"/>
  <c r="K819" i="2"/>
  <c r="L819" i="2" s="1"/>
  <c r="M819" i="2" s="1"/>
  <c r="N819" i="2" s="1"/>
  <c r="K818" i="2"/>
  <c r="L818" i="2" s="1"/>
  <c r="M818" i="2" s="1"/>
  <c r="N818" i="2" s="1"/>
  <c r="K817" i="2"/>
  <c r="L817" i="2" s="1"/>
  <c r="M817" i="2" s="1"/>
  <c r="N817" i="2" s="1"/>
  <c r="K816" i="2"/>
  <c r="L816" i="2" s="1"/>
  <c r="M816" i="2" s="1"/>
  <c r="N816" i="2" s="1"/>
  <c r="K815" i="2"/>
  <c r="L815" i="2" s="1"/>
  <c r="M815" i="2" s="1"/>
  <c r="N815" i="2" s="1"/>
  <c r="K814" i="2"/>
  <c r="L814" i="2" s="1"/>
  <c r="M814" i="2" s="1"/>
  <c r="N814" i="2" s="1"/>
  <c r="K813" i="2"/>
  <c r="L813" i="2" s="1"/>
  <c r="M813" i="2" s="1"/>
  <c r="N813" i="2" s="1"/>
  <c r="K812" i="2"/>
  <c r="L812" i="2" s="1"/>
  <c r="M812" i="2" s="1"/>
  <c r="N812" i="2" s="1"/>
  <c r="K811" i="2"/>
  <c r="L811" i="2" s="1"/>
  <c r="M811" i="2" s="1"/>
  <c r="N811" i="2" s="1"/>
  <c r="K810" i="2"/>
  <c r="L810" i="2" s="1"/>
  <c r="M810" i="2" s="1"/>
  <c r="N810" i="2" s="1"/>
  <c r="K809" i="2"/>
  <c r="L809" i="2" s="1"/>
  <c r="M809" i="2" s="1"/>
  <c r="N809" i="2" s="1"/>
  <c r="K808" i="2"/>
  <c r="L808" i="2" s="1"/>
  <c r="M808" i="2" s="1"/>
  <c r="N808" i="2" s="1"/>
  <c r="K807" i="2"/>
  <c r="L807" i="2" s="1"/>
  <c r="M807" i="2" s="1"/>
  <c r="N807" i="2" s="1"/>
  <c r="K806" i="2"/>
  <c r="L806" i="2" s="1"/>
  <c r="M806" i="2" s="1"/>
  <c r="N806" i="2" s="1"/>
  <c r="K805" i="2"/>
  <c r="L805" i="2" s="1"/>
  <c r="M805" i="2" s="1"/>
  <c r="N805" i="2" s="1"/>
  <c r="K804" i="2"/>
  <c r="L804" i="2" s="1"/>
  <c r="M804" i="2" s="1"/>
  <c r="N804" i="2" s="1"/>
  <c r="K803" i="2"/>
  <c r="L803" i="2" s="1"/>
  <c r="M803" i="2" s="1"/>
  <c r="N803" i="2" s="1"/>
  <c r="K802" i="2"/>
  <c r="L802" i="2" s="1"/>
  <c r="M802" i="2" s="1"/>
  <c r="N802" i="2" s="1"/>
  <c r="K801" i="2"/>
  <c r="L801" i="2" s="1"/>
  <c r="M801" i="2" s="1"/>
  <c r="N801" i="2" s="1"/>
  <c r="K800" i="2"/>
  <c r="L800" i="2" s="1"/>
  <c r="M800" i="2" s="1"/>
  <c r="N800" i="2" s="1"/>
  <c r="K799" i="2"/>
  <c r="L799" i="2" s="1"/>
  <c r="M799" i="2" s="1"/>
  <c r="N799" i="2" s="1"/>
  <c r="K798" i="2"/>
  <c r="L798" i="2" s="1"/>
  <c r="M798" i="2" s="1"/>
  <c r="N798" i="2" s="1"/>
  <c r="K797" i="2"/>
  <c r="L797" i="2" s="1"/>
  <c r="M797" i="2" s="1"/>
  <c r="N797" i="2" s="1"/>
  <c r="K796" i="2"/>
  <c r="L796" i="2" s="1"/>
  <c r="M796" i="2" s="1"/>
  <c r="N796" i="2" s="1"/>
  <c r="K795" i="2"/>
  <c r="L795" i="2" s="1"/>
  <c r="M795" i="2" s="1"/>
  <c r="N795" i="2" s="1"/>
  <c r="K794" i="2"/>
  <c r="L794" i="2" s="1"/>
  <c r="M794" i="2" s="1"/>
  <c r="N794" i="2" s="1"/>
  <c r="K793" i="2"/>
  <c r="L793" i="2" s="1"/>
  <c r="M793" i="2" s="1"/>
  <c r="N793" i="2" s="1"/>
  <c r="K792" i="2"/>
  <c r="L792" i="2" s="1"/>
  <c r="M792" i="2" s="1"/>
  <c r="N792" i="2" s="1"/>
  <c r="K791" i="2"/>
  <c r="L791" i="2" s="1"/>
  <c r="M791" i="2" s="1"/>
  <c r="N791" i="2" s="1"/>
  <c r="K790" i="2"/>
  <c r="L790" i="2" s="1"/>
  <c r="M790" i="2" s="1"/>
  <c r="N790" i="2" s="1"/>
  <c r="K789" i="2"/>
  <c r="L789" i="2" s="1"/>
  <c r="M789" i="2" s="1"/>
  <c r="N789" i="2" s="1"/>
  <c r="K788" i="2"/>
  <c r="L788" i="2" s="1"/>
  <c r="M788" i="2" s="1"/>
  <c r="N788" i="2" s="1"/>
  <c r="K787" i="2"/>
  <c r="L787" i="2" s="1"/>
  <c r="M787" i="2" s="1"/>
  <c r="N787" i="2" s="1"/>
  <c r="K786" i="2"/>
  <c r="L786" i="2" s="1"/>
  <c r="M786" i="2" s="1"/>
  <c r="N786" i="2" s="1"/>
  <c r="K785" i="2"/>
  <c r="L785" i="2" s="1"/>
  <c r="M785" i="2" s="1"/>
  <c r="N785" i="2" s="1"/>
  <c r="K784" i="2"/>
  <c r="L784" i="2" s="1"/>
  <c r="M784" i="2" s="1"/>
  <c r="N784" i="2" s="1"/>
  <c r="K783" i="2"/>
  <c r="L783" i="2" s="1"/>
  <c r="M783" i="2" s="1"/>
  <c r="N783" i="2" s="1"/>
  <c r="K782" i="2"/>
  <c r="L782" i="2" s="1"/>
  <c r="M782" i="2" s="1"/>
  <c r="N782" i="2" s="1"/>
  <c r="K781" i="2"/>
  <c r="L781" i="2" s="1"/>
  <c r="M781" i="2" s="1"/>
  <c r="N781" i="2" s="1"/>
  <c r="K780" i="2"/>
  <c r="L780" i="2" s="1"/>
  <c r="M780" i="2" s="1"/>
  <c r="N780" i="2" s="1"/>
  <c r="K779" i="2"/>
  <c r="L779" i="2" s="1"/>
  <c r="M779" i="2" s="1"/>
  <c r="N779" i="2" s="1"/>
  <c r="K778" i="2"/>
  <c r="L778" i="2" s="1"/>
  <c r="M778" i="2" s="1"/>
  <c r="N778" i="2" s="1"/>
  <c r="K777" i="2"/>
  <c r="L777" i="2" s="1"/>
  <c r="M777" i="2" s="1"/>
  <c r="N777" i="2" s="1"/>
  <c r="K776" i="2"/>
  <c r="L776" i="2" s="1"/>
  <c r="M776" i="2" s="1"/>
  <c r="N776" i="2" s="1"/>
  <c r="K775" i="2"/>
  <c r="L775" i="2" s="1"/>
  <c r="M775" i="2" s="1"/>
  <c r="N775" i="2" s="1"/>
  <c r="K774" i="2"/>
  <c r="L774" i="2" s="1"/>
  <c r="M774" i="2" s="1"/>
  <c r="N774" i="2" s="1"/>
  <c r="K773" i="2"/>
  <c r="L773" i="2" s="1"/>
  <c r="M773" i="2" s="1"/>
  <c r="N773" i="2" s="1"/>
  <c r="K772" i="2"/>
  <c r="L772" i="2" s="1"/>
  <c r="M772" i="2" s="1"/>
  <c r="N772" i="2" s="1"/>
  <c r="K771" i="2"/>
  <c r="L771" i="2" s="1"/>
  <c r="M771" i="2" s="1"/>
  <c r="N771" i="2" s="1"/>
  <c r="K770" i="2"/>
  <c r="L770" i="2" s="1"/>
  <c r="M770" i="2" s="1"/>
  <c r="N770" i="2" s="1"/>
  <c r="K769" i="2"/>
  <c r="L769" i="2" s="1"/>
  <c r="M769" i="2" s="1"/>
  <c r="N769" i="2" s="1"/>
  <c r="K768" i="2"/>
  <c r="L768" i="2" s="1"/>
  <c r="M768" i="2" s="1"/>
  <c r="N768" i="2" s="1"/>
  <c r="K767" i="2"/>
  <c r="L767" i="2" s="1"/>
  <c r="M767" i="2" s="1"/>
  <c r="N767" i="2" s="1"/>
  <c r="K766" i="2"/>
  <c r="L766" i="2" s="1"/>
  <c r="M766" i="2" s="1"/>
  <c r="N766" i="2" s="1"/>
  <c r="K765" i="2"/>
  <c r="L765" i="2" s="1"/>
  <c r="M765" i="2" s="1"/>
  <c r="N765" i="2" s="1"/>
  <c r="K764" i="2"/>
  <c r="L764" i="2" s="1"/>
  <c r="M764" i="2" s="1"/>
  <c r="N764" i="2" s="1"/>
  <c r="K763" i="2"/>
  <c r="L763" i="2" s="1"/>
  <c r="M763" i="2" s="1"/>
  <c r="N763" i="2" s="1"/>
  <c r="K762" i="2"/>
  <c r="L762" i="2" s="1"/>
  <c r="M762" i="2" s="1"/>
  <c r="N762" i="2" s="1"/>
  <c r="K761" i="2"/>
  <c r="L761" i="2" s="1"/>
  <c r="M761" i="2" s="1"/>
  <c r="N761" i="2" s="1"/>
  <c r="K760" i="2"/>
  <c r="L760" i="2" s="1"/>
  <c r="M760" i="2" s="1"/>
  <c r="N760" i="2" s="1"/>
  <c r="K759" i="2"/>
  <c r="L759" i="2" s="1"/>
  <c r="M759" i="2" s="1"/>
  <c r="N759" i="2" s="1"/>
  <c r="K758" i="2"/>
  <c r="L758" i="2" s="1"/>
  <c r="M758" i="2" s="1"/>
  <c r="N758" i="2" s="1"/>
  <c r="K757" i="2"/>
  <c r="L757" i="2" s="1"/>
  <c r="M757" i="2" s="1"/>
  <c r="N757" i="2" s="1"/>
  <c r="K756" i="2"/>
  <c r="L756" i="2" s="1"/>
  <c r="M756" i="2" s="1"/>
  <c r="N756" i="2" s="1"/>
  <c r="K755" i="2"/>
  <c r="L755" i="2" s="1"/>
  <c r="M755" i="2" s="1"/>
  <c r="N755" i="2" s="1"/>
  <c r="K754" i="2"/>
  <c r="L754" i="2" s="1"/>
  <c r="M754" i="2" s="1"/>
  <c r="N754" i="2" s="1"/>
  <c r="K753" i="2"/>
  <c r="L753" i="2" s="1"/>
  <c r="M753" i="2" s="1"/>
  <c r="N753" i="2" s="1"/>
  <c r="K752" i="2"/>
  <c r="L752" i="2" s="1"/>
  <c r="M752" i="2" s="1"/>
  <c r="N752" i="2" s="1"/>
  <c r="K751" i="2"/>
  <c r="L751" i="2" s="1"/>
  <c r="M751" i="2" s="1"/>
  <c r="N751" i="2" s="1"/>
  <c r="K750" i="2"/>
  <c r="L750" i="2" s="1"/>
  <c r="M750" i="2" s="1"/>
  <c r="N750" i="2" s="1"/>
  <c r="K749" i="2"/>
  <c r="L749" i="2" s="1"/>
  <c r="M749" i="2" s="1"/>
  <c r="N749" i="2" s="1"/>
  <c r="K748" i="2"/>
  <c r="L748" i="2" s="1"/>
  <c r="M748" i="2" s="1"/>
  <c r="N748" i="2" s="1"/>
  <c r="K747" i="2"/>
  <c r="L747" i="2" s="1"/>
  <c r="M747" i="2" s="1"/>
  <c r="N747" i="2" s="1"/>
  <c r="K746" i="2"/>
  <c r="L746" i="2" s="1"/>
  <c r="M746" i="2" s="1"/>
  <c r="N746" i="2" s="1"/>
  <c r="K745" i="2"/>
  <c r="L745" i="2" s="1"/>
  <c r="M745" i="2" s="1"/>
  <c r="N745" i="2" s="1"/>
  <c r="K744" i="2"/>
  <c r="L744" i="2" s="1"/>
  <c r="M744" i="2" s="1"/>
  <c r="N744" i="2" s="1"/>
  <c r="K743" i="2"/>
  <c r="L743" i="2" s="1"/>
  <c r="M743" i="2" s="1"/>
  <c r="N743" i="2" s="1"/>
  <c r="K742" i="2"/>
  <c r="L742" i="2" s="1"/>
  <c r="M742" i="2" s="1"/>
  <c r="N742" i="2" s="1"/>
  <c r="K741" i="2"/>
  <c r="L741" i="2" s="1"/>
  <c r="M741" i="2" s="1"/>
  <c r="N741" i="2" s="1"/>
  <c r="K740" i="2"/>
  <c r="L740" i="2" s="1"/>
  <c r="M740" i="2" s="1"/>
  <c r="N740" i="2" s="1"/>
  <c r="K739" i="2"/>
  <c r="L739" i="2" s="1"/>
  <c r="M739" i="2" s="1"/>
  <c r="N739" i="2" s="1"/>
  <c r="K738" i="2"/>
  <c r="L738" i="2" s="1"/>
  <c r="M738" i="2" s="1"/>
  <c r="N738" i="2" s="1"/>
  <c r="K737" i="2"/>
  <c r="L737" i="2" s="1"/>
  <c r="M737" i="2" s="1"/>
  <c r="N737" i="2" s="1"/>
  <c r="K736" i="2"/>
  <c r="L736" i="2" s="1"/>
  <c r="M736" i="2" s="1"/>
  <c r="N736" i="2" s="1"/>
  <c r="K735" i="2"/>
  <c r="L735" i="2" s="1"/>
  <c r="M735" i="2" s="1"/>
  <c r="N735" i="2" s="1"/>
  <c r="K734" i="2"/>
  <c r="L734" i="2" s="1"/>
  <c r="M734" i="2" s="1"/>
  <c r="N734" i="2" s="1"/>
  <c r="K733" i="2"/>
  <c r="L733" i="2" s="1"/>
  <c r="M733" i="2" s="1"/>
  <c r="N733" i="2" s="1"/>
  <c r="K732" i="2"/>
  <c r="L732" i="2" s="1"/>
  <c r="M732" i="2" s="1"/>
  <c r="N732" i="2" s="1"/>
  <c r="K731" i="2"/>
  <c r="L731" i="2" s="1"/>
  <c r="M731" i="2" s="1"/>
  <c r="N731" i="2" s="1"/>
  <c r="K730" i="2"/>
  <c r="L730" i="2" s="1"/>
  <c r="M730" i="2" s="1"/>
  <c r="N730" i="2" s="1"/>
  <c r="K729" i="2"/>
  <c r="L729" i="2" s="1"/>
  <c r="M729" i="2" s="1"/>
  <c r="N729" i="2" s="1"/>
  <c r="K728" i="2"/>
  <c r="L728" i="2" s="1"/>
  <c r="M728" i="2" s="1"/>
  <c r="N728" i="2" s="1"/>
  <c r="K727" i="2"/>
  <c r="L727" i="2" s="1"/>
  <c r="M727" i="2" s="1"/>
  <c r="N727" i="2" s="1"/>
  <c r="K726" i="2"/>
  <c r="L726" i="2" s="1"/>
  <c r="M726" i="2" s="1"/>
  <c r="N726" i="2" s="1"/>
  <c r="K725" i="2"/>
  <c r="L725" i="2" s="1"/>
  <c r="M725" i="2" s="1"/>
  <c r="N725" i="2" s="1"/>
  <c r="K724" i="2"/>
  <c r="L724" i="2" s="1"/>
  <c r="M724" i="2" s="1"/>
  <c r="N724" i="2" s="1"/>
  <c r="K723" i="2"/>
  <c r="L723" i="2" s="1"/>
  <c r="M723" i="2" s="1"/>
  <c r="N723" i="2" s="1"/>
  <c r="K722" i="2"/>
  <c r="L722" i="2" s="1"/>
  <c r="M722" i="2" s="1"/>
  <c r="N722" i="2" s="1"/>
  <c r="K721" i="2"/>
  <c r="L721" i="2" s="1"/>
  <c r="M721" i="2" s="1"/>
  <c r="N721" i="2" s="1"/>
  <c r="K720" i="2"/>
  <c r="L720" i="2" s="1"/>
  <c r="M720" i="2" s="1"/>
  <c r="N720" i="2" s="1"/>
  <c r="K719" i="2"/>
  <c r="L719" i="2" s="1"/>
  <c r="M719" i="2" s="1"/>
  <c r="N719" i="2" s="1"/>
  <c r="K718" i="2"/>
  <c r="L718" i="2" s="1"/>
  <c r="M718" i="2" s="1"/>
  <c r="N718" i="2" s="1"/>
  <c r="K717" i="2"/>
  <c r="L717" i="2" s="1"/>
  <c r="M717" i="2" s="1"/>
  <c r="N717" i="2" s="1"/>
  <c r="K716" i="2"/>
  <c r="L716" i="2" s="1"/>
  <c r="M716" i="2" s="1"/>
  <c r="N716" i="2" s="1"/>
  <c r="K715" i="2"/>
  <c r="L715" i="2" s="1"/>
  <c r="M715" i="2" s="1"/>
  <c r="N715" i="2" s="1"/>
  <c r="K714" i="2"/>
  <c r="L714" i="2" s="1"/>
  <c r="M714" i="2" s="1"/>
  <c r="N714" i="2" s="1"/>
  <c r="K713" i="2"/>
  <c r="L713" i="2" s="1"/>
  <c r="M713" i="2" s="1"/>
  <c r="N713" i="2" s="1"/>
  <c r="K712" i="2"/>
  <c r="L712" i="2" s="1"/>
  <c r="M712" i="2" s="1"/>
  <c r="N712" i="2" s="1"/>
  <c r="K711" i="2"/>
  <c r="L711" i="2" s="1"/>
  <c r="M711" i="2" s="1"/>
  <c r="N711" i="2" s="1"/>
  <c r="K710" i="2"/>
  <c r="L710" i="2" s="1"/>
  <c r="M710" i="2" s="1"/>
  <c r="N710" i="2" s="1"/>
  <c r="K709" i="2"/>
  <c r="L709" i="2" s="1"/>
  <c r="M709" i="2" s="1"/>
  <c r="N709" i="2" s="1"/>
  <c r="K708" i="2"/>
  <c r="L708" i="2" s="1"/>
  <c r="M708" i="2" s="1"/>
  <c r="N708" i="2" s="1"/>
  <c r="K707" i="2"/>
  <c r="L707" i="2" s="1"/>
  <c r="M707" i="2" s="1"/>
  <c r="N707" i="2" s="1"/>
  <c r="K706" i="2"/>
  <c r="L706" i="2" s="1"/>
  <c r="M706" i="2" s="1"/>
  <c r="N706" i="2" s="1"/>
  <c r="K705" i="2"/>
  <c r="L705" i="2" s="1"/>
  <c r="M705" i="2" s="1"/>
  <c r="N705" i="2" s="1"/>
  <c r="K704" i="2"/>
  <c r="L704" i="2" s="1"/>
  <c r="M704" i="2" s="1"/>
  <c r="N704" i="2" s="1"/>
  <c r="K703" i="2"/>
  <c r="L703" i="2" s="1"/>
  <c r="M703" i="2" s="1"/>
  <c r="N703" i="2" s="1"/>
  <c r="K702" i="2"/>
  <c r="L702" i="2" s="1"/>
  <c r="M702" i="2" s="1"/>
  <c r="N702" i="2" s="1"/>
  <c r="K701" i="2"/>
  <c r="L701" i="2" s="1"/>
  <c r="M701" i="2" s="1"/>
  <c r="N701" i="2" s="1"/>
  <c r="K700" i="2"/>
  <c r="L700" i="2" s="1"/>
  <c r="M700" i="2" s="1"/>
  <c r="N700" i="2" s="1"/>
  <c r="K699" i="2"/>
  <c r="L699" i="2" s="1"/>
  <c r="M699" i="2" s="1"/>
  <c r="N699" i="2" s="1"/>
  <c r="K698" i="2"/>
  <c r="L698" i="2" s="1"/>
  <c r="M698" i="2" s="1"/>
  <c r="N698" i="2" s="1"/>
  <c r="K697" i="2"/>
  <c r="L697" i="2" s="1"/>
  <c r="M697" i="2" s="1"/>
  <c r="N697" i="2" s="1"/>
  <c r="K696" i="2"/>
  <c r="L696" i="2" s="1"/>
  <c r="M696" i="2" s="1"/>
  <c r="N696" i="2" s="1"/>
  <c r="K695" i="2"/>
  <c r="L695" i="2" s="1"/>
  <c r="M695" i="2" s="1"/>
  <c r="N695" i="2" s="1"/>
  <c r="K694" i="2"/>
  <c r="L694" i="2" s="1"/>
  <c r="M694" i="2" s="1"/>
  <c r="N694" i="2" s="1"/>
  <c r="K693" i="2"/>
  <c r="L693" i="2" s="1"/>
  <c r="M693" i="2" s="1"/>
  <c r="N693" i="2" s="1"/>
  <c r="K692" i="2"/>
  <c r="L692" i="2" s="1"/>
  <c r="M692" i="2" s="1"/>
  <c r="N692" i="2" s="1"/>
  <c r="K691" i="2"/>
  <c r="L691" i="2" s="1"/>
  <c r="M691" i="2" s="1"/>
  <c r="N691" i="2" s="1"/>
  <c r="K690" i="2"/>
  <c r="L690" i="2" s="1"/>
  <c r="M690" i="2" s="1"/>
  <c r="N690" i="2" s="1"/>
  <c r="K689" i="2"/>
  <c r="L689" i="2" s="1"/>
  <c r="M689" i="2" s="1"/>
  <c r="N689" i="2" s="1"/>
  <c r="K688" i="2"/>
  <c r="L688" i="2" s="1"/>
  <c r="M688" i="2" s="1"/>
  <c r="N688" i="2" s="1"/>
  <c r="K687" i="2"/>
  <c r="L687" i="2" s="1"/>
  <c r="M687" i="2" s="1"/>
  <c r="N687" i="2" s="1"/>
  <c r="K686" i="2"/>
  <c r="L686" i="2" s="1"/>
  <c r="M686" i="2" s="1"/>
  <c r="N686" i="2" s="1"/>
  <c r="K685" i="2"/>
  <c r="L685" i="2" s="1"/>
  <c r="M685" i="2" s="1"/>
  <c r="N685" i="2" s="1"/>
  <c r="K684" i="2"/>
  <c r="L684" i="2" s="1"/>
  <c r="M684" i="2" s="1"/>
  <c r="N684" i="2" s="1"/>
  <c r="K683" i="2"/>
  <c r="L683" i="2" s="1"/>
  <c r="M683" i="2" s="1"/>
  <c r="N683" i="2" s="1"/>
  <c r="K682" i="2"/>
  <c r="L682" i="2" s="1"/>
  <c r="M682" i="2" s="1"/>
  <c r="N682" i="2" s="1"/>
  <c r="K681" i="2"/>
  <c r="L681" i="2" s="1"/>
  <c r="M681" i="2" s="1"/>
  <c r="N681" i="2" s="1"/>
  <c r="K680" i="2"/>
  <c r="L680" i="2" s="1"/>
  <c r="M680" i="2" s="1"/>
  <c r="N680" i="2" s="1"/>
  <c r="K679" i="2"/>
  <c r="L679" i="2" s="1"/>
  <c r="M679" i="2" s="1"/>
  <c r="N679" i="2" s="1"/>
  <c r="K678" i="2"/>
  <c r="L678" i="2" s="1"/>
  <c r="M678" i="2" s="1"/>
  <c r="N678" i="2" s="1"/>
  <c r="K677" i="2"/>
  <c r="L677" i="2" s="1"/>
  <c r="M677" i="2" s="1"/>
  <c r="N677" i="2" s="1"/>
  <c r="K676" i="2"/>
  <c r="L676" i="2" s="1"/>
  <c r="M676" i="2" s="1"/>
  <c r="N676" i="2" s="1"/>
  <c r="K675" i="2"/>
  <c r="L675" i="2" s="1"/>
  <c r="M675" i="2" s="1"/>
  <c r="N675" i="2" s="1"/>
  <c r="K674" i="2"/>
  <c r="L674" i="2" s="1"/>
  <c r="M674" i="2" s="1"/>
  <c r="N674" i="2" s="1"/>
  <c r="K673" i="2"/>
  <c r="L673" i="2" s="1"/>
  <c r="M673" i="2" s="1"/>
  <c r="N673" i="2" s="1"/>
  <c r="K672" i="2"/>
  <c r="L672" i="2" s="1"/>
  <c r="M672" i="2" s="1"/>
  <c r="N672" i="2" s="1"/>
  <c r="K671" i="2"/>
  <c r="L671" i="2" s="1"/>
  <c r="M671" i="2" s="1"/>
  <c r="N671" i="2" s="1"/>
  <c r="K670" i="2"/>
  <c r="L670" i="2" s="1"/>
  <c r="M670" i="2" s="1"/>
  <c r="N670" i="2" s="1"/>
  <c r="K669" i="2"/>
  <c r="L669" i="2" s="1"/>
  <c r="M669" i="2" s="1"/>
  <c r="N669" i="2" s="1"/>
  <c r="K668" i="2"/>
  <c r="L668" i="2" s="1"/>
  <c r="M668" i="2" s="1"/>
  <c r="N668" i="2" s="1"/>
  <c r="K667" i="2"/>
  <c r="L667" i="2" s="1"/>
  <c r="M667" i="2" s="1"/>
  <c r="N667" i="2" s="1"/>
  <c r="K666" i="2"/>
  <c r="L666" i="2" s="1"/>
  <c r="M666" i="2" s="1"/>
  <c r="N666" i="2" s="1"/>
  <c r="K665" i="2"/>
  <c r="L665" i="2" s="1"/>
  <c r="M665" i="2" s="1"/>
  <c r="N665" i="2" s="1"/>
  <c r="K664" i="2"/>
  <c r="L664" i="2" s="1"/>
  <c r="M664" i="2" s="1"/>
  <c r="N664" i="2" s="1"/>
  <c r="K663" i="2"/>
  <c r="L663" i="2" s="1"/>
  <c r="M663" i="2" s="1"/>
  <c r="N663" i="2" s="1"/>
  <c r="K662" i="2"/>
  <c r="L662" i="2" s="1"/>
  <c r="M662" i="2" s="1"/>
  <c r="N662" i="2" s="1"/>
  <c r="K661" i="2"/>
  <c r="L661" i="2" s="1"/>
  <c r="M661" i="2" s="1"/>
  <c r="N661" i="2" s="1"/>
  <c r="K660" i="2"/>
  <c r="L660" i="2" s="1"/>
  <c r="M660" i="2" s="1"/>
  <c r="N660" i="2" s="1"/>
  <c r="K659" i="2"/>
  <c r="L659" i="2" s="1"/>
  <c r="M659" i="2" s="1"/>
  <c r="N659" i="2" s="1"/>
  <c r="K658" i="2"/>
  <c r="L658" i="2" s="1"/>
  <c r="M658" i="2" s="1"/>
  <c r="N658" i="2" s="1"/>
  <c r="K657" i="2"/>
  <c r="L657" i="2" s="1"/>
  <c r="M657" i="2" s="1"/>
  <c r="N657" i="2" s="1"/>
  <c r="K656" i="2"/>
  <c r="L656" i="2" s="1"/>
  <c r="M656" i="2" s="1"/>
  <c r="N656" i="2" s="1"/>
  <c r="K655" i="2"/>
  <c r="L655" i="2" s="1"/>
  <c r="M655" i="2" s="1"/>
  <c r="N655" i="2" s="1"/>
  <c r="K654" i="2"/>
  <c r="L654" i="2" s="1"/>
  <c r="M654" i="2" s="1"/>
  <c r="N654" i="2" s="1"/>
  <c r="K653" i="2"/>
  <c r="L653" i="2" s="1"/>
  <c r="M653" i="2" s="1"/>
  <c r="N653" i="2" s="1"/>
  <c r="K652" i="2"/>
  <c r="L652" i="2" s="1"/>
  <c r="M652" i="2" s="1"/>
  <c r="N652" i="2" s="1"/>
  <c r="K651" i="2"/>
  <c r="L651" i="2" s="1"/>
  <c r="M651" i="2" s="1"/>
  <c r="N651" i="2" s="1"/>
  <c r="K650" i="2"/>
  <c r="L650" i="2" s="1"/>
  <c r="M650" i="2" s="1"/>
  <c r="N650" i="2" s="1"/>
  <c r="K649" i="2"/>
  <c r="L649" i="2" s="1"/>
  <c r="M649" i="2" s="1"/>
  <c r="N649" i="2" s="1"/>
  <c r="K648" i="2"/>
  <c r="L648" i="2" s="1"/>
  <c r="M648" i="2" s="1"/>
  <c r="N648" i="2" s="1"/>
  <c r="K647" i="2"/>
  <c r="L647" i="2" s="1"/>
  <c r="M647" i="2" s="1"/>
  <c r="N647" i="2" s="1"/>
  <c r="K646" i="2"/>
  <c r="L646" i="2" s="1"/>
  <c r="M646" i="2" s="1"/>
  <c r="N646" i="2" s="1"/>
  <c r="K645" i="2"/>
  <c r="L645" i="2" s="1"/>
  <c r="M645" i="2" s="1"/>
  <c r="N645" i="2" s="1"/>
  <c r="K644" i="2"/>
  <c r="L644" i="2" s="1"/>
  <c r="M644" i="2" s="1"/>
  <c r="N644" i="2" s="1"/>
  <c r="K643" i="2"/>
  <c r="L643" i="2" s="1"/>
  <c r="M643" i="2" s="1"/>
  <c r="N643" i="2" s="1"/>
  <c r="K642" i="2"/>
  <c r="L642" i="2" s="1"/>
  <c r="M642" i="2" s="1"/>
  <c r="N642" i="2" s="1"/>
  <c r="K641" i="2"/>
  <c r="L641" i="2" s="1"/>
  <c r="M641" i="2" s="1"/>
  <c r="N641" i="2" s="1"/>
  <c r="K640" i="2"/>
  <c r="L640" i="2" s="1"/>
  <c r="M640" i="2" s="1"/>
  <c r="N640" i="2" s="1"/>
  <c r="K639" i="2"/>
  <c r="L639" i="2" s="1"/>
  <c r="M639" i="2" s="1"/>
  <c r="N639" i="2" s="1"/>
  <c r="K638" i="2"/>
  <c r="L638" i="2" s="1"/>
  <c r="M638" i="2" s="1"/>
  <c r="N638" i="2" s="1"/>
  <c r="K637" i="2"/>
  <c r="L637" i="2" s="1"/>
  <c r="M637" i="2" s="1"/>
  <c r="N637" i="2" s="1"/>
  <c r="K636" i="2"/>
  <c r="L636" i="2" s="1"/>
  <c r="M636" i="2" s="1"/>
  <c r="N636" i="2" s="1"/>
  <c r="K635" i="2"/>
  <c r="L635" i="2" s="1"/>
  <c r="M635" i="2" s="1"/>
  <c r="N635" i="2" s="1"/>
  <c r="K634" i="2"/>
  <c r="L634" i="2" s="1"/>
  <c r="M634" i="2" s="1"/>
  <c r="N634" i="2" s="1"/>
  <c r="K633" i="2"/>
  <c r="L633" i="2" s="1"/>
  <c r="M633" i="2" s="1"/>
  <c r="N633" i="2" s="1"/>
  <c r="K632" i="2"/>
  <c r="L632" i="2" s="1"/>
  <c r="M632" i="2" s="1"/>
  <c r="N632" i="2" s="1"/>
  <c r="K631" i="2"/>
  <c r="L631" i="2" s="1"/>
  <c r="M631" i="2" s="1"/>
  <c r="N631" i="2" s="1"/>
  <c r="K630" i="2"/>
  <c r="L630" i="2" s="1"/>
  <c r="M630" i="2" s="1"/>
  <c r="N630" i="2" s="1"/>
  <c r="K629" i="2"/>
  <c r="L629" i="2" s="1"/>
  <c r="M629" i="2" s="1"/>
  <c r="N629" i="2" s="1"/>
  <c r="K628" i="2"/>
  <c r="L628" i="2" s="1"/>
  <c r="M628" i="2" s="1"/>
  <c r="N628" i="2" s="1"/>
  <c r="K627" i="2"/>
  <c r="L627" i="2" s="1"/>
  <c r="M627" i="2" s="1"/>
  <c r="N627" i="2" s="1"/>
  <c r="K626" i="2"/>
  <c r="L626" i="2" s="1"/>
  <c r="M626" i="2" s="1"/>
  <c r="N626" i="2" s="1"/>
  <c r="K625" i="2"/>
  <c r="L625" i="2" s="1"/>
  <c r="M625" i="2" s="1"/>
  <c r="N625" i="2" s="1"/>
  <c r="K624" i="2"/>
  <c r="L624" i="2" s="1"/>
  <c r="M624" i="2" s="1"/>
  <c r="N624" i="2" s="1"/>
  <c r="K623" i="2"/>
  <c r="L623" i="2" s="1"/>
  <c r="M623" i="2" s="1"/>
  <c r="N623" i="2" s="1"/>
  <c r="K622" i="2"/>
  <c r="L622" i="2" s="1"/>
  <c r="M622" i="2" s="1"/>
  <c r="N622" i="2" s="1"/>
  <c r="K621" i="2"/>
  <c r="L621" i="2" s="1"/>
  <c r="M621" i="2" s="1"/>
  <c r="N621" i="2" s="1"/>
  <c r="K620" i="2"/>
  <c r="L620" i="2" s="1"/>
  <c r="M620" i="2" s="1"/>
  <c r="N620" i="2" s="1"/>
  <c r="K619" i="2"/>
  <c r="L619" i="2" s="1"/>
  <c r="M619" i="2" s="1"/>
  <c r="N619" i="2" s="1"/>
  <c r="K618" i="2"/>
  <c r="L618" i="2" s="1"/>
  <c r="M618" i="2" s="1"/>
  <c r="N618" i="2" s="1"/>
  <c r="K617" i="2"/>
  <c r="L617" i="2" s="1"/>
  <c r="M617" i="2" s="1"/>
  <c r="N617" i="2" s="1"/>
  <c r="K616" i="2"/>
  <c r="L616" i="2" s="1"/>
  <c r="M616" i="2" s="1"/>
  <c r="N616" i="2" s="1"/>
  <c r="K615" i="2"/>
  <c r="L615" i="2" s="1"/>
  <c r="M615" i="2" s="1"/>
  <c r="N615" i="2" s="1"/>
  <c r="K614" i="2"/>
  <c r="L614" i="2" s="1"/>
  <c r="M614" i="2" s="1"/>
  <c r="N614" i="2" s="1"/>
  <c r="K613" i="2"/>
  <c r="L613" i="2" s="1"/>
  <c r="M613" i="2" s="1"/>
  <c r="N613" i="2" s="1"/>
  <c r="K612" i="2"/>
  <c r="L612" i="2" s="1"/>
  <c r="M612" i="2" s="1"/>
  <c r="N612" i="2" s="1"/>
  <c r="K611" i="2"/>
  <c r="L611" i="2" s="1"/>
  <c r="M611" i="2" s="1"/>
  <c r="N611" i="2" s="1"/>
  <c r="K610" i="2"/>
  <c r="L610" i="2" s="1"/>
  <c r="M610" i="2" s="1"/>
  <c r="N610" i="2" s="1"/>
  <c r="K609" i="2"/>
  <c r="L609" i="2" s="1"/>
  <c r="M609" i="2" s="1"/>
  <c r="N609" i="2" s="1"/>
  <c r="K608" i="2"/>
  <c r="L608" i="2" s="1"/>
  <c r="M608" i="2" s="1"/>
  <c r="N608" i="2" s="1"/>
  <c r="K607" i="2"/>
  <c r="L607" i="2" s="1"/>
  <c r="M607" i="2" s="1"/>
  <c r="N607" i="2" s="1"/>
  <c r="K606" i="2"/>
  <c r="L606" i="2" s="1"/>
  <c r="M606" i="2" s="1"/>
  <c r="N606" i="2" s="1"/>
  <c r="K605" i="2"/>
  <c r="L605" i="2" s="1"/>
  <c r="M605" i="2" s="1"/>
  <c r="N605" i="2" s="1"/>
  <c r="K604" i="2"/>
  <c r="L604" i="2" s="1"/>
  <c r="M604" i="2" s="1"/>
  <c r="N604" i="2" s="1"/>
  <c r="K603" i="2"/>
  <c r="L603" i="2" s="1"/>
  <c r="M603" i="2" s="1"/>
  <c r="N603" i="2" s="1"/>
  <c r="K602" i="2"/>
  <c r="L602" i="2" s="1"/>
  <c r="M602" i="2" s="1"/>
  <c r="N602" i="2" s="1"/>
  <c r="K601" i="2"/>
  <c r="L601" i="2" s="1"/>
  <c r="M601" i="2" s="1"/>
  <c r="N601" i="2" s="1"/>
  <c r="K600" i="2"/>
  <c r="L600" i="2" s="1"/>
  <c r="M600" i="2" s="1"/>
  <c r="N600" i="2" s="1"/>
  <c r="K599" i="2"/>
  <c r="L599" i="2" s="1"/>
  <c r="M599" i="2" s="1"/>
  <c r="N599" i="2" s="1"/>
  <c r="K598" i="2"/>
  <c r="L598" i="2" s="1"/>
  <c r="M598" i="2" s="1"/>
  <c r="N598" i="2" s="1"/>
  <c r="K597" i="2"/>
  <c r="L597" i="2" s="1"/>
  <c r="M597" i="2" s="1"/>
  <c r="N597" i="2" s="1"/>
  <c r="K596" i="2"/>
  <c r="L596" i="2" s="1"/>
  <c r="M596" i="2" s="1"/>
  <c r="N596" i="2" s="1"/>
  <c r="K595" i="2"/>
  <c r="L595" i="2" s="1"/>
  <c r="M595" i="2" s="1"/>
  <c r="N595" i="2" s="1"/>
  <c r="K594" i="2"/>
  <c r="L594" i="2" s="1"/>
  <c r="M594" i="2" s="1"/>
  <c r="N594" i="2" s="1"/>
  <c r="K593" i="2"/>
  <c r="L593" i="2" s="1"/>
  <c r="M593" i="2" s="1"/>
  <c r="N593" i="2" s="1"/>
  <c r="K592" i="2"/>
  <c r="L592" i="2" s="1"/>
  <c r="M592" i="2" s="1"/>
  <c r="N592" i="2" s="1"/>
  <c r="K591" i="2"/>
  <c r="L591" i="2" s="1"/>
  <c r="M591" i="2" s="1"/>
  <c r="N591" i="2" s="1"/>
  <c r="K590" i="2"/>
  <c r="L590" i="2" s="1"/>
  <c r="M590" i="2" s="1"/>
  <c r="N590" i="2" s="1"/>
  <c r="K589" i="2"/>
  <c r="L589" i="2" s="1"/>
  <c r="M589" i="2" s="1"/>
  <c r="N589" i="2" s="1"/>
  <c r="K588" i="2"/>
  <c r="L588" i="2" s="1"/>
  <c r="M588" i="2" s="1"/>
  <c r="N588" i="2" s="1"/>
  <c r="K587" i="2"/>
  <c r="L587" i="2" s="1"/>
  <c r="M587" i="2" s="1"/>
  <c r="N587" i="2" s="1"/>
  <c r="K586" i="2"/>
  <c r="L586" i="2" s="1"/>
  <c r="M586" i="2" s="1"/>
  <c r="N586" i="2" s="1"/>
  <c r="K585" i="2"/>
  <c r="L585" i="2" s="1"/>
  <c r="M585" i="2" s="1"/>
  <c r="N585" i="2" s="1"/>
  <c r="K584" i="2"/>
  <c r="L584" i="2" s="1"/>
  <c r="M584" i="2" s="1"/>
  <c r="N584" i="2" s="1"/>
  <c r="K583" i="2"/>
  <c r="L583" i="2" s="1"/>
  <c r="M583" i="2" s="1"/>
  <c r="N583" i="2" s="1"/>
  <c r="K582" i="2"/>
  <c r="L582" i="2" s="1"/>
  <c r="M582" i="2" s="1"/>
  <c r="N582" i="2" s="1"/>
  <c r="K581" i="2"/>
  <c r="L581" i="2" s="1"/>
  <c r="M581" i="2" s="1"/>
  <c r="N581" i="2" s="1"/>
  <c r="K580" i="2"/>
  <c r="L580" i="2" s="1"/>
  <c r="M580" i="2" s="1"/>
  <c r="N580" i="2" s="1"/>
  <c r="K579" i="2"/>
  <c r="L579" i="2" s="1"/>
  <c r="M579" i="2" s="1"/>
  <c r="N579" i="2" s="1"/>
  <c r="K578" i="2"/>
  <c r="L578" i="2" s="1"/>
  <c r="M578" i="2" s="1"/>
  <c r="N578" i="2" s="1"/>
  <c r="K577" i="2"/>
  <c r="L577" i="2" s="1"/>
  <c r="M577" i="2" s="1"/>
  <c r="N577" i="2" s="1"/>
  <c r="K576" i="2"/>
  <c r="L576" i="2" s="1"/>
  <c r="M576" i="2" s="1"/>
  <c r="N576" i="2" s="1"/>
  <c r="K575" i="2"/>
  <c r="L575" i="2" s="1"/>
  <c r="M575" i="2" s="1"/>
  <c r="N575" i="2" s="1"/>
  <c r="K574" i="2"/>
  <c r="L574" i="2" s="1"/>
  <c r="M574" i="2" s="1"/>
  <c r="N574" i="2" s="1"/>
  <c r="K573" i="2"/>
  <c r="L573" i="2" s="1"/>
  <c r="M573" i="2" s="1"/>
  <c r="N573" i="2" s="1"/>
  <c r="K572" i="2"/>
  <c r="L572" i="2" s="1"/>
  <c r="M572" i="2" s="1"/>
  <c r="N572" i="2" s="1"/>
  <c r="K571" i="2"/>
  <c r="L571" i="2" s="1"/>
  <c r="M571" i="2" s="1"/>
  <c r="N571" i="2" s="1"/>
  <c r="K570" i="2"/>
  <c r="L570" i="2" s="1"/>
  <c r="M570" i="2" s="1"/>
  <c r="N570" i="2" s="1"/>
  <c r="K569" i="2"/>
  <c r="L569" i="2" s="1"/>
  <c r="M569" i="2" s="1"/>
  <c r="N569" i="2" s="1"/>
  <c r="K568" i="2"/>
  <c r="L568" i="2" s="1"/>
  <c r="M568" i="2" s="1"/>
  <c r="N568" i="2" s="1"/>
  <c r="K567" i="2"/>
  <c r="L567" i="2" s="1"/>
  <c r="M567" i="2" s="1"/>
  <c r="N567" i="2" s="1"/>
  <c r="K566" i="2"/>
  <c r="L566" i="2" s="1"/>
  <c r="M566" i="2" s="1"/>
  <c r="N566" i="2" s="1"/>
  <c r="K565" i="2"/>
  <c r="L565" i="2" s="1"/>
  <c r="M565" i="2" s="1"/>
  <c r="N565" i="2" s="1"/>
  <c r="K564" i="2"/>
  <c r="L564" i="2" s="1"/>
  <c r="M564" i="2" s="1"/>
  <c r="N564" i="2" s="1"/>
  <c r="K563" i="2"/>
  <c r="L563" i="2" s="1"/>
  <c r="M563" i="2" s="1"/>
  <c r="N563" i="2" s="1"/>
  <c r="K562" i="2"/>
  <c r="L562" i="2" s="1"/>
  <c r="M562" i="2" s="1"/>
  <c r="N562" i="2" s="1"/>
  <c r="K561" i="2"/>
  <c r="L561" i="2" s="1"/>
  <c r="M561" i="2" s="1"/>
  <c r="N561" i="2" s="1"/>
  <c r="K560" i="2"/>
  <c r="L560" i="2" s="1"/>
  <c r="M560" i="2" s="1"/>
  <c r="N560" i="2" s="1"/>
  <c r="K559" i="2"/>
  <c r="L559" i="2" s="1"/>
  <c r="M559" i="2" s="1"/>
  <c r="N559" i="2" s="1"/>
  <c r="K558" i="2"/>
  <c r="L558" i="2" s="1"/>
  <c r="M558" i="2" s="1"/>
  <c r="N558" i="2" s="1"/>
  <c r="K557" i="2"/>
  <c r="L557" i="2" s="1"/>
  <c r="M557" i="2" s="1"/>
  <c r="N557" i="2" s="1"/>
  <c r="K556" i="2"/>
  <c r="L556" i="2" s="1"/>
  <c r="M556" i="2" s="1"/>
  <c r="N556" i="2" s="1"/>
  <c r="K555" i="2"/>
  <c r="L555" i="2" s="1"/>
  <c r="M555" i="2" s="1"/>
  <c r="N555" i="2" s="1"/>
  <c r="K554" i="2"/>
  <c r="L554" i="2" s="1"/>
  <c r="M554" i="2" s="1"/>
  <c r="N554" i="2" s="1"/>
  <c r="K553" i="2"/>
  <c r="L553" i="2" s="1"/>
  <c r="M553" i="2" s="1"/>
  <c r="N553" i="2" s="1"/>
  <c r="K552" i="2"/>
  <c r="L552" i="2" s="1"/>
  <c r="M552" i="2" s="1"/>
  <c r="N552" i="2" s="1"/>
  <c r="K551" i="2"/>
  <c r="L551" i="2" s="1"/>
  <c r="M551" i="2" s="1"/>
  <c r="N551" i="2" s="1"/>
  <c r="K550" i="2"/>
  <c r="L550" i="2" s="1"/>
  <c r="M550" i="2" s="1"/>
  <c r="N550" i="2" s="1"/>
  <c r="K549" i="2"/>
  <c r="L549" i="2" s="1"/>
  <c r="M549" i="2" s="1"/>
  <c r="N549" i="2" s="1"/>
  <c r="K548" i="2"/>
  <c r="L548" i="2" s="1"/>
  <c r="M548" i="2" s="1"/>
  <c r="N548" i="2" s="1"/>
  <c r="K547" i="2"/>
  <c r="L547" i="2" s="1"/>
  <c r="M547" i="2" s="1"/>
  <c r="N547" i="2" s="1"/>
  <c r="K546" i="2"/>
  <c r="L546" i="2" s="1"/>
  <c r="M546" i="2" s="1"/>
  <c r="N546" i="2" s="1"/>
  <c r="K545" i="2"/>
  <c r="L545" i="2" s="1"/>
  <c r="M545" i="2" s="1"/>
  <c r="N545" i="2" s="1"/>
  <c r="K544" i="2"/>
  <c r="L544" i="2" s="1"/>
  <c r="M544" i="2" s="1"/>
  <c r="N544" i="2" s="1"/>
  <c r="K543" i="2"/>
  <c r="L543" i="2" s="1"/>
  <c r="M543" i="2" s="1"/>
  <c r="N543" i="2" s="1"/>
  <c r="K542" i="2"/>
  <c r="L542" i="2" s="1"/>
  <c r="M542" i="2" s="1"/>
  <c r="N542" i="2" s="1"/>
  <c r="K541" i="2"/>
  <c r="L541" i="2" s="1"/>
  <c r="M541" i="2" s="1"/>
  <c r="N541" i="2" s="1"/>
  <c r="K540" i="2"/>
  <c r="L540" i="2" s="1"/>
  <c r="M540" i="2" s="1"/>
  <c r="N540" i="2" s="1"/>
  <c r="K539" i="2"/>
  <c r="L539" i="2" s="1"/>
  <c r="M539" i="2" s="1"/>
  <c r="N539" i="2" s="1"/>
  <c r="K538" i="2"/>
  <c r="L538" i="2" s="1"/>
  <c r="M538" i="2" s="1"/>
  <c r="N538" i="2" s="1"/>
  <c r="K537" i="2"/>
  <c r="L537" i="2" s="1"/>
  <c r="M537" i="2" s="1"/>
  <c r="N537" i="2" s="1"/>
  <c r="K536" i="2"/>
  <c r="L536" i="2" s="1"/>
  <c r="M536" i="2" s="1"/>
  <c r="N536" i="2" s="1"/>
  <c r="K535" i="2"/>
  <c r="L535" i="2" s="1"/>
  <c r="M535" i="2" s="1"/>
  <c r="N535" i="2" s="1"/>
  <c r="K534" i="2"/>
  <c r="L534" i="2" s="1"/>
  <c r="M534" i="2" s="1"/>
  <c r="N534" i="2" s="1"/>
  <c r="K533" i="2"/>
  <c r="L533" i="2" s="1"/>
  <c r="M533" i="2" s="1"/>
  <c r="N533" i="2" s="1"/>
  <c r="K532" i="2"/>
  <c r="L532" i="2" s="1"/>
  <c r="M532" i="2" s="1"/>
  <c r="N532" i="2" s="1"/>
  <c r="K531" i="2"/>
  <c r="L531" i="2" s="1"/>
  <c r="M531" i="2" s="1"/>
  <c r="N531" i="2" s="1"/>
  <c r="K530" i="2"/>
  <c r="L530" i="2" s="1"/>
  <c r="M530" i="2" s="1"/>
  <c r="N530" i="2" s="1"/>
  <c r="K529" i="2"/>
  <c r="L529" i="2" s="1"/>
  <c r="M529" i="2" s="1"/>
  <c r="N529" i="2" s="1"/>
  <c r="K528" i="2"/>
  <c r="L528" i="2" s="1"/>
  <c r="M528" i="2" s="1"/>
  <c r="N528" i="2" s="1"/>
  <c r="K527" i="2"/>
  <c r="L527" i="2" s="1"/>
  <c r="M527" i="2" s="1"/>
  <c r="N527" i="2" s="1"/>
  <c r="K526" i="2"/>
  <c r="L526" i="2" s="1"/>
  <c r="M526" i="2" s="1"/>
  <c r="N526" i="2" s="1"/>
  <c r="K525" i="2"/>
  <c r="L525" i="2" s="1"/>
  <c r="M525" i="2" s="1"/>
  <c r="N525" i="2" s="1"/>
  <c r="K524" i="2"/>
  <c r="L524" i="2" s="1"/>
  <c r="M524" i="2" s="1"/>
  <c r="N524" i="2" s="1"/>
  <c r="K523" i="2"/>
  <c r="L523" i="2" s="1"/>
  <c r="M523" i="2" s="1"/>
  <c r="N523" i="2" s="1"/>
  <c r="K522" i="2"/>
  <c r="L522" i="2" s="1"/>
  <c r="M522" i="2" s="1"/>
  <c r="N522" i="2" s="1"/>
  <c r="K521" i="2"/>
  <c r="L521" i="2" s="1"/>
  <c r="M521" i="2" s="1"/>
  <c r="N521" i="2" s="1"/>
  <c r="K520" i="2"/>
  <c r="L520" i="2" s="1"/>
  <c r="M520" i="2" s="1"/>
  <c r="N520" i="2" s="1"/>
  <c r="K519" i="2"/>
  <c r="L519" i="2" s="1"/>
  <c r="M519" i="2" s="1"/>
  <c r="N519" i="2" s="1"/>
  <c r="K518" i="2"/>
  <c r="L518" i="2" s="1"/>
  <c r="M518" i="2" s="1"/>
  <c r="N518" i="2" s="1"/>
  <c r="K517" i="2"/>
  <c r="L517" i="2" s="1"/>
  <c r="M517" i="2" s="1"/>
  <c r="N517" i="2" s="1"/>
  <c r="K516" i="2"/>
  <c r="L516" i="2" s="1"/>
  <c r="M516" i="2" s="1"/>
  <c r="N516" i="2" s="1"/>
  <c r="K515" i="2"/>
  <c r="L515" i="2" s="1"/>
  <c r="M515" i="2" s="1"/>
  <c r="N515" i="2" s="1"/>
  <c r="K514" i="2"/>
  <c r="L514" i="2" s="1"/>
  <c r="M514" i="2" s="1"/>
  <c r="N514" i="2" s="1"/>
  <c r="K513" i="2"/>
  <c r="L513" i="2" s="1"/>
  <c r="M513" i="2" s="1"/>
  <c r="N513" i="2" s="1"/>
  <c r="K512" i="2"/>
  <c r="L512" i="2" s="1"/>
  <c r="M512" i="2" s="1"/>
  <c r="N512" i="2" s="1"/>
  <c r="K511" i="2"/>
  <c r="L511" i="2" s="1"/>
  <c r="M511" i="2" s="1"/>
  <c r="N511" i="2" s="1"/>
  <c r="K510" i="2"/>
  <c r="L510" i="2" s="1"/>
  <c r="M510" i="2" s="1"/>
  <c r="N510" i="2" s="1"/>
  <c r="K509" i="2"/>
  <c r="L509" i="2" s="1"/>
  <c r="M509" i="2" s="1"/>
  <c r="N509" i="2" s="1"/>
  <c r="K508" i="2"/>
  <c r="L508" i="2" s="1"/>
  <c r="M508" i="2" s="1"/>
  <c r="N508" i="2" s="1"/>
  <c r="K507" i="2"/>
  <c r="L507" i="2" s="1"/>
  <c r="M507" i="2" s="1"/>
  <c r="N507" i="2" s="1"/>
  <c r="K506" i="2"/>
  <c r="L506" i="2" s="1"/>
  <c r="M506" i="2" s="1"/>
  <c r="N506" i="2" s="1"/>
  <c r="K505" i="2"/>
  <c r="L505" i="2" s="1"/>
  <c r="M505" i="2" s="1"/>
  <c r="N505" i="2" s="1"/>
  <c r="K504" i="2"/>
  <c r="L504" i="2" s="1"/>
  <c r="M504" i="2" s="1"/>
  <c r="N504" i="2" s="1"/>
  <c r="K503" i="2"/>
  <c r="L503" i="2" s="1"/>
  <c r="M503" i="2" s="1"/>
  <c r="N503" i="2" s="1"/>
  <c r="K502" i="2"/>
  <c r="L502" i="2" s="1"/>
  <c r="M502" i="2" s="1"/>
  <c r="N502" i="2" s="1"/>
  <c r="K501" i="2"/>
  <c r="L501" i="2" s="1"/>
  <c r="M501" i="2" s="1"/>
  <c r="N501" i="2" s="1"/>
  <c r="K500" i="2"/>
  <c r="L500" i="2" s="1"/>
  <c r="M500" i="2" s="1"/>
  <c r="N500" i="2" s="1"/>
  <c r="K499" i="2"/>
  <c r="L499" i="2" s="1"/>
  <c r="M499" i="2" s="1"/>
  <c r="N499" i="2" s="1"/>
  <c r="K498" i="2"/>
  <c r="L498" i="2" s="1"/>
  <c r="M498" i="2" s="1"/>
  <c r="N498" i="2" s="1"/>
  <c r="K497" i="2"/>
  <c r="L497" i="2" s="1"/>
  <c r="M497" i="2" s="1"/>
  <c r="N497" i="2" s="1"/>
  <c r="K496" i="2"/>
  <c r="L496" i="2" s="1"/>
  <c r="M496" i="2" s="1"/>
  <c r="N496" i="2" s="1"/>
  <c r="K495" i="2"/>
  <c r="L495" i="2" s="1"/>
  <c r="M495" i="2" s="1"/>
  <c r="N495" i="2" s="1"/>
  <c r="K494" i="2"/>
  <c r="L494" i="2" s="1"/>
  <c r="M494" i="2" s="1"/>
  <c r="N494" i="2" s="1"/>
  <c r="K493" i="2"/>
  <c r="L493" i="2" s="1"/>
  <c r="M493" i="2" s="1"/>
  <c r="N493" i="2" s="1"/>
  <c r="K492" i="2"/>
  <c r="L492" i="2" s="1"/>
  <c r="M492" i="2" s="1"/>
  <c r="N492" i="2" s="1"/>
  <c r="K491" i="2"/>
  <c r="L491" i="2" s="1"/>
  <c r="M491" i="2" s="1"/>
  <c r="N491" i="2" s="1"/>
  <c r="K490" i="2"/>
  <c r="L490" i="2" s="1"/>
  <c r="M490" i="2" s="1"/>
  <c r="N490" i="2" s="1"/>
  <c r="K489" i="2"/>
  <c r="L489" i="2" s="1"/>
  <c r="M489" i="2" s="1"/>
  <c r="N489" i="2" s="1"/>
  <c r="K488" i="2"/>
  <c r="L488" i="2" s="1"/>
  <c r="M488" i="2" s="1"/>
  <c r="N488" i="2" s="1"/>
  <c r="K487" i="2"/>
  <c r="L487" i="2" s="1"/>
  <c r="M487" i="2" s="1"/>
  <c r="N487" i="2" s="1"/>
  <c r="K486" i="2"/>
  <c r="L486" i="2" s="1"/>
  <c r="M486" i="2" s="1"/>
  <c r="N486" i="2" s="1"/>
  <c r="K485" i="2"/>
  <c r="L485" i="2" s="1"/>
  <c r="M485" i="2" s="1"/>
  <c r="N485" i="2" s="1"/>
  <c r="K484" i="2"/>
  <c r="L484" i="2" s="1"/>
  <c r="M484" i="2" s="1"/>
  <c r="N484" i="2" s="1"/>
  <c r="K483" i="2"/>
  <c r="L483" i="2" s="1"/>
  <c r="M483" i="2" s="1"/>
  <c r="N483" i="2" s="1"/>
  <c r="K482" i="2"/>
  <c r="L482" i="2" s="1"/>
  <c r="M482" i="2" s="1"/>
  <c r="N482" i="2" s="1"/>
  <c r="K481" i="2"/>
  <c r="L481" i="2" s="1"/>
  <c r="M481" i="2" s="1"/>
  <c r="N481" i="2" s="1"/>
  <c r="K480" i="2"/>
  <c r="L480" i="2" s="1"/>
  <c r="M480" i="2" s="1"/>
  <c r="N480" i="2" s="1"/>
  <c r="K479" i="2"/>
  <c r="L479" i="2" s="1"/>
  <c r="M479" i="2" s="1"/>
  <c r="N479" i="2" s="1"/>
  <c r="K478" i="2"/>
  <c r="L478" i="2" s="1"/>
  <c r="M478" i="2" s="1"/>
  <c r="N478" i="2" s="1"/>
  <c r="K477" i="2"/>
  <c r="L477" i="2" s="1"/>
  <c r="M477" i="2" s="1"/>
  <c r="N477" i="2" s="1"/>
  <c r="K476" i="2"/>
  <c r="L476" i="2" s="1"/>
  <c r="M476" i="2" s="1"/>
  <c r="N476" i="2" s="1"/>
  <c r="K475" i="2"/>
  <c r="L475" i="2" s="1"/>
  <c r="M475" i="2" s="1"/>
  <c r="N475" i="2" s="1"/>
  <c r="K474" i="2"/>
  <c r="L474" i="2" s="1"/>
  <c r="M474" i="2" s="1"/>
  <c r="N474" i="2" s="1"/>
  <c r="K473" i="2"/>
  <c r="L473" i="2" s="1"/>
  <c r="M473" i="2" s="1"/>
  <c r="N473" i="2" s="1"/>
  <c r="K472" i="2"/>
  <c r="L472" i="2" s="1"/>
  <c r="M472" i="2" s="1"/>
  <c r="N472" i="2" s="1"/>
  <c r="K471" i="2"/>
  <c r="L471" i="2" s="1"/>
  <c r="M471" i="2" s="1"/>
  <c r="N471" i="2" s="1"/>
  <c r="K470" i="2"/>
  <c r="L470" i="2" s="1"/>
  <c r="M470" i="2" s="1"/>
  <c r="N470" i="2" s="1"/>
  <c r="K469" i="2"/>
  <c r="L469" i="2" s="1"/>
  <c r="M469" i="2" s="1"/>
  <c r="N469" i="2" s="1"/>
  <c r="K468" i="2"/>
  <c r="L468" i="2" s="1"/>
  <c r="M468" i="2" s="1"/>
  <c r="N468" i="2" s="1"/>
  <c r="K467" i="2"/>
  <c r="L467" i="2" s="1"/>
  <c r="M467" i="2" s="1"/>
  <c r="N467" i="2" s="1"/>
  <c r="K466" i="2"/>
  <c r="L466" i="2" s="1"/>
  <c r="M466" i="2" s="1"/>
  <c r="N466" i="2" s="1"/>
  <c r="K465" i="2"/>
  <c r="L465" i="2" s="1"/>
  <c r="M465" i="2" s="1"/>
  <c r="N465" i="2" s="1"/>
  <c r="K464" i="2"/>
  <c r="L464" i="2" s="1"/>
  <c r="M464" i="2" s="1"/>
  <c r="N464" i="2" s="1"/>
  <c r="K463" i="2"/>
  <c r="L463" i="2" s="1"/>
  <c r="M463" i="2" s="1"/>
  <c r="N463" i="2" s="1"/>
  <c r="K462" i="2"/>
  <c r="L462" i="2" s="1"/>
  <c r="M462" i="2" s="1"/>
  <c r="N462" i="2" s="1"/>
  <c r="K461" i="2"/>
  <c r="L461" i="2" s="1"/>
  <c r="M461" i="2" s="1"/>
  <c r="N461" i="2" s="1"/>
  <c r="K460" i="2"/>
  <c r="L460" i="2" s="1"/>
  <c r="M460" i="2" s="1"/>
  <c r="N460" i="2" s="1"/>
  <c r="K459" i="2"/>
  <c r="L459" i="2" s="1"/>
  <c r="M459" i="2" s="1"/>
  <c r="N459" i="2" s="1"/>
  <c r="K458" i="2"/>
  <c r="L458" i="2" s="1"/>
  <c r="M458" i="2" s="1"/>
  <c r="N458" i="2" s="1"/>
  <c r="K457" i="2"/>
  <c r="L457" i="2" s="1"/>
  <c r="M457" i="2" s="1"/>
  <c r="N457" i="2" s="1"/>
  <c r="K456" i="2"/>
  <c r="L456" i="2" s="1"/>
  <c r="M456" i="2" s="1"/>
  <c r="N456" i="2" s="1"/>
  <c r="K455" i="2"/>
  <c r="L455" i="2" s="1"/>
  <c r="M455" i="2" s="1"/>
  <c r="N455" i="2" s="1"/>
  <c r="K454" i="2"/>
  <c r="L454" i="2" s="1"/>
  <c r="M454" i="2" s="1"/>
  <c r="N454" i="2" s="1"/>
  <c r="K453" i="2"/>
  <c r="L453" i="2" s="1"/>
  <c r="M453" i="2" s="1"/>
  <c r="N453" i="2" s="1"/>
  <c r="K452" i="2"/>
  <c r="L452" i="2" s="1"/>
  <c r="M452" i="2" s="1"/>
  <c r="N452" i="2" s="1"/>
  <c r="K451" i="2"/>
  <c r="L451" i="2" s="1"/>
  <c r="M451" i="2" s="1"/>
  <c r="N451" i="2" s="1"/>
  <c r="K450" i="2"/>
  <c r="L450" i="2" s="1"/>
  <c r="M450" i="2" s="1"/>
  <c r="N450" i="2" s="1"/>
  <c r="K449" i="2"/>
  <c r="L449" i="2" s="1"/>
  <c r="M449" i="2" s="1"/>
  <c r="N449" i="2" s="1"/>
  <c r="K448" i="2"/>
  <c r="L448" i="2" s="1"/>
  <c r="M448" i="2" s="1"/>
  <c r="N448" i="2" s="1"/>
  <c r="K447" i="2"/>
  <c r="L447" i="2" s="1"/>
  <c r="M447" i="2" s="1"/>
  <c r="N447" i="2" s="1"/>
  <c r="K446" i="2"/>
  <c r="L446" i="2" s="1"/>
  <c r="M446" i="2" s="1"/>
  <c r="N446" i="2" s="1"/>
  <c r="K445" i="2"/>
  <c r="L445" i="2" s="1"/>
  <c r="M445" i="2" s="1"/>
  <c r="N445" i="2" s="1"/>
  <c r="K444" i="2"/>
  <c r="L444" i="2" s="1"/>
  <c r="M444" i="2" s="1"/>
  <c r="N444" i="2" s="1"/>
  <c r="K443" i="2"/>
  <c r="L443" i="2" s="1"/>
  <c r="M443" i="2" s="1"/>
  <c r="N443" i="2" s="1"/>
  <c r="K442" i="2"/>
  <c r="L442" i="2" s="1"/>
  <c r="M442" i="2" s="1"/>
  <c r="N442" i="2" s="1"/>
  <c r="K441" i="2"/>
  <c r="L441" i="2" s="1"/>
  <c r="M441" i="2" s="1"/>
  <c r="N441" i="2" s="1"/>
  <c r="K440" i="2"/>
  <c r="L440" i="2" s="1"/>
  <c r="M440" i="2" s="1"/>
  <c r="N440" i="2" s="1"/>
  <c r="K439" i="2"/>
  <c r="L439" i="2" s="1"/>
  <c r="M439" i="2" s="1"/>
  <c r="N439" i="2" s="1"/>
  <c r="K438" i="2"/>
  <c r="L438" i="2" s="1"/>
  <c r="M438" i="2" s="1"/>
  <c r="N438" i="2" s="1"/>
  <c r="K437" i="2"/>
  <c r="L437" i="2" s="1"/>
  <c r="M437" i="2" s="1"/>
  <c r="N437" i="2" s="1"/>
  <c r="K436" i="2"/>
  <c r="L436" i="2" s="1"/>
  <c r="M436" i="2" s="1"/>
  <c r="N436" i="2" s="1"/>
  <c r="K435" i="2"/>
  <c r="L435" i="2" s="1"/>
  <c r="M435" i="2" s="1"/>
  <c r="N435" i="2" s="1"/>
  <c r="K434" i="2"/>
  <c r="L434" i="2" s="1"/>
  <c r="M434" i="2" s="1"/>
  <c r="N434" i="2" s="1"/>
  <c r="K433" i="2"/>
  <c r="L433" i="2" s="1"/>
  <c r="M433" i="2" s="1"/>
  <c r="N433" i="2" s="1"/>
  <c r="K432" i="2"/>
  <c r="L432" i="2" s="1"/>
  <c r="M432" i="2" s="1"/>
  <c r="N432" i="2" s="1"/>
  <c r="K431" i="2"/>
  <c r="L431" i="2" s="1"/>
  <c r="M431" i="2" s="1"/>
  <c r="N431" i="2" s="1"/>
  <c r="K430" i="2"/>
  <c r="L430" i="2" s="1"/>
  <c r="M430" i="2" s="1"/>
  <c r="N430" i="2" s="1"/>
  <c r="K429" i="2"/>
  <c r="L429" i="2" s="1"/>
  <c r="M429" i="2" s="1"/>
  <c r="N429" i="2" s="1"/>
  <c r="K428" i="2"/>
  <c r="L428" i="2" s="1"/>
  <c r="M428" i="2" s="1"/>
  <c r="N428" i="2" s="1"/>
  <c r="K427" i="2"/>
  <c r="L427" i="2" s="1"/>
  <c r="M427" i="2" s="1"/>
  <c r="N427" i="2" s="1"/>
  <c r="K426" i="2"/>
  <c r="L426" i="2" s="1"/>
  <c r="M426" i="2" s="1"/>
  <c r="N426" i="2" s="1"/>
  <c r="K425" i="2"/>
  <c r="L425" i="2" s="1"/>
  <c r="M425" i="2" s="1"/>
  <c r="N425" i="2" s="1"/>
  <c r="K424" i="2"/>
  <c r="L424" i="2" s="1"/>
  <c r="M424" i="2" s="1"/>
  <c r="N424" i="2" s="1"/>
  <c r="K423" i="2"/>
  <c r="L423" i="2" s="1"/>
  <c r="M423" i="2" s="1"/>
  <c r="N423" i="2" s="1"/>
  <c r="K422" i="2"/>
  <c r="L422" i="2" s="1"/>
  <c r="M422" i="2" s="1"/>
  <c r="N422" i="2" s="1"/>
  <c r="K421" i="2"/>
  <c r="L421" i="2" s="1"/>
  <c r="M421" i="2" s="1"/>
  <c r="N421" i="2" s="1"/>
  <c r="K420" i="2"/>
  <c r="L420" i="2" s="1"/>
  <c r="M420" i="2" s="1"/>
  <c r="N420" i="2" s="1"/>
  <c r="K419" i="2"/>
  <c r="L419" i="2" s="1"/>
  <c r="M419" i="2" s="1"/>
  <c r="N419" i="2" s="1"/>
  <c r="K418" i="2"/>
  <c r="L418" i="2" s="1"/>
  <c r="M418" i="2" s="1"/>
  <c r="N418" i="2" s="1"/>
  <c r="K417" i="2"/>
  <c r="L417" i="2" s="1"/>
  <c r="M417" i="2" s="1"/>
  <c r="N417" i="2" s="1"/>
  <c r="K416" i="2"/>
  <c r="L416" i="2" s="1"/>
  <c r="M416" i="2" s="1"/>
  <c r="N416" i="2" s="1"/>
  <c r="K415" i="2"/>
  <c r="L415" i="2" s="1"/>
  <c r="M415" i="2" s="1"/>
  <c r="N415" i="2" s="1"/>
  <c r="K414" i="2"/>
  <c r="L414" i="2" s="1"/>
  <c r="M414" i="2" s="1"/>
  <c r="N414" i="2" s="1"/>
  <c r="K413" i="2"/>
  <c r="L413" i="2" s="1"/>
  <c r="M413" i="2" s="1"/>
  <c r="N413" i="2" s="1"/>
  <c r="K412" i="2"/>
  <c r="L412" i="2" s="1"/>
  <c r="M412" i="2" s="1"/>
  <c r="N412" i="2" s="1"/>
  <c r="K411" i="2"/>
  <c r="L411" i="2" s="1"/>
  <c r="M411" i="2" s="1"/>
  <c r="N411" i="2" s="1"/>
  <c r="K410" i="2"/>
  <c r="L410" i="2" s="1"/>
  <c r="M410" i="2" s="1"/>
  <c r="N410" i="2" s="1"/>
  <c r="K409" i="2"/>
  <c r="L409" i="2" s="1"/>
  <c r="M409" i="2" s="1"/>
  <c r="N409" i="2" s="1"/>
  <c r="K408" i="2"/>
  <c r="L408" i="2" s="1"/>
  <c r="M408" i="2" s="1"/>
  <c r="N408" i="2" s="1"/>
  <c r="K407" i="2"/>
  <c r="L407" i="2" s="1"/>
  <c r="M407" i="2" s="1"/>
  <c r="N407" i="2" s="1"/>
  <c r="K406" i="2"/>
  <c r="L406" i="2" s="1"/>
  <c r="M406" i="2" s="1"/>
  <c r="N406" i="2" s="1"/>
  <c r="K405" i="2"/>
  <c r="L405" i="2" s="1"/>
  <c r="M405" i="2" s="1"/>
  <c r="N405" i="2" s="1"/>
  <c r="K404" i="2"/>
  <c r="L404" i="2" s="1"/>
  <c r="M404" i="2" s="1"/>
  <c r="N404" i="2" s="1"/>
  <c r="K403" i="2"/>
  <c r="L403" i="2" s="1"/>
  <c r="M403" i="2" s="1"/>
  <c r="N403" i="2" s="1"/>
  <c r="K402" i="2"/>
  <c r="L402" i="2" s="1"/>
  <c r="M402" i="2" s="1"/>
  <c r="N402" i="2" s="1"/>
  <c r="K401" i="2"/>
  <c r="L401" i="2" s="1"/>
  <c r="M401" i="2" s="1"/>
  <c r="N401" i="2" s="1"/>
  <c r="K400" i="2"/>
  <c r="L400" i="2" s="1"/>
  <c r="M400" i="2" s="1"/>
  <c r="N400" i="2" s="1"/>
  <c r="K399" i="2"/>
  <c r="L399" i="2" s="1"/>
  <c r="M399" i="2" s="1"/>
  <c r="N399" i="2" s="1"/>
  <c r="K398" i="2"/>
  <c r="L398" i="2" s="1"/>
  <c r="M398" i="2" s="1"/>
  <c r="N398" i="2" s="1"/>
  <c r="K397" i="2"/>
  <c r="L397" i="2" s="1"/>
  <c r="M397" i="2" s="1"/>
  <c r="N397" i="2" s="1"/>
  <c r="K396" i="2"/>
  <c r="L396" i="2" s="1"/>
  <c r="M396" i="2" s="1"/>
  <c r="N396" i="2" s="1"/>
  <c r="K395" i="2"/>
  <c r="L395" i="2" s="1"/>
  <c r="M395" i="2" s="1"/>
  <c r="N395" i="2" s="1"/>
  <c r="K394" i="2"/>
  <c r="L394" i="2" s="1"/>
  <c r="M394" i="2" s="1"/>
  <c r="N394" i="2" s="1"/>
  <c r="K393" i="2"/>
  <c r="L393" i="2" s="1"/>
  <c r="M393" i="2" s="1"/>
  <c r="N393" i="2" s="1"/>
  <c r="K392" i="2"/>
  <c r="L392" i="2" s="1"/>
  <c r="M392" i="2" s="1"/>
  <c r="N392" i="2" s="1"/>
  <c r="K391" i="2"/>
  <c r="L391" i="2" s="1"/>
  <c r="M391" i="2" s="1"/>
  <c r="N391" i="2" s="1"/>
  <c r="K390" i="2"/>
  <c r="L390" i="2" s="1"/>
  <c r="M390" i="2" s="1"/>
  <c r="N390" i="2" s="1"/>
  <c r="K389" i="2"/>
  <c r="L389" i="2" s="1"/>
  <c r="M389" i="2" s="1"/>
  <c r="N389" i="2" s="1"/>
  <c r="K388" i="2"/>
  <c r="L388" i="2" s="1"/>
  <c r="M388" i="2" s="1"/>
  <c r="N388" i="2" s="1"/>
  <c r="K387" i="2"/>
  <c r="L387" i="2" s="1"/>
  <c r="M387" i="2" s="1"/>
  <c r="N387" i="2" s="1"/>
  <c r="K386" i="2"/>
  <c r="L386" i="2" s="1"/>
  <c r="M386" i="2" s="1"/>
  <c r="N386" i="2" s="1"/>
  <c r="K385" i="2"/>
  <c r="L385" i="2" s="1"/>
  <c r="M385" i="2" s="1"/>
  <c r="N385" i="2" s="1"/>
  <c r="K384" i="2"/>
  <c r="L384" i="2" s="1"/>
  <c r="M384" i="2" s="1"/>
  <c r="N384" i="2" s="1"/>
  <c r="K383" i="2"/>
  <c r="L383" i="2" s="1"/>
  <c r="M383" i="2" s="1"/>
  <c r="N383" i="2" s="1"/>
  <c r="K382" i="2"/>
  <c r="L382" i="2" s="1"/>
  <c r="M382" i="2" s="1"/>
  <c r="N382" i="2" s="1"/>
  <c r="K381" i="2"/>
  <c r="L381" i="2" s="1"/>
  <c r="M381" i="2" s="1"/>
  <c r="N381" i="2" s="1"/>
  <c r="K380" i="2"/>
  <c r="L380" i="2" s="1"/>
  <c r="M380" i="2" s="1"/>
  <c r="N380" i="2" s="1"/>
  <c r="K379" i="2"/>
  <c r="L379" i="2" s="1"/>
  <c r="M379" i="2" s="1"/>
  <c r="N379" i="2" s="1"/>
  <c r="K378" i="2"/>
  <c r="L378" i="2" s="1"/>
  <c r="M378" i="2" s="1"/>
  <c r="N378" i="2" s="1"/>
  <c r="K377" i="2"/>
  <c r="L377" i="2" s="1"/>
  <c r="M377" i="2" s="1"/>
  <c r="N377" i="2" s="1"/>
  <c r="K376" i="2"/>
  <c r="L376" i="2" s="1"/>
  <c r="M376" i="2" s="1"/>
  <c r="N376" i="2" s="1"/>
  <c r="K375" i="2"/>
  <c r="L375" i="2" s="1"/>
  <c r="M375" i="2" s="1"/>
  <c r="N375" i="2" s="1"/>
  <c r="K374" i="2"/>
  <c r="L374" i="2" s="1"/>
  <c r="M374" i="2" s="1"/>
  <c r="N374" i="2" s="1"/>
  <c r="K373" i="2"/>
  <c r="L373" i="2" s="1"/>
  <c r="M373" i="2" s="1"/>
  <c r="N373" i="2" s="1"/>
  <c r="K372" i="2"/>
  <c r="L372" i="2" s="1"/>
  <c r="M372" i="2" s="1"/>
  <c r="N372" i="2" s="1"/>
  <c r="K371" i="2"/>
  <c r="L371" i="2" s="1"/>
  <c r="M371" i="2" s="1"/>
  <c r="N371" i="2" s="1"/>
  <c r="K370" i="2"/>
  <c r="L370" i="2" s="1"/>
  <c r="M370" i="2" s="1"/>
  <c r="N370" i="2" s="1"/>
  <c r="K369" i="2"/>
  <c r="L369" i="2" s="1"/>
  <c r="M369" i="2" s="1"/>
  <c r="N369" i="2" s="1"/>
  <c r="K368" i="2"/>
  <c r="L368" i="2" s="1"/>
  <c r="M368" i="2" s="1"/>
  <c r="N368" i="2" s="1"/>
  <c r="K367" i="2"/>
  <c r="L367" i="2" s="1"/>
  <c r="M367" i="2" s="1"/>
  <c r="N367" i="2" s="1"/>
  <c r="K366" i="2"/>
  <c r="L366" i="2" s="1"/>
  <c r="M366" i="2" s="1"/>
  <c r="N366" i="2" s="1"/>
  <c r="K365" i="2"/>
  <c r="L365" i="2" s="1"/>
  <c r="M365" i="2" s="1"/>
  <c r="N365" i="2" s="1"/>
  <c r="K364" i="2"/>
  <c r="L364" i="2" s="1"/>
  <c r="M364" i="2" s="1"/>
  <c r="N364" i="2" s="1"/>
  <c r="K363" i="2"/>
  <c r="L363" i="2" s="1"/>
  <c r="M363" i="2" s="1"/>
  <c r="N363" i="2" s="1"/>
  <c r="K362" i="2"/>
  <c r="L362" i="2" s="1"/>
  <c r="M362" i="2" s="1"/>
  <c r="N362" i="2" s="1"/>
  <c r="K361" i="2"/>
  <c r="L361" i="2" s="1"/>
  <c r="M361" i="2" s="1"/>
  <c r="N361" i="2" s="1"/>
  <c r="K360" i="2"/>
  <c r="L360" i="2" s="1"/>
  <c r="M360" i="2" s="1"/>
  <c r="N360" i="2" s="1"/>
  <c r="K359" i="2"/>
  <c r="L359" i="2" s="1"/>
  <c r="M359" i="2" s="1"/>
  <c r="N359" i="2" s="1"/>
  <c r="K358" i="2"/>
  <c r="L358" i="2" s="1"/>
  <c r="M358" i="2" s="1"/>
  <c r="N358" i="2" s="1"/>
  <c r="K357" i="2"/>
  <c r="L357" i="2" s="1"/>
  <c r="M357" i="2" s="1"/>
  <c r="N357" i="2" s="1"/>
  <c r="K356" i="2"/>
  <c r="L356" i="2" s="1"/>
  <c r="M356" i="2" s="1"/>
  <c r="N356" i="2" s="1"/>
  <c r="K355" i="2"/>
  <c r="L355" i="2" s="1"/>
  <c r="M355" i="2" s="1"/>
  <c r="N355" i="2" s="1"/>
  <c r="K354" i="2"/>
  <c r="L354" i="2" s="1"/>
  <c r="M354" i="2" s="1"/>
  <c r="N354" i="2" s="1"/>
  <c r="K353" i="2"/>
  <c r="L353" i="2" s="1"/>
  <c r="M353" i="2" s="1"/>
  <c r="N353" i="2" s="1"/>
  <c r="K352" i="2"/>
  <c r="L352" i="2" s="1"/>
  <c r="M352" i="2" s="1"/>
  <c r="N352" i="2" s="1"/>
  <c r="K351" i="2"/>
  <c r="L351" i="2" s="1"/>
  <c r="M351" i="2" s="1"/>
  <c r="N351" i="2" s="1"/>
  <c r="K350" i="2"/>
  <c r="L350" i="2" s="1"/>
  <c r="M350" i="2" s="1"/>
  <c r="N350" i="2" s="1"/>
  <c r="K349" i="2"/>
  <c r="L349" i="2" s="1"/>
  <c r="M349" i="2" s="1"/>
  <c r="N349" i="2" s="1"/>
  <c r="K348" i="2"/>
  <c r="L348" i="2" s="1"/>
  <c r="M348" i="2" s="1"/>
  <c r="N348" i="2" s="1"/>
  <c r="K347" i="2"/>
  <c r="L347" i="2" s="1"/>
  <c r="M347" i="2" s="1"/>
  <c r="N347" i="2" s="1"/>
  <c r="K346" i="2"/>
  <c r="L346" i="2" s="1"/>
  <c r="M346" i="2" s="1"/>
  <c r="N346" i="2" s="1"/>
  <c r="K345" i="2"/>
  <c r="L345" i="2" s="1"/>
  <c r="M345" i="2" s="1"/>
  <c r="N345" i="2" s="1"/>
  <c r="K344" i="2"/>
  <c r="L344" i="2" s="1"/>
  <c r="M344" i="2" s="1"/>
  <c r="N344" i="2" s="1"/>
  <c r="K343" i="2"/>
  <c r="L343" i="2" s="1"/>
  <c r="M343" i="2" s="1"/>
  <c r="N343" i="2" s="1"/>
  <c r="K342" i="2"/>
  <c r="L342" i="2" s="1"/>
  <c r="M342" i="2" s="1"/>
  <c r="N342" i="2" s="1"/>
  <c r="K341" i="2"/>
  <c r="L341" i="2" s="1"/>
  <c r="M341" i="2" s="1"/>
  <c r="N341" i="2" s="1"/>
  <c r="K340" i="2"/>
  <c r="L340" i="2" s="1"/>
  <c r="M340" i="2" s="1"/>
  <c r="N340" i="2" s="1"/>
  <c r="K339" i="2"/>
  <c r="L339" i="2" s="1"/>
  <c r="M339" i="2" s="1"/>
  <c r="N339" i="2" s="1"/>
  <c r="K338" i="2"/>
  <c r="L338" i="2" s="1"/>
  <c r="M338" i="2" s="1"/>
  <c r="N338" i="2" s="1"/>
  <c r="K337" i="2"/>
  <c r="L337" i="2" s="1"/>
  <c r="M337" i="2" s="1"/>
  <c r="N337" i="2" s="1"/>
  <c r="K336" i="2"/>
  <c r="L336" i="2" s="1"/>
  <c r="M336" i="2" s="1"/>
  <c r="N336" i="2" s="1"/>
  <c r="K335" i="2"/>
  <c r="L335" i="2" s="1"/>
  <c r="M335" i="2" s="1"/>
  <c r="N335" i="2" s="1"/>
  <c r="K334" i="2"/>
  <c r="L334" i="2" s="1"/>
  <c r="M334" i="2" s="1"/>
  <c r="N334" i="2" s="1"/>
  <c r="K333" i="2"/>
  <c r="L333" i="2" s="1"/>
  <c r="M333" i="2" s="1"/>
  <c r="N333" i="2" s="1"/>
  <c r="K332" i="2"/>
  <c r="L332" i="2" s="1"/>
  <c r="M332" i="2" s="1"/>
  <c r="N332" i="2" s="1"/>
  <c r="K331" i="2"/>
  <c r="L331" i="2" s="1"/>
  <c r="M331" i="2" s="1"/>
  <c r="N331" i="2" s="1"/>
  <c r="K330" i="2"/>
  <c r="L330" i="2" s="1"/>
  <c r="M330" i="2" s="1"/>
  <c r="N330" i="2" s="1"/>
  <c r="K329" i="2"/>
  <c r="L329" i="2" s="1"/>
  <c r="M329" i="2" s="1"/>
  <c r="N329" i="2" s="1"/>
  <c r="K328" i="2"/>
  <c r="L328" i="2" s="1"/>
  <c r="M328" i="2" s="1"/>
  <c r="N328" i="2" s="1"/>
  <c r="K327" i="2"/>
  <c r="L327" i="2" s="1"/>
  <c r="M327" i="2" s="1"/>
  <c r="N327" i="2" s="1"/>
  <c r="K326" i="2"/>
  <c r="L326" i="2" s="1"/>
  <c r="M326" i="2" s="1"/>
  <c r="N326" i="2" s="1"/>
  <c r="K325" i="2"/>
  <c r="L325" i="2" s="1"/>
  <c r="M325" i="2" s="1"/>
  <c r="N325" i="2" s="1"/>
  <c r="K324" i="2"/>
  <c r="L324" i="2" s="1"/>
  <c r="M324" i="2" s="1"/>
  <c r="N324" i="2" s="1"/>
  <c r="K323" i="2"/>
  <c r="L323" i="2" s="1"/>
  <c r="M323" i="2" s="1"/>
  <c r="N323" i="2" s="1"/>
  <c r="K322" i="2"/>
  <c r="L322" i="2" s="1"/>
  <c r="M322" i="2" s="1"/>
  <c r="N322" i="2" s="1"/>
  <c r="K321" i="2"/>
  <c r="L321" i="2" s="1"/>
  <c r="M321" i="2" s="1"/>
  <c r="N321" i="2" s="1"/>
  <c r="K320" i="2"/>
  <c r="L320" i="2" s="1"/>
  <c r="M320" i="2" s="1"/>
  <c r="N320" i="2" s="1"/>
  <c r="K319" i="2"/>
  <c r="L319" i="2" s="1"/>
  <c r="M319" i="2" s="1"/>
  <c r="N319" i="2" s="1"/>
  <c r="K318" i="2"/>
  <c r="L318" i="2" s="1"/>
  <c r="M318" i="2" s="1"/>
  <c r="N318" i="2" s="1"/>
  <c r="K317" i="2"/>
  <c r="L317" i="2" s="1"/>
  <c r="M317" i="2" s="1"/>
  <c r="N317" i="2" s="1"/>
  <c r="K316" i="2"/>
  <c r="L316" i="2" s="1"/>
  <c r="M316" i="2" s="1"/>
  <c r="N316" i="2" s="1"/>
  <c r="K315" i="2"/>
  <c r="L315" i="2" s="1"/>
  <c r="M315" i="2" s="1"/>
  <c r="N315" i="2" s="1"/>
  <c r="K314" i="2"/>
  <c r="L314" i="2" s="1"/>
  <c r="M314" i="2" s="1"/>
  <c r="N314" i="2" s="1"/>
  <c r="K313" i="2"/>
  <c r="L313" i="2" s="1"/>
  <c r="M313" i="2" s="1"/>
  <c r="N313" i="2" s="1"/>
  <c r="K312" i="2"/>
  <c r="L312" i="2" s="1"/>
  <c r="M312" i="2" s="1"/>
  <c r="N312" i="2" s="1"/>
  <c r="K311" i="2"/>
  <c r="L311" i="2" s="1"/>
  <c r="M311" i="2" s="1"/>
  <c r="N311" i="2" s="1"/>
  <c r="K310" i="2"/>
  <c r="L310" i="2" s="1"/>
  <c r="M310" i="2" s="1"/>
  <c r="N310" i="2" s="1"/>
  <c r="K309" i="2"/>
  <c r="L309" i="2" s="1"/>
  <c r="M309" i="2" s="1"/>
  <c r="N309" i="2" s="1"/>
  <c r="K308" i="2"/>
  <c r="L308" i="2" s="1"/>
  <c r="M308" i="2" s="1"/>
  <c r="N308" i="2" s="1"/>
  <c r="K307" i="2"/>
  <c r="L307" i="2" s="1"/>
  <c r="M307" i="2" s="1"/>
  <c r="N307" i="2" s="1"/>
  <c r="K306" i="2"/>
  <c r="L306" i="2" s="1"/>
  <c r="M306" i="2" s="1"/>
  <c r="N306" i="2" s="1"/>
  <c r="K305" i="2"/>
  <c r="L305" i="2" s="1"/>
  <c r="M305" i="2" s="1"/>
  <c r="N305" i="2" s="1"/>
  <c r="K304" i="2"/>
  <c r="L304" i="2" s="1"/>
  <c r="M304" i="2" s="1"/>
  <c r="N304" i="2" s="1"/>
  <c r="K303" i="2"/>
  <c r="L303" i="2" s="1"/>
  <c r="M303" i="2" s="1"/>
  <c r="N303" i="2" s="1"/>
  <c r="K302" i="2"/>
  <c r="L302" i="2" s="1"/>
  <c r="M302" i="2" s="1"/>
  <c r="N302" i="2" s="1"/>
  <c r="K301" i="2"/>
  <c r="L301" i="2" s="1"/>
  <c r="M301" i="2" s="1"/>
  <c r="N301" i="2" s="1"/>
  <c r="K300" i="2"/>
  <c r="L300" i="2" s="1"/>
  <c r="M300" i="2" s="1"/>
  <c r="N300" i="2" s="1"/>
  <c r="K299" i="2"/>
  <c r="L299" i="2" s="1"/>
  <c r="M299" i="2" s="1"/>
  <c r="N299" i="2" s="1"/>
  <c r="K298" i="2"/>
  <c r="L298" i="2" s="1"/>
  <c r="M298" i="2" s="1"/>
  <c r="N298" i="2" s="1"/>
  <c r="K297" i="2"/>
  <c r="L297" i="2" s="1"/>
  <c r="M297" i="2" s="1"/>
  <c r="N297" i="2" s="1"/>
  <c r="K296" i="2"/>
  <c r="L296" i="2" s="1"/>
  <c r="M296" i="2" s="1"/>
  <c r="N296" i="2" s="1"/>
  <c r="K295" i="2"/>
  <c r="L295" i="2" s="1"/>
  <c r="M295" i="2" s="1"/>
  <c r="N295" i="2" s="1"/>
  <c r="K294" i="2"/>
  <c r="L294" i="2" s="1"/>
  <c r="M294" i="2" s="1"/>
  <c r="N294" i="2" s="1"/>
  <c r="K293" i="2"/>
  <c r="L293" i="2" s="1"/>
  <c r="M293" i="2" s="1"/>
  <c r="N293" i="2" s="1"/>
  <c r="K292" i="2"/>
  <c r="L292" i="2" s="1"/>
  <c r="M292" i="2" s="1"/>
  <c r="N292" i="2" s="1"/>
  <c r="K291" i="2"/>
  <c r="L291" i="2" s="1"/>
  <c r="M291" i="2" s="1"/>
  <c r="N291" i="2" s="1"/>
  <c r="K290" i="2"/>
  <c r="L290" i="2" s="1"/>
  <c r="M290" i="2" s="1"/>
  <c r="N290" i="2" s="1"/>
  <c r="K289" i="2"/>
  <c r="L289" i="2" s="1"/>
  <c r="M289" i="2" s="1"/>
  <c r="N289" i="2" s="1"/>
  <c r="K288" i="2"/>
  <c r="L288" i="2" s="1"/>
  <c r="M288" i="2" s="1"/>
  <c r="N288" i="2" s="1"/>
  <c r="K287" i="2"/>
  <c r="L287" i="2" s="1"/>
  <c r="M287" i="2" s="1"/>
  <c r="N287" i="2" s="1"/>
  <c r="K286" i="2"/>
  <c r="L286" i="2" s="1"/>
  <c r="M286" i="2" s="1"/>
  <c r="N286" i="2" s="1"/>
  <c r="K285" i="2"/>
  <c r="L285" i="2" s="1"/>
  <c r="M285" i="2" s="1"/>
  <c r="N285" i="2" s="1"/>
  <c r="K284" i="2"/>
  <c r="L284" i="2" s="1"/>
  <c r="M284" i="2" s="1"/>
  <c r="N284" i="2" s="1"/>
  <c r="K283" i="2"/>
  <c r="L283" i="2" s="1"/>
  <c r="M283" i="2" s="1"/>
  <c r="N283" i="2" s="1"/>
  <c r="K282" i="2"/>
  <c r="L282" i="2" s="1"/>
  <c r="M282" i="2" s="1"/>
  <c r="N282" i="2" s="1"/>
  <c r="K281" i="2"/>
  <c r="L281" i="2" s="1"/>
  <c r="M281" i="2" s="1"/>
  <c r="N281" i="2" s="1"/>
  <c r="K280" i="2"/>
  <c r="L280" i="2" s="1"/>
  <c r="M280" i="2" s="1"/>
  <c r="N280" i="2" s="1"/>
  <c r="K279" i="2"/>
  <c r="L279" i="2" s="1"/>
  <c r="M279" i="2" s="1"/>
  <c r="N279" i="2" s="1"/>
  <c r="K278" i="2"/>
  <c r="L278" i="2" s="1"/>
  <c r="M278" i="2" s="1"/>
  <c r="N278" i="2" s="1"/>
  <c r="K277" i="2"/>
  <c r="L277" i="2" s="1"/>
  <c r="M277" i="2" s="1"/>
  <c r="N277" i="2" s="1"/>
  <c r="K276" i="2"/>
  <c r="L276" i="2" s="1"/>
  <c r="M276" i="2" s="1"/>
  <c r="N276" i="2" s="1"/>
  <c r="K275" i="2"/>
  <c r="L275" i="2" s="1"/>
  <c r="M275" i="2" s="1"/>
  <c r="N275" i="2" s="1"/>
  <c r="K274" i="2"/>
  <c r="L274" i="2" s="1"/>
  <c r="M274" i="2" s="1"/>
  <c r="N274" i="2" s="1"/>
  <c r="K273" i="2"/>
  <c r="L273" i="2" s="1"/>
  <c r="M273" i="2" s="1"/>
  <c r="N273" i="2" s="1"/>
  <c r="K272" i="2"/>
  <c r="L272" i="2" s="1"/>
  <c r="M272" i="2" s="1"/>
  <c r="N272" i="2" s="1"/>
  <c r="K271" i="2"/>
  <c r="L271" i="2" s="1"/>
  <c r="M271" i="2" s="1"/>
  <c r="N271" i="2" s="1"/>
  <c r="K270" i="2"/>
  <c r="L270" i="2" s="1"/>
  <c r="M270" i="2" s="1"/>
  <c r="N270" i="2" s="1"/>
  <c r="K269" i="2"/>
  <c r="L269" i="2" s="1"/>
  <c r="M269" i="2" s="1"/>
  <c r="N269" i="2" s="1"/>
  <c r="K268" i="2"/>
  <c r="L268" i="2" s="1"/>
  <c r="M268" i="2" s="1"/>
  <c r="N268" i="2" s="1"/>
  <c r="K267" i="2"/>
  <c r="L267" i="2" s="1"/>
  <c r="M267" i="2" s="1"/>
  <c r="N267" i="2" s="1"/>
  <c r="K266" i="2"/>
  <c r="L266" i="2" s="1"/>
  <c r="M266" i="2" s="1"/>
  <c r="N266" i="2" s="1"/>
  <c r="K265" i="2"/>
  <c r="L265" i="2" s="1"/>
  <c r="M265" i="2" s="1"/>
  <c r="N265" i="2" s="1"/>
  <c r="K264" i="2"/>
  <c r="L264" i="2" s="1"/>
  <c r="M264" i="2" s="1"/>
  <c r="N264" i="2" s="1"/>
  <c r="K263" i="2"/>
  <c r="L263" i="2" s="1"/>
  <c r="M263" i="2" s="1"/>
  <c r="N263" i="2" s="1"/>
  <c r="K262" i="2"/>
  <c r="L262" i="2" s="1"/>
  <c r="M262" i="2" s="1"/>
  <c r="N262" i="2" s="1"/>
  <c r="K261" i="2"/>
  <c r="L261" i="2" s="1"/>
  <c r="M261" i="2" s="1"/>
  <c r="N261" i="2" s="1"/>
  <c r="K260" i="2"/>
  <c r="L260" i="2" s="1"/>
  <c r="M260" i="2" s="1"/>
  <c r="N260" i="2" s="1"/>
  <c r="K259" i="2"/>
  <c r="L259" i="2" s="1"/>
  <c r="M259" i="2" s="1"/>
  <c r="N259" i="2" s="1"/>
  <c r="K258" i="2"/>
  <c r="L258" i="2" s="1"/>
  <c r="M258" i="2" s="1"/>
  <c r="N258" i="2" s="1"/>
  <c r="K257" i="2"/>
  <c r="L257" i="2" s="1"/>
  <c r="M257" i="2" s="1"/>
  <c r="N257" i="2" s="1"/>
  <c r="K256" i="2"/>
  <c r="L256" i="2" s="1"/>
  <c r="M256" i="2" s="1"/>
  <c r="N256" i="2" s="1"/>
  <c r="K255" i="2"/>
  <c r="L255" i="2" s="1"/>
  <c r="M255" i="2" s="1"/>
  <c r="N255" i="2" s="1"/>
  <c r="K254" i="2"/>
  <c r="L254" i="2" s="1"/>
  <c r="M254" i="2" s="1"/>
  <c r="N254" i="2" s="1"/>
  <c r="K253" i="2"/>
  <c r="L253" i="2" s="1"/>
  <c r="M253" i="2" s="1"/>
  <c r="N253" i="2" s="1"/>
  <c r="K252" i="2"/>
  <c r="L252" i="2" s="1"/>
  <c r="M252" i="2" s="1"/>
  <c r="N252" i="2" s="1"/>
  <c r="K251" i="2"/>
  <c r="L251" i="2" s="1"/>
  <c r="M251" i="2" s="1"/>
  <c r="N251" i="2" s="1"/>
  <c r="K250" i="2"/>
  <c r="L250" i="2" s="1"/>
  <c r="M250" i="2" s="1"/>
  <c r="N250" i="2" s="1"/>
  <c r="K249" i="2"/>
  <c r="L249" i="2" s="1"/>
  <c r="M249" i="2" s="1"/>
  <c r="N249" i="2" s="1"/>
  <c r="K248" i="2"/>
  <c r="L248" i="2" s="1"/>
  <c r="M248" i="2" s="1"/>
  <c r="N248" i="2" s="1"/>
  <c r="K247" i="2"/>
  <c r="L247" i="2" s="1"/>
  <c r="M247" i="2" s="1"/>
  <c r="N247" i="2" s="1"/>
  <c r="K246" i="2"/>
  <c r="L246" i="2" s="1"/>
  <c r="M246" i="2" s="1"/>
  <c r="N246" i="2" s="1"/>
  <c r="K245" i="2"/>
  <c r="L245" i="2" s="1"/>
  <c r="M245" i="2" s="1"/>
  <c r="N245" i="2" s="1"/>
  <c r="K244" i="2"/>
  <c r="L244" i="2" s="1"/>
  <c r="M244" i="2" s="1"/>
  <c r="N244" i="2" s="1"/>
  <c r="K243" i="2"/>
  <c r="L243" i="2" s="1"/>
  <c r="M243" i="2" s="1"/>
  <c r="N243" i="2" s="1"/>
  <c r="K242" i="2"/>
  <c r="L242" i="2" s="1"/>
  <c r="M242" i="2" s="1"/>
  <c r="N242" i="2" s="1"/>
  <c r="K241" i="2"/>
  <c r="L241" i="2" s="1"/>
  <c r="M241" i="2" s="1"/>
  <c r="N241" i="2" s="1"/>
  <c r="K240" i="2"/>
  <c r="L240" i="2" s="1"/>
  <c r="M240" i="2" s="1"/>
  <c r="N240" i="2" s="1"/>
  <c r="K239" i="2"/>
  <c r="L239" i="2" s="1"/>
  <c r="M239" i="2" s="1"/>
  <c r="N239" i="2" s="1"/>
  <c r="K238" i="2"/>
  <c r="L238" i="2" s="1"/>
  <c r="M238" i="2" s="1"/>
  <c r="N238" i="2" s="1"/>
  <c r="K237" i="2"/>
  <c r="L237" i="2" s="1"/>
  <c r="M237" i="2" s="1"/>
  <c r="N237" i="2" s="1"/>
  <c r="K236" i="2"/>
  <c r="L236" i="2" s="1"/>
  <c r="M236" i="2" s="1"/>
  <c r="N236" i="2" s="1"/>
  <c r="K235" i="2"/>
  <c r="L235" i="2" s="1"/>
  <c r="M235" i="2" s="1"/>
  <c r="N235" i="2" s="1"/>
  <c r="K234" i="2"/>
  <c r="L234" i="2" s="1"/>
  <c r="M234" i="2" s="1"/>
  <c r="N234" i="2" s="1"/>
  <c r="K233" i="2"/>
  <c r="L233" i="2" s="1"/>
  <c r="M233" i="2" s="1"/>
  <c r="N233" i="2" s="1"/>
  <c r="K232" i="2"/>
  <c r="L232" i="2" s="1"/>
  <c r="M232" i="2" s="1"/>
  <c r="N232" i="2" s="1"/>
  <c r="K231" i="2"/>
  <c r="L231" i="2" s="1"/>
  <c r="M231" i="2" s="1"/>
  <c r="N231" i="2" s="1"/>
  <c r="K230" i="2"/>
  <c r="L230" i="2" s="1"/>
  <c r="M230" i="2" s="1"/>
  <c r="N230" i="2" s="1"/>
  <c r="K229" i="2"/>
  <c r="L229" i="2" s="1"/>
  <c r="M229" i="2" s="1"/>
  <c r="N229" i="2" s="1"/>
  <c r="K228" i="2"/>
  <c r="L228" i="2" s="1"/>
  <c r="M228" i="2" s="1"/>
  <c r="N228" i="2" s="1"/>
  <c r="K227" i="2"/>
  <c r="L227" i="2" s="1"/>
  <c r="M227" i="2" s="1"/>
  <c r="N227" i="2" s="1"/>
  <c r="K226" i="2"/>
  <c r="L226" i="2" s="1"/>
  <c r="M226" i="2" s="1"/>
  <c r="N226" i="2" s="1"/>
  <c r="K225" i="2"/>
  <c r="L225" i="2" s="1"/>
  <c r="M225" i="2" s="1"/>
  <c r="N225" i="2" s="1"/>
  <c r="K224" i="2"/>
  <c r="L224" i="2" s="1"/>
  <c r="M224" i="2" s="1"/>
  <c r="N224" i="2" s="1"/>
  <c r="K223" i="2"/>
  <c r="L223" i="2" s="1"/>
  <c r="M223" i="2" s="1"/>
  <c r="N223" i="2" s="1"/>
  <c r="K222" i="2"/>
  <c r="L222" i="2" s="1"/>
  <c r="M222" i="2" s="1"/>
  <c r="N222" i="2" s="1"/>
  <c r="K221" i="2"/>
  <c r="L221" i="2" s="1"/>
  <c r="M221" i="2" s="1"/>
  <c r="N221" i="2" s="1"/>
  <c r="K220" i="2"/>
  <c r="L220" i="2" s="1"/>
  <c r="M220" i="2" s="1"/>
  <c r="N220" i="2" s="1"/>
  <c r="K219" i="2"/>
  <c r="L219" i="2" s="1"/>
  <c r="M219" i="2" s="1"/>
  <c r="N219" i="2" s="1"/>
  <c r="K218" i="2"/>
  <c r="L218" i="2" s="1"/>
  <c r="M218" i="2" s="1"/>
  <c r="N218" i="2" s="1"/>
  <c r="K217" i="2"/>
  <c r="L217" i="2" s="1"/>
  <c r="M217" i="2" s="1"/>
  <c r="N217" i="2" s="1"/>
  <c r="K216" i="2"/>
  <c r="L216" i="2" s="1"/>
  <c r="M216" i="2" s="1"/>
  <c r="N216" i="2" s="1"/>
  <c r="K215" i="2"/>
  <c r="L215" i="2" s="1"/>
  <c r="M215" i="2" s="1"/>
  <c r="N215" i="2" s="1"/>
  <c r="K214" i="2"/>
  <c r="L214" i="2" s="1"/>
  <c r="M214" i="2" s="1"/>
  <c r="N214" i="2" s="1"/>
  <c r="K213" i="2"/>
  <c r="L213" i="2" s="1"/>
  <c r="M213" i="2" s="1"/>
  <c r="N213" i="2" s="1"/>
  <c r="K212" i="2"/>
  <c r="L212" i="2" s="1"/>
  <c r="M212" i="2" s="1"/>
  <c r="N212" i="2" s="1"/>
  <c r="K211" i="2"/>
  <c r="L211" i="2" s="1"/>
  <c r="M211" i="2" s="1"/>
  <c r="N211" i="2" s="1"/>
  <c r="K210" i="2"/>
  <c r="L210" i="2" s="1"/>
  <c r="M210" i="2" s="1"/>
  <c r="N210" i="2" s="1"/>
  <c r="K209" i="2"/>
  <c r="L209" i="2" s="1"/>
  <c r="M209" i="2" s="1"/>
  <c r="N209" i="2" s="1"/>
  <c r="K208" i="2"/>
  <c r="L208" i="2" s="1"/>
  <c r="M208" i="2" s="1"/>
  <c r="N208" i="2" s="1"/>
  <c r="K207" i="2"/>
  <c r="L207" i="2" s="1"/>
  <c r="M207" i="2" s="1"/>
  <c r="N207" i="2" s="1"/>
  <c r="K206" i="2"/>
  <c r="L206" i="2" s="1"/>
  <c r="M206" i="2" s="1"/>
  <c r="N206" i="2" s="1"/>
  <c r="K205" i="2"/>
  <c r="L205" i="2" s="1"/>
  <c r="M205" i="2" s="1"/>
  <c r="N205" i="2" s="1"/>
  <c r="K204" i="2"/>
  <c r="L204" i="2" s="1"/>
  <c r="M204" i="2" s="1"/>
  <c r="N204" i="2" s="1"/>
  <c r="K203" i="2"/>
  <c r="L203" i="2" s="1"/>
  <c r="M203" i="2" s="1"/>
  <c r="N203" i="2" s="1"/>
  <c r="K202" i="2"/>
  <c r="L202" i="2" s="1"/>
  <c r="M202" i="2" s="1"/>
  <c r="N202" i="2" s="1"/>
  <c r="K201" i="2"/>
  <c r="L201" i="2" s="1"/>
  <c r="M201" i="2" s="1"/>
  <c r="N201" i="2" s="1"/>
  <c r="K200" i="2"/>
  <c r="L200" i="2" s="1"/>
  <c r="M200" i="2" s="1"/>
  <c r="N200" i="2" s="1"/>
  <c r="K199" i="2"/>
  <c r="L199" i="2" s="1"/>
  <c r="M199" i="2" s="1"/>
  <c r="N199" i="2" s="1"/>
  <c r="K198" i="2"/>
  <c r="L198" i="2" s="1"/>
  <c r="M198" i="2" s="1"/>
  <c r="N198" i="2" s="1"/>
  <c r="K197" i="2"/>
  <c r="L197" i="2" s="1"/>
  <c r="M197" i="2" s="1"/>
  <c r="N197" i="2" s="1"/>
  <c r="K196" i="2"/>
  <c r="L196" i="2" s="1"/>
  <c r="M196" i="2" s="1"/>
  <c r="N196" i="2" s="1"/>
  <c r="K195" i="2"/>
  <c r="L195" i="2" s="1"/>
  <c r="M195" i="2" s="1"/>
  <c r="N195" i="2" s="1"/>
  <c r="K194" i="2"/>
  <c r="L194" i="2" s="1"/>
  <c r="M194" i="2" s="1"/>
  <c r="N194" i="2" s="1"/>
  <c r="K193" i="2"/>
  <c r="L193" i="2" s="1"/>
  <c r="M193" i="2" s="1"/>
  <c r="N193" i="2" s="1"/>
  <c r="K192" i="2"/>
  <c r="L192" i="2" s="1"/>
  <c r="M192" i="2" s="1"/>
  <c r="N192" i="2" s="1"/>
  <c r="K191" i="2"/>
  <c r="L191" i="2" s="1"/>
  <c r="M191" i="2" s="1"/>
  <c r="N191" i="2" s="1"/>
  <c r="K190" i="2"/>
  <c r="L190" i="2" s="1"/>
  <c r="M190" i="2" s="1"/>
  <c r="N190" i="2" s="1"/>
  <c r="K189" i="2"/>
  <c r="L189" i="2" s="1"/>
  <c r="M189" i="2" s="1"/>
  <c r="N189" i="2" s="1"/>
  <c r="K188" i="2"/>
  <c r="L188" i="2" s="1"/>
  <c r="M188" i="2" s="1"/>
  <c r="N188" i="2" s="1"/>
  <c r="K187" i="2"/>
  <c r="L187" i="2" s="1"/>
  <c r="M187" i="2" s="1"/>
  <c r="N187" i="2" s="1"/>
  <c r="K186" i="2"/>
  <c r="L186" i="2" s="1"/>
  <c r="M186" i="2" s="1"/>
  <c r="N186" i="2" s="1"/>
  <c r="K185" i="2"/>
  <c r="L185" i="2" s="1"/>
  <c r="M185" i="2" s="1"/>
  <c r="N185" i="2" s="1"/>
  <c r="K184" i="2"/>
  <c r="L184" i="2" s="1"/>
  <c r="M184" i="2" s="1"/>
  <c r="N184" i="2" s="1"/>
  <c r="K183" i="2"/>
  <c r="L183" i="2" s="1"/>
  <c r="M183" i="2" s="1"/>
  <c r="N183" i="2" s="1"/>
  <c r="K182" i="2"/>
  <c r="L182" i="2" s="1"/>
  <c r="M182" i="2" s="1"/>
  <c r="N182" i="2" s="1"/>
  <c r="K181" i="2"/>
  <c r="L181" i="2" s="1"/>
  <c r="M181" i="2" s="1"/>
  <c r="N181" i="2" s="1"/>
  <c r="K180" i="2"/>
  <c r="L180" i="2" s="1"/>
  <c r="M180" i="2" s="1"/>
  <c r="N180" i="2" s="1"/>
  <c r="K179" i="2"/>
  <c r="L179" i="2" s="1"/>
  <c r="M179" i="2" s="1"/>
  <c r="N179" i="2" s="1"/>
  <c r="K178" i="2"/>
  <c r="L178" i="2" s="1"/>
  <c r="M178" i="2" s="1"/>
  <c r="N178" i="2" s="1"/>
  <c r="K177" i="2"/>
  <c r="L177" i="2" s="1"/>
  <c r="M177" i="2" s="1"/>
  <c r="N177" i="2" s="1"/>
  <c r="K176" i="2"/>
  <c r="L176" i="2" s="1"/>
  <c r="M176" i="2" s="1"/>
  <c r="N176" i="2" s="1"/>
  <c r="K175" i="2"/>
  <c r="L175" i="2" s="1"/>
  <c r="M175" i="2" s="1"/>
  <c r="N175" i="2" s="1"/>
  <c r="K174" i="2"/>
  <c r="L174" i="2" s="1"/>
  <c r="M174" i="2" s="1"/>
  <c r="N174" i="2" s="1"/>
  <c r="K173" i="2"/>
  <c r="L173" i="2" s="1"/>
  <c r="M173" i="2" s="1"/>
  <c r="N173" i="2" s="1"/>
  <c r="K172" i="2"/>
  <c r="L172" i="2" s="1"/>
  <c r="M172" i="2" s="1"/>
  <c r="N172" i="2" s="1"/>
  <c r="K171" i="2"/>
  <c r="L171" i="2" s="1"/>
  <c r="M171" i="2" s="1"/>
  <c r="N171" i="2" s="1"/>
  <c r="K170" i="2"/>
  <c r="L170" i="2" s="1"/>
  <c r="M170" i="2" s="1"/>
  <c r="N170" i="2" s="1"/>
  <c r="K169" i="2"/>
  <c r="L169" i="2" s="1"/>
  <c r="M169" i="2" s="1"/>
  <c r="N169" i="2" s="1"/>
  <c r="K168" i="2"/>
  <c r="L168" i="2" s="1"/>
  <c r="M168" i="2" s="1"/>
  <c r="N168" i="2" s="1"/>
  <c r="K167" i="2"/>
  <c r="L167" i="2" s="1"/>
  <c r="M167" i="2" s="1"/>
  <c r="N167" i="2" s="1"/>
  <c r="K166" i="2"/>
  <c r="L166" i="2" s="1"/>
  <c r="M166" i="2" s="1"/>
  <c r="N166" i="2" s="1"/>
  <c r="K165" i="2"/>
  <c r="L165" i="2" s="1"/>
  <c r="M165" i="2" s="1"/>
  <c r="N165" i="2" s="1"/>
  <c r="K164" i="2"/>
  <c r="L164" i="2" s="1"/>
  <c r="M164" i="2" s="1"/>
  <c r="N164" i="2" s="1"/>
  <c r="K163" i="2"/>
  <c r="L163" i="2" s="1"/>
  <c r="M163" i="2" s="1"/>
  <c r="N163" i="2" s="1"/>
  <c r="K162" i="2"/>
  <c r="L162" i="2" s="1"/>
  <c r="M162" i="2" s="1"/>
  <c r="N162" i="2" s="1"/>
  <c r="K161" i="2"/>
  <c r="L161" i="2" s="1"/>
  <c r="M161" i="2" s="1"/>
  <c r="N161" i="2" s="1"/>
  <c r="K160" i="2"/>
  <c r="L160" i="2" s="1"/>
  <c r="M160" i="2" s="1"/>
  <c r="N160" i="2" s="1"/>
  <c r="K159" i="2"/>
  <c r="L159" i="2" s="1"/>
  <c r="M159" i="2" s="1"/>
  <c r="N159" i="2" s="1"/>
  <c r="K158" i="2"/>
  <c r="L158" i="2" s="1"/>
  <c r="M158" i="2" s="1"/>
  <c r="N158" i="2" s="1"/>
  <c r="K157" i="2"/>
  <c r="L157" i="2" s="1"/>
  <c r="M157" i="2" s="1"/>
  <c r="N157" i="2" s="1"/>
  <c r="K156" i="2"/>
  <c r="L156" i="2" s="1"/>
  <c r="M156" i="2" s="1"/>
  <c r="N156" i="2" s="1"/>
  <c r="K155" i="2"/>
  <c r="L155" i="2" s="1"/>
  <c r="M155" i="2" s="1"/>
  <c r="N155" i="2" s="1"/>
  <c r="K154" i="2"/>
  <c r="L154" i="2" s="1"/>
  <c r="M154" i="2" s="1"/>
  <c r="N154" i="2" s="1"/>
  <c r="K153" i="2"/>
  <c r="L153" i="2" s="1"/>
  <c r="M153" i="2" s="1"/>
  <c r="N153" i="2" s="1"/>
  <c r="K152" i="2"/>
  <c r="L152" i="2" s="1"/>
  <c r="M152" i="2" s="1"/>
  <c r="N152" i="2" s="1"/>
  <c r="K151" i="2"/>
  <c r="L151" i="2" s="1"/>
  <c r="M151" i="2" s="1"/>
  <c r="N151" i="2" s="1"/>
  <c r="K150" i="2"/>
  <c r="L150" i="2" s="1"/>
  <c r="M150" i="2" s="1"/>
  <c r="N150" i="2" s="1"/>
  <c r="K149" i="2"/>
  <c r="L149" i="2" s="1"/>
  <c r="M149" i="2" s="1"/>
  <c r="N149" i="2" s="1"/>
  <c r="K148" i="2"/>
  <c r="L148" i="2" s="1"/>
  <c r="M148" i="2" s="1"/>
  <c r="N148" i="2" s="1"/>
  <c r="K147" i="2"/>
  <c r="L147" i="2" s="1"/>
  <c r="M147" i="2" s="1"/>
  <c r="N147" i="2" s="1"/>
  <c r="K146" i="2"/>
  <c r="L146" i="2" s="1"/>
  <c r="M146" i="2" s="1"/>
  <c r="N146" i="2" s="1"/>
  <c r="K145" i="2"/>
  <c r="L145" i="2" s="1"/>
  <c r="M145" i="2" s="1"/>
  <c r="N145" i="2" s="1"/>
  <c r="K144" i="2"/>
  <c r="L144" i="2" s="1"/>
  <c r="M144" i="2" s="1"/>
  <c r="N144" i="2" s="1"/>
  <c r="K143" i="2"/>
  <c r="L143" i="2" s="1"/>
  <c r="M143" i="2" s="1"/>
  <c r="N143" i="2" s="1"/>
  <c r="K142" i="2"/>
  <c r="L142" i="2" s="1"/>
  <c r="M142" i="2" s="1"/>
  <c r="N142" i="2" s="1"/>
  <c r="K141" i="2"/>
  <c r="L141" i="2" s="1"/>
  <c r="M141" i="2" s="1"/>
  <c r="N141" i="2" s="1"/>
  <c r="K140" i="2"/>
  <c r="L140" i="2" s="1"/>
  <c r="M140" i="2" s="1"/>
  <c r="N140" i="2" s="1"/>
  <c r="K139" i="2"/>
  <c r="L139" i="2" s="1"/>
  <c r="M139" i="2" s="1"/>
  <c r="N139" i="2" s="1"/>
  <c r="K138" i="2"/>
  <c r="L138" i="2" s="1"/>
  <c r="M138" i="2" s="1"/>
  <c r="N138" i="2" s="1"/>
  <c r="K137" i="2"/>
  <c r="L137" i="2" s="1"/>
  <c r="M137" i="2" s="1"/>
  <c r="N137" i="2" s="1"/>
  <c r="K136" i="2"/>
  <c r="L136" i="2" s="1"/>
  <c r="M136" i="2" s="1"/>
  <c r="N136" i="2" s="1"/>
  <c r="K135" i="2"/>
  <c r="L135" i="2" s="1"/>
  <c r="M135" i="2" s="1"/>
  <c r="N135" i="2" s="1"/>
  <c r="K134" i="2"/>
  <c r="L134" i="2" s="1"/>
  <c r="M134" i="2" s="1"/>
  <c r="N134" i="2" s="1"/>
  <c r="K133" i="2"/>
  <c r="L133" i="2" s="1"/>
  <c r="M133" i="2" s="1"/>
  <c r="N133" i="2" s="1"/>
  <c r="K132" i="2"/>
  <c r="L132" i="2" s="1"/>
  <c r="M132" i="2" s="1"/>
  <c r="N132" i="2" s="1"/>
  <c r="K131" i="2"/>
  <c r="L131" i="2" s="1"/>
  <c r="M131" i="2" s="1"/>
  <c r="N131" i="2" s="1"/>
  <c r="K130" i="2"/>
  <c r="L130" i="2" s="1"/>
  <c r="M130" i="2" s="1"/>
  <c r="N130" i="2" s="1"/>
  <c r="K129" i="2"/>
  <c r="L129" i="2" s="1"/>
  <c r="M129" i="2" s="1"/>
  <c r="N129" i="2" s="1"/>
  <c r="K128" i="2"/>
  <c r="L128" i="2" s="1"/>
  <c r="M128" i="2" s="1"/>
  <c r="N128" i="2" s="1"/>
  <c r="K127" i="2"/>
  <c r="L127" i="2" s="1"/>
  <c r="M127" i="2" s="1"/>
  <c r="N127" i="2" s="1"/>
  <c r="K126" i="2"/>
  <c r="L126" i="2" s="1"/>
  <c r="M126" i="2" s="1"/>
  <c r="N126" i="2" s="1"/>
  <c r="K125" i="2"/>
  <c r="L125" i="2" s="1"/>
  <c r="M125" i="2" s="1"/>
  <c r="N125" i="2" s="1"/>
  <c r="K124" i="2"/>
  <c r="L124" i="2" s="1"/>
  <c r="M124" i="2" s="1"/>
  <c r="N124" i="2" s="1"/>
  <c r="K123" i="2"/>
  <c r="L123" i="2" s="1"/>
  <c r="M123" i="2" s="1"/>
  <c r="N123" i="2" s="1"/>
  <c r="K122" i="2"/>
  <c r="L122" i="2" s="1"/>
  <c r="M122" i="2" s="1"/>
  <c r="N122" i="2" s="1"/>
  <c r="K121" i="2"/>
  <c r="L121" i="2" s="1"/>
  <c r="M121" i="2" s="1"/>
  <c r="N121" i="2" s="1"/>
  <c r="K120" i="2"/>
  <c r="L120" i="2" s="1"/>
  <c r="M120" i="2" s="1"/>
  <c r="N120" i="2" s="1"/>
  <c r="K119" i="2"/>
  <c r="L119" i="2" s="1"/>
  <c r="M119" i="2" s="1"/>
  <c r="N119" i="2" s="1"/>
  <c r="K118" i="2"/>
  <c r="L118" i="2" s="1"/>
  <c r="M118" i="2" s="1"/>
  <c r="N118" i="2" s="1"/>
  <c r="K117" i="2"/>
  <c r="L117" i="2" s="1"/>
  <c r="M117" i="2" s="1"/>
  <c r="N117" i="2" s="1"/>
  <c r="K116" i="2"/>
  <c r="L116" i="2" s="1"/>
  <c r="M116" i="2" s="1"/>
  <c r="N116" i="2" s="1"/>
  <c r="K115" i="2"/>
  <c r="L115" i="2" s="1"/>
  <c r="M115" i="2" s="1"/>
  <c r="N115" i="2" s="1"/>
  <c r="K114" i="2"/>
  <c r="L114" i="2" s="1"/>
  <c r="M114" i="2" s="1"/>
  <c r="N114" i="2" s="1"/>
  <c r="K113" i="2"/>
  <c r="L113" i="2" s="1"/>
  <c r="M113" i="2" s="1"/>
  <c r="N113" i="2" s="1"/>
  <c r="K112" i="2"/>
  <c r="L112" i="2" s="1"/>
  <c r="M112" i="2" s="1"/>
  <c r="N112" i="2" s="1"/>
  <c r="K111" i="2"/>
  <c r="L111" i="2" s="1"/>
  <c r="M111" i="2" s="1"/>
  <c r="N111" i="2" s="1"/>
  <c r="K110" i="2"/>
  <c r="L110" i="2" s="1"/>
  <c r="M110" i="2" s="1"/>
  <c r="N110" i="2" s="1"/>
  <c r="K109" i="2"/>
  <c r="L109" i="2" s="1"/>
  <c r="M109" i="2" s="1"/>
  <c r="N109" i="2" s="1"/>
  <c r="K108" i="2"/>
  <c r="L108" i="2" s="1"/>
  <c r="M108" i="2" s="1"/>
  <c r="N108" i="2" s="1"/>
  <c r="K107" i="2"/>
  <c r="L107" i="2" s="1"/>
  <c r="M107" i="2" s="1"/>
  <c r="N107" i="2" s="1"/>
  <c r="K106" i="2"/>
  <c r="L106" i="2" s="1"/>
  <c r="M106" i="2" s="1"/>
  <c r="N106" i="2" s="1"/>
  <c r="K105" i="2"/>
  <c r="L105" i="2" s="1"/>
  <c r="M105" i="2" s="1"/>
  <c r="N105" i="2" s="1"/>
  <c r="K104" i="2"/>
  <c r="L104" i="2" s="1"/>
  <c r="M104" i="2" s="1"/>
  <c r="N104" i="2" s="1"/>
  <c r="K103" i="2"/>
  <c r="L103" i="2" s="1"/>
  <c r="M103" i="2" s="1"/>
  <c r="N103" i="2" s="1"/>
  <c r="K102" i="2"/>
  <c r="L102" i="2" s="1"/>
  <c r="M102" i="2" s="1"/>
  <c r="N102" i="2" s="1"/>
  <c r="K101" i="2"/>
  <c r="L101" i="2" s="1"/>
  <c r="M101" i="2" s="1"/>
  <c r="N101" i="2" s="1"/>
  <c r="K100" i="2"/>
  <c r="L100" i="2" s="1"/>
  <c r="M100" i="2" s="1"/>
  <c r="N100" i="2" s="1"/>
  <c r="K99" i="2"/>
  <c r="L99" i="2" s="1"/>
  <c r="M99" i="2" s="1"/>
  <c r="N99" i="2" s="1"/>
  <c r="K98" i="2"/>
  <c r="L98" i="2" s="1"/>
  <c r="M98" i="2" s="1"/>
  <c r="N98" i="2" s="1"/>
  <c r="K97" i="2"/>
  <c r="L97" i="2" s="1"/>
  <c r="M97" i="2" s="1"/>
  <c r="N97" i="2" s="1"/>
  <c r="K96" i="2"/>
  <c r="L96" i="2" s="1"/>
  <c r="M96" i="2" s="1"/>
  <c r="N96" i="2" s="1"/>
  <c r="K95" i="2"/>
  <c r="L95" i="2" s="1"/>
  <c r="M95" i="2" s="1"/>
  <c r="N95" i="2" s="1"/>
  <c r="K94" i="2"/>
  <c r="L94" i="2" s="1"/>
  <c r="M94" i="2" s="1"/>
  <c r="N94" i="2" s="1"/>
  <c r="K93" i="2"/>
  <c r="L93" i="2" s="1"/>
  <c r="M93" i="2" s="1"/>
  <c r="N93" i="2" s="1"/>
  <c r="K92" i="2"/>
  <c r="L92" i="2" s="1"/>
  <c r="M92" i="2" s="1"/>
  <c r="N92" i="2" s="1"/>
  <c r="K91" i="2"/>
  <c r="L91" i="2" s="1"/>
  <c r="M91" i="2" s="1"/>
  <c r="N91" i="2" s="1"/>
  <c r="K90" i="2"/>
  <c r="L90" i="2" s="1"/>
  <c r="M90" i="2" s="1"/>
  <c r="N90" i="2" s="1"/>
  <c r="K89" i="2"/>
  <c r="L89" i="2" s="1"/>
  <c r="M89" i="2" s="1"/>
  <c r="N89" i="2" s="1"/>
  <c r="K88" i="2"/>
  <c r="L88" i="2" s="1"/>
  <c r="M88" i="2" s="1"/>
  <c r="N88" i="2" s="1"/>
  <c r="K87" i="2"/>
  <c r="L87" i="2" s="1"/>
  <c r="M87" i="2" s="1"/>
  <c r="N87" i="2" s="1"/>
  <c r="K86" i="2"/>
  <c r="L86" i="2" s="1"/>
  <c r="M86" i="2" s="1"/>
  <c r="N86" i="2" s="1"/>
  <c r="K85" i="2"/>
  <c r="L85" i="2" s="1"/>
  <c r="M85" i="2" s="1"/>
  <c r="N85" i="2" s="1"/>
  <c r="K84" i="2"/>
  <c r="L84" i="2" s="1"/>
  <c r="M84" i="2" s="1"/>
  <c r="N84" i="2" s="1"/>
  <c r="K83" i="2"/>
  <c r="L83" i="2" s="1"/>
  <c r="M83" i="2" s="1"/>
  <c r="N83" i="2" s="1"/>
  <c r="K82" i="2"/>
  <c r="L82" i="2" s="1"/>
  <c r="M82" i="2" s="1"/>
  <c r="N82" i="2" s="1"/>
  <c r="K81" i="2"/>
  <c r="L81" i="2" s="1"/>
  <c r="M81" i="2" s="1"/>
  <c r="N81" i="2" s="1"/>
  <c r="K80" i="2"/>
  <c r="L80" i="2" s="1"/>
  <c r="M80" i="2" s="1"/>
  <c r="N80" i="2" s="1"/>
  <c r="K79" i="2"/>
  <c r="L79" i="2" s="1"/>
  <c r="M79" i="2" s="1"/>
  <c r="N79" i="2" s="1"/>
  <c r="K78" i="2"/>
  <c r="L78" i="2" s="1"/>
  <c r="M78" i="2" s="1"/>
  <c r="N78" i="2" s="1"/>
  <c r="K77" i="2"/>
  <c r="L77" i="2" s="1"/>
  <c r="M77" i="2" s="1"/>
  <c r="N77" i="2" s="1"/>
  <c r="K76" i="2"/>
  <c r="L76" i="2" s="1"/>
  <c r="M76" i="2" s="1"/>
  <c r="N76" i="2" s="1"/>
  <c r="K75" i="2"/>
  <c r="L75" i="2" s="1"/>
  <c r="M75" i="2" s="1"/>
  <c r="N75" i="2" s="1"/>
  <c r="K74" i="2"/>
  <c r="L74" i="2" s="1"/>
  <c r="M74" i="2" s="1"/>
  <c r="N74" i="2" s="1"/>
  <c r="K73" i="2"/>
  <c r="L73" i="2" s="1"/>
  <c r="M73" i="2" s="1"/>
  <c r="N73" i="2" s="1"/>
  <c r="K72" i="2"/>
  <c r="L72" i="2" s="1"/>
  <c r="M72" i="2" s="1"/>
  <c r="N72" i="2" s="1"/>
  <c r="K71" i="2"/>
  <c r="L71" i="2" s="1"/>
  <c r="M71" i="2" s="1"/>
  <c r="N71" i="2" s="1"/>
  <c r="K70" i="2"/>
  <c r="L70" i="2" s="1"/>
  <c r="M70" i="2" s="1"/>
  <c r="N70" i="2" s="1"/>
  <c r="K69" i="2"/>
  <c r="L69" i="2" s="1"/>
  <c r="M69" i="2" s="1"/>
  <c r="N69" i="2" s="1"/>
  <c r="K68" i="2"/>
  <c r="L68" i="2" s="1"/>
  <c r="M68" i="2" s="1"/>
  <c r="N68" i="2" s="1"/>
  <c r="K67" i="2"/>
  <c r="L67" i="2" s="1"/>
  <c r="M67" i="2" s="1"/>
  <c r="N67" i="2" s="1"/>
  <c r="K66" i="2"/>
  <c r="L66" i="2" s="1"/>
  <c r="M66" i="2" s="1"/>
  <c r="N66" i="2" s="1"/>
  <c r="K65" i="2"/>
  <c r="L65" i="2" s="1"/>
  <c r="M65" i="2" s="1"/>
  <c r="N65" i="2" s="1"/>
  <c r="K64" i="2"/>
  <c r="L64" i="2" s="1"/>
  <c r="M64" i="2" s="1"/>
  <c r="N64" i="2" s="1"/>
  <c r="K63" i="2"/>
  <c r="L63" i="2" s="1"/>
  <c r="M63" i="2" s="1"/>
  <c r="N63" i="2" s="1"/>
  <c r="K62" i="2"/>
  <c r="L62" i="2" s="1"/>
  <c r="M62" i="2" s="1"/>
  <c r="N62" i="2" s="1"/>
  <c r="K61" i="2"/>
  <c r="L61" i="2" s="1"/>
  <c r="M61" i="2" s="1"/>
  <c r="N61" i="2" s="1"/>
  <c r="K60" i="2"/>
  <c r="L60" i="2" s="1"/>
  <c r="M60" i="2" s="1"/>
  <c r="N60" i="2" s="1"/>
  <c r="K59" i="2"/>
  <c r="L59" i="2" s="1"/>
  <c r="M59" i="2" s="1"/>
  <c r="N59" i="2" s="1"/>
  <c r="K58" i="2"/>
  <c r="L58" i="2" s="1"/>
  <c r="M58" i="2" s="1"/>
  <c r="N58" i="2" s="1"/>
  <c r="K57" i="2"/>
  <c r="L57" i="2" s="1"/>
  <c r="M57" i="2" s="1"/>
  <c r="N57" i="2" s="1"/>
  <c r="K56" i="2"/>
  <c r="L56" i="2" s="1"/>
  <c r="M56" i="2" s="1"/>
  <c r="N56" i="2" s="1"/>
  <c r="K55" i="2"/>
  <c r="L55" i="2" s="1"/>
  <c r="M55" i="2" s="1"/>
  <c r="N55" i="2" s="1"/>
  <c r="K54" i="2"/>
  <c r="L54" i="2" s="1"/>
  <c r="M54" i="2" s="1"/>
  <c r="N54" i="2" s="1"/>
  <c r="K53" i="2"/>
  <c r="L53" i="2" s="1"/>
  <c r="M53" i="2" s="1"/>
  <c r="N53" i="2" s="1"/>
  <c r="K52" i="2"/>
  <c r="L52" i="2" s="1"/>
  <c r="M52" i="2" s="1"/>
  <c r="N52" i="2" s="1"/>
  <c r="K51" i="2"/>
  <c r="L51" i="2" s="1"/>
  <c r="M51" i="2" s="1"/>
  <c r="N51" i="2" s="1"/>
  <c r="K50" i="2"/>
  <c r="L50" i="2" s="1"/>
  <c r="M50" i="2" s="1"/>
  <c r="K49" i="2"/>
  <c r="L49" i="2" s="1"/>
  <c r="M49" i="2" s="1"/>
  <c r="N49" i="2" s="1"/>
  <c r="K48" i="2"/>
  <c r="L48" i="2" s="1"/>
  <c r="M48" i="2" s="1"/>
  <c r="K47" i="2"/>
  <c r="L47" i="2" s="1"/>
  <c r="M47" i="2" s="1"/>
  <c r="N47" i="2" s="1"/>
  <c r="K46" i="2"/>
  <c r="L46" i="2" s="1"/>
  <c r="M46" i="2" s="1"/>
  <c r="K45" i="2"/>
  <c r="L45" i="2" s="1"/>
  <c r="M45" i="2" s="1"/>
  <c r="N45" i="2" s="1"/>
  <c r="K44" i="2"/>
  <c r="L44" i="2" s="1"/>
  <c r="M44" i="2" s="1"/>
  <c r="K43" i="2"/>
  <c r="L43" i="2" s="1"/>
  <c r="M43" i="2" s="1"/>
  <c r="N43" i="2" s="1"/>
  <c r="K42" i="2"/>
  <c r="L42" i="2" s="1"/>
  <c r="M42" i="2" s="1"/>
  <c r="K41" i="2"/>
  <c r="L41" i="2" s="1"/>
  <c r="M41" i="2" s="1"/>
  <c r="N41" i="2" s="1"/>
  <c r="K40" i="2"/>
  <c r="L40" i="2" s="1"/>
  <c r="M40" i="2" s="1"/>
  <c r="N40" i="2" s="1"/>
  <c r="K39" i="2"/>
  <c r="L39" i="2" s="1"/>
  <c r="M39" i="2" s="1"/>
  <c r="N39" i="2" s="1"/>
  <c r="K38" i="2"/>
  <c r="L38" i="2" s="1"/>
  <c r="M38" i="2" s="1"/>
  <c r="N38" i="2" s="1"/>
  <c r="K37" i="2"/>
  <c r="L37" i="2" s="1"/>
  <c r="M37" i="2" s="1"/>
  <c r="N37" i="2" s="1"/>
  <c r="K36" i="2"/>
  <c r="L36" i="2" s="1"/>
  <c r="M36" i="2" s="1"/>
  <c r="N36" i="2" s="1"/>
  <c r="K35" i="2"/>
  <c r="L35" i="2" s="1"/>
  <c r="M35" i="2" s="1"/>
  <c r="N35" i="2" s="1"/>
  <c r="K34" i="2"/>
  <c r="L34" i="2" s="1"/>
  <c r="M34" i="2" s="1"/>
  <c r="N34" i="2" s="1"/>
  <c r="K33" i="2"/>
  <c r="L33" i="2" s="1"/>
  <c r="M33" i="2" s="1"/>
  <c r="N33" i="2" s="1"/>
  <c r="K32" i="2"/>
  <c r="L32" i="2" s="1"/>
  <c r="M32" i="2" s="1"/>
  <c r="N32" i="2" s="1"/>
  <c r="K31" i="2"/>
  <c r="L31" i="2" s="1"/>
  <c r="M31" i="2" s="1"/>
  <c r="N31" i="2" s="1"/>
  <c r="K30" i="2"/>
  <c r="L30" i="2" s="1"/>
  <c r="M30" i="2" s="1"/>
  <c r="N30" i="2" s="1"/>
  <c r="K29" i="2"/>
  <c r="L29" i="2" s="1"/>
  <c r="M29" i="2" s="1"/>
  <c r="N29" i="2" s="1"/>
  <c r="K28" i="2"/>
  <c r="L28" i="2" s="1"/>
  <c r="M28" i="2" s="1"/>
  <c r="N28" i="2" s="1"/>
  <c r="K27" i="2"/>
  <c r="L27" i="2" s="1"/>
  <c r="M27" i="2" s="1"/>
  <c r="N27" i="2" s="1"/>
  <c r="K26" i="2"/>
  <c r="L26" i="2" s="1"/>
  <c r="M26" i="2" s="1"/>
  <c r="N26" i="2" s="1"/>
  <c r="K25" i="2"/>
  <c r="L25" i="2" s="1"/>
  <c r="M25" i="2" s="1"/>
  <c r="N25" i="2" s="1"/>
  <c r="K24" i="2"/>
  <c r="L24" i="2" s="1"/>
  <c r="M24" i="2" s="1"/>
  <c r="N24" i="2" s="1"/>
  <c r="K23" i="2"/>
  <c r="L23" i="2" s="1"/>
  <c r="M23" i="2" s="1"/>
  <c r="N23" i="2" s="1"/>
  <c r="K22" i="2"/>
  <c r="L22" i="2" s="1"/>
  <c r="M22" i="2" s="1"/>
  <c r="N22" i="2" s="1"/>
  <c r="K21" i="2"/>
  <c r="L21" i="2" s="1"/>
  <c r="M21" i="2" s="1"/>
  <c r="N21" i="2" s="1"/>
  <c r="K20" i="2"/>
  <c r="L20" i="2" s="1"/>
  <c r="M20" i="2" s="1"/>
  <c r="N20" i="2" s="1"/>
  <c r="K19" i="2"/>
  <c r="L19" i="2" s="1"/>
  <c r="M19" i="2" s="1"/>
  <c r="N19" i="2" s="1"/>
  <c r="K18" i="2"/>
  <c r="L18" i="2" s="1"/>
  <c r="M18" i="2" s="1"/>
  <c r="N18" i="2" s="1"/>
  <c r="K17" i="2"/>
  <c r="L17" i="2" s="1"/>
  <c r="M17" i="2" s="1"/>
  <c r="N17" i="2" s="1"/>
  <c r="K16" i="2"/>
  <c r="L16" i="2" s="1"/>
  <c r="M16" i="2" s="1"/>
  <c r="N16" i="2" s="1"/>
  <c r="K15" i="2"/>
  <c r="L15" i="2" s="1"/>
  <c r="M15" i="2" s="1"/>
  <c r="N15" i="2" s="1"/>
  <c r="K14" i="2"/>
  <c r="L14" i="2" s="1"/>
  <c r="M14" i="2" s="1"/>
  <c r="N14" i="2" s="1"/>
  <c r="K13" i="2"/>
  <c r="L13" i="2" s="1"/>
  <c r="M13" i="2" s="1"/>
  <c r="N13" i="2" s="1"/>
  <c r="K12" i="2"/>
  <c r="L12" i="2" s="1"/>
  <c r="M12" i="2" s="1"/>
  <c r="N12" i="2" s="1"/>
  <c r="K11" i="2"/>
  <c r="L11" i="2" s="1"/>
  <c r="M11" i="2" s="1"/>
  <c r="N11" i="2" s="1"/>
  <c r="K10" i="2"/>
  <c r="L10" i="2" s="1"/>
  <c r="M10" i="2" s="1"/>
  <c r="N10" i="2" s="1"/>
  <c r="K9" i="2"/>
  <c r="L9" i="2" s="1"/>
  <c r="M9" i="2" s="1"/>
  <c r="N9" i="2" s="1"/>
  <c r="K8" i="2"/>
  <c r="L8" i="2" s="1"/>
  <c r="M8" i="2" s="1"/>
  <c r="N8" i="2" s="1"/>
  <c r="K7" i="2"/>
  <c r="L7" i="2" s="1"/>
  <c r="M7" i="2" s="1"/>
  <c r="N7" i="2" s="1"/>
  <c r="K6" i="2"/>
  <c r="L6" i="2" s="1"/>
  <c r="M6" i="2" s="1"/>
  <c r="N6" i="2" s="1"/>
  <c r="K5" i="2"/>
  <c r="L5" i="2" s="1"/>
  <c r="M5" i="2" s="1"/>
  <c r="N5" i="2" s="1"/>
  <c r="K4" i="2"/>
  <c r="L4" i="2" s="1"/>
  <c r="M4" i="2" s="1"/>
  <c r="N4" i="2" s="1"/>
  <c r="K3" i="2"/>
  <c r="L3" i="2" s="1"/>
  <c r="M3" i="2" s="1"/>
  <c r="N3" i="2" s="1"/>
  <c r="AF39" i="2" l="1"/>
  <c r="AB39" i="2"/>
  <c r="X39" i="2"/>
  <c r="T48" i="2" s="1"/>
  <c r="T39" i="2"/>
  <c r="T51" i="2" s="1"/>
  <c r="AD39" i="2"/>
  <c r="Y39" i="2"/>
  <c r="T49" i="2" s="1"/>
  <c r="S39" i="2"/>
  <c r="T45" i="2" s="1"/>
  <c r="AC39" i="2"/>
  <c r="W39" i="2"/>
  <c r="T47" i="2" s="1"/>
  <c r="R39" i="2"/>
  <c r="T44" i="2" s="1"/>
  <c r="AA39" i="2"/>
  <c r="T42" i="2" s="1"/>
  <c r="V39" i="2"/>
  <c r="T46" i="2" s="1"/>
  <c r="AE39" i="2"/>
  <c r="Z39" i="2"/>
  <c r="T43" i="2" s="1"/>
  <c r="U39" i="2"/>
  <c r="T50" i="2" s="1"/>
  <c r="X11" i="2"/>
  <c r="AE24" i="2"/>
  <c r="AB10" i="2"/>
  <c r="R10" i="2"/>
  <c r="W10" i="2"/>
  <c r="V17" i="2"/>
  <c r="U17" i="2"/>
  <c r="W17" i="2"/>
  <c r="S17" i="2"/>
  <c r="AE19" i="2"/>
  <c r="T19" i="2"/>
  <c r="AA11" i="2"/>
  <c r="T15" i="2"/>
  <c r="AC10" i="2"/>
  <c r="Y10" i="2"/>
  <c r="U10" i="2"/>
  <c r="S10" i="2"/>
  <c r="X10" i="2"/>
  <c r="AD10" i="2"/>
  <c r="AE3" i="2"/>
  <c r="S31" i="2"/>
  <c r="T10" i="2"/>
  <c r="AE10" i="2"/>
  <c r="AF28" i="2"/>
  <c r="AF20" i="2"/>
  <c r="S11" i="2"/>
  <c r="Z10" i="2"/>
  <c r="AF11" i="2"/>
  <c r="T24" i="2"/>
  <c r="AD18" i="2"/>
  <c r="AB11" i="2"/>
  <c r="V10" i="2"/>
  <c r="AA10" i="2"/>
  <c r="AF10" i="2"/>
  <c r="AE32" i="2"/>
  <c r="AA32" i="2"/>
  <c r="W32" i="2"/>
  <c r="S32" i="2"/>
  <c r="AD32" i="2"/>
  <c r="Z32" i="2"/>
  <c r="V32" i="2"/>
  <c r="R32" i="2"/>
  <c r="Y32" i="2"/>
  <c r="AF32" i="2"/>
  <c r="X32" i="2"/>
  <c r="R7" i="2"/>
  <c r="S7" i="2"/>
  <c r="Y18" i="2"/>
  <c r="AA20" i="2"/>
  <c r="AD31" i="2"/>
  <c r="Z31" i="2"/>
  <c r="V31" i="2"/>
  <c r="R31" i="2"/>
  <c r="AC31" i="2"/>
  <c r="Y31" i="2"/>
  <c r="U31" i="2"/>
  <c r="AF31" i="2"/>
  <c r="X31" i="2"/>
  <c r="AE31" i="2"/>
  <c r="W31" i="2"/>
  <c r="S34" i="2"/>
  <c r="AE28" i="2"/>
  <c r="AA28" i="2"/>
  <c r="W28" i="2"/>
  <c r="S28" i="2"/>
  <c r="AD28" i="2"/>
  <c r="Z28" i="2"/>
  <c r="V28" i="2"/>
  <c r="R28" i="2"/>
  <c r="AC28" i="2"/>
  <c r="U28" i="2"/>
  <c r="AB28" i="2"/>
  <c r="T28" i="2"/>
  <c r="AD15" i="2"/>
  <c r="R15" i="2"/>
  <c r="AC15" i="2"/>
  <c r="AD24" i="2"/>
  <c r="Z24" i="2"/>
  <c r="V24" i="2"/>
  <c r="R24" i="2"/>
  <c r="AB24" i="2"/>
  <c r="W24" i="2"/>
  <c r="AF24" i="2"/>
  <c r="AA24" i="2"/>
  <c r="U24" i="2"/>
  <c r="AC19" i="2"/>
  <c r="Y19" i="2"/>
  <c r="U19" i="2"/>
  <c r="AB19" i="2"/>
  <c r="W19" i="2"/>
  <c r="R19" i="2"/>
  <c r="AF19" i="2"/>
  <c r="AA19" i="2"/>
  <c r="V19" i="2"/>
  <c r="T3" i="2"/>
  <c r="Z3" i="2"/>
  <c r="R18" i="2"/>
  <c r="AC18" i="2"/>
  <c r="X19" i="2"/>
  <c r="T20" i="2"/>
  <c r="AE20" i="2"/>
  <c r="X9" i="2"/>
  <c r="W9" i="2"/>
  <c r="T11" i="2"/>
  <c r="AF15" i="2"/>
  <c r="S18" i="2"/>
  <c r="Z19" i="2"/>
  <c r="U20" i="2"/>
  <c r="Y24" i="2"/>
  <c r="X28" i="2"/>
  <c r="AA31" i="2"/>
  <c r="AB32" i="2"/>
  <c r="AD34" i="2"/>
  <c r="AC3" i="2"/>
  <c r="Y3" i="2"/>
  <c r="U3" i="2"/>
  <c r="AF18" i="2"/>
  <c r="AB18" i="2"/>
  <c r="X18" i="2"/>
  <c r="T18" i="2"/>
  <c r="AA18" i="2"/>
  <c r="V18" i="2"/>
  <c r="AE18" i="2"/>
  <c r="Z18" i="2"/>
  <c r="U18" i="2"/>
  <c r="AD20" i="2"/>
  <c r="Z20" i="2"/>
  <c r="V20" i="2"/>
  <c r="R20" i="2"/>
  <c r="AC20" i="2"/>
  <c r="X20" i="2"/>
  <c r="S20" i="2"/>
  <c r="AB20" i="2"/>
  <c r="W20" i="2"/>
  <c r="S3" i="2"/>
  <c r="X3" i="2"/>
  <c r="AD3" i="2"/>
  <c r="T32" i="2"/>
  <c r="AE15" i="2"/>
  <c r="X24" i="2"/>
  <c r="T31" i="2"/>
  <c r="U32" i="2"/>
  <c r="W34" i="2"/>
  <c r="AF22" i="2"/>
  <c r="AD11" i="2"/>
  <c r="Z11" i="2"/>
  <c r="V11" i="2"/>
  <c r="R11" i="2"/>
  <c r="AC11" i="2"/>
  <c r="Y11" i="2"/>
  <c r="U11" i="2"/>
  <c r="U14" i="2"/>
  <c r="AF14" i="2"/>
  <c r="V3" i="2"/>
  <c r="AA3" i="2"/>
  <c r="AF3" i="2"/>
  <c r="AE7" i="2"/>
  <c r="AF8" i="2"/>
  <c r="AA5" i="2"/>
  <c r="R3" i="2"/>
  <c r="W3" i="2"/>
  <c r="AB3" i="2"/>
  <c r="Z9" i="2"/>
  <c r="W11" i="2"/>
  <c r="AE11" i="2"/>
  <c r="R14" i="2"/>
  <c r="S15" i="2"/>
  <c r="W18" i="2"/>
  <c r="S19" i="2"/>
  <c r="AD19" i="2"/>
  <c r="Y20" i="2"/>
  <c r="S24" i="2"/>
  <c r="AC24" i="2"/>
  <c r="Y28" i="2"/>
  <c r="AA30" i="2"/>
  <c r="AB31" i="2"/>
  <c r="AC32" i="2"/>
  <c r="N42" i="2"/>
  <c r="AF38" i="2" s="1"/>
  <c r="N46" i="2"/>
  <c r="W27" i="2" s="1"/>
  <c r="N50" i="2"/>
  <c r="V14" i="2" s="1"/>
  <c r="N48" i="2"/>
  <c r="AB5" i="2" s="1"/>
  <c r="AA38" i="2"/>
  <c r="U38" i="2"/>
  <c r="AD38" i="2"/>
  <c r="N44" i="2"/>
  <c r="W8" i="2" s="1"/>
  <c r="X38" i="2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E15" i="6" l="1"/>
  <c r="R9" i="2"/>
  <c r="Y9" i="2"/>
  <c r="S9" i="2"/>
  <c r="P9" i="2" s="1"/>
  <c r="T9" i="2"/>
  <c r="V9" i="2"/>
  <c r="AD9" i="2"/>
  <c r="AA9" i="2"/>
  <c r="AB9" i="2"/>
  <c r="AC9" i="2"/>
  <c r="AE9" i="2"/>
  <c r="AF9" i="2"/>
  <c r="U9" i="2"/>
  <c r="T35" i="2"/>
  <c r="S51" i="2" s="1"/>
  <c r="AF35" i="2"/>
  <c r="Z14" i="2"/>
  <c r="Y27" i="2"/>
  <c r="AC35" i="2"/>
  <c r="X17" i="2"/>
  <c r="T17" i="2"/>
  <c r="R51" i="2" s="1"/>
  <c r="AA17" i="2"/>
  <c r="R42" i="2" s="1"/>
  <c r="Z17" i="2"/>
  <c r="R43" i="2" s="1"/>
  <c r="AD27" i="2"/>
  <c r="AD35" i="2"/>
  <c r="AC17" i="2"/>
  <c r="Y17" i="2"/>
  <c r="R49" i="2" s="1"/>
  <c r="AF17" i="2"/>
  <c r="AD17" i="2"/>
  <c r="S14" i="2"/>
  <c r="AB17" i="2"/>
  <c r="AE17" i="2"/>
  <c r="R17" i="2"/>
  <c r="R44" i="2" s="1"/>
  <c r="W26" i="2"/>
  <c r="AD26" i="2"/>
  <c r="AF26" i="2"/>
  <c r="AE26" i="2"/>
  <c r="W7" i="2"/>
  <c r="U7" i="2"/>
  <c r="V7" i="2"/>
  <c r="AA15" i="2"/>
  <c r="AF7" i="2"/>
  <c r="S26" i="2"/>
  <c r="X26" i="2"/>
  <c r="W15" i="2"/>
  <c r="X15" i="2"/>
  <c r="U15" i="2"/>
  <c r="V15" i="2"/>
  <c r="Y7" i="2"/>
  <c r="Z7" i="2"/>
  <c r="AB15" i="2"/>
  <c r="P39" i="2"/>
  <c r="Z26" i="2"/>
  <c r="AC26" i="2"/>
  <c r="T26" i="2"/>
  <c r="T7" i="2"/>
  <c r="U26" i="2"/>
  <c r="AA26" i="2"/>
  <c r="X7" i="2"/>
  <c r="R26" i="2"/>
  <c r="Y26" i="2"/>
  <c r="AB26" i="2"/>
  <c r="AB7" i="2"/>
  <c r="Y15" i="2"/>
  <c r="Z15" i="2"/>
  <c r="AA7" i="2"/>
  <c r="AC7" i="2"/>
  <c r="AD7" i="2"/>
  <c r="V26" i="2"/>
  <c r="S27" i="2"/>
  <c r="T14" i="2"/>
  <c r="Y14" i="2"/>
  <c r="Y22" i="2"/>
  <c r="AB34" i="2"/>
  <c r="V34" i="2"/>
  <c r="X27" i="2"/>
  <c r="U27" i="2"/>
  <c r="X14" i="2"/>
  <c r="AE22" i="2"/>
  <c r="AC34" i="2"/>
  <c r="AC29" i="2"/>
  <c r="W29" i="2"/>
  <c r="X29" i="2"/>
  <c r="AA34" i="2"/>
  <c r="AF34" i="2"/>
  <c r="AD14" i="2"/>
  <c r="AE14" i="2"/>
  <c r="R29" i="2"/>
  <c r="AA22" i="2"/>
  <c r="V29" i="2"/>
  <c r="AA29" i="2"/>
  <c r="AB29" i="2"/>
  <c r="U22" i="2"/>
  <c r="X22" i="2"/>
  <c r="R34" i="2"/>
  <c r="T34" i="2"/>
  <c r="U34" i="2"/>
  <c r="AA14" i="2"/>
  <c r="R27" i="2"/>
  <c r="Y29" i="2"/>
  <c r="R22" i="2"/>
  <c r="AC22" i="2"/>
  <c r="AD22" i="2"/>
  <c r="T22" i="2"/>
  <c r="AD29" i="2"/>
  <c r="AE29" i="2"/>
  <c r="AF29" i="2"/>
  <c r="AA27" i="2"/>
  <c r="AC27" i="2"/>
  <c r="AE34" i="2"/>
  <c r="Z29" i="2"/>
  <c r="U29" i="2"/>
  <c r="S29" i="2"/>
  <c r="T29" i="2"/>
  <c r="T27" i="2"/>
  <c r="Z27" i="2"/>
  <c r="AB14" i="2"/>
  <c r="AC14" i="2"/>
  <c r="S22" i="2"/>
  <c r="Z22" i="2"/>
  <c r="AB22" i="2"/>
  <c r="W14" i="2"/>
  <c r="Z34" i="2"/>
  <c r="X34" i="2"/>
  <c r="Y34" i="2"/>
  <c r="W22" i="2"/>
  <c r="V22" i="2"/>
  <c r="W30" i="2"/>
  <c r="AB30" i="2"/>
  <c r="AC30" i="2"/>
  <c r="R37" i="2"/>
  <c r="AE37" i="2"/>
  <c r="X36" i="2"/>
  <c r="U36" i="2"/>
  <c r="Z36" i="2"/>
  <c r="AA36" i="2"/>
  <c r="AE30" i="2"/>
  <c r="AF30" i="2"/>
  <c r="AC37" i="2"/>
  <c r="X37" i="2"/>
  <c r="Y36" i="2"/>
  <c r="AC36" i="2"/>
  <c r="AD36" i="2"/>
  <c r="AE36" i="2"/>
  <c r="R30" i="2"/>
  <c r="Z30" i="2"/>
  <c r="AC33" i="2"/>
  <c r="AB27" i="2"/>
  <c r="V27" i="2"/>
  <c r="V30" i="2"/>
  <c r="T30" i="2"/>
  <c r="U30" i="2"/>
  <c r="AD37" i="2"/>
  <c r="AF37" i="2"/>
  <c r="T36" i="2"/>
  <c r="R36" i="2"/>
  <c r="S36" i="2"/>
  <c r="AE27" i="2"/>
  <c r="AF27" i="2"/>
  <c r="S30" i="2"/>
  <c r="AD30" i="2"/>
  <c r="X30" i="2"/>
  <c r="Y30" i="2"/>
  <c r="Y37" i="2"/>
  <c r="W37" i="2"/>
  <c r="AF36" i="2"/>
  <c r="AB36" i="2"/>
  <c r="V36" i="2"/>
  <c r="W36" i="2"/>
  <c r="R45" i="2"/>
  <c r="R47" i="2"/>
  <c r="R50" i="2"/>
  <c r="R46" i="2"/>
  <c r="R48" i="2"/>
  <c r="E23" i="6"/>
  <c r="E21" i="6"/>
  <c r="V23" i="2"/>
  <c r="AD12" i="2"/>
  <c r="AE12" i="2"/>
  <c r="AC13" i="2"/>
  <c r="AE13" i="2"/>
  <c r="AF13" i="2"/>
  <c r="S23" i="2"/>
  <c r="U12" i="2"/>
  <c r="T12" i="2"/>
  <c r="AC23" i="2"/>
  <c r="Y13" i="2"/>
  <c r="AF23" i="2"/>
  <c r="R12" i="2"/>
  <c r="S12" i="2"/>
  <c r="X35" i="2"/>
  <c r="U13" i="2"/>
  <c r="S13" i="2"/>
  <c r="T13" i="2"/>
  <c r="AE35" i="2"/>
  <c r="Z13" i="2"/>
  <c r="AB35" i="2"/>
  <c r="R35" i="2"/>
  <c r="S44" i="2" s="1"/>
  <c r="AD23" i="2"/>
  <c r="AC12" i="2"/>
  <c r="AF12" i="2"/>
  <c r="Y23" i="2"/>
  <c r="V12" i="2"/>
  <c r="W12" i="2"/>
  <c r="W13" i="2"/>
  <c r="X13" i="2"/>
  <c r="W35" i="2"/>
  <c r="R13" i="2"/>
  <c r="S35" i="2"/>
  <c r="U35" i="2"/>
  <c r="V35" i="2"/>
  <c r="AB12" i="2"/>
  <c r="W23" i="2"/>
  <c r="X12" i="2"/>
  <c r="Z23" i="2"/>
  <c r="Z12" i="2"/>
  <c r="AA12" i="2"/>
  <c r="AA13" i="2"/>
  <c r="AB13" i="2"/>
  <c r="V13" i="2"/>
  <c r="AA35" i="2"/>
  <c r="S42" i="2" s="1"/>
  <c r="Y35" i="2"/>
  <c r="Z35" i="2"/>
  <c r="AD13" i="2"/>
  <c r="Y12" i="2"/>
  <c r="P3" i="2"/>
  <c r="P28" i="2"/>
  <c r="P20" i="2"/>
  <c r="P24" i="2"/>
  <c r="P10" i="2"/>
  <c r="P19" i="2"/>
  <c r="P31" i="2"/>
  <c r="P32" i="2"/>
  <c r="P11" i="2"/>
  <c r="P18" i="2"/>
  <c r="Z25" i="2"/>
  <c r="S21" i="2"/>
  <c r="AC21" i="2"/>
  <c r="T21" i="2"/>
  <c r="W21" i="2"/>
  <c r="AC4" i="2"/>
  <c r="AF21" i="2"/>
  <c r="Y5" i="2"/>
  <c r="S4" i="2"/>
  <c r="R21" i="2"/>
  <c r="Y21" i="2"/>
  <c r="AA21" i="2"/>
  <c r="S5" i="2"/>
  <c r="AF5" i="2"/>
  <c r="U21" i="2"/>
  <c r="T5" i="2"/>
  <c r="X21" i="2"/>
  <c r="AD21" i="2"/>
  <c r="AE21" i="2"/>
  <c r="W5" i="2"/>
  <c r="AB4" i="2"/>
  <c r="R4" i="2"/>
  <c r="U5" i="2"/>
  <c r="R5" i="2"/>
  <c r="AE25" i="2"/>
  <c r="Z16" i="2"/>
  <c r="Y16" i="2"/>
  <c r="AB25" i="2"/>
  <c r="S16" i="2"/>
  <c r="W25" i="2"/>
  <c r="R16" i="2"/>
  <c r="U4" i="2"/>
  <c r="T4" i="2"/>
  <c r="AA16" i="2"/>
  <c r="V4" i="2"/>
  <c r="V21" i="2"/>
  <c r="Z5" i="2"/>
  <c r="X5" i="2"/>
  <c r="T16" i="2"/>
  <c r="AC16" i="2"/>
  <c r="AF25" i="2"/>
  <c r="R25" i="2"/>
  <c r="AA25" i="2"/>
  <c r="Y4" i="2"/>
  <c r="AE4" i="2"/>
  <c r="W4" i="2"/>
  <c r="AD5" i="2"/>
  <c r="X4" i="2"/>
  <c r="Z4" i="2"/>
  <c r="V5" i="2"/>
  <c r="AC5" i="2"/>
  <c r="U25" i="2"/>
  <c r="S25" i="2"/>
  <c r="T25" i="2"/>
  <c r="Y25" i="2"/>
  <c r="Z21" i="2"/>
  <c r="V25" i="2"/>
  <c r="AA4" i="2"/>
  <c r="V16" i="2"/>
  <c r="AB16" i="2"/>
  <c r="AC25" i="2"/>
  <c r="AE5" i="2"/>
  <c r="AD4" i="2"/>
  <c r="AE16" i="2"/>
  <c r="U16" i="2"/>
  <c r="X25" i="2"/>
  <c r="AD16" i="2"/>
  <c r="W16" i="2"/>
  <c r="AB21" i="2"/>
  <c r="X16" i="2"/>
  <c r="AF4" i="2"/>
  <c r="AF16" i="2"/>
  <c r="AD25" i="2"/>
  <c r="AC8" i="2"/>
  <c r="Z8" i="2"/>
  <c r="AA8" i="2"/>
  <c r="Z33" i="2"/>
  <c r="AE33" i="2"/>
  <c r="AF33" i="2"/>
  <c r="Y8" i="2"/>
  <c r="T23" i="2"/>
  <c r="AA23" i="2"/>
  <c r="X8" i="2"/>
  <c r="U8" i="2"/>
  <c r="AD8" i="2"/>
  <c r="AE8" i="2"/>
  <c r="S33" i="2"/>
  <c r="T33" i="2"/>
  <c r="T8" i="2"/>
  <c r="AB8" i="2"/>
  <c r="U37" i="2"/>
  <c r="S37" i="2"/>
  <c r="T37" i="2"/>
  <c r="R8" i="2"/>
  <c r="S8" i="2"/>
  <c r="Y33" i="2"/>
  <c r="W33" i="2"/>
  <c r="X33" i="2"/>
  <c r="AD33" i="2"/>
  <c r="AC38" i="2"/>
  <c r="AC6" i="2"/>
  <c r="Y6" i="2"/>
  <c r="U6" i="2"/>
  <c r="AF6" i="2"/>
  <c r="AB6" i="2"/>
  <c r="X6" i="2"/>
  <c r="T6" i="2"/>
  <c r="AE6" i="2"/>
  <c r="W6" i="2"/>
  <c r="AD6" i="2"/>
  <c r="V6" i="2"/>
  <c r="AA6" i="2"/>
  <c r="S6" i="2"/>
  <c r="Z6" i="2"/>
  <c r="R6" i="2"/>
  <c r="V33" i="2"/>
  <c r="R23" i="2"/>
  <c r="AB23" i="2"/>
  <c r="X23" i="2"/>
  <c r="AE23" i="2"/>
  <c r="U23" i="2"/>
  <c r="U33" i="2"/>
  <c r="V8" i="2"/>
  <c r="R33" i="2"/>
  <c r="AA33" i="2"/>
  <c r="AB33" i="2"/>
  <c r="Z37" i="2"/>
  <c r="V37" i="2"/>
  <c r="AA37" i="2"/>
  <c r="AB37" i="2"/>
  <c r="T38" i="2"/>
  <c r="Z38" i="2"/>
  <c r="W38" i="2"/>
  <c r="V38" i="2"/>
  <c r="S38" i="2"/>
  <c r="AB38" i="2"/>
  <c r="R38" i="2"/>
  <c r="Y38" i="2"/>
  <c r="AE38" i="2"/>
  <c r="E3708" i="3"/>
  <c r="E3707" i="3"/>
  <c r="E3706" i="3"/>
  <c r="E3705" i="3"/>
  <c r="E3704" i="3"/>
  <c r="E3703" i="3"/>
  <c r="E3702" i="3"/>
  <c r="E3701" i="3"/>
  <c r="E3700" i="3"/>
  <c r="E3699" i="3"/>
  <c r="E3698" i="3"/>
  <c r="E3697" i="3"/>
  <c r="E3696" i="3"/>
  <c r="E3695" i="3"/>
  <c r="E3694" i="3"/>
  <c r="E3693" i="3"/>
  <c r="E3692" i="3"/>
  <c r="E3691" i="3"/>
  <c r="E3690" i="3"/>
  <c r="E3689" i="3"/>
  <c r="E3688" i="3"/>
  <c r="E3687" i="3"/>
  <c r="E3686" i="3"/>
  <c r="E3685" i="3"/>
  <c r="E3684" i="3"/>
  <c r="E3683" i="3"/>
  <c r="E3682" i="3"/>
  <c r="E3681" i="3"/>
  <c r="E3680" i="3"/>
  <c r="E3679" i="3"/>
  <c r="E3678" i="3"/>
  <c r="E3677" i="3"/>
  <c r="E3676" i="3"/>
  <c r="E3675" i="3"/>
  <c r="E3674" i="3"/>
  <c r="E3673" i="3"/>
  <c r="E3672" i="3"/>
  <c r="E3671" i="3"/>
  <c r="E3670" i="3"/>
  <c r="E3669" i="3"/>
  <c r="E3668" i="3"/>
  <c r="E3667" i="3"/>
  <c r="E3666" i="3"/>
  <c r="E3665" i="3"/>
  <c r="E3664" i="3"/>
  <c r="E3663" i="3"/>
  <c r="E3662" i="3"/>
  <c r="E3661" i="3"/>
  <c r="E3660" i="3"/>
  <c r="E3659" i="3"/>
  <c r="E3658" i="3"/>
  <c r="E3657" i="3"/>
  <c r="E3656" i="3"/>
  <c r="E3655" i="3"/>
  <c r="E3654" i="3"/>
  <c r="E3653" i="3"/>
  <c r="E3652" i="3"/>
  <c r="E3651" i="3"/>
  <c r="E3650" i="3"/>
  <c r="E3649" i="3"/>
  <c r="E3648" i="3"/>
  <c r="E3647" i="3"/>
  <c r="E3646" i="3"/>
  <c r="E3645" i="3"/>
  <c r="E3644" i="3"/>
  <c r="E3643" i="3"/>
  <c r="E3642" i="3"/>
  <c r="E3641" i="3"/>
  <c r="E3640" i="3"/>
  <c r="E3639" i="3"/>
  <c r="E3638" i="3"/>
  <c r="E3637" i="3"/>
  <c r="E3636" i="3"/>
  <c r="E3635" i="3"/>
  <c r="E3634" i="3"/>
  <c r="E3633" i="3"/>
  <c r="E3632" i="3"/>
  <c r="E3631" i="3"/>
  <c r="E3630" i="3"/>
  <c r="E3629" i="3"/>
  <c r="E3628" i="3"/>
  <c r="E3627" i="3"/>
  <c r="E3626" i="3"/>
  <c r="E3625" i="3"/>
  <c r="E3624" i="3"/>
  <c r="E3623" i="3"/>
  <c r="E3622" i="3"/>
  <c r="E3621" i="3"/>
  <c r="E3620" i="3"/>
  <c r="E3619" i="3"/>
  <c r="E3618" i="3"/>
  <c r="E3617" i="3"/>
  <c r="E3616" i="3"/>
  <c r="E3615" i="3"/>
  <c r="E3614" i="3"/>
  <c r="E3613" i="3"/>
  <c r="E3612" i="3"/>
  <c r="E3611" i="3"/>
  <c r="E3610" i="3"/>
  <c r="E3609" i="3"/>
  <c r="E3608" i="3"/>
  <c r="E3607" i="3"/>
  <c r="E3606" i="3"/>
  <c r="E3605" i="3"/>
  <c r="E3604" i="3"/>
  <c r="E3603" i="3"/>
  <c r="E3602" i="3"/>
  <c r="E3601" i="3"/>
  <c r="E3600" i="3"/>
  <c r="E3599" i="3"/>
  <c r="E3598" i="3"/>
  <c r="E3597" i="3"/>
  <c r="E3596" i="3"/>
  <c r="E3595" i="3"/>
  <c r="E3594" i="3"/>
  <c r="E3593" i="3"/>
  <c r="E3592" i="3"/>
  <c r="E3591" i="3"/>
  <c r="E3590" i="3"/>
  <c r="E3589" i="3"/>
  <c r="E3588" i="3"/>
  <c r="E3587" i="3"/>
  <c r="E3586" i="3"/>
  <c r="E3585" i="3"/>
  <c r="E3584" i="3"/>
  <c r="E3583" i="3"/>
  <c r="E3582" i="3"/>
  <c r="E3581" i="3"/>
  <c r="E3580" i="3"/>
  <c r="E3579" i="3"/>
  <c r="E3578" i="3"/>
  <c r="E3577" i="3"/>
  <c r="E3576" i="3"/>
  <c r="E3575" i="3"/>
  <c r="E3574" i="3"/>
  <c r="E3573" i="3"/>
  <c r="E3572" i="3"/>
  <c r="E3571" i="3"/>
  <c r="E3570" i="3"/>
  <c r="E3569" i="3"/>
  <c r="E3568" i="3"/>
  <c r="E3567" i="3"/>
  <c r="E3566" i="3"/>
  <c r="E3565" i="3"/>
  <c r="E3564" i="3"/>
  <c r="E3563" i="3"/>
  <c r="E3562" i="3"/>
  <c r="E3561" i="3"/>
  <c r="E3560" i="3"/>
  <c r="E3559" i="3"/>
  <c r="E3558" i="3"/>
  <c r="E3557" i="3"/>
  <c r="E3556" i="3"/>
  <c r="E3555" i="3"/>
  <c r="E3554" i="3"/>
  <c r="E3553" i="3"/>
  <c r="E3552" i="3"/>
  <c r="E3551" i="3"/>
  <c r="E3550" i="3"/>
  <c r="E3549" i="3"/>
  <c r="E3548" i="3"/>
  <c r="E3547" i="3"/>
  <c r="E3546" i="3"/>
  <c r="E3545" i="3"/>
  <c r="E3544" i="3"/>
  <c r="E3543" i="3"/>
  <c r="E3542" i="3"/>
  <c r="E3541" i="3"/>
  <c r="E3540" i="3"/>
  <c r="E3539" i="3"/>
  <c r="E3538" i="3"/>
  <c r="E3537" i="3"/>
  <c r="E3536" i="3"/>
  <c r="E3535" i="3"/>
  <c r="E3534" i="3"/>
  <c r="E3533" i="3"/>
  <c r="E3532" i="3"/>
  <c r="E3531" i="3"/>
  <c r="E3530" i="3"/>
  <c r="E3529" i="3"/>
  <c r="E3528" i="3"/>
  <c r="E3527" i="3"/>
  <c r="E3526" i="3"/>
  <c r="E3525" i="3"/>
  <c r="E3524" i="3"/>
  <c r="E3523" i="3"/>
  <c r="E3522" i="3"/>
  <c r="E3521" i="3"/>
  <c r="E3520" i="3"/>
  <c r="E3519" i="3"/>
  <c r="E3518" i="3"/>
  <c r="E3517" i="3"/>
  <c r="E3516" i="3"/>
  <c r="E3515" i="3"/>
  <c r="E3514" i="3"/>
  <c r="E3513" i="3"/>
  <c r="E3512" i="3"/>
  <c r="E3511" i="3"/>
  <c r="E3510" i="3"/>
  <c r="E3509" i="3"/>
  <c r="E3508" i="3"/>
  <c r="E3507" i="3"/>
  <c r="E3506" i="3"/>
  <c r="E3505" i="3"/>
  <c r="E3504" i="3"/>
  <c r="E3503" i="3"/>
  <c r="E3502" i="3"/>
  <c r="E3501" i="3"/>
  <c r="E3500" i="3"/>
  <c r="E3499" i="3"/>
  <c r="E3498" i="3"/>
  <c r="E3497" i="3"/>
  <c r="E3496" i="3"/>
  <c r="E3495" i="3"/>
  <c r="E3494" i="3"/>
  <c r="E3493" i="3"/>
  <c r="E3492" i="3"/>
  <c r="E3491" i="3"/>
  <c r="E3490" i="3"/>
  <c r="E3489" i="3"/>
  <c r="E3488" i="3"/>
  <c r="E3487" i="3"/>
  <c r="E3486" i="3"/>
  <c r="E3485" i="3"/>
  <c r="E3484" i="3"/>
  <c r="E3483" i="3"/>
  <c r="E3482" i="3"/>
  <c r="E3481" i="3"/>
  <c r="E3480" i="3"/>
  <c r="E3479" i="3"/>
  <c r="E3478" i="3"/>
  <c r="E3477" i="3"/>
  <c r="E3476" i="3"/>
  <c r="E3475" i="3"/>
  <c r="E3474" i="3"/>
  <c r="E3473" i="3"/>
  <c r="E3472" i="3"/>
  <c r="E3471" i="3"/>
  <c r="E3470" i="3"/>
  <c r="E3469" i="3"/>
  <c r="E3468" i="3"/>
  <c r="E3467" i="3"/>
  <c r="E3466" i="3"/>
  <c r="E3465" i="3"/>
  <c r="E3464" i="3"/>
  <c r="E3463" i="3"/>
  <c r="E3462" i="3"/>
  <c r="E3461" i="3"/>
  <c r="E3460" i="3"/>
  <c r="E3459" i="3"/>
  <c r="E3458" i="3"/>
  <c r="E3457" i="3"/>
  <c r="E3456" i="3"/>
  <c r="E3455" i="3"/>
  <c r="E3454" i="3"/>
  <c r="E3453" i="3"/>
  <c r="E3452" i="3"/>
  <c r="E3451" i="3"/>
  <c r="E3450" i="3"/>
  <c r="E3449" i="3"/>
  <c r="E3448" i="3"/>
  <c r="E3447" i="3"/>
  <c r="E3446" i="3"/>
  <c r="E3445" i="3"/>
  <c r="E3444" i="3"/>
  <c r="E3443" i="3"/>
  <c r="E3442" i="3"/>
  <c r="E3441" i="3"/>
  <c r="E3440" i="3"/>
  <c r="E3439" i="3"/>
  <c r="E3438" i="3"/>
  <c r="E3437" i="3"/>
  <c r="E3436" i="3"/>
  <c r="E3435" i="3"/>
  <c r="E3434" i="3"/>
  <c r="E3433" i="3"/>
  <c r="E3432" i="3"/>
  <c r="E3431" i="3"/>
  <c r="E3430" i="3"/>
  <c r="E3429" i="3"/>
  <c r="E3428" i="3"/>
  <c r="E3427" i="3"/>
  <c r="E3426" i="3"/>
  <c r="E3425" i="3"/>
  <c r="E3424" i="3"/>
  <c r="E3423" i="3"/>
  <c r="E3422" i="3"/>
  <c r="E3421" i="3"/>
  <c r="E3420" i="3"/>
  <c r="E3419" i="3"/>
  <c r="E3418" i="3"/>
  <c r="E3417" i="3"/>
  <c r="E3416" i="3"/>
  <c r="E3415" i="3"/>
  <c r="E3414" i="3"/>
  <c r="E3413" i="3"/>
  <c r="E3412" i="3"/>
  <c r="E3411" i="3"/>
  <c r="E3410" i="3"/>
  <c r="E3409" i="3"/>
  <c r="E3408" i="3"/>
  <c r="E3407" i="3"/>
  <c r="E3406" i="3"/>
  <c r="E3405" i="3"/>
  <c r="E3404" i="3"/>
  <c r="E3403" i="3"/>
  <c r="E3402" i="3"/>
  <c r="E3401" i="3"/>
  <c r="E3400" i="3"/>
  <c r="E3399" i="3"/>
  <c r="E3398" i="3"/>
  <c r="E3397" i="3"/>
  <c r="E3396" i="3"/>
  <c r="E3395" i="3"/>
  <c r="E3394" i="3"/>
  <c r="E3393" i="3"/>
  <c r="E3392" i="3"/>
  <c r="E3391" i="3"/>
  <c r="E3390" i="3"/>
  <c r="E3389" i="3"/>
  <c r="E3388" i="3"/>
  <c r="E3387" i="3"/>
  <c r="E3386" i="3"/>
  <c r="E3385" i="3"/>
  <c r="E3384" i="3"/>
  <c r="E3383" i="3"/>
  <c r="E3382" i="3"/>
  <c r="E3381" i="3"/>
  <c r="E3380" i="3"/>
  <c r="E3379" i="3"/>
  <c r="E3378" i="3"/>
  <c r="E3377" i="3"/>
  <c r="E3376" i="3"/>
  <c r="E3375" i="3"/>
  <c r="E3374" i="3"/>
  <c r="E3373" i="3"/>
  <c r="E3372" i="3"/>
  <c r="E3371" i="3"/>
  <c r="E3370" i="3"/>
  <c r="E3369" i="3"/>
  <c r="E3368" i="3"/>
  <c r="E3367" i="3"/>
  <c r="E3366" i="3"/>
  <c r="E3365" i="3"/>
  <c r="E3364" i="3"/>
  <c r="E3363" i="3"/>
  <c r="E3362" i="3"/>
  <c r="E3361" i="3"/>
  <c r="E3360" i="3"/>
  <c r="E3359" i="3"/>
  <c r="E3358" i="3"/>
  <c r="E3357" i="3"/>
  <c r="E3356" i="3"/>
  <c r="E3355" i="3"/>
  <c r="E3354" i="3"/>
  <c r="E3353" i="3"/>
  <c r="E3352" i="3"/>
  <c r="E3351" i="3"/>
  <c r="E3350" i="3"/>
  <c r="E3349" i="3"/>
  <c r="E3348" i="3"/>
  <c r="E3347" i="3"/>
  <c r="E3346" i="3"/>
  <c r="E3345" i="3"/>
  <c r="E3344" i="3"/>
  <c r="E3343" i="3"/>
  <c r="E3342" i="3"/>
  <c r="E3341" i="3"/>
  <c r="E3340" i="3"/>
  <c r="E3339" i="3"/>
  <c r="E3338" i="3"/>
  <c r="E3337" i="3"/>
  <c r="E3336" i="3"/>
  <c r="E3335" i="3"/>
  <c r="E3334" i="3"/>
  <c r="E3333" i="3"/>
  <c r="E3332" i="3"/>
  <c r="E3331" i="3"/>
  <c r="E3330" i="3"/>
  <c r="E3329" i="3"/>
  <c r="E3328" i="3"/>
  <c r="E3327" i="3"/>
  <c r="E3326" i="3"/>
  <c r="E3325" i="3"/>
  <c r="E3324" i="3"/>
  <c r="E3323" i="3"/>
  <c r="E3322" i="3"/>
  <c r="E3321" i="3"/>
  <c r="E3320" i="3"/>
  <c r="E3319" i="3"/>
  <c r="E3318" i="3"/>
  <c r="E3317" i="3"/>
  <c r="E3316" i="3"/>
  <c r="E3315" i="3"/>
  <c r="E3314" i="3"/>
  <c r="E3313" i="3"/>
  <c r="E3312" i="3"/>
  <c r="E3311" i="3"/>
  <c r="E3310" i="3"/>
  <c r="E3309" i="3"/>
  <c r="E3308" i="3"/>
  <c r="E3307" i="3"/>
  <c r="E3306" i="3"/>
  <c r="E3305" i="3"/>
  <c r="E3304" i="3"/>
  <c r="E3303" i="3"/>
  <c r="E3302" i="3"/>
  <c r="E3301" i="3"/>
  <c r="E3300" i="3"/>
  <c r="E3299" i="3"/>
  <c r="E3298" i="3"/>
  <c r="E3297" i="3"/>
  <c r="E3296" i="3"/>
  <c r="E3295" i="3"/>
  <c r="E3294" i="3"/>
  <c r="E3293" i="3"/>
  <c r="E3292" i="3"/>
  <c r="E3291" i="3"/>
  <c r="E3290" i="3"/>
  <c r="E3289" i="3"/>
  <c r="E3288" i="3"/>
  <c r="E3287" i="3"/>
  <c r="E3286" i="3"/>
  <c r="E3285" i="3"/>
  <c r="E3284" i="3"/>
  <c r="E3283" i="3"/>
  <c r="E3282" i="3"/>
  <c r="E3281" i="3"/>
  <c r="E3280" i="3"/>
  <c r="E3279" i="3"/>
  <c r="E3278" i="3"/>
  <c r="E3277" i="3"/>
  <c r="E3276" i="3"/>
  <c r="E3275" i="3"/>
  <c r="E3274" i="3"/>
  <c r="E3273" i="3"/>
  <c r="E3272" i="3"/>
  <c r="E3271" i="3"/>
  <c r="E3270" i="3"/>
  <c r="E3269" i="3"/>
  <c r="E3268" i="3"/>
  <c r="E3267" i="3"/>
  <c r="E3266" i="3"/>
  <c r="E3265" i="3"/>
  <c r="E3264" i="3"/>
  <c r="E3263" i="3"/>
  <c r="E3262" i="3"/>
  <c r="E3261" i="3"/>
  <c r="E3260" i="3"/>
  <c r="E3259" i="3"/>
  <c r="E3258" i="3"/>
  <c r="E3257" i="3"/>
  <c r="E3256" i="3"/>
  <c r="E3255" i="3"/>
  <c r="E3254" i="3"/>
  <c r="E3253" i="3"/>
  <c r="E3252" i="3"/>
  <c r="E3251" i="3"/>
  <c r="E3250" i="3"/>
  <c r="E3249" i="3"/>
  <c r="E3248" i="3"/>
  <c r="E3247" i="3"/>
  <c r="E3246" i="3"/>
  <c r="E3245" i="3"/>
  <c r="E3244" i="3"/>
  <c r="E3243" i="3"/>
  <c r="E3242" i="3"/>
  <c r="E3241" i="3"/>
  <c r="E3240" i="3"/>
  <c r="E3239" i="3"/>
  <c r="E3238" i="3"/>
  <c r="E3237" i="3"/>
  <c r="E3236" i="3"/>
  <c r="E3235" i="3"/>
  <c r="E3234" i="3"/>
  <c r="E3233" i="3"/>
  <c r="E3232" i="3"/>
  <c r="E3231" i="3"/>
  <c r="E3230" i="3"/>
  <c r="E3229" i="3"/>
  <c r="E3228" i="3"/>
  <c r="E3227" i="3"/>
  <c r="E3226" i="3"/>
  <c r="E3225" i="3"/>
  <c r="E3224" i="3"/>
  <c r="E3223" i="3"/>
  <c r="E3222" i="3"/>
  <c r="E3221" i="3"/>
  <c r="E3220" i="3"/>
  <c r="E3219" i="3"/>
  <c r="E3218" i="3"/>
  <c r="E3217" i="3"/>
  <c r="E3216" i="3"/>
  <c r="E3215" i="3"/>
  <c r="E3214" i="3"/>
  <c r="E3213" i="3"/>
  <c r="E3212" i="3"/>
  <c r="E3211" i="3"/>
  <c r="E3210" i="3"/>
  <c r="E3209" i="3"/>
  <c r="E3208" i="3"/>
  <c r="E3207" i="3"/>
  <c r="E3206" i="3"/>
  <c r="E3205" i="3"/>
  <c r="E3204" i="3"/>
  <c r="E3203" i="3"/>
  <c r="E3202" i="3"/>
  <c r="E3201" i="3"/>
  <c r="E3200" i="3"/>
  <c r="E3199" i="3"/>
  <c r="E3198" i="3"/>
  <c r="E3197" i="3"/>
  <c r="E3196" i="3"/>
  <c r="E3195" i="3"/>
  <c r="E3194" i="3"/>
  <c r="E3193" i="3"/>
  <c r="E3192" i="3"/>
  <c r="E3191" i="3"/>
  <c r="E3190" i="3"/>
  <c r="E3189" i="3"/>
  <c r="E3188" i="3"/>
  <c r="E3187" i="3"/>
  <c r="E3186" i="3"/>
  <c r="E3185" i="3"/>
  <c r="E3184" i="3"/>
  <c r="E3183" i="3"/>
  <c r="E3182" i="3"/>
  <c r="E3181" i="3"/>
  <c r="E3180" i="3"/>
  <c r="E3179" i="3"/>
  <c r="E3178" i="3"/>
  <c r="E3177" i="3"/>
  <c r="E3176" i="3"/>
  <c r="E3175" i="3"/>
  <c r="E3174" i="3"/>
  <c r="E3173" i="3"/>
  <c r="E3172" i="3"/>
  <c r="E3171" i="3"/>
  <c r="E3170" i="3"/>
  <c r="E3169" i="3"/>
  <c r="E3168" i="3"/>
  <c r="E3167" i="3"/>
  <c r="E3166" i="3"/>
  <c r="E3165" i="3"/>
  <c r="E3164" i="3"/>
  <c r="E3163" i="3"/>
  <c r="E3162" i="3"/>
  <c r="E3161" i="3"/>
  <c r="E3160" i="3"/>
  <c r="E3159" i="3"/>
  <c r="E3158" i="3"/>
  <c r="E3157" i="3"/>
  <c r="E3156" i="3"/>
  <c r="E3155" i="3"/>
  <c r="E3154" i="3"/>
  <c r="E3153" i="3"/>
  <c r="E3152" i="3"/>
  <c r="E3151" i="3"/>
  <c r="E3150" i="3"/>
  <c r="E3149" i="3"/>
  <c r="E3148" i="3"/>
  <c r="E3147" i="3"/>
  <c r="E3146" i="3"/>
  <c r="E3145" i="3"/>
  <c r="E3144" i="3"/>
  <c r="E3143" i="3"/>
  <c r="E3142" i="3"/>
  <c r="E3141" i="3"/>
  <c r="E3140" i="3"/>
  <c r="E3139" i="3"/>
  <c r="E3138" i="3"/>
  <c r="E3137" i="3"/>
  <c r="E3136" i="3"/>
  <c r="E3135" i="3"/>
  <c r="E3134" i="3"/>
  <c r="E3133" i="3"/>
  <c r="E3132" i="3"/>
  <c r="E3131" i="3"/>
  <c r="E3130" i="3"/>
  <c r="E3129" i="3"/>
  <c r="E3128" i="3"/>
  <c r="E3127" i="3"/>
  <c r="E3126" i="3"/>
  <c r="E3125" i="3"/>
  <c r="E3124" i="3"/>
  <c r="E3123" i="3"/>
  <c r="E3122" i="3"/>
  <c r="E3121" i="3"/>
  <c r="E3120" i="3"/>
  <c r="E3119" i="3"/>
  <c r="E3118" i="3"/>
  <c r="E3117" i="3"/>
  <c r="E3116" i="3"/>
  <c r="E3115" i="3"/>
  <c r="E3114" i="3"/>
  <c r="E3113" i="3"/>
  <c r="E3112" i="3"/>
  <c r="E3111" i="3"/>
  <c r="E3110" i="3"/>
  <c r="E3109" i="3"/>
  <c r="E3108" i="3"/>
  <c r="E3107" i="3"/>
  <c r="E3106" i="3"/>
  <c r="E3105" i="3"/>
  <c r="E3104" i="3"/>
  <c r="E3103" i="3"/>
  <c r="E3102" i="3"/>
  <c r="E3101" i="3"/>
  <c r="E3100" i="3"/>
  <c r="E3099" i="3"/>
  <c r="E3098" i="3"/>
  <c r="E3097" i="3"/>
  <c r="E3096" i="3"/>
  <c r="E3095" i="3"/>
  <c r="E3094" i="3"/>
  <c r="E3093" i="3"/>
  <c r="E3092" i="3"/>
  <c r="E3091" i="3"/>
  <c r="E3090" i="3"/>
  <c r="E3089" i="3"/>
  <c r="E3088" i="3"/>
  <c r="E3087" i="3"/>
  <c r="E3086" i="3"/>
  <c r="E3085" i="3"/>
  <c r="E3084" i="3"/>
  <c r="E3083" i="3"/>
  <c r="E3082" i="3"/>
  <c r="E3081" i="3"/>
  <c r="E3080" i="3"/>
  <c r="E3079" i="3"/>
  <c r="E3078" i="3"/>
  <c r="E3077" i="3"/>
  <c r="E3076" i="3"/>
  <c r="E3075" i="3"/>
  <c r="E3074" i="3"/>
  <c r="E3073" i="3"/>
  <c r="E3072" i="3"/>
  <c r="E3071" i="3"/>
  <c r="E3070" i="3"/>
  <c r="E3069" i="3"/>
  <c r="E3068" i="3"/>
  <c r="E3067" i="3"/>
  <c r="E3066" i="3"/>
  <c r="E3065" i="3"/>
  <c r="E3064" i="3"/>
  <c r="E3063" i="3"/>
  <c r="E3062" i="3"/>
  <c r="E3061" i="3"/>
  <c r="E3060" i="3"/>
  <c r="E3059" i="3"/>
  <c r="E3058" i="3"/>
  <c r="E3057" i="3"/>
  <c r="E3056" i="3"/>
  <c r="E3055" i="3"/>
  <c r="E3054" i="3"/>
  <c r="E3053" i="3"/>
  <c r="E3052" i="3"/>
  <c r="E3051" i="3"/>
  <c r="E3050" i="3"/>
  <c r="E3049" i="3"/>
  <c r="E3048" i="3"/>
  <c r="E3047" i="3"/>
  <c r="E3046" i="3"/>
  <c r="E3045" i="3"/>
  <c r="E3044" i="3"/>
  <c r="E3043" i="3"/>
  <c r="E3042" i="3"/>
  <c r="E3041" i="3"/>
  <c r="E3040" i="3"/>
  <c r="E3039" i="3"/>
  <c r="E3038" i="3"/>
  <c r="E3037" i="3"/>
  <c r="E3036" i="3"/>
  <c r="E3035" i="3"/>
  <c r="E3034" i="3"/>
  <c r="E3033" i="3"/>
  <c r="E3032" i="3"/>
  <c r="E3031" i="3"/>
  <c r="E3030" i="3"/>
  <c r="E3029" i="3"/>
  <c r="E3028" i="3"/>
  <c r="E3027" i="3"/>
  <c r="E3026" i="3"/>
  <c r="E3025" i="3"/>
  <c r="E3024" i="3"/>
  <c r="E3023" i="3"/>
  <c r="E3022" i="3"/>
  <c r="E3021" i="3"/>
  <c r="E3020" i="3"/>
  <c r="E3019" i="3"/>
  <c r="E3018" i="3"/>
  <c r="E3017" i="3"/>
  <c r="E3016" i="3"/>
  <c r="E3015" i="3"/>
  <c r="E3014" i="3"/>
  <c r="E3013" i="3"/>
  <c r="E3012" i="3"/>
  <c r="E3011" i="3"/>
  <c r="E3010" i="3"/>
  <c r="E3009" i="3"/>
  <c r="E3008" i="3"/>
  <c r="E3007" i="3"/>
  <c r="E3006" i="3"/>
  <c r="E3005" i="3"/>
  <c r="E3004" i="3"/>
  <c r="E3003" i="3"/>
  <c r="E3002" i="3"/>
  <c r="E3001" i="3"/>
  <c r="E3000" i="3"/>
  <c r="E2999" i="3"/>
  <c r="E2998" i="3"/>
  <c r="E2997" i="3"/>
  <c r="E2996" i="3"/>
  <c r="E2995" i="3"/>
  <c r="E2994" i="3"/>
  <c r="E2993" i="3"/>
  <c r="E2992" i="3"/>
  <c r="E2991" i="3"/>
  <c r="E2990" i="3"/>
  <c r="E2989" i="3"/>
  <c r="E2988" i="3"/>
  <c r="E2987" i="3"/>
  <c r="E2986" i="3"/>
  <c r="E2985" i="3"/>
  <c r="E2984" i="3"/>
  <c r="E2983" i="3"/>
  <c r="E2982" i="3"/>
  <c r="E2981" i="3"/>
  <c r="E2980" i="3"/>
  <c r="E2979" i="3"/>
  <c r="E2978" i="3"/>
  <c r="E2977" i="3"/>
  <c r="E2976" i="3"/>
  <c r="E2975" i="3"/>
  <c r="E2974" i="3"/>
  <c r="E2973" i="3"/>
  <c r="E2972" i="3"/>
  <c r="E2971" i="3"/>
  <c r="E2970" i="3"/>
  <c r="E2969" i="3"/>
  <c r="E2968" i="3"/>
  <c r="E2967" i="3"/>
  <c r="E2966" i="3"/>
  <c r="E2965" i="3"/>
  <c r="E2964" i="3"/>
  <c r="E2963" i="3"/>
  <c r="E2962" i="3"/>
  <c r="E2961" i="3"/>
  <c r="E2960" i="3"/>
  <c r="E2959" i="3"/>
  <c r="E2958" i="3"/>
  <c r="E2957" i="3"/>
  <c r="E2956" i="3"/>
  <c r="E2955" i="3"/>
  <c r="E2954" i="3"/>
  <c r="E2953" i="3"/>
  <c r="E2952" i="3"/>
  <c r="E2951" i="3"/>
  <c r="E2950" i="3"/>
  <c r="E2949" i="3"/>
  <c r="E2948" i="3"/>
  <c r="E2947" i="3"/>
  <c r="E2946" i="3"/>
  <c r="E2945" i="3"/>
  <c r="E2944" i="3"/>
  <c r="E2943" i="3"/>
  <c r="E2942" i="3"/>
  <c r="E2941" i="3"/>
  <c r="E2940" i="3"/>
  <c r="E2939" i="3"/>
  <c r="E2938" i="3"/>
  <c r="E2937" i="3"/>
  <c r="E2936" i="3"/>
  <c r="E2935" i="3"/>
  <c r="E2934" i="3"/>
  <c r="E2933" i="3"/>
  <c r="E2932" i="3"/>
  <c r="E2931" i="3"/>
  <c r="E2930" i="3"/>
  <c r="E2929" i="3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V47" i="2" l="1"/>
  <c r="E8" i="6" s="1"/>
  <c r="V46" i="2"/>
  <c r="E7" i="6" s="1"/>
  <c r="V51" i="2"/>
  <c r="E12" i="6" s="1"/>
  <c r="P15" i="2"/>
  <c r="V45" i="2"/>
  <c r="E6" i="6" s="1"/>
  <c r="V50" i="2"/>
  <c r="E11" i="6" s="1"/>
  <c r="V44" i="2"/>
  <c r="E5" i="6" s="1"/>
  <c r="V49" i="2"/>
  <c r="E10" i="6" s="1"/>
  <c r="V43" i="2"/>
  <c r="E4" i="6" s="1"/>
  <c r="V48" i="2"/>
  <c r="E9" i="6" s="1"/>
  <c r="V42" i="2"/>
  <c r="E3" i="6" s="1"/>
  <c r="P14" i="2"/>
  <c r="P29" i="2"/>
  <c r="P26" i="2"/>
  <c r="P7" i="2"/>
  <c r="P17" i="2"/>
  <c r="P34" i="2"/>
  <c r="P27" i="2"/>
  <c r="P22" i="2"/>
  <c r="P36" i="2"/>
  <c r="P30" i="2"/>
  <c r="U44" i="2"/>
  <c r="L5" i="6" s="1"/>
  <c r="N5" i="6" s="1"/>
  <c r="E16" i="6"/>
  <c r="E18" i="6"/>
  <c r="E24" i="6"/>
  <c r="S49" i="2"/>
  <c r="P13" i="2"/>
  <c r="S46" i="2"/>
  <c r="S47" i="2"/>
  <c r="S48" i="2"/>
  <c r="U49" i="2"/>
  <c r="L10" i="6" s="1"/>
  <c r="N10" i="6" s="1"/>
  <c r="U43" i="2"/>
  <c r="L4" i="6" s="1"/>
  <c r="N4" i="6" s="1"/>
  <c r="U48" i="2"/>
  <c r="L9" i="6" s="1"/>
  <c r="N9" i="6" s="1"/>
  <c r="E19" i="6"/>
  <c r="S50" i="2"/>
  <c r="U42" i="2"/>
  <c r="L3" i="6" s="1"/>
  <c r="N3" i="6" s="1"/>
  <c r="U47" i="2"/>
  <c r="L8" i="6" s="1"/>
  <c r="N8" i="6" s="1"/>
  <c r="U45" i="2"/>
  <c r="L6" i="6" s="1"/>
  <c r="N6" i="6" s="1"/>
  <c r="E22" i="6"/>
  <c r="E20" i="6"/>
  <c r="S45" i="2"/>
  <c r="U46" i="2"/>
  <c r="L7" i="6" s="1"/>
  <c r="N7" i="6" s="1"/>
  <c r="U51" i="2"/>
  <c r="L12" i="6" s="1"/>
  <c r="N12" i="6" s="1"/>
  <c r="S43" i="2"/>
  <c r="U50" i="2"/>
  <c r="L11" i="6" s="1"/>
  <c r="N11" i="6" s="1"/>
  <c r="P35" i="2"/>
  <c r="P12" i="2"/>
  <c r="P37" i="2"/>
  <c r="P8" i="2"/>
  <c r="P25" i="2"/>
  <c r="P4" i="2"/>
  <c r="P21" i="2"/>
  <c r="E17" i="6"/>
  <c r="P38" i="2"/>
  <c r="P23" i="2"/>
  <c r="P33" i="2"/>
  <c r="P5" i="2"/>
  <c r="P6" i="2"/>
  <c r="P16" i="2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AD37" i="3" s="1"/>
  <c r="AB45" i="3" s="1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W36" i="3" s="1"/>
  <c r="E1082" i="3"/>
  <c r="S36" i="3" s="1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R35" i="3" s="1"/>
  <c r="J41" i="3" s="1"/>
  <c r="E1050" i="3"/>
  <c r="AD35" i="3" s="1"/>
  <c r="AA45" i="3" s="1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U34" i="3" s="1"/>
  <c r="E1018" i="3"/>
  <c r="Q34" i="3" s="1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AL33" i="3" s="1"/>
  <c r="E986" i="3"/>
  <c r="K33" i="3" s="1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S32" i="3" s="1"/>
  <c r="E954" i="3"/>
  <c r="AI32" i="3" s="1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J31" i="3" s="1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AJ30" i="3" s="1"/>
  <c r="E886" i="3"/>
  <c r="L30" i="3" s="1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K29" i="3" s="1"/>
  <c r="E854" i="3"/>
  <c r="Z29" i="3" s="1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R28" i="3" s="1"/>
  <c r="E818" i="3"/>
  <c r="S28" i="3" s="1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P27" i="3" s="1"/>
  <c r="E786" i="3"/>
  <c r="AA27" i="3" s="1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U26" i="3" s="1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Z25" i="3" s="1"/>
  <c r="E718" i="3"/>
  <c r="AA25" i="3" s="1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J24" i="3" s="1"/>
  <c r="E686" i="3"/>
  <c r="AE24" i="3" s="1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P23" i="3" s="1"/>
  <c r="E654" i="3"/>
  <c r="AK23" i="3" s="1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M22" i="3" s="1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N21" i="3" s="1"/>
  <c r="E586" i="3"/>
  <c r="L21" i="3" s="1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Q20" i="3" s="1"/>
  <c r="E554" i="3"/>
  <c r="W20" i="3" s="1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U19" i="3" s="1"/>
  <c r="E522" i="3"/>
  <c r="AD19" i="3" s="1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AC17" i="3" s="1"/>
  <c r="Z49" i="3" s="1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2" i="3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AN3" i="3" l="1"/>
  <c r="AJ3" i="3"/>
  <c r="AF3" i="3"/>
  <c r="AB3" i="3"/>
  <c r="V3" i="3"/>
  <c r="R3" i="3"/>
  <c r="N3" i="3"/>
  <c r="J3" i="3"/>
  <c r="AM3" i="3"/>
  <c r="AI3" i="3"/>
  <c r="AE3" i="3"/>
  <c r="AA3" i="3"/>
  <c r="U3" i="3"/>
  <c r="Q3" i="3"/>
  <c r="M3" i="3"/>
  <c r="AL3" i="3"/>
  <c r="AH3" i="3"/>
  <c r="AD3" i="3"/>
  <c r="Z3" i="3"/>
  <c r="T3" i="3"/>
  <c r="P3" i="3"/>
  <c r="L3" i="3"/>
  <c r="AK3" i="3"/>
  <c r="AG3" i="3"/>
  <c r="AC3" i="3"/>
  <c r="W3" i="3"/>
  <c r="S3" i="3"/>
  <c r="O3" i="3"/>
  <c r="K3" i="3"/>
  <c r="I3" i="3"/>
  <c r="AM5" i="3"/>
  <c r="AI5" i="3"/>
  <c r="AE5" i="3"/>
  <c r="AA5" i="3"/>
  <c r="U5" i="3"/>
  <c r="Q5" i="3"/>
  <c r="M5" i="3"/>
  <c r="I5" i="3"/>
  <c r="AL5" i="3"/>
  <c r="AH5" i="3"/>
  <c r="AD5" i="3"/>
  <c r="Z5" i="3"/>
  <c r="T5" i="3"/>
  <c r="P5" i="3"/>
  <c r="L5" i="3"/>
  <c r="AG5" i="3"/>
  <c r="W5" i="3"/>
  <c r="O5" i="3"/>
  <c r="AN5" i="3"/>
  <c r="AF5" i="3"/>
  <c r="V5" i="3"/>
  <c r="N5" i="3"/>
  <c r="AJ5" i="3"/>
  <c r="R5" i="3"/>
  <c r="AK5" i="3"/>
  <c r="AC5" i="3"/>
  <c r="S5" i="3"/>
  <c r="K5" i="3"/>
  <c r="AB5" i="3"/>
  <c r="J5" i="3"/>
  <c r="AM7" i="3"/>
  <c r="AI7" i="3"/>
  <c r="AE7" i="3"/>
  <c r="AA7" i="3"/>
  <c r="U7" i="3"/>
  <c r="Q7" i="3"/>
  <c r="M7" i="3"/>
  <c r="I7" i="3"/>
  <c r="AL7" i="3"/>
  <c r="AH7" i="3"/>
  <c r="AD7" i="3"/>
  <c r="Z7" i="3"/>
  <c r="T7" i="3"/>
  <c r="P7" i="3"/>
  <c r="L7" i="3"/>
  <c r="AK7" i="3"/>
  <c r="AC7" i="3"/>
  <c r="S7" i="3"/>
  <c r="K7" i="3"/>
  <c r="AJ7" i="3"/>
  <c r="AB7" i="3"/>
  <c r="R7" i="3"/>
  <c r="J7" i="3"/>
  <c r="AN7" i="3"/>
  <c r="V7" i="3"/>
  <c r="AG7" i="3"/>
  <c r="W7" i="3"/>
  <c r="O7" i="3"/>
  <c r="AF7" i="3"/>
  <c r="N7" i="3"/>
  <c r="AI16" i="3"/>
  <c r="AD16" i="3"/>
  <c r="AG16" i="3"/>
  <c r="AB16" i="3"/>
  <c r="AE16" i="3"/>
  <c r="Z16" i="3"/>
  <c r="AC16" i="3"/>
  <c r="AJ16" i="3"/>
  <c r="AH16" i="3"/>
  <c r="N16" i="3"/>
  <c r="O16" i="3"/>
  <c r="P16" i="3"/>
  <c r="I16" i="3"/>
  <c r="AA16" i="3"/>
  <c r="AM16" i="3"/>
  <c r="AK16" i="3"/>
  <c r="R16" i="3"/>
  <c r="S16" i="3"/>
  <c r="T16" i="3"/>
  <c r="U16" i="3"/>
  <c r="AN16" i="3"/>
  <c r="AJ18" i="3"/>
  <c r="AB18" i="3"/>
  <c r="AE18" i="3"/>
  <c r="AF18" i="3"/>
  <c r="AM18" i="3"/>
  <c r="Z18" i="3"/>
  <c r="I18" i="3"/>
  <c r="J18" i="3"/>
  <c r="O18" i="3"/>
  <c r="AG18" i="3"/>
  <c r="AA18" i="3"/>
  <c r="Q18" i="3"/>
  <c r="S18" i="3"/>
  <c r="AK18" i="3"/>
  <c r="AL18" i="3"/>
  <c r="AI18" i="3"/>
  <c r="L18" i="3"/>
  <c r="M18" i="3"/>
  <c r="N18" i="3"/>
  <c r="W18" i="3"/>
  <c r="AN18" i="3"/>
  <c r="P18" i="3"/>
  <c r="R18" i="3"/>
  <c r="M36" i="3"/>
  <c r="P35" i="3"/>
  <c r="J48" i="3" s="1"/>
  <c r="O31" i="3"/>
  <c r="J29" i="3"/>
  <c r="T28" i="3"/>
  <c r="O27" i="3"/>
  <c r="M21" i="3"/>
  <c r="W16" i="3"/>
  <c r="J34" i="3"/>
  <c r="Q32" i="3"/>
  <c r="L25" i="3"/>
  <c r="V20" i="3"/>
  <c r="P33" i="3"/>
  <c r="S26" i="3"/>
  <c r="K22" i="3"/>
  <c r="AH34" i="3"/>
  <c r="AH18" i="3"/>
  <c r="AK36" i="3"/>
  <c r="AB28" i="3"/>
  <c r="AE20" i="3"/>
  <c r="V37" i="3"/>
  <c r="U36" i="3"/>
  <c r="S35" i="3"/>
  <c r="Q31" i="3"/>
  <c r="M29" i="3"/>
  <c r="W28" i="3"/>
  <c r="R27" i="3"/>
  <c r="P21" i="3"/>
  <c r="Q16" i="3"/>
  <c r="S34" i="3"/>
  <c r="J32" i="3"/>
  <c r="Q25" i="3"/>
  <c r="O25" i="3"/>
  <c r="L20" i="3"/>
  <c r="J20" i="3"/>
  <c r="K18" i="3"/>
  <c r="R33" i="3"/>
  <c r="I24" i="3"/>
  <c r="N30" i="3"/>
  <c r="V26" i="3"/>
  <c r="O23" i="3"/>
  <c r="N22" i="3"/>
  <c r="T17" i="3"/>
  <c r="AN34" i="3"/>
  <c r="AJ25" i="3"/>
  <c r="AC18" i="3"/>
  <c r="AH26" i="3"/>
  <c r="Z36" i="3"/>
  <c r="AG31" i="3"/>
  <c r="Z27" i="3"/>
  <c r="AF16" i="3"/>
  <c r="AN19" i="3"/>
  <c r="AB23" i="3"/>
  <c r="Z20" i="3"/>
  <c r="AD24" i="3"/>
  <c r="AA33" i="3"/>
  <c r="AB34" i="3"/>
  <c r="AA35" i="3"/>
  <c r="AA44" i="3" s="1"/>
  <c r="R37" i="3"/>
  <c r="K41" i="3" s="1"/>
  <c r="M37" i="3"/>
  <c r="K45" i="3" s="1"/>
  <c r="J36" i="3"/>
  <c r="M35" i="3"/>
  <c r="J45" i="3" s="1"/>
  <c r="N35" i="3"/>
  <c r="J46" i="3" s="1"/>
  <c r="L31" i="3"/>
  <c r="I29" i="3"/>
  <c r="U28" i="3"/>
  <c r="T27" i="3"/>
  <c r="N27" i="3"/>
  <c r="V21" i="3"/>
  <c r="M16" i="3"/>
  <c r="V16" i="3"/>
  <c r="N34" i="3"/>
  <c r="R32" i="3"/>
  <c r="O32" i="3"/>
  <c r="M25" i="3"/>
  <c r="K25" i="3"/>
  <c r="W19" i="3"/>
  <c r="V18" i="3"/>
  <c r="L24" i="3"/>
  <c r="N23" i="3"/>
  <c r="O17" i="3"/>
  <c r="AL16" i="3"/>
  <c r="AK10" i="3"/>
  <c r="AG10" i="3"/>
  <c r="AC10" i="3"/>
  <c r="W10" i="3"/>
  <c r="S10" i="3"/>
  <c r="O10" i="3"/>
  <c r="K10" i="3"/>
  <c r="AN10" i="3"/>
  <c r="AJ10" i="3"/>
  <c r="AF10" i="3"/>
  <c r="AB10" i="3"/>
  <c r="V10" i="3"/>
  <c r="R10" i="3"/>
  <c r="N10" i="3"/>
  <c r="J10" i="3"/>
  <c r="AI10" i="3"/>
  <c r="AA10" i="3"/>
  <c r="Q10" i="3"/>
  <c r="I10" i="3"/>
  <c r="AH10" i="3"/>
  <c r="Z10" i="3"/>
  <c r="P10" i="3"/>
  <c r="AD10" i="3"/>
  <c r="L10" i="3"/>
  <c r="AM10" i="3"/>
  <c r="AE10" i="3"/>
  <c r="U10" i="3"/>
  <c r="M10" i="3"/>
  <c r="AL10" i="3"/>
  <c r="T10" i="3"/>
  <c r="AL13" i="3"/>
  <c r="AH13" i="3"/>
  <c r="AD13" i="3"/>
  <c r="Z13" i="3"/>
  <c r="T13" i="3"/>
  <c r="P13" i="3"/>
  <c r="L13" i="3"/>
  <c r="AK13" i="3"/>
  <c r="AG13" i="3"/>
  <c r="AC13" i="3"/>
  <c r="W13" i="3"/>
  <c r="S13" i="3"/>
  <c r="O13" i="3"/>
  <c r="K13" i="3"/>
  <c r="AN13" i="3"/>
  <c r="AF13" i="3"/>
  <c r="V13" i="3"/>
  <c r="N13" i="3"/>
  <c r="AM13" i="3"/>
  <c r="AE13" i="3"/>
  <c r="U13" i="3"/>
  <c r="M13" i="3"/>
  <c r="AJ13" i="3"/>
  <c r="AB13" i="3"/>
  <c r="R13" i="3"/>
  <c r="J13" i="3"/>
  <c r="AI13" i="3"/>
  <c r="AA13" i="3"/>
  <c r="Q13" i="3"/>
  <c r="I13" i="3"/>
  <c r="AJ17" i="3"/>
  <c r="AF17" i="3"/>
  <c r="Z47" i="3" s="1"/>
  <c r="AA17" i="3"/>
  <c r="Z44" i="3" s="1"/>
  <c r="AD17" i="3"/>
  <c r="Z45" i="3" s="1"/>
  <c r="AG17" i="3"/>
  <c r="Z48" i="3" s="1"/>
  <c r="W17" i="3"/>
  <c r="I17" i="3"/>
  <c r="AB17" i="3"/>
  <c r="Z50" i="3" s="1"/>
  <c r="AL17" i="3"/>
  <c r="AK17" i="3"/>
  <c r="S17" i="3"/>
  <c r="M17" i="3"/>
  <c r="R17" i="3"/>
  <c r="P17" i="3"/>
  <c r="J17" i="3"/>
  <c r="AM17" i="3"/>
  <c r="AH17" i="3"/>
  <c r="Z42" i="3" s="1"/>
  <c r="L17" i="3"/>
  <c r="Q17" i="3"/>
  <c r="V17" i="3"/>
  <c r="AI17" i="3"/>
  <c r="Z41" i="3" s="1"/>
  <c r="Z17" i="3"/>
  <c r="Z43" i="3" s="1"/>
  <c r="K17" i="3"/>
  <c r="U17" i="3"/>
  <c r="AN22" i="3"/>
  <c r="AL22" i="3"/>
  <c r="AI22" i="3"/>
  <c r="AM22" i="3"/>
  <c r="AJ22" i="3"/>
  <c r="AH22" i="3"/>
  <c r="AA22" i="3"/>
  <c r="AE22" i="3"/>
  <c r="AF22" i="3"/>
  <c r="AG22" i="3"/>
  <c r="P22" i="3"/>
  <c r="Q22" i="3"/>
  <c r="R22" i="3"/>
  <c r="W22" i="3"/>
  <c r="AD22" i="3"/>
  <c r="J22" i="3"/>
  <c r="AB22" i="3"/>
  <c r="AK22" i="3"/>
  <c r="T22" i="3"/>
  <c r="U22" i="3"/>
  <c r="V22" i="3"/>
  <c r="O22" i="3"/>
  <c r="AC22" i="3"/>
  <c r="I22" i="3"/>
  <c r="S22" i="3"/>
  <c r="AF26" i="3"/>
  <c r="AD26" i="3"/>
  <c r="AC26" i="3"/>
  <c r="AA26" i="3"/>
  <c r="AB26" i="3"/>
  <c r="Z26" i="3"/>
  <c r="AK26" i="3"/>
  <c r="AN26" i="3"/>
  <c r="AM26" i="3"/>
  <c r="I26" i="3"/>
  <c r="J26" i="3"/>
  <c r="W26" i="3"/>
  <c r="AG26" i="3"/>
  <c r="P26" i="3"/>
  <c r="R26" i="3"/>
  <c r="AJ26" i="3"/>
  <c r="AE26" i="3"/>
  <c r="L26" i="3"/>
  <c r="M26" i="3"/>
  <c r="N26" i="3"/>
  <c r="O26" i="3"/>
  <c r="AL26" i="3"/>
  <c r="Q26" i="3"/>
  <c r="K26" i="3"/>
  <c r="AC31" i="3"/>
  <c r="AA31" i="3"/>
  <c r="AL31" i="3"/>
  <c r="AF31" i="3"/>
  <c r="AM31" i="3"/>
  <c r="AJ31" i="3"/>
  <c r="AH31" i="3"/>
  <c r="AI31" i="3"/>
  <c r="AD31" i="3"/>
  <c r="R31" i="3"/>
  <c r="U31" i="3"/>
  <c r="W31" i="3"/>
  <c r="S31" i="3"/>
  <c r="AB31" i="3"/>
  <c r="AE31" i="3"/>
  <c r="AN31" i="3"/>
  <c r="V31" i="3"/>
  <c r="M31" i="3"/>
  <c r="I31" i="3"/>
  <c r="AK31" i="3"/>
  <c r="AI37" i="3"/>
  <c r="AB41" i="3" s="1"/>
  <c r="AG37" i="3"/>
  <c r="AB48" i="3" s="1"/>
  <c r="AF37" i="3"/>
  <c r="AB47" i="3" s="1"/>
  <c r="AJ37" i="3"/>
  <c r="AE37" i="3"/>
  <c r="AB46" i="3" s="1"/>
  <c r="AC37" i="3"/>
  <c r="AB49" i="3" s="1"/>
  <c r="AN37" i="3"/>
  <c r="AB37" i="3"/>
  <c r="AB50" i="3" s="1"/>
  <c r="AH37" i="3"/>
  <c r="AB42" i="3" s="1"/>
  <c r="P37" i="3"/>
  <c r="K48" i="3" s="1"/>
  <c r="W37" i="3"/>
  <c r="Q37" i="3"/>
  <c r="K42" i="3" s="1"/>
  <c r="I37" i="3"/>
  <c r="AL37" i="3"/>
  <c r="AM37" i="3"/>
  <c r="Z37" i="3"/>
  <c r="AB43" i="3" s="1"/>
  <c r="K37" i="3"/>
  <c r="K50" i="3" s="1"/>
  <c r="J37" i="3"/>
  <c r="K44" i="3" s="1"/>
  <c r="U37" i="3"/>
  <c r="S37" i="3"/>
  <c r="AA37" i="3"/>
  <c r="AB44" i="3" s="1"/>
  <c r="O37" i="3"/>
  <c r="K47" i="3" s="1"/>
  <c r="R36" i="3"/>
  <c r="U35" i="3"/>
  <c r="K31" i="3"/>
  <c r="W29" i="3"/>
  <c r="M27" i="3"/>
  <c r="K21" i="3"/>
  <c r="V34" i="3"/>
  <c r="I32" i="3"/>
  <c r="J25" i="3"/>
  <c r="T18" i="3"/>
  <c r="N17" i="3"/>
  <c r="AN17" i="3"/>
  <c r="AI26" i="3"/>
  <c r="Z31" i="3"/>
  <c r="AG21" i="3"/>
  <c r="N37" i="3"/>
  <c r="K46" i="3" s="1"/>
  <c r="N31" i="3"/>
  <c r="K16" i="3"/>
  <c r="AK4" i="3"/>
  <c r="AG4" i="3"/>
  <c r="AC4" i="3"/>
  <c r="W4" i="3"/>
  <c r="S4" i="3"/>
  <c r="O4" i="3"/>
  <c r="K4" i="3"/>
  <c r="AN4" i="3"/>
  <c r="AJ4" i="3"/>
  <c r="AF4" i="3"/>
  <c r="AB4" i="3"/>
  <c r="V4" i="3"/>
  <c r="R4" i="3"/>
  <c r="N4" i="3"/>
  <c r="J4" i="3"/>
  <c r="AM4" i="3"/>
  <c r="AE4" i="3"/>
  <c r="U4" i="3"/>
  <c r="M4" i="3"/>
  <c r="AL4" i="3"/>
  <c r="AD4" i="3"/>
  <c r="T4" i="3"/>
  <c r="L4" i="3"/>
  <c r="AH4" i="3"/>
  <c r="Z4" i="3"/>
  <c r="P4" i="3"/>
  <c r="AI4" i="3"/>
  <c r="AA4" i="3"/>
  <c r="Q4" i="3"/>
  <c r="I4" i="3"/>
  <c r="AM9" i="3"/>
  <c r="AI9" i="3"/>
  <c r="AE9" i="3"/>
  <c r="AA9" i="3"/>
  <c r="U9" i="3"/>
  <c r="Q9" i="3"/>
  <c r="M9" i="3"/>
  <c r="I9" i="3"/>
  <c r="AL9" i="3"/>
  <c r="AH9" i="3"/>
  <c r="AD9" i="3"/>
  <c r="Z9" i="3"/>
  <c r="T9" i="3"/>
  <c r="P9" i="3"/>
  <c r="L9" i="3"/>
  <c r="AG9" i="3"/>
  <c r="W9" i="3"/>
  <c r="O9" i="3"/>
  <c r="AN9" i="3"/>
  <c r="AF9" i="3"/>
  <c r="V9" i="3"/>
  <c r="N9" i="3"/>
  <c r="AB9" i="3"/>
  <c r="J9" i="3"/>
  <c r="AK9" i="3"/>
  <c r="AC9" i="3"/>
  <c r="S9" i="3"/>
  <c r="K9" i="3"/>
  <c r="AJ9" i="3"/>
  <c r="R9" i="3"/>
  <c r="R19" i="3"/>
  <c r="L19" i="3"/>
  <c r="AH19" i="3"/>
  <c r="AI19" i="3"/>
  <c r="Q19" i="3"/>
  <c r="S19" i="3"/>
  <c r="AJ20" i="3"/>
  <c r="AK20" i="3"/>
  <c r="AE21" i="3"/>
  <c r="AC21" i="3"/>
  <c r="AJ21" i="3"/>
  <c r="AD21" i="3"/>
  <c r="AA21" i="3"/>
  <c r="AH21" i="3"/>
  <c r="AB21" i="3"/>
  <c r="AM21" i="3"/>
  <c r="Z21" i="3"/>
  <c r="S21" i="3"/>
  <c r="T21" i="3"/>
  <c r="U21" i="3"/>
  <c r="J21" i="3"/>
  <c r="AK21" i="3"/>
  <c r="AI21" i="3"/>
  <c r="AF21" i="3"/>
  <c r="W21" i="3"/>
  <c r="I21" i="3"/>
  <c r="R21" i="3"/>
  <c r="AN21" i="3"/>
  <c r="AJ23" i="3"/>
  <c r="I23" i="3"/>
  <c r="K23" i="3"/>
  <c r="J23" i="3"/>
  <c r="T23" i="3"/>
  <c r="AG24" i="3"/>
  <c r="V24" i="3"/>
  <c r="U24" i="3"/>
  <c r="AJ24" i="3"/>
  <c r="W24" i="3"/>
  <c r="AM25" i="3"/>
  <c r="AK25" i="3"/>
  <c r="AD25" i="3"/>
  <c r="AB25" i="3"/>
  <c r="AG25" i="3"/>
  <c r="AN25" i="3"/>
  <c r="S25" i="3"/>
  <c r="T25" i="3"/>
  <c r="U25" i="3"/>
  <c r="N25" i="3"/>
  <c r="AL25" i="3"/>
  <c r="AI25" i="3"/>
  <c r="AC25" i="3"/>
  <c r="AF25" i="3"/>
  <c r="W25" i="3"/>
  <c r="I25" i="3"/>
  <c r="V25" i="3"/>
  <c r="AE25" i="3"/>
  <c r="AH25" i="3"/>
  <c r="AE27" i="3"/>
  <c r="AB27" i="3"/>
  <c r="AL28" i="3"/>
  <c r="AN28" i="3"/>
  <c r="AG28" i="3"/>
  <c r="AK28" i="3"/>
  <c r="AH28" i="3"/>
  <c r="AJ28" i="3"/>
  <c r="AM28" i="3"/>
  <c r="AC28" i="3"/>
  <c r="AD28" i="3"/>
  <c r="AA28" i="3"/>
  <c r="J28" i="3"/>
  <c r="K28" i="3"/>
  <c r="L28" i="3"/>
  <c r="M28" i="3"/>
  <c r="AF28" i="3"/>
  <c r="Z28" i="3"/>
  <c r="AE28" i="3"/>
  <c r="N28" i="3"/>
  <c r="O28" i="3"/>
  <c r="P28" i="3"/>
  <c r="Q28" i="3"/>
  <c r="AI28" i="3"/>
  <c r="AH29" i="3"/>
  <c r="AF30" i="3"/>
  <c r="AD30" i="3"/>
  <c r="AG30" i="3"/>
  <c r="AK30" i="3"/>
  <c r="AB30" i="3"/>
  <c r="Z30" i="3"/>
  <c r="AC30" i="3"/>
  <c r="AL30" i="3"/>
  <c r="AM30" i="3"/>
  <c r="I30" i="3"/>
  <c r="J30" i="3"/>
  <c r="K30" i="3"/>
  <c r="S30" i="3"/>
  <c r="AI30" i="3"/>
  <c r="Q30" i="3"/>
  <c r="V30" i="3"/>
  <c r="AH30" i="3"/>
  <c r="AE30" i="3"/>
  <c r="M30" i="3"/>
  <c r="O30" i="3"/>
  <c r="P30" i="3"/>
  <c r="R30" i="3"/>
  <c r="AN30" i="3"/>
  <c r="T30" i="3"/>
  <c r="W30" i="3"/>
  <c r="Z32" i="3"/>
  <c r="AM32" i="3"/>
  <c r="AK32" i="3"/>
  <c r="Z33" i="3"/>
  <c r="J33" i="3"/>
  <c r="M33" i="3"/>
  <c r="AC33" i="3"/>
  <c r="L33" i="3"/>
  <c r="U33" i="3"/>
  <c r="AE34" i="3"/>
  <c r="AL34" i="3"/>
  <c r="AL35" i="3"/>
  <c r="AG35" i="3"/>
  <c r="AA48" i="3" s="1"/>
  <c r="AE36" i="3"/>
  <c r="AD36" i="3"/>
  <c r="T37" i="3"/>
  <c r="L37" i="3"/>
  <c r="K49" i="3" s="1"/>
  <c r="I36" i="3"/>
  <c r="Q35" i="3"/>
  <c r="J42" i="3" s="1"/>
  <c r="W35" i="3"/>
  <c r="T31" i="3"/>
  <c r="P31" i="3"/>
  <c r="N29" i="3"/>
  <c r="L29" i="3"/>
  <c r="I28" i="3"/>
  <c r="V28" i="3"/>
  <c r="S27" i="3"/>
  <c r="Q27" i="3"/>
  <c r="Q21" i="3"/>
  <c r="O21" i="3"/>
  <c r="L16" i="3"/>
  <c r="J16" i="3"/>
  <c r="G16" i="3" s="1"/>
  <c r="L34" i="3"/>
  <c r="T32" i="3"/>
  <c r="V32" i="3"/>
  <c r="R25" i="3"/>
  <c r="P25" i="3"/>
  <c r="U20" i="3"/>
  <c r="K20" i="3"/>
  <c r="V19" i="3"/>
  <c r="U18" i="3"/>
  <c r="I33" i="3"/>
  <c r="K24" i="3"/>
  <c r="U30" i="3"/>
  <c r="T26" i="3"/>
  <c r="M23" i="3"/>
  <c r="L22" i="3"/>
  <c r="AG34" i="3"/>
  <c r="AN32" i="3"/>
  <c r="AD18" i="3"/>
  <c r="AE17" i="3"/>
  <c r="Z46" i="3" s="1"/>
  <c r="AF24" i="3"/>
  <c r="AK37" i="3"/>
  <c r="AC35" i="3"/>
  <c r="AA49" i="3" s="1"/>
  <c r="AM29" i="3"/>
  <c r="AL21" i="3"/>
  <c r="AM20" i="3"/>
  <c r="AA30" i="3"/>
  <c r="Z22" i="3"/>
  <c r="AM11" i="3"/>
  <c r="AI11" i="3"/>
  <c r="AE11" i="3"/>
  <c r="AA11" i="3"/>
  <c r="U11" i="3"/>
  <c r="Q11" i="3"/>
  <c r="M11" i="3"/>
  <c r="I11" i="3"/>
  <c r="AL11" i="3"/>
  <c r="AH11" i="3"/>
  <c r="AD11" i="3"/>
  <c r="Z11" i="3"/>
  <c r="T11" i="3"/>
  <c r="P11" i="3"/>
  <c r="L11" i="3"/>
  <c r="AK11" i="3"/>
  <c r="AC11" i="3"/>
  <c r="S11" i="3"/>
  <c r="K11" i="3"/>
  <c r="AJ11" i="3"/>
  <c r="AB11" i="3"/>
  <c r="R11" i="3"/>
  <c r="J11" i="3"/>
  <c r="AF11" i="3"/>
  <c r="N11" i="3"/>
  <c r="AG11" i="3"/>
  <c r="W11" i="3"/>
  <c r="O11" i="3"/>
  <c r="AN11" i="3"/>
  <c r="V11" i="3"/>
  <c r="Z19" i="3"/>
  <c r="AA19" i="3"/>
  <c r="AJ19" i="3"/>
  <c r="AL19" i="3"/>
  <c r="AG19" i="3"/>
  <c r="AK19" i="3"/>
  <c r="AF19" i="3"/>
  <c r="AG23" i="3"/>
  <c r="AE23" i="3"/>
  <c r="Z23" i="3"/>
  <c r="AN23" i="3"/>
  <c r="AC23" i="3"/>
  <c r="AA23" i="3"/>
  <c r="AL23" i="3"/>
  <c r="AF23" i="3"/>
  <c r="AM27" i="3"/>
  <c r="AN27" i="3"/>
  <c r="AH27" i="3"/>
  <c r="AK27" i="3"/>
  <c r="AI27" i="3"/>
  <c r="AF27" i="3"/>
  <c r="AJ27" i="3"/>
  <c r="AI29" i="3"/>
  <c r="AG29" i="3"/>
  <c r="AF29" i="3"/>
  <c r="AL29" i="3"/>
  <c r="AE29" i="3"/>
  <c r="AC29" i="3"/>
  <c r="AJ29" i="3"/>
  <c r="AD29" i="3"/>
  <c r="AH32" i="3"/>
  <c r="AJ32" i="3"/>
  <c r="AC32" i="3"/>
  <c r="AG32" i="3"/>
  <c r="AL36" i="3"/>
  <c r="AN36" i="3"/>
  <c r="AG36" i="3"/>
  <c r="AC36" i="3"/>
  <c r="AH36" i="3"/>
  <c r="AJ36" i="3"/>
  <c r="AM36" i="3"/>
  <c r="AI36" i="3"/>
  <c r="Q36" i="3"/>
  <c r="T36" i="3"/>
  <c r="V36" i="3"/>
  <c r="O36" i="3"/>
  <c r="T35" i="3"/>
  <c r="L35" i="3"/>
  <c r="J49" i="3" s="1"/>
  <c r="I35" i="3"/>
  <c r="J35" i="3"/>
  <c r="J44" i="3" s="1"/>
  <c r="R29" i="3"/>
  <c r="U29" i="3"/>
  <c r="T29" i="3"/>
  <c r="S29" i="3"/>
  <c r="L27" i="3"/>
  <c r="K27" i="3"/>
  <c r="J27" i="3"/>
  <c r="I27" i="3"/>
  <c r="K34" i="3"/>
  <c r="W34" i="3"/>
  <c r="P34" i="3"/>
  <c r="M34" i="3"/>
  <c r="U32" i="3"/>
  <c r="M32" i="3"/>
  <c r="L32" i="3"/>
  <c r="K32" i="3"/>
  <c r="I20" i="3"/>
  <c r="T20" i="3"/>
  <c r="S20" i="3"/>
  <c r="R20" i="3"/>
  <c r="T19" i="3"/>
  <c r="O19" i="3"/>
  <c r="N19" i="3"/>
  <c r="M19" i="3"/>
  <c r="V33" i="3"/>
  <c r="S33" i="3"/>
  <c r="W33" i="3"/>
  <c r="Q24" i="3"/>
  <c r="T24" i="3"/>
  <c r="S24" i="3"/>
  <c r="R24" i="3"/>
  <c r="W23" i="3"/>
  <c r="V23" i="3"/>
  <c r="U23" i="3"/>
  <c r="AI34" i="3"/>
  <c r="AM34" i="3"/>
  <c r="AE32" i="3"/>
  <c r="AB32" i="3"/>
  <c r="AD32" i="3"/>
  <c r="AB33" i="3"/>
  <c r="AI24" i="3"/>
  <c r="AB36" i="3"/>
  <c r="Z35" i="3"/>
  <c r="AA43" i="3" s="1"/>
  <c r="AB29" i="3"/>
  <c r="AK29" i="3"/>
  <c r="AD27" i="3"/>
  <c r="AC27" i="3"/>
  <c r="AE19" i="3"/>
  <c r="AM19" i="3"/>
  <c r="AH23" i="3"/>
  <c r="AI23" i="3"/>
  <c r="AK6" i="3"/>
  <c r="AG6" i="3"/>
  <c r="AC6" i="3"/>
  <c r="W6" i="3"/>
  <c r="S6" i="3"/>
  <c r="O6" i="3"/>
  <c r="K6" i="3"/>
  <c r="AN6" i="3"/>
  <c r="AJ6" i="3"/>
  <c r="AF6" i="3"/>
  <c r="AB6" i="3"/>
  <c r="V6" i="3"/>
  <c r="R6" i="3"/>
  <c r="N6" i="3"/>
  <c r="J6" i="3"/>
  <c r="AI6" i="3"/>
  <c r="AA6" i="3"/>
  <c r="Q6" i="3"/>
  <c r="I6" i="3"/>
  <c r="AH6" i="3"/>
  <c r="Z6" i="3"/>
  <c r="P6" i="3"/>
  <c r="AL6" i="3"/>
  <c r="T6" i="3"/>
  <c r="AM6" i="3"/>
  <c r="AE6" i="3"/>
  <c r="U6" i="3"/>
  <c r="M6" i="3"/>
  <c r="AD6" i="3"/>
  <c r="L6" i="3"/>
  <c r="AK8" i="3"/>
  <c r="AG8" i="3"/>
  <c r="AC8" i="3"/>
  <c r="W8" i="3"/>
  <c r="S8" i="3"/>
  <c r="O8" i="3"/>
  <c r="K8" i="3"/>
  <c r="AN8" i="3"/>
  <c r="AJ8" i="3"/>
  <c r="AF8" i="3"/>
  <c r="AB8" i="3"/>
  <c r="V8" i="3"/>
  <c r="R8" i="3"/>
  <c r="N8" i="3"/>
  <c r="J8" i="3"/>
  <c r="AM8" i="3"/>
  <c r="AE8" i="3"/>
  <c r="U8" i="3"/>
  <c r="M8" i="3"/>
  <c r="AL8" i="3"/>
  <c r="AD8" i="3"/>
  <c r="T8" i="3"/>
  <c r="L8" i="3"/>
  <c r="Z8" i="3"/>
  <c r="AI8" i="3"/>
  <c r="AA8" i="3"/>
  <c r="Q8" i="3"/>
  <c r="I8" i="3"/>
  <c r="AH8" i="3"/>
  <c r="P8" i="3"/>
  <c r="AN12" i="3"/>
  <c r="AJ12" i="3"/>
  <c r="AF12" i="3"/>
  <c r="AB12" i="3"/>
  <c r="V12" i="3"/>
  <c r="R12" i="3"/>
  <c r="N12" i="3"/>
  <c r="J12" i="3"/>
  <c r="AM12" i="3"/>
  <c r="AI12" i="3"/>
  <c r="AE12" i="3"/>
  <c r="AA12" i="3"/>
  <c r="U12" i="3"/>
  <c r="Q12" i="3"/>
  <c r="M12" i="3"/>
  <c r="I12" i="3"/>
  <c r="AL12" i="3"/>
  <c r="AD12" i="3"/>
  <c r="T12" i="3"/>
  <c r="L12" i="3"/>
  <c r="AK12" i="3"/>
  <c r="AC12" i="3"/>
  <c r="S12" i="3"/>
  <c r="K12" i="3"/>
  <c r="AH12" i="3"/>
  <c r="Z12" i="3"/>
  <c r="P12" i="3"/>
  <c r="AG12" i="3"/>
  <c r="W12" i="3"/>
  <c r="O12" i="3"/>
  <c r="AN14" i="3"/>
  <c r="AJ14" i="3"/>
  <c r="AF14" i="3"/>
  <c r="AB14" i="3"/>
  <c r="V14" i="3"/>
  <c r="R14" i="3"/>
  <c r="N14" i="3"/>
  <c r="J14" i="3"/>
  <c r="AL14" i="3"/>
  <c r="AH14" i="3"/>
  <c r="AM14" i="3"/>
  <c r="AI14" i="3"/>
  <c r="AE14" i="3"/>
  <c r="AA14" i="3"/>
  <c r="U14" i="3"/>
  <c r="Q14" i="3"/>
  <c r="M14" i="3"/>
  <c r="I14" i="3"/>
  <c r="AK14" i="3"/>
  <c r="Z14" i="3"/>
  <c r="P14" i="3"/>
  <c r="AG14" i="3"/>
  <c r="W14" i="3"/>
  <c r="O14" i="3"/>
  <c r="AD14" i="3"/>
  <c r="T14" i="3"/>
  <c r="L14" i="3"/>
  <c r="AC14" i="3"/>
  <c r="S14" i="3"/>
  <c r="K14" i="3"/>
  <c r="AL20" i="3"/>
  <c r="AA20" i="3"/>
  <c r="AB20" i="3"/>
  <c r="AG20" i="3"/>
  <c r="AH20" i="3"/>
  <c r="AN20" i="3"/>
  <c r="AI20" i="3"/>
  <c r="AC20" i="3"/>
  <c r="Z24" i="3"/>
  <c r="AB24" i="3"/>
  <c r="AA24" i="3"/>
  <c r="AL24" i="3"/>
  <c r="AN24" i="3"/>
  <c r="AK24" i="3"/>
  <c r="AM24" i="3"/>
  <c r="AM33" i="3"/>
  <c r="AK33" i="3"/>
  <c r="AD33" i="3"/>
  <c r="AF33" i="3"/>
  <c r="AI33" i="3"/>
  <c r="AG33" i="3"/>
  <c r="AJ33" i="3"/>
  <c r="AH33" i="3"/>
  <c r="AF34" i="3"/>
  <c r="AD34" i="3"/>
  <c r="AC34" i="3"/>
  <c r="AA34" i="3"/>
  <c r="AM35" i="3"/>
  <c r="AN35" i="3"/>
  <c r="AH35" i="3"/>
  <c r="AA42" i="3" s="1"/>
  <c r="AK35" i="3"/>
  <c r="AI35" i="3"/>
  <c r="AA41" i="3" s="1"/>
  <c r="AF35" i="3"/>
  <c r="AA47" i="3" s="1"/>
  <c r="AJ35" i="3"/>
  <c r="L36" i="3"/>
  <c r="N36" i="3"/>
  <c r="P36" i="3"/>
  <c r="K36" i="3"/>
  <c r="O35" i="3"/>
  <c r="J47" i="3" s="1"/>
  <c r="K35" i="3"/>
  <c r="J50" i="3" s="1"/>
  <c r="V35" i="3"/>
  <c r="V29" i="3"/>
  <c r="Q29" i="3"/>
  <c r="P29" i="3"/>
  <c r="O29" i="3"/>
  <c r="W27" i="3"/>
  <c r="V27" i="3"/>
  <c r="U27" i="3"/>
  <c r="T34" i="3"/>
  <c r="R34" i="3"/>
  <c r="O34" i="3"/>
  <c r="I34" i="3"/>
  <c r="P32" i="3"/>
  <c r="N32" i="3"/>
  <c r="W32" i="3"/>
  <c r="M20" i="3"/>
  <c r="P20" i="3"/>
  <c r="O20" i="3"/>
  <c r="N20" i="3"/>
  <c r="P19" i="3"/>
  <c r="K19" i="3"/>
  <c r="J19" i="3"/>
  <c r="I19" i="3"/>
  <c r="O33" i="3"/>
  <c r="Q33" i="3"/>
  <c r="N33" i="3"/>
  <c r="T33" i="3"/>
  <c r="M24" i="3"/>
  <c r="P24" i="3"/>
  <c r="O24" i="3"/>
  <c r="N24" i="3"/>
  <c r="L23" i="3"/>
  <c r="S23" i="3"/>
  <c r="R23" i="3"/>
  <c r="Q23" i="3"/>
  <c r="AK34" i="3"/>
  <c r="Z34" i="3"/>
  <c r="AJ34" i="3"/>
  <c r="AA32" i="3"/>
  <c r="AF32" i="3"/>
  <c r="AL32" i="3"/>
  <c r="AN33" i="3"/>
  <c r="AE33" i="3"/>
  <c r="AC24" i="3"/>
  <c r="AH24" i="3"/>
  <c r="AA36" i="3"/>
  <c r="AF36" i="3"/>
  <c r="AB35" i="3"/>
  <c r="AA50" i="3" s="1"/>
  <c r="AE35" i="3"/>
  <c r="AA46" i="3" s="1"/>
  <c r="AN29" i="3"/>
  <c r="AA29" i="3"/>
  <c r="AL27" i="3"/>
  <c r="AG27" i="3"/>
  <c r="AF20" i="3"/>
  <c r="AD20" i="3"/>
  <c r="AB19" i="3"/>
  <c r="AC19" i="3"/>
  <c r="AD23" i="3"/>
  <c r="AM23" i="3"/>
  <c r="J43" i="3"/>
  <c r="AL15" i="3"/>
  <c r="AH15" i="3"/>
  <c r="AD15" i="3"/>
  <c r="Z15" i="3"/>
  <c r="AG15" i="3"/>
  <c r="AC15" i="3"/>
  <c r="AK15" i="3"/>
  <c r="AN15" i="3"/>
  <c r="AJ15" i="3"/>
  <c r="AF15" i="3"/>
  <c r="AB15" i="3"/>
  <c r="AM15" i="3"/>
  <c r="AI15" i="3"/>
  <c r="AE15" i="3"/>
  <c r="AA15" i="3"/>
  <c r="I15" i="3"/>
  <c r="M15" i="3"/>
  <c r="Q15" i="3"/>
  <c r="U15" i="3"/>
  <c r="J15" i="3"/>
  <c r="N15" i="3"/>
  <c r="R15" i="3"/>
  <c r="V15" i="3"/>
  <c r="K15" i="3"/>
  <c r="O15" i="3"/>
  <c r="S15" i="3"/>
  <c r="W15" i="3"/>
  <c r="L15" i="3"/>
  <c r="T15" i="3"/>
  <c r="P15" i="3"/>
  <c r="U15" i="4"/>
  <c r="Q23" i="4"/>
  <c r="I48" i="4" s="1"/>
  <c r="T14" i="4"/>
  <c r="T19" i="4"/>
  <c r="V21" i="4"/>
  <c r="T10" i="4"/>
  <c r="U12" i="4"/>
  <c r="U16" i="4"/>
  <c r="R24" i="4"/>
  <c r="S18" i="4"/>
  <c r="S25" i="4"/>
  <c r="R22" i="4"/>
  <c r="P26" i="4"/>
  <c r="T9" i="4"/>
  <c r="P9" i="4"/>
  <c r="L9" i="4"/>
  <c r="V11" i="4"/>
  <c r="R11" i="4"/>
  <c r="N11" i="4"/>
  <c r="J11" i="4"/>
  <c r="T17" i="4"/>
  <c r="P17" i="4"/>
  <c r="L17" i="4"/>
  <c r="W20" i="4"/>
  <c r="S20" i="4"/>
  <c r="O20" i="4"/>
  <c r="K20" i="4"/>
  <c r="U30" i="4"/>
  <c r="Q30" i="4"/>
  <c r="M30" i="4"/>
  <c r="I30" i="4"/>
  <c r="W30" i="4"/>
  <c r="R30" i="4"/>
  <c r="L30" i="4"/>
  <c r="V30" i="4"/>
  <c r="P30" i="4"/>
  <c r="K30" i="4"/>
  <c r="T30" i="4"/>
  <c r="O30" i="4"/>
  <c r="J30" i="4"/>
  <c r="S30" i="4"/>
  <c r="N30" i="4"/>
  <c r="T13" i="4"/>
  <c r="P13" i="4"/>
  <c r="L13" i="4"/>
  <c r="T29" i="4"/>
  <c r="P29" i="4"/>
  <c r="L29" i="4"/>
  <c r="V29" i="4"/>
  <c r="Q29" i="4"/>
  <c r="K29" i="4"/>
  <c r="U29" i="4"/>
  <c r="O29" i="4"/>
  <c r="J29" i="4"/>
  <c r="S29" i="4"/>
  <c r="N29" i="4"/>
  <c r="I29" i="4"/>
  <c r="W29" i="4"/>
  <c r="R29" i="4"/>
  <c r="M29" i="4"/>
  <c r="J9" i="4"/>
  <c r="O9" i="4"/>
  <c r="U9" i="4"/>
  <c r="K10" i="4"/>
  <c r="P10" i="4"/>
  <c r="V10" i="4"/>
  <c r="L11" i="4"/>
  <c r="Q11" i="4"/>
  <c r="W11" i="4"/>
  <c r="M12" i="4"/>
  <c r="R12" i="4"/>
  <c r="I13" i="4"/>
  <c r="N13" i="4"/>
  <c r="S13" i="4"/>
  <c r="J14" i="4"/>
  <c r="O14" i="4"/>
  <c r="K15" i="4"/>
  <c r="P15" i="4"/>
  <c r="L16" i="4"/>
  <c r="Q16" i="4"/>
  <c r="V16" i="4"/>
  <c r="M17" i="4"/>
  <c r="R17" i="4"/>
  <c r="W17" i="4"/>
  <c r="N18" i="4"/>
  <c r="I19" i="4"/>
  <c r="O19" i="4"/>
  <c r="J20" i="4"/>
  <c r="P20" i="4"/>
  <c r="U20" i="4"/>
  <c r="K21" i="4"/>
  <c r="Q21" i="4"/>
  <c r="L22" i="4"/>
  <c r="I23" i="4"/>
  <c r="I49" i="4" s="1"/>
  <c r="J24" i="4"/>
  <c r="K25" i="4"/>
  <c r="U18" i="4"/>
  <c r="Q18" i="4"/>
  <c r="M18" i="4"/>
  <c r="I18" i="4"/>
  <c r="T24" i="4"/>
  <c r="P24" i="4"/>
  <c r="L24" i="4"/>
  <c r="W24" i="4"/>
  <c r="S24" i="4"/>
  <c r="O24" i="4"/>
  <c r="K24" i="4"/>
  <c r="U25" i="4"/>
  <c r="Q25" i="4"/>
  <c r="M25" i="4"/>
  <c r="I25" i="4"/>
  <c r="T31" i="4"/>
  <c r="L31" i="4"/>
  <c r="Q31" i="4"/>
  <c r="I31" i="4"/>
  <c r="V22" i="4"/>
  <c r="U22" i="4"/>
  <c r="Q22" i="4"/>
  <c r="M22" i="4"/>
  <c r="I22" i="4"/>
  <c r="V26" i="4"/>
  <c r="R26" i="4"/>
  <c r="N26" i="4"/>
  <c r="J26" i="4"/>
  <c r="U26" i="4"/>
  <c r="Q26" i="4"/>
  <c r="M26" i="4"/>
  <c r="I26" i="4"/>
  <c r="T26" i="4"/>
  <c r="W26" i="4"/>
  <c r="S26" i="4"/>
  <c r="O26" i="4"/>
  <c r="K26" i="4"/>
  <c r="T32" i="4"/>
  <c r="P32" i="4"/>
  <c r="L32" i="4"/>
  <c r="W32" i="4"/>
  <c r="S32" i="4"/>
  <c r="O32" i="4"/>
  <c r="K32" i="4"/>
  <c r="Q32" i="4"/>
  <c r="I32" i="4"/>
  <c r="V32" i="4"/>
  <c r="N32" i="4"/>
  <c r="U32" i="4"/>
  <c r="M32" i="4"/>
  <c r="R32" i="4"/>
  <c r="J32" i="4"/>
  <c r="T36" i="4"/>
  <c r="P36" i="4"/>
  <c r="L36" i="4"/>
  <c r="W36" i="4"/>
  <c r="S36" i="4"/>
  <c r="O36" i="4"/>
  <c r="K36" i="4"/>
  <c r="U36" i="4"/>
  <c r="M36" i="4"/>
  <c r="R36" i="4"/>
  <c r="J36" i="4"/>
  <c r="Q36" i="4"/>
  <c r="I36" i="4"/>
  <c r="V36" i="4"/>
  <c r="N36" i="4"/>
  <c r="U37" i="4"/>
  <c r="Q37" i="4"/>
  <c r="M37" i="4"/>
  <c r="I37" i="4"/>
  <c r="T37" i="4"/>
  <c r="P37" i="4"/>
  <c r="L37" i="4"/>
  <c r="V37" i="4"/>
  <c r="N37" i="4"/>
  <c r="S37" i="4"/>
  <c r="K37" i="4"/>
  <c r="R37" i="4"/>
  <c r="J37" i="4"/>
  <c r="W37" i="4"/>
  <c r="O37" i="4"/>
  <c r="V38" i="4"/>
  <c r="R38" i="4"/>
  <c r="N38" i="4"/>
  <c r="J38" i="4"/>
  <c r="U38" i="4"/>
  <c r="Q38" i="4"/>
  <c r="M38" i="4"/>
  <c r="I38" i="4"/>
  <c r="W38" i="4"/>
  <c r="O38" i="4"/>
  <c r="T38" i="4"/>
  <c r="L38" i="4"/>
  <c r="S38" i="4"/>
  <c r="K38" i="4"/>
  <c r="P38" i="4"/>
  <c r="U14" i="4"/>
  <c r="Q14" i="4"/>
  <c r="M14" i="4"/>
  <c r="I14" i="4"/>
  <c r="V15" i="4"/>
  <c r="R15" i="4"/>
  <c r="N15" i="4"/>
  <c r="J15" i="4"/>
  <c r="V19" i="4"/>
  <c r="R19" i="4"/>
  <c r="N19" i="4"/>
  <c r="J19" i="4"/>
  <c r="T21" i="4"/>
  <c r="P21" i="4"/>
  <c r="L21" i="4"/>
  <c r="W23" i="4"/>
  <c r="S23" i="4"/>
  <c r="O23" i="4"/>
  <c r="I53" i="4" s="1"/>
  <c r="K23" i="4"/>
  <c r="I56" i="4" s="1"/>
  <c r="V23" i="4"/>
  <c r="R23" i="4"/>
  <c r="I47" i="4" s="1"/>
  <c r="N23" i="4"/>
  <c r="I52" i="4" s="1"/>
  <c r="J23" i="4"/>
  <c r="I50" i="4" s="1"/>
  <c r="T40" i="4"/>
  <c r="P40" i="4"/>
  <c r="L40" i="4"/>
  <c r="W40" i="4"/>
  <c r="S40" i="4"/>
  <c r="O40" i="4"/>
  <c r="K40" i="4"/>
  <c r="Q40" i="4"/>
  <c r="I40" i="4"/>
  <c r="V40" i="4"/>
  <c r="N40" i="4"/>
  <c r="U40" i="4"/>
  <c r="M40" i="4"/>
  <c r="R40" i="4"/>
  <c r="J40" i="4"/>
  <c r="W43" i="4"/>
  <c r="S43" i="4"/>
  <c r="O43" i="4"/>
  <c r="K43" i="4"/>
  <c r="V43" i="4"/>
  <c r="R43" i="4"/>
  <c r="N43" i="4"/>
  <c r="J43" i="4"/>
  <c r="T43" i="4"/>
  <c r="L43" i="4"/>
  <c r="Q43" i="4"/>
  <c r="I43" i="4"/>
  <c r="P43" i="4"/>
  <c r="U43" i="4"/>
  <c r="M43" i="4"/>
  <c r="K9" i="4"/>
  <c r="Q9" i="4"/>
  <c r="V9" i="4"/>
  <c r="L10" i="4"/>
  <c r="R10" i="4"/>
  <c r="W10" i="4"/>
  <c r="M11" i="4"/>
  <c r="S11" i="4"/>
  <c r="I12" i="4"/>
  <c r="N12" i="4"/>
  <c r="T12" i="4"/>
  <c r="J13" i="4"/>
  <c r="O13" i="4"/>
  <c r="U13" i="4"/>
  <c r="K14" i="4"/>
  <c r="P14" i="4"/>
  <c r="V14" i="4"/>
  <c r="L15" i="4"/>
  <c r="Q15" i="4"/>
  <c r="W15" i="4"/>
  <c r="M16" i="4"/>
  <c r="R16" i="4"/>
  <c r="I17" i="4"/>
  <c r="N17" i="4"/>
  <c r="S17" i="4"/>
  <c r="J18" i="4"/>
  <c r="O18" i="4"/>
  <c r="T18" i="4"/>
  <c r="K19" i="4"/>
  <c r="P19" i="4"/>
  <c r="U19" i="4"/>
  <c r="L20" i="4"/>
  <c r="Q20" i="4"/>
  <c r="V20" i="4"/>
  <c r="M21" i="4"/>
  <c r="R21" i="4"/>
  <c r="W21" i="4"/>
  <c r="N22" i="4"/>
  <c r="S22" i="4"/>
  <c r="L23" i="4"/>
  <c r="I55" i="4" s="1"/>
  <c r="T23" i="4"/>
  <c r="M24" i="4"/>
  <c r="U24" i="4"/>
  <c r="N25" i="4"/>
  <c r="V25" i="4"/>
  <c r="U10" i="4"/>
  <c r="W16" i="4"/>
  <c r="T25" i="4"/>
  <c r="S41" i="4"/>
  <c r="V44" i="4"/>
  <c r="M9" i="4"/>
  <c r="R9" i="4"/>
  <c r="W9" i="4"/>
  <c r="N10" i="4"/>
  <c r="S10" i="4"/>
  <c r="I11" i="4"/>
  <c r="O11" i="4"/>
  <c r="T11" i="4"/>
  <c r="J12" i="4"/>
  <c r="P12" i="4"/>
  <c r="K13" i="4"/>
  <c r="Q13" i="4"/>
  <c r="V13" i="4"/>
  <c r="L14" i="4"/>
  <c r="R14" i="4"/>
  <c r="W14" i="4"/>
  <c r="M15" i="4"/>
  <c r="S15" i="4"/>
  <c r="I16" i="4"/>
  <c r="N16" i="4"/>
  <c r="T16" i="4"/>
  <c r="J17" i="4"/>
  <c r="O17" i="4"/>
  <c r="U17" i="4"/>
  <c r="K18" i="4"/>
  <c r="P18" i="4"/>
  <c r="V18" i="4"/>
  <c r="L19" i="4"/>
  <c r="Q19" i="4"/>
  <c r="W19" i="4"/>
  <c r="M20" i="4"/>
  <c r="R20" i="4"/>
  <c r="I21" i="4"/>
  <c r="N21" i="4"/>
  <c r="S21" i="4"/>
  <c r="J22" i="4"/>
  <c r="O22" i="4"/>
  <c r="T22" i="4"/>
  <c r="M23" i="4"/>
  <c r="I51" i="4" s="1"/>
  <c r="U23" i="4"/>
  <c r="N24" i="4"/>
  <c r="V24" i="4"/>
  <c r="O25" i="4"/>
  <c r="W25" i="4"/>
  <c r="W12" i="4"/>
  <c r="S12" i="4"/>
  <c r="O12" i="4"/>
  <c r="K12" i="4"/>
  <c r="W27" i="4"/>
  <c r="S27" i="4"/>
  <c r="O27" i="4"/>
  <c r="K27" i="4"/>
  <c r="V27" i="4"/>
  <c r="R27" i="4"/>
  <c r="N27" i="4"/>
  <c r="J27" i="4"/>
  <c r="U27" i="4"/>
  <c r="Q27" i="4"/>
  <c r="M27" i="4"/>
  <c r="I27" i="4"/>
  <c r="T27" i="4"/>
  <c r="P27" i="4"/>
  <c r="L27" i="4"/>
  <c r="P28" i="4"/>
  <c r="L28" i="4"/>
  <c r="R28" i="4"/>
  <c r="N28" i="4"/>
  <c r="J28" i="4"/>
  <c r="V28" i="4"/>
  <c r="Q28" i="4"/>
  <c r="M28" i="4"/>
  <c r="I28" i="4"/>
  <c r="U33" i="4"/>
  <c r="Q33" i="4"/>
  <c r="M33" i="4"/>
  <c r="I33" i="4"/>
  <c r="T33" i="4"/>
  <c r="P33" i="4"/>
  <c r="L33" i="4"/>
  <c r="R33" i="4"/>
  <c r="J33" i="4"/>
  <c r="W33" i="4"/>
  <c r="O33" i="4"/>
  <c r="V33" i="4"/>
  <c r="N33" i="4"/>
  <c r="S33" i="4"/>
  <c r="K33" i="4"/>
  <c r="W34" i="4"/>
  <c r="O34" i="4"/>
  <c r="T34" i="4"/>
  <c r="L34" i="4"/>
  <c r="W35" i="4"/>
  <c r="S35" i="4"/>
  <c r="O35" i="4"/>
  <c r="K35" i="4"/>
  <c r="V35" i="4"/>
  <c r="R35" i="4"/>
  <c r="N35" i="4"/>
  <c r="J35" i="4"/>
  <c r="T35" i="4"/>
  <c r="L35" i="4"/>
  <c r="Q35" i="4"/>
  <c r="I35" i="4"/>
  <c r="P35" i="4"/>
  <c r="U35" i="4"/>
  <c r="M35" i="4"/>
  <c r="W39" i="4"/>
  <c r="S39" i="4"/>
  <c r="O39" i="4"/>
  <c r="K39" i="4"/>
  <c r="V39" i="4"/>
  <c r="R39" i="4"/>
  <c r="N39" i="4"/>
  <c r="J39" i="4"/>
  <c r="P39" i="4"/>
  <c r="U39" i="4"/>
  <c r="M39" i="4"/>
  <c r="T39" i="4"/>
  <c r="L39" i="4"/>
  <c r="Q39" i="4"/>
  <c r="I39" i="4"/>
  <c r="V41" i="4"/>
  <c r="N41" i="4"/>
  <c r="J52" i="4" s="1"/>
  <c r="V42" i="4"/>
  <c r="R42" i="4"/>
  <c r="N42" i="4"/>
  <c r="J42" i="4"/>
  <c r="U42" i="4"/>
  <c r="Q42" i="4"/>
  <c r="M42" i="4"/>
  <c r="I42" i="4"/>
  <c r="S42" i="4"/>
  <c r="K42" i="4"/>
  <c r="P42" i="4"/>
  <c r="W42" i="4"/>
  <c r="O42" i="4"/>
  <c r="T42" i="4"/>
  <c r="L42" i="4"/>
  <c r="Q44" i="4"/>
  <c r="K48" i="4" s="1"/>
  <c r="I44" i="4"/>
  <c r="K49" i="4" s="1"/>
  <c r="I9" i="4"/>
  <c r="N9" i="4"/>
  <c r="S9" i="4"/>
  <c r="J10" i="4"/>
  <c r="O10" i="4"/>
  <c r="K11" i="4"/>
  <c r="P11" i="4"/>
  <c r="U11" i="4"/>
  <c r="L12" i="4"/>
  <c r="Q12" i="4"/>
  <c r="V12" i="4"/>
  <c r="M13" i="4"/>
  <c r="R13" i="4"/>
  <c r="W13" i="4"/>
  <c r="N14" i="4"/>
  <c r="S14" i="4"/>
  <c r="I15" i="4"/>
  <c r="O15" i="4"/>
  <c r="T15" i="4"/>
  <c r="J16" i="4"/>
  <c r="P16" i="4"/>
  <c r="K17" i="4"/>
  <c r="Q17" i="4"/>
  <c r="V17" i="4"/>
  <c r="L18" i="4"/>
  <c r="R18" i="4"/>
  <c r="W18" i="4"/>
  <c r="M19" i="4"/>
  <c r="S19" i="4"/>
  <c r="I20" i="4"/>
  <c r="N20" i="4"/>
  <c r="T20" i="4"/>
  <c r="J21" i="4"/>
  <c r="O21" i="4"/>
  <c r="U21" i="4"/>
  <c r="K22" i="4"/>
  <c r="P22" i="4"/>
  <c r="W22" i="4"/>
  <c r="P23" i="4"/>
  <c r="I54" i="4" s="1"/>
  <c r="I24" i="4"/>
  <c r="Q24" i="4"/>
  <c r="J25" i="4"/>
  <c r="R25" i="4"/>
  <c r="L26" i="4"/>
  <c r="K41" i="4"/>
  <c r="J56" i="4" s="1"/>
  <c r="N44" i="4"/>
  <c r="K52" i="4" s="1"/>
  <c r="W28" i="4"/>
  <c r="S28" i="4"/>
  <c r="W31" i="4"/>
  <c r="S31" i="4"/>
  <c r="O31" i="4"/>
  <c r="K31" i="4"/>
  <c r="V31" i="4"/>
  <c r="R31" i="4"/>
  <c r="N31" i="4"/>
  <c r="J31" i="4"/>
  <c r="V34" i="4"/>
  <c r="R34" i="4"/>
  <c r="N34" i="4"/>
  <c r="J34" i="4"/>
  <c r="U34" i="4"/>
  <c r="Q34" i="4"/>
  <c r="M34" i="4"/>
  <c r="I34" i="4"/>
  <c r="U41" i="4"/>
  <c r="Q41" i="4"/>
  <c r="J48" i="4" s="1"/>
  <c r="M41" i="4"/>
  <c r="J51" i="4" s="1"/>
  <c r="I41" i="4"/>
  <c r="J49" i="4" s="1"/>
  <c r="T41" i="4"/>
  <c r="P41" i="4"/>
  <c r="J54" i="4" s="1"/>
  <c r="L41" i="4"/>
  <c r="J55" i="4" s="1"/>
  <c r="T44" i="4"/>
  <c r="P44" i="4"/>
  <c r="K54" i="4" s="1"/>
  <c r="L44" i="4"/>
  <c r="K55" i="4" s="1"/>
  <c r="W44" i="4"/>
  <c r="S44" i="4"/>
  <c r="O44" i="4"/>
  <c r="K53" i="4" s="1"/>
  <c r="K44" i="4"/>
  <c r="K56" i="4" s="1"/>
  <c r="I10" i="4"/>
  <c r="M10" i="4"/>
  <c r="Q10" i="4"/>
  <c r="K16" i="4"/>
  <c r="O16" i="4"/>
  <c r="S16" i="4"/>
  <c r="L25" i="4"/>
  <c r="P25" i="4"/>
  <c r="K28" i="4"/>
  <c r="O28" i="4"/>
  <c r="T28" i="4"/>
  <c r="M31" i="4"/>
  <c r="U31" i="4"/>
  <c r="P34" i="4"/>
  <c r="O41" i="4"/>
  <c r="J53" i="4" s="1"/>
  <c r="W41" i="4"/>
  <c r="J44" i="4"/>
  <c r="K50" i="4" s="1"/>
  <c r="R44" i="4"/>
  <c r="K47" i="4" s="1"/>
  <c r="U28" i="4"/>
  <c r="P31" i="4"/>
  <c r="K34" i="4"/>
  <c r="S34" i="4"/>
  <c r="J41" i="4"/>
  <c r="J50" i="4" s="1"/>
  <c r="R41" i="4"/>
  <c r="J47" i="4" s="1"/>
  <c r="M44" i="4"/>
  <c r="K51" i="4" s="1"/>
  <c r="U44" i="4"/>
  <c r="G26" i="3" l="1"/>
  <c r="G25" i="3"/>
  <c r="G37" i="3"/>
  <c r="G17" i="3"/>
  <c r="G18" i="3"/>
  <c r="G21" i="3"/>
  <c r="G22" i="3"/>
  <c r="G33" i="3"/>
  <c r="G31" i="3"/>
  <c r="G30" i="3"/>
  <c r="G3" i="3"/>
  <c r="G34" i="3"/>
  <c r="G23" i="3"/>
  <c r="G19" i="3"/>
  <c r="G32" i="3"/>
  <c r="G27" i="3"/>
  <c r="G20" i="3"/>
  <c r="G29" i="3"/>
  <c r="G35" i="3"/>
  <c r="G14" i="3"/>
  <c r="G12" i="3"/>
  <c r="G36" i="3"/>
  <c r="G5" i="3"/>
  <c r="G6" i="3"/>
  <c r="G28" i="3"/>
  <c r="M47" i="3"/>
  <c r="D9" i="6" s="1"/>
  <c r="M43" i="3"/>
  <c r="D5" i="6" s="1"/>
  <c r="M50" i="3"/>
  <c r="D12" i="6" s="1"/>
  <c r="M46" i="3"/>
  <c r="D8" i="6" s="1"/>
  <c r="M42" i="3"/>
  <c r="D4" i="6" s="1"/>
  <c r="M49" i="3"/>
  <c r="D11" i="6" s="1"/>
  <c r="M45" i="3"/>
  <c r="D7" i="6" s="1"/>
  <c r="M41" i="3"/>
  <c r="D3" i="6" s="1"/>
  <c r="M48" i="3"/>
  <c r="D10" i="6" s="1"/>
  <c r="M44" i="3"/>
  <c r="D6" i="6" s="1"/>
  <c r="L50" i="3"/>
  <c r="K12" i="6" s="1"/>
  <c r="L46" i="3"/>
  <c r="K8" i="6" s="1"/>
  <c r="L42" i="3"/>
  <c r="K4" i="6" s="1"/>
  <c r="L49" i="3"/>
  <c r="K11" i="6" s="1"/>
  <c r="L45" i="3"/>
  <c r="K7" i="6" s="1"/>
  <c r="L41" i="3"/>
  <c r="K3" i="6" s="1"/>
  <c r="L48" i="3"/>
  <c r="K10" i="6" s="1"/>
  <c r="L44" i="3"/>
  <c r="K6" i="6" s="1"/>
  <c r="L47" i="3"/>
  <c r="K9" i="6" s="1"/>
  <c r="L43" i="3"/>
  <c r="K5" i="6" s="1"/>
  <c r="G11" i="3"/>
  <c r="G8" i="3"/>
  <c r="G13" i="3"/>
  <c r="G24" i="3"/>
  <c r="G7" i="3"/>
  <c r="G9" i="3"/>
  <c r="G4" i="3"/>
  <c r="G10" i="3"/>
  <c r="G15" i="3"/>
  <c r="K43" i="3"/>
  <c r="G38" i="3"/>
  <c r="G4" i="6"/>
  <c r="G23" i="6"/>
  <c r="G22" i="6"/>
  <c r="G15" i="6"/>
  <c r="G17" i="6"/>
  <c r="G6" i="6"/>
  <c r="G12" i="6"/>
  <c r="G24" i="6"/>
  <c r="G20" i="6"/>
  <c r="G11" i="6"/>
  <c r="G3" i="6"/>
  <c r="G5" i="6"/>
  <c r="G21" i="6"/>
  <c r="G19" i="6"/>
  <c r="G18" i="6"/>
  <c r="G10" i="6"/>
  <c r="G16" i="6"/>
  <c r="G7" i="6"/>
  <c r="G8" i="6"/>
  <c r="G9" i="6"/>
</calcChain>
</file>

<file path=xl/sharedStrings.xml><?xml version="1.0" encoding="utf-8"?>
<sst xmlns="http://schemas.openxmlformats.org/spreadsheetml/2006/main" count="35672" uniqueCount="11475">
  <si>
    <t>yrmo</t>
  </si>
  <si>
    <t>HMOLG</t>
  </si>
  <si>
    <t>HMOPMR</t>
  </si>
  <si>
    <t>HMOFEP</t>
  </si>
  <si>
    <t>HMFLEX</t>
  </si>
  <si>
    <t>HMOPERA</t>
  </si>
  <si>
    <t>HMOPERN</t>
  </si>
  <si>
    <t>PERMEDA</t>
  </si>
  <si>
    <t>PERMEDN</t>
  </si>
  <si>
    <t>HMOSG</t>
  </si>
  <si>
    <t>HMOIFP</t>
  </si>
  <si>
    <t>NATPAR</t>
  </si>
  <si>
    <t>OTHER</t>
  </si>
  <si>
    <t>PERMAPD</t>
  </si>
  <si>
    <t>HMOMM</t>
  </si>
  <si>
    <t>HMOMG</t>
  </si>
  <si>
    <t>Excluded</t>
  </si>
  <si>
    <t>proc sql noprint;</t>
  </si>
  <si>
    <t xml:space="preserve">  connect to netezza as mytezza</t>
  </si>
  <si>
    <t xml:space="preserve">  (server = "uedh008p"</t>
  </si>
  <si>
    <t xml:space="preserve">   database = "BISDMT_DAL_PHI_P1"</t>
  </si>
  <si>
    <t xml:space="preserve">   AuthDomain = "AD_Dom_Auth"</t>
  </si>
  <si>
    <t xml:space="preserve">   );</t>
  </si>
  <si>
    <t xml:space="preserve">  create table MDF as</t>
  </si>
  <si>
    <t xml:space="preserve">  FROM connection to mytezza</t>
  </si>
  <si>
    <t xml:space="preserve"> (</t>
  </si>
  <si>
    <t xml:space="preserve">  FROM</t>
  </si>
  <si>
    <t xml:space="preserve">  WHERE</t>
  </si>
  <si>
    <t xml:space="preserve">  )</t>
  </si>
  <si>
    <t xml:space="preserve">  GROUP BY</t>
  </si>
  <si>
    <t xml:space="preserve">  ;</t>
  </si>
  <si>
    <t xml:space="preserve">  disconnect from mytezza;</t>
  </si>
  <si>
    <t>quit;</t>
  </si>
  <si>
    <t>SELECT</t>
  </si>
  <si>
    <t>membership_data</t>
  </si>
  <si>
    <t>cac</t>
  </si>
  <si>
    <t>SumOfhcexp</t>
  </si>
  <si>
    <t>003</t>
  </si>
  <si>
    <t>004</t>
  </si>
  <si>
    <t>015</t>
  </si>
  <si>
    <t>017</t>
  </si>
  <si>
    <t>021</t>
  </si>
  <si>
    <t>026</t>
  </si>
  <si>
    <t>027</t>
  </si>
  <si>
    <t>028</t>
  </si>
  <si>
    <t>029</t>
  </si>
  <si>
    <t>030</t>
  </si>
  <si>
    <t>031</t>
  </si>
  <si>
    <t>801</t>
  </si>
  <si>
    <t>803</t>
  </si>
  <si>
    <t>804</t>
  </si>
  <si>
    <t>C28</t>
  </si>
  <si>
    <t>F20</t>
  </si>
  <si>
    <t>F22</t>
  </si>
  <si>
    <t>F27</t>
  </si>
  <si>
    <t>K11</t>
  </si>
  <si>
    <t>K12</t>
  </si>
  <si>
    <t>K21</t>
  </si>
  <si>
    <t>K23</t>
  </si>
  <si>
    <t>K24</t>
  </si>
  <si>
    <t>L11</t>
  </si>
  <si>
    <t>L12</t>
  </si>
  <si>
    <t>L13</t>
  </si>
  <si>
    <t>L16</t>
  </si>
  <si>
    <t>L17</t>
  </si>
  <si>
    <t>L22</t>
  </si>
  <si>
    <t>N11</t>
  </si>
  <si>
    <t>N13</t>
  </si>
  <si>
    <t>N14</t>
  </si>
  <si>
    <t>N15</t>
  </si>
  <si>
    <t>N16</t>
  </si>
  <si>
    <t>N20</t>
  </si>
  <si>
    <t>N21</t>
  </si>
  <si>
    <t>P12</t>
  </si>
  <si>
    <t>P13</t>
  </si>
  <si>
    <t>P23</t>
  </si>
  <si>
    <t>P28</t>
  </si>
  <si>
    <t>S11</t>
  </si>
  <si>
    <t>S13</t>
  </si>
  <si>
    <t>S14</t>
  </si>
  <si>
    <t>V11</t>
  </si>
  <si>
    <t>032</t>
  </si>
  <si>
    <t>N12</t>
  </si>
  <si>
    <t>K14</t>
  </si>
  <si>
    <t>R15</t>
  </si>
  <si>
    <t>R25</t>
  </si>
  <si>
    <t>L14</t>
  </si>
  <si>
    <t>001</t>
  </si>
  <si>
    <t>037</t>
  </si>
  <si>
    <t>V13</t>
  </si>
  <si>
    <t>V14</t>
  </si>
  <si>
    <t>L21</t>
  </si>
  <si>
    <t>Managed Care Finance</t>
  </si>
  <si>
    <t>Source Data</t>
  </si>
  <si>
    <t>yearmonth</t>
  </si>
  <si>
    <t>CAC or COA</t>
  </si>
  <si>
    <t>Facility Capitation members</t>
  </si>
  <si>
    <t>201501</t>
  </si>
  <si>
    <t>F12</t>
  </si>
  <si>
    <t>L51</t>
  </si>
  <si>
    <t>NULL</t>
  </si>
  <si>
    <t>201502</t>
  </si>
  <si>
    <t>F23</t>
  </si>
  <si>
    <t>201503</t>
  </si>
  <si>
    <t>201504</t>
  </si>
  <si>
    <t>201505</t>
  </si>
  <si>
    <t>201506</t>
  </si>
  <si>
    <t>201507</t>
  </si>
  <si>
    <t>B12</t>
  </si>
  <si>
    <t>201508</t>
  </si>
  <si>
    <t>201509</t>
  </si>
  <si>
    <t>201510</t>
  </si>
  <si>
    <t>N44</t>
  </si>
  <si>
    <t>N51</t>
  </si>
  <si>
    <t>201511</t>
  </si>
  <si>
    <t>201512</t>
  </si>
  <si>
    <t>201601</t>
  </si>
  <si>
    <t>201602</t>
  </si>
  <si>
    <t>201603</t>
  </si>
  <si>
    <t>201604</t>
  </si>
  <si>
    <t>201605</t>
  </si>
  <si>
    <t>201606</t>
  </si>
  <si>
    <t>201607</t>
  </si>
  <si>
    <t>201608</t>
  </si>
  <si>
    <t>201609</t>
  </si>
  <si>
    <t>201610</t>
  </si>
  <si>
    <t>201611</t>
  </si>
  <si>
    <t>201612</t>
  </si>
  <si>
    <t>201701</t>
  </si>
  <si>
    <t>201702</t>
  </si>
  <si>
    <t>201703</t>
  </si>
  <si>
    <t>201704</t>
  </si>
  <si>
    <t>201705</t>
  </si>
  <si>
    <t>201706</t>
  </si>
  <si>
    <t>201707</t>
  </si>
  <si>
    <t>201708</t>
  </si>
  <si>
    <t>201709</t>
  </si>
  <si>
    <t>201710</t>
  </si>
  <si>
    <t>201711</t>
  </si>
  <si>
    <t>201712</t>
  </si>
  <si>
    <t>CAC</t>
  </si>
  <si>
    <t>ResCat</t>
  </si>
  <si>
    <t>F14</t>
  </si>
  <si>
    <t>GOVTALL</t>
  </si>
  <si>
    <t>F17</t>
  </si>
  <si>
    <t>F54</t>
  </si>
  <si>
    <t>F92</t>
  </si>
  <si>
    <t>V12</t>
  </si>
  <si>
    <t>A15</t>
  </si>
  <si>
    <t>L15</t>
  </si>
  <si>
    <t>L19</t>
  </si>
  <si>
    <t>N18</t>
  </si>
  <si>
    <t>N19</t>
  </si>
  <si>
    <t>K15</t>
  </si>
  <si>
    <t>N17</t>
  </si>
  <si>
    <t>R11</t>
  </si>
  <si>
    <t>R12</t>
  </si>
  <si>
    <t>R13</t>
  </si>
  <si>
    <t>R14</t>
  </si>
  <si>
    <t>R16</t>
  </si>
  <si>
    <t>R17</t>
  </si>
  <si>
    <t>R24</t>
  </si>
  <si>
    <t>R18</t>
  </si>
  <si>
    <t>R19</t>
  </si>
  <si>
    <t>R20</t>
  </si>
  <si>
    <t>R21</t>
  </si>
  <si>
    <t>R22</t>
  </si>
  <si>
    <t>A13</t>
  </si>
  <si>
    <t>B11</t>
  </si>
  <si>
    <t>S12</t>
  </si>
  <si>
    <t>S15</t>
  </si>
  <si>
    <t>HMOCC</t>
  </si>
  <si>
    <t>S16</t>
  </si>
  <si>
    <t>F15</t>
  </si>
  <si>
    <t>HMOPA</t>
  </si>
  <si>
    <t>F16</t>
  </si>
  <si>
    <t>F11</t>
  </si>
  <si>
    <t>F26</t>
  </si>
  <si>
    <t>F13</t>
  </si>
  <si>
    <t>F28</t>
  </si>
  <si>
    <t>F58</t>
  </si>
  <si>
    <t>P58</t>
  </si>
  <si>
    <t>M51</t>
  </si>
  <si>
    <t>PPOIFP</t>
  </si>
  <si>
    <t>M52</t>
  </si>
  <si>
    <t>V31</t>
  </si>
  <si>
    <t>V51</t>
  </si>
  <si>
    <t>V52</t>
  </si>
  <si>
    <t>V53</t>
  </si>
  <si>
    <t>V54</t>
  </si>
  <si>
    <t>L31</t>
  </si>
  <si>
    <t>PPOLG</t>
  </si>
  <si>
    <t>L32</t>
  </si>
  <si>
    <t>L52</t>
  </si>
  <si>
    <t>L55</t>
  </si>
  <si>
    <t>L56</t>
  </si>
  <si>
    <t>L57</t>
  </si>
  <si>
    <t>L61</t>
  </si>
  <si>
    <t>L62</t>
  </si>
  <si>
    <t>L71</t>
  </si>
  <si>
    <t>N59</t>
  </si>
  <si>
    <t>N71</t>
  </si>
  <si>
    <t>F61</t>
  </si>
  <si>
    <t>PPOPMR</t>
  </si>
  <si>
    <t>N61</t>
  </si>
  <si>
    <t>K51</t>
  </si>
  <si>
    <t>K55</t>
  </si>
  <si>
    <t>K57</t>
  </si>
  <si>
    <t>N55</t>
  </si>
  <si>
    <t>N57</t>
  </si>
  <si>
    <t>C97</t>
  </si>
  <si>
    <t>PPOMM</t>
  </si>
  <si>
    <t>M61</t>
  </si>
  <si>
    <t>M71</t>
  </si>
  <si>
    <t>M91</t>
  </si>
  <si>
    <t>M92</t>
  </si>
  <si>
    <t>V91</t>
  </si>
  <si>
    <t>F53</t>
  </si>
  <si>
    <t>P53</t>
  </si>
  <si>
    <t>F56</t>
  </si>
  <si>
    <t>PPOSG</t>
  </si>
  <si>
    <t>S31</t>
  </si>
  <si>
    <t>S51</t>
  </si>
  <si>
    <t>S71</t>
  </si>
  <si>
    <t>A33</t>
  </si>
  <si>
    <t>S54</t>
  </si>
  <si>
    <t>S56</t>
  </si>
  <si>
    <t>S55</t>
  </si>
  <si>
    <t>PPOCC</t>
  </si>
  <si>
    <t>F55</t>
  </si>
  <si>
    <t>PPOPA</t>
  </si>
  <si>
    <t>C73</t>
  </si>
  <si>
    <t>DOILG</t>
  </si>
  <si>
    <t>C74</t>
  </si>
  <si>
    <t>C75</t>
  </si>
  <si>
    <t>C76</t>
  </si>
  <si>
    <t>C77</t>
  </si>
  <si>
    <t>C93</t>
  </si>
  <si>
    <t>C96</t>
  </si>
  <si>
    <t>C94</t>
  </si>
  <si>
    <t>DOISG</t>
  </si>
  <si>
    <t>C82</t>
  </si>
  <si>
    <t>DOICC</t>
  </si>
  <si>
    <t>C98</t>
  </si>
  <si>
    <t>DOIPA</t>
  </si>
  <si>
    <t>C85</t>
  </si>
  <si>
    <t>DOIIFP</t>
  </si>
  <si>
    <t>C95</t>
  </si>
  <si>
    <t>C99</t>
  </si>
  <si>
    <t>C84</t>
  </si>
  <si>
    <t>C86</t>
  </si>
  <si>
    <t>D71</t>
  </si>
  <si>
    <t>AGDMHC</t>
  </si>
  <si>
    <t>D72</t>
  </si>
  <si>
    <t>D76</t>
  </si>
  <si>
    <t>D81</t>
  </si>
  <si>
    <t>D82</t>
  </si>
  <si>
    <t>D91</t>
  </si>
  <si>
    <t>D92</t>
  </si>
  <si>
    <t>D93</t>
  </si>
  <si>
    <t>D94</t>
  </si>
  <si>
    <t>D96</t>
  </si>
  <si>
    <t>D97</t>
  </si>
  <si>
    <t>D98</t>
  </si>
  <si>
    <t>D99</t>
  </si>
  <si>
    <t>E72</t>
  </si>
  <si>
    <t>E82</t>
  </si>
  <si>
    <t>E91</t>
  </si>
  <si>
    <t>E92</t>
  </si>
  <si>
    <t>E61</t>
  </si>
  <si>
    <t>E75</t>
  </si>
  <si>
    <t>D11</t>
  </si>
  <si>
    <t>D21</t>
  </si>
  <si>
    <t>D51</t>
  </si>
  <si>
    <t>D52</t>
  </si>
  <si>
    <t>D85</t>
  </si>
  <si>
    <t>F30</t>
  </si>
  <si>
    <t>PPOFEP</t>
  </si>
  <si>
    <t>F31</t>
  </si>
  <si>
    <t>F51</t>
  </si>
  <si>
    <t>F91</t>
  </si>
  <si>
    <t>K22</t>
  </si>
  <si>
    <t>K25</t>
  </si>
  <si>
    <t>K42</t>
  </si>
  <si>
    <t>K53</t>
  </si>
  <si>
    <t>K54</t>
  </si>
  <si>
    <t>K56</t>
  </si>
  <si>
    <t>L91</t>
  </si>
  <si>
    <t>N22</t>
  </si>
  <si>
    <t>N23</t>
  </si>
  <si>
    <t>N24</t>
  </si>
  <si>
    <t>N56</t>
  </si>
  <si>
    <t>C83</t>
  </si>
  <si>
    <t>N52</t>
  </si>
  <si>
    <t>N54</t>
  </si>
  <si>
    <t>201501-201712</t>
  </si>
  <si>
    <t>\\Bsc\actuarial\Reserves\Distribution\BIS\TEST CASES\MODELS\Other</t>
  </si>
  <si>
    <t>RE  Facility Capitation membership.msg</t>
  </si>
  <si>
    <t>MCF</t>
  </si>
  <si>
    <t>Here is the MCF numbers for Facility membership. The membership numbers were based on capitation paid and only using report month and not looking at any retro active eligibility changes.</t>
  </si>
  <si>
    <t>Mike De Tomasi</t>
  </si>
  <si>
    <t>XXX</t>
  </si>
  <si>
    <t>SumOfscexp</t>
  </si>
  <si>
    <t>C31</t>
  </si>
  <si>
    <t>C41</t>
  </si>
  <si>
    <t>C48</t>
  </si>
  <si>
    <t>K41</t>
  </si>
  <si>
    <t>L41</t>
  </si>
  <si>
    <t>L44</t>
  </si>
  <si>
    <t>L45</t>
  </si>
  <si>
    <t>L49</t>
  </si>
  <si>
    <t>M72</t>
  </si>
  <si>
    <t>M77</t>
  </si>
  <si>
    <t>M78</t>
  </si>
  <si>
    <t>N32</t>
  </si>
  <si>
    <t>N41</t>
  </si>
  <si>
    <t>N45</t>
  </si>
  <si>
    <t>N46</t>
  </si>
  <si>
    <t>C64</t>
  </si>
  <si>
    <t>E65</t>
  </si>
  <si>
    <t>M73</t>
  </si>
  <si>
    <t>M74</t>
  </si>
  <si>
    <t>N34</t>
  </si>
  <si>
    <t>C43</t>
  </si>
  <si>
    <t>C49</t>
  </si>
  <si>
    <t>D75</t>
  </si>
  <si>
    <t>C65</t>
  </si>
  <si>
    <t>C63</t>
  </si>
  <si>
    <t>D55</t>
  </si>
  <si>
    <t>D95</t>
  </si>
  <si>
    <t>N91</t>
  </si>
  <si>
    <t>V55</t>
  </si>
  <si>
    <t>SELECT membership_data.yrmo, membership_data.cac, Sum(membership_data.hcexp) AS SumOfhcexp, Sum(membership_data.scexp) AS SumOfscexp</t>
  </si>
  <si>
    <t>FROM membership_data</t>
  </si>
  <si>
    <t>GROUP BY membership_data.yrmo, membership_data.cac;</t>
  </si>
  <si>
    <t>HCEXP</t>
  </si>
  <si>
    <t>SCEXP - PERS Oupatient Surgery Cap for PERS</t>
  </si>
  <si>
    <t>Facility Cap + OP Surg Cap, PERS</t>
  </si>
  <si>
    <t xml:space="preserve">  SELECT *</t>
  </si>
  <si>
    <t>BUS_CATEG_CD</t>
  </si>
  <si>
    <t>MKT_SEG_CD</t>
  </si>
  <si>
    <t>PLN_TYP_CD</t>
  </si>
  <si>
    <t>0031</t>
  </si>
  <si>
    <t>1000</t>
  </si>
  <si>
    <t>0012</t>
  </si>
  <si>
    <t>0011</t>
  </si>
  <si>
    <t>1014</t>
  </si>
  <si>
    <t>0039</t>
  </si>
  <si>
    <t>1010</t>
  </si>
  <si>
    <t>0017</t>
  </si>
  <si>
    <t>1012</t>
  </si>
  <si>
    <t>0000</t>
  </si>
  <si>
    <t>1004</t>
  </si>
  <si>
    <t>0023</t>
  </si>
  <si>
    <t>1013</t>
  </si>
  <si>
    <t>1006</t>
  </si>
  <si>
    <t>1002</t>
  </si>
  <si>
    <t>0038</t>
  </si>
  <si>
    <t>0024</t>
  </si>
  <si>
    <t>1005</t>
  </si>
  <si>
    <t>0048</t>
  </si>
  <si>
    <t>1003</t>
  </si>
  <si>
    <t>1008</t>
  </si>
  <si>
    <t>0054</t>
  </si>
  <si>
    <t>0037</t>
  </si>
  <si>
    <t>1001</t>
  </si>
  <si>
    <t>0021</t>
  </si>
  <si>
    <t>0022</t>
  </si>
  <si>
    <t>0056</t>
  </si>
  <si>
    <t>1009</t>
  </si>
  <si>
    <t>0055</t>
  </si>
  <si>
    <t>0033</t>
  </si>
  <si>
    <t>COA</t>
  </si>
  <si>
    <t>CAC_CODE_CROSSWALK(Updated 7-22-2016).xlsx</t>
  </si>
  <si>
    <t>CAC_CODE</t>
  </si>
  <si>
    <t>CAC_CODE DESC</t>
  </si>
  <si>
    <t>MCTR_BCAT</t>
  </si>
  <si>
    <t>MCTR_BCAT DESC</t>
  </si>
  <si>
    <t>MCTR_CTYP</t>
  </si>
  <si>
    <t>MCTR_CTYP DESC</t>
  </si>
  <si>
    <t>MCTR_VAL1</t>
  </si>
  <si>
    <t>MCTR_VAL1 DESC</t>
  </si>
  <si>
    <t>ROW_CNT</t>
  </si>
  <si>
    <t>USE_AS_DEFAULT</t>
  </si>
  <si>
    <t>082</t>
  </si>
  <si>
    <t>Legacy GemCare</t>
  </si>
  <si>
    <t>0095</t>
  </si>
  <si>
    <t>9000</t>
  </si>
  <si>
    <t>Admin Default</t>
  </si>
  <si>
    <t>0105</t>
  </si>
  <si>
    <t>Non-Facets Default</t>
  </si>
  <si>
    <t>1</t>
  </si>
  <si>
    <t>Y</t>
  </si>
  <si>
    <t>091</t>
  </si>
  <si>
    <t>0096</t>
  </si>
  <si>
    <t>Integration Costs</t>
  </si>
  <si>
    <t>098</t>
  </si>
  <si>
    <t>Capital Plan Allocation</t>
  </si>
  <si>
    <t>0097</t>
  </si>
  <si>
    <t>099</t>
  </si>
  <si>
    <t>Direct Charges To Be Assigned</t>
  </si>
  <si>
    <t>0098</t>
  </si>
  <si>
    <t>BAJA DMHC HMO SMALL</t>
  </si>
  <si>
    <t>DMHC HMO</t>
  </si>
  <si>
    <t>Small</t>
  </si>
  <si>
    <t>0019</t>
  </si>
  <si>
    <t>ACCESS BAJA</t>
  </si>
  <si>
    <t>BAJA DMHC HMO LARGE</t>
  </si>
  <si>
    <t>Large</t>
  </si>
  <si>
    <t>C21</t>
  </si>
  <si>
    <t>BSCL GROUP DOI LIFE SMALL</t>
  </si>
  <si>
    <t>0007</t>
  </si>
  <si>
    <t>DOI LIFE</t>
  </si>
  <si>
    <t>0008</t>
  </si>
  <si>
    <t>LIFE GROUP</t>
  </si>
  <si>
    <t>C22</t>
  </si>
  <si>
    <t>BSCL AD&amp;D SMALLL/REG</t>
  </si>
  <si>
    <t>0005</t>
  </si>
  <si>
    <t>DOI AD&amp;D</t>
  </si>
  <si>
    <t>0001</t>
  </si>
  <si>
    <t>AD&amp;D</t>
  </si>
  <si>
    <t>BSCL VISION SMALL</t>
  </si>
  <si>
    <t>0009</t>
  </si>
  <si>
    <t>DOI VISION</t>
  </si>
  <si>
    <t>0014</t>
  </si>
  <si>
    <t>VISION ONLY</t>
  </si>
  <si>
    <t>BSCL DOI LIFE ONLY SMALL</t>
  </si>
  <si>
    <t>0018</t>
  </si>
  <si>
    <t>LIFE ONLY</t>
  </si>
  <si>
    <t>C32</t>
  </si>
  <si>
    <t>BSCL DOI LIFE ONLY MID/LARGE &amp; LPS</t>
  </si>
  <si>
    <t>Labor &amp; Trust</t>
  </si>
  <si>
    <t>7</t>
  </si>
  <si>
    <t>N</t>
  </si>
  <si>
    <t>Labor &amp; Trust National</t>
  </si>
  <si>
    <t>Large National</t>
  </si>
  <si>
    <t>Midsize</t>
  </si>
  <si>
    <t>Strategic Account</t>
  </si>
  <si>
    <t>Strategic National</t>
  </si>
  <si>
    <t>C34</t>
  </si>
  <si>
    <t>BSC MES VISION ASO LPS</t>
  </si>
  <si>
    <t>0020</t>
  </si>
  <si>
    <t>DOI STOPLOSS</t>
  </si>
  <si>
    <t>0061</t>
  </si>
  <si>
    <t>STOP LOSS</t>
  </si>
  <si>
    <t>4</t>
  </si>
  <si>
    <t>C35</t>
  </si>
  <si>
    <t>BSCL AF SOLUTION MID MARKET</t>
  </si>
  <si>
    <t>0034</t>
  </si>
  <si>
    <t>AF STOP LOSS</t>
  </si>
  <si>
    <t>C36</t>
  </si>
  <si>
    <t>BSC HOUSE LIFE</t>
  </si>
  <si>
    <t>BSC Employee Group</t>
  </si>
  <si>
    <t>C37</t>
  </si>
  <si>
    <t>BSC HOUSE AD&amp;d</t>
  </si>
  <si>
    <t>BSCL GROUP DOI LIFE MID/LARGE/LPS</t>
  </si>
  <si>
    <t>C42</t>
  </si>
  <si>
    <t>BSCL AD&amp;D MID/LARGE/LPS</t>
  </si>
  <si>
    <t>IFP</t>
  </si>
  <si>
    <t>8</t>
  </si>
  <si>
    <t>BSCL INDIVIDUAL TERM DOI LIFE</t>
  </si>
  <si>
    <t>0006</t>
  </si>
  <si>
    <t>INDIVIDUAL TERM LIFE</t>
  </si>
  <si>
    <t>2</t>
  </si>
  <si>
    <t>0090</t>
  </si>
  <si>
    <t>BSCL Misc Products</t>
  </si>
  <si>
    <t>0104</t>
  </si>
  <si>
    <t>Individual whole Life</t>
  </si>
  <si>
    <t>C44</t>
  </si>
  <si>
    <t>BSCL STOP LOSS MID/LARGE</t>
  </si>
  <si>
    <t>3</t>
  </si>
  <si>
    <t>C46</t>
  </si>
  <si>
    <t>BSCLVISION IFP</t>
  </si>
  <si>
    <t>C47</t>
  </si>
  <si>
    <t>0100</t>
  </si>
  <si>
    <t>Long Term Care</t>
  </si>
  <si>
    <t>0101</t>
  </si>
  <si>
    <t>Hospital Cash Plan</t>
  </si>
  <si>
    <t>0102</t>
  </si>
  <si>
    <t>Supp Hospital Protection Plan</t>
  </si>
  <si>
    <t>BSCL VISION MID/LARGE</t>
  </si>
  <si>
    <t>BSCLVISION LPS</t>
  </si>
  <si>
    <t>5</t>
  </si>
  <si>
    <t>C51</t>
  </si>
  <si>
    <t>CALIC GROUP DOI LIFE</t>
  </si>
  <si>
    <t>0092</t>
  </si>
  <si>
    <t>CALIC Life</t>
  </si>
  <si>
    <t>0108</t>
  </si>
  <si>
    <t>CALIC LIFE GROUP</t>
  </si>
  <si>
    <t>C52</t>
  </si>
  <si>
    <t>CALIC AD&amp;D</t>
  </si>
  <si>
    <t>0091</t>
  </si>
  <si>
    <t>0106</t>
  </si>
  <si>
    <t>C57</t>
  </si>
  <si>
    <t>CALIC Misc Products</t>
  </si>
  <si>
    <t>0103</t>
  </si>
  <si>
    <t>MedSupp Directors</t>
  </si>
  <si>
    <t>0107</t>
  </si>
  <si>
    <t>CALIC INDIVIDUAL TERM LIFE</t>
  </si>
  <si>
    <t>C61</t>
  </si>
  <si>
    <t>BSCL ESSENT IFP EMBEDDED DENTAL</t>
  </si>
  <si>
    <t>DOI DPPO</t>
  </si>
  <si>
    <t>0002</t>
  </si>
  <si>
    <t>DENTAL ESSENTIAL</t>
  </si>
  <si>
    <t>C62</t>
  </si>
  <si>
    <t>BSCL ESSENT IFP EMBEDDED VISION</t>
  </si>
  <si>
    <t>0013</t>
  </si>
  <si>
    <t>VISION ESSENTIAL</t>
  </si>
  <si>
    <t>BSCL DENTAL ONLY VALUE SMILE AND SMILE PLUS</t>
  </si>
  <si>
    <t>0004</t>
  </si>
  <si>
    <t>DENTAL ONLY</t>
  </si>
  <si>
    <t>Senior</t>
  </si>
  <si>
    <t>BSCL SMILESM INO DENTAL PPO MID/LARGE</t>
  </si>
  <si>
    <t>DENTAL PPO</t>
  </si>
  <si>
    <t>BSCL SMILESM INO DENTAL PPO SMALL GROUP</t>
  </si>
  <si>
    <t>C66</t>
  </si>
  <si>
    <t>IFP DENTAL PEDIATRIC OFF EXCHANGE CDI</t>
  </si>
  <si>
    <t>0030</t>
  </si>
  <si>
    <t>PEDIATRIC DENTAL CDI</t>
  </si>
  <si>
    <t>C67</t>
  </si>
  <si>
    <t>MEDSUPP DENTAL DUO</t>
  </si>
  <si>
    <t>MED SUPP</t>
  </si>
  <si>
    <t>C68</t>
  </si>
  <si>
    <t>IFP VISION EXCHANGE/MIRROR CDI</t>
  </si>
  <si>
    <t>0025</t>
  </si>
  <si>
    <t>VISION EXCHANGE/MIRROR</t>
  </si>
  <si>
    <t>C69</t>
  </si>
  <si>
    <t>MEDSUPP VISION DUO</t>
  </si>
  <si>
    <t>DOI NATIONAL CONTROL U/W</t>
  </si>
  <si>
    <t>DOI PPO</t>
  </si>
  <si>
    <t>STANDARD</t>
  </si>
  <si>
    <t>DOI LTP U/W</t>
  </si>
  <si>
    <t>DOI STRATEGIC ACCOUNTS U/W</t>
  </si>
  <si>
    <t>DOI STRATEGIC ACCOUNTS NATIONAL U/W</t>
  </si>
  <si>
    <t>DLI LTP NATIONAL U/W</t>
  </si>
  <si>
    <t>IFP CDI NG ON EXCHANGE</t>
  </si>
  <si>
    <t>ON EXCHANGE NG</t>
  </si>
  <si>
    <t>IFP CDI NG OFF EXCHANGE</t>
  </si>
  <si>
    <t>OFF EXCHANGE NG</t>
  </si>
  <si>
    <t>LARGE GROUP DOI</t>
  </si>
  <si>
    <t>DOI SMALL</t>
  </si>
  <si>
    <t>BROKER GA</t>
  </si>
  <si>
    <t>DOI IFP</t>
  </si>
  <si>
    <t>MIDSIZE DOI</t>
  </si>
  <si>
    <t>DOI MEDSUPP</t>
  </si>
  <si>
    <t>DOI IFP GI</t>
  </si>
  <si>
    <t>GI</t>
  </si>
  <si>
    <t>IFP DENTAL PEDIATRIC ON/MIRROR DHMO</t>
  </si>
  <si>
    <t>DMHC DHMO</t>
  </si>
  <si>
    <t>0026</t>
  </si>
  <si>
    <t>PEDIATRIC DHMO</t>
  </si>
  <si>
    <t>IFP DENTAL SUPPLEMENTAL ON/MIRROR DHMO</t>
  </si>
  <si>
    <t>0027</t>
  </si>
  <si>
    <t>SUPPLEMENTAL DHMO</t>
  </si>
  <si>
    <t>IFP DENTAL PEDIACTRIC ON/MIRROR DPPO</t>
  </si>
  <si>
    <t>DMHC DPPO</t>
  </si>
  <si>
    <t>0028</t>
  </si>
  <si>
    <t>PEDIATRIC DPPO</t>
  </si>
  <si>
    <t>IFP DENTAL SUPPLEMENTAL ON/MIRROR DPPO</t>
  </si>
  <si>
    <t>0029</t>
  </si>
  <si>
    <t>SUPPLEMENTAL DPPO</t>
  </si>
  <si>
    <t>SMALL GROUP DENTAL PEDIACTRIC ON/MIRROR DPPO</t>
  </si>
  <si>
    <t>DENTAL HMO LPS</t>
  </si>
  <si>
    <t>0003</t>
  </si>
  <si>
    <t>DENTAL HMO</t>
  </si>
  <si>
    <t>DENTAL ASO LPS</t>
  </si>
  <si>
    <t>ASO DPPO</t>
  </si>
  <si>
    <t>0042</t>
  </si>
  <si>
    <t>DENTAL ASO</t>
  </si>
  <si>
    <t>DENTAL PPO BSC EMPLOYEE GROUP</t>
  </si>
  <si>
    <t>DENTAL HMO SMALL</t>
  </si>
  <si>
    <t>DENTAL PPO SMAILL</t>
  </si>
  <si>
    <t>IMAPD SUPPLEMENTAL DENTAL</t>
  </si>
  <si>
    <t>DENTAL HMO MID/LARGE/FEDERAL</t>
  </si>
  <si>
    <t>Federal</t>
  </si>
  <si>
    <t>DENTAL PPO MID/LARGE/FEDERAL</t>
  </si>
  <si>
    <t>DENTAL PPO ERC</t>
  </si>
  <si>
    <t>0043</t>
  </si>
  <si>
    <t>DENTAL ERC</t>
  </si>
  <si>
    <t>DENTAL ASO MID/LARGE</t>
  </si>
  <si>
    <t>DENTAL HMO IFP</t>
  </si>
  <si>
    <t>DENTAL PPO IFP</t>
  </si>
  <si>
    <t>DENTAL HMO ACCESS+</t>
  </si>
  <si>
    <t>0044</t>
  </si>
  <si>
    <t>DENTAL PPO MEDSUPP</t>
  </si>
  <si>
    <t>IFP VISION EXCHANGE/MIRROR DMHC</t>
  </si>
  <si>
    <t>DMHC VISION</t>
  </si>
  <si>
    <t>SMALL GROUP VISION EXCHANGE/MIRROR DMHC</t>
  </si>
  <si>
    <t>E71</t>
  </si>
  <si>
    <t>BSC MES Vision ASO LPS</t>
  </si>
  <si>
    <t>0015</t>
  </si>
  <si>
    <t>ASO VISION</t>
  </si>
  <si>
    <t>0035</t>
  </si>
  <si>
    <t>ASO</t>
  </si>
  <si>
    <t>PERS</t>
  </si>
  <si>
    <t>BSC HOUSE VISION</t>
  </si>
  <si>
    <t>VISION SMALL</t>
  </si>
  <si>
    <t>BSC MES VISION ASO MID/LARGE</t>
  </si>
  <si>
    <t>BSC MES VISION MID/LARGE</t>
  </si>
  <si>
    <t>E93</t>
  </si>
  <si>
    <t>FEHBP VISION</t>
  </si>
  <si>
    <t>0300</t>
  </si>
  <si>
    <t>CALPERS OLD</t>
  </si>
  <si>
    <t>LABOR &amp; TRUST DMHC HMO</t>
  </si>
  <si>
    <t>0052</t>
  </si>
  <si>
    <t>HIGH CO-INSURANCE</t>
  </si>
  <si>
    <t>SAVENET</t>
  </si>
  <si>
    <t>LABOR &amp; TRUST DMHC POS</t>
  </si>
  <si>
    <t>DMHC POS</t>
  </si>
  <si>
    <t>FEHBP HMO - SOUTH</t>
  </si>
  <si>
    <t>DMHC FEHBP</t>
  </si>
  <si>
    <t>FEP PPO Dental (Non-Facets)</t>
  </si>
  <si>
    <t>0093</t>
  </si>
  <si>
    <t>FEP PPO Vision (Non-Facets)</t>
  </si>
  <si>
    <t>0094</t>
  </si>
  <si>
    <t>F32</t>
  </si>
  <si>
    <t>LABOR &amp; TRUST ASO</t>
  </si>
  <si>
    <t>FEP PPO</t>
  </si>
  <si>
    <t>FEP DENTAL BASIC</t>
  </si>
  <si>
    <t>0036</t>
  </si>
  <si>
    <t>BASIC</t>
  </si>
  <si>
    <t>FEP PPO BASIC</t>
  </si>
  <si>
    <t>FEP Dental STD</t>
  </si>
  <si>
    <t>FEP PPO STD</t>
  </si>
  <si>
    <t>LABOR &amp; TRUST DMHC PPO</t>
  </si>
  <si>
    <t>DMHC PPO</t>
  </si>
  <si>
    <t>0057</t>
  </si>
  <si>
    <t>SAVINGS PLUS</t>
  </si>
  <si>
    <t>G11</t>
  </si>
  <si>
    <t>9001</t>
  </si>
  <si>
    <t>H99</t>
  </si>
  <si>
    <t>Holding Company</t>
  </si>
  <si>
    <t>0099</t>
  </si>
  <si>
    <t>1099</t>
  </si>
  <si>
    <t>Corporate</t>
  </si>
  <si>
    <t>0200</t>
  </si>
  <si>
    <t>Cumulus</t>
  </si>
  <si>
    <t>STRATEGIC ACCOUNTS DMHC HMO U/W</t>
  </si>
  <si>
    <t>STRATEGIC ACCOUNTS DMHC POS U/W</t>
  </si>
  <si>
    <t>BLUE GROOVE LPS HMO</t>
  </si>
  <si>
    <t>BLUE GROOVE</t>
  </si>
  <si>
    <t>BLUE GROOVE LPS POS</t>
  </si>
  <si>
    <t>STRATEGIC ACCOUNTS DMHC HMO FLEX FUNDED</t>
  </si>
  <si>
    <t>FLEX FUNDED</t>
  </si>
  <si>
    <t>STRATEGIC ACCOUNTS DMHC POS FLEX FUNDED</t>
  </si>
  <si>
    <t>STRATEGIC ACCOUNTS DMHC FLEX FUNDED BSC EMPL GROUP</t>
  </si>
  <si>
    <t>BLUE GROOVE FLEX FUNDED</t>
  </si>
  <si>
    <t>STRATEGIC ACCOUNTS ASO</t>
  </si>
  <si>
    <t>STRATEGIC ACCOUNTS ASO - BSC EMPLOYEE GP</t>
  </si>
  <si>
    <t>STRATEGIC ACCOUNTS DMHC PPO U/W</t>
  </si>
  <si>
    <t>BLUE GROOVE LPS PPO</t>
  </si>
  <si>
    <t>STRATEGIC ACCOUNTS DMHC FLEX FUNDED</t>
  </si>
  <si>
    <t>STRATEGIC ACCOUNTS DMHC PPO RETNETION</t>
  </si>
  <si>
    <t>0047</t>
  </si>
  <si>
    <t>ERC</t>
  </si>
  <si>
    <t>LARGE GROUP DMHC HMO</t>
  </si>
  <si>
    <t>LARGE GROUP DMHC POS</t>
  </si>
  <si>
    <t>MIDSIZE DMHC HMO</t>
  </si>
  <si>
    <t>BLUE GROOVE HMO MID/LARGE</t>
  </si>
  <si>
    <t>BLUE GROOVE POS MID/LARGE</t>
  </si>
  <si>
    <t>MIDSIZE DMHC POS</t>
  </si>
  <si>
    <t>CORE DMHC HMO RETENTION</t>
  </si>
  <si>
    <t>CORE DMHC POS RETENTION</t>
  </si>
  <si>
    <t>CORE DMHC HMO FLEX FUNDED</t>
  </si>
  <si>
    <t>CORE DMHC POS FLEX FUNDED</t>
  </si>
  <si>
    <t>CORE ASO</t>
  </si>
  <si>
    <t>L42</t>
  </si>
  <si>
    <t>CORE CDHP ASO</t>
  </si>
  <si>
    <t>0041</t>
  </si>
  <si>
    <t>CDHP</t>
  </si>
  <si>
    <t>CORE SHARED ADJUDICATIO</t>
  </si>
  <si>
    <t>SHARED ADVANTAGE+</t>
  </si>
  <si>
    <t>0058</t>
  </si>
  <si>
    <t>SHARED ADVANTAGE</t>
  </si>
  <si>
    <t>SARB</t>
  </si>
  <si>
    <t>SARN</t>
  </si>
  <si>
    <t>SHARED ADJUDICATION</t>
  </si>
  <si>
    <t>SANN</t>
  </si>
  <si>
    <t>L46</t>
  </si>
  <si>
    <t>0059</t>
  </si>
  <si>
    <t>SHARED ADVANTAGE HIGH OPTION</t>
  </si>
  <si>
    <t>MIDSIZE ASO</t>
  </si>
  <si>
    <t>LARGE GROUP DMHC PPO</t>
  </si>
  <si>
    <t>MIDSIZE DMHC PPO</t>
  </si>
  <si>
    <t>BLUE GROOVE PPO MID/LARGE</t>
  </si>
  <si>
    <t>CORE DMHC PPO RETENTION</t>
  </si>
  <si>
    <t>PDP STAND-ALONE</t>
  </si>
  <si>
    <t>CMS PDP</t>
  </si>
  <si>
    <t>0045</t>
  </si>
  <si>
    <t>ENHANCED STAND-ALONE</t>
  </si>
  <si>
    <t>0060</t>
  </si>
  <si>
    <t>STANDARD STAND-ALONE</t>
  </si>
  <si>
    <t>PREMIER GPDP</t>
  </si>
  <si>
    <t>0049</t>
  </si>
  <si>
    <t>GPDP</t>
  </si>
  <si>
    <t>PREMIER GPDP ASO</t>
  </si>
  <si>
    <t>0050</t>
  </si>
  <si>
    <t>GPDP ASO</t>
  </si>
  <si>
    <t>PREMIER GPDP FLEX</t>
  </si>
  <si>
    <t>0051</t>
  </si>
  <si>
    <t>GPDP FLEX</t>
  </si>
  <si>
    <t>CORE PDP</t>
  </si>
  <si>
    <t>M75</t>
  </si>
  <si>
    <t>CORE PDP ASO</t>
  </si>
  <si>
    <t>M76</t>
  </si>
  <si>
    <t>CORE GPDP FLEX</t>
  </si>
  <si>
    <t>BSC EMPLOYEE GROUP PDP</t>
  </si>
  <si>
    <t>PERS PDP</t>
  </si>
  <si>
    <t>PDP MEDSUPP STANDARD</t>
  </si>
  <si>
    <t>0046</t>
  </si>
  <si>
    <t>ENHANCED WITH MEDSUPP</t>
  </si>
  <si>
    <t>LARGE  NATL DMHC HMO CONTROL/REG</t>
  </si>
  <si>
    <t>HMO AWAY FROM HOME CARE</t>
  </si>
  <si>
    <t>AWAY FROM HOME CARE</t>
  </si>
  <si>
    <t>LARGE  NATL DMHC POS CONTROL/REG</t>
  </si>
  <si>
    <t>STRATEGIC ACCOUNTS NAT'L CONTROL DMHC POS UW</t>
  </si>
  <si>
    <t>NATL CONTROL DMHC POS LABOR &amp; TRUST</t>
  </si>
  <si>
    <t>NATL CONTROL DMHC HMO LABOR &amp; TRUST</t>
  </si>
  <si>
    <t>LARGE NATIONAL CONTROL DMHC HMO RETENTION</t>
  </si>
  <si>
    <t>LARGE  NATL CONTROL DMHC POS RETENTION</t>
  </si>
  <si>
    <t>STRATEGIC ACCOUNTS NAT'L CONTROL DMHC HMO UW</t>
  </si>
  <si>
    <t>STRATEGIC ACCOUNTS NATL CONTROL DMHC HMO FLEX FUNDED</t>
  </si>
  <si>
    <t>STRATEGIC ACCOUNTS NATL CONTROL DMHC POS FLEX FUNDED</t>
  </si>
  <si>
    <t>LABOR &amp; TRUST NATIONAL ASO</t>
  </si>
  <si>
    <t>STRATEGIC NATIONAL - UC ASO</t>
  </si>
  <si>
    <t>0063</t>
  </si>
  <si>
    <t>ASO UC</t>
  </si>
  <si>
    <t>CORE LARGE NATIONAL ASO</t>
  </si>
  <si>
    <t>N42</t>
  </si>
  <si>
    <t>NATIONAL CDHP ASO</t>
  </si>
  <si>
    <t>0040</t>
  </si>
  <si>
    <t>CALCHOICE</t>
  </si>
  <si>
    <t>STRATEGIC ACCOUNTS NATL CONTROL ASO</t>
  </si>
  <si>
    <t>SHARED ADJUDICATION - NATIONAL</t>
  </si>
  <si>
    <t>LARGE  NATL CONTROL DMHC PPO</t>
  </si>
  <si>
    <t>0010</t>
  </si>
  <si>
    <t>ITS HOST</t>
  </si>
  <si>
    <t>0053</t>
  </si>
  <si>
    <t>NATIONAL PAR</t>
  </si>
  <si>
    <t>BLUECARD NATIONAL ASO</t>
  </si>
  <si>
    <t>STRATEGIC ACCOUNTS NATL CONTROL DMHC PPO UW</t>
  </si>
  <si>
    <t>STRATEGIC NATIONAL - DMHC PPO FLEX FUNDED</t>
  </si>
  <si>
    <t>STRATEGIC ACCOUNTS NATL CONTROL DMHC PPO RETENTION</t>
  </si>
  <si>
    <t>MID/LARGE NATL CNTRL DMHC PPO RETEN</t>
  </si>
  <si>
    <t>NATL CONTROL DMHC PPO LABOR &amp; TRUST</t>
  </si>
  <si>
    <t>BLUECARD OUT-OF-AREA</t>
  </si>
  <si>
    <t>0016</t>
  </si>
  <si>
    <t>PERS ACCESS+ BASIC FLEX FUNDED</t>
  </si>
  <si>
    <t>BASIC ACCESS+</t>
  </si>
  <si>
    <t>PERS ACCESS+ MEDSUPP FLEX FUNDED</t>
  </si>
  <si>
    <t>ACCESS+ MEDSUPP</t>
  </si>
  <si>
    <t>PERS NETVALUE BASIC FLEX FUNDED</t>
  </si>
  <si>
    <t>NETVALUE BASIC</t>
  </si>
  <si>
    <t>PERS NETVALUE MEDSUPP FLEX FUNDED</t>
  </si>
  <si>
    <t>NETVALUE MEDSUPP</t>
  </si>
  <si>
    <t>PERS ACCESS+ EPO BASIC FLEX FUNDED</t>
  </si>
  <si>
    <t>DHMC EPO</t>
  </si>
  <si>
    <t>ACCESS+ EPO BASIC</t>
  </si>
  <si>
    <t>PERS ACCESS+ EPO MEDSUPP FLEX FUNDED</t>
  </si>
  <si>
    <t>0032</t>
  </si>
  <si>
    <t>ACCESS+ EPO MEDSUPP</t>
  </si>
  <si>
    <t>INDIVIDUAL MEDICARE ADVANTAGE_PRESCRIPTION DRUG</t>
  </si>
  <si>
    <t>CMS INDV MAPD</t>
  </si>
  <si>
    <t>GEMCARE IMAPD</t>
  </si>
  <si>
    <t>0064</t>
  </si>
  <si>
    <t>GEMCARE</t>
  </si>
  <si>
    <t>GMAPD - PERS STANDARD</t>
  </si>
  <si>
    <t>CMS GROUP MAPD</t>
  </si>
  <si>
    <t>GMAPD - LTP</t>
  </si>
  <si>
    <t>GMAPD - STRATEGIC ACCOUNTS</t>
  </si>
  <si>
    <t>GMAPD - CORE</t>
  </si>
  <si>
    <t>GMAPD - MIDSIZE GROUP</t>
  </si>
  <si>
    <t>1007</t>
  </si>
  <si>
    <t>Midsize National</t>
  </si>
  <si>
    <t>GMAPD - PERS</t>
  </si>
  <si>
    <t>GEMCARE GMAPD</t>
  </si>
  <si>
    <t>SMALL GROUP DMHC HMO</t>
  </si>
  <si>
    <t>SMALL DMHC POS</t>
  </si>
  <si>
    <t>SMALL GROUP SHOP HMO</t>
  </si>
  <si>
    <t>SHOP</t>
  </si>
  <si>
    <t>SMALL GROUP MIRROR SHOP HMO</t>
  </si>
  <si>
    <t>MIRROR SHOP</t>
  </si>
  <si>
    <t>SMALL DMHC PPO</t>
  </si>
  <si>
    <t>SMALL GROUP SHOP PPO</t>
  </si>
  <si>
    <t>SMALL GROUP MIRROR SHOP PPO</t>
  </si>
  <si>
    <t>U96</t>
  </si>
  <si>
    <t>TriWest</t>
  </si>
  <si>
    <t>TriWest Network Rental</t>
  </si>
  <si>
    <t>0062</t>
  </si>
  <si>
    <t>TRIWEST</t>
  </si>
  <si>
    <t>IFP DMHC HMO</t>
  </si>
  <si>
    <t>IFP DMHC HMO NG ON EXCHANG</t>
  </si>
  <si>
    <t>IFP DMHC HMO NG OFF EXCHANG</t>
  </si>
  <si>
    <t>IFP DMHC PPO</t>
  </si>
  <si>
    <t>IFP DMHC PPO GI</t>
  </si>
  <si>
    <t>IFP DMHC PPO NG ON EXCHANGE</t>
  </si>
  <si>
    <t>IFP DMHC PPO NG OFF EXCHANGE</t>
  </si>
  <si>
    <t>IFP OFF-OFF EXCHANGE</t>
  </si>
  <si>
    <t>0065</t>
  </si>
  <si>
    <t>OFF-OFF EXCHANGE</t>
  </si>
  <si>
    <t>MEDSUPP DMHC PPO</t>
  </si>
  <si>
    <t>MED SUPP INDEMNITY WITH PDP</t>
  </si>
  <si>
    <t>MED SUPP INDEMNITY WITHOUT PDP</t>
  </si>
  <si>
    <t>H11</t>
  </si>
  <si>
    <t xml:space="preserve">Care1st CA Medi-Cal LA County </t>
  </si>
  <si>
    <t>0400</t>
  </si>
  <si>
    <t xml:space="preserve">MEDI-CAL </t>
  </si>
  <si>
    <t>1020</t>
  </si>
  <si>
    <t>CARE1ST MEDI-CAL</t>
  </si>
  <si>
    <t>0110</t>
  </si>
  <si>
    <t>MEDI-CAL LA</t>
  </si>
  <si>
    <t>H12</t>
  </si>
  <si>
    <t>Care1st CA Medi-Cal SD County</t>
  </si>
  <si>
    <t>0140</t>
  </si>
  <si>
    <t>MEDI-CAL SD</t>
  </si>
  <si>
    <t>H13</t>
  </si>
  <si>
    <t>Care1st CA Medicare</t>
  </si>
  <si>
    <t>0170</t>
  </si>
  <si>
    <t>CARE1ST CA MAPD</t>
  </si>
  <si>
    <t>H14</t>
  </si>
  <si>
    <t>Care1st CA Other</t>
  </si>
  <si>
    <t>0450</t>
  </si>
  <si>
    <t>CARE1ST CA OTHER</t>
  </si>
  <si>
    <t>9003</t>
  </si>
  <si>
    <t>CARE1ST OTHER</t>
  </si>
  <si>
    <t>0180</t>
  </si>
  <si>
    <t>CARE1ST CLINIC</t>
  </si>
  <si>
    <t>H15</t>
  </si>
  <si>
    <t>Care1st CA Duals LA County</t>
  </si>
  <si>
    <t>0470</t>
  </si>
  <si>
    <t>CARE1st CA CCI</t>
  </si>
  <si>
    <t>1022</t>
  </si>
  <si>
    <t>CARE1ST CMC</t>
  </si>
  <si>
    <t>0190</t>
  </si>
  <si>
    <t>CMC LA DUALS</t>
  </si>
  <si>
    <t>H16</t>
  </si>
  <si>
    <t>Care1st CA Duals SD County</t>
  </si>
  <si>
    <t>0230</t>
  </si>
  <si>
    <t>CMC SD DUALS</t>
  </si>
  <si>
    <t>H18</t>
  </si>
  <si>
    <t>Care1st AZ Medicaid (AHCCCS)</t>
  </si>
  <si>
    <t>0401</t>
  </si>
  <si>
    <t xml:space="preserve">MEDICAID </t>
  </si>
  <si>
    <t>1021</t>
  </si>
  <si>
    <t>CARE1ST AZ MEDICAID</t>
  </si>
  <si>
    <t>0240</t>
  </si>
  <si>
    <t>AHCCCS</t>
  </si>
  <si>
    <t>H19</t>
  </si>
  <si>
    <t xml:space="preserve">Care1st AZ Medicare </t>
  </si>
  <si>
    <t>0260</t>
  </si>
  <si>
    <t>CARE1ST AZ MAPD</t>
  </si>
  <si>
    <t>H20</t>
  </si>
  <si>
    <t>Care1st AZ Other (TPA)</t>
  </si>
  <si>
    <t>0460</t>
  </si>
  <si>
    <t>CARE1ST AZ TPA</t>
  </si>
  <si>
    <t>9002</t>
  </si>
  <si>
    <t xml:space="preserve">MERITUS </t>
  </si>
  <si>
    <t>0270</t>
  </si>
  <si>
    <t>CARE1ST TPA</t>
  </si>
  <si>
    <t>CAC2</t>
  </si>
  <si>
    <t xml:space="preserve"> </t>
  </si>
  <si>
    <t>TMR</t>
  </si>
  <si>
    <t>Outpatient Surgery Capitation members</t>
  </si>
  <si>
    <t xml:space="preserve">  SELECT</t>
  </si>
  <si>
    <t>Excluding Life, Dental Vision</t>
  </si>
  <si>
    <t>FROM</t>
  </si>
  <si>
    <t xml:space="preserve">  A.YR_MO_NBR AS YYYYMMI</t>
  </si>
  <si>
    <t xml:space="preserve"> ,A.GRP_NBR || A.INS_POL_ID AS GRP_NBR</t>
  </si>
  <si>
    <t xml:space="preserve"> ,A.CLS_ID</t>
  </si>
  <si>
    <t xml:space="preserve"> ,SUM(CASE WHEN A.INST_CAP_INC_AMT&lt;&gt;0 THEN B.MED_MO_QTY ELSE 0 END) AS INST_CAP_MBR_CNT</t>
  </si>
  <si>
    <t xml:space="preserve">    CALI.YR_MO_NBR</t>
  </si>
  <si>
    <t xml:space="preserve">   ,HPGD.GRP_NBR</t>
  </si>
  <si>
    <t xml:space="preserve">   ,PMDM.CLS_ID</t>
  </si>
  <si>
    <t xml:space="preserve">   ,PMDM.SBSCR_ID</t>
  </si>
  <si>
    <t xml:space="preserve">   ,PMDM.MBR_ID_SUFX_NBR</t>
  </si>
  <si>
    <t xml:space="preserve">   ,SUM(CASE WHEN CFDM.FUND_ID IN ('1320','1110','1120','AA30') AND PSID.SS_ID IN ('VC0000004001','VC0000005001') THEN MCAP.CAPITN_CALC_FUND_AMT ELSE 0 END) AS MHSA_CAP_INC_AMT</t>
  </si>
  <si>
    <t xml:space="preserve">   ,SUM(CASE WHEN CFDM.FUND_ID IN ('1320','1110','1120','AA30') AND PSID.SS_ID='VC0000008001' THEN MCAP.CAPITN_CALC_FUND_AMT ELSE 0 END) AS CHRO_CAP_INC_AMT</t>
  </si>
  <si>
    <t xml:space="preserve">               MEMBER_CAPITATION_FACT       MCAP</t>
  </si>
  <si>
    <t xml:space="preserve">    INNER JOIN HEALTH_PLAN_GROUP_DIMENSION  HPGD ON MCAP.HLTH_PLN_GRP_DK = HPGD.HLTH_PLN_GRP_DK</t>
  </si>
  <si>
    <t xml:space="preserve">    INNER JOIN CAPITATION_FUND_DIMENSION    CFDM ON MCAP.CAPITN_FUND_DK = CFDM.CAPITN_FUND_DK</t>
  </si>
  <si>
    <t xml:space="preserve">    INNER JOIN PLAN_MEMBER_DIMENSION        PMDM ON MCAP.PLN_MBR_DK = PMDM.PLN_MBR_DK</t>
  </si>
  <si>
    <t xml:space="preserve">    INNER JOIN INSURANCE_POLICY_DIMENSION   INPD ON MCAP.INS_POL_DK = INPD.INS_POL_DK</t>
  </si>
  <si>
    <t xml:space="preserve">    INNER JOIN HCP_SYSTEM_ID_DIMENSION      PSID ON MCAP.PAYE_PROV_SS_ID_DK = PSID.HCP_SYS_ID_DK</t>
  </si>
  <si>
    <t xml:space="preserve">    INNER JOIN CALENDAR_DIMENSION           CALI ON CALI.CAL_DT = MCAP.CAPITN_ERN_MO_DT</t>
  </si>
  <si>
    <t xml:space="preserve">    LEFT  JOIN COST_ACCUMULATION_DIMENSION  CACD ON MCAP.CAC_DK = CACD.CAC_DK</t>
  </si>
  <si>
    <t xml:space="preserve">       MCAP.CUR_ROW_IND='Y'</t>
  </si>
  <si>
    <t xml:space="preserve">   AND HPGD.GRP_NBR='W0051263'</t>
  </si>
  <si>
    <t xml:space="preserve">   AND CALI.YR_MO_NBR BETWEEN 201712 AND 201712</t>
  </si>
  <si>
    <t xml:space="preserve">   AND INPD.INS_POL_ID NOT LIKE '%MAPD%'</t>
  </si>
  <si>
    <t xml:space="preserve">   ,INPD.INS_POL_ID</t>
  </si>
  <si>
    <t xml:space="preserve">  HAVING</t>
  </si>
  <si>
    <t xml:space="preserve">      SUM(CASE WHEN CFDM.FUND_ID LIKE '1A__' THEN MCAP.CAPITN_CALC_FUND_AMT ELSE 0 END)&lt;&gt;0</t>
  </si>
  <si>
    <t xml:space="preserve">   OR SUM(CASE WHEN CFDM.FUND_ID LIKE '1B__' THEN MCAP.CAPITN_CALC_FUND_AMT ELSE 0 END)&lt;&gt;0</t>
  </si>
  <si>
    <t xml:space="preserve">   OR SUM(CASE WHEN CFDM.FUND_ID IN ('1320','1110','1120','AA30') AND PSID.SS_ID IN ('VC0000004001','VC0000005001') THEN MCAP.CAPITN_CALC_FUND_AMT ELSE 0 END)&lt;&gt;0</t>
  </si>
  <si>
    <t xml:space="preserve">   OR SUM(CASE WHEN CFDM.FUND_ID IN ('1320','1110','1120','AA30') AND PSID.SS_ID='VC0000008001' THEN MCAP.CAPITN_CALC_FUND_AMT ELSE 0 END)&lt;&gt;0</t>
  </si>
  <si>
    <t xml:space="preserve">  ) A </t>
  </si>
  <si>
    <t xml:space="preserve"> INNER JOIN </t>
  </si>
  <si>
    <t xml:space="preserve">  (</t>
  </si>
  <si>
    <t xml:space="preserve">   SELECT</t>
  </si>
  <si>
    <t xml:space="preserve">     CALD.YR_MO_NBR</t>
  </si>
  <si>
    <t xml:space="preserve">    ,HPGD.GRP_NBR</t>
  </si>
  <si>
    <t xml:space="preserve">    ,INPD.INS_POL_ID</t>
  </si>
  <si>
    <t xml:space="preserve">    ,PMDM.CLS_ID</t>
  </si>
  <si>
    <t xml:space="preserve">    ,PMDM.SBSCR_ID</t>
  </si>
  <si>
    <t xml:space="preserve">    ,PMDM.MBR_ID_SUFX_NBR</t>
  </si>
  <si>
    <t xml:space="preserve">    ,MDLF.MED_MO_QTY</t>
  </si>
  <si>
    <t xml:space="preserve">   FROM</t>
  </si>
  <si>
    <t xml:space="preserve">           MEMBERSHIP_DETAIL_FACT           MDLF</t>
  </si>
  <si>
    <t xml:space="preserve">    INNER JOIN CALENDAR_DIMENSION           CALD ON MDLF.MO_END_DT = CALD.CAL_DT</t>
  </si>
  <si>
    <t xml:space="preserve">    INNER JOIN HEALTH_PLAN_GROUP_DIMENSION  HPGD ON MDLF.HLTH_PLN_GRP_DK = HPGD.HLTH_PLN_GRP_DK</t>
  </si>
  <si>
    <t xml:space="preserve">    INNER JOIN INSURANCE_POLICY_DIMENSION   INPD ON MDLF.INS_POL_DK = INPD.INS_POL_DK</t>
  </si>
  <si>
    <t xml:space="preserve">    INNER JOIN PLAN_MEMBER_DIMENSION        PMDM ON MDLF.PLN_MBR_DK = PMDM.PLN_MBR_DK</t>
  </si>
  <si>
    <t xml:space="preserve">    LEFT  JOIN COST_ACCUMULATION_DIMENSION  CACD ON MDLF.CAC_DK = CACD.CAC_DK</t>
  </si>
  <si>
    <t xml:space="preserve">   WHERE</t>
  </si>
  <si>
    <t xml:space="preserve">        MDLF.CUR_ROW_IND='Y'</t>
  </si>
  <si>
    <t xml:space="preserve">    AND HPGD.GRP_NBR='W0051263'</t>
  </si>
  <si>
    <t xml:space="preserve">    AND MDLF.SNPSHT_DT=(SELECT MAX(SNPSHT_DT) FROM MEMBERSHIP_DETAIL_FACT)</t>
  </si>
  <si>
    <t xml:space="preserve">    AND PMDM.SS_CD='FACETS'</t>
  </si>
  <si>
    <t xml:space="preserve">    AND MDLF.MED_MO_QTY&lt;&gt;0</t>
  </si>
  <si>
    <t xml:space="preserve">    AND CALD.YR_MO_NBR BETWEEN 201712 AND 201712</t>
  </si>
  <si>
    <t xml:space="preserve">  ) B</t>
  </si>
  <si>
    <t xml:space="preserve">      B.YR_MO_NBR = A.YR_MO_NBR</t>
  </si>
  <si>
    <t xml:space="preserve">  AND B.INS_POL_ID = A.INS_POL_ID</t>
  </si>
  <si>
    <t xml:space="preserve">  AND B.CLS_ID = A.CLS_ID</t>
  </si>
  <si>
    <t xml:space="preserve">  AND B.SBSCR_ID = A.SBSCR_ID</t>
  </si>
  <si>
    <t xml:space="preserve"> GROUP BY</t>
  </si>
  <si>
    <t xml:space="preserve">    A.YR_MO_NBR</t>
  </si>
  <si>
    <t xml:space="preserve">   ,A.GRP_NBR || A.INS_POL_ID</t>
  </si>
  <si>
    <t xml:space="preserve">   ,A.CLS_ID</t>
  </si>
  <si>
    <t xml:space="preserve">   ,SUM(CASE WHEN CFDM.FUND_ID LIKE '1A__' THEN MCAP.CAPITN_CALC_FUND_AMT ELSE 0 END) AS PROF_CAP_INC_AMT</t>
  </si>
  <si>
    <t xml:space="preserve">   ,SUM(CASE WHEN CFDM.FUND_ID LIKE '1B__' THEN MCAP.CAPITN_CALC_FUND_AMT ELSE 0 END) AS INST_CAP_INC_AMT</t>
  </si>
  <si>
    <t xml:space="preserve">  ON</t>
  </si>
  <si>
    <t xml:space="preserve">  AND B.GRP_NBR = A.GRP_NBR</t>
  </si>
  <si>
    <t xml:space="preserve">  AND B.MBR_ID_SUFX_NBR = A.MBR_ID_SUFX_NBR</t>
  </si>
  <si>
    <t>SAMPLE CODE WORKING FROM Ronnie</t>
  </si>
  <si>
    <t xml:space="preserve">        MDLF.SNPSHT_DT=(SELECT MAX(SNPSHT_DT) FROM MEMBERSHIP_DETAIL_FACT)</t>
  </si>
  <si>
    <t xml:space="preserve">   ,CACD.BUS_CATEG_CD</t>
  </si>
  <si>
    <t xml:space="preserve">   ,CACD.MKT_SEG_CD</t>
  </si>
  <si>
    <t xml:space="preserve">   ,CACD.PLN_TYP_CD</t>
  </si>
  <si>
    <t xml:space="preserve"> ,A.BUS_CATEG_CD</t>
  </si>
  <si>
    <t xml:space="preserve"> ,A.MKT_SEG_CD</t>
  </si>
  <si>
    <t xml:space="preserve"> ,A.PLN_TYP_CD</t>
  </si>
  <si>
    <t xml:space="preserve">  ,A.BUS_CATEG_CD</t>
  </si>
  <si>
    <t xml:space="preserve">  ,A.MKT_SEG_CD</t>
  </si>
  <si>
    <t xml:space="preserve">  ,A.PLN_TYP_CD</t>
  </si>
  <si>
    <t xml:space="preserve">   A.YR_MO_NBR</t>
  </si>
  <si>
    <t>YYYYMMI</t>
  </si>
  <si>
    <t>INST_CAP_MBR_CNT</t>
  </si>
  <si>
    <t>R-BIS</t>
  </si>
  <si>
    <t>R-Diff</t>
  </si>
  <si>
    <t>*ZERO out Facility Cap Membership for PERS NetValue for Outpatient Surgery Cap;</t>
  </si>
  <si>
    <t xml:space="preserve">if CAPS_ID= '54220IPA0729D6' AND hcmem &gt; 0 AND </t>
  </si>
  <si>
    <t xml:space="preserve">cac in ('F12','F13','F23','F28','P12','P13','P23','P28') </t>
  </si>
  <si>
    <t>then do;</t>
  </si>
  <si>
    <t>hcexp = 0;</t>
  </si>
  <si>
    <t>scexp = exp;</t>
  </si>
  <si>
    <t>2_membership_v23.sas</t>
  </si>
  <si>
    <t>Taken from the TMR SAS code</t>
  </si>
  <si>
    <t>TOTAL</t>
  </si>
  <si>
    <t>Total</t>
  </si>
  <si>
    <t>DATA STACK</t>
  </si>
  <si>
    <t xml:space="preserve">    AND CALD.YR_MO_NBR BETWEEN 201501 AND 201801</t>
  </si>
  <si>
    <t xml:space="preserve">       CALI.YR_MO_NBR BETWEEN 201501 AND 201801</t>
  </si>
  <si>
    <t>\\Bsc\actuarial\CoHC_Analytics_Reports\TMR\CURRENT</t>
  </si>
  <si>
    <t>MODIFIED CODE v2</t>
  </si>
  <si>
    <t xml:space="preserve">       CALI.YR_MO_NBR BETWEEN 201801 AND 201801</t>
  </si>
  <si>
    <t xml:space="preserve">    LEFT  JOIN SERVICE_PROVIDER_DIMENSION   SPD  ON MCAP.CAP_PROV_DK = spd.SVC_PROV_DK</t>
  </si>
  <si>
    <t xml:space="preserve">   ,spd.IPA_NBR</t>
  </si>
  <si>
    <t xml:space="preserve">  SELECT DISTINCT</t>
  </si>
  <si>
    <t xml:space="preserve">    spd.IPA_NBR</t>
  </si>
  <si>
    <t xml:space="preserve">    LEFT  JOIN SERVICE_PROVIDER_DIMENSION   spd  ON MCAP.CAP_PROV_DK = spd.SVC_PROV_DK</t>
  </si>
  <si>
    <t>NOT FOUND</t>
  </si>
  <si>
    <t xml:space="preserve">    spd.PROV_ID</t>
  </si>
  <si>
    <t>PROV_ID</t>
  </si>
  <si>
    <t>PSO112837</t>
  </si>
  <si>
    <t>PSO119627</t>
  </si>
  <si>
    <t>PSO97446</t>
  </si>
  <si>
    <t>PSO92837</t>
  </si>
  <si>
    <t>PSO166555</t>
  </si>
  <si>
    <t>PSO140066</t>
  </si>
  <si>
    <t>PSO109092</t>
  </si>
  <si>
    <t>PSO116466</t>
  </si>
  <si>
    <t>PSO77017</t>
  </si>
  <si>
    <t>PSO262316</t>
  </si>
  <si>
    <t>PSO143199</t>
  </si>
  <si>
    <t>PSO271146</t>
  </si>
  <si>
    <t>PSO118136</t>
  </si>
  <si>
    <t>PSO97846</t>
  </si>
  <si>
    <t>PSO246413</t>
  </si>
  <si>
    <t>PSO135273</t>
  </si>
  <si>
    <t>PSO134920</t>
  </si>
  <si>
    <t>PSO112774</t>
  </si>
  <si>
    <t>PSO104598</t>
  </si>
  <si>
    <t>PSO142562</t>
  </si>
  <si>
    <t>PSO114745</t>
  </si>
  <si>
    <t>PSO240252</t>
  </si>
  <si>
    <t>PSO123457</t>
  </si>
  <si>
    <t>PSO175067</t>
  </si>
  <si>
    <t>PSO129476</t>
  </si>
  <si>
    <t>PSO97782</t>
  </si>
  <si>
    <t>PSO110383</t>
  </si>
  <si>
    <t>PSO177523</t>
  </si>
  <si>
    <t>PSO262763</t>
  </si>
  <si>
    <t>PSO177516</t>
  </si>
  <si>
    <t>PSO82390</t>
  </si>
  <si>
    <t>PSO240961</t>
  </si>
  <si>
    <t>PSO130601</t>
  </si>
  <si>
    <t>PSO137204</t>
  </si>
  <si>
    <t>PSO263635</t>
  </si>
  <si>
    <t>PSO94982</t>
  </si>
  <si>
    <t>PSO104406</t>
  </si>
  <si>
    <t>PSO119639</t>
  </si>
  <si>
    <t>PSO270099</t>
  </si>
  <si>
    <t>PSO157103</t>
  </si>
  <si>
    <t>PSO247869</t>
  </si>
  <si>
    <t>PSO248439</t>
  </si>
  <si>
    <t>PSO253655</t>
  </si>
  <si>
    <t>PSO107562</t>
  </si>
  <si>
    <t>PSO243535</t>
  </si>
  <si>
    <t>PSO141047</t>
  </si>
  <si>
    <t>PSO147404</t>
  </si>
  <si>
    <t>PSO84598</t>
  </si>
  <si>
    <t>PSO117798</t>
  </si>
  <si>
    <t>PSO143770</t>
  </si>
  <si>
    <t>PSO79296</t>
  </si>
  <si>
    <t>PSO123511</t>
  </si>
  <si>
    <t>PSO107832</t>
  </si>
  <si>
    <t>PSO80554</t>
  </si>
  <si>
    <t>PSO123880</t>
  </si>
  <si>
    <t>PSO138411</t>
  </si>
  <si>
    <t>PSO116600</t>
  </si>
  <si>
    <t>PSO110338</t>
  </si>
  <si>
    <t>PSO133281</t>
  </si>
  <si>
    <t>PSO7368467</t>
  </si>
  <si>
    <t>PSO115202</t>
  </si>
  <si>
    <t>PSO142363</t>
  </si>
  <si>
    <t>PSO140674</t>
  </si>
  <si>
    <t>PSO7343267</t>
  </si>
  <si>
    <t>PSO135977</t>
  </si>
  <si>
    <t>PSO116954</t>
  </si>
  <si>
    <t>PSO86229</t>
  </si>
  <si>
    <t>PSO246016</t>
  </si>
  <si>
    <t>PSO256548</t>
  </si>
  <si>
    <t>PSO91595</t>
  </si>
  <si>
    <t>PSO107293</t>
  </si>
  <si>
    <t>PSO89188</t>
  </si>
  <si>
    <t>PSO135158</t>
  </si>
  <si>
    <t>PSO109019</t>
  </si>
  <si>
    <t>PSO173920</t>
  </si>
  <si>
    <t>PSO198825</t>
  </si>
  <si>
    <t>PSO139874</t>
  </si>
  <si>
    <t>PSO85320</t>
  </si>
  <si>
    <t>PSO78793</t>
  </si>
  <si>
    <t>PSO91899</t>
  </si>
  <si>
    <t>PSO98021</t>
  </si>
  <si>
    <t>PSO273784</t>
  </si>
  <si>
    <t>PSO177343</t>
  </si>
  <si>
    <t>PSO144006</t>
  </si>
  <si>
    <t>PSO103538</t>
  </si>
  <si>
    <t>PSO98257</t>
  </si>
  <si>
    <t>PSO269490</t>
  </si>
  <si>
    <t>PSO81411</t>
  </si>
  <si>
    <t>PSO249355</t>
  </si>
  <si>
    <t>PSO116181</t>
  </si>
  <si>
    <t>PSO246061</t>
  </si>
  <si>
    <t>PSO166530</t>
  </si>
  <si>
    <t>PSO133772</t>
  </si>
  <si>
    <t>PSO130003</t>
  </si>
  <si>
    <t>PSO126934</t>
  </si>
  <si>
    <t>PSO136070</t>
  </si>
  <si>
    <t>PSO132599</t>
  </si>
  <si>
    <t>PSO7528334</t>
  </si>
  <si>
    <t>PSO98708</t>
  </si>
  <si>
    <t>PSO145958</t>
  </si>
  <si>
    <t>PSO108585</t>
  </si>
  <si>
    <t>PSO268356</t>
  </si>
  <si>
    <t>PSO90942</t>
  </si>
  <si>
    <t>PSO96243</t>
  </si>
  <si>
    <t>PSO109921</t>
  </si>
  <si>
    <t>PSO120367</t>
  </si>
  <si>
    <t>PSO108248</t>
  </si>
  <si>
    <t>PSO173005</t>
  </si>
  <si>
    <t>PSO95219</t>
  </si>
  <si>
    <t>PSO106229</t>
  </si>
  <si>
    <t>PSO104791</t>
  </si>
  <si>
    <t>PSO118405</t>
  </si>
  <si>
    <t>PSO194653</t>
  </si>
  <si>
    <t>PSO255579</t>
  </si>
  <si>
    <t>PSO276045</t>
  </si>
  <si>
    <t>PSO164913</t>
  </si>
  <si>
    <t>PSO96991</t>
  </si>
  <si>
    <t>PSO7167554</t>
  </si>
  <si>
    <t>PSO7549935</t>
  </si>
  <si>
    <t>PSO110767</t>
  </si>
  <si>
    <t>PSO7321952</t>
  </si>
  <si>
    <t>PSO100547</t>
  </si>
  <si>
    <t>PSO79371</t>
  </si>
  <si>
    <t>PSO246278</t>
  </si>
  <si>
    <t>PSO100352</t>
  </si>
  <si>
    <t>PSO104594</t>
  </si>
  <si>
    <t>PSO258868</t>
  </si>
  <si>
    <t>PSO145917</t>
  </si>
  <si>
    <t>PSO115416</t>
  </si>
  <si>
    <t>PSO136450</t>
  </si>
  <si>
    <t>PSO118515</t>
  </si>
  <si>
    <t>PSO91537</t>
  </si>
  <si>
    <t>PSO242278</t>
  </si>
  <si>
    <t>PSO200799</t>
  </si>
  <si>
    <t>PSO158655</t>
  </si>
  <si>
    <t>PSO79037</t>
  </si>
  <si>
    <t>PSO96472</t>
  </si>
  <si>
    <t>PSO97111</t>
  </si>
  <si>
    <t>PSO87320</t>
  </si>
  <si>
    <t>PSO134433</t>
  </si>
  <si>
    <t>PSO146933</t>
  </si>
  <si>
    <t>PSO188466</t>
  </si>
  <si>
    <t>PSO138027</t>
  </si>
  <si>
    <t>PSO140027</t>
  </si>
  <si>
    <t>PSO106215</t>
  </si>
  <si>
    <t>PSO109769</t>
  </si>
  <si>
    <t>PSO256231</t>
  </si>
  <si>
    <t>PSO128990</t>
  </si>
  <si>
    <t>PSO168752</t>
  </si>
  <si>
    <t>PSO140961</t>
  </si>
  <si>
    <t>PSO126168</t>
  </si>
  <si>
    <t>PSO174396</t>
  </si>
  <si>
    <t>PSO253782</t>
  </si>
  <si>
    <t>PSO102280</t>
  </si>
  <si>
    <t>PSO120523</t>
  </si>
  <si>
    <t>PSO85798</t>
  </si>
  <si>
    <t>PSO111073</t>
  </si>
  <si>
    <t>PSO142759</t>
  </si>
  <si>
    <t>PSO145469</t>
  </si>
  <si>
    <t>PSO98309</t>
  </si>
  <si>
    <t>PSO105016</t>
  </si>
  <si>
    <t>PSO95697</t>
  </si>
  <si>
    <t>PSO244082</t>
  </si>
  <si>
    <t>PSO87473</t>
  </si>
  <si>
    <t>PSO130243</t>
  </si>
  <si>
    <t>PSO174427</t>
  </si>
  <si>
    <t>PSO116117</t>
  </si>
  <si>
    <t>PSO239156</t>
  </si>
  <si>
    <t>PSO198638</t>
  </si>
  <si>
    <t>PSO118869</t>
  </si>
  <si>
    <t>PSO238038</t>
  </si>
  <si>
    <t>PSO138714</t>
  </si>
  <si>
    <t>PSO146822</t>
  </si>
  <si>
    <t>PSO164534</t>
  </si>
  <si>
    <t>PSO193739</t>
  </si>
  <si>
    <t>PSO144919</t>
  </si>
  <si>
    <t>PSO123281</t>
  </si>
  <si>
    <t>PSO146834</t>
  </si>
  <si>
    <t>PSO106767</t>
  </si>
  <si>
    <t>PSO237706</t>
  </si>
  <si>
    <t>PSO248540</t>
  </si>
  <si>
    <t>PSO254809</t>
  </si>
  <si>
    <t>PSO131903</t>
  </si>
  <si>
    <t>PSO112328</t>
  </si>
  <si>
    <t>PSO140284</t>
  </si>
  <si>
    <t>PSO259653</t>
  </si>
  <si>
    <t>PSO262422</t>
  </si>
  <si>
    <t>PSO136167</t>
  </si>
  <si>
    <t>PSO177123</t>
  </si>
  <si>
    <t>PSO79412</t>
  </si>
  <si>
    <t>PSO82863</t>
  </si>
  <si>
    <t>PSO137139</t>
  </si>
  <si>
    <t>PSO126738</t>
  </si>
  <si>
    <t>PSO119578</t>
  </si>
  <si>
    <t>PSO139081</t>
  </si>
  <si>
    <t>PSO169759</t>
  </si>
  <si>
    <t>PSO262436</t>
  </si>
  <si>
    <t>PSO74769</t>
  </si>
  <si>
    <t>PSO104476</t>
  </si>
  <si>
    <t>PSO230158</t>
  </si>
  <si>
    <t>PSO138298</t>
  </si>
  <si>
    <t>PSO113716</t>
  </si>
  <si>
    <t>PSO239853</t>
  </si>
  <si>
    <t>PSO209386</t>
  </si>
  <si>
    <t>PSO107314</t>
  </si>
  <si>
    <t>PSO7363106</t>
  </si>
  <si>
    <t>PSO98240</t>
  </si>
  <si>
    <t>PSO183978</t>
  </si>
  <si>
    <t>PSO90818</t>
  </si>
  <si>
    <t>PSO76292</t>
  </si>
  <si>
    <t>PSO184180</t>
  </si>
  <si>
    <t>PSO7500520</t>
  </si>
  <si>
    <t>PSO125896</t>
  </si>
  <si>
    <t>PSO257451</t>
  </si>
  <si>
    <t>PSO173096</t>
  </si>
  <si>
    <t>PSO237865</t>
  </si>
  <si>
    <t>PSO139051</t>
  </si>
  <si>
    <t>PSO240688</t>
  </si>
  <si>
    <t>PSO145187</t>
  </si>
  <si>
    <t>PSO83028</t>
  </si>
  <si>
    <t>PSO192696</t>
  </si>
  <si>
    <t>PSO110968</t>
  </si>
  <si>
    <t>PSO264246</t>
  </si>
  <si>
    <t>PSO183287</t>
  </si>
  <si>
    <t>PSO88579</t>
  </si>
  <si>
    <t>PSO253670</t>
  </si>
  <si>
    <t>PSO173499</t>
  </si>
  <si>
    <t>PSO216252</t>
  </si>
  <si>
    <t>PSO211566</t>
  </si>
  <si>
    <t>PSO186397</t>
  </si>
  <si>
    <t>PSO236954</t>
  </si>
  <si>
    <t>PSO254074</t>
  </si>
  <si>
    <t>PSO127801</t>
  </si>
  <si>
    <t>PSO147669</t>
  </si>
  <si>
    <t>PSO83041</t>
  </si>
  <si>
    <t>PSO252432</t>
  </si>
  <si>
    <t>PSO175501</t>
  </si>
  <si>
    <t>PSO275389</t>
  </si>
  <si>
    <t>PSO249575</t>
  </si>
  <si>
    <t>PSO178917</t>
  </si>
  <si>
    <t>PSO137547</t>
  </si>
  <si>
    <t>PSO209418</t>
  </si>
  <si>
    <t>PSO77927</t>
  </si>
  <si>
    <t>PSO176245</t>
  </si>
  <si>
    <t>PSO88796</t>
  </si>
  <si>
    <t>PSO115829</t>
  </si>
  <si>
    <t>PSO187168</t>
  </si>
  <si>
    <t>PSO142425</t>
  </si>
  <si>
    <t>PSO276007</t>
  </si>
  <si>
    <t>PSO117939</t>
  </si>
  <si>
    <t>PSO173929</t>
  </si>
  <si>
    <t>PSO102664</t>
  </si>
  <si>
    <t>PSO120917</t>
  </si>
  <si>
    <t>PSO240776</t>
  </si>
  <si>
    <t>PSO148006</t>
  </si>
  <si>
    <t>PSO251600</t>
  </si>
  <si>
    <t>PSO131265</t>
  </si>
  <si>
    <t>PSO242904</t>
  </si>
  <si>
    <t>PSO139350</t>
  </si>
  <si>
    <t>PSO173257</t>
  </si>
  <si>
    <t>PSO134713</t>
  </si>
  <si>
    <t>PSO106975</t>
  </si>
  <si>
    <t>PSO117082</t>
  </si>
  <si>
    <t>PSO165531</t>
  </si>
  <si>
    <t>PSO109814</t>
  </si>
  <si>
    <t>PSO119701</t>
  </si>
  <si>
    <t>PSO169945</t>
  </si>
  <si>
    <t>PSO183414</t>
  </si>
  <si>
    <t>PSO79015</t>
  </si>
  <si>
    <t>PSO255378</t>
  </si>
  <si>
    <t>PSO182289</t>
  </si>
  <si>
    <t>PSO123529</t>
  </si>
  <si>
    <t>PSO127418</t>
  </si>
  <si>
    <t>PSO144978</t>
  </si>
  <si>
    <t>PSO124378</t>
  </si>
  <si>
    <t>PSO129561</t>
  </si>
  <si>
    <t>PSO101358</t>
  </si>
  <si>
    <t>PSO175545</t>
  </si>
  <si>
    <t>PSO105934</t>
  </si>
  <si>
    <t>PSO102068</t>
  </si>
  <si>
    <t>PSO123576</t>
  </si>
  <si>
    <t>PSO110493</t>
  </si>
  <si>
    <t>PSO134935</t>
  </si>
  <si>
    <t>PSO130720</t>
  </si>
  <si>
    <t>PSO131250</t>
  </si>
  <si>
    <t>PSO276775</t>
  </si>
  <si>
    <t>PSO97206</t>
  </si>
  <si>
    <t>PSO197526</t>
  </si>
  <si>
    <t>PSO187491</t>
  </si>
  <si>
    <t>PSO197631</t>
  </si>
  <si>
    <t>PSO138883</t>
  </si>
  <si>
    <t>PSO184711</t>
  </si>
  <si>
    <t>PSO245875</t>
  </si>
  <si>
    <t>PSO166151</t>
  </si>
  <si>
    <t>PSO7300435</t>
  </si>
  <si>
    <t>PSO105096</t>
  </si>
  <si>
    <t>PSO277770</t>
  </si>
  <si>
    <t>PSO85329</t>
  </si>
  <si>
    <t>PSO128466</t>
  </si>
  <si>
    <t>PSO115449</t>
  </si>
  <si>
    <t>PSO139142</t>
  </si>
  <si>
    <t>PSO90859</t>
  </si>
  <si>
    <t>PSO240540</t>
  </si>
  <si>
    <t>PSO131180</t>
  </si>
  <si>
    <t>PSO132858</t>
  </si>
  <si>
    <t>PSO182150</t>
  </si>
  <si>
    <t>PSO170163</t>
  </si>
  <si>
    <t>PSO262709</t>
  </si>
  <si>
    <t>PSO174368</t>
  </si>
  <si>
    <t>PSO174837</t>
  </si>
  <si>
    <t>PSO154172</t>
  </si>
  <si>
    <t>PSO237826</t>
  </si>
  <si>
    <t>PSO242373</t>
  </si>
  <si>
    <t>PSO183725</t>
  </si>
  <si>
    <t>PSO99724</t>
  </si>
  <si>
    <t>PSO146220</t>
  </si>
  <si>
    <t>PSO137963</t>
  </si>
  <si>
    <t>PSO119404</t>
  </si>
  <si>
    <t>PSO173217</t>
  </si>
  <si>
    <t>PSO127617</t>
  </si>
  <si>
    <t>PSO120643</t>
  </si>
  <si>
    <t>PSO124344</t>
  </si>
  <si>
    <t>PSO111024</t>
  </si>
  <si>
    <t>PSO274919</t>
  </si>
  <si>
    <t>PSO112862</t>
  </si>
  <si>
    <t>PSO145773</t>
  </si>
  <si>
    <t>PSO99846</t>
  </si>
  <si>
    <t>PSO249192</t>
  </si>
  <si>
    <t>PSO116556</t>
  </si>
  <si>
    <t>PSO133526</t>
  </si>
  <si>
    <t>PSO103375</t>
  </si>
  <si>
    <t>PSO275794</t>
  </si>
  <si>
    <t>PSO249395</t>
  </si>
  <si>
    <t>PSO134354</t>
  </si>
  <si>
    <t>PSO131399</t>
  </si>
  <si>
    <t>PSO133362</t>
  </si>
  <si>
    <t>PSO122634</t>
  </si>
  <si>
    <t>PSO104571</t>
  </si>
  <si>
    <t>PSO107396</t>
  </si>
  <si>
    <t>PSO240014</t>
  </si>
  <si>
    <t>PSO147720</t>
  </si>
  <si>
    <t>PSO152934</t>
  </si>
  <si>
    <t>PSO249917</t>
  </si>
  <si>
    <t>PSO137580</t>
  </si>
  <si>
    <t>PSO133363</t>
  </si>
  <si>
    <t>PSO87045</t>
  </si>
  <si>
    <t>PSO119142</t>
  </si>
  <si>
    <t>PSO274022</t>
  </si>
  <si>
    <t>PSO256833</t>
  </si>
  <si>
    <t>PSO140251</t>
  </si>
  <si>
    <t>PSO109756</t>
  </si>
  <si>
    <t>PSO156383</t>
  </si>
  <si>
    <t>PSO217964</t>
  </si>
  <si>
    <t>PSO122954</t>
  </si>
  <si>
    <t>PSO184430</t>
  </si>
  <si>
    <t>PSO252612</t>
  </si>
  <si>
    <t>PSO107174</t>
  </si>
  <si>
    <t>PSO108880</t>
  </si>
  <si>
    <t>PSO99722</t>
  </si>
  <si>
    <t>PSO112095</t>
  </si>
  <si>
    <t>PSO86077</t>
  </si>
  <si>
    <t>PSO165173</t>
  </si>
  <si>
    <t>PSO189206</t>
  </si>
  <si>
    <t>PSO119810</t>
  </si>
  <si>
    <t>PSO87719</t>
  </si>
  <si>
    <t>PSO116122</t>
  </si>
  <si>
    <t>PSO249813</t>
  </si>
  <si>
    <t>PSO262096</t>
  </si>
  <si>
    <t>PSO176779</t>
  </si>
  <si>
    <t>PSO121448</t>
  </si>
  <si>
    <t>PSO94947</t>
  </si>
  <si>
    <t>PSO143226</t>
  </si>
  <si>
    <t>PSO162450</t>
  </si>
  <si>
    <t>PSO78803</t>
  </si>
  <si>
    <t>PSO102048</t>
  </si>
  <si>
    <t>PSO81708</t>
  </si>
  <si>
    <t>PSO112181</t>
  </si>
  <si>
    <t>PSO179372</t>
  </si>
  <si>
    <t>PSO120882</t>
  </si>
  <si>
    <t>PSO193763</t>
  </si>
  <si>
    <t>PSO75433</t>
  </si>
  <si>
    <t>PSO240668</t>
  </si>
  <si>
    <t>PSO144976</t>
  </si>
  <si>
    <t>PSO238781</t>
  </si>
  <si>
    <t>PSO128387</t>
  </si>
  <si>
    <t>PSO180029</t>
  </si>
  <si>
    <t>PSO250303</t>
  </si>
  <si>
    <t>PSO145349</t>
  </si>
  <si>
    <t>PSO168576</t>
  </si>
  <si>
    <t>PSO147136</t>
  </si>
  <si>
    <t>PSO146178</t>
  </si>
  <si>
    <t>PSO84939</t>
  </si>
  <si>
    <t>PSO110432</t>
  </si>
  <si>
    <t>PSO105895</t>
  </si>
  <si>
    <t>PSO121198</t>
  </si>
  <si>
    <t>PSO127733</t>
  </si>
  <si>
    <t>PSO256514</t>
  </si>
  <si>
    <t>PSO259131</t>
  </si>
  <si>
    <t>PSO141039</t>
  </si>
  <si>
    <t>PSO92619</t>
  </si>
  <si>
    <t>PSO250566</t>
  </si>
  <si>
    <t>PSO147872</t>
  </si>
  <si>
    <t>PSO104277</t>
  </si>
  <si>
    <t>PSO259120</t>
  </si>
  <si>
    <t>PSO111972</t>
  </si>
  <si>
    <t>PSO147253</t>
  </si>
  <si>
    <t>PSO167915</t>
  </si>
  <si>
    <t>PSO259502</t>
  </si>
  <si>
    <t>PSO188274</t>
  </si>
  <si>
    <t>PSO242754</t>
  </si>
  <si>
    <t>PSO179542</t>
  </si>
  <si>
    <t>PSO146119</t>
  </si>
  <si>
    <t>PSO263478</t>
  </si>
  <si>
    <t>PSO144381</t>
  </si>
  <si>
    <t>PSO170686</t>
  </si>
  <si>
    <t>PSO112316</t>
  </si>
  <si>
    <t>PSO133580</t>
  </si>
  <si>
    <t>PSO116449</t>
  </si>
  <si>
    <t>PSO111592</t>
  </si>
  <si>
    <t>PSO203319</t>
  </si>
  <si>
    <t>PSO140470</t>
  </si>
  <si>
    <t>PSO253598</t>
  </si>
  <si>
    <t>PSO116902</t>
  </si>
  <si>
    <t>PSO178203</t>
  </si>
  <si>
    <t>PSO166576</t>
  </si>
  <si>
    <t>PSO136061</t>
  </si>
  <si>
    <t>PSO96303</t>
  </si>
  <si>
    <t>PSO107459</t>
  </si>
  <si>
    <t>PSO123051</t>
  </si>
  <si>
    <t>PSO142219</t>
  </si>
  <si>
    <t>PSO121628</t>
  </si>
  <si>
    <t>PSO270598</t>
  </si>
  <si>
    <t>PSO235726</t>
  </si>
  <si>
    <t>PSO241546</t>
  </si>
  <si>
    <t>PSO133452</t>
  </si>
  <si>
    <t>PSO178743</t>
  </si>
  <si>
    <t>PSO140078</t>
  </si>
  <si>
    <t>PSO239324</t>
  </si>
  <si>
    <t>PSO124927</t>
  </si>
  <si>
    <t>PSO236939</t>
  </si>
  <si>
    <t>PSO270209</t>
  </si>
  <si>
    <t>PSO143526</t>
  </si>
  <si>
    <t>PSO98221</t>
  </si>
  <si>
    <t>PSO139913</t>
  </si>
  <si>
    <t>PSO104860</t>
  </si>
  <si>
    <t>PSO84673</t>
  </si>
  <si>
    <t>PSO157585</t>
  </si>
  <si>
    <t>PSO262841</t>
  </si>
  <si>
    <t>PSO176987</t>
  </si>
  <si>
    <t>PSO257182</t>
  </si>
  <si>
    <t>PSO107158</t>
  </si>
  <si>
    <t>PSO137911</t>
  </si>
  <si>
    <t>PSO268911</t>
  </si>
  <si>
    <t>PSO139894</t>
  </si>
  <si>
    <t>PSO239137</t>
  </si>
  <si>
    <t>PSO105542</t>
  </si>
  <si>
    <t>PSO240190</t>
  </si>
  <si>
    <t>PSO112792</t>
  </si>
  <si>
    <t>PSO225007</t>
  </si>
  <si>
    <t>PSO83066</t>
  </si>
  <si>
    <t>PSO146696</t>
  </si>
  <si>
    <t>PSO165784</t>
  </si>
  <si>
    <t>PSO77268</t>
  </si>
  <si>
    <t>PSO272071</t>
  </si>
  <si>
    <t>PSO117985</t>
  </si>
  <si>
    <t>PSO85842</t>
  </si>
  <si>
    <t>PSO259651</t>
  </si>
  <si>
    <t>PSO104566</t>
  </si>
  <si>
    <t>PSO248001</t>
  </si>
  <si>
    <t>PSO145506</t>
  </si>
  <si>
    <t>PSO271335</t>
  </si>
  <si>
    <t>PSO188487</t>
  </si>
  <si>
    <t>PSO257461</t>
  </si>
  <si>
    <t>PSO130569</t>
  </si>
  <si>
    <t>PSO87663</t>
  </si>
  <si>
    <t>PSO109075</t>
  </si>
  <si>
    <t>PSO271239</t>
  </si>
  <si>
    <t>PSO251764</t>
  </si>
  <si>
    <t>PSO82301</t>
  </si>
  <si>
    <t>PSO182721</t>
  </si>
  <si>
    <t>PSO120363</t>
  </si>
  <si>
    <t>PSO128620</t>
  </si>
  <si>
    <t>PSO266150</t>
  </si>
  <si>
    <t>PSO94004</t>
  </si>
  <si>
    <t>PSO127337</t>
  </si>
  <si>
    <t>PSO100254</t>
  </si>
  <si>
    <t>PSO99654</t>
  </si>
  <si>
    <t>PSO93197</t>
  </si>
  <si>
    <t>PSO133689</t>
  </si>
  <si>
    <t>PSO119412</t>
  </si>
  <si>
    <t>PSO96713</t>
  </si>
  <si>
    <t>PSO77472</t>
  </si>
  <si>
    <t>PSO137006</t>
  </si>
  <si>
    <t>PSO171114</t>
  </si>
  <si>
    <t>PSO171179</t>
  </si>
  <si>
    <t>PSO107675</t>
  </si>
  <si>
    <t>PSO111812</t>
  </si>
  <si>
    <t>PSO174474</t>
  </si>
  <si>
    <t>PSO98282</t>
  </si>
  <si>
    <t>PSO7278060</t>
  </si>
  <si>
    <t>PSO93177</t>
  </si>
  <si>
    <t>PSO138794</t>
  </si>
  <si>
    <t>PSO185420</t>
  </si>
  <si>
    <t>PSO103305</t>
  </si>
  <si>
    <t>PSO91035</t>
  </si>
  <si>
    <t>PSO110592</t>
  </si>
  <si>
    <t>PSO143105</t>
  </si>
  <si>
    <t>PSO238398</t>
  </si>
  <si>
    <t>PSO185674</t>
  </si>
  <si>
    <t>PSO143939</t>
  </si>
  <si>
    <t>PSO188919</t>
  </si>
  <si>
    <t>PSO143806</t>
  </si>
  <si>
    <t>PSO251744</t>
  </si>
  <si>
    <t>PSO113709</t>
  </si>
  <si>
    <t>PSO115070</t>
  </si>
  <si>
    <t>PSO120653</t>
  </si>
  <si>
    <t>PSO7321295</t>
  </si>
  <si>
    <t>PSO141299</t>
  </si>
  <si>
    <t>PSO244182</t>
  </si>
  <si>
    <t>PSO181045</t>
  </si>
  <si>
    <t>PSO144745</t>
  </si>
  <si>
    <t>PSO178599</t>
  </si>
  <si>
    <t>PSO145082</t>
  </si>
  <si>
    <t>PSO106898</t>
  </si>
  <si>
    <t>PSO239506</t>
  </si>
  <si>
    <t>PSO145337</t>
  </si>
  <si>
    <t>PSO231658</t>
  </si>
  <si>
    <t>PSO183905</t>
  </si>
  <si>
    <t>PSO124400</t>
  </si>
  <si>
    <t>PSO241616</t>
  </si>
  <si>
    <t>PSO258678</t>
  </si>
  <si>
    <t>PSO254494</t>
  </si>
  <si>
    <t>PSO139975</t>
  </si>
  <si>
    <t>PSO259256</t>
  </si>
  <si>
    <t>PSO166858</t>
  </si>
  <si>
    <t>PSO253678</t>
  </si>
  <si>
    <t>PSO142086</t>
  </si>
  <si>
    <t>PSO238925</t>
  </si>
  <si>
    <t>PSO194325</t>
  </si>
  <si>
    <t>PSO126967</t>
  </si>
  <si>
    <t>PSO146008</t>
  </si>
  <si>
    <t>PSO100923</t>
  </si>
  <si>
    <t>PSO245507</t>
  </si>
  <si>
    <t>PSO182492</t>
  </si>
  <si>
    <t>PSO171391</t>
  </si>
  <si>
    <t>PSO7493679</t>
  </si>
  <si>
    <t>PSO135824</t>
  </si>
  <si>
    <t>PSO113269</t>
  </si>
  <si>
    <t>PSO262728</t>
  </si>
  <si>
    <t>PSO145087</t>
  </si>
  <si>
    <t>PSO79201</t>
  </si>
  <si>
    <t>PSO227656</t>
  </si>
  <si>
    <t>PSO76630</t>
  </si>
  <si>
    <t>PSO143265</t>
  </si>
  <si>
    <t>PSO138623</t>
  </si>
  <si>
    <t>PSO102710</t>
  </si>
  <si>
    <t>PSO170103</t>
  </si>
  <si>
    <t>PSO88252</t>
  </si>
  <si>
    <t>PSO147137</t>
  </si>
  <si>
    <t>PSO262990</t>
  </si>
  <si>
    <t>PSO129041</t>
  </si>
  <si>
    <t>PSO124640</t>
  </si>
  <si>
    <t>PSO239004</t>
  </si>
  <si>
    <t>PSO141947</t>
  </si>
  <si>
    <t>PSO198407</t>
  </si>
  <si>
    <t>PSO136349</t>
  </si>
  <si>
    <t>PSO121587</t>
  </si>
  <si>
    <t>PSO98312</t>
  </si>
  <si>
    <t>PSO132366</t>
  </si>
  <si>
    <t>PSO122691</t>
  </si>
  <si>
    <t>PSO185436</t>
  </si>
  <si>
    <t>PSO129243</t>
  </si>
  <si>
    <t>PSO136560</t>
  </si>
  <si>
    <t>PSO109707</t>
  </si>
  <si>
    <t>PSO134995</t>
  </si>
  <si>
    <t>PSO178017</t>
  </si>
  <si>
    <t>PSO135540</t>
  </si>
  <si>
    <t>PSO141869</t>
  </si>
  <si>
    <t>PSO275432</t>
  </si>
  <si>
    <t>PSO7528386</t>
  </si>
  <si>
    <t>PSO115331</t>
  </si>
  <si>
    <t>PSO165873</t>
  </si>
  <si>
    <t>PSO129823</t>
  </si>
  <si>
    <t>PSO89340</t>
  </si>
  <si>
    <t>PSO130046</t>
  </si>
  <si>
    <t>PSO115898</t>
  </si>
  <si>
    <t>PSO101095</t>
  </si>
  <si>
    <t>PSO7558813</t>
  </si>
  <si>
    <t>PSO101149</t>
  </si>
  <si>
    <t>PSO96968</t>
  </si>
  <si>
    <t>PSO128201</t>
  </si>
  <si>
    <t>PSO134051</t>
  </si>
  <si>
    <t>PSO238462</t>
  </si>
  <si>
    <t>PSO99375</t>
  </si>
  <si>
    <t>PSO276936</t>
  </si>
  <si>
    <t>PSO249957</t>
  </si>
  <si>
    <t>PSO179610</t>
  </si>
  <si>
    <t>PSO144602</t>
  </si>
  <si>
    <t>PSO240947</t>
  </si>
  <si>
    <t>PSO129788</t>
  </si>
  <si>
    <t>PSO173930</t>
  </si>
  <si>
    <t>PSO137681</t>
  </si>
  <si>
    <t>PSO174053</t>
  </si>
  <si>
    <t>PSO244492</t>
  </si>
  <si>
    <t>PSO108035</t>
  </si>
  <si>
    <t>PSO114516</t>
  </si>
  <si>
    <t>PSO99168</t>
  </si>
  <si>
    <t>PSO141930</t>
  </si>
  <si>
    <t>PSO226549</t>
  </si>
  <si>
    <t>PSO169950</t>
  </si>
  <si>
    <t>PSO243465</t>
  </si>
  <si>
    <t>PSO141476</t>
  </si>
  <si>
    <t>PSO129128</t>
  </si>
  <si>
    <t>PSO248603</t>
  </si>
  <si>
    <t>PSO240952</t>
  </si>
  <si>
    <t>PSO125909</t>
  </si>
  <si>
    <t>PSO91683</t>
  </si>
  <si>
    <t>PSO78099</t>
  </si>
  <si>
    <t>PSO188664</t>
  </si>
  <si>
    <t>PSO96622</t>
  </si>
  <si>
    <t>PSO165131</t>
  </si>
  <si>
    <t>PSO242316</t>
  </si>
  <si>
    <t>PSO78866</t>
  </si>
  <si>
    <t>PSO145283</t>
  </si>
  <si>
    <t>PSO146804</t>
  </si>
  <si>
    <t>PSO125870</t>
  </si>
  <si>
    <t>PSO174930</t>
  </si>
  <si>
    <t>PSO114317</t>
  </si>
  <si>
    <t>PSO140213</t>
  </si>
  <si>
    <t>PSO115559</t>
  </si>
  <si>
    <t>PSO276912</t>
  </si>
  <si>
    <t>PSO136123</t>
  </si>
  <si>
    <t>PSO147714</t>
  </si>
  <si>
    <t>PSO114461</t>
  </si>
  <si>
    <t>PSO108318</t>
  </si>
  <si>
    <t>PSO99807</t>
  </si>
  <si>
    <t>PSO104263</t>
  </si>
  <si>
    <t>PSO85446</t>
  </si>
  <si>
    <t>PSO241614</t>
  </si>
  <si>
    <t>PSO118878</t>
  </si>
  <si>
    <t>PSO242276</t>
  </si>
  <si>
    <t>PSO180120</t>
  </si>
  <si>
    <t>PSO130256</t>
  </si>
  <si>
    <t>PSO102459</t>
  </si>
  <si>
    <t>PSO120691</t>
  </si>
  <si>
    <t>PSO82616</t>
  </si>
  <si>
    <t>PSO130150</t>
  </si>
  <si>
    <t>PSO187609</t>
  </si>
  <si>
    <t>PSO254484</t>
  </si>
  <si>
    <t>PSO112262</t>
  </si>
  <si>
    <t>PSO113145</t>
  </si>
  <si>
    <t>PSO126900</t>
  </si>
  <si>
    <t>PSO7216899</t>
  </si>
  <si>
    <t>PSO118125</t>
  </si>
  <si>
    <t>PSO139469</t>
  </si>
  <si>
    <t>PSO193774</t>
  </si>
  <si>
    <t>PSO117459</t>
  </si>
  <si>
    <t>PSO144873</t>
  </si>
  <si>
    <t>PSO86263</t>
  </si>
  <si>
    <t>PSO128902</t>
  </si>
  <si>
    <t>PSO84891</t>
  </si>
  <si>
    <t>PSO245320</t>
  </si>
  <si>
    <t>PSO109623</t>
  </si>
  <si>
    <t>PSO245306</t>
  </si>
  <si>
    <t>PSO97312</t>
  </si>
  <si>
    <t>PSO253071</t>
  </si>
  <si>
    <t>PSO144971</t>
  </si>
  <si>
    <t>PSO103414</t>
  </si>
  <si>
    <t>PSO117032</t>
  </si>
  <si>
    <t>PSO140388</t>
  </si>
  <si>
    <t>PSO272656</t>
  </si>
  <si>
    <t>PSO249879</t>
  </si>
  <si>
    <t>PSO107460</t>
  </si>
  <si>
    <t>PSO127810</t>
  </si>
  <si>
    <t>PSO176283</t>
  </si>
  <si>
    <t>PSO111257</t>
  </si>
  <si>
    <t>PSO147349</t>
  </si>
  <si>
    <t>PSO166013</t>
  </si>
  <si>
    <t>PSO138417</t>
  </si>
  <si>
    <t>PSO102654</t>
  </si>
  <si>
    <t>PSO238298</t>
  </si>
  <si>
    <t>PSO272719</t>
  </si>
  <si>
    <t>PSO96795</t>
  </si>
  <si>
    <t>PSO117999</t>
  </si>
  <si>
    <t>PSO244063</t>
  </si>
  <si>
    <t>PSO115088</t>
  </si>
  <si>
    <t>PSO169468</t>
  </si>
  <si>
    <t>PSO167519</t>
  </si>
  <si>
    <t>PSO267028</t>
  </si>
  <si>
    <t>PSO183325</t>
  </si>
  <si>
    <t>PSO184974</t>
  </si>
  <si>
    <t>PSO97410</t>
  </si>
  <si>
    <t>PSO145125</t>
  </si>
  <si>
    <t>PSO126664</t>
  </si>
  <si>
    <t>PSO142701</t>
  </si>
  <si>
    <t>PSO239410</t>
  </si>
  <si>
    <t>PSO139839</t>
  </si>
  <si>
    <t>PSO249834</t>
  </si>
  <si>
    <t>PSO151175</t>
  </si>
  <si>
    <t>PSO91580</t>
  </si>
  <si>
    <t>PSO218714</t>
  </si>
  <si>
    <t>PSO107591</t>
  </si>
  <si>
    <t>PSO99278</t>
  </si>
  <si>
    <t>PSO250363</t>
  </si>
  <si>
    <t>PSO130647</t>
  </si>
  <si>
    <t>PSO130216</t>
  </si>
  <si>
    <t>PSO140459</t>
  </si>
  <si>
    <t>PSO147207</t>
  </si>
  <si>
    <t>PSO184273</t>
  </si>
  <si>
    <t>PSO123032</t>
  </si>
  <si>
    <t>PSO105985</t>
  </si>
  <si>
    <t>PSO84236</t>
  </si>
  <si>
    <t>PSO125530</t>
  </si>
  <si>
    <t>PSO267619</t>
  </si>
  <si>
    <t>PSO258213</t>
  </si>
  <si>
    <t>PSO94811</t>
  </si>
  <si>
    <t>PSO106164</t>
  </si>
  <si>
    <t>PSO182122</t>
  </si>
  <si>
    <t>PSO116714</t>
  </si>
  <si>
    <t>PSO186417</t>
  </si>
  <si>
    <t>PSO111595</t>
  </si>
  <si>
    <t>PSO146871</t>
  </si>
  <si>
    <t>PSO131509</t>
  </si>
  <si>
    <t>PSO96840</t>
  </si>
  <si>
    <t>PSO112137</t>
  </si>
  <si>
    <t>PSO146179</t>
  </si>
  <si>
    <t>PSO162119</t>
  </si>
  <si>
    <t>PSO143418</t>
  </si>
  <si>
    <t>PSO140006</t>
  </si>
  <si>
    <t>PSO267004</t>
  </si>
  <si>
    <t>PSO254431</t>
  </si>
  <si>
    <t>PSO261113</t>
  </si>
  <si>
    <t>PSO102044</t>
  </si>
  <si>
    <t>PSO76748</t>
  </si>
  <si>
    <t>PSO259275</t>
  </si>
  <si>
    <t>PSO118557</t>
  </si>
  <si>
    <t>PSO126281</t>
  </si>
  <si>
    <t>PSO117392</t>
  </si>
  <si>
    <t>PSO100951</t>
  </si>
  <si>
    <t>PSO146343</t>
  </si>
  <si>
    <t>PSO86125</t>
  </si>
  <si>
    <t>PSO140896</t>
  </si>
  <si>
    <t>PSO145201</t>
  </si>
  <si>
    <t>PSO126324</t>
  </si>
  <si>
    <t>PSO212051</t>
  </si>
  <si>
    <t>PSO174827</t>
  </si>
  <si>
    <t>PSO139099</t>
  </si>
  <si>
    <t>PSO229369</t>
  </si>
  <si>
    <t>PSO130840</t>
  </si>
  <si>
    <t>PSO175314</t>
  </si>
  <si>
    <t>PSO136590</t>
  </si>
  <si>
    <t>PSO269002</t>
  </si>
  <si>
    <t>PSO100528</t>
  </si>
  <si>
    <t>PSO125849</t>
  </si>
  <si>
    <t>PSO88551</t>
  </si>
  <si>
    <t>PSO146828</t>
  </si>
  <si>
    <t>PSO116608</t>
  </si>
  <si>
    <t>PSO260506</t>
  </si>
  <si>
    <t>PSO183881</t>
  </si>
  <si>
    <t>PSO90382</t>
  </si>
  <si>
    <t>PSO241689</t>
  </si>
  <si>
    <t>PSO256058</t>
  </si>
  <si>
    <t>PSO146321</t>
  </si>
  <si>
    <t>PSO271597</t>
  </si>
  <si>
    <t>PSO199593</t>
  </si>
  <si>
    <t>PSO238024</t>
  </si>
  <si>
    <t>PSO91575</t>
  </si>
  <si>
    <t>PSO78875</t>
  </si>
  <si>
    <t>PSO103768</t>
  </si>
  <si>
    <t>PSO127047</t>
  </si>
  <si>
    <t>PSO103683</t>
  </si>
  <si>
    <t>PSO103363</t>
  </si>
  <si>
    <t>PSO98846</t>
  </si>
  <si>
    <t>PSO236869</t>
  </si>
  <si>
    <t>PSO145902</t>
  </si>
  <si>
    <t>PSO106535</t>
  </si>
  <si>
    <t>PSO91358</t>
  </si>
  <si>
    <t>PSO103887</t>
  </si>
  <si>
    <t>PSO135798</t>
  </si>
  <si>
    <t>PSO170343</t>
  </si>
  <si>
    <t>PSO244752</t>
  </si>
  <si>
    <t>PSO125910</t>
  </si>
  <si>
    <t>PSO87138</t>
  </si>
  <si>
    <t>PSO203585</t>
  </si>
  <si>
    <t>PSO145642</t>
  </si>
  <si>
    <t>PSO97888</t>
  </si>
  <si>
    <t>PSO7363158</t>
  </si>
  <si>
    <t>PSO121263</t>
  </si>
  <si>
    <t>PSO102784</t>
  </si>
  <si>
    <t>PSO132241</t>
  </si>
  <si>
    <t>PSO82117</t>
  </si>
  <si>
    <t>PSO96370</t>
  </si>
  <si>
    <t>PSO75214</t>
  </si>
  <si>
    <t>PSO142580</t>
  </si>
  <si>
    <t>PSO144088</t>
  </si>
  <si>
    <t>PSO113512</t>
  </si>
  <si>
    <t>PSO142147</t>
  </si>
  <si>
    <t>PSO141221</t>
  </si>
  <si>
    <t>PSO132541</t>
  </si>
  <si>
    <t>PSO100902</t>
  </si>
  <si>
    <t>PSO110594</t>
  </si>
  <si>
    <t>PSO7520745</t>
  </si>
  <si>
    <t>PSO239896</t>
  </si>
  <si>
    <t>PSO93253</t>
  </si>
  <si>
    <t>PSO147078</t>
  </si>
  <si>
    <t>PSO140998</t>
  </si>
  <si>
    <t>PSO144995</t>
  </si>
  <si>
    <t>PSO173121</t>
  </si>
  <si>
    <t>PSO256791</t>
  </si>
  <si>
    <t>PSO84374</t>
  </si>
  <si>
    <t>PSO7369831</t>
  </si>
  <si>
    <t>PSO250480</t>
  </si>
  <si>
    <t>PSO124763</t>
  </si>
  <si>
    <t>PSO139163</t>
  </si>
  <si>
    <t>PSO115672</t>
  </si>
  <si>
    <t>PSO101293</t>
  </si>
  <si>
    <t>PSO168648</t>
  </si>
  <si>
    <t>PSO222067</t>
  </si>
  <si>
    <t>PSO178907</t>
  </si>
  <si>
    <t>PSO91758</t>
  </si>
  <si>
    <t>PSO114614</t>
  </si>
  <si>
    <t>PSO111328</t>
  </si>
  <si>
    <t>PSO98830</t>
  </si>
  <si>
    <t>PSO105126</t>
  </si>
  <si>
    <t>PSO120365</t>
  </si>
  <si>
    <t>PSO118285</t>
  </si>
  <si>
    <t>PSO147009</t>
  </si>
  <si>
    <t>PSO95037</t>
  </si>
  <si>
    <t>PSO127759</t>
  </si>
  <si>
    <t>PSO145112</t>
  </si>
  <si>
    <t>PSO268323</t>
  </si>
  <si>
    <t>PSO124850</t>
  </si>
  <si>
    <t>PSO146249</t>
  </si>
  <si>
    <t>PSO248475</t>
  </si>
  <si>
    <t>PSO87956</t>
  </si>
  <si>
    <t>PSO127892</t>
  </si>
  <si>
    <t>PSO95677</t>
  </si>
  <si>
    <t>PSO127908</t>
  </si>
  <si>
    <t>PSO254388</t>
  </si>
  <si>
    <t>PSO131327</t>
  </si>
  <si>
    <t>PSO7343282</t>
  </si>
  <si>
    <t>PSO7569019</t>
  </si>
  <si>
    <t>PSO178576</t>
  </si>
  <si>
    <t>PSO240611</t>
  </si>
  <si>
    <t>PSO257397</t>
  </si>
  <si>
    <t>PSO98820</t>
  </si>
  <si>
    <t>PSO133900</t>
  </si>
  <si>
    <t>PSO165008</t>
  </si>
  <si>
    <t>PSO187141</t>
  </si>
  <si>
    <t>PSO76750</t>
  </si>
  <si>
    <t>PSO147396</t>
  </si>
  <si>
    <t>PSO100365</t>
  </si>
  <si>
    <t>PSO167034</t>
  </si>
  <si>
    <t>PSO103618</t>
  </si>
  <si>
    <t>PSO204229</t>
  </si>
  <si>
    <t>PSO99765</t>
  </si>
  <si>
    <t>PSO146833</t>
  </si>
  <si>
    <t>PSO143998</t>
  </si>
  <si>
    <t>PSO107664</t>
  </si>
  <si>
    <t>PSO123838</t>
  </si>
  <si>
    <t>PSO238255</t>
  </si>
  <si>
    <t>PSO83435</t>
  </si>
  <si>
    <t>PSO130856</t>
  </si>
  <si>
    <t>PSO261226</t>
  </si>
  <si>
    <t>PSO83328</t>
  </si>
  <si>
    <t>PSO100147</t>
  </si>
  <si>
    <t>PSO77848</t>
  </si>
  <si>
    <t>PSO142177</t>
  </si>
  <si>
    <t>PSO140451</t>
  </si>
  <si>
    <t>PSO125860</t>
  </si>
  <si>
    <t>PSO104471</t>
  </si>
  <si>
    <t>PSO165209</t>
  </si>
  <si>
    <t>PSO263748</t>
  </si>
  <si>
    <t>PSO174968</t>
  </si>
  <si>
    <t>PSO110671</t>
  </si>
  <si>
    <t>PSO111364</t>
  </si>
  <si>
    <t>PSO115222</t>
  </si>
  <si>
    <t>PSO78517</t>
  </si>
  <si>
    <t>PSO127484</t>
  </si>
  <si>
    <t>PSO133133</t>
  </si>
  <si>
    <t>PSO250281</t>
  </si>
  <si>
    <t>PSO78186</t>
  </si>
  <si>
    <t>PSO101234</t>
  </si>
  <si>
    <t>PSO238279</t>
  </si>
  <si>
    <t>PSO7301931</t>
  </si>
  <si>
    <t>PSO207573</t>
  </si>
  <si>
    <t>PSO252572</t>
  </si>
  <si>
    <t>PSO146499</t>
  </si>
  <si>
    <t>PSO174966</t>
  </si>
  <si>
    <t>PSO7168577</t>
  </si>
  <si>
    <t>PSO134419</t>
  </si>
  <si>
    <t>PSO127055</t>
  </si>
  <si>
    <t>PSO240305</t>
  </si>
  <si>
    <t>PSO237385</t>
  </si>
  <si>
    <t>PSO260548</t>
  </si>
  <si>
    <t>PSO242547</t>
  </si>
  <si>
    <t>PSO183411</t>
  </si>
  <si>
    <t>PSO241667</t>
  </si>
  <si>
    <t>PSO142257</t>
  </si>
  <si>
    <t>PSO186925</t>
  </si>
  <si>
    <t>PSO167617</t>
  </si>
  <si>
    <t>PSO104464</t>
  </si>
  <si>
    <t>PSO86423</t>
  </si>
  <si>
    <t>PSO107400</t>
  </si>
  <si>
    <t>PSO77169</t>
  </si>
  <si>
    <t>PSO241700</t>
  </si>
  <si>
    <t>PSO140473</t>
  </si>
  <si>
    <t>PSO266198</t>
  </si>
  <si>
    <t>PSO254507</t>
  </si>
  <si>
    <t>PSO101819</t>
  </si>
  <si>
    <t>PSO112994</t>
  </si>
  <si>
    <t>PSO88537</t>
  </si>
  <si>
    <t>PSO93691</t>
  </si>
  <si>
    <t>PSO147351</t>
  </si>
  <si>
    <t>PSO241471</t>
  </si>
  <si>
    <t>PSO276845</t>
  </si>
  <si>
    <t>PSO78252</t>
  </si>
  <si>
    <t>PSO132390</t>
  </si>
  <si>
    <t>PSO258741</t>
  </si>
  <si>
    <t>PSO144207</t>
  </si>
  <si>
    <t>PSO90692</t>
  </si>
  <si>
    <t>PSO125731</t>
  </si>
  <si>
    <t>PSO99791</t>
  </si>
  <si>
    <t>PSO185432</t>
  </si>
  <si>
    <t>PSO75332</t>
  </si>
  <si>
    <t>PSO237016</t>
  </si>
  <si>
    <t>PSO107092</t>
  </si>
  <si>
    <t>PSO130617</t>
  </si>
  <si>
    <t>PSO100830</t>
  </si>
  <si>
    <t>PSO85700</t>
  </si>
  <si>
    <t>PSO178155</t>
  </si>
  <si>
    <t>PSO144489</t>
  </si>
  <si>
    <t>PSO103382</t>
  </si>
  <si>
    <t>PSO114832</t>
  </si>
  <si>
    <t>PSO126735</t>
  </si>
  <si>
    <t>PSO142751</t>
  </si>
  <si>
    <t>PSO126620</t>
  </si>
  <si>
    <t>PSO143968</t>
  </si>
  <si>
    <t>PSO99999</t>
  </si>
  <si>
    <t>PSO121044</t>
  </si>
  <si>
    <t>PSO94930</t>
  </si>
  <si>
    <t>PSO219492</t>
  </si>
  <si>
    <t>PSO93076</t>
  </si>
  <si>
    <t>PSO237046</t>
  </si>
  <si>
    <t>PSO182060</t>
  </si>
  <si>
    <t>PSO140476</t>
  </si>
  <si>
    <t>PSO135905</t>
  </si>
  <si>
    <t>PSO184506</t>
  </si>
  <si>
    <t>PSO248472</t>
  </si>
  <si>
    <t>PSO146993</t>
  </si>
  <si>
    <t>PSO143362</t>
  </si>
  <si>
    <t>PSO145058</t>
  </si>
  <si>
    <t>PSO151498</t>
  </si>
  <si>
    <t>PSO261159</t>
  </si>
  <si>
    <t>PSO7298045</t>
  </si>
  <si>
    <t>PSO267756</t>
  </si>
  <si>
    <t>PSO130939</t>
  </si>
  <si>
    <t>PSO169215</t>
  </si>
  <si>
    <t>PSO118362</t>
  </si>
  <si>
    <t>PSO251239</t>
  </si>
  <si>
    <t>PSO165970</t>
  </si>
  <si>
    <t>PSO105120</t>
  </si>
  <si>
    <t>PSO146966</t>
  </si>
  <si>
    <t>PSO184102</t>
  </si>
  <si>
    <t>PSO135599</t>
  </si>
  <si>
    <t>PSO194306</t>
  </si>
  <si>
    <t>PSO176539</t>
  </si>
  <si>
    <t>PSO119832</t>
  </si>
  <si>
    <t>PSO102045</t>
  </si>
  <si>
    <t>PSO219886</t>
  </si>
  <si>
    <t>PSO134330</t>
  </si>
  <si>
    <t>PSO144760</t>
  </si>
  <si>
    <t>PSO84571</t>
  </si>
  <si>
    <t>PSO142726</t>
  </si>
  <si>
    <t>PSO98451</t>
  </si>
  <si>
    <t>PSO87961</t>
  </si>
  <si>
    <t>PSO178431</t>
  </si>
  <si>
    <t>PSO237395</t>
  </si>
  <si>
    <t>PSO268847</t>
  </si>
  <si>
    <t>PSO90530</t>
  </si>
  <si>
    <t>PSO88180</t>
  </si>
  <si>
    <t>PSO122414</t>
  </si>
  <si>
    <t>PSO140520</t>
  </si>
  <si>
    <t>PSO88169</t>
  </si>
  <si>
    <t>PSO102106</t>
  </si>
  <si>
    <t>PSO88258</t>
  </si>
  <si>
    <t>PSO221751</t>
  </si>
  <si>
    <t>PSO252582</t>
  </si>
  <si>
    <t>PSO130518</t>
  </si>
  <si>
    <t>PSO108369</t>
  </si>
  <si>
    <t>PSO103553</t>
  </si>
  <si>
    <t>PSO126860</t>
  </si>
  <si>
    <t>PSO124212</t>
  </si>
  <si>
    <t>PSO227127</t>
  </si>
  <si>
    <t>PSO165639</t>
  </si>
  <si>
    <t>PSO80941</t>
  </si>
  <si>
    <t>PSO107929</t>
  </si>
  <si>
    <t>PSO181951</t>
  </si>
  <si>
    <t>PSO108456</t>
  </si>
  <si>
    <t>PSO105469</t>
  </si>
  <si>
    <t>PSO83763</t>
  </si>
  <si>
    <t>PSO109124</t>
  </si>
  <si>
    <t>PSO106222</t>
  </si>
  <si>
    <t>PSO145085</t>
  </si>
  <si>
    <t>PSO136181</t>
  </si>
  <si>
    <t>PSO247921</t>
  </si>
  <si>
    <t>PSO147980</t>
  </si>
  <si>
    <t>PSO78072</t>
  </si>
  <si>
    <t>PSO121153</t>
  </si>
  <si>
    <t>PSO7500938</t>
  </si>
  <si>
    <t>PSO104626</t>
  </si>
  <si>
    <t>PSO106539</t>
  </si>
  <si>
    <t>PSO121999</t>
  </si>
  <si>
    <t>PSO255165</t>
  </si>
  <si>
    <t>PSO134767</t>
  </si>
  <si>
    <t>PSO140500</t>
  </si>
  <si>
    <t>PSO270357</t>
  </si>
  <si>
    <t>PSO102001</t>
  </si>
  <si>
    <t>PSO250603</t>
  </si>
  <si>
    <t>PSO275041</t>
  </si>
  <si>
    <t>PSO191841</t>
  </si>
  <si>
    <t>PSO106710</t>
  </si>
  <si>
    <t>PSO7319790</t>
  </si>
  <si>
    <t>PSO96008</t>
  </si>
  <si>
    <t>PSO99190</t>
  </si>
  <si>
    <t>PSO101069</t>
  </si>
  <si>
    <t>PSO249253</t>
  </si>
  <si>
    <t>PSO97866</t>
  </si>
  <si>
    <t>PSO178156</t>
  </si>
  <si>
    <t>PSO84407</t>
  </si>
  <si>
    <t>PSO113966</t>
  </si>
  <si>
    <t>PSO131175</t>
  </si>
  <si>
    <t>PSO244428</t>
  </si>
  <si>
    <t>PSO102224</t>
  </si>
  <si>
    <t>PSO7439207</t>
  </si>
  <si>
    <t>PSO122480</t>
  </si>
  <si>
    <t>PSO78647</t>
  </si>
  <si>
    <t>PSO109668</t>
  </si>
  <si>
    <t>PSO7553551</t>
  </si>
  <si>
    <t>PSO113396</t>
  </si>
  <si>
    <t>PSO177966</t>
  </si>
  <si>
    <t>PSO108372</t>
  </si>
  <si>
    <t>PSO183324</t>
  </si>
  <si>
    <t>PSO186300</t>
  </si>
  <si>
    <t>PSO131483</t>
  </si>
  <si>
    <t>PSO272030</t>
  </si>
  <si>
    <t>PSO124880</t>
  </si>
  <si>
    <t>PSO7188903</t>
  </si>
  <si>
    <t>PSO175671</t>
  </si>
  <si>
    <t>PSO97709</t>
  </si>
  <si>
    <t>PSO93129</t>
  </si>
  <si>
    <t>PSO146865</t>
  </si>
  <si>
    <t>PSO132436</t>
  </si>
  <si>
    <t>PSO7502805</t>
  </si>
  <si>
    <t>PSO228944</t>
  </si>
  <si>
    <t>PSO170939</t>
  </si>
  <si>
    <t>PSO177053</t>
  </si>
  <si>
    <t>PSO268275</t>
  </si>
  <si>
    <t>PSO182677</t>
  </si>
  <si>
    <t>PSO233555</t>
  </si>
  <si>
    <t>PSO249200</t>
  </si>
  <si>
    <t>PSO105166</t>
  </si>
  <si>
    <t>PSO141506</t>
  </si>
  <si>
    <t>PSO147073</t>
  </si>
  <si>
    <t>PSO94528</t>
  </si>
  <si>
    <t>PSO7555098</t>
  </si>
  <si>
    <t>PSO244580</t>
  </si>
  <si>
    <t>PSO114550</t>
  </si>
  <si>
    <t>PSO242192</t>
  </si>
  <si>
    <t>PSO271509</t>
  </si>
  <si>
    <t>PSO137016</t>
  </si>
  <si>
    <t>PSO106711</t>
  </si>
  <si>
    <t>PSO77076</t>
  </si>
  <si>
    <t>PSO276326</t>
  </si>
  <si>
    <t>PSO93217</t>
  </si>
  <si>
    <t>PSO98028</t>
  </si>
  <si>
    <t>PSO85414</t>
  </si>
  <si>
    <t>PSO140185</t>
  </si>
  <si>
    <t>PSO133673</t>
  </si>
  <si>
    <t>PSO267398</t>
  </si>
  <si>
    <t>PSO220253</t>
  </si>
  <si>
    <t>PSO177495</t>
  </si>
  <si>
    <t>PSO246689</t>
  </si>
  <si>
    <t>PSO123922</t>
  </si>
  <si>
    <t>PSO97094</t>
  </si>
  <si>
    <t>PSO88424</t>
  </si>
  <si>
    <t>PSO165634</t>
  </si>
  <si>
    <t>PSO80442</t>
  </si>
  <si>
    <t>PSO126030</t>
  </si>
  <si>
    <t>PSO245305</t>
  </si>
  <si>
    <t>PSO263445</t>
  </si>
  <si>
    <t>PSO140558</t>
  </si>
  <si>
    <t>PSO269450</t>
  </si>
  <si>
    <t>PSO206200</t>
  </si>
  <si>
    <t>PSO266566</t>
  </si>
  <si>
    <t>PSO142089</t>
  </si>
  <si>
    <t>PSO123470</t>
  </si>
  <si>
    <t>PSO113348</t>
  </si>
  <si>
    <t>PSO102161</t>
  </si>
  <si>
    <t>PSO165519</t>
  </si>
  <si>
    <t>PSO143784</t>
  </si>
  <si>
    <t>PSO101770</t>
  </si>
  <si>
    <t>PSO89392</t>
  </si>
  <si>
    <t>PSO246280</t>
  </si>
  <si>
    <t>PSO238261</t>
  </si>
  <si>
    <t>PSO122117</t>
  </si>
  <si>
    <t>PSO264368</t>
  </si>
  <si>
    <t>PSO119401</t>
  </si>
  <si>
    <t>PSO7253066</t>
  </si>
  <si>
    <t>PSO150607</t>
  </si>
  <si>
    <t>PSO180291</t>
  </si>
  <si>
    <t>PSO132696</t>
  </si>
  <si>
    <t>PSO144189</t>
  </si>
  <si>
    <t>PSO85874</t>
  </si>
  <si>
    <t>PSO178413</t>
  </si>
  <si>
    <t>PSO146190</t>
  </si>
  <si>
    <t>PSO270004</t>
  </si>
  <si>
    <t>PSO138790</t>
  </si>
  <si>
    <t>PSO168633</t>
  </si>
  <si>
    <t>PSO80884</t>
  </si>
  <si>
    <t>PSO144701</t>
  </si>
  <si>
    <t>PSO101652</t>
  </si>
  <si>
    <t>PSO174928</t>
  </si>
  <si>
    <t>PSO133129</t>
  </si>
  <si>
    <t>PSO77838</t>
  </si>
  <si>
    <t>PSO102017</t>
  </si>
  <si>
    <t>PSO145632</t>
  </si>
  <si>
    <t>PSO77325</t>
  </si>
  <si>
    <t>PSO104411</t>
  </si>
  <si>
    <t>PSO102887</t>
  </si>
  <si>
    <t>PSO181093</t>
  </si>
  <si>
    <t>PSO88007</t>
  </si>
  <si>
    <t>PSO99829</t>
  </si>
  <si>
    <t>PSO7192543</t>
  </si>
  <si>
    <t>PSO135979</t>
  </si>
  <si>
    <t>PSO147525</t>
  </si>
  <si>
    <t>PSO78738</t>
  </si>
  <si>
    <t>PSO104094</t>
  </si>
  <si>
    <t>PSO91423</t>
  </si>
  <si>
    <t>PSO84986</t>
  </si>
  <si>
    <t>PSO130691</t>
  </si>
  <si>
    <t>PSO117587</t>
  </si>
  <si>
    <t>PSO106914</t>
  </si>
  <si>
    <t>PSO133982</t>
  </si>
  <si>
    <t>PSO102769</t>
  </si>
  <si>
    <t>PSO131445</t>
  </si>
  <si>
    <t>PSO270705</t>
  </si>
  <si>
    <t>PSO101729</t>
  </si>
  <si>
    <t>PSO110572</t>
  </si>
  <si>
    <t>PSO240051</t>
  </si>
  <si>
    <t>PSO245642</t>
  </si>
  <si>
    <t>PSO133755</t>
  </si>
  <si>
    <t>PSO175400</t>
  </si>
  <si>
    <t>PSO134020</t>
  </si>
  <si>
    <t>PSO110173</t>
  </si>
  <si>
    <t>PSO141236</t>
  </si>
  <si>
    <t>PSO275243</t>
  </si>
  <si>
    <t>PSO74804</t>
  </si>
  <si>
    <t>PSO143181</t>
  </si>
  <si>
    <t>PSO261287</t>
  </si>
  <si>
    <t>PSO107770</t>
  </si>
  <si>
    <t>PSO127540</t>
  </si>
  <si>
    <t>PSO170390</t>
  </si>
  <si>
    <t>PSO247105</t>
  </si>
  <si>
    <t>PSO193765</t>
  </si>
  <si>
    <t>PSO81093</t>
  </si>
  <si>
    <t>PSO144032</t>
  </si>
  <si>
    <t>PSO264270</t>
  </si>
  <si>
    <t>PSO127182</t>
  </si>
  <si>
    <t>PSO7556388</t>
  </si>
  <si>
    <t>PSO76208</t>
  </si>
  <si>
    <t>PSO80881</t>
  </si>
  <si>
    <t>PSO133532</t>
  </si>
  <si>
    <t>PSO141775</t>
  </si>
  <si>
    <t>PSO91819</t>
  </si>
  <si>
    <t>PSO142333</t>
  </si>
  <si>
    <t>PSO250427</t>
  </si>
  <si>
    <t>PSO117036</t>
  </si>
  <si>
    <t>PSO168986</t>
  </si>
  <si>
    <t>PSO110306</t>
  </si>
  <si>
    <t>PSO113706</t>
  </si>
  <si>
    <t>PSO186020</t>
  </si>
  <si>
    <t>PSO77539</t>
  </si>
  <si>
    <t>PSO79090</t>
  </si>
  <si>
    <t>PSO145899</t>
  </si>
  <si>
    <t>PSO117262</t>
  </si>
  <si>
    <t>PSO147840</t>
  </si>
  <si>
    <t>PSO113383</t>
  </si>
  <si>
    <t>PSO128640</t>
  </si>
  <si>
    <t>PSO98727</t>
  </si>
  <si>
    <t>PSO109962</t>
  </si>
  <si>
    <t>PSO131511</t>
  </si>
  <si>
    <t>PSO112391</t>
  </si>
  <si>
    <t>PSO138723</t>
  </si>
  <si>
    <t>PSO262615</t>
  </si>
  <si>
    <t>PSO129145</t>
  </si>
  <si>
    <t>PSO136486</t>
  </si>
  <si>
    <t>PSO249419</t>
  </si>
  <si>
    <t>PSO246043</t>
  </si>
  <si>
    <t>PSO111311</t>
  </si>
  <si>
    <t>PSO80292</t>
  </si>
  <si>
    <t>PSO129864</t>
  </si>
  <si>
    <t>PSO92486</t>
  </si>
  <si>
    <t>PSO132538</t>
  </si>
  <si>
    <t>PSO95505</t>
  </si>
  <si>
    <t>PSO146260</t>
  </si>
  <si>
    <t>PSO7495863</t>
  </si>
  <si>
    <t>PSO143193</t>
  </si>
  <si>
    <t>PSO80590</t>
  </si>
  <si>
    <t>PSO107967</t>
  </si>
  <si>
    <t>PSO125998</t>
  </si>
  <si>
    <t>PSO113397</t>
  </si>
  <si>
    <t>PSO106436</t>
  </si>
  <si>
    <t>PSO119395</t>
  </si>
  <si>
    <t>PSO242933</t>
  </si>
  <si>
    <t>PSO126067</t>
  </si>
  <si>
    <t>PSO133399</t>
  </si>
  <si>
    <t>PSO193777</t>
  </si>
  <si>
    <t>PSO262323</t>
  </si>
  <si>
    <t>PSO147642</t>
  </si>
  <si>
    <t>PSO262171</t>
  </si>
  <si>
    <t>PSO81033</t>
  </si>
  <si>
    <t>PSO138849</t>
  </si>
  <si>
    <t>PSO106602</t>
  </si>
  <si>
    <t>PSO254861</t>
  </si>
  <si>
    <t>PSO277519</t>
  </si>
  <si>
    <t>PSO151426</t>
  </si>
  <si>
    <t>PSO227241</t>
  </si>
  <si>
    <t>PSO80397</t>
  </si>
  <si>
    <t>PSO7317217</t>
  </si>
  <si>
    <t>PSO95176</t>
  </si>
  <si>
    <t>PSO113234</t>
  </si>
  <si>
    <t>PSO261632</t>
  </si>
  <si>
    <t>PSO130051</t>
  </si>
  <si>
    <t>PSO106883</t>
  </si>
  <si>
    <t>PSO87232</t>
  </si>
  <si>
    <t>PSO114639</t>
  </si>
  <si>
    <t>PSO75340</t>
  </si>
  <si>
    <t>PSO102369</t>
  </si>
  <si>
    <t>PSO171583</t>
  </si>
  <si>
    <t>PSO119446</t>
  </si>
  <si>
    <t>PSO126007</t>
  </si>
  <si>
    <t>PSO105127</t>
  </si>
  <si>
    <t>PSO99537</t>
  </si>
  <si>
    <t>PSO133692</t>
  </si>
  <si>
    <t>PSO124663</t>
  </si>
  <si>
    <t>PSO77202</t>
  </si>
  <si>
    <t>PSO174752</t>
  </si>
  <si>
    <t>PSO91615</t>
  </si>
  <si>
    <t>PSO238256</t>
  </si>
  <si>
    <t>PSO92536</t>
  </si>
  <si>
    <t>PSO110829</t>
  </si>
  <si>
    <t>PSO146065</t>
  </si>
  <si>
    <t>PSO141561</t>
  </si>
  <si>
    <t>PSO181454</t>
  </si>
  <si>
    <t>PSO107246</t>
  </si>
  <si>
    <t>PSO104532</t>
  </si>
  <si>
    <t>PSO7363030</t>
  </si>
  <si>
    <t>PSO138525</t>
  </si>
  <si>
    <t>PSO238036</t>
  </si>
  <si>
    <t>PSO87714</t>
  </si>
  <si>
    <t>PSO80317</t>
  </si>
  <si>
    <t>PSO121400</t>
  </si>
  <si>
    <t>PSO140482</t>
  </si>
  <si>
    <t>PSO112288</t>
  </si>
  <si>
    <t>PSO129978</t>
  </si>
  <si>
    <t>PSO181615</t>
  </si>
  <si>
    <t>PSO142441</t>
  </si>
  <si>
    <t>PSO240612</t>
  </si>
  <si>
    <t>PSO80834</t>
  </si>
  <si>
    <t>PSO80797</t>
  </si>
  <si>
    <t>PSO88747</t>
  </si>
  <si>
    <t>PSO175660</t>
  </si>
  <si>
    <t>PSO78766</t>
  </si>
  <si>
    <t>PSO175856</t>
  </si>
  <si>
    <t>PSO169507</t>
  </si>
  <si>
    <t>PSO126772</t>
  </si>
  <si>
    <t>PSO238645</t>
  </si>
  <si>
    <t>PSO193748</t>
  </si>
  <si>
    <t>PSO131877</t>
  </si>
  <si>
    <t>PSO261163</t>
  </si>
  <si>
    <t>PSO147618</t>
  </si>
  <si>
    <t>PSO108361</t>
  </si>
  <si>
    <t>PSO183594</t>
  </si>
  <si>
    <t>PSO7309020</t>
  </si>
  <si>
    <t>PSO85978</t>
  </si>
  <si>
    <t>PSO101527</t>
  </si>
  <si>
    <t>PSO120599</t>
  </si>
  <si>
    <t>PSO119632</t>
  </si>
  <si>
    <t>PSO251216</t>
  </si>
  <si>
    <t>PSO136542</t>
  </si>
  <si>
    <t>PSO142967</t>
  </si>
  <si>
    <t>PSO139718</t>
  </si>
  <si>
    <t>PSO86224</t>
  </si>
  <si>
    <t>PSO266356</t>
  </si>
  <si>
    <t>PSO146807</t>
  </si>
  <si>
    <t>PSO87479</t>
  </si>
  <si>
    <t>PSO99347</t>
  </si>
  <si>
    <t>PSO112226</t>
  </si>
  <si>
    <t>PSO120640</t>
  </si>
  <si>
    <t>PSO7342612</t>
  </si>
  <si>
    <t>PSO84367</t>
  </si>
  <si>
    <t>PSO107978</t>
  </si>
  <si>
    <t>PSO121280</t>
  </si>
  <si>
    <t>PSO118917</t>
  </si>
  <si>
    <t>PSO89841</t>
  </si>
  <si>
    <t>PSO221700</t>
  </si>
  <si>
    <t>PSO130890</t>
  </si>
  <si>
    <t>PSO141781</t>
  </si>
  <si>
    <t>PSO77333</t>
  </si>
  <si>
    <t>PSO124476</t>
  </si>
  <si>
    <t>PSO125921</t>
  </si>
  <si>
    <t>PSO100781</t>
  </si>
  <si>
    <t>PSO109205</t>
  </si>
  <si>
    <t>PSO75303</t>
  </si>
  <si>
    <t>PSO110207</t>
  </si>
  <si>
    <t>PSO107892</t>
  </si>
  <si>
    <t>PSO178107</t>
  </si>
  <si>
    <t>PSO131000</t>
  </si>
  <si>
    <t>PSO106157</t>
  </si>
  <si>
    <t>PSO146621</t>
  </si>
  <si>
    <t>PSO241181</t>
  </si>
  <si>
    <t>PSO260561</t>
  </si>
  <si>
    <t>PSO245850</t>
  </si>
  <si>
    <t>PSO103583</t>
  </si>
  <si>
    <t>PSO144687</t>
  </si>
  <si>
    <t>PSO141875</t>
  </si>
  <si>
    <t>PSO99569</t>
  </si>
  <si>
    <t>PSO258019</t>
  </si>
  <si>
    <t>PSO132302</t>
  </si>
  <si>
    <t>PSO239010</t>
  </si>
  <si>
    <t>PSO77412</t>
  </si>
  <si>
    <t>PSO120420</t>
  </si>
  <si>
    <t>PSO142756</t>
  </si>
  <si>
    <t>PSO126702</t>
  </si>
  <si>
    <t>PSO253696</t>
  </si>
  <si>
    <t>PSO172244</t>
  </si>
  <si>
    <t>PSO147007</t>
  </si>
  <si>
    <t>PSO139139</t>
  </si>
  <si>
    <t>PSO141467</t>
  </si>
  <si>
    <t>PSO106158</t>
  </si>
  <si>
    <t>PSO149280</t>
  </si>
  <si>
    <t>PSO237123</t>
  </si>
  <si>
    <t>PSO131428</t>
  </si>
  <si>
    <t>PSO145308</t>
  </si>
  <si>
    <t>PSO254376</t>
  </si>
  <si>
    <t>PSO114655</t>
  </si>
  <si>
    <t>PSO132402</t>
  </si>
  <si>
    <t>PSO268131</t>
  </si>
  <si>
    <t>PSO155927</t>
  </si>
  <si>
    <t>PSO98894</t>
  </si>
  <si>
    <t>PSO276308</t>
  </si>
  <si>
    <t>PSO103001</t>
  </si>
  <si>
    <t>PSO144546</t>
  </si>
  <si>
    <t>PSO118046</t>
  </si>
  <si>
    <t>PSO245499</t>
  </si>
  <si>
    <t>PSO90154</t>
  </si>
  <si>
    <t>PSO98538</t>
  </si>
  <si>
    <t>PSO174435</t>
  </si>
  <si>
    <t>PSO101540</t>
  </si>
  <si>
    <t>PSO89820</t>
  </si>
  <si>
    <t>PSO265398</t>
  </si>
  <si>
    <t>PSO83930</t>
  </si>
  <si>
    <t>PSO7553563</t>
  </si>
  <si>
    <t>PSO145363</t>
  </si>
  <si>
    <t>PSO134458</t>
  </si>
  <si>
    <t>PSO94460</t>
  </si>
  <si>
    <t>PSO103449</t>
  </si>
  <si>
    <t>PSO128239</t>
  </si>
  <si>
    <t>PSO240761</t>
  </si>
  <si>
    <t>PSO240740</t>
  </si>
  <si>
    <t>PSO128255</t>
  </si>
  <si>
    <t>PSO134004</t>
  </si>
  <si>
    <t>PSO80778</t>
  </si>
  <si>
    <t>PSO130539</t>
  </si>
  <si>
    <t>PSO183419</t>
  </si>
  <si>
    <t>PSO97457</t>
  </si>
  <si>
    <t>PSO249053</t>
  </si>
  <si>
    <t>PSO257645</t>
  </si>
  <si>
    <t>PSO108809</t>
  </si>
  <si>
    <t>PSO83917</t>
  </si>
  <si>
    <t>PSO7212381</t>
  </si>
  <si>
    <t>PSO235576</t>
  </si>
  <si>
    <t>PSO103080</t>
  </si>
  <si>
    <t>PSO118933</t>
  </si>
  <si>
    <t>PSO160965</t>
  </si>
  <si>
    <t>PSO98901</t>
  </si>
  <si>
    <t>PSO140548</t>
  </si>
  <si>
    <t>PSO147466</t>
  </si>
  <si>
    <t>PSO86915</t>
  </si>
  <si>
    <t>PSO170384</t>
  </si>
  <si>
    <t>PSO188472</t>
  </si>
  <si>
    <t>PSO246311</t>
  </si>
  <si>
    <t>PSO109656</t>
  </si>
  <si>
    <t>PSO78468</t>
  </si>
  <si>
    <t>PSO133697</t>
  </si>
  <si>
    <t>PSO269580</t>
  </si>
  <si>
    <t>PSO105338</t>
  </si>
  <si>
    <t>PSO111399</t>
  </si>
  <si>
    <t>PSO138082</t>
  </si>
  <si>
    <t>PSO142778</t>
  </si>
  <si>
    <t>PSO75696</t>
  </si>
  <si>
    <t>PSO121845</t>
  </si>
  <si>
    <t>PSO99943</t>
  </si>
  <si>
    <t>PSO7528320</t>
  </si>
  <si>
    <t>PSO110345</t>
  </si>
  <si>
    <t>PSO242893</t>
  </si>
  <si>
    <t>PSO97487</t>
  </si>
  <si>
    <t>PSO168411</t>
  </si>
  <si>
    <t>PSO7164285</t>
  </si>
  <si>
    <t>PSO144813</t>
  </si>
  <si>
    <t>PSO144476</t>
  </si>
  <si>
    <t>PSO247758</t>
  </si>
  <si>
    <t>PSO135135</t>
  </si>
  <si>
    <t>PSO249831</t>
  </si>
  <si>
    <t>PSO110672</t>
  </si>
  <si>
    <t>PSO172934</t>
  </si>
  <si>
    <t>PSO83830</t>
  </si>
  <si>
    <t>PSO130714</t>
  </si>
  <si>
    <t>PSO120478</t>
  </si>
  <si>
    <t>PSO115858</t>
  </si>
  <si>
    <t>PSO129362</t>
  </si>
  <si>
    <t>PSO262627</t>
  </si>
  <si>
    <t>PSO119929</t>
  </si>
  <si>
    <t>PSO249232</t>
  </si>
  <si>
    <t>PSO147702</t>
  </si>
  <si>
    <t>PSO187276</t>
  </si>
  <si>
    <t>PSO253963</t>
  </si>
  <si>
    <t>PSO142596</t>
  </si>
  <si>
    <t>PSO113284</t>
  </si>
  <si>
    <t>PSO105661</t>
  </si>
  <si>
    <t>PSO219016</t>
  </si>
  <si>
    <t>PSO143682</t>
  </si>
  <si>
    <t>PSO113093</t>
  </si>
  <si>
    <t>PSO132399</t>
  </si>
  <si>
    <t>PSO172581</t>
  </si>
  <si>
    <t>PSO147827</t>
  </si>
  <si>
    <t>PSO142154</t>
  </si>
  <si>
    <t>PSO7543607</t>
  </si>
  <si>
    <t>PSO252919</t>
  </si>
  <si>
    <t>PSO240840</t>
  </si>
  <si>
    <t>PSO140106</t>
  </si>
  <si>
    <t>PSO115688</t>
  </si>
  <si>
    <t>PSO239274</t>
  </si>
  <si>
    <t>PSO136922</t>
  </si>
  <si>
    <t>PSO84887</t>
  </si>
  <si>
    <t>PSO172599</t>
  </si>
  <si>
    <t>PSO188587</t>
  </si>
  <si>
    <t>PSO119498</t>
  </si>
  <si>
    <t>PSO169148</t>
  </si>
  <si>
    <t>PSO99951</t>
  </si>
  <si>
    <t>PSO112634</t>
  </si>
  <si>
    <t>PSO102680</t>
  </si>
  <si>
    <t>PSO7557758</t>
  </si>
  <si>
    <t>PSO126352</t>
  </si>
  <si>
    <t>PSO128732</t>
  </si>
  <si>
    <t>PSO250554</t>
  </si>
  <si>
    <t>PSO97415</t>
  </si>
  <si>
    <t>PSO114881</t>
  </si>
  <si>
    <t>PSO81251</t>
  </si>
  <si>
    <t>PSO143896</t>
  </si>
  <si>
    <t>PSO100792</t>
  </si>
  <si>
    <t>PSO184769</t>
  </si>
  <si>
    <t>PSO88009</t>
  </si>
  <si>
    <t>PSO7363079</t>
  </si>
  <si>
    <t>PSO263145</t>
  </si>
  <si>
    <t>PSO100041</t>
  </si>
  <si>
    <t>PSO143843</t>
  </si>
  <si>
    <t>PSO138791</t>
  </si>
  <si>
    <t>PSO94834</t>
  </si>
  <si>
    <t>PSO132637</t>
  </si>
  <si>
    <t>PSO115982</t>
  </si>
  <si>
    <t>PSO103371</t>
  </si>
  <si>
    <t>PSO7523562</t>
  </si>
  <si>
    <t>PSO263188</t>
  </si>
  <si>
    <t>PSO143501</t>
  </si>
  <si>
    <t>PSO76753</t>
  </si>
  <si>
    <t>PSO131998</t>
  </si>
  <si>
    <t>PSO97901</t>
  </si>
  <si>
    <t>PSO122367</t>
  </si>
  <si>
    <t>PSO119479</t>
  </si>
  <si>
    <t>PSO143293</t>
  </si>
  <si>
    <t>PSO147095</t>
  </si>
  <si>
    <t>PSO101863</t>
  </si>
  <si>
    <t>PSO143249</t>
  </si>
  <si>
    <t>PSO247765</t>
  </si>
  <si>
    <t>PSO181732</t>
  </si>
  <si>
    <t>PSO248705</t>
  </si>
  <si>
    <t>PSO117963</t>
  </si>
  <si>
    <t>PSO143404</t>
  </si>
  <si>
    <t>PSO257774</t>
  </si>
  <si>
    <t>PSO90777</t>
  </si>
  <si>
    <t>PSO171395</t>
  </si>
  <si>
    <t>PSO102807</t>
  </si>
  <si>
    <t>PSO110003</t>
  </si>
  <si>
    <t>PSO77519</t>
  </si>
  <si>
    <t>PSO94616</t>
  </si>
  <si>
    <t>PSO145910</t>
  </si>
  <si>
    <t>PSO166190</t>
  </si>
  <si>
    <t>PSO123098</t>
  </si>
  <si>
    <t>PSO101764</t>
  </si>
  <si>
    <t>PSO142965</t>
  </si>
  <si>
    <t>PSO136294</t>
  </si>
  <si>
    <t>PSO175104</t>
  </si>
  <si>
    <t>PSO131523</t>
  </si>
  <si>
    <t>PSO90886</t>
  </si>
  <si>
    <t>PSO167522</t>
  </si>
  <si>
    <t>PSO167340</t>
  </si>
  <si>
    <t>PSO85758</t>
  </si>
  <si>
    <t>PSO148972</t>
  </si>
  <si>
    <t>PSO95752</t>
  </si>
  <si>
    <t>PSO122241</t>
  </si>
  <si>
    <t>PSO108074</t>
  </si>
  <si>
    <t>PSO79105</t>
  </si>
  <si>
    <t>PSO241250</t>
  </si>
  <si>
    <t>PSO243629</t>
  </si>
  <si>
    <t>PSO238763</t>
  </si>
  <si>
    <t>PSO142384</t>
  </si>
  <si>
    <t>PSO86280</t>
  </si>
  <si>
    <t>PSO119919</t>
  </si>
  <si>
    <t>PSO89253</t>
  </si>
  <si>
    <t>PSO173128</t>
  </si>
  <si>
    <t>PSO146638</t>
  </si>
  <si>
    <t>PSO108168</t>
  </si>
  <si>
    <t>PSO108988</t>
  </si>
  <si>
    <t>PSO224493</t>
  </si>
  <si>
    <t>PSO114048</t>
  </si>
  <si>
    <t>PSO121167</t>
  </si>
  <si>
    <t>PSO135868</t>
  </si>
  <si>
    <t>PSO113515</t>
  </si>
  <si>
    <t>PSO172553</t>
  </si>
  <si>
    <t>PSO146745</t>
  </si>
  <si>
    <t>PSO181290</t>
  </si>
  <si>
    <t>PSO258014</t>
  </si>
  <si>
    <t>PSO78838</t>
  </si>
  <si>
    <t>PSO119292</t>
  </si>
  <si>
    <t>PSO244962</t>
  </si>
  <si>
    <t>PSO107286</t>
  </si>
  <si>
    <t>PSO145240</t>
  </si>
  <si>
    <t>PSO157839</t>
  </si>
  <si>
    <t>PSO111601</t>
  </si>
  <si>
    <t>PSO134806</t>
  </si>
  <si>
    <t>PSO240478</t>
  </si>
  <si>
    <t>PSO240261</t>
  </si>
  <si>
    <t>PSO227579</t>
  </si>
  <si>
    <t>PSO275539</t>
  </si>
  <si>
    <t>PSO116614</t>
  </si>
  <si>
    <t>PSO259805</t>
  </si>
  <si>
    <t>PSO136491</t>
  </si>
  <si>
    <t>PSO107251</t>
  </si>
  <si>
    <t>PSO274134</t>
  </si>
  <si>
    <t>PSO138479</t>
  </si>
  <si>
    <t>PSO105363</t>
  </si>
  <si>
    <t>PSO134275</t>
  </si>
  <si>
    <t>PSO105087</t>
  </si>
  <si>
    <t>PSO249923</t>
  </si>
  <si>
    <t>PSO145613</t>
  </si>
  <si>
    <t>PSO136152</t>
  </si>
  <si>
    <t>PSO137748</t>
  </si>
  <si>
    <t>PSO100312</t>
  </si>
  <si>
    <t>PSO107825</t>
  </si>
  <si>
    <t>PSO143674</t>
  </si>
  <si>
    <t>PSO272164</t>
  </si>
  <si>
    <t>PSO122269</t>
  </si>
  <si>
    <t>PSO248717</t>
  </si>
  <si>
    <t>PSO171390</t>
  </si>
  <si>
    <t>PSO99504</t>
  </si>
  <si>
    <t>PSO117302</t>
  </si>
  <si>
    <t>PSO168283</t>
  </si>
  <si>
    <t>PSO170423</t>
  </si>
  <si>
    <t>PSO7157605</t>
  </si>
  <si>
    <t>PSO140496</t>
  </si>
  <si>
    <t>PSO132980</t>
  </si>
  <si>
    <t>PSO121404</t>
  </si>
  <si>
    <t>PSO79444</t>
  </si>
  <si>
    <t>PSO127543</t>
  </si>
  <si>
    <t>PSO146774</t>
  </si>
  <si>
    <t>PSO175441</t>
  </si>
  <si>
    <t>PSO92701</t>
  </si>
  <si>
    <t>PSO99447</t>
  </si>
  <si>
    <t>PSO133647</t>
  </si>
  <si>
    <t>PSO266371</t>
  </si>
  <si>
    <t>PSO131263</t>
  </si>
  <si>
    <t>PSO114471</t>
  </si>
  <si>
    <t>PSO257849</t>
  </si>
  <si>
    <t>PSO179186</t>
  </si>
  <si>
    <t>PSO120515</t>
  </si>
  <si>
    <t>PSO7502728</t>
  </si>
  <si>
    <t>PSO105538</t>
  </si>
  <si>
    <t>PSO196263</t>
  </si>
  <si>
    <t>PSO124079</t>
  </si>
  <si>
    <t>PSO139413</t>
  </si>
  <si>
    <t>PSO140410</t>
  </si>
  <si>
    <t>PSO76278</t>
  </si>
  <si>
    <t>PSO260160</t>
  </si>
  <si>
    <t>PSO238244</t>
  </si>
  <si>
    <t>PSO7489329</t>
  </si>
  <si>
    <t>PSO266447</t>
  </si>
  <si>
    <t>PSO183590</t>
  </si>
  <si>
    <t>PSO110682</t>
  </si>
  <si>
    <t>PSO117522</t>
  </si>
  <si>
    <t>PSO105463</t>
  </si>
  <si>
    <t>PSO102917</t>
  </si>
  <si>
    <t>PSO243997</t>
  </si>
  <si>
    <t>PSO247426</t>
  </si>
  <si>
    <t>PSO240553</t>
  </si>
  <si>
    <t>PSO79233</t>
  </si>
  <si>
    <t>PSO134706</t>
  </si>
  <si>
    <t>PSO126909</t>
  </si>
  <si>
    <t>PSO142924</t>
  </si>
  <si>
    <t>PSO89638</t>
  </si>
  <si>
    <t>PSO80219</t>
  </si>
  <si>
    <t>PSO126564</t>
  </si>
  <si>
    <t>PSO127665</t>
  </si>
  <si>
    <t>PSO114822</t>
  </si>
  <si>
    <t>PSO147156</t>
  </si>
  <si>
    <t>PSO135096</t>
  </si>
  <si>
    <t>PSO135403</t>
  </si>
  <si>
    <t>PSO116969</t>
  </si>
  <si>
    <t>PSO79076</t>
  </si>
  <si>
    <t>PSO247806</t>
  </si>
  <si>
    <t>PSO124666</t>
  </si>
  <si>
    <t>PSO145103</t>
  </si>
  <si>
    <t>PSO146488</t>
  </si>
  <si>
    <t>PSO77850</t>
  </si>
  <si>
    <t>PSO128425</t>
  </si>
  <si>
    <t>PSO268991</t>
  </si>
  <si>
    <t>PSO258038</t>
  </si>
  <si>
    <t>PSO106019</t>
  </si>
  <si>
    <t>PSO103968</t>
  </si>
  <si>
    <t>PSO84913</t>
  </si>
  <si>
    <t>PSO271802</t>
  </si>
  <si>
    <t>PSO187772</t>
  </si>
  <si>
    <t>PSO239936</t>
  </si>
  <si>
    <t>PSO146323</t>
  </si>
  <si>
    <t>PSO144103</t>
  </si>
  <si>
    <t>PSO114442</t>
  </si>
  <si>
    <t>PSO271886</t>
  </si>
  <si>
    <t>PSO123365</t>
  </si>
  <si>
    <t>PSO85483</t>
  </si>
  <si>
    <t>PSO105351</t>
  </si>
  <si>
    <t>PSO108941</t>
  </si>
  <si>
    <t>PSO142442</t>
  </si>
  <si>
    <t>PSO258200</t>
  </si>
  <si>
    <t>PSO183043</t>
  </si>
  <si>
    <t>PSO118681</t>
  </si>
  <si>
    <t>PSO7524382</t>
  </si>
  <si>
    <t>PSO94864</t>
  </si>
  <si>
    <t>PSO174230</t>
  </si>
  <si>
    <t>PSO74734</t>
  </si>
  <si>
    <t>PSO243950</t>
  </si>
  <si>
    <t>PSO263373</t>
  </si>
  <si>
    <t>PSO111433</t>
  </si>
  <si>
    <t>PSO250518</t>
  </si>
  <si>
    <t>PSO184381</t>
  </si>
  <si>
    <t>PSO184613</t>
  </si>
  <si>
    <t>PSO119312</t>
  </si>
  <si>
    <t>PSO129786</t>
  </si>
  <si>
    <t>PSO185557</t>
  </si>
  <si>
    <t>PSO259543</t>
  </si>
  <si>
    <t>PSO108879</t>
  </si>
  <si>
    <t>PSO114288</t>
  </si>
  <si>
    <t>PSO156885</t>
  </si>
  <si>
    <t>PSO107764</t>
  </si>
  <si>
    <t>PSO252859</t>
  </si>
  <si>
    <t>PSO128154</t>
  </si>
  <si>
    <t>PSO264115</t>
  </si>
  <si>
    <t>PSO237370</t>
  </si>
  <si>
    <t>PSO249279</t>
  </si>
  <si>
    <t>PSO90951</t>
  </si>
  <si>
    <t>PSO139821</t>
  </si>
  <si>
    <t>PSO241364</t>
  </si>
  <si>
    <t>PSO230587</t>
  </si>
  <si>
    <t>PSO116427</t>
  </si>
  <si>
    <t>PSO175931</t>
  </si>
  <si>
    <t>PSO241446</t>
  </si>
  <si>
    <t>PSO187629</t>
  </si>
  <si>
    <t>PSO255099</t>
  </si>
  <si>
    <t>PSO133657</t>
  </si>
  <si>
    <t>PSO242352</t>
  </si>
  <si>
    <t>PSO110050</t>
  </si>
  <si>
    <t>PSO201037</t>
  </si>
  <si>
    <t>PSO269246</t>
  </si>
  <si>
    <t>PSO89002</t>
  </si>
  <si>
    <t>PSO129263</t>
  </si>
  <si>
    <t>PSO137087</t>
  </si>
  <si>
    <t>PSO101146</t>
  </si>
  <si>
    <t>PSO133370</t>
  </si>
  <si>
    <t>PSO266432</t>
  </si>
  <si>
    <t>PSO119736</t>
  </si>
  <si>
    <t>PSO98002</t>
  </si>
  <si>
    <t>PSO83931</t>
  </si>
  <si>
    <t>PSO183664</t>
  </si>
  <si>
    <t>PSO98534</t>
  </si>
  <si>
    <t>PSO145983</t>
  </si>
  <si>
    <t>PSO237438</t>
  </si>
  <si>
    <t>PSO102122</t>
  </si>
  <si>
    <t>PSO248988</t>
  </si>
  <si>
    <t>PSO171359</t>
  </si>
  <si>
    <t>PSO7202684</t>
  </si>
  <si>
    <t>PSO129827</t>
  </si>
  <si>
    <t>PSO189020</t>
  </si>
  <si>
    <t>PSO136874</t>
  </si>
  <si>
    <t>PSO92333</t>
  </si>
  <si>
    <t>PSO83064</t>
  </si>
  <si>
    <t>PSO144846</t>
  </si>
  <si>
    <t>PSO257133</t>
  </si>
  <si>
    <t>PSO112249</t>
  </si>
  <si>
    <t>PSO111395</t>
  </si>
  <si>
    <t>PSO114845</t>
  </si>
  <si>
    <t>PSO110148</t>
  </si>
  <si>
    <t>PSO7334143</t>
  </si>
  <si>
    <t>PSO131538</t>
  </si>
  <si>
    <t>PSO196829</t>
  </si>
  <si>
    <t>PSO7372168</t>
  </si>
  <si>
    <t>PSO262368</t>
  </si>
  <si>
    <t>PSO245904</t>
  </si>
  <si>
    <t>PSO122516</t>
  </si>
  <si>
    <t>PSO176420</t>
  </si>
  <si>
    <t>PSO142811</t>
  </si>
  <si>
    <t>PSO131257</t>
  </si>
  <si>
    <t>PSO263502</t>
  </si>
  <si>
    <t>PSO97197</t>
  </si>
  <si>
    <t>PSO181111</t>
  </si>
  <si>
    <t>PSO250207</t>
  </si>
  <si>
    <t>PSO116521</t>
  </si>
  <si>
    <t>PSO260237</t>
  </si>
  <si>
    <t>PSO180992</t>
  </si>
  <si>
    <t>PSO85498</t>
  </si>
  <si>
    <t>PSO137453</t>
  </si>
  <si>
    <t>PSO94278</t>
  </si>
  <si>
    <t>PSO7162310</t>
  </si>
  <si>
    <t>PSO230557</t>
  </si>
  <si>
    <t>PSO174032</t>
  </si>
  <si>
    <t>PSO176031</t>
  </si>
  <si>
    <t>PSO105279</t>
  </si>
  <si>
    <t>PSO92175</t>
  </si>
  <si>
    <t>PSO240806</t>
  </si>
  <si>
    <t>PSO186031</t>
  </si>
  <si>
    <t>PSO121921</t>
  </si>
  <si>
    <t>PSO7188908</t>
  </si>
  <si>
    <t>PSO125117</t>
  </si>
  <si>
    <t>PSO178426</t>
  </si>
  <si>
    <t>PSO102629</t>
  </si>
  <si>
    <t>PSO81339</t>
  </si>
  <si>
    <t>PSO182379</t>
  </si>
  <si>
    <t>PSO7372171</t>
  </si>
  <si>
    <t>PSO119066</t>
  </si>
  <si>
    <t>PSO139655</t>
  </si>
  <si>
    <t>PSO144107</t>
  </si>
  <si>
    <t>PSO258253</t>
  </si>
  <si>
    <t>PSO83567</t>
  </si>
  <si>
    <t>PSO102364</t>
  </si>
  <si>
    <t>PSO158252</t>
  </si>
  <si>
    <t>PSO246021</t>
  </si>
  <si>
    <t>PSO190751</t>
  </si>
  <si>
    <t>PSO126930</t>
  </si>
  <si>
    <t>PSO107219</t>
  </si>
  <si>
    <t>PSO121108</t>
  </si>
  <si>
    <t>PSO134306</t>
  </si>
  <si>
    <t>PSO143417</t>
  </si>
  <si>
    <t>PSO159545</t>
  </si>
  <si>
    <t>PSO131345</t>
  </si>
  <si>
    <t>PSO7322677</t>
  </si>
  <si>
    <t>PSO87434</t>
  </si>
  <si>
    <t>PSO245281</t>
  </si>
  <si>
    <t>PSO194197</t>
  </si>
  <si>
    <t>PSO76241</t>
  </si>
  <si>
    <t>PSO145561</t>
  </si>
  <si>
    <t>PSO175248</t>
  </si>
  <si>
    <t>PSO258141</t>
  </si>
  <si>
    <t>PSO186046</t>
  </si>
  <si>
    <t>PSO244107</t>
  </si>
  <si>
    <t>PSO112947</t>
  </si>
  <si>
    <t>PSO141902</t>
  </si>
  <si>
    <t>PSO119474</t>
  </si>
  <si>
    <t>PSO243026</t>
  </si>
  <si>
    <t>PSO127520</t>
  </si>
  <si>
    <t>PSO115451</t>
  </si>
  <si>
    <t>PSO182288</t>
  </si>
  <si>
    <t>PSO107633</t>
  </si>
  <si>
    <t>PSO115725</t>
  </si>
  <si>
    <t>PSO121558</t>
  </si>
  <si>
    <t>PSO105864</t>
  </si>
  <si>
    <t>PSO118534</t>
  </si>
  <si>
    <t>PSO131983</t>
  </si>
  <si>
    <t>PSO116497</t>
  </si>
  <si>
    <t>PSO141520</t>
  </si>
  <si>
    <t>PSO247231</t>
  </si>
  <si>
    <t>PSO176981</t>
  </si>
  <si>
    <t>PSO164750</t>
  </si>
  <si>
    <t>PSO111981</t>
  </si>
  <si>
    <t>PSO144423</t>
  </si>
  <si>
    <t>PSO120877</t>
  </si>
  <si>
    <t>PSO105080</t>
  </si>
  <si>
    <t>PSO7284898</t>
  </si>
  <si>
    <t>PSO172525</t>
  </si>
  <si>
    <t>PSO7221766</t>
  </si>
  <si>
    <t>PSO140667</t>
  </si>
  <si>
    <t>PSO248960</t>
  </si>
  <si>
    <t>PSO146064</t>
  </si>
  <si>
    <t>PSO131075</t>
  </si>
  <si>
    <t>PSO131237</t>
  </si>
  <si>
    <t>PSO178851</t>
  </si>
  <si>
    <t>PSO248455</t>
  </si>
  <si>
    <t>PSO160915</t>
  </si>
  <si>
    <t>PSO258624</t>
  </si>
  <si>
    <t>PSO107670</t>
  </si>
  <si>
    <t>PSO193770</t>
  </si>
  <si>
    <t>PSO143813</t>
  </si>
  <si>
    <t>PSO120346</t>
  </si>
  <si>
    <t>PSO177025</t>
  </si>
  <si>
    <t>PSO109619</t>
  </si>
  <si>
    <t>PSO145956</t>
  </si>
  <si>
    <t>PSO131777</t>
  </si>
  <si>
    <t>PSO109943</t>
  </si>
  <si>
    <t>PSO134647</t>
  </si>
  <si>
    <t>PSO272630</t>
  </si>
  <si>
    <t>PSO250216</t>
  </si>
  <si>
    <t>PSO128448</t>
  </si>
  <si>
    <t>PSO245882</t>
  </si>
  <si>
    <t>PSO186348</t>
  </si>
  <si>
    <t>PSO119310</t>
  </si>
  <si>
    <t>PSO103367</t>
  </si>
  <si>
    <t>PSO146140</t>
  </si>
  <si>
    <t>PSO74789</t>
  </si>
  <si>
    <t>PSO144394</t>
  </si>
  <si>
    <t>PSO129916</t>
  </si>
  <si>
    <t>PSO264224</t>
  </si>
  <si>
    <t>PSO245818</t>
  </si>
  <si>
    <t>PSO82472</t>
  </si>
  <si>
    <t>PSO100313</t>
  </si>
  <si>
    <t>PSO139683</t>
  </si>
  <si>
    <t>PSO78083</t>
  </si>
  <si>
    <t>PSO109219</t>
  </si>
  <si>
    <t>PSO232290</t>
  </si>
  <si>
    <t>PSO103029</t>
  </si>
  <si>
    <t>PSO95615</t>
  </si>
  <si>
    <t>PSO98090</t>
  </si>
  <si>
    <t>PSO187146</t>
  </si>
  <si>
    <t>PSO240369</t>
  </si>
  <si>
    <t>PSO145744</t>
  </si>
  <si>
    <t>PSO113184</t>
  </si>
  <si>
    <t>PSO122103</t>
  </si>
  <si>
    <t>PSO167095</t>
  </si>
  <si>
    <t>PSO145155</t>
  </si>
  <si>
    <t>PSO83679</t>
  </si>
  <si>
    <t>PSO270758</t>
  </si>
  <si>
    <t>PSO147598</t>
  </si>
  <si>
    <t>PSO239917</t>
  </si>
  <si>
    <t>PSO216486</t>
  </si>
  <si>
    <t>PSO80909</t>
  </si>
  <si>
    <t>PSO122816</t>
  </si>
  <si>
    <t>PSO183595</t>
  </si>
  <si>
    <t>PSO132129</t>
  </si>
  <si>
    <t>PSO146336</t>
  </si>
  <si>
    <t>PSO136971</t>
  </si>
  <si>
    <t>PSO145059</t>
  </si>
  <si>
    <t>PSO184466</t>
  </si>
  <si>
    <t>PSO132512</t>
  </si>
  <si>
    <t>PSO127198</t>
  </si>
  <si>
    <t>PSO175897</t>
  </si>
  <si>
    <t>PSO130049</t>
  </si>
  <si>
    <t>PSO91841</t>
  </si>
  <si>
    <t>PSO178096</t>
  </si>
  <si>
    <t>PSO112325</t>
  </si>
  <si>
    <t>PSO170674</t>
  </si>
  <si>
    <t>PSO97976</t>
  </si>
  <si>
    <t>PSO176117</t>
  </si>
  <si>
    <t>PSO125891</t>
  </si>
  <si>
    <t>PSO140342</t>
  </si>
  <si>
    <t>PSO82194</t>
  </si>
  <si>
    <t>PSO257862</t>
  </si>
  <si>
    <t>PSO192048</t>
  </si>
  <si>
    <t>PSO143745</t>
  </si>
  <si>
    <t>PSO85868</t>
  </si>
  <si>
    <t>PSO92388</t>
  </si>
  <si>
    <t>PSO241490</t>
  </si>
  <si>
    <t>PSO130621</t>
  </si>
  <si>
    <t>PSO244887</t>
  </si>
  <si>
    <t>PSO112873</t>
  </si>
  <si>
    <t>PSO251777</t>
  </si>
  <si>
    <t>PSO128927</t>
  </si>
  <si>
    <t>PSO129732</t>
  </si>
  <si>
    <t>PSO82038</t>
  </si>
  <si>
    <t>PSO109169</t>
  </si>
  <si>
    <t>PSO185906</t>
  </si>
  <si>
    <t>PSO239254</t>
  </si>
  <si>
    <t>PSO116278</t>
  </si>
  <si>
    <t>PSO108143</t>
  </si>
  <si>
    <t>PSO134965</t>
  </si>
  <si>
    <t>PSO120284</t>
  </si>
  <si>
    <t>PSO142299</t>
  </si>
  <si>
    <t>PSO95454</t>
  </si>
  <si>
    <t>PSO140898</t>
  </si>
  <si>
    <t>PSO136946</t>
  </si>
  <si>
    <t>PSO114782</t>
  </si>
  <si>
    <t>PSO239130</t>
  </si>
  <si>
    <t>PSO172300</t>
  </si>
  <si>
    <t>PSO248068</t>
  </si>
  <si>
    <t>PSO260302</t>
  </si>
  <si>
    <t>PSO103030</t>
  </si>
  <si>
    <t>PSO130211</t>
  </si>
  <si>
    <t>PSO175436</t>
  </si>
  <si>
    <t>PSO181404</t>
  </si>
  <si>
    <t>PSO174425</t>
  </si>
  <si>
    <t>PSO96725</t>
  </si>
  <si>
    <t>PSO84596</t>
  </si>
  <si>
    <t>PSO140516</t>
  </si>
  <si>
    <t>PSO111772</t>
  </si>
  <si>
    <t>PSO179398</t>
  </si>
  <si>
    <t>PSO168610</t>
  </si>
  <si>
    <t>PSO172571</t>
  </si>
  <si>
    <t>PSO269036</t>
  </si>
  <si>
    <t>PSO137319</t>
  </si>
  <si>
    <t>PSO78272</t>
  </si>
  <si>
    <t>PSO140074</t>
  </si>
  <si>
    <t>PSO140434</t>
  </si>
  <si>
    <t>PSO263086</t>
  </si>
  <si>
    <t>PSO7356735</t>
  </si>
  <si>
    <t>PSO249632</t>
  </si>
  <si>
    <t>PSO97628</t>
  </si>
  <si>
    <t>PSO7261382</t>
  </si>
  <si>
    <t>PSO83330</t>
  </si>
  <si>
    <t>PSO139996</t>
  </si>
  <si>
    <t>PSO105603</t>
  </si>
  <si>
    <t>PSO259701</t>
  </si>
  <si>
    <t>PSO144785</t>
  </si>
  <si>
    <t>PSO258731</t>
  </si>
  <si>
    <t>PSO88978</t>
  </si>
  <si>
    <t>PSO86981</t>
  </si>
  <si>
    <t>PSO88368</t>
  </si>
  <si>
    <t>PSO183844</t>
  </si>
  <si>
    <t>PSO249782</t>
  </si>
  <si>
    <t>PSO113540</t>
  </si>
  <si>
    <t>PSO123237</t>
  </si>
  <si>
    <t>PSO127954</t>
  </si>
  <si>
    <t>PSO216705</t>
  </si>
  <si>
    <t>PSO136790</t>
  </si>
  <si>
    <t>PSO82714</t>
  </si>
  <si>
    <t>PSO249470</t>
  </si>
  <si>
    <t>PSO77407</t>
  </si>
  <si>
    <t>PSO87312</t>
  </si>
  <si>
    <t>PSO171654</t>
  </si>
  <si>
    <t>PSO136848</t>
  </si>
  <si>
    <t>PSO102174</t>
  </si>
  <si>
    <t>PSO140847</t>
  </si>
  <si>
    <t>PSO147173</t>
  </si>
  <si>
    <t>PSO275924</t>
  </si>
  <si>
    <t>PSO89695</t>
  </si>
  <si>
    <t>PSO114942</t>
  </si>
  <si>
    <t>PSO7294001</t>
  </si>
  <si>
    <t>PSO250578</t>
  </si>
  <si>
    <t>PSO146305</t>
  </si>
  <si>
    <t>PSO140852</t>
  </si>
  <si>
    <t>PSO122000</t>
  </si>
  <si>
    <t>PSO85237</t>
  </si>
  <si>
    <t>PSO184362</t>
  </si>
  <si>
    <t>PSO262776</t>
  </si>
  <si>
    <t>PSO92113</t>
  </si>
  <si>
    <t>PSO107661</t>
  </si>
  <si>
    <t>PSO252013</t>
  </si>
  <si>
    <t>PSO116309</t>
  </si>
  <si>
    <t>PSO113730</t>
  </si>
  <si>
    <t>PSO119152</t>
  </si>
  <si>
    <t>PSO243774</t>
  </si>
  <si>
    <t>PSO145205</t>
  </si>
  <si>
    <t>PSO92151</t>
  </si>
  <si>
    <t>PSO89896</t>
  </si>
  <si>
    <t>PSO136777</t>
  </si>
  <si>
    <t>PSO102987</t>
  </si>
  <si>
    <t>PSO197788</t>
  </si>
  <si>
    <t>PSO141763</t>
  </si>
  <si>
    <t>PSO145887</t>
  </si>
  <si>
    <t>PSO115535</t>
  </si>
  <si>
    <t>PSO262214</t>
  </si>
  <si>
    <t>PSO251157</t>
  </si>
  <si>
    <t>PSO146443</t>
  </si>
  <si>
    <t>PSO270838</t>
  </si>
  <si>
    <t>PSO147335</t>
  </si>
  <si>
    <t>PSO177075</t>
  </si>
  <si>
    <t>PSO144481</t>
  </si>
  <si>
    <t>PSO119226</t>
  </si>
  <si>
    <t>PSO160067</t>
  </si>
  <si>
    <t>PSO142497</t>
  </si>
  <si>
    <t>PSO100441</t>
  </si>
  <si>
    <t>PSO180514</t>
  </si>
  <si>
    <t>PSO237668</t>
  </si>
  <si>
    <t>PSO127828</t>
  </si>
  <si>
    <t>PSO260006</t>
  </si>
  <si>
    <t>PSO178042</t>
  </si>
  <si>
    <t>PSO197638</t>
  </si>
  <si>
    <t>PSO132848</t>
  </si>
  <si>
    <t>PSO102786</t>
  </si>
  <si>
    <t>PSO204204</t>
  </si>
  <si>
    <t>PSO116801</t>
  </si>
  <si>
    <t>PSO238610</t>
  </si>
  <si>
    <t>PSO139934</t>
  </si>
  <si>
    <t>PSO244308</t>
  </si>
  <si>
    <t>PSO128829</t>
  </si>
  <si>
    <t>PSO241922</t>
  </si>
  <si>
    <t>PSO102667</t>
  </si>
  <si>
    <t>PSO237642</t>
  </si>
  <si>
    <t>PSO83397</t>
  </si>
  <si>
    <t>PSO130009</t>
  </si>
  <si>
    <t>PSO104898</t>
  </si>
  <si>
    <t>PSO269755</t>
  </si>
  <si>
    <t>PSO109348</t>
  </si>
  <si>
    <t>PSO147757</t>
  </si>
  <si>
    <t>PSO88839</t>
  </si>
  <si>
    <t>PSO184462</t>
  </si>
  <si>
    <t>PSO238031</t>
  </si>
  <si>
    <t>PSO236711</t>
  </si>
  <si>
    <t>PSO224501</t>
  </si>
  <si>
    <t>PSO105791</t>
  </si>
  <si>
    <t>PSO199551</t>
  </si>
  <si>
    <t>PSO241836</t>
  </si>
  <si>
    <t>PSO262966</t>
  </si>
  <si>
    <t>PSO95405</t>
  </si>
  <si>
    <t>PSO152922</t>
  </si>
  <si>
    <t>PSO121240</t>
  </si>
  <si>
    <t>PSO134036</t>
  </si>
  <si>
    <t>PSO123243</t>
  </si>
  <si>
    <t>PSO122745</t>
  </si>
  <si>
    <t>PSO112447</t>
  </si>
  <si>
    <t>PSO216943</t>
  </si>
  <si>
    <t>PSO7568275</t>
  </si>
  <si>
    <t>PSO126944</t>
  </si>
  <si>
    <t>PSO102411</t>
  </si>
  <si>
    <t>PSO119274</t>
  </si>
  <si>
    <t>PSO189585</t>
  </si>
  <si>
    <t>PSO171086</t>
  </si>
  <si>
    <t>PSO119634</t>
  </si>
  <si>
    <t>PSO169599</t>
  </si>
  <si>
    <t>PSO106757</t>
  </si>
  <si>
    <t>PSO271230</t>
  </si>
  <si>
    <t>PSO87627</t>
  </si>
  <si>
    <t>PSO137594</t>
  </si>
  <si>
    <t>PSO123749</t>
  </si>
  <si>
    <t>PSO144923</t>
  </si>
  <si>
    <t>PSO99280</t>
  </si>
  <si>
    <t>PSO7545439</t>
  </si>
  <si>
    <t>PSO106980</t>
  </si>
  <si>
    <t>PSO109320</t>
  </si>
  <si>
    <t>PSO179207</t>
  </si>
  <si>
    <t>PSO7272561</t>
  </si>
  <si>
    <t>PSO259045</t>
  </si>
  <si>
    <t>PSO117521</t>
  </si>
  <si>
    <t>PSO100107</t>
  </si>
  <si>
    <t>PSO186561</t>
  </si>
  <si>
    <t>PSO138397</t>
  </si>
  <si>
    <t>PSO7502836</t>
  </si>
  <si>
    <t>PSO110828</t>
  </si>
  <si>
    <t>PSO259978</t>
  </si>
  <si>
    <t>PSO254750</t>
  </si>
  <si>
    <t>PSO193743</t>
  </si>
  <si>
    <t>PSO126960</t>
  </si>
  <si>
    <t>PSO277457</t>
  </si>
  <si>
    <t>PSO121679</t>
  </si>
  <si>
    <t>PSO78635</t>
  </si>
  <si>
    <t>PSO132510</t>
  </si>
  <si>
    <t>PSO220890</t>
  </si>
  <si>
    <t>PSO249326</t>
  </si>
  <si>
    <t>PSO136813</t>
  </si>
  <si>
    <t>PSO255715</t>
  </si>
  <si>
    <t>PSO128470</t>
  </si>
  <si>
    <t>PSO168834</t>
  </si>
  <si>
    <t>PSO144069</t>
  </si>
  <si>
    <t>PSO146259</t>
  </si>
  <si>
    <t>PSO145379</t>
  </si>
  <si>
    <t>PSO184474</t>
  </si>
  <si>
    <t>PSO214414</t>
  </si>
  <si>
    <t>PSO90648</t>
  </si>
  <si>
    <t>PSO138648</t>
  </si>
  <si>
    <t>PSO265717</t>
  </si>
  <si>
    <t>PSO142448</t>
  </si>
  <si>
    <t>PSO263721</t>
  </si>
  <si>
    <t>PSO97501</t>
  </si>
  <si>
    <t>PSO145776</t>
  </si>
  <si>
    <t>PSO137968</t>
  </si>
  <si>
    <t>PSO240555</t>
  </si>
  <si>
    <t>PSO142586</t>
  </si>
  <si>
    <t>PSO168787</t>
  </si>
  <si>
    <t>PSO78214</t>
  </si>
  <si>
    <t>PSO131173</t>
  </si>
  <si>
    <t>PSO245348</t>
  </si>
  <si>
    <t>PSO104599</t>
  </si>
  <si>
    <t>PSO120155</t>
  </si>
  <si>
    <t>PSO143062</t>
  </si>
  <si>
    <t>PSO136047</t>
  </si>
  <si>
    <t>PSO147130</t>
  </si>
  <si>
    <t>PSO108761</t>
  </si>
  <si>
    <t>PSO170643</t>
  </si>
  <si>
    <t>PSO91481</t>
  </si>
  <si>
    <t>PSO241192</t>
  </si>
  <si>
    <t>PSO170856</t>
  </si>
  <si>
    <t>PSO105953</t>
  </si>
  <si>
    <t>PSO239841</t>
  </si>
  <si>
    <t>PSO123356</t>
  </si>
  <si>
    <t>PSO114394</t>
  </si>
  <si>
    <t>PSO111137</t>
  </si>
  <si>
    <t>PSO193749</t>
  </si>
  <si>
    <t>PSO108172</t>
  </si>
  <si>
    <t>PSO83987</t>
  </si>
  <si>
    <t>PSO110477</t>
  </si>
  <si>
    <t>PSO113674</t>
  </si>
  <si>
    <t>PSO145620</t>
  </si>
  <si>
    <t>PSO148304</t>
  </si>
  <si>
    <t>PSO122123</t>
  </si>
  <si>
    <t>PSO117250</t>
  </si>
  <si>
    <t>PSO277644</t>
  </si>
  <si>
    <t>PSO188498</t>
  </si>
  <si>
    <t>PSO130799</t>
  </si>
  <si>
    <t>PSO142060</t>
  </si>
  <si>
    <t>PSO251464</t>
  </si>
  <si>
    <t>PSO113828</t>
  </si>
  <si>
    <t>PSO98098</t>
  </si>
  <si>
    <t>PSO92826</t>
  </si>
  <si>
    <t>PSO99850</t>
  </si>
  <si>
    <t>PSO145803</t>
  </si>
  <si>
    <t>PSO106665</t>
  </si>
  <si>
    <t>PSO108549</t>
  </si>
  <si>
    <t>PSO217930</t>
  </si>
  <si>
    <t>PSO258429</t>
  </si>
  <si>
    <t>PSO83434</t>
  </si>
  <si>
    <t>PSO86952</t>
  </si>
  <si>
    <t>PSO251019</t>
  </si>
  <si>
    <t>PSO185826</t>
  </si>
  <si>
    <t>PSO129350</t>
  </si>
  <si>
    <t>PSO89937</t>
  </si>
  <si>
    <t>PSO134304</t>
  </si>
  <si>
    <t>PSO114711</t>
  </si>
  <si>
    <t>PSO245046</t>
  </si>
  <si>
    <t>PSO118794</t>
  </si>
  <si>
    <t>PSO155403</t>
  </si>
  <si>
    <t>PSO7192538</t>
  </si>
  <si>
    <t>PSO185439</t>
  </si>
  <si>
    <t>PSO203851</t>
  </si>
  <si>
    <t>PSO98493</t>
  </si>
  <si>
    <t>PSO117081</t>
  </si>
  <si>
    <t>PSO174963</t>
  </si>
  <si>
    <t>PSO107039</t>
  </si>
  <si>
    <t>PSO153121</t>
  </si>
  <si>
    <t>PSO267657</t>
  </si>
  <si>
    <t>PSO113304</t>
  </si>
  <si>
    <t>PSO145346</t>
  </si>
  <si>
    <t>PSO101333</t>
  </si>
  <si>
    <t>PSO121774</t>
  </si>
  <si>
    <t>PSO267009</t>
  </si>
  <si>
    <t>PSO146095</t>
  </si>
  <si>
    <t>PSO123602</t>
  </si>
  <si>
    <t>PSO147380</t>
  </si>
  <si>
    <t>PSO166274</t>
  </si>
  <si>
    <t>PSO107168</t>
  </si>
  <si>
    <t>PSO99847</t>
  </si>
  <si>
    <t>PSO100589</t>
  </si>
  <si>
    <t>PSO98865</t>
  </si>
  <si>
    <t>PSO7334128</t>
  </si>
  <si>
    <t>PSO240681</t>
  </si>
  <si>
    <t>PSO98715</t>
  </si>
  <si>
    <t>PSO85766</t>
  </si>
  <si>
    <t>PSO145461</t>
  </si>
  <si>
    <t>PSO177800</t>
  </si>
  <si>
    <t>PSO92860</t>
  </si>
  <si>
    <t>PSO7439235</t>
  </si>
  <si>
    <t>PSO113470</t>
  </si>
  <si>
    <t>PSO124179</t>
  </si>
  <si>
    <t>PSO114404</t>
  </si>
  <si>
    <t>PSO127323</t>
  </si>
  <si>
    <t>PSO141619</t>
  </si>
  <si>
    <t>PSO145832</t>
  </si>
  <si>
    <t>PSO96074</t>
  </si>
  <si>
    <t>PSO144866</t>
  </si>
  <si>
    <t>PSO132049</t>
  </si>
  <si>
    <t>PSO116171</t>
  </si>
  <si>
    <t>PSO100217</t>
  </si>
  <si>
    <t>PSO132065</t>
  </si>
  <si>
    <t>PSO180557</t>
  </si>
  <si>
    <t>PSO92611</t>
  </si>
  <si>
    <t>PSO93513</t>
  </si>
  <si>
    <t>PSO123099</t>
  </si>
  <si>
    <t>PSO105964</t>
  </si>
  <si>
    <t>PSO141036</t>
  </si>
  <si>
    <t>PSO114645</t>
  </si>
  <si>
    <t>PSO128576</t>
  </si>
  <si>
    <t>PSO121645</t>
  </si>
  <si>
    <t>PSO213929</t>
  </si>
  <si>
    <t>PSO237246</t>
  </si>
  <si>
    <t>PSO135563</t>
  </si>
  <si>
    <t>PSO145474</t>
  </si>
  <si>
    <t>PSO184445</t>
  </si>
  <si>
    <t>PSO182234</t>
  </si>
  <si>
    <t>PSO138601</t>
  </si>
  <si>
    <t>PSO139969</t>
  </si>
  <si>
    <t>PSO165823</t>
  </si>
  <si>
    <t>PSO137193</t>
  </si>
  <si>
    <t>PSO83242</t>
  </si>
  <si>
    <t>PSO147383</t>
  </si>
  <si>
    <t>PSO147101</t>
  </si>
  <si>
    <t>PSO103083</t>
  </si>
  <si>
    <t>PSO97067</t>
  </si>
  <si>
    <t>PSO108167</t>
  </si>
  <si>
    <t>PSO126990</t>
  </si>
  <si>
    <t>PSO237927</t>
  </si>
  <si>
    <t>PSO248950</t>
  </si>
  <si>
    <t>PSO112625</t>
  </si>
  <si>
    <t>PSO134775</t>
  </si>
  <si>
    <t>PSO244663</t>
  </si>
  <si>
    <t>PSO139929</t>
  </si>
  <si>
    <t>PSO167176</t>
  </si>
  <si>
    <t>PSO7340644</t>
  </si>
  <si>
    <t>PSO143580</t>
  </si>
  <si>
    <t>PSO144578</t>
  </si>
  <si>
    <t>PSO101026</t>
  </si>
  <si>
    <t>PSO259771</t>
  </si>
  <si>
    <t>PSO7277930</t>
  </si>
  <si>
    <t>PSO249318</t>
  </si>
  <si>
    <t>PSO249372</t>
  </si>
  <si>
    <t>PSO168910</t>
  </si>
  <si>
    <t>PSO182061</t>
  </si>
  <si>
    <t>PSO123754</t>
  </si>
  <si>
    <t>PSO126538</t>
  </si>
  <si>
    <t>PSO171448</t>
  </si>
  <si>
    <t>PSO132699</t>
  </si>
  <si>
    <t>PSO262333</t>
  </si>
  <si>
    <t>PSO96730</t>
  </si>
  <si>
    <t>PSO258547</t>
  </si>
  <si>
    <t>PSO99051</t>
  </si>
  <si>
    <t>PSO77693</t>
  </si>
  <si>
    <t>PSO265825</t>
  </si>
  <si>
    <t>PSO200695</t>
  </si>
  <si>
    <t>PSO141386</t>
  </si>
  <si>
    <t>PSO81881</t>
  </si>
  <si>
    <t>PSO106051</t>
  </si>
  <si>
    <t>PSO126982</t>
  </si>
  <si>
    <t>PSO262208</t>
  </si>
  <si>
    <t>PSO237282</t>
  </si>
  <si>
    <t>PSO275751</t>
  </si>
  <si>
    <t>PSO101385</t>
  </si>
  <si>
    <t>PSO80934</t>
  </si>
  <si>
    <t>PSO157447</t>
  </si>
  <si>
    <t>PSO228188</t>
  </si>
  <si>
    <t>PSO141464</t>
  </si>
  <si>
    <t>PSO96585</t>
  </si>
  <si>
    <t>PSO174001</t>
  </si>
  <si>
    <t>PSO135363</t>
  </si>
  <si>
    <t>PSO139463</t>
  </si>
  <si>
    <t>PSO82767</t>
  </si>
  <si>
    <t>PSO172560</t>
  </si>
  <si>
    <t>PSO7321931</t>
  </si>
  <si>
    <t>PSO81947</t>
  </si>
  <si>
    <t>PSO146883</t>
  </si>
  <si>
    <t>PSO7569039</t>
  </si>
  <si>
    <t>PSO118790</t>
  </si>
  <si>
    <t>PSO113253</t>
  </si>
  <si>
    <t>PSO112508</t>
  </si>
  <si>
    <t>PSO89612</t>
  </si>
  <si>
    <t>PSO131920</t>
  </si>
  <si>
    <t>PSO137584</t>
  </si>
  <si>
    <t>PSO103945</t>
  </si>
  <si>
    <t>PSO251940</t>
  </si>
  <si>
    <t>PSO116153</t>
  </si>
  <si>
    <t>PSO140229</t>
  </si>
  <si>
    <t>PSO259237</t>
  </si>
  <si>
    <t>PSO129941</t>
  </si>
  <si>
    <t>PSO194499</t>
  </si>
  <si>
    <t>PSO97608</t>
  </si>
  <si>
    <t>PSO250524</t>
  </si>
  <si>
    <t>PSO113418</t>
  </si>
  <si>
    <t>PSO222132</t>
  </si>
  <si>
    <t>PSO7363077</t>
  </si>
  <si>
    <t>PSO7343276</t>
  </si>
  <si>
    <t>PSO135699</t>
  </si>
  <si>
    <t>PSO113535</t>
  </si>
  <si>
    <t>PSO141760</t>
  </si>
  <si>
    <t>PSO170351</t>
  </si>
  <si>
    <t>PSO120368</t>
  </si>
  <si>
    <t>PSO111852</t>
  </si>
  <si>
    <t>PSO233013</t>
  </si>
  <si>
    <t>PSO83207</t>
  </si>
  <si>
    <t>PSO76250</t>
  </si>
  <si>
    <t>PSO168849</t>
  </si>
  <si>
    <t>PSO203804</t>
  </si>
  <si>
    <t>PSO7439225</t>
  </si>
  <si>
    <t>PSO77857</t>
  </si>
  <si>
    <t>PSO110400</t>
  </si>
  <si>
    <t>PSO7281948</t>
  </si>
  <si>
    <t>PSO89415</t>
  </si>
  <si>
    <t>PSO126840</t>
  </si>
  <si>
    <t>PSO185079</t>
  </si>
  <si>
    <t>PSO90737</t>
  </si>
  <si>
    <t>PSO188484</t>
  </si>
  <si>
    <t>PSO80604</t>
  </si>
  <si>
    <t>PSO239629</t>
  </si>
  <si>
    <t>PSO131654</t>
  </si>
  <si>
    <t>PSO178827</t>
  </si>
  <si>
    <t>PSO76190</t>
  </si>
  <si>
    <t>PSO78095</t>
  </si>
  <si>
    <t>PSO202975</t>
  </si>
  <si>
    <t>PSO262454</t>
  </si>
  <si>
    <t>PSO146904</t>
  </si>
  <si>
    <t>PSO119429</t>
  </si>
  <si>
    <t>PSO7239805</t>
  </si>
  <si>
    <t>PSO118147</t>
  </si>
  <si>
    <t>PSO241764</t>
  </si>
  <si>
    <t>PSO143927</t>
  </si>
  <si>
    <t>PSO117752</t>
  </si>
  <si>
    <t>PSO98709</t>
  </si>
  <si>
    <t>PSO233341</t>
  </si>
  <si>
    <t>PSO239599</t>
  </si>
  <si>
    <t>PSO113992</t>
  </si>
  <si>
    <t>PSO79078</t>
  </si>
  <si>
    <t>PSO97404</t>
  </si>
  <si>
    <t>PSO143528</t>
  </si>
  <si>
    <t>PSO142761</t>
  </si>
  <si>
    <t>PSO242391</t>
  </si>
  <si>
    <t>PSO169374</t>
  </si>
  <si>
    <t>PSO92094</t>
  </si>
  <si>
    <t>PSO137227</t>
  </si>
  <si>
    <t>PSO247414</t>
  </si>
  <si>
    <t>PSO125044</t>
  </si>
  <si>
    <t>PSO165901</t>
  </si>
  <si>
    <t>PSO269159</t>
  </si>
  <si>
    <t>PSO117987</t>
  </si>
  <si>
    <t>PSO100293</t>
  </si>
  <si>
    <t>PSO125822</t>
  </si>
  <si>
    <t>PSO90477</t>
  </si>
  <si>
    <t>PSO119824</t>
  </si>
  <si>
    <t>PSO182569</t>
  </si>
  <si>
    <t>PSO169495</t>
  </si>
  <si>
    <t>PSO142520</t>
  </si>
  <si>
    <t>PSO102461</t>
  </si>
  <si>
    <t>PSO146149</t>
  </si>
  <si>
    <t>PSO167827</t>
  </si>
  <si>
    <t>PSO230608</t>
  </si>
  <si>
    <t>PSO74724</t>
  </si>
  <si>
    <t>PSO185604</t>
  </si>
  <si>
    <t>PSO144997</t>
  </si>
  <si>
    <t>PSO121670</t>
  </si>
  <si>
    <t>PSO272574</t>
  </si>
  <si>
    <t>PSO82979</t>
  </si>
  <si>
    <t>PSO137478</t>
  </si>
  <si>
    <t>PSO238727</t>
  </si>
  <si>
    <t>PSO275989</t>
  </si>
  <si>
    <t>PSO190853</t>
  </si>
  <si>
    <t>PSO104183</t>
  </si>
  <si>
    <t>PSO129495</t>
  </si>
  <si>
    <t>PSO97046</t>
  </si>
  <si>
    <t>PSO107123</t>
  </si>
  <si>
    <t>PSO116860</t>
  </si>
  <si>
    <t>PSO188672</t>
  </si>
  <si>
    <t>PSO140329</t>
  </si>
  <si>
    <t>PSO7193574</t>
  </si>
  <si>
    <t>PSO211817</t>
  </si>
  <si>
    <t>PSO257868</t>
  </si>
  <si>
    <t>PSO249989</t>
  </si>
  <si>
    <t>PSO249037</t>
  </si>
  <si>
    <t>PSO122727</t>
  </si>
  <si>
    <t>PSO123467</t>
  </si>
  <si>
    <t>PSO171567</t>
  </si>
  <si>
    <t>PSO103670</t>
  </si>
  <si>
    <t>PSO124156</t>
  </si>
  <si>
    <t>PSO7489324</t>
  </si>
  <si>
    <t>PSO134091</t>
  </si>
  <si>
    <t>PSO256704</t>
  </si>
  <si>
    <t>PSO262262</t>
  </si>
  <si>
    <t>PSO176491</t>
  </si>
  <si>
    <t>PSO272464</t>
  </si>
  <si>
    <t>PSO129522</t>
  </si>
  <si>
    <t>PSO224051</t>
  </si>
  <si>
    <t>PSO90194</t>
  </si>
  <si>
    <t>PSO171792</t>
  </si>
  <si>
    <t>PSO111196</t>
  </si>
  <si>
    <t>PSO267021</t>
  </si>
  <si>
    <t>PSO144509</t>
  </si>
  <si>
    <t>PSO119161</t>
  </si>
  <si>
    <t>PSO107949</t>
  </si>
  <si>
    <t>PSO120517</t>
  </si>
  <si>
    <t>PSO116649</t>
  </si>
  <si>
    <t>PSO115044</t>
  </si>
  <si>
    <t>PSO143940</t>
  </si>
  <si>
    <t>PSO89960</t>
  </si>
  <si>
    <t>PSO105491</t>
  </si>
  <si>
    <t>PSO145770</t>
  </si>
  <si>
    <t>PSO7319791</t>
  </si>
  <si>
    <t>PSO140672</t>
  </si>
  <si>
    <t>PSO78727</t>
  </si>
  <si>
    <t>PSO101920</t>
  </si>
  <si>
    <t>PSO247201</t>
  </si>
  <si>
    <t>PSO83536</t>
  </si>
  <si>
    <t>PSO168568</t>
  </si>
  <si>
    <t>PSO128635</t>
  </si>
  <si>
    <t>PSO139601</t>
  </si>
  <si>
    <t>PSO125911</t>
  </si>
  <si>
    <t>PSO147526</t>
  </si>
  <si>
    <t>PSO96911</t>
  </si>
  <si>
    <t>PSO122871</t>
  </si>
  <si>
    <t>PSO240197</t>
  </si>
  <si>
    <t>PSO124628</t>
  </si>
  <si>
    <t>PSO81032</t>
  </si>
  <si>
    <t>PSO125193</t>
  </si>
  <si>
    <t>PSO122051</t>
  </si>
  <si>
    <t>PSO134243</t>
  </si>
  <si>
    <t>PSO122574</t>
  </si>
  <si>
    <t>PSO169752</t>
  </si>
  <si>
    <t>PSO133559</t>
  </si>
  <si>
    <t>PSO117827</t>
  </si>
  <si>
    <t>PSO174158</t>
  </si>
  <si>
    <t>PSO7350641</t>
  </si>
  <si>
    <t>PSO96939</t>
  </si>
  <si>
    <t>PSO179419</t>
  </si>
  <si>
    <t>PSO81021</t>
  </si>
  <si>
    <t>PSO91136</t>
  </si>
  <si>
    <t>PSO192149</t>
  </si>
  <si>
    <t>PSO261341</t>
  </si>
  <si>
    <t>PSO117662</t>
  </si>
  <si>
    <t>PSO134281</t>
  </si>
  <si>
    <t>PSO264281</t>
  </si>
  <si>
    <t>PSO183240</t>
  </si>
  <si>
    <t>PSO7244828</t>
  </si>
  <si>
    <t>PSO193753</t>
  </si>
  <si>
    <t>PSO100807</t>
  </si>
  <si>
    <t>PSO117043</t>
  </si>
  <si>
    <t>PSO130972</t>
  </si>
  <si>
    <t>PSO275984</t>
  </si>
  <si>
    <t>PSO93226</t>
  </si>
  <si>
    <t>PSO120556</t>
  </si>
  <si>
    <t>PSO276837</t>
  </si>
  <si>
    <t>PSO180598</t>
  </si>
  <si>
    <t>PSO113103</t>
  </si>
  <si>
    <t>PSO113028</t>
  </si>
  <si>
    <t>PSO239894</t>
  </si>
  <si>
    <t>PSO85321</t>
  </si>
  <si>
    <t>PSO129321</t>
  </si>
  <si>
    <t>PSO121279</t>
  </si>
  <si>
    <t>PSO80123</t>
  </si>
  <si>
    <t>PSO108432</t>
  </si>
  <si>
    <t>PSO109136</t>
  </si>
  <si>
    <t>PSO134769</t>
  </si>
  <si>
    <t>PSO77026</t>
  </si>
  <si>
    <t>PSO229476</t>
  </si>
  <si>
    <t>PSO7499808</t>
  </si>
  <si>
    <t>PSO116543</t>
  </si>
  <si>
    <t>PSO104917</t>
  </si>
  <si>
    <t>PSO100979</t>
  </si>
  <si>
    <t>PSO134514</t>
  </si>
  <si>
    <t>PSO113856</t>
  </si>
  <si>
    <t>PSO115034</t>
  </si>
  <si>
    <t>PSO236946</t>
  </si>
  <si>
    <t>PSO107468</t>
  </si>
  <si>
    <t>PSO99750</t>
  </si>
  <si>
    <t>PSO126033</t>
  </si>
  <si>
    <t>PSO241072</t>
  </si>
  <si>
    <t>PSO105442</t>
  </si>
  <si>
    <t>PSO123604</t>
  </si>
  <si>
    <t>PSO123515</t>
  </si>
  <si>
    <t>PSO252048</t>
  </si>
  <si>
    <t>PSO7157510</t>
  </si>
  <si>
    <t>PSO241474</t>
  </si>
  <si>
    <t>PSO236971</t>
  </si>
  <si>
    <t>PSO168878</t>
  </si>
  <si>
    <t>PSO95318</t>
  </si>
  <si>
    <t>PSO146972</t>
  </si>
  <si>
    <t>PSO261546</t>
  </si>
  <si>
    <t>PSO129424</t>
  </si>
  <si>
    <t>PSO97170</t>
  </si>
  <si>
    <t>PSO90583</t>
  </si>
  <si>
    <t>PSO120701</t>
  </si>
  <si>
    <t>PSO127726</t>
  </si>
  <si>
    <t>PSO109499</t>
  </si>
  <si>
    <t>PSO171621</t>
  </si>
  <si>
    <t>PSO99602</t>
  </si>
  <si>
    <t>PSO104492</t>
  </si>
  <si>
    <t>PSO192165</t>
  </si>
  <si>
    <t>PSO141766</t>
  </si>
  <si>
    <t>PSO79725</t>
  </si>
  <si>
    <t>PSO7157641</t>
  </si>
  <si>
    <t>PSO240263</t>
  </si>
  <si>
    <t>PSO256893</t>
  </si>
  <si>
    <t>PSO127601</t>
  </si>
  <si>
    <t>PSO171308</t>
  </si>
  <si>
    <t>PSO238359</t>
  </si>
  <si>
    <t>PSO131225</t>
  </si>
  <si>
    <t>PSO98714</t>
  </si>
  <si>
    <t>PSO131790</t>
  </si>
  <si>
    <t>PSO269576</t>
  </si>
  <si>
    <t>PSO123761</t>
  </si>
  <si>
    <t>PSO96322</t>
  </si>
  <si>
    <t>PSO96509</t>
  </si>
  <si>
    <t>PSO111919</t>
  </si>
  <si>
    <t>PSO145060</t>
  </si>
  <si>
    <t>PSO121413</t>
  </si>
  <si>
    <t>PSO110451</t>
  </si>
  <si>
    <t>PSO134570</t>
  </si>
  <si>
    <t>PSO80443</t>
  </si>
  <si>
    <t>PSO225070</t>
  </si>
  <si>
    <t>PSO143472</t>
  </si>
  <si>
    <t>PSO116104</t>
  </si>
  <si>
    <t>PSO124752</t>
  </si>
  <si>
    <t>PSO259410</t>
  </si>
  <si>
    <t>PSO90748</t>
  </si>
  <si>
    <t>PSO139540</t>
  </si>
  <si>
    <t>PSO229987</t>
  </si>
  <si>
    <t>PSO7281974</t>
  </si>
  <si>
    <t>PSO185961</t>
  </si>
  <si>
    <t>PSO114791</t>
  </si>
  <si>
    <t>PSO80979</t>
  </si>
  <si>
    <t>PSO87789</t>
  </si>
  <si>
    <t>PSO94394</t>
  </si>
  <si>
    <t>PSO147605</t>
  </si>
  <si>
    <t>PSO228980</t>
  </si>
  <si>
    <t>PSO237958</t>
  </si>
  <si>
    <t>PSO239283</t>
  </si>
  <si>
    <t>PSO124450</t>
  </si>
  <si>
    <t>PSO140303</t>
  </si>
  <si>
    <t>PSO146017</t>
  </si>
  <si>
    <t>PSO104998</t>
  </si>
  <si>
    <t>PSO90086</t>
  </si>
  <si>
    <t>PSO119719</t>
  </si>
  <si>
    <t>PSO7167551</t>
  </si>
  <si>
    <t>PSO166417</t>
  </si>
  <si>
    <t>PSO141768</t>
  </si>
  <si>
    <t>PSO97639</t>
  </si>
  <si>
    <t>PSO133763</t>
  </si>
  <si>
    <t>PSO259885</t>
  </si>
  <si>
    <t>PSO90310</t>
  </si>
  <si>
    <t>PSO76770</t>
  </si>
  <si>
    <t>PSO118450</t>
  </si>
  <si>
    <t>PSO101127</t>
  </si>
  <si>
    <t>PSO236726</t>
  </si>
  <si>
    <t>PSO98404</t>
  </si>
  <si>
    <t>PSO246309</t>
  </si>
  <si>
    <t>PSO77161</t>
  </si>
  <si>
    <t>PSO255062</t>
  </si>
  <si>
    <t>PSO271155</t>
  </si>
  <si>
    <t>PSO277092</t>
  </si>
  <si>
    <t>PSO108078</t>
  </si>
  <si>
    <t>PSO131221</t>
  </si>
  <si>
    <t>PSO85876</t>
  </si>
  <si>
    <t>PSO140112</t>
  </si>
  <si>
    <t>PSO166259</t>
  </si>
  <si>
    <t>PSO123288</t>
  </si>
  <si>
    <t>PSO82736</t>
  </si>
  <si>
    <t>PSO166796</t>
  </si>
  <si>
    <t>PSO146894</t>
  </si>
  <si>
    <t>PSO121773</t>
  </si>
  <si>
    <t>PSO262892</t>
  </si>
  <si>
    <t>PSO264377</t>
  </si>
  <si>
    <t>PSO136462</t>
  </si>
  <si>
    <t>PSO111044</t>
  </si>
  <si>
    <t>PSO180722</t>
  </si>
  <si>
    <t>PSO186515</t>
  </si>
  <si>
    <t>PSO105601</t>
  </si>
  <si>
    <t>PSO238173</t>
  </si>
  <si>
    <t>PSO119822</t>
  </si>
  <si>
    <t>PSO7502835</t>
  </si>
  <si>
    <t>PSO144926</t>
  </si>
  <si>
    <t>PSO274088</t>
  </si>
  <si>
    <t>PSO95066</t>
  </si>
  <si>
    <t>PSO241167</t>
  </si>
  <si>
    <t>PSO140497</t>
  </si>
  <si>
    <t>PSO78265</t>
  </si>
  <si>
    <t>PSO255782</t>
  </si>
  <si>
    <t>PSO120572</t>
  </si>
  <si>
    <t>PSO87864</t>
  </si>
  <si>
    <t>PSO87843</t>
  </si>
  <si>
    <t>PSO7249390</t>
  </si>
  <si>
    <t>PSO255809</t>
  </si>
  <si>
    <t>PSO112744</t>
  </si>
  <si>
    <t>PSO238057</t>
  </si>
  <si>
    <t>PSO87988</t>
  </si>
  <si>
    <t>PSO81920</t>
  </si>
  <si>
    <t>PSO161715</t>
  </si>
  <si>
    <t>PSO136426</t>
  </si>
  <si>
    <t>PSO228808</t>
  </si>
  <si>
    <t>PSO181625</t>
  </si>
  <si>
    <t>PSO103783</t>
  </si>
  <si>
    <t>PSO132351</t>
  </si>
  <si>
    <t>PSO101118</t>
  </si>
  <si>
    <t>PSO105273</t>
  </si>
  <si>
    <t>PSO103037</t>
  </si>
  <si>
    <t>PSO125965</t>
  </si>
  <si>
    <t>PSO106876</t>
  </si>
  <si>
    <t>PSO116518</t>
  </si>
  <si>
    <t>PSO7549980</t>
  </si>
  <si>
    <t>PSO75460</t>
  </si>
  <si>
    <t>PSO108067</t>
  </si>
  <si>
    <t>PSO176941</t>
  </si>
  <si>
    <t>PSO97341</t>
  </si>
  <si>
    <t>PSO208244</t>
  </si>
  <si>
    <t>PSO100529</t>
  </si>
  <si>
    <t>PSO125441</t>
  </si>
  <si>
    <t>PSO211640</t>
  </si>
  <si>
    <t>PSO180358</t>
  </si>
  <si>
    <t>PSO138760</t>
  </si>
  <si>
    <t>PSO135501</t>
  </si>
  <si>
    <t>PSO121726</t>
  </si>
  <si>
    <t>PSO242946</t>
  </si>
  <si>
    <t>PSO111612</t>
  </si>
  <si>
    <t>PSO122429</t>
  </si>
  <si>
    <t>PSO120957</t>
  </si>
  <si>
    <t>PSO124554</t>
  </si>
  <si>
    <t>PSO107049</t>
  </si>
  <si>
    <t>PSO123517</t>
  </si>
  <si>
    <t>PSO76145</t>
  </si>
  <si>
    <t>PSO90637</t>
  </si>
  <si>
    <t>PSO105378</t>
  </si>
  <si>
    <t>PSO126079</t>
  </si>
  <si>
    <t>PSO166334</t>
  </si>
  <si>
    <t>PSO139132</t>
  </si>
  <si>
    <t>PSO136365</t>
  </si>
  <si>
    <t>PSO237473</t>
  </si>
  <si>
    <t>PSO114149</t>
  </si>
  <si>
    <t>PSO171225</t>
  </si>
  <si>
    <t>PSO266059</t>
  </si>
  <si>
    <t>PSO268175</t>
  </si>
  <si>
    <t>PSO184433</t>
  </si>
  <si>
    <t>PSO104202</t>
  </si>
  <si>
    <t>PSO187472</t>
  </si>
  <si>
    <t>PSO130992</t>
  </si>
  <si>
    <t>PSO143100</t>
  </si>
  <si>
    <t>PSO90727</t>
  </si>
  <si>
    <t>PSO246856</t>
  </si>
  <si>
    <t>PSO239558</t>
  </si>
  <si>
    <t>PSO237013</t>
  </si>
  <si>
    <t>PSO110743</t>
  </si>
  <si>
    <t>PSO92031</t>
  </si>
  <si>
    <t>PSO127483</t>
  </si>
  <si>
    <t>PSO252627</t>
  </si>
  <si>
    <t>PSO101749</t>
  </si>
  <si>
    <t>PSO143094</t>
  </si>
  <si>
    <t>PSO107854</t>
  </si>
  <si>
    <t>PSO143646</t>
  </si>
  <si>
    <t>PSO108029</t>
  </si>
  <si>
    <t>PSO98198</t>
  </si>
  <si>
    <t>PSO123310</t>
  </si>
  <si>
    <t>PSO108997</t>
  </si>
  <si>
    <t>PSO98570</t>
  </si>
  <si>
    <t>PSO267650</t>
  </si>
  <si>
    <t>PSO129795</t>
  </si>
  <si>
    <t>PSO131269</t>
  </si>
  <si>
    <t>PSO136243</t>
  </si>
  <si>
    <t>PSO92365</t>
  </si>
  <si>
    <t>PSO107070</t>
  </si>
  <si>
    <t>PSO266537</t>
  </si>
  <si>
    <t>PSO243909</t>
  </si>
  <si>
    <t>PSO84058</t>
  </si>
  <si>
    <t>PSO83211</t>
  </si>
  <si>
    <t>PSO277368</t>
  </si>
  <si>
    <t>PSO171389</t>
  </si>
  <si>
    <t>PSO7290111</t>
  </si>
  <si>
    <t>PSO113990</t>
  </si>
  <si>
    <t>PSO135537</t>
  </si>
  <si>
    <t>PSO91242</t>
  </si>
  <si>
    <t>PSO99971</t>
  </si>
  <si>
    <t>PSO258068</t>
  </si>
  <si>
    <t>PSO105132</t>
  </si>
  <si>
    <t>PSO240230</t>
  </si>
  <si>
    <t>PSO181433</t>
  </si>
  <si>
    <t>PSO98821</t>
  </si>
  <si>
    <t>PSO233488</t>
  </si>
  <si>
    <t>PSO94010</t>
  </si>
  <si>
    <t>PSO147395</t>
  </si>
  <si>
    <t>PSO241456</t>
  </si>
  <si>
    <t>PSO145990</t>
  </si>
  <si>
    <t>PSO111894</t>
  </si>
  <si>
    <t>PSO120558</t>
  </si>
  <si>
    <t>PSO143979</t>
  </si>
  <si>
    <t>PSO241017</t>
  </si>
  <si>
    <t>PSO239794</t>
  </si>
  <si>
    <t>PSO166936</t>
  </si>
  <si>
    <t>PSO108040</t>
  </si>
  <si>
    <t>PSO230342</t>
  </si>
  <si>
    <t>PSO169630</t>
  </si>
  <si>
    <t>PSO238171</t>
  </si>
  <si>
    <t>PSO102957</t>
  </si>
  <si>
    <t>PSO147717</t>
  </si>
  <si>
    <t>PSO115793</t>
  </si>
  <si>
    <t>PSO185926</t>
  </si>
  <si>
    <t>PSO141675</t>
  </si>
  <si>
    <t>PSO167135</t>
  </si>
  <si>
    <t>PSO99309</t>
  </si>
  <si>
    <t>PSO116943</t>
  </si>
  <si>
    <t>PSO181076</t>
  </si>
  <si>
    <t>PSO174389</t>
  </si>
  <si>
    <t>PSO129013</t>
  </si>
  <si>
    <t>PSO141566</t>
  </si>
  <si>
    <t>PSO126289</t>
  </si>
  <si>
    <t>PSO250228</t>
  </si>
  <si>
    <t>PSO101101</t>
  </si>
  <si>
    <t>PSO139879</t>
  </si>
  <si>
    <t>PSO231879</t>
  </si>
  <si>
    <t>PSO129286</t>
  </si>
  <si>
    <t>PSO112076</t>
  </si>
  <si>
    <t>PSO141023</t>
  </si>
  <si>
    <t>PSO245494</t>
  </si>
  <si>
    <t>PSO91360</t>
  </si>
  <si>
    <t>PSO158383</t>
  </si>
  <si>
    <t>PSO95317</t>
  </si>
  <si>
    <t>PSO228181</t>
  </si>
  <si>
    <t>PSO142313</t>
  </si>
  <si>
    <t>PSO140645</t>
  </si>
  <si>
    <t>PSO230907</t>
  </si>
  <si>
    <t>PSO140541</t>
  </si>
  <si>
    <t>PSO139506</t>
  </si>
  <si>
    <t>PSO93009</t>
  </si>
  <si>
    <t>PSO193756</t>
  </si>
  <si>
    <t>PSO185639</t>
  </si>
  <si>
    <t>PSO187149</t>
  </si>
  <si>
    <t>PSO119725</t>
  </si>
  <si>
    <t>PSO236746</t>
  </si>
  <si>
    <t>PSO142250</t>
  </si>
  <si>
    <t>PSO111205</t>
  </si>
  <si>
    <t>PSO125575</t>
  </si>
  <si>
    <t>PSO218972</t>
  </si>
  <si>
    <t>PSO105939</t>
  </si>
  <si>
    <t>PSO86907</t>
  </si>
  <si>
    <t>PSO105050</t>
  </si>
  <si>
    <t>PSO115671</t>
  </si>
  <si>
    <t>PSO124459</t>
  </si>
  <si>
    <t>PSO88334</t>
  </si>
  <si>
    <t>PSO277837</t>
  </si>
  <si>
    <t>PSO124287</t>
  </si>
  <si>
    <t>PSO123048</t>
  </si>
  <si>
    <t>PSO119272</t>
  </si>
  <si>
    <t>PSO103529</t>
  </si>
  <si>
    <t>PSO142946</t>
  </si>
  <si>
    <t>PSO267067</t>
  </si>
  <si>
    <t>PSO106855</t>
  </si>
  <si>
    <t>PSO248253</t>
  </si>
  <si>
    <t>PSO139365</t>
  </si>
  <si>
    <t>PSO245428</t>
  </si>
  <si>
    <t>PSO142488</t>
  </si>
  <si>
    <t>PSO138008</t>
  </si>
  <si>
    <t>PSO172123</t>
  </si>
  <si>
    <t>PSO240169</t>
  </si>
  <si>
    <t>PSO80118</t>
  </si>
  <si>
    <t>PSO144776</t>
  </si>
  <si>
    <t>PSO252793</t>
  </si>
  <si>
    <t>PSO153243</t>
  </si>
  <si>
    <t>PSO121681</t>
  </si>
  <si>
    <t>PSO183520</t>
  </si>
  <si>
    <t>PSO162740</t>
  </si>
  <si>
    <t>PSO85987</t>
  </si>
  <si>
    <t>PSO238284</t>
  </si>
  <si>
    <t>PSO240503</t>
  </si>
  <si>
    <t>PSO142943</t>
  </si>
  <si>
    <t>PSO142534</t>
  </si>
  <si>
    <t>PSO90118</t>
  </si>
  <si>
    <t>PSO136056</t>
  </si>
  <si>
    <t>PSO97453</t>
  </si>
  <si>
    <t>PSO133927</t>
  </si>
  <si>
    <t>PSO106369</t>
  </si>
  <si>
    <t>PSO145277</t>
  </si>
  <si>
    <t>PSO246269</t>
  </si>
  <si>
    <t>PSO115904</t>
  </si>
  <si>
    <t>PSO146915</t>
  </si>
  <si>
    <t>PSO257444</t>
  </si>
  <si>
    <t>PSO130017</t>
  </si>
  <si>
    <t>PSO141664</t>
  </si>
  <si>
    <t>PSO80718</t>
  </si>
  <si>
    <t>PSO182794</t>
  </si>
  <si>
    <t>PSO130721</t>
  </si>
  <si>
    <t>PSO258692</t>
  </si>
  <si>
    <t>PSO112608</t>
  </si>
  <si>
    <t>PSO171534</t>
  </si>
  <si>
    <t>PSO122698</t>
  </si>
  <si>
    <t>PSO127286</t>
  </si>
  <si>
    <t>PSO93767</t>
  </si>
  <si>
    <t>PSO155264</t>
  </si>
  <si>
    <t>PSO165814</t>
  </si>
  <si>
    <t>PSO241100</t>
  </si>
  <si>
    <t>PSO263126</t>
  </si>
  <si>
    <t>PSO101815</t>
  </si>
  <si>
    <t>PSO105401</t>
  </si>
  <si>
    <t>PSO146125</t>
  </si>
  <si>
    <t>PSO7567191</t>
  </si>
  <si>
    <t>PSO159790</t>
  </si>
  <si>
    <t>PSO132750</t>
  </si>
  <si>
    <t>PSO231596</t>
  </si>
  <si>
    <t>PSO138425</t>
  </si>
  <si>
    <t>PSO146837</t>
  </si>
  <si>
    <t>PSO7227401</t>
  </si>
  <si>
    <t>PSO241443</t>
  </si>
  <si>
    <t>PSO139591</t>
  </si>
  <si>
    <t>PSO97546</t>
  </si>
  <si>
    <t>PSO91018</t>
  </si>
  <si>
    <t>PSO255707</t>
  </si>
  <si>
    <t>PSO140790</t>
  </si>
  <si>
    <t>PSO117717</t>
  </si>
  <si>
    <t>PSO104114</t>
  </si>
  <si>
    <t>PSO184153</t>
  </si>
  <si>
    <t>PSO184992</t>
  </si>
  <si>
    <t>PSO138281</t>
  </si>
  <si>
    <t>PSO176904</t>
  </si>
  <si>
    <t>PSO212750</t>
  </si>
  <si>
    <t>PSO163505</t>
  </si>
  <si>
    <t>PSO140265</t>
  </si>
  <si>
    <t>PSO101302</t>
  </si>
  <si>
    <t>PSO245872</t>
  </si>
  <si>
    <t>PSO275586</t>
  </si>
  <si>
    <t>PSO99876</t>
  </si>
  <si>
    <t>PSO7557764</t>
  </si>
  <si>
    <t>PSO123390</t>
  </si>
  <si>
    <t>PSO107533</t>
  </si>
  <si>
    <t>PSO145656</t>
  </si>
  <si>
    <t>PSO124357</t>
  </si>
  <si>
    <t>PSO268902</t>
  </si>
  <si>
    <t>PSO105621</t>
  </si>
  <si>
    <t>PSO140123</t>
  </si>
  <si>
    <t>PSO94039</t>
  </si>
  <si>
    <t>PSO100012</t>
  </si>
  <si>
    <t>PSO113004</t>
  </si>
  <si>
    <t>PSO115852</t>
  </si>
  <si>
    <t>PSO247050</t>
  </si>
  <si>
    <t>PSO168249</t>
  </si>
  <si>
    <t>PSO119144</t>
  </si>
  <si>
    <t>PSO92538</t>
  </si>
  <si>
    <t>PSO261355</t>
  </si>
  <si>
    <t>PSO86997</t>
  </si>
  <si>
    <t>PSO131893</t>
  </si>
  <si>
    <t>PSO140423</t>
  </si>
  <si>
    <t>PSO133411</t>
  </si>
  <si>
    <t>PSO175710</t>
  </si>
  <si>
    <t>PSO144753</t>
  </si>
  <si>
    <t>PSO127306</t>
  </si>
  <si>
    <t>PSO122797</t>
  </si>
  <si>
    <t>PSO122964</t>
  </si>
  <si>
    <t>PSO147583</t>
  </si>
  <si>
    <t>PSO7500980</t>
  </si>
  <si>
    <t>PSO175324</t>
  </si>
  <si>
    <t>PSO124083</t>
  </si>
  <si>
    <t>PSO253345</t>
  </si>
  <si>
    <t>PSO141504</t>
  </si>
  <si>
    <t>PSO7495942</t>
  </si>
  <si>
    <t>PSO180596</t>
  </si>
  <si>
    <t>PSO97473</t>
  </si>
  <si>
    <t>PSO276032</t>
  </si>
  <si>
    <t>PSO262028</t>
  </si>
  <si>
    <t>PSO158675</t>
  </si>
  <si>
    <t>PSO139411</t>
  </si>
  <si>
    <t>PSO182907</t>
  </si>
  <si>
    <t>PSO252650</t>
  </si>
  <si>
    <t>PSO146381</t>
  </si>
  <si>
    <t>PSO258399</t>
  </si>
  <si>
    <t>PSO167395</t>
  </si>
  <si>
    <t>PSO131072</t>
  </si>
  <si>
    <t>PSO238380</t>
  </si>
  <si>
    <t>PSO247085</t>
  </si>
  <si>
    <t>PSO86190</t>
  </si>
  <si>
    <t>PSO150608</t>
  </si>
  <si>
    <t>PSO250419</t>
  </si>
  <si>
    <t>PSO147489</t>
  </si>
  <si>
    <t>PSO80719</t>
  </si>
  <si>
    <t>PSO98907</t>
  </si>
  <si>
    <t>PSO165287</t>
  </si>
  <si>
    <t>PSO157273</t>
  </si>
  <si>
    <t>PSO246777</t>
  </si>
  <si>
    <t>PSO244299</t>
  </si>
  <si>
    <t>PSO88888</t>
  </si>
  <si>
    <t>PSO152777</t>
  </si>
  <si>
    <t>PSO139627</t>
  </si>
  <si>
    <t>PSO171894</t>
  </si>
  <si>
    <t>PSO7286576</t>
  </si>
  <si>
    <t>PSO120780</t>
  </si>
  <si>
    <t>PSO109980</t>
  </si>
  <si>
    <t>PSO100530</t>
  </si>
  <si>
    <t>PSO178955</t>
  </si>
  <si>
    <t>PSO199465</t>
  </si>
  <si>
    <t>PSO125436</t>
  </si>
  <si>
    <t>PSO247225</t>
  </si>
  <si>
    <t>PSO131036</t>
  </si>
  <si>
    <t>PSO133842</t>
  </si>
  <si>
    <t>PSO183018</t>
  </si>
  <si>
    <t>PSO272162</t>
  </si>
  <si>
    <t>PSO184380</t>
  </si>
  <si>
    <t>PSO138709</t>
  </si>
  <si>
    <t>PSO97958</t>
  </si>
  <si>
    <t>PSO238188</t>
  </si>
  <si>
    <t>PSO7306031</t>
  </si>
  <si>
    <t>PSO108615</t>
  </si>
  <si>
    <t>PSO78981</t>
  </si>
  <si>
    <t>PSO137149</t>
  </si>
  <si>
    <t>PSO144080</t>
  </si>
  <si>
    <t>PSO238355</t>
  </si>
  <si>
    <t>PSO114732</t>
  </si>
  <si>
    <t>PSO77006</t>
  </si>
  <si>
    <t>PSO239415</t>
  </si>
  <si>
    <t>PSO7168583</t>
  </si>
  <si>
    <t>PSO138806</t>
  </si>
  <si>
    <t>PSO79344</t>
  </si>
  <si>
    <t>PSO140285</t>
  </si>
  <si>
    <t>PSO137216</t>
  </si>
  <si>
    <t>PSO166135</t>
  </si>
  <si>
    <t>PSO262465</t>
  </si>
  <si>
    <t>PSO120847</t>
  </si>
  <si>
    <t>PSO236960</t>
  </si>
  <si>
    <t>PSO174216</t>
  </si>
  <si>
    <t>PSO114884</t>
  </si>
  <si>
    <t>PSO89419</t>
  </si>
  <si>
    <t>PSO107064</t>
  </si>
  <si>
    <t>PSO116157</t>
  </si>
  <si>
    <t>PSO87378</t>
  </si>
  <si>
    <t>PSO98747</t>
  </si>
  <si>
    <t>PSO97062</t>
  </si>
  <si>
    <t>PSO94974</t>
  </si>
  <si>
    <t>PSO124544</t>
  </si>
  <si>
    <t>PSO94316</t>
  </si>
  <si>
    <t>PSO254220</t>
  </si>
  <si>
    <t>PSO125826</t>
  </si>
  <si>
    <t>PSO274398</t>
  </si>
  <si>
    <t>PSO77238</t>
  </si>
  <si>
    <t>PSO138889</t>
  </si>
  <si>
    <t>PSO120755</t>
  </si>
  <si>
    <t>PSO144185</t>
  </si>
  <si>
    <t>PSO128160</t>
  </si>
  <si>
    <t>PSO140237</t>
  </si>
  <si>
    <t>PSO137242</t>
  </si>
  <si>
    <t>PSO193789</t>
  </si>
  <si>
    <t>PSO247874</t>
  </si>
  <si>
    <t>PSO250639</t>
  </si>
  <si>
    <t>PSO138151</t>
  </si>
  <si>
    <t>PSO136188</t>
  </si>
  <si>
    <t>PSO101057</t>
  </si>
  <si>
    <t>PSO262416</t>
  </si>
  <si>
    <t>PSO87324</t>
  </si>
  <si>
    <t>PSO143151</t>
  </si>
  <si>
    <t>PSO193784</t>
  </si>
  <si>
    <t>PSO81594</t>
  </si>
  <si>
    <t>PSO246553</t>
  </si>
  <si>
    <t>PSO241422</t>
  </si>
  <si>
    <t>PSO116356</t>
  </si>
  <si>
    <t>PSO190622</t>
  </si>
  <si>
    <t>PSO208188</t>
  </si>
  <si>
    <t>PSO258537</t>
  </si>
  <si>
    <t>PSO137364</t>
  </si>
  <si>
    <t>PSO245809</t>
  </si>
  <si>
    <t>PSO190812</t>
  </si>
  <si>
    <t>PSO115123</t>
  </si>
  <si>
    <t>PSO84593</t>
  </si>
  <si>
    <t>PSO276225</t>
  </si>
  <si>
    <t>PSO184845</t>
  </si>
  <si>
    <t>PSO255395</t>
  </si>
  <si>
    <t>PSO93373</t>
  </si>
  <si>
    <t>PSO266301</t>
  </si>
  <si>
    <t>PSO136578</t>
  </si>
  <si>
    <t>PSO119573</t>
  </si>
  <si>
    <t>PSO97160</t>
  </si>
  <si>
    <t>PSO248877</t>
  </si>
  <si>
    <t>PSO105130</t>
  </si>
  <si>
    <t>PSO90610</t>
  </si>
  <si>
    <t>PSO256235</t>
  </si>
  <si>
    <t>PSO262292</t>
  </si>
  <si>
    <t>PSO138571</t>
  </si>
  <si>
    <t>PSO241012</t>
  </si>
  <si>
    <t>PSO199162</t>
  </si>
  <si>
    <t>PSO175864</t>
  </si>
  <si>
    <t>PSO142004</t>
  </si>
  <si>
    <t>PSO105501</t>
  </si>
  <si>
    <t>PSO7168559</t>
  </si>
  <si>
    <t>PSO258980</t>
  </si>
  <si>
    <t>PSO180970</t>
  </si>
  <si>
    <t>PSO101995</t>
  </si>
  <si>
    <t>PSO183534</t>
  </si>
  <si>
    <t>PSO116751</t>
  </si>
  <si>
    <t>PSO77152</t>
  </si>
  <si>
    <t>PSO273933</t>
  </si>
  <si>
    <t>PSO136918</t>
  </si>
  <si>
    <t>PSO100609</t>
  </si>
  <si>
    <t>PSO249179</t>
  </si>
  <si>
    <t>PSO153426</t>
  </si>
  <si>
    <t>PSO145711</t>
  </si>
  <si>
    <t>PSO111468</t>
  </si>
  <si>
    <t>PSO126017</t>
  </si>
  <si>
    <t>PSO230904</t>
  </si>
  <si>
    <t>PSO122897</t>
  </si>
  <si>
    <t>PSO134750</t>
  </si>
  <si>
    <t>PSO143258</t>
  </si>
  <si>
    <t>PSO77357</t>
  </si>
  <si>
    <t>PSO128924</t>
  </si>
  <si>
    <t>PSO180061</t>
  </si>
  <si>
    <t>PSO89073</t>
  </si>
  <si>
    <t>PSO178791</t>
  </si>
  <si>
    <t>PSO89750</t>
  </si>
  <si>
    <t>PSO182359</t>
  </si>
  <si>
    <t>PSO108320</t>
  </si>
  <si>
    <t>PSO112666</t>
  </si>
  <si>
    <t>PSO104629</t>
  </si>
  <si>
    <t>PSO89193</t>
  </si>
  <si>
    <t>PSO94695</t>
  </si>
  <si>
    <t>PSO266695</t>
  </si>
  <si>
    <t>PSO258863</t>
  </si>
  <si>
    <t>PSO89566</t>
  </si>
  <si>
    <t>PSO89063</t>
  </si>
  <si>
    <t>PSO80595</t>
  </si>
  <si>
    <t>PSO104014</t>
  </si>
  <si>
    <t>PSO240067</t>
  </si>
  <si>
    <t>PSO121667</t>
  </si>
  <si>
    <t>PSO144858</t>
  </si>
  <si>
    <t>PSO93295</t>
  </si>
  <si>
    <t>PSO252211</t>
  </si>
  <si>
    <t>PSO183350</t>
  </si>
  <si>
    <t>PSO174123</t>
  </si>
  <si>
    <t>PSO145464</t>
  </si>
  <si>
    <t>PSO76199</t>
  </si>
  <si>
    <t>PSO175219</t>
  </si>
  <si>
    <t>PSO134975</t>
  </si>
  <si>
    <t>PSO122779</t>
  </si>
  <si>
    <t>PSO169164</t>
  </si>
  <si>
    <t>PSO181755</t>
  </si>
  <si>
    <t>PSO269521</t>
  </si>
  <si>
    <t>PSO251192</t>
  </si>
  <si>
    <t>PSO127437</t>
  </si>
  <si>
    <t>PSO115728</t>
  </si>
  <si>
    <t>PSO107173</t>
  </si>
  <si>
    <t>PSO110192</t>
  </si>
  <si>
    <t>PSO165052</t>
  </si>
  <si>
    <t>PSO81540</t>
  </si>
  <si>
    <t>PSO273842</t>
  </si>
  <si>
    <t>PSO74929</t>
  </si>
  <si>
    <t>PSO266871</t>
  </si>
  <si>
    <t>PSO169915</t>
  </si>
  <si>
    <t>PSO265914</t>
  </si>
  <si>
    <t>PSO114902</t>
  </si>
  <si>
    <t>PSO152528</t>
  </si>
  <si>
    <t>PSO240066</t>
  </si>
  <si>
    <t>PSO106727</t>
  </si>
  <si>
    <t>PSO141515</t>
  </si>
  <si>
    <t>PSO258990</t>
  </si>
  <si>
    <t>PSO103690</t>
  </si>
  <si>
    <t>PSO134779</t>
  </si>
  <si>
    <t>PSO154831</t>
  </si>
  <si>
    <t>PSO132273</t>
  </si>
  <si>
    <t>PSO7193596</t>
  </si>
  <si>
    <t>PSO118114</t>
  </si>
  <si>
    <t>PSO265531</t>
  </si>
  <si>
    <t>PSO146902</t>
  </si>
  <si>
    <t>PSO94369</t>
  </si>
  <si>
    <t>PSO128174</t>
  </si>
  <si>
    <t>PSO118099</t>
  </si>
  <si>
    <t>PSO107182</t>
  </si>
  <si>
    <t>PSO142492</t>
  </si>
  <si>
    <t>PSO101966</t>
  </si>
  <si>
    <t>PSO243760</t>
  </si>
  <si>
    <t>PSO253032</t>
  </si>
  <si>
    <t>PSO271500</t>
  </si>
  <si>
    <t>PSO243765</t>
  </si>
  <si>
    <t>PSO120070</t>
  </si>
  <si>
    <t>PSO144707</t>
  </si>
  <si>
    <t>PSO102798</t>
  </si>
  <si>
    <t>PSO136965</t>
  </si>
  <si>
    <t>PSO81200</t>
  </si>
  <si>
    <t>PSO268347</t>
  </si>
  <si>
    <t>PSO246332</t>
  </si>
  <si>
    <t>PSO259044</t>
  </si>
  <si>
    <t>PSO257825</t>
  </si>
  <si>
    <t>PSO119690</t>
  </si>
  <si>
    <t>PSO248909</t>
  </si>
  <si>
    <t>PSO238572</t>
  </si>
  <si>
    <t>PSO146077</t>
  </si>
  <si>
    <t>PSO223639</t>
  </si>
  <si>
    <t>PSO250071</t>
  </si>
  <si>
    <t>PSO130252</t>
  </si>
  <si>
    <t>PSO178790</t>
  </si>
  <si>
    <t>PSO109254</t>
  </si>
  <si>
    <t>PSO161804</t>
  </si>
  <si>
    <t>PSO252489</t>
  </si>
  <si>
    <t>PSO108026</t>
  </si>
  <si>
    <t>PSO145554</t>
  </si>
  <si>
    <t>PSO82366</t>
  </si>
  <si>
    <t>PSO108390</t>
  </si>
  <si>
    <t>PSO144543</t>
  </si>
  <si>
    <t>PSO118624</t>
  </si>
  <si>
    <t>PSO167234</t>
  </si>
  <si>
    <t>PSO277537</t>
  </si>
  <si>
    <t>PSO124203</t>
  </si>
  <si>
    <t>PSO129737</t>
  </si>
  <si>
    <t>PSO119599</t>
  </si>
  <si>
    <t>PSO122267</t>
  </si>
  <si>
    <t>PSO105974</t>
  </si>
  <si>
    <t>PSO262957</t>
  </si>
  <si>
    <t>PSO116953</t>
  </si>
  <si>
    <t>PSO110298</t>
  </si>
  <si>
    <t>PSO143236</t>
  </si>
  <si>
    <t>PSO110885</t>
  </si>
  <si>
    <t>PSO262367</t>
  </si>
  <si>
    <t>PSO114243</t>
  </si>
  <si>
    <t>PSO108623</t>
  </si>
  <si>
    <t>PSO121077</t>
  </si>
  <si>
    <t>PSO111176</t>
  </si>
  <si>
    <t>PSO120902</t>
  </si>
  <si>
    <t>PSO146033</t>
  </si>
  <si>
    <t>PSO132928</t>
  </si>
  <si>
    <t>PSO182960</t>
  </si>
  <si>
    <t>PSO75989</t>
  </si>
  <si>
    <t>PSO112168</t>
  </si>
  <si>
    <t>PSO247445</t>
  </si>
  <si>
    <t>PSO165387</t>
  </si>
  <si>
    <t>PSO258240</t>
  </si>
  <si>
    <t>PSO105161</t>
  </si>
  <si>
    <t>PSO215724</t>
  </si>
  <si>
    <t>PSO115971</t>
  </si>
  <si>
    <t>PSO7528417</t>
  </si>
  <si>
    <t>PSO106122</t>
  </si>
  <si>
    <t>PSO81404</t>
  </si>
  <si>
    <t>PSO241672</t>
  </si>
  <si>
    <t>PSO126198</t>
  </si>
  <si>
    <t>PSO86220</t>
  </si>
  <si>
    <t>PSO268204</t>
  </si>
  <si>
    <t>PSO249820</t>
  </si>
  <si>
    <t>PSO253305</t>
  </si>
  <si>
    <t>PSO75726</t>
  </si>
  <si>
    <t>PSO185091</t>
  </si>
  <si>
    <t>PSO131429</t>
  </si>
  <si>
    <t>PSO132516</t>
  </si>
  <si>
    <t>PSO117738</t>
  </si>
  <si>
    <t>PSO153111</t>
  </si>
  <si>
    <t>PSO84118</t>
  </si>
  <si>
    <t>PSO147019</t>
  </si>
  <si>
    <t>PSO82922</t>
  </si>
  <si>
    <t>PSO108842</t>
  </si>
  <si>
    <t>PSO131871</t>
  </si>
  <si>
    <t>PSO96943</t>
  </si>
  <si>
    <t>PSO126314</t>
  </si>
  <si>
    <t>PSO110339</t>
  </si>
  <si>
    <t>PSO267488</t>
  </si>
  <si>
    <t>PSO252356</t>
  </si>
  <si>
    <t>PSO91547</t>
  </si>
  <si>
    <t>PSO169080</t>
  </si>
  <si>
    <t>PSO252591</t>
  </si>
  <si>
    <t>PSO236923</t>
  </si>
  <si>
    <t>PSO140669</t>
  </si>
  <si>
    <t>PSO144049</t>
  </si>
  <si>
    <t>PSO147467</t>
  </si>
  <si>
    <t>PSO124678</t>
  </si>
  <si>
    <t>PSO100783</t>
  </si>
  <si>
    <t>PSO251366</t>
  </si>
  <si>
    <t>PSO142576</t>
  </si>
  <si>
    <t>PSO249836</t>
  </si>
  <si>
    <t>PSO128229</t>
  </si>
  <si>
    <t>PSO119358</t>
  </si>
  <si>
    <t>PSO222373</t>
  </si>
  <si>
    <t>PSO147623</t>
  </si>
  <si>
    <t>PSO167709</t>
  </si>
  <si>
    <t>PSO102374</t>
  </si>
  <si>
    <t>PSO119724</t>
  </si>
  <si>
    <t>PSO218064</t>
  </si>
  <si>
    <t>PSO239856</t>
  </si>
  <si>
    <t>PSO241666</t>
  </si>
  <si>
    <t>PSO104716</t>
  </si>
  <si>
    <t>PSO166114</t>
  </si>
  <si>
    <t>PSO75049</t>
  </si>
  <si>
    <t>PSO118475</t>
  </si>
  <si>
    <t>PSO185656</t>
  </si>
  <si>
    <t>PSO122865</t>
  </si>
  <si>
    <t>PSO86288</t>
  </si>
  <si>
    <t>PSO111052</t>
  </si>
  <si>
    <t>PSO98710</t>
  </si>
  <si>
    <t>PSO81292</t>
  </si>
  <si>
    <t>PSO102248</t>
  </si>
  <si>
    <t>PSO7157511</t>
  </si>
  <si>
    <t>PSO110639</t>
  </si>
  <si>
    <t>PSO119318</t>
  </si>
  <si>
    <t>PSO143370</t>
  </si>
  <si>
    <t>PSO124491</t>
  </si>
  <si>
    <t>PSO237010</t>
  </si>
  <si>
    <t>PSO140263</t>
  </si>
  <si>
    <t>PSO183252</t>
  </si>
  <si>
    <t>PSO145322</t>
  </si>
  <si>
    <t>PSO124393</t>
  </si>
  <si>
    <t>PSO146248</t>
  </si>
  <si>
    <t>PSO140706</t>
  </si>
  <si>
    <t>PSO129024</t>
  </si>
  <si>
    <t>PSO130806</t>
  </si>
  <si>
    <t>PSO138882</t>
  </si>
  <si>
    <t>PSO269110</t>
  </si>
  <si>
    <t>PSO214739</t>
  </si>
  <si>
    <t>PSO172849</t>
  </si>
  <si>
    <t>PSO148652</t>
  </si>
  <si>
    <t>PSO240186</t>
  </si>
  <si>
    <t>PSO119854</t>
  </si>
  <si>
    <t>PSO247345</t>
  </si>
  <si>
    <t>PSO146758</t>
  </si>
  <si>
    <t>PSO172818</t>
  </si>
  <si>
    <t>PSO122397</t>
  </si>
  <si>
    <t>PSO83287</t>
  </si>
  <si>
    <t>PSO137746</t>
  </si>
  <si>
    <t>PSO91301</t>
  </si>
  <si>
    <t>PSO95761</t>
  </si>
  <si>
    <t>PSO137007</t>
  </si>
  <si>
    <t>PSO99539</t>
  </si>
  <si>
    <t>PSO262771</t>
  </si>
  <si>
    <t>PSO251828</t>
  </si>
  <si>
    <t>PSO233176</t>
  </si>
  <si>
    <t>PSO118476</t>
  </si>
  <si>
    <t>PSO181781</t>
  </si>
  <si>
    <t>PSO129731</t>
  </si>
  <si>
    <t>PSO108616</t>
  </si>
  <si>
    <t>PSO129210</t>
  </si>
  <si>
    <t>PSO101650</t>
  </si>
  <si>
    <t>PSO84514</t>
  </si>
  <si>
    <t>PSO243052</t>
  </si>
  <si>
    <t>PSO249234</t>
  </si>
  <si>
    <t>PSO124955</t>
  </si>
  <si>
    <t>PSO96573</t>
  </si>
  <si>
    <t>PSO97026</t>
  </si>
  <si>
    <t>PSO275750</t>
  </si>
  <si>
    <t>PSO100462</t>
  </si>
  <si>
    <t>PSO223339</t>
  </si>
  <si>
    <t>PSO94434</t>
  </si>
  <si>
    <t>PSO102513</t>
  </si>
  <si>
    <t>PSO237425</t>
  </si>
  <si>
    <t>PSO81988</t>
  </si>
  <si>
    <t>PSO147649</t>
  </si>
  <si>
    <t>PSO257391</t>
  </si>
  <si>
    <t>PSO105213</t>
  </si>
  <si>
    <t>PSO142794</t>
  </si>
  <si>
    <t>PSO110729</t>
  </si>
  <si>
    <t>PSO247838</t>
  </si>
  <si>
    <t>PSO271402</t>
  </si>
  <si>
    <t>PSO140990</t>
  </si>
  <si>
    <t>PSO80817</t>
  </si>
  <si>
    <t>PSO111841</t>
  </si>
  <si>
    <t>PSO142084</t>
  </si>
  <si>
    <t>PSO127032</t>
  </si>
  <si>
    <t>PSO97065</t>
  </si>
  <si>
    <t>PSO181170</t>
  </si>
  <si>
    <t>PSO116598</t>
  </si>
  <si>
    <t>PSO128230</t>
  </si>
  <si>
    <t>PSO79114</t>
  </si>
  <si>
    <t>PSO257430</t>
  </si>
  <si>
    <t>PSO147201</t>
  </si>
  <si>
    <t>PSO169550</t>
  </si>
  <si>
    <t>PSO259315</t>
  </si>
  <si>
    <t>PSO97039</t>
  </si>
  <si>
    <t>PSO173824</t>
  </si>
  <si>
    <t>PSO253320</t>
  </si>
  <si>
    <t>PSO138111</t>
  </si>
  <si>
    <t>PSO91775</t>
  </si>
  <si>
    <t>PSO241436</t>
  </si>
  <si>
    <t>PSO270735</t>
  </si>
  <si>
    <t>PSO229943</t>
  </si>
  <si>
    <t>PSO106466</t>
  </si>
  <si>
    <t>PSO241348</t>
  </si>
  <si>
    <t>PSO101317</t>
  </si>
  <si>
    <t>PSO258770</t>
  </si>
  <si>
    <t>PSO193785</t>
  </si>
  <si>
    <t>PSO210845</t>
  </si>
  <si>
    <t>PSO147571</t>
  </si>
  <si>
    <t>PSO112963</t>
  </si>
  <si>
    <t>PSO177209</t>
  </si>
  <si>
    <t>PSO141048</t>
  </si>
  <si>
    <t>PSO159811</t>
  </si>
  <si>
    <t>PSO261633</t>
  </si>
  <si>
    <t>PSO267308</t>
  </si>
  <si>
    <t>PSO95043</t>
  </si>
  <si>
    <t>PSO233803</t>
  </si>
  <si>
    <t>PSO136269</t>
  </si>
  <si>
    <t>PSO137332</t>
  </si>
  <si>
    <t>PSO89713</t>
  </si>
  <si>
    <t>PSO107020</t>
  </si>
  <si>
    <t>PSO174397</t>
  </si>
  <si>
    <t>PSO132395</t>
  </si>
  <si>
    <t>PSO102758</t>
  </si>
  <si>
    <t>PSO116638</t>
  </si>
  <si>
    <t>PSO126943</t>
  </si>
  <si>
    <t>PSO249608</t>
  </si>
  <si>
    <t>PSO143671</t>
  </si>
  <si>
    <t>PSO112870</t>
  </si>
  <si>
    <t>PSO236721</t>
  </si>
  <si>
    <t>PSO126980</t>
  </si>
  <si>
    <t>PSO116948</t>
  </si>
  <si>
    <t>PSO185017</t>
  </si>
  <si>
    <t>PSO145116</t>
  </si>
  <si>
    <t>PSO252426</t>
  </si>
  <si>
    <t>PSO7316013</t>
  </si>
  <si>
    <t>PSO259997</t>
  </si>
  <si>
    <t>PSO83115</t>
  </si>
  <si>
    <t>PSO185294</t>
  </si>
  <si>
    <t>PSO136224</t>
  </si>
  <si>
    <t>PSO88227</t>
  </si>
  <si>
    <t>PSO246064</t>
  </si>
  <si>
    <t>PSO239731</t>
  </si>
  <si>
    <t>PSO7178241</t>
  </si>
  <si>
    <t>PSO100849</t>
  </si>
  <si>
    <t>PSO187613</t>
  </si>
  <si>
    <t>PSO240534</t>
  </si>
  <si>
    <t>PSO102701</t>
  </si>
  <si>
    <t>PSO138198</t>
  </si>
  <si>
    <t>PSO167638</t>
  </si>
  <si>
    <t>PSO112813</t>
  </si>
  <si>
    <t>PSO7282706</t>
  </si>
  <si>
    <t>PSO90132</t>
  </si>
  <si>
    <t>PSO127837</t>
  </si>
  <si>
    <t>PSO130347</t>
  </si>
  <si>
    <t>PSO193741</t>
  </si>
  <si>
    <t>PSO98347</t>
  </si>
  <si>
    <t>PSO129131</t>
  </si>
  <si>
    <t>PSO88826</t>
  </si>
  <si>
    <t>PSO258955</t>
  </si>
  <si>
    <t>PSO238671</t>
  </si>
  <si>
    <t>PSO77626</t>
  </si>
  <si>
    <t>PSO7309837</t>
  </si>
  <si>
    <t>PSO97823</t>
  </si>
  <si>
    <t>PSO129761</t>
  </si>
  <si>
    <t>PSO99954</t>
  </si>
  <si>
    <t>PSO108101</t>
  </si>
  <si>
    <t>PSO137671</t>
  </si>
  <si>
    <t>PSO126326</t>
  </si>
  <si>
    <t>PSO117177</t>
  </si>
  <si>
    <t>PSO176723</t>
  </si>
  <si>
    <t>PSO271583</t>
  </si>
  <si>
    <t>PSO119422</t>
  </si>
  <si>
    <t>PSO7339827</t>
  </si>
  <si>
    <t>PSO248005</t>
  </si>
  <si>
    <t>PSO253477</t>
  </si>
  <si>
    <t>PSO177901</t>
  </si>
  <si>
    <t>PSO98034</t>
  </si>
  <si>
    <t>PSO80717</t>
  </si>
  <si>
    <t>PSO139041</t>
  </si>
  <si>
    <t>PSO96879</t>
  </si>
  <si>
    <t>PSO94205</t>
  </si>
  <si>
    <t>PSO149576</t>
  </si>
  <si>
    <t>PSO89728</t>
  </si>
  <si>
    <t>PSO260434</t>
  </si>
  <si>
    <t>PSO179247</t>
  </si>
  <si>
    <t>PSO82418</t>
  </si>
  <si>
    <t>PSO97071</t>
  </si>
  <si>
    <t>PSO140676</t>
  </si>
  <si>
    <t>PSO84430</t>
  </si>
  <si>
    <t>PSO118500</t>
  </si>
  <si>
    <t>PSO76972</t>
  </si>
  <si>
    <t>PSO99182</t>
  </si>
  <si>
    <t>PSO90525</t>
  </si>
  <si>
    <t>PSO275813</t>
  </si>
  <si>
    <t>PSO90235</t>
  </si>
  <si>
    <t>PSO130497</t>
  </si>
  <si>
    <t>PSO107959</t>
  </si>
  <si>
    <t>PSO168754</t>
  </si>
  <si>
    <t>PSO107019</t>
  </si>
  <si>
    <t>PSO276608</t>
  </si>
  <si>
    <t>PSO130310</t>
  </si>
  <si>
    <t>PSO129209</t>
  </si>
  <si>
    <t>PSO135708</t>
  </si>
  <si>
    <t>PSO97220</t>
  </si>
  <si>
    <t>PSO80489</t>
  </si>
  <si>
    <t>PSO140198</t>
  </si>
  <si>
    <t>PSO77200</t>
  </si>
  <si>
    <t>PSO225487</t>
  </si>
  <si>
    <t>PSO143788</t>
  </si>
  <si>
    <t>PSO264300</t>
  </si>
  <si>
    <t>PSO126287</t>
  </si>
  <si>
    <t>PSO120928</t>
  </si>
  <si>
    <t>PSO176396</t>
  </si>
  <si>
    <t>PSO123946</t>
  </si>
  <si>
    <t>PSO222628</t>
  </si>
  <si>
    <t>PSO95633</t>
  </si>
  <si>
    <t>PSO114618</t>
  </si>
  <si>
    <t>PSO171576</t>
  </si>
  <si>
    <t>PSO256738</t>
  </si>
  <si>
    <t>PSO270860</t>
  </si>
  <si>
    <t>PSO240808</t>
  </si>
  <si>
    <t>PSO136226</t>
  </si>
  <si>
    <t>PSO193631</t>
  </si>
  <si>
    <t>PSO96182</t>
  </si>
  <si>
    <t>PSO108800</t>
  </si>
  <si>
    <t>PSO179734</t>
  </si>
  <si>
    <t>PSO105862</t>
  </si>
  <si>
    <t>PSO7569755</t>
  </si>
  <si>
    <t>PSO183487</t>
  </si>
  <si>
    <t>PSO100514</t>
  </si>
  <si>
    <t>PSO108473</t>
  </si>
  <si>
    <t>PSO271089</t>
  </si>
  <si>
    <t>PSO108592</t>
  </si>
  <si>
    <t>PSO210685</t>
  </si>
  <si>
    <t>PSO171736</t>
  </si>
  <si>
    <t>PSO173340</t>
  </si>
  <si>
    <t>PSO7502851</t>
  </si>
  <si>
    <t>PSO251430</t>
  </si>
  <si>
    <t>PSO123528</t>
  </si>
  <si>
    <t>PSO7495887</t>
  </si>
  <si>
    <t>PSO120372</t>
  </si>
  <si>
    <t>PSO245664</t>
  </si>
  <si>
    <t>PSO76010</t>
  </si>
  <si>
    <t>PSO249539</t>
  </si>
  <si>
    <t>PSO168978</t>
  </si>
  <si>
    <t>PSO244717</t>
  </si>
  <si>
    <t>PSO177313</t>
  </si>
  <si>
    <t>PSO277021</t>
  </si>
  <si>
    <t>PSO271164</t>
  </si>
  <si>
    <t>PSO123217</t>
  </si>
  <si>
    <t>PSO114405</t>
  </si>
  <si>
    <t>PSO135189</t>
  </si>
  <si>
    <t>PSO253802</t>
  </si>
  <si>
    <t>PSO141320</t>
  </si>
  <si>
    <t>PSO244571</t>
  </si>
  <si>
    <t>PSO81147</t>
  </si>
  <si>
    <t>PSO147787</t>
  </si>
  <si>
    <t>PSO137063</t>
  </si>
  <si>
    <t>PSO145684</t>
  </si>
  <si>
    <t>PSO147017</t>
  </si>
  <si>
    <t>PSO134982</t>
  </si>
  <si>
    <t>PSO194242</t>
  </si>
  <si>
    <t>PSO141717</t>
  </si>
  <si>
    <t>PSO238297</t>
  </si>
  <si>
    <t>PSO203549</t>
  </si>
  <si>
    <t>PSO136940</t>
  </si>
  <si>
    <t>PSO195485</t>
  </si>
  <si>
    <t>PSO118067</t>
  </si>
  <si>
    <t>PSO182527</t>
  </si>
  <si>
    <t>PSO122225</t>
  </si>
  <si>
    <t>PSO239535</t>
  </si>
  <si>
    <t>PSO234979</t>
  </si>
  <si>
    <t>PSO147892</t>
  </si>
  <si>
    <t>PSO121614</t>
  </si>
  <si>
    <t>PSO7266132</t>
  </si>
  <si>
    <t>PSO178953</t>
  </si>
  <si>
    <t>PSO243410</t>
  </si>
  <si>
    <t>PSO108812</t>
  </si>
  <si>
    <t>PSO134971</t>
  </si>
  <si>
    <t>PSO89674</t>
  </si>
  <si>
    <t>PSO116402</t>
  </si>
  <si>
    <t>PSO7237874</t>
  </si>
  <si>
    <t>PSO124182</t>
  </si>
  <si>
    <t>PSO188227</t>
  </si>
  <si>
    <t>PSO113693</t>
  </si>
  <si>
    <t>PSO115068</t>
  </si>
  <si>
    <t>PSO144955</t>
  </si>
  <si>
    <t>PSO87933</t>
  </si>
  <si>
    <t>PSO157565</t>
  </si>
  <si>
    <t>PSO113633</t>
  </si>
  <si>
    <t>PSO145597</t>
  </si>
  <si>
    <t>PSO258368</t>
  </si>
  <si>
    <t>PSO129491</t>
  </si>
  <si>
    <t>PSO236244</t>
  </si>
  <si>
    <t>PSO245780</t>
  </si>
  <si>
    <t>PSO245631</t>
  </si>
  <si>
    <t>PSO129319</t>
  </si>
  <si>
    <t>PSO118576</t>
  </si>
  <si>
    <t>PSO114400</t>
  </si>
  <si>
    <t>PSO106647</t>
  </si>
  <si>
    <t>PSO252726</t>
  </si>
  <si>
    <t>PSO242851</t>
  </si>
  <si>
    <t>PSO109074</t>
  </si>
  <si>
    <t>PSO269513</t>
  </si>
  <si>
    <t>PSO130209</t>
  </si>
  <si>
    <t>PSO135186</t>
  </si>
  <si>
    <t>PSO148993</t>
  </si>
  <si>
    <t>PSO136712</t>
  </si>
  <si>
    <t>PSO136428</t>
  </si>
  <si>
    <t>PSO108517</t>
  </si>
  <si>
    <t>PSO117904</t>
  </si>
  <si>
    <t>PSO104593</t>
  </si>
  <si>
    <t>PSO114899</t>
  </si>
  <si>
    <t>PSO183580</t>
  </si>
  <si>
    <t>PSO239216</t>
  </si>
  <si>
    <t>PSO83240</t>
  </si>
  <si>
    <t>PSO183868</t>
  </si>
  <si>
    <t>PSO173045</t>
  </si>
  <si>
    <t>PSO173057</t>
  </si>
  <si>
    <t>PSO91862</t>
  </si>
  <si>
    <t>PSO79505</t>
  </si>
  <si>
    <t>PSO239913</t>
  </si>
  <si>
    <t>PSO116911</t>
  </si>
  <si>
    <t>PSO184477</t>
  </si>
  <si>
    <t>PSO142548</t>
  </si>
  <si>
    <t>PSO140562</t>
  </si>
  <si>
    <t>PSO142850</t>
  </si>
  <si>
    <t>PSO124385</t>
  </si>
  <si>
    <t>PSO109714</t>
  </si>
  <si>
    <t>PSO145811</t>
  </si>
  <si>
    <t>PSO137129</t>
  </si>
  <si>
    <t>PSO142948</t>
  </si>
  <si>
    <t>PSO259888</t>
  </si>
  <si>
    <t>PSO142815</t>
  </si>
  <si>
    <t>PSO264980</t>
  </si>
  <si>
    <t>PSO178571</t>
  </si>
  <si>
    <t>PSO272810</t>
  </si>
  <si>
    <t>PSO174371</t>
  </si>
  <si>
    <t>PSO110563</t>
  </si>
  <si>
    <t>PSO116458</t>
  </si>
  <si>
    <t>PSO106483</t>
  </si>
  <si>
    <t>PSO160697</t>
  </si>
  <si>
    <t>PSO76622</t>
  </si>
  <si>
    <t>PSO102611</t>
  </si>
  <si>
    <t>PSO136892</t>
  </si>
  <si>
    <t>PSO113050</t>
  </si>
  <si>
    <t>PSO225219</t>
  </si>
  <si>
    <t>PSO174862</t>
  </si>
  <si>
    <t>PSO105150</t>
  </si>
  <si>
    <t>PSO80675</t>
  </si>
  <si>
    <t>PSO139941</t>
  </si>
  <si>
    <t>PSO138103</t>
  </si>
  <si>
    <t>PSO140466</t>
  </si>
  <si>
    <t>PSO132809</t>
  </si>
  <si>
    <t>PSO176093</t>
  </si>
  <si>
    <t>PSO96828</t>
  </si>
  <si>
    <t>PSO184662</t>
  </si>
  <si>
    <t>PSO142989</t>
  </si>
  <si>
    <t>PSO186957</t>
  </si>
  <si>
    <t>PSO92327</t>
  </si>
  <si>
    <t>PSO102291</t>
  </si>
  <si>
    <t>PSO130805</t>
  </si>
  <si>
    <t>PSO138291</t>
  </si>
  <si>
    <t>PSO92072</t>
  </si>
  <si>
    <t>PSO136212</t>
  </si>
  <si>
    <t>PSO121204</t>
  </si>
  <si>
    <t>PSO140262</t>
  </si>
  <si>
    <t>PSO97980</t>
  </si>
  <si>
    <t>PSO257160</t>
  </si>
  <si>
    <t>PSO129470</t>
  </si>
  <si>
    <t>PSO237475</t>
  </si>
  <si>
    <t>PSO128796</t>
  </si>
  <si>
    <t>PSO237931</t>
  </si>
  <si>
    <t>PSO104291</t>
  </si>
  <si>
    <t>PSO7163587</t>
  </si>
  <si>
    <t>PSO146848</t>
  </si>
  <si>
    <t>PSO108020</t>
  </si>
  <si>
    <t>PSO98405</t>
  </si>
  <si>
    <t>PSO78920</t>
  </si>
  <si>
    <t>PSO101032</t>
  </si>
  <si>
    <t>PSO116067</t>
  </si>
  <si>
    <t>PSO126357</t>
  </si>
  <si>
    <t>PSO97070</t>
  </si>
  <si>
    <t>PSO145688</t>
  </si>
  <si>
    <t>PSO256056</t>
  </si>
  <si>
    <t>PSO263440</t>
  </si>
  <si>
    <t>PSO147984</t>
  </si>
  <si>
    <t>PSO129247</t>
  </si>
  <si>
    <t>PSO263165</t>
  </si>
  <si>
    <t>PSO256310</t>
  </si>
  <si>
    <t>PSO99502</t>
  </si>
  <si>
    <t>PSO126137</t>
  </si>
  <si>
    <t>PSO134445</t>
  </si>
  <si>
    <t>PSO178345</t>
  </si>
  <si>
    <t>PSO82740</t>
  </si>
  <si>
    <t>PSO97208</t>
  </si>
  <si>
    <t>PSO119667</t>
  </si>
  <si>
    <t>PSO234248</t>
  </si>
  <si>
    <t>PSO266505</t>
  </si>
  <si>
    <t>PSO140554</t>
  </si>
  <si>
    <t>PSO91682</t>
  </si>
  <si>
    <t>PSO116461</t>
  </si>
  <si>
    <t>PSO118240</t>
  </si>
  <si>
    <t>PSO125148</t>
  </si>
  <si>
    <t>PSO127050</t>
  </si>
  <si>
    <t>PSO135816</t>
  </si>
  <si>
    <t>PSO147088</t>
  </si>
  <si>
    <t>PSO100581</t>
  </si>
  <si>
    <t>PSO136452</t>
  </si>
  <si>
    <t>PSO271813</t>
  </si>
  <si>
    <t>PSO102948</t>
  </si>
  <si>
    <t>PSO141174</t>
  </si>
  <si>
    <t>PSO242004</t>
  </si>
  <si>
    <t>PSO244700</t>
  </si>
  <si>
    <t>PSO258996</t>
  </si>
  <si>
    <t>PSO141300</t>
  </si>
  <si>
    <t>PSO147490</t>
  </si>
  <si>
    <t>PSO89317</t>
  </si>
  <si>
    <t>PSO117299</t>
  </si>
  <si>
    <t>PSO110663</t>
  </si>
  <si>
    <t>PSO7338984</t>
  </si>
  <si>
    <t>PSO97983</t>
  </si>
  <si>
    <t>PSO115583</t>
  </si>
  <si>
    <t>PSO133050</t>
  </si>
  <si>
    <t>PSO143383</t>
  </si>
  <si>
    <t>PSO124367</t>
  </si>
  <si>
    <t>PSO142341</t>
  </si>
  <si>
    <t>PSO121381</t>
  </si>
  <si>
    <t>PSO175189</t>
  </si>
  <si>
    <t>PSO240078</t>
  </si>
  <si>
    <t>PSO111774</t>
  </si>
  <si>
    <t>PSO105644</t>
  </si>
  <si>
    <t>PSO187820</t>
  </si>
  <si>
    <t>PSO131063</t>
  </si>
  <si>
    <t>PSO145758</t>
  </si>
  <si>
    <t>PSO184820</t>
  </si>
  <si>
    <t>PSO98662</t>
  </si>
  <si>
    <t>PSO94988</t>
  </si>
  <si>
    <t>PSO81880</t>
  </si>
  <si>
    <t>PSO243604</t>
  </si>
  <si>
    <t>PSO141428</t>
  </si>
  <si>
    <t>PSO152486</t>
  </si>
  <si>
    <t>PSO136245</t>
  </si>
  <si>
    <t>PSO97992</t>
  </si>
  <si>
    <t>PSO254385</t>
  </si>
  <si>
    <t>PSO189680</t>
  </si>
  <si>
    <t>PSO246493</t>
  </si>
  <si>
    <t>PSO141295</t>
  </si>
  <si>
    <t>PSO136584</t>
  </si>
  <si>
    <t>PSO241385</t>
  </si>
  <si>
    <t>PSO258216</t>
  </si>
  <si>
    <t>PSO76022</t>
  </si>
  <si>
    <t>PSO119148</t>
  </si>
  <si>
    <t>PSO260370</t>
  </si>
  <si>
    <t>PSO84235</t>
  </si>
  <si>
    <t>PSO108518</t>
  </si>
  <si>
    <t>PSO108774</t>
  </si>
  <si>
    <t>PSO92911</t>
  </si>
  <si>
    <t>PSO142830</t>
  </si>
  <si>
    <t>PSO146222</t>
  </si>
  <si>
    <t>PSO150374</t>
  </si>
  <si>
    <t>PSO129794</t>
  </si>
  <si>
    <t>PSO114422</t>
  </si>
  <si>
    <t>PSO101022</t>
  </si>
  <si>
    <t>PSO88430</t>
  </si>
  <si>
    <t>PSO240040</t>
  </si>
  <si>
    <t>PSO80729</t>
  </si>
  <si>
    <t>PSO149111</t>
  </si>
  <si>
    <t>PSO178964</t>
  </si>
  <si>
    <t>PSO78860</t>
  </si>
  <si>
    <t>PSO105567</t>
  </si>
  <si>
    <t>PSO147119</t>
  </si>
  <si>
    <t>PSO119797</t>
  </si>
  <si>
    <t>PSO133888</t>
  </si>
  <si>
    <t>PSO177919</t>
  </si>
  <si>
    <t>PSO248928</t>
  </si>
  <si>
    <t>PSO206267</t>
  </si>
  <si>
    <t>PSO144779</t>
  </si>
  <si>
    <t>PSO240413</t>
  </si>
  <si>
    <t>PSO129566</t>
  </si>
  <si>
    <t>PSO111711</t>
  </si>
  <si>
    <t>PSO138598</t>
  </si>
  <si>
    <t>PSO137180</t>
  </si>
  <si>
    <t>PSO7261349</t>
  </si>
  <si>
    <t>PSO176933</t>
  </si>
  <si>
    <t>PSO139034</t>
  </si>
  <si>
    <t>PSO7286611</t>
  </si>
  <si>
    <t>PSO151578</t>
  </si>
  <si>
    <t>PSO97596</t>
  </si>
  <si>
    <t>PSO174426</t>
  </si>
  <si>
    <t>PSO76041</t>
  </si>
  <si>
    <t>PSO178357</t>
  </si>
  <si>
    <t>PSO100171</t>
  </si>
  <si>
    <t>PSO218491</t>
  </si>
  <si>
    <t>PSO170233</t>
  </si>
  <si>
    <t>PSO256400</t>
  </si>
  <si>
    <t>PSO182707</t>
  </si>
  <si>
    <t>PSO256008</t>
  </si>
  <si>
    <t>PSO89235</t>
  </si>
  <si>
    <t>PSO106685</t>
  </si>
  <si>
    <t>PSO251916</t>
  </si>
  <si>
    <t>PSO142055</t>
  </si>
  <si>
    <t>PSO80376</t>
  </si>
  <si>
    <t>PSO115690</t>
  </si>
  <si>
    <t>PSO99511</t>
  </si>
  <si>
    <t>PSO148321</t>
  </si>
  <si>
    <t>PSO122981</t>
  </si>
  <si>
    <t>PSO276088</t>
  </si>
  <si>
    <t>PSO249684</t>
  </si>
  <si>
    <t>PSO144647</t>
  </si>
  <si>
    <t>PSO77247</t>
  </si>
  <si>
    <t>PSO259793</t>
  </si>
  <si>
    <t>PSO128752</t>
  </si>
  <si>
    <t>PSO92164</t>
  </si>
  <si>
    <t>PSO84147</t>
  </si>
  <si>
    <t>PSO133233</t>
  </si>
  <si>
    <t>PSO116202</t>
  </si>
  <si>
    <t>PSO93702</t>
  </si>
  <si>
    <t>PSO131060</t>
  </si>
  <si>
    <t>PSO127272</t>
  </si>
  <si>
    <t>PSO249434</t>
  </si>
  <si>
    <t>PSO90523</t>
  </si>
  <si>
    <t>PSO185957</t>
  </si>
  <si>
    <t>PSO96788</t>
  </si>
  <si>
    <t>PSO123102</t>
  </si>
  <si>
    <t>PSO101715</t>
  </si>
  <si>
    <t>PSO122674</t>
  </si>
  <si>
    <t>PSO250217</t>
  </si>
  <si>
    <t>PSO145694</t>
  </si>
  <si>
    <t>PSO123540</t>
  </si>
  <si>
    <t>PSO166659</t>
  </si>
  <si>
    <t>PSO239466</t>
  </si>
  <si>
    <t>PSO141890</t>
  </si>
  <si>
    <t>PSO137802</t>
  </si>
  <si>
    <t>PSO7278003</t>
  </si>
  <si>
    <t>PSO136125</t>
  </si>
  <si>
    <t>PSO263628</t>
  </si>
  <si>
    <t>PSO137397</t>
  </si>
  <si>
    <t>PSO85654</t>
  </si>
  <si>
    <t>PSO206156</t>
  </si>
  <si>
    <t>PSO127909</t>
  </si>
  <si>
    <t>PSO175348</t>
  </si>
  <si>
    <t>PSO153018</t>
  </si>
  <si>
    <t>PSO88151</t>
  </si>
  <si>
    <t>PSO105013</t>
  </si>
  <si>
    <t>PSO97456</t>
  </si>
  <si>
    <t>PSO124538</t>
  </si>
  <si>
    <t>PSO238718</t>
  </si>
  <si>
    <t>PSO118208</t>
  </si>
  <si>
    <t>PSO255184</t>
  </si>
  <si>
    <t>PSO124654</t>
  </si>
  <si>
    <t>PSO144909</t>
  </si>
  <si>
    <t>PSO7314207</t>
  </si>
  <si>
    <t>PSO84898</t>
  </si>
  <si>
    <t>PSO127288</t>
  </si>
  <si>
    <t>PSO106672</t>
  </si>
  <si>
    <t>PSO244884</t>
  </si>
  <si>
    <t>PSO91067</t>
  </si>
  <si>
    <t>PSO132805</t>
  </si>
  <si>
    <t>PSO239846</t>
  </si>
  <si>
    <t>PSO143549</t>
  </si>
  <si>
    <t>PSO237486</t>
  </si>
  <si>
    <t>PSO145192</t>
  </si>
  <si>
    <t>PSO91074</t>
  </si>
  <si>
    <t>PSO247160</t>
  </si>
  <si>
    <t>PSO115528</t>
  </si>
  <si>
    <t>PSO254728</t>
  </si>
  <si>
    <t>PSO143992</t>
  </si>
  <si>
    <t>PSO132675</t>
  </si>
  <si>
    <t>PSO174270</t>
  </si>
  <si>
    <t>PSO126541</t>
  </si>
  <si>
    <t>PSO114713</t>
  </si>
  <si>
    <t>PSO170601</t>
  </si>
  <si>
    <t>PSO141931</t>
  </si>
  <si>
    <t>PSO240054</t>
  </si>
  <si>
    <t>PSO140456</t>
  </si>
  <si>
    <t>PSO185232</t>
  </si>
  <si>
    <t>PSO88620</t>
  </si>
  <si>
    <t>PSO253656</t>
  </si>
  <si>
    <t>PSO106108</t>
  </si>
  <si>
    <t>PSO98375</t>
  </si>
  <si>
    <t>PSO145354</t>
  </si>
  <si>
    <t>PSO127566</t>
  </si>
  <si>
    <t>PSO116554</t>
  </si>
  <si>
    <t>PSO7499813</t>
  </si>
  <si>
    <t>PSO117726</t>
  </si>
  <si>
    <t>PSO135235</t>
  </si>
  <si>
    <t>PSO170806</t>
  </si>
  <si>
    <t>PSO129366</t>
  </si>
  <si>
    <t>PSO106341</t>
  </si>
  <si>
    <t>PSO143358</t>
  </si>
  <si>
    <t>PSO123376</t>
  </si>
  <si>
    <t>PSO143626</t>
  </si>
  <si>
    <t>PSO115453</t>
  </si>
  <si>
    <t>PSO104208</t>
  </si>
  <si>
    <t>PSO143082</t>
  </si>
  <si>
    <t>PSO119668</t>
  </si>
  <si>
    <t>PSO251651</t>
  </si>
  <si>
    <t>PSO136100</t>
  </si>
  <si>
    <t>PSO170829</t>
  </si>
  <si>
    <t>PSO113653</t>
  </si>
  <si>
    <t>PSO145438</t>
  </si>
  <si>
    <t>PSO238385</t>
  </si>
  <si>
    <t>PSO121005</t>
  </si>
  <si>
    <t>PSO176386</t>
  </si>
  <si>
    <t>PSO86938</t>
  </si>
  <si>
    <t>PSO98576</t>
  </si>
  <si>
    <t>PSO82405</t>
  </si>
  <si>
    <t>PSO131503</t>
  </si>
  <si>
    <t>PSO90346</t>
  </si>
  <si>
    <t>PSO244140</t>
  </si>
  <si>
    <t>PSO130835</t>
  </si>
  <si>
    <t>PSO157292</t>
  </si>
  <si>
    <t>PSO145165</t>
  </si>
  <si>
    <t>PSO268874</t>
  </si>
  <si>
    <t>PSO184685</t>
  </si>
  <si>
    <t>PSO109434</t>
  </si>
  <si>
    <t>PSO107068</t>
  </si>
  <si>
    <t>PSO113137</t>
  </si>
  <si>
    <t>PSO135771</t>
  </si>
  <si>
    <t>PSO151760</t>
  </si>
  <si>
    <t>PSO142707</t>
  </si>
  <si>
    <t>PSO75381</t>
  </si>
  <si>
    <t>PSO255057</t>
  </si>
  <si>
    <t>PSO100521</t>
  </si>
  <si>
    <t>PSO179513</t>
  </si>
  <si>
    <t>PSO186093</t>
  </si>
  <si>
    <t>PSO92549</t>
  </si>
  <si>
    <t>PSO158288</t>
  </si>
  <si>
    <t>PSO88384</t>
  </si>
  <si>
    <t>PSO133397</t>
  </si>
  <si>
    <t>PSO142900</t>
  </si>
  <si>
    <t>PSO132086</t>
  </si>
  <si>
    <t>PSO91606</t>
  </si>
  <si>
    <t>PSO139488</t>
  </si>
  <si>
    <t>PSO103772</t>
  </si>
  <si>
    <t>PSO139204</t>
  </si>
  <si>
    <t>PSO181709</t>
  </si>
  <si>
    <t>PSO138797</t>
  </si>
  <si>
    <t>PSO238706</t>
  </si>
  <si>
    <t>PSO7545422</t>
  </si>
  <si>
    <t>PSO146905</t>
  </si>
  <si>
    <t>PSO107923</t>
  </si>
  <si>
    <t>PSO166189</t>
  </si>
  <si>
    <t>PSO188542</t>
  </si>
  <si>
    <t>PSO86910</t>
  </si>
  <si>
    <t>PSO115892</t>
  </si>
  <si>
    <t>PSO158883</t>
  </si>
  <si>
    <t>PSO111084</t>
  </si>
  <si>
    <t>PSO109280</t>
  </si>
  <si>
    <t>PSO83056</t>
  </si>
  <si>
    <t>PSO99977</t>
  </si>
  <si>
    <t>PSO105811</t>
  </si>
  <si>
    <t>PSO144275</t>
  </si>
  <si>
    <t>PSO143796</t>
  </si>
  <si>
    <t>PSO122427</t>
  </si>
  <si>
    <t>PSO245828</t>
  </si>
  <si>
    <t>PSO83133</t>
  </si>
  <si>
    <t>PSO110685</t>
  </si>
  <si>
    <t>PSO93655</t>
  </si>
  <si>
    <t>PSO146535</t>
  </si>
  <si>
    <t>PSO210609</t>
  </si>
  <si>
    <t>PSO169440</t>
  </si>
  <si>
    <t>PSO109311</t>
  </si>
  <si>
    <t>PSO120763</t>
  </si>
  <si>
    <t>PSO185139</t>
  </si>
  <si>
    <t>PSO260656</t>
  </si>
  <si>
    <t>PSO99331</t>
  </si>
  <si>
    <t>PSO100416</t>
  </si>
  <si>
    <t>PSO129833</t>
  </si>
  <si>
    <t>PSO122934</t>
  </si>
  <si>
    <t>PSO267247</t>
  </si>
  <si>
    <t>PSO262751</t>
  </si>
  <si>
    <t>PSO238107</t>
  </si>
  <si>
    <t>PSO120162</t>
  </si>
  <si>
    <t>PSO242366</t>
  </si>
  <si>
    <t>PSO85669</t>
  </si>
  <si>
    <t>PSO118814</t>
  </si>
  <si>
    <t>PSO236159</t>
  </si>
  <si>
    <t>PSO145294</t>
  </si>
  <si>
    <t>PSO239989</t>
  </si>
  <si>
    <t>PSO139435</t>
  </si>
  <si>
    <t>PSO147424</t>
  </si>
  <si>
    <t>PSO7164308</t>
  </si>
  <si>
    <t>PSO138426</t>
  </si>
  <si>
    <t>PSO7337631</t>
  </si>
  <si>
    <t>PSO184476</t>
  </si>
  <si>
    <t>PSO178942</t>
  </si>
  <si>
    <t>PSO184988</t>
  </si>
  <si>
    <t>PSO266260</t>
  </si>
  <si>
    <t>PSO261242</t>
  </si>
  <si>
    <t>PSO112025</t>
  </si>
  <si>
    <t>PSO249721</t>
  </si>
  <si>
    <t>PSO256090</t>
  </si>
  <si>
    <t>PSO115910</t>
  </si>
  <si>
    <t>PSO81525</t>
  </si>
  <si>
    <t>PSO139612</t>
  </si>
  <si>
    <t>PSO193778</t>
  </si>
  <si>
    <t>PSO111426</t>
  </si>
  <si>
    <t>PSO238035</t>
  </si>
  <si>
    <t>PSO103270</t>
  </si>
  <si>
    <t>PSO246040</t>
  </si>
  <si>
    <t>PSO102525</t>
  </si>
  <si>
    <t>PSO246728</t>
  </si>
  <si>
    <t>PSO7314150</t>
  </si>
  <si>
    <t>PSO146851</t>
  </si>
  <si>
    <t>PSO166856</t>
  </si>
  <si>
    <t>PSO186570</t>
  </si>
  <si>
    <t>PSO276213</t>
  </si>
  <si>
    <t>PSO7368481</t>
  </si>
  <si>
    <t>PSO206305</t>
  </si>
  <si>
    <t>PSO241838</t>
  </si>
  <si>
    <t>PSO90752</t>
  </si>
  <si>
    <t>PSO144608</t>
  </si>
  <si>
    <t>PSO169016</t>
  </si>
  <si>
    <t>PSO129666</t>
  </si>
  <si>
    <t>PSO144266</t>
  </si>
  <si>
    <t>PSO114568</t>
  </si>
  <si>
    <t>PSO240083</t>
  </si>
  <si>
    <t>PSO132760</t>
  </si>
  <si>
    <t>PSO87255</t>
  </si>
  <si>
    <t>PSO127965</t>
  </si>
  <si>
    <t>PSO259143</t>
  </si>
  <si>
    <t>PSO171091</t>
  </si>
  <si>
    <t>PSO110256</t>
  </si>
  <si>
    <t>PSO118379</t>
  </si>
  <si>
    <t>PSO183882</t>
  </si>
  <si>
    <t>PSO79216</t>
  </si>
  <si>
    <t>PSO237310</t>
  </si>
  <si>
    <t>PSO144685</t>
  </si>
  <si>
    <t>PSO168961</t>
  </si>
  <si>
    <t>PSO99307</t>
  </si>
  <si>
    <t>PSO93029</t>
  </si>
  <si>
    <t>PSO108628</t>
  </si>
  <si>
    <t>PSO136743</t>
  </si>
  <si>
    <t>PSO7565330</t>
  </si>
  <si>
    <t>PSO145886</t>
  </si>
  <si>
    <t>PSO100075</t>
  </si>
  <si>
    <t>PSO134988</t>
  </si>
  <si>
    <t>PSO250266</t>
  </si>
  <si>
    <t>PSO247544</t>
  </si>
  <si>
    <t>PSO145590</t>
  </si>
  <si>
    <t>PSO78268</t>
  </si>
  <si>
    <t>PSO199661</t>
  </si>
  <si>
    <t>PSO147308</t>
  </si>
  <si>
    <t>PSO259056</t>
  </si>
  <si>
    <t>PSO117508</t>
  </si>
  <si>
    <t>PSO113195</t>
  </si>
  <si>
    <t>PSO141826</t>
  </si>
  <si>
    <t>PSO180420</t>
  </si>
  <si>
    <t>PSO111649</t>
  </si>
  <si>
    <t>PSO85471</t>
  </si>
  <si>
    <t>PSO252381</t>
  </si>
  <si>
    <t>PSO276783</t>
  </si>
  <si>
    <t>PSO105860</t>
  </si>
  <si>
    <t>PSO75788</t>
  </si>
  <si>
    <t>PSO178989</t>
  </si>
  <si>
    <t>PSO181614</t>
  </si>
  <si>
    <t>PSO136661</t>
  </si>
  <si>
    <t>PSO122463</t>
  </si>
  <si>
    <t>PSO139415</t>
  </si>
  <si>
    <t>PSO142665</t>
  </si>
  <si>
    <t>PSO175862</t>
  </si>
  <si>
    <t>PSO120983</t>
  </si>
  <si>
    <t>PSO248698</t>
  </si>
  <si>
    <t>PSO136644</t>
  </si>
  <si>
    <t>PSO120278</t>
  </si>
  <si>
    <t>PSO105219</t>
  </si>
  <si>
    <t>PSO136171</t>
  </si>
  <si>
    <t>PSO140797</t>
  </si>
  <si>
    <t>PSO135397</t>
  </si>
  <si>
    <t>PSO92971</t>
  </si>
  <si>
    <t>PSO263291</t>
  </si>
  <si>
    <t>PSO244119</t>
  </si>
  <si>
    <t>PSO116721</t>
  </si>
  <si>
    <t>PSO240184</t>
  </si>
  <si>
    <t>PSO250438</t>
  </si>
  <si>
    <t>PSO178463</t>
  </si>
  <si>
    <t>PSO217722</t>
  </si>
  <si>
    <t>PSO95244</t>
  </si>
  <si>
    <t>PSO118734</t>
  </si>
  <si>
    <t>PSO141482</t>
  </si>
  <si>
    <t>PSO104523</t>
  </si>
  <si>
    <t>PSO80508</t>
  </si>
  <si>
    <t>PSO103328</t>
  </si>
  <si>
    <t>PSO266631</t>
  </si>
  <si>
    <t>PSO241512</t>
  </si>
  <si>
    <t>PSO94012</t>
  </si>
  <si>
    <t>PSO114573</t>
  </si>
  <si>
    <t>PSO86774</t>
  </si>
  <si>
    <t>PSO239040</t>
  </si>
  <si>
    <t>PSO167492</t>
  </si>
  <si>
    <t>PSO137094</t>
  </si>
  <si>
    <t>PSO259484</t>
  </si>
  <si>
    <t>PSO128044</t>
  </si>
  <si>
    <t>PSO95195</t>
  </si>
  <si>
    <t>PSO88762</t>
  </si>
  <si>
    <t>PSO254082</t>
  </si>
  <si>
    <t>PSO92168</t>
  </si>
  <si>
    <t>PSO82971</t>
  </si>
  <si>
    <t>PSO144887</t>
  </si>
  <si>
    <t>PSO146213</t>
  </si>
  <si>
    <t>PSO7493138</t>
  </si>
  <si>
    <t>PSO90142</t>
  </si>
  <si>
    <t>PSO87976</t>
  </si>
  <si>
    <t>PSO253497</t>
  </si>
  <si>
    <t>PSO111385</t>
  </si>
  <si>
    <t>PSO91766</t>
  </si>
  <si>
    <t>PSO130513</t>
  </si>
  <si>
    <t>PSO272605</t>
  </si>
  <si>
    <t>PSO7489340</t>
  </si>
  <si>
    <t>PSO258462</t>
  </si>
  <si>
    <t>PSO84879</t>
  </si>
  <si>
    <t>PSO122882</t>
  </si>
  <si>
    <t>PSO113881</t>
  </si>
  <si>
    <t>PSO78907</t>
  </si>
  <si>
    <t>PSO7306035</t>
  </si>
  <si>
    <t>PSO118780</t>
  </si>
  <si>
    <t>PSO132816</t>
  </si>
  <si>
    <t>PSO141436</t>
  </si>
  <si>
    <t>PSO168089</t>
  </si>
  <si>
    <t>PSO78000</t>
  </si>
  <si>
    <t>PSO142624</t>
  </si>
  <si>
    <t>PSO244976</t>
  </si>
  <si>
    <t>PSO91702</t>
  </si>
  <si>
    <t>PSO176313</t>
  </si>
  <si>
    <t>PSO234550</t>
  </si>
  <si>
    <t>PSO117539</t>
  </si>
  <si>
    <t>PSO117834</t>
  </si>
  <si>
    <t>PSO127725</t>
  </si>
  <si>
    <t>PSO256566</t>
  </si>
  <si>
    <t>PSO78340</t>
  </si>
  <si>
    <t>PSO7317874</t>
  </si>
  <si>
    <t>PSO89636</t>
  </si>
  <si>
    <t>PSO121292</t>
  </si>
  <si>
    <t>PSO193738</t>
  </si>
  <si>
    <t>PSO117673</t>
  </si>
  <si>
    <t>PSO112701</t>
  </si>
  <si>
    <t>PSO133512</t>
  </si>
  <si>
    <t>PSO75148</t>
  </si>
  <si>
    <t>PSO146349</t>
  </si>
  <si>
    <t>PSO101000</t>
  </si>
  <si>
    <t>PSO114087</t>
  </si>
  <si>
    <t>PSO126125</t>
  </si>
  <si>
    <t>PSO117951</t>
  </si>
  <si>
    <t>PSO82526</t>
  </si>
  <si>
    <t>PSO131137</t>
  </si>
  <si>
    <t>PSO269710</t>
  </si>
  <si>
    <t>PSO251627</t>
  </si>
  <si>
    <t>PSO187703</t>
  </si>
  <si>
    <t>PSO205190</t>
  </si>
  <si>
    <t>PSO249646</t>
  </si>
  <si>
    <t>PSO241634</t>
  </si>
  <si>
    <t>PSO133513</t>
  </si>
  <si>
    <t>PSO96201</t>
  </si>
  <si>
    <t>PSO145906</t>
  </si>
  <si>
    <t>PSO110606</t>
  </si>
  <si>
    <t>PSO140367</t>
  </si>
  <si>
    <t>PSO268831</t>
  </si>
  <si>
    <t>PSO236835</t>
  </si>
  <si>
    <t>PSO139880</t>
  </si>
  <si>
    <t>PSO266726</t>
  </si>
  <si>
    <t>PSO127794</t>
  </si>
  <si>
    <t>PSO177830</t>
  </si>
  <si>
    <t>PSO125678</t>
  </si>
  <si>
    <t>PSO266362</t>
  </si>
  <si>
    <t>PSO134566</t>
  </si>
  <si>
    <t>PSO204260</t>
  </si>
  <si>
    <t>PSO117183</t>
  </si>
  <si>
    <t>PSO105951</t>
  </si>
  <si>
    <t>PSO135111</t>
  </si>
  <si>
    <t>PSO91905</t>
  </si>
  <si>
    <t>PSO90531</t>
  </si>
  <si>
    <t>PSO92186</t>
  </si>
  <si>
    <t>PSO127422</t>
  </si>
  <si>
    <t>PSO124667</t>
  </si>
  <si>
    <t>PSO131786</t>
  </si>
  <si>
    <t>PSO102385</t>
  </si>
  <si>
    <t>PSO114728</t>
  </si>
  <si>
    <t>PSO139862</t>
  </si>
  <si>
    <t>PSO175662</t>
  </si>
  <si>
    <t>PSO261923</t>
  </si>
  <si>
    <t>PSO123182</t>
  </si>
  <si>
    <t>PSO262429</t>
  </si>
  <si>
    <t>PSO106716</t>
  </si>
  <si>
    <t>PSO98758</t>
  </si>
  <si>
    <t>PSO104462</t>
  </si>
  <si>
    <t>PSO104719</t>
  </si>
  <si>
    <t>PSO105777</t>
  </si>
  <si>
    <t>PSO89452</t>
  </si>
  <si>
    <t>PSO99186</t>
  </si>
  <si>
    <t>PSO131651</t>
  </si>
  <si>
    <t>PSO145287</t>
  </si>
  <si>
    <t>PSO127480</t>
  </si>
  <si>
    <t>PSO140210</t>
  </si>
  <si>
    <t>PSO119364</t>
  </si>
  <si>
    <t>PSO180865</t>
  </si>
  <si>
    <t>PSO108547</t>
  </si>
  <si>
    <t>PSO124680</t>
  </si>
  <si>
    <t>PSO127910</t>
  </si>
  <si>
    <t>PSO119196</t>
  </si>
  <si>
    <t>PSO112640</t>
  </si>
  <si>
    <t>PSO82619</t>
  </si>
  <si>
    <t>PSO119745</t>
  </si>
  <si>
    <t>PSO139848</t>
  </si>
  <si>
    <t>PSO137809</t>
  </si>
  <si>
    <t>PSO251698</t>
  </si>
  <si>
    <t>PSO125236</t>
  </si>
  <si>
    <t>PSO193779</t>
  </si>
  <si>
    <t>PSO179363</t>
  </si>
  <si>
    <t>PSO92443</t>
  </si>
  <si>
    <t>PSO176920</t>
  </si>
  <si>
    <t>PSO98766</t>
  </si>
  <si>
    <t>PSO139544</t>
  </si>
  <si>
    <t>PSO236821</t>
  </si>
  <si>
    <t>PSO142693</t>
  </si>
  <si>
    <t>PSO77909</t>
  </si>
  <si>
    <t>PSO78334</t>
  </si>
  <si>
    <t>PSO171221</t>
  </si>
  <si>
    <t>PSO79560</t>
  </si>
  <si>
    <t>PSO114016</t>
  </si>
  <si>
    <t>PSO100377</t>
  </si>
  <si>
    <t>PSO132983</t>
  </si>
  <si>
    <t>PSO132333</t>
  </si>
  <si>
    <t>PSO118655</t>
  </si>
  <si>
    <t>PSO146808</t>
  </si>
  <si>
    <t>PSO97307</t>
  </si>
  <si>
    <t>PSO123049</t>
  </si>
  <si>
    <t>PSO231174</t>
  </si>
  <si>
    <t>PSO87513</t>
  </si>
  <si>
    <t>PSO119661</t>
  </si>
  <si>
    <t>PSO138117</t>
  </si>
  <si>
    <t>PSO145564</t>
  </si>
  <si>
    <t>PSO245514</t>
  </si>
  <si>
    <t>PSO78298</t>
  </si>
  <si>
    <t>PSO249360</t>
  </si>
  <si>
    <t>PSO268815</t>
  </si>
  <si>
    <t>PSO147756</t>
  </si>
  <si>
    <t>PSO109310</t>
  </si>
  <si>
    <t>PSO269419</t>
  </si>
  <si>
    <t>PSO203760</t>
  </si>
  <si>
    <t>PSO123185</t>
  </si>
  <si>
    <t>PSO128394</t>
  </si>
  <si>
    <t>PSO96231</t>
  </si>
  <si>
    <t>PSO138418</t>
  </si>
  <si>
    <t>PSO103662</t>
  </si>
  <si>
    <t>PSO87721</t>
  </si>
  <si>
    <t>PSO147920</t>
  </si>
  <si>
    <t>PSO110332</t>
  </si>
  <si>
    <t>PSO116207</t>
  </si>
  <si>
    <t>PSO136280</t>
  </si>
  <si>
    <t>PSO125972</t>
  </si>
  <si>
    <t>PSO110064</t>
  </si>
  <si>
    <t>PSO112254</t>
  </si>
  <si>
    <t>PSO101816</t>
  </si>
  <si>
    <t>PSO128124</t>
  </si>
  <si>
    <t>PSO103720</t>
  </si>
  <si>
    <t>PSO132632</t>
  </si>
  <si>
    <t>PSO104111</t>
  </si>
  <si>
    <t>PSO143503</t>
  </si>
  <si>
    <t>PSO176159</t>
  </si>
  <si>
    <t>PSO237205</t>
  </si>
  <si>
    <t>PSO77918</t>
  </si>
  <si>
    <t>PSO263175</t>
  </si>
  <si>
    <t>PSO82967</t>
  </si>
  <si>
    <t>PSO131107</t>
  </si>
  <si>
    <t>PSO98176</t>
  </si>
  <si>
    <t>PSO252368</t>
  </si>
  <si>
    <t>PSO135170</t>
  </si>
  <si>
    <t>PSO130594</t>
  </si>
  <si>
    <t>PSO77139</t>
  </si>
  <si>
    <t>PSO139867</t>
  </si>
  <si>
    <t>PSO243561</t>
  </si>
  <si>
    <t>PSO142876</t>
  </si>
  <si>
    <t>PSO268498</t>
  </si>
  <si>
    <t>PSO140923</t>
  </si>
  <si>
    <t>PSO80213</t>
  </si>
  <si>
    <t>PSO166169</t>
  </si>
  <si>
    <t>PSO243427</t>
  </si>
  <si>
    <t>PSO142651</t>
  </si>
  <si>
    <t>PSO116773</t>
  </si>
  <si>
    <t>PSO185994</t>
  </si>
  <si>
    <t>PSO241539</t>
  </si>
  <si>
    <t>PSO240157</t>
  </si>
  <si>
    <t>PSO181864</t>
  </si>
  <si>
    <t>PSO126020</t>
  </si>
  <si>
    <t>PSO235858</t>
  </si>
  <si>
    <t>PSO135198</t>
  </si>
  <si>
    <t>PSO115919</t>
  </si>
  <si>
    <t>PSO153663</t>
  </si>
  <si>
    <t>PSO168922</t>
  </si>
  <si>
    <t>PSO102079</t>
  </si>
  <si>
    <t>PSO141371</t>
  </si>
  <si>
    <t>PSO249378</t>
  </si>
  <si>
    <t>PSO132385</t>
  </si>
  <si>
    <t>PSO271348</t>
  </si>
  <si>
    <t>PSO85630</t>
  </si>
  <si>
    <t>PSO108486</t>
  </si>
  <si>
    <t>PSO154850</t>
  </si>
  <si>
    <t>PSO130436</t>
  </si>
  <si>
    <t>PSO252065</t>
  </si>
  <si>
    <t>PSO164500</t>
  </si>
  <si>
    <t>PSO140202</t>
  </si>
  <si>
    <t>PSO104275</t>
  </si>
  <si>
    <t>PSO171363</t>
  </si>
  <si>
    <t>PSO147933</t>
  </si>
  <si>
    <t>PSO122010</t>
  </si>
  <si>
    <t>PSO255705</t>
  </si>
  <si>
    <t>PSO139875</t>
  </si>
  <si>
    <t>PSO7549828</t>
  </si>
  <si>
    <t>PSO239135</t>
  </si>
  <si>
    <t>PSO273897</t>
  </si>
  <si>
    <t>PSO180146</t>
  </si>
  <si>
    <t>PSO93437</t>
  </si>
  <si>
    <t>PSO174814</t>
  </si>
  <si>
    <t>PSO77380</t>
  </si>
  <si>
    <t>PSO104127</t>
  </si>
  <si>
    <t>PSO239019</t>
  </si>
  <si>
    <t>PSO129715</t>
  </si>
  <si>
    <t>PSO271334</t>
  </si>
  <si>
    <t>PSO146799</t>
  </si>
  <si>
    <t>PSO126085</t>
  </si>
  <si>
    <t>PSO251129</t>
  </si>
  <si>
    <t>PSO182481</t>
  </si>
  <si>
    <t>PSO176488</t>
  </si>
  <si>
    <t>PSO249104</t>
  </si>
  <si>
    <t>PSO143688</t>
  </si>
  <si>
    <t>PSO96657</t>
  </si>
  <si>
    <t>PSO175768</t>
  </si>
  <si>
    <t>PSO184212</t>
  </si>
  <si>
    <t>PSO82594</t>
  </si>
  <si>
    <t>PSO108140</t>
  </si>
  <si>
    <t>PSO142711</t>
  </si>
  <si>
    <t>PSO260678</t>
  </si>
  <si>
    <t>PSO152791</t>
  </si>
  <si>
    <t>PSO161335</t>
  </si>
  <si>
    <t>PSO128296</t>
  </si>
  <si>
    <t>PSO108692</t>
  </si>
  <si>
    <t>PSO129355</t>
  </si>
  <si>
    <t>PSO116515</t>
  </si>
  <si>
    <t>PSO131748</t>
  </si>
  <si>
    <t>PSO141610</t>
  </si>
  <si>
    <t>PSO7248232</t>
  </si>
  <si>
    <t>PSO145233</t>
  </si>
  <si>
    <t>PSO119248</t>
  </si>
  <si>
    <t>PSO164386</t>
  </si>
  <si>
    <t>PSO80274</t>
  </si>
  <si>
    <t>PSO219118</t>
  </si>
  <si>
    <t>PSO96425</t>
  </si>
  <si>
    <t>PSO117772</t>
  </si>
  <si>
    <t>PSO169734</t>
  </si>
  <si>
    <t>PSO115668</t>
  </si>
  <si>
    <t>PSO139904</t>
  </si>
  <si>
    <t>PSO145598</t>
  </si>
  <si>
    <t>PSO123630</t>
  </si>
  <si>
    <t>PSO113183</t>
  </si>
  <si>
    <t>PSO136551</t>
  </si>
  <si>
    <t>PSO87807</t>
  </si>
  <si>
    <t>PSO114788</t>
  </si>
  <si>
    <t>PSO256884</t>
  </si>
  <si>
    <t>PSO258300</t>
  </si>
  <si>
    <t>PSO173487</t>
  </si>
  <si>
    <t>PSO146735</t>
  </si>
  <si>
    <t>PSO200012</t>
  </si>
  <si>
    <t>PSO7370290</t>
  </si>
  <si>
    <t>PSO171442</t>
  </si>
  <si>
    <t>PSO269821</t>
  </si>
  <si>
    <t>PSO78833</t>
  </si>
  <si>
    <t>PSO140166</t>
  </si>
  <si>
    <t>PSO258625</t>
  </si>
  <si>
    <t>PSO168096</t>
  </si>
  <si>
    <t>PSO89667</t>
  </si>
  <si>
    <t>PSO115009</t>
  </si>
  <si>
    <t>PSO129902</t>
  </si>
  <si>
    <t>PSO109284</t>
  </si>
  <si>
    <t>PSO142681</t>
  </si>
  <si>
    <t>PSO116884</t>
  </si>
  <si>
    <t>PSO143504</t>
  </si>
  <si>
    <t>PSO185110</t>
  </si>
  <si>
    <t>PSO135745</t>
  </si>
  <si>
    <t>PSO140641</t>
  </si>
  <si>
    <t>PSO260251</t>
  </si>
  <si>
    <t>PSO125315</t>
  </si>
  <si>
    <t>PSO143212</t>
  </si>
  <si>
    <t>PSO240998</t>
  </si>
  <si>
    <t>PSO185422</t>
  </si>
  <si>
    <t>PSO247072</t>
  </si>
  <si>
    <t>PSO245379</t>
  </si>
  <si>
    <t>PSO165837</t>
  </si>
  <si>
    <t>PSO91302</t>
  </si>
  <si>
    <t>PSO87825</t>
  </si>
  <si>
    <t>PSO170933</t>
  </si>
  <si>
    <t>PSO207111</t>
  </si>
  <si>
    <t>PSO146925</t>
  </si>
  <si>
    <t>PSO145806</t>
  </si>
  <si>
    <t>PSO253749</t>
  </si>
  <si>
    <t>PSO7519605</t>
  </si>
  <si>
    <t>PSO178434</t>
  </si>
  <si>
    <t>PSO237963</t>
  </si>
  <si>
    <t>PSO152148</t>
  </si>
  <si>
    <t>PSO168607</t>
  </si>
  <si>
    <t>PSO134759</t>
  </si>
  <si>
    <t>PSO180412</t>
  </si>
  <si>
    <t>PSO134791</t>
  </si>
  <si>
    <t>PSO76177</t>
  </si>
  <si>
    <t>PSO126183</t>
  </si>
  <si>
    <t>PSO126652</t>
  </si>
  <si>
    <t>PSO82746</t>
  </si>
  <si>
    <t>PSO260284</t>
  </si>
  <si>
    <t>PSO167833</t>
  </si>
  <si>
    <t>PSO84565</t>
  </si>
  <si>
    <t>PSO89128</t>
  </si>
  <si>
    <t>PSO258272</t>
  </si>
  <si>
    <t>PSO251147</t>
  </si>
  <si>
    <t>PSO260034</t>
  </si>
  <si>
    <t>PSO106476</t>
  </si>
  <si>
    <t>PSO123829</t>
  </si>
  <si>
    <t>PSO125580</t>
  </si>
  <si>
    <t>PSO82417</t>
  </si>
  <si>
    <t>PSO140085</t>
  </si>
  <si>
    <t>PSO97461</t>
  </si>
  <si>
    <t>PSO143159</t>
  </si>
  <si>
    <t>PSO271567</t>
  </si>
  <si>
    <t>PSO174006</t>
  </si>
  <si>
    <t>PSO168208</t>
  </si>
  <si>
    <t>PSO170615</t>
  </si>
  <si>
    <t>PSO112152</t>
  </si>
  <si>
    <t>PSO136073</t>
  </si>
  <si>
    <t>PSO268305</t>
  </si>
  <si>
    <t>PSO238341</t>
  </si>
  <si>
    <t>PSO241108</t>
  </si>
  <si>
    <t>PSO124291</t>
  </si>
  <si>
    <t>PSO130069</t>
  </si>
  <si>
    <t>PSO7319845</t>
  </si>
  <si>
    <t>PSO118477</t>
  </si>
  <si>
    <t>PSO105353</t>
  </si>
  <si>
    <t>PSO174572</t>
  </si>
  <si>
    <t>PSO172718</t>
  </si>
  <si>
    <t>PSO142496</t>
  </si>
  <si>
    <t>PSO135960</t>
  </si>
  <si>
    <t>PSO208658</t>
  </si>
  <si>
    <t>PSO81707</t>
  </si>
  <si>
    <t>PSO267773</t>
  </si>
  <si>
    <t>PSO93689</t>
  </si>
  <si>
    <t>PSO127693</t>
  </si>
  <si>
    <t>PSO110904</t>
  </si>
  <si>
    <t>PSO140390</t>
  </si>
  <si>
    <t>PSO117461</t>
  </si>
  <si>
    <t>PSO137343</t>
  </si>
  <si>
    <t>PSO93769</t>
  </si>
  <si>
    <t>PSO145966</t>
  </si>
  <si>
    <t>PSO93169</t>
  </si>
  <si>
    <t>PSO168429</t>
  </si>
  <si>
    <t>PSO117845</t>
  </si>
  <si>
    <t>PSO256554</t>
  </si>
  <si>
    <t>PSO183578</t>
  </si>
  <si>
    <t>PSO122990</t>
  </si>
  <si>
    <t>PSO144751</t>
  </si>
  <si>
    <t>PSO124005</t>
  </si>
  <si>
    <t>PSO248966</t>
  </si>
  <si>
    <t>PSO78898</t>
  </si>
  <si>
    <t>PSO242210</t>
  </si>
  <si>
    <t>PSO141872</t>
  </si>
  <si>
    <t>PSO83324</t>
  </si>
  <si>
    <t>PSO159142</t>
  </si>
  <si>
    <t>PSO198886</t>
  </si>
  <si>
    <t>PSO83325</t>
  </si>
  <si>
    <t>PSO123953</t>
  </si>
  <si>
    <t>PSO130991</t>
  </si>
  <si>
    <t>PSO85008</t>
  </si>
  <si>
    <t>PSO111423</t>
  </si>
  <si>
    <t>PSO76396</t>
  </si>
  <si>
    <t>PSO123739</t>
  </si>
  <si>
    <t>PSO134053</t>
  </si>
  <si>
    <t>PSO100571</t>
  </si>
  <si>
    <t>PSO141950</t>
  </si>
  <si>
    <t>PSO146058</t>
  </si>
  <si>
    <t>PSO146892</t>
  </si>
  <si>
    <t>PSO115299</t>
  </si>
  <si>
    <t>PSO239028</t>
  </si>
  <si>
    <t>PSO111825</t>
  </si>
  <si>
    <t>PSO118022</t>
  </si>
  <si>
    <t>PSO103697</t>
  </si>
  <si>
    <t>PSO241013</t>
  </si>
  <si>
    <t>PSO92350</t>
  </si>
  <si>
    <t>PSO123555</t>
  </si>
  <si>
    <t>PSO179915</t>
  </si>
  <si>
    <t>PSO117186</t>
  </si>
  <si>
    <t>PSO116968</t>
  </si>
  <si>
    <t>PSO145046</t>
  </si>
  <si>
    <t>PSO120143</t>
  </si>
  <si>
    <t>PSO199509</t>
  </si>
  <si>
    <t>PSO111167</t>
  </si>
  <si>
    <t>PSO184739</t>
  </si>
  <si>
    <t>PSO119270</t>
  </si>
  <si>
    <t>PSO89531</t>
  </si>
  <si>
    <t>PSO254883</t>
  </si>
  <si>
    <t>PSO243827</t>
  </si>
  <si>
    <t>PSO179326</t>
  </si>
  <si>
    <t>PSO87763</t>
  </si>
  <si>
    <t>PSO223822</t>
  </si>
  <si>
    <t>PSO134850</t>
  </si>
  <si>
    <t>PSO133648</t>
  </si>
  <si>
    <t>PSO262736</t>
  </si>
  <si>
    <t>PSO110197</t>
  </si>
  <si>
    <t>PSO123692</t>
  </si>
  <si>
    <t>PSO181674</t>
  </si>
  <si>
    <t>PSO131828</t>
  </si>
  <si>
    <t>PSO158667</t>
  </si>
  <si>
    <t>PSO94160</t>
  </si>
  <si>
    <t>PSO90851</t>
  </si>
  <si>
    <t>PSO207460</t>
  </si>
  <si>
    <t>PSO154078</t>
  </si>
  <si>
    <t>PSO137866</t>
  </si>
  <si>
    <t>PSO277137</t>
  </si>
  <si>
    <t>PSO109834</t>
  </si>
  <si>
    <t>PSO237669</t>
  </si>
  <si>
    <t>PSO84790</t>
  </si>
  <si>
    <t>PSO120919</t>
  </si>
  <si>
    <t>PSO90730</t>
  </si>
  <si>
    <t>PSO118294</t>
  </si>
  <si>
    <t>PSO170029</t>
  </si>
  <si>
    <t>PSO78710</t>
  </si>
  <si>
    <t>PSO7253067</t>
  </si>
  <si>
    <t>PSO99414</t>
  </si>
  <si>
    <t>PSO177428</t>
  </si>
  <si>
    <t>PSO114264</t>
  </si>
  <si>
    <t>PSO74826</t>
  </si>
  <si>
    <t>PSO262508</t>
  </si>
  <si>
    <t>PSO89594</t>
  </si>
  <si>
    <t>PSO99926</t>
  </si>
  <si>
    <t>PSO236277</t>
  </si>
  <si>
    <t>PSO118035</t>
  </si>
  <si>
    <t>PSO114625</t>
  </si>
  <si>
    <t>PSO139530</t>
  </si>
  <si>
    <t>PSO101103</t>
  </si>
  <si>
    <t>PSO7520605</t>
  </si>
  <si>
    <t>PSO138201</t>
  </si>
  <si>
    <t>PSO173290</t>
  </si>
  <si>
    <t>PSO143929</t>
  </si>
  <si>
    <t>PSO178328</t>
  </si>
  <si>
    <t>PSO133799</t>
  </si>
  <si>
    <t>PSO256219</t>
  </si>
  <si>
    <t>PSO259536</t>
  </si>
  <si>
    <t>PSO245222</t>
  </si>
  <si>
    <t>PSO117076</t>
  </si>
  <si>
    <t>PSO130966</t>
  </si>
  <si>
    <t>PSO131347</t>
  </si>
  <si>
    <t>PSO117341</t>
  </si>
  <si>
    <t>PSO169636</t>
  </si>
  <si>
    <t>PSO116582</t>
  </si>
  <si>
    <t>PSO168565</t>
  </si>
  <si>
    <t>PSO159712</t>
  </si>
  <si>
    <t>PSO165958</t>
  </si>
  <si>
    <t>PSO89033</t>
  </si>
  <si>
    <t>PSO138484</t>
  </si>
  <si>
    <t>PSO168929</t>
  </si>
  <si>
    <t>PSO82579</t>
  </si>
  <si>
    <t>PSO108712</t>
  </si>
  <si>
    <t>PSO265673</t>
  </si>
  <si>
    <t>PSO125378</t>
  </si>
  <si>
    <t>PSO258530</t>
  </si>
  <si>
    <t>PSO228545</t>
  </si>
  <si>
    <t>PSO277074</t>
  </si>
  <si>
    <t>PSO103115</t>
  </si>
  <si>
    <t>PSO113631</t>
  </si>
  <si>
    <t>PSO7532058</t>
  </si>
  <si>
    <t>PSO131485</t>
  </si>
  <si>
    <t>PSO89042</t>
  </si>
  <si>
    <t>PSO137550</t>
  </si>
  <si>
    <t>PSO107800</t>
  </si>
  <si>
    <t>PSO137361</t>
  </si>
  <si>
    <t>PSO129677</t>
  </si>
  <si>
    <t>PSO7501064</t>
  </si>
  <si>
    <t>PSO123142</t>
  </si>
  <si>
    <t>PSO121904</t>
  </si>
  <si>
    <t>PSO7278107</t>
  </si>
  <si>
    <t>PSO100472</t>
  </si>
  <si>
    <t>PSO133678</t>
  </si>
  <si>
    <t>PSO111615</t>
  </si>
  <si>
    <t>PSO185696</t>
  </si>
  <si>
    <t>PSO107599</t>
  </si>
  <si>
    <t>PSO121412</t>
  </si>
  <si>
    <t>PSO120644</t>
  </si>
  <si>
    <t>PSO143721</t>
  </si>
  <si>
    <t>PSO146876</t>
  </si>
  <si>
    <t>PSO94104</t>
  </si>
  <si>
    <t>PSO106162</t>
  </si>
  <si>
    <t>PSO267130</t>
  </si>
  <si>
    <t>PSO269156</t>
  </si>
  <si>
    <t>PSO90644</t>
  </si>
  <si>
    <t>PSO211675</t>
  </si>
  <si>
    <t>PSO237919</t>
  </si>
  <si>
    <t>PSO138057</t>
  </si>
  <si>
    <t>PSO198803</t>
  </si>
  <si>
    <t>PSO130884</t>
  </si>
  <si>
    <t>PSO258232</t>
  </si>
  <si>
    <t>PSO144830</t>
  </si>
  <si>
    <t>PSO140635</t>
  </si>
  <si>
    <t>PSO184626</t>
  </si>
  <si>
    <t>PSO133757</t>
  </si>
  <si>
    <t>PSO246575</t>
  </si>
  <si>
    <t>PSO84265</t>
  </si>
  <si>
    <t>PSO118332</t>
  </si>
  <si>
    <t>PSO129014</t>
  </si>
  <si>
    <t>PSO188062</t>
  </si>
  <si>
    <t>PSO116194</t>
  </si>
  <si>
    <t>PSO114987</t>
  </si>
  <si>
    <t>PSO184855</t>
  </si>
  <si>
    <t>PSO92337</t>
  </si>
  <si>
    <t>PSO99402</t>
  </si>
  <si>
    <t>PSO114600</t>
  </si>
  <si>
    <t>PSO144871</t>
  </si>
  <si>
    <t>PSO99626</t>
  </si>
  <si>
    <t>PSO96607</t>
  </si>
  <si>
    <t>PSO174973</t>
  </si>
  <si>
    <t>PSO243863</t>
  </si>
  <si>
    <t>PSO91168</t>
  </si>
  <si>
    <t>PSO109625</t>
  </si>
  <si>
    <t>PSO226112</t>
  </si>
  <si>
    <t>PSO78008</t>
  </si>
  <si>
    <t>PSO137587</t>
  </si>
  <si>
    <t>PSO266877</t>
  </si>
  <si>
    <t>PSO107891</t>
  </si>
  <si>
    <t>PSO112385</t>
  </si>
  <si>
    <t>PSO7259587</t>
  </si>
  <si>
    <t>PSO127057</t>
  </si>
  <si>
    <t>PSO113067</t>
  </si>
  <si>
    <t>PSO184298</t>
  </si>
  <si>
    <t>PSO252087</t>
  </si>
  <si>
    <t>PSO136580</t>
  </si>
  <si>
    <t>PSO142930</t>
  </si>
  <si>
    <t>PSO161428</t>
  </si>
  <si>
    <t>PSO132924</t>
  </si>
  <si>
    <t>PSO98078</t>
  </si>
  <si>
    <t>PSO240171</t>
  </si>
  <si>
    <t>PSO174899</t>
  </si>
  <si>
    <t>PSO270581</t>
  </si>
  <si>
    <t>PSO136789</t>
  </si>
  <si>
    <t>PSO105314</t>
  </si>
  <si>
    <t>PSO136685</t>
  </si>
  <si>
    <t>PSO7306055</t>
  </si>
  <si>
    <t>PSO238086</t>
  </si>
  <si>
    <t>PSO113239</t>
  </si>
  <si>
    <t>PSO112850</t>
  </si>
  <si>
    <t>PSO146667</t>
  </si>
  <si>
    <t>PSO117871</t>
  </si>
  <si>
    <t>PSO145412</t>
  </si>
  <si>
    <t>PSO186503</t>
  </si>
  <si>
    <t>PSO236265</t>
  </si>
  <si>
    <t>PSO167568</t>
  </si>
  <si>
    <t>PSO117721</t>
  </si>
  <si>
    <t>PSO103540</t>
  </si>
  <si>
    <t>PSO128641</t>
  </si>
  <si>
    <t>PSO101653</t>
  </si>
  <si>
    <t>PSO82351</t>
  </si>
  <si>
    <t>PSO76737</t>
  </si>
  <si>
    <t>PSO107757</t>
  </si>
  <si>
    <t>PSO121040</t>
  </si>
  <si>
    <t>PSO137546</t>
  </si>
  <si>
    <t>PSO106101</t>
  </si>
  <si>
    <t>PSO242940</t>
  </si>
  <si>
    <t>PSO81451</t>
  </si>
  <si>
    <t>PSO201679</t>
  </si>
  <si>
    <t>PSO239050</t>
  </si>
  <si>
    <t>PSO132773</t>
  </si>
  <si>
    <t>PSO249280</t>
  </si>
  <si>
    <t>PSO122261</t>
  </si>
  <si>
    <t>PSO143271</t>
  </si>
  <si>
    <t>PSO277904</t>
  </si>
  <si>
    <t>PSO108142</t>
  </si>
  <si>
    <t>PSO128047</t>
  </si>
  <si>
    <t>PSO87776</t>
  </si>
  <si>
    <t>PSO260947</t>
  </si>
  <si>
    <t>PSO143794</t>
  </si>
  <si>
    <t>PSO137734</t>
  </si>
  <si>
    <t>PSO83727</t>
  </si>
  <si>
    <t>PSO125055</t>
  </si>
  <si>
    <t>PSO276506</t>
  </si>
  <si>
    <t>PSO245303</t>
  </si>
  <si>
    <t>PSO180878</t>
  </si>
  <si>
    <t>PSO219376</t>
  </si>
  <si>
    <t>PSO218522</t>
  </si>
  <si>
    <t>PSO147718</t>
  </si>
  <si>
    <t>PSO103900</t>
  </si>
  <si>
    <t>PSO116445</t>
  </si>
  <si>
    <t>PSO133103</t>
  </si>
  <si>
    <t>PSO113200</t>
  </si>
  <si>
    <t>PSO107566</t>
  </si>
  <si>
    <t>PSO116083</t>
  </si>
  <si>
    <t>PSO85644</t>
  </si>
  <si>
    <t>PSO7352200</t>
  </si>
  <si>
    <t>PSO80278</t>
  </si>
  <si>
    <t>PSO110731</t>
  </si>
  <si>
    <t>PSO146823</t>
  </si>
  <si>
    <t>PSO120909</t>
  </si>
  <si>
    <t>PSO165396</t>
  </si>
  <si>
    <t>PSO147541</t>
  </si>
  <si>
    <t>PSO7519562</t>
  </si>
  <si>
    <t>PSO160923</t>
  </si>
  <si>
    <t>PSO112845</t>
  </si>
  <si>
    <t>PSO97202</t>
  </si>
  <si>
    <t>PSO119752</t>
  </si>
  <si>
    <t>PSO147468</t>
  </si>
  <si>
    <t>PSO100579</t>
  </si>
  <si>
    <t>PSO7317754</t>
  </si>
  <si>
    <t>PSO110836</t>
  </si>
  <si>
    <t>PSO131134</t>
  </si>
  <si>
    <t>PSO143455</t>
  </si>
  <si>
    <t>PSO146430</t>
  </si>
  <si>
    <t>PSO108677</t>
  </si>
  <si>
    <t>PSO276848</t>
  </si>
  <si>
    <t>PSO80254</t>
  </si>
  <si>
    <t>PSO124480</t>
  </si>
  <si>
    <t>PSO90451</t>
  </si>
  <si>
    <t>PSO102367</t>
  </si>
  <si>
    <t>PSO206436</t>
  </si>
  <si>
    <t>PSO248449</t>
  </si>
  <si>
    <t>PSO265996</t>
  </si>
  <si>
    <t>PSO265342</t>
  </si>
  <si>
    <t>PSO194459</t>
  </si>
  <si>
    <t>PSO76823</t>
  </si>
  <si>
    <t>PSO103359</t>
  </si>
  <si>
    <t>PSO258872</t>
  </si>
  <si>
    <t>PSO7545424</t>
  </si>
  <si>
    <t>PSO167268</t>
  </si>
  <si>
    <t>PSO200932</t>
  </si>
  <si>
    <t>PSO184795</t>
  </si>
  <si>
    <t>PSO262437</t>
  </si>
  <si>
    <t>PSO78786</t>
  </si>
  <si>
    <t>PSO142301</t>
  </si>
  <si>
    <t>PSO269108</t>
  </si>
  <si>
    <t>PSO134640</t>
  </si>
  <si>
    <t>PSO94579</t>
  </si>
  <si>
    <t>PSO101787</t>
  </si>
  <si>
    <t>PSO97489</t>
  </si>
  <si>
    <t>PSO200257</t>
  </si>
  <si>
    <t>PSO170780</t>
  </si>
  <si>
    <t>PSO124261</t>
  </si>
  <si>
    <t>PSO145991</t>
  </si>
  <si>
    <t>PSO114869</t>
  </si>
  <si>
    <t>PSO120758</t>
  </si>
  <si>
    <t>PSO120462</t>
  </si>
  <si>
    <t>PSO84423</t>
  </si>
  <si>
    <t>PSO176198</t>
  </si>
  <si>
    <t>PSO146082</t>
  </si>
  <si>
    <t>PSO138884</t>
  </si>
  <si>
    <t>PSO117151</t>
  </si>
  <si>
    <t>PSO104307</t>
  </si>
  <si>
    <t>PSO141493</t>
  </si>
  <si>
    <t>PSO7240951</t>
  </si>
  <si>
    <t>PSO250550</t>
  </si>
  <si>
    <t>PSO102019</t>
  </si>
  <si>
    <t>PSO185902</t>
  </si>
  <si>
    <t>PSO183885</t>
  </si>
  <si>
    <t>PSO176562</t>
  </si>
  <si>
    <t>PSO247169</t>
  </si>
  <si>
    <t>PSO97795</t>
  </si>
  <si>
    <t>PSO143637</t>
  </si>
  <si>
    <t>PSO133839</t>
  </si>
  <si>
    <t>PSO134968</t>
  </si>
  <si>
    <t>PSO245102</t>
  </si>
  <si>
    <t>PSO79937</t>
  </si>
  <si>
    <t>PSO270866</t>
  </si>
  <si>
    <t>PSO87519</t>
  </si>
  <si>
    <t>PSO147360</t>
  </si>
  <si>
    <t>PSO111513</t>
  </si>
  <si>
    <t>PSO127243</t>
  </si>
  <si>
    <t>PSO98660</t>
  </si>
  <si>
    <t>PSO78654</t>
  </si>
  <si>
    <t>PSO143342</t>
  </si>
  <si>
    <t>PSO93511</t>
  </si>
  <si>
    <t>PSO7526884</t>
  </si>
  <si>
    <t>PSO97044</t>
  </si>
  <si>
    <t>PSO170870</t>
  </si>
  <si>
    <t>PSO142486</t>
  </si>
  <si>
    <t>PSO236974</t>
  </si>
  <si>
    <t>PSO267346</t>
  </si>
  <si>
    <t>PSO242788</t>
  </si>
  <si>
    <t>PSO105479</t>
  </si>
  <si>
    <t>PSO253137</t>
  </si>
  <si>
    <t>PSO85852</t>
  </si>
  <si>
    <t>PSO91005</t>
  </si>
  <si>
    <t>PSO83262</t>
  </si>
  <si>
    <t>PSO169598</t>
  </si>
  <si>
    <t>PSO83244</t>
  </si>
  <si>
    <t>PSO151468</t>
  </si>
  <si>
    <t>PSO131783</t>
  </si>
  <si>
    <t>PSO174548</t>
  </si>
  <si>
    <t>PSO85806</t>
  </si>
  <si>
    <t>PSO89363</t>
  </si>
  <si>
    <t>PSO245268</t>
  </si>
  <si>
    <t>PSO179366</t>
  </si>
  <si>
    <t>PSO175512</t>
  </si>
  <si>
    <t>PSO182854</t>
  </si>
  <si>
    <t>PSO151313</t>
  </si>
  <si>
    <t>PSO250620</t>
  </si>
  <si>
    <t>PSO108119</t>
  </si>
  <si>
    <t>PSO144461</t>
  </si>
  <si>
    <t>PSO144161</t>
  </si>
  <si>
    <t>PSO95360</t>
  </si>
  <si>
    <t>PSO137918</t>
  </si>
  <si>
    <t>PSO208683</t>
  </si>
  <si>
    <t>PSO96596</t>
  </si>
  <si>
    <t>PSO128280</t>
  </si>
  <si>
    <t>PSO112828</t>
  </si>
  <si>
    <t>PSO125259</t>
  </si>
  <si>
    <t>PSO75730</t>
  </si>
  <si>
    <t>PSO231110</t>
  </si>
  <si>
    <t>PSO148053</t>
  </si>
  <si>
    <t>PSO263924</t>
  </si>
  <si>
    <t>PSO88499</t>
  </si>
  <si>
    <t>PSO114056</t>
  </si>
  <si>
    <t>PSO255774</t>
  </si>
  <si>
    <t>PSO273310</t>
  </si>
  <si>
    <t>PSO150778</t>
  </si>
  <si>
    <t>PSO104642</t>
  </si>
  <si>
    <t>PSO95058</t>
  </si>
  <si>
    <t>PSO98604</t>
  </si>
  <si>
    <t>PSO182616</t>
  </si>
  <si>
    <t>PSO79170</t>
  </si>
  <si>
    <t>PSO99400</t>
  </si>
  <si>
    <t>PSO142262</t>
  </si>
  <si>
    <t>PSO105426</t>
  </si>
  <si>
    <t>PSO88207</t>
  </si>
  <si>
    <t>PSO7188794</t>
  </si>
  <si>
    <t>PSO143031</t>
  </si>
  <si>
    <t>PSO7493691</t>
  </si>
  <si>
    <t>PSO7324578</t>
  </si>
  <si>
    <t>PSO125128</t>
  </si>
  <si>
    <t>PSO194336</t>
  </si>
  <si>
    <t>PSO93980</t>
  </si>
  <si>
    <t>PSO193759</t>
  </si>
  <si>
    <t>PSO135099</t>
  </si>
  <si>
    <t>PSO101269</t>
  </si>
  <si>
    <t>PSO126629</t>
  </si>
  <si>
    <t>PSO7338310</t>
  </si>
  <si>
    <t>PSO137803</t>
  </si>
  <si>
    <t>PSO135340</t>
  </si>
  <si>
    <t>PSO121585</t>
  </si>
  <si>
    <t>PSO178122</t>
  </si>
  <si>
    <t>PSO120036</t>
  </si>
  <si>
    <t>PSO118063</t>
  </si>
  <si>
    <t>PSO129481</t>
  </si>
  <si>
    <t>PSO93363</t>
  </si>
  <si>
    <t>PSO102836</t>
  </si>
  <si>
    <t>PSO241750</t>
  </si>
  <si>
    <t>PSO100959</t>
  </si>
  <si>
    <t>PSO91007</t>
  </si>
  <si>
    <t>PSO104207</t>
  </si>
  <si>
    <t>PSO119154</t>
  </si>
  <si>
    <t>PSO168811</t>
  </si>
  <si>
    <t>PSO172150</t>
  </si>
  <si>
    <t>PSO193750</t>
  </si>
  <si>
    <t>PSO75228</t>
  </si>
  <si>
    <t>PSO117423</t>
  </si>
  <si>
    <t>PSO133468</t>
  </si>
  <si>
    <t>PSO166185</t>
  </si>
  <si>
    <t>PSO260170</t>
  </si>
  <si>
    <t>PSO83927</t>
  </si>
  <si>
    <t>PSO178547</t>
  </si>
  <si>
    <t>PSO243803</t>
  </si>
  <si>
    <t>PSO185713</t>
  </si>
  <si>
    <t>PSO114196</t>
  </si>
  <si>
    <t>PSO82538</t>
  </si>
  <si>
    <t>PSO76628</t>
  </si>
  <si>
    <t>PSO137067</t>
  </si>
  <si>
    <t>PSO146007</t>
  </si>
  <si>
    <t>PSO102398</t>
  </si>
  <si>
    <t>PSO141987</t>
  </si>
  <si>
    <t>PSO254814</t>
  </si>
  <si>
    <t>PSO147337</t>
  </si>
  <si>
    <t>PSO130611</t>
  </si>
  <si>
    <t>PSO264550</t>
  </si>
  <si>
    <t>PSO89182</t>
  </si>
  <si>
    <t>PSO147982</t>
  </si>
  <si>
    <t>PSO136111</t>
  </si>
  <si>
    <t>PSO259069</t>
  </si>
  <si>
    <t>PSO272914</t>
  </si>
  <si>
    <t>PSO140690</t>
  </si>
  <si>
    <t>PSO182706</t>
  </si>
  <si>
    <t>PSO249829</t>
  </si>
  <si>
    <t>PSO88287</t>
  </si>
  <si>
    <t>PSO175075</t>
  </si>
  <si>
    <t>PSO116566</t>
  </si>
  <si>
    <t>PSO115156</t>
  </si>
  <si>
    <t>PSO94337</t>
  </si>
  <si>
    <t>PSO245259</t>
  </si>
  <si>
    <t>PSO100606</t>
  </si>
  <si>
    <t>PSO118036</t>
  </si>
  <si>
    <t>PSO255982</t>
  </si>
  <si>
    <t>PSO258126</t>
  </si>
  <si>
    <t>PSO137153</t>
  </si>
  <si>
    <t>PSO144304</t>
  </si>
  <si>
    <t>PSO99005</t>
  </si>
  <si>
    <t>PSO80820</t>
  </si>
  <si>
    <t>PSO181050</t>
  </si>
  <si>
    <t>PSO131450</t>
  </si>
  <si>
    <t>PSO170069</t>
  </si>
  <si>
    <t>PSO178494</t>
  </si>
  <si>
    <t>PSO103991</t>
  </si>
  <si>
    <t>PSO114648</t>
  </si>
  <si>
    <t>PSO171764</t>
  </si>
  <si>
    <t>PSO254877</t>
  </si>
  <si>
    <t>PSO86324</t>
  </si>
  <si>
    <t>PSO123064</t>
  </si>
  <si>
    <t>PSO89429</t>
  </si>
  <si>
    <t>PSO7357936</t>
  </si>
  <si>
    <t>PSO139238</t>
  </si>
  <si>
    <t>PSO183213</t>
  </si>
  <si>
    <t>PSO123510</t>
  </si>
  <si>
    <t>PSO125604</t>
  </si>
  <si>
    <t>PSO253716</t>
  </si>
  <si>
    <t>PSO264383</t>
  </si>
  <si>
    <t>PSO103857</t>
  </si>
  <si>
    <t>PSO135628</t>
  </si>
  <si>
    <t>PSO132997</t>
  </si>
  <si>
    <t>PSO116870</t>
  </si>
  <si>
    <t>PSO144562</t>
  </si>
  <si>
    <t>PSO75388</t>
  </si>
  <si>
    <t>PSO273927</t>
  </si>
  <si>
    <t>PSO166725</t>
  </si>
  <si>
    <t>PSO246606</t>
  </si>
  <si>
    <t>PSO122941</t>
  </si>
  <si>
    <t>PSO142238</t>
  </si>
  <si>
    <t>PSO142922</t>
  </si>
  <si>
    <t>PSO109234</t>
  </si>
  <si>
    <t>PSO116070</t>
  </si>
  <si>
    <t>PSO106508</t>
  </si>
  <si>
    <t>PSO139759</t>
  </si>
  <si>
    <t>PSO125002</t>
  </si>
  <si>
    <t>PSO108152</t>
  </si>
  <si>
    <t>PSO213604</t>
  </si>
  <si>
    <t>PSO79241</t>
  </si>
  <si>
    <t>PSO156455</t>
  </si>
  <si>
    <t>PSO83055</t>
  </si>
  <si>
    <t>PSO75259</t>
  </si>
  <si>
    <t>PSO259345</t>
  </si>
  <si>
    <t>PSO92635</t>
  </si>
  <si>
    <t>PSO136183</t>
  </si>
  <si>
    <t>PSO117485</t>
  </si>
  <si>
    <t>PSO178372</t>
  </si>
  <si>
    <t>PSO257620</t>
  </si>
  <si>
    <t>PSO110043</t>
  </si>
  <si>
    <t>PSO129814</t>
  </si>
  <si>
    <t>PSO185920</t>
  </si>
  <si>
    <t>PSO134534</t>
  </si>
  <si>
    <t>PSO141458</t>
  </si>
  <si>
    <t>PSO114988</t>
  </si>
  <si>
    <t>PSO131861</t>
  </si>
  <si>
    <t>PSO165935</t>
  </si>
  <si>
    <t>PSO184867</t>
  </si>
  <si>
    <t>PSO146811</t>
  </si>
  <si>
    <t>PSO116803</t>
  </si>
  <si>
    <t>PSO137278</t>
  </si>
  <si>
    <t>PSO122049</t>
  </si>
  <si>
    <t>PSO161811</t>
  </si>
  <si>
    <t>PSO241955</t>
  </si>
  <si>
    <t>PSO242104</t>
  </si>
  <si>
    <t>PSO104160</t>
  </si>
  <si>
    <t>PSO267902</t>
  </si>
  <si>
    <t>PSO105258</t>
  </si>
  <si>
    <t>PSO165831</t>
  </si>
  <si>
    <t>PSO134336</t>
  </si>
  <si>
    <t>PSO7533515</t>
  </si>
  <si>
    <t>PSO147202</t>
  </si>
  <si>
    <t>PSO261809</t>
  </si>
  <si>
    <t>PSO7372155</t>
  </si>
  <si>
    <t>PSO167675</t>
  </si>
  <si>
    <t>PSO139184</t>
  </si>
  <si>
    <t>PSO185901</t>
  </si>
  <si>
    <t>PSO125040</t>
  </si>
  <si>
    <t>PSO96935</t>
  </si>
  <si>
    <t>PSO266401</t>
  </si>
  <si>
    <t>PSO119656</t>
  </si>
  <si>
    <t>PSO130753</t>
  </si>
  <si>
    <t>PSO100150</t>
  </si>
  <si>
    <t>PSO117718</t>
  </si>
  <si>
    <t>PSO131195</t>
  </si>
  <si>
    <t>PSO7368461</t>
  </si>
  <si>
    <t>PSO180985</t>
  </si>
  <si>
    <t>PSO84556</t>
  </si>
  <si>
    <t>PSO186286</t>
  </si>
  <si>
    <t>PSO110651</t>
  </si>
  <si>
    <t>PSO166499</t>
  </si>
  <si>
    <t>PSO114065</t>
  </si>
  <si>
    <t>PSO100369</t>
  </si>
  <si>
    <t>PSO142889</t>
  </si>
  <si>
    <t>PSO87744</t>
  </si>
  <si>
    <t>PSO125835</t>
  </si>
  <si>
    <t>PSO75767</t>
  </si>
  <si>
    <t>PSO114321</t>
  </si>
  <si>
    <t>PSO184194</t>
  </si>
  <si>
    <t>PSO7157598</t>
  </si>
  <si>
    <t>PSO165119</t>
  </si>
  <si>
    <t>PSO118393</t>
  </si>
  <si>
    <t>PSO190729</t>
  </si>
  <si>
    <t>PSO180289</t>
  </si>
  <si>
    <t>PSO241837</t>
  </si>
  <si>
    <t>PSO262363</t>
  </si>
  <si>
    <t>PSO258165</t>
  </si>
  <si>
    <t>PSO115306</t>
  </si>
  <si>
    <t>PSO165292</t>
  </si>
  <si>
    <t>PSO186765</t>
  </si>
  <si>
    <t>PSO147214</t>
  </si>
  <si>
    <t>PSO277270</t>
  </si>
  <si>
    <t>PSO147548</t>
  </si>
  <si>
    <t>PSO267432</t>
  </si>
  <si>
    <t>PSO255506</t>
  </si>
  <si>
    <t>PSO77845</t>
  </si>
  <si>
    <t>PSO247158</t>
  </si>
  <si>
    <t>PSO82779</t>
  </si>
  <si>
    <t>PSO143279</t>
  </si>
  <si>
    <t>PSO166504</t>
  </si>
  <si>
    <t>PSO238731</t>
  </si>
  <si>
    <t>PSO177225</t>
  </si>
  <si>
    <t>PSO237885</t>
  </si>
  <si>
    <t>PSO143229</t>
  </si>
  <si>
    <t>PSO110080</t>
  </si>
  <si>
    <t>PSO126879</t>
  </si>
  <si>
    <t>PSO118661</t>
  </si>
  <si>
    <t>PSO179373</t>
  </si>
  <si>
    <t>PSO141360</t>
  </si>
  <si>
    <t>PSO84695</t>
  </si>
  <si>
    <t>PSO81882</t>
  </si>
  <si>
    <t>PSO143307</t>
  </si>
  <si>
    <t>PSO119441</t>
  </si>
  <si>
    <t>PSO120610</t>
  </si>
  <si>
    <t>PSO113760</t>
  </si>
  <si>
    <t>PSO245855</t>
  </si>
  <si>
    <t>PSO135283</t>
  </si>
  <si>
    <t>PSO136179</t>
  </si>
  <si>
    <t>PSO80239</t>
  </si>
  <si>
    <t>PSO143599</t>
  </si>
  <si>
    <t>PSO233235</t>
  </si>
  <si>
    <t>PSO134870</t>
  </si>
  <si>
    <t>PSO129784</t>
  </si>
  <si>
    <t>PSO176526</t>
  </si>
  <si>
    <t>PSO168746</t>
  </si>
  <si>
    <t>PSO240892</t>
  </si>
  <si>
    <t>PSO107653</t>
  </si>
  <si>
    <t>PSO105267</t>
  </si>
  <si>
    <t>PSO139664</t>
  </si>
  <si>
    <t>PSO185691</t>
  </si>
  <si>
    <t>PSO262442</t>
  </si>
  <si>
    <t>PSO135872</t>
  </si>
  <si>
    <t>PSO273465</t>
  </si>
  <si>
    <t>PSO168635</t>
  </si>
  <si>
    <t>PSO87197</t>
  </si>
  <si>
    <t>PSO137421</t>
  </si>
  <si>
    <t>PSO7272605</t>
  </si>
  <si>
    <t>PSO243204</t>
  </si>
  <si>
    <t>PSO134642</t>
  </si>
  <si>
    <t>PSO7495918</t>
  </si>
  <si>
    <t>PSO254011</t>
  </si>
  <si>
    <t>PSO133358</t>
  </si>
  <si>
    <t>PSO147382</t>
  </si>
  <si>
    <t>PSO115139</t>
  </si>
  <si>
    <t>PSO132281</t>
  </si>
  <si>
    <t>PSO117858</t>
  </si>
  <si>
    <t>PSO199502</t>
  </si>
  <si>
    <t>PSO144790</t>
  </si>
  <si>
    <t>PSO177932</t>
  </si>
  <si>
    <t>PSO7362971</t>
  </si>
  <si>
    <t>PSO108405</t>
  </si>
  <si>
    <t>PSO87334</t>
  </si>
  <si>
    <t>PSO7317856</t>
  </si>
  <si>
    <t>PSO147922</t>
  </si>
  <si>
    <t>PSO102063</t>
  </si>
  <si>
    <t>PSO230020</t>
  </si>
  <si>
    <t>PSO112473</t>
  </si>
  <si>
    <t>PSO91207</t>
  </si>
  <si>
    <t>PSO145066</t>
  </si>
  <si>
    <t>PSO138181</t>
  </si>
  <si>
    <t>PSO143538</t>
  </si>
  <si>
    <t>PSO181584</t>
  </si>
  <si>
    <t>PSO89467</t>
  </si>
  <si>
    <t>PSO142191</t>
  </si>
  <si>
    <t>PSO120364</t>
  </si>
  <si>
    <t>PSO168417</t>
  </si>
  <si>
    <t>PSO142446</t>
  </si>
  <si>
    <t>PSO115127</t>
  </si>
  <si>
    <t>PSO116592</t>
  </si>
  <si>
    <t>PSO120125</t>
  </si>
  <si>
    <t>PSO164819</t>
  </si>
  <si>
    <t>PSO182930</t>
  </si>
  <si>
    <t>PSO144513</t>
  </si>
  <si>
    <t>PSO84362</t>
  </si>
  <si>
    <t>PSO120714</t>
  </si>
  <si>
    <t>PSO243637</t>
  </si>
  <si>
    <t>PSO267801</t>
  </si>
  <si>
    <t>PSO135459</t>
  </si>
  <si>
    <t>PSO105355</t>
  </si>
  <si>
    <t>PSO183238</t>
  </si>
  <si>
    <t>PSO140738</t>
  </si>
  <si>
    <t>PSO122721</t>
  </si>
  <si>
    <t>PSO127686</t>
  </si>
  <si>
    <t>PSO7344835</t>
  </si>
  <si>
    <t>PSO99915</t>
  </si>
  <si>
    <t>PSO138969</t>
  </si>
  <si>
    <t>PSO212237</t>
  </si>
  <si>
    <t>PSO169285</t>
  </si>
  <si>
    <t>PSO258618</t>
  </si>
  <si>
    <t>PSO92369</t>
  </si>
  <si>
    <t>PSO265447</t>
  </si>
  <si>
    <t>PSO159034</t>
  </si>
  <si>
    <t>PSO270963</t>
  </si>
  <si>
    <t>PSO132550</t>
  </si>
  <si>
    <t>PSO112213</t>
  </si>
  <si>
    <t>PSO206220</t>
  </si>
  <si>
    <t>PSO76607</t>
  </si>
  <si>
    <t>PSO271647</t>
  </si>
  <si>
    <t>PSO143368</t>
  </si>
  <si>
    <t>PSO185462</t>
  </si>
  <si>
    <t>PSO85299</t>
  </si>
  <si>
    <t>PSO113821</t>
  </si>
  <si>
    <t>PSO134825</t>
  </si>
  <si>
    <t>PSO177240</t>
  </si>
  <si>
    <t>PSO164671</t>
  </si>
  <si>
    <t>PSO99106</t>
  </si>
  <si>
    <t>PSO142603</t>
  </si>
  <si>
    <t>PSO245867</t>
  </si>
  <si>
    <t>PSO247176</t>
  </si>
  <si>
    <t>PSO267138</t>
  </si>
  <si>
    <t>PSO85386</t>
  </si>
  <si>
    <t>PSO107640</t>
  </si>
  <si>
    <t>PSO7346524</t>
  </si>
  <si>
    <t>PSO110379</t>
  </si>
  <si>
    <t>PSO86683</t>
  </si>
  <si>
    <t>PSO7549857</t>
  </si>
  <si>
    <t>PSO120835</t>
  </si>
  <si>
    <t>PSO131652</t>
  </si>
  <si>
    <t>PSO184874</t>
  </si>
  <si>
    <t>PSO131398</t>
  </si>
  <si>
    <t>PSO108565</t>
  </si>
  <si>
    <t>PSO146143</t>
  </si>
  <si>
    <t>PSO96035</t>
  </si>
  <si>
    <t>PSO240685</t>
  </si>
  <si>
    <t>PSO123393</t>
  </si>
  <si>
    <t>PSO201696</t>
  </si>
  <si>
    <t>PSO81931</t>
  </si>
  <si>
    <t>PSO249115</t>
  </si>
  <si>
    <t>PSO232814</t>
  </si>
  <si>
    <t>PSO82811</t>
  </si>
  <si>
    <t>PSO224217</t>
  </si>
  <si>
    <t>PSO107914</t>
  </si>
  <si>
    <t>PSO131341</t>
  </si>
  <si>
    <t>PSO114786</t>
  </si>
  <si>
    <t>PSO111354</t>
  </si>
  <si>
    <t>PSO136225</t>
  </si>
  <si>
    <t>PSO275743</t>
  </si>
  <si>
    <t>PSO100322</t>
  </si>
  <si>
    <t>PSO104385</t>
  </si>
  <si>
    <t>PSO250587</t>
  </si>
  <si>
    <t>PSO85039</t>
  </si>
  <si>
    <t>PSO139121</t>
  </si>
  <si>
    <t>PSO140313</t>
  </si>
  <si>
    <t>PSO84537</t>
  </si>
  <si>
    <t>PSO170787</t>
  </si>
  <si>
    <t>PSO176755</t>
  </si>
  <si>
    <t>PSO121180</t>
  </si>
  <si>
    <t>PSO246397</t>
  </si>
  <si>
    <t>PSO230577</t>
  </si>
  <si>
    <t>PSO167589</t>
  </si>
  <si>
    <t>PSO129529</t>
  </si>
  <si>
    <t>PSO182991</t>
  </si>
  <si>
    <t>PSO109017</t>
  </si>
  <si>
    <t>PSO118417</t>
  </si>
  <si>
    <t>PSO105902</t>
  </si>
  <si>
    <t>PSO261886</t>
  </si>
  <si>
    <t>PSO110772</t>
  </si>
  <si>
    <t>PSO94500</t>
  </si>
  <si>
    <t>PSO135529</t>
  </si>
  <si>
    <t>PSO116168</t>
  </si>
  <si>
    <t>PSO239361</t>
  </si>
  <si>
    <t>PSO147665</t>
  </si>
  <si>
    <t>PSO218767</t>
  </si>
  <si>
    <t>PSO109353</t>
  </si>
  <si>
    <t>PSO97239</t>
  </si>
  <si>
    <t>PSO124986</t>
  </si>
  <si>
    <t>PSO95440</t>
  </si>
  <si>
    <t>PSO106617</t>
  </si>
  <si>
    <t>PSO145311</t>
  </si>
  <si>
    <t>PSO125582</t>
  </si>
  <si>
    <t>PSO7495966</t>
  </si>
  <si>
    <t>PSO146464</t>
  </si>
  <si>
    <t>PSO90639</t>
  </si>
  <si>
    <t>PSO143303</t>
  </si>
  <si>
    <t>PSO112671</t>
  </si>
  <si>
    <t>PSO133316</t>
  </si>
  <si>
    <t>PSO94852</t>
  </si>
  <si>
    <t>PSO247595</t>
  </si>
  <si>
    <t>PSO125824</t>
  </si>
  <si>
    <t>PSO96873</t>
  </si>
  <si>
    <t>PSO115520</t>
  </si>
  <si>
    <t>PSO134688</t>
  </si>
  <si>
    <t>PSO134621</t>
  </si>
  <si>
    <t>PSO197085</t>
  </si>
  <si>
    <t>PSO249870</t>
  </si>
  <si>
    <t>PSO128930</t>
  </si>
  <si>
    <t>PSO140171</t>
  </si>
  <si>
    <t>PSO89265</t>
  </si>
  <si>
    <t>PSO92463</t>
  </si>
  <si>
    <t>PSO269082</t>
  </si>
  <si>
    <t>PSO127109</t>
  </si>
  <si>
    <t>PSO7298013</t>
  </si>
  <si>
    <t>PSO138734</t>
  </si>
  <si>
    <t>PSO137154</t>
  </si>
  <si>
    <t>PSO109533</t>
  </si>
  <si>
    <t>PSO109852</t>
  </si>
  <si>
    <t>PSO180441</t>
  </si>
  <si>
    <t>PSO143799</t>
  </si>
  <si>
    <t>PSO247424</t>
  </si>
  <si>
    <t>PSO252739</t>
  </si>
  <si>
    <t>PSO105496</t>
  </si>
  <si>
    <t>PSO144709</t>
  </si>
  <si>
    <t>PSO117700</t>
  </si>
  <si>
    <t>PSO220500</t>
  </si>
  <si>
    <t>PSO124659</t>
  </si>
  <si>
    <t>PSO172706</t>
  </si>
  <si>
    <t>PSO246017</t>
  </si>
  <si>
    <t>PSO137392</t>
  </si>
  <si>
    <t>PSO242482</t>
  </si>
  <si>
    <t>PSO175964</t>
  </si>
  <si>
    <t>PSO182394</t>
  </si>
  <si>
    <t>PSO113401</t>
  </si>
  <si>
    <t>PSO169648</t>
  </si>
  <si>
    <t>PSO262059</t>
  </si>
  <si>
    <t>PSO113945</t>
  </si>
  <si>
    <t>PSO222411</t>
  </si>
  <si>
    <t>PSO259926</t>
  </si>
  <si>
    <t>PSO223913</t>
  </si>
  <si>
    <t>PSO137055</t>
  </si>
  <si>
    <t>PSO140483</t>
  </si>
  <si>
    <t>PSO158169</t>
  </si>
  <si>
    <t>PSO113514</t>
  </si>
  <si>
    <t>PSO146598</t>
  </si>
  <si>
    <t>PSO121930</t>
  </si>
  <si>
    <t>PSO89801</t>
  </si>
  <si>
    <t>PSO121996</t>
  </si>
  <si>
    <t>PSO158707</t>
  </si>
  <si>
    <t>PSO179438</t>
  </si>
  <si>
    <t>PSO249207</t>
  </si>
  <si>
    <t>PSO168401</t>
  </si>
  <si>
    <t>PSO227046</t>
  </si>
  <si>
    <t>PSO245522</t>
  </si>
  <si>
    <t>PSO141160</t>
  </si>
  <si>
    <t>PSO174672</t>
  </si>
  <si>
    <t>PSO243066</t>
  </si>
  <si>
    <t>PSO241149</t>
  </si>
  <si>
    <t>PSO86858</t>
  </si>
  <si>
    <t>PSO136088</t>
  </si>
  <si>
    <t>PSO117163</t>
  </si>
  <si>
    <t>PSO98792</t>
  </si>
  <si>
    <t>PSO252853</t>
  </si>
  <si>
    <t>PSO261977</t>
  </si>
  <si>
    <t>PSO239222</t>
  </si>
  <si>
    <t>PSO146656</t>
  </si>
  <si>
    <t>PSO176765</t>
  </si>
  <si>
    <t>PSO124742</t>
  </si>
  <si>
    <t>PSO258711</t>
  </si>
  <si>
    <t>PSO117263</t>
  </si>
  <si>
    <t>PSO134827</t>
  </si>
  <si>
    <t>PSO85437</t>
  </si>
  <si>
    <t>PSO138076</t>
  </si>
  <si>
    <t>PSO88988</t>
  </si>
  <si>
    <t>PSO102209</t>
  </si>
  <si>
    <t>PSO79398</t>
  </si>
  <si>
    <t>PSO248329</t>
  </si>
  <si>
    <t>PSO260629</t>
  </si>
  <si>
    <t>PSO260316</t>
  </si>
  <si>
    <t>PSO142214</t>
  </si>
  <si>
    <t>PSO144881</t>
  </si>
  <si>
    <t>PSO182733</t>
  </si>
  <si>
    <t>PSO240357</t>
  </si>
  <si>
    <t>PSO98367</t>
  </si>
  <si>
    <t>PSO77053</t>
  </si>
  <si>
    <t>PSO124842</t>
  </si>
  <si>
    <t>PSO130002</t>
  </si>
  <si>
    <t>PSO98136</t>
  </si>
  <si>
    <t>PSO97917</t>
  </si>
  <si>
    <t>PSO244509</t>
  </si>
  <si>
    <t>PSO258722</t>
  </si>
  <si>
    <t>PSO86071</t>
  </si>
  <si>
    <t>PSO140249</t>
  </si>
  <si>
    <t>PSO144442</t>
  </si>
  <si>
    <t>PSO130993</t>
  </si>
  <si>
    <t>PSO129430</t>
  </si>
  <si>
    <t>PSO105429</t>
  </si>
  <si>
    <t>PSO77726</t>
  </si>
  <si>
    <t>PSO277688</t>
  </si>
  <si>
    <t>PSO120373</t>
  </si>
  <si>
    <t>PSO267268</t>
  </si>
  <si>
    <t>PSO229431</t>
  </si>
  <si>
    <t>PSO108346</t>
  </si>
  <si>
    <t>PSO134292</t>
  </si>
  <si>
    <t>PSO101965</t>
  </si>
  <si>
    <t>PSO257051</t>
  </si>
  <si>
    <t>PSO235656</t>
  </si>
  <si>
    <t>PSO237933</t>
  </si>
  <si>
    <t>PSO240039</t>
  </si>
  <si>
    <t>PSO238068</t>
  </si>
  <si>
    <t>PSO161464</t>
  </si>
  <si>
    <t>PSO7520667</t>
  </si>
  <si>
    <t>PSO90937</t>
  </si>
  <si>
    <t>PSO104448</t>
  </si>
  <si>
    <t>PSO147958</t>
  </si>
  <si>
    <t>PSO184404</t>
  </si>
  <si>
    <t>PSO7363001</t>
  </si>
  <si>
    <t>PSO131128</t>
  </si>
  <si>
    <t>PSO178031</t>
  </si>
  <si>
    <t>PSO108018</t>
  </si>
  <si>
    <t>PSO257534</t>
  </si>
  <si>
    <t>PSO147552</t>
  </si>
  <si>
    <t>PSO242044</t>
  </si>
  <si>
    <t>PSO91502</t>
  </si>
  <si>
    <t>PSO263259</t>
  </si>
  <si>
    <t>PSO133195</t>
  </si>
  <si>
    <t>PSO262127</t>
  </si>
  <si>
    <t>PSO145344</t>
  </si>
  <si>
    <t>PSO97721</t>
  </si>
  <si>
    <t>PSO84620</t>
  </si>
  <si>
    <t>PSO91757</t>
  </si>
  <si>
    <t>PSO168408</t>
  </si>
  <si>
    <t>PSO231969</t>
  </si>
  <si>
    <t>PSO181340</t>
  </si>
  <si>
    <t>PSO88973</t>
  </si>
  <si>
    <t>PSO138494</t>
  </si>
  <si>
    <t>PSO90265</t>
  </si>
  <si>
    <t>PSO197202</t>
  </si>
  <si>
    <t>PSO124115</t>
  </si>
  <si>
    <t>PSO237429</t>
  </si>
  <si>
    <t>PSO147564</t>
  </si>
  <si>
    <t>PSO179741</t>
  </si>
  <si>
    <t>PSO141716</t>
  </si>
  <si>
    <t>PSO100263</t>
  </si>
  <si>
    <t>PSO175859</t>
  </si>
  <si>
    <t>PSO87126</t>
  </si>
  <si>
    <t>PSO145183</t>
  </si>
  <si>
    <t>PSO167527</t>
  </si>
  <si>
    <t>PSO136544</t>
  </si>
  <si>
    <t>PSO113602</t>
  </si>
  <si>
    <t>PSO7298053</t>
  </si>
  <si>
    <t>PSO264701</t>
  </si>
  <si>
    <t>PSO7533508</t>
  </si>
  <si>
    <t>PSO216842</t>
  </si>
  <si>
    <t>PSO118256</t>
  </si>
  <si>
    <t>PSO93540</t>
  </si>
  <si>
    <t>PSO92645</t>
  </si>
  <si>
    <t>PSO97098</t>
  </si>
  <si>
    <t>PSO241206</t>
  </si>
  <si>
    <t>PSO132534</t>
  </si>
  <si>
    <t>PSO97024</t>
  </si>
  <si>
    <t>PSO147524</t>
  </si>
  <si>
    <t>PSO112589</t>
  </si>
  <si>
    <t>PSO125286</t>
  </si>
  <si>
    <t>PSO238679</t>
  </si>
  <si>
    <t>PSO135344</t>
  </si>
  <si>
    <t>PSO125594</t>
  </si>
  <si>
    <t>PSO114155</t>
  </si>
  <si>
    <t>PSO139254</t>
  </si>
  <si>
    <t>PSO124462</t>
  </si>
  <si>
    <t>PSO115822</t>
  </si>
  <si>
    <t>PSO171494</t>
  </si>
  <si>
    <t>PSO248018</t>
  </si>
  <si>
    <t>PSO120934</t>
  </si>
  <si>
    <t>PSO100471</t>
  </si>
  <si>
    <t>PSO132051</t>
  </si>
  <si>
    <t>PSO85441</t>
  </si>
  <si>
    <t>PSO124950</t>
  </si>
  <si>
    <t>PSO122060</t>
  </si>
  <si>
    <t>PSO74752</t>
  </si>
  <si>
    <t>PSO176917</t>
  </si>
  <si>
    <t>PSO125417</t>
  </si>
  <si>
    <t>PSO258350</t>
  </si>
  <si>
    <t>PSO257493</t>
  </si>
  <si>
    <t>PSO187435</t>
  </si>
  <si>
    <t>PSO87311</t>
  </si>
  <si>
    <t>PSO138135</t>
  </si>
  <si>
    <t>PSO87559</t>
  </si>
  <si>
    <t>PSO138273</t>
  </si>
  <si>
    <t>PSO119437</t>
  </si>
  <si>
    <t>PSO82272</t>
  </si>
  <si>
    <t>PSO121032</t>
  </si>
  <si>
    <t>PSO136517</t>
  </si>
  <si>
    <t>PSO236837</t>
  </si>
  <si>
    <t>PSO180639</t>
  </si>
  <si>
    <t>PSO176242</t>
  </si>
  <si>
    <t>PSO7530794</t>
  </si>
  <si>
    <t>PSO152204</t>
  </si>
  <si>
    <t>PSO145745</t>
  </si>
  <si>
    <t>PSO114941</t>
  </si>
  <si>
    <t>PSO134247</t>
  </si>
  <si>
    <t>PSO184438</t>
  </si>
  <si>
    <t>PSO118139</t>
  </si>
  <si>
    <t>PSO114801</t>
  </si>
  <si>
    <t>PSO91205</t>
  </si>
  <si>
    <t>PSO266832</t>
  </si>
  <si>
    <t>PSO140068</t>
  </si>
  <si>
    <t>PSO86088</t>
  </si>
  <si>
    <t>PSO97719</t>
  </si>
  <si>
    <t>PSO121236</t>
  </si>
  <si>
    <t>PSO262352</t>
  </si>
  <si>
    <t>PSO244235</t>
  </si>
  <si>
    <t>PSO117766</t>
  </si>
  <si>
    <t>PSO180713</t>
  </si>
  <si>
    <t>PSO238931</t>
  </si>
  <si>
    <t>PSO137206</t>
  </si>
  <si>
    <t>PSO142478</t>
  </si>
  <si>
    <t>PSO274632</t>
  </si>
  <si>
    <t>PSO242907</t>
  </si>
  <si>
    <t>PSO99986</t>
  </si>
  <si>
    <t>PSO179879</t>
  </si>
  <si>
    <t>PSO109496</t>
  </si>
  <si>
    <t>PSO117831</t>
  </si>
  <si>
    <t>PSO126978</t>
  </si>
  <si>
    <t>PSO260150</t>
  </si>
  <si>
    <t>PSO241284</t>
  </si>
  <si>
    <t>PSO142510</t>
  </si>
  <si>
    <t>PSO84890</t>
  </si>
  <si>
    <t>PSO261187</t>
  </si>
  <si>
    <t>PSO238907</t>
  </si>
  <si>
    <t>PSO7311941</t>
  </si>
  <si>
    <t>PSO277357</t>
  </si>
  <si>
    <t>PSO7339012</t>
  </si>
  <si>
    <t>PSO143865</t>
  </si>
  <si>
    <t>PSO138389</t>
  </si>
  <si>
    <t>PSO116137</t>
  </si>
  <si>
    <t>PSO258479</t>
  </si>
  <si>
    <t>PSO133013</t>
  </si>
  <si>
    <t>PSO90413</t>
  </si>
  <si>
    <t>PSO88611</t>
  </si>
  <si>
    <t>PSO239607</t>
  </si>
  <si>
    <t>PSO140269</t>
  </si>
  <si>
    <t>PSO267831</t>
  </si>
  <si>
    <t>PSO238840</t>
  </si>
  <si>
    <t>PSO108704</t>
  </si>
  <si>
    <t>PSO133776</t>
  </si>
  <si>
    <t>PSO181481</t>
  </si>
  <si>
    <t>PSO126231</t>
  </si>
  <si>
    <t>PSO142458</t>
  </si>
  <si>
    <t>PSO179596</t>
  </si>
  <si>
    <t>PSO79212</t>
  </si>
  <si>
    <t>PSO112214</t>
  </si>
  <si>
    <t>PSO240034</t>
  </si>
  <si>
    <t>PSO206028</t>
  </si>
  <si>
    <t>PSO134149</t>
  </si>
  <si>
    <t>PSO184496</t>
  </si>
  <si>
    <t>PSO247541</t>
  </si>
  <si>
    <t>PSO87606</t>
  </si>
  <si>
    <t>PSO135205</t>
  </si>
  <si>
    <t>PSO133283</t>
  </si>
  <si>
    <t>PSO115984</t>
  </si>
  <si>
    <t>PSO136557</t>
  </si>
  <si>
    <t>PSO103165</t>
  </si>
  <si>
    <t>PSO124402</t>
  </si>
  <si>
    <t>PSO136923</t>
  </si>
  <si>
    <t>PSO252059</t>
  </si>
  <si>
    <t>PSO178215</t>
  </si>
  <si>
    <t>PSO244521</t>
  </si>
  <si>
    <t>PSO181848</t>
  </si>
  <si>
    <t>PSO136949</t>
  </si>
  <si>
    <t>PSO82449</t>
  </si>
  <si>
    <t>PSO138901</t>
  </si>
  <si>
    <t>PSO7566144</t>
  </si>
  <si>
    <t>PSO106632</t>
  </si>
  <si>
    <t>PSO113985</t>
  </si>
  <si>
    <t>PSO184730</t>
  </si>
  <si>
    <t>PSO83950</t>
  </si>
  <si>
    <t>PSO183345</t>
  </si>
  <si>
    <t>PSO7553567</t>
  </si>
  <si>
    <t>PSO107364</t>
  </si>
  <si>
    <t>PSO173936</t>
  </si>
  <si>
    <t>PSO122347</t>
  </si>
  <si>
    <t>PSO78051</t>
  </si>
  <si>
    <t>PSO112797</t>
  </si>
  <si>
    <t>PSO131559</t>
  </si>
  <si>
    <t>PSO146994</t>
  </si>
  <si>
    <t>PSO90698</t>
  </si>
  <si>
    <t>PSO94533</t>
  </si>
  <si>
    <t>PSO132996</t>
  </si>
  <si>
    <t>PSO82427</t>
  </si>
  <si>
    <t>PSO164293</t>
  </si>
  <si>
    <t>PSO85942</t>
  </si>
  <si>
    <t>PSO94312</t>
  </si>
  <si>
    <t>PSO108196</t>
  </si>
  <si>
    <t>PSO93269</t>
  </si>
  <si>
    <t>PSO7281960</t>
  </si>
  <si>
    <t>PSO141323</t>
  </si>
  <si>
    <t>PSO238765</t>
  </si>
  <si>
    <t>PSO119965</t>
  </si>
  <si>
    <t>PSO191104</t>
  </si>
  <si>
    <t>PSO115616</t>
  </si>
  <si>
    <t>PSO125517</t>
  </si>
  <si>
    <t>PSO128602</t>
  </si>
  <si>
    <t>PSO128846</t>
  </si>
  <si>
    <t>PSO137389</t>
  </si>
  <si>
    <t>PSO143162</t>
  </si>
  <si>
    <t>PSO136304</t>
  </si>
  <si>
    <t>PSO166895</t>
  </si>
  <si>
    <t>PSO259180</t>
  </si>
  <si>
    <t>PSO146829</t>
  </si>
  <si>
    <t>PSO126520</t>
  </si>
  <si>
    <t>PSO135292</t>
  </si>
  <si>
    <t>PSO93623</t>
  </si>
  <si>
    <t>PSO147089</t>
  </si>
  <si>
    <t>PSO129820</t>
  </si>
  <si>
    <t>PSO99618</t>
  </si>
  <si>
    <t>PSO106472</t>
  </si>
  <si>
    <t>PSO140498</t>
  </si>
  <si>
    <t>PSO119624</t>
  </si>
  <si>
    <t>PSO115305</t>
  </si>
  <si>
    <t>PSO100503</t>
  </si>
  <si>
    <t>PSO261168</t>
  </si>
  <si>
    <t>PSO140973</t>
  </si>
  <si>
    <t>PSO142585</t>
  </si>
  <si>
    <t>PSO204043</t>
  </si>
  <si>
    <t>PSO91971</t>
  </si>
  <si>
    <t>PSO156344</t>
  </si>
  <si>
    <t>PSO95101</t>
  </si>
  <si>
    <t>PSO77347</t>
  </si>
  <si>
    <t>PSO106287</t>
  </si>
  <si>
    <t>PSO88532</t>
  </si>
  <si>
    <t>PSO125198</t>
  </si>
  <si>
    <t>PSO119476</t>
  </si>
  <si>
    <t>PSO271014</t>
  </si>
  <si>
    <t>PSO147877</t>
  </si>
  <si>
    <t>PSO132968</t>
  </si>
  <si>
    <t>PSO179055</t>
  </si>
  <si>
    <t>PSO88658</t>
  </si>
  <si>
    <t>PSO164140</t>
  </si>
  <si>
    <t>PSO218417</t>
  </si>
  <si>
    <t>PSO174505</t>
  </si>
  <si>
    <t>PSO124717</t>
  </si>
  <si>
    <t>PSO7157662</t>
  </si>
  <si>
    <t>PSO127982</t>
  </si>
  <si>
    <t>PSO106211</t>
  </si>
  <si>
    <t>PSO80126</t>
  </si>
  <si>
    <t>PSO240623</t>
  </si>
  <si>
    <t>PSO259566</t>
  </si>
  <si>
    <t>PSO7301949</t>
  </si>
  <si>
    <t>PSO86080</t>
  </si>
  <si>
    <t>PSO94983</t>
  </si>
  <si>
    <t>PSO113858</t>
  </si>
  <si>
    <t>PSO184881</t>
  </si>
  <si>
    <t>PSO108643</t>
  </si>
  <si>
    <t>PSO78809</t>
  </si>
  <si>
    <t>PSO121506</t>
  </si>
  <si>
    <t>PSO102046</t>
  </si>
  <si>
    <t>PSO132587</t>
  </si>
  <si>
    <t>PSO170410</t>
  </si>
  <si>
    <t>PSO113099</t>
  </si>
  <si>
    <t>PSO103070</t>
  </si>
  <si>
    <t>PSO90755</t>
  </si>
  <si>
    <t>PSO101658</t>
  </si>
  <si>
    <t>PSO174803</t>
  </si>
  <si>
    <t>PSO125381</t>
  </si>
  <si>
    <t>PSO179349</t>
  </si>
  <si>
    <t>PSO146723</t>
  </si>
  <si>
    <t>PSO243905</t>
  </si>
  <si>
    <t>PSO168906</t>
  </si>
  <si>
    <t>PSO99097</t>
  </si>
  <si>
    <t>PSO146016</t>
  </si>
  <si>
    <t>PSO242069</t>
  </si>
  <si>
    <t>PSO259937</t>
  </si>
  <si>
    <t>PSO203228</t>
  </si>
  <si>
    <t>PSO147734</t>
  </si>
  <si>
    <t>PSO85040</t>
  </si>
  <si>
    <t>PSO82544</t>
  </si>
  <si>
    <t>PSO131561</t>
  </si>
  <si>
    <t>PSO114437</t>
  </si>
  <si>
    <t>PSO147539</t>
  </si>
  <si>
    <t>PSO102438</t>
  </si>
  <si>
    <t>PSO78337</t>
  </si>
  <si>
    <t>PSO85171</t>
  </si>
  <si>
    <t>PSO127552</t>
  </si>
  <si>
    <t>PSO76653</t>
  </si>
  <si>
    <t>PSO129828</t>
  </si>
  <si>
    <t>PSO104177</t>
  </si>
  <si>
    <t>PSO82912</t>
  </si>
  <si>
    <t>PSO258043</t>
  </si>
  <si>
    <t>PSO100256</t>
  </si>
  <si>
    <t>PSO252077</t>
  </si>
  <si>
    <t>PSO116738</t>
  </si>
  <si>
    <t>PSO77611</t>
  </si>
  <si>
    <t>PSO276317</t>
  </si>
  <si>
    <t>PSO249878</t>
  </si>
  <si>
    <t>PSO76719</t>
  </si>
  <si>
    <t>PSO193752</t>
  </si>
  <si>
    <t>PSO121498</t>
  </si>
  <si>
    <t>PSO258062</t>
  </si>
  <si>
    <t>PSO123256</t>
  </si>
  <si>
    <t>PSO106763</t>
  </si>
  <si>
    <t>PSO144384</t>
  </si>
  <si>
    <t>PSO147251</t>
  </si>
  <si>
    <t>PSO106621</t>
  </si>
  <si>
    <t>PSO122783</t>
  </si>
  <si>
    <t>PSO110189</t>
  </si>
  <si>
    <t>PSO134082</t>
  </si>
  <si>
    <t>PSO253155</t>
  </si>
  <si>
    <t>PSO82338</t>
  </si>
  <si>
    <t>PSO146558</t>
  </si>
  <si>
    <t>PSO170538</t>
  </si>
  <si>
    <t>PSO146920</t>
  </si>
  <si>
    <t>PSO147155</t>
  </si>
  <si>
    <t>PSO264417</t>
  </si>
  <si>
    <t>PSO128914</t>
  </si>
  <si>
    <t>PSO83345</t>
  </si>
  <si>
    <t>PSO119241</t>
  </si>
  <si>
    <t>PSO120172</t>
  </si>
  <si>
    <t>PSO130571</t>
  </si>
  <si>
    <t>PSO147796</t>
  </si>
  <si>
    <t>PSO7218624</t>
  </si>
  <si>
    <t>PSO262445</t>
  </si>
  <si>
    <t>PSO134323</t>
  </si>
  <si>
    <t>PSO94042</t>
  </si>
  <si>
    <t>PSO97316</t>
  </si>
  <si>
    <t>PSO238737</t>
  </si>
  <si>
    <t>PSO91038</t>
  </si>
  <si>
    <t>PSO109488</t>
  </si>
  <si>
    <t>PSO241935</t>
  </si>
  <si>
    <t>PSO118327</t>
  </si>
  <si>
    <t>PSO109655</t>
  </si>
  <si>
    <t>PSO179522</t>
  </si>
  <si>
    <t>PSO116399</t>
  </si>
  <si>
    <t>PSO112448</t>
  </si>
  <si>
    <t>PSO136261</t>
  </si>
  <si>
    <t>PSO116577</t>
  </si>
  <si>
    <t>PSO96387</t>
  </si>
  <si>
    <t>PSO141027</t>
  </si>
  <si>
    <t>PSO137273</t>
  </si>
  <si>
    <t>PSO277713</t>
  </si>
  <si>
    <t>PSO82771</t>
  </si>
  <si>
    <t>PSO238073</t>
  </si>
  <si>
    <t>PSO186935</t>
  </si>
  <si>
    <t>PSO141970</t>
  </si>
  <si>
    <t>PSO156434</t>
  </si>
  <si>
    <t>PSO110374</t>
  </si>
  <si>
    <t>PSO240221</t>
  </si>
  <si>
    <t>PSO142767</t>
  </si>
  <si>
    <t>PSO237889</t>
  </si>
  <si>
    <t>PSO249614</t>
  </si>
  <si>
    <t>PSO143299</t>
  </si>
  <si>
    <t>PSO105175</t>
  </si>
  <si>
    <t>PSO184770</t>
  </si>
  <si>
    <t>PSO87260</t>
  </si>
  <si>
    <t>PSO7569064</t>
  </si>
  <si>
    <t>PSO124650</t>
  </si>
  <si>
    <t>PSO124411</t>
  </si>
  <si>
    <t>PSO245082</t>
  </si>
  <si>
    <t>PSO133085</t>
  </si>
  <si>
    <t>PSO120440</t>
  </si>
  <si>
    <t>PSO107026</t>
  </si>
  <si>
    <t>PSO133628</t>
  </si>
  <si>
    <t>PSO180820</t>
  </si>
  <si>
    <t>PSO118718</t>
  </si>
  <si>
    <t>PSO111309</t>
  </si>
  <si>
    <t>PSO171160</t>
  </si>
  <si>
    <t>PSO141658</t>
  </si>
  <si>
    <t>PSO248904</t>
  </si>
  <si>
    <t>PSO7558795</t>
  </si>
  <si>
    <t>PSO104075</t>
  </si>
  <si>
    <t>PSO145133</t>
  </si>
  <si>
    <t>PSO139651</t>
  </si>
  <si>
    <t>PSO166412</t>
  </si>
  <si>
    <t>PSO140291</t>
  </si>
  <si>
    <t>PSO238521</t>
  </si>
  <si>
    <t>PSO134390</t>
  </si>
  <si>
    <t>PSO97194</t>
  </si>
  <si>
    <t>PSO87250</t>
  </si>
  <si>
    <t>PSO277116</t>
  </si>
  <si>
    <t>PSO88758</t>
  </si>
  <si>
    <t>PSO7363188</t>
  </si>
  <si>
    <t>PSO130800</t>
  </si>
  <si>
    <t>PSO99685</t>
  </si>
  <si>
    <t>PSO257879</t>
  </si>
  <si>
    <t>PSO254810</t>
  </si>
  <si>
    <t>PSO7192532</t>
  </si>
  <si>
    <t>PSO83445</t>
  </si>
  <si>
    <t>PSO115469</t>
  </si>
  <si>
    <t>PSO242668</t>
  </si>
  <si>
    <t>PSO82392</t>
  </si>
  <si>
    <t>PSO254470</t>
  </si>
  <si>
    <t>PSO143414</t>
  </si>
  <si>
    <t>PSO7528254</t>
  </si>
  <si>
    <t>PSO163358</t>
  </si>
  <si>
    <t>PSO7549865</t>
  </si>
  <si>
    <t>PSO180206</t>
  </si>
  <si>
    <t>PSO119884</t>
  </si>
  <si>
    <t>PSO98925</t>
  </si>
  <si>
    <t>PSO121631</t>
  </si>
  <si>
    <t>PSO100196</t>
  </si>
  <si>
    <t>PSO122286</t>
  </si>
  <si>
    <t>PSO129540</t>
  </si>
  <si>
    <t>PSO108754</t>
  </si>
  <si>
    <t>PSO147799</t>
  </si>
  <si>
    <t>PSO135257</t>
  </si>
  <si>
    <t>PSO134246</t>
  </si>
  <si>
    <t>PSO145207</t>
  </si>
  <si>
    <t>PSO79167</t>
  </si>
  <si>
    <t>PSO131358</t>
  </si>
  <si>
    <t>PSO102173</t>
  </si>
  <si>
    <t>PSO83841</t>
  </si>
  <si>
    <t>PSO135117</t>
  </si>
  <si>
    <t>PSO267904</t>
  </si>
  <si>
    <t>PSO139734</t>
  </si>
  <si>
    <t>PSO114530</t>
  </si>
  <si>
    <t>PSO104028</t>
  </si>
  <si>
    <t>PSO99593</t>
  </si>
  <si>
    <t>PSO185143</t>
  </si>
  <si>
    <t>PSO225947</t>
  </si>
  <si>
    <t>PSO234561</t>
  </si>
  <si>
    <t>PSO145435</t>
  </si>
  <si>
    <t>PSO116817</t>
  </si>
  <si>
    <t>PSO267569</t>
  </si>
  <si>
    <t>PSO106544</t>
  </si>
  <si>
    <t>PSO138459</t>
  </si>
  <si>
    <t>PSO117705</t>
  </si>
  <si>
    <t>PSO110984</t>
  </si>
  <si>
    <t>PSO142027</t>
  </si>
  <si>
    <t>PSO110791</t>
  </si>
  <si>
    <t>PSO221277</t>
  </si>
  <si>
    <t>PSO88525</t>
  </si>
  <si>
    <t>PSO121583</t>
  </si>
  <si>
    <t>PSO123389</t>
  </si>
  <si>
    <t>PSO249598</t>
  </si>
  <si>
    <t>PSO7519628</t>
  </si>
  <si>
    <t>PSO143290</t>
  </si>
  <si>
    <t>PSO237513</t>
  </si>
  <si>
    <t>PSO169768</t>
  </si>
  <si>
    <t>PSO82648</t>
  </si>
  <si>
    <t>PSO110579</t>
  </si>
  <si>
    <t>PSO117471</t>
  </si>
  <si>
    <t>PSO83350</t>
  </si>
  <si>
    <t>PSO105369</t>
  </si>
  <si>
    <t>PSO97409</t>
  </si>
  <si>
    <t>PSO267995</t>
  </si>
  <si>
    <t>PSO90971</t>
  </si>
  <si>
    <t>PSO230031</t>
  </si>
  <si>
    <t>PSO270434</t>
  </si>
  <si>
    <t>PSO139965</t>
  </si>
  <si>
    <t>PSO94883</t>
  </si>
  <si>
    <t>PSO117229</t>
  </si>
  <si>
    <t>PSO106192</t>
  </si>
  <si>
    <t>PSO185952</t>
  </si>
  <si>
    <t>PSO245269</t>
  </si>
  <si>
    <t>PSO247405</t>
  </si>
  <si>
    <t>PSO264660</t>
  </si>
  <si>
    <t>PSO132353</t>
  </si>
  <si>
    <t>PSO230732</t>
  </si>
  <si>
    <t>PSO262248</t>
  </si>
  <si>
    <t>PSO244844</t>
  </si>
  <si>
    <t>PSO94119</t>
  </si>
  <si>
    <t>PSO88269</t>
  </si>
  <si>
    <t>PSO174443</t>
  </si>
  <si>
    <t>PSO261031</t>
  </si>
  <si>
    <t>PSO97893</t>
  </si>
  <si>
    <t>PSO175228</t>
  </si>
  <si>
    <t>PSO238639</t>
  </si>
  <si>
    <t>PSO87292</t>
  </si>
  <si>
    <t>PSO144227</t>
  </si>
  <si>
    <t>PSO238208</t>
  </si>
  <si>
    <t>PSO129182</t>
  </si>
  <si>
    <t>PSO121814</t>
  </si>
  <si>
    <t>PSO204879</t>
  </si>
  <si>
    <t>PSO145440</t>
  </si>
  <si>
    <t>PSO133685</t>
  </si>
  <si>
    <t>PSO90236</t>
  </si>
  <si>
    <t>PSO170476</t>
  </si>
  <si>
    <t>PSO117123</t>
  </si>
  <si>
    <t>PSO139509</t>
  </si>
  <si>
    <t>PSO247317</t>
  </si>
  <si>
    <t>PSO133357</t>
  </si>
  <si>
    <t>PSO129805</t>
  </si>
  <si>
    <t>PSO134035</t>
  </si>
  <si>
    <t>PSO107730</t>
  </si>
  <si>
    <t>PSO193788</t>
  </si>
  <si>
    <t>PSO130574</t>
  </si>
  <si>
    <t>PSO145539</t>
  </si>
  <si>
    <t>PSO140925</t>
  </si>
  <si>
    <t>PSO99181</t>
  </si>
  <si>
    <t>PSO110781</t>
  </si>
  <si>
    <t>PSO182708</t>
  </si>
  <si>
    <t>PSO183369</t>
  </si>
  <si>
    <t>PSO143944</t>
  </si>
  <si>
    <t>PSO117405</t>
  </si>
  <si>
    <t>PSO251271</t>
  </si>
  <si>
    <t>PSO104786</t>
  </si>
  <si>
    <t>PSO146486</t>
  </si>
  <si>
    <t>PSO101186</t>
  </si>
  <si>
    <t>PSO146043</t>
  </si>
  <si>
    <t>PSO249823</t>
  </si>
  <si>
    <t>PSO127703</t>
  </si>
  <si>
    <t>PSO165577</t>
  </si>
  <si>
    <t>PSO95851</t>
  </si>
  <si>
    <t>PSO111279</t>
  </si>
  <si>
    <t>PSO96772</t>
  </si>
  <si>
    <t>PSO176317</t>
  </si>
  <si>
    <t>PSO86819</t>
  </si>
  <si>
    <t>PSO75701</t>
  </si>
  <si>
    <t>PSO239325</t>
  </si>
  <si>
    <t>PSO248751</t>
  </si>
  <si>
    <t>PSO147134</t>
  </si>
  <si>
    <t>PSO87705</t>
  </si>
  <si>
    <t>PSO146547</t>
  </si>
  <si>
    <t>PSO78270</t>
  </si>
  <si>
    <t>PSO111411</t>
  </si>
  <si>
    <t>PSO100021</t>
  </si>
  <si>
    <t>PSO90581</t>
  </si>
  <si>
    <t>PSO117732</t>
  </si>
  <si>
    <t>PSO84594</t>
  </si>
  <si>
    <t>PSO83561</t>
  </si>
  <si>
    <t>PSO89688</t>
  </si>
  <si>
    <t>PSO239951</t>
  </si>
  <si>
    <t>PSO238958</t>
  </si>
  <si>
    <t>PSO139584</t>
  </si>
  <si>
    <t>PSO78800</t>
  </si>
  <si>
    <t>PSO129416</t>
  </si>
  <si>
    <t>PSO183916</t>
  </si>
  <si>
    <t>PSO82571</t>
  </si>
  <si>
    <t>PSO201850</t>
  </si>
  <si>
    <t>PSO89406</t>
  </si>
  <si>
    <t>PSO140175</t>
  </si>
  <si>
    <t>PSO257815</t>
  </si>
  <si>
    <t>PSO188743</t>
  </si>
  <si>
    <t>PSO142985</t>
  </si>
  <si>
    <t>PSO184312</t>
  </si>
  <si>
    <t>PSO144144</t>
  </si>
  <si>
    <t>PSO216865</t>
  </si>
  <si>
    <t>PSO262236</t>
  </si>
  <si>
    <t>PSO106213</t>
  </si>
  <si>
    <t>PSO86652</t>
  </si>
  <si>
    <t>PSO131838</t>
  </si>
  <si>
    <t>PSO85714</t>
  </si>
  <si>
    <t>PSO107597</t>
  </si>
  <si>
    <t>PSO143028</t>
  </si>
  <si>
    <t>PSO142643</t>
  </si>
  <si>
    <t>PSO258147</t>
  </si>
  <si>
    <t>PSO141623</t>
  </si>
  <si>
    <t>PSO265912</t>
  </si>
  <si>
    <t>PSO88731</t>
  </si>
  <si>
    <t>PSO265894</t>
  </si>
  <si>
    <t>PSO93996</t>
  </si>
  <si>
    <t>PSO113217</t>
  </si>
  <si>
    <t>PSO116508</t>
  </si>
  <si>
    <t>PSO140382</t>
  </si>
  <si>
    <t>PSO143667</t>
  </si>
  <si>
    <t>PSO144495</t>
  </si>
  <si>
    <t>PSO113064</t>
  </si>
  <si>
    <t>PSO238630</t>
  </si>
  <si>
    <t>PSO107774</t>
  </si>
  <si>
    <t>PSO126768</t>
  </si>
  <si>
    <t>PSO234908</t>
  </si>
  <si>
    <t>PSO263744</t>
  </si>
  <si>
    <t>PSO91352</t>
  </si>
  <si>
    <t>PSO185534</t>
  </si>
  <si>
    <t>PSO84252</t>
  </si>
  <si>
    <t>PSO83030</t>
  </si>
  <si>
    <t>PSO121461</t>
  </si>
  <si>
    <t>PSO240374</t>
  </si>
  <si>
    <t>PSO146072</t>
  </si>
  <si>
    <t>PSO142912</t>
  </si>
  <si>
    <t>PSO141973</t>
  </si>
  <si>
    <t>PSO108524</t>
  </si>
  <si>
    <t>PSO87828</t>
  </si>
  <si>
    <t>PSO7339000</t>
  </si>
  <si>
    <t>PSO124905</t>
  </si>
  <si>
    <t>PSO130380</t>
  </si>
  <si>
    <t>PSO99143</t>
  </si>
  <si>
    <t>PSO245586</t>
  </si>
  <si>
    <t>PSO104440</t>
  </si>
  <si>
    <t>PSO171832</t>
  </si>
  <si>
    <t>PSO144029</t>
  </si>
  <si>
    <t>PSO7297989</t>
  </si>
  <si>
    <t>PSO134904</t>
  </si>
  <si>
    <t>PSO246133</t>
  </si>
  <si>
    <t>PSO133860</t>
  </si>
  <si>
    <t>PSO143750</t>
  </si>
  <si>
    <t>PSO124011</t>
  </si>
  <si>
    <t>PSO161047</t>
  </si>
  <si>
    <t>PSO115633</t>
  </si>
  <si>
    <t>PSO80519</t>
  </si>
  <si>
    <t>PSO99758</t>
  </si>
  <si>
    <t>PSO97279</t>
  </si>
  <si>
    <t>PSO239529</t>
  </si>
  <si>
    <t>PSO150614</t>
  </si>
  <si>
    <t>PSO249400</t>
  </si>
  <si>
    <t>PSO167753</t>
  </si>
  <si>
    <t>PSO96295</t>
  </si>
  <si>
    <t>PSO126895</t>
  </si>
  <si>
    <t>PSO86346</t>
  </si>
  <si>
    <t>PSO127187</t>
  </si>
  <si>
    <t>PSO134866</t>
  </si>
  <si>
    <t>PSO109815</t>
  </si>
  <si>
    <t>PSO95435</t>
  </si>
  <si>
    <t>PSO178433</t>
  </si>
  <si>
    <t>PSO105303</t>
  </si>
  <si>
    <t>PSO142765</t>
  </si>
  <si>
    <t>PSO109312</t>
  </si>
  <si>
    <t>PSO107563</t>
  </si>
  <si>
    <t>PSO147824</t>
  </si>
  <si>
    <t>PSO276064</t>
  </si>
  <si>
    <t>PSO88332</t>
  </si>
  <si>
    <t>PSO114546</t>
  </si>
  <si>
    <t>PSO253013</t>
  </si>
  <si>
    <t>PSO98564</t>
  </si>
  <si>
    <t>PSO97304</t>
  </si>
  <si>
    <t>PSO7569747</t>
  </si>
  <si>
    <t>PSO273366</t>
  </si>
  <si>
    <t>PSO121467</t>
  </si>
  <si>
    <t>PSO123631</t>
  </si>
  <si>
    <t>PSO98365</t>
  </si>
  <si>
    <t>PSO238864</t>
  </si>
  <si>
    <t>PSO133309</t>
  </si>
  <si>
    <t>PSO173813</t>
  </si>
  <si>
    <t>PSO7188797</t>
  </si>
  <si>
    <t>PSO228068</t>
  </si>
  <si>
    <t>PSO253646</t>
  </si>
  <si>
    <t>PSO138841</t>
  </si>
  <si>
    <t>PSO129999</t>
  </si>
  <si>
    <t>PSO119840</t>
  </si>
  <si>
    <t>PSO137996</t>
  </si>
  <si>
    <t>PSO200132</t>
  </si>
  <si>
    <t>PSO144379</t>
  </si>
  <si>
    <t>PSO111443</t>
  </si>
  <si>
    <t>PSO240645</t>
  </si>
  <si>
    <t>PSO130600</t>
  </si>
  <si>
    <t>PSO113742</t>
  </si>
  <si>
    <t>PSO242403</t>
  </si>
  <si>
    <t>PSO142862</t>
  </si>
  <si>
    <t>PSO105684</t>
  </si>
  <si>
    <t>PSO141851</t>
  </si>
  <si>
    <t>PSO111481</t>
  </si>
  <si>
    <t>PSO141864</t>
  </si>
  <si>
    <t>PSO145798</t>
  </si>
  <si>
    <t>PSO119882</t>
  </si>
  <si>
    <t>PSO113358</t>
  </si>
  <si>
    <t>PSO139729</t>
  </si>
  <si>
    <t>PSO167421</t>
  </si>
  <si>
    <t>PSO87044</t>
  </si>
  <si>
    <t>PSO188291</t>
  </si>
  <si>
    <t>PSO7286605</t>
  </si>
  <si>
    <t>PSO82216</t>
  </si>
  <si>
    <t>PSO241273</t>
  </si>
  <si>
    <t>PSO120872</t>
  </si>
  <si>
    <t>PSO136934</t>
  </si>
  <si>
    <t>PSO122086</t>
  </si>
  <si>
    <t>PSO183574</t>
  </si>
  <si>
    <t>PSO238983</t>
  </si>
  <si>
    <t>PSO92693</t>
  </si>
  <si>
    <t>PSO140808</t>
  </si>
  <si>
    <t>PSO136924</t>
  </si>
  <si>
    <t>PSO78735</t>
  </si>
  <si>
    <t>PSO118457</t>
  </si>
  <si>
    <t>PSO142686</t>
  </si>
  <si>
    <t>PSO95131</t>
  </si>
  <si>
    <t>PSO102487</t>
  </si>
  <si>
    <t>PSO7294036</t>
  </si>
  <si>
    <t>PSO249377</t>
  </si>
  <si>
    <t>PSO85864</t>
  </si>
  <si>
    <t>PSO88170</t>
  </si>
  <si>
    <t>PSO111683</t>
  </si>
  <si>
    <t>PSO270885</t>
  </si>
  <si>
    <t>PSO262757</t>
  </si>
  <si>
    <t>PSO93486</t>
  </si>
  <si>
    <t>PSO266742</t>
  </si>
  <si>
    <t>PSO146372</t>
  </si>
  <si>
    <t>PSO145860</t>
  </si>
  <si>
    <t>PSO266654</t>
  </si>
  <si>
    <t>PSO116262</t>
  </si>
  <si>
    <t>PSO154914</t>
  </si>
  <si>
    <t>PSO137078</t>
  </si>
  <si>
    <t>PSO263044</t>
  </si>
  <si>
    <t>PSO145314</t>
  </si>
  <si>
    <t>PSO110092</t>
  </si>
  <si>
    <t>PSO126578</t>
  </si>
  <si>
    <t>PSO138394</t>
  </si>
  <si>
    <t>PSO120778</t>
  </si>
  <si>
    <t>PSO103150</t>
  </si>
  <si>
    <t>PSO77925</t>
  </si>
  <si>
    <t>PSO118841</t>
  </si>
  <si>
    <t>PSO183634</t>
  </si>
  <si>
    <t>PSO120789</t>
  </si>
  <si>
    <t>PSO78826</t>
  </si>
  <si>
    <t>PSO137115</t>
  </si>
  <si>
    <t>PSO140770</t>
  </si>
  <si>
    <t>PSO97549</t>
  </si>
  <si>
    <t>PSO255780</t>
  </si>
  <si>
    <t>PSO89950</t>
  </si>
  <si>
    <t>PSO276136</t>
  </si>
  <si>
    <t>PSO141279</t>
  </si>
  <si>
    <t>PSO109935</t>
  </si>
  <si>
    <t>PSO170908</t>
  </si>
  <si>
    <t>PSO240765</t>
  </si>
  <si>
    <t>PSO143397</t>
  </si>
  <si>
    <t>PSO257036</t>
  </si>
  <si>
    <t>PSO147631</t>
  </si>
  <si>
    <t>PSO171689</t>
  </si>
  <si>
    <t>PSO251735</t>
  </si>
  <si>
    <t>PSO256215</t>
  </si>
  <si>
    <t>PSO80391</t>
  </si>
  <si>
    <t>PSO92969</t>
  </si>
  <si>
    <t>PSO165001</t>
  </si>
  <si>
    <t>PSO241334</t>
  </si>
  <si>
    <t>PSO127112</t>
  </si>
  <si>
    <t>PSO111488</t>
  </si>
  <si>
    <t>PSO133651</t>
  </si>
  <si>
    <t>PSO275719</t>
  </si>
  <si>
    <t>PSO263607</t>
  </si>
  <si>
    <t>PSO172125</t>
  </si>
  <si>
    <t>PSO144736</t>
  </si>
  <si>
    <t>PSO81633</t>
  </si>
  <si>
    <t>PSO92918</t>
  </si>
  <si>
    <t>PSO181638</t>
  </si>
  <si>
    <t>PSO246858</t>
  </si>
  <si>
    <t>PSO109079</t>
  </si>
  <si>
    <t>PSO259276</t>
  </si>
  <si>
    <t>PSO131344</t>
  </si>
  <si>
    <t>PSO142314</t>
  </si>
  <si>
    <t>PSO123733</t>
  </si>
  <si>
    <t>PSO270340</t>
  </si>
  <si>
    <t>PSO109595</t>
  </si>
  <si>
    <t>PSO185454</t>
  </si>
  <si>
    <t>PSO87209</t>
  </si>
  <si>
    <t>PSO195580</t>
  </si>
  <si>
    <t>PSO188475</t>
  </si>
  <si>
    <t>PSO250861</t>
  </si>
  <si>
    <t>PSO134335</t>
  </si>
  <si>
    <t>PSO130968</t>
  </si>
  <si>
    <t>PSO174005</t>
  </si>
  <si>
    <t>PSO109884</t>
  </si>
  <si>
    <t>PSO147221</t>
  </si>
  <si>
    <t>PSO137082</t>
  </si>
  <si>
    <t>PSO91700</t>
  </si>
  <si>
    <t>PSO99550</t>
  </si>
  <si>
    <t>PSO105605</t>
  </si>
  <si>
    <t>PSO128964</t>
  </si>
  <si>
    <t>PSO97235</t>
  </si>
  <si>
    <t>PSO130077</t>
  </si>
  <si>
    <t>PSO109209</t>
  </si>
  <si>
    <t>PSO143272</t>
  </si>
  <si>
    <t>PSO107961</t>
  </si>
  <si>
    <t>PSO242982</t>
  </si>
  <si>
    <t>PSO260774</t>
  </si>
  <si>
    <t>PSO188192</t>
  </si>
  <si>
    <t>PSO100265</t>
  </si>
  <si>
    <t>PSO116176</t>
  </si>
  <si>
    <t>PSO98388</t>
  </si>
  <si>
    <t>PSO141780</t>
  </si>
  <si>
    <t>PSO110518</t>
  </si>
  <si>
    <t>PSO80682</t>
  </si>
  <si>
    <t>PSO159731</t>
  </si>
  <si>
    <t>PSO182504</t>
  </si>
  <si>
    <t>PSO147914</t>
  </si>
  <si>
    <t>PSO257401</t>
  </si>
  <si>
    <t>PSO105528</t>
  </si>
  <si>
    <t>PSO130038</t>
  </si>
  <si>
    <t>PSO114361</t>
  </si>
  <si>
    <t>PSO106185</t>
  </si>
  <si>
    <t>PSO136507</t>
  </si>
  <si>
    <t>PSO129873</t>
  </si>
  <si>
    <t>PSO146522</t>
  </si>
  <si>
    <t>PSO257007</t>
  </si>
  <si>
    <t>PSO248506</t>
  </si>
  <si>
    <t>PSO133487</t>
  </si>
  <si>
    <t>PSO105853</t>
  </si>
  <si>
    <t>PSO95354</t>
  </si>
  <si>
    <t>PSO142774</t>
  </si>
  <si>
    <t>PSO160574</t>
  </si>
  <si>
    <t>PSO249379</t>
  </si>
  <si>
    <t>PSO7309828</t>
  </si>
  <si>
    <t>PSO86049</t>
  </si>
  <si>
    <t>PSO175448</t>
  </si>
  <si>
    <t>PSO89115</t>
  </si>
  <si>
    <t>PSO78846</t>
  </si>
  <si>
    <t>PSO85828</t>
  </si>
  <si>
    <t>PSO7298030</t>
  </si>
  <si>
    <t>PSO124804</t>
  </si>
  <si>
    <t>PSO249621</t>
  </si>
  <si>
    <t>PSO104115</t>
  </si>
  <si>
    <t>PSO171779</t>
  </si>
  <si>
    <t>PSO132190</t>
  </si>
  <si>
    <t>PSO78780</t>
  </si>
  <si>
    <t>PSO100608</t>
  </si>
  <si>
    <t>PSO253163</t>
  </si>
  <si>
    <t>PSO7157633</t>
  </si>
  <si>
    <t>PSO237883</t>
  </si>
  <si>
    <t>PSO130552</t>
  </si>
  <si>
    <t>PSO115926</t>
  </si>
  <si>
    <t>PSO133415</t>
  </si>
  <si>
    <t>PSO92940</t>
  </si>
  <si>
    <t>PSO166746</t>
  </si>
  <si>
    <t>PSO120783</t>
  </si>
  <si>
    <t>PSO130672</t>
  </si>
  <si>
    <t>PSO76795</t>
  </si>
  <si>
    <t>PSO145259</t>
  </si>
  <si>
    <t>PSO7262484</t>
  </si>
  <si>
    <t>PSO100740</t>
  </si>
  <si>
    <t>PSO144467</t>
  </si>
  <si>
    <t>PSO269219</t>
  </si>
  <si>
    <t>PSO82359</t>
  </si>
  <si>
    <t>PSO251951</t>
  </si>
  <si>
    <t>PSO129791</t>
  </si>
  <si>
    <t>PSO144942</t>
  </si>
  <si>
    <t>PSO104468</t>
  </si>
  <si>
    <t>PSO117255</t>
  </si>
  <si>
    <t>PSO125285</t>
  </si>
  <si>
    <t>PSO181950</t>
  </si>
  <si>
    <t>PSO132149</t>
  </si>
  <si>
    <t>PSO145398</t>
  </si>
  <si>
    <t>PSO184406</t>
  </si>
  <si>
    <t>PSO156202</t>
  </si>
  <si>
    <t>PSO255640</t>
  </si>
  <si>
    <t>PSO108752</t>
  </si>
  <si>
    <t>PSO170906</t>
  </si>
  <si>
    <t>PSO111505</t>
  </si>
  <si>
    <t>PSO139054</t>
  </si>
  <si>
    <t>PSO110268</t>
  </si>
  <si>
    <t>PSO110827</t>
  </si>
  <si>
    <t>PSO107172</t>
  </si>
  <si>
    <t>PSO260852</t>
  </si>
  <si>
    <t>PSO166157</t>
  </si>
  <si>
    <t>PSO124823</t>
  </si>
  <si>
    <t>PSO89078</t>
  </si>
  <si>
    <t>PSO183277</t>
  </si>
  <si>
    <t>PSO118963</t>
  </si>
  <si>
    <t>PSO89920</t>
  </si>
  <si>
    <t>PSO103142</t>
  </si>
  <si>
    <t>PSO252964</t>
  </si>
  <si>
    <t>PSO256129</t>
  </si>
  <si>
    <t>PSO266954</t>
  </si>
  <si>
    <t>PSO139115</t>
  </si>
  <si>
    <t>PSO115828</t>
  </si>
  <si>
    <t>PSO84966</t>
  </si>
  <si>
    <t>PSO100000</t>
  </si>
  <si>
    <t>PSO129948</t>
  </si>
  <si>
    <t>PSO113942</t>
  </si>
  <si>
    <t>PSO252890</t>
  </si>
  <si>
    <t>PSO130730</t>
  </si>
  <si>
    <t>PSO168094</t>
  </si>
  <si>
    <t>PSO137298</t>
  </si>
  <si>
    <t>PSO177088</t>
  </si>
  <si>
    <t>PSO140351</t>
  </si>
  <si>
    <t>PSO248312</t>
  </si>
  <si>
    <t>PSO141460</t>
  </si>
  <si>
    <t>PSO141942</t>
  </si>
  <si>
    <t>PSO166899</t>
  </si>
  <si>
    <t>PSO106742</t>
  </si>
  <si>
    <t>PSO108452</t>
  </si>
  <si>
    <t>PSO146197</t>
  </si>
  <si>
    <t>PSO117990</t>
  </si>
  <si>
    <t>PSO265498</t>
  </si>
  <si>
    <t>PSO265216</t>
  </si>
  <si>
    <t>PSO92110</t>
  </si>
  <si>
    <t>PSO248850</t>
  </si>
  <si>
    <t>PSO206488</t>
  </si>
  <si>
    <t>PSO168192</t>
  </si>
  <si>
    <t>PSO182381</t>
  </si>
  <si>
    <t>PSO104258</t>
  </si>
  <si>
    <t>PSO183094</t>
  </si>
  <si>
    <t>PSO100683</t>
  </si>
  <si>
    <t>PSO83642</t>
  </si>
  <si>
    <t>PSO135891</t>
  </si>
  <si>
    <t>PSO7259562</t>
  </si>
  <si>
    <t>PSO102341</t>
  </si>
  <si>
    <t>PSO107419</t>
  </si>
  <si>
    <t>PSO98667</t>
  </si>
  <si>
    <t>PSO89219</t>
  </si>
  <si>
    <t>PSO92670</t>
  </si>
  <si>
    <t>PSO121117</t>
  </si>
  <si>
    <t>PSO264372</t>
  </si>
  <si>
    <t>PSO271356</t>
  </si>
  <si>
    <t>PSO242038</t>
  </si>
  <si>
    <t>PSO145455</t>
  </si>
  <si>
    <t>PSO121729</t>
  </si>
  <si>
    <t>PSO259429</t>
  </si>
  <si>
    <t>PSO178032</t>
  </si>
  <si>
    <t>PSO114241</t>
  </si>
  <si>
    <t>PSO109355</t>
  </si>
  <si>
    <t>PSO259385</t>
  </si>
  <si>
    <t>PSO109711</t>
  </si>
  <si>
    <t>PSO98672</t>
  </si>
  <si>
    <t>PSO93743</t>
  </si>
  <si>
    <t>PSO113226</t>
  </si>
  <si>
    <t>PSO133063</t>
  </si>
  <si>
    <t>PSO118994</t>
  </si>
  <si>
    <t>PSO91680</t>
  </si>
  <si>
    <t>PSO135562</t>
  </si>
  <si>
    <t>PSO149429</t>
  </si>
  <si>
    <t>PSO128926</t>
  </si>
  <si>
    <t>PSO94423</t>
  </si>
  <si>
    <t>PSO123817</t>
  </si>
  <si>
    <t>PSO100852</t>
  </si>
  <si>
    <t>PSO103698</t>
  </si>
  <si>
    <t>PSO237350</t>
  </si>
  <si>
    <t>PSO257652</t>
  </si>
  <si>
    <t>PSO174919</t>
  </si>
  <si>
    <t>PSO263015</t>
  </si>
  <si>
    <t>PSO130437</t>
  </si>
  <si>
    <t>PSO117113</t>
  </si>
  <si>
    <t>PSO187239</t>
  </si>
  <si>
    <t>PSO177372</t>
  </si>
  <si>
    <t>PSO83838</t>
  </si>
  <si>
    <t>PSO149452</t>
  </si>
  <si>
    <t>PSO100834</t>
  </si>
  <si>
    <t>PSO107807</t>
  </si>
  <si>
    <t>PSO236016</t>
  </si>
  <si>
    <t>PSO108811</t>
  </si>
  <si>
    <t>PSO83592</t>
  </si>
  <si>
    <t>PSO240201</t>
  </si>
  <si>
    <t>PSO191136</t>
  </si>
  <si>
    <t>PSO178045</t>
  </si>
  <si>
    <t>PSO239138</t>
  </si>
  <si>
    <t>PSO175920</t>
  </si>
  <si>
    <t>PSO77538</t>
  </si>
  <si>
    <t>PSO130321</t>
  </si>
  <si>
    <t>PSO147760</t>
  </si>
  <si>
    <t>PSO175063</t>
  </si>
  <si>
    <t>PSO143783</t>
  </si>
  <si>
    <t>PSO100038</t>
  </si>
  <si>
    <t>PSO243108</t>
  </si>
  <si>
    <t>PSO140499</t>
  </si>
  <si>
    <t>PSO103675</t>
  </si>
  <si>
    <t>PSO76188</t>
  </si>
  <si>
    <t>PSO184952</t>
  </si>
  <si>
    <t>PSO131537</t>
  </si>
  <si>
    <t>PSO109660</t>
  </si>
  <si>
    <t>PSO132411</t>
  </si>
  <si>
    <t>PSO88366</t>
  </si>
  <si>
    <t>PSO267682</t>
  </si>
  <si>
    <t>PSO249825</t>
  </si>
  <si>
    <t>PSO104613</t>
  </si>
  <si>
    <t>PSO108332</t>
  </si>
  <si>
    <t>PSO128987</t>
  </si>
  <si>
    <t>PSO211780</t>
  </si>
  <si>
    <t>PSO118251</t>
  </si>
  <si>
    <t>PSO140223</t>
  </si>
  <si>
    <t>PSO162778</t>
  </si>
  <si>
    <t>PSO89157</t>
  </si>
  <si>
    <t>PSO106709</t>
  </si>
  <si>
    <t>PSO113735</t>
  </si>
  <si>
    <t>PSO113946</t>
  </si>
  <si>
    <t>PSO89408</t>
  </si>
  <si>
    <t>PSO81703</t>
  </si>
  <si>
    <t>PSO139978</t>
  </si>
  <si>
    <t>PSO80103</t>
  </si>
  <si>
    <t>PSO125999</t>
  </si>
  <si>
    <t>PSO102077</t>
  </si>
  <si>
    <t>PSO261700</t>
  </si>
  <si>
    <t>PSO104162</t>
  </si>
  <si>
    <t>PSO94866</t>
  </si>
  <si>
    <t>PSO92804</t>
  </si>
  <si>
    <t>PSO133364</t>
  </si>
  <si>
    <t>PSO242117</t>
  </si>
  <si>
    <t>PSO133225</t>
  </si>
  <si>
    <t>PSO84045</t>
  </si>
  <si>
    <t>PSO81126</t>
  </si>
  <si>
    <t>PSO155652</t>
  </si>
  <si>
    <t>PSO106431</t>
  </si>
  <si>
    <t>PSO145457</t>
  </si>
  <si>
    <t>PSO254564</t>
  </si>
  <si>
    <t>PSO182495</t>
  </si>
  <si>
    <t>PSO125263</t>
  </si>
  <si>
    <t>PSO171759</t>
  </si>
  <si>
    <t>PSO121642</t>
  </si>
  <si>
    <t>PSO7565322</t>
  </si>
  <si>
    <t>PSO246543</t>
  </si>
  <si>
    <t>PSO115313</t>
  </si>
  <si>
    <t>PSO265737</t>
  </si>
  <si>
    <t>PSO124419</t>
  </si>
  <si>
    <t>PSO240247</t>
  </si>
  <si>
    <t>PSO144214</t>
  </si>
  <si>
    <t>PSO102874</t>
  </si>
  <si>
    <t>PSO239272</t>
  </si>
  <si>
    <t>PSO7319844</t>
  </si>
  <si>
    <t>PSO241561</t>
  </si>
  <si>
    <t>PSO144432</t>
  </si>
  <si>
    <t>PSO121238</t>
  </si>
  <si>
    <t>PSO95715</t>
  </si>
  <si>
    <t>PSO174357</t>
  </si>
  <si>
    <t>PSO255963</t>
  </si>
  <si>
    <t>PSO172075</t>
  </si>
  <si>
    <t>PSO147315</t>
  </si>
  <si>
    <t>PSO92722</t>
  </si>
  <si>
    <t>PSO103928</t>
  </si>
  <si>
    <t>PSO77373</t>
  </si>
  <si>
    <t>PSO126279</t>
  </si>
  <si>
    <t>PSO253606</t>
  </si>
  <si>
    <t>PSO138467</t>
  </si>
  <si>
    <t>PSO145585</t>
  </si>
  <si>
    <t>PSO88853</t>
  </si>
  <si>
    <t>PSO84826</t>
  </si>
  <si>
    <t>PSO125000</t>
  </si>
  <si>
    <t>PSO147906</t>
  </si>
  <si>
    <t>PSO108297</t>
  </si>
  <si>
    <t>PSO81045</t>
  </si>
  <si>
    <t>PSO91131</t>
  </si>
  <si>
    <t>PSO211220</t>
  </si>
  <si>
    <t>PSO132616</t>
  </si>
  <si>
    <t>PSO115069</t>
  </si>
  <si>
    <t>PSO130506</t>
  </si>
  <si>
    <t>PSO116807</t>
  </si>
  <si>
    <t>PSO193997</t>
  </si>
  <si>
    <t>PSO119334</t>
  </si>
  <si>
    <t>PSO265378</t>
  </si>
  <si>
    <t>PSO103100</t>
  </si>
  <si>
    <t>PSO78143</t>
  </si>
  <si>
    <t>PSO144892</t>
  </si>
  <si>
    <t>PSO116255</t>
  </si>
  <si>
    <t>PSO143021</t>
  </si>
  <si>
    <t>PSO123493</t>
  </si>
  <si>
    <t>PSO249686</t>
  </si>
  <si>
    <t>PSO101265</t>
  </si>
  <si>
    <t>PSO77402</t>
  </si>
  <si>
    <t>PSO139030</t>
  </si>
  <si>
    <t>PSO7324493</t>
  </si>
  <si>
    <t>PSO142058</t>
  </si>
  <si>
    <t>PSO257553</t>
  </si>
  <si>
    <t>PSO249509</t>
  </si>
  <si>
    <t>PSO245991</t>
  </si>
  <si>
    <t>PSO224439</t>
  </si>
  <si>
    <t>PSO269158</t>
  </si>
  <si>
    <t>PSO173479</t>
  </si>
  <si>
    <t>PSO112071</t>
  </si>
  <si>
    <t>PSO263412</t>
  </si>
  <si>
    <t>PSO124704</t>
  </si>
  <si>
    <t>PSO172569</t>
  </si>
  <si>
    <t>PSO100594</t>
  </si>
  <si>
    <t>PSO122156</t>
  </si>
  <si>
    <t>PSO90522</t>
  </si>
  <si>
    <t>PSO82866</t>
  </si>
  <si>
    <t>PSO83432</t>
  </si>
  <si>
    <t>PSO254647</t>
  </si>
  <si>
    <t>PSO238522</t>
  </si>
  <si>
    <t>PSO112111</t>
  </si>
  <si>
    <t>PSO76805</t>
  </si>
  <si>
    <t>PSO174813</t>
  </si>
  <si>
    <t>PSO245518</t>
  </si>
  <si>
    <t>PSO237052</t>
  </si>
  <si>
    <t>PSO239201</t>
  </si>
  <si>
    <t>PSO137439</t>
  </si>
  <si>
    <t>PSO181029</t>
  </si>
  <si>
    <t>PSO76820</t>
  </si>
  <si>
    <t>PSO133367</t>
  </si>
  <si>
    <t>PSO174057</t>
  </si>
  <si>
    <t>PSO80940</t>
  </si>
  <si>
    <t>PSO239859</t>
  </si>
  <si>
    <t>PSO122144</t>
  </si>
  <si>
    <t>PSO135774</t>
  </si>
  <si>
    <t>PSO110184</t>
  </si>
  <si>
    <t>PSO249738</t>
  </si>
  <si>
    <t>PSO208993</t>
  </si>
  <si>
    <t>PSO173109</t>
  </si>
  <si>
    <t>PSO91708</t>
  </si>
  <si>
    <t>PSO116034</t>
  </si>
  <si>
    <t>PSO134436</t>
  </si>
  <si>
    <t>PSO90690</t>
  </si>
  <si>
    <t>PSO114825</t>
  </si>
  <si>
    <t>PSO87530</t>
  </si>
  <si>
    <t>PSO239057</t>
  </si>
  <si>
    <t>PSO254711</t>
  </si>
  <si>
    <t>PSO104029</t>
  </si>
  <si>
    <t>PSO222712</t>
  </si>
  <si>
    <t>PSO120862</t>
  </si>
  <si>
    <t>PSO130575</t>
  </si>
  <si>
    <t>PSO111323</t>
  </si>
  <si>
    <t>PSO117465</t>
  </si>
  <si>
    <t>PSO7317849</t>
  </si>
  <si>
    <t>PSO143294</t>
  </si>
  <si>
    <t>PSO84605</t>
  </si>
  <si>
    <t>PSO89258</t>
  </si>
  <si>
    <t>PSO185593</t>
  </si>
  <si>
    <t>PSO111503</t>
  </si>
  <si>
    <t>PSO108684</t>
  </si>
  <si>
    <t>PSO246276</t>
  </si>
  <si>
    <t>PSO170208</t>
  </si>
  <si>
    <t>PSO171273</t>
  </si>
  <si>
    <t>PSO124460</t>
  </si>
  <si>
    <t>PSO92295</t>
  </si>
  <si>
    <t>PSO147592</t>
  </si>
  <si>
    <t>PSO93287</t>
  </si>
  <si>
    <t>PSO146858</t>
  </si>
  <si>
    <t>PSO174018</t>
  </si>
  <si>
    <t>PSO140325</t>
  </si>
  <si>
    <t>PSO135869</t>
  </si>
  <si>
    <t>PSO239424</t>
  </si>
  <si>
    <t>PSO118551</t>
  </si>
  <si>
    <t>PSO146637</t>
  </si>
  <si>
    <t>PSO127241</t>
  </si>
  <si>
    <t>PSO137829</t>
  </si>
  <si>
    <t>PSO120085</t>
  </si>
  <si>
    <t>PSO212153</t>
  </si>
  <si>
    <t>PSO93950</t>
  </si>
  <si>
    <t>PSO86307</t>
  </si>
  <si>
    <t>PSO177409</t>
  </si>
  <si>
    <t>PSO171172</t>
  </si>
  <si>
    <t>PSO147615</t>
  </si>
  <si>
    <t>PSO94620</t>
  </si>
  <si>
    <t>PSO109016</t>
  </si>
  <si>
    <t>PSO260269</t>
  </si>
  <si>
    <t>PSO122595</t>
  </si>
  <si>
    <t>PSO126016</t>
  </si>
  <si>
    <t>PSO175423</t>
  </si>
  <si>
    <t>PSO7500485</t>
  </si>
  <si>
    <t>PSO141342</t>
  </si>
  <si>
    <t>PSO81693</t>
  </si>
  <si>
    <t>PSO242695</t>
  </si>
  <si>
    <t>PSO141883</t>
  </si>
  <si>
    <t>PSO241599</t>
  </si>
  <si>
    <t>PSO167455</t>
  </si>
  <si>
    <t>PSO118635</t>
  </si>
  <si>
    <t>PSO136086</t>
  </si>
  <si>
    <t>PSO7363113</t>
  </si>
  <si>
    <t>PSO274539</t>
  </si>
  <si>
    <t>PSO135712</t>
  </si>
  <si>
    <t>PSO147761</t>
  </si>
  <si>
    <t>PSO259196</t>
  </si>
  <si>
    <t>PSO126242</t>
  </si>
  <si>
    <t>PSO128678</t>
  </si>
  <si>
    <t>PSO139792</t>
  </si>
  <si>
    <t>PSO259598</t>
  </si>
  <si>
    <t>PSO142008</t>
  </si>
  <si>
    <t>PSO96976</t>
  </si>
  <si>
    <t>PSO174897</t>
  </si>
  <si>
    <t>PSO169536</t>
  </si>
  <si>
    <t>PSO107148</t>
  </si>
  <si>
    <t>PSO273399</t>
  </si>
  <si>
    <t>PSO115184</t>
  </si>
  <si>
    <t>PSO236219</t>
  </si>
  <si>
    <t>PSO125781</t>
  </si>
  <si>
    <t>PSO96986</t>
  </si>
  <si>
    <t>PSO84197</t>
  </si>
  <si>
    <t>PSO245763</t>
  </si>
  <si>
    <t>PSO7321309</t>
  </si>
  <si>
    <t>PSO142230</t>
  </si>
  <si>
    <t>PSO215176</t>
  </si>
  <si>
    <t>PSO119977</t>
  </si>
  <si>
    <t>PSO141922</t>
  </si>
  <si>
    <t>PSO193787</t>
  </si>
  <si>
    <t>PSO87769</t>
  </si>
  <si>
    <t>PSO126047</t>
  </si>
  <si>
    <t>PSO221872</t>
  </si>
  <si>
    <t>PSO259403</t>
  </si>
  <si>
    <t>PSO145854</t>
  </si>
  <si>
    <t>PSO116504</t>
  </si>
  <si>
    <t>PSO145912</t>
  </si>
  <si>
    <t>PSO98398</t>
  </si>
  <si>
    <t>PSO179914</t>
  </si>
  <si>
    <t>PSO124885</t>
  </si>
  <si>
    <t>PSO122380</t>
  </si>
  <si>
    <t>PSO100452</t>
  </si>
  <si>
    <t>PSO146622</t>
  </si>
  <si>
    <t>PSO175510</t>
  </si>
  <si>
    <t>PSO139498</t>
  </si>
  <si>
    <t>PSO124163</t>
  </si>
  <si>
    <t>PSO7239832</t>
  </si>
  <si>
    <t>PSO118410</t>
  </si>
  <si>
    <t>PSO193767</t>
  </si>
  <si>
    <t>PSO117437</t>
  </si>
  <si>
    <t>PSO106268</t>
  </si>
  <si>
    <t>PSO7523548</t>
  </si>
  <si>
    <t>PSO257887</t>
  </si>
  <si>
    <t>PSO144267</t>
  </si>
  <si>
    <t>PSO237058</t>
  </si>
  <si>
    <t>PSO136350</t>
  </si>
  <si>
    <t>PSO239923</t>
  </si>
  <si>
    <t>PSO276996</t>
  </si>
  <si>
    <t>PSO7339821</t>
  </si>
  <si>
    <t>PSO133285</t>
  </si>
  <si>
    <t>PSO242834</t>
  </si>
  <si>
    <t>PSO134756</t>
  </si>
  <si>
    <t>PSO145034</t>
  </si>
  <si>
    <t>PSO110782</t>
  </si>
  <si>
    <t>PSO7526876</t>
  </si>
  <si>
    <t>PSO98580</t>
  </si>
  <si>
    <t>PSO95093</t>
  </si>
  <si>
    <t>PSO77861</t>
  </si>
  <si>
    <t>PSO166935</t>
  </si>
  <si>
    <t>PSO186009</t>
  </si>
  <si>
    <t>PSO238395</t>
  </si>
  <si>
    <t>PSO256929</t>
  </si>
  <si>
    <t>PSO115962</t>
  </si>
  <si>
    <t>PSO247131</t>
  </si>
  <si>
    <t>PSO86464</t>
  </si>
  <si>
    <t>PSO100704</t>
  </si>
  <si>
    <t>PSO96649</t>
  </si>
  <si>
    <t>PSO201935</t>
  </si>
  <si>
    <t>PSO110513</t>
  </si>
  <si>
    <t>PSO114393</t>
  </si>
  <si>
    <t>PSO104274</t>
  </si>
  <si>
    <t>PSO240663</t>
  </si>
  <si>
    <t>PSO145478</t>
  </si>
  <si>
    <t>PSO141178</t>
  </si>
  <si>
    <t>PSO141866</t>
  </si>
  <si>
    <t>PSO138077</t>
  </si>
  <si>
    <t>PSO106010</t>
  </si>
  <si>
    <t>PSO171961</t>
  </si>
  <si>
    <t>PSO98713</t>
  </si>
  <si>
    <t>PSO86107</t>
  </si>
  <si>
    <t>PSO85916</t>
  </si>
  <si>
    <t>PSO166657</t>
  </si>
  <si>
    <t>PSO147124</t>
  </si>
  <si>
    <t>PSO178544</t>
  </si>
  <si>
    <t>PSO84132</t>
  </si>
  <si>
    <t>PSO175641</t>
  </si>
  <si>
    <t>PSO165934</t>
  </si>
  <si>
    <t>PSO142142</t>
  </si>
  <si>
    <t>PSO133238</t>
  </si>
  <si>
    <t>PSO106060</t>
  </si>
  <si>
    <t>PSO187454</t>
  </si>
  <si>
    <t>PSO141903</t>
  </si>
  <si>
    <t>PSO105933</t>
  </si>
  <si>
    <t>PSO249682</t>
  </si>
  <si>
    <t>PSO97408</t>
  </si>
  <si>
    <t>PSO124975</t>
  </si>
  <si>
    <t>PSO7557753</t>
  </si>
  <si>
    <t>PSO112164</t>
  </si>
  <si>
    <t>PSO185855</t>
  </si>
  <si>
    <t>PSO254413</t>
  </si>
  <si>
    <t>PSO181418</t>
  </si>
  <si>
    <t>PSO117319</t>
  </si>
  <si>
    <t>PSO86341</t>
  </si>
  <si>
    <t>PSO264715</t>
  </si>
  <si>
    <t>PSO100321</t>
  </si>
  <si>
    <t>PSO186255</t>
  </si>
  <si>
    <t>PSO250285</t>
  </si>
  <si>
    <t>PSO121562</t>
  </si>
  <si>
    <t>PSO140437</t>
  </si>
  <si>
    <t>PSO140975</t>
  </si>
  <si>
    <t>PSO120689</t>
  </si>
  <si>
    <t>PSO175762</t>
  </si>
  <si>
    <t>PSO138545</t>
  </si>
  <si>
    <t>PSO147026</t>
  </si>
  <si>
    <t>PSO162922</t>
  </si>
  <si>
    <t>PSO182783</t>
  </si>
  <si>
    <t>PSO255515</t>
  </si>
  <si>
    <t>PSO136440</t>
  </si>
  <si>
    <t>PSO133439</t>
  </si>
  <si>
    <t>PSO251057</t>
  </si>
  <si>
    <t>PSO129207</t>
  </si>
  <si>
    <t>PSO147010</t>
  </si>
  <si>
    <t>PSO120703</t>
  </si>
  <si>
    <t>PSO166501</t>
  </si>
  <si>
    <t>PSO249757</t>
  </si>
  <si>
    <t>PSO263434</t>
  </si>
  <si>
    <t>PSO143720</t>
  </si>
  <si>
    <t>PSO89323</t>
  </si>
  <si>
    <t>PSO136655</t>
  </si>
  <si>
    <t>PSO117002</t>
  </si>
  <si>
    <t>PSO136281</t>
  </si>
  <si>
    <t>PSO143985</t>
  </si>
  <si>
    <t>PSO117189</t>
  </si>
  <si>
    <t>PSO250839</t>
  </si>
  <si>
    <t>PSO248941</t>
  </si>
  <si>
    <t>PSO247961</t>
  </si>
  <si>
    <t>PSO127100</t>
  </si>
  <si>
    <t>PSO135828</t>
  </si>
  <si>
    <t>PSO275895</t>
  </si>
  <si>
    <t>PSO139834</t>
  </si>
  <si>
    <t>PSO136395</t>
  </si>
  <si>
    <t>PSO7575864</t>
  </si>
  <si>
    <t>PSO185844</t>
  </si>
  <si>
    <t>PSO140557</t>
  </si>
  <si>
    <t>PSO99998</t>
  </si>
  <si>
    <t>PSO115400</t>
  </si>
  <si>
    <t>PSO164908</t>
  </si>
  <si>
    <t>PSO172028</t>
  </si>
  <si>
    <t>PSO270908</t>
  </si>
  <si>
    <t>PSO78036</t>
  </si>
  <si>
    <t>PSO146100</t>
  </si>
  <si>
    <t>PSO88917</t>
  </si>
  <si>
    <t>PSO140513</t>
  </si>
  <si>
    <t>PSO107372</t>
  </si>
  <si>
    <t>PSO91609</t>
  </si>
  <si>
    <t>PSO143523</t>
  </si>
  <si>
    <t>PSO114166</t>
  </si>
  <si>
    <t>PSO247108</t>
  </si>
  <si>
    <t>PSO105761</t>
  </si>
  <si>
    <t>PSO139021</t>
  </si>
  <si>
    <t>PSO210013</t>
  </si>
  <si>
    <t>PSO138748</t>
  </si>
  <si>
    <t>PSO103653</t>
  </si>
  <si>
    <t>PSO172245</t>
  </si>
  <si>
    <t>PSO110774</t>
  </si>
  <si>
    <t>PSO88372</t>
  </si>
  <si>
    <t>PSO74738</t>
  </si>
  <si>
    <t>PSO7290112</t>
  </si>
  <si>
    <t>PSO177546</t>
  </si>
  <si>
    <t>PSO77012</t>
  </si>
  <si>
    <t>PSO78366</t>
  </si>
  <si>
    <t>PSO168412</t>
  </si>
  <si>
    <t>PSO164053</t>
  </si>
  <si>
    <t>PSO239205</t>
  </si>
  <si>
    <t>PSO118027</t>
  </si>
  <si>
    <t>PSO145760</t>
  </si>
  <si>
    <t>PSO130047</t>
  </si>
  <si>
    <t>PSO81621</t>
  </si>
  <si>
    <t>PSO89144</t>
  </si>
  <si>
    <t>PSO249442</t>
  </si>
  <si>
    <t>PSO7257504</t>
  </si>
  <si>
    <t>PSO104474</t>
  </si>
  <si>
    <t>PSO259912</t>
  </si>
  <si>
    <t>PSO109743</t>
  </si>
  <si>
    <t>PSO243743</t>
  </si>
  <si>
    <t>PSO173186</t>
  </si>
  <si>
    <t>PSO7259634</t>
  </si>
  <si>
    <t>PSO126994</t>
  </si>
  <si>
    <t>PSO127431</t>
  </si>
  <si>
    <t>PSO184185</t>
  </si>
  <si>
    <t>PSO81706</t>
  </si>
  <si>
    <t>PSO80165</t>
  </si>
  <si>
    <t>PSO144091</t>
  </si>
  <si>
    <t>PSO118444</t>
  </si>
  <si>
    <t>PSO141514</t>
  </si>
  <si>
    <t>PSO81625</t>
  </si>
  <si>
    <t>PSO117460</t>
  </si>
  <si>
    <t>PSO78088</t>
  </si>
  <si>
    <t>PSO132636</t>
  </si>
  <si>
    <t>PSO139173</t>
  </si>
  <si>
    <t>PSO138381</t>
  </si>
  <si>
    <t>PSO111042</t>
  </si>
  <si>
    <t>PSO187015</t>
  </si>
  <si>
    <t>PSO174648</t>
  </si>
  <si>
    <t>PSO143188</t>
  </si>
  <si>
    <t>PSO145819</t>
  </si>
  <si>
    <t>PSO83766</t>
  </si>
  <si>
    <t>PSO94890</t>
  </si>
  <si>
    <t>PSO178671</t>
  </si>
  <si>
    <t>PSO260985</t>
  </si>
  <si>
    <t>PSO101593</t>
  </si>
  <si>
    <t>PSO112206</t>
  </si>
  <si>
    <t>PSO277268</t>
  </si>
  <si>
    <t>PSO264035</t>
  </si>
  <si>
    <t>PSO98391</t>
  </si>
  <si>
    <t>PSO131549</t>
  </si>
  <si>
    <t>PSO147110</t>
  </si>
  <si>
    <t>PSO128859</t>
  </si>
  <si>
    <t>PSO144671</t>
  </si>
  <si>
    <t>PSO101585</t>
  </si>
  <si>
    <t>PSO112898</t>
  </si>
  <si>
    <t>PSO267108</t>
  </si>
  <si>
    <t>PSO165868</t>
  </si>
  <si>
    <t>PSO189274</t>
  </si>
  <si>
    <t>PSO91690</t>
  </si>
  <si>
    <t>PSO129789</t>
  </si>
  <si>
    <t>PSO240731</t>
  </si>
  <si>
    <t>PSO147403</t>
  </si>
  <si>
    <t>PSO90157</t>
  </si>
  <si>
    <t>PSO261768</t>
  </si>
  <si>
    <t>PSO240788</t>
  </si>
  <si>
    <t>PSO145129</t>
  </si>
  <si>
    <t>PSO111889</t>
  </si>
  <si>
    <t>PSO83883</t>
  </si>
  <si>
    <t>PSO109971</t>
  </si>
  <si>
    <t>PSO263163</t>
  </si>
  <si>
    <t>PSO185532</t>
  </si>
  <si>
    <t>PSO172385</t>
  </si>
  <si>
    <t>PSO139837</t>
  </si>
  <si>
    <t>PSO272798</t>
  </si>
  <si>
    <t>PSO140526</t>
  </si>
  <si>
    <t>PSO118328</t>
  </si>
  <si>
    <t>PSO260325</t>
  </si>
  <si>
    <t>PSO142494</t>
  </si>
  <si>
    <t>PSO127903</t>
  </si>
  <si>
    <t>PSO115187</t>
  </si>
  <si>
    <t>PSO7339840</t>
  </si>
  <si>
    <t>PSO7508080</t>
  </si>
  <si>
    <t>PSO169271</t>
  </si>
  <si>
    <t>PSO110149</t>
  </si>
  <si>
    <t>PSO115456</t>
  </si>
  <si>
    <t>PSO177369</t>
  </si>
  <si>
    <t>PSO237968</t>
  </si>
  <si>
    <t>PSO174532</t>
  </si>
  <si>
    <t>PSO145074</t>
  </si>
  <si>
    <t>PSO131388</t>
  </si>
  <si>
    <t>PSO125933</t>
  </si>
  <si>
    <t>PSO126310</t>
  </si>
  <si>
    <t>PSO84888</t>
  </si>
  <si>
    <t>PSO78322</t>
  </si>
  <si>
    <t>PSO83199</t>
  </si>
  <si>
    <t>PSO229678</t>
  </si>
  <si>
    <t>PSO81729</t>
  </si>
  <si>
    <t>PSO272287</t>
  </si>
  <si>
    <t>PSO161619</t>
  </si>
  <si>
    <t>PSO94561</t>
  </si>
  <si>
    <t>PSO83237</t>
  </si>
  <si>
    <t>PSO159392</t>
  </si>
  <si>
    <t>PSO102395</t>
  </si>
  <si>
    <t>PSO99172</t>
  </si>
  <si>
    <t>PSO88541</t>
  </si>
  <si>
    <t>PSO237470</t>
  </si>
  <si>
    <t>PSO179880</t>
  </si>
  <si>
    <t>PSO120139</t>
  </si>
  <si>
    <t>PSO259503</t>
  </si>
  <si>
    <t>PSO182685</t>
  </si>
  <si>
    <t>PSO142389</t>
  </si>
  <si>
    <t>PSO99137</t>
  </si>
  <si>
    <t>PSO175784</t>
  </si>
  <si>
    <t>PSO118047</t>
  </si>
  <si>
    <t>PSO178947</t>
  </si>
  <si>
    <t>PSO127001</t>
  </si>
  <si>
    <t>PSO117977</t>
  </si>
  <si>
    <t>PSO122339</t>
  </si>
  <si>
    <t>PSO139820</t>
  </si>
  <si>
    <t>PSO177596</t>
  </si>
  <si>
    <t>PSO188682</t>
  </si>
  <si>
    <t>PSO174067</t>
  </si>
  <si>
    <t>PSO273163</t>
  </si>
  <si>
    <t>PSO171301</t>
  </si>
  <si>
    <t>PSO262714</t>
  </si>
  <si>
    <t>PSO115938</t>
  </si>
  <si>
    <t>PSO109557</t>
  </si>
  <si>
    <t>PSO114154</t>
  </si>
  <si>
    <t>PSO239446</t>
  </si>
  <si>
    <t>PSO240561</t>
  </si>
  <si>
    <t>PSO257056</t>
  </si>
  <si>
    <t>PSO140273</t>
  </si>
  <si>
    <t>PSO256437</t>
  </si>
  <si>
    <t>PSO134257</t>
  </si>
  <si>
    <t>PSO169446</t>
  </si>
  <si>
    <t>PSO277335</t>
  </si>
  <si>
    <t>PSO103189</t>
  </si>
  <si>
    <t>PSO131422</t>
  </si>
  <si>
    <t>PSO131800</t>
  </si>
  <si>
    <t>PSO141336</t>
  </si>
  <si>
    <t>PSO110185</t>
  </si>
  <si>
    <t>PSO277265</t>
  </si>
  <si>
    <t>PSO124798</t>
  </si>
  <si>
    <t>PSO247164</t>
  </si>
  <si>
    <t>PSO143512</t>
  </si>
  <si>
    <t>PSO220145</t>
  </si>
  <si>
    <t>PSO239736</t>
  </si>
  <si>
    <t>PSO114259</t>
  </si>
  <si>
    <t>PSO76781</t>
  </si>
  <si>
    <t>PSO193761</t>
  </si>
  <si>
    <t>PSO101580</t>
  </si>
  <si>
    <t>PSO147554</t>
  </si>
  <si>
    <t>PSO147485</t>
  </si>
  <si>
    <t>PSO117870</t>
  </si>
  <si>
    <t>PSO143768</t>
  </si>
  <si>
    <t>PSO226465</t>
  </si>
  <si>
    <t>PSO131928</t>
  </si>
  <si>
    <t>PSO240229</t>
  </si>
  <si>
    <t>PSO257768</t>
  </si>
  <si>
    <t>PSO144163</t>
  </si>
  <si>
    <t>PSO185478</t>
  </si>
  <si>
    <t>PSO249404</t>
  </si>
  <si>
    <t>PSO274395</t>
  </si>
  <si>
    <t>PSO102776</t>
  </si>
  <si>
    <t>PSO266083</t>
  </si>
  <si>
    <t>PSO102393</t>
  </si>
  <si>
    <t>PSO223244</t>
  </si>
  <si>
    <t>PSO95210</t>
  </si>
  <si>
    <t>PSO166963</t>
  </si>
  <si>
    <t>PSO82268</t>
  </si>
  <si>
    <t>PSO123951</t>
  </si>
  <si>
    <t>PSO96013</t>
  </si>
  <si>
    <t>PSO81919</t>
  </si>
  <si>
    <t>PSO268842</t>
  </si>
  <si>
    <t>PSO271783</t>
  </si>
  <si>
    <t>PSO140312</t>
  </si>
  <si>
    <t>PSO140955</t>
  </si>
  <si>
    <t>PSO141061</t>
  </si>
  <si>
    <t>PSO106564</t>
  </si>
  <si>
    <t>PSO87106</t>
  </si>
  <si>
    <t>PSO108790</t>
  </si>
  <si>
    <t>PSO121720</t>
  </si>
  <si>
    <t>PSO240068</t>
  </si>
  <si>
    <t>PSO130668</t>
  </si>
  <si>
    <t>PSO239547</t>
  </si>
  <si>
    <t>PSO267553</t>
  </si>
  <si>
    <t>PSO90532</t>
  </si>
  <si>
    <t>PSO102271</t>
  </si>
  <si>
    <t>PSO124289</t>
  </si>
  <si>
    <t>PSO146605</t>
  </si>
  <si>
    <t>PSO188109</t>
  </si>
  <si>
    <t>PSO89518</t>
  </si>
  <si>
    <t>PSO143573</t>
  </si>
  <si>
    <t>PSO117638</t>
  </si>
  <si>
    <t>PSO7257505</t>
  </si>
  <si>
    <t>PSO275641</t>
  </si>
  <si>
    <t>PSO113786</t>
  </si>
  <si>
    <t>PSO107030</t>
  </si>
  <si>
    <t>PSO226874</t>
  </si>
  <si>
    <t>PSO179730</t>
  </si>
  <si>
    <t>PSO213103</t>
  </si>
  <si>
    <t>PSO262635</t>
  </si>
  <si>
    <t>PSO103556</t>
  </si>
  <si>
    <t>PSO100648</t>
  </si>
  <si>
    <t>PSO7256099</t>
  </si>
  <si>
    <t>PSO110390</t>
  </si>
  <si>
    <t>PSO140974</t>
  </si>
  <si>
    <t>PSO142663</t>
  </si>
  <si>
    <t>PSO112327</t>
  </si>
  <si>
    <t>PSO225388</t>
  </si>
  <si>
    <t>PSO247634</t>
  </si>
  <si>
    <t>PSO138375</t>
  </si>
  <si>
    <t>PSO81433</t>
  </si>
  <si>
    <t>PSO177208</t>
  </si>
  <si>
    <t>PSO247319</t>
  </si>
  <si>
    <t>PSO129653</t>
  </si>
  <si>
    <t>PSO109624</t>
  </si>
  <si>
    <t>PSO169667</t>
  </si>
  <si>
    <t>PSO276231</t>
  </si>
  <si>
    <t>PSO88848</t>
  </si>
  <si>
    <t>PSO103823</t>
  </si>
  <si>
    <t>PSO140352</t>
  </si>
  <si>
    <t>PSO77449</t>
  </si>
  <si>
    <t>PSO184127</t>
  </si>
  <si>
    <t>PSO231664</t>
  </si>
  <si>
    <t>PSO77899</t>
  </si>
  <si>
    <t>PSO106933</t>
  </si>
  <si>
    <t>PSO250485</t>
  </si>
  <si>
    <t>PSO266192</t>
  </si>
  <si>
    <t>PSO106682</t>
  </si>
  <si>
    <t>PSO215187</t>
  </si>
  <si>
    <t>PSO133222</t>
  </si>
  <si>
    <t>PSO121981</t>
  </si>
  <si>
    <t>PSO98923</t>
  </si>
  <si>
    <t>PSO113719</t>
  </si>
  <si>
    <t>PSO170312</t>
  </si>
  <si>
    <t>PSO104007</t>
  </si>
  <si>
    <t>PSO186021</t>
  </si>
  <si>
    <t>PSO240167</t>
  </si>
  <si>
    <t>PSO138592</t>
  </si>
  <si>
    <t>PSO267313</t>
  </si>
  <si>
    <t>PSO129485</t>
  </si>
  <si>
    <t>PSO259530</t>
  </si>
  <si>
    <t>PSO128288</t>
  </si>
  <si>
    <t>PSO239838</t>
  </si>
  <si>
    <t>PSO76734</t>
  </si>
  <si>
    <t>PSO133109</t>
  </si>
  <si>
    <t>PSO87995</t>
  </si>
  <si>
    <t>PSO101344</t>
  </si>
  <si>
    <t>PSO249955</t>
  </si>
  <si>
    <t>PSO94497</t>
  </si>
  <si>
    <t>PSO244113</t>
  </si>
  <si>
    <t>PSO92224</t>
  </si>
  <si>
    <t>PSO267455</t>
  </si>
  <si>
    <t>PSO181358</t>
  </si>
  <si>
    <t>PSO7334131</t>
  </si>
  <si>
    <t>PSO90393</t>
  </si>
  <si>
    <t>PSO86909</t>
  </si>
  <si>
    <t>PSO177810</t>
  </si>
  <si>
    <t>PSO246447</t>
  </si>
  <si>
    <t>PSO95875</t>
  </si>
  <si>
    <t>PSO125303</t>
  </si>
  <si>
    <t>PSO95884</t>
  </si>
  <si>
    <t>PSO136242</t>
  </si>
  <si>
    <t>PSO145874</t>
  </si>
  <si>
    <t>PSO85529</t>
  </si>
  <si>
    <t>PSO7363147</t>
  </si>
  <si>
    <t>PSO140713</t>
  </si>
  <si>
    <t>PSO238657</t>
  </si>
  <si>
    <t>PSO168720</t>
  </si>
  <si>
    <t>PSO135028</t>
  </si>
  <si>
    <t>PSO117122</t>
  </si>
  <si>
    <t>PSO178404</t>
  </si>
  <si>
    <t>PSO91739</t>
  </si>
  <si>
    <t>PSO112356</t>
  </si>
  <si>
    <t>PSO98040</t>
  </si>
  <si>
    <t>PSO97788</t>
  </si>
  <si>
    <t>PSO7199599</t>
  </si>
  <si>
    <t>PSO252453</t>
  </si>
  <si>
    <t>PSO88517</t>
  </si>
  <si>
    <t>PSO144545</t>
  </si>
  <si>
    <t>PSO78148</t>
  </si>
  <si>
    <t>PSO175473</t>
  </si>
  <si>
    <t>PSO117793</t>
  </si>
  <si>
    <t>PSO74875</t>
  </si>
  <si>
    <t>PSO97447</t>
  </si>
  <si>
    <t>PSO109519</t>
  </si>
  <si>
    <t>PSO116796</t>
  </si>
  <si>
    <t>PSO137490</t>
  </si>
  <si>
    <t>PSO100280</t>
  </si>
  <si>
    <t>PSO125566</t>
  </si>
  <si>
    <t>PSO7508092</t>
  </si>
  <si>
    <t>PSO148004</t>
  </si>
  <si>
    <t>PSO236767</t>
  </si>
  <si>
    <t>PSO108519</t>
  </si>
  <si>
    <t>PSO118013</t>
  </si>
  <si>
    <t>PSO99073</t>
  </si>
  <si>
    <t>PSO87109</t>
  </si>
  <si>
    <t>PSO123274</t>
  </si>
  <si>
    <t>PSO186172</t>
  </si>
  <si>
    <t>PSO128436</t>
  </si>
  <si>
    <t>PSO106832</t>
  </si>
  <si>
    <t>PSO140413</t>
  </si>
  <si>
    <t>PSO116946</t>
  </si>
  <si>
    <t>PSO124068</t>
  </si>
  <si>
    <t>PSO90362</t>
  </si>
  <si>
    <t>PSO241907</t>
  </si>
  <si>
    <t>PSO177019</t>
  </si>
  <si>
    <t>PSO141147</t>
  </si>
  <si>
    <t>PSO180880</t>
  </si>
  <si>
    <t>PSO110046</t>
  </si>
  <si>
    <t>PSO84922</t>
  </si>
  <si>
    <t>PSO129742</t>
  </si>
  <si>
    <t>PSO134516</t>
  </si>
  <si>
    <t>PSO113707</t>
  </si>
  <si>
    <t>PSO132381</t>
  </si>
  <si>
    <t>PSO197446</t>
  </si>
  <si>
    <t>PSO254973</t>
  </si>
  <si>
    <t>PSO7502726</t>
  </si>
  <si>
    <t>PSO85124</t>
  </si>
  <si>
    <t>PSO264000</t>
  </si>
  <si>
    <t>PSO119271</t>
  </si>
  <si>
    <t>PSO239574</t>
  </si>
  <si>
    <t>PSO140288</t>
  </si>
  <si>
    <t>PSO145250</t>
  </si>
  <si>
    <t>PSO177763</t>
  </si>
  <si>
    <t>PSO274232</t>
  </si>
  <si>
    <t>PSO90876</t>
  </si>
  <si>
    <t>PSO183560</t>
  </si>
  <si>
    <t>PSO142244</t>
  </si>
  <si>
    <t>PSO234442</t>
  </si>
  <si>
    <t>PSO115685</t>
  </si>
  <si>
    <t>PSO106269</t>
  </si>
  <si>
    <t>PSO7253059</t>
  </si>
  <si>
    <t>PSO115925</t>
  </si>
  <si>
    <t>PSO169831</t>
  </si>
  <si>
    <t>PSO170877</t>
  </si>
  <si>
    <t>PSO142236</t>
  </si>
  <si>
    <t>PSO256689</t>
  </si>
  <si>
    <t>PSO96500</t>
  </si>
  <si>
    <t>PSO171819</t>
  </si>
  <si>
    <t>PSO142399</t>
  </si>
  <si>
    <t>PSO231718</t>
  </si>
  <si>
    <t>PSO277407</t>
  </si>
  <si>
    <t>PSO130748</t>
  </si>
  <si>
    <t>PSO130957</t>
  </si>
  <si>
    <t>PSO142284</t>
  </si>
  <si>
    <t>PSO115194</t>
  </si>
  <si>
    <t>PSO75997</t>
  </si>
  <si>
    <t>PSO7249407</t>
  </si>
  <si>
    <t>PSO172540</t>
  </si>
  <si>
    <t>PSO132098</t>
  </si>
  <si>
    <t>PSO114303</t>
  </si>
  <si>
    <t>PSO116382</t>
  </si>
  <si>
    <t>PSO266294</t>
  </si>
  <si>
    <t>PSO100489</t>
  </si>
  <si>
    <t>PSO146753</t>
  </si>
  <si>
    <t>PSO142541</t>
  </si>
  <si>
    <t>PSO118065</t>
  </si>
  <si>
    <t>PSO123878</t>
  </si>
  <si>
    <t>PSO176831</t>
  </si>
  <si>
    <t>PSO138891</t>
  </si>
  <si>
    <t>PSO259947</t>
  </si>
  <si>
    <t>PSO142788</t>
  </si>
  <si>
    <t>PSO101204</t>
  </si>
  <si>
    <t>PSO208316</t>
  </si>
  <si>
    <t>PSO176901</t>
  </si>
  <si>
    <t>PSO126180</t>
  </si>
  <si>
    <t>PSO129700</t>
  </si>
  <si>
    <t>PSO123429</t>
  </si>
  <si>
    <t>PSO91545</t>
  </si>
  <si>
    <t>PSO98863</t>
  </si>
  <si>
    <t>PSO245142</t>
  </si>
  <si>
    <t>PSO225251</t>
  </si>
  <si>
    <t>PSO101427</t>
  </si>
  <si>
    <t>PSO130754</t>
  </si>
  <si>
    <t>PSO240371</t>
  </si>
  <si>
    <t>PSO121414</t>
  </si>
  <si>
    <t>PSO101557</t>
  </si>
  <si>
    <t>PSO82547</t>
  </si>
  <si>
    <t>PSO172227</t>
  </si>
  <si>
    <t>PSO87187</t>
  </si>
  <si>
    <t>PSO131655</t>
  </si>
  <si>
    <t>PSO143000</t>
  </si>
  <si>
    <t>PSO99753</t>
  </si>
  <si>
    <t>PSO143459</t>
  </si>
  <si>
    <t>PSO146816</t>
  </si>
  <si>
    <t>PSO7309855</t>
  </si>
  <si>
    <t>PSO112817</t>
  </si>
  <si>
    <t>PSO174203</t>
  </si>
  <si>
    <t>PSO168004</t>
  </si>
  <si>
    <t>PSO138446</t>
  </si>
  <si>
    <t>PSO140146</t>
  </si>
  <si>
    <t>PSO116687</t>
  </si>
  <si>
    <t>PSO240494</t>
  </si>
  <si>
    <t>PSO139016</t>
  </si>
  <si>
    <t>PSO248830</t>
  </si>
  <si>
    <t>PSO143912</t>
  </si>
  <si>
    <t>PSO261313</t>
  </si>
  <si>
    <t>PSO113199</t>
  </si>
  <si>
    <t>PSO140836</t>
  </si>
  <si>
    <t>PSO267645</t>
  </si>
  <si>
    <t>PSO86067</t>
  </si>
  <si>
    <t>PSO78651</t>
  </si>
  <si>
    <t>PSO107530</t>
  </si>
  <si>
    <t>PSO123911</t>
  </si>
  <si>
    <t>PSO184301</t>
  </si>
  <si>
    <t>PSO105700</t>
  </si>
  <si>
    <t>PSO74983</t>
  </si>
  <si>
    <t>PSO99001</t>
  </si>
  <si>
    <t>PSO124786</t>
  </si>
  <si>
    <t>PSO249255</t>
  </si>
  <si>
    <t>PSO239893</t>
  </si>
  <si>
    <t>PSO83059</t>
  </si>
  <si>
    <t>PSO77004</t>
  </si>
  <si>
    <t>PSO275393</t>
  </si>
  <si>
    <t>PSO170088</t>
  </si>
  <si>
    <t>PSO102864</t>
  </si>
  <si>
    <t>PSO7275301</t>
  </si>
  <si>
    <t>PSO97125</t>
  </si>
  <si>
    <t>PSO145147</t>
  </si>
  <si>
    <t>PSO135547</t>
  </si>
  <si>
    <t>PSO128449</t>
  </si>
  <si>
    <t>PSO81614</t>
  </si>
  <si>
    <t>PSO91389</t>
  </si>
  <si>
    <t>PSO276393</t>
  </si>
  <si>
    <t>PSO146674</t>
  </si>
  <si>
    <t>PSO115019</t>
  </si>
  <si>
    <t>PSO147083</t>
  </si>
  <si>
    <t>PSO169814</t>
  </si>
  <si>
    <t>PSO259444</t>
  </si>
  <si>
    <t>PSO105717</t>
  </si>
  <si>
    <t>PSO77443</t>
  </si>
  <si>
    <t>PSO82584</t>
  </si>
  <si>
    <t>PSO183673</t>
  </si>
  <si>
    <t>PSO91870</t>
  </si>
  <si>
    <t>PSO100555</t>
  </si>
  <si>
    <t>PSO75960</t>
  </si>
  <si>
    <t>PSO82782</t>
  </si>
  <si>
    <t>PSO121555</t>
  </si>
  <si>
    <t>PSO145867</t>
  </si>
  <si>
    <t>PSO92720</t>
  </si>
  <si>
    <t>PSO170033</t>
  </si>
  <si>
    <t>PSO243147</t>
  </si>
  <si>
    <t>PSO86815</t>
  </si>
  <si>
    <t>PSO119569</t>
  </si>
  <si>
    <t>PSO7309851</t>
  </si>
  <si>
    <t>PSO103304</t>
  </si>
  <si>
    <t>PSO78853</t>
  </si>
  <si>
    <t>PSO136448</t>
  </si>
  <si>
    <t>PSO146427</t>
  </si>
  <si>
    <t>PSO236942</t>
  </si>
  <si>
    <t>PSO272201</t>
  </si>
  <si>
    <t>PSO144715</t>
  </si>
  <si>
    <t>PSO84915</t>
  </si>
  <si>
    <t>PSO112700</t>
  </si>
  <si>
    <t>PSO127539</t>
  </si>
  <si>
    <t>PSO252991</t>
  </si>
  <si>
    <t>PSO167323</t>
  </si>
  <si>
    <t>PSO111492</t>
  </si>
  <si>
    <t>PSO117022</t>
  </si>
  <si>
    <t>PSO133014</t>
  </si>
  <si>
    <t>PSO139788</t>
  </si>
  <si>
    <t>PSO94192</t>
  </si>
  <si>
    <t>PSO7519536</t>
  </si>
  <si>
    <t>PSO101685</t>
  </si>
  <si>
    <t>PSO246824</t>
  </si>
  <si>
    <t>PSO123452</t>
  </si>
  <si>
    <t>PSO108063</t>
  </si>
  <si>
    <t>PSO240055</t>
  </si>
  <si>
    <t>PSO247081</t>
  </si>
  <si>
    <t>PSO102473</t>
  </si>
  <si>
    <t>PSO176974</t>
  </si>
  <si>
    <t>PSO105815</t>
  </si>
  <si>
    <t>PSO241390</t>
  </si>
  <si>
    <t>PSO267052</t>
  </si>
  <si>
    <t>PSO130066</t>
  </si>
  <si>
    <t>PSO255558</t>
  </si>
  <si>
    <t>PSO249645</t>
  </si>
  <si>
    <t>PSO257270</t>
  </si>
  <si>
    <t>PSO274046</t>
  </si>
  <si>
    <t>PSO130912</t>
  </si>
  <si>
    <t>PSO265363</t>
  </si>
  <si>
    <t>PSO165619</t>
  </si>
  <si>
    <t>PSO269336</t>
  </si>
  <si>
    <t>PSO92630</t>
  </si>
  <si>
    <t>PSO241361</t>
  </si>
  <si>
    <t>PSO142048</t>
  </si>
  <si>
    <t>PSO263193</t>
  </si>
  <si>
    <t>PSO112769</t>
  </si>
  <si>
    <t>PSO143755</t>
  </si>
  <si>
    <t>PSO132923</t>
  </si>
  <si>
    <t>PSO80886</t>
  </si>
  <si>
    <t>PSO109531</t>
  </si>
  <si>
    <t>PSO169117</t>
  </si>
  <si>
    <t>PSO194362</t>
  </si>
  <si>
    <t>PSO181978</t>
  </si>
  <si>
    <t>PSO103101</t>
  </si>
  <si>
    <t>PSO136847</t>
  </si>
  <si>
    <t>PSO96688</t>
  </si>
  <si>
    <t>PSO193773</t>
  </si>
  <si>
    <t>PSO100362</t>
  </si>
  <si>
    <t>PSO139360</t>
  </si>
  <si>
    <t>PSO213723</t>
  </si>
  <si>
    <t>PSO7244830</t>
  </si>
  <si>
    <t>PSO247945</t>
  </si>
  <si>
    <t>PSO118009</t>
  </si>
  <si>
    <t>PSO141649</t>
  </si>
  <si>
    <t>PSO7162300</t>
  </si>
  <si>
    <t>PSO114790</t>
  </si>
  <si>
    <t>PSO141408</t>
  </si>
  <si>
    <t>PSO140450</t>
  </si>
  <si>
    <t>PSO271943</t>
  </si>
  <si>
    <t>PSO149516</t>
  </si>
  <si>
    <t>PSO248411</t>
  </si>
  <si>
    <t>PSO273924</t>
  </si>
  <si>
    <t>PSO247260</t>
  </si>
  <si>
    <t>PSO128189</t>
  </si>
  <si>
    <t>PSO115562</t>
  </si>
  <si>
    <t>PSO102587</t>
  </si>
  <si>
    <t>PSO120211</t>
  </si>
  <si>
    <t>PSO127514</t>
  </si>
  <si>
    <t>PSO76838</t>
  </si>
  <si>
    <t>PSO145350</t>
  </si>
  <si>
    <t>PSO140366</t>
  </si>
  <si>
    <t>PSO188269</t>
  </si>
  <si>
    <t>PSO168115</t>
  </si>
  <si>
    <t>PSO261883</t>
  </si>
  <si>
    <t>PSO179270</t>
  </si>
  <si>
    <t>PSO178382</t>
  </si>
  <si>
    <t>PSO140612</t>
  </si>
  <si>
    <t>PSO132609</t>
  </si>
  <si>
    <t>PSO215851</t>
  </si>
  <si>
    <t>PSO144385</t>
  </si>
  <si>
    <t>PSO99503</t>
  </si>
  <si>
    <t>PSO146046</t>
  </si>
  <si>
    <t>PSO259313</t>
  </si>
  <si>
    <t>PSO250882</t>
  </si>
  <si>
    <t>PSO114562</t>
  </si>
  <si>
    <t>PSO97667</t>
  </si>
  <si>
    <t>PSO129489</t>
  </si>
  <si>
    <t>PSO89460</t>
  </si>
  <si>
    <t>PSO87387</t>
  </si>
  <si>
    <t>PSO140681</t>
  </si>
  <si>
    <t>PSO169722</t>
  </si>
  <si>
    <t>PSO136223</t>
  </si>
  <si>
    <t>PSO212646</t>
  </si>
  <si>
    <t>PSO129273</t>
  </si>
  <si>
    <t>PSO113296</t>
  </si>
  <si>
    <t>PSO246862</t>
  </si>
  <si>
    <t>PSO145548</t>
  </si>
  <si>
    <t>PSO103444</t>
  </si>
  <si>
    <t>PSO82124</t>
  </si>
  <si>
    <t>PSO118060</t>
  </si>
  <si>
    <t>PSO183769</t>
  </si>
  <si>
    <t>PSO113159</t>
  </si>
  <si>
    <t>PSO117271</t>
  </si>
  <si>
    <t>PSO138474</t>
  </si>
  <si>
    <t>PSO178143</t>
  </si>
  <si>
    <t>PSO99132</t>
  </si>
  <si>
    <t>PSO138768</t>
  </si>
  <si>
    <t>PSO116296</t>
  </si>
  <si>
    <t>PSO103433</t>
  </si>
  <si>
    <t>PSO100719</t>
  </si>
  <si>
    <t>PSO114397</t>
  </si>
  <si>
    <t>PSO110448</t>
  </si>
  <si>
    <t>PSO256287</t>
  </si>
  <si>
    <t>PSO254225</t>
  </si>
  <si>
    <t>PSO232956</t>
  </si>
  <si>
    <t>PSO110359</t>
  </si>
  <si>
    <t>PSO182779</t>
  </si>
  <si>
    <t>PSO144351</t>
  </si>
  <si>
    <t>PSO130975</t>
  </si>
  <si>
    <t>PSO147355</t>
  </si>
  <si>
    <t>PSO99442</t>
  </si>
  <si>
    <t>PSO147128</t>
  </si>
  <si>
    <t>PSO76660</t>
  </si>
  <si>
    <t>PSO143655</t>
  </si>
  <si>
    <t>PSO131827</t>
  </si>
  <si>
    <t>PSO179906</t>
  </si>
  <si>
    <t>PSO90325</t>
  </si>
  <si>
    <t>PSO123661</t>
  </si>
  <si>
    <t>PSO257229</t>
  </si>
  <si>
    <t>PSO85086</t>
  </si>
  <si>
    <t>PSO188065</t>
  </si>
  <si>
    <t>PSO248555</t>
  </si>
  <si>
    <t>PSO132523</t>
  </si>
  <si>
    <t>PSO125412</t>
  </si>
  <si>
    <t>PSO136817</t>
  </si>
  <si>
    <t>PSO142152</t>
  </si>
  <si>
    <t>PSO136429</t>
  </si>
  <si>
    <t>PSO168529</t>
  </si>
  <si>
    <t>PSO113991</t>
  </si>
  <si>
    <t>PSO257214</t>
  </si>
  <si>
    <t>PSO167508</t>
  </si>
  <si>
    <t>PSO147445</t>
  </si>
  <si>
    <t>PSO148374</t>
  </si>
  <si>
    <t>PSO132597</t>
  </si>
  <si>
    <t>PSO277704</t>
  </si>
  <si>
    <t>PSO182346</t>
  </si>
  <si>
    <t>PSO146396</t>
  </si>
  <si>
    <t>PSO123636</t>
  </si>
  <si>
    <t>PSO99439</t>
  </si>
  <si>
    <t>PSO139999</t>
  </si>
  <si>
    <t>PSO7316001</t>
  </si>
  <si>
    <t>PSO82333</t>
  </si>
  <si>
    <t>PSO92812</t>
  </si>
  <si>
    <t>PSO256910</t>
  </si>
  <si>
    <t>PSO144225</t>
  </si>
  <si>
    <t>PSO98280</t>
  </si>
  <si>
    <t>PSO269446</t>
  </si>
  <si>
    <t>PSO185798</t>
  </si>
  <si>
    <t>PSO129417</t>
  </si>
  <si>
    <t>PSO165075</t>
  </si>
  <si>
    <t>PSO117564</t>
  </si>
  <si>
    <t>PSO141641</t>
  </si>
  <si>
    <t>PSO77453</t>
  </si>
  <si>
    <t>PSO164670</t>
  </si>
  <si>
    <t>PSO253483</t>
  </si>
  <si>
    <t>PSO127226</t>
  </si>
  <si>
    <t>PSO179464</t>
  </si>
  <si>
    <t>PSO106255</t>
  </si>
  <si>
    <t>PSO131945</t>
  </si>
  <si>
    <t>PSO139119</t>
  </si>
  <si>
    <t>PSO242029</t>
  </si>
  <si>
    <t>PSO137944</t>
  </si>
  <si>
    <t>PSO262790</t>
  </si>
  <si>
    <t>PSO119305</t>
  </si>
  <si>
    <t>PSO142168</t>
  </si>
  <si>
    <t>PSO185320</t>
  </si>
  <si>
    <t>PSO127338</t>
  </si>
  <si>
    <t>PSO133894</t>
  </si>
  <si>
    <t>PSO136962</t>
  </si>
  <si>
    <t>PSO102854</t>
  </si>
  <si>
    <t>PSO118522</t>
  </si>
  <si>
    <t>PSO7293983</t>
  </si>
  <si>
    <t>PSO140097</t>
  </si>
  <si>
    <t>PSO240172</t>
  </si>
  <si>
    <t>PSO102064</t>
  </si>
  <si>
    <t>PSO105143</t>
  </si>
  <si>
    <t>PSO146615</t>
  </si>
  <si>
    <t>PSO184266</t>
  </si>
  <si>
    <t>PSO139270</t>
  </si>
  <si>
    <t>PSO140125</t>
  </si>
  <si>
    <t>PSO182010</t>
  </si>
  <si>
    <t>PSO166227</t>
  </si>
  <si>
    <t>PSO129844</t>
  </si>
  <si>
    <t>PSO139097</t>
  </si>
  <si>
    <t>PSO269977</t>
  </si>
  <si>
    <t>PSO173686</t>
  </si>
  <si>
    <t>PSO83693</t>
  </si>
  <si>
    <t>PSO93038</t>
  </si>
  <si>
    <t>PSO77659</t>
  </si>
  <si>
    <t>PSO109034</t>
  </si>
  <si>
    <t>PSO237647</t>
  </si>
  <si>
    <t>PSO83995</t>
  </si>
  <si>
    <t>PSO187788</t>
  </si>
  <si>
    <t>PSO103307</t>
  </si>
  <si>
    <t>PSO75766</t>
  </si>
  <si>
    <t>PSO235600</t>
  </si>
  <si>
    <t>PSO102080</t>
  </si>
  <si>
    <t>PSO110684</t>
  </si>
  <si>
    <t>PSO252825</t>
  </si>
  <si>
    <t>PSO167027</t>
  </si>
  <si>
    <t>PSO245061</t>
  </si>
  <si>
    <t>PSO110186</t>
  </si>
  <si>
    <t>PSO125298</t>
  </si>
  <si>
    <t>PSO95886</t>
  </si>
  <si>
    <t>PSO152009</t>
  </si>
  <si>
    <t>PSO143252</t>
  </si>
  <si>
    <t>PSO101165</t>
  </si>
  <si>
    <t>PSO95908</t>
  </si>
  <si>
    <t>PSO136391</t>
  </si>
  <si>
    <t>PSO147584</t>
  </si>
  <si>
    <t>PSO256380</t>
  </si>
  <si>
    <t>PSO95434</t>
  </si>
  <si>
    <t>PSO146964</t>
  </si>
  <si>
    <t>PSO239429</t>
  </si>
  <si>
    <t>PSO85538</t>
  </si>
  <si>
    <t>PSO94367</t>
  </si>
  <si>
    <t>PSO130117</t>
  </si>
  <si>
    <t>PSO146437</t>
  </si>
  <si>
    <t>PSO265128</t>
  </si>
  <si>
    <t>PSO140162</t>
  </si>
  <si>
    <t>PSO96535</t>
  </si>
  <si>
    <t>PSO107577</t>
  </si>
  <si>
    <t>PSO269409</t>
  </si>
  <si>
    <t>PSO99403</t>
  </si>
  <si>
    <t>PSO110957</t>
  </si>
  <si>
    <t>PSO120577</t>
  </si>
  <si>
    <t>PSO120569</t>
  </si>
  <si>
    <t>PSO183796</t>
  </si>
  <si>
    <t>PSO240308</t>
  </si>
  <si>
    <t>PSO78926</t>
  </si>
  <si>
    <t>PSO169829</t>
  </si>
  <si>
    <t>PSO171728</t>
  </si>
  <si>
    <t>PSO168569</t>
  </si>
  <si>
    <t>PSO7167522</t>
  </si>
  <si>
    <t>PSO271996</t>
  </si>
  <si>
    <t>PSO145568</t>
  </si>
  <si>
    <t>PSO74923</t>
  </si>
  <si>
    <t>PSO247263</t>
  </si>
  <si>
    <t>PSO182818</t>
  </si>
  <si>
    <t>PSO257779</t>
  </si>
  <si>
    <t>PSO140828</t>
  </si>
  <si>
    <t>PSO127559</t>
  </si>
  <si>
    <t>PSO270880</t>
  </si>
  <si>
    <t>PSO165647</t>
  </si>
  <si>
    <t>PSO145514</t>
  </si>
  <si>
    <t>PSO264294</t>
  </si>
  <si>
    <t>PSO102162</t>
  </si>
  <si>
    <t>PSO104134</t>
  </si>
  <si>
    <t>PSO254304</t>
  </si>
  <si>
    <t>PSO118968</t>
  </si>
  <si>
    <t>PSO106740</t>
  </si>
  <si>
    <t>PSO198513</t>
  </si>
  <si>
    <t>PSO109367</t>
  </si>
  <si>
    <t>PSO147925</t>
  </si>
  <si>
    <t>PSO238226</t>
  </si>
  <si>
    <t>PSO267259</t>
  </si>
  <si>
    <t>PSO215146</t>
  </si>
  <si>
    <t>PSO139455</t>
  </si>
  <si>
    <t>PSO131041</t>
  </si>
  <si>
    <t>PSO252596</t>
  </si>
  <si>
    <t>PSO141754</t>
  </si>
  <si>
    <t>PSO7298009</t>
  </si>
  <si>
    <t>PSO215329</t>
  </si>
  <si>
    <t>PSO121710</t>
  </si>
  <si>
    <t>PSO88574</t>
  </si>
  <si>
    <t>PSO142256</t>
  </si>
  <si>
    <t>PSO250804</t>
  </si>
  <si>
    <t>PSO181851</t>
  </si>
  <si>
    <t>PSO145194</t>
  </si>
  <si>
    <t>PSO168564</t>
  </si>
  <si>
    <t>PSO147358</t>
  </si>
  <si>
    <t>PSO135886</t>
  </si>
  <si>
    <t>PSO239076</t>
  </si>
  <si>
    <t>PSO94656</t>
  </si>
  <si>
    <t>PSO241040</t>
  </si>
  <si>
    <t>PSO7569017</t>
  </si>
  <si>
    <t>PSO78787</t>
  </si>
  <si>
    <t>PSO250330</t>
  </si>
  <si>
    <t>PSO144334</t>
  </si>
  <si>
    <t>PSO114740</t>
  </si>
  <si>
    <t>PSO262153</t>
  </si>
  <si>
    <t>PSO145372</t>
  </si>
  <si>
    <t>PSO117481</t>
  </si>
  <si>
    <t>PSO143955</t>
  </si>
  <si>
    <t>PSO170735</t>
  </si>
  <si>
    <t>PSO95099</t>
  </si>
  <si>
    <t>PSO136972</t>
  </si>
  <si>
    <t>PSO146013</t>
  </si>
  <si>
    <t>PSO193766</t>
  </si>
  <si>
    <t>PSO125540</t>
  </si>
  <si>
    <t>PSO180891</t>
  </si>
  <si>
    <t>PSO130772</t>
  </si>
  <si>
    <t>PSO95262</t>
  </si>
  <si>
    <t>PSO146446</t>
  </si>
  <si>
    <t>PSO128638</t>
  </si>
  <si>
    <t>PSO239157</t>
  </si>
  <si>
    <t>PSO250558</t>
  </si>
  <si>
    <t>PSO91917</t>
  </si>
  <si>
    <t>PSO98535</t>
  </si>
  <si>
    <t>PSO257791</t>
  </si>
  <si>
    <t>PSO196886</t>
  </si>
  <si>
    <t>PSO252544</t>
  </si>
  <si>
    <t>PSO182823</t>
  </si>
  <si>
    <t>PSO128559</t>
  </si>
  <si>
    <t>PSO111856</t>
  </si>
  <si>
    <t>PSO106253</t>
  </si>
  <si>
    <t>PSO215162</t>
  </si>
  <si>
    <t>PSO116282</t>
  </si>
  <si>
    <t>PSO262196</t>
  </si>
  <si>
    <t>PSO130740</t>
  </si>
  <si>
    <t>PSO101179</t>
  </si>
  <si>
    <t>PSO83528</t>
  </si>
  <si>
    <t>PSO76913</t>
  </si>
  <si>
    <t>PSO123868</t>
  </si>
  <si>
    <t>PSO113696</t>
  </si>
  <si>
    <t>PSO96716</t>
  </si>
  <si>
    <t>PSO108825</t>
  </si>
  <si>
    <t>PSO103269</t>
  </si>
  <si>
    <t>PSO172481</t>
  </si>
  <si>
    <t>PSO244275</t>
  </si>
  <si>
    <t>PSO114810</t>
  </si>
  <si>
    <t>PSO143491</t>
  </si>
  <si>
    <t>PSO140193</t>
  </si>
  <si>
    <t>PSO259563</t>
  </si>
  <si>
    <t>PSO276025</t>
  </si>
  <si>
    <t>PSO138577</t>
  </si>
  <si>
    <t>PSO124335</t>
  </si>
  <si>
    <t>PSO181842</t>
  </si>
  <si>
    <t>PSO84811</t>
  </si>
  <si>
    <t>PSO134399</t>
  </si>
  <si>
    <t>PSO146354</t>
  </si>
  <si>
    <t>PSO133711</t>
  </si>
  <si>
    <t>PSO111512</t>
  </si>
  <si>
    <t>PSO177001</t>
  </si>
  <si>
    <t>PSO112646</t>
  </si>
  <si>
    <t>PSO136506</t>
  </si>
  <si>
    <t>PSO111234</t>
  </si>
  <si>
    <t>PSO108109</t>
  </si>
  <si>
    <t>PSO129487</t>
  </si>
  <si>
    <t>PSO7557115</t>
  </si>
  <si>
    <t>PSO119041</t>
  </si>
  <si>
    <t>PSO176199</t>
  </si>
  <si>
    <t>PSO276284</t>
  </si>
  <si>
    <t>PSO7500496</t>
  </si>
  <si>
    <t>PSO262485</t>
  </si>
  <si>
    <t>PSO115004</t>
  </si>
  <si>
    <t>PSO275992</t>
  </si>
  <si>
    <t>PSO177458</t>
  </si>
  <si>
    <t>PSO134826</t>
  </si>
  <si>
    <t>PSO132881</t>
  </si>
  <si>
    <t>PSO183310</t>
  </si>
  <si>
    <t>PSO7528365</t>
  </si>
  <si>
    <t>PSO132503</t>
  </si>
  <si>
    <t>PSO102172</t>
  </si>
  <si>
    <t>PSO263243</t>
  </si>
  <si>
    <t>PSO96048</t>
  </si>
  <si>
    <t>PSO97118</t>
  </si>
  <si>
    <t>PSO134655</t>
  </si>
  <si>
    <t>PSO76231</t>
  </si>
  <si>
    <t>PSO142553</t>
  </si>
  <si>
    <t>PSO249628</t>
  </si>
  <si>
    <t>PSO127349</t>
  </si>
  <si>
    <t>PSO113994</t>
  </si>
  <si>
    <t>PSO120418</t>
  </si>
  <si>
    <t>PSO255372</t>
  </si>
  <si>
    <t>PSO108507</t>
  </si>
  <si>
    <t>PSO241494</t>
  </si>
  <si>
    <t>PSO122628</t>
  </si>
  <si>
    <t>PSO97300</t>
  </si>
  <si>
    <t>PSO270760</t>
  </si>
  <si>
    <t>PSO273538</t>
  </si>
  <si>
    <t>PSO85771</t>
  </si>
  <si>
    <t>PSO165210</t>
  </si>
  <si>
    <t>PSO142151</t>
  </si>
  <si>
    <t>PSO260408</t>
  </si>
  <si>
    <t>PSO109990</t>
  </si>
  <si>
    <t>PSO259474</t>
  </si>
  <si>
    <t>PSO141676</t>
  </si>
  <si>
    <t>PSO115973</t>
  </si>
  <si>
    <t>PSO122499</t>
  </si>
  <si>
    <t>PSO143264</t>
  </si>
  <si>
    <t>PSO100724</t>
  </si>
  <si>
    <t>PSO111387</t>
  </si>
  <si>
    <t>PSO246463</t>
  </si>
  <si>
    <t>PSO166496</t>
  </si>
  <si>
    <t>PSO147280</t>
  </si>
  <si>
    <t>PSO132730</t>
  </si>
  <si>
    <t>PSO116218</t>
  </si>
  <si>
    <t>PSO7550028</t>
  </si>
  <si>
    <t>PSO272035</t>
  </si>
  <si>
    <t>PSO131166</t>
  </si>
  <si>
    <t>PSO144731</t>
  </si>
  <si>
    <t>PSO181893</t>
  </si>
  <si>
    <t>PSO240934</t>
  </si>
  <si>
    <t>PSO169528</t>
  </si>
  <si>
    <t>PSO125704</t>
  </si>
  <si>
    <t>PSO245972</t>
  </si>
  <si>
    <t>PSO277243</t>
  </si>
  <si>
    <t>PSO247304</t>
  </si>
  <si>
    <t>PSO191425</t>
  </si>
  <si>
    <t>PSO254697</t>
  </si>
  <si>
    <t>PSO143736</t>
  </si>
  <si>
    <t>PSO266794</t>
  </si>
  <si>
    <t>PSO123207</t>
  </si>
  <si>
    <t>PSO122949</t>
  </si>
  <si>
    <t>PSO168695</t>
  </si>
  <si>
    <t>PSO172505</t>
  </si>
  <si>
    <t>PSO187476</t>
  </si>
  <si>
    <t>PSO147032</t>
  </si>
  <si>
    <t>PSO100585</t>
  </si>
  <si>
    <t>PSO261695</t>
  </si>
  <si>
    <t>PSO94844</t>
  </si>
  <si>
    <t>PSO140163</t>
  </si>
  <si>
    <t>PSO122330</t>
  </si>
  <si>
    <t>PSO89981</t>
  </si>
  <si>
    <t>PSO174856</t>
  </si>
  <si>
    <t>PSO88930</t>
  </si>
  <si>
    <t>PSO170868</t>
  </si>
  <si>
    <t>PSO132001</t>
  </si>
  <si>
    <t>PSO87796</t>
  </si>
  <si>
    <t>PSO242956</t>
  </si>
  <si>
    <t>PSO103663</t>
  </si>
  <si>
    <t>PSO83744</t>
  </si>
  <si>
    <t>PSO96467</t>
  </si>
  <si>
    <t>PSO116000</t>
  </si>
  <si>
    <t>PSO110681</t>
  </si>
  <si>
    <t>PSO115986</t>
  </si>
  <si>
    <t>PSO181304</t>
  </si>
  <si>
    <t>PSO7314168</t>
  </si>
  <si>
    <t>PSO253669</t>
  </si>
  <si>
    <t>PSO199763</t>
  </si>
  <si>
    <t>PSO81596</t>
  </si>
  <si>
    <t>PSO7571666</t>
  </si>
  <si>
    <t>PSO108154</t>
  </si>
  <si>
    <t>PSO145897</t>
  </si>
  <si>
    <t>PSO133194</t>
  </si>
  <si>
    <t>PSO136237</t>
  </si>
  <si>
    <t>PSO247261</t>
  </si>
  <si>
    <t>PSO77820</t>
  </si>
  <si>
    <t>PSO81287</t>
  </si>
  <si>
    <t>PSO267074</t>
  </si>
  <si>
    <t>PSO91669</t>
  </si>
  <si>
    <t>PSO168339</t>
  </si>
  <si>
    <t>PSO102988</t>
  </si>
  <si>
    <t>PSO135418</t>
  </si>
  <si>
    <t>PSO105975</t>
  </si>
  <si>
    <t>PSO145114</t>
  </si>
  <si>
    <t>PSO251876</t>
  </si>
  <si>
    <t>PSO145355</t>
  </si>
  <si>
    <t>PSO175459</t>
  </si>
  <si>
    <t>PSO249151</t>
  </si>
  <si>
    <t>PSO101029</t>
  </si>
  <si>
    <t>PSO176564</t>
  </si>
  <si>
    <t>PSO99041</t>
  </si>
  <si>
    <t>PSO96167</t>
  </si>
  <si>
    <t>PSO169749</t>
  </si>
  <si>
    <t>PSO84776</t>
  </si>
  <si>
    <t>PSO98401</t>
  </si>
  <si>
    <t>PSO112431</t>
  </si>
  <si>
    <t>PSO94642</t>
  </si>
  <si>
    <t>PSO241509</t>
  </si>
  <si>
    <t>PSO249584</t>
  </si>
  <si>
    <t>PSO87997</t>
  </si>
  <si>
    <t>PSO82414</t>
  </si>
  <si>
    <t>PSO7568270</t>
  </si>
  <si>
    <t>PSO106759</t>
  </si>
  <si>
    <t>PSO7490592</t>
  </si>
  <si>
    <t>PSO239650</t>
  </si>
  <si>
    <t>PSO99688</t>
  </si>
  <si>
    <t>PSO92177</t>
  </si>
  <si>
    <t>PSO134787</t>
  </si>
  <si>
    <t>PSO263006</t>
  </si>
  <si>
    <t>PSO266019</t>
  </si>
  <si>
    <t>PSO209580</t>
  </si>
  <si>
    <t>PSO144822</t>
  </si>
  <si>
    <t>PSO235420</t>
  </si>
  <si>
    <t>PSO186089</t>
  </si>
  <si>
    <t>PSO149495</t>
  </si>
  <si>
    <t>PSO137263</t>
  </si>
  <si>
    <t>PSO102103</t>
  </si>
  <si>
    <t>PSO240816</t>
  </si>
  <si>
    <t>PSO114850</t>
  </si>
  <si>
    <t>PSO146787</t>
  </si>
  <si>
    <t>PSO271979</t>
  </si>
  <si>
    <t>PSO248062</t>
  </si>
  <si>
    <t>PSO127675</t>
  </si>
  <si>
    <t>PSO241289</t>
  </si>
  <si>
    <t>PSO115609</t>
  </si>
  <si>
    <t>PSO112042</t>
  </si>
  <si>
    <t>PSO249214</t>
  </si>
  <si>
    <t>PSO111177</t>
  </si>
  <si>
    <t>PSO109571</t>
  </si>
  <si>
    <t>PSO141579</t>
  </si>
  <si>
    <t>PSO82468</t>
  </si>
  <si>
    <t>PSO246004</t>
  </si>
  <si>
    <t>PSO106307</t>
  </si>
  <si>
    <t>PSO253607</t>
  </si>
  <si>
    <t>PSO112021</t>
  </si>
  <si>
    <t>PSO95554</t>
  </si>
  <si>
    <t>PSO254443</t>
  </si>
  <si>
    <t>PSO258375</t>
  </si>
  <si>
    <t>PSO175291</t>
  </si>
  <si>
    <t>PSO117272</t>
  </si>
  <si>
    <t>PSO103871</t>
  </si>
  <si>
    <t>PSO104646</t>
  </si>
  <si>
    <t>PSO110792</t>
  </si>
  <si>
    <t>PSO215494</t>
  </si>
  <si>
    <t>PSO76868</t>
  </si>
  <si>
    <t>PSO123209</t>
  </si>
  <si>
    <t>PSO252021</t>
  </si>
  <si>
    <t>PSO7301946</t>
  </si>
  <si>
    <t>PSO119672</t>
  </si>
  <si>
    <t>PSO240846</t>
  </si>
  <si>
    <t>PSO243802</t>
  </si>
  <si>
    <t>PSO105246</t>
  </si>
  <si>
    <t>PSO103445</t>
  </si>
  <si>
    <t>PSO140211</t>
  </si>
  <si>
    <t>PSO141377</t>
  </si>
  <si>
    <t>PSO141937</t>
  </si>
  <si>
    <t>PSO258144</t>
  </si>
  <si>
    <t>PSO243721</t>
  </si>
  <si>
    <t>PSO245885</t>
  </si>
  <si>
    <t>PSO262873</t>
  </si>
  <si>
    <t>PSO239460</t>
  </si>
  <si>
    <t>PSO139080</t>
  </si>
  <si>
    <t>PSO260323</t>
  </si>
  <si>
    <t>PSO241497</t>
  </si>
  <si>
    <t>PSO142569</t>
  </si>
  <si>
    <t>PSO133831</t>
  </si>
  <si>
    <t>PSO138292</t>
  </si>
  <si>
    <t>PSO177927</t>
  </si>
  <si>
    <t>PSO176657</t>
  </si>
  <si>
    <t>PSO240501</t>
  </si>
  <si>
    <t>PSO253626</t>
  </si>
  <si>
    <t>PSO175869</t>
  </si>
  <si>
    <t>PSO139829</t>
  </si>
  <si>
    <t>PSO7500921</t>
  </si>
  <si>
    <t>PSO99133</t>
  </si>
  <si>
    <t>PSO264674</t>
  </si>
  <si>
    <t>PSO120867</t>
  </si>
  <si>
    <t>PSO223805</t>
  </si>
  <si>
    <t>PSO215928</t>
  </si>
  <si>
    <t>PSO237833</t>
  </si>
  <si>
    <t>PSO127045</t>
  </si>
  <si>
    <t>PSO138455</t>
  </si>
  <si>
    <t>PSO109472</t>
  </si>
  <si>
    <t>PSO146129</t>
  </si>
  <si>
    <t>PSO87014</t>
  </si>
  <si>
    <t>PSO101744</t>
  </si>
  <si>
    <t>PSO132537</t>
  </si>
  <si>
    <t>PSO132743</t>
  </si>
  <si>
    <t>PSO112495</t>
  </si>
  <si>
    <t>PSO184653</t>
  </si>
  <si>
    <t>PSO155709</t>
  </si>
  <si>
    <t>PSO109325</t>
  </si>
  <si>
    <t>PSO149013</t>
  </si>
  <si>
    <t>PSO173492</t>
  </si>
  <si>
    <t>PSO237254</t>
  </si>
  <si>
    <t>PSO108514</t>
  </si>
  <si>
    <t>PSO248689</t>
  </si>
  <si>
    <t>PSO130658</t>
  </si>
  <si>
    <t>PSO105235</t>
  </si>
  <si>
    <t>PSO97406</t>
  </si>
  <si>
    <t>PSO267924</t>
  </si>
  <si>
    <t>PSO87970</t>
  </si>
  <si>
    <t>PSO114391</t>
  </si>
  <si>
    <t>PSO238720</t>
  </si>
  <si>
    <t>PSO123881</t>
  </si>
  <si>
    <t>PSO7344542</t>
  </si>
  <si>
    <t>PSO108588</t>
  </si>
  <si>
    <t>PSO178398</t>
  </si>
  <si>
    <t>PSO112392</t>
  </si>
  <si>
    <t>PSO119040</t>
  </si>
  <si>
    <t>PSO123864</t>
  </si>
  <si>
    <t>PSO258659</t>
  </si>
  <si>
    <t>PSO124201</t>
  </si>
  <si>
    <t>PSO173243</t>
  </si>
  <si>
    <t>PSO134093</t>
  </si>
  <si>
    <t>PSO102163</t>
  </si>
  <si>
    <t>PSO100121</t>
  </si>
  <si>
    <t>PSO141351</t>
  </si>
  <si>
    <t>PSO134755</t>
  </si>
  <si>
    <t>PSO129632</t>
  </si>
  <si>
    <t>PSO145621</t>
  </si>
  <si>
    <t>PSO126379</t>
  </si>
  <si>
    <t>PSO127259</t>
  </si>
  <si>
    <t>PSO237091</t>
  </si>
  <si>
    <t>PSO111383</t>
  </si>
  <si>
    <t>PSO142972</t>
  </si>
  <si>
    <t>PSO81887</t>
  </si>
  <si>
    <t>PSO118311</t>
  </si>
  <si>
    <t>PSO75306</t>
  </si>
  <si>
    <t>PSO84829</t>
  </si>
  <si>
    <t>PSO169652</t>
  </si>
  <si>
    <t>PSO91405</t>
  </si>
  <si>
    <t>PSO120380</t>
  </si>
  <si>
    <t>PSO7261361</t>
  </si>
  <si>
    <t>PSO240162</t>
  </si>
  <si>
    <t>PSO120693</t>
  </si>
  <si>
    <t>PSO119239</t>
  </si>
  <si>
    <t>PSO108902</t>
  </si>
  <si>
    <t>PSO103342</t>
  </si>
  <si>
    <t>PSO139858</t>
  </si>
  <si>
    <t>PSO120823</t>
  </si>
  <si>
    <t>PSO82525</t>
  </si>
  <si>
    <t>PSO7501099</t>
  </si>
  <si>
    <t>PSO266090</t>
  </si>
  <si>
    <t>PSO130640</t>
  </si>
  <si>
    <t>PSO95865</t>
  </si>
  <si>
    <t>PSO106798</t>
  </si>
  <si>
    <t>PSO130204</t>
  </si>
  <si>
    <t>PSO114094</t>
  </si>
  <si>
    <t>PSO259575</t>
  </si>
  <si>
    <t>PSO104726</t>
  </si>
  <si>
    <t>PSO147453</t>
  </si>
  <si>
    <t>PSO109387</t>
  </si>
  <si>
    <t>PSO89468</t>
  </si>
  <si>
    <t>PSO86611</t>
  </si>
  <si>
    <t>PSO117663</t>
  </si>
  <si>
    <t>PSO171493</t>
  </si>
  <si>
    <t>PSO214106</t>
  </si>
  <si>
    <t>PSO95768</t>
  </si>
  <si>
    <t>PSO246631</t>
  </si>
  <si>
    <t>PSO97982</t>
  </si>
  <si>
    <t>PSO136180</t>
  </si>
  <si>
    <t>PSO105234</t>
  </si>
  <si>
    <t>PSO253840</t>
  </si>
  <si>
    <t>PSO185763</t>
  </si>
  <si>
    <t>PSO91589</t>
  </si>
  <si>
    <t>PSO261990</t>
  </si>
  <si>
    <t>PSO175173</t>
  </si>
  <si>
    <t>PSO124754</t>
  </si>
  <si>
    <t>PSO140519</t>
  </si>
  <si>
    <t>PSO7244854</t>
  </si>
  <si>
    <t>PSO84146</t>
  </si>
  <si>
    <t>PSO144556</t>
  </si>
  <si>
    <t>PSO122097</t>
  </si>
  <si>
    <t>PSO114429</t>
  </si>
  <si>
    <t>PSO127576</t>
  </si>
  <si>
    <t>PSO246605</t>
  </si>
  <si>
    <t>PSO139460</t>
  </si>
  <si>
    <t>PSO193782</t>
  </si>
  <si>
    <t>PSO88428</t>
  </si>
  <si>
    <t>PSO130466</t>
  </si>
  <si>
    <t>PSO177431</t>
  </si>
  <si>
    <t>PSO182205</t>
  </si>
  <si>
    <t>PSO179572</t>
  </si>
  <si>
    <t>PSO101454</t>
  </si>
  <si>
    <t>PSO239845</t>
  </si>
  <si>
    <t>PSO129878</t>
  </si>
  <si>
    <t>PSO100081</t>
  </si>
  <si>
    <t>PSO267900</t>
  </si>
  <si>
    <t>PSO172878</t>
  </si>
  <si>
    <t>PSO143406</t>
  </si>
  <si>
    <t>PSO7498970</t>
  </si>
  <si>
    <t>PSO124578</t>
  </si>
  <si>
    <t>PSO105073</t>
  </si>
  <si>
    <t>PSO144242</t>
  </si>
  <si>
    <t>PSO7520733</t>
  </si>
  <si>
    <t>PSO185937</t>
  </si>
  <si>
    <t>PSO7337603</t>
  </si>
  <si>
    <t>PSO267415</t>
  </si>
  <si>
    <t>PSO177905</t>
  </si>
  <si>
    <t>PSO244129</t>
  </si>
  <si>
    <t>PSO94271</t>
  </si>
  <si>
    <t>PSO177958</t>
  </si>
  <si>
    <t>PSO266580</t>
  </si>
  <si>
    <t>PSO146931</t>
  </si>
  <si>
    <t>PSO113666</t>
  </si>
  <si>
    <t>PSO187116</t>
  </si>
  <si>
    <t>PSO146363</t>
  </si>
  <si>
    <t>PSO110905</t>
  </si>
  <si>
    <t>PSO195766</t>
  </si>
  <si>
    <t>PSO140172</t>
  </si>
  <si>
    <t>PSO144655</t>
  </si>
  <si>
    <t>PSO236743</t>
  </si>
  <si>
    <t>PSO108479</t>
  </si>
  <si>
    <t>PSO147635</t>
  </si>
  <si>
    <t>PSO121998</t>
  </si>
  <si>
    <t>PSO142012</t>
  </si>
  <si>
    <t>PSO127007</t>
  </si>
  <si>
    <t>PSO124679</t>
  </si>
  <si>
    <t>PSO266343</t>
  </si>
  <si>
    <t>PSO90740</t>
  </si>
  <si>
    <t>PSO241076</t>
  </si>
  <si>
    <t>PSO99140</t>
  </si>
  <si>
    <t>PSO79388</t>
  </si>
  <si>
    <t>PSO252442</t>
  </si>
  <si>
    <t>PSO128442</t>
  </si>
  <si>
    <t>PSO81109</t>
  </si>
  <si>
    <t>PSO247194</t>
  </si>
  <si>
    <t>PSO262311</t>
  </si>
  <si>
    <t>PSO104915</t>
  </si>
  <si>
    <t>PSO257977</t>
  </si>
  <si>
    <t>PSO95078</t>
  </si>
  <si>
    <t>PSO122179</t>
  </si>
  <si>
    <t>PSO275293</t>
  </si>
  <si>
    <t>PSO77788</t>
  </si>
  <si>
    <t>PSO214879</t>
  </si>
  <si>
    <t>PSO95508</t>
  </si>
  <si>
    <t>PSO257948</t>
  </si>
  <si>
    <t>PSO82766</t>
  </si>
  <si>
    <t>PSO260310</t>
  </si>
  <si>
    <t>PSO141667</t>
  </si>
  <si>
    <t>PSO246596</t>
  </si>
  <si>
    <t>PSO128088</t>
  </si>
  <si>
    <t>PSO270840</t>
  </si>
  <si>
    <t>PSO85586</t>
  </si>
  <si>
    <t>PSO260615</t>
  </si>
  <si>
    <t>PSO95106</t>
  </si>
  <si>
    <t>PSO100869</t>
  </si>
  <si>
    <t>PSO143833</t>
  </si>
  <si>
    <t>PSO94088</t>
  </si>
  <si>
    <t>PSO7338052</t>
  </si>
  <si>
    <t>PSO104147</t>
  </si>
  <si>
    <t>PSO110029</t>
  </si>
  <si>
    <t>PSO140805</t>
  </si>
  <si>
    <t>PSO131628</t>
  </si>
  <si>
    <t>PSO238089</t>
  </si>
  <si>
    <t>PSO103128</t>
  </si>
  <si>
    <t>PSO108983</t>
  </si>
  <si>
    <t>PSO114964</t>
  </si>
  <si>
    <t>PSO193768</t>
  </si>
  <si>
    <t>PSO273999</t>
  </si>
  <si>
    <t>PSO271821</t>
  </si>
  <si>
    <t>PSO240949</t>
  </si>
  <si>
    <t>PSO173511</t>
  </si>
  <si>
    <t>PSO78992</t>
  </si>
  <si>
    <t>PSO144449</t>
  </si>
  <si>
    <t>PSO136981</t>
  </si>
  <si>
    <t>PSO249611</t>
  </si>
  <si>
    <t>PSO132551</t>
  </si>
  <si>
    <t>PSO97096</t>
  </si>
  <si>
    <t>PSO259295</t>
  </si>
  <si>
    <t>PSO78302</t>
  </si>
  <si>
    <t>PSO175489</t>
  </si>
  <si>
    <t>PSO270936</t>
  </si>
  <si>
    <t>PSO142108</t>
  </si>
  <si>
    <t>PSO135270</t>
  </si>
  <si>
    <t>PSO172725</t>
  </si>
  <si>
    <t>PSO244132</t>
  </si>
  <si>
    <t>PSO142466</t>
  </si>
  <si>
    <t>PSO98636</t>
  </si>
  <si>
    <t>PSO86561</t>
  </si>
  <si>
    <t>PSO146195</t>
  </si>
  <si>
    <t>PSO133236</t>
  </si>
  <si>
    <t>PSO123333</t>
  </si>
  <si>
    <t>PSO253326</t>
  </si>
  <si>
    <t>PSO139861</t>
  </si>
  <si>
    <t>PSO82189</t>
  </si>
  <si>
    <t>PSO98263</t>
  </si>
  <si>
    <t>PSO241158</t>
  </si>
  <si>
    <t>PSO116634</t>
  </si>
  <si>
    <t>PSO101997</t>
  </si>
  <si>
    <t>PSO239005</t>
  </si>
  <si>
    <t>PSO113642</t>
  </si>
  <si>
    <t>PSO127009</t>
  </si>
  <si>
    <t>PSO177508</t>
  </si>
  <si>
    <t>PSO132890</t>
  </si>
  <si>
    <t>PSO139451</t>
  </si>
  <si>
    <t>PSO173066</t>
  </si>
  <si>
    <t>PSO147881</t>
  </si>
  <si>
    <t>PSO112424</t>
  </si>
  <si>
    <t>PSO263508</t>
  </si>
  <si>
    <t>PSO107768</t>
  </si>
  <si>
    <t>PSO130279</t>
  </si>
  <si>
    <t>PSO151957</t>
  </si>
  <si>
    <t>PSO238243</t>
  </si>
  <si>
    <t>PSO177877</t>
  </si>
  <si>
    <t>PSO118487</t>
  </si>
  <si>
    <t>PSO125118</t>
  </si>
  <si>
    <t>PSO242246</t>
  </si>
  <si>
    <t>PSO122835</t>
  </si>
  <si>
    <t>PSO121119</t>
  </si>
  <si>
    <t>PSO7195786</t>
  </si>
  <si>
    <t>PSO185597</t>
  </si>
  <si>
    <t>PSO87056</t>
  </si>
  <si>
    <t>PSO141092</t>
  </si>
  <si>
    <t>PSO146884</t>
  </si>
  <si>
    <t>PSO111561</t>
  </si>
  <si>
    <t>PSO91808</t>
  </si>
  <si>
    <t>PSO147919</t>
  </si>
  <si>
    <t>PSO125116</t>
  </si>
  <si>
    <t>PSO170709</t>
  </si>
  <si>
    <t>PSO113751</t>
  </si>
  <si>
    <t>PSO126409</t>
  </si>
  <si>
    <t>PSO138155</t>
  </si>
  <si>
    <t>PSO109081</t>
  </si>
  <si>
    <t>PSO214036</t>
  </si>
  <si>
    <t>PSO263299</t>
  </si>
  <si>
    <t>PSO7532038</t>
  </si>
  <si>
    <t>PSO140232</t>
  </si>
  <si>
    <t>PSO123570</t>
  </si>
  <si>
    <t>PSO106293</t>
  </si>
  <si>
    <t>PSO119749</t>
  </si>
  <si>
    <t>PSO131574</t>
  </si>
  <si>
    <t>PSO193780</t>
  </si>
  <si>
    <t>PSO120537</t>
  </si>
  <si>
    <t>PSO117897</t>
  </si>
  <si>
    <t>PSO168751</t>
  </si>
  <si>
    <t>PSO100897</t>
  </si>
  <si>
    <t>PSO124153</t>
  </si>
  <si>
    <t>PSO246408</t>
  </si>
  <si>
    <t>PSO209429</t>
  </si>
  <si>
    <t>PSO173719</t>
  </si>
  <si>
    <t>PSO84816</t>
  </si>
  <si>
    <t>PSO168977</t>
  </si>
  <si>
    <t>PSO102309</t>
  </si>
  <si>
    <t>PSO239518</t>
  </si>
  <si>
    <t>PSO116589</t>
  </si>
  <si>
    <t>PSO7545414</t>
  </si>
  <si>
    <t>PSO112674</t>
  </si>
  <si>
    <t>PSO7555046</t>
  </si>
  <si>
    <t>PSO144008</t>
  </si>
  <si>
    <t>PSO98774</t>
  </si>
  <si>
    <t>PSO264058</t>
  </si>
  <si>
    <t>PSO115886</t>
  </si>
  <si>
    <t>PSO162566</t>
  </si>
  <si>
    <t>PSO96925</t>
  </si>
  <si>
    <t>PSO200467</t>
  </si>
  <si>
    <t>PSO154091</t>
  </si>
  <si>
    <t>PSO271750</t>
  </si>
  <si>
    <t>PSO261442</t>
  </si>
  <si>
    <t>PSO7339832</t>
  </si>
  <si>
    <t>PSO93921</t>
  </si>
  <si>
    <t>PSO220854</t>
  </si>
  <si>
    <t>PSO259415</t>
  </si>
  <si>
    <t>PSO128450</t>
  </si>
  <si>
    <t>PSO78293</t>
  </si>
  <si>
    <t>PSO237985</t>
  </si>
  <si>
    <t>PSO7555028</t>
  </si>
  <si>
    <t>PSO7338307</t>
  </si>
  <si>
    <t>PSO139982</t>
  </si>
  <si>
    <t>PSO132842</t>
  </si>
  <si>
    <t>PSO134944</t>
  </si>
  <si>
    <t>PSO114534</t>
  </si>
  <si>
    <t>PSO265776</t>
  </si>
  <si>
    <t>PSO94332</t>
  </si>
  <si>
    <t>PSO141887</t>
  </si>
  <si>
    <t>PSO137272</t>
  </si>
  <si>
    <t>PSO78937</t>
  </si>
  <si>
    <t>PSO166014</t>
  </si>
  <si>
    <t>PSO106295</t>
  </si>
  <si>
    <t>PSO237915</t>
  </si>
  <si>
    <t>PSO271135</t>
  </si>
  <si>
    <t>PSO101243</t>
  </si>
  <si>
    <t>PSO124108</t>
  </si>
  <si>
    <t>PSO139822</t>
  </si>
  <si>
    <t>PSO110444</t>
  </si>
  <si>
    <t>PSO7372129</t>
  </si>
  <si>
    <t>PSO118184</t>
  </si>
  <si>
    <t>PSO84143</t>
  </si>
  <si>
    <t>PSO84223</t>
  </si>
  <si>
    <t>PSO195842</t>
  </si>
  <si>
    <t>PSO267407</t>
  </si>
  <si>
    <t>PSO7569724</t>
  </si>
  <si>
    <t>PSO144570</t>
  </si>
  <si>
    <t>PSO241172</t>
  </si>
  <si>
    <t>PSO143211</t>
  </si>
  <si>
    <t>PSO113715</t>
  </si>
  <si>
    <t>PSO81258</t>
  </si>
  <si>
    <t>PSO236803</t>
  </si>
  <si>
    <t>PSO260784</t>
  </si>
  <si>
    <t>PSO117209</t>
  </si>
  <si>
    <t>PSO107919</t>
  </si>
  <si>
    <t>PSO109733</t>
  </si>
  <si>
    <t>PSO128079</t>
  </si>
  <si>
    <t>PSO7264612</t>
  </si>
  <si>
    <t>PSO117490</t>
  </si>
  <si>
    <t>PSO110687</t>
  </si>
  <si>
    <t>PSO84996</t>
  </si>
  <si>
    <t>PSO110909</t>
  </si>
  <si>
    <t>PSO104563</t>
  </si>
  <si>
    <t>PSO106039</t>
  </si>
  <si>
    <t>PSO119843</t>
  </si>
  <si>
    <t>PSO264733</t>
  </si>
  <si>
    <t>PSO170228</t>
  </si>
  <si>
    <t>PSO244167</t>
  </si>
  <si>
    <t>PSO108421</t>
  </si>
  <si>
    <t>PSO83421</t>
  </si>
  <si>
    <t>PSO185675</t>
  </si>
  <si>
    <t>PSO238745</t>
  </si>
  <si>
    <t>PSO276920</t>
  </si>
  <si>
    <t>PSO76008</t>
  </si>
  <si>
    <t>PSO145254</t>
  </si>
  <si>
    <t>PSO206557</t>
  </si>
  <si>
    <t>PSO118707</t>
  </si>
  <si>
    <t>PSO109142</t>
  </si>
  <si>
    <t>PSO176615</t>
  </si>
  <si>
    <t>PSO85169</t>
  </si>
  <si>
    <t>PSO255694</t>
  </si>
  <si>
    <t>PSO100008</t>
  </si>
  <si>
    <t>PSO7353509</t>
  </si>
  <si>
    <t>PSO94459</t>
  </si>
  <si>
    <t>PSO177719</t>
  </si>
  <si>
    <t>PSO122405</t>
  </si>
  <si>
    <t>PSO238223</t>
  </si>
  <si>
    <t>PSO122914</t>
  </si>
  <si>
    <t>PSO128739</t>
  </si>
  <si>
    <t>PSO143063</t>
  </si>
  <si>
    <t>PSO175387</t>
  </si>
  <si>
    <t>PSO277280</t>
  </si>
  <si>
    <t>PSO143256</t>
  </si>
  <si>
    <t>PSO108257</t>
  </si>
  <si>
    <t>PSO258571</t>
  </si>
  <si>
    <t>PSO7489314</t>
  </si>
  <si>
    <t>PSO179323</t>
  </si>
  <si>
    <t>PSO102512</t>
  </si>
  <si>
    <t>PSO207351</t>
  </si>
  <si>
    <t>PSO125480</t>
  </si>
  <si>
    <t>PSO180370</t>
  </si>
  <si>
    <t>PSO244385</t>
  </si>
  <si>
    <t>PSO111479</t>
  </si>
  <si>
    <t>PSO111367</t>
  </si>
  <si>
    <t>PSO121021</t>
  </si>
  <si>
    <t>PSO275977</t>
  </si>
  <si>
    <t>PSO249181</t>
  </si>
  <si>
    <t>PSO123997</t>
  </si>
  <si>
    <t>PSO185956</t>
  </si>
  <si>
    <t>PSO183434</t>
  </si>
  <si>
    <t>PSO237453</t>
  </si>
  <si>
    <t>PSO95328</t>
  </si>
  <si>
    <t>PSO176517</t>
  </si>
  <si>
    <t>PSO7371012</t>
  </si>
  <si>
    <t>PSO146086</t>
  </si>
  <si>
    <t>PSO187060</t>
  </si>
  <si>
    <t>PSO246473</t>
  </si>
  <si>
    <t>PSO77835</t>
  </si>
  <si>
    <t>PSO104663</t>
  </si>
  <si>
    <t>PSO99100</t>
  </si>
  <si>
    <t>PSO90428</t>
  </si>
  <si>
    <t>PSO99574</t>
  </si>
  <si>
    <t>PSO135937</t>
  </si>
  <si>
    <t>PSO103187</t>
  </si>
  <si>
    <t>PSO137733</t>
  </si>
  <si>
    <t>PSO115790</t>
  </si>
  <si>
    <t>PSO105422</t>
  </si>
  <si>
    <t>PSO104871</t>
  </si>
  <si>
    <t>PSO7556380</t>
  </si>
  <si>
    <t>PSO173977</t>
  </si>
  <si>
    <t>PSO83743</t>
  </si>
  <si>
    <t>PSO131414</t>
  </si>
  <si>
    <t>PSO140867</t>
  </si>
  <si>
    <t>PSO136650</t>
  </si>
  <si>
    <t>PSO247664</t>
  </si>
  <si>
    <t>PSO172476</t>
  </si>
  <si>
    <t>PSO146434</t>
  </si>
  <si>
    <t>PSO119121</t>
  </si>
  <si>
    <t>PSO119716</t>
  </si>
  <si>
    <t>PSO103213</t>
  </si>
  <si>
    <t>PSO84253</t>
  </si>
  <si>
    <t>PSO128663</t>
  </si>
  <si>
    <t>PSO79584</t>
  </si>
  <si>
    <t>PSO102062</t>
  </si>
  <si>
    <t>PSO193737</t>
  </si>
  <si>
    <t>PSO144376</t>
  </si>
  <si>
    <t>PSO173989</t>
  </si>
  <si>
    <t>PSO172638</t>
  </si>
  <si>
    <t>PSO82974</t>
  </si>
  <si>
    <t>PSO129718</t>
  </si>
  <si>
    <t>PSO109844</t>
  </si>
  <si>
    <t>PSO267487</t>
  </si>
  <si>
    <t>PSO92678</t>
  </si>
  <si>
    <t>PSO100898</t>
  </si>
  <si>
    <t>PSO171252</t>
  </si>
  <si>
    <t>PSO129877</t>
  </si>
  <si>
    <t>PSO119720</t>
  </si>
  <si>
    <t>PSO114362</t>
  </si>
  <si>
    <t>PSO180187</t>
  </si>
  <si>
    <t>PSO135310</t>
  </si>
  <si>
    <t>PSO275673</t>
  </si>
  <si>
    <t>PSO95255</t>
  </si>
  <si>
    <t>PSO185710</t>
  </si>
  <si>
    <t>PSO130936</t>
  </si>
  <si>
    <t>PSO140266</t>
  </si>
  <si>
    <t>PSO244956</t>
  </si>
  <si>
    <t>PSO141964</t>
  </si>
  <si>
    <t>PSO140657</t>
  </si>
  <si>
    <t>PSO119625</t>
  </si>
  <si>
    <t>PSO94520</t>
  </si>
  <si>
    <t>PSO81798</t>
  </si>
  <si>
    <t>PSO106014</t>
  </si>
  <si>
    <t>PSO176594</t>
  </si>
  <si>
    <t>PSO84553</t>
  </si>
  <si>
    <t>PSO132929</t>
  </si>
  <si>
    <t>PSO139035</t>
  </si>
  <si>
    <t>PSO84505</t>
  </si>
  <si>
    <t>PSO247773</t>
  </si>
  <si>
    <t>PSO84333</t>
  </si>
  <si>
    <t>PSO125730</t>
  </si>
  <si>
    <t>PSO129451</t>
  </si>
  <si>
    <t>PSO171928</t>
  </si>
  <si>
    <t>PSO76436</t>
  </si>
  <si>
    <t>PSO98119</t>
  </si>
  <si>
    <t>PSO97113</t>
  </si>
  <si>
    <t>PSO99177</t>
  </si>
  <si>
    <t>PSO100420</t>
  </si>
  <si>
    <t>PSO140817</t>
  </si>
  <si>
    <t>PSO126825</t>
  </si>
  <si>
    <t>PSO252565</t>
  </si>
  <si>
    <t>PSO239765</t>
  </si>
  <si>
    <t>PSO241602</t>
  </si>
  <si>
    <t>PSO7528316</t>
  </si>
  <si>
    <t>PSO100624</t>
  </si>
  <si>
    <t>PSO118307</t>
  </si>
  <si>
    <t>PSO99059</t>
  </si>
  <si>
    <t>PSO91109</t>
  </si>
  <si>
    <t>PSO93236</t>
  </si>
  <si>
    <t>PSO186558</t>
  </si>
  <si>
    <t>PSO136128</t>
  </si>
  <si>
    <t>PSO239837</t>
  </si>
  <si>
    <t>PSO96570</t>
  </si>
  <si>
    <t>PSO127470</t>
  </si>
  <si>
    <t>PSO92248</t>
  </si>
  <si>
    <t>PSO99643</t>
  </si>
  <si>
    <t>PSO77406</t>
  </si>
  <si>
    <t>PSO145888</t>
  </si>
  <si>
    <t>PSO85990</t>
  </si>
  <si>
    <t>PSO81661</t>
  </si>
  <si>
    <t>PSO128467</t>
  </si>
  <si>
    <t>PSO106136</t>
  </si>
  <si>
    <t>PSO120370</t>
  </si>
  <si>
    <t>PSO126459</t>
  </si>
  <si>
    <t>PSO248389</t>
  </si>
  <si>
    <t>PSO180784</t>
  </si>
  <si>
    <t>PSO174260</t>
  </si>
  <si>
    <t>PSO80707</t>
  </si>
  <si>
    <t>PSO129570</t>
  </si>
  <si>
    <t>PSO217731</t>
  </si>
  <si>
    <t>PSO144234</t>
  </si>
  <si>
    <t>PSO145795</t>
  </si>
  <si>
    <t>PSO244598</t>
  </si>
  <si>
    <t>PSO146319</t>
  </si>
  <si>
    <t>PSO140869</t>
  </si>
  <si>
    <t>PSO131421</t>
  </si>
  <si>
    <t>PSO238530</t>
  </si>
  <si>
    <t>PSO129074</t>
  </si>
  <si>
    <t>PSO222959</t>
  </si>
  <si>
    <t>PSO114041</t>
  </si>
  <si>
    <t>PSO80721</t>
  </si>
  <si>
    <t>PSO256634</t>
  </si>
  <si>
    <t>PSO143493</t>
  </si>
  <si>
    <t>PSO112512</t>
  </si>
  <si>
    <t>PSO241934</t>
  </si>
  <si>
    <t>PSO91051</t>
  </si>
  <si>
    <t>PSO80416</t>
  </si>
  <si>
    <t>PSO7277985</t>
  </si>
  <si>
    <t>PSO259402</t>
  </si>
  <si>
    <t>PSO164859</t>
  </si>
  <si>
    <t>PSO90043</t>
  </si>
  <si>
    <t>PSO137607</t>
  </si>
  <si>
    <t>PSO80751</t>
  </si>
  <si>
    <t>PSO96821</t>
  </si>
  <si>
    <t>PSO237785</t>
  </si>
  <si>
    <t>PSO95959</t>
  </si>
  <si>
    <t>PSO110079</t>
  </si>
  <si>
    <t>PSO107689</t>
  </si>
  <si>
    <t>PSO136985</t>
  </si>
  <si>
    <t>PSO115738</t>
  </si>
  <si>
    <t>PSO252649</t>
  </si>
  <si>
    <t>PSO107366</t>
  </si>
  <si>
    <t>PSO122015</t>
  </si>
  <si>
    <t>PSO239798</t>
  </si>
  <si>
    <t>PSO112041</t>
  </si>
  <si>
    <t>PSO129034</t>
  </si>
  <si>
    <t>PSO142666</t>
  </si>
  <si>
    <t>PSO112209</t>
  </si>
  <si>
    <t>PSO265647</t>
  </si>
  <si>
    <t>PSO250293</t>
  </si>
  <si>
    <t>PSO146214</t>
  </si>
  <si>
    <t>PSO260712</t>
  </si>
  <si>
    <t>PSO85428</t>
  </si>
  <si>
    <t>PSO100412</t>
  </si>
  <si>
    <t>PSO262446</t>
  </si>
  <si>
    <t>PSO119853</t>
  </si>
  <si>
    <t>PSO121531</t>
  </si>
  <si>
    <t>PSO171892</t>
  </si>
  <si>
    <t>PSO127904</t>
  </si>
  <si>
    <t>PSO237825</t>
  </si>
  <si>
    <t>PSO245840</t>
  </si>
  <si>
    <t>PSO127218</t>
  </si>
  <si>
    <t>PSO106209</t>
  </si>
  <si>
    <t>PSO120573</t>
  </si>
  <si>
    <t>PSO165117</t>
  </si>
  <si>
    <t>PSO7300450</t>
  </si>
  <si>
    <t>PSO133374</t>
  </si>
  <si>
    <t>PSO107620</t>
  </si>
  <si>
    <t>PSO142338</t>
  </si>
  <si>
    <t>PSO143435</t>
  </si>
  <si>
    <t>PSO88112</t>
  </si>
  <si>
    <t>PSO81171</t>
  </si>
  <si>
    <t>PSO147825</t>
  </si>
  <si>
    <t>PSO248107</t>
  </si>
  <si>
    <t>PSO182489</t>
  </si>
  <si>
    <t>PSO177906</t>
  </si>
  <si>
    <t>PSO102308</t>
  </si>
  <si>
    <t>PSO139428</t>
  </si>
  <si>
    <t>PSO124457</t>
  </si>
  <si>
    <t>PSO108926</t>
  </si>
  <si>
    <t>PSO273938</t>
  </si>
  <si>
    <t>PSO79028</t>
  </si>
  <si>
    <t>PSO121455</t>
  </si>
  <si>
    <t>PSO87202</t>
  </si>
  <si>
    <t>PSO77873</t>
  </si>
  <si>
    <t>PSO95495</t>
  </si>
  <si>
    <t>PSO104793</t>
  </si>
  <si>
    <t>PSO174236</t>
  </si>
  <si>
    <t>PSO109389</t>
  </si>
  <si>
    <t>PSO263212</t>
  </si>
  <si>
    <t>PSO88420</t>
  </si>
  <si>
    <t>PSO142438</t>
  </si>
  <si>
    <t>PSO141076</t>
  </si>
  <si>
    <t>PSO144143</t>
  </si>
  <si>
    <t>PSO134797</t>
  </si>
  <si>
    <t>PSO107551</t>
  </si>
  <si>
    <t>PSO125257</t>
  </si>
  <si>
    <t>PSO167806</t>
  </si>
  <si>
    <t>PSO125752</t>
  </si>
  <si>
    <t>PSO101212</t>
  </si>
  <si>
    <t>PSO134155</t>
  </si>
  <si>
    <t>PSO263137</t>
  </si>
  <si>
    <t>PSO190987</t>
  </si>
  <si>
    <t>PSO133451</t>
  </si>
  <si>
    <t>PSO100349</t>
  </si>
  <si>
    <t>PSO275444</t>
  </si>
  <si>
    <t>PSO269664</t>
  </si>
  <si>
    <t>PSO249685</t>
  </si>
  <si>
    <t>PSO183436</t>
  </si>
  <si>
    <t>PSO93929</t>
  </si>
  <si>
    <t>PSO98527</t>
  </si>
  <si>
    <t>PSO108523</t>
  </si>
  <si>
    <t>PSO237975</t>
  </si>
  <si>
    <t>PSO7199550</t>
  </si>
  <si>
    <t>PSO106467</t>
  </si>
  <si>
    <t>PSO129646</t>
  </si>
  <si>
    <t>PSO81742</t>
  </si>
  <si>
    <t>PSO129413</t>
  </si>
  <si>
    <t>PSO104631</t>
  </si>
  <si>
    <t>PSO182817</t>
  </si>
  <si>
    <t>PSO87724</t>
  </si>
  <si>
    <t>PSO234523</t>
  </si>
  <si>
    <t>PSO218884</t>
  </si>
  <si>
    <t>PSO240322</t>
  </si>
  <si>
    <t>PSO259682</t>
  </si>
  <si>
    <t>PSO92397</t>
  </si>
  <si>
    <t>PSO119636</t>
  </si>
  <si>
    <t>PSO91601</t>
  </si>
  <si>
    <t>PSO122602</t>
  </si>
  <si>
    <t>PSO259287</t>
  </si>
  <si>
    <t>PSO99443</t>
  </si>
  <si>
    <t>PSO139566</t>
  </si>
  <si>
    <t>PSO265997</t>
  </si>
  <si>
    <t>PSO136547</t>
  </si>
  <si>
    <t>PSO86937</t>
  </si>
  <si>
    <t>PSO188730</t>
  </si>
  <si>
    <t>PSO240500</t>
  </si>
  <si>
    <t>PSO171547</t>
  </si>
  <si>
    <t>PSO266293</t>
  </si>
  <si>
    <t>PSO97849</t>
  </si>
  <si>
    <t>PSO168580</t>
  </si>
  <si>
    <t>PSO93901</t>
  </si>
  <si>
    <t>PSO106990</t>
  </si>
  <si>
    <t>PSO137458</t>
  </si>
  <si>
    <t>PSO234990</t>
  </si>
  <si>
    <t>PSO80829</t>
  </si>
  <si>
    <t>PSO175269</t>
  </si>
  <si>
    <t>PSO97332</t>
  </si>
  <si>
    <t>PSO147681</t>
  </si>
  <si>
    <t>PSO79173</t>
  </si>
  <si>
    <t>PSO138530</t>
  </si>
  <si>
    <t>PSO87604</t>
  </si>
  <si>
    <t>PSO167549</t>
  </si>
  <si>
    <t>PSO103608</t>
  </si>
  <si>
    <t>PSO140758</t>
  </si>
  <si>
    <t>PSO138548</t>
  </si>
  <si>
    <t>PSO106230</t>
  </si>
  <si>
    <t>PSO230534</t>
  </si>
  <si>
    <t>PSO262502</t>
  </si>
  <si>
    <t>PSO77811</t>
  </si>
  <si>
    <t>PSO107274</t>
  </si>
  <si>
    <t>PSO270529</t>
  </si>
  <si>
    <t>PSO123450</t>
  </si>
  <si>
    <t>PSO255408</t>
  </si>
  <si>
    <t>PSO108906</t>
  </si>
  <si>
    <t>PSO250908</t>
  </si>
  <si>
    <t>PSO122492</t>
  </si>
  <si>
    <t>PSO257449</t>
  </si>
  <si>
    <t>PSO140316</t>
  </si>
  <si>
    <t>PSO248350</t>
  </si>
  <si>
    <t>PSO106013</t>
  </si>
  <si>
    <t>PSO132103</t>
  </si>
  <si>
    <t>PSO145683</t>
  </si>
  <si>
    <t>PSO125929</t>
  </si>
  <si>
    <t>PSO87251</t>
  </si>
  <si>
    <t>PSO184657</t>
  </si>
  <si>
    <t>PSO180270</t>
  </si>
  <si>
    <t>PSO166007</t>
  </si>
  <si>
    <t>PSO233620</t>
  </si>
  <si>
    <t>PSO85780</t>
  </si>
  <si>
    <t>PSO90429</t>
  </si>
  <si>
    <t>PSO184149</t>
  </si>
  <si>
    <t>PSO137794</t>
  </si>
  <si>
    <t>PSO273976</t>
  </si>
  <si>
    <t>PSO139844</t>
  </si>
  <si>
    <t>PSO274365</t>
  </si>
  <si>
    <t>PSO130651</t>
  </si>
  <si>
    <t>PSO116263</t>
  </si>
  <si>
    <t>PSO267607</t>
  </si>
  <si>
    <t>PSO7290086</t>
  </si>
  <si>
    <t>PSO237625</t>
  </si>
  <si>
    <t>PSO80908</t>
  </si>
  <si>
    <t>PSO149443</t>
  </si>
  <si>
    <t>PSO126412</t>
  </si>
  <si>
    <t>PSO132468</t>
  </si>
  <si>
    <t>PSO114556</t>
  </si>
  <si>
    <t>PSO265521</t>
  </si>
  <si>
    <t>PSO95069</t>
  </si>
  <si>
    <t>PSO91452</t>
  </si>
  <si>
    <t>PSO240523</t>
  </si>
  <si>
    <t>PSO147444</t>
  </si>
  <si>
    <t>PSO147531</t>
  </si>
  <si>
    <t>PSO88608</t>
  </si>
  <si>
    <t>PSO125046</t>
  </si>
  <si>
    <t>PSO144101</t>
  </si>
  <si>
    <t>PSO183967</t>
  </si>
  <si>
    <t>PSO143644</t>
  </si>
  <si>
    <t>PSO178538</t>
  </si>
  <si>
    <t>PSO7317831</t>
  </si>
  <si>
    <t>PSO80558</t>
  </si>
  <si>
    <t>PSO7264532</t>
  </si>
  <si>
    <t>PSO104919</t>
  </si>
  <si>
    <t>PSO98859</t>
  </si>
  <si>
    <t>PSO118261</t>
  </si>
  <si>
    <t>PSO238119</t>
  </si>
  <si>
    <t>PSO135854</t>
  </si>
  <si>
    <t>PSO84525</t>
  </si>
  <si>
    <t>PSO169787</t>
  </si>
  <si>
    <t>PSO273919</t>
  </si>
  <si>
    <t>PSO248595</t>
  </si>
  <si>
    <t>PSO160530</t>
  </si>
  <si>
    <t>PSO236612</t>
  </si>
  <si>
    <t>PSO176600</t>
  </si>
  <si>
    <t>PSO268006</t>
  </si>
  <si>
    <t>PSO125591</t>
  </si>
  <si>
    <t>PSO144639</t>
  </si>
  <si>
    <t>PSO117890</t>
  </si>
  <si>
    <t>PSO129617</t>
  </si>
  <si>
    <t>PSO219664</t>
  </si>
  <si>
    <t>PSO82332</t>
  </si>
  <si>
    <t>PSO174398</t>
  </si>
  <si>
    <t>PSO270364</t>
  </si>
  <si>
    <t>PSO232007</t>
  </si>
  <si>
    <t>PSO167500</t>
  </si>
  <si>
    <t>PSO240385</t>
  </si>
  <si>
    <t>PSO245604</t>
  </si>
  <si>
    <t>PSO129517</t>
  </si>
  <si>
    <t>PSO93865</t>
  </si>
  <si>
    <t>PSO102483</t>
  </si>
  <si>
    <t>PSO132892</t>
  </si>
  <si>
    <t>PSO75253</t>
  </si>
  <si>
    <t>PSO138179</t>
  </si>
  <si>
    <t>PSO118460</t>
  </si>
  <si>
    <t>PSO115007</t>
  </si>
  <si>
    <t>PSO81533</t>
  </si>
  <si>
    <t>PSO245999</t>
  </si>
  <si>
    <t>PSO135468</t>
  </si>
  <si>
    <t>PSO76036</t>
  </si>
  <si>
    <t>PSO141293</t>
  </si>
  <si>
    <t>PSO101377</t>
  </si>
  <si>
    <t>PSO275552</t>
  </si>
  <si>
    <t>PSO272996</t>
  </si>
  <si>
    <t>PSO100125</t>
  </si>
  <si>
    <t>PSO142311</t>
  </si>
  <si>
    <t>PSO129178</t>
  </si>
  <si>
    <t>PSO224558</t>
  </si>
  <si>
    <t>PSO142849</t>
  </si>
  <si>
    <t>PSO106191</t>
  </si>
  <si>
    <t>PSO197075</t>
  </si>
  <si>
    <t>PSO147249</t>
  </si>
  <si>
    <t>PSO249420</t>
  </si>
  <si>
    <t>PSO7362944</t>
  </si>
  <si>
    <t>PSO153816</t>
  </si>
  <si>
    <t>PSO265455</t>
  </si>
  <si>
    <t>PSO103234</t>
  </si>
  <si>
    <t>PSO110453</t>
  </si>
  <si>
    <t>PSO139845</t>
  </si>
  <si>
    <t>PSO86963</t>
  </si>
  <si>
    <t>PSO113748</t>
  </si>
  <si>
    <t>PSO103868</t>
  </si>
  <si>
    <t>PSO100437</t>
  </si>
  <si>
    <t>PSO100409</t>
  </si>
  <si>
    <t>PSO85114</t>
  </si>
  <si>
    <t>PSO100975</t>
  </si>
  <si>
    <t>PSO91157</t>
  </si>
  <si>
    <t>PSO104428</t>
  </si>
  <si>
    <t>PSO125169</t>
  </si>
  <si>
    <t>PSO249026</t>
  </si>
  <si>
    <t>PSO98349</t>
  </si>
  <si>
    <t>PSO176764</t>
  </si>
  <si>
    <t>PSO124840</t>
  </si>
  <si>
    <t>PSO90697</t>
  </si>
  <si>
    <t>PSO143469</t>
  </si>
  <si>
    <t>PSO81502</t>
  </si>
  <si>
    <t>PSO147563</t>
  </si>
  <si>
    <t>PSO208442</t>
  </si>
  <si>
    <t>PSO147256</t>
  </si>
  <si>
    <t>PSO143675</t>
  </si>
  <si>
    <t>PSO110336</t>
  </si>
  <si>
    <t>PSO117683</t>
  </si>
  <si>
    <t>PSO77002</t>
  </si>
  <si>
    <t>PSO101644</t>
  </si>
  <si>
    <t>PSO87781</t>
  </si>
  <si>
    <t>PSO94713</t>
  </si>
  <si>
    <t>PSO109879</t>
  </si>
  <si>
    <t>PSO236210</t>
  </si>
  <si>
    <t>PSO137958</t>
  </si>
  <si>
    <t>PSO76834</t>
  </si>
  <si>
    <t>PSO185087</t>
  </si>
  <si>
    <t>PSO77418</t>
  </si>
  <si>
    <t>PSO178526</t>
  </si>
  <si>
    <t>PSO144042</t>
  </si>
  <si>
    <t>PSO100548</t>
  </si>
  <si>
    <t>PSO111334</t>
  </si>
  <si>
    <t>PSO271061</t>
  </si>
  <si>
    <t>PSO7370320</t>
  </si>
  <si>
    <t>PSO120813</t>
  </si>
  <si>
    <t>PSO114512</t>
  </si>
  <si>
    <t>PSO245688</t>
  </si>
  <si>
    <t>PSO143246</t>
  </si>
  <si>
    <t>PSO165398</t>
  </si>
  <si>
    <t>PSO175860</t>
  </si>
  <si>
    <t>PSO232076</t>
  </si>
  <si>
    <t>PSO262979</t>
  </si>
  <si>
    <t>PSO102524</t>
  </si>
  <si>
    <t>PSO183942</t>
  </si>
  <si>
    <t>PSO175721</t>
  </si>
  <si>
    <t>PSO120978</t>
  </si>
  <si>
    <t>PSO7314165</t>
  </si>
  <si>
    <t>PSO104652</t>
  </si>
  <si>
    <t>PSO136803</t>
  </si>
  <si>
    <t>PSO262711</t>
  </si>
  <si>
    <t>PSO94949</t>
  </si>
  <si>
    <t>PSO124412</t>
  </si>
  <si>
    <t>PSO257447</t>
  </si>
  <si>
    <t>PSO185545</t>
  </si>
  <si>
    <t>PSO125978</t>
  </si>
  <si>
    <t>PSO90255</t>
  </si>
  <si>
    <t>PSO176967</t>
  </si>
  <si>
    <t>PSO7266157</t>
  </si>
  <si>
    <t>PSO102530</t>
  </si>
  <si>
    <t>PSO138840</t>
  </si>
  <si>
    <t>PSO258889</t>
  </si>
  <si>
    <t>PSO104442</t>
  </si>
  <si>
    <t>PSO140913</t>
  </si>
  <si>
    <t>PSO120282</t>
  </si>
  <si>
    <t>PSO138283</t>
  </si>
  <si>
    <t>PSO189177</t>
  </si>
  <si>
    <t>PSO254332</t>
  </si>
  <si>
    <t>PSO98134</t>
  </si>
  <si>
    <t>PSO146480</t>
  </si>
  <si>
    <t>PSO99412</t>
  </si>
  <si>
    <t>PSO118732</t>
  </si>
  <si>
    <t>PSO237526</t>
  </si>
  <si>
    <t>PSO128474</t>
  </si>
  <si>
    <t>PSO80769</t>
  </si>
  <si>
    <t>PSO183491</t>
  </si>
  <si>
    <t>PSO242568</t>
  </si>
  <si>
    <t>PSO7530810</t>
  </si>
  <si>
    <t>PSO176141</t>
  </si>
  <si>
    <t>PSO100297</t>
  </si>
  <si>
    <t>PSO78812</t>
  </si>
  <si>
    <t>PSO103443</t>
  </si>
  <si>
    <t>PSO109574</t>
  </si>
  <si>
    <t>PSO127952</t>
  </si>
  <si>
    <t>PSO89530</t>
  </si>
  <si>
    <t>PSO126824</t>
  </si>
  <si>
    <t>PSO272404</t>
  </si>
  <si>
    <t>PSO82251</t>
  </si>
  <si>
    <t>PSO131087</t>
  </si>
  <si>
    <t>PSO88341</t>
  </si>
  <si>
    <t>PSO134881</t>
  </si>
  <si>
    <t>PSO7188851</t>
  </si>
  <si>
    <t>PSO88991</t>
  </si>
  <si>
    <t>PSO119101</t>
  </si>
  <si>
    <t>PSO246846</t>
  </si>
  <si>
    <t>PSO236871</t>
  </si>
  <si>
    <t>PSO246604</t>
  </si>
  <si>
    <t>PSO254344</t>
  </si>
  <si>
    <t>PSO276041</t>
  </si>
  <si>
    <t>PSO141996</t>
  </si>
  <si>
    <t>PSO145502</t>
  </si>
  <si>
    <t>PSO236382</t>
  </si>
  <si>
    <t>PSO145274</t>
  </si>
  <si>
    <t>PSO163097</t>
  </si>
  <si>
    <t>PSO99938</t>
  </si>
  <si>
    <t>PSO132802</t>
  </si>
  <si>
    <t>PSO130372</t>
  </si>
  <si>
    <t>PSO84747</t>
  </si>
  <si>
    <t>PSO7346497</t>
  </si>
  <si>
    <t>PSO186687</t>
  </si>
  <si>
    <t>PSO92747</t>
  </si>
  <si>
    <t>PSO178348</t>
  </si>
  <si>
    <t>PSO113670</t>
  </si>
  <si>
    <t>PSO109220</t>
  </si>
  <si>
    <t>PSO142157</t>
  </si>
  <si>
    <t>PSO86801</t>
  </si>
  <si>
    <t>PSO83032</t>
  </si>
  <si>
    <t>PSO98928</t>
  </si>
  <si>
    <t>PSO100930</t>
  </si>
  <si>
    <t>PSO165362</t>
  </si>
  <si>
    <t>PSO140040</t>
  </si>
  <si>
    <t>PSO260757</t>
  </si>
  <si>
    <t>PSO86343</t>
  </si>
  <si>
    <t>PSO261520</t>
  </si>
  <si>
    <t>PSO240306</t>
  </si>
  <si>
    <t>PSO143699</t>
  </si>
  <si>
    <t>PSO244750</t>
  </si>
  <si>
    <t>PSO184230</t>
  </si>
  <si>
    <t>PSO259396</t>
  </si>
  <si>
    <t>PSO261772</t>
  </si>
  <si>
    <t>PSO103841</t>
  </si>
  <si>
    <t>PSO120503</t>
  </si>
  <si>
    <t>PSO254069</t>
  </si>
  <si>
    <t>PSO134961</t>
  </si>
  <si>
    <t>PSO121203</t>
  </si>
  <si>
    <t>PSO147776</t>
  </si>
  <si>
    <t>PSO133683</t>
  </si>
  <si>
    <t>PSO129499</t>
  </si>
  <si>
    <t>PSO167098</t>
  </si>
  <si>
    <t>PSO105820</t>
  </si>
  <si>
    <t>PSO113321</t>
  </si>
  <si>
    <t>PSO126226</t>
  </si>
  <si>
    <t>PSO143333</t>
  </si>
  <si>
    <t>PSO137352</t>
  </si>
  <si>
    <t>PSO167435</t>
  </si>
  <si>
    <t>PSO115301</t>
  </si>
  <si>
    <t>PSO77270</t>
  </si>
  <si>
    <t>PSO98878</t>
  </si>
  <si>
    <t>PSO101396</t>
  </si>
  <si>
    <t>PSO183392</t>
  </si>
  <si>
    <t>PSO239753</t>
  </si>
  <si>
    <t>PSO82413</t>
  </si>
  <si>
    <t>PSO140053</t>
  </si>
  <si>
    <t>PSO82770</t>
  </si>
  <si>
    <t>PSO122953</t>
  </si>
  <si>
    <t>PSO277701</t>
  </si>
  <si>
    <t>PSO143296</t>
  </si>
  <si>
    <t>PSO146294</t>
  </si>
  <si>
    <t>PSO134785</t>
  </si>
  <si>
    <t>PSO267360</t>
  </si>
  <si>
    <t>PSO167433</t>
  </si>
  <si>
    <t>PSO264478</t>
  </si>
  <si>
    <t>PSO246056</t>
  </si>
  <si>
    <t>PSO247909</t>
  </si>
  <si>
    <t>PSO118202</t>
  </si>
  <si>
    <t>PSO151692</t>
  </si>
  <si>
    <t>PSO125461</t>
  </si>
  <si>
    <t>PSO167864</t>
  </si>
  <si>
    <t>PSO109755</t>
  </si>
  <si>
    <t>PSO146153</t>
  </si>
  <si>
    <t>PSO166997</t>
  </si>
  <si>
    <t>PSO173561</t>
  </si>
  <si>
    <t>PSO107130</t>
  </si>
  <si>
    <t>PSO106897</t>
  </si>
  <si>
    <t>PSO124935</t>
  </si>
  <si>
    <t>PSO104227</t>
  </si>
  <si>
    <t>PSO90733</t>
  </si>
  <si>
    <t>PSO114212</t>
  </si>
  <si>
    <t>PSO201800</t>
  </si>
  <si>
    <t>PSO135093</t>
  </si>
  <si>
    <t>PSO247257</t>
  </si>
  <si>
    <t>PSO121931</t>
  </si>
  <si>
    <t>PSO205550</t>
  </si>
  <si>
    <t>PSO86459</t>
  </si>
  <si>
    <t>PSO260446</t>
  </si>
  <si>
    <t>PSO104623</t>
  </si>
  <si>
    <t>PSO97995</t>
  </si>
  <si>
    <t>PSO254481</t>
  </si>
  <si>
    <t>PSO253300</t>
  </si>
  <si>
    <t>PSO124617</t>
  </si>
  <si>
    <t>PSO267319</t>
  </si>
  <si>
    <t>PSO141345</t>
  </si>
  <si>
    <t>PSO128931</t>
  </si>
  <si>
    <t>PSO129671</t>
  </si>
  <si>
    <t>PSO179352</t>
  </si>
  <si>
    <t>PSO241262</t>
  </si>
  <si>
    <t>PSO99437</t>
  </si>
  <si>
    <t>PSO140340</t>
  </si>
  <si>
    <t>PSO195557</t>
  </si>
  <si>
    <t>PSO169958</t>
  </si>
  <si>
    <t>PSO143070</t>
  </si>
  <si>
    <t>PSO78196</t>
  </si>
  <si>
    <t>PSO146734</t>
  </si>
  <si>
    <t>PSO240134</t>
  </si>
  <si>
    <t>PSO206179</t>
  </si>
  <si>
    <t>PSO174637</t>
  </si>
  <si>
    <t>PSO219351</t>
  </si>
  <si>
    <t>PSO84465</t>
  </si>
  <si>
    <t>PSO265924</t>
  </si>
  <si>
    <t>PSO276328</t>
  </si>
  <si>
    <t>PSO130214</t>
  </si>
  <si>
    <t>PSO95960</t>
  </si>
  <si>
    <t>PSO155438</t>
  </si>
  <si>
    <t>PSO92758</t>
  </si>
  <si>
    <t>PSO130096</t>
  </si>
  <si>
    <t>PSO124477</t>
  </si>
  <si>
    <t>PSO109036</t>
  </si>
  <si>
    <t>PSO107335</t>
  </si>
  <si>
    <t>PSO101359</t>
  </si>
  <si>
    <t>PSO179756</t>
  </si>
  <si>
    <t>PSO119390</t>
  </si>
  <si>
    <t>PSO106422</t>
  </si>
  <si>
    <t>PSO75299</t>
  </si>
  <si>
    <t>PSO230853</t>
  </si>
  <si>
    <t>PSO120794</t>
  </si>
  <si>
    <t>PSO115521</t>
  </si>
  <si>
    <t>PSO276070</t>
  </si>
  <si>
    <t>PSO101847</t>
  </si>
  <si>
    <t>PSO93273</t>
  </si>
  <si>
    <t>PSO100747</t>
  </si>
  <si>
    <t>PSO261598</t>
  </si>
  <si>
    <t>PSO180436</t>
  </si>
  <si>
    <t>PSO143136</t>
  </si>
  <si>
    <t>PSO119686</t>
  </si>
  <si>
    <t>PSO142303</t>
  </si>
  <si>
    <t>PSO147061</t>
  </si>
  <si>
    <t>PSO90309</t>
  </si>
  <si>
    <t>PSO175245</t>
  </si>
  <si>
    <t>PSO102460</t>
  </si>
  <si>
    <t>PSO7157557</t>
  </si>
  <si>
    <t>PSO217011</t>
  </si>
  <si>
    <t>PSO239020</t>
  </si>
  <si>
    <t>PSO140565</t>
  </si>
  <si>
    <t>PSO241365</t>
  </si>
  <si>
    <t>PSO147033</t>
  </si>
  <si>
    <t>PSO134535</t>
  </si>
  <si>
    <t>PSO171566</t>
  </si>
  <si>
    <t>PSO106303</t>
  </si>
  <si>
    <t>PSO182372</t>
  </si>
  <si>
    <t>PSO265931</t>
  </si>
  <si>
    <t>PSO248282</t>
  </si>
  <si>
    <t>PSO133188</t>
  </si>
  <si>
    <t>PSO76126</t>
  </si>
  <si>
    <t>PSO122402</t>
  </si>
  <si>
    <t>PSO140432</t>
  </si>
  <si>
    <t>PSO266174</t>
  </si>
  <si>
    <t>PSO100429</t>
  </si>
  <si>
    <t>PSO147120</t>
  </si>
  <si>
    <t>PSO80044</t>
  </si>
  <si>
    <t>PSO113851</t>
  </si>
  <si>
    <t>PSO258699</t>
  </si>
  <si>
    <t>PSO261575</t>
  </si>
  <si>
    <t>PSO78031</t>
  </si>
  <si>
    <t>PSO276056</t>
  </si>
  <si>
    <t>PSO126074</t>
  </si>
  <si>
    <t>PSO105123</t>
  </si>
  <si>
    <t>PSO252503</t>
  </si>
  <si>
    <t>PSO81534</t>
  </si>
  <si>
    <t>PSO106228</t>
  </si>
  <si>
    <t>PSO133761</t>
  </si>
  <si>
    <t>PSO109837</t>
  </si>
  <si>
    <t>PSO129275</t>
  </si>
  <si>
    <t>PSO103806</t>
  </si>
  <si>
    <t>PSO180266</t>
  </si>
  <si>
    <t>PSO102689</t>
  </si>
  <si>
    <t>PSO253648</t>
  </si>
  <si>
    <t>PSO142674</t>
  </si>
  <si>
    <t>PSO261505</t>
  </si>
  <si>
    <t>PSO146235</t>
  </si>
  <si>
    <t>PSO117975</t>
  </si>
  <si>
    <t>PSO7363091</t>
  </si>
  <si>
    <t>PSO143776</t>
  </si>
  <si>
    <t>PSO125968</t>
  </si>
  <si>
    <t>PSO131189</t>
  </si>
  <si>
    <t>PSO125060</t>
  </si>
  <si>
    <t>PSO95384</t>
  </si>
  <si>
    <t>PSO146118</t>
  </si>
  <si>
    <t>PSO97371</t>
  </si>
  <si>
    <t>PSO240872</t>
  </si>
  <si>
    <t>PSO100288</t>
  </si>
  <si>
    <t>PSO143571</t>
  </si>
  <si>
    <t>PSO267862</t>
  </si>
  <si>
    <t>PSO135581</t>
  </si>
  <si>
    <t>PSO268411</t>
  </si>
  <si>
    <t>PSO133111</t>
  </si>
  <si>
    <t>PSO184674</t>
  </si>
  <si>
    <t>PSO99042</t>
  </si>
  <si>
    <t>PSO154634</t>
  </si>
  <si>
    <t>PSO171345</t>
  </si>
  <si>
    <t>PSO107279</t>
  </si>
  <si>
    <t>PSO141025</t>
  </si>
  <si>
    <t>PSO98889</t>
  </si>
  <si>
    <t>PSO272465</t>
  </si>
  <si>
    <t>PSO261224</t>
  </si>
  <si>
    <t>PSO132472</t>
  </si>
  <si>
    <t>PSO146442</t>
  </si>
  <si>
    <t>PSO7520606</t>
  </si>
  <si>
    <t>PSO272494</t>
  </si>
  <si>
    <t>PSO117030</t>
  </si>
  <si>
    <t>PSO119735</t>
  </si>
  <si>
    <t>PSO138718</t>
  </si>
  <si>
    <t>PSO173453</t>
  </si>
  <si>
    <t>PSO93709</t>
  </si>
  <si>
    <t>PSO112046</t>
  </si>
  <si>
    <t>PSO81595</t>
  </si>
  <si>
    <t>PSO142911</t>
  </si>
  <si>
    <t>PSO108934</t>
  </si>
  <si>
    <t>PSO228500</t>
  </si>
  <si>
    <t>PSO259522</t>
  </si>
  <si>
    <t>PSO137955</t>
  </si>
  <si>
    <t>PSO7339810</t>
  </si>
  <si>
    <t>PSO108982</t>
  </si>
  <si>
    <t>PSO94019</t>
  </si>
  <si>
    <t>PSO178652</t>
  </si>
  <si>
    <t>PSO147918</t>
  </si>
  <si>
    <t>PSO140324</t>
  </si>
  <si>
    <t>PSO112633</t>
  </si>
  <si>
    <t>PSO194279</t>
  </si>
  <si>
    <t>PSO165853</t>
  </si>
  <si>
    <t>PSO118455</t>
  </si>
  <si>
    <t>PSO166697</t>
  </si>
  <si>
    <t>PSO106831</t>
  </si>
  <si>
    <t>PSO77791</t>
  </si>
  <si>
    <t>PSO131017</t>
  </si>
  <si>
    <t>PSO238328</t>
  </si>
  <si>
    <t>PSO266303</t>
  </si>
  <si>
    <t>PSO105928</t>
  </si>
  <si>
    <t>PSO81221</t>
  </si>
  <si>
    <t>PSO192012</t>
  </si>
  <si>
    <t>PSO7363143</t>
  </si>
  <si>
    <t>PSO268648</t>
  </si>
  <si>
    <t>PSO216150</t>
  </si>
  <si>
    <t>PSO177850</t>
  </si>
  <si>
    <t>PSO139263</t>
  </si>
  <si>
    <t>PSO132383</t>
  </si>
  <si>
    <t>PSO174737</t>
  </si>
  <si>
    <t>PSO89783</t>
  </si>
  <si>
    <t>PSO126859</t>
  </si>
  <si>
    <t>PSO93951</t>
  </si>
  <si>
    <t>PSO97454</t>
  </si>
  <si>
    <t>PSO81602</t>
  </si>
  <si>
    <t>PSO217071</t>
  </si>
  <si>
    <t>PSO129317</t>
  </si>
  <si>
    <t>PSO96846</t>
  </si>
  <si>
    <t>PSO152968</t>
  </si>
  <si>
    <t>PSO97159</t>
  </si>
  <si>
    <t>PSO196776</t>
  </si>
  <si>
    <t>PSO91787</t>
  </si>
  <si>
    <t>PSO131153</t>
  </si>
  <si>
    <t>PSO118185</t>
  </si>
  <si>
    <t>PSO183026</t>
  </si>
  <si>
    <t>PSO206797</t>
  </si>
  <si>
    <t>PSO115478</t>
  </si>
  <si>
    <t>PSO218988</t>
  </si>
  <si>
    <t>PSO142427</t>
  </si>
  <si>
    <t>PSO242678</t>
  </si>
  <si>
    <t>PSO129774</t>
  </si>
  <si>
    <t>PSO165143</t>
  </si>
  <si>
    <t>PSO127210</t>
  </si>
  <si>
    <t>PSO78640</t>
  </si>
  <si>
    <t>PSO78825</t>
  </si>
  <si>
    <t>PSO124811</t>
  </si>
  <si>
    <t>PSO180840</t>
  </si>
  <si>
    <t>PSO134808</t>
  </si>
  <si>
    <t>PSO237313</t>
  </si>
  <si>
    <t>PSO129993</t>
  </si>
  <si>
    <t>PSO121847</t>
  </si>
  <si>
    <t>PSO128961</t>
  </si>
  <si>
    <t>PSO81106</t>
  </si>
  <si>
    <t>PSO89136</t>
  </si>
  <si>
    <t>PSO122670</t>
  </si>
  <si>
    <t>PSO109323</t>
  </si>
  <si>
    <t>PSO125154</t>
  </si>
  <si>
    <t>PSO259042</t>
  </si>
  <si>
    <t>PSO7520676</t>
  </si>
  <si>
    <t>PSO100440</t>
  </si>
  <si>
    <t>PSO85704</t>
  </si>
  <si>
    <t>PSO128453</t>
  </si>
  <si>
    <t>PSO237367</t>
  </si>
  <si>
    <t>PSO165386</t>
  </si>
  <si>
    <t>PSO141998</t>
  </si>
  <si>
    <t>PSO254258</t>
  </si>
  <si>
    <t>PSO115099</t>
  </si>
  <si>
    <t>PSO104833</t>
  </si>
  <si>
    <t>PSO131099</t>
  </si>
  <si>
    <t>PSO142113</t>
  </si>
  <si>
    <t>PSO141311</t>
  </si>
  <si>
    <t>PSO120202</t>
  </si>
  <si>
    <t>PSO124047</t>
  </si>
  <si>
    <t>PSO105480</t>
  </si>
  <si>
    <t>PSO237617</t>
  </si>
  <si>
    <t>PSO118193</t>
  </si>
  <si>
    <t>PSO269721</t>
  </si>
  <si>
    <t>PSO171054</t>
  </si>
  <si>
    <t>PSO135766</t>
  </si>
  <si>
    <t>PSO165153</t>
  </si>
  <si>
    <t>PSO141454</t>
  </si>
  <si>
    <t>PSO101143</t>
  </si>
  <si>
    <t>PSO272744</t>
  </si>
  <si>
    <t>PSO178477</t>
  </si>
  <si>
    <t>PSO175176</t>
  </si>
  <si>
    <t>PSO131089</t>
  </si>
  <si>
    <t>PSO202061</t>
  </si>
  <si>
    <t>PSO138880</t>
  </si>
  <si>
    <t>PSO80384</t>
  </si>
  <si>
    <t>PSO111563</t>
  </si>
  <si>
    <t>PSO245795</t>
  </si>
  <si>
    <t>PSO148345</t>
  </si>
  <si>
    <t>PSO104564</t>
  </si>
  <si>
    <t>PSO252618</t>
  </si>
  <si>
    <t>PSO182467</t>
  </si>
  <si>
    <t>PSO92652</t>
  </si>
  <si>
    <t>PSO92514</t>
  </si>
  <si>
    <t>PSO168567</t>
  </si>
  <si>
    <t>PSO134286</t>
  </si>
  <si>
    <t>PSO267578</t>
  </si>
  <si>
    <t>PSO120654</t>
  </si>
  <si>
    <t>PSO237831</t>
  </si>
  <si>
    <t>PSO92771</t>
  </si>
  <si>
    <t>PSO142942</t>
  </si>
  <si>
    <t>PSO119416</t>
  </si>
  <si>
    <t>PSO86431</t>
  </si>
  <si>
    <t>PSO120512</t>
  </si>
  <si>
    <t>PSO102549</t>
  </si>
  <si>
    <t>PSO253552</t>
  </si>
  <si>
    <t>PSO145916</t>
  </si>
  <si>
    <t>PSO122118</t>
  </si>
  <si>
    <t>PSO136636</t>
  </si>
  <si>
    <t>PSO190257</t>
  </si>
  <si>
    <t>PSO189260</t>
  </si>
  <si>
    <t>PSO247190</t>
  </si>
  <si>
    <t>PSO139461</t>
  </si>
  <si>
    <t>PSO236118</t>
  </si>
  <si>
    <t>PSO114313</t>
  </si>
  <si>
    <t>PSO99408</t>
  </si>
  <si>
    <t>PSO274973</t>
  </si>
  <si>
    <t>PSO123327</t>
  </si>
  <si>
    <t>PSO238882</t>
  </si>
  <si>
    <t>PSO98397</t>
  </si>
  <si>
    <t>PSO168502</t>
  </si>
  <si>
    <t>PSO111808</t>
  </si>
  <si>
    <t>PSO7549977</t>
  </si>
  <si>
    <t>PSO140442</t>
  </si>
  <si>
    <t>PSO83249</t>
  </si>
  <si>
    <t>PSO144288</t>
  </si>
  <si>
    <t>PSO139340</t>
  </si>
  <si>
    <t>PSO113572</t>
  </si>
  <si>
    <t>PSO260504</t>
  </si>
  <si>
    <t>PSO168024</t>
  </si>
  <si>
    <t>PSO239154</t>
  </si>
  <si>
    <t>PSO276561</t>
  </si>
  <si>
    <t>PSO85348</t>
  </si>
  <si>
    <t>PSO141650</t>
  </si>
  <si>
    <t>PSO252484</t>
  </si>
  <si>
    <t>PSO175916</t>
  </si>
  <si>
    <t>PSO140036</t>
  </si>
  <si>
    <t>PSO191148</t>
  </si>
  <si>
    <t>PSO143306</t>
  </si>
  <si>
    <t>PSO97422</t>
  </si>
  <si>
    <t>PSO276022</t>
  </si>
  <si>
    <t>PSO184643</t>
  </si>
  <si>
    <t>PSO133528</t>
  </si>
  <si>
    <t>PSO86094</t>
  </si>
  <si>
    <t>PSO104016</t>
  </si>
  <si>
    <t>PSO88419</t>
  </si>
  <si>
    <t>PSO168602</t>
  </si>
  <si>
    <t>PSO106224</t>
  </si>
  <si>
    <t>PSO130040</t>
  </si>
  <si>
    <t>PSO239881</t>
  </si>
  <si>
    <t>PSO98959</t>
  </si>
  <si>
    <t>PSO174027</t>
  </si>
  <si>
    <t>PSO272383</t>
  </si>
  <si>
    <t>PSO81827</t>
  </si>
  <si>
    <t>PSO127052</t>
  </si>
  <si>
    <t>PSO145241</t>
  </si>
  <si>
    <t>PSO94454</t>
  </si>
  <si>
    <t>PSO132861</t>
  </si>
  <si>
    <t>PSO131384</t>
  </si>
  <si>
    <t>PSO110215</t>
  </si>
  <si>
    <t>PSO264524</t>
  </si>
  <si>
    <t>PSO113762</t>
  </si>
  <si>
    <t>PSO263719</t>
  </si>
  <si>
    <t>PSO243869</t>
  </si>
  <si>
    <t>PSO141634</t>
  </si>
  <si>
    <t>PSO257861</t>
  </si>
  <si>
    <t>PSO7317224</t>
  </si>
  <si>
    <t>PSO271476</t>
  </si>
  <si>
    <t>PSO139764</t>
  </si>
  <si>
    <t>PSO220337</t>
  </si>
  <si>
    <t>PSO201008</t>
  </si>
  <si>
    <t>PSO248432</t>
  </si>
  <si>
    <t>PSO128912</t>
  </si>
  <si>
    <t>PSO175675</t>
  </si>
  <si>
    <t>PSO111329</t>
  </si>
  <si>
    <t>PSO141727</t>
  </si>
  <si>
    <t>PSO105063</t>
  </si>
  <si>
    <t>PSO114467</t>
  </si>
  <si>
    <t>PSO142190</t>
  </si>
  <si>
    <t>PSO81193</t>
  </si>
  <si>
    <t>PSO147471</t>
  </si>
  <si>
    <t>PSO276236</t>
  </si>
  <si>
    <t>PSO247134</t>
  </si>
  <si>
    <t>PSO137136</t>
  </si>
  <si>
    <t>PSO136917</t>
  </si>
  <si>
    <t>PSO83542</t>
  </si>
  <si>
    <t>PSO175673</t>
  </si>
  <si>
    <t>PSO144583</t>
  </si>
  <si>
    <t>PSO142966</t>
  </si>
  <si>
    <t>PSO179317</t>
  </si>
  <si>
    <t>PSO131124</t>
  </si>
  <si>
    <t>PSO147090</t>
  </si>
  <si>
    <t>PSO84877</t>
  </si>
  <si>
    <t>PSO80061</t>
  </si>
  <si>
    <t>PSO142968</t>
  </si>
  <si>
    <t>PSO181361</t>
  </si>
  <si>
    <t>PSO108147</t>
  </si>
  <si>
    <t>PSO227164</t>
  </si>
  <si>
    <t>PSO129763</t>
  </si>
  <si>
    <t>PSO238291</t>
  </si>
  <si>
    <t>PSO174413</t>
  </si>
  <si>
    <t>PSO272117</t>
  </si>
  <si>
    <t>PSO168215</t>
  </si>
  <si>
    <t>PSO142464</t>
  </si>
  <si>
    <t>PSO156263</t>
  </si>
  <si>
    <t>PSO142136</t>
  </si>
  <si>
    <t>PSO275688</t>
  </si>
  <si>
    <t>PSO249885</t>
  </si>
  <si>
    <t>PSO87811</t>
  </si>
  <si>
    <t>PSO120719</t>
  </si>
  <si>
    <t>PSO277740</t>
  </si>
  <si>
    <t>PSO117891</t>
  </si>
  <si>
    <t>PSO140100</t>
  </si>
  <si>
    <t>PSO238263</t>
  </si>
  <si>
    <t>PSO185308</t>
  </si>
  <si>
    <t>PSO269383</t>
  </si>
  <si>
    <t>PSO259446</t>
  </si>
  <si>
    <t>PSO7549870</t>
  </si>
  <si>
    <t>PSO211583</t>
  </si>
  <si>
    <t>PSO175342</t>
  </si>
  <si>
    <t>PSO132460</t>
  </si>
  <si>
    <t>PSO118039</t>
  </si>
  <si>
    <t>PSO269348</t>
  </si>
  <si>
    <t>PSO7545455</t>
  </si>
  <si>
    <t>PSO7278026</t>
  </si>
  <si>
    <t>PSO125007</t>
  </si>
  <si>
    <t>PSO139567</t>
  </si>
  <si>
    <t>PSO82727</t>
  </si>
  <si>
    <t>PSO234571</t>
  </si>
  <si>
    <t>PSO118948</t>
  </si>
  <si>
    <t>PSO277592</t>
  </si>
  <si>
    <t>PSO111322</t>
  </si>
  <si>
    <t>PSO250925</t>
  </si>
  <si>
    <t>PSO181067</t>
  </si>
  <si>
    <t>PSO254674</t>
  </si>
  <si>
    <t>PSO144473</t>
  </si>
  <si>
    <t>PSO183374</t>
  </si>
  <si>
    <t>PSO7526849</t>
  </si>
  <si>
    <t>PSO109758</t>
  </si>
  <si>
    <t>PSO88756</t>
  </si>
  <si>
    <t>PSO144764</t>
  </si>
  <si>
    <t>PSO258160</t>
  </si>
  <si>
    <t>PSO251967</t>
  </si>
  <si>
    <t>PSO137373</t>
  </si>
  <si>
    <t>PSO137935</t>
  </si>
  <si>
    <t>PSO88832</t>
  </si>
  <si>
    <t>PSO134332</t>
  </si>
  <si>
    <t>PSO114145</t>
  </si>
  <si>
    <t>PSO126750</t>
  </si>
  <si>
    <t>PSO116158</t>
  </si>
  <si>
    <t>PSO99392</t>
  </si>
  <si>
    <t>PSO239883</t>
  </si>
  <si>
    <t>PSO176766</t>
  </si>
  <si>
    <t>PSO250054</t>
  </si>
  <si>
    <t>PSO143035</t>
  </si>
  <si>
    <t>PSO253034</t>
  </si>
  <si>
    <t>PSO259058</t>
  </si>
  <si>
    <t>PSO84180</t>
  </si>
  <si>
    <t>PSO102008</t>
  </si>
  <si>
    <t>PSO124636</t>
  </si>
  <si>
    <t>PSO100764</t>
  </si>
  <si>
    <t>PSO113021</t>
  </si>
  <si>
    <t>PSO260328</t>
  </si>
  <si>
    <t>PSO180861</t>
  </si>
  <si>
    <t>PSO147947</t>
  </si>
  <si>
    <t>PSO110620</t>
  </si>
  <si>
    <t>PSO125563</t>
  </si>
  <si>
    <t>PSO147284</t>
  </si>
  <si>
    <t>PSO188185</t>
  </si>
  <si>
    <t>PSO139949</t>
  </si>
  <si>
    <t>PSO115596</t>
  </si>
  <si>
    <t>PSO123947</t>
  </si>
  <si>
    <t>PSO98341</t>
  </si>
  <si>
    <t>PSO7266133</t>
  </si>
  <si>
    <t>PSO98146</t>
  </si>
  <si>
    <t>PSO191506</t>
  </si>
  <si>
    <t>PSO7344818</t>
  </si>
  <si>
    <t>PSO116658</t>
  </si>
  <si>
    <t>PSO83716</t>
  </si>
  <si>
    <t>PSO261330</t>
  </si>
  <si>
    <t>PSO209971</t>
  </si>
  <si>
    <t>PSO239833</t>
  </si>
  <si>
    <t>PSO145494</t>
  </si>
  <si>
    <t>PSO139678</t>
  </si>
  <si>
    <t>PSO246300</t>
  </si>
  <si>
    <t>PSO184737</t>
  </si>
  <si>
    <t>PSO223982</t>
  </si>
  <si>
    <t>PSO116847</t>
  </si>
  <si>
    <t>PSO116419</t>
  </si>
  <si>
    <t>PSO276360</t>
  </si>
  <si>
    <t>PSO143197</t>
  </si>
  <si>
    <t>PSO168997</t>
  </si>
  <si>
    <t>PSO100877</t>
  </si>
  <si>
    <t>PSO111899</t>
  </si>
  <si>
    <t>PSO124874</t>
  </si>
  <si>
    <t>PSO235848</t>
  </si>
  <si>
    <t>PSO147076</t>
  </si>
  <si>
    <t>PSO137639</t>
  </si>
  <si>
    <t>PSO99824</t>
  </si>
  <si>
    <t>PSO7278110</t>
  </si>
  <si>
    <t>PSO144947</t>
  </si>
  <si>
    <t>PSO122226</t>
  </si>
  <si>
    <t>PSO111838</t>
  </si>
  <si>
    <t>PSO87172</t>
  </si>
  <si>
    <t>PSO109793</t>
  </si>
  <si>
    <t>PSO82788</t>
  </si>
  <si>
    <t>PSO211899</t>
  </si>
  <si>
    <t>PSO89285</t>
  </si>
  <si>
    <t>PSO7532064</t>
  </si>
  <si>
    <t>PSO141054</t>
  </si>
  <si>
    <t>PSO249000</t>
  </si>
  <si>
    <t>PSO182031</t>
  </si>
  <si>
    <t>PSO257023</t>
  </si>
  <si>
    <t>PSO141134</t>
  </si>
  <si>
    <t>PSO106306</t>
  </si>
  <si>
    <t>PSO7317826</t>
  </si>
  <si>
    <t>PSO7353484</t>
  </si>
  <si>
    <t>PSO107746</t>
  </si>
  <si>
    <t>PSO81450</t>
  </si>
  <si>
    <t>PSO133089</t>
  </si>
  <si>
    <t>PSO269248</t>
  </si>
  <si>
    <t>PSO239569</t>
  </si>
  <si>
    <t>PSO254512</t>
  </si>
  <si>
    <t>PSO204293</t>
  </si>
  <si>
    <t>PSO246151</t>
  </si>
  <si>
    <t>PSO253456</t>
  </si>
  <si>
    <t>PSO145749</t>
  </si>
  <si>
    <t>PSO123787</t>
  </si>
  <si>
    <t>PSO127953</t>
  </si>
  <si>
    <t>PSO99620</t>
  </si>
  <si>
    <t>PSO239655</t>
  </si>
  <si>
    <t>PSO187961</t>
  </si>
  <si>
    <t>PSO122262</t>
  </si>
  <si>
    <t>PSO252291</t>
  </si>
  <si>
    <t>PSO187829</t>
  </si>
  <si>
    <t>PSO181203</t>
  </si>
  <si>
    <t>PSO103776</t>
  </si>
  <si>
    <t>PSO236404</t>
  </si>
  <si>
    <t>PSO79291</t>
  </si>
  <si>
    <t>PSO200777</t>
  </si>
  <si>
    <t>PSO240560</t>
  </si>
  <si>
    <t>PSO170199</t>
  </si>
  <si>
    <t>PSO242311</t>
  </si>
  <si>
    <t>PSO142514</t>
  </si>
  <si>
    <t>PSO118280</t>
  </si>
  <si>
    <t>PSO89568</t>
  </si>
  <si>
    <t>PSO194737</t>
  </si>
  <si>
    <t>PSO271186</t>
  </si>
  <si>
    <t>PSO262074</t>
  </si>
  <si>
    <t>PSO182252</t>
  </si>
  <si>
    <t>PSO104979</t>
  </si>
  <si>
    <t>PSO7164257</t>
  </si>
  <si>
    <t>PSO90110</t>
  </si>
  <si>
    <t>PSO166821</t>
  </si>
  <si>
    <t>PSO86482</t>
  </si>
  <si>
    <t>PSO7549967</t>
  </si>
  <si>
    <t>PSO126464</t>
  </si>
  <si>
    <t>PSO7439284</t>
  </si>
  <si>
    <t>PSO137054</t>
  </si>
  <si>
    <t>PSO121218</t>
  </si>
  <si>
    <t>PSO113302</t>
  </si>
  <si>
    <t>PSO140575</t>
  </si>
  <si>
    <t>PSO134017</t>
  </si>
  <si>
    <t>PSO118324</t>
  </si>
  <si>
    <t>PSO246091</t>
  </si>
  <si>
    <t>PSO94633</t>
  </si>
  <si>
    <t>PSO148920</t>
  </si>
  <si>
    <t>PSO145242</t>
  </si>
  <si>
    <t>PSO146067</t>
  </si>
  <si>
    <t>PSO112306</t>
  </si>
  <si>
    <t>PSO130831</t>
  </si>
  <si>
    <t>PSO115090</t>
  </si>
  <si>
    <t>PSO241552</t>
  </si>
  <si>
    <t>PSO125861</t>
  </si>
  <si>
    <t>PSO100006</t>
  </si>
  <si>
    <t>PSO123536</t>
  </si>
  <si>
    <t>PSO88824</t>
  </si>
  <si>
    <t>PSO95304</t>
  </si>
  <si>
    <t>PSO117496</t>
  </si>
  <si>
    <t>PSO104369</t>
  </si>
  <si>
    <t>PSO267237</t>
  </si>
  <si>
    <t>PSO169635</t>
  </si>
  <si>
    <t>PSO127145</t>
  </si>
  <si>
    <t>PSO267076</t>
  </si>
  <si>
    <t>PSO95494</t>
  </si>
  <si>
    <t>PSO79595</t>
  </si>
  <si>
    <t>PSO181606</t>
  </si>
  <si>
    <t>PSO88057</t>
  </si>
  <si>
    <t>PSO80591</t>
  </si>
  <si>
    <t>PSO103206</t>
  </si>
  <si>
    <t>PSO147550</t>
  </si>
  <si>
    <t>PSO146592</t>
  </si>
  <si>
    <t>PSO136700</t>
  </si>
  <si>
    <t>PSO270762</t>
  </si>
  <si>
    <t>PSO94303</t>
  </si>
  <si>
    <t>PSO145532</t>
  </si>
  <si>
    <t>PSO7565315</t>
  </si>
  <si>
    <t>PSO110389</t>
  </si>
  <si>
    <t>PSO107626</t>
  </si>
  <si>
    <t>PSO122456</t>
  </si>
  <si>
    <t>PSO7157661</t>
  </si>
  <si>
    <t>PSO119770</t>
  </si>
  <si>
    <t>PSO90074</t>
  </si>
  <si>
    <t>PSO239366</t>
  </si>
  <si>
    <t>PSO88041</t>
  </si>
  <si>
    <t>PSO214788</t>
  </si>
  <si>
    <t>PSO133086</t>
  </si>
  <si>
    <t>PSO90271</t>
  </si>
  <si>
    <t>PSO247098</t>
  </si>
  <si>
    <t>PSO168520</t>
  </si>
  <si>
    <t>PSO256042</t>
  </si>
  <si>
    <t>PSO103547</t>
  </si>
  <si>
    <t>PSO242253</t>
  </si>
  <si>
    <t>PSO145021</t>
  </si>
  <si>
    <t>PSO99192</t>
  </si>
  <si>
    <t>PSO147070</t>
  </si>
  <si>
    <t>PSO127018</t>
  </si>
  <si>
    <t>PSO248897</t>
  </si>
  <si>
    <t>PSO111862</t>
  </si>
  <si>
    <t>PSO243634</t>
  </si>
  <si>
    <t>PSO190504</t>
  </si>
  <si>
    <t>PSO246853</t>
  </si>
  <si>
    <t>PSO262312</t>
  </si>
  <si>
    <t>PSO249943</t>
  </si>
  <si>
    <t>PSO181238</t>
  </si>
  <si>
    <t>PSO241902</t>
  </si>
  <si>
    <t>PSO107704</t>
  </si>
  <si>
    <t>PSO142723</t>
  </si>
  <si>
    <t>PSO96717</t>
  </si>
  <si>
    <t>PSO144641</t>
  </si>
  <si>
    <t>PSO195994</t>
  </si>
  <si>
    <t>PSO78796</t>
  </si>
  <si>
    <t>PSO85276</t>
  </si>
  <si>
    <t>PSO251517</t>
  </si>
  <si>
    <t>PSO274673</t>
  </si>
  <si>
    <t>PSO123220</t>
  </si>
  <si>
    <t>PSO7501067</t>
  </si>
  <si>
    <t>PSO137368</t>
  </si>
  <si>
    <t>PSO143125</t>
  </si>
  <si>
    <t>PSO112115</t>
  </si>
  <si>
    <t>PSO212957</t>
  </si>
  <si>
    <t>PSO197040</t>
  </si>
  <si>
    <t>PSO78003</t>
  </si>
  <si>
    <t>PSO143760</t>
  </si>
  <si>
    <t>PSO266777</t>
  </si>
  <si>
    <t>PSO237314</t>
  </si>
  <si>
    <t>PSO120280</t>
  </si>
  <si>
    <t>PSO174167</t>
  </si>
  <si>
    <t>PSO118012</t>
  </si>
  <si>
    <t>PSO7532042</t>
  </si>
  <si>
    <t>PSO97557</t>
  </si>
  <si>
    <t>PSO89162</t>
  </si>
  <si>
    <t>PSO103896</t>
  </si>
  <si>
    <t>PSO140536</t>
  </si>
  <si>
    <t>PSO124802</t>
  </si>
  <si>
    <t>PSO185293</t>
  </si>
  <si>
    <t>PSO78344</t>
  </si>
  <si>
    <t>PSO141060</t>
  </si>
  <si>
    <t>PSO259241</t>
  </si>
  <si>
    <t>PSO108008</t>
  </si>
  <si>
    <t>PSO179101</t>
  </si>
  <si>
    <t>PSO236085</t>
  </si>
  <si>
    <t>PSO138132</t>
  </si>
  <si>
    <t>PSO117243</t>
  </si>
  <si>
    <t>PSO109790</t>
  </si>
  <si>
    <t>PSO129682</t>
  </si>
  <si>
    <t>PSO107998</t>
  </si>
  <si>
    <t>PSO137610</t>
  </si>
  <si>
    <t>PSO156291</t>
  </si>
  <si>
    <t>PSO171943</t>
  </si>
  <si>
    <t>PSO94537</t>
  </si>
  <si>
    <t>PSO181841</t>
  </si>
  <si>
    <t>PSO140687</t>
  </si>
  <si>
    <t>PSO181167</t>
  </si>
  <si>
    <t>PSO95742</t>
  </si>
  <si>
    <t>PSO166126</t>
  </si>
  <si>
    <t>PSO240531</t>
  </si>
  <si>
    <t>PSO243070</t>
  </si>
  <si>
    <t>PSO86873</t>
  </si>
  <si>
    <t>PSO191011</t>
  </si>
  <si>
    <t>PSO144158</t>
  </si>
  <si>
    <t>PSO100011</t>
  </si>
  <si>
    <t>PSO101292</t>
  </si>
  <si>
    <t>PSO271057</t>
  </si>
  <si>
    <t>PSO119108</t>
  </si>
  <si>
    <t>PSO241459</t>
  </si>
  <si>
    <t>PSO146312</t>
  </si>
  <si>
    <t>PSO243198</t>
  </si>
  <si>
    <t>PSO253069</t>
  </si>
  <si>
    <t>PSO92997</t>
  </si>
  <si>
    <t>PSO164408</t>
  </si>
  <si>
    <t>PSO77326</t>
  </si>
  <si>
    <t>PSO170940</t>
  </si>
  <si>
    <t>PSO110998</t>
  </si>
  <si>
    <t>PSO139666</t>
  </si>
  <si>
    <t>PSO247550</t>
  </si>
  <si>
    <t>PSO237364</t>
  </si>
  <si>
    <t>PSO260331</t>
  </si>
  <si>
    <t>PSO275390</t>
  </si>
  <si>
    <t>PSO175787</t>
  </si>
  <si>
    <t>PSO92090</t>
  </si>
  <si>
    <t>PSO135713</t>
  </si>
  <si>
    <t>PSO89438</t>
  </si>
  <si>
    <t>PSO7558839</t>
  </si>
  <si>
    <t>PSO216365</t>
  </si>
  <si>
    <t>PSO119151</t>
  </si>
  <si>
    <t>PSO245084</t>
  </si>
  <si>
    <t>PSO139500</t>
  </si>
  <si>
    <t>PSO261282</t>
  </si>
  <si>
    <t>PSO105153</t>
  </si>
  <si>
    <t>PSO135603</t>
  </si>
  <si>
    <t>PSO132061</t>
  </si>
  <si>
    <t>PSO112374</t>
  </si>
  <si>
    <t>PSO84952</t>
  </si>
  <si>
    <t>PSO115337</t>
  </si>
  <si>
    <t>PSO265722</t>
  </si>
  <si>
    <t>PSO94156</t>
  </si>
  <si>
    <t>PSO165690</t>
  </si>
  <si>
    <t>PSO107242</t>
  </si>
  <si>
    <t>PSO79949</t>
  </si>
  <si>
    <t>PSO130370</t>
  </si>
  <si>
    <t>PSO177642</t>
  </si>
  <si>
    <t>PSO176431</t>
  </si>
  <si>
    <t>PSO274933</t>
  </si>
  <si>
    <t>PSO110713</t>
  </si>
  <si>
    <t>PSO112643</t>
  </si>
  <si>
    <t>PSO119304</t>
  </si>
  <si>
    <t>PSO130177</t>
  </si>
  <si>
    <t>PSO176329</t>
  </si>
  <si>
    <t>PSO105229</t>
  </si>
  <si>
    <t>PSO239172</t>
  </si>
  <si>
    <t>PSO255784</t>
  </si>
  <si>
    <t>PSO261680</t>
  </si>
  <si>
    <t>PSO88739</t>
  </si>
  <si>
    <t>PSO110735</t>
  </si>
  <si>
    <t>PSO268061</t>
  </si>
  <si>
    <t>PSO85412</t>
  </si>
  <si>
    <t>PSO119197</t>
  </si>
  <si>
    <t>PSO88191</t>
  </si>
  <si>
    <t>PSO174941</t>
  </si>
  <si>
    <t>PSO174125</t>
  </si>
  <si>
    <t>PSO103054</t>
  </si>
  <si>
    <t>PSO184877</t>
  </si>
  <si>
    <t>PSO145893</t>
  </si>
  <si>
    <t>PSO77158</t>
  </si>
  <si>
    <t>PSO241295</t>
  </si>
  <si>
    <t>PSO135364</t>
  </si>
  <si>
    <t>PSO105366</t>
  </si>
  <si>
    <t>PSO157459</t>
  </si>
  <si>
    <t>PSO119295</t>
  </si>
  <si>
    <t>PSO140671</t>
  </si>
  <si>
    <t>PSO175588</t>
  </si>
  <si>
    <t>PSO241607</t>
  </si>
  <si>
    <t>PSO134071</t>
  </si>
  <si>
    <t>PSO127481</t>
  </si>
  <si>
    <t>PSO103934</t>
  </si>
  <si>
    <t>PSO97230</t>
  </si>
  <si>
    <t>PSO104409</t>
  </si>
  <si>
    <t>PSO113448</t>
  </si>
  <si>
    <t>PSO234272</t>
  </si>
  <si>
    <t>PSO94024</t>
  </si>
  <si>
    <t>PSO171259</t>
  </si>
  <si>
    <t>PSO260137</t>
  </si>
  <si>
    <t>PSO111771</t>
  </si>
  <si>
    <t>PSO276969</t>
  </si>
  <si>
    <t>PSO86216</t>
  </si>
  <si>
    <t>PSO140756</t>
  </si>
  <si>
    <t>PSO236893</t>
  </si>
  <si>
    <t>PSO86954</t>
  </si>
  <si>
    <t>PSO237272</t>
  </si>
  <si>
    <t>PSO115401</t>
  </si>
  <si>
    <t>PSO149065</t>
  </si>
  <si>
    <t>PSO134612</t>
  </si>
  <si>
    <t>PSO95894</t>
  </si>
  <si>
    <t>PSO105657</t>
  </si>
  <si>
    <t>PSO140785</t>
  </si>
  <si>
    <t>PSO89955</t>
  </si>
  <si>
    <t>PSO82650</t>
  </si>
  <si>
    <t>PSO87709</t>
  </si>
  <si>
    <t>PSO127230</t>
  </si>
  <si>
    <t>PSO181710</t>
  </si>
  <si>
    <t>PSO241296</t>
  </si>
  <si>
    <t>PSO103853</t>
  </si>
  <si>
    <t>PSO102168</t>
  </si>
  <si>
    <t>PSO169122</t>
  </si>
  <si>
    <t>PSO133044</t>
  </si>
  <si>
    <t>PSO142802</t>
  </si>
  <si>
    <t>PSO109786</t>
  </si>
  <si>
    <t>PSO101006</t>
  </si>
  <si>
    <t>PSO82071</t>
  </si>
  <si>
    <t>PSO175827</t>
  </si>
  <si>
    <t>PSO103872</t>
  </si>
  <si>
    <t>PSO139151</t>
  </si>
  <si>
    <t>PSO109340</t>
  </si>
  <si>
    <t>PSO127240</t>
  </si>
  <si>
    <t>PSO7322674</t>
  </si>
  <si>
    <t>PSO149063</t>
  </si>
  <si>
    <t>PSO140746</t>
  </si>
  <si>
    <t>PSO98258</t>
  </si>
  <si>
    <t>PSO250769</t>
  </si>
  <si>
    <t>PSO180490</t>
  </si>
  <si>
    <t>PSO97569</t>
  </si>
  <si>
    <t>PSO87271</t>
  </si>
  <si>
    <t>PSO87590</t>
  </si>
  <si>
    <t>PSO97750</t>
  </si>
  <si>
    <t>PSO142477</t>
  </si>
  <si>
    <t>PSO83215</t>
  </si>
  <si>
    <t>PSO102283</t>
  </si>
  <si>
    <t>PSO105146</t>
  </si>
  <si>
    <t>PSO106310</t>
  </si>
  <si>
    <t>PSO252312</t>
  </si>
  <si>
    <t>PSO95102</t>
  </si>
  <si>
    <t>PSO80964</t>
  </si>
  <si>
    <t>PSO112237</t>
  </si>
  <si>
    <t>PSO136147</t>
  </si>
  <si>
    <t>PSO257840</t>
  </si>
  <si>
    <t>PSO123876</t>
  </si>
  <si>
    <t>PSO79023</t>
  </si>
  <si>
    <t>PSO247980</t>
  </si>
  <si>
    <t>PSO182736</t>
  </si>
  <si>
    <t>PSO85159</t>
  </si>
  <si>
    <t>PSO131635</t>
  </si>
  <si>
    <t>PSO143009</t>
  </si>
  <si>
    <t>PSO144924</t>
  </si>
  <si>
    <t>PSO147186</t>
  </si>
  <si>
    <t>PSO108213</t>
  </si>
  <si>
    <t>PSO259561</t>
  </si>
  <si>
    <t>PSO248842</t>
  </si>
  <si>
    <t>PSO148706</t>
  </si>
  <si>
    <t>PSO105423</t>
  </si>
  <si>
    <t>PSO128642</t>
  </si>
  <si>
    <t>PSO86943</t>
  </si>
  <si>
    <t>PSO115594</t>
  </si>
  <si>
    <t>PSO107053</t>
  </si>
  <si>
    <t>PSO121689</t>
  </si>
  <si>
    <t>PSO166260</t>
  </si>
  <si>
    <t>PSO262351</t>
  </si>
  <si>
    <t>PSO173489</t>
  </si>
  <si>
    <t>PSO119541</t>
  </si>
  <si>
    <t>PSO126080</t>
  </si>
  <si>
    <t>PSO173234</t>
  </si>
  <si>
    <t>PSO262989</t>
  </si>
  <si>
    <t>PSO137834</t>
  </si>
  <si>
    <t>PSO99287</t>
  </si>
  <si>
    <t>PSO77917</t>
  </si>
  <si>
    <t>PSO240208</t>
  </si>
  <si>
    <t>PSO127159</t>
  </si>
  <si>
    <t>PSO98741</t>
  </si>
  <si>
    <t>PSO127354</t>
  </si>
  <si>
    <t>PSO108304</t>
  </si>
  <si>
    <t>PSO141980</t>
  </si>
  <si>
    <t>PSO102397</t>
  </si>
  <si>
    <t>PSO147386</t>
  </si>
  <si>
    <t>PSO91753</t>
  </si>
  <si>
    <t>PSO108964</t>
  </si>
  <si>
    <t>PSO251762</t>
  </si>
  <si>
    <t>PSO175681</t>
  </si>
  <si>
    <t>PSO256578</t>
  </si>
  <si>
    <t>PSO124054</t>
  </si>
  <si>
    <t>PSO185174</t>
  </si>
  <si>
    <t>PSO161146</t>
  </si>
  <si>
    <t>PSO195397</t>
  </si>
  <si>
    <t>PSO141434</t>
  </si>
  <si>
    <t>PSO269497</t>
  </si>
  <si>
    <t>PSO129093</t>
  </si>
  <si>
    <t>PSO139735</t>
  </si>
  <si>
    <t>PSO115531</t>
  </si>
  <si>
    <t>PSO79273</t>
  </si>
  <si>
    <t>PSO245943</t>
  </si>
  <si>
    <t>PSO128208</t>
  </si>
  <si>
    <t>PSO129683</t>
  </si>
  <si>
    <t>PSO254214</t>
  </si>
  <si>
    <t>PSO128049</t>
  </si>
  <si>
    <t>PSO105492</t>
  </si>
  <si>
    <t>PSO181493</t>
  </si>
  <si>
    <t>PSO102793</t>
  </si>
  <si>
    <t>PSO261836</t>
  </si>
  <si>
    <t>PSO99077</t>
  </si>
  <si>
    <t>PSO121252</t>
  </si>
  <si>
    <t>PSO238278</t>
  </si>
  <si>
    <t>PSO128991</t>
  </si>
  <si>
    <t>PSO176096</t>
  </si>
  <si>
    <t>PSO180537</t>
  </si>
  <si>
    <t>PSO108179</t>
  </si>
  <si>
    <t>PSO112229</t>
  </si>
  <si>
    <t>PSO93301</t>
  </si>
  <si>
    <t>PSO111301</t>
  </si>
  <si>
    <t>PSO144436</t>
  </si>
  <si>
    <t>PSO97659</t>
  </si>
  <si>
    <t>PSO138434</t>
  </si>
  <si>
    <t>PSO144875</t>
  </si>
  <si>
    <t>PSO143282</t>
  </si>
  <si>
    <t>PSO103145</t>
  </si>
  <si>
    <t>PSO116980</t>
  </si>
  <si>
    <t>PSO83203</t>
  </si>
  <si>
    <t>PSO177651</t>
  </si>
  <si>
    <t>PSO95004</t>
  </si>
  <si>
    <t>PSO141303</t>
  </si>
  <si>
    <t>PSO267302</t>
  </si>
  <si>
    <t>PSO81044</t>
  </si>
  <si>
    <t>PSO118192</t>
  </si>
  <si>
    <t>PSO238034</t>
  </si>
  <si>
    <t>PSO85461</t>
  </si>
  <si>
    <t>PSO98496</t>
  </si>
  <si>
    <t>PSO87576</t>
  </si>
  <si>
    <t>PSO138583</t>
  </si>
  <si>
    <t>PSO213329</t>
  </si>
  <si>
    <t>PSO113876</t>
  </si>
  <si>
    <t>PSO139901</t>
  </si>
  <si>
    <t>PSO122145</t>
  </si>
  <si>
    <t>PSO143482</t>
  </si>
  <si>
    <t>PSO214889</t>
  </si>
  <si>
    <t>PSO240919</t>
  </si>
  <si>
    <t>PSO143711</t>
  </si>
  <si>
    <t>PSO277659</t>
  </si>
  <si>
    <t>PSO132135</t>
  </si>
  <si>
    <t>PSO185693</t>
  </si>
  <si>
    <t>PSO216196</t>
  </si>
  <si>
    <t>PSO129911</t>
  </si>
  <si>
    <t>PSO137879</t>
  </si>
  <si>
    <t>PSO135413</t>
  </si>
  <si>
    <t>PSO257829</t>
  </si>
  <si>
    <t>PSO107954</t>
  </si>
  <si>
    <t>PSO83226</t>
  </si>
  <si>
    <t>PSO88193</t>
  </si>
  <si>
    <t>PSO234116</t>
  </si>
  <si>
    <t>PSO145636</t>
  </si>
  <si>
    <t>PSO143401</t>
  </si>
  <si>
    <t>PSO107819</t>
  </si>
  <si>
    <t>PSO165505</t>
  </si>
  <si>
    <t>PSO241455</t>
  </si>
  <si>
    <t>PSO270874</t>
  </si>
  <si>
    <t>PSO105702</t>
  </si>
  <si>
    <t>PSO89347</t>
  </si>
  <si>
    <t>PSO146061</t>
  </si>
  <si>
    <t>PSO116160</t>
  </si>
  <si>
    <t>PSO260479</t>
  </si>
  <si>
    <t>PSO140154</t>
  </si>
  <si>
    <t>PSO92935</t>
  </si>
  <si>
    <t>PSO147187</t>
  </si>
  <si>
    <t>PSO253198</t>
  </si>
  <si>
    <t>PSO83572</t>
  </si>
  <si>
    <t>PSO135702</t>
  </si>
  <si>
    <t>PSO241191</t>
  </si>
  <si>
    <t>PSO128226</t>
  </si>
  <si>
    <t>PSO129223</t>
  </si>
  <si>
    <t>PSO82261</t>
  </si>
  <si>
    <t>PSO217699</t>
  </si>
  <si>
    <t>PSO112330</t>
  </si>
  <si>
    <t>PSO7240919</t>
  </si>
  <si>
    <t>PSO134525</t>
  </si>
  <si>
    <t>PSO244423</t>
  </si>
  <si>
    <t>PSO7557110</t>
  </si>
  <si>
    <t>PSO133234</t>
  </si>
  <si>
    <t>PSO144062</t>
  </si>
  <si>
    <t>PSO169578</t>
  </si>
  <si>
    <t>PSO223803</t>
  </si>
  <si>
    <t>PSO92182</t>
  </si>
  <si>
    <t>PSO132303</t>
  </si>
  <si>
    <t>PSO123197</t>
  </si>
  <si>
    <t>PSO7501105</t>
  </si>
  <si>
    <t>PSO171685</t>
  </si>
  <si>
    <t>PSO138213</t>
  </si>
  <si>
    <t>PSO132141</t>
  </si>
  <si>
    <t>PSO138774</t>
  </si>
  <si>
    <t>PSO144735</t>
  </si>
  <si>
    <t>PSO129874</t>
  </si>
  <si>
    <t>PSO182857</t>
  </si>
  <si>
    <t>PSO92942</t>
  </si>
  <si>
    <t>PSO86276</t>
  </si>
  <si>
    <t>PSO156052</t>
  </si>
  <si>
    <t>PSO165889</t>
  </si>
  <si>
    <t>PSO145501</t>
  </si>
  <si>
    <t>PSO98845</t>
  </si>
  <si>
    <t>PSO89135</t>
  </si>
  <si>
    <t>PSO141774</t>
  </si>
  <si>
    <t>PSO119182</t>
  </si>
  <si>
    <t>PSO237173</t>
  </si>
  <si>
    <t>PSO119030</t>
  </si>
  <si>
    <t>PSO106900</t>
  </si>
  <si>
    <t>PSO127845</t>
  </si>
  <si>
    <t>PSO205927</t>
  </si>
  <si>
    <t>PSO116256</t>
  </si>
  <si>
    <t>PSO241394</t>
  </si>
  <si>
    <t>PSO90195</t>
  </si>
  <si>
    <t>PSO113863</t>
  </si>
  <si>
    <t>PSO209333</t>
  </si>
  <si>
    <t>PSO186163</t>
  </si>
  <si>
    <t>PSO271460</t>
  </si>
  <si>
    <t>PSO240525</t>
  </si>
  <si>
    <t>PSO129050</t>
  </si>
  <si>
    <t>PSO246585</t>
  </si>
  <si>
    <t>PSO144159</t>
  </si>
  <si>
    <t>PSO251117</t>
  </si>
  <si>
    <t>PSO165721</t>
  </si>
  <si>
    <t>PSO272425</t>
  </si>
  <si>
    <t>PSO146069</t>
  </si>
  <si>
    <t>PSO193736</t>
  </si>
  <si>
    <t>PSO132533</t>
  </si>
  <si>
    <t>PSO77823</t>
  </si>
  <si>
    <t>PSO166411</t>
  </si>
  <si>
    <t>PSO187843</t>
  </si>
  <si>
    <t>PSO123351</t>
  </si>
  <si>
    <t>PSO89734</t>
  </si>
  <si>
    <t>PSO7157589</t>
  </si>
  <si>
    <t>PSO79488</t>
  </si>
  <si>
    <t>PSO275997</t>
  </si>
  <si>
    <t>PSO193742</t>
  </si>
  <si>
    <t>PSO233566</t>
  </si>
  <si>
    <t>PSO167022</t>
  </si>
  <si>
    <t>PSO143781</t>
  </si>
  <si>
    <t>PSO215343</t>
  </si>
  <si>
    <t>PSO101925</t>
  </si>
  <si>
    <t>PSO183383</t>
  </si>
  <si>
    <t>PSO103910</t>
  </si>
  <si>
    <t>PSO142796</t>
  </si>
  <si>
    <t>PSO177730</t>
  </si>
  <si>
    <t>PSO169788</t>
  </si>
  <si>
    <t>PSO97801</t>
  </si>
  <si>
    <t>PSO250489</t>
  </si>
  <si>
    <t>PSO130174</t>
  </si>
  <si>
    <t>PSO115272</t>
  </si>
  <si>
    <t>PSO271080</t>
  </si>
  <si>
    <t>PSO96883</t>
  </si>
  <si>
    <t>PSO156411</t>
  </si>
  <si>
    <t>PSO7357961</t>
  </si>
  <si>
    <t>PSO139251</t>
  </si>
  <si>
    <t>PSO125798</t>
  </si>
  <si>
    <t>PSO91341</t>
  </si>
  <si>
    <t>PSO89155</t>
  </si>
  <si>
    <t>PSO83881</t>
  </si>
  <si>
    <t>PSO135088</t>
  </si>
  <si>
    <t>PSO146015</t>
  </si>
  <si>
    <t>PSO178336</t>
  </si>
  <si>
    <t>PSO86809</t>
  </si>
  <si>
    <t>PSO91523</t>
  </si>
  <si>
    <t>PSO102564</t>
  </si>
  <si>
    <t>PSO114058</t>
  </si>
  <si>
    <t>PSO92689</t>
  </si>
  <si>
    <t>PSO105927</t>
  </si>
  <si>
    <t>PSO253846</t>
  </si>
  <si>
    <t>PSO131191</t>
  </si>
  <si>
    <t>PSO277487</t>
  </si>
  <si>
    <t>PSO129220</t>
  </si>
  <si>
    <t>PSO109838</t>
  </si>
  <si>
    <t>PSO168150</t>
  </si>
  <si>
    <t>PSO252175</t>
  </si>
  <si>
    <t>PSO259546</t>
  </si>
  <si>
    <t>PSO7298050</t>
  </si>
  <si>
    <t>PSO204982</t>
  </si>
  <si>
    <t>PSO109192</t>
  </si>
  <si>
    <t>PSO140143</t>
  </si>
  <si>
    <t>PSO143208</t>
  </si>
  <si>
    <t>PSO277590</t>
  </si>
  <si>
    <t>PSO238569</t>
  </si>
  <si>
    <t>PSO241699</t>
  </si>
  <si>
    <t>PSO271831</t>
  </si>
  <si>
    <t>PSO88337</t>
  </si>
  <si>
    <t>PSO145312</t>
  </si>
  <si>
    <t>PSO205018</t>
  </si>
  <si>
    <t>PSO175572</t>
  </si>
  <si>
    <t>PSO116455</t>
  </si>
  <si>
    <t>PSO181818</t>
  </si>
  <si>
    <t>PSO267857</t>
  </si>
  <si>
    <t>PSO140677</t>
  </si>
  <si>
    <t>PSO115447</t>
  </si>
  <si>
    <t>PSO7309028</t>
  </si>
  <si>
    <t>PSO123382</t>
  </si>
  <si>
    <t>PSO272422</t>
  </si>
  <si>
    <t>PSO240211</t>
  </si>
  <si>
    <t>PSO129224</t>
  </si>
  <si>
    <t>PSO87218</t>
  </si>
  <si>
    <t>PSO127629</t>
  </si>
  <si>
    <t>PSO119184</t>
  </si>
  <si>
    <t>PSO144824</t>
  </si>
  <si>
    <t>PSO108901</t>
  </si>
  <si>
    <t>PSO203049</t>
  </si>
  <si>
    <t>PSO90130</t>
  </si>
  <si>
    <t>PSO270382</t>
  </si>
  <si>
    <t>PSO120925</t>
  </si>
  <si>
    <t>PSO209844</t>
  </si>
  <si>
    <t>PSO87895</t>
  </si>
  <si>
    <t>PSO193755</t>
  </si>
  <si>
    <t>PSO107881</t>
  </si>
  <si>
    <t>PSO120235</t>
  </si>
  <si>
    <t>PSO96108</t>
  </si>
  <si>
    <t>PSO142503</t>
  </si>
  <si>
    <t>PSO188009</t>
  </si>
  <si>
    <t>PSO264750</t>
  </si>
  <si>
    <t>PSO271082</t>
  </si>
  <si>
    <t>PSO119076</t>
  </si>
  <si>
    <t>PSO79418</t>
  </si>
  <si>
    <t>PSO249777</t>
  </si>
  <si>
    <t>PSO140948</t>
  </si>
  <si>
    <t>PSO124424</t>
  </si>
  <si>
    <t>PSO152890</t>
  </si>
  <si>
    <t>PSO274149</t>
  </si>
  <si>
    <t>PSO98781</t>
  </si>
  <si>
    <t>PSO199025</t>
  </si>
  <si>
    <t>PSO134924</t>
  </si>
  <si>
    <t>PSO7569718</t>
  </si>
  <si>
    <t>PSO125380</t>
  </si>
  <si>
    <t>PSO132677</t>
  </si>
  <si>
    <t>PSO140648</t>
  </si>
  <si>
    <t>PSO141564</t>
  </si>
  <si>
    <t>PSO249616</t>
  </si>
  <si>
    <t>PSO77877</t>
  </si>
  <si>
    <t>PSO102382</t>
  </si>
  <si>
    <t>PSO96977</t>
  </si>
  <si>
    <t>PSO111107</t>
  </si>
  <si>
    <t>PSO81777</t>
  </si>
  <si>
    <t>PSO238701</t>
  </si>
  <si>
    <t>PSO119042</t>
  </si>
  <si>
    <t>PSO135015</t>
  </si>
  <si>
    <t>PSO259333</t>
  </si>
  <si>
    <t>PSO113831</t>
  </si>
  <si>
    <t>PSO238104</t>
  </si>
  <si>
    <t>PSO144012</t>
  </si>
  <si>
    <t>PSO133520</t>
  </si>
  <si>
    <t>PSO119029</t>
  </si>
  <si>
    <t>PSO241735</t>
  </si>
  <si>
    <t>PSO101813</t>
  </si>
  <si>
    <t>PSO263230</t>
  </si>
  <si>
    <t>PSO119638</t>
  </si>
  <si>
    <t>PSO101977</t>
  </si>
  <si>
    <t>PSO267567</t>
  </si>
  <si>
    <t>PSO145272</t>
  </si>
  <si>
    <t>PSO97558</t>
  </si>
  <si>
    <t>PSO173020</t>
  </si>
  <si>
    <t>PSO106258</t>
  </si>
  <si>
    <t>PSO115376</t>
  </si>
  <si>
    <t>PSO135226</t>
  </si>
  <si>
    <t>PSO123912</t>
  </si>
  <si>
    <t>PSO244141</t>
  </si>
  <si>
    <t>PSO122874</t>
  </si>
  <si>
    <t>PSO100864</t>
  </si>
  <si>
    <t>PSO118384</t>
  </si>
  <si>
    <t>PSO81608</t>
  </si>
  <si>
    <t>PSO140103</t>
  </si>
  <si>
    <t>PSO7291634</t>
  </si>
  <si>
    <t>PSO94440</t>
  </si>
  <si>
    <t>PSO195177</t>
  </si>
  <si>
    <t>PSO267656</t>
  </si>
  <si>
    <t>PSO96547</t>
  </si>
  <si>
    <t>PSO241384</t>
  </si>
  <si>
    <t>PSO104032</t>
  </si>
  <si>
    <t>PSO257902</t>
  </si>
  <si>
    <t>PSO113865</t>
  </si>
  <si>
    <t>PSO100088</t>
  </si>
  <si>
    <t>PSO125741</t>
  </si>
  <si>
    <t>PSO148008</t>
  </si>
  <si>
    <t>PSO114900</t>
  </si>
  <si>
    <t>PSO180228</t>
  </si>
  <si>
    <t>PSO237153</t>
  </si>
  <si>
    <t>PSO148751</t>
  </si>
  <si>
    <t>PSO241374</t>
  </si>
  <si>
    <t>PSO109888</t>
  </si>
  <si>
    <t>PSO112619</t>
  </si>
  <si>
    <t>PSO120303</t>
  </si>
  <si>
    <t>PSO90181</t>
  </si>
  <si>
    <t>PSO112865</t>
  </si>
  <si>
    <t>PSO137912</t>
  </si>
  <si>
    <t>PSO109246</t>
  </si>
  <si>
    <t>PSO93740</t>
  </si>
  <si>
    <t>PSO7332675</t>
  </si>
  <si>
    <t>PSO7526883</t>
  </si>
  <si>
    <t>PSO236958</t>
  </si>
  <si>
    <t>PSO268700</t>
  </si>
  <si>
    <t>PSO99562</t>
  </si>
  <si>
    <t>PSO251601</t>
  </si>
  <si>
    <t>PSO199702</t>
  </si>
  <si>
    <t>PSO98963</t>
  </si>
  <si>
    <t>PSO133144</t>
  </si>
  <si>
    <t>PSO140252</t>
  </si>
  <si>
    <t>PSO80985</t>
  </si>
  <si>
    <t>PSO125747</t>
  </si>
  <si>
    <t>PSO108079</t>
  </si>
  <si>
    <t>PSO146538</t>
  </si>
  <si>
    <t>PSO268613</t>
  </si>
  <si>
    <t>PSO104945</t>
  </si>
  <si>
    <t>PSO169991</t>
  </si>
  <si>
    <t>PSO7344884</t>
  </si>
  <si>
    <t>PSO268362</t>
  </si>
  <si>
    <t>PSO112541</t>
  </si>
  <si>
    <t>PSO267810</t>
  </si>
  <si>
    <t>PSO215886</t>
  </si>
  <si>
    <t>PSO90627</t>
  </si>
  <si>
    <t>PSO242024</t>
  </si>
  <si>
    <t>PSO128471</t>
  </si>
  <si>
    <t>PSO117966</t>
  </si>
  <si>
    <t>PSO144817</t>
  </si>
  <si>
    <t>PSO240204</t>
  </si>
  <si>
    <t>PSO122743</t>
  </si>
  <si>
    <t>PSO267133</t>
  </si>
  <si>
    <t>PSO252526</t>
  </si>
  <si>
    <t>PSO109250</t>
  </si>
  <si>
    <t>PSO109363</t>
  </si>
  <si>
    <t>PSO7321310</t>
  </si>
  <si>
    <t>PSO270461</t>
  </si>
  <si>
    <t>PSO184482</t>
  </si>
  <si>
    <t>PSO181867</t>
  </si>
  <si>
    <t>PSO116374</t>
  </si>
  <si>
    <t>PSO177429</t>
  </si>
  <si>
    <t>PSO243862</t>
  </si>
  <si>
    <t>PSO244708</t>
  </si>
  <si>
    <t>PSO138488</t>
  </si>
  <si>
    <t>PSO177565</t>
  </si>
  <si>
    <t>PSO274392</t>
  </si>
  <si>
    <t>PSO236381</t>
  </si>
  <si>
    <t>PSO180825</t>
  </si>
  <si>
    <t>PSO183675</t>
  </si>
  <si>
    <t>PSO269566</t>
  </si>
  <si>
    <t>PSO127746</t>
  </si>
  <si>
    <t>PSO104741</t>
  </si>
  <si>
    <t>PSO266924</t>
  </si>
  <si>
    <t>PSO131118</t>
  </si>
  <si>
    <t>PSO230679</t>
  </si>
  <si>
    <t>PSO132192</t>
  </si>
  <si>
    <t>PSO273259</t>
  </si>
  <si>
    <t>PSO238005</t>
  </si>
  <si>
    <t>PSO147397</t>
  </si>
  <si>
    <t>PSO164794</t>
  </si>
  <si>
    <t>PSO248539</t>
  </si>
  <si>
    <t>PSO214826</t>
  </si>
  <si>
    <t>PSO110424</t>
  </si>
  <si>
    <t>PSO206343</t>
  </si>
  <si>
    <t>PSO101633</t>
  </si>
  <si>
    <t>PSO200415</t>
  </si>
  <si>
    <t>PSO100981</t>
  </si>
  <si>
    <t>PSO170858</t>
  </si>
  <si>
    <t>PSO100240</t>
  </si>
  <si>
    <t>PSO274348</t>
  </si>
  <si>
    <t>PSO7188806</t>
  </si>
  <si>
    <t>PSO132423</t>
  </si>
  <si>
    <t>PSO95746</t>
  </si>
  <si>
    <t>PSO126545</t>
  </si>
  <si>
    <t>PSO144160</t>
  </si>
  <si>
    <t>PSO126671</t>
  </si>
  <si>
    <t>PSO187430</t>
  </si>
  <si>
    <t>PSO254508</t>
  </si>
  <si>
    <t>PSO128785</t>
  </si>
  <si>
    <t>PSO134241</t>
  </si>
  <si>
    <t>PSO257864</t>
  </si>
  <si>
    <t>PSO92861</t>
  </si>
  <si>
    <t>PSO255384</t>
  </si>
  <si>
    <t>PSO122705</t>
  </si>
  <si>
    <t>PSO136815</t>
  </si>
  <si>
    <t>PSO113062</t>
  </si>
  <si>
    <t>PSO185003</t>
  </si>
  <si>
    <t>PSO185552</t>
  </si>
  <si>
    <t>PSO128015</t>
  </si>
  <si>
    <t>PSO143707</t>
  </si>
  <si>
    <t>PSO271773</t>
  </si>
  <si>
    <t>PSO85046</t>
  </si>
  <si>
    <t>PSO141384</t>
  </si>
  <si>
    <t>PSO149842</t>
  </si>
  <si>
    <t>PSO193754</t>
  </si>
  <si>
    <t>PSO189841</t>
  </si>
  <si>
    <t>PSO252673</t>
  </si>
  <si>
    <t>PSO107454</t>
  </si>
  <si>
    <t>PSO277691</t>
  </si>
  <si>
    <t>PSO238198</t>
  </si>
  <si>
    <t>PSO94774</t>
  </si>
  <si>
    <t>PSO7371015</t>
  </si>
  <si>
    <t>PSO141453</t>
  </si>
  <si>
    <t>PSO243669</t>
  </si>
  <si>
    <t>PSO126587</t>
  </si>
  <si>
    <t>PSO193758</t>
  </si>
  <si>
    <t>PSO89643</t>
  </si>
  <si>
    <t>PSO83380</t>
  </si>
  <si>
    <t>PSO257912</t>
  </si>
  <si>
    <t>PSO136997</t>
  </si>
  <si>
    <t>PSO250345</t>
  </si>
  <si>
    <t>PSO143868</t>
  </si>
  <si>
    <t>PSO123673</t>
  </si>
  <si>
    <t>PSO145012</t>
  </si>
  <si>
    <t>PSO140668</t>
  </si>
  <si>
    <t>PSO247694</t>
  </si>
  <si>
    <t>PSO240108</t>
  </si>
  <si>
    <t>PSO258490</t>
  </si>
  <si>
    <t>PSO78078</t>
  </si>
  <si>
    <t>PSO142296</t>
  </si>
  <si>
    <t>PSO193764</t>
  </si>
  <si>
    <t>PSO138845</t>
  </si>
  <si>
    <t>PSO242240</t>
  </si>
  <si>
    <t>PSO79252</t>
  </si>
  <si>
    <t>PSO134225</t>
  </si>
  <si>
    <t>PSO97261</t>
  </si>
  <si>
    <t>PSO180084</t>
  </si>
  <si>
    <t>PSO172686</t>
  </si>
  <si>
    <t>PSO96396</t>
  </si>
  <si>
    <t>PSO7212424</t>
  </si>
  <si>
    <t>PSO238187</t>
  </si>
  <si>
    <t>PSO144469</t>
  </si>
  <si>
    <t>PSO251962</t>
  </si>
  <si>
    <t>PSO91308</t>
  </si>
  <si>
    <t>PSO222342</t>
  </si>
  <si>
    <t>PSO91543</t>
  </si>
  <si>
    <t>PSO105069</t>
  </si>
  <si>
    <t>PSO121727</t>
  </si>
  <si>
    <t>PSO93126</t>
  </si>
  <si>
    <t>PSO132167</t>
  </si>
  <si>
    <t>PSO193746</t>
  </si>
  <si>
    <t>PSO112427</t>
  </si>
  <si>
    <t>PSO108393</t>
  </si>
  <si>
    <t>PSO108525</t>
  </si>
  <si>
    <t>PSO118213</t>
  </si>
  <si>
    <t>PSO270718</t>
  </si>
  <si>
    <t>PSO137185</t>
  </si>
  <si>
    <t>PSO114578</t>
  </si>
  <si>
    <t>PSO143024</t>
  </si>
  <si>
    <t>PSO87702</t>
  </si>
  <si>
    <t>PSO174575</t>
  </si>
  <si>
    <t>PSO109307</t>
  </si>
  <si>
    <t>PSO177518</t>
  </si>
  <si>
    <t>PSO85927</t>
  </si>
  <si>
    <t>PSO82506</t>
  </si>
  <si>
    <t>PSO239591</t>
  </si>
  <si>
    <t>PSO7372126</t>
  </si>
  <si>
    <t>PSO183938</t>
  </si>
  <si>
    <t>PSO102252</t>
  </si>
  <si>
    <t>PSO260275</t>
  </si>
  <si>
    <t>PSO109047</t>
  </si>
  <si>
    <t>PSO119761</t>
  </si>
  <si>
    <t>PSO123041</t>
  </si>
  <si>
    <t>PSO134294</t>
  </si>
  <si>
    <t>PSO249762</t>
  </si>
  <si>
    <t>PSO126743</t>
  </si>
  <si>
    <t>PSO134616</t>
  </si>
  <si>
    <t>PSO136251</t>
  </si>
  <si>
    <t>PSO85886</t>
  </si>
  <si>
    <t>PSO244539</t>
  </si>
  <si>
    <t>PSO144358</t>
  </si>
  <si>
    <t>PSO114897</t>
  </si>
  <si>
    <t>PSO186447</t>
  </si>
  <si>
    <t>PSO140102</t>
  </si>
  <si>
    <t>PSO269436</t>
  </si>
  <si>
    <t>PSO77313</t>
  </si>
  <si>
    <t>PSO167221</t>
  </si>
  <si>
    <t>PSO144098</t>
  </si>
  <si>
    <t>PSO141798</t>
  </si>
  <si>
    <t>PSO144139</t>
  </si>
  <si>
    <t>PSO90802</t>
  </si>
  <si>
    <t>PSO171032</t>
  </si>
  <si>
    <t>PSO117111</t>
  </si>
  <si>
    <t>PSO98927</t>
  </si>
  <si>
    <t>PSO239884</t>
  </si>
  <si>
    <t>PSO110751</t>
  </si>
  <si>
    <t>PSO217163</t>
  </si>
  <si>
    <t>PSO216312</t>
  </si>
  <si>
    <t>PSO171024</t>
  </si>
  <si>
    <t>PSO272396</t>
  </si>
  <si>
    <t>PSO193735</t>
  </si>
  <si>
    <t>PSO99385</t>
  </si>
  <si>
    <t>PSO130425</t>
  </si>
  <si>
    <t>PSO107404</t>
  </si>
  <si>
    <t>PSO147178</t>
  </si>
  <si>
    <t>PSO186477</t>
  </si>
  <si>
    <t>PSO120840</t>
  </si>
  <si>
    <t>PSO146831</t>
  </si>
  <si>
    <t>PSO168382</t>
  </si>
  <si>
    <t>PSO147474</t>
  </si>
  <si>
    <t>PSO110416</t>
  </si>
  <si>
    <t>PSO78806</t>
  </si>
  <si>
    <t>PSO230841</t>
  </si>
  <si>
    <t>PSO123721</t>
  </si>
  <si>
    <t>PSO109657</t>
  </si>
  <si>
    <t>PSO181336</t>
  </si>
  <si>
    <t>PSO112662</t>
  </si>
  <si>
    <t>PSO110344</t>
  </si>
  <si>
    <t>PSO128873</t>
  </si>
  <si>
    <t>PSO99317</t>
  </si>
  <si>
    <t>PSO108516</t>
  </si>
  <si>
    <t>PSO170431</t>
  </si>
  <si>
    <t>PSO168781</t>
  </si>
  <si>
    <t>PSO119109</t>
  </si>
  <si>
    <t>PSO104980</t>
  </si>
  <si>
    <t>PSO118129</t>
  </si>
  <si>
    <t>PSO104521</t>
  </si>
  <si>
    <t>PSO254219</t>
  </si>
  <si>
    <t>PSO130999</t>
  </si>
  <si>
    <t>PSO126926</t>
  </si>
  <si>
    <t>PSO89807</t>
  </si>
  <si>
    <t>PSO102094</t>
  </si>
  <si>
    <t>PSO141722</t>
  </si>
  <si>
    <t>PSO107414</t>
  </si>
  <si>
    <t>PSO128621</t>
  </si>
  <si>
    <t>PSO146673</t>
  </si>
  <si>
    <t>PSO147850</t>
  </si>
  <si>
    <t>PSO119996</t>
  </si>
  <si>
    <t>PSO116637</t>
  </si>
  <si>
    <t>PSO147331</t>
  </si>
  <si>
    <t>PSO92790</t>
  </si>
  <si>
    <t>PSO166024</t>
  </si>
  <si>
    <t>PSO141226</t>
  </si>
  <si>
    <t>PSO276469</t>
  </si>
  <si>
    <t>PSO104116</t>
  </si>
  <si>
    <t>PSO139903</t>
  </si>
  <si>
    <t>PSO111600</t>
  </si>
  <si>
    <t>PSO112282</t>
  </si>
  <si>
    <t>PSO178523</t>
  </si>
  <si>
    <t>PSO266573</t>
  </si>
  <si>
    <t>PSO266023</t>
  </si>
  <si>
    <t>PSO125489</t>
  </si>
  <si>
    <t>PSO145733</t>
  </si>
  <si>
    <t>PSO219452</t>
  </si>
  <si>
    <t>PSO147011</t>
  </si>
  <si>
    <t>PSO234920</t>
  </si>
  <si>
    <t>PSO78111</t>
  </si>
  <si>
    <t>PSO274894</t>
  </si>
  <si>
    <t>PSO193757</t>
  </si>
  <si>
    <t>PSO104101</t>
  </si>
  <si>
    <t>PSO252483</t>
  </si>
  <si>
    <t>PSO170854</t>
  </si>
  <si>
    <t>PSO253644</t>
  </si>
  <si>
    <t>PSO130549</t>
  </si>
  <si>
    <t>PSO7493132</t>
  </si>
  <si>
    <t>PSO7264606</t>
  </si>
  <si>
    <t>PSO132078</t>
  </si>
  <si>
    <t>PSO250437</t>
  </si>
  <si>
    <t>PSO147143</t>
  </si>
  <si>
    <t>PSO202450</t>
  </si>
  <si>
    <t>PSO266478</t>
  </si>
  <si>
    <t>PSO111648</t>
  </si>
  <si>
    <t>PSO81912</t>
  </si>
  <si>
    <t>PSO133198</t>
  </si>
  <si>
    <t>PSO119067</t>
  </si>
  <si>
    <t>PSO145236</t>
  </si>
  <si>
    <t>PSO136026</t>
  </si>
  <si>
    <t>PSO105218</t>
  </si>
  <si>
    <t>PSO7549821</t>
  </si>
  <si>
    <t>PSO135399</t>
  </si>
  <si>
    <t>PSO92126</t>
  </si>
  <si>
    <t>PSO133317</t>
  </si>
  <si>
    <t>PSO140389</t>
  </si>
  <si>
    <t>PSO208523</t>
  </si>
  <si>
    <t>PSO121509</t>
  </si>
  <si>
    <t>PSO100910</t>
  </si>
  <si>
    <t>PSO159801</t>
  </si>
  <si>
    <t>PSO250053</t>
  </si>
  <si>
    <t>PSO144673</t>
  </si>
  <si>
    <t>PSO141260</t>
  </si>
  <si>
    <t>PSO260821</t>
  </si>
  <si>
    <t>PSO88084</t>
  </si>
  <si>
    <t>PSO140306</t>
  </si>
  <si>
    <t>PSO88524</t>
  </si>
  <si>
    <t>PSO147858</t>
  </si>
  <si>
    <t>PSO126031</t>
  </si>
  <si>
    <t>PSO137000</t>
  </si>
  <si>
    <t>PSO136734</t>
  </si>
  <si>
    <t>PSO106432</t>
  </si>
  <si>
    <t>PSO93563</t>
  </si>
  <si>
    <t>PSO119535</t>
  </si>
  <si>
    <t>PSO186048</t>
  </si>
  <si>
    <t>PSO120834</t>
  </si>
  <si>
    <t>PSO131895</t>
  </si>
  <si>
    <t>PSO137059</t>
  </si>
  <si>
    <t>PSO114742</t>
  </si>
  <si>
    <t>PSO96477</t>
  </si>
  <si>
    <t>PSO112454</t>
  </si>
  <si>
    <t>PSO144837</t>
  </si>
  <si>
    <t>PSO163644</t>
  </si>
  <si>
    <t>PSO147400</t>
  </si>
  <si>
    <t>PSO167565</t>
  </si>
  <si>
    <t>PSO100550</t>
  </si>
  <si>
    <t>PSO254465</t>
  </si>
  <si>
    <t>PSO119380</t>
  </si>
  <si>
    <t>PSO144718</t>
  </si>
  <si>
    <t>PSO146603</t>
  </si>
  <si>
    <t>PSO126402</t>
  </si>
  <si>
    <t>PSO168351</t>
  </si>
  <si>
    <t>PSO135775</t>
  </si>
  <si>
    <t>PSO122916</t>
  </si>
  <si>
    <t>PSO109301</t>
  </si>
  <si>
    <t>PSO130511</t>
  </si>
  <si>
    <t>PSO114860</t>
  </si>
  <si>
    <t>PSO188231</t>
  </si>
  <si>
    <t>PSO237323</t>
  </si>
  <si>
    <t>PSO116277</t>
  </si>
  <si>
    <t>PSO140017</t>
  </si>
  <si>
    <t>PSO97116</t>
  </si>
  <si>
    <t>PSO130906</t>
  </si>
  <si>
    <t>PSO150719</t>
  </si>
  <si>
    <t>PSO249432</t>
  </si>
  <si>
    <t>PSO90478</t>
  </si>
  <si>
    <t>PSO123391</t>
  </si>
  <si>
    <t>PSO78120</t>
  </si>
  <si>
    <t>PSO141071</t>
  </si>
  <si>
    <t>PSO132930</t>
  </si>
  <si>
    <t>PSO123696</t>
  </si>
  <si>
    <t>PSO265687</t>
  </si>
  <si>
    <t>PSO121490</t>
  </si>
  <si>
    <t>PSO85481</t>
  </si>
  <si>
    <t>PSO129450</t>
  </si>
  <si>
    <t>PSO109233</t>
  </si>
  <si>
    <t>PSO81731</t>
  </si>
  <si>
    <t>PSO87499</t>
  </si>
  <si>
    <t>PSO250448</t>
  </si>
  <si>
    <t>PSO117297</t>
  </si>
  <si>
    <t>PSO81826</t>
  </si>
  <si>
    <t>PSO94583</t>
  </si>
  <si>
    <t>PSO141477</t>
  </si>
  <si>
    <t>PSO106748</t>
  </si>
  <si>
    <t>PSO139835</t>
  </si>
  <si>
    <t>PSO119915</t>
  </si>
  <si>
    <t>PSO101346</t>
  </si>
  <si>
    <t>PSO137245</t>
  </si>
  <si>
    <t>PSO126829</t>
  </si>
  <si>
    <t>PSO182554</t>
  </si>
  <si>
    <t>PSO145876</t>
  </si>
  <si>
    <t>PSO142144</t>
  </si>
  <si>
    <t>PSO241018</t>
  </si>
  <si>
    <t>PSO183994</t>
  </si>
  <si>
    <t>PSO271234</t>
  </si>
  <si>
    <t>PSO123888</t>
  </si>
  <si>
    <t>PSO139321</t>
  </si>
  <si>
    <t>PSO116273</t>
  </si>
  <si>
    <t>PSO124473</t>
  </si>
  <si>
    <t>PSO270604</t>
  </si>
  <si>
    <t>PSO86658</t>
  </si>
  <si>
    <t>PSO78131</t>
  </si>
  <si>
    <t>PSO269642</t>
  </si>
  <si>
    <t>PSO113671</t>
  </si>
  <si>
    <t>PSO181611</t>
  </si>
  <si>
    <t>PSO186160</t>
  </si>
  <si>
    <t>PSO139160</t>
  </si>
  <si>
    <t>PSO216013</t>
  </si>
  <si>
    <t>PSO258390</t>
  </si>
  <si>
    <t>PSO77919</t>
  </si>
  <si>
    <t>PSO135912</t>
  </si>
  <si>
    <t>PSO176276</t>
  </si>
  <si>
    <t>PSO147651</t>
  </si>
  <si>
    <t>PSO118729</t>
  </si>
  <si>
    <t>PSO143200</t>
  </si>
  <si>
    <t>PSO177048</t>
  </si>
  <si>
    <t>PSO187234</t>
  </si>
  <si>
    <t>PSO241833</t>
  </si>
  <si>
    <t>PSO185553</t>
  </si>
  <si>
    <t>PSO100552</t>
  </si>
  <si>
    <t>PSO131076</t>
  </si>
  <si>
    <t>PSO239784</t>
  </si>
  <si>
    <t>PSO166729</t>
  </si>
  <si>
    <t>PSO262943</t>
  </si>
  <si>
    <t>PSO208418</t>
  </si>
  <si>
    <t>PSO143014</t>
  </si>
  <si>
    <t>PSO78484</t>
  </si>
  <si>
    <t>PSO130559</t>
  </si>
  <si>
    <t>PSO83909</t>
  </si>
  <si>
    <t>PSO142122</t>
  </si>
  <si>
    <t>PSO239700</t>
  </si>
  <si>
    <t>PSO123330</t>
  </si>
  <si>
    <t>PSO111483</t>
  </si>
  <si>
    <t>PSO146053</t>
  </si>
  <si>
    <t>PSO136427</t>
  </si>
  <si>
    <t>PSO75566</t>
  </si>
  <si>
    <t>PSO187295</t>
  </si>
  <si>
    <t>PSO126853</t>
  </si>
  <si>
    <t>PSO126193</t>
  </si>
  <si>
    <t>PSO133904</t>
  </si>
  <si>
    <t>PSO104158</t>
  </si>
  <si>
    <t>PSO241387</t>
  </si>
  <si>
    <t>PSO132668</t>
  </si>
  <si>
    <t>PSO172317</t>
  </si>
  <si>
    <t>PSO99337</t>
  </si>
  <si>
    <t>PSO137585</t>
  </si>
  <si>
    <t>PSO143651</t>
  </si>
  <si>
    <t>PSO240270</t>
  </si>
  <si>
    <t>PSO113058</t>
  </si>
  <si>
    <t>PSO85606</t>
  </si>
  <si>
    <t>PSO203239</t>
  </si>
  <si>
    <t>PSO184105</t>
  </si>
  <si>
    <t>PSO253559</t>
  </si>
  <si>
    <t>PSO142976</t>
  </si>
  <si>
    <t>PSO121819</t>
  </si>
  <si>
    <t>PSO253420</t>
  </si>
  <si>
    <t>PSO129446</t>
  </si>
  <si>
    <t>PSO78472</t>
  </si>
  <si>
    <t>PSO143421</t>
  </si>
  <si>
    <t>PSO100364</t>
  </si>
  <si>
    <t>PSO95881</t>
  </si>
  <si>
    <t>PSO176637</t>
  </si>
  <si>
    <t>PSO105819</t>
  </si>
  <si>
    <t>PSO171432</t>
  </si>
  <si>
    <t>PSO193769</t>
  </si>
  <si>
    <t>PSO124993</t>
  </si>
  <si>
    <t>PSO7237907</t>
  </si>
  <si>
    <t>PSO111296</t>
  </si>
  <si>
    <t>PSO250195</t>
  </si>
  <si>
    <t>PSO252423</t>
  </si>
  <si>
    <t>PSO178219</t>
  </si>
  <si>
    <t>PSO100269</t>
  </si>
  <si>
    <t>PSO116079</t>
  </si>
  <si>
    <t>PSO125951</t>
  </si>
  <si>
    <t>PSO248899</t>
  </si>
  <si>
    <t>PSO259916</t>
  </si>
  <si>
    <t>PSO256687</t>
  </si>
  <si>
    <t>PSO88518</t>
  </si>
  <si>
    <t>PSO265986</t>
  </si>
  <si>
    <t>PSO120516</t>
  </si>
  <si>
    <t>PSO254186</t>
  </si>
  <si>
    <t>PSO163609</t>
  </si>
  <si>
    <t>PSO135496</t>
  </si>
  <si>
    <t>PSO128676</t>
  </si>
  <si>
    <t>PSO109516</t>
  </si>
  <si>
    <t>PSO113096</t>
  </si>
  <si>
    <t>PSO126773</t>
  </si>
  <si>
    <t>PSO164111</t>
  </si>
  <si>
    <t>PSO125403</t>
  </si>
  <si>
    <t>PSO94034</t>
  </si>
  <si>
    <t>PSO7532004</t>
  </si>
  <si>
    <t>PSO146867</t>
  </si>
  <si>
    <t>PSO96682</t>
  </si>
  <si>
    <t>PSO135827</t>
  </si>
  <si>
    <t>PSO125076</t>
  </si>
  <si>
    <t>PSO100160</t>
  </si>
  <si>
    <t>PSO119558</t>
  </si>
  <si>
    <t>PSO103874</t>
  </si>
  <si>
    <t>PSO191578</t>
  </si>
  <si>
    <t>PSO82943</t>
  </si>
  <si>
    <t>PSO168158</t>
  </si>
  <si>
    <t>PSO253814</t>
  </si>
  <si>
    <t>PSO165604</t>
  </si>
  <si>
    <t>PSO272421</t>
  </si>
  <si>
    <t>PSO180824</t>
  </si>
  <si>
    <t>PSO247057</t>
  </si>
  <si>
    <t>PSO265399</t>
  </si>
  <si>
    <t>PSO77867</t>
  </si>
  <si>
    <t>PSO127401</t>
  </si>
  <si>
    <t>PSO109196</t>
  </si>
  <si>
    <t>PSO126354</t>
  </si>
  <si>
    <t>PSO146138</t>
  </si>
  <si>
    <t>PSO249662</t>
  </si>
  <si>
    <t>PSO117248</t>
  </si>
  <si>
    <t>PSO170843</t>
  </si>
  <si>
    <t>PSO88135</t>
  </si>
  <si>
    <t>PSO116723</t>
  </si>
  <si>
    <t>PSO264751</t>
  </si>
  <si>
    <t>PSO83438</t>
  </si>
  <si>
    <t>PSO89513</t>
  </si>
  <si>
    <t>PSO256816</t>
  </si>
  <si>
    <t>PSO119511</t>
  </si>
  <si>
    <t>PSO130107</t>
  </si>
  <si>
    <t>PSO146705</t>
  </si>
  <si>
    <t>PSO140228</t>
  </si>
  <si>
    <t>PSO112530</t>
  </si>
  <si>
    <t>PSO112657</t>
  </si>
  <si>
    <t>PSO79453</t>
  </si>
  <si>
    <t>PSO169501</t>
  </si>
  <si>
    <t>PSO107727</t>
  </si>
  <si>
    <t>PSO275933</t>
  </si>
  <si>
    <t>PSO76005</t>
  </si>
  <si>
    <t>PSO126078</t>
  </si>
  <si>
    <t>PSO106538</t>
  </si>
  <si>
    <t>PSO112771</t>
  </si>
  <si>
    <t>PSO224301</t>
  </si>
  <si>
    <t>PSO277593</t>
  </si>
  <si>
    <t>PSO177938</t>
  </si>
  <si>
    <t>PSO144932</t>
  </si>
  <si>
    <t>PSO89669</t>
  </si>
  <si>
    <t>PSO100752</t>
  </si>
  <si>
    <t>PSO241798</t>
  </si>
  <si>
    <t>PSO123136</t>
  </si>
  <si>
    <t>PSO145964</t>
  </si>
  <si>
    <t>PSO241901</t>
  </si>
  <si>
    <t>PSO240717</t>
  </si>
  <si>
    <t>PSO139328</t>
  </si>
  <si>
    <t>PSO7212410</t>
  </si>
  <si>
    <t>PSO172365</t>
  </si>
  <si>
    <t>PSO131145</t>
  </si>
  <si>
    <t>PSO263965</t>
  </si>
  <si>
    <t>PSO101045</t>
  </si>
  <si>
    <t>PSO252387</t>
  </si>
  <si>
    <t>PSO174069</t>
  </si>
  <si>
    <t>PSO144708</t>
  </si>
  <si>
    <t>PSO140538</t>
  </si>
  <si>
    <t>PSO104296</t>
  </si>
  <si>
    <t>PSO106294</t>
  </si>
  <si>
    <t>PSO107647</t>
  </si>
  <si>
    <t>PSO77603</t>
  </si>
  <si>
    <t>PSO260848</t>
  </si>
  <si>
    <t>PSO142005</t>
  </si>
  <si>
    <t>PSO109093</t>
  </si>
  <si>
    <t>PSO142505</t>
  </si>
  <si>
    <t>PSO259453</t>
  </si>
  <si>
    <t>PSO240117</t>
  </si>
  <si>
    <t>PSO140038</t>
  </si>
  <si>
    <t>PSO267814</t>
  </si>
  <si>
    <t>PSO111087</t>
  </si>
  <si>
    <t>PSO258287</t>
  </si>
  <si>
    <t>PSO190276</t>
  </si>
  <si>
    <t>PSO190285</t>
  </si>
  <si>
    <t>PSO139542</t>
  </si>
  <si>
    <t>PSO251981</t>
  </si>
  <si>
    <t>PSO119413</t>
  </si>
  <si>
    <t>PSO172656</t>
  </si>
  <si>
    <t>PSO129058</t>
  </si>
  <si>
    <t>PSO183359</t>
  </si>
  <si>
    <t>PSO100915</t>
  </si>
  <si>
    <t>PSO170571</t>
  </si>
  <si>
    <t>PSO138112</t>
  </si>
  <si>
    <t>PSO247121</t>
  </si>
  <si>
    <t>PSO253612</t>
  </si>
  <si>
    <t>PSO114080</t>
  </si>
  <si>
    <t>PSO208026</t>
  </si>
  <si>
    <t>PSO210064</t>
  </si>
  <si>
    <t>PSO85004</t>
  </si>
  <si>
    <t>PSO105910</t>
  </si>
  <si>
    <t>PSO100868</t>
  </si>
  <si>
    <t>PSO263155</t>
  </si>
  <si>
    <t>PSO94551</t>
  </si>
  <si>
    <t>PSO250632</t>
  </si>
  <si>
    <t>PSO163051</t>
  </si>
  <si>
    <t>PSO111422</t>
  </si>
  <si>
    <t>PSO82842</t>
  </si>
  <si>
    <t>PSO128797</t>
  </si>
  <si>
    <t>PSO193760</t>
  </si>
  <si>
    <t>PSO93366</t>
  </si>
  <si>
    <t>PSO183269</t>
  </si>
  <si>
    <t>PSO206407</t>
  </si>
  <si>
    <t>PSO243823</t>
  </si>
  <si>
    <t>PSO186236</t>
  </si>
  <si>
    <t>PSO85986</t>
  </si>
  <si>
    <t>PSO238965</t>
  </si>
  <si>
    <t>PSO142742</t>
  </si>
  <si>
    <t>PSO264966</t>
  </si>
  <si>
    <t>PSO7218572</t>
  </si>
  <si>
    <t>PSO168168</t>
  </si>
  <si>
    <t>PSO146790</t>
  </si>
  <si>
    <t>PSO98085</t>
  </si>
  <si>
    <t>PSO74892</t>
  </si>
  <si>
    <t>PSO100204</t>
  </si>
  <si>
    <t>PSO262095</t>
  </si>
  <si>
    <t>PSO261316</t>
  </si>
  <si>
    <t>PSO230862</t>
  </si>
  <si>
    <t>PSO272216</t>
  </si>
  <si>
    <t>PSO79983</t>
  </si>
  <si>
    <t>PSO150014</t>
  </si>
  <si>
    <t>PSO265004</t>
  </si>
  <si>
    <t>PSO99302</t>
  </si>
  <si>
    <t>PSO132180</t>
  </si>
  <si>
    <t>PSO141329</t>
  </si>
  <si>
    <t>PSO92965</t>
  </si>
  <si>
    <t>PSO258619</t>
  </si>
  <si>
    <t>PSO147082</t>
  </si>
  <si>
    <t>PSO141474</t>
  </si>
  <si>
    <t>PSO172899</t>
  </si>
  <si>
    <t>PSO103255</t>
  </si>
  <si>
    <t>PSO174302</t>
  </si>
  <si>
    <t>PSO130250</t>
  </si>
  <si>
    <t>PSO176475</t>
  </si>
  <si>
    <t>PSO115731</t>
  </si>
  <si>
    <t>PSO145812</t>
  </si>
  <si>
    <t>PSO247605</t>
  </si>
  <si>
    <t>PSO141588</t>
  </si>
  <si>
    <t>PSO78288</t>
  </si>
  <si>
    <t>PSO261369</t>
  </si>
  <si>
    <t>PSO112714</t>
  </si>
  <si>
    <t>PSO174573</t>
  </si>
  <si>
    <t>PSO88179</t>
  </si>
  <si>
    <t>PSO246556</t>
  </si>
  <si>
    <t>PSO142867</t>
  </si>
  <si>
    <t>PSO142525</t>
  </si>
  <si>
    <t>PSO96823</t>
  </si>
  <si>
    <t>PSO213412</t>
  </si>
  <si>
    <t>PSO139501</t>
  </si>
  <si>
    <t>PSO143763</t>
  </si>
  <si>
    <t>PSO86375</t>
  </si>
  <si>
    <t>PSO250896</t>
  </si>
  <si>
    <t>PSO141791</t>
  </si>
  <si>
    <t>PSO145148</t>
  </si>
  <si>
    <t>PSO138152</t>
  </si>
  <si>
    <t>PSO176254</t>
  </si>
  <si>
    <t>PSO120301</t>
  </si>
  <si>
    <t>PSO119361</t>
  </si>
  <si>
    <t>PSO142739</t>
  </si>
  <si>
    <t>PSO140932</t>
  </si>
  <si>
    <t>PSO145522</t>
  </si>
  <si>
    <t>PSO97189</t>
  </si>
  <si>
    <t>PSO106701</t>
  </si>
  <si>
    <t>PSO139951</t>
  </si>
  <si>
    <t>PSO138526</t>
  </si>
  <si>
    <t>PSO126621</t>
  </si>
  <si>
    <t>PSO151167</t>
  </si>
  <si>
    <t>PSO259657</t>
  </si>
  <si>
    <t>PSO123326</t>
  </si>
  <si>
    <t>PSO107149</t>
  </si>
  <si>
    <t>PSO272078</t>
  </si>
  <si>
    <t>PSO167314</t>
  </si>
  <si>
    <t>PSO122598</t>
  </si>
  <si>
    <t>PSO101494</t>
  </si>
  <si>
    <t>PSO118753</t>
  </si>
  <si>
    <t>PSO193783</t>
  </si>
  <si>
    <t>PSO7523549</t>
  </si>
  <si>
    <t>PSO7259582</t>
  </si>
  <si>
    <t>PSO83253</t>
  </si>
  <si>
    <t>PSO182405</t>
  </si>
  <si>
    <t>PSO120579</t>
  </si>
  <si>
    <t>PSO103136</t>
  </si>
  <si>
    <t>PSO129903</t>
  </si>
  <si>
    <t>PSO265310</t>
  </si>
  <si>
    <t>PSO80003</t>
  </si>
  <si>
    <t>PSO141963</t>
  </si>
  <si>
    <t>PSO171011</t>
  </si>
  <si>
    <t>PSO257914</t>
  </si>
  <si>
    <t>PSO85495</t>
  </si>
  <si>
    <t>PSO119731</t>
  </si>
  <si>
    <t>PSO99884</t>
  </si>
  <si>
    <t>PSO145139</t>
  </si>
  <si>
    <t>PSO128762</t>
  </si>
  <si>
    <t>PSO142076</t>
  </si>
  <si>
    <t>PSO98390</t>
  </si>
  <si>
    <t>PSO231901</t>
  </si>
  <si>
    <t>PSO118857</t>
  </si>
  <si>
    <t>PSO143350</t>
  </si>
  <si>
    <t>PSO7339816</t>
  </si>
  <si>
    <t>PSO137909</t>
  </si>
  <si>
    <t>PSO146184</t>
  </si>
  <si>
    <t>PSO166235</t>
  </si>
  <si>
    <t>PSO93845</t>
  </si>
  <si>
    <t>PSO140292</t>
  </si>
  <si>
    <t>PSO139118</t>
  </si>
  <si>
    <t>PSO141150</t>
  </si>
  <si>
    <t>PSO166692</t>
  </si>
  <si>
    <t>PSO100073</t>
  </si>
  <si>
    <t>PSO107445</t>
  </si>
  <si>
    <t>PSO139896</t>
  </si>
  <si>
    <t>PSO145417</t>
  </si>
  <si>
    <t>PSO238346</t>
  </si>
  <si>
    <t>PSO97171</t>
  </si>
  <si>
    <t>PSO241373</t>
  </si>
  <si>
    <t>PSO159743</t>
  </si>
  <si>
    <t>PSO174844</t>
  </si>
  <si>
    <t>PSO98235</t>
  </si>
  <si>
    <t>PSO121454</t>
  </si>
  <si>
    <t>PSO133175</t>
  </si>
  <si>
    <t>PSO267874</t>
  </si>
  <si>
    <t>PSO122930</t>
  </si>
  <si>
    <t>PSO250746</t>
  </si>
  <si>
    <t>PSO7526843</t>
  </si>
  <si>
    <t>PSO87998</t>
  </si>
  <si>
    <t>PSO115589</t>
  </si>
  <si>
    <t>PSO177961</t>
  </si>
  <si>
    <t>PSO133789</t>
  </si>
  <si>
    <t>PSO259185</t>
  </si>
  <si>
    <t>PSO85257</t>
  </si>
  <si>
    <t>PSO134348</t>
  </si>
  <si>
    <t>PSO147986</t>
  </si>
  <si>
    <t>PSO129613</t>
  </si>
  <si>
    <t>PSO86297</t>
  </si>
  <si>
    <t>PSO116026</t>
  </si>
  <si>
    <t>PSO135642</t>
  </si>
  <si>
    <t>PSO90602</t>
  </si>
  <si>
    <t>PSO79882</t>
  </si>
  <si>
    <t>PSO141435</t>
  </si>
  <si>
    <t>PSO236459</t>
  </si>
  <si>
    <t>PSO147570</t>
  </si>
  <si>
    <t>PSO276780</t>
  </si>
  <si>
    <t>PSO142816</t>
  </si>
  <si>
    <t>PSO101581</t>
  </si>
  <si>
    <t>PSO123432</t>
  </si>
  <si>
    <t>PSO248575</t>
  </si>
  <si>
    <t>PSO90180</t>
  </si>
  <si>
    <t>PSO133660</t>
  </si>
  <si>
    <t>PSO89190</t>
  </si>
  <si>
    <t>PSO93625</t>
  </si>
  <si>
    <t>PSO144953</t>
  </si>
  <si>
    <t>PSO245410</t>
  </si>
  <si>
    <t>PSO80931</t>
  </si>
  <si>
    <t>PSO92964</t>
  </si>
  <si>
    <t>PSO139863</t>
  </si>
  <si>
    <t>PSO139028</t>
  </si>
  <si>
    <t>PSO78975</t>
  </si>
  <si>
    <t>PSO187460</t>
  </si>
  <si>
    <t>PSO96616</t>
  </si>
  <si>
    <t>PSO80404</t>
  </si>
  <si>
    <t>PSO96479</t>
  </si>
  <si>
    <t>PSO136788</t>
  </si>
  <si>
    <t>PSO179365</t>
  </si>
  <si>
    <t>PSO116056</t>
  </si>
  <si>
    <t>PSO251102</t>
  </si>
  <si>
    <t>PSO158698</t>
  </si>
  <si>
    <t>PSO137238</t>
  </si>
  <si>
    <t>PSO94849</t>
  </si>
  <si>
    <t>PSO98169</t>
  </si>
  <si>
    <t>PSO87685</t>
  </si>
  <si>
    <t>PSO142874</t>
  </si>
  <si>
    <t>PSO131667</t>
  </si>
  <si>
    <t>PSO187449</t>
  </si>
  <si>
    <t>PSO240193</t>
  </si>
  <si>
    <t>PSO111542</t>
  </si>
  <si>
    <t>PSO139533</t>
  </si>
  <si>
    <t>PSO118354</t>
  </si>
  <si>
    <t>PSO85376</t>
  </si>
  <si>
    <t>PSO7316024</t>
  </si>
  <si>
    <t>PSO132193</t>
  </si>
  <si>
    <t>PSO247670</t>
  </si>
  <si>
    <t>PSO109436</t>
  </si>
  <si>
    <t>PSO7220426</t>
  </si>
  <si>
    <t>PSO139348</t>
  </si>
  <si>
    <t>PSO112840</t>
  </si>
  <si>
    <t>PSO252222</t>
  </si>
  <si>
    <t>PSO107724</t>
  </si>
  <si>
    <t>PSO125852</t>
  </si>
  <si>
    <t>PSO194761</t>
  </si>
  <si>
    <t>PSO76663</t>
  </si>
  <si>
    <t>PSO146246</t>
  </si>
  <si>
    <t>PSO138435</t>
  </si>
  <si>
    <t>PSO99222</t>
  </si>
  <si>
    <t>PSO79527</t>
  </si>
  <si>
    <t>PSO258335</t>
  </si>
  <si>
    <t>PSO133630</t>
  </si>
  <si>
    <t>PSO86086</t>
  </si>
  <si>
    <t>PSO184945</t>
  </si>
  <si>
    <t>PSO146034</t>
  </si>
  <si>
    <t>PSO133960</t>
  </si>
  <si>
    <t>PSO146151</t>
  </si>
  <si>
    <t>PSO138532</t>
  </si>
  <si>
    <t>PSO197134</t>
  </si>
  <si>
    <t>PSO261648</t>
  </si>
  <si>
    <t>PSO185834</t>
  </si>
  <si>
    <t>PSO135893</t>
  </si>
  <si>
    <t>PSO93317</t>
  </si>
  <si>
    <t>PSO110491</t>
  </si>
  <si>
    <t>PSO186453</t>
  </si>
  <si>
    <t>PSO131519</t>
  </si>
  <si>
    <t>PSO241670</t>
  </si>
  <si>
    <t>PSO81749</t>
  </si>
  <si>
    <t>PSO140563</t>
  </si>
  <si>
    <t>PSO143874</t>
  </si>
  <si>
    <t>PSO270902</t>
  </si>
  <si>
    <t>PSO113891</t>
  </si>
  <si>
    <t>PSO252934</t>
  </si>
  <si>
    <t>PSO134010</t>
  </si>
  <si>
    <t>PSO125458</t>
  </si>
  <si>
    <t>PSO139417</t>
  </si>
  <si>
    <t>PSO118881</t>
  </si>
  <si>
    <t>PSO171836</t>
  </si>
  <si>
    <t>PSO138412</t>
  </si>
  <si>
    <t>PSO147242</t>
  </si>
  <si>
    <t>PSO253317</t>
  </si>
  <si>
    <t>PSO123766</t>
  </si>
  <si>
    <t>PSO261101</t>
  </si>
  <si>
    <t>PSO89936</t>
  </si>
  <si>
    <t>PSO76547</t>
  </si>
  <si>
    <t>PSO111051</t>
  </si>
  <si>
    <t>PSO110115</t>
  </si>
  <si>
    <t>PSO7350675</t>
  </si>
  <si>
    <t>PSO114818</t>
  </si>
  <si>
    <t>PSO87087</t>
  </si>
  <si>
    <t>PSO133664</t>
  </si>
  <si>
    <t>PSO137155</t>
  </si>
  <si>
    <t>PSO115966</t>
  </si>
  <si>
    <t>PSO83605</t>
  </si>
  <si>
    <t>PSO80956</t>
  </si>
  <si>
    <t>PSO116143</t>
  </si>
  <si>
    <t>PSO98223</t>
  </si>
  <si>
    <t>PSO113324</t>
  </si>
  <si>
    <t>PSO191264</t>
  </si>
  <si>
    <t>PSO136526</t>
  </si>
  <si>
    <t>PSO246764</t>
  </si>
  <si>
    <t>PSO242833</t>
  </si>
  <si>
    <t>PSO99057</t>
  </si>
  <si>
    <t>PSO135009</t>
  </si>
  <si>
    <t>PSO144268</t>
  </si>
  <si>
    <t>PSO131362</t>
  </si>
  <si>
    <t>PSO124186</t>
  </si>
  <si>
    <t>PSO117403</t>
  </si>
  <si>
    <t>PSO112232</t>
  </si>
  <si>
    <t>PSO246480</t>
  </si>
  <si>
    <t>PSO248470</t>
  </si>
  <si>
    <t>PSO83686</t>
  </si>
  <si>
    <t>PSO244627</t>
  </si>
  <si>
    <t>PSO140286</t>
  </si>
  <si>
    <t>PSO116328</t>
  </si>
  <si>
    <t>PSO243247</t>
  </si>
  <si>
    <t>PSO266980</t>
  </si>
  <si>
    <t>PSO111425</t>
  </si>
  <si>
    <t>PSO83776</t>
  </si>
  <si>
    <t>PSO89038</t>
  </si>
  <si>
    <t>PSO109180</t>
  </si>
  <si>
    <t>PSO184077</t>
  </si>
  <si>
    <t>PSO264158</t>
  </si>
  <si>
    <t>PSO130867</t>
  </si>
  <si>
    <t>PSO262608</t>
  </si>
  <si>
    <t>PSO181671</t>
  </si>
  <si>
    <t>PSO105512</t>
  </si>
  <si>
    <t>PSO173029</t>
  </si>
  <si>
    <t>PSO256698</t>
  </si>
  <si>
    <t>PSO260906</t>
  </si>
  <si>
    <t>PSO146560</t>
  </si>
  <si>
    <t>PSO136761</t>
  </si>
  <si>
    <t>PSO124384</t>
  </si>
  <si>
    <t>PSO177213</t>
  </si>
  <si>
    <t>PSO134467</t>
  </si>
  <si>
    <t>PSO130120</t>
  </si>
  <si>
    <t>PSO107939</t>
  </si>
  <si>
    <t>PSO101544</t>
  </si>
  <si>
    <t>PSO129150</t>
  </si>
  <si>
    <t>PSO121899</t>
  </si>
  <si>
    <t>PSO97583</t>
  </si>
  <si>
    <t>PSO110387</t>
  </si>
  <si>
    <t>PSO94793</t>
  </si>
  <si>
    <t>PSO174449</t>
  </si>
  <si>
    <t>PSO81212</t>
  </si>
  <si>
    <t>PSO141305</t>
  </si>
  <si>
    <t>PSO90415</t>
  </si>
  <si>
    <t>PSO178057</t>
  </si>
  <si>
    <t>PSO185601</t>
  </si>
  <si>
    <t>PSO7157658</t>
  </si>
  <si>
    <t>PSO169809</t>
  </si>
  <si>
    <t>PSO95203</t>
  </si>
  <si>
    <t>PSO263194</t>
  </si>
  <si>
    <t>PSO138938</t>
  </si>
  <si>
    <t>PSO115412</t>
  </si>
  <si>
    <t>PSO122665</t>
  </si>
  <si>
    <t>PSO91776</t>
  </si>
  <si>
    <t>PSO7164294</t>
  </si>
  <si>
    <t>PSO110858</t>
  </si>
  <si>
    <t>PSO145075</t>
  </si>
  <si>
    <t>PSO110290</t>
  </si>
  <si>
    <t>PSO125897</t>
  </si>
  <si>
    <t>PSO76790</t>
  </si>
  <si>
    <t>PSO122388</t>
  </si>
  <si>
    <t>PSO249265</t>
  </si>
  <si>
    <t>PSO88766</t>
  </si>
  <si>
    <t>PSO238397</t>
  </si>
  <si>
    <t>PSO131474</t>
  </si>
  <si>
    <t>PSO257542</t>
  </si>
  <si>
    <t>PSO129228</t>
  </si>
  <si>
    <t>PSO91984</t>
  </si>
  <si>
    <t>PSO173923</t>
  </si>
  <si>
    <t>PSO7344842</t>
  </si>
  <si>
    <t>PSO107928</t>
  </si>
  <si>
    <t>PSO119110</t>
  </si>
  <si>
    <t>PSO96944</t>
  </si>
  <si>
    <t>PSO87782</t>
  </si>
  <si>
    <t>PSO134597</t>
  </si>
  <si>
    <t>PSO227437</t>
  </si>
  <si>
    <t>PSO144221</t>
  </si>
  <si>
    <t>PSO139603</t>
  </si>
  <si>
    <t>PSO140224</t>
  </si>
  <si>
    <t>PSO77203</t>
  </si>
  <si>
    <t>PSO142676</t>
  </si>
  <si>
    <t>PSO120686</t>
  </si>
  <si>
    <t>PSO166666</t>
  </si>
  <si>
    <t>PSO170873</t>
  </si>
  <si>
    <t>PSO271544</t>
  </si>
  <si>
    <t>PSO249804</t>
  </si>
  <si>
    <t>PSO176489</t>
  </si>
  <si>
    <t>PSO225612</t>
  </si>
  <si>
    <t>PSO107201</t>
  </si>
  <si>
    <t>PSO96457</t>
  </si>
  <si>
    <t>PSO95970</t>
  </si>
  <si>
    <t>PSO105852</t>
  </si>
  <si>
    <t>PSO104985</t>
  </si>
  <si>
    <t>PSO75903</t>
  </si>
  <si>
    <t>PSO94723</t>
  </si>
  <si>
    <t>PSO208616</t>
  </si>
  <si>
    <t>PSO7157539</t>
  </si>
  <si>
    <t>PSO111119</t>
  </si>
  <si>
    <t>PSO187511</t>
  </si>
  <si>
    <t>PSO92109</t>
  </si>
  <si>
    <t>PSO126446</t>
  </si>
  <si>
    <t>PSO94611</t>
  </si>
  <si>
    <t>PSO120075</t>
  </si>
  <si>
    <t>PSO258779</t>
  </si>
  <si>
    <t>PSO7231368</t>
  </si>
  <si>
    <t>PSO129087</t>
  </si>
  <si>
    <t>PSO210111</t>
  </si>
  <si>
    <t>PSO176244</t>
  </si>
  <si>
    <t>PSO132306</t>
  </si>
  <si>
    <t>PSO148778</t>
  </si>
  <si>
    <t>PSO7543636</t>
  </si>
  <si>
    <t>PSO106903</t>
  </si>
  <si>
    <t>PSO76007</t>
  </si>
  <si>
    <t>PSO262078</t>
  </si>
  <si>
    <t>PSO88742</t>
  </si>
  <si>
    <t>PSO105592</t>
  </si>
  <si>
    <t>PSO94131</t>
  </si>
  <si>
    <t>PSO104818</t>
  </si>
  <si>
    <t>PSO144857</t>
  </si>
  <si>
    <t>PSO105519</t>
  </si>
  <si>
    <t>PSO167405</t>
  </si>
  <si>
    <t>PSO128661</t>
  </si>
  <si>
    <t>PSO254077</t>
  </si>
  <si>
    <t>PSO112876</t>
  </si>
  <si>
    <t>PSO197777</t>
  </si>
  <si>
    <t>PSO105560</t>
  </si>
  <si>
    <t>PSO172584</t>
  </si>
  <si>
    <t>PSO178347</t>
  </si>
  <si>
    <t>PSO184846</t>
  </si>
  <si>
    <t>PSO267040</t>
  </si>
  <si>
    <t>PSO86230</t>
  </si>
  <si>
    <t>PSO102992</t>
  </si>
  <si>
    <t>PSO97716</t>
  </si>
  <si>
    <t>PSO188970</t>
  </si>
  <si>
    <t>PSO140947</t>
  </si>
  <si>
    <t>PSO183874</t>
  </si>
  <si>
    <t>PSO267163</t>
  </si>
  <si>
    <t>PSO7528290</t>
  </si>
  <si>
    <t>PSO131039</t>
  </si>
  <si>
    <t>PSO135959</t>
  </si>
  <si>
    <t>PSO90390</t>
  </si>
  <si>
    <t>PSO176712</t>
  </si>
  <si>
    <t>PSO111550</t>
  </si>
  <si>
    <t>PSO140399</t>
  </si>
  <si>
    <t>PSO245009</t>
  </si>
  <si>
    <t>PSO7508071</t>
  </si>
  <si>
    <t>PSO116913</t>
  </si>
  <si>
    <t>PSO111088</t>
  </si>
  <si>
    <t>PSO101002</t>
  </si>
  <si>
    <t>PSO88898</t>
  </si>
  <si>
    <t>PSO110555</t>
  </si>
  <si>
    <t>PSO119465</t>
  </si>
  <si>
    <t>PSO144505</t>
  </si>
  <si>
    <t>PSO99749</t>
  </si>
  <si>
    <t>PSO7439242</t>
  </si>
  <si>
    <t>PSO260332</t>
  </si>
  <si>
    <t>PSO89112</t>
  </si>
  <si>
    <t>PSO259918</t>
  </si>
  <si>
    <t>PSO249319</t>
  </si>
  <si>
    <t>PSO236763</t>
  </si>
  <si>
    <t>PSO131751</t>
  </si>
  <si>
    <t>PSO116334</t>
  </si>
  <si>
    <t>PSO132828</t>
  </si>
  <si>
    <t>PSO106356</t>
  </si>
  <si>
    <t>PSO117787</t>
  </si>
  <si>
    <t>PSO248184</t>
  </si>
  <si>
    <t>PSO77701</t>
  </si>
  <si>
    <t>PSO238062</t>
  </si>
  <si>
    <t>From Laura Bass:</t>
  </si>
  <si>
    <t>Hey, Vince,</t>
  </si>
  <si>
    <t>The code below is not perfect (I lose 700k in cap dollars) but it is a start – I think you need to go to the member table -&gt; pcp table -&gt; ipa table to get a member’s ipa. Getting the paid provider is easier but then you’ll get the hospital to which we paid cap instead of the associated ipa.</t>
  </si>
  <si>
    <t>select</t>
  </si>
  <si>
    <r>
      <t xml:space="preserve">hsid.ss_id </t>
    </r>
    <r>
      <rPr>
        <sz val="9"/>
        <color rgb="FF0000FF"/>
        <rFont val="Courier New"/>
        <family val="3"/>
      </rPr>
      <t>as</t>
    </r>
    <r>
      <rPr>
        <sz val="9"/>
        <color rgb="FF000000"/>
        <rFont val="Courier New"/>
        <family val="3"/>
      </rPr>
      <t xml:space="preserve"> ipa_num, ipa_dim.prov_nm </t>
    </r>
    <r>
      <rPr>
        <sz val="9"/>
        <color rgb="FF0000FF"/>
        <rFont val="Courier New"/>
        <family val="3"/>
      </rPr>
      <t>as</t>
    </r>
    <r>
      <rPr>
        <sz val="9"/>
        <color rgb="FF000000"/>
        <rFont val="Courier New"/>
        <family val="3"/>
      </rPr>
      <t xml:space="preserve"> ipa_name,</t>
    </r>
  </si>
  <si>
    <r>
      <t>sum</t>
    </r>
    <r>
      <rPr>
        <sz val="9"/>
        <color rgb="FF000000"/>
        <rFont val="Courier New"/>
        <family val="3"/>
      </rPr>
      <t>(mcf.capitn_calc_fund_amt)</t>
    </r>
  </si>
  <si>
    <r>
      <t>from</t>
    </r>
    <r>
      <rPr>
        <sz val="9"/>
        <color rgb="FF000000"/>
        <rFont val="Courier New"/>
        <family val="3"/>
      </rPr>
      <t xml:space="preserve"> member_capitation_fact mcf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</si>
  <si>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capitation_fund_dimension cfd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mcf.capitn_fund_dk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cfd.capitn_fund_dk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</si>
  <si>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plan_member_dimension pmd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mcf.pln_mbr_dk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pmd.pln_mbr_dk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</si>
  <si>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membership_detail_fact mdf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mdf.pln_mbr_dk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pmd.pln_mbr_dk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</si>
  <si>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member_pcp_fact mpf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mdf.pln_mbr_dk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mpf.pln_mbr_dk</t>
    </r>
  </si>
  <si>
    <r>
      <t xml:space="preserve">       </t>
    </r>
    <r>
      <rPr>
        <sz val="9"/>
        <color rgb="FF808080"/>
        <rFont val="Courier New"/>
        <family val="3"/>
      </rPr>
      <t>and</t>
    </r>
    <r>
      <rPr>
        <sz val="9"/>
        <color rgb="FF000000"/>
        <rFont val="Courier New"/>
        <family val="3"/>
      </rPr>
      <t xml:space="preserve"> mpf.pcp_typ_cd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</t>
    </r>
    <r>
      <rPr>
        <sz val="9"/>
        <color rgb="FFFF0000"/>
        <rFont val="Courier New"/>
        <family val="3"/>
      </rPr>
      <t>'MP'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and</t>
    </r>
    <r>
      <rPr>
        <sz val="9"/>
        <color rgb="FF000000"/>
        <rFont val="Courier New"/>
        <family val="3"/>
      </rPr>
      <t xml:space="preserve"> mdf.mo_end_dt </t>
    </r>
    <r>
      <rPr>
        <sz val="9"/>
        <color rgb="FF0000FF"/>
        <rFont val="Courier New"/>
        <family val="3"/>
      </rPr>
      <t>between</t>
    </r>
    <r>
      <rPr>
        <sz val="9"/>
        <color rgb="FF000000"/>
        <rFont val="Courier New"/>
        <family val="3"/>
      </rPr>
      <t xml:space="preserve"> mpf.rlnsp_strt_dt </t>
    </r>
    <r>
      <rPr>
        <sz val="9"/>
        <color rgb="FF808080"/>
        <rFont val="Courier New"/>
        <family val="3"/>
      </rPr>
      <t>and</t>
    </r>
    <r>
      <rPr>
        <sz val="9"/>
        <color rgb="FF000000"/>
        <rFont val="Courier New"/>
        <family val="3"/>
      </rPr>
      <t xml:space="preserve"> mpf.rlnsp_end_dt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</si>
  <si>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hcp_system_id_dimension hsid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mpf.ipa_sys_id_dk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hsid.hcp_sys_id_dk</t>
    </r>
  </si>
  <si>
    <r>
      <t>left</t>
    </r>
    <r>
      <rPr>
        <sz val="9"/>
        <color rgb="FF000000"/>
        <rFont val="Courier New"/>
        <family val="3"/>
      </rPr>
      <t xml:space="preserve"> </t>
    </r>
    <r>
      <rPr>
        <sz val="9"/>
        <color rgb="FF808080"/>
        <rFont val="Courier New"/>
        <family val="3"/>
      </rPr>
      <t>join</t>
    </r>
    <r>
      <rPr>
        <sz val="9"/>
        <color rgb="FF000000"/>
        <rFont val="Courier New"/>
        <family val="3"/>
      </rPr>
      <t xml:space="preserve"> service_provider_dimension ipa_dim </t>
    </r>
    <r>
      <rPr>
        <sz val="9"/>
        <color rgb="FF0000FF"/>
        <rFont val="Courier New"/>
        <family val="3"/>
      </rPr>
      <t>on</t>
    </r>
    <r>
      <rPr>
        <sz val="9"/>
        <color rgb="FF000000"/>
        <rFont val="Courier New"/>
        <family val="3"/>
      </rPr>
      <t xml:space="preserve"> mpf.svc_prov_dk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ipa_dim.svc_prov_dk</t>
    </r>
  </si>
  <si>
    <r>
      <t>where</t>
    </r>
    <r>
      <rPr>
        <sz val="9"/>
        <color rgb="FF000000"/>
        <rFont val="Courier New"/>
        <family val="3"/>
      </rPr>
      <t xml:space="preserve"> mcf.ss_cd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</t>
    </r>
    <r>
      <rPr>
        <sz val="9"/>
        <color rgb="FFFF0000"/>
        <rFont val="Courier New"/>
        <family val="3"/>
      </rPr>
      <t>'FACETS'</t>
    </r>
  </si>
  <si>
    <r>
      <t>and</t>
    </r>
    <r>
      <rPr>
        <sz val="9"/>
        <color rgb="FF000000"/>
        <rFont val="Courier New"/>
        <family val="3"/>
      </rPr>
      <t xml:space="preserve"> cfd.fund_id </t>
    </r>
    <r>
      <rPr>
        <sz val="9"/>
        <color rgb="FF808080"/>
        <rFont val="Courier New"/>
        <family val="3"/>
      </rPr>
      <t>in</t>
    </r>
    <r>
      <rPr>
        <sz val="9"/>
        <color rgb="FF000000"/>
        <rFont val="Courier New"/>
        <family val="3"/>
      </rPr>
      <t xml:space="preserve"> (</t>
    </r>
    <r>
      <rPr>
        <sz val="9"/>
        <color rgb="FFFF0000"/>
        <rFont val="Courier New"/>
        <family val="3"/>
      </rPr>
      <t>'1AA0'</t>
    </r>
    <r>
      <rPr>
        <sz val="9"/>
        <color rgb="FF000000"/>
        <rFont val="Courier New"/>
        <family val="3"/>
      </rPr>
      <t>,</t>
    </r>
    <r>
      <rPr>
        <sz val="9"/>
        <color rgb="FFFF0000"/>
        <rFont val="Courier New"/>
        <family val="3"/>
      </rPr>
      <t>'1A40'</t>
    </r>
    <r>
      <rPr>
        <sz val="9"/>
        <color rgb="FF000000"/>
        <rFont val="Courier New"/>
        <family val="3"/>
      </rPr>
      <t>,</t>
    </r>
    <r>
      <rPr>
        <sz val="9"/>
        <color rgb="FFFF0000"/>
        <rFont val="Courier New"/>
        <family val="3"/>
      </rPr>
      <t>'1BA0'</t>
    </r>
    <r>
      <rPr>
        <sz val="9"/>
        <color rgb="FF000000"/>
        <rFont val="Courier New"/>
        <family val="3"/>
      </rPr>
      <t xml:space="preserve">) </t>
    </r>
    <r>
      <rPr>
        <sz val="9"/>
        <color rgb="FF008080"/>
        <rFont val="Courier New"/>
        <family val="3"/>
      </rPr>
      <t>-- 1AA0 = prof cap; 1A40 = prof incentive; 1BA0 = hosp cap</t>
    </r>
  </si>
  <si>
    <r>
      <t>and</t>
    </r>
    <r>
      <rPr>
        <sz val="9"/>
        <color rgb="FF000000"/>
        <rFont val="Courier New"/>
        <family val="3"/>
      </rPr>
      <t xml:space="preserve"> mcf.medcr_capitn_ind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</t>
    </r>
    <r>
      <rPr>
        <sz val="9"/>
        <color rgb="FFFF0000"/>
        <rFont val="Courier New"/>
        <family val="3"/>
      </rPr>
      <t>'N'</t>
    </r>
  </si>
  <si>
    <r>
      <t>and</t>
    </r>
    <r>
      <rPr>
        <sz val="9"/>
        <color rgb="FF000000"/>
        <rFont val="Courier New"/>
        <family val="3"/>
      </rPr>
      <t xml:space="preserve"> </t>
    </r>
    <r>
      <rPr>
        <sz val="9"/>
        <color rgb="FFFF00FF"/>
        <rFont val="Courier New"/>
        <family val="3"/>
      </rPr>
      <t>year</t>
    </r>
    <r>
      <rPr>
        <sz val="9"/>
        <color rgb="FF000000"/>
        <rFont val="Courier New"/>
        <family val="3"/>
      </rPr>
      <t>(mcf.capitn_ern_mo_dt)</t>
    </r>
    <r>
      <rPr>
        <sz val="9"/>
        <color rgb="FF808080"/>
        <rFont val="Courier New"/>
        <family val="3"/>
      </rPr>
      <t>*</t>
    </r>
    <r>
      <rPr>
        <sz val="9"/>
        <color rgb="FF800000"/>
        <rFont val="Courier New"/>
        <family val="3"/>
      </rPr>
      <t>100</t>
    </r>
    <r>
      <rPr>
        <sz val="9"/>
        <color rgb="FF808080"/>
        <rFont val="Courier New"/>
        <family val="3"/>
      </rPr>
      <t>+</t>
    </r>
    <r>
      <rPr>
        <sz val="9"/>
        <color rgb="FFFF00FF"/>
        <rFont val="Courier New"/>
        <family val="3"/>
      </rPr>
      <t>month</t>
    </r>
    <r>
      <rPr>
        <sz val="9"/>
        <color rgb="FF000000"/>
        <rFont val="Courier New"/>
        <family val="3"/>
      </rPr>
      <t xml:space="preserve">(mcf.capitn_ern_mo_dt)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</t>
    </r>
    <r>
      <rPr>
        <sz val="9"/>
        <color rgb="FF800000"/>
        <rFont val="Courier New"/>
        <family val="3"/>
      </rPr>
      <t>201801</t>
    </r>
  </si>
  <si>
    <r>
      <t>and</t>
    </r>
    <r>
      <rPr>
        <sz val="9"/>
        <color rgb="FF000000"/>
        <rFont val="Courier New"/>
        <family val="3"/>
      </rPr>
      <t xml:space="preserve"> </t>
    </r>
    <r>
      <rPr>
        <sz val="9"/>
        <color rgb="FFFF00FF"/>
        <rFont val="Courier New"/>
        <family val="3"/>
      </rPr>
      <t>year</t>
    </r>
    <r>
      <rPr>
        <sz val="9"/>
        <color rgb="FF000000"/>
        <rFont val="Courier New"/>
        <family val="3"/>
      </rPr>
      <t>(mdf.mo_end_dt)</t>
    </r>
    <r>
      <rPr>
        <sz val="9"/>
        <color rgb="FF808080"/>
        <rFont val="Courier New"/>
        <family val="3"/>
      </rPr>
      <t>*</t>
    </r>
    <r>
      <rPr>
        <sz val="9"/>
        <color rgb="FF800000"/>
        <rFont val="Courier New"/>
        <family val="3"/>
      </rPr>
      <t>100</t>
    </r>
    <r>
      <rPr>
        <sz val="9"/>
        <color rgb="FF808080"/>
        <rFont val="Courier New"/>
        <family val="3"/>
      </rPr>
      <t>+</t>
    </r>
    <r>
      <rPr>
        <sz val="9"/>
        <color rgb="FFFF00FF"/>
        <rFont val="Courier New"/>
        <family val="3"/>
      </rPr>
      <t>month</t>
    </r>
    <r>
      <rPr>
        <sz val="9"/>
        <color rgb="FF000000"/>
        <rFont val="Courier New"/>
        <family val="3"/>
      </rPr>
      <t xml:space="preserve">(mdf.mo_end_dt)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</t>
    </r>
    <r>
      <rPr>
        <sz val="9"/>
        <color rgb="FF800000"/>
        <rFont val="Courier New"/>
        <family val="3"/>
      </rPr>
      <t>201801</t>
    </r>
  </si>
  <si>
    <r>
      <t>and</t>
    </r>
    <r>
      <rPr>
        <sz val="9"/>
        <color rgb="FF000000"/>
        <rFont val="Courier New"/>
        <family val="3"/>
      </rPr>
      <t xml:space="preserve"> mdf.snpsht_dt </t>
    </r>
    <r>
      <rPr>
        <sz val="9"/>
        <color rgb="FF808080"/>
        <rFont val="Courier New"/>
        <family val="3"/>
      </rPr>
      <t>=</t>
    </r>
    <r>
      <rPr>
        <sz val="9"/>
        <color rgb="FF000000"/>
        <rFont val="Courier New"/>
        <family val="3"/>
      </rPr>
      <t xml:space="preserve"> (</t>
    </r>
    <r>
      <rPr>
        <sz val="9"/>
        <color rgb="FF0000FF"/>
        <rFont val="Courier New"/>
        <family val="3"/>
      </rPr>
      <t>select</t>
    </r>
    <r>
      <rPr>
        <sz val="9"/>
        <color rgb="FF000000"/>
        <rFont val="Courier New"/>
        <family val="3"/>
      </rPr>
      <t xml:space="preserve"> </t>
    </r>
    <r>
      <rPr>
        <sz val="9"/>
        <color rgb="FFFF00FF"/>
        <rFont val="Courier New"/>
        <family val="3"/>
      </rPr>
      <t>max</t>
    </r>
    <r>
      <rPr>
        <sz val="9"/>
        <color rgb="FF000000"/>
        <rFont val="Courier New"/>
        <family val="3"/>
      </rPr>
      <t xml:space="preserve">(snpsht_dt) </t>
    </r>
    <r>
      <rPr>
        <sz val="9"/>
        <color rgb="FF0000FF"/>
        <rFont val="Courier New"/>
        <family val="3"/>
      </rPr>
      <t>from</t>
    </r>
    <r>
      <rPr>
        <sz val="9"/>
        <color rgb="FF000000"/>
        <rFont val="Courier New"/>
        <family val="3"/>
      </rPr>
      <t xml:space="preserve"> membership_detail_fact)</t>
    </r>
  </si>
  <si>
    <r>
      <t>group</t>
    </r>
    <r>
      <rPr>
        <sz val="9"/>
        <color rgb="FF000000"/>
        <rFont val="Courier New"/>
        <family val="3"/>
      </rPr>
      <t xml:space="preserve"> </t>
    </r>
    <r>
      <rPr>
        <sz val="9"/>
        <color rgb="FF0000FF"/>
        <rFont val="Courier New"/>
        <family val="3"/>
      </rPr>
      <t>by</t>
    </r>
    <r>
      <rPr>
        <sz val="9"/>
        <color rgb="FF000000"/>
        <rFont val="Courier New"/>
        <family val="3"/>
      </rPr>
      <t xml:space="preserve"> </t>
    </r>
    <r>
      <rPr>
        <sz val="9"/>
        <color rgb="FF800000"/>
        <rFont val="Courier New"/>
        <family val="3"/>
      </rPr>
      <t>1</t>
    </r>
    <r>
      <rPr>
        <sz val="9"/>
        <color rgb="FF000000"/>
        <rFont val="Courier New"/>
        <family val="3"/>
      </rPr>
      <t>,</t>
    </r>
    <r>
      <rPr>
        <sz val="9"/>
        <color rgb="FF800000"/>
        <rFont val="Courier New"/>
        <family val="3"/>
      </rPr>
      <t>2</t>
    </r>
    <r>
      <rPr>
        <sz val="9"/>
        <color rgb="FF000000"/>
        <rFont val="Courier New"/>
        <family val="3"/>
      </rPr>
      <t>;</t>
    </r>
  </si>
  <si>
    <t>--137,741,639.39 = cap alone</t>
  </si>
  <si>
    <t>--137,031,951.41 = trying to add member's ipa</t>
  </si>
  <si>
    <t>From Ronnie Dickson:</t>
  </si>
  <si>
    <t>See yellow section.</t>
  </si>
  <si>
    <t>There are a couple of issues I need to call out on this.</t>
  </si>
  <si>
    <t>When I first used a simpler version of this code, my membership counts were wrong.</t>
  </si>
  <si>
    <t>One reason was I encountered multiple time periods for the same IPA and would overlap. That is why I use MIN and MAX on the relationship start and end dates.</t>
  </si>
  <si>
    <t>Another reason was I encountered people changing PCP this IPA mid-period, resulting in multiple IPAs. Have not coded that properly yet, but my lazy hack to at least get correct member counts we to apply MAX to the potentially multiply IPAs.</t>
  </si>
  <si>
    <t>     FROM</t>
  </si>
  <si>
    <t>           MEMBERSHIP_DETAIL_FACT                               MDLF</t>
  </si>
  <si>
    <t>           INNER JOIN CALENDAR_DIMENSION                    CALD ON MDLF.MO_END_DT        =CALD.CAL_DT</t>
  </si>
  <si>
    <t>           INNER JOIN HEALTH_PLAN_GROUP_DIMENSION           HPGD ON MDLF.HLTH_PLN_GRP_DK=HPGD.HLTH_PLN_GRP_DK</t>
  </si>
  <si>
    <t>           INNER JOIN HEALTH_PLAN_PRODUCT_DIMENSION    HPPD ON MDLF.MED_PRDCT_DK     =HPPD.HLTH_PLN_PRDCT_DK</t>
  </si>
  <si>
    <t>           INNER JOIN INSURANCE_POLICY_DIMENSION       INPD ON MDLF.INS_POL_DK      =INPD.INS_POL_DK</t>
  </si>
  <si>
    <t>           INNER JOIN PLAN_MEMBER_DIMENSION                 PMDM ON MDLF.PLN_MBR_DK     =PMDM.PLN_MBR_DK</t>
  </si>
  <si>
    <t>           LEFT  JOIN COST_ACCUMULATION_DIMENSION      CACD ON MDLF.CAC_DK         =CACD.CAC_DK</t>
  </si>
  <si>
    <t>           LEFT  JOIN (</t>
  </si>
  <si>
    <t xml:space="preserve">                SELECT </t>
  </si>
  <si>
    <t>                     MPCP.PLN_MBR_DK</t>
  </si>
  <si>
    <t>                     ,max(PADM.SS_ID)            AS F_IPA_NBR</t>
  </si>
  <si>
    <t>                     ,min(MPCP.RLNSP_STRT_DT) AS RLNSP_STRT_DT</t>
  </si>
  <si>
    <t>                     ,max(MPCP.RLNSP_END_DT)  AS RLNSP_END_DT</t>
  </si>
  <si>
    <t xml:space="preserve">                FROM </t>
  </si>
  <si>
    <t>                     MEMBER_PCP_FACT                       MPCP</t>
  </si>
  <si>
    <t>                     INNER JOIN HCP_SYSTEM_ID_DIMENSION    PADM ON MPCP.IPA_SYS_ID_DK=PADM.HCP_SYS_ID_DK</t>
  </si>
  <si>
    <t xml:space="preserve">                WHERE </t>
  </si>
  <si>
    <r>
      <t>                     MPCP.CUR_ROW_IND=</t>
    </r>
    <r>
      <rPr>
        <sz val="11"/>
        <color rgb="FF800080"/>
        <rFont val="Courier New"/>
        <family val="3"/>
      </rPr>
      <t>'Y'</t>
    </r>
  </si>
  <si>
    <r>
      <t>                     AND PADM.SS_ID&lt;&gt;</t>
    </r>
    <r>
      <rPr>
        <sz val="11"/>
        <color rgb="FF800080"/>
        <rFont val="Courier New"/>
        <family val="3"/>
      </rPr>
      <t>'X'</t>
    </r>
  </si>
  <si>
    <r>
      <t>                     AND MPCP.PLN_MBR_DK&lt;&gt;-</t>
    </r>
    <r>
      <rPr>
        <b/>
        <sz val="11"/>
        <color rgb="FF008080"/>
        <rFont val="Courier New"/>
        <family val="3"/>
      </rPr>
      <t>9</t>
    </r>
  </si>
  <si>
    <t>                GROUP BY</t>
  </si>
  <si>
    <t xml:space="preserve">                     MPCP.PLN_MBR_DK </t>
  </si>
  <si>
    <t>           ) IPAD ON IPAD.PLN_MBR_DK=PMDM.PLN_MBR_DK AND MDLF.MO_END_DT BETWEEN IPAD.RLNSP_STRT_DT AND IPAD.RLNSP_END_DT</t>
  </si>
  <si>
    <t xml:space="preserve">             MEMBER_CAPITATION_FACT     mcf</t>
  </si>
  <si>
    <t xml:space="preserve">   LEFT JOIN CALENDAR_DIMENSION         cd   ON cd.CAL_DT = mcf.CAPITN_ERN_MO_DT</t>
  </si>
  <si>
    <t xml:space="preserve">    hsid.SS_ID</t>
  </si>
  <si>
    <t xml:space="preserve">   LEFT JOIN PLAN_MEMBER_DIMENSION      pmd  ON mcf.PLN_MBR_DK = pmd.PLN_MBR_DK</t>
  </si>
  <si>
    <t xml:space="preserve">   LEFT JOIN MEMBERSHIP_DETAIL_FACT     mdf  ON mdf.PLN_MBR_DK = pmd.PLN_MBR_DK</t>
  </si>
  <si>
    <t xml:space="preserve">   LEFT JOIN MEMBER_PCP_FACT            mpf  ON mdf.PLN_MBR_DK = mpf.PLN_MBR_DK</t>
  </si>
  <si>
    <t xml:space="preserve">   LEFT JOIN HCP_SYSTEM_ID_DIMENSION    hsid ON mpf.IPA_SYS_ID_DK = hsid.HCP_SYS_ID_DK</t>
  </si>
  <si>
    <t xml:space="preserve">    CALI.YR_MO_NBR </t>
  </si>
  <si>
    <t>MODIFIED CODE removed CLS_ID since it was removed from BIS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</si>
</sst>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ourier New"/>
      <family val="3"/>
    </font>
    <font>
      <sz val="11"/>
      <name val="Courier New"/>
      <family val="3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Century Gothic"/>
      <family val="2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222A35"/>
      <name val="Calibri Light"/>
      <family val="2"/>
    </font>
    <font>
      <b/>
      <sz val="10"/>
      <color rgb="FF4472C4"/>
      <name val="Calibri Light"/>
      <family val="2"/>
    </font>
    <font>
      <sz val="10"/>
      <name val="Courier New"/>
      <family val="3"/>
    </font>
    <font>
      <sz val="11"/>
      <color rgb="FF0070C0"/>
      <name val="Calibri"/>
      <family val="2"/>
      <scheme val="minor"/>
    </font>
    <font>
      <sz val="10"/>
      <color rgb="FF0070C0"/>
      <name val="Century Gothic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7030A0"/>
      <name val="Century Gothic"/>
      <family val="2"/>
    </font>
    <font>
      <sz val="10"/>
      <color rgb="FF7030A0"/>
      <name val="Arial"/>
      <family val="2"/>
    </font>
    <font>
      <sz val="11"/>
      <name val="Calibri"/>
      <family val="2"/>
      <scheme val="minor"/>
    </font>
    <font>
      <sz val="10"/>
      <color theme="1"/>
      <name val="Century Gothic"/>
      <family val="2"/>
    </font>
    <font>
      <sz val="9"/>
      <color rgb="FF0000FF"/>
      <name val="Courier New"/>
      <family val="3"/>
    </font>
    <font>
      <sz val="9"/>
      <color rgb="FF000000"/>
      <name val="Courier New"/>
      <family val="3"/>
    </font>
    <font>
      <sz val="9"/>
      <color rgb="FFFF00FF"/>
      <name val="Courier New"/>
      <family val="3"/>
    </font>
    <font>
      <sz val="9"/>
      <color rgb="FF808080"/>
      <name val="Courier New"/>
      <family val="3"/>
    </font>
    <font>
      <sz val="9"/>
      <color rgb="FFFF0000"/>
      <name val="Courier New"/>
      <family val="3"/>
    </font>
    <font>
      <sz val="9"/>
      <color rgb="FF008080"/>
      <name val="Courier New"/>
      <family val="3"/>
    </font>
    <font>
      <sz val="9"/>
      <color rgb="FF800000"/>
      <name val="Courier New"/>
      <family val="3"/>
    </font>
    <font>
      <sz val="11"/>
      <color rgb="FF000000"/>
      <name val="Courier New"/>
      <family val="3"/>
    </font>
    <font>
      <sz val="11"/>
      <color rgb="FF800080"/>
      <name val="Courier New"/>
      <family val="3"/>
    </font>
    <font>
      <b/>
      <sz val="11"/>
      <color rgb="FF008080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21" fillId="0" borderId="0" applyNumberFormat="0" applyFill="0" applyBorder="0" applyAlignment="0" applyProtection="0"/>
  </cellStyleXfs>
  <cellXfs count="140">
    <xf numFmtId="0" fontId="0" fillId="0" borderId="0" xfId="0"/>
    <xf numFmtId="0" fontId="3" fillId="3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0" borderId="3" xfId="0" applyFont="1" applyBorder="1"/>
    <xf numFmtId="164" fontId="3" fillId="0" borderId="4" xfId="2" applyNumberFormat="1" applyFont="1" applyBorder="1"/>
    <xf numFmtId="164" fontId="3" fillId="0" borderId="0" xfId="2" applyNumberFormat="1" applyFont="1" applyBorder="1"/>
    <xf numFmtId="164" fontId="3" fillId="0" borderId="5" xfId="2" applyNumberFormat="1" applyFont="1" applyBorder="1"/>
    <xf numFmtId="0" fontId="4" fillId="0" borderId="0" xfId="0" applyFont="1"/>
    <xf numFmtId="0" fontId="0" fillId="0" borderId="6" xfId="0" applyBorder="1"/>
    <xf numFmtId="0" fontId="0" fillId="0" borderId="3" xfId="0" applyBorder="1"/>
    <xf numFmtId="0" fontId="0" fillId="0" borderId="7" xfId="0" applyBorder="1"/>
    <xf numFmtId="164" fontId="0" fillId="0" borderId="8" xfId="2" applyNumberFormat="1" applyFont="1" applyBorder="1"/>
    <xf numFmtId="164" fontId="0" fillId="0" borderId="9" xfId="2" applyNumberFormat="1" applyFont="1" applyBorder="1"/>
    <xf numFmtId="164" fontId="0" fillId="0" borderId="10" xfId="2" applyNumberFormat="1" applyFont="1" applyBorder="1"/>
    <xf numFmtId="164" fontId="0" fillId="0" borderId="4" xfId="2" applyNumberFormat="1" applyFont="1" applyBorder="1"/>
    <xf numFmtId="164" fontId="0" fillId="0" borderId="0" xfId="2" applyNumberFormat="1" applyFont="1" applyBorder="1"/>
    <xf numFmtId="164" fontId="0" fillId="0" borderId="5" xfId="2" applyNumberFormat="1" applyFont="1" applyBorder="1"/>
    <xf numFmtId="164" fontId="0" fillId="0" borderId="11" xfId="2" applyNumberFormat="1" applyFont="1" applyBorder="1"/>
    <xf numFmtId="164" fontId="0" fillId="0" borderId="12" xfId="2" applyNumberFormat="1" applyFont="1" applyBorder="1"/>
    <xf numFmtId="164" fontId="0" fillId="0" borderId="13" xfId="2" applyNumberFormat="1" applyFont="1" applyBorder="1"/>
    <xf numFmtId="0" fontId="5" fillId="5" borderId="6" xfId="0" applyFont="1" applyFill="1" applyBorder="1"/>
    <xf numFmtId="0" fontId="5" fillId="5" borderId="3" xfId="0" applyFont="1" applyFill="1" applyBorder="1"/>
    <xf numFmtId="0" fontId="6" fillId="5" borderId="3" xfId="0" applyFont="1" applyFill="1" applyBorder="1"/>
    <xf numFmtId="0" fontId="6" fillId="5" borderId="7" xfId="0" applyFont="1" applyFill="1" applyBorder="1"/>
    <xf numFmtId="164" fontId="3" fillId="0" borderId="4" xfId="2" applyNumberFormat="1" applyFont="1" applyFill="1" applyBorder="1"/>
    <xf numFmtId="164" fontId="3" fillId="0" borderId="0" xfId="2" applyNumberFormat="1" applyFont="1" applyFill="1" applyBorder="1"/>
    <xf numFmtId="0" fontId="3" fillId="0" borderId="7" xfId="0" applyFont="1" applyBorder="1"/>
    <xf numFmtId="164" fontId="3" fillId="0" borderId="11" xfId="2" applyNumberFormat="1" applyFont="1" applyBorder="1"/>
    <xf numFmtId="164" fontId="3" fillId="0" borderId="12" xfId="2" applyNumberFormat="1" applyFont="1" applyBorder="1"/>
    <xf numFmtId="164" fontId="3" fillId="0" borderId="13" xfId="2" applyNumberFormat="1" applyFont="1" applyBorder="1"/>
    <xf numFmtId="0" fontId="8" fillId="0" borderId="0" xfId="1" applyFont="1" applyFill="1"/>
    <xf numFmtId="0" fontId="9" fillId="0" borderId="0" xfId="0" applyFont="1"/>
    <xf numFmtId="0" fontId="11" fillId="0" borderId="15" xfId="3" applyFont="1" applyFill="1" applyBorder="1" applyAlignment="1">
      <alignment wrapText="1"/>
    </xf>
    <xf numFmtId="0" fontId="0" fillId="0" borderId="1" xfId="0" applyBorder="1"/>
    <xf numFmtId="0" fontId="12" fillId="6" borderId="1" xfId="0" applyFont="1" applyFill="1" applyBorder="1" applyAlignment="1">
      <alignment horizontal="center"/>
    </xf>
    <xf numFmtId="0" fontId="13" fillId="10" borderId="16" xfId="4" applyFont="1" applyFill="1" applyBorder="1" applyAlignment="1">
      <alignment wrapText="1"/>
    </xf>
    <xf numFmtId="0" fontId="13" fillId="10" borderId="17" xfId="4" applyFont="1" applyFill="1" applyBorder="1" applyAlignment="1">
      <alignment wrapText="1"/>
    </xf>
    <xf numFmtId="0" fontId="13" fillId="10" borderId="18" xfId="4" applyFont="1" applyFill="1" applyBorder="1" applyAlignment="1">
      <alignment wrapText="1"/>
    </xf>
    <xf numFmtId="0" fontId="13" fillId="10" borderId="19" xfId="4" applyFont="1" applyFill="1" applyBorder="1" applyAlignment="1">
      <alignment wrapText="1"/>
    </xf>
    <xf numFmtId="0" fontId="13" fillId="10" borderId="20" xfId="4" applyFont="1" applyFill="1" applyBorder="1" applyAlignment="1">
      <alignment wrapText="1"/>
    </xf>
    <xf numFmtId="0" fontId="13" fillId="10" borderId="21" xfId="4" applyFont="1" applyFill="1" applyBorder="1" applyAlignment="1">
      <alignment wrapText="1"/>
    </xf>
    <xf numFmtId="0" fontId="13" fillId="10" borderId="22" xfId="4" applyFont="1" applyFill="1" applyBorder="1" applyAlignment="1">
      <alignment wrapText="1"/>
    </xf>
    <xf numFmtId="0" fontId="13" fillId="10" borderId="23" xfId="4" applyFont="1" applyFill="1" applyBorder="1" applyAlignment="1">
      <alignment wrapText="1"/>
    </xf>
    <xf numFmtId="0" fontId="7" fillId="0" borderId="0" xfId="0" applyFont="1"/>
    <xf numFmtId="164" fontId="3" fillId="0" borderId="8" xfId="2" applyNumberFormat="1" applyFont="1" applyBorder="1"/>
    <xf numFmtId="164" fontId="3" fillId="0" borderId="9" xfId="2" applyNumberFormat="1" applyFont="1" applyBorder="1"/>
    <xf numFmtId="164" fontId="3" fillId="0" borderId="10" xfId="2" applyNumberFormat="1" applyFont="1" applyBorder="1"/>
    <xf numFmtId="0" fontId="3" fillId="0" borderId="6" xfId="0" applyFont="1" applyBorder="1"/>
    <xf numFmtId="14" fontId="14" fillId="0" borderId="0" xfId="0" applyNumberFormat="1" applyFont="1"/>
    <xf numFmtId="0" fontId="14" fillId="0" borderId="0" xfId="0" applyFont="1"/>
    <xf numFmtId="164" fontId="14" fillId="0" borderId="0" xfId="2" applyNumberFormat="1" applyFont="1"/>
    <xf numFmtId="0" fontId="15" fillId="0" borderId="0" xfId="0" applyFont="1" applyAlignment="1">
      <alignment vertical="center"/>
    </xf>
    <xf numFmtId="0" fontId="16" fillId="0" borderId="0" xfId="0" applyFont="1"/>
    <xf numFmtId="164" fontId="0" fillId="0" borderId="6" xfId="2" applyNumberFormat="1" applyFont="1" applyBorder="1"/>
    <xf numFmtId="164" fontId="0" fillId="0" borderId="3" xfId="2" applyNumberFormat="1" applyFont="1" applyBorder="1"/>
    <xf numFmtId="164" fontId="0" fillId="0" borderId="7" xfId="2" applyNumberFormat="1" applyFont="1" applyBorder="1"/>
    <xf numFmtId="0" fontId="11" fillId="0" borderId="0" xfId="3" applyFont="1" applyFill="1" applyBorder="1" applyAlignment="1">
      <alignment wrapText="1"/>
    </xf>
    <xf numFmtId="0" fontId="3" fillId="7" borderId="7" xfId="0" applyFont="1" applyFill="1" applyBorder="1"/>
    <xf numFmtId="0" fontId="11" fillId="0" borderId="15" xfId="5" applyFont="1" applyFill="1" applyBorder="1" applyAlignment="1">
      <alignment horizontal="right" wrapText="1"/>
    </xf>
    <xf numFmtId="0" fontId="11" fillId="0" borderId="15" xfId="5" applyFont="1" applyFill="1" applyBorder="1" applyAlignment="1">
      <alignment wrapText="1"/>
    </xf>
    <xf numFmtId="0" fontId="10" fillId="0" borderId="0" xfId="5"/>
    <xf numFmtId="0" fontId="17" fillId="8" borderId="0" xfId="0" applyFont="1" applyFill="1"/>
    <xf numFmtId="0" fontId="0" fillId="0" borderId="0" xfId="0"/>
    <xf numFmtId="0" fontId="7" fillId="4" borderId="1" xfId="0" applyFont="1" applyFill="1" applyBorder="1"/>
    <xf numFmtId="0" fontId="18" fillId="0" borderId="0" xfId="0" applyFont="1"/>
    <xf numFmtId="49" fontId="7" fillId="0" borderId="0" xfId="0" applyNumberFormat="1" applyFont="1" applyFill="1"/>
    <xf numFmtId="49" fontId="18" fillId="0" borderId="0" xfId="0" applyNumberFormat="1" applyFont="1" applyFill="1"/>
    <xf numFmtId="0" fontId="18" fillId="0" borderId="0" xfId="0" applyNumberFormat="1" applyFont="1" applyFill="1"/>
    <xf numFmtId="0" fontId="19" fillId="7" borderId="0" xfId="0" applyFont="1" applyFill="1" applyBorder="1" applyAlignment="1">
      <alignment horizontal="left"/>
    </xf>
    <xf numFmtId="0" fontId="19" fillId="7" borderId="0" xfId="0" applyFont="1" applyFill="1" applyBorder="1"/>
    <xf numFmtId="0" fontId="18" fillId="7" borderId="0" xfId="0" quotePrefix="1" applyFont="1" applyFill="1"/>
    <xf numFmtId="0" fontId="18" fillId="7" borderId="0" xfId="0" applyNumberFormat="1" applyFont="1" applyFill="1"/>
    <xf numFmtId="49" fontId="18" fillId="7" borderId="0" xfId="0" applyNumberFormat="1" applyFont="1" applyFill="1"/>
    <xf numFmtId="0" fontId="18" fillId="7" borderId="0" xfId="0" quotePrefix="1" applyFont="1" applyFill="1" applyAlignment="1">
      <alignment horizontal="left"/>
    </xf>
    <xf numFmtId="49" fontId="18" fillId="0" borderId="0" xfId="0" applyNumberFormat="1" applyFont="1"/>
    <xf numFmtId="1" fontId="18" fillId="0" borderId="0" xfId="0" applyNumberFormat="1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6" fillId="8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3" borderId="6" xfId="0" applyFont="1" applyFill="1" applyBorder="1"/>
    <xf numFmtId="0" fontId="5" fillId="3" borderId="3" xfId="0" applyFont="1" applyFill="1" applyBorder="1"/>
    <xf numFmtId="0" fontId="6" fillId="3" borderId="3" xfId="0" applyFont="1" applyFill="1" applyBorder="1"/>
    <xf numFmtId="0" fontId="6" fillId="3" borderId="0" xfId="0" applyFont="1" applyFill="1" applyAlignment="1">
      <alignment vertical="center"/>
    </xf>
    <xf numFmtId="0" fontId="6" fillId="3" borderId="7" xfId="0" applyFont="1" applyFill="1" applyBorder="1"/>
    <xf numFmtId="0" fontId="6" fillId="11" borderId="3" xfId="0" applyFont="1" applyFill="1" applyBorder="1"/>
    <xf numFmtId="0" fontId="0" fillId="0" borderId="0" xfId="0"/>
    <xf numFmtId="0" fontId="18" fillId="0" borderId="0" xfId="0" applyNumberFormat="1" applyFont="1"/>
    <xf numFmtId="0" fontId="0" fillId="0" borderId="0" xfId="0"/>
    <xf numFmtId="164" fontId="0" fillId="7" borderId="6" xfId="2" applyNumberFormat="1" applyFont="1" applyFill="1" applyBorder="1"/>
    <xf numFmtId="164" fontId="0" fillId="7" borderId="3" xfId="2" applyNumberFormat="1" applyFont="1" applyFill="1" applyBorder="1"/>
    <xf numFmtId="0" fontId="0" fillId="0" borderId="0" xfId="0"/>
    <xf numFmtId="164" fontId="0" fillId="7" borderId="7" xfId="2" applyNumberFormat="1" applyFont="1" applyFill="1" applyBorder="1"/>
    <xf numFmtId="164" fontId="0" fillId="7" borderId="10" xfId="2" applyNumberFormat="1" applyFont="1" applyFill="1" applyBorder="1"/>
    <xf numFmtId="164" fontId="0" fillId="7" borderId="5" xfId="2" applyNumberFormat="1" applyFont="1" applyFill="1" applyBorder="1"/>
    <xf numFmtId="164" fontId="0" fillId="7" borderId="13" xfId="2" applyNumberFormat="1" applyFont="1" applyFill="1" applyBorder="1"/>
    <xf numFmtId="22" fontId="20" fillId="7" borderId="0" xfId="0" applyNumberFormat="1" applyFont="1" applyFill="1"/>
    <xf numFmtId="0" fontId="0" fillId="0" borderId="0" xfId="0"/>
    <xf numFmtId="0" fontId="21" fillId="0" borderId="0" xfId="6"/>
    <xf numFmtId="0" fontId="22" fillId="9" borderId="14" xfId="5" applyFont="1" applyFill="1" applyBorder="1" applyAlignment="1">
      <alignment horizontal="center"/>
    </xf>
    <xf numFmtId="0" fontId="22" fillId="0" borderId="15" xfId="5" applyFont="1" applyFill="1" applyBorder="1" applyAlignment="1">
      <alignment horizontal="right" wrapText="1"/>
    </xf>
    <xf numFmtId="0" fontId="22" fillId="0" borderId="15" xfId="5" applyFont="1" applyFill="1" applyBorder="1" applyAlignment="1">
      <alignment wrapText="1"/>
    </xf>
    <xf numFmtId="0" fontId="23" fillId="0" borderId="0" xfId="5" applyFont="1"/>
    <xf numFmtId="0" fontId="6" fillId="12" borderId="0" xfId="0" applyFont="1" applyFill="1" applyAlignment="1">
      <alignment vertical="center"/>
    </xf>
    <xf numFmtId="0" fontId="6" fillId="12" borderId="3" xfId="0" applyFont="1" applyFill="1" applyBorder="1"/>
    <xf numFmtId="0" fontId="0" fillId="0" borderId="0" xfId="0"/>
    <xf numFmtId="0" fontId="24" fillId="8" borderId="1" xfId="0" applyFont="1" applyFill="1" applyBorder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left" vertical="center" indent="1"/>
    </xf>
    <xf numFmtId="0" fontId="33" fillId="8" borderId="0" xfId="0" applyFont="1" applyFill="1" applyAlignment="1">
      <alignment vertical="center"/>
    </xf>
    <xf numFmtId="0" fontId="27" fillId="8" borderId="0" xfId="0" applyFont="1" applyFill="1" applyAlignment="1">
      <alignment vertical="center"/>
    </xf>
    <xf numFmtId="0" fontId="26" fillId="8" borderId="0" xfId="0" applyFont="1" applyFill="1" applyAlignment="1">
      <alignment vertical="center"/>
    </xf>
    <xf numFmtId="0" fontId="29" fillId="8" borderId="0" xfId="0" applyFont="1" applyFill="1" applyAlignment="1">
      <alignment vertical="center"/>
    </xf>
    <xf numFmtId="0" fontId="33" fillId="8" borderId="8" xfId="0" applyFont="1" applyFill="1" applyBorder="1" applyAlignment="1">
      <alignment vertical="center"/>
    </xf>
    <xf numFmtId="0" fontId="0" fillId="0" borderId="9" xfId="0" applyBorder="1"/>
    <xf numFmtId="0" fontId="0" fillId="0" borderId="10" xfId="0" applyBorder="1"/>
    <xf numFmtId="0" fontId="33" fillId="8" borderId="4" xfId="0" applyFont="1" applyFill="1" applyBorder="1" applyAlignment="1">
      <alignment vertical="center"/>
    </xf>
    <xf numFmtId="0" fontId="0" fillId="0" borderId="0" xfId="0" applyBorder="1"/>
    <xf numFmtId="0" fontId="0" fillId="0" borderId="5" xfId="0" applyBorder="1"/>
    <xf numFmtId="0" fontId="33" fillId="8" borderId="11" xfId="0" applyFont="1" applyFill="1" applyBorder="1" applyAlignment="1">
      <alignment vertical="center"/>
    </xf>
    <xf numFmtId="0" fontId="0" fillId="0" borderId="12" xfId="0" applyBorder="1"/>
    <xf numFmtId="0" fontId="0" fillId="0" borderId="13" xfId="0" applyBorder="1"/>
    <xf numFmtId="1" fontId="14" fillId="0" borderId="0" xfId="0" applyNumberFormat="1" applyFont="1"/>
    <xf numFmtId="0" fontId="0" fillId="0" borderId="0" xfId="0"/>
    <xf numFmtId="49" fontId="14" fillId="0" borderId="0" xfId="0" applyNumberFormat="1" applyFont="1"/>
    <xf numFmtId="0" fontId="14" fillId="0" borderId="0" xfId="0" applyNumberFormat="1" applyFont="1"/>
  </cellXfs>
  <cellStyles count="7">
    <cellStyle name="Comma" xfId="2" builtinId="3"/>
    <cellStyle name="Good" xfId="1" builtinId="26"/>
    <cellStyle name="Hyperlink" xfId="6" builtinId="8"/>
    <cellStyle name="Normal" xfId="0" builtinId="0"/>
    <cellStyle name="Normal_2 Data" xfId="3"/>
    <cellStyle name="Normal_Sheet1" xfId="4"/>
    <cellStyle name="Normal_TM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CoHC_Analytics_Reports/TMR/CURREN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499"/>
  <sheetViews>
    <sheetView showGridLines="0" workbookViewId="0"/>
  </sheetViews>
  <sheetFormatPr defaultRowHeight="15" x14ac:dyDescent="0.25"/>
  <cols>
    <col min="1" max="1" width="51.28515625" style="105" customWidth="1"/>
    <col min="2" max="2" width="7.140625" style="105" customWidth="1"/>
    <col min="3" max="3" width="124.28515625" style="105" customWidth="1"/>
    <col min="4" max="4" width="9.140625" style="105"/>
    <col min="5" max="5" width="14.85546875" style="105" bestFit="1" customWidth="1"/>
    <col min="6" max="6" width="14.7109375" style="105" bestFit="1" customWidth="1"/>
    <col min="7" max="7" width="12.5703125" style="105" bestFit="1" customWidth="1"/>
    <col min="8" max="8" width="12" style="105" bestFit="1" customWidth="1"/>
    <col min="9" max="9" width="19.42578125" style="105" bestFit="1" customWidth="1"/>
    <col min="10" max="10" width="3.5703125" style="105" customWidth="1"/>
    <col min="11" max="11" width="14.5703125" style="105" bestFit="1" customWidth="1"/>
    <col min="12" max="13" width="5.5703125" style="105" bestFit="1" customWidth="1"/>
    <col min="14" max="14" width="10.140625" style="105" bestFit="1" customWidth="1"/>
    <col min="15" max="15" width="3.7109375" style="105" customWidth="1"/>
    <col min="16" max="16" width="9" style="105" bestFit="1" customWidth="1"/>
    <col min="17" max="17" width="10.140625" style="105" bestFit="1" customWidth="1"/>
    <col min="18" max="16384" width="9.140625" style="105"/>
  </cols>
  <sheetData>
    <row r="1" spans="1:32" x14ac:dyDescent="0.25">
      <c r="A1" s="51" t="s">
        <v>934</v>
      </c>
      <c r="C1" s="51" t="s">
        <v>964</v>
      </c>
      <c r="E1" s="104">
        <v>43150.583796990744</v>
      </c>
      <c r="P1" s="51" t="s">
        <v>960</v>
      </c>
    </row>
    <row r="2" spans="1:32" x14ac:dyDescent="0.25">
      <c r="A2" s="88" t="s">
        <v>17</v>
      </c>
      <c r="C2" s="28" t="s">
        <v>17</v>
      </c>
      <c r="E2" s="41" t="s">
        <v>946</v>
      </c>
      <c r="F2" s="41" t="s">
        <v>339</v>
      </c>
      <c r="G2" s="41" t="s">
        <v>340</v>
      </c>
      <c r="H2" s="41" t="s">
        <v>341</v>
      </c>
      <c r="I2" s="41" t="s">
        <v>947</v>
      </c>
      <c r="K2" s="71" t="s">
        <v>372</v>
      </c>
      <c r="L2" s="71" t="s">
        <v>140</v>
      </c>
      <c r="M2" s="71" t="s">
        <v>859</v>
      </c>
      <c r="N2" s="71" t="s">
        <v>141</v>
      </c>
      <c r="P2" s="2" t="s">
        <v>959</v>
      </c>
      <c r="Q2" s="1" t="s">
        <v>0</v>
      </c>
      <c r="R2" s="2" t="s">
        <v>1</v>
      </c>
      <c r="S2" s="3" t="s">
        <v>2</v>
      </c>
      <c r="T2" s="4" t="s">
        <v>3</v>
      </c>
      <c r="U2" s="5" t="s">
        <v>4</v>
      </c>
      <c r="V2" s="6" t="s">
        <v>5</v>
      </c>
      <c r="W2" s="7" t="s">
        <v>6</v>
      </c>
      <c r="X2" s="8" t="s">
        <v>7</v>
      </c>
      <c r="Y2" s="8" t="s">
        <v>8</v>
      </c>
      <c r="Z2" s="9" t="s">
        <v>9</v>
      </c>
      <c r="AA2" s="10" t="s">
        <v>10</v>
      </c>
      <c r="AB2" s="5" t="s">
        <v>11</v>
      </c>
      <c r="AC2" s="5" t="s">
        <v>12</v>
      </c>
      <c r="AD2" s="5" t="s">
        <v>13</v>
      </c>
      <c r="AE2" s="5" t="s">
        <v>14</v>
      </c>
      <c r="AF2" s="5" t="s">
        <v>15</v>
      </c>
    </row>
    <row r="3" spans="1:32" x14ac:dyDescent="0.25">
      <c r="A3" s="89" t="s">
        <v>18</v>
      </c>
      <c r="C3" s="29" t="s">
        <v>18</v>
      </c>
      <c r="E3" s="83">
        <v>201603</v>
      </c>
      <c r="F3" s="82" t="s">
        <v>349</v>
      </c>
      <c r="G3" s="82" t="s">
        <v>369</v>
      </c>
      <c r="H3" s="82" t="s">
        <v>344</v>
      </c>
      <c r="I3" s="95">
        <v>39194.03</v>
      </c>
      <c r="K3" s="105" t="str">
        <f>F3&amp;"-"&amp;G3&amp;"-"&amp;H3</f>
        <v>0017-1009-0012</v>
      </c>
      <c r="L3" s="105" t="str">
        <f>VLOOKUP(K3,COA!$A$3:$B$337,2,FALSE)</f>
        <v>R12</v>
      </c>
      <c r="M3" s="105" t="str">
        <f>IF(ISNA(L3),"XXX",L3)</f>
        <v>R12</v>
      </c>
      <c r="N3" s="105" t="str">
        <f>VLOOKUP(M3,CAC!$A$2:$B$198,2,FALSE)</f>
        <v>HMOMM</v>
      </c>
      <c r="P3" s="52">
        <f>SUM(R3:AC3)</f>
        <v>0</v>
      </c>
      <c r="Q3" s="55">
        <v>201501</v>
      </c>
      <c r="R3" s="52">
        <f t="shared" ref="R3:AF18" si="0">SUMIFS($I$3:$I$4995,$E$3:$E$4995,$Q3,$N$3:$N$4995,R$2)</f>
        <v>0</v>
      </c>
      <c r="S3" s="53">
        <f t="shared" si="0"/>
        <v>0</v>
      </c>
      <c r="T3" s="53">
        <f t="shared" si="0"/>
        <v>0</v>
      </c>
      <c r="U3" s="53">
        <f t="shared" si="0"/>
        <v>0</v>
      </c>
      <c r="V3" s="53">
        <f t="shared" si="0"/>
        <v>0</v>
      </c>
      <c r="W3" s="53">
        <f t="shared" si="0"/>
        <v>0</v>
      </c>
      <c r="X3" s="53">
        <f t="shared" si="0"/>
        <v>0</v>
      </c>
      <c r="Y3" s="53">
        <f t="shared" si="0"/>
        <v>0</v>
      </c>
      <c r="Z3" s="53">
        <f t="shared" si="0"/>
        <v>0</v>
      </c>
      <c r="AA3" s="53">
        <f t="shared" si="0"/>
        <v>0</v>
      </c>
      <c r="AB3" s="53">
        <f t="shared" si="0"/>
        <v>0</v>
      </c>
      <c r="AC3" s="54">
        <f t="shared" si="0"/>
        <v>0</v>
      </c>
      <c r="AD3" s="53">
        <f t="shared" si="0"/>
        <v>0</v>
      </c>
      <c r="AE3" s="53">
        <f t="shared" si="0"/>
        <v>0</v>
      </c>
      <c r="AF3" s="54">
        <f t="shared" si="0"/>
        <v>0</v>
      </c>
    </row>
    <row r="4" spans="1:32" x14ac:dyDescent="0.25">
      <c r="A4" s="89" t="s">
        <v>19</v>
      </c>
      <c r="C4" s="29" t="s">
        <v>19</v>
      </c>
      <c r="E4" s="83">
        <v>201608</v>
      </c>
      <c r="F4" s="82" t="s">
        <v>349</v>
      </c>
      <c r="G4" s="82" t="s">
        <v>369</v>
      </c>
      <c r="H4" s="82" t="s">
        <v>344</v>
      </c>
      <c r="I4" s="95">
        <v>39671</v>
      </c>
      <c r="K4" s="105" t="str">
        <f t="shared" ref="K4:K67" si="1">F4&amp;"-"&amp;G4&amp;"-"&amp;H4</f>
        <v>0017-1009-0012</v>
      </c>
      <c r="L4" s="105" t="str">
        <f>VLOOKUP(K4,COA!$A$3:$B$337,2,FALSE)</f>
        <v>R12</v>
      </c>
      <c r="M4" s="105" t="str">
        <f t="shared" ref="M4:M67" si="2">IF(ISNA(L4),"XXX",L4)</f>
        <v>R12</v>
      </c>
      <c r="N4" s="105" t="str">
        <f>VLOOKUP(M4,CAC!$A$2:$B$198,2,FALSE)</f>
        <v>HMOMM</v>
      </c>
      <c r="P4" s="12">
        <f t="shared" ref="P4:P39" si="3">SUM(R4:AC4)</f>
        <v>58610.830000000009</v>
      </c>
      <c r="Q4" s="11">
        <v>201502</v>
      </c>
      <c r="R4" s="12">
        <f t="shared" si="0"/>
        <v>27300.780000000002</v>
      </c>
      <c r="S4" s="13">
        <f t="shared" si="0"/>
        <v>7096.82</v>
      </c>
      <c r="T4" s="13">
        <f t="shared" si="0"/>
        <v>6625.3</v>
      </c>
      <c r="U4" s="13">
        <f t="shared" si="0"/>
        <v>415</v>
      </c>
      <c r="V4" s="13">
        <f t="shared" si="0"/>
        <v>0</v>
      </c>
      <c r="W4" s="13">
        <f t="shared" si="0"/>
        <v>0</v>
      </c>
      <c r="X4" s="13">
        <f t="shared" si="0"/>
        <v>0</v>
      </c>
      <c r="Y4" s="13">
        <f t="shared" si="0"/>
        <v>0</v>
      </c>
      <c r="Z4" s="13">
        <f t="shared" si="0"/>
        <v>17172.93</v>
      </c>
      <c r="AA4" s="13">
        <f t="shared" si="0"/>
        <v>0</v>
      </c>
      <c r="AB4" s="13">
        <f t="shared" si="0"/>
        <v>0</v>
      </c>
      <c r="AC4" s="14">
        <f t="shared" si="0"/>
        <v>0</v>
      </c>
      <c r="AD4" s="13">
        <f t="shared" si="0"/>
        <v>5604</v>
      </c>
      <c r="AE4" s="13">
        <f t="shared" si="0"/>
        <v>35567</v>
      </c>
      <c r="AF4" s="14">
        <f t="shared" si="0"/>
        <v>774</v>
      </c>
    </row>
    <row r="5" spans="1:32" x14ac:dyDescent="0.25">
      <c r="A5" s="89" t="s">
        <v>20</v>
      </c>
      <c r="C5" s="29" t="s">
        <v>20</v>
      </c>
      <c r="E5" s="83">
        <v>201605</v>
      </c>
      <c r="F5" s="82" t="s">
        <v>405</v>
      </c>
      <c r="G5" s="82" t="s">
        <v>362</v>
      </c>
      <c r="H5" s="82" t="s">
        <v>342</v>
      </c>
      <c r="I5" s="95">
        <v>0</v>
      </c>
      <c r="K5" s="105" t="str">
        <f t="shared" si="1"/>
        <v>0019-1008-0031</v>
      </c>
      <c r="L5" s="105" t="str">
        <f>VLOOKUP(K5,COA!$A$3:$B$337,2,FALSE)</f>
        <v>P53</v>
      </c>
      <c r="M5" s="105" t="str">
        <f t="shared" si="2"/>
        <v>P53</v>
      </c>
      <c r="N5" s="105" t="str">
        <f>VLOOKUP(M5,CAC!$A$2:$B$198,2,FALSE)</f>
        <v>HMOPERA</v>
      </c>
      <c r="P5" s="12">
        <f t="shared" si="3"/>
        <v>63727.740000000005</v>
      </c>
      <c r="Q5" s="11">
        <v>201503</v>
      </c>
      <c r="R5" s="12">
        <f t="shared" si="0"/>
        <v>32058.83</v>
      </c>
      <c r="S5" s="13">
        <f t="shared" si="0"/>
        <v>7236</v>
      </c>
      <c r="T5" s="13">
        <f t="shared" si="0"/>
        <v>6645.33</v>
      </c>
      <c r="U5" s="13">
        <f t="shared" si="0"/>
        <v>426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17361.580000000002</v>
      </c>
      <c r="AA5" s="13">
        <f t="shared" si="0"/>
        <v>0</v>
      </c>
      <c r="AB5" s="13">
        <f t="shared" si="0"/>
        <v>0</v>
      </c>
      <c r="AC5" s="14">
        <f t="shared" si="0"/>
        <v>0</v>
      </c>
      <c r="AD5" s="13">
        <f t="shared" si="0"/>
        <v>5656</v>
      </c>
      <c r="AE5" s="13">
        <f t="shared" si="0"/>
        <v>35826</v>
      </c>
      <c r="AF5" s="14">
        <f t="shared" si="0"/>
        <v>785</v>
      </c>
    </row>
    <row r="6" spans="1:32" x14ac:dyDescent="0.25">
      <c r="A6" s="89" t="s">
        <v>21</v>
      </c>
      <c r="C6" s="29" t="s">
        <v>21</v>
      </c>
      <c r="E6" s="83">
        <v>201512</v>
      </c>
      <c r="F6" s="82" t="s">
        <v>344</v>
      </c>
      <c r="G6" s="82" t="s">
        <v>355</v>
      </c>
      <c r="H6" s="82" t="s">
        <v>344</v>
      </c>
      <c r="I6" s="95">
        <v>246</v>
      </c>
      <c r="K6" s="105" t="str">
        <f t="shared" si="1"/>
        <v>0012-1006-0012</v>
      </c>
      <c r="L6" s="105" t="str">
        <f>VLOOKUP(K6,COA!$A$3:$B$337,2,FALSE)</f>
        <v>L16</v>
      </c>
      <c r="M6" s="105" t="str">
        <f t="shared" si="2"/>
        <v>L16</v>
      </c>
      <c r="N6" s="105" t="str">
        <f>VLOOKUP(M6,CAC!$A$2:$B$198,2,FALSE)</f>
        <v>HMOLG</v>
      </c>
      <c r="P6" s="12">
        <f t="shared" si="3"/>
        <v>63324.78</v>
      </c>
      <c r="Q6" s="11">
        <v>201504</v>
      </c>
      <c r="R6" s="12">
        <f t="shared" si="0"/>
        <v>31615.05</v>
      </c>
      <c r="S6" s="13">
        <f t="shared" si="0"/>
        <v>7180</v>
      </c>
      <c r="T6" s="13">
        <f t="shared" si="0"/>
        <v>6626.95</v>
      </c>
      <c r="U6" s="13">
        <f t="shared" si="0"/>
        <v>418</v>
      </c>
      <c r="V6" s="13">
        <f t="shared" si="0"/>
        <v>0</v>
      </c>
      <c r="W6" s="13">
        <f t="shared" si="0"/>
        <v>0</v>
      </c>
      <c r="X6" s="13">
        <f t="shared" si="0"/>
        <v>0</v>
      </c>
      <c r="Y6" s="13">
        <f t="shared" si="0"/>
        <v>0</v>
      </c>
      <c r="Z6" s="13">
        <f t="shared" si="0"/>
        <v>17484.78</v>
      </c>
      <c r="AA6" s="13">
        <f t="shared" si="0"/>
        <v>0</v>
      </c>
      <c r="AB6" s="13">
        <f t="shared" si="0"/>
        <v>0</v>
      </c>
      <c r="AC6" s="14">
        <f t="shared" si="0"/>
        <v>0</v>
      </c>
      <c r="AD6" s="13">
        <f t="shared" si="0"/>
        <v>5664</v>
      </c>
      <c r="AE6" s="13">
        <f t="shared" si="0"/>
        <v>35922</v>
      </c>
      <c r="AF6" s="14">
        <f t="shared" si="0"/>
        <v>783</v>
      </c>
    </row>
    <row r="7" spans="1:32" x14ac:dyDescent="0.25">
      <c r="A7" s="90" t="s">
        <v>22</v>
      </c>
      <c r="C7" s="30" t="s">
        <v>22</v>
      </c>
      <c r="E7" s="83">
        <v>201704</v>
      </c>
      <c r="F7" s="82" t="s">
        <v>349</v>
      </c>
      <c r="G7" s="82" t="s">
        <v>369</v>
      </c>
      <c r="H7" s="82" t="s">
        <v>344</v>
      </c>
      <c r="I7" s="95">
        <v>43740</v>
      </c>
      <c r="K7" s="105" t="str">
        <f t="shared" si="1"/>
        <v>0017-1009-0012</v>
      </c>
      <c r="L7" s="105" t="str">
        <f>VLOOKUP(K7,COA!$A$3:$B$337,2,FALSE)</f>
        <v>R12</v>
      </c>
      <c r="M7" s="105" t="str">
        <f t="shared" si="2"/>
        <v>R12</v>
      </c>
      <c r="N7" s="105" t="str">
        <f>VLOOKUP(M7,CAC!$A$2:$B$198,2,FALSE)</f>
        <v>HMOMM</v>
      </c>
      <c r="P7" s="12">
        <f t="shared" si="3"/>
        <v>65367.97</v>
      </c>
      <c r="Q7" s="11">
        <v>201505</v>
      </c>
      <c r="R7" s="12">
        <f t="shared" si="0"/>
        <v>33544.960000000006</v>
      </c>
      <c r="S7" s="13">
        <f t="shared" si="0"/>
        <v>7034.2</v>
      </c>
      <c r="T7" s="13">
        <f t="shared" si="0"/>
        <v>6604.23</v>
      </c>
      <c r="U7" s="13">
        <f t="shared" si="0"/>
        <v>410.68</v>
      </c>
      <c r="V7" s="13">
        <f t="shared" si="0"/>
        <v>0</v>
      </c>
      <c r="W7" s="13">
        <f t="shared" si="0"/>
        <v>0</v>
      </c>
      <c r="X7" s="13">
        <f t="shared" si="0"/>
        <v>0</v>
      </c>
      <c r="Y7" s="13">
        <f t="shared" si="0"/>
        <v>0</v>
      </c>
      <c r="Z7" s="13">
        <f t="shared" si="0"/>
        <v>17773.900000000001</v>
      </c>
      <c r="AA7" s="13">
        <f t="shared" si="0"/>
        <v>0</v>
      </c>
      <c r="AB7" s="13">
        <f t="shared" si="0"/>
        <v>0</v>
      </c>
      <c r="AC7" s="14">
        <f t="shared" si="0"/>
        <v>0</v>
      </c>
      <c r="AD7" s="13">
        <f t="shared" si="0"/>
        <v>5766</v>
      </c>
      <c r="AE7" s="13">
        <f t="shared" si="0"/>
        <v>36336.58</v>
      </c>
      <c r="AF7" s="14">
        <f t="shared" si="0"/>
        <v>783</v>
      </c>
    </row>
    <row r="8" spans="1:32" x14ac:dyDescent="0.25">
      <c r="A8" s="90" t="s">
        <v>23</v>
      </c>
      <c r="C8" s="30" t="s">
        <v>23</v>
      </c>
      <c r="E8" s="83">
        <v>201503</v>
      </c>
      <c r="F8" s="82" t="s">
        <v>563</v>
      </c>
      <c r="G8" s="82" t="s">
        <v>348</v>
      </c>
      <c r="H8" s="82" t="s">
        <v>349</v>
      </c>
      <c r="I8" s="95">
        <v>0</v>
      </c>
      <c r="K8" s="105" t="str">
        <f t="shared" si="1"/>
        <v>0003-1010-0017</v>
      </c>
      <c r="L8" s="105" t="str">
        <f>VLOOKUP(K8,COA!$A$3:$B$337,2,FALSE)</f>
        <v>S51</v>
      </c>
      <c r="M8" s="105" t="str">
        <f t="shared" si="2"/>
        <v>S51</v>
      </c>
      <c r="N8" s="105" t="str">
        <f>VLOOKUP(M8,CAC!$A$2:$B$198,2,FALSE)</f>
        <v>PPOSG</v>
      </c>
      <c r="P8" s="12">
        <f t="shared" si="3"/>
        <v>65873.389999999985</v>
      </c>
      <c r="Q8" s="11">
        <v>201506</v>
      </c>
      <c r="R8" s="12">
        <f t="shared" si="0"/>
        <v>33700.149999999994</v>
      </c>
      <c r="S8" s="13">
        <f t="shared" si="0"/>
        <v>7166.6</v>
      </c>
      <c r="T8" s="13">
        <f t="shared" si="0"/>
        <v>6598.16</v>
      </c>
      <c r="U8" s="13">
        <f t="shared" si="0"/>
        <v>421</v>
      </c>
      <c r="V8" s="13">
        <f t="shared" si="0"/>
        <v>0</v>
      </c>
      <c r="W8" s="13">
        <f t="shared" si="0"/>
        <v>0</v>
      </c>
      <c r="X8" s="13">
        <f t="shared" si="0"/>
        <v>0</v>
      </c>
      <c r="Y8" s="13">
        <f t="shared" si="0"/>
        <v>0</v>
      </c>
      <c r="Z8" s="13">
        <f t="shared" si="0"/>
        <v>17987.48</v>
      </c>
      <c r="AA8" s="13">
        <f t="shared" si="0"/>
        <v>0</v>
      </c>
      <c r="AB8" s="13">
        <f t="shared" si="0"/>
        <v>0</v>
      </c>
      <c r="AC8" s="14">
        <f t="shared" si="0"/>
        <v>0</v>
      </c>
      <c r="AD8" s="13">
        <f t="shared" si="0"/>
        <v>5810</v>
      </c>
      <c r="AE8" s="13">
        <f t="shared" si="0"/>
        <v>36548</v>
      </c>
      <c r="AF8" s="14">
        <f t="shared" si="0"/>
        <v>773</v>
      </c>
    </row>
    <row r="9" spans="1:32" x14ac:dyDescent="0.25">
      <c r="A9" s="90" t="s">
        <v>338</v>
      </c>
      <c r="C9" s="30" t="s">
        <v>338</v>
      </c>
      <c r="E9" s="83">
        <v>201705</v>
      </c>
      <c r="F9" s="82" t="s">
        <v>345</v>
      </c>
      <c r="G9" s="82" t="s">
        <v>356</v>
      </c>
      <c r="H9" s="82" t="s">
        <v>344</v>
      </c>
      <c r="I9" s="95">
        <v>16068.03</v>
      </c>
      <c r="K9" s="105" t="str">
        <f t="shared" si="1"/>
        <v>0011-1002-0012</v>
      </c>
      <c r="L9" s="105" t="str">
        <f>VLOOKUP(K9,COA!$A$3:$B$337,2,FALSE)</f>
        <v>F20</v>
      </c>
      <c r="M9" s="105" t="str">
        <f t="shared" si="2"/>
        <v>F20</v>
      </c>
      <c r="N9" s="105" t="str">
        <f>VLOOKUP(M9,CAC!$A$2:$B$198,2,FALSE)</f>
        <v>HMOPMR</v>
      </c>
      <c r="P9" s="12">
        <f t="shared" si="3"/>
        <v>192604.99</v>
      </c>
      <c r="Q9" s="11">
        <v>201507</v>
      </c>
      <c r="R9" s="12">
        <f t="shared" si="0"/>
        <v>34430.31</v>
      </c>
      <c r="S9" s="13">
        <f t="shared" si="0"/>
        <v>24608.18</v>
      </c>
      <c r="T9" s="13">
        <f t="shared" si="0"/>
        <v>6596.65</v>
      </c>
      <c r="U9" s="13">
        <f t="shared" si="0"/>
        <v>1010</v>
      </c>
      <c r="V9" s="13">
        <f t="shared" si="0"/>
        <v>39772.42</v>
      </c>
      <c r="W9" s="13">
        <f t="shared" si="0"/>
        <v>59738.44</v>
      </c>
      <c r="X9" s="13">
        <f t="shared" si="0"/>
        <v>6195</v>
      </c>
      <c r="Y9" s="13">
        <f t="shared" si="0"/>
        <v>2248</v>
      </c>
      <c r="Z9" s="13">
        <f t="shared" si="0"/>
        <v>18005.990000000002</v>
      </c>
      <c r="AA9" s="13">
        <f t="shared" si="0"/>
        <v>0</v>
      </c>
      <c r="AB9" s="13">
        <f t="shared" si="0"/>
        <v>0</v>
      </c>
      <c r="AC9" s="14">
        <f t="shared" si="0"/>
        <v>0</v>
      </c>
      <c r="AD9" s="13">
        <f t="shared" si="0"/>
        <v>5876</v>
      </c>
      <c r="AE9" s="13">
        <f t="shared" si="0"/>
        <v>36777</v>
      </c>
      <c r="AF9" s="14">
        <f t="shared" si="0"/>
        <v>706</v>
      </c>
    </row>
    <row r="10" spans="1:32" x14ac:dyDescent="0.25">
      <c r="A10" s="90" t="s">
        <v>24</v>
      </c>
      <c r="C10" s="30" t="s">
        <v>24</v>
      </c>
      <c r="E10" s="83">
        <v>201702</v>
      </c>
      <c r="F10" s="82" t="s">
        <v>345</v>
      </c>
      <c r="G10" s="82" t="s">
        <v>352</v>
      </c>
      <c r="H10" s="82" t="s">
        <v>344</v>
      </c>
      <c r="I10" s="95">
        <v>8634.92</v>
      </c>
      <c r="K10" s="105" t="str">
        <f t="shared" si="1"/>
        <v>0011-1004-0012</v>
      </c>
      <c r="L10" s="105" t="str">
        <f>VLOOKUP(K10,COA!$A$3:$B$337,2,FALSE)</f>
        <v>L11</v>
      </c>
      <c r="M10" s="105" t="str">
        <f t="shared" si="2"/>
        <v>L11</v>
      </c>
      <c r="N10" s="105" t="str">
        <f>VLOOKUP(M10,CAC!$A$2:$B$198,2,FALSE)</f>
        <v>HMOLG</v>
      </c>
      <c r="P10" s="12">
        <f t="shared" si="3"/>
        <v>192359.7</v>
      </c>
      <c r="Q10" s="11">
        <v>201508</v>
      </c>
      <c r="R10" s="12">
        <f t="shared" si="0"/>
        <v>34499.42</v>
      </c>
      <c r="S10" s="13">
        <f t="shared" si="0"/>
        <v>24548.739999999998</v>
      </c>
      <c r="T10" s="13">
        <f t="shared" si="0"/>
        <v>6581.45</v>
      </c>
      <c r="U10" s="13">
        <f t="shared" si="0"/>
        <v>1004.0899999999999</v>
      </c>
      <c r="V10" s="13">
        <f t="shared" si="0"/>
        <v>39593.71</v>
      </c>
      <c r="W10" s="13">
        <f t="shared" si="0"/>
        <v>59471.9</v>
      </c>
      <c r="X10" s="13">
        <f t="shared" si="0"/>
        <v>6203</v>
      </c>
      <c r="Y10" s="13">
        <f t="shared" si="0"/>
        <v>2279</v>
      </c>
      <c r="Z10" s="13">
        <f t="shared" si="0"/>
        <v>18178.39</v>
      </c>
      <c r="AA10" s="13">
        <f t="shared" si="0"/>
        <v>0</v>
      </c>
      <c r="AB10" s="13">
        <f t="shared" si="0"/>
        <v>0</v>
      </c>
      <c r="AC10" s="14">
        <f t="shared" si="0"/>
        <v>0</v>
      </c>
      <c r="AD10" s="13">
        <f t="shared" si="0"/>
        <v>5912</v>
      </c>
      <c r="AE10" s="13">
        <f t="shared" si="0"/>
        <v>36904</v>
      </c>
      <c r="AF10" s="14">
        <f t="shared" si="0"/>
        <v>713</v>
      </c>
    </row>
    <row r="11" spans="1:32" x14ac:dyDescent="0.25">
      <c r="A11" s="90" t="s">
        <v>25</v>
      </c>
      <c r="C11" s="30" t="s">
        <v>25</v>
      </c>
      <c r="E11" s="83">
        <v>201706</v>
      </c>
      <c r="F11" s="82" t="s">
        <v>345</v>
      </c>
      <c r="G11" s="82" t="s">
        <v>354</v>
      </c>
      <c r="H11" s="82" t="s">
        <v>344</v>
      </c>
      <c r="I11" s="95">
        <v>5654</v>
      </c>
      <c r="K11" s="105" t="str">
        <f t="shared" si="1"/>
        <v>0011-1013-0012</v>
      </c>
      <c r="L11" s="105" t="str">
        <f>VLOOKUP(K11,COA!$A$3:$B$337,2,FALSE)</f>
        <v>N20</v>
      </c>
      <c r="M11" s="105" t="str">
        <f t="shared" si="2"/>
        <v>N20</v>
      </c>
      <c r="N11" s="105" t="str">
        <f>VLOOKUP(M11,CAC!$A$2:$B$198,2,FALSE)</f>
        <v>HMOPMR</v>
      </c>
      <c r="P11" s="12">
        <f t="shared" si="3"/>
        <v>209498.65999999997</v>
      </c>
      <c r="Q11" s="11">
        <v>201509</v>
      </c>
      <c r="R11" s="12">
        <f t="shared" si="0"/>
        <v>38233.729999999996</v>
      </c>
      <c r="S11" s="13">
        <f t="shared" si="0"/>
        <v>32721.87</v>
      </c>
      <c r="T11" s="13">
        <f t="shared" si="0"/>
        <v>6542.71</v>
      </c>
      <c r="U11" s="13">
        <f t="shared" si="0"/>
        <v>5752.83</v>
      </c>
      <c r="V11" s="13">
        <f t="shared" si="0"/>
        <v>39438.230000000003</v>
      </c>
      <c r="W11" s="13">
        <f t="shared" si="0"/>
        <v>59328.800000000003</v>
      </c>
      <c r="X11" s="13">
        <f t="shared" si="0"/>
        <v>6226</v>
      </c>
      <c r="Y11" s="13">
        <f t="shared" si="0"/>
        <v>2299</v>
      </c>
      <c r="Z11" s="13">
        <f t="shared" si="0"/>
        <v>18955.490000000002</v>
      </c>
      <c r="AA11" s="13">
        <f t="shared" si="0"/>
        <v>0</v>
      </c>
      <c r="AB11" s="13">
        <f t="shared" si="0"/>
        <v>0</v>
      </c>
      <c r="AC11" s="14">
        <f t="shared" si="0"/>
        <v>0</v>
      </c>
      <c r="AD11" s="13">
        <f t="shared" si="0"/>
        <v>5945</v>
      </c>
      <c r="AE11" s="13">
        <f t="shared" si="0"/>
        <v>37017</v>
      </c>
      <c r="AF11" s="14">
        <f t="shared" si="0"/>
        <v>716</v>
      </c>
    </row>
    <row r="12" spans="1:32" x14ac:dyDescent="0.25">
      <c r="A12" s="91" t="s">
        <v>33</v>
      </c>
      <c r="C12" s="86" t="s">
        <v>33</v>
      </c>
      <c r="E12" s="83">
        <v>201504</v>
      </c>
      <c r="F12" s="82" t="s">
        <v>563</v>
      </c>
      <c r="G12" s="82" t="s">
        <v>350</v>
      </c>
      <c r="H12" s="82" t="s">
        <v>344</v>
      </c>
      <c r="I12" s="95">
        <v>0</v>
      </c>
      <c r="K12" s="105" t="str">
        <f t="shared" si="1"/>
        <v>0003-1012-0012</v>
      </c>
      <c r="L12" s="105" t="str">
        <f>VLOOKUP(K12,COA!$A$3:$B$337,2,FALSE)</f>
        <v>K51</v>
      </c>
      <c r="M12" s="105" t="str">
        <f t="shared" si="2"/>
        <v>K51</v>
      </c>
      <c r="N12" s="105" t="str">
        <f>VLOOKUP(M12,CAC!$A$2:$B$198,2,FALSE)</f>
        <v>PPOPMR</v>
      </c>
      <c r="P12" s="12">
        <f t="shared" si="3"/>
        <v>211216.90000000002</v>
      </c>
      <c r="Q12" s="11">
        <v>201510</v>
      </c>
      <c r="R12" s="12">
        <f t="shared" si="0"/>
        <v>39409.910000000003</v>
      </c>
      <c r="S12" s="13">
        <f t="shared" si="0"/>
        <v>32896.520000000004</v>
      </c>
      <c r="T12" s="13">
        <f t="shared" si="0"/>
        <v>6684.26</v>
      </c>
      <c r="U12" s="13">
        <f t="shared" si="0"/>
        <v>5622.8</v>
      </c>
      <c r="V12" s="13">
        <f t="shared" si="0"/>
        <v>39522</v>
      </c>
      <c r="W12" s="13">
        <f t="shared" si="0"/>
        <v>59102.84</v>
      </c>
      <c r="X12" s="13">
        <f t="shared" si="0"/>
        <v>6316</v>
      </c>
      <c r="Y12" s="13">
        <f t="shared" si="0"/>
        <v>2327</v>
      </c>
      <c r="Z12" s="13">
        <f t="shared" si="0"/>
        <v>19335.57</v>
      </c>
      <c r="AA12" s="13">
        <f t="shared" si="0"/>
        <v>0</v>
      </c>
      <c r="AB12" s="13">
        <f t="shared" si="0"/>
        <v>0</v>
      </c>
      <c r="AC12" s="14">
        <f t="shared" si="0"/>
        <v>0</v>
      </c>
      <c r="AD12" s="13">
        <f t="shared" si="0"/>
        <v>5937</v>
      </c>
      <c r="AE12" s="13">
        <f t="shared" si="0"/>
        <v>37071</v>
      </c>
      <c r="AF12" s="14">
        <f t="shared" si="0"/>
        <v>716</v>
      </c>
    </row>
    <row r="13" spans="1:32" x14ac:dyDescent="0.25">
      <c r="A13" s="91" t="s">
        <v>866</v>
      </c>
      <c r="C13" s="86" t="s">
        <v>866</v>
      </c>
      <c r="E13" s="83">
        <v>201705</v>
      </c>
      <c r="F13" s="82" t="s">
        <v>563</v>
      </c>
      <c r="G13" s="82" t="s">
        <v>359</v>
      </c>
      <c r="H13" s="82" t="s">
        <v>344</v>
      </c>
      <c r="I13" s="95">
        <v>0</v>
      </c>
      <c r="K13" s="105" t="str">
        <f t="shared" si="1"/>
        <v>0003-1005-0012</v>
      </c>
      <c r="L13" s="105" t="str">
        <f>VLOOKUP(K13,COA!$A$3:$B$337,2,FALSE)</f>
        <v>N51</v>
      </c>
      <c r="M13" s="105" t="str">
        <f t="shared" si="2"/>
        <v>N51</v>
      </c>
      <c r="N13" s="105" t="str">
        <f>VLOOKUP(M13,CAC!$A$2:$B$198,2,FALSE)</f>
        <v>PPOLG</v>
      </c>
      <c r="P13" s="12">
        <f t="shared" si="3"/>
        <v>224843.31999999998</v>
      </c>
      <c r="Q13" s="11">
        <v>201511</v>
      </c>
      <c r="R13" s="12">
        <f t="shared" si="0"/>
        <v>42470.47</v>
      </c>
      <c r="S13" s="13">
        <f t="shared" si="0"/>
        <v>41530.57</v>
      </c>
      <c r="T13" s="13">
        <f t="shared" si="0"/>
        <v>6687.34</v>
      </c>
      <c r="U13" s="13">
        <f t="shared" si="0"/>
        <v>6915.79</v>
      </c>
      <c r="V13" s="13">
        <f t="shared" si="0"/>
        <v>39737.06</v>
      </c>
      <c r="W13" s="13">
        <f t="shared" si="0"/>
        <v>59314.55</v>
      </c>
      <c r="X13" s="13">
        <f t="shared" si="0"/>
        <v>6325</v>
      </c>
      <c r="Y13" s="13">
        <f t="shared" si="0"/>
        <v>2359</v>
      </c>
      <c r="Z13" s="13">
        <f t="shared" si="0"/>
        <v>19503.54</v>
      </c>
      <c r="AA13" s="13">
        <f t="shared" si="0"/>
        <v>0</v>
      </c>
      <c r="AB13" s="13">
        <f t="shared" si="0"/>
        <v>0</v>
      </c>
      <c r="AC13" s="14">
        <f t="shared" si="0"/>
        <v>0</v>
      </c>
      <c r="AD13" s="13">
        <f t="shared" si="0"/>
        <v>5940</v>
      </c>
      <c r="AE13" s="13">
        <f t="shared" si="0"/>
        <v>37148</v>
      </c>
      <c r="AF13" s="14">
        <f t="shared" si="0"/>
        <v>726</v>
      </c>
    </row>
    <row r="14" spans="1:32" x14ac:dyDescent="0.25">
      <c r="A14" s="91" t="s">
        <v>867</v>
      </c>
      <c r="C14" s="93" t="s">
        <v>939</v>
      </c>
      <c r="E14" s="83">
        <v>201703</v>
      </c>
      <c r="F14" s="82" t="s">
        <v>506</v>
      </c>
      <c r="G14" s="82" t="s">
        <v>346</v>
      </c>
      <c r="H14" s="82" t="s">
        <v>592</v>
      </c>
      <c r="I14" s="95">
        <v>0</v>
      </c>
      <c r="K14" s="105" t="str">
        <f t="shared" si="1"/>
        <v>0013-1014-0035</v>
      </c>
      <c r="L14" s="105" t="str">
        <f>VLOOKUP(K14,COA!$A$3:$B$337,2,FALSE)</f>
        <v>K42</v>
      </c>
      <c r="M14" s="105" t="str">
        <f t="shared" si="2"/>
        <v>K42</v>
      </c>
      <c r="N14" s="105" t="str">
        <f>VLOOKUP(M14,CAC!$A$2:$B$198,2,FALSE)</f>
        <v>HMFLEX</v>
      </c>
      <c r="P14" s="35">
        <f t="shared" si="3"/>
        <v>226061.28000000003</v>
      </c>
      <c r="Q14" s="34">
        <v>201512</v>
      </c>
      <c r="R14" s="35">
        <f t="shared" si="0"/>
        <v>42715.11</v>
      </c>
      <c r="S14" s="36">
        <f t="shared" si="0"/>
        <v>41644.720000000001</v>
      </c>
      <c r="T14" s="36">
        <f t="shared" si="0"/>
        <v>6679.35</v>
      </c>
      <c r="U14" s="36">
        <f t="shared" si="0"/>
        <v>6950.38</v>
      </c>
      <c r="V14" s="36">
        <f t="shared" si="0"/>
        <v>39623.519999999997</v>
      </c>
      <c r="W14" s="36">
        <f t="shared" si="0"/>
        <v>59049.08</v>
      </c>
      <c r="X14" s="36">
        <f t="shared" si="0"/>
        <v>6342.03</v>
      </c>
      <c r="Y14" s="36">
        <f t="shared" si="0"/>
        <v>2390</v>
      </c>
      <c r="Z14" s="36">
        <f t="shared" si="0"/>
        <v>20667.09</v>
      </c>
      <c r="AA14" s="36">
        <f t="shared" si="0"/>
        <v>0</v>
      </c>
      <c r="AB14" s="36">
        <f t="shared" si="0"/>
        <v>0</v>
      </c>
      <c r="AC14" s="37">
        <f t="shared" si="0"/>
        <v>0</v>
      </c>
      <c r="AD14" s="36">
        <f t="shared" si="0"/>
        <v>5971</v>
      </c>
      <c r="AE14" s="36">
        <f t="shared" si="0"/>
        <v>37200</v>
      </c>
      <c r="AF14" s="37">
        <f t="shared" si="0"/>
        <v>727</v>
      </c>
    </row>
    <row r="15" spans="1:32" x14ac:dyDescent="0.25">
      <c r="A15" s="91" t="s">
        <v>868</v>
      </c>
      <c r="C15" s="93" t="s">
        <v>940</v>
      </c>
      <c r="E15" s="83">
        <v>201608</v>
      </c>
      <c r="F15" s="82" t="s">
        <v>405</v>
      </c>
      <c r="G15" s="82" t="s">
        <v>362</v>
      </c>
      <c r="H15" s="82" t="s">
        <v>342</v>
      </c>
      <c r="I15" s="95">
        <v>0</v>
      </c>
      <c r="K15" s="105" t="str">
        <f t="shared" si="1"/>
        <v>0019-1008-0031</v>
      </c>
      <c r="L15" s="105" t="str">
        <f>VLOOKUP(K15,COA!$A$3:$B$337,2,FALSE)</f>
        <v>P53</v>
      </c>
      <c r="M15" s="105" t="str">
        <f t="shared" si="2"/>
        <v>P53</v>
      </c>
      <c r="N15" s="105" t="str">
        <f>VLOOKUP(M15,CAC!$A$2:$B$198,2,FALSE)</f>
        <v>HMOPERA</v>
      </c>
      <c r="P15" s="52">
        <f t="shared" si="3"/>
        <v>211172.92000000004</v>
      </c>
      <c r="Q15" s="55">
        <v>201601</v>
      </c>
      <c r="R15" s="52">
        <f t="shared" si="0"/>
        <v>42824.05</v>
      </c>
      <c r="S15" s="53">
        <f t="shared" si="0"/>
        <v>56208.46</v>
      </c>
      <c r="T15" s="53">
        <f t="shared" si="0"/>
        <v>6066.57</v>
      </c>
      <c r="U15" s="53">
        <f t="shared" si="0"/>
        <v>8571.36</v>
      </c>
      <c r="V15" s="53">
        <f t="shared" si="0"/>
        <v>38353.35</v>
      </c>
      <c r="W15" s="53">
        <f t="shared" si="0"/>
        <v>38446.800000000003</v>
      </c>
      <c r="X15" s="53">
        <f t="shared" si="0"/>
        <v>0</v>
      </c>
      <c r="Y15" s="53">
        <f t="shared" si="0"/>
        <v>0</v>
      </c>
      <c r="Z15" s="53">
        <f t="shared" si="0"/>
        <v>20702.330000000002</v>
      </c>
      <c r="AA15" s="53">
        <f t="shared" si="0"/>
        <v>0</v>
      </c>
      <c r="AB15" s="53">
        <f t="shared" si="0"/>
        <v>0</v>
      </c>
      <c r="AC15" s="54">
        <f t="shared" si="0"/>
        <v>0</v>
      </c>
      <c r="AD15" s="53">
        <f t="shared" si="0"/>
        <v>0</v>
      </c>
      <c r="AE15" s="53">
        <f t="shared" si="0"/>
        <v>39168</v>
      </c>
      <c r="AF15" s="54">
        <f t="shared" si="0"/>
        <v>725</v>
      </c>
    </row>
    <row r="16" spans="1:32" x14ac:dyDescent="0.25">
      <c r="A16" s="91" t="s">
        <v>869</v>
      </c>
      <c r="C16" s="93" t="s">
        <v>941</v>
      </c>
      <c r="E16" s="83">
        <v>201608</v>
      </c>
      <c r="F16" s="82" t="s">
        <v>345</v>
      </c>
      <c r="G16" s="82" t="s">
        <v>350</v>
      </c>
      <c r="H16" s="82" t="s">
        <v>357</v>
      </c>
      <c r="I16" s="95">
        <v>1919.63</v>
      </c>
      <c r="K16" s="105" t="str">
        <f t="shared" si="1"/>
        <v>0011-1012-0038</v>
      </c>
      <c r="L16" s="105" t="str">
        <f>VLOOKUP(K16,COA!$A$3:$B$337,2,FALSE)</f>
        <v>K14</v>
      </c>
      <c r="M16" s="105" t="str">
        <f t="shared" si="2"/>
        <v>K14</v>
      </c>
      <c r="N16" s="105" t="str">
        <f>VLOOKUP(M16,CAC!$A$2:$B$198,2,FALSE)</f>
        <v>HMOPMR</v>
      </c>
      <c r="P16" s="12">
        <f t="shared" si="3"/>
        <v>210897.27000000002</v>
      </c>
      <c r="Q16" s="11">
        <v>201602</v>
      </c>
      <c r="R16" s="12">
        <f t="shared" si="0"/>
        <v>42728.880000000005</v>
      </c>
      <c r="S16" s="13">
        <f t="shared" si="0"/>
        <v>56232.560000000005</v>
      </c>
      <c r="T16" s="13">
        <f t="shared" si="0"/>
        <v>6108.42</v>
      </c>
      <c r="U16" s="13">
        <f t="shared" si="0"/>
        <v>8590.35</v>
      </c>
      <c r="V16" s="13">
        <f t="shared" si="0"/>
        <v>38245.4</v>
      </c>
      <c r="W16" s="13">
        <f t="shared" si="0"/>
        <v>38084</v>
      </c>
      <c r="X16" s="13">
        <f t="shared" si="0"/>
        <v>0</v>
      </c>
      <c r="Y16" s="13">
        <f t="shared" si="0"/>
        <v>0</v>
      </c>
      <c r="Z16" s="13">
        <f t="shared" si="0"/>
        <v>20907.66</v>
      </c>
      <c r="AA16" s="13">
        <f t="shared" si="0"/>
        <v>0</v>
      </c>
      <c r="AB16" s="13">
        <f t="shared" si="0"/>
        <v>0</v>
      </c>
      <c r="AC16" s="14">
        <f t="shared" si="0"/>
        <v>0</v>
      </c>
      <c r="AD16" s="13">
        <f t="shared" si="0"/>
        <v>0</v>
      </c>
      <c r="AE16" s="13">
        <f t="shared" si="0"/>
        <v>39155.94</v>
      </c>
      <c r="AF16" s="14">
        <f t="shared" si="0"/>
        <v>734</v>
      </c>
    </row>
    <row r="17" spans="1:32" x14ac:dyDescent="0.25">
      <c r="A17" s="91" t="s">
        <v>865</v>
      </c>
      <c r="C17" s="86" t="s">
        <v>869</v>
      </c>
      <c r="E17" s="83">
        <v>201706</v>
      </c>
      <c r="F17" s="82" t="s">
        <v>746</v>
      </c>
      <c r="G17" s="82" t="s">
        <v>361</v>
      </c>
      <c r="H17" s="82" t="s">
        <v>344</v>
      </c>
      <c r="I17" s="95">
        <v>497</v>
      </c>
      <c r="K17" s="105" t="str">
        <f t="shared" si="1"/>
        <v>0016-1003-0012</v>
      </c>
      <c r="L17" s="105" t="str">
        <f>VLOOKUP(K17,COA!$A$3:$B$337,2,FALSE)</f>
        <v>R18</v>
      </c>
      <c r="M17" s="105" t="str">
        <f t="shared" si="2"/>
        <v>R18</v>
      </c>
      <c r="N17" s="105" t="str">
        <f>VLOOKUP(M17,CAC!$A$2:$B$198,2,FALSE)</f>
        <v>HMOMG</v>
      </c>
      <c r="P17" s="12">
        <f t="shared" si="3"/>
        <v>210755.69000000003</v>
      </c>
      <c r="Q17" s="11">
        <v>201603</v>
      </c>
      <c r="R17" s="12">
        <f t="shared" si="0"/>
        <v>42387.18</v>
      </c>
      <c r="S17" s="13">
        <f t="shared" si="0"/>
        <v>56347.05</v>
      </c>
      <c r="T17" s="13">
        <f t="shared" si="0"/>
        <v>6106.8</v>
      </c>
      <c r="U17" s="13">
        <f t="shared" si="0"/>
        <v>8637.5300000000007</v>
      </c>
      <c r="V17" s="13">
        <f t="shared" si="0"/>
        <v>38210.65</v>
      </c>
      <c r="W17" s="13">
        <f t="shared" si="0"/>
        <v>37911</v>
      </c>
      <c r="X17" s="13">
        <f t="shared" si="0"/>
        <v>0</v>
      </c>
      <c r="Y17" s="13">
        <f t="shared" si="0"/>
        <v>0</v>
      </c>
      <c r="Z17" s="13">
        <f t="shared" si="0"/>
        <v>21155.48</v>
      </c>
      <c r="AA17" s="13">
        <f t="shared" si="0"/>
        <v>0</v>
      </c>
      <c r="AB17" s="13">
        <f t="shared" si="0"/>
        <v>0</v>
      </c>
      <c r="AC17" s="14">
        <f t="shared" si="0"/>
        <v>0</v>
      </c>
      <c r="AD17" s="13">
        <f t="shared" si="0"/>
        <v>0</v>
      </c>
      <c r="AE17" s="13">
        <f t="shared" si="0"/>
        <v>39197.03</v>
      </c>
      <c r="AF17" s="14">
        <f t="shared" si="0"/>
        <v>741</v>
      </c>
    </row>
    <row r="18" spans="1:32" x14ac:dyDescent="0.25">
      <c r="A18" s="91" t="s">
        <v>25</v>
      </c>
      <c r="C18" s="86" t="s">
        <v>865</v>
      </c>
      <c r="E18" s="83">
        <v>201601</v>
      </c>
      <c r="F18" s="82" t="s">
        <v>746</v>
      </c>
      <c r="G18" s="82" t="s">
        <v>350</v>
      </c>
      <c r="H18" s="82" t="s">
        <v>764</v>
      </c>
      <c r="I18" s="95">
        <v>8</v>
      </c>
      <c r="K18" s="105" t="str">
        <f t="shared" si="1"/>
        <v>0016-1012-0064</v>
      </c>
      <c r="L18" s="105" t="str">
        <f>VLOOKUP(K18,COA!$A$3:$B$337,2,FALSE)</f>
        <v>R25</v>
      </c>
      <c r="M18" s="105" t="str">
        <f t="shared" si="2"/>
        <v>R25</v>
      </c>
      <c r="N18" s="105" t="str">
        <f>VLOOKUP(M18,CAC!$A$2:$B$198,2,FALSE)</f>
        <v>HMOMG</v>
      </c>
      <c r="P18" s="12">
        <f t="shared" si="3"/>
        <v>211059.65</v>
      </c>
      <c r="Q18" s="11">
        <v>201604</v>
      </c>
      <c r="R18" s="12">
        <f t="shared" si="0"/>
        <v>42244.659999999996</v>
      </c>
      <c r="S18" s="13">
        <f t="shared" si="0"/>
        <v>56821.34</v>
      </c>
      <c r="T18" s="13">
        <f t="shared" si="0"/>
        <v>6089.74</v>
      </c>
      <c r="U18" s="13">
        <f t="shared" si="0"/>
        <v>8685.39</v>
      </c>
      <c r="V18" s="13">
        <f t="shared" si="0"/>
        <v>38117.599999999999</v>
      </c>
      <c r="W18" s="13">
        <f t="shared" si="0"/>
        <v>37687.39</v>
      </c>
      <c r="X18" s="13">
        <f t="shared" si="0"/>
        <v>0</v>
      </c>
      <c r="Y18" s="13">
        <f t="shared" si="0"/>
        <v>0</v>
      </c>
      <c r="Z18" s="13">
        <f t="shared" si="0"/>
        <v>21413.53</v>
      </c>
      <c r="AA18" s="13">
        <f t="shared" si="0"/>
        <v>0</v>
      </c>
      <c r="AB18" s="13">
        <f t="shared" si="0"/>
        <v>0</v>
      </c>
      <c r="AC18" s="14">
        <f t="shared" si="0"/>
        <v>0</v>
      </c>
      <c r="AD18" s="13">
        <f t="shared" si="0"/>
        <v>0</v>
      </c>
      <c r="AE18" s="13">
        <f t="shared" si="0"/>
        <v>39231</v>
      </c>
      <c r="AF18" s="14">
        <f t="shared" si="0"/>
        <v>750</v>
      </c>
    </row>
    <row r="19" spans="1:32" x14ac:dyDescent="0.25">
      <c r="A19" s="91" t="s">
        <v>863</v>
      </c>
      <c r="C19" s="86" t="s">
        <v>25</v>
      </c>
      <c r="E19" s="83">
        <v>201612</v>
      </c>
      <c r="F19" s="82" t="s">
        <v>563</v>
      </c>
      <c r="G19" s="82" t="s">
        <v>352</v>
      </c>
      <c r="H19" s="82" t="s">
        <v>344</v>
      </c>
      <c r="I19" s="95">
        <v>0</v>
      </c>
      <c r="K19" s="105" t="str">
        <f t="shared" si="1"/>
        <v>0003-1004-0012</v>
      </c>
      <c r="L19" s="105" t="str">
        <f>VLOOKUP(K19,COA!$A$3:$B$337,2,FALSE)</f>
        <v>L51</v>
      </c>
      <c r="M19" s="105" t="str">
        <f t="shared" si="2"/>
        <v>L51</v>
      </c>
      <c r="N19" s="105" t="str">
        <f>VLOOKUP(M19,CAC!$A$2:$B$198,2,FALSE)</f>
        <v>PPOLG</v>
      </c>
      <c r="P19" s="12">
        <f t="shared" si="3"/>
        <v>210420.12</v>
      </c>
      <c r="Q19" s="11">
        <v>201605</v>
      </c>
      <c r="R19" s="12">
        <f t="shared" ref="R19:AF34" si="4">SUMIFS($I$3:$I$4995,$E$3:$E$4995,$Q19,$N$3:$N$4995,R$2)</f>
        <v>41864.899999999994</v>
      </c>
      <c r="S19" s="13">
        <f t="shared" si="4"/>
        <v>56637.020000000004</v>
      </c>
      <c r="T19" s="13">
        <f t="shared" si="4"/>
        <v>6085.52</v>
      </c>
      <c r="U19" s="13">
        <f t="shared" si="4"/>
        <v>8784</v>
      </c>
      <c r="V19" s="13">
        <f t="shared" si="4"/>
        <v>38024.089999999997</v>
      </c>
      <c r="W19" s="13">
        <f t="shared" si="4"/>
        <v>37416</v>
      </c>
      <c r="X19" s="13">
        <f t="shared" si="4"/>
        <v>0</v>
      </c>
      <c r="Y19" s="13">
        <f t="shared" si="4"/>
        <v>0</v>
      </c>
      <c r="Z19" s="13">
        <f t="shared" si="4"/>
        <v>21608.59</v>
      </c>
      <c r="AA19" s="13">
        <f t="shared" si="4"/>
        <v>0</v>
      </c>
      <c r="AB19" s="13">
        <f t="shared" si="4"/>
        <v>0</v>
      </c>
      <c r="AC19" s="14">
        <f t="shared" si="4"/>
        <v>0</v>
      </c>
      <c r="AD19" s="13">
        <f t="shared" si="4"/>
        <v>0</v>
      </c>
      <c r="AE19" s="13">
        <f t="shared" si="4"/>
        <v>39345</v>
      </c>
      <c r="AF19" s="14">
        <f t="shared" si="4"/>
        <v>759</v>
      </c>
    </row>
    <row r="20" spans="1:32" x14ac:dyDescent="0.25">
      <c r="A20" s="91" t="s">
        <v>870</v>
      </c>
      <c r="C20" s="86" t="s">
        <v>863</v>
      </c>
      <c r="E20" s="83">
        <v>201604</v>
      </c>
      <c r="F20" s="82" t="s">
        <v>344</v>
      </c>
      <c r="G20" s="82" t="s">
        <v>355</v>
      </c>
      <c r="H20" s="82" t="s">
        <v>344</v>
      </c>
      <c r="I20" s="95">
        <v>110</v>
      </c>
      <c r="K20" s="105" t="str">
        <f t="shared" si="1"/>
        <v>0012-1006-0012</v>
      </c>
      <c r="L20" s="105" t="str">
        <f>VLOOKUP(K20,COA!$A$3:$B$337,2,FALSE)</f>
        <v>L16</v>
      </c>
      <c r="M20" s="105" t="str">
        <f t="shared" si="2"/>
        <v>L16</v>
      </c>
      <c r="N20" s="105" t="str">
        <f>VLOOKUP(M20,CAC!$A$2:$B$198,2,FALSE)</f>
        <v>HMOLG</v>
      </c>
      <c r="P20" s="12">
        <f t="shared" si="3"/>
        <v>209328.22</v>
      </c>
      <c r="Q20" s="11">
        <v>201606</v>
      </c>
      <c r="R20" s="12">
        <f t="shared" si="4"/>
        <v>41436.36</v>
      </c>
      <c r="S20" s="13">
        <f t="shared" si="4"/>
        <v>56402.619999999995</v>
      </c>
      <c r="T20" s="13">
        <f t="shared" si="4"/>
        <v>6048.86</v>
      </c>
      <c r="U20" s="13">
        <f t="shared" si="4"/>
        <v>8771.44</v>
      </c>
      <c r="V20" s="13">
        <f t="shared" si="4"/>
        <v>37784.36</v>
      </c>
      <c r="W20" s="13">
        <f t="shared" si="4"/>
        <v>37149.089999999997</v>
      </c>
      <c r="X20" s="13">
        <f t="shared" si="4"/>
        <v>0</v>
      </c>
      <c r="Y20" s="13">
        <f t="shared" si="4"/>
        <v>0</v>
      </c>
      <c r="Z20" s="13">
        <f t="shared" si="4"/>
        <v>21735.489999999998</v>
      </c>
      <c r="AA20" s="13">
        <f t="shared" si="4"/>
        <v>0</v>
      </c>
      <c r="AB20" s="13">
        <f t="shared" si="4"/>
        <v>0</v>
      </c>
      <c r="AC20" s="14">
        <f t="shared" si="4"/>
        <v>0</v>
      </c>
      <c r="AD20" s="13">
        <f t="shared" si="4"/>
        <v>0</v>
      </c>
      <c r="AE20" s="13">
        <f t="shared" si="4"/>
        <v>39431</v>
      </c>
      <c r="AF20" s="14">
        <f t="shared" si="4"/>
        <v>761</v>
      </c>
    </row>
    <row r="21" spans="1:32" x14ac:dyDescent="0.25">
      <c r="A21" s="91" t="s">
        <v>871</v>
      </c>
      <c r="C21" s="86" t="s">
        <v>870</v>
      </c>
      <c r="E21" s="83">
        <v>201612</v>
      </c>
      <c r="F21" s="82" t="s">
        <v>345</v>
      </c>
      <c r="G21" s="82" t="s">
        <v>352</v>
      </c>
      <c r="H21" s="82" t="s">
        <v>653</v>
      </c>
      <c r="I21" s="95">
        <v>0</v>
      </c>
      <c r="K21" s="105" t="str">
        <f t="shared" si="1"/>
        <v>0011-1004-0047</v>
      </c>
      <c r="L21" s="105" t="str">
        <f>VLOOKUP(K21,COA!$A$3:$B$337,2,FALSE)</f>
        <v>L17</v>
      </c>
      <c r="M21" s="105" t="str">
        <f t="shared" si="2"/>
        <v>L17</v>
      </c>
      <c r="N21" s="105" t="str">
        <f>VLOOKUP(M21,CAC!$A$2:$B$198,2,FALSE)</f>
        <v>HMOLG</v>
      </c>
      <c r="P21" s="12">
        <f t="shared" si="3"/>
        <v>204924.91</v>
      </c>
      <c r="Q21" s="11">
        <v>201607</v>
      </c>
      <c r="R21" s="12">
        <f t="shared" si="4"/>
        <v>41391.659999999996</v>
      </c>
      <c r="S21" s="13">
        <f t="shared" si="4"/>
        <v>50519.41</v>
      </c>
      <c r="T21" s="13">
        <f t="shared" si="4"/>
        <v>6094.98</v>
      </c>
      <c r="U21" s="13">
        <f t="shared" si="4"/>
        <v>9733.7199999999993</v>
      </c>
      <c r="V21" s="13">
        <f t="shared" si="4"/>
        <v>38064.67</v>
      </c>
      <c r="W21" s="13">
        <f t="shared" si="4"/>
        <v>36982.480000000003</v>
      </c>
      <c r="X21" s="13">
        <f t="shared" si="4"/>
        <v>0</v>
      </c>
      <c r="Y21" s="13">
        <f t="shared" si="4"/>
        <v>0</v>
      </c>
      <c r="Z21" s="13">
        <f t="shared" si="4"/>
        <v>22137.99</v>
      </c>
      <c r="AA21" s="13">
        <f t="shared" si="4"/>
        <v>0</v>
      </c>
      <c r="AB21" s="13">
        <f t="shared" si="4"/>
        <v>0</v>
      </c>
      <c r="AC21" s="14">
        <f t="shared" si="4"/>
        <v>0</v>
      </c>
      <c r="AD21" s="13">
        <f t="shared" si="4"/>
        <v>0</v>
      </c>
      <c r="AE21" s="13">
        <f t="shared" si="4"/>
        <v>39585</v>
      </c>
      <c r="AF21" s="14">
        <f t="shared" si="4"/>
        <v>763</v>
      </c>
    </row>
    <row r="22" spans="1:32" x14ac:dyDescent="0.25">
      <c r="A22" s="91" t="s">
        <v>889</v>
      </c>
      <c r="C22" s="86" t="s">
        <v>871</v>
      </c>
      <c r="E22" s="83">
        <v>201511</v>
      </c>
      <c r="F22" s="82" t="s">
        <v>349</v>
      </c>
      <c r="G22" s="82" t="s">
        <v>369</v>
      </c>
      <c r="H22" s="82" t="s">
        <v>344</v>
      </c>
      <c r="I22" s="95">
        <v>37148</v>
      </c>
      <c r="K22" s="105" t="str">
        <f t="shared" si="1"/>
        <v>0017-1009-0012</v>
      </c>
      <c r="L22" s="105" t="str">
        <f>VLOOKUP(K22,COA!$A$3:$B$337,2,FALSE)</f>
        <v>R12</v>
      </c>
      <c r="M22" s="105" t="str">
        <f t="shared" si="2"/>
        <v>R12</v>
      </c>
      <c r="N22" s="105" t="str">
        <f>VLOOKUP(M22,CAC!$A$2:$B$198,2,FALSE)</f>
        <v>HMOMM</v>
      </c>
      <c r="P22" s="12">
        <f t="shared" si="3"/>
        <v>210548.84000000003</v>
      </c>
      <c r="Q22" s="11">
        <v>201608</v>
      </c>
      <c r="R22" s="12">
        <f t="shared" si="4"/>
        <v>40773.810000000005</v>
      </c>
      <c r="S22" s="13">
        <f t="shared" si="4"/>
        <v>57069.020000000004</v>
      </c>
      <c r="T22" s="13">
        <f t="shared" si="4"/>
        <v>6060.52</v>
      </c>
      <c r="U22" s="13">
        <f t="shared" si="4"/>
        <v>9788.06</v>
      </c>
      <c r="V22" s="13">
        <f t="shared" si="4"/>
        <v>37846.81</v>
      </c>
      <c r="W22" s="13">
        <f t="shared" si="4"/>
        <v>36815.71</v>
      </c>
      <c r="X22" s="13">
        <f t="shared" si="4"/>
        <v>0</v>
      </c>
      <c r="Y22" s="13">
        <f t="shared" si="4"/>
        <v>0</v>
      </c>
      <c r="Z22" s="13">
        <f t="shared" si="4"/>
        <v>22194.91</v>
      </c>
      <c r="AA22" s="13">
        <f t="shared" si="4"/>
        <v>0</v>
      </c>
      <c r="AB22" s="13">
        <f t="shared" si="4"/>
        <v>0</v>
      </c>
      <c r="AC22" s="14">
        <f t="shared" si="4"/>
        <v>0</v>
      </c>
      <c r="AD22" s="13">
        <f t="shared" si="4"/>
        <v>0</v>
      </c>
      <c r="AE22" s="13">
        <f t="shared" si="4"/>
        <v>39674</v>
      </c>
      <c r="AF22" s="14">
        <f t="shared" si="4"/>
        <v>764</v>
      </c>
    </row>
    <row r="23" spans="1:32" x14ac:dyDescent="0.25">
      <c r="A23" s="91" t="s">
        <v>872</v>
      </c>
      <c r="C23" s="86" t="s">
        <v>889</v>
      </c>
      <c r="E23" s="83">
        <v>201510</v>
      </c>
      <c r="F23" s="82" t="s">
        <v>549</v>
      </c>
      <c r="G23" s="82" t="s">
        <v>356</v>
      </c>
      <c r="H23" s="82" t="s">
        <v>672</v>
      </c>
      <c r="I23" s="95">
        <v>0</v>
      </c>
      <c r="K23" s="105" t="str">
        <f t="shared" si="1"/>
        <v>0026-1002-0058</v>
      </c>
      <c r="L23" s="105" t="str">
        <f>VLOOKUP(K23,COA!$A$3:$B$337,2,FALSE)</f>
        <v>L45</v>
      </c>
      <c r="M23" s="105" t="str">
        <f t="shared" si="2"/>
        <v>L45</v>
      </c>
      <c r="N23" s="105" t="e">
        <f>VLOOKUP(M23,CAC!$A$2:$B$198,2,FALSE)</f>
        <v>#N/A</v>
      </c>
      <c r="P23" s="12">
        <f t="shared" si="3"/>
        <v>209356.38</v>
      </c>
      <c r="Q23" s="11">
        <v>201609</v>
      </c>
      <c r="R23" s="12">
        <f t="shared" si="4"/>
        <v>40010.61</v>
      </c>
      <c r="S23" s="13">
        <f t="shared" si="4"/>
        <v>57077.48</v>
      </c>
      <c r="T23" s="13">
        <f t="shared" si="4"/>
        <v>6034.99</v>
      </c>
      <c r="U23" s="13">
        <f t="shared" si="4"/>
        <v>9835.5</v>
      </c>
      <c r="V23" s="13">
        <f t="shared" si="4"/>
        <v>37684.019999999997</v>
      </c>
      <c r="W23" s="13">
        <f t="shared" si="4"/>
        <v>36460.79</v>
      </c>
      <c r="X23" s="13">
        <f t="shared" si="4"/>
        <v>0</v>
      </c>
      <c r="Y23" s="13">
        <f t="shared" si="4"/>
        <v>0</v>
      </c>
      <c r="Z23" s="13">
        <f t="shared" si="4"/>
        <v>22252.99</v>
      </c>
      <c r="AA23" s="13">
        <f t="shared" si="4"/>
        <v>0</v>
      </c>
      <c r="AB23" s="13">
        <f t="shared" si="4"/>
        <v>0</v>
      </c>
      <c r="AC23" s="14">
        <f t="shared" si="4"/>
        <v>0</v>
      </c>
      <c r="AD23" s="13">
        <f t="shared" si="4"/>
        <v>0</v>
      </c>
      <c r="AE23" s="13">
        <f t="shared" si="4"/>
        <v>39810</v>
      </c>
      <c r="AF23" s="14">
        <f t="shared" si="4"/>
        <v>770</v>
      </c>
    </row>
    <row r="24" spans="1:32" x14ac:dyDescent="0.25">
      <c r="A24" s="91" t="s">
        <v>873</v>
      </c>
      <c r="C24" s="86" t="s">
        <v>872</v>
      </c>
      <c r="E24" s="83">
        <v>201610</v>
      </c>
      <c r="F24" s="82" t="s">
        <v>413</v>
      </c>
      <c r="G24" s="82" t="s">
        <v>365</v>
      </c>
      <c r="H24" s="82" t="s">
        <v>411</v>
      </c>
      <c r="I24" s="95">
        <v>0</v>
      </c>
      <c r="K24" s="105" t="str">
        <f t="shared" si="1"/>
        <v>0008-1001-0007</v>
      </c>
      <c r="L24" s="105" t="str">
        <f>VLOOKUP(K24,COA!$A$3:$B$337,2,FALSE)</f>
        <v>C99</v>
      </c>
      <c r="M24" s="105" t="str">
        <f t="shared" si="2"/>
        <v>C99</v>
      </c>
      <c r="N24" s="105" t="str">
        <f>VLOOKUP(M24,CAC!$A$2:$B$198,2,FALSE)</f>
        <v>DOIIFP</v>
      </c>
      <c r="P24" s="12">
        <f t="shared" si="3"/>
        <v>208336.38</v>
      </c>
      <c r="Q24" s="11">
        <v>201610</v>
      </c>
      <c r="R24" s="12">
        <f t="shared" si="4"/>
        <v>39605.629999999997</v>
      </c>
      <c r="S24" s="13">
        <f t="shared" si="4"/>
        <v>57040.790000000008</v>
      </c>
      <c r="T24" s="13">
        <f t="shared" si="4"/>
        <v>5997.27</v>
      </c>
      <c r="U24" s="13">
        <f t="shared" si="4"/>
        <v>9530</v>
      </c>
      <c r="V24" s="13">
        <f t="shared" si="4"/>
        <v>37502.32</v>
      </c>
      <c r="W24" s="13">
        <f t="shared" si="4"/>
        <v>35971.96</v>
      </c>
      <c r="X24" s="13">
        <f t="shared" si="4"/>
        <v>0</v>
      </c>
      <c r="Y24" s="13">
        <f t="shared" si="4"/>
        <v>0</v>
      </c>
      <c r="Z24" s="13">
        <f t="shared" si="4"/>
        <v>22688.41</v>
      </c>
      <c r="AA24" s="13">
        <f t="shared" si="4"/>
        <v>0</v>
      </c>
      <c r="AB24" s="13">
        <f t="shared" si="4"/>
        <v>0</v>
      </c>
      <c r="AC24" s="14">
        <f t="shared" si="4"/>
        <v>0</v>
      </c>
      <c r="AD24" s="13">
        <f t="shared" si="4"/>
        <v>0</v>
      </c>
      <c r="AE24" s="13">
        <f t="shared" si="4"/>
        <v>45580</v>
      </c>
      <c r="AF24" s="14">
        <f t="shared" si="4"/>
        <v>1385</v>
      </c>
    </row>
    <row r="25" spans="1:32" x14ac:dyDescent="0.25">
      <c r="A25" s="91" t="s">
        <v>874</v>
      </c>
      <c r="C25" s="86" t="s">
        <v>873</v>
      </c>
      <c r="E25" s="83">
        <v>201712</v>
      </c>
      <c r="F25" s="82" t="s">
        <v>345</v>
      </c>
      <c r="G25" s="82" t="s">
        <v>352</v>
      </c>
      <c r="H25" s="82" t="s">
        <v>357</v>
      </c>
      <c r="I25" s="95">
        <v>20</v>
      </c>
      <c r="K25" s="105" t="str">
        <f t="shared" si="1"/>
        <v>0011-1004-0038</v>
      </c>
      <c r="L25" s="105" t="str">
        <f>VLOOKUP(K25,COA!$A$3:$B$337,2,FALSE)</f>
        <v>L14</v>
      </c>
      <c r="M25" s="105" t="str">
        <f t="shared" si="2"/>
        <v>L14</v>
      </c>
      <c r="N25" s="105" t="str">
        <f>VLOOKUP(M25,CAC!$A$2:$B$198,2,FALSE)</f>
        <v>HMOLG</v>
      </c>
      <c r="P25" s="12">
        <f t="shared" si="3"/>
        <v>207845.09</v>
      </c>
      <c r="Q25" s="11">
        <v>201611</v>
      </c>
      <c r="R25" s="12">
        <f t="shared" si="4"/>
        <v>39202.730000000003</v>
      </c>
      <c r="S25" s="13">
        <f t="shared" si="4"/>
        <v>57161.570000000007</v>
      </c>
      <c r="T25" s="13">
        <f t="shared" si="4"/>
        <v>5970.4</v>
      </c>
      <c r="U25" s="13">
        <f t="shared" si="4"/>
        <v>9570.0300000000007</v>
      </c>
      <c r="V25" s="13">
        <f t="shared" si="4"/>
        <v>37417</v>
      </c>
      <c r="W25" s="13">
        <f t="shared" si="4"/>
        <v>35658.339999999997</v>
      </c>
      <c r="X25" s="13">
        <f t="shared" si="4"/>
        <v>0</v>
      </c>
      <c r="Y25" s="13">
        <f t="shared" si="4"/>
        <v>0</v>
      </c>
      <c r="Z25" s="13">
        <f t="shared" si="4"/>
        <v>22865.02</v>
      </c>
      <c r="AA25" s="13">
        <f t="shared" si="4"/>
        <v>0</v>
      </c>
      <c r="AB25" s="13">
        <f t="shared" si="4"/>
        <v>0</v>
      </c>
      <c r="AC25" s="14">
        <f t="shared" si="4"/>
        <v>0</v>
      </c>
      <c r="AD25" s="13">
        <f t="shared" si="4"/>
        <v>0</v>
      </c>
      <c r="AE25" s="13">
        <f t="shared" si="4"/>
        <v>45598</v>
      </c>
      <c r="AF25" s="14">
        <f t="shared" si="4"/>
        <v>1393</v>
      </c>
    </row>
    <row r="26" spans="1:32" x14ac:dyDescent="0.25">
      <c r="A26" s="91" t="s">
        <v>929</v>
      </c>
      <c r="C26" s="86" t="s">
        <v>874</v>
      </c>
      <c r="E26" s="83">
        <v>201702</v>
      </c>
      <c r="F26" s="82" t="s">
        <v>345</v>
      </c>
      <c r="G26" s="82" t="s">
        <v>354</v>
      </c>
      <c r="H26" s="82" t="s">
        <v>344</v>
      </c>
      <c r="I26" s="95">
        <v>5647.82</v>
      </c>
      <c r="K26" s="105" t="str">
        <f t="shared" si="1"/>
        <v>0011-1013-0012</v>
      </c>
      <c r="L26" s="105" t="str">
        <f>VLOOKUP(K26,COA!$A$3:$B$337,2,FALSE)</f>
        <v>N20</v>
      </c>
      <c r="M26" s="105" t="str">
        <f t="shared" si="2"/>
        <v>N20</v>
      </c>
      <c r="N26" s="105" t="str">
        <f>VLOOKUP(M26,CAC!$A$2:$B$198,2,FALSE)</f>
        <v>HMOPMR</v>
      </c>
      <c r="P26" s="35">
        <f t="shared" si="3"/>
        <v>206533.71999999997</v>
      </c>
      <c r="Q26" s="34">
        <v>201612</v>
      </c>
      <c r="R26" s="35">
        <f t="shared" si="4"/>
        <v>35117.61</v>
      </c>
      <c r="S26" s="36">
        <f t="shared" si="4"/>
        <v>57135.069999999992</v>
      </c>
      <c r="T26" s="36">
        <f t="shared" si="4"/>
        <v>5945.53</v>
      </c>
      <c r="U26" s="36">
        <f t="shared" si="4"/>
        <v>9579.9699999999993</v>
      </c>
      <c r="V26" s="36">
        <f t="shared" si="4"/>
        <v>37361.06</v>
      </c>
      <c r="W26" s="36">
        <f t="shared" si="4"/>
        <v>35352.519999999997</v>
      </c>
      <c r="X26" s="36">
        <f t="shared" si="4"/>
        <v>0</v>
      </c>
      <c r="Y26" s="36">
        <f t="shared" si="4"/>
        <v>0</v>
      </c>
      <c r="Z26" s="36">
        <f t="shared" si="4"/>
        <v>26041.960000000003</v>
      </c>
      <c r="AA26" s="36">
        <f t="shared" si="4"/>
        <v>0</v>
      </c>
      <c r="AB26" s="36">
        <f t="shared" si="4"/>
        <v>0</v>
      </c>
      <c r="AC26" s="37">
        <f t="shared" si="4"/>
        <v>0</v>
      </c>
      <c r="AD26" s="36">
        <f t="shared" si="4"/>
        <v>0</v>
      </c>
      <c r="AE26" s="36">
        <f t="shared" si="4"/>
        <v>45636</v>
      </c>
      <c r="AF26" s="37">
        <f t="shared" si="4"/>
        <v>1398</v>
      </c>
    </row>
    <row r="27" spans="1:32" x14ac:dyDescent="0.25">
      <c r="A27" s="91" t="s">
        <v>930</v>
      </c>
      <c r="C27" s="93" t="s">
        <v>936</v>
      </c>
      <c r="E27" s="83">
        <v>201708</v>
      </c>
      <c r="F27" s="82" t="s">
        <v>345</v>
      </c>
      <c r="G27" s="82" t="s">
        <v>365</v>
      </c>
      <c r="H27" s="82" t="s">
        <v>366</v>
      </c>
      <c r="I27" s="95">
        <v>1368.97</v>
      </c>
      <c r="K27" s="105" t="str">
        <f t="shared" si="1"/>
        <v>0011-1001-0021</v>
      </c>
      <c r="L27" s="105" t="str">
        <f>VLOOKUP(K27,COA!$A$3:$B$337,2,FALSE)</f>
        <v>V13</v>
      </c>
      <c r="M27" s="105" t="str">
        <f t="shared" si="2"/>
        <v>V13</v>
      </c>
      <c r="N27" s="105" t="str">
        <f>VLOOKUP(M27,CAC!$A$2:$B$198,2,FALSE)</f>
        <v>HMOIFP</v>
      </c>
      <c r="P27" s="52">
        <f t="shared" si="3"/>
        <v>177794.24000000002</v>
      </c>
      <c r="Q27" s="55">
        <v>201701</v>
      </c>
      <c r="R27" s="52">
        <f t="shared" si="4"/>
        <v>32017.300000000003</v>
      </c>
      <c r="S27" s="53">
        <f t="shared" si="4"/>
        <v>54404.850000000006</v>
      </c>
      <c r="T27" s="53">
        <f t="shared" si="4"/>
        <v>5618.91</v>
      </c>
      <c r="U27" s="53">
        <f t="shared" si="4"/>
        <v>9534</v>
      </c>
      <c r="V27" s="53">
        <f t="shared" si="4"/>
        <v>48456.800000000003</v>
      </c>
      <c r="W27" s="53">
        <f t="shared" si="4"/>
        <v>0</v>
      </c>
      <c r="X27" s="53">
        <f t="shared" si="4"/>
        <v>0</v>
      </c>
      <c r="Y27" s="53">
        <f t="shared" si="4"/>
        <v>0</v>
      </c>
      <c r="Z27" s="53">
        <f t="shared" si="4"/>
        <v>26710.35</v>
      </c>
      <c r="AA27" s="53">
        <f t="shared" si="4"/>
        <v>1052.03</v>
      </c>
      <c r="AB27" s="53">
        <f t="shared" si="4"/>
        <v>0</v>
      </c>
      <c r="AC27" s="54">
        <f t="shared" si="4"/>
        <v>0</v>
      </c>
      <c r="AD27" s="53">
        <f t="shared" si="4"/>
        <v>0</v>
      </c>
      <c r="AE27" s="53">
        <f t="shared" si="4"/>
        <v>48368</v>
      </c>
      <c r="AF27" s="54">
        <f t="shared" si="4"/>
        <v>1381</v>
      </c>
    </row>
    <row r="28" spans="1:32" x14ac:dyDescent="0.25">
      <c r="A28" s="91" t="s">
        <v>875</v>
      </c>
      <c r="C28" s="93" t="s">
        <v>937</v>
      </c>
      <c r="E28" s="83">
        <v>201612</v>
      </c>
      <c r="F28" s="82" t="s">
        <v>349</v>
      </c>
      <c r="G28" s="82" t="s">
        <v>369</v>
      </c>
      <c r="H28" s="82" t="s">
        <v>764</v>
      </c>
      <c r="I28" s="95">
        <v>5622</v>
      </c>
      <c r="K28" s="105" t="str">
        <f t="shared" si="1"/>
        <v>0017-1009-0064</v>
      </c>
      <c r="L28" s="105" t="str">
        <f>VLOOKUP(K28,COA!$A$3:$B$337,2,FALSE)</f>
        <v>R15</v>
      </c>
      <c r="M28" s="105" t="str">
        <f t="shared" si="2"/>
        <v>R15</v>
      </c>
      <c r="N28" s="105" t="str">
        <f>VLOOKUP(M28,CAC!$A$2:$B$198,2,FALSE)</f>
        <v>HMOMM</v>
      </c>
      <c r="P28" s="32">
        <f t="shared" si="3"/>
        <v>177730.8</v>
      </c>
      <c r="Q28" s="11">
        <v>201702</v>
      </c>
      <c r="R28" s="32">
        <f t="shared" si="4"/>
        <v>32054.83</v>
      </c>
      <c r="S28" s="33">
        <f t="shared" si="4"/>
        <v>54258.119999999995</v>
      </c>
      <c r="T28" s="33">
        <f t="shared" si="4"/>
        <v>5690.31</v>
      </c>
      <c r="U28" s="33">
        <f t="shared" si="4"/>
        <v>9583</v>
      </c>
      <c r="V28" s="33">
        <f t="shared" si="4"/>
        <v>48099.18</v>
      </c>
      <c r="W28" s="33">
        <f t="shared" si="4"/>
        <v>0</v>
      </c>
      <c r="X28" s="33">
        <f t="shared" si="4"/>
        <v>0</v>
      </c>
      <c r="Y28" s="33">
        <f t="shared" si="4"/>
        <v>0</v>
      </c>
      <c r="Z28" s="33">
        <f t="shared" si="4"/>
        <v>26668.25</v>
      </c>
      <c r="AA28" s="13">
        <f t="shared" si="4"/>
        <v>1377.1100000000001</v>
      </c>
      <c r="AB28" s="13">
        <f t="shared" si="4"/>
        <v>0</v>
      </c>
      <c r="AC28" s="14">
        <f t="shared" si="4"/>
        <v>0</v>
      </c>
      <c r="AD28" s="13">
        <f t="shared" si="4"/>
        <v>0</v>
      </c>
      <c r="AE28" s="13">
        <f t="shared" si="4"/>
        <v>48314</v>
      </c>
      <c r="AF28" s="14">
        <f t="shared" si="4"/>
        <v>1380</v>
      </c>
    </row>
    <row r="29" spans="1:32" x14ac:dyDescent="0.25">
      <c r="A29" s="91" t="s">
        <v>876</v>
      </c>
      <c r="C29" s="93" t="s">
        <v>938</v>
      </c>
      <c r="E29" s="83">
        <v>201504</v>
      </c>
      <c r="F29" s="82" t="s">
        <v>563</v>
      </c>
      <c r="G29" s="82" t="s">
        <v>359</v>
      </c>
      <c r="H29" s="82" t="s">
        <v>344</v>
      </c>
      <c r="I29" s="95">
        <v>0</v>
      </c>
      <c r="K29" s="105" t="str">
        <f t="shared" si="1"/>
        <v>0003-1005-0012</v>
      </c>
      <c r="L29" s="105" t="str">
        <f>VLOOKUP(K29,COA!$A$3:$B$337,2,FALSE)</f>
        <v>N51</v>
      </c>
      <c r="M29" s="105" t="str">
        <f t="shared" si="2"/>
        <v>N51</v>
      </c>
      <c r="N29" s="105" t="str">
        <f>VLOOKUP(M29,CAC!$A$2:$B$198,2,FALSE)</f>
        <v>PPOLG</v>
      </c>
      <c r="P29" s="12">
        <f t="shared" si="3"/>
        <v>178163.3</v>
      </c>
      <c r="Q29" s="11">
        <v>201703</v>
      </c>
      <c r="R29" s="12">
        <f t="shared" si="4"/>
        <v>32362.58</v>
      </c>
      <c r="S29" s="13">
        <f t="shared" si="4"/>
        <v>54151.13</v>
      </c>
      <c r="T29" s="13">
        <f t="shared" si="4"/>
        <v>5704.72</v>
      </c>
      <c r="U29" s="13">
        <f t="shared" si="4"/>
        <v>9634</v>
      </c>
      <c r="V29" s="13">
        <f t="shared" si="4"/>
        <v>47814.35</v>
      </c>
      <c r="W29" s="13">
        <f t="shared" si="4"/>
        <v>0</v>
      </c>
      <c r="X29" s="13">
        <f t="shared" si="4"/>
        <v>0</v>
      </c>
      <c r="Y29" s="13">
        <f t="shared" si="4"/>
        <v>0</v>
      </c>
      <c r="Z29" s="13">
        <f t="shared" si="4"/>
        <v>26806.71</v>
      </c>
      <c r="AA29" s="13">
        <f t="shared" si="4"/>
        <v>1689.81</v>
      </c>
      <c r="AB29" s="13">
        <f t="shared" si="4"/>
        <v>0</v>
      </c>
      <c r="AC29" s="14">
        <f t="shared" si="4"/>
        <v>0</v>
      </c>
      <c r="AD29" s="13">
        <f t="shared" si="4"/>
        <v>0</v>
      </c>
      <c r="AE29" s="13">
        <f t="shared" si="4"/>
        <v>48274</v>
      </c>
      <c r="AF29" s="14">
        <f t="shared" si="4"/>
        <v>1382</v>
      </c>
    </row>
    <row r="30" spans="1:32" x14ac:dyDescent="0.25">
      <c r="A30" s="91" t="s">
        <v>26</v>
      </c>
      <c r="C30" s="86" t="s">
        <v>929</v>
      </c>
      <c r="E30" s="83">
        <v>201612</v>
      </c>
      <c r="F30" s="82" t="s">
        <v>344</v>
      </c>
      <c r="G30" s="82" t="s">
        <v>350</v>
      </c>
      <c r="H30" s="82" t="s">
        <v>344</v>
      </c>
      <c r="I30" s="95">
        <v>98</v>
      </c>
      <c r="K30" s="105" t="str">
        <f t="shared" si="1"/>
        <v>0012-1012-0012</v>
      </c>
      <c r="L30" s="105" t="str">
        <f>VLOOKUP(K30,COA!$A$3:$B$337,2,FALSE)</f>
        <v>K12</v>
      </c>
      <c r="M30" s="105" t="str">
        <f t="shared" si="2"/>
        <v>K12</v>
      </c>
      <c r="N30" s="105" t="str">
        <f>VLOOKUP(M30,CAC!$A$2:$B$198,2,FALSE)</f>
        <v>HMOPMR</v>
      </c>
      <c r="P30" s="12">
        <f t="shared" si="3"/>
        <v>179245.27000000002</v>
      </c>
      <c r="Q30" s="11">
        <v>201704</v>
      </c>
      <c r="R30" s="12">
        <f t="shared" si="4"/>
        <v>33160.880000000005</v>
      </c>
      <c r="S30" s="13">
        <f t="shared" si="4"/>
        <v>54363.11</v>
      </c>
      <c r="T30" s="13">
        <f t="shared" si="4"/>
        <v>5699.01</v>
      </c>
      <c r="U30" s="13">
        <f t="shared" si="4"/>
        <v>9628</v>
      </c>
      <c r="V30" s="13">
        <f t="shared" si="4"/>
        <v>47680.5</v>
      </c>
      <c r="W30" s="13">
        <f t="shared" si="4"/>
        <v>0</v>
      </c>
      <c r="X30" s="13">
        <f t="shared" si="4"/>
        <v>0</v>
      </c>
      <c r="Y30" s="13">
        <f t="shared" si="4"/>
        <v>0</v>
      </c>
      <c r="Z30" s="13">
        <f t="shared" si="4"/>
        <v>26895.13</v>
      </c>
      <c r="AA30" s="13">
        <f t="shared" si="4"/>
        <v>1818.6399999999999</v>
      </c>
      <c r="AB30" s="13">
        <f t="shared" si="4"/>
        <v>0</v>
      </c>
      <c r="AC30" s="14">
        <f t="shared" si="4"/>
        <v>0</v>
      </c>
      <c r="AD30" s="13">
        <f t="shared" si="4"/>
        <v>0</v>
      </c>
      <c r="AE30" s="13">
        <f t="shared" si="4"/>
        <v>49167</v>
      </c>
      <c r="AF30" s="14">
        <f t="shared" si="4"/>
        <v>1401</v>
      </c>
    </row>
    <row r="31" spans="1:32" x14ac:dyDescent="0.25">
      <c r="A31" s="91" t="s">
        <v>877</v>
      </c>
      <c r="B31" s="51" t="s">
        <v>864</v>
      </c>
      <c r="C31" s="86" t="s">
        <v>930</v>
      </c>
      <c r="E31" s="83">
        <v>201711</v>
      </c>
      <c r="F31" s="82" t="s">
        <v>413</v>
      </c>
      <c r="G31" s="82" t="s">
        <v>352</v>
      </c>
      <c r="H31" s="82" t="s">
        <v>344</v>
      </c>
      <c r="I31" s="95">
        <v>0</v>
      </c>
      <c r="K31" s="105" t="str">
        <f t="shared" si="1"/>
        <v>0008-1004-0012</v>
      </c>
      <c r="L31" s="105" t="str">
        <f>VLOOKUP(K31,COA!$A$3:$B$337,2,FALSE)</f>
        <v>C93</v>
      </c>
      <c r="M31" s="105" t="str">
        <f t="shared" si="2"/>
        <v>C93</v>
      </c>
      <c r="N31" s="105" t="str">
        <f>VLOOKUP(M31,CAC!$A$2:$B$198,2,FALSE)</f>
        <v>DOILG</v>
      </c>
      <c r="P31" s="12">
        <f t="shared" si="3"/>
        <v>179656.41</v>
      </c>
      <c r="Q31" s="11">
        <v>201705</v>
      </c>
      <c r="R31" s="12">
        <f t="shared" si="4"/>
        <v>33722.81</v>
      </c>
      <c r="S31" s="13">
        <f t="shared" si="4"/>
        <v>54329.22</v>
      </c>
      <c r="T31" s="13">
        <f t="shared" si="4"/>
        <v>5706.26</v>
      </c>
      <c r="U31" s="13">
        <f t="shared" si="4"/>
        <v>9635.16</v>
      </c>
      <c r="V31" s="13">
        <f t="shared" si="4"/>
        <v>47533.36</v>
      </c>
      <c r="W31" s="13">
        <f t="shared" si="4"/>
        <v>0</v>
      </c>
      <c r="X31" s="13">
        <f t="shared" si="4"/>
        <v>0</v>
      </c>
      <c r="Y31" s="13">
        <f t="shared" si="4"/>
        <v>0</v>
      </c>
      <c r="Z31" s="13">
        <f t="shared" si="4"/>
        <v>26811.26</v>
      </c>
      <c r="AA31" s="13">
        <f t="shared" si="4"/>
        <v>1918.3400000000001</v>
      </c>
      <c r="AB31" s="13">
        <f t="shared" si="4"/>
        <v>0</v>
      </c>
      <c r="AC31" s="14">
        <f t="shared" si="4"/>
        <v>0</v>
      </c>
      <c r="AD31" s="13">
        <f t="shared" si="4"/>
        <v>0</v>
      </c>
      <c r="AE31" s="13">
        <f t="shared" si="4"/>
        <v>49177</v>
      </c>
      <c r="AF31" s="14">
        <f t="shared" si="4"/>
        <v>1402</v>
      </c>
    </row>
    <row r="32" spans="1:32" x14ac:dyDescent="0.25">
      <c r="A32" s="91" t="s">
        <v>878</v>
      </c>
      <c r="C32" s="86" t="s">
        <v>875</v>
      </c>
      <c r="E32" s="83">
        <v>201505</v>
      </c>
      <c r="F32" s="82" t="s">
        <v>413</v>
      </c>
      <c r="G32" s="82" t="s">
        <v>365</v>
      </c>
      <c r="H32" s="82" t="s">
        <v>411</v>
      </c>
      <c r="I32" s="95">
        <v>0</v>
      </c>
      <c r="K32" s="105" t="str">
        <f t="shared" si="1"/>
        <v>0008-1001-0007</v>
      </c>
      <c r="L32" s="105" t="str">
        <f>VLOOKUP(K32,COA!$A$3:$B$337,2,FALSE)</f>
        <v>C99</v>
      </c>
      <c r="M32" s="105" t="str">
        <f t="shared" si="2"/>
        <v>C99</v>
      </c>
      <c r="N32" s="105" t="str">
        <f>VLOOKUP(M32,CAC!$A$2:$B$198,2,FALSE)</f>
        <v>DOIIFP</v>
      </c>
      <c r="P32" s="12">
        <f t="shared" si="3"/>
        <v>180348.87</v>
      </c>
      <c r="Q32" s="11">
        <v>201706</v>
      </c>
      <c r="R32" s="12">
        <f t="shared" si="4"/>
        <v>34393.1</v>
      </c>
      <c r="S32" s="13">
        <f t="shared" si="4"/>
        <v>54507.770000000004</v>
      </c>
      <c r="T32" s="13">
        <f t="shared" si="4"/>
        <v>5717.66</v>
      </c>
      <c r="U32" s="13">
        <f t="shared" si="4"/>
        <v>9581</v>
      </c>
      <c r="V32" s="13">
        <f t="shared" si="4"/>
        <v>47347</v>
      </c>
      <c r="W32" s="13">
        <f t="shared" si="4"/>
        <v>0</v>
      </c>
      <c r="X32" s="13">
        <f t="shared" si="4"/>
        <v>0</v>
      </c>
      <c r="Y32" s="13">
        <f t="shared" si="4"/>
        <v>0</v>
      </c>
      <c r="Z32" s="13">
        <f t="shared" si="4"/>
        <v>26796.13</v>
      </c>
      <c r="AA32" s="13">
        <f t="shared" si="4"/>
        <v>2006.21</v>
      </c>
      <c r="AB32" s="13">
        <f t="shared" si="4"/>
        <v>0</v>
      </c>
      <c r="AC32" s="14">
        <f t="shared" si="4"/>
        <v>0</v>
      </c>
      <c r="AD32" s="13">
        <f t="shared" si="4"/>
        <v>0</v>
      </c>
      <c r="AE32" s="13">
        <f t="shared" si="4"/>
        <v>49206</v>
      </c>
      <c r="AF32" s="14">
        <f t="shared" si="4"/>
        <v>1407</v>
      </c>
    </row>
    <row r="33" spans="1:32" x14ac:dyDescent="0.25">
      <c r="A33" s="91" t="s">
        <v>879</v>
      </c>
      <c r="C33" s="86" t="s">
        <v>876</v>
      </c>
      <c r="E33" s="83">
        <v>201601</v>
      </c>
      <c r="F33" s="82" t="s">
        <v>344</v>
      </c>
      <c r="G33" s="82" t="s">
        <v>356</v>
      </c>
      <c r="H33" s="82" t="s">
        <v>344</v>
      </c>
      <c r="I33" s="95">
        <v>4082</v>
      </c>
      <c r="K33" s="105" t="str">
        <f t="shared" si="1"/>
        <v>0012-1002-0012</v>
      </c>
      <c r="L33" s="105" t="str">
        <f>VLOOKUP(K33,COA!$A$3:$B$337,2,FALSE)</f>
        <v>F22</v>
      </c>
      <c r="M33" s="105" t="str">
        <f t="shared" si="2"/>
        <v>F22</v>
      </c>
      <c r="N33" s="105" t="str">
        <f>VLOOKUP(M33,CAC!$A$2:$B$198,2,FALSE)</f>
        <v>HMOPMR</v>
      </c>
      <c r="P33" s="12">
        <f t="shared" si="3"/>
        <v>180113.96999999997</v>
      </c>
      <c r="Q33" s="11">
        <v>201707</v>
      </c>
      <c r="R33" s="12">
        <f t="shared" si="4"/>
        <v>36950.699999999997</v>
      </c>
      <c r="S33" s="13">
        <f t="shared" si="4"/>
        <v>46245.42</v>
      </c>
      <c r="T33" s="13">
        <f t="shared" si="4"/>
        <v>5665.25</v>
      </c>
      <c r="U33" s="13">
        <f t="shared" si="4"/>
        <v>15420.15</v>
      </c>
      <c r="V33" s="13">
        <f t="shared" si="4"/>
        <v>47114.95</v>
      </c>
      <c r="W33" s="13">
        <f t="shared" si="4"/>
        <v>0</v>
      </c>
      <c r="X33" s="13">
        <f t="shared" si="4"/>
        <v>0</v>
      </c>
      <c r="Y33" s="13">
        <f t="shared" si="4"/>
        <v>0</v>
      </c>
      <c r="Z33" s="13">
        <f t="shared" si="4"/>
        <v>26644.52</v>
      </c>
      <c r="AA33" s="13">
        <f t="shared" si="4"/>
        <v>2072.98</v>
      </c>
      <c r="AB33" s="13">
        <f t="shared" si="4"/>
        <v>0</v>
      </c>
      <c r="AC33" s="14">
        <f t="shared" si="4"/>
        <v>0</v>
      </c>
      <c r="AD33" s="13">
        <f t="shared" si="4"/>
        <v>0</v>
      </c>
      <c r="AE33" s="13">
        <f t="shared" si="4"/>
        <v>49351</v>
      </c>
      <c r="AF33" s="14">
        <f t="shared" si="4"/>
        <v>1403</v>
      </c>
    </row>
    <row r="34" spans="1:32" x14ac:dyDescent="0.25">
      <c r="A34" s="91" t="s">
        <v>880</v>
      </c>
      <c r="C34" s="86" t="s">
        <v>26</v>
      </c>
      <c r="E34" s="83">
        <v>201702</v>
      </c>
      <c r="F34" s="82" t="s">
        <v>344</v>
      </c>
      <c r="G34" s="82" t="s">
        <v>361</v>
      </c>
      <c r="H34" s="82" t="s">
        <v>344</v>
      </c>
      <c r="I34" s="95">
        <v>9550.1200000000008</v>
      </c>
      <c r="K34" s="105" t="str">
        <f t="shared" si="1"/>
        <v>0012-1003-0012</v>
      </c>
      <c r="L34" s="105" t="str">
        <f>VLOOKUP(K34,COA!$A$3:$B$337,2,FALSE)</f>
        <v>N15</v>
      </c>
      <c r="M34" s="105" t="str">
        <f t="shared" si="2"/>
        <v>N15</v>
      </c>
      <c r="N34" s="105" t="str">
        <f>VLOOKUP(M34,CAC!$A$2:$B$198,2,FALSE)</f>
        <v>HMOPMR</v>
      </c>
      <c r="P34" s="12">
        <f t="shared" si="3"/>
        <v>187281.39</v>
      </c>
      <c r="Q34" s="11">
        <v>201708</v>
      </c>
      <c r="R34" s="12">
        <f t="shared" si="4"/>
        <v>37540.26</v>
      </c>
      <c r="S34" s="13">
        <f t="shared" si="4"/>
        <v>52728.4</v>
      </c>
      <c r="T34" s="13">
        <f t="shared" si="4"/>
        <v>5662.78</v>
      </c>
      <c r="U34" s="13">
        <f t="shared" si="4"/>
        <v>15510.55</v>
      </c>
      <c r="V34" s="13">
        <f t="shared" si="4"/>
        <v>46935.839999999997</v>
      </c>
      <c r="W34" s="13">
        <f t="shared" si="4"/>
        <v>0</v>
      </c>
      <c r="X34" s="13">
        <f t="shared" si="4"/>
        <v>0</v>
      </c>
      <c r="Y34" s="13">
        <f t="shared" si="4"/>
        <v>0</v>
      </c>
      <c r="Z34" s="13">
        <f t="shared" si="4"/>
        <v>26758.66</v>
      </c>
      <c r="AA34" s="13">
        <f t="shared" si="4"/>
        <v>2144.9</v>
      </c>
      <c r="AB34" s="13">
        <f t="shared" si="4"/>
        <v>0</v>
      </c>
      <c r="AC34" s="14">
        <f t="shared" si="4"/>
        <v>0</v>
      </c>
      <c r="AD34" s="13">
        <f t="shared" si="4"/>
        <v>0</v>
      </c>
      <c r="AE34" s="13">
        <f t="shared" si="4"/>
        <v>49447.97</v>
      </c>
      <c r="AF34" s="14">
        <f t="shared" si="4"/>
        <v>1405</v>
      </c>
    </row>
    <row r="35" spans="1:32" x14ac:dyDescent="0.25">
      <c r="A35" s="91" t="s">
        <v>881</v>
      </c>
      <c r="C35" s="86" t="s">
        <v>877</v>
      </c>
      <c r="E35" s="83">
        <v>201511</v>
      </c>
      <c r="F35" s="82" t="s">
        <v>344</v>
      </c>
      <c r="G35" s="82" t="s">
        <v>356</v>
      </c>
      <c r="H35" s="82" t="s">
        <v>344</v>
      </c>
      <c r="I35" s="95">
        <v>3934</v>
      </c>
      <c r="K35" s="105" t="str">
        <f t="shared" si="1"/>
        <v>0012-1002-0012</v>
      </c>
      <c r="L35" s="105" t="str">
        <f>VLOOKUP(K35,COA!$A$3:$B$337,2,FALSE)</f>
        <v>F22</v>
      </c>
      <c r="M35" s="105" t="str">
        <f t="shared" si="2"/>
        <v>F22</v>
      </c>
      <c r="N35" s="105" t="str">
        <f>VLOOKUP(M35,CAC!$A$2:$B$198,2,FALSE)</f>
        <v>HMOPMR</v>
      </c>
      <c r="P35" s="12">
        <f t="shared" si="3"/>
        <v>188857.47999999998</v>
      </c>
      <c r="Q35" s="11">
        <v>201709</v>
      </c>
      <c r="R35" s="12">
        <f t="shared" ref="R35:AF39" si="5">SUMIFS($I$3:$I$4995,$E$3:$E$4995,$Q35,$N$3:$N$4995,R$2)</f>
        <v>38565.15</v>
      </c>
      <c r="S35" s="13">
        <f t="shared" si="5"/>
        <v>53023.22</v>
      </c>
      <c r="T35" s="13">
        <f t="shared" si="5"/>
        <v>5649.21</v>
      </c>
      <c r="U35" s="13">
        <f t="shared" si="5"/>
        <v>15619</v>
      </c>
      <c r="V35" s="13">
        <f t="shared" si="5"/>
        <v>47129.599999999999</v>
      </c>
      <c r="W35" s="13">
        <f t="shared" si="5"/>
        <v>0</v>
      </c>
      <c r="X35" s="13">
        <f t="shared" si="5"/>
        <v>0</v>
      </c>
      <c r="Y35" s="13">
        <f t="shared" si="5"/>
        <v>0</v>
      </c>
      <c r="Z35" s="13">
        <f t="shared" si="5"/>
        <v>26628.3</v>
      </c>
      <c r="AA35" s="13">
        <f t="shared" si="5"/>
        <v>2243</v>
      </c>
      <c r="AB35" s="13">
        <f t="shared" si="5"/>
        <v>0</v>
      </c>
      <c r="AC35" s="14">
        <f t="shared" si="5"/>
        <v>0</v>
      </c>
      <c r="AD35" s="13">
        <f t="shared" si="5"/>
        <v>0</v>
      </c>
      <c r="AE35" s="13">
        <f t="shared" si="5"/>
        <v>49466</v>
      </c>
      <c r="AF35" s="14">
        <f t="shared" si="5"/>
        <v>1419</v>
      </c>
    </row>
    <row r="36" spans="1:32" x14ac:dyDescent="0.25">
      <c r="A36" s="91" t="s">
        <v>882</v>
      </c>
      <c r="C36" s="86" t="s">
        <v>878</v>
      </c>
      <c r="E36" s="83">
        <v>201701</v>
      </c>
      <c r="F36" s="82" t="s">
        <v>746</v>
      </c>
      <c r="G36" s="82" t="s">
        <v>354</v>
      </c>
      <c r="H36" s="82" t="s">
        <v>344</v>
      </c>
      <c r="I36" s="95">
        <v>79</v>
      </c>
      <c r="K36" s="105" t="str">
        <f t="shared" si="1"/>
        <v>0016-1013-0012</v>
      </c>
      <c r="L36" s="105" t="str">
        <f>VLOOKUP(K36,COA!$A$3:$B$337,2,FALSE)</f>
        <v>R19</v>
      </c>
      <c r="M36" s="105" t="str">
        <f t="shared" si="2"/>
        <v>R19</v>
      </c>
      <c r="N36" s="105" t="str">
        <f>VLOOKUP(M36,CAC!$A$2:$B$198,2,FALSE)</f>
        <v>HMOMG</v>
      </c>
      <c r="P36" s="12">
        <f t="shared" si="3"/>
        <v>191622.88</v>
      </c>
      <c r="Q36" s="11">
        <v>201710</v>
      </c>
      <c r="R36" s="12">
        <f t="shared" si="5"/>
        <v>40380.520000000004</v>
      </c>
      <c r="S36" s="13">
        <f t="shared" si="5"/>
        <v>53101.91</v>
      </c>
      <c r="T36" s="13">
        <f t="shared" si="5"/>
        <v>5641.91</v>
      </c>
      <c r="U36" s="13">
        <f t="shared" si="5"/>
        <v>15969</v>
      </c>
      <c r="V36" s="13">
        <f t="shared" si="5"/>
        <v>46790.07</v>
      </c>
      <c r="W36" s="13">
        <f t="shared" si="5"/>
        <v>0</v>
      </c>
      <c r="X36" s="13">
        <f t="shared" si="5"/>
        <v>0</v>
      </c>
      <c r="Y36" s="13">
        <f t="shared" si="5"/>
        <v>0</v>
      </c>
      <c r="Z36" s="13">
        <f t="shared" si="5"/>
        <v>27443.599999999999</v>
      </c>
      <c r="AA36" s="13">
        <f t="shared" si="5"/>
        <v>2295.87</v>
      </c>
      <c r="AB36" s="13">
        <f t="shared" si="5"/>
        <v>0</v>
      </c>
      <c r="AC36" s="14">
        <f t="shared" si="5"/>
        <v>0</v>
      </c>
      <c r="AD36" s="13">
        <f t="shared" si="5"/>
        <v>0</v>
      </c>
      <c r="AE36" s="13">
        <f t="shared" si="5"/>
        <v>49544</v>
      </c>
      <c r="AF36" s="14">
        <f t="shared" si="5"/>
        <v>1431</v>
      </c>
    </row>
    <row r="37" spans="1:32" x14ac:dyDescent="0.25">
      <c r="A37" s="91" t="s">
        <v>883</v>
      </c>
      <c r="C37" s="86" t="s">
        <v>879</v>
      </c>
      <c r="E37" s="83">
        <v>201509</v>
      </c>
      <c r="F37" s="82" t="s">
        <v>413</v>
      </c>
      <c r="G37" s="82" t="s">
        <v>356</v>
      </c>
      <c r="H37" s="82" t="s">
        <v>344</v>
      </c>
      <c r="I37" s="95">
        <v>0</v>
      </c>
      <c r="K37" s="105" t="str">
        <f t="shared" si="1"/>
        <v>0008-1002-0012</v>
      </c>
      <c r="L37" s="105" t="str">
        <f>VLOOKUP(K37,COA!$A$3:$B$337,2,FALSE)</f>
        <v>C74</v>
      </c>
      <c r="M37" s="105" t="str">
        <f t="shared" si="2"/>
        <v>C74</v>
      </c>
      <c r="N37" s="105" t="str">
        <f>VLOOKUP(M37,CAC!$A$2:$B$198,2,FALSE)</f>
        <v>DOILG</v>
      </c>
      <c r="P37" s="12">
        <f t="shared" si="3"/>
        <v>193384.03999999998</v>
      </c>
      <c r="Q37" s="11">
        <v>201711</v>
      </c>
      <c r="R37" s="12">
        <f t="shared" si="5"/>
        <v>41511.29</v>
      </c>
      <c r="S37" s="13">
        <f t="shared" si="5"/>
        <v>53155.719999999994</v>
      </c>
      <c r="T37" s="13">
        <f t="shared" si="5"/>
        <v>5607.92</v>
      </c>
      <c r="U37" s="13">
        <f t="shared" si="5"/>
        <v>16128.93</v>
      </c>
      <c r="V37" s="13">
        <f t="shared" si="5"/>
        <v>46479.47</v>
      </c>
      <c r="W37" s="13">
        <f t="shared" si="5"/>
        <v>0</v>
      </c>
      <c r="X37" s="13">
        <f t="shared" si="5"/>
        <v>0</v>
      </c>
      <c r="Y37" s="13">
        <f t="shared" si="5"/>
        <v>0</v>
      </c>
      <c r="Z37" s="13">
        <f t="shared" si="5"/>
        <v>28170.14</v>
      </c>
      <c r="AA37" s="13">
        <f t="shared" si="5"/>
        <v>2330.5700000000002</v>
      </c>
      <c r="AB37" s="13">
        <f t="shared" si="5"/>
        <v>0</v>
      </c>
      <c r="AC37" s="14">
        <f t="shared" si="5"/>
        <v>0</v>
      </c>
      <c r="AD37" s="13">
        <f t="shared" si="5"/>
        <v>0</v>
      </c>
      <c r="AE37" s="13">
        <f t="shared" si="5"/>
        <v>49301</v>
      </c>
      <c r="AF37" s="14">
        <f t="shared" si="5"/>
        <v>1423</v>
      </c>
    </row>
    <row r="38" spans="1:32" x14ac:dyDescent="0.25">
      <c r="A38" s="91" t="s">
        <v>884</v>
      </c>
      <c r="C38" s="86" t="s">
        <v>880</v>
      </c>
      <c r="E38" s="83">
        <v>201601</v>
      </c>
      <c r="F38" s="82" t="s">
        <v>746</v>
      </c>
      <c r="G38" s="82" t="s">
        <v>354</v>
      </c>
      <c r="H38" s="82" t="s">
        <v>344</v>
      </c>
      <c r="I38" s="95">
        <v>81</v>
      </c>
      <c r="K38" s="105" t="str">
        <f t="shared" si="1"/>
        <v>0016-1013-0012</v>
      </c>
      <c r="L38" s="105" t="str">
        <f>VLOOKUP(K38,COA!$A$3:$B$337,2,FALSE)</f>
        <v>R19</v>
      </c>
      <c r="M38" s="105" t="str">
        <f t="shared" si="2"/>
        <v>R19</v>
      </c>
      <c r="N38" s="105" t="str">
        <f>VLOOKUP(M38,CAC!$A$2:$B$198,2,FALSE)</f>
        <v>HMOMG</v>
      </c>
      <c r="P38" s="35">
        <f t="shared" si="3"/>
        <v>199809.41</v>
      </c>
      <c r="Q38" s="34">
        <v>201712</v>
      </c>
      <c r="R38" s="35">
        <f t="shared" si="5"/>
        <v>42148.44</v>
      </c>
      <c r="S38" s="36">
        <f t="shared" si="5"/>
        <v>53366.570000000007</v>
      </c>
      <c r="T38" s="36">
        <f t="shared" si="5"/>
        <v>5573.43</v>
      </c>
      <c r="U38" s="36">
        <f t="shared" si="5"/>
        <v>16266</v>
      </c>
      <c r="V38" s="36">
        <f t="shared" si="5"/>
        <v>46139.87</v>
      </c>
      <c r="W38" s="36">
        <f t="shared" si="5"/>
        <v>0</v>
      </c>
      <c r="X38" s="36">
        <f t="shared" si="5"/>
        <v>0</v>
      </c>
      <c r="Y38" s="36">
        <f t="shared" si="5"/>
        <v>0</v>
      </c>
      <c r="Z38" s="36">
        <f t="shared" si="5"/>
        <v>33987.31</v>
      </c>
      <c r="AA38" s="36">
        <f t="shared" si="5"/>
        <v>2327.79</v>
      </c>
      <c r="AB38" s="36">
        <f t="shared" si="5"/>
        <v>0</v>
      </c>
      <c r="AC38" s="37">
        <f t="shared" si="5"/>
        <v>0</v>
      </c>
      <c r="AD38" s="36">
        <f t="shared" si="5"/>
        <v>0</v>
      </c>
      <c r="AE38" s="36">
        <f t="shared" si="5"/>
        <v>49197.97</v>
      </c>
      <c r="AF38" s="37">
        <f t="shared" si="5"/>
        <v>1418</v>
      </c>
    </row>
    <row r="39" spans="1:32" x14ac:dyDescent="0.25">
      <c r="A39" s="91" t="s">
        <v>27</v>
      </c>
      <c r="C39" s="86" t="s">
        <v>881</v>
      </c>
      <c r="E39" s="83">
        <v>201602</v>
      </c>
      <c r="F39" s="82" t="s">
        <v>563</v>
      </c>
      <c r="G39" s="82" t="s">
        <v>365</v>
      </c>
      <c r="H39" s="82" t="s">
        <v>344</v>
      </c>
      <c r="I39" s="95">
        <v>0</v>
      </c>
      <c r="K39" s="105" t="str">
        <f t="shared" si="1"/>
        <v>0003-1001-0012</v>
      </c>
      <c r="L39" s="105" t="str">
        <f>VLOOKUP(K39,COA!$A$3:$B$337,2,FALSE)</f>
        <v>V51</v>
      </c>
      <c r="M39" s="105" t="str">
        <f t="shared" si="2"/>
        <v>V51</v>
      </c>
      <c r="N39" s="105" t="str">
        <f>VLOOKUP(M39,CAC!$A$2:$B$198,2,FALSE)</f>
        <v>PPOIFP</v>
      </c>
      <c r="P39" s="35">
        <f t="shared" si="3"/>
        <v>243510.58</v>
      </c>
      <c r="Q39" s="34">
        <v>201801</v>
      </c>
      <c r="R39" s="35">
        <f t="shared" si="5"/>
        <v>45420.91</v>
      </c>
      <c r="S39" s="36">
        <f t="shared" si="5"/>
        <v>74791.06</v>
      </c>
      <c r="T39" s="36">
        <f t="shared" si="5"/>
        <v>5304.06</v>
      </c>
      <c r="U39" s="36">
        <f t="shared" si="5"/>
        <v>16268</v>
      </c>
      <c r="V39" s="36">
        <f t="shared" si="5"/>
        <v>50005.89</v>
      </c>
      <c r="W39" s="36">
        <f t="shared" si="5"/>
        <v>0</v>
      </c>
      <c r="X39" s="36">
        <f t="shared" si="5"/>
        <v>0</v>
      </c>
      <c r="Y39" s="36">
        <f t="shared" si="5"/>
        <v>0</v>
      </c>
      <c r="Z39" s="36">
        <f t="shared" si="5"/>
        <v>36660.83</v>
      </c>
      <c r="AA39" s="36">
        <f t="shared" si="5"/>
        <v>15059.83</v>
      </c>
      <c r="AB39" s="36">
        <f t="shared" si="5"/>
        <v>0</v>
      </c>
      <c r="AC39" s="37">
        <f t="shared" si="5"/>
        <v>0</v>
      </c>
      <c r="AD39" s="36">
        <f t="shared" si="5"/>
        <v>0</v>
      </c>
      <c r="AE39" s="36">
        <f t="shared" si="5"/>
        <v>43072</v>
      </c>
      <c r="AF39" s="37">
        <f t="shared" si="5"/>
        <v>1397</v>
      </c>
    </row>
    <row r="40" spans="1:32" x14ac:dyDescent="0.25">
      <c r="A40" s="91" t="s">
        <v>885</v>
      </c>
      <c r="C40" s="86" t="s">
        <v>882</v>
      </c>
      <c r="E40" s="83">
        <v>201510</v>
      </c>
      <c r="F40" s="82" t="s">
        <v>413</v>
      </c>
      <c r="G40" s="82" t="s">
        <v>354</v>
      </c>
      <c r="H40" s="82" t="s">
        <v>344</v>
      </c>
      <c r="I40" s="95">
        <v>0</v>
      </c>
      <c r="K40" s="105" t="str">
        <f t="shared" si="1"/>
        <v>0008-1013-0012</v>
      </c>
      <c r="L40" s="105" t="str">
        <f>VLOOKUP(K40,COA!$A$3:$B$337,2,FALSE)</f>
        <v>C76</v>
      </c>
      <c r="M40" s="105" t="str">
        <f t="shared" si="2"/>
        <v>C76</v>
      </c>
      <c r="N40" s="105" t="str">
        <f>VLOOKUP(M40,CAC!$A$2:$B$198,2,FALSE)</f>
        <v>DOILG</v>
      </c>
    </row>
    <row r="41" spans="1:32" x14ac:dyDescent="0.25">
      <c r="A41" s="91" t="s">
        <v>886</v>
      </c>
      <c r="C41" s="86" t="s">
        <v>883</v>
      </c>
      <c r="E41" s="83">
        <v>201701</v>
      </c>
      <c r="F41" s="82" t="s">
        <v>563</v>
      </c>
      <c r="G41" s="82" t="s">
        <v>352</v>
      </c>
      <c r="H41" s="82" t="s">
        <v>626</v>
      </c>
      <c r="I41" s="95">
        <v>0</v>
      </c>
      <c r="K41" s="105" t="str">
        <f t="shared" si="1"/>
        <v>0003-1004-0057</v>
      </c>
      <c r="L41" s="105" t="e">
        <f>VLOOKUP(K41,COA!$A$3:$B$337,2,FALSE)</f>
        <v>#N/A</v>
      </c>
      <c r="M41" s="105" t="str">
        <f t="shared" si="2"/>
        <v>XXX</v>
      </c>
      <c r="N41" s="105" t="str">
        <f>VLOOKUP(M41,CAC!$A$2:$B$198,2,FALSE)</f>
        <v>XXX</v>
      </c>
      <c r="R41" s="4">
        <v>201603</v>
      </c>
      <c r="S41" s="4">
        <v>201709</v>
      </c>
      <c r="T41" s="4">
        <v>201801</v>
      </c>
      <c r="U41" s="4">
        <v>2017</v>
      </c>
      <c r="V41" s="4">
        <v>2016</v>
      </c>
    </row>
    <row r="42" spans="1:32" x14ac:dyDescent="0.25">
      <c r="A42" s="91" t="s">
        <v>887</v>
      </c>
      <c r="C42" s="86" t="s">
        <v>884</v>
      </c>
      <c r="E42" s="83">
        <v>201707</v>
      </c>
      <c r="F42" s="82" t="s">
        <v>345</v>
      </c>
      <c r="G42" s="82" t="s">
        <v>352</v>
      </c>
      <c r="H42" s="82" t="s">
        <v>360</v>
      </c>
      <c r="I42" s="95">
        <v>217</v>
      </c>
      <c r="K42" s="105" t="str">
        <f t="shared" si="1"/>
        <v>0011-1004-0048</v>
      </c>
      <c r="L42" s="105" t="str">
        <f>VLOOKUP(K42,COA!$A$3:$B$337,2,FALSE)</f>
        <v>L21</v>
      </c>
      <c r="M42" s="105" t="str">
        <f t="shared" si="2"/>
        <v>L21</v>
      </c>
      <c r="N42" s="105" t="str">
        <f>VLOOKUP(M42,CAC!$A$2:$B$198,2,FALSE)</f>
        <v>HMFLEX</v>
      </c>
      <c r="Q42" s="16" t="s">
        <v>10</v>
      </c>
      <c r="R42" s="19">
        <f t="shared" ref="R42:R51" si="6">SUMIFS($R$17:$AA$17,$R$2:$AA$2,$Q42)</f>
        <v>0</v>
      </c>
      <c r="S42" s="20">
        <f t="shared" ref="S42:S51" si="7">SUMIFS($R$35:$AA$35,$R$2:$AA$2,$Q42)</f>
        <v>2243</v>
      </c>
      <c r="T42" s="21">
        <f>SUMIFS($R$39:$AA$39,$R$2:$AA$2,$Q42)</f>
        <v>15059.83</v>
      </c>
      <c r="U42" s="21">
        <f t="shared" ref="U42:U51" si="8">SUMPRODUCT($R$27:$AC$38*($R$2:$AC$2=$Q42))</f>
        <v>23277.25</v>
      </c>
      <c r="V42" s="21">
        <f>SUMPRODUCT($R$15:$AC$26*($R$2:$AC$2=$Q42))</f>
        <v>0</v>
      </c>
    </row>
    <row r="43" spans="1:32" x14ac:dyDescent="0.25">
      <c r="A43" s="91" t="s">
        <v>888</v>
      </c>
      <c r="C43" s="86" t="s">
        <v>27</v>
      </c>
      <c r="E43" s="83">
        <v>201702</v>
      </c>
      <c r="F43" s="82" t="s">
        <v>563</v>
      </c>
      <c r="G43" s="82" t="s">
        <v>361</v>
      </c>
      <c r="H43" s="82" t="s">
        <v>344</v>
      </c>
      <c r="I43" s="95">
        <v>0</v>
      </c>
      <c r="K43" s="105" t="str">
        <f t="shared" si="1"/>
        <v>0003-1003-0012</v>
      </c>
      <c r="L43" s="105" t="str">
        <f>VLOOKUP(K43,COA!$A$3:$B$337,2,FALSE)</f>
        <v>N61</v>
      </c>
      <c r="M43" s="105" t="str">
        <f t="shared" si="2"/>
        <v>N61</v>
      </c>
      <c r="N43" s="105" t="str">
        <f>VLOOKUP(M43,CAC!$A$2:$B$198,2,FALSE)</f>
        <v>PPOPMR</v>
      </c>
      <c r="Q43" s="17" t="s">
        <v>9</v>
      </c>
      <c r="R43" s="22">
        <f t="shared" si="6"/>
        <v>21155.48</v>
      </c>
      <c r="S43" s="23">
        <f t="shared" si="7"/>
        <v>26628.3</v>
      </c>
      <c r="T43" s="24">
        <f t="shared" ref="T43:T51" si="9">SUMIFS($R$39:$AA$39,$R$2:$AA$2,$Q43)</f>
        <v>36660.83</v>
      </c>
      <c r="U43" s="24">
        <f t="shared" si="8"/>
        <v>330320.36</v>
      </c>
      <c r="V43" s="24">
        <f t="shared" ref="V43:V51" si="10">SUMPRODUCT($R$15:$AC$26*($R$2:$AC$2=$Q43))</f>
        <v>265704.36</v>
      </c>
    </row>
    <row r="44" spans="1:32" x14ac:dyDescent="0.25">
      <c r="A44" s="91" t="s">
        <v>29</v>
      </c>
      <c r="C44" s="87" t="s">
        <v>962</v>
      </c>
      <c r="E44" s="83">
        <v>201512</v>
      </c>
      <c r="F44" s="82" t="s">
        <v>552</v>
      </c>
      <c r="G44" s="82" t="s">
        <v>356</v>
      </c>
      <c r="H44" s="82" t="s">
        <v>672</v>
      </c>
      <c r="I44" s="95">
        <v>0</v>
      </c>
      <c r="K44" s="105" t="str">
        <f t="shared" si="1"/>
        <v>0027-1002-0058</v>
      </c>
      <c r="L44" s="105" t="str">
        <f>VLOOKUP(K44,COA!$A$3:$B$337,2,FALSE)</f>
        <v>L45</v>
      </c>
      <c r="M44" s="105" t="str">
        <f t="shared" si="2"/>
        <v>L45</v>
      </c>
      <c r="N44" s="105" t="e">
        <f>VLOOKUP(M44,CAC!$A$2:$B$198,2,FALSE)</f>
        <v>#N/A</v>
      </c>
      <c r="Q44" s="17" t="s">
        <v>1</v>
      </c>
      <c r="R44" s="22">
        <f t="shared" si="6"/>
        <v>42387.18</v>
      </c>
      <c r="S44" s="23">
        <f t="shared" si="7"/>
        <v>38565.15</v>
      </c>
      <c r="T44" s="24">
        <f t="shared" si="9"/>
        <v>45420.91</v>
      </c>
      <c r="U44" s="24">
        <f t="shared" si="8"/>
        <v>434807.86000000004</v>
      </c>
      <c r="V44" s="24">
        <f t="shared" si="10"/>
        <v>489588.07999999996</v>
      </c>
    </row>
    <row r="45" spans="1:32" x14ac:dyDescent="0.25">
      <c r="A45" s="91" t="s">
        <v>870</v>
      </c>
      <c r="C45" s="86" t="s">
        <v>29</v>
      </c>
      <c r="E45" s="83">
        <v>201702</v>
      </c>
      <c r="F45" s="82" t="s">
        <v>345</v>
      </c>
      <c r="G45" s="82" t="s">
        <v>350</v>
      </c>
      <c r="H45" s="82" t="s">
        <v>357</v>
      </c>
      <c r="I45" s="95">
        <v>1225.43</v>
      </c>
      <c r="K45" s="105" t="str">
        <f t="shared" si="1"/>
        <v>0011-1012-0038</v>
      </c>
      <c r="L45" s="105" t="str">
        <f>VLOOKUP(K45,COA!$A$3:$B$337,2,FALSE)</f>
        <v>K14</v>
      </c>
      <c r="M45" s="105" t="str">
        <f t="shared" si="2"/>
        <v>K14</v>
      </c>
      <c r="N45" s="105" t="str">
        <f>VLOOKUP(M45,CAC!$A$2:$B$198,2,FALSE)</f>
        <v>HMOPMR</v>
      </c>
      <c r="Q45" s="17" t="s">
        <v>2</v>
      </c>
      <c r="R45" s="22">
        <f t="shared" si="6"/>
        <v>56347.05</v>
      </c>
      <c r="S45" s="23">
        <f t="shared" si="7"/>
        <v>53023.22</v>
      </c>
      <c r="T45" s="24">
        <f t="shared" si="9"/>
        <v>74791.06</v>
      </c>
      <c r="U45" s="24">
        <f t="shared" si="8"/>
        <v>637635.44000000018</v>
      </c>
      <c r="V45" s="24">
        <f t="shared" si="10"/>
        <v>674652.39</v>
      </c>
    </row>
    <row r="46" spans="1:32" x14ac:dyDescent="0.25">
      <c r="A46" s="91" t="s">
        <v>871</v>
      </c>
      <c r="C46" s="86" t="s">
        <v>870</v>
      </c>
      <c r="E46" s="83">
        <v>201709</v>
      </c>
      <c r="F46" s="82" t="s">
        <v>563</v>
      </c>
      <c r="G46" s="82" t="s">
        <v>348</v>
      </c>
      <c r="H46" s="82" t="s">
        <v>349</v>
      </c>
      <c r="I46" s="95">
        <v>0</v>
      </c>
      <c r="K46" s="105" t="str">
        <f t="shared" si="1"/>
        <v>0003-1010-0017</v>
      </c>
      <c r="L46" s="105" t="str">
        <f>VLOOKUP(K46,COA!$A$3:$B$337,2,FALSE)</f>
        <v>S51</v>
      </c>
      <c r="M46" s="105" t="str">
        <f t="shared" si="2"/>
        <v>S51</v>
      </c>
      <c r="N46" s="105" t="str">
        <f>VLOOKUP(M46,CAC!$A$2:$B$198,2,FALSE)</f>
        <v>PPOSG</v>
      </c>
      <c r="Q46" s="17" t="s">
        <v>5</v>
      </c>
      <c r="R46" s="22">
        <f t="shared" si="6"/>
        <v>38210.65</v>
      </c>
      <c r="S46" s="23">
        <f t="shared" si="7"/>
        <v>47129.599999999999</v>
      </c>
      <c r="T46" s="24">
        <f t="shared" si="9"/>
        <v>50005.89</v>
      </c>
      <c r="U46" s="24">
        <f t="shared" si="8"/>
        <v>567520.99</v>
      </c>
      <c r="V46" s="24">
        <f t="shared" si="10"/>
        <v>454611.33</v>
      </c>
    </row>
    <row r="47" spans="1:32" x14ac:dyDescent="0.25">
      <c r="A47" s="91" t="s">
        <v>889</v>
      </c>
      <c r="C47" s="86" t="s">
        <v>871</v>
      </c>
      <c r="E47" s="83">
        <v>201704</v>
      </c>
      <c r="F47" s="82" t="s">
        <v>563</v>
      </c>
      <c r="G47" s="82" t="s">
        <v>365</v>
      </c>
      <c r="H47" s="82" t="s">
        <v>344</v>
      </c>
      <c r="I47" s="95">
        <v>0</v>
      </c>
      <c r="K47" s="105" t="str">
        <f t="shared" si="1"/>
        <v>0003-1001-0012</v>
      </c>
      <c r="L47" s="105" t="str">
        <f>VLOOKUP(K47,COA!$A$3:$B$337,2,FALSE)</f>
        <v>V51</v>
      </c>
      <c r="M47" s="105" t="str">
        <f t="shared" si="2"/>
        <v>V51</v>
      </c>
      <c r="N47" s="105" t="str">
        <f>VLOOKUP(M47,CAC!$A$2:$B$198,2,FALSE)</f>
        <v>PPOIFP</v>
      </c>
      <c r="Q47" s="17" t="s">
        <v>6</v>
      </c>
      <c r="R47" s="22">
        <f t="shared" si="6"/>
        <v>37911</v>
      </c>
      <c r="S47" s="23">
        <f t="shared" si="7"/>
        <v>0</v>
      </c>
      <c r="T47" s="24">
        <f t="shared" si="9"/>
        <v>0</v>
      </c>
      <c r="U47" s="24">
        <f t="shared" si="8"/>
        <v>0</v>
      </c>
      <c r="V47" s="24">
        <f t="shared" si="10"/>
        <v>443936.08000000007</v>
      </c>
    </row>
    <row r="48" spans="1:32" x14ac:dyDescent="0.25">
      <c r="A48" s="91" t="s">
        <v>872</v>
      </c>
      <c r="C48" s="86" t="s">
        <v>889</v>
      </c>
      <c r="E48" s="83">
        <v>201603</v>
      </c>
      <c r="F48" s="82" t="s">
        <v>413</v>
      </c>
      <c r="G48" s="82" t="s">
        <v>352</v>
      </c>
      <c r="H48" s="82" t="s">
        <v>344</v>
      </c>
      <c r="I48" s="95">
        <v>0</v>
      </c>
      <c r="K48" s="105" t="str">
        <f t="shared" si="1"/>
        <v>0008-1004-0012</v>
      </c>
      <c r="L48" s="105" t="str">
        <f>VLOOKUP(K48,COA!$A$3:$B$337,2,FALSE)</f>
        <v>C93</v>
      </c>
      <c r="M48" s="105" t="str">
        <f t="shared" si="2"/>
        <v>C93</v>
      </c>
      <c r="N48" s="105" t="str">
        <f>VLOOKUP(M48,CAC!$A$2:$B$198,2,FALSE)</f>
        <v>DOILG</v>
      </c>
      <c r="Q48" s="17" t="s">
        <v>7</v>
      </c>
      <c r="R48" s="22">
        <f t="shared" si="6"/>
        <v>0</v>
      </c>
      <c r="S48" s="23">
        <f t="shared" si="7"/>
        <v>0</v>
      </c>
      <c r="T48" s="24">
        <f t="shared" si="9"/>
        <v>0</v>
      </c>
      <c r="U48" s="24">
        <f t="shared" si="8"/>
        <v>0</v>
      </c>
      <c r="V48" s="24">
        <f t="shared" si="10"/>
        <v>0</v>
      </c>
    </row>
    <row r="49" spans="1:22" x14ac:dyDescent="0.25">
      <c r="A49" s="91" t="s">
        <v>873</v>
      </c>
      <c r="C49" s="86" t="s">
        <v>872</v>
      </c>
      <c r="E49" s="83">
        <v>201704</v>
      </c>
      <c r="F49" s="82" t="s">
        <v>563</v>
      </c>
      <c r="G49" s="82" t="s">
        <v>348</v>
      </c>
      <c r="H49" s="82" t="s">
        <v>349</v>
      </c>
      <c r="I49" s="95">
        <v>0</v>
      </c>
      <c r="K49" s="105" t="str">
        <f t="shared" si="1"/>
        <v>0003-1010-0017</v>
      </c>
      <c r="L49" s="105" t="str">
        <f>VLOOKUP(K49,COA!$A$3:$B$337,2,FALSE)</f>
        <v>S51</v>
      </c>
      <c r="M49" s="105" t="str">
        <f t="shared" si="2"/>
        <v>S51</v>
      </c>
      <c r="N49" s="105" t="str">
        <f>VLOOKUP(M49,CAC!$A$2:$B$198,2,FALSE)</f>
        <v>PPOSG</v>
      </c>
      <c r="Q49" s="17" t="s">
        <v>8</v>
      </c>
      <c r="R49" s="22">
        <f t="shared" si="6"/>
        <v>0</v>
      </c>
      <c r="S49" s="23">
        <f t="shared" si="7"/>
        <v>0</v>
      </c>
      <c r="T49" s="24">
        <f t="shared" si="9"/>
        <v>0</v>
      </c>
      <c r="U49" s="24">
        <f t="shared" si="8"/>
        <v>0</v>
      </c>
      <c r="V49" s="24">
        <f t="shared" si="10"/>
        <v>0</v>
      </c>
    </row>
    <row r="50" spans="1:22" x14ac:dyDescent="0.25">
      <c r="A50" s="91" t="s">
        <v>874</v>
      </c>
      <c r="C50" s="86" t="s">
        <v>873</v>
      </c>
      <c r="E50" s="83">
        <v>201701</v>
      </c>
      <c r="F50" s="82" t="s">
        <v>563</v>
      </c>
      <c r="G50" s="82" t="s">
        <v>348</v>
      </c>
      <c r="H50" s="82" t="s">
        <v>353</v>
      </c>
      <c r="I50" s="95">
        <v>0</v>
      </c>
      <c r="K50" s="105" t="str">
        <f t="shared" si="1"/>
        <v>0003-1010-0023</v>
      </c>
      <c r="L50" s="105" t="str">
        <f>VLOOKUP(K50,COA!$A$3:$B$337,2,FALSE)</f>
        <v>S54</v>
      </c>
      <c r="M50" s="105" t="str">
        <f t="shared" si="2"/>
        <v>S54</v>
      </c>
      <c r="N50" s="105" t="str">
        <f>VLOOKUP(M50,CAC!$A$2:$B$198,2,FALSE)</f>
        <v>PPOSG</v>
      </c>
      <c r="Q50" s="17" t="s">
        <v>4</v>
      </c>
      <c r="R50" s="22">
        <f t="shared" si="6"/>
        <v>8637.5300000000007</v>
      </c>
      <c r="S50" s="23">
        <f t="shared" si="7"/>
        <v>15619</v>
      </c>
      <c r="T50" s="24">
        <f t="shared" si="9"/>
        <v>16268</v>
      </c>
      <c r="U50" s="24">
        <f t="shared" si="8"/>
        <v>152508.79</v>
      </c>
      <c r="V50" s="24">
        <f t="shared" si="10"/>
        <v>110077.35</v>
      </c>
    </row>
    <row r="51" spans="1:22" x14ac:dyDescent="0.25">
      <c r="A51" s="91" t="s">
        <v>890</v>
      </c>
      <c r="C51" s="86" t="s">
        <v>874</v>
      </c>
      <c r="E51" s="83">
        <v>201612</v>
      </c>
      <c r="F51" s="82" t="s">
        <v>344</v>
      </c>
      <c r="G51" s="82" t="s">
        <v>355</v>
      </c>
      <c r="H51" s="82" t="s">
        <v>344</v>
      </c>
      <c r="I51" s="95">
        <v>46</v>
      </c>
      <c r="K51" s="105" t="str">
        <f t="shared" si="1"/>
        <v>0012-1006-0012</v>
      </c>
      <c r="L51" s="105" t="str">
        <f>VLOOKUP(K51,COA!$A$3:$B$337,2,FALSE)</f>
        <v>L16</v>
      </c>
      <c r="M51" s="105" t="str">
        <f t="shared" si="2"/>
        <v>L16</v>
      </c>
      <c r="N51" s="105" t="str">
        <f>VLOOKUP(M51,CAC!$A$2:$B$198,2,FALSE)</f>
        <v>HMOLG</v>
      </c>
      <c r="Q51" s="18" t="s">
        <v>3</v>
      </c>
      <c r="R51" s="25">
        <f t="shared" si="6"/>
        <v>6106.8</v>
      </c>
      <c r="S51" s="26">
        <f t="shared" si="7"/>
        <v>5649.21</v>
      </c>
      <c r="T51" s="27">
        <f t="shared" si="9"/>
        <v>5304.06</v>
      </c>
      <c r="U51" s="27">
        <f t="shared" si="8"/>
        <v>67937.37</v>
      </c>
      <c r="V51" s="27">
        <f t="shared" si="10"/>
        <v>72609.599999999991</v>
      </c>
    </row>
    <row r="52" spans="1:22" x14ac:dyDescent="0.25">
      <c r="A52" s="91" t="s">
        <v>891</v>
      </c>
      <c r="C52" s="93" t="s">
        <v>936</v>
      </c>
      <c r="E52" s="83">
        <v>201508</v>
      </c>
      <c r="F52" s="82" t="s">
        <v>345</v>
      </c>
      <c r="G52" s="82" t="s">
        <v>348</v>
      </c>
      <c r="H52" s="82" t="s">
        <v>349</v>
      </c>
      <c r="I52" s="95">
        <v>17773.39</v>
      </c>
      <c r="K52" s="105" t="str">
        <f t="shared" si="1"/>
        <v>0011-1010-0017</v>
      </c>
      <c r="L52" s="105" t="str">
        <f>VLOOKUP(K52,COA!$A$3:$B$337,2,FALSE)</f>
        <v>S11</v>
      </c>
      <c r="M52" s="105" t="str">
        <f t="shared" si="2"/>
        <v>S11</v>
      </c>
      <c r="N52" s="105" t="str">
        <f>VLOOKUP(M52,CAC!$A$2:$B$198,2,FALSE)</f>
        <v>HMOSG</v>
      </c>
    </row>
    <row r="53" spans="1:22" x14ac:dyDescent="0.25">
      <c r="A53" s="91" t="s">
        <v>892</v>
      </c>
      <c r="C53" s="93" t="s">
        <v>937</v>
      </c>
      <c r="E53" s="83">
        <v>201801</v>
      </c>
      <c r="F53" s="82" t="s">
        <v>563</v>
      </c>
      <c r="G53" s="82" t="s">
        <v>365</v>
      </c>
      <c r="H53" s="82" t="s">
        <v>366</v>
      </c>
      <c r="I53" s="95">
        <v>0</v>
      </c>
      <c r="K53" s="105" t="str">
        <f t="shared" si="1"/>
        <v>0003-1001-0021</v>
      </c>
      <c r="L53" s="105" t="str">
        <f>VLOOKUP(K53,COA!$A$3:$B$337,2,FALSE)</f>
        <v>V53</v>
      </c>
      <c r="M53" s="105" t="str">
        <f t="shared" si="2"/>
        <v>V53</v>
      </c>
      <c r="N53" s="105" t="str">
        <f>VLOOKUP(M53,CAC!$A$2:$B$198,2,FALSE)</f>
        <v>PPOIFP</v>
      </c>
    </row>
    <row r="54" spans="1:22" x14ac:dyDescent="0.25">
      <c r="A54" s="91" t="s">
        <v>893</v>
      </c>
      <c r="C54" s="93" t="s">
        <v>938</v>
      </c>
      <c r="E54" s="83">
        <v>201602</v>
      </c>
      <c r="F54" s="82" t="s">
        <v>344</v>
      </c>
      <c r="G54" s="82" t="s">
        <v>361</v>
      </c>
      <c r="H54" s="82" t="s">
        <v>344</v>
      </c>
      <c r="I54" s="95">
        <v>9750.9500000000007</v>
      </c>
      <c r="K54" s="105" t="str">
        <f t="shared" si="1"/>
        <v>0012-1003-0012</v>
      </c>
      <c r="L54" s="105" t="str">
        <f>VLOOKUP(K54,COA!$A$3:$B$337,2,FALSE)</f>
        <v>N15</v>
      </c>
      <c r="M54" s="105" t="str">
        <f t="shared" si="2"/>
        <v>N15</v>
      </c>
      <c r="N54" s="105" t="str">
        <f>VLOOKUP(M54,CAC!$A$2:$B$198,2,FALSE)</f>
        <v>HMOPMR</v>
      </c>
    </row>
    <row r="55" spans="1:22" x14ac:dyDescent="0.25">
      <c r="A55" s="91" t="s">
        <v>894</v>
      </c>
      <c r="C55" s="86" t="s">
        <v>890</v>
      </c>
      <c r="E55" s="83">
        <v>201508</v>
      </c>
      <c r="F55" s="82" t="s">
        <v>506</v>
      </c>
      <c r="G55" s="82" t="s">
        <v>346</v>
      </c>
      <c r="H55" s="82" t="s">
        <v>592</v>
      </c>
      <c r="I55" s="95">
        <v>0</v>
      </c>
      <c r="K55" s="105" t="str">
        <f t="shared" si="1"/>
        <v>0013-1014-0035</v>
      </c>
      <c r="L55" s="105" t="str">
        <f>VLOOKUP(K55,COA!$A$3:$B$337,2,FALSE)</f>
        <v>K42</v>
      </c>
      <c r="M55" s="105" t="str">
        <f t="shared" si="2"/>
        <v>K42</v>
      </c>
      <c r="N55" s="105" t="str">
        <f>VLOOKUP(M55,CAC!$A$2:$B$198,2,FALSE)</f>
        <v>HMFLEX</v>
      </c>
    </row>
    <row r="56" spans="1:22" x14ac:dyDescent="0.25">
      <c r="A56" s="91" t="s">
        <v>895</v>
      </c>
      <c r="C56" s="86" t="s">
        <v>891</v>
      </c>
      <c r="E56" s="83">
        <v>201705</v>
      </c>
      <c r="F56" s="82" t="s">
        <v>563</v>
      </c>
      <c r="G56" s="82" t="s">
        <v>365</v>
      </c>
      <c r="H56" s="82" t="s">
        <v>344</v>
      </c>
      <c r="I56" s="95">
        <v>0</v>
      </c>
      <c r="K56" s="105" t="str">
        <f t="shared" si="1"/>
        <v>0003-1001-0012</v>
      </c>
      <c r="L56" s="105" t="str">
        <f>VLOOKUP(K56,COA!$A$3:$B$337,2,FALSE)</f>
        <v>V51</v>
      </c>
      <c r="M56" s="105" t="str">
        <f t="shared" si="2"/>
        <v>V51</v>
      </c>
      <c r="N56" s="105" t="str">
        <f>VLOOKUP(M56,CAC!$A$2:$B$198,2,FALSE)</f>
        <v>PPOIFP</v>
      </c>
    </row>
    <row r="57" spans="1:22" x14ac:dyDescent="0.25">
      <c r="A57" s="91" t="s">
        <v>896</v>
      </c>
      <c r="C57" s="86" t="s">
        <v>892</v>
      </c>
      <c r="E57" s="83">
        <v>201710</v>
      </c>
      <c r="F57" s="82" t="s">
        <v>345</v>
      </c>
      <c r="G57" s="82" t="s">
        <v>348</v>
      </c>
      <c r="H57" s="82" t="s">
        <v>358</v>
      </c>
      <c r="I57" s="95">
        <v>180.03</v>
      </c>
      <c r="K57" s="105" t="str">
        <f t="shared" si="1"/>
        <v>0011-1010-0024</v>
      </c>
      <c r="L57" s="105" t="str">
        <f>VLOOKUP(K57,COA!$A$3:$B$337,2,FALSE)</f>
        <v>S14</v>
      </c>
      <c r="M57" s="105" t="str">
        <f t="shared" si="2"/>
        <v>S14</v>
      </c>
      <c r="N57" s="105" t="str">
        <f>VLOOKUP(M57,CAC!$A$2:$B$198,2,FALSE)</f>
        <v>HMOSG</v>
      </c>
    </row>
    <row r="58" spans="1:22" x14ac:dyDescent="0.25">
      <c r="A58" s="91" t="s">
        <v>897</v>
      </c>
      <c r="C58" s="86" t="s">
        <v>893</v>
      </c>
      <c r="E58" s="83">
        <v>201507</v>
      </c>
      <c r="F58" s="82" t="s">
        <v>405</v>
      </c>
      <c r="G58" s="82" t="s">
        <v>362</v>
      </c>
      <c r="H58" s="82" t="s">
        <v>759</v>
      </c>
      <c r="I58" s="95">
        <v>0</v>
      </c>
      <c r="K58" s="105" t="str">
        <f t="shared" si="1"/>
        <v>0019-1008-0032</v>
      </c>
      <c r="L58" s="105" t="str">
        <f>VLOOKUP(K58,COA!$A$3:$B$337,2,FALSE)</f>
        <v>P58</v>
      </c>
      <c r="M58" s="105" t="str">
        <f t="shared" si="2"/>
        <v>P58</v>
      </c>
      <c r="N58" s="105" t="str">
        <f>VLOOKUP(M58,CAC!$A$2:$B$198,2,FALSE)</f>
        <v>PERMEDA</v>
      </c>
    </row>
    <row r="59" spans="1:22" x14ac:dyDescent="0.25">
      <c r="A59" s="91" t="s">
        <v>898</v>
      </c>
      <c r="C59" s="86" t="s">
        <v>894</v>
      </c>
      <c r="E59" s="83">
        <v>201511</v>
      </c>
      <c r="F59" s="82" t="s">
        <v>524</v>
      </c>
      <c r="G59" s="82" t="s">
        <v>361</v>
      </c>
      <c r="H59" s="82" t="s">
        <v>672</v>
      </c>
      <c r="I59" s="95">
        <v>0</v>
      </c>
      <c r="K59" s="105" t="str">
        <f t="shared" si="1"/>
        <v>0025-1003-0058</v>
      </c>
      <c r="L59" s="105" t="str">
        <f>VLOOKUP(K59,COA!$A$3:$B$337,2,FALSE)</f>
        <v>N45</v>
      </c>
      <c r="M59" s="105" t="str">
        <f t="shared" si="2"/>
        <v>N45</v>
      </c>
      <c r="N59" s="105" t="e">
        <f>VLOOKUP(M59,CAC!$A$2:$B$198,2,FALSE)</f>
        <v>#N/A</v>
      </c>
    </row>
    <row r="60" spans="1:22" x14ac:dyDescent="0.25">
      <c r="A60" s="91" t="s">
        <v>899</v>
      </c>
      <c r="C60" s="86" t="s">
        <v>895</v>
      </c>
      <c r="E60" s="83">
        <v>201507</v>
      </c>
      <c r="F60" s="82" t="s">
        <v>349</v>
      </c>
      <c r="G60" s="82" t="s">
        <v>369</v>
      </c>
      <c r="H60" s="82" t="s">
        <v>344</v>
      </c>
      <c r="I60" s="95">
        <v>36777</v>
      </c>
      <c r="K60" s="105" t="str">
        <f t="shared" si="1"/>
        <v>0017-1009-0012</v>
      </c>
      <c r="L60" s="105" t="str">
        <f>VLOOKUP(K60,COA!$A$3:$B$337,2,FALSE)</f>
        <v>R12</v>
      </c>
      <c r="M60" s="105" t="str">
        <f t="shared" si="2"/>
        <v>R12</v>
      </c>
      <c r="N60" s="105" t="str">
        <f>VLOOKUP(M60,CAC!$A$2:$B$198,2,FALSE)</f>
        <v>HMOMM</v>
      </c>
    </row>
    <row r="61" spans="1:22" x14ac:dyDescent="0.25">
      <c r="A61" s="91" t="s">
        <v>900</v>
      </c>
      <c r="C61" s="86" t="s">
        <v>896</v>
      </c>
      <c r="E61" s="83">
        <v>201503</v>
      </c>
      <c r="F61" s="82" t="s">
        <v>563</v>
      </c>
      <c r="G61" s="82" t="s">
        <v>359</v>
      </c>
      <c r="H61" s="82" t="s">
        <v>344</v>
      </c>
      <c r="I61" s="95">
        <v>0</v>
      </c>
      <c r="K61" s="105" t="str">
        <f t="shared" si="1"/>
        <v>0003-1005-0012</v>
      </c>
      <c r="L61" s="105" t="str">
        <f>VLOOKUP(K61,COA!$A$3:$B$337,2,FALSE)</f>
        <v>N51</v>
      </c>
      <c r="M61" s="105" t="str">
        <f t="shared" si="2"/>
        <v>N51</v>
      </c>
      <c r="N61" s="105" t="str">
        <f>VLOOKUP(M61,CAC!$A$2:$B$198,2,FALSE)</f>
        <v>PPOLG</v>
      </c>
    </row>
    <row r="62" spans="1:22" x14ac:dyDescent="0.25">
      <c r="A62" s="91" t="s">
        <v>901</v>
      </c>
      <c r="C62" s="86" t="s">
        <v>897</v>
      </c>
      <c r="E62" s="83">
        <v>201705</v>
      </c>
      <c r="F62" s="82" t="s">
        <v>345</v>
      </c>
      <c r="G62" s="82" t="s">
        <v>355</v>
      </c>
      <c r="H62" s="82" t="s">
        <v>344</v>
      </c>
      <c r="I62" s="95">
        <v>16281.09</v>
      </c>
      <c r="K62" s="105" t="str">
        <f t="shared" si="1"/>
        <v>0011-1006-0012</v>
      </c>
      <c r="L62" s="105" t="str">
        <f>VLOOKUP(K62,COA!$A$3:$B$337,2,FALSE)</f>
        <v>L13</v>
      </c>
      <c r="M62" s="105" t="str">
        <f t="shared" si="2"/>
        <v>L13</v>
      </c>
      <c r="N62" s="105" t="str">
        <f>VLOOKUP(M62,CAC!$A$2:$B$198,2,FALSE)</f>
        <v>HMOLG</v>
      </c>
    </row>
    <row r="63" spans="1:22" x14ac:dyDescent="0.25">
      <c r="A63" s="91" t="s">
        <v>902</v>
      </c>
      <c r="C63" s="86" t="s">
        <v>898</v>
      </c>
      <c r="E63" s="83">
        <v>201709</v>
      </c>
      <c r="F63" s="82" t="s">
        <v>345</v>
      </c>
      <c r="G63" s="82" t="s">
        <v>359</v>
      </c>
      <c r="H63" s="82" t="s">
        <v>344</v>
      </c>
      <c r="I63" s="95">
        <v>6970.56</v>
      </c>
      <c r="K63" s="105" t="str">
        <f t="shared" si="1"/>
        <v>0011-1005-0012</v>
      </c>
      <c r="L63" s="105" t="str">
        <f>VLOOKUP(K63,COA!$A$3:$B$337,2,FALSE)</f>
        <v>N11</v>
      </c>
      <c r="M63" s="105" t="str">
        <f t="shared" si="2"/>
        <v>N11</v>
      </c>
      <c r="N63" s="105" t="str">
        <f>VLOOKUP(M63,CAC!$A$2:$B$198,2,FALSE)</f>
        <v>HMOLG</v>
      </c>
    </row>
    <row r="64" spans="1:22" x14ac:dyDescent="0.25">
      <c r="A64" s="91" t="s">
        <v>903</v>
      </c>
      <c r="C64" s="86" t="s">
        <v>899</v>
      </c>
      <c r="E64" s="83">
        <v>201511</v>
      </c>
      <c r="F64" s="82" t="s">
        <v>345</v>
      </c>
      <c r="G64" s="82" t="s">
        <v>346</v>
      </c>
      <c r="H64" s="82" t="s">
        <v>360</v>
      </c>
      <c r="I64" s="95">
        <v>397.79</v>
      </c>
      <c r="K64" s="105" t="str">
        <f t="shared" si="1"/>
        <v>0011-1014-0048</v>
      </c>
      <c r="L64" s="105" t="str">
        <f>VLOOKUP(K64,COA!$A$3:$B$337,2,FALSE)</f>
        <v>K23</v>
      </c>
      <c r="M64" s="105" t="str">
        <f t="shared" si="2"/>
        <v>K23</v>
      </c>
      <c r="N64" s="105" t="str">
        <f>VLOOKUP(M64,CAC!$A$2:$B$198,2,FALSE)</f>
        <v>HMFLEX</v>
      </c>
    </row>
    <row r="65" spans="1:14" x14ac:dyDescent="0.25">
      <c r="A65" s="91" t="s">
        <v>904</v>
      </c>
      <c r="C65" s="86" t="s">
        <v>900</v>
      </c>
      <c r="E65" s="83">
        <v>201511</v>
      </c>
      <c r="F65" s="82" t="s">
        <v>563</v>
      </c>
      <c r="G65" s="82" t="s">
        <v>348</v>
      </c>
      <c r="H65" s="82" t="s">
        <v>358</v>
      </c>
      <c r="I65" s="95">
        <v>0</v>
      </c>
      <c r="K65" s="105" t="str">
        <f t="shared" si="1"/>
        <v>0003-1010-0024</v>
      </c>
      <c r="L65" s="105" t="str">
        <f>VLOOKUP(K65,COA!$A$3:$B$337,2,FALSE)</f>
        <v>S56</v>
      </c>
      <c r="M65" s="105" t="str">
        <f t="shared" si="2"/>
        <v>S56</v>
      </c>
      <c r="N65" s="105" t="str">
        <f>VLOOKUP(M65,CAC!$A$2:$B$198,2,FALSE)</f>
        <v>PPOSG</v>
      </c>
    </row>
    <row r="66" spans="1:14" x14ac:dyDescent="0.25">
      <c r="A66" s="91" t="s">
        <v>905</v>
      </c>
      <c r="C66" s="86" t="s">
        <v>901</v>
      </c>
      <c r="E66" s="83">
        <v>201611</v>
      </c>
      <c r="F66" s="82" t="s">
        <v>345</v>
      </c>
      <c r="G66" s="82" t="s">
        <v>355</v>
      </c>
      <c r="H66" s="82" t="s">
        <v>344</v>
      </c>
      <c r="I66" s="95">
        <v>20903.240000000002</v>
      </c>
      <c r="K66" s="105" t="str">
        <f t="shared" si="1"/>
        <v>0011-1006-0012</v>
      </c>
      <c r="L66" s="105" t="str">
        <f>VLOOKUP(K66,COA!$A$3:$B$337,2,FALSE)</f>
        <v>L13</v>
      </c>
      <c r="M66" s="105" t="str">
        <f t="shared" si="2"/>
        <v>L13</v>
      </c>
      <c r="N66" s="105" t="str">
        <f>VLOOKUP(M66,CAC!$A$2:$B$198,2,FALSE)</f>
        <v>HMOLG</v>
      </c>
    </row>
    <row r="67" spans="1:14" x14ac:dyDescent="0.25">
      <c r="A67" s="91" t="s">
        <v>906</v>
      </c>
      <c r="C67" s="86" t="s">
        <v>902</v>
      </c>
      <c r="E67" s="83">
        <v>201504</v>
      </c>
      <c r="F67" s="82" t="s">
        <v>563</v>
      </c>
      <c r="G67" s="82" t="s">
        <v>365</v>
      </c>
      <c r="H67" s="82" t="s">
        <v>344</v>
      </c>
      <c r="I67" s="95">
        <v>0</v>
      </c>
      <c r="K67" s="105" t="str">
        <f t="shared" si="1"/>
        <v>0003-1001-0012</v>
      </c>
      <c r="L67" s="105" t="str">
        <f>VLOOKUP(K67,COA!$A$3:$B$337,2,FALSE)</f>
        <v>V51</v>
      </c>
      <c r="M67" s="105" t="str">
        <f t="shared" si="2"/>
        <v>V51</v>
      </c>
      <c r="N67" s="105" t="str">
        <f>VLOOKUP(M67,CAC!$A$2:$B$198,2,FALSE)</f>
        <v>PPOIFP</v>
      </c>
    </row>
    <row r="68" spans="1:14" x14ac:dyDescent="0.25">
      <c r="A68" s="91" t="s">
        <v>907</v>
      </c>
      <c r="C68" s="86" t="s">
        <v>903</v>
      </c>
      <c r="E68" s="83">
        <v>201607</v>
      </c>
      <c r="F68" s="82" t="s">
        <v>345</v>
      </c>
      <c r="G68" s="82" t="s">
        <v>359</v>
      </c>
      <c r="H68" s="82" t="s">
        <v>344</v>
      </c>
      <c r="I68" s="95">
        <v>4179.51</v>
      </c>
      <c r="K68" s="105" t="str">
        <f t="shared" ref="K68:K131" si="11">F68&amp;"-"&amp;G68&amp;"-"&amp;H68</f>
        <v>0011-1005-0012</v>
      </c>
      <c r="L68" s="105" t="str">
        <f>VLOOKUP(K68,COA!$A$3:$B$337,2,FALSE)</f>
        <v>N11</v>
      </c>
      <c r="M68" s="105" t="str">
        <f t="shared" ref="M68:M131" si="12">IF(ISNA(L68),"XXX",L68)</f>
        <v>N11</v>
      </c>
      <c r="N68" s="105" t="str">
        <f>VLOOKUP(M68,CAC!$A$2:$B$198,2,FALSE)</f>
        <v>HMOLG</v>
      </c>
    </row>
    <row r="69" spans="1:14" x14ac:dyDescent="0.25">
      <c r="A69" s="91" t="s">
        <v>908</v>
      </c>
      <c r="C69" s="86" t="s">
        <v>904</v>
      </c>
      <c r="E69" s="83">
        <v>201701</v>
      </c>
      <c r="F69" s="82" t="s">
        <v>345</v>
      </c>
      <c r="G69" s="82" t="s">
        <v>354</v>
      </c>
      <c r="H69" s="82" t="s">
        <v>344</v>
      </c>
      <c r="I69" s="95">
        <v>5651.06</v>
      </c>
      <c r="K69" s="105" t="str">
        <f t="shared" si="11"/>
        <v>0011-1013-0012</v>
      </c>
      <c r="L69" s="105" t="str">
        <f>VLOOKUP(K69,COA!$A$3:$B$337,2,FALSE)</f>
        <v>N20</v>
      </c>
      <c r="M69" s="105" t="str">
        <f t="shared" si="12"/>
        <v>N20</v>
      </c>
      <c r="N69" s="105" t="str">
        <f>VLOOKUP(M69,CAC!$A$2:$B$198,2,FALSE)</f>
        <v>HMOPMR</v>
      </c>
    </row>
    <row r="70" spans="1:14" x14ac:dyDescent="0.25">
      <c r="A70" s="91" t="s">
        <v>909</v>
      </c>
      <c r="C70" s="86" t="s">
        <v>905</v>
      </c>
      <c r="E70" s="83">
        <v>201612</v>
      </c>
      <c r="F70" s="82" t="s">
        <v>563</v>
      </c>
      <c r="G70" s="82" t="s">
        <v>369</v>
      </c>
      <c r="H70" s="82" t="s">
        <v>345</v>
      </c>
      <c r="I70" s="95">
        <v>0</v>
      </c>
      <c r="K70" s="105" t="str">
        <f t="shared" si="11"/>
        <v>0003-1009-0011</v>
      </c>
      <c r="L70" s="105" t="str">
        <f>VLOOKUP(K70,COA!$A$3:$B$337,2,FALSE)</f>
        <v>V91</v>
      </c>
      <c r="M70" s="105" t="str">
        <f t="shared" si="12"/>
        <v>V91</v>
      </c>
      <c r="N70" s="105" t="str">
        <f>VLOOKUP(M70,CAC!$A$2:$B$198,2,FALSE)</f>
        <v>PPOMM</v>
      </c>
    </row>
    <row r="71" spans="1:14" x14ac:dyDescent="0.25">
      <c r="A71" s="91" t="s">
        <v>910</v>
      </c>
      <c r="C71" s="86" t="s">
        <v>906</v>
      </c>
      <c r="E71" s="83">
        <v>201605</v>
      </c>
      <c r="F71" s="82" t="s">
        <v>563</v>
      </c>
      <c r="G71" s="82" t="s">
        <v>354</v>
      </c>
      <c r="H71" s="82" t="s">
        <v>653</v>
      </c>
      <c r="I71" s="95">
        <v>0</v>
      </c>
      <c r="K71" s="105" t="str">
        <f t="shared" si="11"/>
        <v>0003-1013-0047</v>
      </c>
      <c r="L71" s="105" t="str">
        <f>VLOOKUP(K71,COA!$A$3:$B$337,2,FALSE)</f>
        <v>N57</v>
      </c>
      <c r="M71" s="105" t="str">
        <f t="shared" si="12"/>
        <v>N57</v>
      </c>
      <c r="N71" s="105" t="str">
        <f>VLOOKUP(M71,CAC!$A$2:$B$198,2,FALSE)</f>
        <v>PPOPMR</v>
      </c>
    </row>
    <row r="72" spans="1:14" x14ac:dyDescent="0.25">
      <c r="A72" s="91" t="s">
        <v>911</v>
      </c>
      <c r="C72" s="86" t="s">
        <v>907</v>
      </c>
      <c r="E72" s="83">
        <v>201709</v>
      </c>
      <c r="F72" s="82" t="s">
        <v>563</v>
      </c>
      <c r="G72" s="82" t="s">
        <v>352</v>
      </c>
      <c r="H72" s="82" t="s">
        <v>626</v>
      </c>
      <c r="I72" s="95">
        <v>0</v>
      </c>
      <c r="K72" s="105" t="str">
        <f t="shared" si="11"/>
        <v>0003-1004-0057</v>
      </c>
      <c r="L72" s="105" t="e">
        <f>VLOOKUP(K72,COA!$A$3:$B$337,2,FALSE)</f>
        <v>#N/A</v>
      </c>
      <c r="M72" s="105" t="str">
        <f t="shared" si="12"/>
        <v>XXX</v>
      </c>
      <c r="N72" s="105" t="str">
        <f>VLOOKUP(M72,CAC!$A$2:$B$198,2,FALSE)</f>
        <v>XXX</v>
      </c>
    </row>
    <row r="73" spans="1:14" x14ac:dyDescent="0.25">
      <c r="A73" s="91" t="s">
        <v>912</v>
      </c>
      <c r="C73" s="86" t="s">
        <v>908</v>
      </c>
      <c r="E73" s="83">
        <v>201801</v>
      </c>
      <c r="F73" s="82" t="s">
        <v>563</v>
      </c>
      <c r="G73" s="82" t="s">
        <v>369</v>
      </c>
      <c r="H73" s="82" t="s">
        <v>353</v>
      </c>
      <c r="I73" s="95">
        <v>0</v>
      </c>
      <c r="K73" s="105" t="str">
        <f t="shared" si="11"/>
        <v>0003-1009-0023</v>
      </c>
      <c r="L73" s="105" t="e">
        <f>VLOOKUP(K73,COA!$A$3:$B$337,2,FALSE)</f>
        <v>#N/A</v>
      </c>
      <c r="M73" s="105" t="str">
        <f t="shared" si="12"/>
        <v>XXX</v>
      </c>
      <c r="N73" s="105" t="str">
        <f>VLOOKUP(M73,CAC!$A$2:$B$198,2,FALSE)</f>
        <v>XXX</v>
      </c>
    </row>
    <row r="74" spans="1:14" x14ac:dyDescent="0.25">
      <c r="A74" s="91" t="s">
        <v>913</v>
      </c>
      <c r="C74" s="86" t="s">
        <v>909</v>
      </c>
      <c r="E74" s="83">
        <v>201608</v>
      </c>
      <c r="F74" s="82" t="s">
        <v>563</v>
      </c>
      <c r="G74" s="82" t="s">
        <v>365</v>
      </c>
      <c r="H74" s="82" t="s">
        <v>798</v>
      </c>
      <c r="I74" s="95">
        <v>0</v>
      </c>
      <c r="K74" s="105" t="str">
        <f t="shared" si="11"/>
        <v>0003-1001-0065</v>
      </c>
      <c r="L74" s="105" t="str">
        <f>VLOOKUP(K74,COA!$A$3:$B$337,2,FALSE)</f>
        <v>V55</v>
      </c>
      <c r="M74" s="105" t="str">
        <f t="shared" si="12"/>
        <v>V55</v>
      </c>
      <c r="N74" s="105" t="e">
        <f>VLOOKUP(M74,CAC!$A$2:$B$198,2,FALSE)</f>
        <v>#N/A</v>
      </c>
    </row>
    <row r="75" spans="1:14" x14ac:dyDescent="0.25">
      <c r="A75" s="91" t="s">
        <v>914</v>
      </c>
      <c r="C75" s="86" t="s">
        <v>910</v>
      </c>
      <c r="E75" s="83">
        <v>201512</v>
      </c>
      <c r="F75" s="82" t="s">
        <v>563</v>
      </c>
      <c r="G75" s="82" t="s">
        <v>348</v>
      </c>
      <c r="H75" s="82" t="s">
        <v>353</v>
      </c>
      <c r="I75" s="95">
        <v>0</v>
      </c>
      <c r="K75" s="105" t="str">
        <f t="shared" si="11"/>
        <v>0003-1010-0023</v>
      </c>
      <c r="L75" s="105" t="str">
        <f>VLOOKUP(K75,COA!$A$3:$B$337,2,FALSE)</f>
        <v>S54</v>
      </c>
      <c r="M75" s="105" t="str">
        <f t="shared" si="12"/>
        <v>S54</v>
      </c>
      <c r="N75" s="105" t="str">
        <f>VLOOKUP(M75,CAC!$A$2:$B$198,2,FALSE)</f>
        <v>PPOSG</v>
      </c>
    </row>
    <row r="76" spans="1:14" x14ac:dyDescent="0.25">
      <c r="A76" s="91" t="s">
        <v>915</v>
      </c>
      <c r="C76" s="86" t="s">
        <v>911</v>
      </c>
      <c r="E76" s="83">
        <v>201707</v>
      </c>
      <c r="F76" s="82" t="s">
        <v>563</v>
      </c>
      <c r="G76" s="82" t="s">
        <v>354</v>
      </c>
      <c r="H76" s="82" t="s">
        <v>626</v>
      </c>
      <c r="I76" s="95">
        <v>0</v>
      </c>
      <c r="K76" s="105" t="str">
        <f t="shared" si="11"/>
        <v>0003-1013-0057</v>
      </c>
      <c r="L76" s="105" t="str">
        <f>VLOOKUP(K76,COA!$A$3:$B$337,2,FALSE)</f>
        <v>N55</v>
      </c>
      <c r="M76" s="105" t="str">
        <f t="shared" si="12"/>
        <v>N55</v>
      </c>
      <c r="N76" s="105" t="str">
        <f>VLOOKUP(M76,CAC!$A$2:$B$198,2,FALSE)</f>
        <v>PPOPMR</v>
      </c>
    </row>
    <row r="77" spans="1:14" x14ac:dyDescent="0.25">
      <c r="A77" s="91" t="s">
        <v>916</v>
      </c>
      <c r="C77" s="86" t="s">
        <v>912</v>
      </c>
      <c r="E77" s="83">
        <v>201711</v>
      </c>
      <c r="F77" s="82" t="s">
        <v>345</v>
      </c>
      <c r="G77" s="82" t="s">
        <v>352</v>
      </c>
      <c r="H77" s="82" t="s">
        <v>357</v>
      </c>
      <c r="I77" s="95">
        <v>18</v>
      </c>
      <c r="K77" s="105" t="str">
        <f t="shared" si="11"/>
        <v>0011-1004-0038</v>
      </c>
      <c r="L77" s="105" t="str">
        <f>VLOOKUP(K77,COA!$A$3:$B$337,2,FALSE)</f>
        <v>L14</v>
      </c>
      <c r="M77" s="105" t="str">
        <f t="shared" si="12"/>
        <v>L14</v>
      </c>
      <c r="N77" s="105" t="str">
        <f>VLOOKUP(M77,CAC!$A$2:$B$198,2,FALSE)</f>
        <v>HMOLG</v>
      </c>
    </row>
    <row r="78" spans="1:14" x14ac:dyDescent="0.25">
      <c r="A78" s="91" t="s">
        <v>917</v>
      </c>
      <c r="C78" s="86" t="s">
        <v>913</v>
      </c>
      <c r="E78" s="83">
        <v>201706</v>
      </c>
      <c r="F78" s="82" t="s">
        <v>563</v>
      </c>
      <c r="G78" s="82" t="s">
        <v>348</v>
      </c>
      <c r="H78" s="82" t="s">
        <v>349</v>
      </c>
      <c r="I78" s="95">
        <v>0</v>
      </c>
      <c r="K78" s="105" t="str">
        <f t="shared" si="11"/>
        <v>0003-1010-0017</v>
      </c>
      <c r="L78" s="105" t="str">
        <f>VLOOKUP(K78,COA!$A$3:$B$337,2,FALSE)</f>
        <v>S51</v>
      </c>
      <c r="M78" s="105" t="str">
        <f t="shared" si="12"/>
        <v>S51</v>
      </c>
      <c r="N78" s="105" t="str">
        <f>VLOOKUP(M78,CAC!$A$2:$B$198,2,FALSE)</f>
        <v>PPOSG</v>
      </c>
    </row>
    <row r="79" spans="1:14" x14ac:dyDescent="0.25">
      <c r="A79" s="91" t="s">
        <v>918</v>
      </c>
      <c r="C79" s="86" t="s">
        <v>935</v>
      </c>
      <c r="E79" s="83">
        <v>201703</v>
      </c>
      <c r="F79" s="82" t="s">
        <v>563</v>
      </c>
      <c r="G79" s="82" t="s">
        <v>359</v>
      </c>
      <c r="H79" s="82" t="s">
        <v>344</v>
      </c>
      <c r="I79" s="95">
        <v>0</v>
      </c>
      <c r="K79" s="105" t="str">
        <f t="shared" si="11"/>
        <v>0003-1005-0012</v>
      </c>
      <c r="L79" s="105" t="str">
        <f>VLOOKUP(K79,COA!$A$3:$B$337,2,FALSE)</f>
        <v>N51</v>
      </c>
      <c r="M79" s="105" t="str">
        <f t="shared" si="12"/>
        <v>N51</v>
      </c>
      <c r="N79" s="105" t="str">
        <f>VLOOKUP(M79,CAC!$A$2:$B$198,2,FALSE)</f>
        <v>PPOLG</v>
      </c>
    </row>
    <row r="80" spans="1:14" x14ac:dyDescent="0.25">
      <c r="A80" s="91" t="s">
        <v>919</v>
      </c>
      <c r="C80" s="86" t="s">
        <v>917</v>
      </c>
      <c r="E80" s="83">
        <v>201610</v>
      </c>
      <c r="F80" s="82" t="s">
        <v>413</v>
      </c>
      <c r="G80" s="82" t="s">
        <v>355</v>
      </c>
      <c r="H80" s="82" t="s">
        <v>344</v>
      </c>
      <c r="I80" s="95">
        <v>0</v>
      </c>
      <c r="K80" s="105" t="str">
        <f t="shared" si="11"/>
        <v>0008-1006-0012</v>
      </c>
      <c r="L80" s="105" t="str">
        <f>VLOOKUP(K80,COA!$A$3:$B$337,2,FALSE)</f>
        <v>C96</v>
      </c>
      <c r="M80" s="105" t="str">
        <f t="shared" si="12"/>
        <v>C96</v>
      </c>
      <c r="N80" s="105" t="str">
        <f>VLOOKUP(M80,CAC!$A$2:$B$198,2,FALSE)</f>
        <v>DOILG</v>
      </c>
    </row>
    <row r="81" spans="1:14" x14ac:dyDescent="0.25">
      <c r="A81" s="91" t="s">
        <v>920</v>
      </c>
      <c r="C81" s="86" t="s">
        <v>918</v>
      </c>
      <c r="E81" s="83">
        <v>201712</v>
      </c>
      <c r="F81" s="82" t="s">
        <v>344</v>
      </c>
      <c r="G81" s="82" t="s">
        <v>356</v>
      </c>
      <c r="H81" s="82" t="s">
        <v>344</v>
      </c>
      <c r="I81" s="95">
        <v>4294</v>
      </c>
      <c r="K81" s="105" t="str">
        <f t="shared" si="11"/>
        <v>0012-1002-0012</v>
      </c>
      <c r="L81" s="105" t="str">
        <f>VLOOKUP(K81,COA!$A$3:$B$337,2,FALSE)</f>
        <v>F22</v>
      </c>
      <c r="M81" s="105" t="str">
        <f t="shared" si="12"/>
        <v>F22</v>
      </c>
      <c r="N81" s="105" t="str">
        <f>VLOOKUP(M81,CAC!$A$2:$B$198,2,FALSE)</f>
        <v>HMOPMR</v>
      </c>
    </row>
    <row r="82" spans="1:14" x14ac:dyDescent="0.25">
      <c r="A82" s="91" t="s">
        <v>931</v>
      </c>
      <c r="C82" s="87" t="s">
        <v>961</v>
      </c>
      <c r="E82" s="83">
        <v>201708</v>
      </c>
      <c r="F82" s="82" t="s">
        <v>345</v>
      </c>
      <c r="G82" s="82" t="s">
        <v>352</v>
      </c>
      <c r="H82" s="82" t="s">
        <v>360</v>
      </c>
      <c r="I82" s="95">
        <v>224</v>
      </c>
      <c r="K82" s="105" t="str">
        <f t="shared" si="11"/>
        <v>0011-1004-0048</v>
      </c>
      <c r="L82" s="105" t="str">
        <f>VLOOKUP(K82,COA!$A$3:$B$337,2,FALSE)</f>
        <v>L21</v>
      </c>
      <c r="M82" s="105" t="str">
        <f t="shared" si="12"/>
        <v>L21</v>
      </c>
      <c r="N82" s="105" t="str">
        <f>VLOOKUP(M82,CAC!$A$2:$B$198,2,FALSE)</f>
        <v>HMFLEX</v>
      </c>
    </row>
    <row r="83" spans="1:14" x14ac:dyDescent="0.25">
      <c r="A83" s="91" t="s">
        <v>921</v>
      </c>
      <c r="C83" s="86" t="s">
        <v>920</v>
      </c>
      <c r="E83" s="83">
        <v>201701</v>
      </c>
      <c r="F83" s="82" t="s">
        <v>506</v>
      </c>
      <c r="G83" s="82" t="s">
        <v>361</v>
      </c>
      <c r="H83" s="82" t="s">
        <v>592</v>
      </c>
      <c r="I83" s="95">
        <v>0</v>
      </c>
      <c r="K83" s="105" t="str">
        <f t="shared" si="11"/>
        <v>0013-1003-0035</v>
      </c>
      <c r="L83" s="105" t="str">
        <f>VLOOKUP(K83,COA!$A$3:$B$337,2,FALSE)</f>
        <v>N32</v>
      </c>
      <c r="M83" s="105" t="str">
        <f t="shared" si="12"/>
        <v>N32</v>
      </c>
      <c r="N83" s="105" t="e">
        <f>VLOOKUP(M83,CAC!$A$2:$B$198,2,FALSE)</f>
        <v>#N/A</v>
      </c>
    </row>
    <row r="84" spans="1:14" x14ac:dyDescent="0.25">
      <c r="A84" s="91" t="s">
        <v>932</v>
      </c>
      <c r="C84" s="86" t="s">
        <v>931</v>
      </c>
      <c r="E84" s="83">
        <v>201707</v>
      </c>
      <c r="F84" s="82" t="s">
        <v>345</v>
      </c>
      <c r="G84" s="82" t="s">
        <v>365</v>
      </c>
      <c r="H84" s="82" t="s">
        <v>367</v>
      </c>
      <c r="I84" s="95">
        <v>757.71</v>
      </c>
      <c r="K84" s="105" t="str">
        <f t="shared" si="11"/>
        <v>0011-1001-0022</v>
      </c>
      <c r="L84" s="105" t="str">
        <f>VLOOKUP(K84,COA!$A$3:$B$337,2,FALSE)</f>
        <v>V14</v>
      </c>
      <c r="M84" s="105" t="str">
        <f t="shared" si="12"/>
        <v>V14</v>
      </c>
      <c r="N84" s="105" t="str">
        <f>VLOOKUP(M84,CAC!$A$2:$B$198,2,FALSE)</f>
        <v>HMOIFP</v>
      </c>
    </row>
    <row r="85" spans="1:14" x14ac:dyDescent="0.25">
      <c r="A85" s="91" t="s">
        <v>922</v>
      </c>
      <c r="C85" s="86" t="s">
        <v>921</v>
      </c>
      <c r="E85" s="83">
        <v>201510</v>
      </c>
      <c r="F85" s="82" t="s">
        <v>524</v>
      </c>
      <c r="G85" s="82" t="s">
        <v>361</v>
      </c>
      <c r="H85" s="82" t="s">
        <v>672</v>
      </c>
      <c r="I85" s="95">
        <v>0</v>
      </c>
      <c r="K85" s="105" t="str">
        <f t="shared" si="11"/>
        <v>0025-1003-0058</v>
      </c>
      <c r="L85" s="105" t="str">
        <f>VLOOKUP(K85,COA!$A$3:$B$337,2,FALSE)</f>
        <v>N45</v>
      </c>
      <c r="M85" s="105" t="str">
        <f t="shared" si="12"/>
        <v>N45</v>
      </c>
      <c r="N85" s="105" t="e">
        <f>VLOOKUP(M85,CAC!$A$2:$B$198,2,FALSE)</f>
        <v>#N/A</v>
      </c>
    </row>
    <row r="86" spans="1:14" x14ac:dyDescent="0.25">
      <c r="A86" s="91" t="s">
        <v>923</v>
      </c>
      <c r="C86" s="86" t="s">
        <v>932</v>
      </c>
      <c r="E86" s="83">
        <v>201704</v>
      </c>
      <c r="F86" s="82" t="s">
        <v>345</v>
      </c>
      <c r="G86" s="82" t="s">
        <v>348</v>
      </c>
      <c r="H86" s="82" t="s">
        <v>349</v>
      </c>
      <c r="I86" s="95">
        <v>26457.13</v>
      </c>
      <c r="K86" s="105" t="str">
        <f t="shared" si="11"/>
        <v>0011-1010-0017</v>
      </c>
      <c r="L86" s="105" t="str">
        <f>VLOOKUP(K86,COA!$A$3:$B$337,2,FALSE)</f>
        <v>S11</v>
      </c>
      <c r="M86" s="105" t="str">
        <f t="shared" si="12"/>
        <v>S11</v>
      </c>
      <c r="N86" s="105" t="str">
        <f>VLOOKUP(M86,CAC!$A$2:$B$198,2,FALSE)</f>
        <v>HMOSG</v>
      </c>
    </row>
    <row r="87" spans="1:14" x14ac:dyDescent="0.25">
      <c r="A87" s="91" t="s">
        <v>924</v>
      </c>
      <c r="C87" s="86" t="s">
        <v>922</v>
      </c>
      <c r="E87" s="83">
        <v>201605</v>
      </c>
      <c r="F87" s="82" t="s">
        <v>344</v>
      </c>
      <c r="G87" s="82" t="s">
        <v>361</v>
      </c>
      <c r="H87" s="82" t="s">
        <v>344</v>
      </c>
      <c r="I87" s="95">
        <v>9551.6299999999992</v>
      </c>
      <c r="K87" s="105" t="str">
        <f t="shared" si="11"/>
        <v>0012-1003-0012</v>
      </c>
      <c r="L87" s="105" t="str">
        <f>VLOOKUP(K87,COA!$A$3:$B$337,2,FALSE)</f>
        <v>N15</v>
      </c>
      <c r="M87" s="105" t="str">
        <f t="shared" si="12"/>
        <v>N15</v>
      </c>
      <c r="N87" s="105" t="str">
        <f>VLOOKUP(M87,CAC!$A$2:$B$198,2,FALSE)</f>
        <v>HMOPMR</v>
      </c>
    </row>
    <row r="88" spans="1:14" x14ac:dyDescent="0.25">
      <c r="A88" s="91" t="s">
        <v>933</v>
      </c>
      <c r="C88" s="86" t="s">
        <v>923</v>
      </c>
      <c r="E88" s="83">
        <v>201602</v>
      </c>
      <c r="F88" s="82" t="s">
        <v>345</v>
      </c>
      <c r="G88" s="82" t="s">
        <v>354</v>
      </c>
      <c r="H88" s="82" t="s">
        <v>360</v>
      </c>
      <c r="I88" s="95">
        <v>2166</v>
      </c>
      <c r="K88" s="105" t="str">
        <f t="shared" si="11"/>
        <v>0011-1013-0048</v>
      </c>
      <c r="L88" s="105" t="str">
        <f>VLOOKUP(K88,COA!$A$3:$B$337,2,FALSE)</f>
        <v>N21</v>
      </c>
      <c r="M88" s="105" t="str">
        <f t="shared" si="12"/>
        <v>N21</v>
      </c>
      <c r="N88" s="105" t="str">
        <f>VLOOKUP(M88,CAC!$A$2:$B$198,2,FALSE)</f>
        <v>HMFLEX</v>
      </c>
    </row>
    <row r="89" spans="1:14" x14ac:dyDescent="0.25">
      <c r="A89" s="91" t="s">
        <v>925</v>
      </c>
      <c r="C89" s="86" t="s">
        <v>924</v>
      </c>
      <c r="E89" s="83">
        <v>201508</v>
      </c>
      <c r="F89" s="82" t="s">
        <v>349</v>
      </c>
      <c r="G89" s="82" t="s">
        <v>369</v>
      </c>
      <c r="H89" s="82" t="s">
        <v>344</v>
      </c>
      <c r="I89" s="95">
        <v>36904</v>
      </c>
      <c r="K89" s="105" t="str">
        <f t="shared" si="11"/>
        <v>0017-1009-0012</v>
      </c>
      <c r="L89" s="105" t="str">
        <f>VLOOKUP(K89,COA!$A$3:$B$337,2,FALSE)</f>
        <v>R12</v>
      </c>
      <c r="M89" s="105" t="str">
        <f t="shared" si="12"/>
        <v>R12</v>
      </c>
      <c r="N89" s="105" t="str">
        <f>VLOOKUP(M89,CAC!$A$2:$B$198,2,FALSE)</f>
        <v>HMOMM</v>
      </c>
    </row>
    <row r="90" spans="1:14" x14ac:dyDescent="0.25">
      <c r="A90" s="91" t="s">
        <v>926</v>
      </c>
      <c r="C90" s="86" t="s">
        <v>933</v>
      </c>
      <c r="E90" s="83">
        <v>201712</v>
      </c>
      <c r="F90" s="82" t="s">
        <v>345</v>
      </c>
      <c r="G90" s="82" t="s">
        <v>365</v>
      </c>
      <c r="H90" s="82" t="s">
        <v>367</v>
      </c>
      <c r="I90" s="95">
        <v>835.15</v>
      </c>
      <c r="K90" s="105" t="str">
        <f t="shared" si="11"/>
        <v>0011-1001-0022</v>
      </c>
      <c r="L90" s="105" t="str">
        <f>VLOOKUP(K90,COA!$A$3:$B$337,2,FALSE)</f>
        <v>V14</v>
      </c>
      <c r="M90" s="105" t="str">
        <f t="shared" si="12"/>
        <v>V14</v>
      </c>
      <c r="N90" s="105" t="str">
        <f>VLOOKUP(M90,CAC!$A$2:$B$198,2,FALSE)</f>
        <v>HMOIFP</v>
      </c>
    </row>
    <row r="91" spans="1:14" x14ac:dyDescent="0.25">
      <c r="A91" s="91" t="s">
        <v>927</v>
      </c>
      <c r="C91" s="86" t="s">
        <v>925</v>
      </c>
      <c r="E91" s="83">
        <v>201509</v>
      </c>
      <c r="F91" s="82" t="s">
        <v>746</v>
      </c>
      <c r="G91" s="82" t="s">
        <v>356</v>
      </c>
      <c r="H91" s="82" t="s">
        <v>344</v>
      </c>
      <c r="I91" s="95">
        <v>121</v>
      </c>
      <c r="K91" s="105" t="str">
        <f t="shared" si="11"/>
        <v>0016-1002-0012</v>
      </c>
      <c r="L91" s="105" t="str">
        <f>VLOOKUP(K91,COA!$A$3:$B$337,2,FALSE)</f>
        <v>R18</v>
      </c>
      <c r="M91" s="105" t="str">
        <f t="shared" si="12"/>
        <v>R18</v>
      </c>
      <c r="N91" s="105" t="str">
        <f>VLOOKUP(M91,CAC!$A$2:$B$198,2,FALSE)</f>
        <v>HMOMG</v>
      </c>
    </row>
    <row r="92" spans="1:14" x14ac:dyDescent="0.25">
      <c r="A92" s="91" t="s">
        <v>928</v>
      </c>
      <c r="C92" s="86" t="s">
        <v>945</v>
      </c>
      <c r="E92" s="83">
        <v>201608</v>
      </c>
      <c r="F92" s="82" t="s">
        <v>563</v>
      </c>
      <c r="G92" s="82" t="s">
        <v>365</v>
      </c>
      <c r="H92" s="82" t="s">
        <v>411</v>
      </c>
      <c r="I92" s="95">
        <v>0</v>
      </c>
      <c r="K92" s="105" t="str">
        <f t="shared" si="11"/>
        <v>0003-1001-0007</v>
      </c>
      <c r="L92" s="105" t="str">
        <f>VLOOKUP(K92,COA!$A$3:$B$337,2,FALSE)</f>
        <v>V52</v>
      </c>
      <c r="M92" s="105" t="str">
        <f t="shared" si="12"/>
        <v>V52</v>
      </c>
      <c r="N92" s="105" t="str">
        <f>VLOOKUP(M92,CAC!$A$2:$B$198,2,FALSE)</f>
        <v>PPOIFP</v>
      </c>
    </row>
    <row r="93" spans="1:14" x14ac:dyDescent="0.25">
      <c r="A93" s="90" t="s">
        <v>28</v>
      </c>
      <c r="C93" s="93" t="s">
        <v>942</v>
      </c>
      <c r="E93" s="83">
        <v>201609</v>
      </c>
      <c r="F93" s="82" t="s">
        <v>563</v>
      </c>
      <c r="G93" s="82" t="s">
        <v>365</v>
      </c>
      <c r="H93" s="82" t="s">
        <v>367</v>
      </c>
      <c r="I93" s="95">
        <v>0</v>
      </c>
      <c r="K93" s="105" t="str">
        <f t="shared" si="11"/>
        <v>0003-1001-0022</v>
      </c>
      <c r="L93" s="105" t="str">
        <f>VLOOKUP(K93,COA!$A$3:$B$337,2,FALSE)</f>
        <v>V54</v>
      </c>
      <c r="M93" s="105" t="str">
        <f t="shared" si="12"/>
        <v>V54</v>
      </c>
      <c r="N93" s="105" t="str">
        <f>VLOOKUP(M93,CAC!$A$2:$B$198,2,FALSE)</f>
        <v>PPOIFP</v>
      </c>
    </row>
    <row r="94" spans="1:14" x14ac:dyDescent="0.25">
      <c r="A94" s="90" t="s">
        <v>30</v>
      </c>
      <c r="C94" s="93" t="s">
        <v>943</v>
      </c>
      <c r="E94" s="83">
        <v>201711</v>
      </c>
      <c r="F94" s="82" t="s">
        <v>413</v>
      </c>
      <c r="G94" s="82" t="s">
        <v>365</v>
      </c>
      <c r="H94" s="82" t="s">
        <v>344</v>
      </c>
      <c r="I94" s="95">
        <v>0</v>
      </c>
      <c r="K94" s="105" t="str">
        <f t="shared" si="11"/>
        <v>0008-1001-0012</v>
      </c>
      <c r="L94" s="105" t="str">
        <f>VLOOKUP(K94,COA!$A$3:$B$337,2,FALSE)</f>
        <v>C95</v>
      </c>
      <c r="M94" s="105" t="str">
        <f t="shared" si="12"/>
        <v>C95</v>
      </c>
      <c r="N94" s="105" t="str">
        <f>VLOOKUP(M94,CAC!$A$2:$B$198,2,FALSE)</f>
        <v>DOIIFP</v>
      </c>
    </row>
    <row r="95" spans="1:14" x14ac:dyDescent="0.25">
      <c r="A95" s="90" t="s">
        <v>31</v>
      </c>
      <c r="C95" s="93" t="s">
        <v>944</v>
      </c>
      <c r="E95" s="83">
        <v>201506</v>
      </c>
      <c r="F95" s="82" t="s">
        <v>563</v>
      </c>
      <c r="G95" s="82" t="s">
        <v>355</v>
      </c>
      <c r="H95" s="82" t="s">
        <v>344</v>
      </c>
      <c r="I95" s="95">
        <v>0</v>
      </c>
      <c r="K95" s="105" t="str">
        <f t="shared" si="11"/>
        <v>0003-1006-0012</v>
      </c>
      <c r="L95" s="105" t="str">
        <f>VLOOKUP(K95,COA!$A$3:$B$337,2,FALSE)</f>
        <v>L52</v>
      </c>
      <c r="M95" s="105" t="str">
        <f t="shared" si="12"/>
        <v>L52</v>
      </c>
      <c r="N95" s="105" t="str">
        <f>VLOOKUP(M95,CAC!$A$2:$B$198,2,FALSE)</f>
        <v>PPOLG</v>
      </c>
    </row>
    <row r="96" spans="1:14" x14ac:dyDescent="0.25">
      <c r="A96" s="92" t="s">
        <v>32</v>
      </c>
      <c r="C96" s="30" t="s">
        <v>28</v>
      </c>
      <c r="E96" s="83">
        <v>201709</v>
      </c>
      <c r="F96" s="82" t="s">
        <v>563</v>
      </c>
      <c r="G96" s="82" t="s">
        <v>352</v>
      </c>
      <c r="H96" s="82" t="s">
        <v>344</v>
      </c>
      <c r="I96" s="95">
        <v>0</v>
      </c>
      <c r="K96" s="105" t="str">
        <f t="shared" si="11"/>
        <v>0003-1004-0012</v>
      </c>
      <c r="L96" s="105" t="str">
        <f>VLOOKUP(K96,COA!$A$3:$B$337,2,FALSE)</f>
        <v>L51</v>
      </c>
      <c r="M96" s="105" t="str">
        <f t="shared" si="12"/>
        <v>L51</v>
      </c>
      <c r="N96" s="105" t="str">
        <f>VLOOKUP(M96,CAC!$A$2:$B$198,2,FALSE)</f>
        <v>PPOLG</v>
      </c>
    </row>
    <row r="97" spans="3:14" x14ac:dyDescent="0.25">
      <c r="C97" s="30" t="s">
        <v>30</v>
      </c>
      <c r="E97" s="83">
        <v>201512</v>
      </c>
      <c r="F97" s="82" t="s">
        <v>563</v>
      </c>
      <c r="G97" s="82" t="s">
        <v>359</v>
      </c>
      <c r="H97" s="82" t="s">
        <v>344</v>
      </c>
      <c r="I97" s="95">
        <v>0</v>
      </c>
      <c r="K97" s="105" t="str">
        <f t="shared" si="11"/>
        <v>0003-1005-0012</v>
      </c>
      <c r="L97" s="105" t="str">
        <f>VLOOKUP(K97,COA!$A$3:$B$337,2,FALSE)</f>
        <v>N51</v>
      </c>
      <c r="M97" s="105" t="str">
        <f t="shared" si="12"/>
        <v>N51</v>
      </c>
      <c r="N97" s="105" t="str">
        <f>VLOOKUP(M97,CAC!$A$2:$B$198,2,FALSE)</f>
        <v>PPOLG</v>
      </c>
    </row>
    <row r="98" spans="3:14" x14ac:dyDescent="0.25">
      <c r="C98" s="30" t="s">
        <v>31</v>
      </c>
      <c r="E98" s="83">
        <v>201606</v>
      </c>
      <c r="F98" s="82" t="s">
        <v>563</v>
      </c>
      <c r="G98" s="82" t="s">
        <v>348</v>
      </c>
      <c r="H98" s="82" t="s">
        <v>353</v>
      </c>
      <c r="I98" s="95">
        <v>0</v>
      </c>
      <c r="K98" s="105" t="str">
        <f t="shared" si="11"/>
        <v>0003-1010-0023</v>
      </c>
      <c r="L98" s="105" t="str">
        <f>VLOOKUP(K98,COA!$A$3:$B$337,2,FALSE)</f>
        <v>S54</v>
      </c>
      <c r="M98" s="105" t="str">
        <f t="shared" si="12"/>
        <v>S54</v>
      </c>
      <c r="N98" s="105" t="str">
        <f>VLOOKUP(M98,CAC!$A$2:$B$198,2,FALSE)</f>
        <v>PPOSG</v>
      </c>
    </row>
    <row r="99" spans="3:14" x14ac:dyDescent="0.25">
      <c r="C99" s="31" t="s">
        <v>32</v>
      </c>
      <c r="E99" s="83">
        <v>201701</v>
      </c>
      <c r="F99" s="82" t="s">
        <v>344</v>
      </c>
      <c r="G99" s="82" t="s">
        <v>355</v>
      </c>
      <c r="H99" s="82" t="s">
        <v>344</v>
      </c>
      <c r="I99" s="95">
        <v>40</v>
      </c>
      <c r="K99" s="105" t="str">
        <f t="shared" si="11"/>
        <v>0012-1006-0012</v>
      </c>
      <c r="L99" s="105" t="str">
        <f>VLOOKUP(K99,COA!$A$3:$B$337,2,FALSE)</f>
        <v>L16</v>
      </c>
      <c r="M99" s="105" t="str">
        <f t="shared" si="12"/>
        <v>L16</v>
      </c>
      <c r="N99" s="105" t="str">
        <f>VLOOKUP(M99,CAC!$A$2:$B$198,2,FALSE)</f>
        <v>HMOLG</v>
      </c>
    </row>
    <row r="100" spans="3:14" x14ac:dyDescent="0.25">
      <c r="E100" s="83">
        <v>201708</v>
      </c>
      <c r="F100" s="82" t="s">
        <v>563</v>
      </c>
      <c r="G100" s="82" t="s">
        <v>354</v>
      </c>
      <c r="H100" s="82" t="s">
        <v>626</v>
      </c>
      <c r="I100" s="95">
        <v>0</v>
      </c>
      <c r="K100" s="105" t="str">
        <f t="shared" si="11"/>
        <v>0003-1013-0057</v>
      </c>
      <c r="L100" s="105" t="str">
        <f>VLOOKUP(K100,COA!$A$3:$B$337,2,FALSE)</f>
        <v>N55</v>
      </c>
      <c r="M100" s="105" t="str">
        <f t="shared" si="12"/>
        <v>N55</v>
      </c>
      <c r="N100" s="105" t="str">
        <f>VLOOKUP(M100,CAC!$A$2:$B$198,2,FALSE)</f>
        <v>PPOPMR</v>
      </c>
    </row>
    <row r="101" spans="3:14" x14ac:dyDescent="0.25">
      <c r="E101" s="83">
        <v>201505</v>
      </c>
      <c r="F101" s="82" t="s">
        <v>345</v>
      </c>
      <c r="G101" s="82" t="s">
        <v>346</v>
      </c>
      <c r="H101" s="82" t="s">
        <v>360</v>
      </c>
      <c r="I101" s="95">
        <v>400.68</v>
      </c>
      <c r="K101" s="105" t="str">
        <f t="shared" si="11"/>
        <v>0011-1014-0048</v>
      </c>
      <c r="L101" s="105" t="str">
        <f>VLOOKUP(K101,COA!$A$3:$B$337,2,FALSE)</f>
        <v>K23</v>
      </c>
      <c r="M101" s="105" t="str">
        <f t="shared" si="12"/>
        <v>K23</v>
      </c>
      <c r="N101" s="105" t="str">
        <f>VLOOKUP(M101,CAC!$A$2:$B$198,2,FALSE)</f>
        <v>HMFLEX</v>
      </c>
    </row>
    <row r="102" spans="3:14" x14ac:dyDescent="0.25">
      <c r="E102" s="83">
        <v>201612</v>
      </c>
      <c r="F102" s="82" t="s">
        <v>345</v>
      </c>
      <c r="G102" s="82" t="s">
        <v>346</v>
      </c>
      <c r="H102" s="82" t="s">
        <v>344</v>
      </c>
      <c r="I102" s="95">
        <v>0</v>
      </c>
      <c r="K102" s="105" t="str">
        <f t="shared" si="11"/>
        <v>0011-1014-0012</v>
      </c>
      <c r="L102" s="105" t="e">
        <f>VLOOKUP(K102,COA!$A$3:$B$337,2,FALSE)</f>
        <v>#N/A</v>
      </c>
      <c r="M102" s="105" t="str">
        <f t="shared" si="12"/>
        <v>XXX</v>
      </c>
      <c r="N102" s="105" t="str">
        <f>VLOOKUP(M102,CAC!$A$2:$B$198,2,FALSE)</f>
        <v>XXX</v>
      </c>
    </row>
    <row r="103" spans="3:14" x14ac:dyDescent="0.25">
      <c r="E103" s="83">
        <v>201703</v>
      </c>
      <c r="F103" s="82" t="s">
        <v>746</v>
      </c>
      <c r="G103" s="82" t="s">
        <v>350</v>
      </c>
      <c r="H103" s="82" t="s">
        <v>764</v>
      </c>
      <c r="I103" s="95">
        <v>18</v>
      </c>
      <c r="K103" s="105" t="str">
        <f t="shared" si="11"/>
        <v>0016-1012-0064</v>
      </c>
      <c r="L103" s="105" t="str">
        <f>VLOOKUP(K103,COA!$A$3:$B$337,2,FALSE)</f>
        <v>R25</v>
      </c>
      <c r="M103" s="105" t="str">
        <f t="shared" si="12"/>
        <v>R25</v>
      </c>
      <c r="N103" s="105" t="str">
        <f>VLOOKUP(M103,CAC!$A$2:$B$198,2,FALSE)</f>
        <v>HMOMG</v>
      </c>
    </row>
    <row r="104" spans="3:14" x14ac:dyDescent="0.25">
      <c r="E104" s="83">
        <v>201701</v>
      </c>
      <c r="F104" s="82" t="s">
        <v>746</v>
      </c>
      <c r="G104" s="82" t="s">
        <v>350</v>
      </c>
      <c r="H104" s="82" t="s">
        <v>764</v>
      </c>
      <c r="I104" s="95">
        <v>16</v>
      </c>
      <c r="K104" s="105" t="str">
        <f t="shared" si="11"/>
        <v>0016-1012-0064</v>
      </c>
      <c r="L104" s="105" t="str">
        <f>VLOOKUP(K104,COA!$A$3:$B$337,2,FALSE)</f>
        <v>R25</v>
      </c>
      <c r="M104" s="105" t="str">
        <f t="shared" si="12"/>
        <v>R25</v>
      </c>
      <c r="N104" s="105" t="str">
        <f>VLOOKUP(M104,CAC!$A$2:$B$198,2,FALSE)</f>
        <v>HMOMG</v>
      </c>
    </row>
    <row r="105" spans="3:14" x14ac:dyDescent="0.25">
      <c r="E105" s="83">
        <v>201508</v>
      </c>
      <c r="F105" s="82" t="s">
        <v>746</v>
      </c>
      <c r="G105" s="82" t="s">
        <v>350</v>
      </c>
      <c r="H105" s="82" t="s">
        <v>344</v>
      </c>
      <c r="I105" s="95">
        <v>63</v>
      </c>
      <c r="K105" s="105" t="str">
        <f t="shared" si="11"/>
        <v>0016-1012-0012</v>
      </c>
      <c r="L105" s="105" t="str">
        <f>VLOOKUP(K105,COA!$A$3:$B$337,2,FALSE)</f>
        <v>R19</v>
      </c>
      <c r="M105" s="105" t="str">
        <f t="shared" si="12"/>
        <v>R19</v>
      </c>
      <c r="N105" s="105" t="str">
        <f>VLOOKUP(M105,CAC!$A$2:$B$198,2,FALSE)</f>
        <v>HMOMG</v>
      </c>
    </row>
    <row r="106" spans="3:14" x14ac:dyDescent="0.25">
      <c r="E106" s="83">
        <v>201705</v>
      </c>
      <c r="F106" s="82" t="s">
        <v>349</v>
      </c>
      <c r="G106" s="82" t="s">
        <v>369</v>
      </c>
      <c r="H106" s="82" t="s">
        <v>764</v>
      </c>
      <c r="I106" s="95">
        <v>5411</v>
      </c>
      <c r="K106" s="105" t="str">
        <f t="shared" si="11"/>
        <v>0017-1009-0064</v>
      </c>
      <c r="L106" s="105" t="str">
        <f>VLOOKUP(K106,COA!$A$3:$B$337,2,FALSE)</f>
        <v>R15</v>
      </c>
      <c r="M106" s="105" t="str">
        <f t="shared" si="12"/>
        <v>R15</v>
      </c>
      <c r="N106" s="105" t="str">
        <f>VLOOKUP(M106,CAC!$A$2:$B$198,2,FALSE)</f>
        <v>HMOMM</v>
      </c>
    </row>
    <row r="107" spans="3:14" x14ac:dyDescent="0.25">
      <c r="E107" s="83">
        <v>201612</v>
      </c>
      <c r="F107" s="82" t="s">
        <v>413</v>
      </c>
      <c r="G107" s="82" t="s">
        <v>365</v>
      </c>
      <c r="H107" s="82" t="s">
        <v>411</v>
      </c>
      <c r="I107" s="95">
        <v>0</v>
      </c>
      <c r="K107" s="105" t="str">
        <f t="shared" si="11"/>
        <v>0008-1001-0007</v>
      </c>
      <c r="L107" s="105" t="str">
        <f>VLOOKUP(K107,COA!$A$3:$B$337,2,FALSE)</f>
        <v>C99</v>
      </c>
      <c r="M107" s="105" t="str">
        <f t="shared" si="12"/>
        <v>C99</v>
      </c>
      <c r="N107" s="105" t="str">
        <f>VLOOKUP(M107,CAC!$A$2:$B$198,2,FALSE)</f>
        <v>DOIIFP</v>
      </c>
    </row>
    <row r="108" spans="3:14" x14ac:dyDescent="0.25">
      <c r="E108" s="83">
        <v>201604</v>
      </c>
      <c r="F108" s="82" t="s">
        <v>563</v>
      </c>
      <c r="G108" s="82" t="s">
        <v>365</v>
      </c>
      <c r="H108" s="82" t="s">
        <v>366</v>
      </c>
      <c r="I108" s="95">
        <v>0</v>
      </c>
      <c r="K108" s="105" t="str">
        <f t="shared" si="11"/>
        <v>0003-1001-0021</v>
      </c>
      <c r="L108" s="105" t="str">
        <f>VLOOKUP(K108,COA!$A$3:$B$337,2,FALSE)</f>
        <v>V53</v>
      </c>
      <c r="M108" s="105" t="str">
        <f t="shared" si="12"/>
        <v>V53</v>
      </c>
      <c r="N108" s="105" t="str">
        <f>VLOOKUP(M108,CAC!$A$2:$B$198,2,FALSE)</f>
        <v>PPOIFP</v>
      </c>
    </row>
    <row r="109" spans="3:14" x14ac:dyDescent="0.25">
      <c r="E109" s="83">
        <v>201706</v>
      </c>
      <c r="F109" s="82" t="s">
        <v>345</v>
      </c>
      <c r="G109" s="82" t="s">
        <v>348</v>
      </c>
      <c r="H109" s="82" t="s">
        <v>349</v>
      </c>
      <c r="I109" s="95">
        <v>26328.13</v>
      </c>
      <c r="K109" s="105" t="str">
        <f t="shared" si="11"/>
        <v>0011-1010-0017</v>
      </c>
      <c r="L109" s="105" t="str">
        <f>VLOOKUP(K109,COA!$A$3:$B$337,2,FALSE)</f>
        <v>S11</v>
      </c>
      <c r="M109" s="105" t="str">
        <f t="shared" si="12"/>
        <v>S11</v>
      </c>
      <c r="N109" s="105" t="str">
        <f>VLOOKUP(M109,CAC!$A$2:$B$198,2,FALSE)</f>
        <v>HMOSG</v>
      </c>
    </row>
    <row r="110" spans="3:14" x14ac:dyDescent="0.25">
      <c r="E110" s="83">
        <v>201701</v>
      </c>
      <c r="F110" s="82" t="s">
        <v>349</v>
      </c>
      <c r="G110" s="82" t="s">
        <v>369</v>
      </c>
      <c r="H110" s="82" t="s">
        <v>764</v>
      </c>
      <c r="I110" s="95">
        <v>5507</v>
      </c>
      <c r="K110" s="105" t="str">
        <f t="shared" si="11"/>
        <v>0017-1009-0064</v>
      </c>
      <c r="L110" s="105" t="str">
        <f>VLOOKUP(K110,COA!$A$3:$B$337,2,FALSE)</f>
        <v>R15</v>
      </c>
      <c r="M110" s="105" t="str">
        <f t="shared" si="12"/>
        <v>R15</v>
      </c>
      <c r="N110" s="105" t="str">
        <f>VLOOKUP(M110,CAC!$A$2:$B$198,2,FALSE)</f>
        <v>HMOMM</v>
      </c>
    </row>
    <row r="111" spans="3:14" x14ac:dyDescent="0.25">
      <c r="E111" s="83">
        <v>201508</v>
      </c>
      <c r="F111" s="82" t="s">
        <v>506</v>
      </c>
      <c r="G111" s="82" t="s">
        <v>359</v>
      </c>
      <c r="H111" s="82" t="s">
        <v>592</v>
      </c>
      <c r="I111" s="95">
        <v>0</v>
      </c>
      <c r="K111" s="105" t="str">
        <f t="shared" si="11"/>
        <v>0013-1005-0035</v>
      </c>
      <c r="L111" s="105" t="str">
        <f>VLOOKUP(K111,COA!$A$3:$B$337,2,FALSE)</f>
        <v>N41</v>
      </c>
      <c r="M111" s="105" t="str">
        <f t="shared" si="12"/>
        <v>N41</v>
      </c>
      <c r="N111" s="105" t="e">
        <f>VLOOKUP(M111,CAC!$A$2:$B$198,2,FALSE)</f>
        <v>#N/A</v>
      </c>
    </row>
    <row r="112" spans="3:14" x14ac:dyDescent="0.25">
      <c r="E112" s="83">
        <v>201701</v>
      </c>
      <c r="F112" s="82" t="s">
        <v>746</v>
      </c>
      <c r="G112" s="82" t="s">
        <v>350</v>
      </c>
      <c r="H112" s="82" t="s">
        <v>344</v>
      </c>
      <c r="I112" s="95">
        <v>25</v>
      </c>
      <c r="K112" s="105" t="str">
        <f t="shared" si="11"/>
        <v>0016-1012-0012</v>
      </c>
      <c r="L112" s="105" t="str">
        <f>VLOOKUP(K112,COA!$A$3:$B$337,2,FALSE)</f>
        <v>R19</v>
      </c>
      <c r="M112" s="105" t="str">
        <f t="shared" si="12"/>
        <v>R19</v>
      </c>
      <c r="N112" s="105" t="str">
        <f>VLOOKUP(M112,CAC!$A$2:$B$198,2,FALSE)</f>
        <v>HMOMG</v>
      </c>
    </row>
    <row r="113" spans="5:14" x14ac:dyDescent="0.25">
      <c r="E113" s="83">
        <v>201602</v>
      </c>
      <c r="F113" s="82" t="s">
        <v>506</v>
      </c>
      <c r="G113" s="82" t="s">
        <v>354</v>
      </c>
      <c r="H113" s="82" t="s">
        <v>592</v>
      </c>
      <c r="I113" s="95">
        <v>0</v>
      </c>
      <c r="K113" s="105" t="str">
        <f t="shared" si="11"/>
        <v>0013-1013-0035</v>
      </c>
      <c r="L113" s="105" t="str">
        <f>VLOOKUP(K113,COA!$A$3:$B$337,2,FALSE)</f>
        <v>N44</v>
      </c>
      <c r="M113" s="105" t="str">
        <f t="shared" si="12"/>
        <v>N44</v>
      </c>
      <c r="N113" s="105" t="e">
        <f>VLOOKUP(M113,CAC!$A$2:$B$198,2,FALSE)</f>
        <v>#N/A</v>
      </c>
    </row>
    <row r="114" spans="5:14" x14ac:dyDescent="0.25">
      <c r="E114" s="83">
        <v>201602</v>
      </c>
      <c r="F114" s="82" t="s">
        <v>342</v>
      </c>
      <c r="G114" s="82" t="s">
        <v>343</v>
      </c>
      <c r="H114" s="82" t="s">
        <v>344</v>
      </c>
      <c r="I114" s="95">
        <v>6108.42</v>
      </c>
      <c r="K114" s="105" t="str">
        <f t="shared" si="11"/>
        <v>0031-1000-0012</v>
      </c>
      <c r="L114" s="105" t="str">
        <f>VLOOKUP(K114,COA!$A$3:$B$337,2,FALSE)</f>
        <v>F27</v>
      </c>
      <c r="M114" s="105" t="str">
        <f t="shared" si="12"/>
        <v>F27</v>
      </c>
      <c r="N114" s="105" t="str">
        <f>VLOOKUP(M114,CAC!$A$2:$B$198,2,FALSE)</f>
        <v>HMOFEP</v>
      </c>
    </row>
    <row r="115" spans="5:14" x14ac:dyDescent="0.25">
      <c r="E115" s="83">
        <v>201706</v>
      </c>
      <c r="F115" s="82" t="s">
        <v>405</v>
      </c>
      <c r="G115" s="82" t="s">
        <v>362</v>
      </c>
      <c r="H115" s="82" t="s">
        <v>342</v>
      </c>
      <c r="I115" s="95">
        <v>0</v>
      </c>
      <c r="K115" s="105" t="str">
        <f t="shared" si="11"/>
        <v>0019-1008-0031</v>
      </c>
      <c r="L115" s="105" t="str">
        <f>VLOOKUP(K115,COA!$A$3:$B$337,2,FALSE)</f>
        <v>P53</v>
      </c>
      <c r="M115" s="105" t="str">
        <f t="shared" si="12"/>
        <v>P53</v>
      </c>
      <c r="N115" s="105" t="str">
        <f>VLOOKUP(M115,CAC!$A$2:$B$198,2,FALSE)</f>
        <v>HMOPERA</v>
      </c>
    </row>
    <row r="116" spans="5:14" x14ac:dyDescent="0.25">
      <c r="E116" s="83">
        <v>201705</v>
      </c>
      <c r="F116" s="82" t="s">
        <v>345</v>
      </c>
      <c r="G116" s="82" t="s">
        <v>365</v>
      </c>
      <c r="H116" s="82" t="s">
        <v>367</v>
      </c>
      <c r="I116" s="95">
        <v>693.18</v>
      </c>
      <c r="K116" s="105" t="str">
        <f t="shared" si="11"/>
        <v>0011-1001-0022</v>
      </c>
      <c r="L116" s="105" t="str">
        <f>VLOOKUP(K116,COA!$A$3:$B$337,2,FALSE)</f>
        <v>V14</v>
      </c>
      <c r="M116" s="105" t="str">
        <f t="shared" si="12"/>
        <v>V14</v>
      </c>
      <c r="N116" s="105" t="str">
        <f>VLOOKUP(M116,CAC!$A$2:$B$198,2,FALSE)</f>
        <v>HMOIFP</v>
      </c>
    </row>
    <row r="117" spans="5:14" x14ac:dyDescent="0.25">
      <c r="E117" s="83">
        <v>201507</v>
      </c>
      <c r="F117" s="82" t="s">
        <v>345</v>
      </c>
      <c r="G117" s="82" t="s">
        <v>355</v>
      </c>
      <c r="H117" s="82" t="s">
        <v>344</v>
      </c>
      <c r="I117" s="95">
        <v>24555.599999999999</v>
      </c>
      <c r="K117" s="105" t="str">
        <f t="shared" si="11"/>
        <v>0011-1006-0012</v>
      </c>
      <c r="L117" s="105" t="str">
        <f>VLOOKUP(K117,COA!$A$3:$B$337,2,FALSE)</f>
        <v>L13</v>
      </c>
      <c r="M117" s="105" t="str">
        <f t="shared" si="12"/>
        <v>L13</v>
      </c>
      <c r="N117" s="105" t="str">
        <f>VLOOKUP(M117,CAC!$A$2:$B$198,2,FALSE)</f>
        <v>HMOLG</v>
      </c>
    </row>
    <row r="118" spans="5:14" x14ac:dyDescent="0.25">
      <c r="E118" s="83">
        <v>201502</v>
      </c>
      <c r="F118" s="82" t="s">
        <v>563</v>
      </c>
      <c r="G118" s="82" t="s">
        <v>348</v>
      </c>
      <c r="H118" s="82" t="s">
        <v>353</v>
      </c>
      <c r="I118" s="95">
        <v>0</v>
      </c>
      <c r="K118" s="105" t="str">
        <f t="shared" si="11"/>
        <v>0003-1010-0023</v>
      </c>
      <c r="L118" s="105" t="str">
        <f>VLOOKUP(K118,COA!$A$3:$B$337,2,FALSE)</f>
        <v>S54</v>
      </c>
      <c r="M118" s="105" t="str">
        <f t="shared" si="12"/>
        <v>S54</v>
      </c>
      <c r="N118" s="105" t="str">
        <f>VLOOKUP(M118,CAC!$A$2:$B$198,2,FALSE)</f>
        <v>PPOSG</v>
      </c>
    </row>
    <row r="119" spans="5:14" x14ac:dyDescent="0.25">
      <c r="E119" s="83">
        <v>201606</v>
      </c>
      <c r="F119" s="82" t="s">
        <v>746</v>
      </c>
      <c r="G119" s="82" t="s">
        <v>355</v>
      </c>
      <c r="H119" s="82" t="s">
        <v>344</v>
      </c>
      <c r="I119" s="95">
        <v>0</v>
      </c>
      <c r="K119" s="105" t="str">
        <f t="shared" si="11"/>
        <v>0016-1006-0012</v>
      </c>
      <c r="L119" s="105" t="str">
        <f>VLOOKUP(K119,COA!$A$3:$B$337,2,FALSE)</f>
        <v>R21</v>
      </c>
      <c r="M119" s="105" t="str">
        <f t="shared" si="12"/>
        <v>R21</v>
      </c>
      <c r="N119" s="105" t="str">
        <f>VLOOKUP(M119,CAC!$A$2:$B$198,2,FALSE)</f>
        <v>HMOMG</v>
      </c>
    </row>
    <row r="120" spans="5:14" x14ac:dyDescent="0.25">
      <c r="E120" s="83">
        <v>201705</v>
      </c>
      <c r="F120" s="82" t="s">
        <v>506</v>
      </c>
      <c r="G120" s="82" t="s">
        <v>350</v>
      </c>
      <c r="H120" s="82" t="s">
        <v>592</v>
      </c>
      <c r="I120" s="95">
        <v>0</v>
      </c>
      <c r="K120" s="105" t="str">
        <f t="shared" si="11"/>
        <v>0013-1012-0035</v>
      </c>
      <c r="L120" s="105" t="str">
        <f>VLOOKUP(K120,COA!$A$3:$B$337,2,FALSE)</f>
        <v>K41</v>
      </c>
      <c r="M120" s="105" t="str">
        <f t="shared" si="12"/>
        <v>K41</v>
      </c>
      <c r="N120" s="105" t="e">
        <f>VLOOKUP(M120,CAC!$A$2:$B$198,2,FALSE)</f>
        <v>#N/A</v>
      </c>
    </row>
    <row r="121" spans="5:14" x14ac:dyDescent="0.25">
      <c r="E121" s="83">
        <v>201605</v>
      </c>
      <c r="F121" s="82" t="s">
        <v>344</v>
      </c>
      <c r="G121" s="82" t="s">
        <v>352</v>
      </c>
      <c r="H121" s="82" t="s">
        <v>344</v>
      </c>
      <c r="I121" s="95">
        <v>434</v>
      </c>
      <c r="K121" s="105" t="str">
        <f t="shared" si="11"/>
        <v>0012-1004-0012</v>
      </c>
      <c r="L121" s="105" t="str">
        <f>VLOOKUP(K121,COA!$A$3:$B$337,2,FALSE)</f>
        <v>L12</v>
      </c>
      <c r="M121" s="105" t="str">
        <f t="shared" si="12"/>
        <v>L12</v>
      </c>
      <c r="N121" s="105" t="str">
        <f>VLOOKUP(M121,CAC!$A$2:$B$198,2,FALSE)</f>
        <v>HMOLG</v>
      </c>
    </row>
    <row r="122" spans="5:14" x14ac:dyDescent="0.25">
      <c r="E122" s="83">
        <v>201603</v>
      </c>
      <c r="F122" s="82" t="s">
        <v>345</v>
      </c>
      <c r="G122" s="82" t="s">
        <v>352</v>
      </c>
      <c r="H122" s="82" t="s">
        <v>653</v>
      </c>
      <c r="I122" s="95">
        <v>0</v>
      </c>
      <c r="K122" s="105" t="str">
        <f t="shared" si="11"/>
        <v>0011-1004-0047</v>
      </c>
      <c r="L122" s="105" t="str">
        <f>VLOOKUP(K122,COA!$A$3:$B$337,2,FALSE)</f>
        <v>L17</v>
      </c>
      <c r="M122" s="105" t="str">
        <f t="shared" si="12"/>
        <v>L17</v>
      </c>
      <c r="N122" s="105" t="str">
        <f>VLOOKUP(M122,CAC!$A$2:$B$198,2,FALSE)</f>
        <v>HMOLG</v>
      </c>
    </row>
    <row r="123" spans="5:14" x14ac:dyDescent="0.25">
      <c r="E123" s="83">
        <v>201707</v>
      </c>
      <c r="F123" s="82" t="s">
        <v>746</v>
      </c>
      <c r="G123" s="82" t="s">
        <v>352</v>
      </c>
      <c r="H123" s="82" t="s">
        <v>344</v>
      </c>
      <c r="I123" s="95">
        <v>3</v>
      </c>
      <c r="K123" s="105" t="str">
        <f t="shared" si="11"/>
        <v>0016-1004-0012</v>
      </c>
      <c r="L123" s="105" t="str">
        <f>VLOOKUP(K123,COA!$A$3:$B$337,2,FALSE)</f>
        <v>R20</v>
      </c>
      <c r="M123" s="105" t="str">
        <f t="shared" si="12"/>
        <v>R20</v>
      </c>
      <c r="N123" s="105" t="str">
        <f>VLOOKUP(M123,CAC!$A$2:$B$198,2,FALSE)</f>
        <v>HMOMG</v>
      </c>
    </row>
    <row r="124" spans="5:14" x14ac:dyDescent="0.25">
      <c r="E124" s="83">
        <v>201606</v>
      </c>
      <c r="F124" s="82" t="s">
        <v>413</v>
      </c>
      <c r="G124" s="82" t="s">
        <v>365</v>
      </c>
      <c r="H124" s="82" t="s">
        <v>344</v>
      </c>
      <c r="I124" s="95">
        <v>0</v>
      </c>
      <c r="K124" s="105" t="str">
        <f t="shared" si="11"/>
        <v>0008-1001-0012</v>
      </c>
      <c r="L124" s="105" t="str">
        <f>VLOOKUP(K124,COA!$A$3:$B$337,2,FALSE)</f>
        <v>C95</v>
      </c>
      <c r="M124" s="105" t="str">
        <f t="shared" si="12"/>
        <v>C95</v>
      </c>
      <c r="N124" s="105" t="str">
        <f>VLOOKUP(M124,CAC!$A$2:$B$198,2,FALSE)</f>
        <v>DOIIFP</v>
      </c>
    </row>
    <row r="125" spans="5:14" x14ac:dyDescent="0.25">
      <c r="E125" s="83">
        <v>201608</v>
      </c>
      <c r="F125" s="82" t="s">
        <v>506</v>
      </c>
      <c r="G125" s="82" t="s">
        <v>359</v>
      </c>
      <c r="H125" s="82" t="s">
        <v>592</v>
      </c>
      <c r="I125" s="95">
        <v>0</v>
      </c>
      <c r="K125" s="105" t="str">
        <f t="shared" si="11"/>
        <v>0013-1005-0035</v>
      </c>
      <c r="L125" s="105" t="str">
        <f>VLOOKUP(K125,COA!$A$3:$B$337,2,FALSE)</f>
        <v>N41</v>
      </c>
      <c r="M125" s="105" t="str">
        <f t="shared" si="12"/>
        <v>N41</v>
      </c>
      <c r="N125" s="105" t="e">
        <f>VLOOKUP(M125,CAC!$A$2:$B$198,2,FALSE)</f>
        <v>#N/A</v>
      </c>
    </row>
    <row r="126" spans="5:14" x14ac:dyDescent="0.25">
      <c r="E126" s="83">
        <v>201505</v>
      </c>
      <c r="F126" s="82" t="s">
        <v>563</v>
      </c>
      <c r="G126" s="82" t="s">
        <v>359</v>
      </c>
      <c r="H126" s="82" t="s">
        <v>344</v>
      </c>
      <c r="I126" s="95">
        <v>0</v>
      </c>
      <c r="K126" s="105" t="str">
        <f t="shared" si="11"/>
        <v>0003-1005-0012</v>
      </c>
      <c r="L126" s="105" t="str">
        <f>VLOOKUP(K126,COA!$A$3:$B$337,2,FALSE)</f>
        <v>N51</v>
      </c>
      <c r="M126" s="105" t="str">
        <f t="shared" si="12"/>
        <v>N51</v>
      </c>
      <c r="N126" s="105" t="str">
        <f>VLOOKUP(M126,CAC!$A$2:$B$198,2,FALSE)</f>
        <v>PPOLG</v>
      </c>
    </row>
    <row r="127" spans="5:14" x14ac:dyDescent="0.25">
      <c r="E127" s="83">
        <v>201507</v>
      </c>
      <c r="F127" s="82" t="s">
        <v>345</v>
      </c>
      <c r="G127" s="82" t="s">
        <v>362</v>
      </c>
      <c r="H127" s="82" t="s">
        <v>370</v>
      </c>
      <c r="I127" s="95">
        <v>2248</v>
      </c>
      <c r="K127" s="105" t="str">
        <f t="shared" si="11"/>
        <v>0011-1008-0055</v>
      </c>
      <c r="L127" s="105" t="str">
        <f>VLOOKUP(K127,COA!$A$3:$B$337,2,FALSE)</f>
        <v>P28</v>
      </c>
      <c r="M127" s="105" t="str">
        <f t="shared" si="12"/>
        <v>P28</v>
      </c>
      <c r="N127" s="105" t="str">
        <f>VLOOKUP(M127,CAC!$A$2:$B$198,2,FALSE)</f>
        <v>PERMEDN</v>
      </c>
    </row>
    <row r="128" spans="5:14" x14ac:dyDescent="0.25">
      <c r="E128" s="83">
        <v>201710</v>
      </c>
      <c r="F128" s="82" t="s">
        <v>344</v>
      </c>
      <c r="G128" s="82" t="s">
        <v>352</v>
      </c>
      <c r="H128" s="82" t="s">
        <v>344</v>
      </c>
      <c r="I128" s="95">
        <v>1144</v>
      </c>
      <c r="K128" s="105" t="str">
        <f t="shared" si="11"/>
        <v>0012-1004-0012</v>
      </c>
      <c r="L128" s="105" t="str">
        <f>VLOOKUP(K128,COA!$A$3:$B$337,2,FALSE)</f>
        <v>L12</v>
      </c>
      <c r="M128" s="105" t="str">
        <f t="shared" si="12"/>
        <v>L12</v>
      </c>
      <c r="N128" s="105" t="str">
        <f>VLOOKUP(M128,CAC!$A$2:$B$198,2,FALSE)</f>
        <v>HMOLG</v>
      </c>
    </row>
    <row r="129" spans="5:14" x14ac:dyDescent="0.25">
      <c r="E129" s="83">
        <v>201706</v>
      </c>
      <c r="F129" s="82" t="s">
        <v>563</v>
      </c>
      <c r="G129" s="82" t="s">
        <v>365</v>
      </c>
      <c r="H129" s="82" t="s">
        <v>367</v>
      </c>
      <c r="I129" s="95">
        <v>0</v>
      </c>
      <c r="K129" s="105" t="str">
        <f t="shared" si="11"/>
        <v>0003-1001-0022</v>
      </c>
      <c r="L129" s="105" t="str">
        <f>VLOOKUP(K129,COA!$A$3:$B$337,2,FALSE)</f>
        <v>V54</v>
      </c>
      <c r="M129" s="105" t="str">
        <f t="shared" si="12"/>
        <v>V54</v>
      </c>
      <c r="N129" s="105" t="str">
        <f>VLOOKUP(M129,CAC!$A$2:$B$198,2,FALSE)</f>
        <v>PPOIFP</v>
      </c>
    </row>
    <row r="130" spans="5:14" x14ac:dyDescent="0.25">
      <c r="E130" s="83">
        <v>201509</v>
      </c>
      <c r="F130" s="82" t="s">
        <v>563</v>
      </c>
      <c r="G130" s="82" t="s">
        <v>350</v>
      </c>
      <c r="H130" s="82" t="s">
        <v>344</v>
      </c>
      <c r="I130" s="95">
        <v>0</v>
      </c>
      <c r="K130" s="105" t="str">
        <f t="shared" si="11"/>
        <v>0003-1012-0012</v>
      </c>
      <c r="L130" s="105" t="str">
        <f>VLOOKUP(K130,COA!$A$3:$B$337,2,FALSE)</f>
        <v>K51</v>
      </c>
      <c r="M130" s="105" t="str">
        <f t="shared" si="12"/>
        <v>K51</v>
      </c>
      <c r="N130" s="105" t="str">
        <f>VLOOKUP(M130,CAC!$A$2:$B$198,2,FALSE)</f>
        <v>PPOPMR</v>
      </c>
    </row>
    <row r="131" spans="5:14" x14ac:dyDescent="0.25">
      <c r="E131" s="83">
        <v>201602</v>
      </c>
      <c r="F131" s="82" t="s">
        <v>345</v>
      </c>
      <c r="G131" s="82" t="s">
        <v>362</v>
      </c>
      <c r="H131" s="82" t="s">
        <v>363</v>
      </c>
      <c r="I131" s="95">
        <v>38084</v>
      </c>
      <c r="K131" s="105" t="str">
        <f t="shared" si="11"/>
        <v>0011-1008-0054</v>
      </c>
      <c r="L131" s="105" t="str">
        <f>VLOOKUP(K131,COA!$A$3:$B$337,2,FALSE)</f>
        <v>P23</v>
      </c>
      <c r="M131" s="105" t="str">
        <f t="shared" si="12"/>
        <v>P23</v>
      </c>
      <c r="N131" s="105" t="str">
        <f>VLOOKUP(M131,CAC!$A$2:$B$198,2,FALSE)</f>
        <v>HMOPERN</v>
      </c>
    </row>
    <row r="132" spans="5:14" x14ac:dyDescent="0.25">
      <c r="E132" s="83">
        <v>201512</v>
      </c>
      <c r="F132" s="82" t="s">
        <v>563</v>
      </c>
      <c r="G132" s="82" t="s">
        <v>348</v>
      </c>
      <c r="H132" s="82" t="s">
        <v>358</v>
      </c>
      <c r="I132" s="95">
        <v>0</v>
      </c>
      <c r="K132" s="105" t="str">
        <f t="shared" ref="K132:K195" si="13">F132&amp;"-"&amp;G132&amp;"-"&amp;H132</f>
        <v>0003-1010-0024</v>
      </c>
      <c r="L132" s="105" t="str">
        <f>VLOOKUP(K132,COA!$A$3:$B$337,2,FALSE)</f>
        <v>S56</v>
      </c>
      <c r="M132" s="105" t="str">
        <f t="shared" ref="M132:M195" si="14">IF(ISNA(L132),"XXX",L132)</f>
        <v>S56</v>
      </c>
      <c r="N132" s="105" t="str">
        <f>VLOOKUP(M132,CAC!$A$2:$B$198,2,FALSE)</f>
        <v>PPOSG</v>
      </c>
    </row>
    <row r="133" spans="5:14" x14ac:dyDescent="0.25">
      <c r="E133" s="83">
        <v>201609</v>
      </c>
      <c r="F133" s="82" t="s">
        <v>413</v>
      </c>
      <c r="G133" s="82" t="s">
        <v>354</v>
      </c>
      <c r="H133" s="82" t="s">
        <v>344</v>
      </c>
      <c r="I133" s="95">
        <v>0</v>
      </c>
      <c r="K133" s="105" t="str">
        <f t="shared" si="13"/>
        <v>0008-1013-0012</v>
      </c>
      <c r="L133" s="105" t="str">
        <f>VLOOKUP(K133,COA!$A$3:$B$337,2,FALSE)</f>
        <v>C76</v>
      </c>
      <c r="M133" s="105" t="str">
        <f t="shared" si="14"/>
        <v>C76</v>
      </c>
      <c r="N133" s="105" t="str">
        <f>VLOOKUP(M133,CAC!$A$2:$B$198,2,FALSE)</f>
        <v>DOILG</v>
      </c>
    </row>
    <row r="134" spans="5:14" x14ac:dyDescent="0.25">
      <c r="E134" s="83">
        <v>201612</v>
      </c>
      <c r="F134" s="82" t="s">
        <v>345</v>
      </c>
      <c r="G134" s="82" t="s">
        <v>351</v>
      </c>
      <c r="H134" s="82" t="s">
        <v>349</v>
      </c>
      <c r="I134" s="95">
        <v>0</v>
      </c>
      <c r="K134" s="105" t="str">
        <f t="shared" si="13"/>
        <v>0011-0000-0017</v>
      </c>
      <c r="L134" s="105" t="e">
        <f>VLOOKUP(K134,COA!$A$3:$B$337,2,FALSE)</f>
        <v>#N/A</v>
      </c>
      <c r="M134" s="105" t="str">
        <f t="shared" si="14"/>
        <v>XXX</v>
      </c>
      <c r="N134" s="105" t="str">
        <f>VLOOKUP(M134,CAC!$A$2:$B$198,2,FALSE)</f>
        <v>XXX</v>
      </c>
    </row>
    <row r="135" spans="5:14" x14ac:dyDescent="0.25">
      <c r="E135" s="83">
        <v>201712</v>
      </c>
      <c r="F135" s="82" t="s">
        <v>345</v>
      </c>
      <c r="G135" s="82" t="s">
        <v>348</v>
      </c>
      <c r="H135" s="82" t="s">
        <v>349</v>
      </c>
      <c r="I135" s="95">
        <v>33015.25</v>
      </c>
      <c r="K135" s="105" t="str">
        <f t="shared" si="13"/>
        <v>0011-1010-0017</v>
      </c>
      <c r="L135" s="105" t="str">
        <f>VLOOKUP(K135,COA!$A$3:$B$337,2,FALSE)</f>
        <v>S11</v>
      </c>
      <c r="M135" s="105" t="str">
        <f t="shared" si="14"/>
        <v>S11</v>
      </c>
      <c r="N135" s="105" t="str">
        <f>VLOOKUP(M135,CAC!$A$2:$B$198,2,FALSE)</f>
        <v>HMOSG</v>
      </c>
    </row>
    <row r="136" spans="5:14" x14ac:dyDescent="0.25">
      <c r="E136" s="83">
        <v>201611</v>
      </c>
      <c r="F136" s="82" t="s">
        <v>506</v>
      </c>
      <c r="G136" s="82" t="s">
        <v>352</v>
      </c>
      <c r="H136" s="82" t="s">
        <v>592</v>
      </c>
      <c r="I136" s="95">
        <v>0</v>
      </c>
      <c r="K136" s="105" t="str">
        <f t="shared" si="13"/>
        <v>0013-1004-0035</v>
      </c>
      <c r="L136" s="105" t="str">
        <f>VLOOKUP(K136,COA!$A$3:$B$337,2,FALSE)</f>
        <v>L41</v>
      </c>
      <c r="M136" s="105" t="str">
        <f t="shared" si="14"/>
        <v>L41</v>
      </c>
      <c r="N136" s="105" t="e">
        <f>VLOOKUP(M136,CAC!$A$2:$B$198,2,FALSE)</f>
        <v>#N/A</v>
      </c>
    </row>
    <row r="137" spans="5:14" x14ac:dyDescent="0.25">
      <c r="E137" s="83">
        <v>201511</v>
      </c>
      <c r="F137" s="82" t="s">
        <v>549</v>
      </c>
      <c r="G137" s="82" t="s">
        <v>352</v>
      </c>
      <c r="H137" s="82" t="s">
        <v>672</v>
      </c>
      <c r="I137" s="95">
        <v>0</v>
      </c>
      <c r="K137" s="105" t="str">
        <f t="shared" si="13"/>
        <v>0026-1004-0058</v>
      </c>
      <c r="L137" s="105" t="str">
        <f>VLOOKUP(K137,COA!$A$3:$B$337,2,FALSE)</f>
        <v>L44</v>
      </c>
      <c r="M137" s="105" t="str">
        <f t="shared" si="14"/>
        <v>L44</v>
      </c>
      <c r="N137" s="105" t="e">
        <f>VLOOKUP(M137,CAC!$A$2:$B$198,2,FALSE)</f>
        <v>#N/A</v>
      </c>
    </row>
    <row r="138" spans="5:14" x14ac:dyDescent="0.25">
      <c r="E138" s="83">
        <v>201610</v>
      </c>
      <c r="F138" s="82" t="s">
        <v>405</v>
      </c>
      <c r="G138" s="82" t="s">
        <v>362</v>
      </c>
      <c r="H138" s="82" t="s">
        <v>342</v>
      </c>
      <c r="I138" s="95">
        <v>0</v>
      </c>
      <c r="K138" s="105" t="str">
        <f t="shared" si="13"/>
        <v>0019-1008-0031</v>
      </c>
      <c r="L138" s="105" t="str">
        <f>VLOOKUP(K138,COA!$A$3:$B$337,2,FALSE)</f>
        <v>P53</v>
      </c>
      <c r="M138" s="105" t="str">
        <f t="shared" si="14"/>
        <v>P53</v>
      </c>
      <c r="N138" s="105" t="str">
        <f>VLOOKUP(M138,CAC!$A$2:$B$198,2,FALSE)</f>
        <v>HMOPERA</v>
      </c>
    </row>
    <row r="139" spans="5:14" x14ac:dyDescent="0.25">
      <c r="E139" s="83">
        <v>201607</v>
      </c>
      <c r="F139" s="82" t="s">
        <v>345</v>
      </c>
      <c r="G139" s="82" t="s">
        <v>351</v>
      </c>
      <c r="H139" s="82" t="s">
        <v>353</v>
      </c>
      <c r="I139" s="95">
        <v>0</v>
      </c>
      <c r="K139" s="105" t="str">
        <f t="shared" si="13"/>
        <v>0011-0000-0023</v>
      </c>
      <c r="L139" s="105" t="e">
        <f>VLOOKUP(K139,COA!$A$3:$B$337,2,FALSE)</f>
        <v>#N/A</v>
      </c>
      <c r="M139" s="105" t="str">
        <f t="shared" si="14"/>
        <v>XXX</v>
      </c>
      <c r="N139" s="105" t="str">
        <f>VLOOKUP(M139,CAC!$A$2:$B$198,2,FALSE)</f>
        <v>XXX</v>
      </c>
    </row>
    <row r="140" spans="5:14" x14ac:dyDescent="0.25">
      <c r="E140" s="83">
        <v>201710</v>
      </c>
      <c r="F140" s="82" t="s">
        <v>345</v>
      </c>
      <c r="G140" s="82" t="s">
        <v>362</v>
      </c>
      <c r="H140" s="82" t="s">
        <v>364</v>
      </c>
      <c r="I140" s="95">
        <v>46790.07</v>
      </c>
      <c r="K140" s="105" t="str">
        <f t="shared" si="13"/>
        <v>0011-1008-0037</v>
      </c>
      <c r="L140" s="105" t="str">
        <f>VLOOKUP(K140,COA!$A$3:$B$337,2,FALSE)</f>
        <v>P12</v>
      </c>
      <c r="M140" s="105" t="str">
        <f t="shared" si="14"/>
        <v>P12</v>
      </c>
      <c r="N140" s="105" t="str">
        <f>VLOOKUP(M140,CAC!$A$2:$B$198,2,FALSE)</f>
        <v>HMOPERA</v>
      </c>
    </row>
    <row r="141" spans="5:14" x14ac:dyDescent="0.25">
      <c r="E141" s="83">
        <v>201704</v>
      </c>
      <c r="F141" s="82" t="s">
        <v>345</v>
      </c>
      <c r="G141" s="82" t="s">
        <v>354</v>
      </c>
      <c r="H141" s="82" t="s">
        <v>344</v>
      </c>
      <c r="I141" s="95">
        <v>5646.07</v>
      </c>
      <c r="K141" s="105" t="str">
        <f t="shared" si="13"/>
        <v>0011-1013-0012</v>
      </c>
      <c r="L141" s="105" t="str">
        <f>VLOOKUP(K141,COA!$A$3:$B$337,2,FALSE)</f>
        <v>N20</v>
      </c>
      <c r="M141" s="105" t="str">
        <f t="shared" si="14"/>
        <v>N20</v>
      </c>
      <c r="N141" s="105" t="str">
        <f>VLOOKUP(M141,CAC!$A$2:$B$198,2,FALSE)</f>
        <v>HMOPMR</v>
      </c>
    </row>
    <row r="142" spans="5:14" x14ac:dyDescent="0.25">
      <c r="E142" s="83">
        <v>201512</v>
      </c>
      <c r="F142" s="82" t="s">
        <v>563</v>
      </c>
      <c r="G142" s="82" t="s">
        <v>352</v>
      </c>
      <c r="H142" s="82" t="s">
        <v>344</v>
      </c>
      <c r="I142" s="95">
        <v>0</v>
      </c>
      <c r="K142" s="105" t="str">
        <f t="shared" si="13"/>
        <v>0003-1004-0012</v>
      </c>
      <c r="L142" s="105" t="str">
        <f>VLOOKUP(K142,COA!$A$3:$B$337,2,FALSE)</f>
        <v>L51</v>
      </c>
      <c r="M142" s="105" t="str">
        <f t="shared" si="14"/>
        <v>L51</v>
      </c>
      <c r="N142" s="105" t="str">
        <f>VLOOKUP(M142,CAC!$A$2:$B$198,2,FALSE)</f>
        <v>PPOLG</v>
      </c>
    </row>
    <row r="143" spans="5:14" x14ac:dyDescent="0.25">
      <c r="E143" s="83">
        <v>201504</v>
      </c>
      <c r="F143" s="82" t="s">
        <v>345</v>
      </c>
      <c r="G143" s="82" t="s">
        <v>355</v>
      </c>
      <c r="H143" s="82" t="s">
        <v>344</v>
      </c>
      <c r="I143" s="95">
        <v>23572.84</v>
      </c>
      <c r="K143" s="105" t="str">
        <f t="shared" si="13"/>
        <v>0011-1006-0012</v>
      </c>
      <c r="L143" s="105" t="str">
        <f>VLOOKUP(K143,COA!$A$3:$B$337,2,FALSE)</f>
        <v>L13</v>
      </c>
      <c r="M143" s="105" t="str">
        <f t="shared" si="14"/>
        <v>L13</v>
      </c>
      <c r="N143" s="105" t="str">
        <f>VLOOKUP(M143,CAC!$A$2:$B$198,2,FALSE)</f>
        <v>HMOLG</v>
      </c>
    </row>
    <row r="144" spans="5:14" x14ac:dyDescent="0.25">
      <c r="E144" s="83">
        <v>201608</v>
      </c>
      <c r="F144" s="82" t="s">
        <v>413</v>
      </c>
      <c r="G144" s="82" t="s">
        <v>355</v>
      </c>
      <c r="H144" s="82" t="s">
        <v>344</v>
      </c>
      <c r="I144" s="95">
        <v>0</v>
      </c>
      <c r="K144" s="105" t="str">
        <f t="shared" si="13"/>
        <v>0008-1006-0012</v>
      </c>
      <c r="L144" s="105" t="str">
        <f>VLOOKUP(K144,COA!$A$3:$B$337,2,FALSE)</f>
        <v>C96</v>
      </c>
      <c r="M144" s="105" t="str">
        <f t="shared" si="14"/>
        <v>C96</v>
      </c>
      <c r="N144" s="105" t="str">
        <f>VLOOKUP(M144,CAC!$A$2:$B$198,2,FALSE)</f>
        <v>DOILG</v>
      </c>
    </row>
    <row r="145" spans="5:14" x14ac:dyDescent="0.25">
      <c r="E145" s="83">
        <v>201508</v>
      </c>
      <c r="F145" s="82" t="s">
        <v>345</v>
      </c>
      <c r="G145" s="82" t="s">
        <v>351</v>
      </c>
      <c r="H145" s="82" t="s">
        <v>353</v>
      </c>
      <c r="I145" s="95">
        <v>1</v>
      </c>
      <c r="K145" s="105" t="str">
        <f t="shared" si="13"/>
        <v>0011-0000-0023</v>
      </c>
      <c r="L145" s="105" t="e">
        <f>VLOOKUP(K145,COA!$A$3:$B$337,2,FALSE)</f>
        <v>#N/A</v>
      </c>
      <c r="M145" s="105" t="str">
        <f t="shared" si="14"/>
        <v>XXX</v>
      </c>
      <c r="N145" s="105" t="str">
        <f>VLOOKUP(M145,CAC!$A$2:$B$198,2,FALSE)</f>
        <v>XXX</v>
      </c>
    </row>
    <row r="146" spans="5:14" x14ac:dyDescent="0.25">
      <c r="E146" s="83">
        <v>201605</v>
      </c>
      <c r="F146" s="82" t="s">
        <v>349</v>
      </c>
      <c r="G146" s="82" t="s">
        <v>369</v>
      </c>
      <c r="H146" s="82" t="s">
        <v>764</v>
      </c>
      <c r="I146" s="95">
        <v>3</v>
      </c>
      <c r="K146" s="105" t="str">
        <f t="shared" si="13"/>
        <v>0017-1009-0064</v>
      </c>
      <c r="L146" s="105" t="str">
        <f>VLOOKUP(K146,COA!$A$3:$B$337,2,FALSE)</f>
        <v>R15</v>
      </c>
      <c r="M146" s="105" t="str">
        <f t="shared" si="14"/>
        <v>R15</v>
      </c>
      <c r="N146" s="105" t="str">
        <f>VLOOKUP(M146,CAC!$A$2:$B$198,2,FALSE)</f>
        <v>HMOMM</v>
      </c>
    </row>
    <row r="147" spans="5:14" x14ac:dyDescent="0.25">
      <c r="E147" s="83">
        <v>201510</v>
      </c>
      <c r="F147" s="82" t="s">
        <v>344</v>
      </c>
      <c r="G147" s="82" t="s">
        <v>352</v>
      </c>
      <c r="H147" s="82" t="s">
        <v>344</v>
      </c>
      <c r="I147" s="95">
        <v>450</v>
      </c>
      <c r="K147" s="105" t="str">
        <f t="shared" si="13"/>
        <v>0012-1004-0012</v>
      </c>
      <c r="L147" s="105" t="str">
        <f>VLOOKUP(K147,COA!$A$3:$B$337,2,FALSE)</f>
        <v>L12</v>
      </c>
      <c r="M147" s="105" t="str">
        <f t="shared" si="14"/>
        <v>L12</v>
      </c>
      <c r="N147" s="105" t="str">
        <f>VLOOKUP(M147,CAC!$A$2:$B$198,2,FALSE)</f>
        <v>HMOLG</v>
      </c>
    </row>
    <row r="148" spans="5:14" x14ac:dyDescent="0.25">
      <c r="E148" s="83">
        <v>201703</v>
      </c>
      <c r="F148" s="82" t="s">
        <v>563</v>
      </c>
      <c r="G148" s="82" t="s">
        <v>348</v>
      </c>
      <c r="H148" s="82" t="s">
        <v>353</v>
      </c>
      <c r="I148" s="95">
        <v>0</v>
      </c>
      <c r="K148" s="105" t="str">
        <f t="shared" si="13"/>
        <v>0003-1010-0023</v>
      </c>
      <c r="L148" s="105" t="str">
        <f>VLOOKUP(K148,COA!$A$3:$B$337,2,FALSE)</f>
        <v>S54</v>
      </c>
      <c r="M148" s="105" t="str">
        <f t="shared" si="14"/>
        <v>S54</v>
      </c>
      <c r="N148" s="105" t="str">
        <f>VLOOKUP(M148,CAC!$A$2:$B$198,2,FALSE)</f>
        <v>PPOSG</v>
      </c>
    </row>
    <row r="149" spans="5:14" x14ac:dyDescent="0.25">
      <c r="E149" s="83">
        <v>201511</v>
      </c>
      <c r="F149" s="82" t="s">
        <v>746</v>
      </c>
      <c r="G149" s="82" t="s">
        <v>355</v>
      </c>
      <c r="H149" s="82" t="s">
        <v>344</v>
      </c>
      <c r="I149" s="95">
        <v>1</v>
      </c>
      <c r="K149" s="105" t="str">
        <f t="shared" si="13"/>
        <v>0016-1006-0012</v>
      </c>
      <c r="L149" s="105" t="str">
        <f>VLOOKUP(K149,COA!$A$3:$B$337,2,FALSE)</f>
        <v>R21</v>
      </c>
      <c r="M149" s="105" t="str">
        <f t="shared" si="14"/>
        <v>R21</v>
      </c>
      <c r="N149" s="105" t="str">
        <f>VLOOKUP(M149,CAC!$A$2:$B$198,2,FALSE)</f>
        <v>HMOMG</v>
      </c>
    </row>
    <row r="150" spans="5:14" x14ac:dyDescent="0.25">
      <c r="E150" s="83">
        <v>201601</v>
      </c>
      <c r="F150" s="82" t="s">
        <v>344</v>
      </c>
      <c r="G150" s="82" t="s">
        <v>355</v>
      </c>
      <c r="H150" s="82" t="s">
        <v>344</v>
      </c>
      <c r="I150" s="95">
        <v>121</v>
      </c>
      <c r="K150" s="105" t="str">
        <f t="shared" si="13"/>
        <v>0012-1006-0012</v>
      </c>
      <c r="L150" s="105" t="str">
        <f>VLOOKUP(K150,COA!$A$3:$B$337,2,FALSE)</f>
        <v>L16</v>
      </c>
      <c r="M150" s="105" t="str">
        <f t="shared" si="14"/>
        <v>L16</v>
      </c>
      <c r="N150" s="105" t="str">
        <f>VLOOKUP(M150,CAC!$A$2:$B$198,2,FALSE)</f>
        <v>HMOLG</v>
      </c>
    </row>
    <row r="151" spans="5:14" x14ac:dyDescent="0.25">
      <c r="E151" s="83">
        <v>201612</v>
      </c>
      <c r="F151" s="82" t="s">
        <v>549</v>
      </c>
      <c r="G151" s="82" t="s">
        <v>352</v>
      </c>
      <c r="H151" s="82" t="s">
        <v>672</v>
      </c>
      <c r="I151" s="95">
        <v>0</v>
      </c>
      <c r="K151" s="105" t="str">
        <f t="shared" si="13"/>
        <v>0026-1004-0058</v>
      </c>
      <c r="L151" s="105" t="str">
        <f>VLOOKUP(K151,COA!$A$3:$B$337,2,FALSE)</f>
        <v>L44</v>
      </c>
      <c r="M151" s="105" t="str">
        <f t="shared" si="14"/>
        <v>L44</v>
      </c>
      <c r="N151" s="105" t="e">
        <f>VLOOKUP(M151,CAC!$A$2:$B$198,2,FALSE)</f>
        <v>#N/A</v>
      </c>
    </row>
    <row r="152" spans="5:14" x14ac:dyDescent="0.25">
      <c r="E152" s="83">
        <v>201712</v>
      </c>
      <c r="F152" s="82" t="s">
        <v>345</v>
      </c>
      <c r="G152" s="82" t="s">
        <v>352</v>
      </c>
      <c r="H152" s="82" t="s">
        <v>653</v>
      </c>
      <c r="I152" s="95">
        <v>0</v>
      </c>
      <c r="K152" s="105" t="str">
        <f t="shared" si="13"/>
        <v>0011-1004-0047</v>
      </c>
      <c r="L152" s="105" t="str">
        <f>VLOOKUP(K152,COA!$A$3:$B$337,2,FALSE)</f>
        <v>L17</v>
      </c>
      <c r="M152" s="105" t="str">
        <f t="shared" si="14"/>
        <v>L17</v>
      </c>
      <c r="N152" s="105" t="str">
        <f>VLOOKUP(M152,CAC!$A$2:$B$198,2,FALSE)</f>
        <v>HMOLG</v>
      </c>
    </row>
    <row r="153" spans="5:14" x14ac:dyDescent="0.25">
      <c r="E153" s="83">
        <v>201704</v>
      </c>
      <c r="F153" s="82" t="s">
        <v>345</v>
      </c>
      <c r="G153" s="82" t="s">
        <v>352</v>
      </c>
      <c r="H153" s="82" t="s">
        <v>344</v>
      </c>
      <c r="I153" s="95">
        <v>9111.6</v>
      </c>
      <c r="K153" s="105" t="str">
        <f t="shared" si="13"/>
        <v>0011-1004-0012</v>
      </c>
      <c r="L153" s="105" t="str">
        <f>VLOOKUP(K153,COA!$A$3:$B$337,2,FALSE)</f>
        <v>L11</v>
      </c>
      <c r="M153" s="105" t="str">
        <f t="shared" si="14"/>
        <v>L11</v>
      </c>
      <c r="N153" s="105" t="str">
        <f>VLOOKUP(M153,CAC!$A$2:$B$198,2,FALSE)</f>
        <v>HMOLG</v>
      </c>
    </row>
    <row r="154" spans="5:14" x14ac:dyDescent="0.25">
      <c r="E154" s="83">
        <v>201609</v>
      </c>
      <c r="F154" s="82" t="s">
        <v>349</v>
      </c>
      <c r="G154" s="82" t="s">
        <v>369</v>
      </c>
      <c r="H154" s="82" t="s">
        <v>764</v>
      </c>
      <c r="I154" s="95">
        <v>3</v>
      </c>
      <c r="K154" s="105" t="str">
        <f t="shared" si="13"/>
        <v>0017-1009-0064</v>
      </c>
      <c r="L154" s="105" t="str">
        <f>VLOOKUP(K154,COA!$A$3:$B$337,2,FALSE)</f>
        <v>R15</v>
      </c>
      <c r="M154" s="105" t="str">
        <f t="shared" si="14"/>
        <v>R15</v>
      </c>
      <c r="N154" s="105" t="str">
        <f>VLOOKUP(M154,CAC!$A$2:$B$198,2,FALSE)</f>
        <v>HMOMM</v>
      </c>
    </row>
    <row r="155" spans="5:14" x14ac:dyDescent="0.25">
      <c r="E155" s="83">
        <v>201706</v>
      </c>
      <c r="F155" s="82" t="s">
        <v>563</v>
      </c>
      <c r="G155" s="82" t="s">
        <v>369</v>
      </c>
      <c r="H155" s="82" t="s">
        <v>353</v>
      </c>
      <c r="I155" s="95">
        <v>0</v>
      </c>
      <c r="K155" s="105" t="str">
        <f t="shared" si="13"/>
        <v>0003-1009-0023</v>
      </c>
      <c r="L155" s="105" t="e">
        <f>VLOOKUP(K155,COA!$A$3:$B$337,2,FALSE)</f>
        <v>#N/A</v>
      </c>
      <c r="M155" s="105" t="str">
        <f t="shared" si="14"/>
        <v>XXX</v>
      </c>
      <c r="N155" s="105" t="str">
        <f>VLOOKUP(M155,CAC!$A$2:$B$198,2,FALSE)</f>
        <v>XXX</v>
      </c>
    </row>
    <row r="156" spans="5:14" x14ac:dyDescent="0.25">
      <c r="E156" s="83">
        <v>201801</v>
      </c>
      <c r="F156" s="82" t="s">
        <v>506</v>
      </c>
      <c r="G156" s="82" t="s">
        <v>359</v>
      </c>
      <c r="H156" s="82" t="s">
        <v>592</v>
      </c>
      <c r="I156" s="95">
        <v>0</v>
      </c>
      <c r="K156" s="105" t="str">
        <f t="shared" si="13"/>
        <v>0013-1005-0035</v>
      </c>
      <c r="L156" s="105" t="str">
        <f>VLOOKUP(K156,COA!$A$3:$B$337,2,FALSE)</f>
        <v>N41</v>
      </c>
      <c r="M156" s="105" t="str">
        <f t="shared" si="14"/>
        <v>N41</v>
      </c>
      <c r="N156" s="105" t="e">
        <f>VLOOKUP(M156,CAC!$A$2:$B$198,2,FALSE)</f>
        <v>#N/A</v>
      </c>
    </row>
    <row r="157" spans="5:14" x14ac:dyDescent="0.25">
      <c r="E157" s="83">
        <v>201710</v>
      </c>
      <c r="F157" s="82" t="s">
        <v>405</v>
      </c>
      <c r="G157" s="82" t="s">
        <v>362</v>
      </c>
      <c r="H157" s="82" t="s">
        <v>342</v>
      </c>
      <c r="I157" s="95">
        <v>0</v>
      </c>
      <c r="K157" s="105" t="str">
        <f t="shared" si="13"/>
        <v>0019-1008-0031</v>
      </c>
      <c r="L157" s="105" t="str">
        <f>VLOOKUP(K157,COA!$A$3:$B$337,2,FALSE)</f>
        <v>P53</v>
      </c>
      <c r="M157" s="105" t="str">
        <f t="shared" si="14"/>
        <v>P53</v>
      </c>
      <c r="N157" s="105" t="str">
        <f>VLOOKUP(M157,CAC!$A$2:$B$198,2,FALSE)</f>
        <v>HMOPERA</v>
      </c>
    </row>
    <row r="158" spans="5:14" x14ac:dyDescent="0.25">
      <c r="E158" s="83">
        <v>201603</v>
      </c>
      <c r="F158" s="82" t="s">
        <v>563</v>
      </c>
      <c r="G158" s="82" t="s">
        <v>350</v>
      </c>
      <c r="H158" s="82" t="s">
        <v>626</v>
      </c>
      <c r="I158" s="95">
        <v>0</v>
      </c>
      <c r="K158" s="105" t="str">
        <f t="shared" si="13"/>
        <v>0003-1012-0057</v>
      </c>
      <c r="L158" s="105" t="str">
        <f>VLOOKUP(K158,COA!$A$3:$B$337,2,FALSE)</f>
        <v>K51</v>
      </c>
      <c r="M158" s="105" t="str">
        <f t="shared" si="14"/>
        <v>K51</v>
      </c>
      <c r="N158" s="105" t="str">
        <f>VLOOKUP(M158,CAC!$A$2:$B$198,2,FALSE)</f>
        <v>PPOPMR</v>
      </c>
    </row>
    <row r="159" spans="5:14" x14ac:dyDescent="0.25">
      <c r="E159" s="83">
        <v>201710</v>
      </c>
      <c r="F159" s="82" t="s">
        <v>746</v>
      </c>
      <c r="G159" s="82" t="s">
        <v>350</v>
      </c>
      <c r="H159" s="82" t="s">
        <v>764</v>
      </c>
      <c r="I159" s="95">
        <v>23</v>
      </c>
      <c r="K159" s="105" t="str">
        <f t="shared" si="13"/>
        <v>0016-1012-0064</v>
      </c>
      <c r="L159" s="105" t="str">
        <f>VLOOKUP(K159,COA!$A$3:$B$337,2,FALSE)</f>
        <v>R25</v>
      </c>
      <c r="M159" s="105" t="str">
        <f t="shared" si="14"/>
        <v>R25</v>
      </c>
      <c r="N159" s="105" t="str">
        <f>VLOOKUP(M159,CAC!$A$2:$B$198,2,FALSE)</f>
        <v>HMOMG</v>
      </c>
    </row>
    <row r="160" spans="5:14" x14ac:dyDescent="0.25">
      <c r="E160" s="83">
        <v>201711</v>
      </c>
      <c r="F160" s="82" t="s">
        <v>345</v>
      </c>
      <c r="G160" s="82" t="s">
        <v>356</v>
      </c>
      <c r="H160" s="82" t="s">
        <v>344</v>
      </c>
      <c r="I160" s="95">
        <v>16134.87</v>
      </c>
      <c r="K160" s="105" t="str">
        <f t="shared" si="13"/>
        <v>0011-1002-0012</v>
      </c>
      <c r="L160" s="105" t="str">
        <f>VLOOKUP(K160,COA!$A$3:$B$337,2,FALSE)</f>
        <v>F20</v>
      </c>
      <c r="M160" s="105" t="str">
        <f t="shared" si="14"/>
        <v>F20</v>
      </c>
      <c r="N160" s="105" t="str">
        <f>VLOOKUP(M160,CAC!$A$2:$B$198,2,FALSE)</f>
        <v>HMOPMR</v>
      </c>
    </row>
    <row r="161" spans="5:14" x14ac:dyDescent="0.25">
      <c r="E161" s="83">
        <v>201610</v>
      </c>
      <c r="F161" s="82" t="s">
        <v>345</v>
      </c>
      <c r="G161" s="82" t="s">
        <v>348</v>
      </c>
      <c r="H161" s="82" t="s">
        <v>353</v>
      </c>
      <c r="I161" s="95">
        <v>330</v>
      </c>
      <c r="K161" s="105" t="str">
        <f t="shared" si="13"/>
        <v>0011-1010-0023</v>
      </c>
      <c r="L161" s="105" t="str">
        <f>VLOOKUP(K161,COA!$A$3:$B$337,2,FALSE)</f>
        <v>S13</v>
      </c>
      <c r="M161" s="105" t="str">
        <f t="shared" si="14"/>
        <v>S13</v>
      </c>
      <c r="N161" s="105" t="str">
        <f>VLOOKUP(M161,CAC!$A$2:$B$198,2,FALSE)</f>
        <v>HMOSG</v>
      </c>
    </row>
    <row r="162" spans="5:14" x14ac:dyDescent="0.25">
      <c r="E162" s="83">
        <v>201611</v>
      </c>
      <c r="F162" s="82" t="s">
        <v>345</v>
      </c>
      <c r="G162" s="82" t="s">
        <v>346</v>
      </c>
      <c r="H162" s="82" t="s">
        <v>344</v>
      </c>
      <c r="I162" s="95">
        <v>0</v>
      </c>
      <c r="K162" s="105" t="str">
        <f t="shared" si="13"/>
        <v>0011-1014-0012</v>
      </c>
      <c r="L162" s="105" t="e">
        <f>VLOOKUP(K162,COA!$A$3:$B$337,2,FALSE)</f>
        <v>#N/A</v>
      </c>
      <c r="M162" s="105" t="str">
        <f t="shared" si="14"/>
        <v>XXX</v>
      </c>
      <c r="N162" s="105" t="str">
        <f>VLOOKUP(M162,CAC!$A$2:$B$198,2,FALSE)</f>
        <v>XXX</v>
      </c>
    </row>
    <row r="163" spans="5:14" x14ac:dyDescent="0.25">
      <c r="E163" s="83">
        <v>201712</v>
      </c>
      <c r="F163" s="82" t="s">
        <v>345</v>
      </c>
      <c r="G163" s="82" t="s">
        <v>362</v>
      </c>
      <c r="H163" s="82" t="s">
        <v>364</v>
      </c>
      <c r="I163" s="95">
        <v>46139.87</v>
      </c>
      <c r="K163" s="105" t="str">
        <f t="shared" si="13"/>
        <v>0011-1008-0037</v>
      </c>
      <c r="L163" s="105" t="str">
        <f>VLOOKUP(K163,COA!$A$3:$B$337,2,FALSE)</f>
        <v>P12</v>
      </c>
      <c r="M163" s="105" t="str">
        <f t="shared" si="14"/>
        <v>P12</v>
      </c>
      <c r="N163" s="105" t="str">
        <f>VLOOKUP(M163,CAC!$A$2:$B$198,2,FALSE)</f>
        <v>HMOPERA</v>
      </c>
    </row>
    <row r="164" spans="5:14" x14ac:dyDescent="0.25">
      <c r="E164" s="83">
        <v>201511</v>
      </c>
      <c r="F164" s="82" t="s">
        <v>345</v>
      </c>
      <c r="G164" s="82" t="s">
        <v>350</v>
      </c>
      <c r="H164" s="82" t="s">
        <v>360</v>
      </c>
      <c r="I164" s="95">
        <v>5900</v>
      </c>
      <c r="K164" s="105" t="str">
        <f t="shared" si="13"/>
        <v>0011-1012-0048</v>
      </c>
      <c r="L164" s="105" t="str">
        <f>VLOOKUP(K164,COA!$A$3:$B$337,2,FALSE)</f>
        <v>K21</v>
      </c>
      <c r="M164" s="105" t="str">
        <f t="shared" si="14"/>
        <v>K21</v>
      </c>
      <c r="N164" s="105" t="str">
        <f>VLOOKUP(M164,CAC!$A$2:$B$198,2,FALSE)</f>
        <v>HMFLEX</v>
      </c>
    </row>
    <row r="165" spans="5:14" x14ac:dyDescent="0.25">
      <c r="E165" s="83">
        <v>201702</v>
      </c>
      <c r="F165" s="82" t="s">
        <v>344</v>
      </c>
      <c r="G165" s="82" t="s">
        <v>350</v>
      </c>
      <c r="H165" s="82" t="s">
        <v>344</v>
      </c>
      <c r="I165" s="95">
        <v>36</v>
      </c>
      <c r="K165" s="105" t="str">
        <f t="shared" si="13"/>
        <v>0012-1012-0012</v>
      </c>
      <c r="L165" s="105" t="str">
        <f>VLOOKUP(K165,COA!$A$3:$B$337,2,FALSE)</f>
        <v>K12</v>
      </c>
      <c r="M165" s="105" t="str">
        <f t="shared" si="14"/>
        <v>K12</v>
      </c>
      <c r="N165" s="105" t="str">
        <f>VLOOKUP(M165,CAC!$A$2:$B$198,2,FALSE)</f>
        <v>HMOPMR</v>
      </c>
    </row>
    <row r="166" spans="5:14" x14ac:dyDescent="0.25">
      <c r="E166" s="83">
        <v>201602</v>
      </c>
      <c r="F166" s="82" t="s">
        <v>746</v>
      </c>
      <c r="G166" s="82" t="s">
        <v>355</v>
      </c>
      <c r="H166" s="82" t="s">
        <v>344</v>
      </c>
      <c r="I166" s="95">
        <v>0</v>
      </c>
      <c r="K166" s="105" t="str">
        <f t="shared" si="13"/>
        <v>0016-1006-0012</v>
      </c>
      <c r="L166" s="105" t="str">
        <f>VLOOKUP(K166,COA!$A$3:$B$337,2,FALSE)</f>
        <v>R21</v>
      </c>
      <c r="M166" s="105" t="str">
        <f t="shared" si="14"/>
        <v>R21</v>
      </c>
      <c r="N166" s="105" t="str">
        <f>VLOOKUP(M166,CAC!$A$2:$B$198,2,FALSE)</f>
        <v>HMOMG</v>
      </c>
    </row>
    <row r="167" spans="5:14" x14ac:dyDescent="0.25">
      <c r="E167" s="83">
        <v>201510</v>
      </c>
      <c r="F167" s="82" t="s">
        <v>345</v>
      </c>
      <c r="G167" s="82" t="s">
        <v>362</v>
      </c>
      <c r="H167" s="82" t="s">
        <v>370</v>
      </c>
      <c r="I167" s="95">
        <v>2327</v>
      </c>
      <c r="K167" s="105" t="str">
        <f t="shared" si="13"/>
        <v>0011-1008-0055</v>
      </c>
      <c r="L167" s="105" t="str">
        <f>VLOOKUP(K167,COA!$A$3:$B$337,2,FALSE)</f>
        <v>P28</v>
      </c>
      <c r="M167" s="105" t="str">
        <f t="shared" si="14"/>
        <v>P28</v>
      </c>
      <c r="N167" s="105" t="str">
        <f>VLOOKUP(M167,CAC!$A$2:$B$198,2,FALSE)</f>
        <v>PERMEDN</v>
      </c>
    </row>
    <row r="168" spans="5:14" x14ac:dyDescent="0.25">
      <c r="E168" s="83">
        <v>201609</v>
      </c>
      <c r="F168" s="82" t="s">
        <v>563</v>
      </c>
      <c r="G168" s="82" t="s">
        <v>369</v>
      </c>
      <c r="H168" s="82" t="s">
        <v>345</v>
      </c>
      <c r="I168" s="95">
        <v>0</v>
      </c>
      <c r="K168" s="105" t="str">
        <f t="shared" si="13"/>
        <v>0003-1009-0011</v>
      </c>
      <c r="L168" s="105" t="str">
        <f>VLOOKUP(K168,COA!$A$3:$B$337,2,FALSE)</f>
        <v>V91</v>
      </c>
      <c r="M168" s="105" t="str">
        <f t="shared" si="14"/>
        <v>V91</v>
      </c>
      <c r="N168" s="105" t="str">
        <f>VLOOKUP(M168,CAC!$A$2:$B$198,2,FALSE)</f>
        <v>PPOMM</v>
      </c>
    </row>
    <row r="169" spans="5:14" x14ac:dyDescent="0.25">
      <c r="E169" s="83">
        <v>201701</v>
      </c>
      <c r="F169" s="82" t="s">
        <v>345</v>
      </c>
      <c r="G169" s="82" t="s">
        <v>348</v>
      </c>
      <c r="H169" s="82" t="s">
        <v>353</v>
      </c>
      <c r="I169" s="95">
        <v>300</v>
      </c>
      <c r="K169" s="105" t="str">
        <f t="shared" si="13"/>
        <v>0011-1010-0023</v>
      </c>
      <c r="L169" s="105" t="str">
        <f>VLOOKUP(K169,COA!$A$3:$B$337,2,FALSE)</f>
        <v>S13</v>
      </c>
      <c r="M169" s="105" t="str">
        <f t="shared" si="14"/>
        <v>S13</v>
      </c>
      <c r="N169" s="105" t="str">
        <f>VLOOKUP(M169,CAC!$A$2:$B$198,2,FALSE)</f>
        <v>HMOSG</v>
      </c>
    </row>
    <row r="170" spans="5:14" x14ac:dyDescent="0.25">
      <c r="E170" s="83">
        <v>201711</v>
      </c>
      <c r="F170" s="82" t="s">
        <v>345</v>
      </c>
      <c r="G170" s="82" t="s">
        <v>352</v>
      </c>
      <c r="H170" s="82" t="s">
        <v>653</v>
      </c>
      <c r="I170" s="95">
        <v>0</v>
      </c>
      <c r="K170" s="105" t="str">
        <f t="shared" si="13"/>
        <v>0011-1004-0047</v>
      </c>
      <c r="L170" s="105" t="str">
        <f>VLOOKUP(K170,COA!$A$3:$B$337,2,FALSE)</f>
        <v>L17</v>
      </c>
      <c r="M170" s="105" t="str">
        <f t="shared" si="14"/>
        <v>L17</v>
      </c>
      <c r="N170" s="105" t="str">
        <f>VLOOKUP(M170,CAC!$A$2:$B$198,2,FALSE)</f>
        <v>HMOLG</v>
      </c>
    </row>
    <row r="171" spans="5:14" x14ac:dyDescent="0.25">
      <c r="E171" s="83">
        <v>201704</v>
      </c>
      <c r="F171" s="82" t="s">
        <v>344</v>
      </c>
      <c r="G171" s="82" t="s">
        <v>350</v>
      </c>
      <c r="H171" s="82" t="s">
        <v>344</v>
      </c>
      <c r="I171" s="95">
        <v>29</v>
      </c>
      <c r="K171" s="105" t="str">
        <f t="shared" si="13"/>
        <v>0012-1012-0012</v>
      </c>
      <c r="L171" s="105" t="str">
        <f>VLOOKUP(K171,COA!$A$3:$B$337,2,FALSE)</f>
        <v>K12</v>
      </c>
      <c r="M171" s="105" t="str">
        <f t="shared" si="14"/>
        <v>K12</v>
      </c>
      <c r="N171" s="105" t="str">
        <f>VLOOKUP(M171,CAC!$A$2:$B$198,2,FALSE)</f>
        <v>HMOPMR</v>
      </c>
    </row>
    <row r="172" spans="5:14" x14ac:dyDescent="0.25">
      <c r="E172" s="83">
        <v>201601</v>
      </c>
      <c r="F172" s="82" t="s">
        <v>746</v>
      </c>
      <c r="G172" s="82" t="s">
        <v>355</v>
      </c>
      <c r="H172" s="82" t="s">
        <v>344</v>
      </c>
      <c r="I172" s="95">
        <v>0</v>
      </c>
      <c r="K172" s="105" t="str">
        <f t="shared" si="13"/>
        <v>0016-1006-0012</v>
      </c>
      <c r="L172" s="105" t="str">
        <f>VLOOKUP(K172,COA!$A$3:$B$337,2,FALSE)</f>
        <v>R21</v>
      </c>
      <c r="M172" s="105" t="str">
        <f t="shared" si="14"/>
        <v>R21</v>
      </c>
      <c r="N172" s="105" t="str">
        <f>VLOOKUP(M172,CAC!$A$2:$B$198,2,FALSE)</f>
        <v>HMOMG</v>
      </c>
    </row>
    <row r="173" spans="5:14" x14ac:dyDescent="0.25">
      <c r="E173" s="83">
        <v>201705</v>
      </c>
      <c r="F173" s="82" t="s">
        <v>746</v>
      </c>
      <c r="G173" s="82" t="s">
        <v>350</v>
      </c>
      <c r="H173" s="82" t="s">
        <v>764</v>
      </c>
      <c r="I173" s="95">
        <v>18</v>
      </c>
      <c r="K173" s="105" t="str">
        <f t="shared" si="13"/>
        <v>0016-1012-0064</v>
      </c>
      <c r="L173" s="105" t="str">
        <f>VLOOKUP(K173,COA!$A$3:$B$337,2,FALSE)</f>
        <v>R25</v>
      </c>
      <c r="M173" s="105" t="str">
        <f t="shared" si="14"/>
        <v>R25</v>
      </c>
      <c r="N173" s="105" t="str">
        <f>VLOOKUP(M173,CAC!$A$2:$B$198,2,FALSE)</f>
        <v>HMOMG</v>
      </c>
    </row>
    <row r="174" spans="5:14" x14ac:dyDescent="0.25">
      <c r="E174" s="83">
        <v>201504</v>
      </c>
      <c r="F174" s="82" t="s">
        <v>345</v>
      </c>
      <c r="G174" s="82" t="s">
        <v>348</v>
      </c>
      <c r="H174" s="82" t="s">
        <v>349</v>
      </c>
      <c r="I174" s="95">
        <v>17125.78</v>
      </c>
      <c r="K174" s="105" t="str">
        <f t="shared" si="13"/>
        <v>0011-1010-0017</v>
      </c>
      <c r="L174" s="105" t="str">
        <f>VLOOKUP(K174,COA!$A$3:$B$337,2,FALSE)</f>
        <v>S11</v>
      </c>
      <c r="M174" s="105" t="str">
        <f t="shared" si="14"/>
        <v>S11</v>
      </c>
      <c r="N174" s="105" t="str">
        <f>VLOOKUP(M174,CAC!$A$2:$B$198,2,FALSE)</f>
        <v>HMOSG</v>
      </c>
    </row>
    <row r="175" spans="5:14" x14ac:dyDescent="0.25">
      <c r="E175" s="83">
        <v>201612</v>
      </c>
      <c r="F175" s="82" t="s">
        <v>345</v>
      </c>
      <c r="G175" s="82" t="s">
        <v>355</v>
      </c>
      <c r="H175" s="82" t="s">
        <v>344</v>
      </c>
      <c r="I175" s="95">
        <v>17757.63</v>
      </c>
      <c r="K175" s="105" t="str">
        <f t="shared" si="13"/>
        <v>0011-1006-0012</v>
      </c>
      <c r="L175" s="105" t="str">
        <f>VLOOKUP(K175,COA!$A$3:$B$337,2,FALSE)</f>
        <v>L13</v>
      </c>
      <c r="M175" s="105" t="str">
        <f t="shared" si="14"/>
        <v>L13</v>
      </c>
      <c r="N175" s="105" t="str">
        <f>VLOOKUP(M175,CAC!$A$2:$B$198,2,FALSE)</f>
        <v>HMOLG</v>
      </c>
    </row>
    <row r="176" spans="5:14" x14ac:dyDescent="0.25">
      <c r="E176" s="83">
        <v>201611</v>
      </c>
      <c r="F176" s="82" t="s">
        <v>563</v>
      </c>
      <c r="G176" s="82" t="s">
        <v>365</v>
      </c>
      <c r="H176" s="82" t="s">
        <v>798</v>
      </c>
      <c r="I176" s="95">
        <v>0</v>
      </c>
      <c r="K176" s="105" t="str">
        <f t="shared" si="13"/>
        <v>0003-1001-0065</v>
      </c>
      <c r="L176" s="105" t="str">
        <f>VLOOKUP(K176,COA!$A$3:$B$337,2,FALSE)</f>
        <v>V55</v>
      </c>
      <c r="M176" s="105" t="str">
        <f t="shared" si="14"/>
        <v>V55</v>
      </c>
      <c r="N176" s="105" t="e">
        <f>VLOOKUP(M176,CAC!$A$2:$B$198,2,FALSE)</f>
        <v>#N/A</v>
      </c>
    </row>
    <row r="177" spans="5:14" x14ac:dyDescent="0.25">
      <c r="E177" s="83">
        <v>201606</v>
      </c>
      <c r="F177" s="82" t="s">
        <v>413</v>
      </c>
      <c r="G177" s="82" t="s">
        <v>359</v>
      </c>
      <c r="H177" s="82" t="s">
        <v>344</v>
      </c>
      <c r="I177" s="95">
        <v>0</v>
      </c>
      <c r="K177" s="105" t="str">
        <f t="shared" si="13"/>
        <v>0008-1005-0012</v>
      </c>
      <c r="L177" s="105" t="str">
        <f>VLOOKUP(K177,COA!$A$3:$B$337,2,FALSE)</f>
        <v>C73</v>
      </c>
      <c r="M177" s="105" t="str">
        <f t="shared" si="14"/>
        <v>C73</v>
      </c>
      <c r="N177" s="105" t="str">
        <f>VLOOKUP(M177,CAC!$A$2:$B$198,2,FALSE)</f>
        <v>DOILG</v>
      </c>
    </row>
    <row r="178" spans="5:14" x14ac:dyDescent="0.25">
      <c r="E178" s="83">
        <v>201610</v>
      </c>
      <c r="F178" s="82" t="s">
        <v>345</v>
      </c>
      <c r="G178" s="82" t="s">
        <v>346</v>
      </c>
      <c r="H178" s="82" t="s">
        <v>360</v>
      </c>
      <c r="I178" s="95">
        <v>360</v>
      </c>
      <c r="K178" s="105" t="str">
        <f t="shared" si="13"/>
        <v>0011-1014-0048</v>
      </c>
      <c r="L178" s="105" t="str">
        <f>VLOOKUP(K178,COA!$A$3:$B$337,2,FALSE)</f>
        <v>K23</v>
      </c>
      <c r="M178" s="105" t="str">
        <f t="shared" si="14"/>
        <v>K23</v>
      </c>
      <c r="N178" s="105" t="str">
        <f>VLOOKUP(M178,CAC!$A$2:$B$198,2,FALSE)</f>
        <v>HMFLEX</v>
      </c>
    </row>
    <row r="179" spans="5:14" x14ac:dyDescent="0.25">
      <c r="E179" s="83">
        <v>201710</v>
      </c>
      <c r="F179" s="82" t="s">
        <v>563</v>
      </c>
      <c r="G179" s="82" t="s">
        <v>352</v>
      </c>
      <c r="H179" s="82" t="s">
        <v>653</v>
      </c>
      <c r="I179" s="95">
        <v>0</v>
      </c>
      <c r="K179" s="105" t="str">
        <f t="shared" si="13"/>
        <v>0003-1004-0047</v>
      </c>
      <c r="L179" s="105" t="str">
        <f>VLOOKUP(K179,COA!$A$3:$B$337,2,FALSE)</f>
        <v>L57</v>
      </c>
      <c r="M179" s="105" t="str">
        <f t="shared" si="14"/>
        <v>L57</v>
      </c>
      <c r="N179" s="105" t="str">
        <f>VLOOKUP(M179,CAC!$A$2:$B$198,2,FALSE)</f>
        <v>PPOLG</v>
      </c>
    </row>
    <row r="180" spans="5:14" x14ac:dyDescent="0.25">
      <c r="E180" s="83">
        <v>201606</v>
      </c>
      <c r="F180" s="82" t="s">
        <v>345</v>
      </c>
      <c r="G180" s="82" t="s">
        <v>348</v>
      </c>
      <c r="H180" s="82" t="s">
        <v>353</v>
      </c>
      <c r="I180" s="95">
        <v>325</v>
      </c>
      <c r="K180" s="105" t="str">
        <f t="shared" si="13"/>
        <v>0011-1010-0023</v>
      </c>
      <c r="L180" s="105" t="str">
        <f>VLOOKUP(K180,COA!$A$3:$B$337,2,FALSE)</f>
        <v>S13</v>
      </c>
      <c r="M180" s="105" t="str">
        <f t="shared" si="14"/>
        <v>S13</v>
      </c>
      <c r="N180" s="105" t="str">
        <f>VLOOKUP(M180,CAC!$A$2:$B$198,2,FALSE)</f>
        <v>HMOSG</v>
      </c>
    </row>
    <row r="181" spans="5:14" x14ac:dyDescent="0.25">
      <c r="E181" s="83">
        <v>201705</v>
      </c>
      <c r="F181" s="82" t="s">
        <v>345</v>
      </c>
      <c r="G181" s="82" t="s">
        <v>352</v>
      </c>
      <c r="H181" s="82" t="s">
        <v>653</v>
      </c>
      <c r="I181" s="95">
        <v>0</v>
      </c>
      <c r="K181" s="105" t="str">
        <f t="shared" si="13"/>
        <v>0011-1004-0047</v>
      </c>
      <c r="L181" s="105" t="str">
        <f>VLOOKUP(K181,COA!$A$3:$B$337,2,FALSE)</f>
        <v>L17</v>
      </c>
      <c r="M181" s="105" t="str">
        <f t="shared" si="14"/>
        <v>L17</v>
      </c>
      <c r="N181" s="105" t="str">
        <f>VLOOKUP(M181,CAC!$A$2:$B$198,2,FALSE)</f>
        <v>HMOLG</v>
      </c>
    </row>
    <row r="182" spans="5:14" x14ac:dyDescent="0.25">
      <c r="E182" s="83">
        <v>201603</v>
      </c>
      <c r="F182" s="82" t="s">
        <v>344</v>
      </c>
      <c r="G182" s="82" t="s">
        <v>355</v>
      </c>
      <c r="H182" s="82" t="s">
        <v>344</v>
      </c>
      <c r="I182" s="95">
        <v>111</v>
      </c>
      <c r="K182" s="105" t="str">
        <f t="shared" si="13"/>
        <v>0012-1006-0012</v>
      </c>
      <c r="L182" s="105" t="str">
        <f>VLOOKUP(K182,COA!$A$3:$B$337,2,FALSE)</f>
        <v>L16</v>
      </c>
      <c r="M182" s="105" t="str">
        <f t="shared" si="14"/>
        <v>L16</v>
      </c>
      <c r="N182" s="105" t="str">
        <f>VLOOKUP(M182,CAC!$A$2:$B$198,2,FALSE)</f>
        <v>HMOLG</v>
      </c>
    </row>
    <row r="183" spans="5:14" x14ac:dyDescent="0.25">
      <c r="E183" s="83">
        <v>201606</v>
      </c>
      <c r="F183" s="82" t="s">
        <v>746</v>
      </c>
      <c r="G183" s="82" t="s">
        <v>350</v>
      </c>
      <c r="H183" s="82" t="s">
        <v>764</v>
      </c>
      <c r="I183" s="95">
        <v>6</v>
      </c>
      <c r="K183" s="105" t="str">
        <f t="shared" si="13"/>
        <v>0016-1012-0064</v>
      </c>
      <c r="L183" s="105" t="str">
        <f>VLOOKUP(K183,COA!$A$3:$B$337,2,FALSE)</f>
        <v>R25</v>
      </c>
      <c r="M183" s="105" t="str">
        <f t="shared" si="14"/>
        <v>R25</v>
      </c>
      <c r="N183" s="105" t="str">
        <f>VLOOKUP(M183,CAC!$A$2:$B$198,2,FALSE)</f>
        <v>HMOMG</v>
      </c>
    </row>
    <row r="184" spans="5:14" x14ac:dyDescent="0.25">
      <c r="E184" s="83">
        <v>201503</v>
      </c>
      <c r="F184" s="82" t="s">
        <v>413</v>
      </c>
      <c r="G184" s="82" t="s">
        <v>355</v>
      </c>
      <c r="H184" s="82" t="s">
        <v>344</v>
      </c>
      <c r="I184" s="95">
        <v>0</v>
      </c>
      <c r="K184" s="105" t="str">
        <f t="shared" si="13"/>
        <v>0008-1006-0012</v>
      </c>
      <c r="L184" s="105" t="str">
        <f>VLOOKUP(K184,COA!$A$3:$B$337,2,FALSE)</f>
        <v>C96</v>
      </c>
      <c r="M184" s="105" t="str">
        <f t="shared" si="14"/>
        <v>C96</v>
      </c>
      <c r="N184" s="105" t="str">
        <f>VLOOKUP(M184,CAC!$A$2:$B$198,2,FALSE)</f>
        <v>DOILG</v>
      </c>
    </row>
    <row r="185" spans="5:14" x14ac:dyDescent="0.25">
      <c r="E185" s="83">
        <v>201502</v>
      </c>
      <c r="F185" s="82" t="s">
        <v>345</v>
      </c>
      <c r="G185" s="82" t="s">
        <v>346</v>
      </c>
      <c r="H185" s="82" t="s">
        <v>360</v>
      </c>
      <c r="I185" s="95">
        <v>405</v>
      </c>
      <c r="K185" s="105" t="str">
        <f t="shared" si="13"/>
        <v>0011-1014-0048</v>
      </c>
      <c r="L185" s="105" t="str">
        <f>VLOOKUP(K185,COA!$A$3:$B$337,2,FALSE)</f>
        <v>K23</v>
      </c>
      <c r="M185" s="105" t="str">
        <f t="shared" si="14"/>
        <v>K23</v>
      </c>
      <c r="N185" s="105" t="str">
        <f>VLOOKUP(M185,CAC!$A$2:$B$198,2,FALSE)</f>
        <v>HMFLEX</v>
      </c>
    </row>
    <row r="186" spans="5:14" x14ac:dyDescent="0.25">
      <c r="E186" s="83">
        <v>201711</v>
      </c>
      <c r="F186" s="82" t="s">
        <v>506</v>
      </c>
      <c r="G186" s="82" t="s">
        <v>359</v>
      </c>
      <c r="H186" s="82" t="s">
        <v>592</v>
      </c>
      <c r="I186" s="95">
        <v>0</v>
      </c>
      <c r="K186" s="105" t="str">
        <f t="shared" si="13"/>
        <v>0013-1005-0035</v>
      </c>
      <c r="L186" s="105" t="str">
        <f>VLOOKUP(K186,COA!$A$3:$B$337,2,FALSE)</f>
        <v>N41</v>
      </c>
      <c r="M186" s="105" t="str">
        <f t="shared" si="14"/>
        <v>N41</v>
      </c>
      <c r="N186" s="105" t="e">
        <f>VLOOKUP(M186,CAC!$A$2:$B$198,2,FALSE)</f>
        <v>#N/A</v>
      </c>
    </row>
    <row r="187" spans="5:14" x14ac:dyDescent="0.25">
      <c r="E187" s="83">
        <v>201712</v>
      </c>
      <c r="F187" s="82" t="s">
        <v>345</v>
      </c>
      <c r="G187" s="82" t="s">
        <v>352</v>
      </c>
      <c r="H187" s="82" t="s">
        <v>349</v>
      </c>
      <c r="I187" s="95">
        <v>0.03</v>
      </c>
      <c r="K187" s="105" t="str">
        <f t="shared" si="13"/>
        <v>0011-1004-0017</v>
      </c>
      <c r="L187" s="105" t="e">
        <f>VLOOKUP(K187,COA!$A$3:$B$337,2,FALSE)</f>
        <v>#N/A</v>
      </c>
      <c r="M187" s="105" t="str">
        <f t="shared" si="14"/>
        <v>XXX</v>
      </c>
      <c r="N187" s="105" t="str">
        <f>VLOOKUP(M187,CAC!$A$2:$B$198,2,FALSE)</f>
        <v>XXX</v>
      </c>
    </row>
    <row r="188" spans="5:14" x14ac:dyDescent="0.25">
      <c r="E188" s="83">
        <v>201709</v>
      </c>
      <c r="F188" s="82" t="s">
        <v>563</v>
      </c>
      <c r="G188" s="82" t="s">
        <v>354</v>
      </c>
      <c r="H188" s="82" t="s">
        <v>344</v>
      </c>
      <c r="I188" s="95">
        <v>0</v>
      </c>
      <c r="K188" s="105" t="str">
        <f t="shared" si="13"/>
        <v>0003-1013-0012</v>
      </c>
      <c r="L188" s="105" t="str">
        <f>VLOOKUP(K188,COA!$A$3:$B$337,2,FALSE)</f>
        <v>N55</v>
      </c>
      <c r="M188" s="105" t="str">
        <f t="shared" si="14"/>
        <v>N55</v>
      </c>
      <c r="N188" s="105" t="str">
        <f>VLOOKUP(M188,CAC!$A$2:$B$198,2,FALSE)</f>
        <v>PPOPMR</v>
      </c>
    </row>
    <row r="189" spans="5:14" x14ac:dyDescent="0.25">
      <c r="E189" s="83">
        <v>201506</v>
      </c>
      <c r="F189" s="82" t="s">
        <v>746</v>
      </c>
      <c r="G189" s="82" t="s">
        <v>361</v>
      </c>
      <c r="H189" s="82" t="s">
        <v>344</v>
      </c>
      <c r="I189" s="95">
        <v>447</v>
      </c>
      <c r="K189" s="105" t="str">
        <f t="shared" si="13"/>
        <v>0016-1003-0012</v>
      </c>
      <c r="L189" s="105" t="str">
        <f>VLOOKUP(K189,COA!$A$3:$B$337,2,FALSE)</f>
        <v>R18</v>
      </c>
      <c r="M189" s="105" t="str">
        <f t="shared" si="14"/>
        <v>R18</v>
      </c>
      <c r="N189" s="105" t="str">
        <f>VLOOKUP(M189,CAC!$A$2:$B$198,2,FALSE)</f>
        <v>HMOMG</v>
      </c>
    </row>
    <row r="190" spans="5:14" x14ac:dyDescent="0.25">
      <c r="E190" s="83">
        <v>201610</v>
      </c>
      <c r="F190" s="82" t="s">
        <v>746</v>
      </c>
      <c r="G190" s="82" t="s">
        <v>350</v>
      </c>
      <c r="H190" s="82" t="s">
        <v>764</v>
      </c>
      <c r="I190" s="95">
        <v>6</v>
      </c>
      <c r="K190" s="105" t="str">
        <f t="shared" si="13"/>
        <v>0016-1012-0064</v>
      </c>
      <c r="L190" s="105" t="str">
        <f>VLOOKUP(K190,COA!$A$3:$B$337,2,FALSE)</f>
        <v>R25</v>
      </c>
      <c r="M190" s="105" t="str">
        <f t="shared" si="14"/>
        <v>R25</v>
      </c>
      <c r="N190" s="105" t="str">
        <f>VLOOKUP(M190,CAC!$A$2:$B$198,2,FALSE)</f>
        <v>HMOMG</v>
      </c>
    </row>
    <row r="191" spans="5:14" x14ac:dyDescent="0.25">
      <c r="E191" s="83">
        <v>201606</v>
      </c>
      <c r="F191" s="82" t="s">
        <v>342</v>
      </c>
      <c r="G191" s="82" t="s">
        <v>343</v>
      </c>
      <c r="H191" s="82" t="s">
        <v>344</v>
      </c>
      <c r="I191" s="95">
        <v>6048.86</v>
      </c>
      <c r="K191" s="105" t="str">
        <f t="shared" si="13"/>
        <v>0031-1000-0012</v>
      </c>
      <c r="L191" s="105" t="str">
        <f>VLOOKUP(K191,COA!$A$3:$B$337,2,FALSE)</f>
        <v>F27</v>
      </c>
      <c r="M191" s="105" t="str">
        <f t="shared" si="14"/>
        <v>F27</v>
      </c>
      <c r="N191" s="105" t="str">
        <f>VLOOKUP(M191,CAC!$A$2:$B$198,2,FALSE)</f>
        <v>HMOFEP</v>
      </c>
    </row>
    <row r="192" spans="5:14" x14ac:dyDescent="0.25">
      <c r="E192" s="83">
        <v>201708</v>
      </c>
      <c r="F192" s="82" t="s">
        <v>345</v>
      </c>
      <c r="G192" s="82" t="s">
        <v>348</v>
      </c>
      <c r="H192" s="82" t="s">
        <v>349</v>
      </c>
      <c r="I192" s="95">
        <v>26266.66</v>
      </c>
      <c r="K192" s="105" t="str">
        <f t="shared" si="13"/>
        <v>0011-1010-0017</v>
      </c>
      <c r="L192" s="105" t="str">
        <f>VLOOKUP(K192,COA!$A$3:$B$337,2,FALSE)</f>
        <v>S11</v>
      </c>
      <c r="M192" s="105" t="str">
        <f t="shared" si="14"/>
        <v>S11</v>
      </c>
      <c r="N192" s="105" t="str">
        <f>VLOOKUP(M192,CAC!$A$2:$B$198,2,FALSE)</f>
        <v>HMOSG</v>
      </c>
    </row>
    <row r="193" spans="5:14" x14ac:dyDescent="0.25">
      <c r="E193" s="83">
        <v>201507</v>
      </c>
      <c r="F193" s="82" t="s">
        <v>345</v>
      </c>
      <c r="G193" s="82" t="s">
        <v>356</v>
      </c>
      <c r="H193" s="82" t="s">
        <v>344</v>
      </c>
      <c r="I193" s="95">
        <v>14798.15</v>
      </c>
      <c r="K193" s="105" t="str">
        <f t="shared" si="13"/>
        <v>0011-1002-0012</v>
      </c>
      <c r="L193" s="105" t="str">
        <f>VLOOKUP(K193,COA!$A$3:$B$337,2,FALSE)</f>
        <v>F20</v>
      </c>
      <c r="M193" s="105" t="str">
        <f t="shared" si="14"/>
        <v>F20</v>
      </c>
      <c r="N193" s="105" t="str">
        <f>VLOOKUP(M193,CAC!$A$2:$B$198,2,FALSE)</f>
        <v>HMOPMR</v>
      </c>
    </row>
    <row r="194" spans="5:14" x14ac:dyDescent="0.25">
      <c r="E194" s="83">
        <v>201601</v>
      </c>
      <c r="F194" s="82" t="s">
        <v>506</v>
      </c>
      <c r="G194" s="82" t="s">
        <v>350</v>
      </c>
      <c r="H194" s="82" t="s">
        <v>592</v>
      </c>
      <c r="I194" s="95">
        <v>0</v>
      </c>
      <c r="K194" s="105" t="str">
        <f t="shared" si="13"/>
        <v>0013-1012-0035</v>
      </c>
      <c r="L194" s="105" t="str">
        <f>VLOOKUP(K194,COA!$A$3:$B$337,2,FALSE)</f>
        <v>K41</v>
      </c>
      <c r="M194" s="105" t="str">
        <f t="shared" si="14"/>
        <v>K41</v>
      </c>
      <c r="N194" s="105" t="e">
        <f>VLOOKUP(M194,CAC!$A$2:$B$198,2,FALSE)</f>
        <v>#N/A</v>
      </c>
    </row>
    <row r="195" spans="5:14" x14ac:dyDescent="0.25">
      <c r="E195" s="83">
        <v>201504</v>
      </c>
      <c r="F195" s="82" t="s">
        <v>349</v>
      </c>
      <c r="G195" s="82" t="s">
        <v>369</v>
      </c>
      <c r="H195" s="82" t="s">
        <v>344</v>
      </c>
      <c r="I195" s="95">
        <v>35922</v>
      </c>
      <c r="K195" s="105" t="str">
        <f t="shared" si="13"/>
        <v>0017-1009-0012</v>
      </c>
      <c r="L195" s="105" t="str">
        <f>VLOOKUP(K195,COA!$A$3:$B$337,2,FALSE)</f>
        <v>R12</v>
      </c>
      <c r="M195" s="105" t="str">
        <f t="shared" si="14"/>
        <v>R12</v>
      </c>
      <c r="N195" s="105" t="str">
        <f>VLOOKUP(M195,CAC!$A$2:$B$198,2,FALSE)</f>
        <v>HMOMM</v>
      </c>
    </row>
    <row r="196" spans="5:14" x14ac:dyDescent="0.25">
      <c r="E196" s="83">
        <v>201602</v>
      </c>
      <c r="F196" s="82" t="s">
        <v>345</v>
      </c>
      <c r="G196" s="82" t="s">
        <v>356</v>
      </c>
      <c r="H196" s="82" t="s">
        <v>344</v>
      </c>
      <c r="I196" s="95">
        <v>15621.98</v>
      </c>
      <c r="K196" s="105" t="str">
        <f t="shared" ref="K196:K259" si="15">F196&amp;"-"&amp;G196&amp;"-"&amp;H196</f>
        <v>0011-1002-0012</v>
      </c>
      <c r="L196" s="105" t="str">
        <f>VLOOKUP(K196,COA!$A$3:$B$337,2,FALSE)</f>
        <v>F20</v>
      </c>
      <c r="M196" s="105" t="str">
        <f t="shared" ref="M196:M259" si="16">IF(ISNA(L196),"XXX",L196)</f>
        <v>F20</v>
      </c>
      <c r="N196" s="105" t="str">
        <f>VLOOKUP(M196,CAC!$A$2:$B$198,2,FALSE)</f>
        <v>HMOPMR</v>
      </c>
    </row>
    <row r="197" spans="5:14" x14ac:dyDescent="0.25">
      <c r="E197" s="83">
        <v>201605</v>
      </c>
      <c r="F197" s="82" t="s">
        <v>563</v>
      </c>
      <c r="G197" s="82" t="s">
        <v>355</v>
      </c>
      <c r="H197" s="82" t="s">
        <v>344</v>
      </c>
      <c r="I197" s="95">
        <v>0</v>
      </c>
      <c r="K197" s="105" t="str">
        <f t="shared" si="15"/>
        <v>0003-1006-0012</v>
      </c>
      <c r="L197" s="105" t="str">
        <f>VLOOKUP(K197,COA!$A$3:$B$337,2,FALSE)</f>
        <v>L52</v>
      </c>
      <c r="M197" s="105" t="str">
        <f t="shared" si="16"/>
        <v>L52</v>
      </c>
      <c r="N197" s="105" t="str">
        <f>VLOOKUP(M197,CAC!$A$2:$B$198,2,FALSE)</f>
        <v>PPOLG</v>
      </c>
    </row>
    <row r="198" spans="5:14" x14ac:dyDescent="0.25">
      <c r="E198" s="83">
        <v>201707</v>
      </c>
      <c r="F198" s="82" t="s">
        <v>563</v>
      </c>
      <c r="G198" s="82" t="s">
        <v>354</v>
      </c>
      <c r="H198" s="82" t="s">
        <v>344</v>
      </c>
      <c r="I198" s="95">
        <v>0</v>
      </c>
      <c r="K198" s="105" t="str">
        <f t="shared" si="15"/>
        <v>0003-1013-0012</v>
      </c>
      <c r="L198" s="105" t="str">
        <f>VLOOKUP(K198,COA!$A$3:$B$337,2,FALSE)</f>
        <v>N55</v>
      </c>
      <c r="M198" s="105" t="str">
        <f t="shared" si="16"/>
        <v>N55</v>
      </c>
      <c r="N198" s="105" t="str">
        <f>VLOOKUP(M198,CAC!$A$2:$B$198,2,FALSE)</f>
        <v>PPOPMR</v>
      </c>
    </row>
    <row r="199" spans="5:14" x14ac:dyDescent="0.25">
      <c r="E199" s="83">
        <v>201508</v>
      </c>
      <c r="F199" s="82" t="s">
        <v>746</v>
      </c>
      <c r="G199" s="82" t="s">
        <v>354</v>
      </c>
      <c r="H199" s="82" t="s">
        <v>344</v>
      </c>
      <c r="I199" s="95">
        <v>80</v>
      </c>
      <c r="K199" s="105" t="str">
        <f t="shared" si="15"/>
        <v>0016-1013-0012</v>
      </c>
      <c r="L199" s="105" t="str">
        <f>VLOOKUP(K199,COA!$A$3:$B$337,2,FALSE)</f>
        <v>R19</v>
      </c>
      <c r="M199" s="105" t="str">
        <f t="shared" si="16"/>
        <v>R19</v>
      </c>
      <c r="N199" s="105" t="str">
        <f>VLOOKUP(M199,CAC!$A$2:$B$198,2,FALSE)</f>
        <v>HMOMG</v>
      </c>
    </row>
    <row r="200" spans="5:14" x14ac:dyDescent="0.25">
      <c r="E200" s="83">
        <v>201505</v>
      </c>
      <c r="F200" s="82" t="s">
        <v>345</v>
      </c>
      <c r="G200" s="82" t="s">
        <v>361</v>
      </c>
      <c r="H200" s="82" t="s">
        <v>344</v>
      </c>
      <c r="I200" s="95">
        <v>9</v>
      </c>
      <c r="K200" s="105" t="str">
        <f t="shared" si="15"/>
        <v>0011-1003-0012</v>
      </c>
      <c r="L200" s="105" t="str">
        <f>VLOOKUP(K200,COA!$A$3:$B$337,2,FALSE)</f>
        <v>N16</v>
      </c>
      <c r="M200" s="105" t="str">
        <f t="shared" si="16"/>
        <v>N16</v>
      </c>
      <c r="N200" s="105" t="str">
        <f>VLOOKUP(M200,CAC!$A$2:$B$198,2,FALSE)</f>
        <v>HMOPMR</v>
      </c>
    </row>
    <row r="201" spans="5:14" x14ac:dyDescent="0.25">
      <c r="E201" s="83">
        <v>201712</v>
      </c>
      <c r="F201" s="82" t="s">
        <v>563</v>
      </c>
      <c r="G201" s="82" t="s">
        <v>365</v>
      </c>
      <c r="H201" s="82" t="s">
        <v>366</v>
      </c>
      <c r="I201" s="95">
        <v>0</v>
      </c>
      <c r="K201" s="105" t="str">
        <f t="shared" si="15"/>
        <v>0003-1001-0021</v>
      </c>
      <c r="L201" s="105" t="str">
        <f>VLOOKUP(K201,COA!$A$3:$B$337,2,FALSE)</f>
        <v>V53</v>
      </c>
      <c r="M201" s="105" t="str">
        <f t="shared" si="16"/>
        <v>V53</v>
      </c>
      <c r="N201" s="105" t="str">
        <f>VLOOKUP(M201,CAC!$A$2:$B$198,2,FALSE)</f>
        <v>PPOIFP</v>
      </c>
    </row>
    <row r="202" spans="5:14" x14ac:dyDescent="0.25">
      <c r="E202" s="83">
        <v>201502</v>
      </c>
      <c r="F202" s="82" t="s">
        <v>345</v>
      </c>
      <c r="G202" s="82" t="s">
        <v>359</v>
      </c>
      <c r="H202" s="82" t="s">
        <v>344</v>
      </c>
      <c r="I202" s="95">
        <v>1423.8</v>
      </c>
      <c r="K202" s="105" t="str">
        <f t="shared" si="15"/>
        <v>0011-1005-0012</v>
      </c>
      <c r="L202" s="105" t="str">
        <f>VLOOKUP(K202,COA!$A$3:$B$337,2,FALSE)</f>
        <v>N11</v>
      </c>
      <c r="M202" s="105" t="str">
        <f t="shared" si="16"/>
        <v>N11</v>
      </c>
      <c r="N202" s="105" t="str">
        <f>VLOOKUP(M202,CAC!$A$2:$B$198,2,FALSE)</f>
        <v>HMOLG</v>
      </c>
    </row>
    <row r="203" spans="5:14" x14ac:dyDescent="0.25">
      <c r="E203" s="83">
        <v>201603</v>
      </c>
      <c r="F203" s="82" t="s">
        <v>344</v>
      </c>
      <c r="G203" s="82" t="s">
        <v>352</v>
      </c>
      <c r="H203" s="82" t="s">
        <v>360</v>
      </c>
      <c r="I203" s="95">
        <v>230</v>
      </c>
      <c r="K203" s="105" t="str">
        <f t="shared" si="15"/>
        <v>0012-1004-0048</v>
      </c>
      <c r="L203" s="105" t="str">
        <f>VLOOKUP(K203,COA!$A$3:$B$337,2,FALSE)</f>
        <v>L22</v>
      </c>
      <c r="M203" s="105" t="str">
        <f t="shared" si="16"/>
        <v>L22</v>
      </c>
      <c r="N203" s="105" t="str">
        <f>VLOOKUP(M203,CAC!$A$2:$B$198,2,FALSE)</f>
        <v>HMFLEX</v>
      </c>
    </row>
    <row r="204" spans="5:14" x14ac:dyDescent="0.25">
      <c r="E204" s="83">
        <v>201604</v>
      </c>
      <c r="F204" s="82" t="s">
        <v>345</v>
      </c>
      <c r="G204" s="82" t="s">
        <v>352</v>
      </c>
      <c r="H204" s="82" t="s">
        <v>653</v>
      </c>
      <c r="I204" s="95">
        <v>0</v>
      </c>
      <c r="K204" s="105" t="str">
        <f t="shared" si="15"/>
        <v>0011-1004-0047</v>
      </c>
      <c r="L204" s="105" t="str">
        <f>VLOOKUP(K204,COA!$A$3:$B$337,2,FALSE)</f>
        <v>L17</v>
      </c>
      <c r="M204" s="105" t="str">
        <f t="shared" si="16"/>
        <v>L17</v>
      </c>
      <c r="N204" s="105" t="str">
        <f>VLOOKUP(M204,CAC!$A$2:$B$198,2,FALSE)</f>
        <v>HMOLG</v>
      </c>
    </row>
    <row r="205" spans="5:14" x14ac:dyDescent="0.25">
      <c r="E205" s="83">
        <v>201708</v>
      </c>
      <c r="F205" s="82" t="s">
        <v>344</v>
      </c>
      <c r="G205" s="82" t="s">
        <v>359</v>
      </c>
      <c r="H205" s="82" t="s">
        <v>344</v>
      </c>
      <c r="I205" s="95">
        <v>91</v>
      </c>
      <c r="K205" s="105" t="str">
        <f t="shared" si="15"/>
        <v>0012-1005-0012</v>
      </c>
      <c r="L205" s="105" t="str">
        <f>VLOOKUP(K205,COA!$A$3:$B$337,2,FALSE)</f>
        <v>N13</v>
      </c>
      <c r="M205" s="105" t="str">
        <f t="shared" si="16"/>
        <v>N13</v>
      </c>
      <c r="N205" s="105" t="str">
        <f>VLOOKUP(M205,CAC!$A$2:$B$198,2,FALSE)</f>
        <v>HMOLG</v>
      </c>
    </row>
    <row r="206" spans="5:14" x14ac:dyDescent="0.25">
      <c r="E206" s="83">
        <v>201611</v>
      </c>
      <c r="F206" s="82" t="s">
        <v>746</v>
      </c>
      <c r="G206" s="82" t="s">
        <v>350</v>
      </c>
      <c r="H206" s="82" t="s">
        <v>764</v>
      </c>
      <c r="I206" s="95">
        <v>5</v>
      </c>
      <c r="K206" s="105" t="str">
        <f t="shared" si="15"/>
        <v>0016-1012-0064</v>
      </c>
      <c r="L206" s="105" t="str">
        <f>VLOOKUP(K206,COA!$A$3:$B$337,2,FALSE)</f>
        <v>R25</v>
      </c>
      <c r="M206" s="105" t="str">
        <f t="shared" si="16"/>
        <v>R25</v>
      </c>
      <c r="N206" s="105" t="str">
        <f>VLOOKUP(M206,CAC!$A$2:$B$198,2,FALSE)</f>
        <v>HMOMG</v>
      </c>
    </row>
    <row r="207" spans="5:14" x14ac:dyDescent="0.25">
      <c r="E207" s="83">
        <v>201608</v>
      </c>
      <c r="F207" s="82" t="s">
        <v>345</v>
      </c>
      <c r="G207" s="82" t="s">
        <v>350</v>
      </c>
      <c r="H207" s="82" t="s">
        <v>360</v>
      </c>
      <c r="I207" s="95">
        <v>6446.58</v>
      </c>
      <c r="K207" s="105" t="str">
        <f t="shared" si="15"/>
        <v>0011-1012-0048</v>
      </c>
      <c r="L207" s="105" t="str">
        <f>VLOOKUP(K207,COA!$A$3:$B$337,2,FALSE)</f>
        <v>K21</v>
      </c>
      <c r="M207" s="105" t="str">
        <f t="shared" si="16"/>
        <v>K21</v>
      </c>
      <c r="N207" s="105" t="str">
        <f>VLOOKUP(M207,CAC!$A$2:$B$198,2,FALSE)</f>
        <v>HMFLEX</v>
      </c>
    </row>
    <row r="208" spans="5:14" x14ac:dyDescent="0.25">
      <c r="E208" s="83">
        <v>201606</v>
      </c>
      <c r="F208" s="82" t="s">
        <v>506</v>
      </c>
      <c r="G208" s="82" t="s">
        <v>359</v>
      </c>
      <c r="H208" s="82" t="s">
        <v>592</v>
      </c>
      <c r="I208" s="95">
        <v>0</v>
      </c>
      <c r="K208" s="105" t="str">
        <f t="shared" si="15"/>
        <v>0013-1005-0035</v>
      </c>
      <c r="L208" s="105" t="str">
        <f>VLOOKUP(K208,COA!$A$3:$B$337,2,FALSE)</f>
        <v>N41</v>
      </c>
      <c r="M208" s="105" t="str">
        <f t="shared" si="16"/>
        <v>N41</v>
      </c>
      <c r="N208" s="105" t="e">
        <f>VLOOKUP(M208,CAC!$A$2:$B$198,2,FALSE)</f>
        <v>#N/A</v>
      </c>
    </row>
    <row r="209" spans="5:14" x14ac:dyDescent="0.25">
      <c r="E209" s="83">
        <v>201610</v>
      </c>
      <c r="F209" s="82" t="s">
        <v>746</v>
      </c>
      <c r="G209" s="82" t="s">
        <v>350</v>
      </c>
      <c r="H209" s="82" t="s">
        <v>344</v>
      </c>
      <c r="I209" s="95">
        <v>62</v>
      </c>
      <c r="K209" s="105" t="str">
        <f t="shared" si="15"/>
        <v>0016-1012-0012</v>
      </c>
      <c r="L209" s="105" t="str">
        <f>VLOOKUP(K209,COA!$A$3:$B$337,2,FALSE)</f>
        <v>R19</v>
      </c>
      <c r="M209" s="105" t="str">
        <f t="shared" si="16"/>
        <v>R19</v>
      </c>
      <c r="N209" s="105" t="str">
        <f>VLOOKUP(M209,CAC!$A$2:$B$198,2,FALSE)</f>
        <v>HMOMG</v>
      </c>
    </row>
    <row r="210" spans="5:14" x14ac:dyDescent="0.25">
      <c r="E210" s="83">
        <v>201601</v>
      </c>
      <c r="F210" s="82" t="s">
        <v>746</v>
      </c>
      <c r="G210" s="82" t="s">
        <v>356</v>
      </c>
      <c r="H210" s="82" t="s">
        <v>764</v>
      </c>
      <c r="I210" s="95">
        <v>6</v>
      </c>
      <c r="K210" s="105" t="str">
        <f t="shared" si="15"/>
        <v>0016-1002-0064</v>
      </c>
      <c r="L210" s="105" t="str">
        <f>VLOOKUP(K210,COA!$A$3:$B$337,2,FALSE)</f>
        <v>R25</v>
      </c>
      <c r="M210" s="105" t="str">
        <f t="shared" si="16"/>
        <v>R25</v>
      </c>
      <c r="N210" s="105" t="str">
        <f>VLOOKUP(M210,CAC!$A$2:$B$198,2,FALSE)</f>
        <v>HMOMG</v>
      </c>
    </row>
    <row r="211" spans="5:14" x14ac:dyDescent="0.25">
      <c r="E211" s="83">
        <v>201612</v>
      </c>
      <c r="F211" s="82" t="s">
        <v>746</v>
      </c>
      <c r="G211" s="82" t="s">
        <v>352</v>
      </c>
      <c r="H211" s="82" t="s">
        <v>344</v>
      </c>
      <c r="I211" s="95">
        <v>2</v>
      </c>
      <c r="K211" s="105" t="str">
        <f t="shared" si="15"/>
        <v>0016-1004-0012</v>
      </c>
      <c r="L211" s="105" t="str">
        <f>VLOOKUP(K211,COA!$A$3:$B$337,2,FALSE)</f>
        <v>R20</v>
      </c>
      <c r="M211" s="105" t="str">
        <f t="shared" si="16"/>
        <v>R20</v>
      </c>
      <c r="N211" s="105" t="str">
        <f>VLOOKUP(M211,CAC!$A$2:$B$198,2,FALSE)</f>
        <v>HMOMG</v>
      </c>
    </row>
    <row r="212" spans="5:14" x14ac:dyDescent="0.25">
      <c r="E212" s="83">
        <v>201707</v>
      </c>
      <c r="F212" s="82" t="s">
        <v>345</v>
      </c>
      <c r="G212" s="82" t="s">
        <v>354</v>
      </c>
      <c r="H212" s="82" t="s">
        <v>368</v>
      </c>
      <c r="I212" s="95">
        <v>1</v>
      </c>
      <c r="K212" s="105" t="str">
        <f t="shared" si="15"/>
        <v>0011-1013-0056</v>
      </c>
      <c r="L212" s="105" t="str">
        <f>VLOOKUP(K212,COA!$A$3:$B$337,2,FALSE)</f>
        <v>N20</v>
      </c>
      <c r="M212" s="105" t="str">
        <f t="shared" si="16"/>
        <v>N20</v>
      </c>
      <c r="N212" s="105" t="str">
        <f>VLOOKUP(M212,CAC!$A$2:$B$198,2,FALSE)</f>
        <v>HMOPMR</v>
      </c>
    </row>
    <row r="213" spans="5:14" x14ac:dyDescent="0.25">
      <c r="E213" s="83">
        <v>201704</v>
      </c>
      <c r="F213" s="82" t="s">
        <v>345</v>
      </c>
      <c r="G213" s="82" t="s">
        <v>356</v>
      </c>
      <c r="H213" s="82" t="s">
        <v>344</v>
      </c>
      <c r="I213" s="95">
        <v>16086.14</v>
      </c>
      <c r="K213" s="105" t="str">
        <f t="shared" si="15"/>
        <v>0011-1002-0012</v>
      </c>
      <c r="L213" s="105" t="str">
        <f>VLOOKUP(K213,COA!$A$3:$B$337,2,FALSE)</f>
        <v>F20</v>
      </c>
      <c r="M213" s="105" t="str">
        <f t="shared" si="16"/>
        <v>F20</v>
      </c>
      <c r="N213" s="105" t="str">
        <f>VLOOKUP(M213,CAC!$A$2:$B$198,2,FALSE)</f>
        <v>HMOPMR</v>
      </c>
    </row>
    <row r="214" spans="5:14" x14ac:dyDescent="0.25">
      <c r="E214" s="83">
        <v>201603</v>
      </c>
      <c r="F214" s="82" t="s">
        <v>345</v>
      </c>
      <c r="G214" s="82" t="s">
        <v>362</v>
      </c>
      <c r="H214" s="82" t="s">
        <v>363</v>
      </c>
      <c r="I214" s="95">
        <v>37911</v>
      </c>
      <c r="K214" s="105" t="str">
        <f t="shared" si="15"/>
        <v>0011-1008-0054</v>
      </c>
      <c r="L214" s="105" t="str">
        <f>VLOOKUP(K214,COA!$A$3:$B$337,2,FALSE)</f>
        <v>P23</v>
      </c>
      <c r="M214" s="105" t="str">
        <f t="shared" si="16"/>
        <v>P23</v>
      </c>
      <c r="N214" s="105" t="str">
        <f>VLOOKUP(M214,CAC!$A$2:$B$198,2,FALSE)</f>
        <v>HMOPERN</v>
      </c>
    </row>
    <row r="215" spans="5:14" x14ac:dyDescent="0.25">
      <c r="E215" s="83">
        <v>201604</v>
      </c>
      <c r="F215" s="82" t="s">
        <v>563</v>
      </c>
      <c r="G215" s="82" t="s">
        <v>351</v>
      </c>
      <c r="H215" s="82" t="s">
        <v>349</v>
      </c>
      <c r="I215" s="95">
        <v>0</v>
      </c>
      <c r="K215" s="105" t="str">
        <f t="shared" si="15"/>
        <v>0003-0000-0017</v>
      </c>
      <c r="L215" s="105" t="e">
        <f>VLOOKUP(K215,COA!$A$3:$B$337,2,FALSE)</f>
        <v>#N/A</v>
      </c>
      <c r="M215" s="105" t="str">
        <f t="shared" si="16"/>
        <v>XXX</v>
      </c>
      <c r="N215" s="105" t="str">
        <f>VLOOKUP(M215,CAC!$A$2:$B$198,2,FALSE)</f>
        <v>XXX</v>
      </c>
    </row>
    <row r="216" spans="5:14" x14ac:dyDescent="0.25">
      <c r="E216" s="83">
        <v>201711</v>
      </c>
      <c r="F216" s="82" t="s">
        <v>345</v>
      </c>
      <c r="G216" s="82" t="s">
        <v>350</v>
      </c>
      <c r="H216" s="82" t="s">
        <v>344</v>
      </c>
      <c r="I216" s="95">
        <v>17778.060000000001</v>
      </c>
      <c r="K216" s="105" t="str">
        <f t="shared" si="15"/>
        <v>0011-1012-0012</v>
      </c>
      <c r="L216" s="105" t="str">
        <f>VLOOKUP(K216,COA!$A$3:$B$337,2,FALSE)</f>
        <v>K11</v>
      </c>
      <c r="M216" s="105" t="str">
        <f t="shared" si="16"/>
        <v>K11</v>
      </c>
      <c r="N216" s="105" t="str">
        <f>VLOOKUP(M216,CAC!$A$2:$B$198,2,FALSE)</f>
        <v>HMOPMR</v>
      </c>
    </row>
    <row r="217" spans="5:14" x14ac:dyDescent="0.25">
      <c r="E217" s="83">
        <v>201509</v>
      </c>
      <c r="F217" s="82" t="s">
        <v>563</v>
      </c>
      <c r="G217" s="82" t="s">
        <v>350</v>
      </c>
      <c r="H217" s="82" t="s">
        <v>360</v>
      </c>
      <c r="I217" s="95">
        <v>0</v>
      </c>
      <c r="K217" s="105" t="str">
        <f t="shared" si="15"/>
        <v>0003-1012-0048</v>
      </c>
      <c r="L217" s="105" t="str">
        <f>VLOOKUP(K217,COA!$A$3:$B$337,2,FALSE)</f>
        <v>K56</v>
      </c>
      <c r="M217" s="105" t="str">
        <f t="shared" si="16"/>
        <v>K56</v>
      </c>
      <c r="N217" s="105" t="str">
        <f>VLOOKUP(M217,CAC!$A$2:$B$198,2,FALSE)</f>
        <v>HMFLEX</v>
      </c>
    </row>
    <row r="218" spans="5:14" x14ac:dyDescent="0.25">
      <c r="E218" s="83">
        <v>201507</v>
      </c>
      <c r="F218" s="82" t="s">
        <v>345</v>
      </c>
      <c r="G218" s="82" t="s">
        <v>359</v>
      </c>
      <c r="H218" s="82" t="s">
        <v>344</v>
      </c>
      <c r="I218" s="95">
        <v>2352.0300000000002</v>
      </c>
      <c r="K218" s="105" t="str">
        <f t="shared" si="15"/>
        <v>0011-1005-0012</v>
      </c>
      <c r="L218" s="105" t="str">
        <f>VLOOKUP(K218,COA!$A$3:$B$337,2,FALSE)</f>
        <v>N11</v>
      </c>
      <c r="M218" s="105" t="str">
        <f t="shared" si="16"/>
        <v>N11</v>
      </c>
      <c r="N218" s="105" t="str">
        <f>VLOOKUP(M218,CAC!$A$2:$B$198,2,FALSE)</f>
        <v>HMOLG</v>
      </c>
    </row>
    <row r="219" spans="5:14" x14ac:dyDescent="0.25">
      <c r="E219" s="83">
        <v>201611</v>
      </c>
      <c r="F219" s="82" t="s">
        <v>506</v>
      </c>
      <c r="G219" s="82" t="s">
        <v>346</v>
      </c>
      <c r="H219" s="82" t="s">
        <v>592</v>
      </c>
      <c r="I219" s="95">
        <v>0</v>
      </c>
      <c r="K219" s="105" t="str">
        <f t="shared" si="15"/>
        <v>0013-1014-0035</v>
      </c>
      <c r="L219" s="105" t="str">
        <f>VLOOKUP(K219,COA!$A$3:$B$337,2,FALSE)</f>
        <v>K42</v>
      </c>
      <c r="M219" s="105" t="str">
        <f t="shared" si="16"/>
        <v>K42</v>
      </c>
      <c r="N219" s="105" t="str">
        <f>VLOOKUP(M219,CAC!$A$2:$B$198,2,FALSE)</f>
        <v>HMFLEX</v>
      </c>
    </row>
    <row r="220" spans="5:14" x14ac:dyDescent="0.25">
      <c r="E220" s="83">
        <v>201610</v>
      </c>
      <c r="F220" s="82" t="s">
        <v>344</v>
      </c>
      <c r="G220" s="82" t="s">
        <v>352</v>
      </c>
      <c r="H220" s="82" t="s">
        <v>344</v>
      </c>
      <c r="I220" s="95">
        <v>449.97</v>
      </c>
      <c r="K220" s="105" t="str">
        <f t="shared" si="15"/>
        <v>0012-1004-0012</v>
      </c>
      <c r="L220" s="105" t="str">
        <f>VLOOKUP(K220,COA!$A$3:$B$337,2,FALSE)</f>
        <v>L12</v>
      </c>
      <c r="M220" s="105" t="str">
        <f t="shared" si="16"/>
        <v>L12</v>
      </c>
      <c r="N220" s="105" t="str">
        <f>VLOOKUP(M220,CAC!$A$2:$B$198,2,FALSE)</f>
        <v>HMOLG</v>
      </c>
    </row>
    <row r="221" spans="5:14" x14ac:dyDescent="0.25">
      <c r="E221" s="83">
        <v>201611</v>
      </c>
      <c r="F221" s="82" t="s">
        <v>413</v>
      </c>
      <c r="G221" s="82" t="s">
        <v>354</v>
      </c>
      <c r="H221" s="82" t="s">
        <v>344</v>
      </c>
      <c r="I221" s="95">
        <v>0</v>
      </c>
      <c r="K221" s="105" t="str">
        <f t="shared" si="15"/>
        <v>0008-1013-0012</v>
      </c>
      <c r="L221" s="105" t="str">
        <f>VLOOKUP(K221,COA!$A$3:$B$337,2,FALSE)</f>
        <v>C76</v>
      </c>
      <c r="M221" s="105" t="str">
        <f t="shared" si="16"/>
        <v>C76</v>
      </c>
      <c r="N221" s="105" t="str">
        <f>VLOOKUP(M221,CAC!$A$2:$B$198,2,FALSE)</f>
        <v>DOILG</v>
      </c>
    </row>
    <row r="222" spans="5:14" x14ac:dyDescent="0.25">
      <c r="E222" s="83">
        <v>201506</v>
      </c>
      <c r="F222" s="82" t="s">
        <v>349</v>
      </c>
      <c r="G222" s="82" t="s">
        <v>369</v>
      </c>
      <c r="H222" s="82" t="s">
        <v>344</v>
      </c>
      <c r="I222" s="95">
        <v>36548</v>
      </c>
      <c r="K222" s="105" t="str">
        <f t="shared" si="15"/>
        <v>0017-1009-0012</v>
      </c>
      <c r="L222" s="105" t="str">
        <f>VLOOKUP(K222,COA!$A$3:$B$337,2,FALSE)</f>
        <v>R12</v>
      </c>
      <c r="M222" s="105" t="str">
        <f t="shared" si="16"/>
        <v>R12</v>
      </c>
      <c r="N222" s="105" t="str">
        <f>VLOOKUP(M222,CAC!$A$2:$B$198,2,FALSE)</f>
        <v>HMOMM</v>
      </c>
    </row>
    <row r="223" spans="5:14" x14ac:dyDescent="0.25">
      <c r="E223" s="83">
        <v>201602</v>
      </c>
      <c r="F223" s="82" t="s">
        <v>413</v>
      </c>
      <c r="G223" s="82" t="s">
        <v>365</v>
      </c>
      <c r="H223" s="82" t="s">
        <v>344</v>
      </c>
      <c r="I223" s="95">
        <v>0</v>
      </c>
      <c r="K223" s="105" t="str">
        <f t="shared" si="15"/>
        <v>0008-1001-0012</v>
      </c>
      <c r="L223" s="105" t="str">
        <f>VLOOKUP(K223,COA!$A$3:$B$337,2,FALSE)</f>
        <v>C95</v>
      </c>
      <c r="M223" s="105" t="str">
        <f t="shared" si="16"/>
        <v>C95</v>
      </c>
      <c r="N223" s="105" t="str">
        <f>VLOOKUP(M223,CAC!$A$2:$B$198,2,FALSE)</f>
        <v>DOIIFP</v>
      </c>
    </row>
    <row r="224" spans="5:14" x14ac:dyDescent="0.25">
      <c r="E224" s="83">
        <v>201611</v>
      </c>
      <c r="F224" s="82" t="s">
        <v>746</v>
      </c>
      <c r="G224" s="82" t="s">
        <v>350</v>
      </c>
      <c r="H224" s="82" t="s">
        <v>344</v>
      </c>
      <c r="I224" s="95">
        <v>62</v>
      </c>
      <c r="K224" s="105" t="str">
        <f t="shared" si="15"/>
        <v>0016-1012-0012</v>
      </c>
      <c r="L224" s="105" t="str">
        <f>VLOOKUP(K224,COA!$A$3:$B$337,2,FALSE)</f>
        <v>R19</v>
      </c>
      <c r="M224" s="105" t="str">
        <f t="shared" si="16"/>
        <v>R19</v>
      </c>
      <c r="N224" s="105" t="str">
        <f>VLOOKUP(M224,CAC!$A$2:$B$198,2,FALSE)</f>
        <v>HMOMG</v>
      </c>
    </row>
    <row r="225" spans="5:14" x14ac:dyDescent="0.25">
      <c r="E225" s="83">
        <v>201507</v>
      </c>
      <c r="F225" s="82" t="s">
        <v>345</v>
      </c>
      <c r="G225" s="82" t="s">
        <v>354</v>
      </c>
      <c r="H225" s="82" t="s">
        <v>344</v>
      </c>
      <c r="I225" s="95">
        <v>429.03</v>
      </c>
      <c r="K225" s="105" t="str">
        <f t="shared" si="15"/>
        <v>0011-1013-0012</v>
      </c>
      <c r="L225" s="105" t="str">
        <f>VLOOKUP(K225,COA!$A$3:$B$337,2,FALSE)</f>
        <v>N20</v>
      </c>
      <c r="M225" s="105" t="str">
        <f t="shared" si="16"/>
        <v>N20</v>
      </c>
      <c r="N225" s="105" t="str">
        <f>VLOOKUP(M225,CAC!$A$2:$B$198,2,FALSE)</f>
        <v>HMOPMR</v>
      </c>
    </row>
    <row r="226" spans="5:14" x14ac:dyDescent="0.25">
      <c r="E226" s="83">
        <v>201612</v>
      </c>
      <c r="F226" s="82" t="s">
        <v>563</v>
      </c>
      <c r="G226" s="82" t="s">
        <v>348</v>
      </c>
      <c r="H226" s="82" t="s">
        <v>349</v>
      </c>
      <c r="I226" s="95">
        <v>0</v>
      </c>
      <c r="K226" s="105" t="str">
        <f t="shared" si="15"/>
        <v>0003-1010-0017</v>
      </c>
      <c r="L226" s="105" t="str">
        <f>VLOOKUP(K226,COA!$A$3:$B$337,2,FALSE)</f>
        <v>S51</v>
      </c>
      <c r="M226" s="105" t="str">
        <f t="shared" si="16"/>
        <v>S51</v>
      </c>
      <c r="N226" s="105" t="str">
        <f>VLOOKUP(M226,CAC!$A$2:$B$198,2,FALSE)</f>
        <v>PPOSG</v>
      </c>
    </row>
    <row r="227" spans="5:14" x14ac:dyDescent="0.25">
      <c r="E227" s="83">
        <v>201606</v>
      </c>
      <c r="F227" s="82" t="s">
        <v>563</v>
      </c>
      <c r="G227" s="82" t="s">
        <v>350</v>
      </c>
      <c r="H227" s="82" t="s">
        <v>344</v>
      </c>
      <c r="I227" s="95">
        <v>0</v>
      </c>
      <c r="K227" s="105" t="str">
        <f t="shared" si="15"/>
        <v>0003-1012-0012</v>
      </c>
      <c r="L227" s="105" t="str">
        <f>VLOOKUP(K227,COA!$A$3:$B$337,2,FALSE)</f>
        <v>K51</v>
      </c>
      <c r="M227" s="105" t="str">
        <f t="shared" si="16"/>
        <v>K51</v>
      </c>
      <c r="N227" s="105" t="str">
        <f>VLOOKUP(M227,CAC!$A$2:$B$198,2,FALSE)</f>
        <v>PPOPMR</v>
      </c>
    </row>
    <row r="228" spans="5:14" x14ac:dyDescent="0.25">
      <c r="E228" s="83">
        <v>201705</v>
      </c>
      <c r="F228" s="82" t="s">
        <v>344</v>
      </c>
      <c r="G228" s="82" t="s">
        <v>356</v>
      </c>
      <c r="H228" s="82" t="s">
        <v>344</v>
      </c>
      <c r="I228" s="95">
        <v>4253</v>
      </c>
      <c r="K228" s="105" t="str">
        <f t="shared" si="15"/>
        <v>0012-1002-0012</v>
      </c>
      <c r="L228" s="105" t="str">
        <f>VLOOKUP(K228,COA!$A$3:$B$337,2,FALSE)</f>
        <v>F22</v>
      </c>
      <c r="M228" s="105" t="str">
        <f t="shared" si="16"/>
        <v>F22</v>
      </c>
      <c r="N228" s="105" t="str">
        <f>VLOOKUP(M228,CAC!$A$2:$B$198,2,FALSE)</f>
        <v>HMOPMR</v>
      </c>
    </row>
    <row r="229" spans="5:14" x14ac:dyDescent="0.25">
      <c r="E229" s="83">
        <v>201611</v>
      </c>
      <c r="F229" s="82" t="s">
        <v>563</v>
      </c>
      <c r="G229" s="82" t="s">
        <v>361</v>
      </c>
      <c r="H229" s="82" t="s">
        <v>344</v>
      </c>
      <c r="I229" s="95">
        <v>0</v>
      </c>
      <c r="K229" s="105" t="str">
        <f t="shared" si="15"/>
        <v>0003-1003-0012</v>
      </c>
      <c r="L229" s="105" t="str">
        <f>VLOOKUP(K229,COA!$A$3:$B$337,2,FALSE)</f>
        <v>N61</v>
      </c>
      <c r="M229" s="105" t="str">
        <f t="shared" si="16"/>
        <v>N61</v>
      </c>
      <c r="N229" s="105" t="str">
        <f>VLOOKUP(M229,CAC!$A$2:$B$198,2,FALSE)</f>
        <v>PPOPMR</v>
      </c>
    </row>
    <row r="230" spans="5:14" x14ac:dyDescent="0.25">
      <c r="E230" s="83">
        <v>201608</v>
      </c>
      <c r="F230" s="82" t="s">
        <v>746</v>
      </c>
      <c r="G230" s="82" t="s">
        <v>350</v>
      </c>
      <c r="H230" s="82" t="s">
        <v>344</v>
      </c>
      <c r="I230" s="95">
        <v>63</v>
      </c>
      <c r="K230" s="105" t="str">
        <f t="shared" si="15"/>
        <v>0016-1012-0012</v>
      </c>
      <c r="L230" s="105" t="str">
        <f>VLOOKUP(K230,COA!$A$3:$B$337,2,FALSE)</f>
        <v>R19</v>
      </c>
      <c r="M230" s="105" t="str">
        <f t="shared" si="16"/>
        <v>R19</v>
      </c>
      <c r="N230" s="105" t="str">
        <f>VLOOKUP(M230,CAC!$A$2:$B$198,2,FALSE)</f>
        <v>HMOMG</v>
      </c>
    </row>
    <row r="231" spans="5:14" x14ac:dyDescent="0.25">
      <c r="E231" s="83">
        <v>201512</v>
      </c>
      <c r="F231" s="82" t="s">
        <v>345</v>
      </c>
      <c r="G231" s="82" t="s">
        <v>348</v>
      </c>
      <c r="H231" s="82" t="s">
        <v>353</v>
      </c>
      <c r="I231" s="95">
        <v>380</v>
      </c>
      <c r="K231" s="105" t="str">
        <f t="shared" si="15"/>
        <v>0011-1010-0023</v>
      </c>
      <c r="L231" s="105" t="str">
        <f>VLOOKUP(K231,COA!$A$3:$B$337,2,FALSE)</f>
        <v>S13</v>
      </c>
      <c r="M231" s="105" t="str">
        <f t="shared" si="16"/>
        <v>S13</v>
      </c>
      <c r="N231" s="105" t="str">
        <f>VLOOKUP(M231,CAC!$A$2:$B$198,2,FALSE)</f>
        <v>HMOSG</v>
      </c>
    </row>
    <row r="232" spans="5:14" x14ac:dyDescent="0.25">
      <c r="E232" s="83">
        <v>201707</v>
      </c>
      <c r="F232" s="82" t="s">
        <v>563</v>
      </c>
      <c r="G232" s="82" t="s">
        <v>356</v>
      </c>
      <c r="H232" s="82" t="s">
        <v>344</v>
      </c>
      <c r="I232" s="95">
        <v>0</v>
      </c>
      <c r="K232" s="105" t="str">
        <f t="shared" si="15"/>
        <v>0003-1002-0012</v>
      </c>
      <c r="L232" s="105" t="str">
        <f>VLOOKUP(K232,COA!$A$3:$B$337,2,FALSE)</f>
        <v>F61</v>
      </c>
      <c r="M232" s="105" t="str">
        <f t="shared" si="16"/>
        <v>F61</v>
      </c>
      <c r="N232" s="105" t="str">
        <f>VLOOKUP(M232,CAC!$A$2:$B$198,2,FALSE)</f>
        <v>PPOPMR</v>
      </c>
    </row>
    <row r="233" spans="5:14" x14ac:dyDescent="0.25">
      <c r="E233" s="83">
        <v>201601</v>
      </c>
      <c r="F233" s="82" t="s">
        <v>563</v>
      </c>
      <c r="G233" s="82" t="s">
        <v>348</v>
      </c>
      <c r="H233" s="82" t="s">
        <v>353</v>
      </c>
      <c r="I233" s="95">
        <v>0</v>
      </c>
      <c r="K233" s="105" t="str">
        <f t="shared" si="15"/>
        <v>0003-1010-0023</v>
      </c>
      <c r="L233" s="105" t="str">
        <f>VLOOKUP(K233,COA!$A$3:$B$337,2,FALSE)</f>
        <v>S54</v>
      </c>
      <c r="M233" s="105" t="str">
        <f t="shared" si="16"/>
        <v>S54</v>
      </c>
      <c r="N233" s="105" t="str">
        <f>VLOOKUP(M233,CAC!$A$2:$B$198,2,FALSE)</f>
        <v>PPOSG</v>
      </c>
    </row>
    <row r="234" spans="5:14" x14ac:dyDescent="0.25">
      <c r="E234" s="83">
        <v>201706</v>
      </c>
      <c r="F234" s="82" t="s">
        <v>345</v>
      </c>
      <c r="G234" s="82" t="s">
        <v>354</v>
      </c>
      <c r="H234" s="82" t="s">
        <v>368</v>
      </c>
      <c r="I234" s="95">
        <v>1</v>
      </c>
      <c r="K234" s="105" t="str">
        <f t="shared" si="15"/>
        <v>0011-1013-0056</v>
      </c>
      <c r="L234" s="105" t="str">
        <f>VLOOKUP(K234,COA!$A$3:$B$337,2,FALSE)</f>
        <v>N20</v>
      </c>
      <c r="M234" s="105" t="str">
        <f t="shared" si="16"/>
        <v>N20</v>
      </c>
      <c r="N234" s="105" t="str">
        <f>VLOOKUP(M234,CAC!$A$2:$B$198,2,FALSE)</f>
        <v>HMOPMR</v>
      </c>
    </row>
    <row r="235" spans="5:14" x14ac:dyDescent="0.25">
      <c r="E235" s="83">
        <v>201502</v>
      </c>
      <c r="F235" s="82" t="s">
        <v>563</v>
      </c>
      <c r="G235" s="82" t="s">
        <v>348</v>
      </c>
      <c r="H235" s="82" t="s">
        <v>349</v>
      </c>
      <c r="I235" s="95">
        <v>0</v>
      </c>
      <c r="K235" s="105" t="str">
        <f t="shared" si="15"/>
        <v>0003-1010-0017</v>
      </c>
      <c r="L235" s="105" t="str">
        <f>VLOOKUP(K235,COA!$A$3:$B$337,2,FALSE)</f>
        <v>S51</v>
      </c>
      <c r="M235" s="105" t="str">
        <f t="shared" si="16"/>
        <v>S51</v>
      </c>
      <c r="N235" s="105" t="str">
        <f>VLOOKUP(M235,CAC!$A$2:$B$198,2,FALSE)</f>
        <v>PPOSG</v>
      </c>
    </row>
    <row r="236" spans="5:14" x14ac:dyDescent="0.25">
      <c r="E236" s="83">
        <v>201607</v>
      </c>
      <c r="F236" s="82" t="s">
        <v>563</v>
      </c>
      <c r="G236" s="82" t="s">
        <v>365</v>
      </c>
      <c r="H236" s="82" t="s">
        <v>367</v>
      </c>
      <c r="I236" s="95">
        <v>0</v>
      </c>
      <c r="K236" s="105" t="str">
        <f t="shared" si="15"/>
        <v>0003-1001-0022</v>
      </c>
      <c r="L236" s="105" t="str">
        <f>VLOOKUP(K236,COA!$A$3:$B$337,2,FALSE)</f>
        <v>V54</v>
      </c>
      <c r="M236" s="105" t="str">
        <f t="shared" si="16"/>
        <v>V54</v>
      </c>
      <c r="N236" s="105" t="str">
        <f>VLOOKUP(M236,CAC!$A$2:$B$198,2,FALSE)</f>
        <v>PPOIFP</v>
      </c>
    </row>
    <row r="237" spans="5:14" x14ac:dyDescent="0.25">
      <c r="E237" s="83">
        <v>201509</v>
      </c>
      <c r="F237" s="82" t="s">
        <v>345</v>
      </c>
      <c r="G237" s="82" t="s">
        <v>350</v>
      </c>
      <c r="H237" s="82" t="s">
        <v>344</v>
      </c>
      <c r="I237" s="95">
        <v>10385.049999999999</v>
      </c>
      <c r="K237" s="105" t="str">
        <f t="shared" si="15"/>
        <v>0011-1012-0012</v>
      </c>
      <c r="L237" s="105" t="str">
        <f>VLOOKUP(K237,COA!$A$3:$B$337,2,FALSE)</f>
        <v>K11</v>
      </c>
      <c r="M237" s="105" t="str">
        <f t="shared" si="16"/>
        <v>K11</v>
      </c>
      <c r="N237" s="105" t="str">
        <f>VLOOKUP(M237,CAC!$A$2:$B$198,2,FALSE)</f>
        <v>HMOPMR</v>
      </c>
    </row>
    <row r="238" spans="5:14" x14ac:dyDescent="0.25">
      <c r="E238" s="83">
        <v>201708</v>
      </c>
      <c r="F238" s="82" t="s">
        <v>413</v>
      </c>
      <c r="G238" s="82" t="s">
        <v>359</v>
      </c>
      <c r="H238" s="82" t="s">
        <v>344</v>
      </c>
      <c r="I238" s="95">
        <v>0</v>
      </c>
      <c r="K238" s="105" t="str">
        <f t="shared" si="15"/>
        <v>0008-1005-0012</v>
      </c>
      <c r="L238" s="105" t="str">
        <f>VLOOKUP(K238,COA!$A$3:$B$337,2,FALSE)</f>
        <v>C73</v>
      </c>
      <c r="M238" s="105" t="str">
        <f t="shared" si="16"/>
        <v>C73</v>
      </c>
      <c r="N238" s="105" t="str">
        <f>VLOOKUP(M238,CAC!$A$2:$B$198,2,FALSE)</f>
        <v>DOILG</v>
      </c>
    </row>
    <row r="239" spans="5:14" x14ac:dyDescent="0.25">
      <c r="E239" s="83">
        <v>201611</v>
      </c>
      <c r="F239" s="82" t="s">
        <v>563</v>
      </c>
      <c r="G239" s="82" t="s">
        <v>365</v>
      </c>
      <c r="H239" s="82" t="s">
        <v>367</v>
      </c>
      <c r="I239" s="95">
        <v>0</v>
      </c>
      <c r="K239" s="105" t="str">
        <f t="shared" si="15"/>
        <v>0003-1001-0022</v>
      </c>
      <c r="L239" s="105" t="str">
        <f>VLOOKUP(K239,COA!$A$3:$B$337,2,FALSE)</f>
        <v>V54</v>
      </c>
      <c r="M239" s="105" t="str">
        <f t="shared" si="16"/>
        <v>V54</v>
      </c>
      <c r="N239" s="105" t="str">
        <f>VLOOKUP(M239,CAC!$A$2:$B$198,2,FALSE)</f>
        <v>PPOIFP</v>
      </c>
    </row>
    <row r="240" spans="5:14" x14ac:dyDescent="0.25">
      <c r="E240" s="83">
        <v>201603</v>
      </c>
      <c r="F240" s="82" t="s">
        <v>563</v>
      </c>
      <c r="G240" s="82" t="s">
        <v>354</v>
      </c>
      <c r="H240" s="82" t="s">
        <v>653</v>
      </c>
      <c r="I240" s="95">
        <v>0</v>
      </c>
      <c r="K240" s="105" t="str">
        <f t="shared" si="15"/>
        <v>0003-1013-0047</v>
      </c>
      <c r="L240" s="105" t="str">
        <f>VLOOKUP(K240,COA!$A$3:$B$337,2,FALSE)</f>
        <v>N57</v>
      </c>
      <c r="M240" s="105" t="str">
        <f t="shared" si="16"/>
        <v>N57</v>
      </c>
      <c r="N240" s="105" t="str">
        <f>VLOOKUP(M240,CAC!$A$2:$B$198,2,FALSE)</f>
        <v>PPOPMR</v>
      </c>
    </row>
    <row r="241" spans="5:14" x14ac:dyDescent="0.25">
      <c r="E241" s="83">
        <v>201607</v>
      </c>
      <c r="F241" s="82" t="s">
        <v>563</v>
      </c>
      <c r="G241" s="82" t="s">
        <v>365</v>
      </c>
      <c r="H241" s="82" t="s">
        <v>411</v>
      </c>
      <c r="I241" s="95">
        <v>0</v>
      </c>
      <c r="K241" s="105" t="str">
        <f t="shared" si="15"/>
        <v>0003-1001-0007</v>
      </c>
      <c r="L241" s="105" t="str">
        <f>VLOOKUP(K241,COA!$A$3:$B$337,2,FALSE)</f>
        <v>V52</v>
      </c>
      <c r="M241" s="105" t="str">
        <f t="shared" si="16"/>
        <v>V52</v>
      </c>
      <c r="N241" s="105" t="str">
        <f>VLOOKUP(M241,CAC!$A$2:$B$198,2,FALSE)</f>
        <v>PPOIFP</v>
      </c>
    </row>
    <row r="242" spans="5:14" x14ac:dyDescent="0.25">
      <c r="E242" s="83">
        <v>201503</v>
      </c>
      <c r="F242" s="82" t="s">
        <v>413</v>
      </c>
      <c r="G242" s="82" t="s">
        <v>365</v>
      </c>
      <c r="H242" s="82" t="s">
        <v>344</v>
      </c>
      <c r="I242" s="95">
        <v>0</v>
      </c>
      <c r="K242" s="105" t="str">
        <f t="shared" si="15"/>
        <v>0008-1001-0012</v>
      </c>
      <c r="L242" s="105" t="str">
        <f>VLOOKUP(K242,COA!$A$3:$B$337,2,FALSE)</f>
        <v>C95</v>
      </c>
      <c r="M242" s="105" t="str">
        <f t="shared" si="16"/>
        <v>C95</v>
      </c>
      <c r="N242" s="105" t="str">
        <f>VLOOKUP(M242,CAC!$A$2:$B$198,2,FALSE)</f>
        <v>DOIIFP</v>
      </c>
    </row>
    <row r="243" spans="5:14" x14ac:dyDescent="0.25">
      <c r="E243" s="83">
        <v>201604</v>
      </c>
      <c r="F243" s="82" t="s">
        <v>563</v>
      </c>
      <c r="G243" s="82" t="s">
        <v>354</v>
      </c>
      <c r="H243" s="82" t="s">
        <v>344</v>
      </c>
      <c r="I243" s="95">
        <v>0</v>
      </c>
      <c r="K243" s="105" t="str">
        <f t="shared" si="15"/>
        <v>0003-1013-0012</v>
      </c>
      <c r="L243" s="105" t="str">
        <f>VLOOKUP(K243,COA!$A$3:$B$337,2,FALSE)</f>
        <v>N55</v>
      </c>
      <c r="M243" s="105" t="str">
        <f t="shared" si="16"/>
        <v>N55</v>
      </c>
      <c r="N243" s="105" t="str">
        <f>VLOOKUP(M243,CAC!$A$2:$B$198,2,FALSE)</f>
        <v>PPOPMR</v>
      </c>
    </row>
    <row r="244" spans="5:14" x14ac:dyDescent="0.25">
      <c r="E244" s="83">
        <v>201710</v>
      </c>
      <c r="F244" s="82" t="s">
        <v>506</v>
      </c>
      <c r="G244" s="82" t="s">
        <v>350</v>
      </c>
      <c r="H244" s="82" t="s">
        <v>592</v>
      </c>
      <c r="I244" s="95">
        <v>0</v>
      </c>
      <c r="K244" s="105" t="str">
        <f t="shared" si="15"/>
        <v>0013-1012-0035</v>
      </c>
      <c r="L244" s="105" t="str">
        <f>VLOOKUP(K244,COA!$A$3:$B$337,2,FALSE)</f>
        <v>K41</v>
      </c>
      <c r="M244" s="105" t="str">
        <f t="shared" si="16"/>
        <v>K41</v>
      </c>
      <c r="N244" s="105" t="e">
        <f>VLOOKUP(M244,CAC!$A$2:$B$198,2,FALSE)</f>
        <v>#N/A</v>
      </c>
    </row>
    <row r="245" spans="5:14" x14ac:dyDescent="0.25">
      <c r="E245" s="83">
        <v>201502</v>
      </c>
      <c r="F245" s="82" t="s">
        <v>344</v>
      </c>
      <c r="G245" s="82" t="s">
        <v>355</v>
      </c>
      <c r="H245" s="82" t="s">
        <v>344</v>
      </c>
      <c r="I245" s="95">
        <v>262.88</v>
      </c>
      <c r="K245" s="105" t="str">
        <f t="shared" si="15"/>
        <v>0012-1006-0012</v>
      </c>
      <c r="L245" s="105" t="str">
        <f>VLOOKUP(K245,COA!$A$3:$B$337,2,FALSE)</f>
        <v>L16</v>
      </c>
      <c r="M245" s="105" t="str">
        <f t="shared" si="16"/>
        <v>L16</v>
      </c>
      <c r="N245" s="105" t="str">
        <f>VLOOKUP(M245,CAC!$A$2:$B$198,2,FALSE)</f>
        <v>HMOLG</v>
      </c>
    </row>
    <row r="246" spans="5:14" x14ac:dyDescent="0.25">
      <c r="E246" s="83">
        <v>201602</v>
      </c>
      <c r="F246" s="82" t="s">
        <v>344</v>
      </c>
      <c r="G246" s="82" t="s">
        <v>350</v>
      </c>
      <c r="H246" s="82" t="s">
        <v>344</v>
      </c>
      <c r="I246" s="95">
        <v>108</v>
      </c>
      <c r="K246" s="105" t="str">
        <f t="shared" si="15"/>
        <v>0012-1012-0012</v>
      </c>
      <c r="L246" s="105" t="str">
        <f>VLOOKUP(K246,COA!$A$3:$B$337,2,FALSE)</f>
        <v>K12</v>
      </c>
      <c r="M246" s="105" t="str">
        <f t="shared" si="16"/>
        <v>K12</v>
      </c>
      <c r="N246" s="105" t="str">
        <f>VLOOKUP(M246,CAC!$A$2:$B$198,2,FALSE)</f>
        <v>HMOPMR</v>
      </c>
    </row>
    <row r="247" spans="5:14" x14ac:dyDescent="0.25">
      <c r="E247" s="83">
        <v>201607</v>
      </c>
      <c r="F247" s="82" t="s">
        <v>563</v>
      </c>
      <c r="G247" s="82" t="s">
        <v>369</v>
      </c>
      <c r="H247" s="82" t="s">
        <v>345</v>
      </c>
      <c r="I247" s="95">
        <v>0</v>
      </c>
      <c r="K247" s="105" t="str">
        <f t="shared" si="15"/>
        <v>0003-1009-0011</v>
      </c>
      <c r="L247" s="105" t="str">
        <f>VLOOKUP(K247,COA!$A$3:$B$337,2,FALSE)</f>
        <v>V91</v>
      </c>
      <c r="M247" s="105" t="str">
        <f t="shared" si="16"/>
        <v>V91</v>
      </c>
      <c r="N247" s="105" t="str">
        <f>VLOOKUP(M247,CAC!$A$2:$B$198,2,FALSE)</f>
        <v>PPOMM</v>
      </c>
    </row>
    <row r="248" spans="5:14" x14ac:dyDescent="0.25">
      <c r="E248" s="83">
        <v>201703</v>
      </c>
      <c r="F248" s="82" t="s">
        <v>563</v>
      </c>
      <c r="G248" s="82" t="s">
        <v>352</v>
      </c>
      <c r="H248" s="82" t="s">
        <v>626</v>
      </c>
      <c r="I248" s="95">
        <v>0</v>
      </c>
      <c r="K248" s="105" t="str">
        <f t="shared" si="15"/>
        <v>0003-1004-0057</v>
      </c>
      <c r="L248" s="105" t="e">
        <f>VLOOKUP(K248,COA!$A$3:$B$337,2,FALSE)</f>
        <v>#N/A</v>
      </c>
      <c r="M248" s="105" t="str">
        <f t="shared" si="16"/>
        <v>XXX</v>
      </c>
      <c r="N248" s="105" t="str">
        <f>VLOOKUP(M248,CAC!$A$2:$B$198,2,FALSE)</f>
        <v>XXX</v>
      </c>
    </row>
    <row r="249" spans="5:14" x14ac:dyDescent="0.25">
      <c r="E249" s="83">
        <v>201710</v>
      </c>
      <c r="F249" s="82" t="s">
        <v>746</v>
      </c>
      <c r="G249" s="82" t="s">
        <v>361</v>
      </c>
      <c r="H249" s="82" t="s">
        <v>344</v>
      </c>
      <c r="I249" s="95">
        <v>502</v>
      </c>
      <c r="K249" s="105" t="str">
        <f t="shared" si="15"/>
        <v>0016-1003-0012</v>
      </c>
      <c r="L249" s="105" t="str">
        <f>VLOOKUP(K249,COA!$A$3:$B$337,2,FALSE)</f>
        <v>R18</v>
      </c>
      <c r="M249" s="105" t="str">
        <f t="shared" si="16"/>
        <v>R18</v>
      </c>
      <c r="N249" s="105" t="str">
        <f>VLOOKUP(M249,CAC!$A$2:$B$198,2,FALSE)</f>
        <v>HMOMG</v>
      </c>
    </row>
    <row r="250" spans="5:14" x14ac:dyDescent="0.25">
      <c r="E250" s="83">
        <v>201711</v>
      </c>
      <c r="F250" s="82" t="s">
        <v>563</v>
      </c>
      <c r="G250" s="82" t="s">
        <v>356</v>
      </c>
      <c r="H250" s="82" t="s">
        <v>344</v>
      </c>
      <c r="I250" s="95">
        <v>0</v>
      </c>
      <c r="K250" s="105" t="str">
        <f t="shared" si="15"/>
        <v>0003-1002-0012</v>
      </c>
      <c r="L250" s="105" t="str">
        <f>VLOOKUP(K250,COA!$A$3:$B$337,2,FALSE)</f>
        <v>F61</v>
      </c>
      <c r="M250" s="105" t="str">
        <f t="shared" si="16"/>
        <v>F61</v>
      </c>
      <c r="N250" s="105" t="str">
        <f>VLOOKUP(M250,CAC!$A$2:$B$198,2,FALSE)</f>
        <v>PPOPMR</v>
      </c>
    </row>
    <row r="251" spans="5:14" x14ac:dyDescent="0.25">
      <c r="E251" s="83">
        <v>201601</v>
      </c>
      <c r="F251" s="82" t="s">
        <v>563</v>
      </c>
      <c r="G251" s="82" t="s">
        <v>354</v>
      </c>
      <c r="H251" s="82" t="s">
        <v>626</v>
      </c>
      <c r="I251" s="95">
        <v>0</v>
      </c>
      <c r="K251" s="105" t="str">
        <f t="shared" si="15"/>
        <v>0003-1013-0057</v>
      </c>
      <c r="L251" s="105" t="str">
        <f>VLOOKUP(K251,COA!$A$3:$B$337,2,FALSE)</f>
        <v>N55</v>
      </c>
      <c r="M251" s="105" t="str">
        <f t="shared" si="16"/>
        <v>N55</v>
      </c>
      <c r="N251" s="105" t="str">
        <f>VLOOKUP(M251,CAC!$A$2:$B$198,2,FALSE)</f>
        <v>PPOPMR</v>
      </c>
    </row>
    <row r="252" spans="5:14" x14ac:dyDescent="0.25">
      <c r="E252" s="83">
        <v>201511</v>
      </c>
      <c r="F252" s="82" t="s">
        <v>345</v>
      </c>
      <c r="G252" s="82" t="s">
        <v>352</v>
      </c>
      <c r="H252" s="82" t="s">
        <v>344</v>
      </c>
      <c r="I252" s="95">
        <v>12324.66</v>
      </c>
      <c r="K252" s="105" t="str">
        <f t="shared" si="15"/>
        <v>0011-1004-0012</v>
      </c>
      <c r="L252" s="105" t="str">
        <f>VLOOKUP(K252,COA!$A$3:$B$337,2,FALSE)</f>
        <v>L11</v>
      </c>
      <c r="M252" s="105" t="str">
        <f t="shared" si="16"/>
        <v>L11</v>
      </c>
      <c r="N252" s="105" t="str">
        <f>VLOOKUP(M252,CAC!$A$2:$B$198,2,FALSE)</f>
        <v>HMOLG</v>
      </c>
    </row>
    <row r="253" spans="5:14" x14ac:dyDescent="0.25">
      <c r="E253" s="83">
        <v>201604</v>
      </c>
      <c r="F253" s="82" t="s">
        <v>563</v>
      </c>
      <c r="G253" s="82" t="s">
        <v>355</v>
      </c>
      <c r="H253" s="82" t="s">
        <v>344</v>
      </c>
      <c r="I253" s="95">
        <v>0</v>
      </c>
      <c r="K253" s="105" t="str">
        <f t="shared" si="15"/>
        <v>0003-1006-0012</v>
      </c>
      <c r="L253" s="105" t="str">
        <f>VLOOKUP(K253,COA!$A$3:$B$337,2,FALSE)</f>
        <v>L52</v>
      </c>
      <c r="M253" s="105" t="str">
        <f t="shared" si="16"/>
        <v>L52</v>
      </c>
      <c r="N253" s="105" t="str">
        <f>VLOOKUP(M253,CAC!$A$2:$B$198,2,FALSE)</f>
        <v>PPOLG</v>
      </c>
    </row>
    <row r="254" spans="5:14" x14ac:dyDescent="0.25">
      <c r="E254" s="83">
        <v>201603</v>
      </c>
      <c r="F254" s="82" t="s">
        <v>506</v>
      </c>
      <c r="G254" s="82" t="s">
        <v>346</v>
      </c>
      <c r="H254" s="82" t="s">
        <v>592</v>
      </c>
      <c r="I254" s="95">
        <v>0</v>
      </c>
      <c r="K254" s="105" t="str">
        <f t="shared" si="15"/>
        <v>0013-1014-0035</v>
      </c>
      <c r="L254" s="105" t="str">
        <f>VLOOKUP(K254,COA!$A$3:$B$337,2,FALSE)</f>
        <v>K42</v>
      </c>
      <c r="M254" s="105" t="str">
        <f t="shared" si="16"/>
        <v>K42</v>
      </c>
      <c r="N254" s="105" t="str">
        <f>VLOOKUP(M254,CAC!$A$2:$B$198,2,FALSE)</f>
        <v>HMFLEX</v>
      </c>
    </row>
    <row r="255" spans="5:14" x14ac:dyDescent="0.25">
      <c r="E255" s="83">
        <v>201604</v>
      </c>
      <c r="F255" s="82" t="s">
        <v>563</v>
      </c>
      <c r="G255" s="82" t="s">
        <v>352</v>
      </c>
      <c r="H255" s="82" t="s">
        <v>653</v>
      </c>
      <c r="I255" s="95">
        <v>0</v>
      </c>
      <c r="K255" s="105" t="str">
        <f t="shared" si="15"/>
        <v>0003-1004-0047</v>
      </c>
      <c r="L255" s="105" t="str">
        <f>VLOOKUP(K255,COA!$A$3:$B$337,2,FALSE)</f>
        <v>L57</v>
      </c>
      <c r="M255" s="105" t="str">
        <f t="shared" si="16"/>
        <v>L57</v>
      </c>
      <c r="N255" s="105" t="str">
        <f>VLOOKUP(M255,CAC!$A$2:$B$198,2,FALSE)</f>
        <v>PPOLG</v>
      </c>
    </row>
    <row r="256" spans="5:14" x14ac:dyDescent="0.25">
      <c r="E256" s="83">
        <v>201504</v>
      </c>
      <c r="F256" s="82" t="s">
        <v>506</v>
      </c>
      <c r="G256" s="82" t="s">
        <v>346</v>
      </c>
      <c r="H256" s="82" t="s">
        <v>592</v>
      </c>
      <c r="I256" s="95">
        <v>0</v>
      </c>
      <c r="K256" s="105" t="str">
        <f t="shared" si="15"/>
        <v>0013-1014-0035</v>
      </c>
      <c r="L256" s="105" t="str">
        <f>VLOOKUP(K256,COA!$A$3:$B$337,2,FALSE)</f>
        <v>K42</v>
      </c>
      <c r="M256" s="105" t="str">
        <f t="shared" si="16"/>
        <v>K42</v>
      </c>
      <c r="N256" s="105" t="str">
        <f>VLOOKUP(M256,CAC!$A$2:$B$198,2,FALSE)</f>
        <v>HMFLEX</v>
      </c>
    </row>
    <row r="257" spans="5:14" x14ac:dyDescent="0.25">
      <c r="E257" s="83">
        <v>201705</v>
      </c>
      <c r="F257" s="82" t="s">
        <v>345</v>
      </c>
      <c r="G257" s="82" t="s">
        <v>346</v>
      </c>
      <c r="H257" s="82" t="s">
        <v>344</v>
      </c>
      <c r="I257" s="95">
        <v>0</v>
      </c>
      <c r="K257" s="105" t="str">
        <f t="shared" si="15"/>
        <v>0011-1014-0012</v>
      </c>
      <c r="L257" s="105" t="e">
        <f>VLOOKUP(K257,COA!$A$3:$B$337,2,FALSE)</f>
        <v>#N/A</v>
      </c>
      <c r="M257" s="105" t="str">
        <f t="shared" si="16"/>
        <v>XXX</v>
      </c>
      <c r="N257" s="105" t="str">
        <f>VLOOKUP(M257,CAC!$A$2:$B$198,2,FALSE)</f>
        <v>XXX</v>
      </c>
    </row>
    <row r="258" spans="5:14" x14ac:dyDescent="0.25">
      <c r="E258" s="83">
        <v>201711</v>
      </c>
      <c r="F258" s="82" t="s">
        <v>345</v>
      </c>
      <c r="G258" s="82" t="s">
        <v>365</v>
      </c>
      <c r="H258" s="82" t="s">
        <v>366</v>
      </c>
      <c r="I258" s="95">
        <v>1496.63</v>
      </c>
      <c r="K258" s="105" t="str">
        <f t="shared" si="15"/>
        <v>0011-1001-0021</v>
      </c>
      <c r="L258" s="105" t="str">
        <f>VLOOKUP(K258,COA!$A$3:$B$337,2,FALSE)</f>
        <v>V13</v>
      </c>
      <c r="M258" s="105" t="str">
        <f t="shared" si="16"/>
        <v>V13</v>
      </c>
      <c r="N258" s="105" t="str">
        <f>VLOOKUP(M258,CAC!$A$2:$B$198,2,FALSE)</f>
        <v>HMOIFP</v>
      </c>
    </row>
    <row r="259" spans="5:14" x14ac:dyDescent="0.25">
      <c r="E259" s="83">
        <v>201612</v>
      </c>
      <c r="F259" s="82" t="s">
        <v>563</v>
      </c>
      <c r="G259" s="82" t="s">
        <v>354</v>
      </c>
      <c r="H259" s="82" t="s">
        <v>626</v>
      </c>
      <c r="I259" s="95">
        <v>0</v>
      </c>
      <c r="K259" s="105" t="str">
        <f t="shared" si="15"/>
        <v>0003-1013-0057</v>
      </c>
      <c r="L259" s="105" t="str">
        <f>VLOOKUP(K259,COA!$A$3:$B$337,2,FALSE)</f>
        <v>N55</v>
      </c>
      <c r="M259" s="105" t="str">
        <f t="shared" si="16"/>
        <v>N55</v>
      </c>
      <c r="N259" s="105" t="str">
        <f>VLOOKUP(M259,CAC!$A$2:$B$198,2,FALSE)</f>
        <v>PPOPMR</v>
      </c>
    </row>
    <row r="260" spans="5:14" x14ac:dyDescent="0.25">
      <c r="E260" s="83">
        <v>201610</v>
      </c>
      <c r="F260" s="82" t="s">
        <v>746</v>
      </c>
      <c r="G260" s="82" t="s">
        <v>354</v>
      </c>
      <c r="H260" s="82" t="s">
        <v>344</v>
      </c>
      <c r="I260" s="95">
        <v>80</v>
      </c>
      <c r="K260" s="105" t="str">
        <f t="shared" ref="K260:K323" si="17">F260&amp;"-"&amp;G260&amp;"-"&amp;H260</f>
        <v>0016-1013-0012</v>
      </c>
      <c r="L260" s="105" t="str">
        <f>VLOOKUP(K260,COA!$A$3:$B$337,2,FALSE)</f>
        <v>R19</v>
      </c>
      <c r="M260" s="105" t="str">
        <f t="shared" ref="M260:M323" si="18">IF(ISNA(L260),"XXX",L260)</f>
        <v>R19</v>
      </c>
      <c r="N260" s="105" t="str">
        <f>VLOOKUP(M260,CAC!$A$2:$B$198,2,FALSE)</f>
        <v>HMOMG</v>
      </c>
    </row>
    <row r="261" spans="5:14" x14ac:dyDescent="0.25">
      <c r="E261" s="83">
        <v>201607</v>
      </c>
      <c r="F261" s="82" t="s">
        <v>344</v>
      </c>
      <c r="G261" s="82" t="s">
        <v>355</v>
      </c>
      <c r="H261" s="82" t="s">
        <v>344</v>
      </c>
      <c r="I261" s="95">
        <v>89</v>
      </c>
      <c r="K261" s="105" t="str">
        <f t="shared" si="17"/>
        <v>0012-1006-0012</v>
      </c>
      <c r="L261" s="105" t="str">
        <f>VLOOKUP(K261,COA!$A$3:$B$337,2,FALSE)</f>
        <v>L16</v>
      </c>
      <c r="M261" s="105" t="str">
        <f t="shared" si="18"/>
        <v>L16</v>
      </c>
      <c r="N261" s="105" t="str">
        <f>VLOOKUP(M261,CAC!$A$2:$B$198,2,FALSE)</f>
        <v>HMOLG</v>
      </c>
    </row>
    <row r="262" spans="5:14" x14ac:dyDescent="0.25">
      <c r="E262" s="83">
        <v>201608</v>
      </c>
      <c r="F262" s="82" t="s">
        <v>413</v>
      </c>
      <c r="G262" s="82" t="s">
        <v>365</v>
      </c>
      <c r="H262" s="82" t="s">
        <v>344</v>
      </c>
      <c r="I262" s="95">
        <v>0</v>
      </c>
      <c r="K262" s="105" t="str">
        <f t="shared" si="17"/>
        <v>0008-1001-0012</v>
      </c>
      <c r="L262" s="105" t="str">
        <f>VLOOKUP(K262,COA!$A$3:$B$337,2,FALSE)</f>
        <v>C95</v>
      </c>
      <c r="M262" s="105" t="str">
        <f t="shared" si="18"/>
        <v>C95</v>
      </c>
      <c r="N262" s="105" t="str">
        <f>VLOOKUP(M262,CAC!$A$2:$B$198,2,FALSE)</f>
        <v>DOIIFP</v>
      </c>
    </row>
    <row r="263" spans="5:14" x14ac:dyDescent="0.25">
      <c r="E263" s="83">
        <v>201606</v>
      </c>
      <c r="F263" s="82" t="s">
        <v>345</v>
      </c>
      <c r="G263" s="82" t="s">
        <v>350</v>
      </c>
      <c r="H263" s="82" t="s">
        <v>360</v>
      </c>
      <c r="I263" s="95">
        <v>6005.77</v>
      </c>
      <c r="K263" s="105" t="str">
        <f t="shared" si="17"/>
        <v>0011-1012-0048</v>
      </c>
      <c r="L263" s="105" t="str">
        <f>VLOOKUP(K263,COA!$A$3:$B$337,2,FALSE)</f>
        <v>K21</v>
      </c>
      <c r="M263" s="105" t="str">
        <f t="shared" si="18"/>
        <v>K21</v>
      </c>
      <c r="N263" s="105" t="str">
        <f>VLOOKUP(M263,CAC!$A$2:$B$198,2,FALSE)</f>
        <v>HMFLEX</v>
      </c>
    </row>
    <row r="264" spans="5:14" x14ac:dyDescent="0.25">
      <c r="E264" s="83">
        <v>201511</v>
      </c>
      <c r="F264" s="82" t="s">
        <v>345</v>
      </c>
      <c r="G264" s="82" t="s">
        <v>356</v>
      </c>
      <c r="H264" s="82" t="s">
        <v>344</v>
      </c>
      <c r="I264" s="95">
        <v>15283.03</v>
      </c>
      <c r="K264" s="105" t="str">
        <f t="shared" si="17"/>
        <v>0011-1002-0012</v>
      </c>
      <c r="L264" s="105" t="str">
        <f>VLOOKUP(K264,COA!$A$3:$B$337,2,FALSE)</f>
        <v>F20</v>
      </c>
      <c r="M264" s="105" t="str">
        <f t="shared" si="18"/>
        <v>F20</v>
      </c>
      <c r="N264" s="105" t="str">
        <f>VLOOKUP(M264,CAC!$A$2:$B$198,2,FALSE)</f>
        <v>HMOPMR</v>
      </c>
    </row>
    <row r="265" spans="5:14" x14ac:dyDescent="0.25">
      <c r="E265" s="83">
        <v>201711</v>
      </c>
      <c r="F265" s="82" t="s">
        <v>552</v>
      </c>
      <c r="G265" s="82" t="s">
        <v>356</v>
      </c>
      <c r="H265" s="82" t="s">
        <v>672</v>
      </c>
      <c r="I265" s="95">
        <v>0</v>
      </c>
      <c r="K265" s="105" t="str">
        <f t="shared" si="17"/>
        <v>0027-1002-0058</v>
      </c>
      <c r="L265" s="105" t="str">
        <f>VLOOKUP(K265,COA!$A$3:$B$337,2,FALSE)</f>
        <v>L45</v>
      </c>
      <c r="M265" s="105" t="str">
        <f t="shared" si="18"/>
        <v>L45</v>
      </c>
      <c r="N265" s="105" t="e">
        <f>VLOOKUP(M265,CAC!$A$2:$B$198,2,FALSE)</f>
        <v>#N/A</v>
      </c>
    </row>
    <row r="266" spans="5:14" x14ac:dyDescent="0.25">
      <c r="E266" s="83">
        <v>201704</v>
      </c>
      <c r="F266" s="82" t="s">
        <v>344</v>
      </c>
      <c r="G266" s="82" t="s">
        <v>352</v>
      </c>
      <c r="H266" s="82" t="s">
        <v>360</v>
      </c>
      <c r="I266" s="95">
        <v>217</v>
      </c>
      <c r="K266" s="105" t="str">
        <f t="shared" si="17"/>
        <v>0012-1004-0048</v>
      </c>
      <c r="L266" s="105" t="str">
        <f>VLOOKUP(K266,COA!$A$3:$B$337,2,FALSE)</f>
        <v>L22</v>
      </c>
      <c r="M266" s="105" t="str">
        <f t="shared" si="18"/>
        <v>L22</v>
      </c>
      <c r="N266" s="105" t="str">
        <f>VLOOKUP(M266,CAC!$A$2:$B$198,2,FALSE)</f>
        <v>HMFLEX</v>
      </c>
    </row>
    <row r="267" spans="5:14" x14ac:dyDescent="0.25">
      <c r="E267" s="83">
        <v>201607</v>
      </c>
      <c r="F267" s="82" t="s">
        <v>345</v>
      </c>
      <c r="G267" s="82" t="s">
        <v>355</v>
      </c>
      <c r="H267" s="82" t="s">
        <v>344</v>
      </c>
      <c r="I267" s="95">
        <v>22918.94</v>
      </c>
      <c r="K267" s="105" t="str">
        <f t="shared" si="17"/>
        <v>0011-1006-0012</v>
      </c>
      <c r="L267" s="105" t="str">
        <f>VLOOKUP(K267,COA!$A$3:$B$337,2,FALSE)</f>
        <v>L13</v>
      </c>
      <c r="M267" s="105" t="str">
        <f t="shared" si="18"/>
        <v>L13</v>
      </c>
      <c r="N267" s="105" t="str">
        <f>VLOOKUP(M267,CAC!$A$2:$B$198,2,FALSE)</f>
        <v>HMOLG</v>
      </c>
    </row>
    <row r="268" spans="5:14" x14ac:dyDescent="0.25">
      <c r="E268" s="83">
        <v>201602</v>
      </c>
      <c r="F268" s="82" t="s">
        <v>345</v>
      </c>
      <c r="G268" s="82" t="s">
        <v>346</v>
      </c>
      <c r="H268" s="82" t="s">
        <v>344</v>
      </c>
      <c r="I268" s="95">
        <v>1</v>
      </c>
      <c r="K268" s="105" t="str">
        <f t="shared" si="17"/>
        <v>0011-1014-0012</v>
      </c>
      <c r="L268" s="105" t="e">
        <f>VLOOKUP(K268,COA!$A$3:$B$337,2,FALSE)</f>
        <v>#N/A</v>
      </c>
      <c r="M268" s="105" t="str">
        <f t="shared" si="18"/>
        <v>XXX</v>
      </c>
      <c r="N268" s="105" t="str">
        <f>VLOOKUP(M268,CAC!$A$2:$B$198,2,FALSE)</f>
        <v>XXX</v>
      </c>
    </row>
    <row r="269" spans="5:14" x14ac:dyDescent="0.25">
      <c r="E269" s="83">
        <v>201705</v>
      </c>
      <c r="F269" s="82" t="s">
        <v>563</v>
      </c>
      <c r="G269" s="82" t="s">
        <v>354</v>
      </c>
      <c r="H269" s="82" t="s">
        <v>360</v>
      </c>
      <c r="I269" s="95">
        <v>0</v>
      </c>
      <c r="K269" s="105" t="str">
        <f t="shared" si="17"/>
        <v>0003-1013-0048</v>
      </c>
      <c r="L269" s="105" t="str">
        <f>VLOOKUP(K269,COA!$A$3:$B$337,2,FALSE)</f>
        <v>N56</v>
      </c>
      <c r="M269" s="105" t="str">
        <f t="shared" si="18"/>
        <v>N56</v>
      </c>
      <c r="N269" s="105" t="str">
        <f>VLOOKUP(M269,CAC!$A$2:$B$198,2,FALSE)</f>
        <v>HMFLEX</v>
      </c>
    </row>
    <row r="270" spans="5:14" x14ac:dyDescent="0.25">
      <c r="E270" s="83">
        <v>201604</v>
      </c>
      <c r="F270" s="82" t="s">
        <v>506</v>
      </c>
      <c r="G270" s="82" t="s">
        <v>350</v>
      </c>
      <c r="H270" s="82" t="s">
        <v>592</v>
      </c>
      <c r="I270" s="95">
        <v>0</v>
      </c>
      <c r="K270" s="105" t="str">
        <f t="shared" si="17"/>
        <v>0013-1012-0035</v>
      </c>
      <c r="L270" s="105" t="str">
        <f>VLOOKUP(K270,COA!$A$3:$B$337,2,FALSE)</f>
        <v>K41</v>
      </c>
      <c r="M270" s="105" t="str">
        <f t="shared" si="18"/>
        <v>K41</v>
      </c>
      <c r="N270" s="105" t="e">
        <f>VLOOKUP(M270,CAC!$A$2:$B$198,2,FALSE)</f>
        <v>#N/A</v>
      </c>
    </row>
    <row r="271" spans="5:14" x14ac:dyDescent="0.25">
      <c r="E271" s="83">
        <v>201705</v>
      </c>
      <c r="F271" s="82" t="s">
        <v>563</v>
      </c>
      <c r="G271" s="82" t="s">
        <v>348</v>
      </c>
      <c r="H271" s="82" t="s">
        <v>358</v>
      </c>
      <c r="I271" s="95">
        <v>0</v>
      </c>
      <c r="K271" s="105" t="str">
        <f t="shared" si="17"/>
        <v>0003-1010-0024</v>
      </c>
      <c r="L271" s="105" t="str">
        <f>VLOOKUP(K271,COA!$A$3:$B$337,2,FALSE)</f>
        <v>S56</v>
      </c>
      <c r="M271" s="105" t="str">
        <f t="shared" si="18"/>
        <v>S56</v>
      </c>
      <c r="N271" s="105" t="str">
        <f>VLOOKUP(M271,CAC!$A$2:$B$198,2,FALSE)</f>
        <v>PPOSG</v>
      </c>
    </row>
    <row r="272" spans="5:14" x14ac:dyDescent="0.25">
      <c r="E272" s="83">
        <v>201612</v>
      </c>
      <c r="F272" s="82" t="s">
        <v>344</v>
      </c>
      <c r="G272" s="82" t="s">
        <v>359</v>
      </c>
      <c r="H272" s="82" t="s">
        <v>344</v>
      </c>
      <c r="I272" s="95">
        <v>137</v>
      </c>
      <c r="K272" s="105" t="str">
        <f t="shared" si="17"/>
        <v>0012-1005-0012</v>
      </c>
      <c r="L272" s="105" t="str">
        <f>VLOOKUP(K272,COA!$A$3:$B$337,2,FALSE)</f>
        <v>N13</v>
      </c>
      <c r="M272" s="105" t="str">
        <f t="shared" si="18"/>
        <v>N13</v>
      </c>
      <c r="N272" s="105" t="str">
        <f>VLOOKUP(M272,CAC!$A$2:$B$198,2,FALSE)</f>
        <v>HMOLG</v>
      </c>
    </row>
    <row r="273" spans="5:14" x14ac:dyDescent="0.25">
      <c r="E273" s="83">
        <v>201504</v>
      </c>
      <c r="F273" s="82" t="s">
        <v>746</v>
      </c>
      <c r="G273" s="82" t="s">
        <v>352</v>
      </c>
      <c r="H273" s="82" t="s">
        <v>344</v>
      </c>
      <c r="I273" s="95">
        <v>0</v>
      </c>
      <c r="K273" s="105" t="str">
        <f t="shared" si="17"/>
        <v>0016-1004-0012</v>
      </c>
      <c r="L273" s="105" t="str">
        <f>VLOOKUP(K273,COA!$A$3:$B$337,2,FALSE)</f>
        <v>R20</v>
      </c>
      <c r="M273" s="105" t="str">
        <f t="shared" si="18"/>
        <v>R20</v>
      </c>
      <c r="N273" s="105" t="str">
        <f>VLOOKUP(M273,CAC!$A$2:$B$198,2,FALSE)</f>
        <v>HMOMG</v>
      </c>
    </row>
    <row r="274" spans="5:14" x14ac:dyDescent="0.25">
      <c r="E274" s="83">
        <v>201507</v>
      </c>
      <c r="F274" s="82" t="s">
        <v>345</v>
      </c>
      <c r="G274" s="82" t="s">
        <v>362</v>
      </c>
      <c r="H274" s="82" t="s">
        <v>371</v>
      </c>
      <c r="I274" s="95">
        <v>6195</v>
      </c>
      <c r="K274" s="105" t="str">
        <f t="shared" si="17"/>
        <v>0011-1008-0033</v>
      </c>
      <c r="L274" s="105" t="str">
        <f>VLOOKUP(K274,COA!$A$3:$B$337,2,FALSE)</f>
        <v>P13</v>
      </c>
      <c r="M274" s="105" t="str">
        <f t="shared" si="18"/>
        <v>P13</v>
      </c>
      <c r="N274" s="105" t="str">
        <f>VLOOKUP(M274,CAC!$A$2:$B$198,2,FALSE)</f>
        <v>PERMEDA</v>
      </c>
    </row>
    <row r="275" spans="5:14" x14ac:dyDescent="0.25">
      <c r="E275" s="83">
        <v>201601</v>
      </c>
      <c r="F275" s="82" t="s">
        <v>345</v>
      </c>
      <c r="G275" s="82" t="s">
        <v>346</v>
      </c>
      <c r="H275" s="82" t="s">
        <v>360</v>
      </c>
      <c r="I275" s="95">
        <v>375.18</v>
      </c>
      <c r="K275" s="105" t="str">
        <f t="shared" si="17"/>
        <v>0011-1014-0048</v>
      </c>
      <c r="L275" s="105" t="str">
        <f>VLOOKUP(K275,COA!$A$3:$B$337,2,FALSE)</f>
        <v>K23</v>
      </c>
      <c r="M275" s="105" t="str">
        <f t="shared" si="18"/>
        <v>K23</v>
      </c>
      <c r="N275" s="105" t="str">
        <f>VLOOKUP(M275,CAC!$A$2:$B$198,2,FALSE)</f>
        <v>HMFLEX</v>
      </c>
    </row>
    <row r="276" spans="5:14" x14ac:dyDescent="0.25">
      <c r="E276" s="83">
        <v>201607</v>
      </c>
      <c r="F276" s="82" t="s">
        <v>563</v>
      </c>
      <c r="G276" s="82" t="s">
        <v>354</v>
      </c>
      <c r="H276" s="82" t="s">
        <v>344</v>
      </c>
      <c r="I276" s="95">
        <v>0</v>
      </c>
      <c r="K276" s="105" t="str">
        <f t="shared" si="17"/>
        <v>0003-1013-0012</v>
      </c>
      <c r="L276" s="105" t="str">
        <f>VLOOKUP(K276,COA!$A$3:$B$337,2,FALSE)</f>
        <v>N55</v>
      </c>
      <c r="M276" s="105" t="str">
        <f t="shared" si="18"/>
        <v>N55</v>
      </c>
      <c r="N276" s="105" t="str">
        <f>VLOOKUP(M276,CAC!$A$2:$B$198,2,FALSE)</f>
        <v>PPOPMR</v>
      </c>
    </row>
    <row r="277" spans="5:14" x14ac:dyDescent="0.25">
      <c r="E277" s="83">
        <v>201512</v>
      </c>
      <c r="F277" s="82" t="s">
        <v>563</v>
      </c>
      <c r="G277" s="82" t="s">
        <v>354</v>
      </c>
      <c r="H277" s="82" t="s">
        <v>653</v>
      </c>
      <c r="I277" s="95">
        <v>0</v>
      </c>
      <c r="K277" s="105" t="str">
        <f t="shared" si="17"/>
        <v>0003-1013-0047</v>
      </c>
      <c r="L277" s="105" t="str">
        <f>VLOOKUP(K277,COA!$A$3:$B$337,2,FALSE)</f>
        <v>N57</v>
      </c>
      <c r="M277" s="105" t="str">
        <f t="shared" si="18"/>
        <v>N57</v>
      </c>
      <c r="N277" s="105" t="str">
        <f>VLOOKUP(M277,CAC!$A$2:$B$198,2,FALSE)</f>
        <v>PPOPMR</v>
      </c>
    </row>
    <row r="278" spans="5:14" x14ac:dyDescent="0.25">
      <c r="E278" s="83">
        <v>201506</v>
      </c>
      <c r="F278" s="82" t="s">
        <v>345</v>
      </c>
      <c r="G278" s="82" t="s">
        <v>346</v>
      </c>
      <c r="H278" s="82" t="s">
        <v>347</v>
      </c>
      <c r="I278" s="95">
        <v>11</v>
      </c>
      <c r="K278" s="105" t="str">
        <f t="shared" si="17"/>
        <v>0011-1014-0039</v>
      </c>
      <c r="L278" s="105" t="str">
        <f>VLOOKUP(K278,COA!$A$3:$B$337,2,FALSE)</f>
        <v>K24</v>
      </c>
      <c r="M278" s="105" t="str">
        <f t="shared" si="18"/>
        <v>K24</v>
      </c>
      <c r="N278" s="105" t="str">
        <f>VLOOKUP(M278,CAC!$A$2:$B$198,2,FALSE)</f>
        <v>HMFLEX</v>
      </c>
    </row>
    <row r="279" spans="5:14" x14ac:dyDescent="0.25">
      <c r="E279" s="83">
        <v>201604</v>
      </c>
      <c r="F279" s="82" t="s">
        <v>344</v>
      </c>
      <c r="G279" s="82" t="s">
        <v>354</v>
      </c>
      <c r="H279" s="82" t="s">
        <v>344</v>
      </c>
      <c r="I279" s="95">
        <v>279</v>
      </c>
      <c r="K279" s="105" t="str">
        <f t="shared" si="17"/>
        <v>0012-1013-0012</v>
      </c>
      <c r="L279" s="105" t="str">
        <f>VLOOKUP(K279,COA!$A$3:$B$337,2,FALSE)</f>
        <v>N14</v>
      </c>
      <c r="M279" s="105" t="str">
        <f t="shared" si="18"/>
        <v>N14</v>
      </c>
      <c r="N279" s="105" t="str">
        <f>VLOOKUP(M279,CAC!$A$2:$B$198,2,FALSE)</f>
        <v>HMOPMR</v>
      </c>
    </row>
    <row r="280" spans="5:14" x14ac:dyDescent="0.25">
      <c r="E280" s="83">
        <v>201612</v>
      </c>
      <c r="F280" s="82" t="s">
        <v>746</v>
      </c>
      <c r="G280" s="82" t="s">
        <v>354</v>
      </c>
      <c r="H280" s="82" t="s">
        <v>344</v>
      </c>
      <c r="I280" s="95">
        <v>81</v>
      </c>
      <c r="K280" s="105" t="str">
        <f t="shared" si="17"/>
        <v>0016-1013-0012</v>
      </c>
      <c r="L280" s="105" t="str">
        <f>VLOOKUP(K280,COA!$A$3:$B$337,2,FALSE)</f>
        <v>R19</v>
      </c>
      <c r="M280" s="105" t="str">
        <f t="shared" si="18"/>
        <v>R19</v>
      </c>
      <c r="N280" s="105" t="str">
        <f>VLOOKUP(M280,CAC!$A$2:$B$198,2,FALSE)</f>
        <v>HMOMG</v>
      </c>
    </row>
    <row r="281" spans="5:14" x14ac:dyDescent="0.25">
      <c r="E281" s="83">
        <v>201606</v>
      </c>
      <c r="F281" s="82" t="s">
        <v>563</v>
      </c>
      <c r="G281" s="82" t="s">
        <v>365</v>
      </c>
      <c r="H281" s="82" t="s">
        <v>411</v>
      </c>
      <c r="I281" s="95">
        <v>0</v>
      </c>
      <c r="K281" s="105" t="str">
        <f t="shared" si="17"/>
        <v>0003-1001-0007</v>
      </c>
      <c r="L281" s="105" t="str">
        <f>VLOOKUP(K281,COA!$A$3:$B$337,2,FALSE)</f>
        <v>V52</v>
      </c>
      <c r="M281" s="105" t="str">
        <f t="shared" si="18"/>
        <v>V52</v>
      </c>
      <c r="N281" s="105" t="str">
        <f>VLOOKUP(M281,CAC!$A$2:$B$198,2,FALSE)</f>
        <v>PPOIFP</v>
      </c>
    </row>
    <row r="282" spans="5:14" x14ac:dyDescent="0.25">
      <c r="E282" s="83">
        <v>201702</v>
      </c>
      <c r="F282" s="82" t="s">
        <v>563</v>
      </c>
      <c r="G282" s="82" t="s">
        <v>355</v>
      </c>
      <c r="H282" s="82" t="s">
        <v>344</v>
      </c>
      <c r="I282" s="95">
        <v>0</v>
      </c>
      <c r="K282" s="105" t="str">
        <f t="shared" si="17"/>
        <v>0003-1006-0012</v>
      </c>
      <c r="L282" s="105" t="str">
        <f>VLOOKUP(K282,COA!$A$3:$B$337,2,FALSE)</f>
        <v>L52</v>
      </c>
      <c r="M282" s="105" t="str">
        <f t="shared" si="18"/>
        <v>L52</v>
      </c>
      <c r="N282" s="105" t="str">
        <f>VLOOKUP(M282,CAC!$A$2:$B$198,2,FALSE)</f>
        <v>PPOLG</v>
      </c>
    </row>
    <row r="283" spans="5:14" x14ac:dyDescent="0.25">
      <c r="E283" s="83">
        <v>201511</v>
      </c>
      <c r="F283" s="82" t="s">
        <v>549</v>
      </c>
      <c r="G283" s="82" t="s">
        <v>356</v>
      </c>
      <c r="H283" s="82" t="s">
        <v>672</v>
      </c>
      <c r="I283" s="95">
        <v>0</v>
      </c>
      <c r="K283" s="105" t="str">
        <f t="shared" si="17"/>
        <v>0026-1002-0058</v>
      </c>
      <c r="L283" s="105" t="str">
        <f>VLOOKUP(K283,COA!$A$3:$B$337,2,FALSE)</f>
        <v>L45</v>
      </c>
      <c r="M283" s="105" t="str">
        <f t="shared" si="18"/>
        <v>L45</v>
      </c>
      <c r="N283" s="105" t="e">
        <f>VLOOKUP(M283,CAC!$A$2:$B$198,2,FALSE)</f>
        <v>#N/A</v>
      </c>
    </row>
    <row r="284" spans="5:14" x14ac:dyDescent="0.25">
      <c r="E284" s="83">
        <v>201704</v>
      </c>
      <c r="F284" s="82" t="s">
        <v>746</v>
      </c>
      <c r="G284" s="82" t="s">
        <v>361</v>
      </c>
      <c r="H284" s="82" t="s">
        <v>344</v>
      </c>
      <c r="I284" s="95">
        <v>501</v>
      </c>
      <c r="K284" s="105" t="str">
        <f t="shared" si="17"/>
        <v>0016-1003-0012</v>
      </c>
      <c r="L284" s="105" t="str">
        <f>VLOOKUP(K284,COA!$A$3:$B$337,2,FALSE)</f>
        <v>R18</v>
      </c>
      <c r="M284" s="105" t="str">
        <f t="shared" si="18"/>
        <v>R18</v>
      </c>
      <c r="N284" s="105" t="str">
        <f>VLOOKUP(M284,CAC!$A$2:$B$198,2,FALSE)</f>
        <v>HMOMG</v>
      </c>
    </row>
    <row r="285" spans="5:14" x14ac:dyDescent="0.25">
      <c r="E285" s="83">
        <v>201602</v>
      </c>
      <c r="F285" s="82" t="s">
        <v>344</v>
      </c>
      <c r="G285" s="82" t="s">
        <v>359</v>
      </c>
      <c r="H285" s="82" t="s">
        <v>344</v>
      </c>
      <c r="I285" s="95">
        <v>129</v>
      </c>
      <c r="K285" s="105" t="str">
        <f t="shared" si="17"/>
        <v>0012-1005-0012</v>
      </c>
      <c r="L285" s="105" t="str">
        <f>VLOOKUP(K285,COA!$A$3:$B$337,2,FALSE)</f>
        <v>N13</v>
      </c>
      <c r="M285" s="105" t="str">
        <f t="shared" si="18"/>
        <v>N13</v>
      </c>
      <c r="N285" s="105" t="str">
        <f>VLOOKUP(M285,CAC!$A$2:$B$198,2,FALSE)</f>
        <v>HMOLG</v>
      </c>
    </row>
    <row r="286" spans="5:14" x14ac:dyDescent="0.25">
      <c r="E286" s="83">
        <v>201512</v>
      </c>
      <c r="F286" s="82" t="s">
        <v>563</v>
      </c>
      <c r="G286" s="82" t="s">
        <v>354</v>
      </c>
      <c r="H286" s="82" t="s">
        <v>626</v>
      </c>
      <c r="I286" s="95">
        <v>0</v>
      </c>
      <c r="K286" s="105" t="str">
        <f t="shared" si="17"/>
        <v>0003-1013-0057</v>
      </c>
      <c r="L286" s="105" t="str">
        <f>VLOOKUP(K286,COA!$A$3:$B$337,2,FALSE)</f>
        <v>N55</v>
      </c>
      <c r="M286" s="105" t="str">
        <f t="shared" si="18"/>
        <v>N55</v>
      </c>
      <c r="N286" s="105" t="str">
        <f>VLOOKUP(M286,CAC!$A$2:$B$198,2,FALSE)</f>
        <v>PPOPMR</v>
      </c>
    </row>
    <row r="287" spans="5:14" x14ac:dyDescent="0.25">
      <c r="E287" s="83">
        <v>201604</v>
      </c>
      <c r="F287" s="82" t="s">
        <v>746</v>
      </c>
      <c r="G287" s="82" t="s">
        <v>355</v>
      </c>
      <c r="H287" s="82" t="s">
        <v>344</v>
      </c>
      <c r="I287" s="95">
        <v>0</v>
      </c>
      <c r="K287" s="105" t="str">
        <f t="shared" si="17"/>
        <v>0016-1006-0012</v>
      </c>
      <c r="L287" s="105" t="str">
        <f>VLOOKUP(K287,COA!$A$3:$B$337,2,FALSE)</f>
        <v>R21</v>
      </c>
      <c r="M287" s="105" t="str">
        <f t="shared" si="18"/>
        <v>R21</v>
      </c>
      <c r="N287" s="105" t="str">
        <f>VLOOKUP(M287,CAC!$A$2:$B$198,2,FALSE)</f>
        <v>HMOMG</v>
      </c>
    </row>
    <row r="288" spans="5:14" x14ac:dyDescent="0.25">
      <c r="E288" s="83">
        <v>201609</v>
      </c>
      <c r="F288" s="82" t="s">
        <v>563</v>
      </c>
      <c r="G288" s="82" t="s">
        <v>355</v>
      </c>
      <c r="H288" s="82" t="s">
        <v>344</v>
      </c>
      <c r="I288" s="95">
        <v>0</v>
      </c>
      <c r="K288" s="105" t="str">
        <f t="shared" si="17"/>
        <v>0003-1006-0012</v>
      </c>
      <c r="L288" s="105" t="str">
        <f>VLOOKUP(K288,COA!$A$3:$B$337,2,FALSE)</f>
        <v>L52</v>
      </c>
      <c r="M288" s="105" t="str">
        <f t="shared" si="18"/>
        <v>L52</v>
      </c>
      <c r="N288" s="105" t="str">
        <f>VLOOKUP(M288,CAC!$A$2:$B$198,2,FALSE)</f>
        <v>PPOLG</v>
      </c>
    </row>
    <row r="289" spans="5:14" x14ac:dyDescent="0.25">
      <c r="E289" s="83">
        <v>201611</v>
      </c>
      <c r="F289" s="82" t="s">
        <v>345</v>
      </c>
      <c r="G289" s="82" t="s">
        <v>351</v>
      </c>
      <c r="H289" s="82" t="s">
        <v>349</v>
      </c>
      <c r="I289" s="95">
        <v>0</v>
      </c>
      <c r="K289" s="105" t="str">
        <f t="shared" si="17"/>
        <v>0011-0000-0017</v>
      </c>
      <c r="L289" s="105" t="e">
        <f>VLOOKUP(K289,COA!$A$3:$B$337,2,FALSE)</f>
        <v>#N/A</v>
      </c>
      <c r="M289" s="105" t="str">
        <f t="shared" si="18"/>
        <v>XXX</v>
      </c>
      <c r="N289" s="105" t="str">
        <f>VLOOKUP(M289,CAC!$A$2:$B$198,2,FALSE)</f>
        <v>XXX</v>
      </c>
    </row>
    <row r="290" spans="5:14" x14ac:dyDescent="0.25">
      <c r="E290" s="83">
        <v>201504</v>
      </c>
      <c r="F290" s="82" t="s">
        <v>345</v>
      </c>
      <c r="G290" s="82" t="s">
        <v>351</v>
      </c>
      <c r="H290" s="82" t="s">
        <v>349</v>
      </c>
      <c r="I290" s="95">
        <v>1</v>
      </c>
      <c r="K290" s="105" t="str">
        <f t="shared" si="17"/>
        <v>0011-0000-0017</v>
      </c>
      <c r="L290" s="105" t="e">
        <f>VLOOKUP(K290,COA!$A$3:$B$337,2,FALSE)</f>
        <v>#N/A</v>
      </c>
      <c r="M290" s="105" t="str">
        <f t="shared" si="18"/>
        <v>XXX</v>
      </c>
      <c r="N290" s="105" t="str">
        <f>VLOOKUP(M290,CAC!$A$2:$B$198,2,FALSE)</f>
        <v>XXX</v>
      </c>
    </row>
    <row r="291" spans="5:14" x14ac:dyDescent="0.25">
      <c r="E291" s="83">
        <v>201604</v>
      </c>
      <c r="F291" s="82" t="s">
        <v>563</v>
      </c>
      <c r="G291" s="82" t="s">
        <v>348</v>
      </c>
      <c r="H291" s="82" t="s">
        <v>349</v>
      </c>
      <c r="I291" s="95">
        <v>0</v>
      </c>
      <c r="K291" s="105" t="str">
        <f t="shared" si="17"/>
        <v>0003-1010-0017</v>
      </c>
      <c r="L291" s="105" t="str">
        <f>VLOOKUP(K291,COA!$A$3:$B$337,2,FALSE)</f>
        <v>S51</v>
      </c>
      <c r="M291" s="105" t="str">
        <f t="shared" si="18"/>
        <v>S51</v>
      </c>
      <c r="N291" s="105" t="str">
        <f>VLOOKUP(M291,CAC!$A$2:$B$198,2,FALSE)</f>
        <v>PPOSG</v>
      </c>
    </row>
    <row r="292" spans="5:14" x14ac:dyDescent="0.25">
      <c r="E292" s="83">
        <v>201606</v>
      </c>
      <c r="F292" s="82" t="s">
        <v>345</v>
      </c>
      <c r="G292" s="82" t="s">
        <v>362</v>
      </c>
      <c r="H292" s="82" t="s">
        <v>364</v>
      </c>
      <c r="I292" s="95">
        <v>37784.36</v>
      </c>
      <c r="K292" s="105" t="str">
        <f t="shared" si="17"/>
        <v>0011-1008-0037</v>
      </c>
      <c r="L292" s="105" t="str">
        <f>VLOOKUP(K292,COA!$A$3:$B$337,2,FALSE)</f>
        <v>P12</v>
      </c>
      <c r="M292" s="105" t="str">
        <f t="shared" si="18"/>
        <v>P12</v>
      </c>
      <c r="N292" s="105" t="str">
        <f>VLOOKUP(M292,CAC!$A$2:$B$198,2,FALSE)</f>
        <v>HMOPERA</v>
      </c>
    </row>
    <row r="293" spans="5:14" x14ac:dyDescent="0.25">
      <c r="E293" s="83">
        <v>201801</v>
      </c>
      <c r="F293" s="82" t="s">
        <v>344</v>
      </c>
      <c r="G293" s="82" t="s">
        <v>356</v>
      </c>
      <c r="H293" s="82" t="s">
        <v>344</v>
      </c>
      <c r="I293" s="95">
        <v>4257.13</v>
      </c>
      <c r="K293" s="105" t="str">
        <f t="shared" si="17"/>
        <v>0012-1002-0012</v>
      </c>
      <c r="L293" s="105" t="str">
        <f>VLOOKUP(K293,COA!$A$3:$B$337,2,FALSE)</f>
        <v>F22</v>
      </c>
      <c r="M293" s="105" t="str">
        <f t="shared" si="18"/>
        <v>F22</v>
      </c>
      <c r="N293" s="105" t="str">
        <f>VLOOKUP(M293,CAC!$A$2:$B$198,2,FALSE)</f>
        <v>HMOPMR</v>
      </c>
    </row>
    <row r="294" spans="5:14" x14ac:dyDescent="0.25">
      <c r="E294" s="83">
        <v>201701</v>
      </c>
      <c r="F294" s="82" t="s">
        <v>345</v>
      </c>
      <c r="G294" s="82" t="s">
        <v>361</v>
      </c>
      <c r="H294" s="82" t="s">
        <v>344</v>
      </c>
      <c r="I294" s="95">
        <v>939.88</v>
      </c>
      <c r="K294" s="105" t="str">
        <f t="shared" si="17"/>
        <v>0011-1003-0012</v>
      </c>
      <c r="L294" s="105" t="str">
        <f>VLOOKUP(K294,COA!$A$3:$B$337,2,FALSE)</f>
        <v>N16</v>
      </c>
      <c r="M294" s="105" t="str">
        <f t="shared" si="18"/>
        <v>N16</v>
      </c>
      <c r="N294" s="105" t="str">
        <f>VLOOKUP(M294,CAC!$A$2:$B$198,2,FALSE)</f>
        <v>HMOPMR</v>
      </c>
    </row>
    <row r="295" spans="5:14" x14ac:dyDescent="0.25">
      <c r="E295" s="83">
        <v>201610</v>
      </c>
      <c r="F295" s="82" t="s">
        <v>549</v>
      </c>
      <c r="G295" s="82" t="s">
        <v>352</v>
      </c>
      <c r="H295" s="82" t="s">
        <v>672</v>
      </c>
      <c r="I295" s="95">
        <v>0</v>
      </c>
      <c r="K295" s="105" t="str">
        <f t="shared" si="17"/>
        <v>0026-1004-0058</v>
      </c>
      <c r="L295" s="105" t="str">
        <f>VLOOKUP(K295,COA!$A$3:$B$337,2,FALSE)</f>
        <v>L44</v>
      </c>
      <c r="M295" s="105" t="str">
        <f t="shared" si="18"/>
        <v>L44</v>
      </c>
      <c r="N295" s="105" t="e">
        <f>VLOOKUP(M295,CAC!$A$2:$B$198,2,FALSE)</f>
        <v>#N/A</v>
      </c>
    </row>
    <row r="296" spans="5:14" x14ac:dyDescent="0.25">
      <c r="E296" s="83">
        <v>201602</v>
      </c>
      <c r="F296" s="82" t="s">
        <v>345</v>
      </c>
      <c r="G296" s="82" t="s">
        <v>350</v>
      </c>
      <c r="H296" s="82" t="s">
        <v>357</v>
      </c>
      <c r="I296" s="95">
        <v>674.07</v>
      </c>
      <c r="K296" s="105" t="str">
        <f t="shared" si="17"/>
        <v>0011-1012-0038</v>
      </c>
      <c r="L296" s="105" t="str">
        <f>VLOOKUP(K296,COA!$A$3:$B$337,2,FALSE)</f>
        <v>K14</v>
      </c>
      <c r="M296" s="105" t="str">
        <f t="shared" si="18"/>
        <v>K14</v>
      </c>
      <c r="N296" s="105" t="str">
        <f>VLOOKUP(M296,CAC!$A$2:$B$198,2,FALSE)</f>
        <v>HMOPMR</v>
      </c>
    </row>
    <row r="297" spans="5:14" x14ac:dyDescent="0.25">
      <c r="E297" s="83">
        <v>201602</v>
      </c>
      <c r="F297" s="82" t="s">
        <v>405</v>
      </c>
      <c r="G297" s="82" t="s">
        <v>362</v>
      </c>
      <c r="H297" s="82" t="s">
        <v>342</v>
      </c>
      <c r="I297" s="95">
        <v>0</v>
      </c>
      <c r="K297" s="105" t="str">
        <f t="shared" si="17"/>
        <v>0019-1008-0031</v>
      </c>
      <c r="L297" s="105" t="str">
        <f>VLOOKUP(K297,COA!$A$3:$B$337,2,FALSE)</f>
        <v>P53</v>
      </c>
      <c r="M297" s="105" t="str">
        <f t="shared" si="18"/>
        <v>P53</v>
      </c>
      <c r="N297" s="105" t="str">
        <f>VLOOKUP(M297,CAC!$A$2:$B$198,2,FALSE)</f>
        <v>HMOPERA</v>
      </c>
    </row>
    <row r="298" spans="5:14" x14ac:dyDescent="0.25">
      <c r="E298" s="83">
        <v>201707</v>
      </c>
      <c r="F298" s="82" t="s">
        <v>563</v>
      </c>
      <c r="G298" s="82" t="s">
        <v>352</v>
      </c>
      <c r="H298" s="82" t="s">
        <v>626</v>
      </c>
      <c r="I298" s="95">
        <v>0</v>
      </c>
      <c r="K298" s="105" t="str">
        <f t="shared" si="17"/>
        <v>0003-1004-0057</v>
      </c>
      <c r="L298" s="105" t="e">
        <f>VLOOKUP(K298,COA!$A$3:$B$337,2,FALSE)</f>
        <v>#N/A</v>
      </c>
      <c r="M298" s="105" t="str">
        <f t="shared" si="18"/>
        <v>XXX</v>
      </c>
      <c r="N298" s="105" t="str">
        <f>VLOOKUP(M298,CAC!$A$2:$B$198,2,FALSE)</f>
        <v>XXX</v>
      </c>
    </row>
    <row r="299" spans="5:14" x14ac:dyDescent="0.25">
      <c r="E299" s="83">
        <v>201711</v>
      </c>
      <c r="F299" s="82" t="s">
        <v>345</v>
      </c>
      <c r="G299" s="82" t="s">
        <v>354</v>
      </c>
      <c r="H299" s="82" t="s">
        <v>344</v>
      </c>
      <c r="I299" s="95">
        <v>4251.1400000000003</v>
      </c>
      <c r="K299" s="105" t="str">
        <f t="shared" si="17"/>
        <v>0011-1013-0012</v>
      </c>
      <c r="L299" s="105" t="str">
        <f>VLOOKUP(K299,COA!$A$3:$B$337,2,FALSE)</f>
        <v>N20</v>
      </c>
      <c r="M299" s="105" t="str">
        <f t="shared" si="18"/>
        <v>N20</v>
      </c>
      <c r="N299" s="105" t="str">
        <f>VLOOKUP(M299,CAC!$A$2:$B$198,2,FALSE)</f>
        <v>HMOPMR</v>
      </c>
    </row>
    <row r="300" spans="5:14" x14ac:dyDescent="0.25">
      <c r="E300" s="83">
        <v>201708</v>
      </c>
      <c r="F300" s="82" t="s">
        <v>563</v>
      </c>
      <c r="G300" s="82" t="s">
        <v>365</v>
      </c>
      <c r="H300" s="82" t="s">
        <v>367</v>
      </c>
      <c r="I300" s="95">
        <v>0</v>
      </c>
      <c r="K300" s="105" t="str">
        <f t="shared" si="17"/>
        <v>0003-1001-0022</v>
      </c>
      <c r="L300" s="105" t="str">
        <f>VLOOKUP(K300,COA!$A$3:$B$337,2,FALSE)</f>
        <v>V54</v>
      </c>
      <c r="M300" s="105" t="str">
        <f t="shared" si="18"/>
        <v>V54</v>
      </c>
      <c r="N300" s="105" t="str">
        <f>VLOOKUP(M300,CAC!$A$2:$B$198,2,FALSE)</f>
        <v>PPOIFP</v>
      </c>
    </row>
    <row r="301" spans="5:14" x14ac:dyDescent="0.25">
      <c r="E301" s="83">
        <v>201511</v>
      </c>
      <c r="F301" s="82" t="s">
        <v>345</v>
      </c>
      <c r="G301" s="82" t="s">
        <v>362</v>
      </c>
      <c r="H301" s="82" t="s">
        <v>370</v>
      </c>
      <c r="I301" s="95">
        <v>2359</v>
      </c>
      <c r="K301" s="105" t="str">
        <f t="shared" si="17"/>
        <v>0011-1008-0055</v>
      </c>
      <c r="L301" s="105" t="str">
        <f>VLOOKUP(K301,COA!$A$3:$B$337,2,FALSE)</f>
        <v>P28</v>
      </c>
      <c r="M301" s="105" t="str">
        <f t="shared" si="18"/>
        <v>P28</v>
      </c>
      <c r="N301" s="105" t="str">
        <f>VLOOKUP(M301,CAC!$A$2:$B$198,2,FALSE)</f>
        <v>PERMEDN</v>
      </c>
    </row>
    <row r="302" spans="5:14" x14ac:dyDescent="0.25">
      <c r="E302" s="83">
        <v>201604</v>
      </c>
      <c r="F302" s="82" t="s">
        <v>413</v>
      </c>
      <c r="G302" s="82" t="s">
        <v>355</v>
      </c>
      <c r="H302" s="82" t="s">
        <v>344</v>
      </c>
      <c r="I302" s="95">
        <v>0</v>
      </c>
      <c r="K302" s="105" t="str">
        <f t="shared" si="17"/>
        <v>0008-1006-0012</v>
      </c>
      <c r="L302" s="105" t="str">
        <f>VLOOKUP(K302,COA!$A$3:$B$337,2,FALSE)</f>
        <v>C96</v>
      </c>
      <c r="M302" s="105" t="str">
        <f t="shared" si="18"/>
        <v>C96</v>
      </c>
      <c r="N302" s="105" t="str">
        <f>VLOOKUP(M302,CAC!$A$2:$B$198,2,FALSE)</f>
        <v>DOILG</v>
      </c>
    </row>
    <row r="303" spans="5:14" x14ac:dyDescent="0.25">
      <c r="E303" s="83">
        <v>201603</v>
      </c>
      <c r="F303" s="82" t="s">
        <v>746</v>
      </c>
      <c r="G303" s="82" t="s">
        <v>356</v>
      </c>
      <c r="H303" s="82" t="s">
        <v>344</v>
      </c>
      <c r="I303" s="95">
        <v>124</v>
      </c>
      <c r="K303" s="105" t="str">
        <f t="shared" si="17"/>
        <v>0016-1002-0012</v>
      </c>
      <c r="L303" s="105" t="str">
        <f>VLOOKUP(K303,COA!$A$3:$B$337,2,FALSE)</f>
        <v>R18</v>
      </c>
      <c r="M303" s="105" t="str">
        <f t="shared" si="18"/>
        <v>R18</v>
      </c>
      <c r="N303" s="105" t="str">
        <f>VLOOKUP(M303,CAC!$A$2:$B$198,2,FALSE)</f>
        <v>HMOMG</v>
      </c>
    </row>
    <row r="304" spans="5:14" x14ac:dyDescent="0.25">
      <c r="E304" s="83">
        <v>201606</v>
      </c>
      <c r="F304" s="82" t="s">
        <v>345</v>
      </c>
      <c r="G304" s="82" t="s">
        <v>351</v>
      </c>
      <c r="H304" s="82" t="s">
        <v>353</v>
      </c>
      <c r="I304" s="95">
        <v>0</v>
      </c>
      <c r="K304" s="105" t="str">
        <f t="shared" si="17"/>
        <v>0011-0000-0023</v>
      </c>
      <c r="L304" s="105" t="e">
        <f>VLOOKUP(K304,COA!$A$3:$B$337,2,FALSE)</f>
        <v>#N/A</v>
      </c>
      <c r="M304" s="105" t="str">
        <f t="shared" si="18"/>
        <v>XXX</v>
      </c>
      <c r="N304" s="105" t="str">
        <f>VLOOKUP(M304,CAC!$A$2:$B$198,2,FALSE)</f>
        <v>XXX</v>
      </c>
    </row>
    <row r="305" spans="5:14" x14ac:dyDescent="0.25">
      <c r="E305" s="83">
        <v>201604</v>
      </c>
      <c r="F305" s="82" t="s">
        <v>413</v>
      </c>
      <c r="G305" s="82" t="s">
        <v>348</v>
      </c>
      <c r="H305" s="82" t="s">
        <v>349</v>
      </c>
      <c r="I305" s="95">
        <v>0</v>
      </c>
      <c r="K305" s="105" t="str">
        <f t="shared" si="17"/>
        <v>0008-1010-0017</v>
      </c>
      <c r="L305" s="105" t="str">
        <f>VLOOKUP(K305,COA!$A$3:$B$337,2,FALSE)</f>
        <v>C94</v>
      </c>
      <c r="M305" s="105" t="str">
        <f t="shared" si="18"/>
        <v>C94</v>
      </c>
      <c r="N305" s="105" t="str">
        <f>VLOOKUP(M305,CAC!$A$2:$B$198,2,FALSE)</f>
        <v>DOISG</v>
      </c>
    </row>
    <row r="306" spans="5:14" x14ac:dyDescent="0.25">
      <c r="E306" s="83">
        <v>201610</v>
      </c>
      <c r="F306" s="82" t="s">
        <v>563</v>
      </c>
      <c r="G306" s="82" t="s">
        <v>354</v>
      </c>
      <c r="H306" s="82" t="s">
        <v>360</v>
      </c>
      <c r="I306" s="95">
        <v>0</v>
      </c>
      <c r="K306" s="105" t="str">
        <f t="shared" si="17"/>
        <v>0003-1013-0048</v>
      </c>
      <c r="L306" s="105" t="str">
        <f>VLOOKUP(K306,COA!$A$3:$B$337,2,FALSE)</f>
        <v>N56</v>
      </c>
      <c r="M306" s="105" t="str">
        <f t="shared" si="18"/>
        <v>N56</v>
      </c>
      <c r="N306" s="105" t="str">
        <f>VLOOKUP(M306,CAC!$A$2:$B$198,2,FALSE)</f>
        <v>HMFLEX</v>
      </c>
    </row>
    <row r="307" spans="5:14" x14ac:dyDescent="0.25">
      <c r="E307" s="83">
        <v>201603</v>
      </c>
      <c r="F307" s="82" t="s">
        <v>349</v>
      </c>
      <c r="G307" s="82" t="s">
        <v>369</v>
      </c>
      <c r="H307" s="82" t="s">
        <v>764</v>
      </c>
      <c r="I307" s="95">
        <v>3</v>
      </c>
      <c r="K307" s="105" t="str">
        <f t="shared" si="17"/>
        <v>0017-1009-0064</v>
      </c>
      <c r="L307" s="105" t="str">
        <f>VLOOKUP(K307,COA!$A$3:$B$337,2,FALSE)</f>
        <v>R15</v>
      </c>
      <c r="M307" s="105" t="str">
        <f t="shared" si="18"/>
        <v>R15</v>
      </c>
      <c r="N307" s="105" t="str">
        <f>VLOOKUP(M307,CAC!$A$2:$B$198,2,FALSE)</f>
        <v>HMOMM</v>
      </c>
    </row>
    <row r="308" spans="5:14" x14ac:dyDescent="0.25">
      <c r="E308" s="83">
        <v>201610</v>
      </c>
      <c r="F308" s="82" t="s">
        <v>563</v>
      </c>
      <c r="G308" s="82" t="s">
        <v>352</v>
      </c>
      <c r="H308" s="82" t="s">
        <v>653</v>
      </c>
      <c r="I308" s="95">
        <v>0</v>
      </c>
      <c r="K308" s="105" t="str">
        <f t="shared" si="17"/>
        <v>0003-1004-0047</v>
      </c>
      <c r="L308" s="105" t="str">
        <f>VLOOKUP(K308,COA!$A$3:$B$337,2,FALSE)</f>
        <v>L57</v>
      </c>
      <c r="M308" s="105" t="str">
        <f t="shared" si="18"/>
        <v>L57</v>
      </c>
      <c r="N308" s="105" t="str">
        <f>VLOOKUP(M308,CAC!$A$2:$B$198,2,FALSE)</f>
        <v>PPOLG</v>
      </c>
    </row>
    <row r="309" spans="5:14" x14ac:dyDescent="0.25">
      <c r="E309" s="83">
        <v>201704</v>
      </c>
      <c r="F309" s="82" t="s">
        <v>746</v>
      </c>
      <c r="G309" s="82" t="s">
        <v>356</v>
      </c>
      <c r="H309" s="82" t="s">
        <v>344</v>
      </c>
      <c r="I309" s="95">
        <v>135</v>
      </c>
      <c r="K309" s="105" t="str">
        <f t="shared" si="17"/>
        <v>0016-1002-0012</v>
      </c>
      <c r="L309" s="105" t="str">
        <f>VLOOKUP(K309,COA!$A$3:$B$337,2,FALSE)</f>
        <v>R18</v>
      </c>
      <c r="M309" s="105" t="str">
        <f t="shared" si="18"/>
        <v>R18</v>
      </c>
      <c r="N309" s="105" t="str">
        <f>VLOOKUP(M309,CAC!$A$2:$B$198,2,FALSE)</f>
        <v>HMOMG</v>
      </c>
    </row>
    <row r="310" spans="5:14" x14ac:dyDescent="0.25">
      <c r="E310" s="83">
        <v>201512</v>
      </c>
      <c r="F310" s="82" t="s">
        <v>413</v>
      </c>
      <c r="G310" s="82" t="s">
        <v>354</v>
      </c>
      <c r="H310" s="82" t="s">
        <v>344</v>
      </c>
      <c r="I310" s="95">
        <v>0</v>
      </c>
      <c r="K310" s="105" t="str">
        <f t="shared" si="17"/>
        <v>0008-1013-0012</v>
      </c>
      <c r="L310" s="105" t="str">
        <f>VLOOKUP(K310,COA!$A$3:$B$337,2,FALSE)</f>
        <v>C76</v>
      </c>
      <c r="M310" s="105" t="str">
        <f t="shared" si="18"/>
        <v>C76</v>
      </c>
      <c r="N310" s="105" t="str">
        <f>VLOOKUP(M310,CAC!$A$2:$B$198,2,FALSE)</f>
        <v>DOILG</v>
      </c>
    </row>
    <row r="311" spans="5:14" x14ac:dyDescent="0.25">
      <c r="E311" s="83">
        <v>201608</v>
      </c>
      <c r="F311" s="82" t="s">
        <v>746</v>
      </c>
      <c r="G311" s="82" t="s">
        <v>355</v>
      </c>
      <c r="H311" s="82" t="s">
        <v>344</v>
      </c>
      <c r="I311" s="95">
        <v>0</v>
      </c>
      <c r="K311" s="105" t="str">
        <f t="shared" si="17"/>
        <v>0016-1006-0012</v>
      </c>
      <c r="L311" s="105" t="str">
        <f>VLOOKUP(K311,COA!$A$3:$B$337,2,FALSE)</f>
        <v>R21</v>
      </c>
      <c r="M311" s="105" t="str">
        <f t="shared" si="18"/>
        <v>R21</v>
      </c>
      <c r="N311" s="105" t="str">
        <f>VLOOKUP(M311,CAC!$A$2:$B$198,2,FALSE)</f>
        <v>HMOMG</v>
      </c>
    </row>
    <row r="312" spans="5:14" x14ac:dyDescent="0.25">
      <c r="E312" s="83">
        <v>201606</v>
      </c>
      <c r="F312" s="82" t="s">
        <v>506</v>
      </c>
      <c r="G312" s="82" t="s">
        <v>350</v>
      </c>
      <c r="H312" s="82" t="s">
        <v>592</v>
      </c>
      <c r="I312" s="95">
        <v>0</v>
      </c>
      <c r="K312" s="105" t="str">
        <f t="shared" si="17"/>
        <v>0013-1012-0035</v>
      </c>
      <c r="L312" s="105" t="str">
        <f>VLOOKUP(K312,COA!$A$3:$B$337,2,FALSE)</f>
        <v>K41</v>
      </c>
      <c r="M312" s="105" t="str">
        <f t="shared" si="18"/>
        <v>K41</v>
      </c>
      <c r="N312" s="105" t="e">
        <f>VLOOKUP(M312,CAC!$A$2:$B$198,2,FALSE)</f>
        <v>#N/A</v>
      </c>
    </row>
    <row r="313" spans="5:14" x14ac:dyDescent="0.25">
      <c r="E313" s="83">
        <v>201712</v>
      </c>
      <c r="F313" s="82" t="s">
        <v>345</v>
      </c>
      <c r="G313" s="82" t="s">
        <v>359</v>
      </c>
      <c r="H313" s="82" t="s">
        <v>344</v>
      </c>
      <c r="I313" s="95">
        <v>7245.97</v>
      </c>
      <c r="K313" s="105" t="str">
        <f t="shared" si="17"/>
        <v>0011-1005-0012</v>
      </c>
      <c r="L313" s="105" t="str">
        <f>VLOOKUP(K313,COA!$A$3:$B$337,2,FALSE)</f>
        <v>N11</v>
      </c>
      <c r="M313" s="105" t="str">
        <f t="shared" si="18"/>
        <v>N11</v>
      </c>
      <c r="N313" s="105" t="str">
        <f>VLOOKUP(M313,CAC!$A$2:$B$198,2,FALSE)</f>
        <v>HMOLG</v>
      </c>
    </row>
    <row r="314" spans="5:14" x14ac:dyDescent="0.25">
      <c r="E314" s="83">
        <v>201702</v>
      </c>
      <c r="F314" s="82" t="s">
        <v>344</v>
      </c>
      <c r="G314" s="82" t="s">
        <v>354</v>
      </c>
      <c r="H314" s="82" t="s">
        <v>344</v>
      </c>
      <c r="I314" s="95">
        <v>281</v>
      </c>
      <c r="K314" s="105" t="str">
        <f t="shared" si="17"/>
        <v>0012-1013-0012</v>
      </c>
      <c r="L314" s="105" t="str">
        <f>VLOOKUP(K314,COA!$A$3:$B$337,2,FALSE)</f>
        <v>N14</v>
      </c>
      <c r="M314" s="105" t="str">
        <f t="shared" si="18"/>
        <v>N14</v>
      </c>
      <c r="N314" s="105" t="str">
        <f>VLOOKUP(M314,CAC!$A$2:$B$198,2,FALSE)</f>
        <v>HMOPMR</v>
      </c>
    </row>
    <row r="315" spans="5:14" x14ac:dyDescent="0.25">
      <c r="E315" s="83">
        <v>201702</v>
      </c>
      <c r="F315" s="82" t="s">
        <v>344</v>
      </c>
      <c r="G315" s="82" t="s">
        <v>356</v>
      </c>
      <c r="H315" s="82" t="s">
        <v>344</v>
      </c>
      <c r="I315" s="95">
        <v>4236.04</v>
      </c>
      <c r="K315" s="105" t="str">
        <f t="shared" si="17"/>
        <v>0012-1002-0012</v>
      </c>
      <c r="L315" s="105" t="str">
        <f>VLOOKUP(K315,COA!$A$3:$B$337,2,FALSE)</f>
        <v>F22</v>
      </c>
      <c r="M315" s="105" t="str">
        <f t="shared" si="18"/>
        <v>F22</v>
      </c>
      <c r="N315" s="105" t="str">
        <f>VLOOKUP(M315,CAC!$A$2:$B$198,2,FALSE)</f>
        <v>HMOPMR</v>
      </c>
    </row>
    <row r="316" spans="5:14" x14ac:dyDescent="0.25">
      <c r="E316" s="83">
        <v>201508</v>
      </c>
      <c r="F316" s="82" t="s">
        <v>563</v>
      </c>
      <c r="G316" s="82" t="s">
        <v>348</v>
      </c>
      <c r="H316" s="82" t="s">
        <v>353</v>
      </c>
      <c r="I316" s="95">
        <v>0</v>
      </c>
      <c r="K316" s="105" t="str">
        <f t="shared" si="17"/>
        <v>0003-1010-0023</v>
      </c>
      <c r="L316" s="105" t="str">
        <f>VLOOKUP(K316,COA!$A$3:$B$337,2,FALSE)</f>
        <v>S54</v>
      </c>
      <c r="M316" s="105" t="str">
        <f t="shared" si="18"/>
        <v>S54</v>
      </c>
      <c r="N316" s="105" t="str">
        <f>VLOOKUP(M316,CAC!$A$2:$B$198,2,FALSE)</f>
        <v>PPOSG</v>
      </c>
    </row>
    <row r="317" spans="5:14" x14ac:dyDescent="0.25">
      <c r="E317" s="83">
        <v>201606</v>
      </c>
      <c r="F317" s="82" t="s">
        <v>345</v>
      </c>
      <c r="G317" s="82" t="s">
        <v>348</v>
      </c>
      <c r="H317" s="82" t="s">
        <v>358</v>
      </c>
      <c r="I317" s="95">
        <v>80.03</v>
      </c>
      <c r="K317" s="105" t="str">
        <f t="shared" si="17"/>
        <v>0011-1010-0024</v>
      </c>
      <c r="L317" s="105" t="str">
        <f>VLOOKUP(K317,COA!$A$3:$B$337,2,FALSE)</f>
        <v>S14</v>
      </c>
      <c r="M317" s="105" t="str">
        <f t="shared" si="18"/>
        <v>S14</v>
      </c>
      <c r="N317" s="105" t="str">
        <f>VLOOKUP(M317,CAC!$A$2:$B$198,2,FALSE)</f>
        <v>HMOSG</v>
      </c>
    </row>
    <row r="318" spans="5:14" x14ac:dyDescent="0.25">
      <c r="E318" s="83">
        <v>201603</v>
      </c>
      <c r="F318" s="82" t="s">
        <v>563</v>
      </c>
      <c r="G318" s="82" t="s">
        <v>351</v>
      </c>
      <c r="H318" s="82" t="s">
        <v>349</v>
      </c>
      <c r="I318" s="95">
        <v>0</v>
      </c>
      <c r="K318" s="105" t="str">
        <f t="shared" si="17"/>
        <v>0003-0000-0017</v>
      </c>
      <c r="L318" s="105" t="e">
        <f>VLOOKUP(K318,COA!$A$3:$B$337,2,FALSE)</f>
        <v>#N/A</v>
      </c>
      <c r="M318" s="105" t="str">
        <f t="shared" si="18"/>
        <v>XXX</v>
      </c>
      <c r="N318" s="105" t="str">
        <f>VLOOKUP(M318,CAC!$A$2:$B$198,2,FALSE)</f>
        <v>XXX</v>
      </c>
    </row>
    <row r="319" spans="5:14" x14ac:dyDescent="0.25">
      <c r="E319" s="83">
        <v>201707</v>
      </c>
      <c r="F319" s="82" t="s">
        <v>345</v>
      </c>
      <c r="G319" s="82" t="s">
        <v>346</v>
      </c>
      <c r="H319" s="82" t="s">
        <v>344</v>
      </c>
      <c r="I319" s="95">
        <v>0</v>
      </c>
      <c r="K319" s="105" t="str">
        <f t="shared" si="17"/>
        <v>0011-1014-0012</v>
      </c>
      <c r="L319" s="105" t="e">
        <f>VLOOKUP(K319,COA!$A$3:$B$337,2,FALSE)</f>
        <v>#N/A</v>
      </c>
      <c r="M319" s="105" t="str">
        <f t="shared" si="18"/>
        <v>XXX</v>
      </c>
      <c r="N319" s="105" t="str">
        <f>VLOOKUP(M319,CAC!$A$2:$B$198,2,FALSE)</f>
        <v>XXX</v>
      </c>
    </row>
    <row r="320" spans="5:14" x14ac:dyDescent="0.25">
      <c r="E320" s="83">
        <v>201607</v>
      </c>
      <c r="F320" s="82" t="s">
        <v>349</v>
      </c>
      <c r="G320" s="82" t="s">
        <v>369</v>
      </c>
      <c r="H320" s="82" t="s">
        <v>344</v>
      </c>
      <c r="I320" s="95">
        <v>39582</v>
      </c>
      <c r="K320" s="105" t="str">
        <f t="shared" si="17"/>
        <v>0017-1009-0012</v>
      </c>
      <c r="L320" s="105" t="str">
        <f>VLOOKUP(K320,COA!$A$3:$B$337,2,FALSE)</f>
        <v>R12</v>
      </c>
      <c r="M320" s="105" t="str">
        <f t="shared" si="18"/>
        <v>R12</v>
      </c>
      <c r="N320" s="105" t="str">
        <f>VLOOKUP(M320,CAC!$A$2:$B$198,2,FALSE)</f>
        <v>HMOMM</v>
      </c>
    </row>
    <row r="321" spans="5:14" x14ac:dyDescent="0.25">
      <c r="E321" s="83">
        <v>201601</v>
      </c>
      <c r="F321" s="82" t="s">
        <v>345</v>
      </c>
      <c r="G321" s="82" t="s">
        <v>354</v>
      </c>
      <c r="H321" s="82" t="s">
        <v>344</v>
      </c>
      <c r="I321" s="95">
        <v>6624.59</v>
      </c>
      <c r="K321" s="105" t="str">
        <f t="shared" si="17"/>
        <v>0011-1013-0012</v>
      </c>
      <c r="L321" s="105" t="str">
        <f>VLOOKUP(K321,COA!$A$3:$B$337,2,FALSE)</f>
        <v>N20</v>
      </c>
      <c r="M321" s="105" t="str">
        <f t="shared" si="18"/>
        <v>N20</v>
      </c>
      <c r="N321" s="105" t="str">
        <f>VLOOKUP(M321,CAC!$A$2:$B$198,2,FALSE)</f>
        <v>HMOPMR</v>
      </c>
    </row>
    <row r="322" spans="5:14" x14ac:dyDescent="0.25">
      <c r="E322" s="83">
        <v>201605</v>
      </c>
      <c r="F322" s="82" t="s">
        <v>506</v>
      </c>
      <c r="G322" s="82" t="s">
        <v>359</v>
      </c>
      <c r="H322" s="82" t="s">
        <v>592</v>
      </c>
      <c r="I322" s="95">
        <v>0</v>
      </c>
      <c r="K322" s="105" t="str">
        <f t="shared" si="17"/>
        <v>0013-1005-0035</v>
      </c>
      <c r="L322" s="105" t="str">
        <f>VLOOKUP(K322,COA!$A$3:$B$337,2,FALSE)</f>
        <v>N41</v>
      </c>
      <c r="M322" s="105" t="str">
        <f t="shared" si="18"/>
        <v>N41</v>
      </c>
      <c r="N322" s="105" t="e">
        <f>VLOOKUP(M322,CAC!$A$2:$B$198,2,FALSE)</f>
        <v>#N/A</v>
      </c>
    </row>
    <row r="323" spans="5:14" x14ac:dyDescent="0.25">
      <c r="E323" s="83">
        <v>201612</v>
      </c>
      <c r="F323" s="82" t="s">
        <v>506</v>
      </c>
      <c r="G323" s="82" t="s">
        <v>352</v>
      </c>
      <c r="H323" s="82" t="s">
        <v>592</v>
      </c>
      <c r="I323" s="95">
        <v>0</v>
      </c>
      <c r="K323" s="105" t="str">
        <f t="shared" si="17"/>
        <v>0013-1004-0035</v>
      </c>
      <c r="L323" s="105" t="str">
        <f>VLOOKUP(K323,COA!$A$3:$B$337,2,FALSE)</f>
        <v>L41</v>
      </c>
      <c r="M323" s="105" t="str">
        <f t="shared" si="18"/>
        <v>L41</v>
      </c>
      <c r="N323" s="105" t="e">
        <f>VLOOKUP(M323,CAC!$A$2:$B$198,2,FALSE)</f>
        <v>#N/A</v>
      </c>
    </row>
    <row r="324" spans="5:14" x14ac:dyDescent="0.25">
      <c r="E324" s="83">
        <v>201609</v>
      </c>
      <c r="F324" s="82" t="s">
        <v>345</v>
      </c>
      <c r="G324" s="82" t="s">
        <v>350</v>
      </c>
      <c r="H324" s="82" t="s">
        <v>360</v>
      </c>
      <c r="I324" s="95">
        <v>6290.1</v>
      </c>
      <c r="K324" s="105" t="str">
        <f t="shared" ref="K324:K387" si="19">F324&amp;"-"&amp;G324&amp;"-"&amp;H324</f>
        <v>0011-1012-0048</v>
      </c>
      <c r="L324" s="105" t="str">
        <f>VLOOKUP(K324,COA!$A$3:$B$337,2,FALSE)</f>
        <v>K21</v>
      </c>
      <c r="M324" s="105" t="str">
        <f t="shared" ref="M324:M387" si="20">IF(ISNA(L324),"XXX",L324)</f>
        <v>K21</v>
      </c>
      <c r="N324" s="105" t="str">
        <f>VLOOKUP(M324,CAC!$A$2:$B$198,2,FALSE)</f>
        <v>HMFLEX</v>
      </c>
    </row>
    <row r="325" spans="5:14" x14ac:dyDescent="0.25">
      <c r="E325" s="83">
        <v>201502</v>
      </c>
      <c r="F325" s="82" t="s">
        <v>345</v>
      </c>
      <c r="G325" s="82" t="s">
        <v>355</v>
      </c>
      <c r="H325" s="82" t="s">
        <v>344</v>
      </c>
      <c r="I325" s="95">
        <v>21262.09</v>
      </c>
      <c r="K325" s="105" t="str">
        <f t="shared" si="19"/>
        <v>0011-1006-0012</v>
      </c>
      <c r="L325" s="105" t="str">
        <f>VLOOKUP(K325,COA!$A$3:$B$337,2,FALSE)</f>
        <v>L13</v>
      </c>
      <c r="M325" s="105" t="str">
        <f t="shared" si="20"/>
        <v>L13</v>
      </c>
      <c r="N325" s="105" t="str">
        <f>VLOOKUP(M325,CAC!$A$2:$B$198,2,FALSE)</f>
        <v>HMOLG</v>
      </c>
    </row>
    <row r="326" spans="5:14" x14ac:dyDescent="0.25">
      <c r="E326" s="83">
        <v>201708</v>
      </c>
      <c r="F326" s="82" t="s">
        <v>345</v>
      </c>
      <c r="G326" s="82" t="s">
        <v>352</v>
      </c>
      <c r="H326" s="82" t="s">
        <v>357</v>
      </c>
      <c r="I326" s="95">
        <v>1957</v>
      </c>
      <c r="K326" s="105" t="str">
        <f t="shared" si="19"/>
        <v>0011-1004-0038</v>
      </c>
      <c r="L326" s="105" t="str">
        <f>VLOOKUP(K326,COA!$A$3:$B$337,2,FALSE)</f>
        <v>L14</v>
      </c>
      <c r="M326" s="105" t="str">
        <f t="shared" si="20"/>
        <v>L14</v>
      </c>
      <c r="N326" s="105" t="str">
        <f>VLOOKUP(M326,CAC!$A$2:$B$198,2,FALSE)</f>
        <v>HMOLG</v>
      </c>
    </row>
    <row r="327" spans="5:14" x14ac:dyDescent="0.25">
      <c r="E327" s="83">
        <v>201711</v>
      </c>
      <c r="F327" s="82" t="s">
        <v>344</v>
      </c>
      <c r="G327" s="82" t="s">
        <v>355</v>
      </c>
      <c r="H327" s="82" t="s">
        <v>344</v>
      </c>
      <c r="I327" s="95">
        <v>52</v>
      </c>
      <c r="K327" s="105" t="str">
        <f t="shared" si="19"/>
        <v>0012-1006-0012</v>
      </c>
      <c r="L327" s="105" t="str">
        <f>VLOOKUP(K327,COA!$A$3:$B$337,2,FALSE)</f>
        <v>L16</v>
      </c>
      <c r="M327" s="105" t="str">
        <f t="shared" si="20"/>
        <v>L16</v>
      </c>
      <c r="N327" s="105" t="str">
        <f>VLOOKUP(M327,CAC!$A$2:$B$198,2,FALSE)</f>
        <v>HMOLG</v>
      </c>
    </row>
    <row r="328" spans="5:14" x14ac:dyDescent="0.25">
      <c r="E328" s="83">
        <v>201601</v>
      </c>
      <c r="F328" s="82" t="s">
        <v>345</v>
      </c>
      <c r="G328" s="82" t="s">
        <v>362</v>
      </c>
      <c r="H328" s="82" t="s">
        <v>364</v>
      </c>
      <c r="I328" s="95">
        <v>38353.35</v>
      </c>
      <c r="K328" s="105" t="str">
        <f t="shared" si="19"/>
        <v>0011-1008-0037</v>
      </c>
      <c r="L328" s="105" t="str">
        <f>VLOOKUP(K328,COA!$A$3:$B$337,2,FALSE)</f>
        <v>P12</v>
      </c>
      <c r="M328" s="105" t="str">
        <f t="shared" si="20"/>
        <v>P12</v>
      </c>
      <c r="N328" s="105" t="str">
        <f>VLOOKUP(M328,CAC!$A$2:$B$198,2,FALSE)</f>
        <v>HMOPERA</v>
      </c>
    </row>
    <row r="329" spans="5:14" x14ac:dyDescent="0.25">
      <c r="E329" s="83">
        <v>201503</v>
      </c>
      <c r="F329" s="82" t="s">
        <v>746</v>
      </c>
      <c r="G329" s="82" t="s">
        <v>362</v>
      </c>
      <c r="H329" s="82" t="s">
        <v>364</v>
      </c>
      <c r="I329" s="95">
        <v>5656</v>
      </c>
      <c r="K329" s="105" t="str">
        <f t="shared" si="19"/>
        <v>0016-1008-0037</v>
      </c>
      <c r="L329" s="105" t="str">
        <f>VLOOKUP(K329,COA!$A$3:$B$337,2,FALSE)</f>
        <v>R24</v>
      </c>
      <c r="M329" s="105" t="str">
        <f t="shared" si="20"/>
        <v>R24</v>
      </c>
      <c r="N329" s="105" t="str">
        <f>VLOOKUP(M329,CAC!$A$2:$B$198,2,FALSE)</f>
        <v>PERMAPD</v>
      </c>
    </row>
    <row r="330" spans="5:14" x14ac:dyDescent="0.25">
      <c r="E330" s="83">
        <v>201608</v>
      </c>
      <c r="F330" s="82" t="s">
        <v>746</v>
      </c>
      <c r="G330" s="82" t="s">
        <v>356</v>
      </c>
      <c r="H330" s="82" t="s">
        <v>344</v>
      </c>
      <c r="I330" s="95">
        <v>135</v>
      </c>
      <c r="K330" s="105" t="str">
        <f t="shared" si="19"/>
        <v>0016-1002-0012</v>
      </c>
      <c r="L330" s="105" t="str">
        <f>VLOOKUP(K330,COA!$A$3:$B$337,2,FALSE)</f>
        <v>R18</v>
      </c>
      <c r="M330" s="105" t="str">
        <f t="shared" si="20"/>
        <v>R18</v>
      </c>
      <c r="N330" s="105" t="str">
        <f>VLOOKUP(M330,CAC!$A$2:$B$198,2,FALSE)</f>
        <v>HMOMG</v>
      </c>
    </row>
    <row r="331" spans="5:14" x14ac:dyDescent="0.25">
      <c r="E331" s="83">
        <v>201504</v>
      </c>
      <c r="F331" s="82" t="s">
        <v>345</v>
      </c>
      <c r="G331" s="82" t="s">
        <v>352</v>
      </c>
      <c r="H331" s="82" t="s">
        <v>344</v>
      </c>
      <c r="I331" s="95">
        <v>5479.48</v>
      </c>
      <c r="K331" s="105" t="str">
        <f t="shared" si="19"/>
        <v>0011-1004-0012</v>
      </c>
      <c r="L331" s="105" t="str">
        <f>VLOOKUP(K331,COA!$A$3:$B$337,2,FALSE)</f>
        <v>L11</v>
      </c>
      <c r="M331" s="105" t="str">
        <f t="shared" si="20"/>
        <v>L11</v>
      </c>
      <c r="N331" s="105" t="str">
        <f>VLOOKUP(M331,CAC!$A$2:$B$198,2,FALSE)</f>
        <v>HMOLG</v>
      </c>
    </row>
    <row r="332" spans="5:14" x14ac:dyDescent="0.25">
      <c r="E332" s="83">
        <v>201611</v>
      </c>
      <c r="F332" s="82" t="s">
        <v>344</v>
      </c>
      <c r="G332" s="82" t="s">
        <v>354</v>
      </c>
      <c r="H332" s="82" t="s">
        <v>344</v>
      </c>
      <c r="I332" s="95">
        <v>285</v>
      </c>
      <c r="K332" s="105" t="str">
        <f t="shared" si="19"/>
        <v>0012-1013-0012</v>
      </c>
      <c r="L332" s="105" t="str">
        <f>VLOOKUP(K332,COA!$A$3:$B$337,2,FALSE)</f>
        <v>N14</v>
      </c>
      <c r="M332" s="105" t="str">
        <f t="shared" si="20"/>
        <v>N14</v>
      </c>
      <c r="N332" s="105" t="str">
        <f>VLOOKUP(M332,CAC!$A$2:$B$198,2,FALSE)</f>
        <v>HMOPMR</v>
      </c>
    </row>
    <row r="333" spans="5:14" x14ac:dyDescent="0.25">
      <c r="E333" s="83">
        <v>201706</v>
      </c>
      <c r="F333" s="82" t="s">
        <v>344</v>
      </c>
      <c r="G333" s="82" t="s">
        <v>350</v>
      </c>
      <c r="H333" s="82" t="s">
        <v>344</v>
      </c>
      <c r="I333" s="95">
        <v>29</v>
      </c>
      <c r="K333" s="105" t="str">
        <f t="shared" si="19"/>
        <v>0012-1012-0012</v>
      </c>
      <c r="L333" s="105" t="str">
        <f>VLOOKUP(K333,COA!$A$3:$B$337,2,FALSE)</f>
        <v>K12</v>
      </c>
      <c r="M333" s="105" t="str">
        <f t="shared" si="20"/>
        <v>K12</v>
      </c>
      <c r="N333" s="105" t="str">
        <f>VLOOKUP(M333,CAC!$A$2:$B$198,2,FALSE)</f>
        <v>HMOPMR</v>
      </c>
    </row>
    <row r="334" spans="5:14" x14ac:dyDescent="0.25">
      <c r="E334" s="83">
        <v>201511</v>
      </c>
      <c r="F334" s="82" t="s">
        <v>413</v>
      </c>
      <c r="G334" s="82" t="s">
        <v>356</v>
      </c>
      <c r="H334" s="82" t="s">
        <v>344</v>
      </c>
      <c r="I334" s="95">
        <v>0</v>
      </c>
      <c r="K334" s="105" t="str">
        <f t="shared" si="19"/>
        <v>0008-1002-0012</v>
      </c>
      <c r="L334" s="105" t="str">
        <f>VLOOKUP(K334,COA!$A$3:$B$337,2,FALSE)</f>
        <v>C74</v>
      </c>
      <c r="M334" s="105" t="str">
        <f t="shared" si="20"/>
        <v>C74</v>
      </c>
      <c r="N334" s="105" t="str">
        <f>VLOOKUP(M334,CAC!$A$2:$B$198,2,FALSE)</f>
        <v>DOILG</v>
      </c>
    </row>
    <row r="335" spans="5:14" x14ac:dyDescent="0.25">
      <c r="E335" s="83">
        <v>201610</v>
      </c>
      <c r="F335" s="82" t="s">
        <v>746</v>
      </c>
      <c r="G335" s="82" t="s">
        <v>356</v>
      </c>
      <c r="H335" s="82" t="s">
        <v>344</v>
      </c>
      <c r="I335" s="95">
        <v>133</v>
      </c>
      <c r="K335" s="105" t="str">
        <f t="shared" si="19"/>
        <v>0016-1002-0012</v>
      </c>
      <c r="L335" s="105" t="str">
        <f>VLOOKUP(K335,COA!$A$3:$B$337,2,FALSE)</f>
        <v>R18</v>
      </c>
      <c r="M335" s="105" t="str">
        <f t="shared" si="20"/>
        <v>R18</v>
      </c>
      <c r="N335" s="105" t="str">
        <f>VLOOKUP(M335,CAC!$A$2:$B$198,2,FALSE)</f>
        <v>HMOMG</v>
      </c>
    </row>
    <row r="336" spans="5:14" x14ac:dyDescent="0.25">
      <c r="E336" s="83">
        <v>201505</v>
      </c>
      <c r="F336" s="82" t="s">
        <v>345</v>
      </c>
      <c r="G336" s="82" t="s">
        <v>348</v>
      </c>
      <c r="H336" s="82" t="s">
        <v>349</v>
      </c>
      <c r="I336" s="95">
        <v>17397.900000000001</v>
      </c>
      <c r="K336" s="105" t="str">
        <f t="shared" si="19"/>
        <v>0011-1010-0017</v>
      </c>
      <c r="L336" s="105" t="str">
        <f>VLOOKUP(K336,COA!$A$3:$B$337,2,FALSE)</f>
        <v>S11</v>
      </c>
      <c r="M336" s="105" t="str">
        <f t="shared" si="20"/>
        <v>S11</v>
      </c>
      <c r="N336" s="105" t="str">
        <f>VLOOKUP(M336,CAC!$A$2:$B$198,2,FALSE)</f>
        <v>HMOSG</v>
      </c>
    </row>
    <row r="337" spans="5:14" x14ac:dyDescent="0.25">
      <c r="E337" s="83">
        <v>201612</v>
      </c>
      <c r="F337" s="82" t="s">
        <v>563</v>
      </c>
      <c r="G337" s="82" t="s">
        <v>350</v>
      </c>
      <c r="H337" s="82" t="s">
        <v>344</v>
      </c>
      <c r="I337" s="95">
        <v>0</v>
      </c>
      <c r="K337" s="105" t="str">
        <f t="shared" si="19"/>
        <v>0003-1012-0012</v>
      </c>
      <c r="L337" s="105" t="str">
        <f>VLOOKUP(K337,COA!$A$3:$B$337,2,FALSE)</f>
        <v>K51</v>
      </c>
      <c r="M337" s="105" t="str">
        <f t="shared" si="20"/>
        <v>K51</v>
      </c>
      <c r="N337" s="105" t="str">
        <f>VLOOKUP(M337,CAC!$A$2:$B$198,2,FALSE)</f>
        <v>PPOPMR</v>
      </c>
    </row>
    <row r="338" spans="5:14" x14ac:dyDescent="0.25">
      <c r="E338" s="83">
        <v>201608</v>
      </c>
      <c r="F338" s="82" t="s">
        <v>563</v>
      </c>
      <c r="G338" s="82" t="s">
        <v>356</v>
      </c>
      <c r="H338" s="82" t="s">
        <v>344</v>
      </c>
      <c r="I338" s="95">
        <v>0</v>
      </c>
      <c r="K338" s="105" t="str">
        <f t="shared" si="19"/>
        <v>0003-1002-0012</v>
      </c>
      <c r="L338" s="105" t="str">
        <f>VLOOKUP(K338,COA!$A$3:$B$337,2,FALSE)</f>
        <v>F61</v>
      </c>
      <c r="M338" s="105" t="str">
        <f t="shared" si="20"/>
        <v>F61</v>
      </c>
      <c r="N338" s="105" t="str">
        <f>VLOOKUP(M338,CAC!$A$2:$B$198,2,FALSE)</f>
        <v>PPOPMR</v>
      </c>
    </row>
    <row r="339" spans="5:14" x14ac:dyDescent="0.25">
      <c r="E339" s="83">
        <v>201611</v>
      </c>
      <c r="F339" s="82" t="s">
        <v>413</v>
      </c>
      <c r="G339" s="82" t="s">
        <v>356</v>
      </c>
      <c r="H339" s="82" t="s">
        <v>344</v>
      </c>
      <c r="I339" s="95">
        <v>0</v>
      </c>
      <c r="K339" s="105" t="str">
        <f t="shared" si="19"/>
        <v>0008-1002-0012</v>
      </c>
      <c r="L339" s="105" t="str">
        <f>VLOOKUP(K339,COA!$A$3:$B$337,2,FALSE)</f>
        <v>C74</v>
      </c>
      <c r="M339" s="105" t="str">
        <f t="shared" si="20"/>
        <v>C74</v>
      </c>
      <c r="N339" s="105" t="str">
        <f>VLOOKUP(M339,CAC!$A$2:$B$198,2,FALSE)</f>
        <v>DOILG</v>
      </c>
    </row>
    <row r="340" spans="5:14" x14ac:dyDescent="0.25">
      <c r="E340" s="83">
        <v>201705</v>
      </c>
      <c r="F340" s="82" t="s">
        <v>349</v>
      </c>
      <c r="G340" s="82" t="s">
        <v>369</v>
      </c>
      <c r="H340" s="82" t="s">
        <v>344</v>
      </c>
      <c r="I340" s="95">
        <v>43766</v>
      </c>
      <c r="K340" s="105" t="str">
        <f t="shared" si="19"/>
        <v>0017-1009-0012</v>
      </c>
      <c r="L340" s="105" t="str">
        <f>VLOOKUP(K340,COA!$A$3:$B$337,2,FALSE)</f>
        <v>R12</v>
      </c>
      <c r="M340" s="105" t="str">
        <f t="shared" si="20"/>
        <v>R12</v>
      </c>
      <c r="N340" s="105" t="str">
        <f>VLOOKUP(M340,CAC!$A$2:$B$198,2,FALSE)</f>
        <v>HMOMM</v>
      </c>
    </row>
    <row r="341" spans="5:14" x14ac:dyDescent="0.25">
      <c r="E341" s="83">
        <v>201706</v>
      </c>
      <c r="F341" s="82" t="s">
        <v>563</v>
      </c>
      <c r="G341" s="82" t="s">
        <v>361</v>
      </c>
      <c r="H341" s="82" t="s">
        <v>344</v>
      </c>
      <c r="I341" s="95">
        <v>0</v>
      </c>
      <c r="K341" s="105" t="str">
        <f t="shared" si="19"/>
        <v>0003-1003-0012</v>
      </c>
      <c r="L341" s="105" t="str">
        <f>VLOOKUP(K341,COA!$A$3:$B$337,2,FALSE)</f>
        <v>N61</v>
      </c>
      <c r="M341" s="105" t="str">
        <f t="shared" si="20"/>
        <v>N61</v>
      </c>
      <c r="N341" s="105" t="str">
        <f>VLOOKUP(M341,CAC!$A$2:$B$198,2,FALSE)</f>
        <v>PPOPMR</v>
      </c>
    </row>
    <row r="342" spans="5:14" x14ac:dyDescent="0.25">
      <c r="E342" s="83">
        <v>201705</v>
      </c>
      <c r="F342" s="82" t="s">
        <v>549</v>
      </c>
      <c r="G342" s="82" t="s">
        <v>352</v>
      </c>
      <c r="H342" s="82" t="s">
        <v>672</v>
      </c>
      <c r="I342" s="95">
        <v>0</v>
      </c>
      <c r="K342" s="105" t="str">
        <f t="shared" si="19"/>
        <v>0026-1004-0058</v>
      </c>
      <c r="L342" s="105" t="str">
        <f>VLOOKUP(K342,COA!$A$3:$B$337,2,FALSE)</f>
        <v>L44</v>
      </c>
      <c r="M342" s="105" t="str">
        <f t="shared" si="20"/>
        <v>L44</v>
      </c>
      <c r="N342" s="105" t="e">
        <f>VLOOKUP(M342,CAC!$A$2:$B$198,2,FALSE)</f>
        <v>#N/A</v>
      </c>
    </row>
    <row r="343" spans="5:14" x14ac:dyDescent="0.25">
      <c r="E343" s="83">
        <v>201604</v>
      </c>
      <c r="F343" s="82" t="s">
        <v>344</v>
      </c>
      <c r="G343" s="82" t="s">
        <v>359</v>
      </c>
      <c r="H343" s="82" t="s">
        <v>344</v>
      </c>
      <c r="I343" s="95">
        <v>137</v>
      </c>
      <c r="K343" s="105" t="str">
        <f t="shared" si="19"/>
        <v>0012-1005-0012</v>
      </c>
      <c r="L343" s="105" t="str">
        <f>VLOOKUP(K343,COA!$A$3:$B$337,2,FALSE)</f>
        <v>N13</v>
      </c>
      <c r="M343" s="105" t="str">
        <f t="shared" si="20"/>
        <v>N13</v>
      </c>
      <c r="N343" s="105" t="str">
        <f>VLOOKUP(M343,CAC!$A$2:$B$198,2,FALSE)</f>
        <v>HMOLG</v>
      </c>
    </row>
    <row r="344" spans="5:14" x14ac:dyDescent="0.25">
      <c r="E344" s="83">
        <v>201603</v>
      </c>
      <c r="F344" s="82" t="s">
        <v>345</v>
      </c>
      <c r="G344" s="82" t="s">
        <v>351</v>
      </c>
      <c r="H344" s="82" t="s">
        <v>353</v>
      </c>
      <c r="I344" s="95">
        <v>3</v>
      </c>
      <c r="K344" s="105" t="str">
        <f t="shared" si="19"/>
        <v>0011-0000-0023</v>
      </c>
      <c r="L344" s="105" t="e">
        <f>VLOOKUP(K344,COA!$A$3:$B$337,2,FALSE)</f>
        <v>#N/A</v>
      </c>
      <c r="M344" s="105" t="str">
        <f t="shared" si="20"/>
        <v>XXX</v>
      </c>
      <c r="N344" s="105" t="str">
        <f>VLOOKUP(M344,CAC!$A$2:$B$198,2,FALSE)</f>
        <v>XXX</v>
      </c>
    </row>
    <row r="345" spans="5:14" x14ac:dyDescent="0.25">
      <c r="E345" s="83">
        <v>201609</v>
      </c>
      <c r="F345" s="82" t="s">
        <v>345</v>
      </c>
      <c r="G345" s="82" t="s">
        <v>346</v>
      </c>
      <c r="H345" s="82" t="s">
        <v>360</v>
      </c>
      <c r="I345" s="95">
        <v>364</v>
      </c>
      <c r="K345" s="105" t="str">
        <f t="shared" si="19"/>
        <v>0011-1014-0048</v>
      </c>
      <c r="L345" s="105" t="str">
        <f>VLOOKUP(K345,COA!$A$3:$B$337,2,FALSE)</f>
        <v>K23</v>
      </c>
      <c r="M345" s="105" t="str">
        <f t="shared" si="20"/>
        <v>K23</v>
      </c>
      <c r="N345" s="105" t="str">
        <f>VLOOKUP(M345,CAC!$A$2:$B$198,2,FALSE)</f>
        <v>HMFLEX</v>
      </c>
    </row>
    <row r="346" spans="5:14" x14ac:dyDescent="0.25">
      <c r="E346" s="83">
        <v>201605</v>
      </c>
      <c r="F346" s="82" t="s">
        <v>344</v>
      </c>
      <c r="G346" s="82" t="s">
        <v>352</v>
      </c>
      <c r="H346" s="82" t="s">
        <v>360</v>
      </c>
      <c r="I346" s="95">
        <v>223</v>
      </c>
      <c r="K346" s="105" t="str">
        <f t="shared" si="19"/>
        <v>0012-1004-0048</v>
      </c>
      <c r="L346" s="105" t="str">
        <f>VLOOKUP(K346,COA!$A$3:$B$337,2,FALSE)</f>
        <v>L22</v>
      </c>
      <c r="M346" s="105" t="str">
        <f t="shared" si="20"/>
        <v>L22</v>
      </c>
      <c r="N346" s="105" t="str">
        <f>VLOOKUP(M346,CAC!$A$2:$B$198,2,FALSE)</f>
        <v>HMFLEX</v>
      </c>
    </row>
    <row r="347" spans="5:14" x14ac:dyDescent="0.25">
      <c r="E347" s="83">
        <v>201512</v>
      </c>
      <c r="F347" s="82" t="s">
        <v>345</v>
      </c>
      <c r="G347" s="82" t="s">
        <v>361</v>
      </c>
      <c r="H347" s="82" t="s">
        <v>344</v>
      </c>
      <c r="I347" s="95">
        <v>879.71</v>
      </c>
      <c r="K347" s="105" t="str">
        <f t="shared" si="19"/>
        <v>0011-1003-0012</v>
      </c>
      <c r="L347" s="105" t="str">
        <f>VLOOKUP(K347,COA!$A$3:$B$337,2,FALSE)</f>
        <v>N16</v>
      </c>
      <c r="M347" s="105" t="str">
        <f t="shared" si="20"/>
        <v>N16</v>
      </c>
      <c r="N347" s="105" t="str">
        <f>VLOOKUP(M347,CAC!$A$2:$B$198,2,FALSE)</f>
        <v>HMOPMR</v>
      </c>
    </row>
    <row r="348" spans="5:14" x14ac:dyDescent="0.25">
      <c r="E348" s="83">
        <v>201510</v>
      </c>
      <c r="F348" s="82" t="s">
        <v>506</v>
      </c>
      <c r="G348" s="82" t="s">
        <v>361</v>
      </c>
      <c r="H348" s="82" t="s">
        <v>592</v>
      </c>
      <c r="I348" s="95">
        <v>0</v>
      </c>
      <c r="K348" s="105" t="str">
        <f t="shared" si="19"/>
        <v>0013-1003-0035</v>
      </c>
      <c r="L348" s="105" t="str">
        <f>VLOOKUP(K348,COA!$A$3:$B$337,2,FALSE)</f>
        <v>N32</v>
      </c>
      <c r="M348" s="105" t="str">
        <f t="shared" si="20"/>
        <v>N32</v>
      </c>
      <c r="N348" s="105" t="e">
        <f>VLOOKUP(M348,CAC!$A$2:$B$198,2,FALSE)</f>
        <v>#N/A</v>
      </c>
    </row>
    <row r="349" spans="5:14" x14ac:dyDescent="0.25">
      <c r="E349" s="83">
        <v>201701</v>
      </c>
      <c r="F349" s="82" t="s">
        <v>413</v>
      </c>
      <c r="G349" s="82" t="s">
        <v>355</v>
      </c>
      <c r="H349" s="82" t="s">
        <v>344</v>
      </c>
      <c r="I349" s="95">
        <v>0</v>
      </c>
      <c r="K349" s="105" t="str">
        <f t="shared" si="19"/>
        <v>0008-1006-0012</v>
      </c>
      <c r="L349" s="105" t="str">
        <f>VLOOKUP(K349,COA!$A$3:$B$337,2,FALSE)</f>
        <v>C96</v>
      </c>
      <c r="M349" s="105" t="str">
        <f t="shared" si="20"/>
        <v>C96</v>
      </c>
      <c r="N349" s="105" t="str">
        <f>VLOOKUP(M349,CAC!$A$2:$B$198,2,FALSE)</f>
        <v>DOILG</v>
      </c>
    </row>
    <row r="350" spans="5:14" x14ac:dyDescent="0.25">
      <c r="E350" s="83">
        <v>201608</v>
      </c>
      <c r="F350" s="82" t="s">
        <v>746</v>
      </c>
      <c r="G350" s="82" t="s">
        <v>354</v>
      </c>
      <c r="H350" s="82" t="s">
        <v>344</v>
      </c>
      <c r="I350" s="95">
        <v>80</v>
      </c>
      <c r="K350" s="105" t="str">
        <f t="shared" si="19"/>
        <v>0016-1013-0012</v>
      </c>
      <c r="L350" s="105" t="str">
        <f>VLOOKUP(K350,COA!$A$3:$B$337,2,FALSE)</f>
        <v>R19</v>
      </c>
      <c r="M350" s="105" t="str">
        <f t="shared" si="20"/>
        <v>R19</v>
      </c>
      <c r="N350" s="105" t="str">
        <f>VLOOKUP(M350,CAC!$A$2:$B$198,2,FALSE)</f>
        <v>HMOMG</v>
      </c>
    </row>
    <row r="351" spans="5:14" x14ac:dyDescent="0.25">
      <c r="E351" s="83">
        <v>201706</v>
      </c>
      <c r="F351" s="82" t="s">
        <v>746</v>
      </c>
      <c r="G351" s="82" t="s">
        <v>350</v>
      </c>
      <c r="H351" s="82" t="s">
        <v>344</v>
      </c>
      <c r="I351" s="95">
        <v>27</v>
      </c>
      <c r="K351" s="105" t="str">
        <f t="shared" si="19"/>
        <v>0016-1012-0012</v>
      </c>
      <c r="L351" s="105" t="str">
        <f>VLOOKUP(K351,COA!$A$3:$B$337,2,FALSE)</f>
        <v>R19</v>
      </c>
      <c r="M351" s="105" t="str">
        <f t="shared" si="20"/>
        <v>R19</v>
      </c>
      <c r="N351" s="105" t="str">
        <f>VLOOKUP(M351,CAC!$A$2:$B$198,2,FALSE)</f>
        <v>HMOMG</v>
      </c>
    </row>
    <row r="352" spans="5:14" x14ac:dyDescent="0.25">
      <c r="E352" s="83">
        <v>201511</v>
      </c>
      <c r="F352" s="82" t="s">
        <v>344</v>
      </c>
      <c r="G352" s="82" t="s">
        <v>361</v>
      </c>
      <c r="H352" s="82" t="s">
        <v>344</v>
      </c>
      <c r="I352" s="95">
        <v>0</v>
      </c>
      <c r="K352" s="105" t="str">
        <f t="shared" si="19"/>
        <v>0012-1003-0012</v>
      </c>
      <c r="L352" s="105" t="str">
        <f>VLOOKUP(K352,COA!$A$3:$B$337,2,FALSE)</f>
        <v>N15</v>
      </c>
      <c r="M352" s="105" t="str">
        <f t="shared" si="20"/>
        <v>N15</v>
      </c>
      <c r="N352" s="105" t="str">
        <f>VLOOKUP(M352,CAC!$A$2:$B$198,2,FALSE)</f>
        <v>HMOPMR</v>
      </c>
    </row>
    <row r="353" spans="5:14" x14ac:dyDescent="0.25">
      <c r="E353" s="83">
        <v>201702</v>
      </c>
      <c r="F353" s="82" t="s">
        <v>563</v>
      </c>
      <c r="G353" s="82" t="s">
        <v>365</v>
      </c>
      <c r="H353" s="82" t="s">
        <v>798</v>
      </c>
      <c r="I353" s="95">
        <v>0</v>
      </c>
      <c r="K353" s="105" t="str">
        <f t="shared" si="19"/>
        <v>0003-1001-0065</v>
      </c>
      <c r="L353" s="105" t="str">
        <f>VLOOKUP(K353,COA!$A$3:$B$337,2,FALSE)</f>
        <v>V55</v>
      </c>
      <c r="M353" s="105" t="str">
        <f t="shared" si="20"/>
        <v>V55</v>
      </c>
      <c r="N353" s="105" t="e">
        <f>VLOOKUP(M353,CAC!$A$2:$B$198,2,FALSE)</f>
        <v>#N/A</v>
      </c>
    </row>
    <row r="354" spans="5:14" x14ac:dyDescent="0.25">
      <c r="E354" s="83">
        <v>201706</v>
      </c>
      <c r="F354" s="82" t="s">
        <v>563</v>
      </c>
      <c r="G354" s="82" t="s">
        <v>356</v>
      </c>
      <c r="H354" s="82" t="s">
        <v>344</v>
      </c>
      <c r="I354" s="95">
        <v>0</v>
      </c>
      <c r="K354" s="105" t="str">
        <f t="shared" si="19"/>
        <v>0003-1002-0012</v>
      </c>
      <c r="L354" s="105" t="str">
        <f>VLOOKUP(K354,COA!$A$3:$B$337,2,FALSE)</f>
        <v>F61</v>
      </c>
      <c r="M354" s="105" t="str">
        <f t="shared" si="20"/>
        <v>F61</v>
      </c>
      <c r="N354" s="105" t="str">
        <f>VLOOKUP(M354,CAC!$A$2:$B$198,2,FALSE)</f>
        <v>PPOPMR</v>
      </c>
    </row>
    <row r="355" spans="5:14" x14ac:dyDescent="0.25">
      <c r="E355" s="83">
        <v>201510</v>
      </c>
      <c r="F355" s="82" t="s">
        <v>563</v>
      </c>
      <c r="G355" s="82" t="s">
        <v>361</v>
      </c>
      <c r="H355" s="82" t="s">
        <v>344</v>
      </c>
      <c r="I355" s="95">
        <v>0</v>
      </c>
      <c r="K355" s="105" t="str">
        <f t="shared" si="19"/>
        <v>0003-1003-0012</v>
      </c>
      <c r="L355" s="105" t="str">
        <f>VLOOKUP(K355,COA!$A$3:$B$337,2,FALSE)</f>
        <v>N61</v>
      </c>
      <c r="M355" s="105" t="str">
        <f t="shared" si="20"/>
        <v>N61</v>
      </c>
      <c r="N355" s="105" t="str">
        <f>VLOOKUP(M355,CAC!$A$2:$B$198,2,FALSE)</f>
        <v>PPOPMR</v>
      </c>
    </row>
    <row r="356" spans="5:14" x14ac:dyDescent="0.25">
      <c r="E356" s="83">
        <v>201703</v>
      </c>
      <c r="F356" s="82" t="s">
        <v>506</v>
      </c>
      <c r="G356" s="82" t="s">
        <v>350</v>
      </c>
      <c r="H356" s="82" t="s">
        <v>592</v>
      </c>
      <c r="I356" s="95">
        <v>0</v>
      </c>
      <c r="K356" s="105" t="str">
        <f t="shared" si="19"/>
        <v>0013-1012-0035</v>
      </c>
      <c r="L356" s="105" t="str">
        <f>VLOOKUP(K356,COA!$A$3:$B$337,2,FALSE)</f>
        <v>K41</v>
      </c>
      <c r="M356" s="105" t="str">
        <f t="shared" si="20"/>
        <v>K41</v>
      </c>
      <c r="N356" s="105" t="e">
        <f>VLOOKUP(M356,CAC!$A$2:$B$198,2,FALSE)</f>
        <v>#N/A</v>
      </c>
    </row>
    <row r="357" spans="5:14" x14ac:dyDescent="0.25">
      <c r="E357" s="83">
        <v>201705</v>
      </c>
      <c r="F357" s="82" t="s">
        <v>345</v>
      </c>
      <c r="G357" s="82" t="s">
        <v>365</v>
      </c>
      <c r="H357" s="82" t="s">
        <v>366</v>
      </c>
      <c r="I357" s="95">
        <v>1225.1600000000001</v>
      </c>
      <c r="K357" s="105" t="str">
        <f t="shared" si="19"/>
        <v>0011-1001-0021</v>
      </c>
      <c r="L357" s="105" t="str">
        <f>VLOOKUP(K357,COA!$A$3:$B$337,2,FALSE)</f>
        <v>V13</v>
      </c>
      <c r="M357" s="105" t="str">
        <f t="shared" si="20"/>
        <v>V13</v>
      </c>
      <c r="N357" s="105" t="str">
        <f>VLOOKUP(M357,CAC!$A$2:$B$198,2,FALSE)</f>
        <v>HMOIFP</v>
      </c>
    </row>
    <row r="358" spans="5:14" x14ac:dyDescent="0.25">
      <c r="E358" s="83">
        <v>201510</v>
      </c>
      <c r="F358" s="82" t="s">
        <v>506</v>
      </c>
      <c r="G358" s="82" t="s">
        <v>346</v>
      </c>
      <c r="H358" s="82" t="s">
        <v>592</v>
      </c>
      <c r="I358" s="95">
        <v>0</v>
      </c>
      <c r="K358" s="105" t="str">
        <f t="shared" si="19"/>
        <v>0013-1014-0035</v>
      </c>
      <c r="L358" s="105" t="str">
        <f>VLOOKUP(K358,COA!$A$3:$B$337,2,FALSE)</f>
        <v>K42</v>
      </c>
      <c r="M358" s="105" t="str">
        <f t="shared" si="20"/>
        <v>K42</v>
      </c>
      <c r="N358" s="105" t="str">
        <f>VLOOKUP(M358,CAC!$A$2:$B$198,2,FALSE)</f>
        <v>HMFLEX</v>
      </c>
    </row>
    <row r="359" spans="5:14" x14ac:dyDescent="0.25">
      <c r="E359" s="83">
        <v>201710</v>
      </c>
      <c r="F359" s="82" t="s">
        <v>563</v>
      </c>
      <c r="G359" s="82" t="s">
        <v>352</v>
      </c>
      <c r="H359" s="82" t="s">
        <v>344</v>
      </c>
      <c r="I359" s="95">
        <v>0</v>
      </c>
      <c r="K359" s="105" t="str">
        <f t="shared" si="19"/>
        <v>0003-1004-0012</v>
      </c>
      <c r="L359" s="105" t="str">
        <f>VLOOKUP(K359,COA!$A$3:$B$337,2,FALSE)</f>
        <v>L51</v>
      </c>
      <c r="M359" s="105" t="str">
        <f t="shared" si="20"/>
        <v>L51</v>
      </c>
      <c r="N359" s="105" t="str">
        <f>VLOOKUP(M359,CAC!$A$2:$B$198,2,FALSE)</f>
        <v>PPOLG</v>
      </c>
    </row>
    <row r="360" spans="5:14" x14ac:dyDescent="0.25">
      <c r="E360" s="83">
        <v>201612</v>
      </c>
      <c r="F360" s="82" t="s">
        <v>563</v>
      </c>
      <c r="G360" s="82" t="s">
        <v>348</v>
      </c>
      <c r="H360" s="82" t="s">
        <v>358</v>
      </c>
      <c r="I360" s="95">
        <v>0</v>
      </c>
      <c r="K360" s="105" t="str">
        <f t="shared" si="19"/>
        <v>0003-1010-0024</v>
      </c>
      <c r="L360" s="105" t="str">
        <f>VLOOKUP(K360,COA!$A$3:$B$337,2,FALSE)</f>
        <v>S56</v>
      </c>
      <c r="M360" s="105" t="str">
        <f t="shared" si="20"/>
        <v>S56</v>
      </c>
      <c r="N360" s="105" t="str">
        <f>VLOOKUP(M360,CAC!$A$2:$B$198,2,FALSE)</f>
        <v>PPOSG</v>
      </c>
    </row>
    <row r="361" spans="5:14" x14ac:dyDescent="0.25">
      <c r="E361" s="83">
        <v>201707</v>
      </c>
      <c r="F361" s="82" t="s">
        <v>563</v>
      </c>
      <c r="G361" s="82" t="s">
        <v>365</v>
      </c>
      <c r="H361" s="82" t="s">
        <v>344</v>
      </c>
      <c r="I361" s="95">
        <v>0</v>
      </c>
      <c r="K361" s="105" t="str">
        <f t="shared" si="19"/>
        <v>0003-1001-0012</v>
      </c>
      <c r="L361" s="105" t="str">
        <f>VLOOKUP(K361,COA!$A$3:$B$337,2,FALSE)</f>
        <v>V51</v>
      </c>
      <c r="M361" s="105" t="str">
        <f t="shared" si="20"/>
        <v>V51</v>
      </c>
      <c r="N361" s="105" t="str">
        <f>VLOOKUP(M361,CAC!$A$2:$B$198,2,FALSE)</f>
        <v>PPOIFP</v>
      </c>
    </row>
    <row r="362" spans="5:14" x14ac:dyDescent="0.25">
      <c r="E362" s="83">
        <v>201609</v>
      </c>
      <c r="F362" s="82" t="s">
        <v>563</v>
      </c>
      <c r="G362" s="82" t="s">
        <v>365</v>
      </c>
      <c r="H362" s="82" t="s">
        <v>344</v>
      </c>
      <c r="I362" s="95">
        <v>0</v>
      </c>
      <c r="K362" s="105" t="str">
        <f t="shared" si="19"/>
        <v>0003-1001-0012</v>
      </c>
      <c r="L362" s="105" t="str">
        <f>VLOOKUP(K362,COA!$A$3:$B$337,2,FALSE)</f>
        <v>V51</v>
      </c>
      <c r="M362" s="105" t="str">
        <f t="shared" si="20"/>
        <v>V51</v>
      </c>
      <c r="N362" s="105" t="str">
        <f>VLOOKUP(M362,CAC!$A$2:$B$198,2,FALSE)</f>
        <v>PPOIFP</v>
      </c>
    </row>
    <row r="363" spans="5:14" x14ac:dyDescent="0.25">
      <c r="E363" s="83">
        <v>201507</v>
      </c>
      <c r="F363" s="82" t="s">
        <v>563</v>
      </c>
      <c r="G363" s="82" t="s">
        <v>351</v>
      </c>
      <c r="H363" s="82" t="s">
        <v>349</v>
      </c>
      <c r="I363" s="95">
        <v>0</v>
      </c>
      <c r="K363" s="105" t="str">
        <f t="shared" si="19"/>
        <v>0003-0000-0017</v>
      </c>
      <c r="L363" s="105" t="e">
        <f>VLOOKUP(K363,COA!$A$3:$B$337,2,FALSE)</f>
        <v>#N/A</v>
      </c>
      <c r="M363" s="105" t="str">
        <f t="shared" si="20"/>
        <v>XXX</v>
      </c>
      <c r="N363" s="105" t="str">
        <f>VLOOKUP(M363,CAC!$A$2:$B$198,2,FALSE)</f>
        <v>XXX</v>
      </c>
    </row>
    <row r="364" spans="5:14" x14ac:dyDescent="0.25">
      <c r="E364" s="83">
        <v>201511</v>
      </c>
      <c r="F364" s="82" t="s">
        <v>506</v>
      </c>
      <c r="G364" s="82" t="s">
        <v>350</v>
      </c>
      <c r="H364" s="82" t="s">
        <v>592</v>
      </c>
      <c r="I364" s="95">
        <v>0</v>
      </c>
      <c r="K364" s="105" t="str">
        <f t="shared" si="19"/>
        <v>0013-1012-0035</v>
      </c>
      <c r="L364" s="105" t="str">
        <f>VLOOKUP(K364,COA!$A$3:$B$337,2,FALSE)</f>
        <v>K41</v>
      </c>
      <c r="M364" s="105" t="str">
        <f t="shared" si="20"/>
        <v>K41</v>
      </c>
      <c r="N364" s="105" t="e">
        <f>VLOOKUP(M364,CAC!$A$2:$B$198,2,FALSE)</f>
        <v>#N/A</v>
      </c>
    </row>
    <row r="365" spans="5:14" x14ac:dyDescent="0.25">
      <c r="E365" s="83">
        <v>201704</v>
      </c>
      <c r="F365" s="82" t="s">
        <v>746</v>
      </c>
      <c r="G365" s="82" t="s">
        <v>356</v>
      </c>
      <c r="H365" s="82" t="s">
        <v>764</v>
      </c>
      <c r="I365" s="95">
        <v>634</v>
      </c>
      <c r="K365" s="105" t="str">
        <f t="shared" si="19"/>
        <v>0016-1002-0064</v>
      </c>
      <c r="L365" s="105" t="str">
        <f>VLOOKUP(K365,COA!$A$3:$B$337,2,FALSE)</f>
        <v>R25</v>
      </c>
      <c r="M365" s="105" t="str">
        <f t="shared" si="20"/>
        <v>R25</v>
      </c>
      <c r="N365" s="105" t="str">
        <f>VLOOKUP(M365,CAC!$A$2:$B$198,2,FALSE)</f>
        <v>HMOMG</v>
      </c>
    </row>
    <row r="366" spans="5:14" x14ac:dyDescent="0.25">
      <c r="E366" s="83">
        <v>201607</v>
      </c>
      <c r="F366" s="82" t="s">
        <v>563</v>
      </c>
      <c r="G366" s="82" t="s">
        <v>348</v>
      </c>
      <c r="H366" s="82" t="s">
        <v>353</v>
      </c>
      <c r="I366" s="95">
        <v>0</v>
      </c>
      <c r="K366" s="105" t="str">
        <f t="shared" si="19"/>
        <v>0003-1010-0023</v>
      </c>
      <c r="L366" s="105" t="str">
        <f>VLOOKUP(K366,COA!$A$3:$B$337,2,FALSE)</f>
        <v>S54</v>
      </c>
      <c r="M366" s="105" t="str">
        <f t="shared" si="20"/>
        <v>S54</v>
      </c>
      <c r="N366" s="105" t="str">
        <f>VLOOKUP(M366,CAC!$A$2:$B$198,2,FALSE)</f>
        <v>PPOSG</v>
      </c>
    </row>
    <row r="367" spans="5:14" x14ac:dyDescent="0.25">
      <c r="E367" s="83">
        <v>201604</v>
      </c>
      <c r="F367" s="82" t="s">
        <v>746</v>
      </c>
      <c r="G367" s="82" t="s">
        <v>356</v>
      </c>
      <c r="H367" s="82" t="s">
        <v>344</v>
      </c>
      <c r="I367" s="95">
        <v>127</v>
      </c>
      <c r="K367" s="105" t="str">
        <f t="shared" si="19"/>
        <v>0016-1002-0012</v>
      </c>
      <c r="L367" s="105" t="str">
        <f>VLOOKUP(K367,COA!$A$3:$B$337,2,FALSE)</f>
        <v>R18</v>
      </c>
      <c r="M367" s="105" t="str">
        <f t="shared" si="20"/>
        <v>R18</v>
      </c>
      <c r="N367" s="105" t="str">
        <f>VLOOKUP(M367,CAC!$A$2:$B$198,2,FALSE)</f>
        <v>HMOMG</v>
      </c>
    </row>
    <row r="368" spans="5:14" x14ac:dyDescent="0.25">
      <c r="E368" s="83">
        <v>201801</v>
      </c>
      <c r="F368" s="82" t="s">
        <v>349</v>
      </c>
      <c r="G368" s="82" t="s">
        <v>369</v>
      </c>
      <c r="H368" s="82" t="s">
        <v>764</v>
      </c>
      <c r="I368" s="95">
        <v>5</v>
      </c>
      <c r="K368" s="105" t="str">
        <f t="shared" si="19"/>
        <v>0017-1009-0064</v>
      </c>
      <c r="L368" s="105" t="str">
        <f>VLOOKUP(K368,COA!$A$3:$B$337,2,FALSE)</f>
        <v>R15</v>
      </c>
      <c r="M368" s="105" t="str">
        <f t="shared" si="20"/>
        <v>R15</v>
      </c>
      <c r="N368" s="105" t="str">
        <f>VLOOKUP(M368,CAC!$A$2:$B$198,2,FALSE)</f>
        <v>HMOMM</v>
      </c>
    </row>
    <row r="369" spans="5:14" x14ac:dyDescent="0.25">
      <c r="E369" s="83">
        <v>201602</v>
      </c>
      <c r="F369" s="82" t="s">
        <v>413</v>
      </c>
      <c r="G369" s="82" t="s">
        <v>359</v>
      </c>
      <c r="H369" s="82" t="s">
        <v>344</v>
      </c>
      <c r="I369" s="95">
        <v>0</v>
      </c>
      <c r="K369" s="105" t="str">
        <f t="shared" si="19"/>
        <v>0008-1005-0012</v>
      </c>
      <c r="L369" s="105" t="str">
        <f>VLOOKUP(K369,COA!$A$3:$B$337,2,FALSE)</f>
        <v>C73</v>
      </c>
      <c r="M369" s="105" t="str">
        <f t="shared" si="20"/>
        <v>C73</v>
      </c>
      <c r="N369" s="105" t="str">
        <f>VLOOKUP(M369,CAC!$A$2:$B$198,2,FALSE)</f>
        <v>DOILG</v>
      </c>
    </row>
    <row r="370" spans="5:14" x14ac:dyDescent="0.25">
      <c r="E370" s="83">
        <v>201502</v>
      </c>
      <c r="F370" s="82" t="s">
        <v>344</v>
      </c>
      <c r="G370" s="82" t="s">
        <v>352</v>
      </c>
      <c r="H370" s="82" t="s">
        <v>344</v>
      </c>
      <c r="I370" s="95">
        <v>142.04</v>
      </c>
      <c r="K370" s="105" t="str">
        <f t="shared" si="19"/>
        <v>0012-1004-0012</v>
      </c>
      <c r="L370" s="105" t="str">
        <f>VLOOKUP(K370,COA!$A$3:$B$337,2,FALSE)</f>
        <v>L12</v>
      </c>
      <c r="M370" s="105" t="str">
        <f t="shared" si="20"/>
        <v>L12</v>
      </c>
      <c r="N370" s="105" t="str">
        <f>VLOOKUP(M370,CAC!$A$2:$B$198,2,FALSE)</f>
        <v>HMOLG</v>
      </c>
    </row>
    <row r="371" spans="5:14" x14ac:dyDescent="0.25">
      <c r="E371" s="83">
        <v>201612</v>
      </c>
      <c r="F371" s="82" t="s">
        <v>563</v>
      </c>
      <c r="G371" s="82" t="s">
        <v>351</v>
      </c>
      <c r="H371" s="82" t="s">
        <v>349</v>
      </c>
      <c r="I371" s="95">
        <v>0</v>
      </c>
      <c r="K371" s="105" t="str">
        <f t="shared" si="19"/>
        <v>0003-0000-0017</v>
      </c>
      <c r="L371" s="105" t="e">
        <f>VLOOKUP(K371,COA!$A$3:$B$337,2,FALSE)</f>
        <v>#N/A</v>
      </c>
      <c r="M371" s="105" t="str">
        <f t="shared" si="20"/>
        <v>XXX</v>
      </c>
      <c r="N371" s="105" t="str">
        <f>VLOOKUP(M371,CAC!$A$2:$B$198,2,FALSE)</f>
        <v>XXX</v>
      </c>
    </row>
    <row r="372" spans="5:14" x14ac:dyDescent="0.25">
      <c r="E372" s="83">
        <v>201507</v>
      </c>
      <c r="F372" s="82" t="s">
        <v>746</v>
      </c>
      <c r="G372" s="82" t="s">
        <v>352</v>
      </c>
      <c r="H372" s="82" t="s">
        <v>344</v>
      </c>
      <c r="I372" s="95">
        <v>0</v>
      </c>
      <c r="K372" s="105" t="str">
        <f t="shared" si="19"/>
        <v>0016-1004-0012</v>
      </c>
      <c r="L372" s="105" t="str">
        <f>VLOOKUP(K372,COA!$A$3:$B$337,2,FALSE)</f>
        <v>R20</v>
      </c>
      <c r="M372" s="105" t="str">
        <f t="shared" si="20"/>
        <v>R20</v>
      </c>
      <c r="N372" s="105" t="str">
        <f>VLOOKUP(M372,CAC!$A$2:$B$198,2,FALSE)</f>
        <v>HMOMG</v>
      </c>
    </row>
    <row r="373" spans="5:14" x14ac:dyDescent="0.25">
      <c r="E373" s="83">
        <v>201607</v>
      </c>
      <c r="F373" s="82" t="s">
        <v>746</v>
      </c>
      <c r="G373" s="82" t="s">
        <v>350</v>
      </c>
      <c r="H373" s="82" t="s">
        <v>764</v>
      </c>
      <c r="I373" s="95">
        <v>6</v>
      </c>
      <c r="K373" s="105" t="str">
        <f t="shared" si="19"/>
        <v>0016-1012-0064</v>
      </c>
      <c r="L373" s="105" t="str">
        <f>VLOOKUP(K373,COA!$A$3:$B$337,2,FALSE)</f>
        <v>R25</v>
      </c>
      <c r="M373" s="105" t="str">
        <f t="shared" si="20"/>
        <v>R25</v>
      </c>
      <c r="N373" s="105" t="str">
        <f>VLOOKUP(M373,CAC!$A$2:$B$198,2,FALSE)</f>
        <v>HMOMG</v>
      </c>
    </row>
    <row r="374" spans="5:14" x14ac:dyDescent="0.25">
      <c r="E374" s="83">
        <v>201605</v>
      </c>
      <c r="F374" s="82" t="s">
        <v>563</v>
      </c>
      <c r="G374" s="82" t="s">
        <v>348</v>
      </c>
      <c r="H374" s="82" t="s">
        <v>349</v>
      </c>
      <c r="I374" s="95">
        <v>0</v>
      </c>
      <c r="K374" s="105" t="str">
        <f t="shared" si="19"/>
        <v>0003-1010-0017</v>
      </c>
      <c r="L374" s="105" t="str">
        <f>VLOOKUP(K374,COA!$A$3:$B$337,2,FALSE)</f>
        <v>S51</v>
      </c>
      <c r="M374" s="105" t="str">
        <f t="shared" si="20"/>
        <v>S51</v>
      </c>
      <c r="N374" s="105" t="str">
        <f>VLOOKUP(M374,CAC!$A$2:$B$198,2,FALSE)</f>
        <v>PPOSG</v>
      </c>
    </row>
    <row r="375" spans="5:14" x14ac:dyDescent="0.25">
      <c r="E375" s="83">
        <v>201710</v>
      </c>
      <c r="F375" s="82" t="s">
        <v>349</v>
      </c>
      <c r="G375" s="82" t="s">
        <v>369</v>
      </c>
      <c r="H375" s="82" t="s">
        <v>344</v>
      </c>
      <c r="I375" s="95">
        <v>44232</v>
      </c>
      <c r="K375" s="105" t="str">
        <f t="shared" si="19"/>
        <v>0017-1009-0012</v>
      </c>
      <c r="L375" s="105" t="str">
        <f>VLOOKUP(K375,COA!$A$3:$B$337,2,FALSE)</f>
        <v>R12</v>
      </c>
      <c r="M375" s="105" t="str">
        <f t="shared" si="20"/>
        <v>R12</v>
      </c>
      <c r="N375" s="105" t="str">
        <f>VLOOKUP(M375,CAC!$A$2:$B$198,2,FALSE)</f>
        <v>HMOMM</v>
      </c>
    </row>
    <row r="376" spans="5:14" x14ac:dyDescent="0.25">
      <c r="E376" s="83">
        <v>201709</v>
      </c>
      <c r="F376" s="82" t="s">
        <v>552</v>
      </c>
      <c r="G376" s="82" t="s">
        <v>356</v>
      </c>
      <c r="H376" s="82" t="s">
        <v>672</v>
      </c>
      <c r="I376" s="95">
        <v>0</v>
      </c>
      <c r="K376" s="105" t="str">
        <f t="shared" si="19"/>
        <v>0027-1002-0058</v>
      </c>
      <c r="L376" s="105" t="str">
        <f>VLOOKUP(K376,COA!$A$3:$B$337,2,FALSE)</f>
        <v>L45</v>
      </c>
      <c r="M376" s="105" t="str">
        <f t="shared" si="20"/>
        <v>L45</v>
      </c>
      <c r="N376" s="105" t="e">
        <f>VLOOKUP(M376,CAC!$A$2:$B$198,2,FALSE)</f>
        <v>#N/A</v>
      </c>
    </row>
    <row r="377" spans="5:14" x14ac:dyDescent="0.25">
      <c r="E377" s="83">
        <v>201509</v>
      </c>
      <c r="F377" s="82" t="s">
        <v>344</v>
      </c>
      <c r="G377" s="82" t="s">
        <v>359</v>
      </c>
      <c r="H377" s="82" t="s">
        <v>344</v>
      </c>
      <c r="I377" s="95">
        <v>70</v>
      </c>
      <c r="K377" s="105" t="str">
        <f t="shared" si="19"/>
        <v>0012-1005-0012</v>
      </c>
      <c r="L377" s="105" t="str">
        <f>VLOOKUP(K377,COA!$A$3:$B$337,2,FALSE)</f>
        <v>N13</v>
      </c>
      <c r="M377" s="105" t="str">
        <f t="shared" si="20"/>
        <v>N13</v>
      </c>
      <c r="N377" s="105" t="str">
        <f>VLOOKUP(M377,CAC!$A$2:$B$198,2,FALSE)</f>
        <v>HMOLG</v>
      </c>
    </row>
    <row r="378" spans="5:14" x14ac:dyDescent="0.25">
      <c r="E378" s="83">
        <v>201602</v>
      </c>
      <c r="F378" s="82" t="s">
        <v>345</v>
      </c>
      <c r="G378" s="82" t="s">
        <v>352</v>
      </c>
      <c r="H378" s="82" t="s">
        <v>653</v>
      </c>
      <c r="I378" s="95">
        <v>0</v>
      </c>
      <c r="K378" s="105" t="str">
        <f t="shared" si="19"/>
        <v>0011-1004-0047</v>
      </c>
      <c r="L378" s="105" t="str">
        <f>VLOOKUP(K378,COA!$A$3:$B$337,2,FALSE)</f>
        <v>L17</v>
      </c>
      <c r="M378" s="105" t="str">
        <f t="shared" si="20"/>
        <v>L17</v>
      </c>
      <c r="N378" s="105" t="str">
        <f>VLOOKUP(M378,CAC!$A$2:$B$198,2,FALSE)</f>
        <v>HMOLG</v>
      </c>
    </row>
    <row r="379" spans="5:14" x14ac:dyDescent="0.25">
      <c r="E379" s="83">
        <v>201512</v>
      </c>
      <c r="F379" s="82" t="s">
        <v>413</v>
      </c>
      <c r="G379" s="82" t="s">
        <v>365</v>
      </c>
      <c r="H379" s="82" t="s">
        <v>411</v>
      </c>
      <c r="I379" s="95">
        <v>0</v>
      </c>
      <c r="K379" s="105" t="str">
        <f t="shared" si="19"/>
        <v>0008-1001-0007</v>
      </c>
      <c r="L379" s="105" t="str">
        <f>VLOOKUP(K379,COA!$A$3:$B$337,2,FALSE)</f>
        <v>C99</v>
      </c>
      <c r="M379" s="105" t="str">
        <f t="shared" si="20"/>
        <v>C99</v>
      </c>
      <c r="N379" s="105" t="str">
        <f>VLOOKUP(M379,CAC!$A$2:$B$198,2,FALSE)</f>
        <v>DOIIFP</v>
      </c>
    </row>
    <row r="380" spans="5:14" x14ac:dyDescent="0.25">
      <c r="E380" s="83">
        <v>201510</v>
      </c>
      <c r="F380" s="82" t="s">
        <v>563</v>
      </c>
      <c r="G380" s="82" t="s">
        <v>365</v>
      </c>
      <c r="H380" s="82" t="s">
        <v>366</v>
      </c>
      <c r="I380" s="95">
        <v>0</v>
      </c>
      <c r="K380" s="105" t="str">
        <f t="shared" si="19"/>
        <v>0003-1001-0021</v>
      </c>
      <c r="L380" s="105" t="str">
        <f>VLOOKUP(K380,COA!$A$3:$B$337,2,FALSE)</f>
        <v>V53</v>
      </c>
      <c r="M380" s="105" t="str">
        <f t="shared" si="20"/>
        <v>V53</v>
      </c>
      <c r="N380" s="105" t="str">
        <f>VLOOKUP(M380,CAC!$A$2:$B$198,2,FALSE)</f>
        <v>PPOIFP</v>
      </c>
    </row>
    <row r="381" spans="5:14" x14ac:dyDescent="0.25">
      <c r="E381" s="83">
        <v>201710</v>
      </c>
      <c r="F381" s="82" t="s">
        <v>506</v>
      </c>
      <c r="G381" s="82" t="s">
        <v>352</v>
      </c>
      <c r="H381" s="82" t="s">
        <v>592</v>
      </c>
      <c r="I381" s="95">
        <v>0</v>
      </c>
      <c r="K381" s="105" t="str">
        <f t="shared" si="19"/>
        <v>0013-1004-0035</v>
      </c>
      <c r="L381" s="105" t="str">
        <f>VLOOKUP(K381,COA!$A$3:$B$337,2,FALSE)</f>
        <v>L41</v>
      </c>
      <c r="M381" s="105" t="str">
        <f t="shared" si="20"/>
        <v>L41</v>
      </c>
      <c r="N381" s="105" t="e">
        <f>VLOOKUP(M381,CAC!$A$2:$B$198,2,FALSE)</f>
        <v>#N/A</v>
      </c>
    </row>
    <row r="382" spans="5:14" x14ac:dyDescent="0.25">
      <c r="E382" s="83">
        <v>201606</v>
      </c>
      <c r="F382" s="82" t="s">
        <v>563</v>
      </c>
      <c r="G382" s="82" t="s">
        <v>365</v>
      </c>
      <c r="H382" s="82" t="s">
        <v>344</v>
      </c>
      <c r="I382" s="95">
        <v>0</v>
      </c>
      <c r="K382" s="105" t="str">
        <f t="shared" si="19"/>
        <v>0003-1001-0012</v>
      </c>
      <c r="L382" s="105" t="str">
        <f>VLOOKUP(K382,COA!$A$3:$B$337,2,FALSE)</f>
        <v>V51</v>
      </c>
      <c r="M382" s="105" t="str">
        <f t="shared" si="20"/>
        <v>V51</v>
      </c>
      <c r="N382" s="105" t="str">
        <f>VLOOKUP(M382,CAC!$A$2:$B$198,2,FALSE)</f>
        <v>PPOIFP</v>
      </c>
    </row>
    <row r="383" spans="5:14" x14ac:dyDescent="0.25">
      <c r="E383" s="83">
        <v>201601</v>
      </c>
      <c r="F383" s="82" t="s">
        <v>746</v>
      </c>
      <c r="G383" s="82" t="s">
        <v>356</v>
      </c>
      <c r="H383" s="82" t="s">
        <v>344</v>
      </c>
      <c r="I383" s="95">
        <v>119</v>
      </c>
      <c r="K383" s="105" t="str">
        <f t="shared" si="19"/>
        <v>0016-1002-0012</v>
      </c>
      <c r="L383" s="105" t="str">
        <f>VLOOKUP(K383,COA!$A$3:$B$337,2,FALSE)</f>
        <v>R18</v>
      </c>
      <c r="M383" s="105" t="str">
        <f t="shared" si="20"/>
        <v>R18</v>
      </c>
      <c r="N383" s="105" t="str">
        <f>VLOOKUP(M383,CAC!$A$2:$B$198,2,FALSE)</f>
        <v>HMOMG</v>
      </c>
    </row>
    <row r="384" spans="5:14" x14ac:dyDescent="0.25">
      <c r="E384" s="83">
        <v>201610</v>
      </c>
      <c r="F384" s="82" t="s">
        <v>345</v>
      </c>
      <c r="G384" s="82" t="s">
        <v>352</v>
      </c>
      <c r="H384" s="82" t="s">
        <v>344</v>
      </c>
      <c r="I384" s="95">
        <v>12614.03</v>
      </c>
      <c r="K384" s="105" t="str">
        <f t="shared" si="19"/>
        <v>0011-1004-0012</v>
      </c>
      <c r="L384" s="105" t="str">
        <f>VLOOKUP(K384,COA!$A$3:$B$337,2,FALSE)</f>
        <v>L11</v>
      </c>
      <c r="M384" s="105" t="str">
        <f t="shared" si="20"/>
        <v>L11</v>
      </c>
      <c r="N384" s="105" t="str">
        <f>VLOOKUP(M384,CAC!$A$2:$B$198,2,FALSE)</f>
        <v>HMOLG</v>
      </c>
    </row>
    <row r="385" spans="5:14" x14ac:dyDescent="0.25">
      <c r="E385" s="83">
        <v>201603</v>
      </c>
      <c r="F385" s="82" t="s">
        <v>345</v>
      </c>
      <c r="G385" s="82" t="s">
        <v>352</v>
      </c>
      <c r="H385" s="82" t="s">
        <v>344</v>
      </c>
      <c r="I385" s="95">
        <v>13611.58</v>
      </c>
      <c r="K385" s="105" t="str">
        <f t="shared" si="19"/>
        <v>0011-1004-0012</v>
      </c>
      <c r="L385" s="105" t="str">
        <f>VLOOKUP(K385,COA!$A$3:$B$337,2,FALSE)</f>
        <v>L11</v>
      </c>
      <c r="M385" s="105" t="str">
        <f t="shared" si="20"/>
        <v>L11</v>
      </c>
      <c r="N385" s="105" t="str">
        <f>VLOOKUP(M385,CAC!$A$2:$B$198,2,FALSE)</f>
        <v>HMOLG</v>
      </c>
    </row>
    <row r="386" spans="5:14" x14ac:dyDescent="0.25">
      <c r="E386" s="83">
        <v>201601</v>
      </c>
      <c r="F386" s="82" t="s">
        <v>563</v>
      </c>
      <c r="G386" s="82" t="s">
        <v>354</v>
      </c>
      <c r="H386" s="82" t="s">
        <v>344</v>
      </c>
      <c r="I386" s="95">
        <v>0</v>
      </c>
      <c r="K386" s="105" t="str">
        <f t="shared" si="19"/>
        <v>0003-1013-0012</v>
      </c>
      <c r="L386" s="105" t="str">
        <f>VLOOKUP(K386,COA!$A$3:$B$337,2,FALSE)</f>
        <v>N55</v>
      </c>
      <c r="M386" s="105" t="str">
        <f t="shared" si="20"/>
        <v>N55</v>
      </c>
      <c r="N386" s="105" t="str">
        <f>VLOOKUP(M386,CAC!$A$2:$B$198,2,FALSE)</f>
        <v>PPOPMR</v>
      </c>
    </row>
    <row r="387" spans="5:14" x14ac:dyDescent="0.25">
      <c r="E387" s="83">
        <v>201505</v>
      </c>
      <c r="F387" s="82" t="s">
        <v>563</v>
      </c>
      <c r="G387" s="82" t="s">
        <v>361</v>
      </c>
      <c r="H387" s="82" t="s">
        <v>344</v>
      </c>
      <c r="I387" s="95">
        <v>0</v>
      </c>
      <c r="K387" s="105" t="str">
        <f t="shared" si="19"/>
        <v>0003-1003-0012</v>
      </c>
      <c r="L387" s="105" t="str">
        <f>VLOOKUP(K387,COA!$A$3:$B$337,2,FALSE)</f>
        <v>N61</v>
      </c>
      <c r="M387" s="105" t="str">
        <f t="shared" si="20"/>
        <v>N61</v>
      </c>
      <c r="N387" s="105" t="str">
        <f>VLOOKUP(M387,CAC!$A$2:$B$198,2,FALSE)</f>
        <v>PPOPMR</v>
      </c>
    </row>
    <row r="388" spans="5:14" x14ac:dyDescent="0.25">
      <c r="E388" s="83">
        <v>201601</v>
      </c>
      <c r="F388" s="82" t="s">
        <v>746</v>
      </c>
      <c r="G388" s="82" t="s">
        <v>350</v>
      </c>
      <c r="H388" s="82" t="s">
        <v>344</v>
      </c>
      <c r="I388" s="95">
        <v>56</v>
      </c>
      <c r="K388" s="105" t="str">
        <f t="shared" ref="K388:K451" si="21">F388&amp;"-"&amp;G388&amp;"-"&amp;H388</f>
        <v>0016-1012-0012</v>
      </c>
      <c r="L388" s="105" t="str">
        <f>VLOOKUP(K388,COA!$A$3:$B$337,2,FALSE)</f>
        <v>R19</v>
      </c>
      <c r="M388" s="105" t="str">
        <f t="shared" ref="M388:M451" si="22">IF(ISNA(L388),"XXX",L388)</f>
        <v>R19</v>
      </c>
      <c r="N388" s="105" t="str">
        <f>VLOOKUP(M388,CAC!$A$2:$B$198,2,FALSE)</f>
        <v>HMOMG</v>
      </c>
    </row>
    <row r="389" spans="5:14" x14ac:dyDescent="0.25">
      <c r="E389" s="83">
        <v>201607</v>
      </c>
      <c r="F389" s="82" t="s">
        <v>345</v>
      </c>
      <c r="G389" s="82" t="s">
        <v>354</v>
      </c>
      <c r="H389" s="82" t="s">
        <v>360</v>
      </c>
      <c r="I389" s="95">
        <v>2253.9</v>
      </c>
      <c r="K389" s="105" t="str">
        <f t="shared" si="21"/>
        <v>0011-1013-0048</v>
      </c>
      <c r="L389" s="105" t="str">
        <f>VLOOKUP(K389,COA!$A$3:$B$337,2,FALSE)</f>
        <v>N21</v>
      </c>
      <c r="M389" s="105" t="str">
        <f t="shared" si="22"/>
        <v>N21</v>
      </c>
      <c r="N389" s="105" t="str">
        <f>VLOOKUP(M389,CAC!$A$2:$B$198,2,FALSE)</f>
        <v>HMFLEX</v>
      </c>
    </row>
    <row r="390" spans="5:14" x14ac:dyDescent="0.25">
      <c r="E390" s="83">
        <v>201606</v>
      </c>
      <c r="F390" s="82" t="s">
        <v>345</v>
      </c>
      <c r="G390" s="82" t="s">
        <v>352</v>
      </c>
      <c r="H390" s="82" t="s">
        <v>357</v>
      </c>
      <c r="I390" s="95">
        <v>302</v>
      </c>
      <c r="K390" s="105" t="str">
        <f t="shared" si="21"/>
        <v>0011-1004-0038</v>
      </c>
      <c r="L390" s="105" t="str">
        <f>VLOOKUP(K390,COA!$A$3:$B$337,2,FALSE)</f>
        <v>L14</v>
      </c>
      <c r="M390" s="105" t="str">
        <f t="shared" si="22"/>
        <v>L14</v>
      </c>
      <c r="N390" s="105" t="str">
        <f>VLOOKUP(M390,CAC!$A$2:$B$198,2,FALSE)</f>
        <v>HMOLG</v>
      </c>
    </row>
    <row r="391" spans="5:14" x14ac:dyDescent="0.25">
      <c r="E391" s="83">
        <v>201604</v>
      </c>
      <c r="F391" s="82" t="s">
        <v>345</v>
      </c>
      <c r="G391" s="82" t="s">
        <v>346</v>
      </c>
      <c r="H391" s="82" t="s">
        <v>344</v>
      </c>
      <c r="I391" s="95">
        <v>0</v>
      </c>
      <c r="K391" s="105" t="str">
        <f t="shared" si="21"/>
        <v>0011-1014-0012</v>
      </c>
      <c r="L391" s="105" t="e">
        <f>VLOOKUP(K391,COA!$A$3:$B$337,2,FALSE)</f>
        <v>#N/A</v>
      </c>
      <c r="M391" s="105" t="str">
        <f t="shared" si="22"/>
        <v>XXX</v>
      </c>
      <c r="N391" s="105" t="str">
        <f>VLOOKUP(M391,CAC!$A$2:$B$198,2,FALSE)</f>
        <v>XXX</v>
      </c>
    </row>
    <row r="392" spans="5:14" x14ac:dyDescent="0.25">
      <c r="E392" s="83">
        <v>201612</v>
      </c>
      <c r="F392" s="82" t="s">
        <v>342</v>
      </c>
      <c r="G392" s="82" t="s">
        <v>343</v>
      </c>
      <c r="H392" s="82" t="s">
        <v>344</v>
      </c>
      <c r="I392" s="95">
        <v>5945.53</v>
      </c>
      <c r="K392" s="105" t="str">
        <f t="shared" si="21"/>
        <v>0031-1000-0012</v>
      </c>
      <c r="L392" s="105" t="str">
        <f>VLOOKUP(K392,COA!$A$3:$B$337,2,FALSE)</f>
        <v>F27</v>
      </c>
      <c r="M392" s="105" t="str">
        <f t="shared" si="22"/>
        <v>F27</v>
      </c>
      <c r="N392" s="105" t="str">
        <f>VLOOKUP(M392,CAC!$A$2:$B$198,2,FALSE)</f>
        <v>HMOFEP</v>
      </c>
    </row>
    <row r="393" spans="5:14" x14ac:dyDescent="0.25">
      <c r="E393" s="83">
        <v>201511</v>
      </c>
      <c r="F393" s="82" t="s">
        <v>506</v>
      </c>
      <c r="G393" s="82" t="s">
        <v>354</v>
      </c>
      <c r="H393" s="82" t="s">
        <v>592</v>
      </c>
      <c r="I393" s="95">
        <v>0</v>
      </c>
      <c r="K393" s="105" t="str">
        <f t="shared" si="21"/>
        <v>0013-1013-0035</v>
      </c>
      <c r="L393" s="105" t="str">
        <f>VLOOKUP(K393,COA!$A$3:$B$337,2,FALSE)</f>
        <v>N44</v>
      </c>
      <c r="M393" s="105" t="str">
        <f t="shared" si="22"/>
        <v>N44</v>
      </c>
      <c r="N393" s="105" t="e">
        <f>VLOOKUP(M393,CAC!$A$2:$B$198,2,FALSE)</f>
        <v>#N/A</v>
      </c>
    </row>
    <row r="394" spans="5:14" x14ac:dyDescent="0.25">
      <c r="E394" s="83">
        <v>201601</v>
      </c>
      <c r="F394" s="82" t="s">
        <v>345</v>
      </c>
      <c r="G394" s="82" t="s">
        <v>354</v>
      </c>
      <c r="H394" s="82" t="s">
        <v>360</v>
      </c>
      <c r="I394" s="95">
        <v>2152</v>
      </c>
      <c r="K394" s="105" t="str">
        <f t="shared" si="21"/>
        <v>0011-1013-0048</v>
      </c>
      <c r="L394" s="105" t="str">
        <f>VLOOKUP(K394,COA!$A$3:$B$337,2,FALSE)</f>
        <v>N21</v>
      </c>
      <c r="M394" s="105" t="str">
        <f t="shared" si="22"/>
        <v>N21</v>
      </c>
      <c r="N394" s="105" t="str">
        <f>VLOOKUP(M394,CAC!$A$2:$B$198,2,FALSE)</f>
        <v>HMFLEX</v>
      </c>
    </row>
    <row r="395" spans="5:14" x14ac:dyDescent="0.25">
      <c r="E395" s="83">
        <v>201709</v>
      </c>
      <c r="F395" s="82" t="s">
        <v>746</v>
      </c>
      <c r="G395" s="82" t="s">
        <v>356</v>
      </c>
      <c r="H395" s="82" t="s">
        <v>344</v>
      </c>
      <c r="I395" s="95">
        <v>142</v>
      </c>
      <c r="K395" s="105" t="str">
        <f t="shared" si="21"/>
        <v>0016-1002-0012</v>
      </c>
      <c r="L395" s="105" t="str">
        <f>VLOOKUP(K395,COA!$A$3:$B$337,2,FALSE)</f>
        <v>R18</v>
      </c>
      <c r="M395" s="105" t="str">
        <f t="shared" si="22"/>
        <v>R18</v>
      </c>
      <c r="N395" s="105" t="str">
        <f>VLOOKUP(M395,CAC!$A$2:$B$198,2,FALSE)</f>
        <v>HMOMG</v>
      </c>
    </row>
    <row r="396" spans="5:14" x14ac:dyDescent="0.25">
      <c r="E396" s="83">
        <v>201711</v>
      </c>
      <c r="F396" s="82" t="s">
        <v>746</v>
      </c>
      <c r="G396" s="82" t="s">
        <v>350</v>
      </c>
      <c r="H396" s="82" t="s">
        <v>344</v>
      </c>
      <c r="I396" s="95">
        <v>3</v>
      </c>
      <c r="K396" s="105" t="str">
        <f t="shared" si="21"/>
        <v>0016-1012-0012</v>
      </c>
      <c r="L396" s="105" t="str">
        <f>VLOOKUP(K396,COA!$A$3:$B$337,2,FALSE)</f>
        <v>R19</v>
      </c>
      <c r="M396" s="105" t="str">
        <f t="shared" si="22"/>
        <v>R19</v>
      </c>
      <c r="N396" s="105" t="str">
        <f>VLOOKUP(M396,CAC!$A$2:$B$198,2,FALSE)</f>
        <v>HMOMG</v>
      </c>
    </row>
    <row r="397" spans="5:14" x14ac:dyDescent="0.25">
      <c r="E397" s="83">
        <v>201710</v>
      </c>
      <c r="F397" s="82" t="s">
        <v>345</v>
      </c>
      <c r="G397" s="82" t="s">
        <v>361</v>
      </c>
      <c r="H397" s="82" t="s">
        <v>344</v>
      </c>
      <c r="I397" s="95">
        <v>882</v>
      </c>
      <c r="K397" s="105" t="str">
        <f t="shared" si="21"/>
        <v>0011-1003-0012</v>
      </c>
      <c r="L397" s="105" t="str">
        <f>VLOOKUP(K397,COA!$A$3:$B$337,2,FALSE)</f>
        <v>N16</v>
      </c>
      <c r="M397" s="105" t="str">
        <f t="shared" si="22"/>
        <v>N16</v>
      </c>
      <c r="N397" s="105" t="str">
        <f>VLOOKUP(M397,CAC!$A$2:$B$198,2,FALSE)</f>
        <v>HMOPMR</v>
      </c>
    </row>
    <row r="398" spans="5:14" x14ac:dyDescent="0.25">
      <c r="E398" s="83">
        <v>201610</v>
      </c>
      <c r="F398" s="82" t="s">
        <v>344</v>
      </c>
      <c r="G398" s="82" t="s">
        <v>356</v>
      </c>
      <c r="H398" s="82" t="s">
        <v>344</v>
      </c>
      <c r="I398" s="95">
        <v>4135</v>
      </c>
      <c r="K398" s="105" t="str">
        <f t="shared" si="21"/>
        <v>0012-1002-0012</v>
      </c>
      <c r="L398" s="105" t="str">
        <f>VLOOKUP(K398,COA!$A$3:$B$337,2,FALSE)</f>
        <v>F22</v>
      </c>
      <c r="M398" s="105" t="str">
        <f t="shared" si="22"/>
        <v>F22</v>
      </c>
      <c r="N398" s="105" t="str">
        <f>VLOOKUP(M398,CAC!$A$2:$B$198,2,FALSE)</f>
        <v>HMOPMR</v>
      </c>
    </row>
    <row r="399" spans="5:14" x14ac:dyDescent="0.25">
      <c r="E399" s="83">
        <v>201603</v>
      </c>
      <c r="F399" s="82" t="s">
        <v>345</v>
      </c>
      <c r="G399" s="82" t="s">
        <v>354</v>
      </c>
      <c r="H399" s="82" t="s">
        <v>360</v>
      </c>
      <c r="I399" s="95">
        <v>2175.94</v>
      </c>
      <c r="K399" s="105" t="str">
        <f t="shared" si="21"/>
        <v>0011-1013-0048</v>
      </c>
      <c r="L399" s="105" t="str">
        <f>VLOOKUP(K399,COA!$A$3:$B$337,2,FALSE)</f>
        <v>N21</v>
      </c>
      <c r="M399" s="105" t="str">
        <f t="shared" si="22"/>
        <v>N21</v>
      </c>
      <c r="N399" s="105" t="str">
        <f>VLOOKUP(M399,CAC!$A$2:$B$198,2,FALSE)</f>
        <v>HMFLEX</v>
      </c>
    </row>
    <row r="400" spans="5:14" x14ac:dyDescent="0.25">
      <c r="E400" s="83">
        <v>201711</v>
      </c>
      <c r="F400" s="82" t="s">
        <v>345</v>
      </c>
      <c r="G400" s="82" t="s">
        <v>348</v>
      </c>
      <c r="H400" s="82" t="s">
        <v>353</v>
      </c>
      <c r="I400" s="95">
        <v>449</v>
      </c>
      <c r="K400" s="105" t="str">
        <f t="shared" si="21"/>
        <v>0011-1010-0023</v>
      </c>
      <c r="L400" s="105" t="str">
        <f>VLOOKUP(K400,COA!$A$3:$B$337,2,FALSE)</f>
        <v>S13</v>
      </c>
      <c r="M400" s="105" t="str">
        <f t="shared" si="22"/>
        <v>S13</v>
      </c>
      <c r="N400" s="105" t="str">
        <f>VLOOKUP(M400,CAC!$A$2:$B$198,2,FALSE)</f>
        <v>HMOSG</v>
      </c>
    </row>
    <row r="401" spans="5:14" x14ac:dyDescent="0.25">
      <c r="E401" s="83">
        <v>201612</v>
      </c>
      <c r="F401" s="82" t="s">
        <v>746</v>
      </c>
      <c r="G401" s="82" t="s">
        <v>356</v>
      </c>
      <c r="H401" s="82" t="s">
        <v>344</v>
      </c>
      <c r="I401" s="95">
        <v>134</v>
      </c>
      <c r="K401" s="105" t="str">
        <f t="shared" si="21"/>
        <v>0016-1002-0012</v>
      </c>
      <c r="L401" s="105" t="str">
        <f>VLOOKUP(K401,COA!$A$3:$B$337,2,FALSE)</f>
        <v>R18</v>
      </c>
      <c r="M401" s="105" t="str">
        <f t="shared" si="22"/>
        <v>R18</v>
      </c>
      <c r="N401" s="105" t="str">
        <f>VLOOKUP(M401,CAC!$A$2:$B$198,2,FALSE)</f>
        <v>HMOMG</v>
      </c>
    </row>
    <row r="402" spans="5:14" x14ac:dyDescent="0.25">
      <c r="E402" s="83">
        <v>201602</v>
      </c>
      <c r="F402" s="82" t="s">
        <v>563</v>
      </c>
      <c r="G402" s="82" t="s">
        <v>350</v>
      </c>
      <c r="H402" s="82" t="s">
        <v>360</v>
      </c>
      <c r="I402" s="95">
        <v>0</v>
      </c>
      <c r="K402" s="105" t="str">
        <f t="shared" si="21"/>
        <v>0003-1012-0048</v>
      </c>
      <c r="L402" s="105" t="str">
        <f>VLOOKUP(K402,COA!$A$3:$B$337,2,FALSE)</f>
        <v>K56</v>
      </c>
      <c r="M402" s="105" t="str">
        <f t="shared" si="22"/>
        <v>K56</v>
      </c>
      <c r="N402" s="105" t="str">
        <f>VLOOKUP(M402,CAC!$A$2:$B$198,2,FALSE)</f>
        <v>HMFLEX</v>
      </c>
    </row>
    <row r="403" spans="5:14" x14ac:dyDescent="0.25">
      <c r="E403" s="83">
        <v>201509</v>
      </c>
      <c r="F403" s="82" t="s">
        <v>342</v>
      </c>
      <c r="G403" s="82" t="s">
        <v>343</v>
      </c>
      <c r="H403" s="82" t="s">
        <v>344</v>
      </c>
      <c r="I403" s="95">
        <v>6542.71</v>
      </c>
      <c r="K403" s="105" t="str">
        <f t="shared" si="21"/>
        <v>0031-1000-0012</v>
      </c>
      <c r="L403" s="105" t="str">
        <f>VLOOKUP(K403,COA!$A$3:$B$337,2,FALSE)</f>
        <v>F27</v>
      </c>
      <c r="M403" s="105" t="str">
        <f t="shared" si="22"/>
        <v>F27</v>
      </c>
      <c r="N403" s="105" t="str">
        <f>VLOOKUP(M403,CAC!$A$2:$B$198,2,FALSE)</f>
        <v>HMOFEP</v>
      </c>
    </row>
    <row r="404" spans="5:14" x14ac:dyDescent="0.25">
      <c r="E404" s="83">
        <v>201706</v>
      </c>
      <c r="F404" s="82" t="s">
        <v>413</v>
      </c>
      <c r="G404" s="82" t="s">
        <v>365</v>
      </c>
      <c r="H404" s="82" t="s">
        <v>344</v>
      </c>
      <c r="I404" s="95">
        <v>0</v>
      </c>
      <c r="K404" s="105" t="str">
        <f t="shared" si="21"/>
        <v>0008-1001-0012</v>
      </c>
      <c r="L404" s="105" t="str">
        <f>VLOOKUP(K404,COA!$A$3:$B$337,2,FALSE)</f>
        <v>C95</v>
      </c>
      <c r="M404" s="105" t="str">
        <f t="shared" si="22"/>
        <v>C95</v>
      </c>
      <c r="N404" s="105" t="str">
        <f>VLOOKUP(M404,CAC!$A$2:$B$198,2,FALSE)</f>
        <v>DOIIFP</v>
      </c>
    </row>
    <row r="405" spans="5:14" x14ac:dyDescent="0.25">
      <c r="E405" s="83">
        <v>201512</v>
      </c>
      <c r="F405" s="82" t="s">
        <v>746</v>
      </c>
      <c r="G405" s="82" t="s">
        <v>354</v>
      </c>
      <c r="H405" s="82" t="s">
        <v>344</v>
      </c>
      <c r="I405" s="95">
        <v>82</v>
      </c>
      <c r="K405" s="105" t="str">
        <f t="shared" si="21"/>
        <v>0016-1013-0012</v>
      </c>
      <c r="L405" s="105" t="str">
        <f>VLOOKUP(K405,COA!$A$3:$B$337,2,FALSE)</f>
        <v>R19</v>
      </c>
      <c r="M405" s="105" t="str">
        <f t="shared" si="22"/>
        <v>R19</v>
      </c>
      <c r="N405" s="105" t="str">
        <f>VLOOKUP(M405,CAC!$A$2:$B$198,2,FALSE)</f>
        <v>HMOMG</v>
      </c>
    </row>
    <row r="406" spans="5:14" x14ac:dyDescent="0.25">
      <c r="E406" s="83">
        <v>201801</v>
      </c>
      <c r="F406" s="82" t="s">
        <v>344</v>
      </c>
      <c r="G406" s="82" t="s">
        <v>350</v>
      </c>
      <c r="H406" s="82" t="s">
        <v>344</v>
      </c>
      <c r="I406" s="95">
        <v>956.68</v>
      </c>
      <c r="K406" s="105" t="str">
        <f t="shared" si="21"/>
        <v>0012-1012-0012</v>
      </c>
      <c r="L406" s="105" t="str">
        <f>VLOOKUP(K406,COA!$A$3:$B$337,2,FALSE)</f>
        <v>K12</v>
      </c>
      <c r="M406" s="105" t="str">
        <f t="shared" si="22"/>
        <v>K12</v>
      </c>
      <c r="N406" s="105" t="str">
        <f>VLOOKUP(M406,CAC!$A$2:$B$198,2,FALSE)</f>
        <v>HMOPMR</v>
      </c>
    </row>
    <row r="407" spans="5:14" x14ac:dyDescent="0.25">
      <c r="E407" s="83">
        <v>201707</v>
      </c>
      <c r="F407" s="82" t="s">
        <v>344</v>
      </c>
      <c r="G407" s="82" t="s">
        <v>350</v>
      </c>
      <c r="H407" s="82" t="s">
        <v>344</v>
      </c>
      <c r="I407" s="95">
        <v>28</v>
      </c>
      <c r="K407" s="105" t="str">
        <f t="shared" si="21"/>
        <v>0012-1012-0012</v>
      </c>
      <c r="L407" s="105" t="str">
        <f>VLOOKUP(K407,COA!$A$3:$B$337,2,FALSE)</f>
        <v>K12</v>
      </c>
      <c r="M407" s="105" t="str">
        <f t="shared" si="22"/>
        <v>K12</v>
      </c>
      <c r="N407" s="105" t="str">
        <f>VLOOKUP(M407,CAC!$A$2:$B$198,2,FALSE)</f>
        <v>HMOPMR</v>
      </c>
    </row>
    <row r="408" spans="5:14" x14ac:dyDescent="0.25">
      <c r="E408" s="83">
        <v>201506</v>
      </c>
      <c r="F408" s="82" t="s">
        <v>563</v>
      </c>
      <c r="G408" s="82" t="s">
        <v>348</v>
      </c>
      <c r="H408" s="82" t="s">
        <v>353</v>
      </c>
      <c r="I408" s="95">
        <v>0</v>
      </c>
      <c r="K408" s="105" t="str">
        <f t="shared" si="21"/>
        <v>0003-1010-0023</v>
      </c>
      <c r="L408" s="105" t="str">
        <f>VLOOKUP(K408,COA!$A$3:$B$337,2,FALSE)</f>
        <v>S54</v>
      </c>
      <c r="M408" s="105" t="str">
        <f t="shared" si="22"/>
        <v>S54</v>
      </c>
      <c r="N408" s="105" t="str">
        <f>VLOOKUP(M408,CAC!$A$2:$B$198,2,FALSE)</f>
        <v>PPOSG</v>
      </c>
    </row>
    <row r="409" spans="5:14" x14ac:dyDescent="0.25">
      <c r="E409" s="83">
        <v>201603</v>
      </c>
      <c r="F409" s="82" t="s">
        <v>345</v>
      </c>
      <c r="G409" s="82" t="s">
        <v>346</v>
      </c>
      <c r="H409" s="82" t="s">
        <v>344</v>
      </c>
      <c r="I409" s="95">
        <v>0</v>
      </c>
      <c r="K409" s="105" t="str">
        <f t="shared" si="21"/>
        <v>0011-1014-0012</v>
      </c>
      <c r="L409" s="105" t="e">
        <f>VLOOKUP(K409,COA!$A$3:$B$337,2,FALSE)</f>
        <v>#N/A</v>
      </c>
      <c r="M409" s="105" t="str">
        <f t="shared" si="22"/>
        <v>XXX</v>
      </c>
      <c r="N409" s="105" t="str">
        <f>VLOOKUP(M409,CAC!$A$2:$B$198,2,FALSE)</f>
        <v>XXX</v>
      </c>
    </row>
    <row r="410" spans="5:14" x14ac:dyDescent="0.25">
      <c r="E410" s="83">
        <v>201801</v>
      </c>
      <c r="F410" s="82" t="s">
        <v>563</v>
      </c>
      <c r="G410" s="82" t="s">
        <v>354</v>
      </c>
      <c r="H410" s="82" t="s">
        <v>344</v>
      </c>
      <c r="I410" s="95">
        <v>0</v>
      </c>
      <c r="K410" s="105" t="str">
        <f t="shared" si="21"/>
        <v>0003-1013-0012</v>
      </c>
      <c r="L410" s="105" t="str">
        <f>VLOOKUP(K410,COA!$A$3:$B$337,2,FALSE)</f>
        <v>N55</v>
      </c>
      <c r="M410" s="105" t="str">
        <f t="shared" si="22"/>
        <v>N55</v>
      </c>
      <c r="N410" s="105" t="str">
        <f>VLOOKUP(M410,CAC!$A$2:$B$198,2,FALSE)</f>
        <v>PPOPMR</v>
      </c>
    </row>
    <row r="411" spans="5:14" x14ac:dyDescent="0.25">
      <c r="E411" s="83">
        <v>201611</v>
      </c>
      <c r="F411" s="82" t="s">
        <v>345</v>
      </c>
      <c r="G411" s="82" t="s">
        <v>350</v>
      </c>
      <c r="H411" s="82" t="s">
        <v>357</v>
      </c>
      <c r="I411" s="95">
        <v>1940</v>
      </c>
      <c r="K411" s="105" t="str">
        <f t="shared" si="21"/>
        <v>0011-1012-0038</v>
      </c>
      <c r="L411" s="105" t="str">
        <f>VLOOKUP(K411,COA!$A$3:$B$337,2,FALSE)</f>
        <v>K14</v>
      </c>
      <c r="M411" s="105" t="str">
        <f t="shared" si="22"/>
        <v>K14</v>
      </c>
      <c r="N411" s="105" t="str">
        <f>VLOOKUP(M411,CAC!$A$2:$B$198,2,FALSE)</f>
        <v>HMOPMR</v>
      </c>
    </row>
    <row r="412" spans="5:14" x14ac:dyDescent="0.25">
      <c r="E412" s="83">
        <v>201710</v>
      </c>
      <c r="F412" s="82" t="s">
        <v>345</v>
      </c>
      <c r="G412" s="82" t="s">
        <v>352</v>
      </c>
      <c r="H412" s="82" t="s">
        <v>360</v>
      </c>
      <c r="I412" s="95">
        <v>230</v>
      </c>
      <c r="K412" s="105" t="str">
        <f t="shared" si="21"/>
        <v>0011-1004-0048</v>
      </c>
      <c r="L412" s="105" t="str">
        <f>VLOOKUP(K412,COA!$A$3:$B$337,2,FALSE)</f>
        <v>L21</v>
      </c>
      <c r="M412" s="105" t="str">
        <f t="shared" si="22"/>
        <v>L21</v>
      </c>
      <c r="N412" s="105" t="str">
        <f>VLOOKUP(M412,CAC!$A$2:$B$198,2,FALSE)</f>
        <v>HMFLEX</v>
      </c>
    </row>
    <row r="413" spans="5:14" x14ac:dyDescent="0.25">
      <c r="E413" s="83">
        <v>201711</v>
      </c>
      <c r="F413" s="82" t="s">
        <v>746</v>
      </c>
      <c r="G413" s="82" t="s">
        <v>356</v>
      </c>
      <c r="H413" s="82" t="s">
        <v>764</v>
      </c>
      <c r="I413" s="95">
        <v>645</v>
      </c>
      <c r="K413" s="105" t="str">
        <f t="shared" si="21"/>
        <v>0016-1002-0064</v>
      </c>
      <c r="L413" s="105" t="str">
        <f>VLOOKUP(K413,COA!$A$3:$B$337,2,FALSE)</f>
        <v>R25</v>
      </c>
      <c r="M413" s="105" t="str">
        <f t="shared" si="22"/>
        <v>R25</v>
      </c>
      <c r="N413" s="105" t="str">
        <f>VLOOKUP(M413,CAC!$A$2:$B$198,2,FALSE)</f>
        <v>HMOMG</v>
      </c>
    </row>
    <row r="414" spans="5:14" x14ac:dyDescent="0.25">
      <c r="E414" s="83">
        <v>201711</v>
      </c>
      <c r="F414" s="82" t="s">
        <v>746</v>
      </c>
      <c r="G414" s="82" t="s">
        <v>350</v>
      </c>
      <c r="H414" s="82" t="s">
        <v>764</v>
      </c>
      <c r="I414" s="95">
        <v>22</v>
      </c>
      <c r="K414" s="105" t="str">
        <f t="shared" si="21"/>
        <v>0016-1012-0064</v>
      </c>
      <c r="L414" s="105" t="str">
        <f>VLOOKUP(K414,COA!$A$3:$B$337,2,FALSE)</f>
        <v>R25</v>
      </c>
      <c r="M414" s="105" t="str">
        <f t="shared" si="22"/>
        <v>R25</v>
      </c>
      <c r="N414" s="105" t="str">
        <f>VLOOKUP(M414,CAC!$A$2:$B$198,2,FALSE)</f>
        <v>HMOMG</v>
      </c>
    </row>
    <row r="415" spans="5:14" x14ac:dyDescent="0.25">
      <c r="E415" s="83">
        <v>201701</v>
      </c>
      <c r="F415" s="82" t="s">
        <v>345</v>
      </c>
      <c r="G415" s="82" t="s">
        <v>348</v>
      </c>
      <c r="H415" s="82" t="s">
        <v>349</v>
      </c>
      <c r="I415" s="95">
        <v>26325.35</v>
      </c>
      <c r="K415" s="105" t="str">
        <f t="shared" si="21"/>
        <v>0011-1010-0017</v>
      </c>
      <c r="L415" s="105" t="str">
        <f>VLOOKUP(K415,COA!$A$3:$B$337,2,FALSE)</f>
        <v>S11</v>
      </c>
      <c r="M415" s="105" t="str">
        <f t="shared" si="22"/>
        <v>S11</v>
      </c>
      <c r="N415" s="105" t="str">
        <f>VLOOKUP(M415,CAC!$A$2:$B$198,2,FALSE)</f>
        <v>HMOSG</v>
      </c>
    </row>
    <row r="416" spans="5:14" x14ac:dyDescent="0.25">
      <c r="E416" s="83">
        <v>201506</v>
      </c>
      <c r="F416" s="82" t="s">
        <v>563</v>
      </c>
      <c r="G416" s="82" t="s">
        <v>365</v>
      </c>
      <c r="H416" s="82" t="s">
        <v>367</v>
      </c>
      <c r="I416" s="95">
        <v>0</v>
      </c>
      <c r="K416" s="105" t="str">
        <f t="shared" si="21"/>
        <v>0003-1001-0022</v>
      </c>
      <c r="L416" s="105" t="str">
        <f>VLOOKUP(K416,COA!$A$3:$B$337,2,FALSE)</f>
        <v>V54</v>
      </c>
      <c r="M416" s="105" t="str">
        <f t="shared" si="22"/>
        <v>V54</v>
      </c>
      <c r="N416" s="105" t="str">
        <f>VLOOKUP(M416,CAC!$A$2:$B$198,2,FALSE)</f>
        <v>PPOIFP</v>
      </c>
    </row>
    <row r="417" spans="5:14" x14ac:dyDescent="0.25">
      <c r="E417" s="83">
        <v>201701</v>
      </c>
      <c r="F417" s="82" t="s">
        <v>563</v>
      </c>
      <c r="G417" s="82" t="s">
        <v>348</v>
      </c>
      <c r="H417" s="82" t="s">
        <v>358</v>
      </c>
      <c r="I417" s="95">
        <v>0</v>
      </c>
      <c r="K417" s="105" t="str">
        <f t="shared" si="21"/>
        <v>0003-1010-0024</v>
      </c>
      <c r="L417" s="105" t="str">
        <f>VLOOKUP(K417,COA!$A$3:$B$337,2,FALSE)</f>
        <v>S56</v>
      </c>
      <c r="M417" s="105" t="str">
        <f t="shared" si="22"/>
        <v>S56</v>
      </c>
      <c r="N417" s="105" t="str">
        <f>VLOOKUP(M417,CAC!$A$2:$B$198,2,FALSE)</f>
        <v>PPOSG</v>
      </c>
    </row>
    <row r="418" spans="5:14" x14ac:dyDescent="0.25">
      <c r="E418" s="83">
        <v>201606</v>
      </c>
      <c r="F418" s="82" t="s">
        <v>413</v>
      </c>
      <c r="G418" s="82" t="s">
        <v>354</v>
      </c>
      <c r="H418" s="82" t="s">
        <v>344</v>
      </c>
      <c r="I418" s="95">
        <v>0</v>
      </c>
      <c r="K418" s="105" t="str">
        <f t="shared" si="21"/>
        <v>0008-1013-0012</v>
      </c>
      <c r="L418" s="105" t="str">
        <f>VLOOKUP(K418,COA!$A$3:$B$337,2,FALSE)</f>
        <v>C76</v>
      </c>
      <c r="M418" s="105" t="str">
        <f t="shared" si="22"/>
        <v>C76</v>
      </c>
      <c r="N418" s="105" t="str">
        <f>VLOOKUP(M418,CAC!$A$2:$B$198,2,FALSE)</f>
        <v>DOILG</v>
      </c>
    </row>
    <row r="419" spans="5:14" x14ac:dyDescent="0.25">
      <c r="E419" s="83">
        <v>201612</v>
      </c>
      <c r="F419" s="82" t="s">
        <v>563</v>
      </c>
      <c r="G419" s="82" t="s">
        <v>352</v>
      </c>
      <c r="H419" s="82" t="s">
        <v>626</v>
      </c>
      <c r="I419" s="95">
        <v>0</v>
      </c>
      <c r="K419" s="105" t="str">
        <f t="shared" si="21"/>
        <v>0003-1004-0057</v>
      </c>
      <c r="L419" s="105" t="e">
        <f>VLOOKUP(K419,COA!$A$3:$B$337,2,FALSE)</f>
        <v>#N/A</v>
      </c>
      <c r="M419" s="105" t="str">
        <f t="shared" si="22"/>
        <v>XXX</v>
      </c>
      <c r="N419" s="105" t="str">
        <f>VLOOKUP(M419,CAC!$A$2:$B$198,2,FALSE)</f>
        <v>XXX</v>
      </c>
    </row>
    <row r="420" spans="5:14" x14ac:dyDescent="0.25">
      <c r="E420" s="83">
        <v>201801</v>
      </c>
      <c r="F420" s="82" t="s">
        <v>345</v>
      </c>
      <c r="G420" s="82" t="s">
        <v>352</v>
      </c>
      <c r="H420" s="82" t="s">
        <v>344</v>
      </c>
      <c r="I420" s="95">
        <v>17159.22</v>
      </c>
      <c r="K420" s="105" t="str">
        <f t="shared" si="21"/>
        <v>0011-1004-0012</v>
      </c>
      <c r="L420" s="105" t="str">
        <f>VLOOKUP(K420,COA!$A$3:$B$337,2,FALSE)</f>
        <v>L11</v>
      </c>
      <c r="M420" s="105" t="str">
        <f t="shared" si="22"/>
        <v>L11</v>
      </c>
      <c r="N420" s="105" t="str">
        <f>VLOOKUP(M420,CAC!$A$2:$B$198,2,FALSE)</f>
        <v>HMOLG</v>
      </c>
    </row>
    <row r="421" spans="5:14" x14ac:dyDescent="0.25">
      <c r="E421" s="83">
        <v>201502</v>
      </c>
      <c r="F421" s="82" t="s">
        <v>563</v>
      </c>
      <c r="G421" s="82" t="s">
        <v>355</v>
      </c>
      <c r="H421" s="82" t="s">
        <v>344</v>
      </c>
      <c r="I421" s="95">
        <v>0</v>
      </c>
      <c r="K421" s="105" t="str">
        <f t="shared" si="21"/>
        <v>0003-1006-0012</v>
      </c>
      <c r="L421" s="105" t="str">
        <f>VLOOKUP(K421,COA!$A$3:$B$337,2,FALSE)</f>
        <v>L52</v>
      </c>
      <c r="M421" s="105" t="str">
        <f t="shared" si="22"/>
        <v>L52</v>
      </c>
      <c r="N421" s="105" t="str">
        <f>VLOOKUP(M421,CAC!$A$2:$B$198,2,FALSE)</f>
        <v>PPOLG</v>
      </c>
    </row>
    <row r="422" spans="5:14" x14ac:dyDescent="0.25">
      <c r="E422" s="83">
        <v>201610</v>
      </c>
      <c r="F422" s="82" t="s">
        <v>345</v>
      </c>
      <c r="G422" s="82" t="s">
        <v>354</v>
      </c>
      <c r="H422" s="82" t="s">
        <v>344</v>
      </c>
      <c r="I422" s="95">
        <v>6827.68</v>
      </c>
      <c r="K422" s="105" t="str">
        <f t="shared" si="21"/>
        <v>0011-1013-0012</v>
      </c>
      <c r="L422" s="105" t="str">
        <f>VLOOKUP(K422,COA!$A$3:$B$337,2,FALSE)</f>
        <v>N20</v>
      </c>
      <c r="M422" s="105" t="str">
        <f t="shared" si="22"/>
        <v>N20</v>
      </c>
      <c r="N422" s="105" t="str">
        <f>VLOOKUP(M422,CAC!$A$2:$B$198,2,FALSE)</f>
        <v>HMOPMR</v>
      </c>
    </row>
    <row r="423" spans="5:14" x14ac:dyDescent="0.25">
      <c r="E423" s="83">
        <v>201507</v>
      </c>
      <c r="F423" s="82" t="s">
        <v>563</v>
      </c>
      <c r="G423" s="82" t="s">
        <v>361</v>
      </c>
      <c r="H423" s="82" t="s">
        <v>344</v>
      </c>
      <c r="I423" s="95">
        <v>0</v>
      </c>
      <c r="K423" s="105" t="str">
        <f t="shared" si="21"/>
        <v>0003-1003-0012</v>
      </c>
      <c r="L423" s="105" t="str">
        <f>VLOOKUP(K423,COA!$A$3:$B$337,2,FALSE)</f>
        <v>N61</v>
      </c>
      <c r="M423" s="105" t="str">
        <f t="shared" si="22"/>
        <v>N61</v>
      </c>
      <c r="N423" s="105" t="str">
        <f>VLOOKUP(M423,CAC!$A$2:$B$198,2,FALSE)</f>
        <v>PPOPMR</v>
      </c>
    </row>
    <row r="424" spans="5:14" x14ac:dyDescent="0.25">
      <c r="E424" s="83">
        <v>201510</v>
      </c>
      <c r="F424" s="82" t="s">
        <v>746</v>
      </c>
      <c r="G424" s="82" t="s">
        <v>361</v>
      </c>
      <c r="H424" s="82" t="s">
        <v>344</v>
      </c>
      <c r="I424" s="95">
        <v>453</v>
      </c>
      <c r="K424" s="105" t="str">
        <f t="shared" si="21"/>
        <v>0016-1003-0012</v>
      </c>
      <c r="L424" s="105" t="str">
        <f>VLOOKUP(K424,COA!$A$3:$B$337,2,FALSE)</f>
        <v>R18</v>
      </c>
      <c r="M424" s="105" t="str">
        <f t="shared" si="22"/>
        <v>R18</v>
      </c>
      <c r="N424" s="105" t="str">
        <f>VLOOKUP(M424,CAC!$A$2:$B$198,2,FALSE)</f>
        <v>HMOMG</v>
      </c>
    </row>
    <row r="425" spans="5:14" x14ac:dyDescent="0.25">
      <c r="E425" s="83">
        <v>201603</v>
      </c>
      <c r="F425" s="82" t="s">
        <v>413</v>
      </c>
      <c r="G425" s="82" t="s">
        <v>355</v>
      </c>
      <c r="H425" s="82" t="s">
        <v>344</v>
      </c>
      <c r="I425" s="95">
        <v>0</v>
      </c>
      <c r="K425" s="105" t="str">
        <f t="shared" si="21"/>
        <v>0008-1006-0012</v>
      </c>
      <c r="L425" s="105" t="str">
        <f>VLOOKUP(K425,COA!$A$3:$B$337,2,FALSE)</f>
        <v>C96</v>
      </c>
      <c r="M425" s="105" t="str">
        <f t="shared" si="22"/>
        <v>C96</v>
      </c>
      <c r="N425" s="105" t="str">
        <f>VLOOKUP(M425,CAC!$A$2:$B$198,2,FALSE)</f>
        <v>DOILG</v>
      </c>
    </row>
    <row r="426" spans="5:14" x14ac:dyDescent="0.25">
      <c r="E426" s="83">
        <v>201507</v>
      </c>
      <c r="F426" s="82" t="s">
        <v>563</v>
      </c>
      <c r="G426" s="82" t="s">
        <v>365</v>
      </c>
      <c r="H426" s="82" t="s">
        <v>367</v>
      </c>
      <c r="I426" s="95">
        <v>0</v>
      </c>
      <c r="K426" s="105" t="str">
        <f t="shared" si="21"/>
        <v>0003-1001-0022</v>
      </c>
      <c r="L426" s="105" t="str">
        <f>VLOOKUP(K426,COA!$A$3:$B$337,2,FALSE)</f>
        <v>V54</v>
      </c>
      <c r="M426" s="105" t="str">
        <f t="shared" si="22"/>
        <v>V54</v>
      </c>
      <c r="N426" s="105" t="str">
        <f>VLOOKUP(M426,CAC!$A$2:$B$198,2,FALSE)</f>
        <v>PPOIFP</v>
      </c>
    </row>
    <row r="427" spans="5:14" x14ac:dyDescent="0.25">
      <c r="E427" s="83">
        <v>201701</v>
      </c>
      <c r="F427" s="82" t="s">
        <v>563</v>
      </c>
      <c r="G427" s="82" t="s">
        <v>359</v>
      </c>
      <c r="H427" s="82" t="s">
        <v>344</v>
      </c>
      <c r="I427" s="95">
        <v>0</v>
      </c>
      <c r="K427" s="105" t="str">
        <f t="shared" si="21"/>
        <v>0003-1005-0012</v>
      </c>
      <c r="L427" s="105" t="str">
        <f>VLOOKUP(K427,COA!$A$3:$B$337,2,FALSE)</f>
        <v>N51</v>
      </c>
      <c r="M427" s="105" t="str">
        <f t="shared" si="22"/>
        <v>N51</v>
      </c>
      <c r="N427" s="105" t="str">
        <f>VLOOKUP(M427,CAC!$A$2:$B$198,2,FALSE)</f>
        <v>PPOLG</v>
      </c>
    </row>
    <row r="428" spans="5:14" x14ac:dyDescent="0.25">
      <c r="E428" s="83">
        <v>201706</v>
      </c>
      <c r="F428" s="82" t="s">
        <v>506</v>
      </c>
      <c r="G428" s="82" t="s">
        <v>354</v>
      </c>
      <c r="H428" s="82" t="s">
        <v>592</v>
      </c>
      <c r="I428" s="95">
        <v>0</v>
      </c>
      <c r="K428" s="105" t="str">
        <f t="shared" si="21"/>
        <v>0013-1013-0035</v>
      </c>
      <c r="L428" s="105" t="str">
        <f>VLOOKUP(K428,COA!$A$3:$B$337,2,FALSE)</f>
        <v>N44</v>
      </c>
      <c r="M428" s="105" t="str">
        <f t="shared" si="22"/>
        <v>N44</v>
      </c>
      <c r="N428" s="105" t="e">
        <f>VLOOKUP(M428,CAC!$A$2:$B$198,2,FALSE)</f>
        <v>#N/A</v>
      </c>
    </row>
    <row r="429" spans="5:14" x14ac:dyDescent="0.25">
      <c r="E429" s="83">
        <v>201507</v>
      </c>
      <c r="F429" s="82" t="s">
        <v>506</v>
      </c>
      <c r="G429" s="82" t="s">
        <v>352</v>
      </c>
      <c r="H429" s="82" t="s">
        <v>592</v>
      </c>
      <c r="I429" s="95">
        <v>0</v>
      </c>
      <c r="K429" s="105" t="str">
        <f t="shared" si="21"/>
        <v>0013-1004-0035</v>
      </c>
      <c r="L429" s="105" t="str">
        <f>VLOOKUP(K429,COA!$A$3:$B$337,2,FALSE)</f>
        <v>L41</v>
      </c>
      <c r="M429" s="105" t="str">
        <f t="shared" si="22"/>
        <v>L41</v>
      </c>
      <c r="N429" s="105" t="e">
        <f>VLOOKUP(M429,CAC!$A$2:$B$198,2,FALSE)</f>
        <v>#N/A</v>
      </c>
    </row>
    <row r="430" spans="5:14" x14ac:dyDescent="0.25">
      <c r="E430" s="83">
        <v>201707</v>
      </c>
      <c r="F430" s="82" t="s">
        <v>563</v>
      </c>
      <c r="G430" s="82" t="s">
        <v>350</v>
      </c>
      <c r="H430" s="82" t="s">
        <v>344</v>
      </c>
      <c r="I430" s="95">
        <v>0</v>
      </c>
      <c r="K430" s="105" t="str">
        <f t="shared" si="21"/>
        <v>0003-1012-0012</v>
      </c>
      <c r="L430" s="105" t="str">
        <f>VLOOKUP(K430,COA!$A$3:$B$337,2,FALSE)</f>
        <v>K51</v>
      </c>
      <c r="M430" s="105" t="str">
        <f t="shared" si="22"/>
        <v>K51</v>
      </c>
      <c r="N430" s="105" t="str">
        <f>VLOOKUP(M430,CAC!$A$2:$B$198,2,FALSE)</f>
        <v>PPOPMR</v>
      </c>
    </row>
    <row r="431" spans="5:14" x14ac:dyDescent="0.25">
      <c r="E431" s="83">
        <v>201610</v>
      </c>
      <c r="F431" s="82" t="s">
        <v>746</v>
      </c>
      <c r="G431" s="82" t="s">
        <v>356</v>
      </c>
      <c r="H431" s="82" t="s">
        <v>764</v>
      </c>
      <c r="I431" s="95">
        <v>624</v>
      </c>
      <c r="K431" s="105" t="str">
        <f t="shared" si="21"/>
        <v>0016-1002-0064</v>
      </c>
      <c r="L431" s="105" t="str">
        <f>VLOOKUP(K431,COA!$A$3:$B$337,2,FALSE)</f>
        <v>R25</v>
      </c>
      <c r="M431" s="105" t="str">
        <f t="shared" si="22"/>
        <v>R25</v>
      </c>
      <c r="N431" s="105" t="str">
        <f>VLOOKUP(M431,CAC!$A$2:$B$198,2,FALSE)</f>
        <v>HMOMG</v>
      </c>
    </row>
    <row r="432" spans="5:14" x14ac:dyDescent="0.25">
      <c r="E432" s="83">
        <v>201601</v>
      </c>
      <c r="F432" s="82" t="s">
        <v>342</v>
      </c>
      <c r="G432" s="82" t="s">
        <v>343</v>
      </c>
      <c r="H432" s="82" t="s">
        <v>344</v>
      </c>
      <c r="I432" s="95">
        <v>6066.57</v>
      </c>
      <c r="K432" s="105" t="str">
        <f t="shared" si="21"/>
        <v>0031-1000-0012</v>
      </c>
      <c r="L432" s="105" t="str">
        <f>VLOOKUP(K432,COA!$A$3:$B$337,2,FALSE)</f>
        <v>F27</v>
      </c>
      <c r="M432" s="105" t="str">
        <f t="shared" si="22"/>
        <v>F27</v>
      </c>
      <c r="N432" s="105" t="str">
        <f>VLOOKUP(M432,CAC!$A$2:$B$198,2,FALSE)</f>
        <v>HMOFEP</v>
      </c>
    </row>
    <row r="433" spans="5:14" x14ac:dyDescent="0.25">
      <c r="E433" s="83">
        <v>201612</v>
      </c>
      <c r="F433" s="82" t="s">
        <v>345</v>
      </c>
      <c r="G433" s="82" t="s">
        <v>356</v>
      </c>
      <c r="H433" s="82" t="s">
        <v>344</v>
      </c>
      <c r="I433" s="95">
        <v>15560.13</v>
      </c>
      <c r="K433" s="105" t="str">
        <f t="shared" si="21"/>
        <v>0011-1002-0012</v>
      </c>
      <c r="L433" s="105" t="str">
        <f>VLOOKUP(K433,COA!$A$3:$B$337,2,FALSE)</f>
        <v>F20</v>
      </c>
      <c r="M433" s="105" t="str">
        <f t="shared" si="22"/>
        <v>F20</v>
      </c>
      <c r="N433" s="105" t="str">
        <f>VLOOKUP(M433,CAC!$A$2:$B$198,2,FALSE)</f>
        <v>HMOPMR</v>
      </c>
    </row>
    <row r="434" spans="5:14" x14ac:dyDescent="0.25">
      <c r="E434" s="83">
        <v>201701</v>
      </c>
      <c r="F434" s="82" t="s">
        <v>563</v>
      </c>
      <c r="G434" s="82" t="s">
        <v>354</v>
      </c>
      <c r="H434" s="82" t="s">
        <v>344</v>
      </c>
      <c r="I434" s="95">
        <v>0</v>
      </c>
      <c r="K434" s="105" t="str">
        <f t="shared" si="21"/>
        <v>0003-1013-0012</v>
      </c>
      <c r="L434" s="105" t="str">
        <f>VLOOKUP(K434,COA!$A$3:$B$337,2,FALSE)</f>
        <v>N55</v>
      </c>
      <c r="M434" s="105" t="str">
        <f t="shared" si="22"/>
        <v>N55</v>
      </c>
      <c r="N434" s="105" t="str">
        <f>VLOOKUP(M434,CAC!$A$2:$B$198,2,FALSE)</f>
        <v>PPOPMR</v>
      </c>
    </row>
    <row r="435" spans="5:14" x14ac:dyDescent="0.25">
      <c r="E435" s="83">
        <v>201609</v>
      </c>
      <c r="F435" s="82" t="s">
        <v>506</v>
      </c>
      <c r="G435" s="82" t="s">
        <v>352</v>
      </c>
      <c r="H435" s="82" t="s">
        <v>592</v>
      </c>
      <c r="I435" s="95">
        <v>0</v>
      </c>
      <c r="K435" s="105" t="str">
        <f t="shared" si="21"/>
        <v>0013-1004-0035</v>
      </c>
      <c r="L435" s="105" t="str">
        <f>VLOOKUP(K435,COA!$A$3:$B$337,2,FALSE)</f>
        <v>L41</v>
      </c>
      <c r="M435" s="105" t="str">
        <f t="shared" si="22"/>
        <v>L41</v>
      </c>
      <c r="N435" s="105" t="e">
        <f>VLOOKUP(M435,CAC!$A$2:$B$198,2,FALSE)</f>
        <v>#N/A</v>
      </c>
    </row>
    <row r="436" spans="5:14" x14ac:dyDescent="0.25">
      <c r="E436" s="83">
        <v>201509</v>
      </c>
      <c r="F436" s="82" t="s">
        <v>563</v>
      </c>
      <c r="G436" s="82" t="s">
        <v>354</v>
      </c>
      <c r="H436" s="82" t="s">
        <v>626</v>
      </c>
      <c r="I436" s="95">
        <v>0</v>
      </c>
      <c r="K436" s="105" t="str">
        <f t="shared" si="21"/>
        <v>0003-1013-0057</v>
      </c>
      <c r="L436" s="105" t="str">
        <f>VLOOKUP(K436,COA!$A$3:$B$337,2,FALSE)</f>
        <v>N55</v>
      </c>
      <c r="M436" s="105" t="str">
        <f t="shared" si="22"/>
        <v>N55</v>
      </c>
      <c r="N436" s="105" t="str">
        <f>VLOOKUP(M436,CAC!$A$2:$B$198,2,FALSE)</f>
        <v>PPOPMR</v>
      </c>
    </row>
    <row r="437" spans="5:14" x14ac:dyDescent="0.25">
      <c r="E437" s="83">
        <v>201708</v>
      </c>
      <c r="F437" s="82" t="s">
        <v>345</v>
      </c>
      <c r="G437" s="82" t="s">
        <v>352</v>
      </c>
      <c r="H437" s="82" t="s">
        <v>653</v>
      </c>
      <c r="I437" s="95">
        <v>0</v>
      </c>
      <c r="K437" s="105" t="str">
        <f t="shared" si="21"/>
        <v>0011-1004-0047</v>
      </c>
      <c r="L437" s="105" t="str">
        <f>VLOOKUP(K437,COA!$A$3:$B$337,2,FALSE)</f>
        <v>L17</v>
      </c>
      <c r="M437" s="105" t="str">
        <f t="shared" si="22"/>
        <v>L17</v>
      </c>
      <c r="N437" s="105" t="str">
        <f>VLOOKUP(M437,CAC!$A$2:$B$198,2,FALSE)</f>
        <v>HMOLG</v>
      </c>
    </row>
    <row r="438" spans="5:14" x14ac:dyDescent="0.25">
      <c r="E438" s="83">
        <v>201510</v>
      </c>
      <c r="F438" s="82" t="s">
        <v>524</v>
      </c>
      <c r="G438" s="82" t="s">
        <v>359</v>
      </c>
      <c r="H438" s="82" t="s">
        <v>672</v>
      </c>
      <c r="I438" s="95">
        <v>0</v>
      </c>
      <c r="K438" s="105" t="str">
        <f t="shared" si="21"/>
        <v>0025-1005-0058</v>
      </c>
      <c r="L438" s="105" t="str">
        <f>VLOOKUP(K438,COA!$A$3:$B$337,2,FALSE)</f>
        <v>N46</v>
      </c>
      <c r="M438" s="105" t="str">
        <f t="shared" si="22"/>
        <v>N46</v>
      </c>
      <c r="N438" s="105" t="e">
        <f>VLOOKUP(M438,CAC!$A$2:$B$198,2,FALSE)</f>
        <v>#N/A</v>
      </c>
    </row>
    <row r="439" spans="5:14" x14ac:dyDescent="0.25">
      <c r="E439" s="83">
        <v>201512</v>
      </c>
      <c r="F439" s="82" t="s">
        <v>345</v>
      </c>
      <c r="G439" s="82" t="s">
        <v>351</v>
      </c>
      <c r="H439" s="82" t="s">
        <v>349</v>
      </c>
      <c r="I439" s="95">
        <v>0</v>
      </c>
      <c r="K439" s="105" t="str">
        <f t="shared" si="21"/>
        <v>0011-0000-0017</v>
      </c>
      <c r="L439" s="105" t="e">
        <f>VLOOKUP(K439,COA!$A$3:$B$337,2,FALSE)</f>
        <v>#N/A</v>
      </c>
      <c r="M439" s="105" t="str">
        <f t="shared" si="22"/>
        <v>XXX</v>
      </c>
      <c r="N439" s="105" t="str">
        <f>VLOOKUP(M439,CAC!$A$2:$B$198,2,FALSE)</f>
        <v>XXX</v>
      </c>
    </row>
    <row r="440" spans="5:14" x14ac:dyDescent="0.25">
      <c r="E440" s="83">
        <v>201801</v>
      </c>
      <c r="F440" s="82" t="s">
        <v>345</v>
      </c>
      <c r="G440" s="82" t="s">
        <v>348</v>
      </c>
      <c r="H440" s="82" t="s">
        <v>353</v>
      </c>
      <c r="I440" s="95">
        <v>742</v>
      </c>
      <c r="K440" s="105" t="str">
        <f t="shared" si="21"/>
        <v>0011-1010-0023</v>
      </c>
      <c r="L440" s="105" t="str">
        <f>VLOOKUP(K440,COA!$A$3:$B$337,2,FALSE)</f>
        <v>S13</v>
      </c>
      <c r="M440" s="105" t="str">
        <f t="shared" si="22"/>
        <v>S13</v>
      </c>
      <c r="N440" s="105" t="str">
        <f>VLOOKUP(M440,CAC!$A$2:$B$198,2,FALSE)</f>
        <v>HMOSG</v>
      </c>
    </row>
    <row r="441" spans="5:14" x14ac:dyDescent="0.25">
      <c r="E441" s="83">
        <v>201706</v>
      </c>
      <c r="F441" s="82" t="s">
        <v>345</v>
      </c>
      <c r="G441" s="82" t="s">
        <v>348</v>
      </c>
      <c r="H441" s="82" t="s">
        <v>358</v>
      </c>
      <c r="I441" s="95">
        <v>101</v>
      </c>
      <c r="K441" s="105" t="str">
        <f t="shared" si="21"/>
        <v>0011-1010-0024</v>
      </c>
      <c r="L441" s="105" t="str">
        <f>VLOOKUP(K441,COA!$A$3:$B$337,2,FALSE)</f>
        <v>S14</v>
      </c>
      <c r="M441" s="105" t="str">
        <f t="shared" si="22"/>
        <v>S14</v>
      </c>
      <c r="N441" s="105" t="str">
        <f>VLOOKUP(M441,CAC!$A$2:$B$198,2,FALSE)</f>
        <v>HMOSG</v>
      </c>
    </row>
    <row r="442" spans="5:14" x14ac:dyDescent="0.25">
      <c r="E442" s="83">
        <v>201508</v>
      </c>
      <c r="F442" s="82" t="s">
        <v>563</v>
      </c>
      <c r="G442" s="82" t="s">
        <v>365</v>
      </c>
      <c r="H442" s="82" t="s">
        <v>366</v>
      </c>
      <c r="I442" s="95">
        <v>0</v>
      </c>
      <c r="K442" s="105" t="str">
        <f t="shared" si="21"/>
        <v>0003-1001-0021</v>
      </c>
      <c r="L442" s="105" t="str">
        <f>VLOOKUP(K442,COA!$A$3:$B$337,2,FALSE)</f>
        <v>V53</v>
      </c>
      <c r="M442" s="105" t="str">
        <f t="shared" si="22"/>
        <v>V53</v>
      </c>
      <c r="N442" s="105" t="str">
        <f>VLOOKUP(M442,CAC!$A$2:$B$198,2,FALSE)</f>
        <v>PPOIFP</v>
      </c>
    </row>
    <row r="443" spans="5:14" x14ac:dyDescent="0.25">
      <c r="E443" s="83">
        <v>201703</v>
      </c>
      <c r="F443" s="82" t="s">
        <v>344</v>
      </c>
      <c r="G443" s="82" t="s">
        <v>361</v>
      </c>
      <c r="H443" s="82" t="s">
        <v>344</v>
      </c>
      <c r="I443" s="95">
        <v>9624.82</v>
      </c>
      <c r="K443" s="105" t="str">
        <f t="shared" si="21"/>
        <v>0012-1003-0012</v>
      </c>
      <c r="L443" s="105" t="str">
        <f>VLOOKUP(K443,COA!$A$3:$B$337,2,FALSE)</f>
        <v>N15</v>
      </c>
      <c r="M443" s="105" t="str">
        <f t="shared" si="22"/>
        <v>N15</v>
      </c>
      <c r="N443" s="105" t="str">
        <f>VLOOKUP(M443,CAC!$A$2:$B$198,2,FALSE)</f>
        <v>HMOPMR</v>
      </c>
    </row>
    <row r="444" spans="5:14" x14ac:dyDescent="0.25">
      <c r="E444" s="83">
        <v>201709</v>
      </c>
      <c r="F444" s="82" t="s">
        <v>342</v>
      </c>
      <c r="G444" s="82" t="s">
        <v>343</v>
      </c>
      <c r="H444" s="82" t="s">
        <v>344</v>
      </c>
      <c r="I444" s="95">
        <v>5649.21</v>
      </c>
      <c r="K444" s="105" t="str">
        <f t="shared" si="21"/>
        <v>0031-1000-0012</v>
      </c>
      <c r="L444" s="105" t="str">
        <f>VLOOKUP(K444,COA!$A$3:$B$337,2,FALSE)</f>
        <v>F27</v>
      </c>
      <c r="M444" s="105" t="str">
        <f t="shared" si="22"/>
        <v>F27</v>
      </c>
      <c r="N444" s="105" t="str">
        <f>VLOOKUP(M444,CAC!$A$2:$B$198,2,FALSE)</f>
        <v>HMOFEP</v>
      </c>
    </row>
    <row r="445" spans="5:14" x14ac:dyDescent="0.25">
      <c r="E445" s="83">
        <v>201509</v>
      </c>
      <c r="F445" s="82" t="s">
        <v>413</v>
      </c>
      <c r="G445" s="82" t="s">
        <v>359</v>
      </c>
      <c r="H445" s="82" t="s">
        <v>344</v>
      </c>
      <c r="I445" s="95">
        <v>0</v>
      </c>
      <c r="K445" s="105" t="str">
        <f t="shared" si="21"/>
        <v>0008-1005-0012</v>
      </c>
      <c r="L445" s="105" t="str">
        <f>VLOOKUP(K445,COA!$A$3:$B$337,2,FALSE)</f>
        <v>C73</v>
      </c>
      <c r="M445" s="105" t="str">
        <f t="shared" si="22"/>
        <v>C73</v>
      </c>
      <c r="N445" s="105" t="str">
        <f>VLOOKUP(M445,CAC!$A$2:$B$198,2,FALSE)</f>
        <v>DOILG</v>
      </c>
    </row>
    <row r="446" spans="5:14" x14ac:dyDescent="0.25">
      <c r="E446" s="83">
        <v>201801</v>
      </c>
      <c r="F446" s="82" t="s">
        <v>563</v>
      </c>
      <c r="G446" s="82" t="s">
        <v>365</v>
      </c>
      <c r="H446" s="82" t="s">
        <v>344</v>
      </c>
      <c r="I446" s="95">
        <v>0</v>
      </c>
      <c r="K446" s="105" t="str">
        <f t="shared" si="21"/>
        <v>0003-1001-0012</v>
      </c>
      <c r="L446" s="105" t="str">
        <f>VLOOKUP(K446,COA!$A$3:$B$337,2,FALSE)</f>
        <v>V51</v>
      </c>
      <c r="M446" s="105" t="str">
        <f t="shared" si="22"/>
        <v>V51</v>
      </c>
      <c r="N446" s="105" t="str">
        <f>VLOOKUP(M446,CAC!$A$2:$B$198,2,FALSE)</f>
        <v>PPOIFP</v>
      </c>
    </row>
    <row r="447" spans="5:14" x14ac:dyDescent="0.25">
      <c r="E447" s="83">
        <v>201610</v>
      </c>
      <c r="F447" s="82" t="s">
        <v>563</v>
      </c>
      <c r="G447" s="82" t="s">
        <v>356</v>
      </c>
      <c r="H447" s="82" t="s">
        <v>344</v>
      </c>
      <c r="I447" s="95">
        <v>0</v>
      </c>
      <c r="K447" s="105" t="str">
        <f t="shared" si="21"/>
        <v>0003-1002-0012</v>
      </c>
      <c r="L447" s="105" t="str">
        <f>VLOOKUP(K447,COA!$A$3:$B$337,2,FALSE)</f>
        <v>F61</v>
      </c>
      <c r="M447" s="105" t="str">
        <f t="shared" si="22"/>
        <v>F61</v>
      </c>
      <c r="N447" s="105" t="str">
        <f>VLOOKUP(M447,CAC!$A$2:$B$198,2,FALSE)</f>
        <v>PPOPMR</v>
      </c>
    </row>
    <row r="448" spans="5:14" x14ac:dyDescent="0.25">
      <c r="E448" s="83">
        <v>201609</v>
      </c>
      <c r="F448" s="82" t="s">
        <v>413</v>
      </c>
      <c r="G448" s="82" t="s">
        <v>356</v>
      </c>
      <c r="H448" s="82" t="s">
        <v>344</v>
      </c>
      <c r="I448" s="95">
        <v>0</v>
      </c>
      <c r="K448" s="105" t="str">
        <f t="shared" si="21"/>
        <v>0008-1002-0012</v>
      </c>
      <c r="L448" s="105" t="str">
        <f>VLOOKUP(K448,COA!$A$3:$B$337,2,FALSE)</f>
        <v>C74</v>
      </c>
      <c r="M448" s="105" t="str">
        <f t="shared" si="22"/>
        <v>C74</v>
      </c>
      <c r="N448" s="105" t="str">
        <f>VLOOKUP(M448,CAC!$A$2:$B$198,2,FALSE)</f>
        <v>DOILG</v>
      </c>
    </row>
    <row r="449" spans="5:14" x14ac:dyDescent="0.25">
      <c r="E449" s="83">
        <v>201509</v>
      </c>
      <c r="F449" s="82" t="s">
        <v>563</v>
      </c>
      <c r="G449" s="82" t="s">
        <v>354</v>
      </c>
      <c r="H449" s="82" t="s">
        <v>653</v>
      </c>
      <c r="I449" s="95">
        <v>0</v>
      </c>
      <c r="K449" s="105" t="str">
        <f t="shared" si="21"/>
        <v>0003-1013-0047</v>
      </c>
      <c r="L449" s="105" t="str">
        <f>VLOOKUP(K449,COA!$A$3:$B$337,2,FALSE)</f>
        <v>N57</v>
      </c>
      <c r="M449" s="105" t="str">
        <f t="shared" si="22"/>
        <v>N57</v>
      </c>
      <c r="N449" s="105" t="str">
        <f>VLOOKUP(M449,CAC!$A$2:$B$198,2,FALSE)</f>
        <v>PPOPMR</v>
      </c>
    </row>
    <row r="450" spans="5:14" x14ac:dyDescent="0.25">
      <c r="E450" s="83">
        <v>201511</v>
      </c>
      <c r="F450" s="82" t="s">
        <v>345</v>
      </c>
      <c r="G450" s="82" t="s">
        <v>348</v>
      </c>
      <c r="H450" s="82" t="s">
        <v>349</v>
      </c>
      <c r="I450" s="95">
        <v>19068.54</v>
      </c>
      <c r="K450" s="105" t="str">
        <f t="shared" si="21"/>
        <v>0011-1010-0017</v>
      </c>
      <c r="L450" s="105" t="str">
        <f>VLOOKUP(K450,COA!$A$3:$B$337,2,FALSE)</f>
        <v>S11</v>
      </c>
      <c r="M450" s="105" t="str">
        <f t="shared" si="22"/>
        <v>S11</v>
      </c>
      <c r="N450" s="105" t="str">
        <f>VLOOKUP(M450,CAC!$A$2:$B$198,2,FALSE)</f>
        <v>HMOSG</v>
      </c>
    </row>
    <row r="451" spans="5:14" x14ac:dyDescent="0.25">
      <c r="E451" s="83">
        <v>201604</v>
      </c>
      <c r="F451" s="82" t="s">
        <v>549</v>
      </c>
      <c r="G451" s="82" t="s">
        <v>356</v>
      </c>
      <c r="H451" s="82" t="s">
        <v>672</v>
      </c>
      <c r="I451" s="95">
        <v>0</v>
      </c>
      <c r="K451" s="105" t="str">
        <f t="shared" si="21"/>
        <v>0026-1002-0058</v>
      </c>
      <c r="L451" s="105" t="str">
        <f>VLOOKUP(K451,COA!$A$3:$B$337,2,FALSE)</f>
        <v>L45</v>
      </c>
      <c r="M451" s="105" t="str">
        <f t="shared" si="22"/>
        <v>L45</v>
      </c>
      <c r="N451" s="105" t="e">
        <f>VLOOKUP(M451,CAC!$A$2:$B$198,2,FALSE)</f>
        <v>#N/A</v>
      </c>
    </row>
    <row r="452" spans="5:14" x14ac:dyDescent="0.25">
      <c r="E452" s="83">
        <v>201704</v>
      </c>
      <c r="F452" s="82" t="s">
        <v>345</v>
      </c>
      <c r="G452" s="82" t="s">
        <v>365</v>
      </c>
      <c r="H452" s="82" t="s">
        <v>367</v>
      </c>
      <c r="I452" s="95">
        <v>642.84</v>
      </c>
      <c r="K452" s="105" t="str">
        <f t="shared" ref="K452:K515" si="23">F452&amp;"-"&amp;G452&amp;"-"&amp;H452</f>
        <v>0011-1001-0022</v>
      </c>
      <c r="L452" s="105" t="str">
        <f>VLOOKUP(K452,COA!$A$3:$B$337,2,FALSE)</f>
        <v>V14</v>
      </c>
      <c r="M452" s="105" t="str">
        <f t="shared" ref="M452:M515" si="24">IF(ISNA(L452),"XXX",L452)</f>
        <v>V14</v>
      </c>
      <c r="N452" s="105" t="str">
        <f>VLOOKUP(M452,CAC!$A$2:$B$198,2,FALSE)</f>
        <v>HMOIFP</v>
      </c>
    </row>
    <row r="453" spans="5:14" x14ac:dyDescent="0.25">
      <c r="E453" s="83">
        <v>201504</v>
      </c>
      <c r="F453" s="82" t="s">
        <v>746</v>
      </c>
      <c r="G453" s="82" t="s">
        <v>354</v>
      </c>
      <c r="H453" s="82" t="s">
        <v>344</v>
      </c>
      <c r="I453" s="95">
        <v>77</v>
      </c>
      <c r="K453" s="105" t="str">
        <f t="shared" si="23"/>
        <v>0016-1013-0012</v>
      </c>
      <c r="L453" s="105" t="str">
        <f>VLOOKUP(K453,COA!$A$3:$B$337,2,FALSE)</f>
        <v>R19</v>
      </c>
      <c r="M453" s="105" t="str">
        <f t="shared" si="24"/>
        <v>R19</v>
      </c>
      <c r="N453" s="105" t="str">
        <f>VLOOKUP(M453,CAC!$A$2:$B$198,2,FALSE)</f>
        <v>HMOMG</v>
      </c>
    </row>
    <row r="454" spans="5:14" x14ac:dyDescent="0.25">
      <c r="E454" s="83">
        <v>201508</v>
      </c>
      <c r="F454" s="82" t="s">
        <v>413</v>
      </c>
      <c r="G454" s="82" t="s">
        <v>359</v>
      </c>
      <c r="H454" s="82" t="s">
        <v>344</v>
      </c>
      <c r="I454" s="95">
        <v>0</v>
      </c>
      <c r="K454" s="105" t="str">
        <f t="shared" si="23"/>
        <v>0008-1005-0012</v>
      </c>
      <c r="L454" s="105" t="str">
        <f>VLOOKUP(K454,COA!$A$3:$B$337,2,FALSE)</f>
        <v>C73</v>
      </c>
      <c r="M454" s="105" t="str">
        <f t="shared" si="24"/>
        <v>C73</v>
      </c>
      <c r="N454" s="105" t="str">
        <f>VLOOKUP(M454,CAC!$A$2:$B$198,2,FALSE)</f>
        <v>DOILG</v>
      </c>
    </row>
    <row r="455" spans="5:14" x14ac:dyDescent="0.25">
      <c r="E455" s="83">
        <v>201706</v>
      </c>
      <c r="F455" s="82" t="s">
        <v>746</v>
      </c>
      <c r="G455" s="82" t="s">
        <v>354</v>
      </c>
      <c r="H455" s="82" t="s">
        <v>344</v>
      </c>
      <c r="I455" s="95">
        <v>85</v>
      </c>
      <c r="K455" s="105" t="str">
        <f t="shared" si="23"/>
        <v>0016-1013-0012</v>
      </c>
      <c r="L455" s="105" t="str">
        <f>VLOOKUP(K455,COA!$A$3:$B$337,2,FALSE)</f>
        <v>R19</v>
      </c>
      <c r="M455" s="105" t="str">
        <f t="shared" si="24"/>
        <v>R19</v>
      </c>
      <c r="N455" s="105" t="str">
        <f>VLOOKUP(M455,CAC!$A$2:$B$198,2,FALSE)</f>
        <v>HMOMG</v>
      </c>
    </row>
    <row r="456" spans="5:14" x14ac:dyDescent="0.25">
      <c r="E456" s="83">
        <v>201604</v>
      </c>
      <c r="F456" s="82" t="s">
        <v>563</v>
      </c>
      <c r="G456" s="82" t="s">
        <v>348</v>
      </c>
      <c r="H456" s="82" t="s">
        <v>358</v>
      </c>
      <c r="I456" s="95">
        <v>0</v>
      </c>
      <c r="K456" s="105" t="str">
        <f t="shared" si="23"/>
        <v>0003-1010-0024</v>
      </c>
      <c r="L456" s="105" t="str">
        <f>VLOOKUP(K456,COA!$A$3:$B$337,2,FALSE)</f>
        <v>S56</v>
      </c>
      <c r="M456" s="105" t="str">
        <f t="shared" si="24"/>
        <v>S56</v>
      </c>
      <c r="N456" s="105" t="str">
        <f>VLOOKUP(M456,CAC!$A$2:$B$198,2,FALSE)</f>
        <v>PPOSG</v>
      </c>
    </row>
    <row r="457" spans="5:14" x14ac:dyDescent="0.25">
      <c r="E457" s="83">
        <v>201611</v>
      </c>
      <c r="F457" s="82" t="s">
        <v>563</v>
      </c>
      <c r="G457" s="82" t="s">
        <v>354</v>
      </c>
      <c r="H457" s="82" t="s">
        <v>344</v>
      </c>
      <c r="I457" s="95">
        <v>0</v>
      </c>
      <c r="K457" s="105" t="str">
        <f t="shared" si="23"/>
        <v>0003-1013-0012</v>
      </c>
      <c r="L457" s="105" t="str">
        <f>VLOOKUP(K457,COA!$A$3:$B$337,2,FALSE)</f>
        <v>N55</v>
      </c>
      <c r="M457" s="105" t="str">
        <f t="shared" si="24"/>
        <v>N55</v>
      </c>
      <c r="N457" s="105" t="str">
        <f>VLOOKUP(M457,CAC!$A$2:$B$198,2,FALSE)</f>
        <v>PPOPMR</v>
      </c>
    </row>
    <row r="458" spans="5:14" x14ac:dyDescent="0.25">
      <c r="E458" s="83">
        <v>201607</v>
      </c>
      <c r="F458" s="82" t="s">
        <v>344</v>
      </c>
      <c r="G458" s="82" t="s">
        <v>352</v>
      </c>
      <c r="H458" s="82" t="s">
        <v>344</v>
      </c>
      <c r="I458" s="95">
        <v>441</v>
      </c>
      <c r="K458" s="105" t="str">
        <f t="shared" si="23"/>
        <v>0012-1004-0012</v>
      </c>
      <c r="L458" s="105" t="str">
        <f>VLOOKUP(K458,COA!$A$3:$B$337,2,FALSE)</f>
        <v>L12</v>
      </c>
      <c r="M458" s="105" t="str">
        <f t="shared" si="24"/>
        <v>L12</v>
      </c>
      <c r="N458" s="105" t="str">
        <f>VLOOKUP(M458,CAC!$A$2:$B$198,2,FALSE)</f>
        <v>HMOLG</v>
      </c>
    </row>
    <row r="459" spans="5:14" x14ac:dyDescent="0.25">
      <c r="E459" s="83">
        <v>201602</v>
      </c>
      <c r="F459" s="82" t="s">
        <v>563</v>
      </c>
      <c r="G459" s="82" t="s">
        <v>356</v>
      </c>
      <c r="H459" s="82" t="s">
        <v>344</v>
      </c>
      <c r="I459" s="95">
        <v>0</v>
      </c>
      <c r="K459" s="105" t="str">
        <f t="shared" si="23"/>
        <v>0003-1002-0012</v>
      </c>
      <c r="L459" s="105" t="str">
        <f>VLOOKUP(K459,COA!$A$3:$B$337,2,FALSE)</f>
        <v>F61</v>
      </c>
      <c r="M459" s="105" t="str">
        <f t="shared" si="24"/>
        <v>F61</v>
      </c>
      <c r="N459" s="105" t="str">
        <f>VLOOKUP(M459,CAC!$A$2:$B$198,2,FALSE)</f>
        <v>PPOPMR</v>
      </c>
    </row>
    <row r="460" spans="5:14" x14ac:dyDescent="0.25">
      <c r="E460" s="83">
        <v>201703</v>
      </c>
      <c r="F460" s="82" t="s">
        <v>746</v>
      </c>
      <c r="G460" s="82" t="s">
        <v>356</v>
      </c>
      <c r="H460" s="82" t="s">
        <v>764</v>
      </c>
      <c r="I460" s="95">
        <v>630</v>
      </c>
      <c r="K460" s="105" t="str">
        <f t="shared" si="23"/>
        <v>0016-1002-0064</v>
      </c>
      <c r="L460" s="105" t="str">
        <f>VLOOKUP(K460,COA!$A$3:$B$337,2,FALSE)</f>
        <v>R25</v>
      </c>
      <c r="M460" s="105" t="str">
        <f t="shared" si="24"/>
        <v>R25</v>
      </c>
      <c r="N460" s="105" t="str">
        <f>VLOOKUP(M460,CAC!$A$2:$B$198,2,FALSE)</f>
        <v>HMOMG</v>
      </c>
    </row>
    <row r="461" spans="5:14" x14ac:dyDescent="0.25">
      <c r="E461" s="83">
        <v>201608</v>
      </c>
      <c r="F461" s="82" t="s">
        <v>563</v>
      </c>
      <c r="G461" s="82" t="s">
        <v>348</v>
      </c>
      <c r="H461" s="82" t="s">
        <v>353</v>
      </c>
      <c r="I461" s="95">
        <v>0</v>
      </c>
      <c r="K461" s="105" t="str">
        <f t="shared" si="23"/>
        <v>0003-1010-0023</v>
      </c>
      <c r="L461" s="105" t="str">
        <f>VLOOKUP(K461,COA!$A$3:$B$337,2,FALSE)</f>
        <v>S54</v>
      </c>
      <c r="M461" s="105" t="str">
        <f t="shared" si="24"/>
        <v>S54</v>
      </c>
      <c r="N461" s="105" t="str">
        <f>VLOOKUP(M461,CAC!$A$2:$B$198,2,FALSE)</f>
        <v>PPOSG</v>
      </c>
    </row>
    <row r="462" spans="5:14" x14ac:dyDescent="0.25">
      <c r="E462" s="83">
        <v>201801</v>
      </c>
      <c r="F462" s="82" t="s">
        <v>345</v>
      </c>
      <c r="G462" s="82" t="s">
        <v>350</v>
      </c>
      <c r="H462" s="82" t="s">
        <v>360</v>
      </c>
      <c r="I462" s="95">
        <v>10564</v>
      </c>
      <c r="K462" s="105" t="str">
        <f t="shared" si="23"/>
        <v>0011-1012-0048</v>
      </c>
      <c r="L462" s="105" t="str">
        <f>VLOOKUP(K462,COA!$A$3:$B$337,2,FALSE)</f>
        <v>K21</v>
      </c>
      <c r="M462" s="105" t="str">
        <f t="shared" si="24"/>
        <v>K21</v>
      </c>
      <c r="N462" s="105" t="str">
        <f>VLOOKUP(M462,CAC!$A$2:$B$198,2,FALSE)</f>
        <v>HMFLEX</v>
      </c>
    </row>
    <row r="463" spans="5:14" x14ac:dyDescent="0.25">
      <c r="E463" s="83">
        <v>201612</v>
      </c>
      <c r="F463" s="82" t="s">
        <v>345</v>
      </c>
      <c r="G463" s="82" t="s">
        <v>346</v>
      </c>
      <c r="H463" s="82" t="s">
        <v>360</v>
      </c>
      <c r="I463" s="95">
        <v>341</v>
      </c>
      <c r="K463" s="105" t="str">
        <f t="shared" si="23"/>
        <v>0011-1014-0048</v>
      </c>
      <c r="L463" s="105" t="str">
        <f>VLOOKUP(K463,COA!$A$3:$B$337,2,FALSE)</f>
        <v>K23</v>
      </c>
      <c r="M463" s="105" t="str">
        <f t="shared" si="24"/>
        <v>K23</v>
      </c>
      <c r="N463" s="105" t="str">
        <f>VLOOKUP(M463,CAC!$A$2:$B$198,2,FALSE)</f>
        <v>HMFLEX</v>
      </c>
    </row>
    <row r="464" spans="5:14" x14ac:dyDescent="0.25">
      <c r="E464" s="83">
        <v>201604</v>
      </c>
      <c r="F464" s="82" t="s">
        <v>746</v>
      </c>
      <c r="G464" s="82" t="s">
        <v>350</v>
      </c>
      <c r="H464" s="82" t="s">
        <v>344</v>
      </c>
      <c r="I464" s="95">
        <v>62</v>
      </c>
      <c r="K464" s="105" t="str">
        <f t="shared" si="23"/>
        <v>0016-1012-0012</v>
      </c>
      <c r="L464" s="105" t="str">
        <f>VLOOKUP(K464,COA!$A$3:$B$337,2,FALSE)</f>
        <v>R19</v>
      </c>
      <c r="M464" s="105" t="str">
        <f t="shared" si="24"/>
        <v>R19</v>
      </c>
      <c r="N464" s="105" t="str">
        <f>VLOOKUP(M464,CAC!$A$2:$B$198,2,FALSE)</f>
        <v>HMOMG</v>
      </c>
    </row>
    <row r="465" spans="5:14" x14ac:dyDescent="0.25">
      <c r="E465" s="83">
        <v>201603</v>
      </c>
      <c r="F465" s="82" t="s">
        <v>506</v>
      </c>
      <c r="G465" s="82" t="s">
        <v>352</v>
      </c>
      <c r="H465" s="82" t="s">
        <v>592</v>
      </c>
      <c r="I465" s="95">
        <v>0</v>
      </c>
      <c r="K465" s="105" t="str">
        <f t="shared" si="23"/>
        <v>0013-1004-0035</v>
      </c>
      <c r="L465" s="105" t="str">
        <f>VLOOKUP(K465,COA!$A$3:$B$337,2,FALSE)</f>
        <v>L41</v>
      </c>
      <c r="M465" s="105" t="str">
        <f t="shared" si="24"/>
        <v>L41</v>
      </c>
      <c r="N465" s="105" t="e">
        <f>VLOOKUP(M465,CAC!$A$2:$B$198,2,FALSE)</f>
        <v>#N/A</v>
      </c>
    </row>
    <row r="466" spans="5:14" x14ac:dyDescent="0.25">
      <c r="E466" s="83">
        <v>201609</v>
      </c>
      <c r="F466" s="82" t="s">
        <v>563</v>
      </c>
      <c r="G466" s="82" t="s">
        <v>348</v>
      </c>
      <c r="H466" s="82" t="s">
        <v>358</v>
      </c>
      <c r="I466" s="95">
        <v>0</v>
      </c>
      <c r="K466" s="105" t="str">
        <f t="shared" si="23"/>
        <v>0003-1010-0024</v>
      </c>
      <c r="L466" s="105" t="str">
        <f>VLOOKUP(K466,COA!$A$3:$B$337,2,FALSE)</f>
        <v>S56</v>
      </c>
      <c r="M466" s="105" t="str">
        <f t="shared" si="24"/>
        <v>S56</v>
      </c>
      <c r="N466" s="105" t="str">
        <f>VLOOKUP(M466,CAC!$A$2:$B$198,2,FALSE)</f>
        <v>PPOSG</v>
      </c>
    </row>
    <row r="467" spans="5:14" x14ac:dyDescent="0.25">
      <c r="E467" s="83">
        <v>201602</v>
      </c>
      <c r="F467" s="82" t="s">
        <v>345</v>
      </c>
      <c r="G467" s="82" t="s">
        <v>351</v>
      </c>
      <c r="H467" s="82" t="s">
        <v>353</v>
      </c>
      <c r="I467" s="95">
        <v>3</v>
      </c>
      <c r="K467" s="105" t="str">
        <f t="shared" si="23"/>
        <v>0011-0000-0023</v>
      </c>
      <c r="L467" s="105" t="e">
        <f>VLOOKUP(K467,COA!$A$3:$B$337,2,FALSE)</f>
        <v>#N/A</v>
      </c>
      <c r="M467" s="105" t="str">
        <f t="shared" si="24"/>
        <v>XXX</v>
      </c>
      <c r="N467" s="105" t="str">
        <f>VLOOKUP(M467,CAC!$A$2:$B$198,2,FALSE)</f>
        <v>XXX</v>
      </c>
    </row>
    <row r="468" spans="5:14" x14ac:dyDescent="0.25">
      <c r="E468" s="83">
        <v>201506</v>
      </c>
      <c r="F468" s="82" t="s">
        <v>345</v>
      </c>
      <c r="G468" s="82" t="s">
        <v>352</v>
      </c>
      <c r="H468" s="82" t="s">
        <v>344</v>
      </c>
      <c r="I468" s="95">
        <v>6256.45</v>
      </c>
      <c r="K468" s="105" t="str">
        <f t="shared" si="23"/>
        <v>0011-1004-0012</v>
      </c>
      <c r="L468" s="105" t="str">
        <f>VLOOKUP(K468,COA!$A$3:$B$337,2,FALSE)</f>
        <v>L11</v>
      </c>
      <c r="M468" s="105" t="str">
        <f t="shared" si="24"/>
        <v>L11</v>
      </c>
      <c r="N468" s="105" t="str">
        <f>VLOOKUP(M468,CAC!$A$2:$B$198,2,FALSE)</f>
        <v>HMOLG</v>
      </c>
    </row>
    <row r="469" spans="5:14" x14ac:dyDescent="0.25">
      <c r="E469" s="83">
        <v>201708</v>
      </c>
      <c r="F469" s="82" t="s">
        <v>563</v>
      </c>
      <c r="G469" s="82" t="s">
        <v>365</v>
      </c>
      <c r="H469" s="82" t="s">
        <v>366</v>
      </c>
      <c r="I469" s="95">
        <v>0</v>
      </c>
      <c r="K469" s="105" t="str">
        <f t="shared" si="23"/>
        <v>0003-1001-0021</v>
      </c>
      <c r="L469" s="105" t="str">
        <f>VLOOKUP(K469,COA!$A$3:$B$337,2,FALSE)</f>
        <v>V53</v>
      </c>
      <c r="M469" s="105" t="str">
        <f t="shared" si="24"/>
        <v>V53</v>
      </c>
      <c r="N469" s="105" t="str">
        <f>VLOOKUP(M469,CAC!$A$2:$B$198,2,FALSE)</f>
        <v>PPOIFP</v>
      </c>
    </row>
    <row r="470" spans="5:14" x14ac:dyDescent="0.25">
      <c r="E470" s="83">
        <v>201610</v>
      </c>
      <c r="F470" s="82" t="s">
        <v>345</v>
      </c>
      <c r="G470" s="82" t="s">
        <v>356</v>
      </c>
      <c r="H470" s="82" t="s">
        <v>344</v>
      </c>
      <c r="I470" s="95">
        <v>15528</v>
      </c>
      <c r="K470" s="105" t="str">
        <f t="shared" si="23"/>
        <v>0011-1002-0012</v>
      </c>
      <c r="L470" s="105" t="str">
        <f>VLOOKUP(K470,COA!$A$3:$B$337,2,FALSE)</f>
        <v>F20</v>
      </c>
      <c r="M470" s="105" t="str">
        <f t="shared" si="24"/>
        <v>F20</v>
      </c>
      <c r="N470" s="105" t="str">
        <f>VLOOKUP(M470,CAC!$A$2:$B$198,2,FALSE)</f>
        <v>HMOPMR</v>
      </c>
    </row>
    <row r="471" spans="5:14" x14ac:dyDescent="0.25">
      <c r="E471" s="83">
        <v>201707</v>
      </c>
      <c r="F471" s="82" t="s">
        <v>345</v>
      </c>
      <c r="G471" s="82" t="s">
        <v>362</v>
      </c>
      <c r="H471" s="82" t="s">
        <v>364</v>
      </c>
      <c r="I471" s="95">
        <v>47114.95</v>
      </c>
      <c r="K471" s="105" t="str">
        <f t="shared" si="23"/>
        <v>0011-1008-0037</v>
      </c>
      <c r="L471" s="105" t="str">
        <f>VLOOKUP(K471,COA!$A$3:$B$337,2,FALSE)</f>
        <v>P12</v>
      </c>
      <c r="M471" s="105" t="str">
        <f t="shared" si="24"/>
        <v>P12</v>
      </c>
      <c r="N471" s="105" t="str">
        <f>VLOOKUP(M471,CAC!$A$2:$B$198,2,FALSE)</f>
        <v>HMOPERA</v>
      </c>
    </row>
    <row r="472" spans="5:14" x14ac:dyDescent="0.25">
      <c r="E472" s="83">
        <v>201605</v>
      </c>
      <c r="F472" s="82" t="s">
        <v>413</v>
      </c>
      <c r="G472" s="82" t="s">
        <v>365</v>
      </c>
      <c r="H472" s="82" t="s">
        <v>344</v>
      </c>
      <c r="I472" s="95">
        <v>0</v>
      </c>
      <c r="K472" s="105" t="str">
        <f t="shared" si="23"/>
        <v>0008-1001-0012</v>
      </c>
      <c r="L472" s="105" t="str">
        <f>VLOOKUP(K472,COA!$A$3:$B$337,2,FALSE)</f>
        <v>C95</v>
      </c>
      <c r="M472" s="105" t="str">
        <f t="shared" si="24"/>
        <v>C95</v>
      </c>
      <c r="N472" s="105" t="str">
        <f>VLOOKUP(M472,CAC!$A$2:$B$198,2,FALSE)</f>
        <v>DOIIFP</v>
      </c>
    </row>
    <row r="473" spans="5:14" x14ac:dyDescent="0.25">
      <c r="E473" s="83">
        <v>201601</v>
      </c>
      <c r="F473" s="82" t="s">
        <v>506</v>
      </c>
      <c r="G473" s="82" t="s">
        <v>354</v>
      </c>
      <c r="H473" s="82" t="s">
        <v>592</v>
      </c>
      <c r="I473" s="95">
        <v>0</v>
      </c>
      <c r="K473" s="105" t="str">
        <f t="shared" si="23"/>
        <v>0013-1013-0035</v>
      </c>
      <c r="L473" s="105" t="str">
        <f>VLOOKUP(K473,COA!$A$3:$B$337,2,FALSE)</f>
        <v>N44</v>
      </c>
      <c r="M473" s="105" t="str">
        <f t="shared" si="24"/>
        <v>N44</v>
      </c>
      <c r="N473" s="105" t="e">
        <f>VLOOKUP(M473,CAC!$A$2:$B$198,2,FALSE)</f>
        <v>#N/A</v>
      </c>
    </row>
    <row r="474" spans="5:14" x14ac:dyDescent="0.25">
      <c r="E474" s="83">
        <v>201707</v>
      </c>
      <c r="F474" s="82" t="s">
        <v>345</v>
      </c>
      <c r="G474" s="82" t="s">
        <v>350</v>
      </c>
      <c r="H474" s="82" t="s">
        <v>344</v>
      </c>
      <c r="I474" s="95">
        <v>17462.62</v>
      </c>
      <c r="K474" s="105" t="str">
        <f t="shared" si="23"/>
        <v>0011-1012-0012</v>
      </c>
      <c r="L474" s="105" t="str">
        <f>VLOOKUP(K474,COA!$A$3:$B$337,2,FALSE)</f>
        <v>K11</v>
      </c>
      <c r="M474" s="105" t="str">
        <f t="shared" si="24"/>
        <v>K11</v>
      </c>
      <c r="N474" s="105" t="str">
        <f>VLOOKUP(M474,CAC!$A$2:$B$198,2,FALSE)</f>
        <v>HMOPMR</v>
      </c>
    </row>
    <row r="475" spans="5:14" x14ac:dyDescent="0.25">
      <c r="E475" s="83">
        <v>201507</v>
      </c>
      <c r="F475" s="82" t="s">
        <v>345</v>
      </c>
      <c r="G475" s="82" t="s">
        <v>361</v>
      </c>
      <c r="H475" s="82" t="s">
        <v>344</v>
      </c>
      <c r="I475" s="95">
        <v>279</v>
      </c>
      <c r="K475" s="105" t="str">
        <f t="shared" si="23"/>
        <v>0011-1003-0012</v>
      </c>
      <c r="L475" s="105" t="str">
        <f>VLOOKUP(K475,COA!$A$3:$B$337,2,FALSE)</f>
        <v>N16</v>
      </c>
      <c r="M475" s="105" t="str">
        <f t="shared" si="24"/>
        <v>N16</v>
      </c>
      <c r="N475" s="105" t="str">
        <f>VLOOKUP(M475,CAC!$A$2:$B$198,2,FALSE)</f>
        <v>HMOPMR</v>
      </c>
    </row>
    <row r="476" spans="5:14" x14ac:dyDescent="0.25">
      <c r="E476" s="83">
        <v>201703</v>
      </c>
      <c r="F476" s="82" t="s">
        <v>344</v>
      </c>
      <c r="G476" s="82" t="s">
        <v>350</v>
      </c>
      <c r="H476" s="82" t="s">
        <v>344</v>
      </c>
      <c r="I476" s="95">
        <v>29</v>
      </c>
      <c r="K476" s="105" t="str">
        <f t="shared" si="23"/>
        <v>0012-1012-0012</v>
      </c>
      <c r="L476" s="105" t="str">
        <f>VLOOKUP(K476,COA!$A$3:$B$337,2,FALSE)</f>
        <v>K12</v>
      </c>
      <c r="M476" s="105" t="str">
        <f t="shared" si="24"/>
        <v>K12</v>
      </c>
      <c r="N476" s="105" t="str">
        <f>VLOOKUP(M476,CAC!$A$2:$B$198,2,FALSE)</f>
        <v>HMOPMR</v>
      </c>
    </row>
    <row r="477" spans="5:14" x14ac:dyDescent="0.25">
      <c r="E477" s="83">
        <v>201707</v>
      </c>
      <c r="F477" s="82" t="s">
        <v>344</v>
      </c>
      <c r="G477" s="82" t="s">
        <v>352</v>
      </c>
      <c r="H477" s="82" t="s">
        <v>344</v>
      </c>
      <c r="I477" s="95">
        <v>1163</v>
      </c>
      <c r="K477" s="105" t="str">
        <f t="shared" si="23"/>
        <v>0012-1004-0012</v>
      </c>
      <c r="L477" s="105" t="str">
        <f>VLOOKUP(K477,COA!$A$3:$B$337,2,FALSE)</f>
        <v>L12</v>
      </c>
      <c r="M477" s="105" t="str">
        <f t="shared" si="24"/>
        <v>L12</v>
      </c>
      <c r="N477" s="105" t="str">
        <f>VLOOKUP(M477,CAC!$A$2:$B$198,2,FALSE)</f>
        <v>HMOLG</v>
      </c>
    </row>
    <row r="478" spans="5:14" x14ac:dyDescent="0.25">
      <c r="E478" s="83">
        <v>201709</v>
      </c>
      <c r="F478" s="82" t="s">
        <v>345</v>
      </c>
      <c r="G478" s="82" t="s">
        <v>348</v>
      </c>
      <c r="H478" s="82" t="s">
        <v>358</v>
      </c>
      <c r="I478" s="95">
        <v>114</v>
      </c>
      <c r="K478" s="105" t="str">
        <f t="shared" si="23"/>
        <v>0011-1010-0024</v>
      </c>
      <c r="L478" s="105" t="str">
        <f>VLOOKUP(K478,COA!$A$3:$B$337,2,FALSE)</f>
        <v>S14</v>
      </c>
      <c r="M478" s="105" t="str">
        <f t="shared" si="24"/>
        <v>S14</v>
      </c>
      <c r="N478" s="105" t="str">
        <f>VLOOKUP(M478,CAC!$A$2:$B$198,2,FALSE)</f>
        <v>HMOSG</v>
      </c>
    </row>
    <row r="479" spans="5:14" x14ac:dyDescent="0.25">
      <c r="E479" s="83">
        <v>201609</v>
      </c>
      <c r="F479" s="82" t="s">
        <v>563</v>
      </c>
      <c r="G479" s="82" t="s">
        <v>351</v>
      </c>
      <c r="H479" s="82" t="s">
        <v>349</v>
      </c>
      <c r="I479" s="95">
        <v>0</v>
      </c>
      <c r="K479" s="105" t="str">
        <f t="shared" si="23"/>
        <v>0003-0000-0017</v>
      </c>
      <c r="L479" s="105" t="e">
        <f>VLOOKUP(K479,COA!$A$3:$B$337,2,FALSE)</f>
        <v>#N/A</v>
      </c>
      <c r="M479" s="105" t="str">
        <f t="shared" si="24"/>
        <v>XXX</v>
      </c>
      <c r="N479" s="105" t="str">
        <f>VLOOKUP(M479,CAC!$A$2:$B$198,2,FALSE)</f>
        <v>XXX</v>
      </c>
    </row>
    <row r="480" spans="5:14" x14ac:dyDescent="0.25">
      <c r="E480" s="83">
        <v>201707</v>
      </c>
      <c r="F480" s="82" t="s">
        <v>345</v>
      </c>
      <c r="G480" s="82" t="s">
        <v>354</v>
      </c>
      <c r="H480" s="82" t="s">
        <v>360</v>
      </c>
      <c r="I480" s="95">
        <v>5096</v>
      </c>
      <c r="K480" s="105" t="str">
        <f t="shared" si="23"/>
        <v>0011-1013-0048</v>
      </c>
      <c r="L480" s="105" t="str">
        <f>VLOOKUP(K480,COA!$A$3:$B$337,2,FALSE)</f>
        <v>N21</v>
      </c>
      <c r="M480" s="105" t="str">
        <f t="shared" si="24"/>
        <v>N21</v>
      </c>
      <c r="N480" s="105" t="str">
        <f>VLOOKUP(M480,CAC!$A$2:$B$198,2,FALSE)</f>
        <v>HMFLEX</v>
      </c>
    </row>
    <row r="481" spans="5:14" x14ac:dyDescent="0.25">
      <c r="E481" s="83">
        <v>201504</v>
      </c>
      <c r="F481" s="82" t="s">
        <v>563</v>
      </c>
      <c r="G481" s="82" t="s">
        <v>356</v>
      </c>
      <c r="H481" s="82" t="s">
        <v>344</v>
      </c>
      <c r="I481" s="95">
        <v>0</v>
      </c>
      <c r="K481" s="105" t="str">
        <f t="shared" si="23"/>
        <v>0003-1002-0012</v>
      </c>
      <c r="L481" s="105" t="str">
        <f>VLOOKUP(K481,COA!$A$3:$B$337,2,FALSE)</f>
        <v>F61</v>
      </c>
      <c r="M481" s="105" t="str">
        <f t="shared" si="24"/>
        <v>F61</v>
      </c>
      <c r="N481" s="105" t="str">
        <f>VLOOKUP(M481,CAC!$A$2:$B$198,2,FALSE)</f>
        <v>PPOPMR</v>
      </c>
    </row>
    <row r="482" spans="5:14" x14ac:dyDescent="0.25">
      <c r="E482" s="83">
        <v>201610</v>
      </c>
      <c r="F482" s="82" t="s">
        <v>345</v>
      </c>
      <c r="G482" s="82" t="s">
        <v>350</v>
      </c>
      <c r="H482" s="82" t="s">
        <v>357</v>
      </c>
      <c r="I482" s="95">
        <v>1939.49</v>
      </c>
      <c r="K482" s="105" t="str">
        <f t="shared" si="23"/>
        <v>0011-1012-0038</v>
      </c>
      <c r="L482" s="105" t="str">
        <f>VLOOKUP(K482,COA!$A$3:$B$337,2,FALSE)</f>
        <v>K14</v>
      </c>
      <c r="M482" s="105" t="str">
        <f t="shared" si="24"/>
        <v>K14</v>
      </c>
      <c r="N482" s="105" t="str">
        <f>VLOOKUP(M482,CAC!$A$2:$B$198,2,FALSE)</f>
        <v>HMOPMR</v>
      </c>
    </row>
    <row r="483" spans="5:14" x14ac:dyDescent="0.25">
      <c r="E483" s="83">
        <v>201711</v>
      </c>
      <c r="F483" s="82" t="s">
        <v>563</v>
      </c>
      <c r="G483" s="82" t="s">
        <v>354</v>
      </c>
      <c r="H483" s="82" t="s">
        <v>360</v>
      </c>
      <c r="I483" s="95">
        <v>0</v>
      </c>
      <c r="K483" s="105" t="str">
        <f t="shared" si="23"/>
        <v>0003-1013-0048</v>
      </c>
      <c r="L483" s="105" t="str">
        <f>VLOOKUP(K483,COA!$A$3:$B$337,2,FALSE)</f>
        <v>N56</v>
      </c>
      <c r="M483" s="105" t="str">
        <f t="shared" si="24"/>
        <v>N56</v>
      </c>
      <c r="N483" s="105" t="str">
        <f>VLOOKUP(M483,CAC!$A$2:$B$198,2,FALSE)</f>
        <v>HMFLEX</v>
      </c>
    </row>
    <row r="484" spans="5:14" x14ac:dyDescent="0.25">
      <c r="E484" s="83">
        <v>201704</v>
      </c>
      <c r="F484" s="82" t="s">
        <v>345</v>
      </c>
      <c r="G484" s="82" t="s">
        <v>361</v>
      </c>
      <c r="H484" s="82" t="s">
        <v>344</v>
      </c>
      <c r="I484" s="95">
        <v>943</v>
      </c>
      <c r="K484" s="105" t="str">
        <f t="shared" si="23"/>
        <v>0011-1003-0012</v>
      </c>
      <c r="L484" s="105" t="str">
        <f>VLOOKUP(K484,COA!$A$3:$B$337,2,FALSE)</f>
        <v>N16</v>
      </c>
      <c r="M484" s="105" t="str">
        <f t="shared" si="24"/>
        <v>N16</v>
      </c>
      <c r="N484" s="105" t="str">
        <f>VLOOKUP(M484,CAC!$A$2:$B$198,2,FALSE)</f>
        <v>HMOPMR</v>
      </c>
    </row>
    <row r="485" spans="5:14" x14ac:dyDescent="0.25">
      <c r="E485" s="83">
        <v>201511</v>
      </c>
      <c r="F485" s="82" t="s">
        <v>552</v>
      </c>
      <c r="G485" s="82" t="s">
        <v>356</v>
      </c>
      <c r="H485" s="82" t="s">
        <v>672</v>
      </c>
      <c r="I485" s="95">
        <v>0</v>
      </c>
      <c r="K485" s="105" t="str">
        <f t="shared" si="23"/>
        <v>0027-1002-0058</v>
      </c>
      <c r="L485" s="105" t="str">
        <f>VLOOKUP(K485,COA!$A$3:$B$337,2,FALSE)</f>
        <v>L45</v>
      </c>
      <c r="M485" s="105" t="str">
        <f t="shared" si="24"/>
        <v>L45</v>
      </c>
      <c r="N485" s="105" t="e">
        <f>VLOOKUP(M485,CAC!$A$2:$B$198,2,FALSE)</f>
        <v>#N/A</v>
      </c>
    </row>
    <row r="486" spans="5:14" x14ac:dyDescent="0.25">
      <c r="E486" s="83">
        <v>201710</v>
      </c>
      <c r="F486" s="82" t="s">
        <v>563</v>
      </c>
      <c r="G486" s="82" t="s">
        <v>355</v>
      </c>
      <c r="H486" s="82" t="s">
        <v>344</v>
      </c>
      <c r="I486" s="95">
        <v>0</v>
      </c>
      <c r="K486" s="105" t="str">
        <f t="shared" si="23"/>
        <v>0003-1006-0012</v>
      </c>
      <c r="L486" s="105" t="str">
        <f>VLOOKUP(K486,COA!$A$3:$B$337,2,FALSE)</f>
        <v>L52</v>
      </c>
      <c r="M486" s="105" t="str">
        <f t="shared" si="24"/>
        <v>L52</v>
      </c>
      <c r="N486" s="105" t="str">
        <f>VLOOKUP(M486,CAC!$A$2:$B$198,2,FALSE)</f>
        <v>PPOLG</v>
      </c>
    </row>
    <row r="487" spans="5:14" x14ac:dyDescent="0.25">
      <c r="E487" s="83">
        <v>201801</v>
      </c>
      <c r="F487" s="82" t="s">
        <v>345</v>
      </c>
      <c r="G487" s="82" t="s">
        <v>348</v>
      </c>
      <c r="H487" s="82" t="s">
        <v>349</v>
      </c>
      <c r="I487" s="95">
        <v>35423.83</v>
      </c>
      <c r="K487" s="105" t="str">
        <f t="shared" si="23"/>
        <v>0011-1010-0017</v>
      </c>
      <c r="L487" s="105" t="str">
        <f>VLOOKUP(K487,COA!$A$3:$B$337,2,FALSE)</f>
        <v>S11</v>
      </c>
      <c r="M487" s="105" t="str">
        <f t="shared" si="24"/>
        <v>S11</v>
      </c>
      <c r="N487" s="105" t="str">
        <f>VLOOKUP(M487,CAC!$A$2:$B$198,2,FALSE)</f>
        <v>HMOSG</v>
      </c>
    </row>
    <row r="488" spans="5:14" x14ac:dyDescent="0.25">
      <c r="E488" s="83">
        <v>201703</v>
      </c>
      <c r="F488" s="82" t="s">
        <v>345</v>
      </c>
      <c r="G488" s="82" t="s">
        <v>352</v>
      </c>
      <c r="H488" s="82" t="s">
        <v>653</v>
      </c>
      <c r="I488" s="95">
        <v>0</v>
      </c>
      <c r="K488" s="105" t="str">
        <f t="shared" si="23"/>
        <v>0011-1004-0047</v>
      </c>
      <c r="L488" s="105" t="str">
        <f>VLOOKUP(K488,COA!$A$3:$B$337,2,FALSE)</f>
        <v>L17</v>
      </c>
      <c r="M488" s="105" t="str">
        <f t="shared" si="24"/>
        <v>L17</v>
      </c>
      <c r="N488" s="105" t="str">
        <f>VLOOKUP(M488,CAC!$A$2:$B$198,2,FALSE)</f>
        <v>HMOLG</v>
      </c>
    </row>
    <row r="489" spans="5:14" x14ac:dyDescent="0.25">
      <c r="E489" s="83">
        <v>201612</v>
      </c>
      <c r="F489" s="82" t="s">
        <v>552</v>
      </c>
      <c r="G489" s="82" t="s">
        <v>356</v>
      </c>
      <c r="H489" s="82" t="s">
        <v>672</v>
      </c>
      <c r="I489" s="95">
        <v>0</v>
      </c>
      <c r="K489" s="105" t="str">
        <f t="shared" si="23"/>
        <v>0027-1002-0058</v>
      </c>
      <c r="L489" s="105" t="str">
        <f>VLOOKUP(K489,COA!$A$3:$B$337,2,FALSE)</f>
        <v>L45</v>
      </c>
      <c r="M489" s="105" t="str">
        <f t="shared" si="24"/>
        <v>L45</v>
      </c>
      <c r="N489" s="105" t="e">
        <f>VLOOKUP(M489,CAC!$A$2:$B$198,2,FALSE)</f>
        <v>#N/A</v>
      </c>
    </row>
    <row r="490" spans="5:14" x14ac:dyDescent="0.25">
      <c r="E490" s="83">
        <v>201707</v>
      </c>
      <c r="F490" s="82" t="s">
        <v>506</v>
      </c>
      <c r="G490" s="82" t="s">
        <v>361</v>
      </c>
      <c r="H490" s="82" t="s">
        <v>592</v>
      </c>
      <c r="I490" s="95">
        <v>0</v>
      </c>
      <c r="K490" s="105" t="str">
        <f t="shared" si="23"/>
        <v>0013-1003-0035</v>
      </c>
      <c r="L490" s="105" t="str">
        <f>VLOOKUP(K490,COA!$A$3:$B$337,2,FALSE)</f>
        <v>N32</v>
      </c>
      <c r="M490" s="105" t="str">
        <f t="shared" si="24"/>
        <v>N32</v>
      </c>
      <c r="N490" s="105" t="e">
        <f>VLOOKUP(M490,CAC!$A$2:$B$198,2,FALSE)</f>
        <v>#N/A</v>
      </c>
    </row>
    <row r="491" spans="5:14" x14ac:dyDescent="0.25">
      <c r="E491" s="83">
        <v>201710</v>
      </c>
      <c r="F491" s="82" t="s">
        <v>563</v>
      </c>
      <c r="G491" s="82" t="s">
        <v>365</v>
      </c>
      <c r="H491" s="82" t="s">
        <v>366</v>
      </c>
      <c r="I491" s="95">
        <v>0</v>
      </c>
      <c r="K491" s="105" t="str">
        <f t="shared" si="23"/>
        <v>0003-1001-0021</v>
      </c>
      <c r="L491" s="105" t="str">
        <f>VLOOKUP(K491,COA!$A$3:$B$337,2,FALSE)</f>
        <v>V53</v>
      </c>
      <c r="M491" s="105" t="str">
        <f t="shared" si="24"/>
        <v>V53</v>
      </c>
      <c r="N491" s="105" t="str">
        <f>VLOOKUP(M491,CAC!$A$2:$B$198,2,FALSE)</f>
        <v>PPOIFP</v>
      </c>
    </row>
    <row r="492" spans="5:14" x14ac:dyDescent="0.25">
      <c r="E492" s="83">
        <v>201712</v>
      </c>
      <c r="F492" s="82" t="s">
        <v>549</v>
      </c>
      <c r="G492" s="82" t="s">
        <v>352</v>
      </c>
      <c r="H492" s="82" t="s">
        <v>672</v>
      </c>
      <c r="I492" s="95">
        <v>0</v>
      </c>
      <c r="K492" s="105" t="str">
        <f t="shared" si="23"/>
        <v>0026-1004-0058</v>
      </c>
      <c r="L492" s="105" t="str">
        <f>VLOOKUP(K492,COA!$A$3:$B$337,2,FALSE)</f>
        <v>L44</v>
      </c>
      <c r="M492" s="105" t="str">
        <f t="shared" si="24"/>
        <v>L44</v>
      </c>
      <c r="N492" s="105" t="e">
        <f>VLOOKUP(M492,CAC!$A$2:$B$198,2,FALSE)</f>
        <v>#N/A</v>
      </c>
    </row>
    <row r="493" spans="5:14" x14ac:dyDescent="0.25">
      <c r="E493" s="83">
        <v>201601</v>
      </c>
      <c r="F493" s="82" t="s">
        <v>345</v>
      </c>
      <c r="G493" s="82" t="s">
        <v>348</v>
      </c>
      <c r="H493" s="82" t="s">
        <v>353</v>
      </c>
      <c r="I493" s="95">
        <v>343</v>
      </c>
      <c r="K493" s="105" t="str">
        <f t="shared" si="23"/>
        <v>0011-1010-0023</v>
      </c>
      <c r="L493" s="105" t="str">
        <f>VLOOKUP(K493,COA!$A$3:$B$337,2,FALSE)</f>
        <v>S13</v>
      </c>
      <c r="M493" s="105" t="str">
        <f t="shared" si="24"/>
        <v>S13</v>
      </c>
      <c r="N493" s="105" t="str">
        <f>VLOOKUP(M493,CAC!$A$2:$B$198,2,FALSE)</f>
        <v>HMOSG</v>
      </c>
    </row>
    <row r="494" spans="5:14" x14ac:dyDescent="0.25">
      <c r="E494" s="83">
        <v>201606</v>
      </c>
      <c r="F494" s="82" t="s">
        <v>344</v>
      </c>
      <c r="G494" s="82" t="s">
        <v>355</v>
      </c>
      <c r="H494" s="82" t="s">
        <v>344</v>
      </c>
      <c r="I494" s="95">
        <v>86</v>
      </c>
      <c r="K494" s="105" t="str">
        <f t="shared" si="23"/>
        <v>0012-1006-0012</v>
      </c>
      <c r="L494" s="105" t="str">
        <f>VLOOKUP(K494,COA!$A$3:$B$337,2,FALSE)</f>
        <v>L16</v>
      </c>
      <c r="M494" s="105" t="str">
        <f t="shared" si="24"/>
        <v>L16</v>
      </c>
      <c r="N494" s="105" t="str">
        <f>VLOOKUP(M494,CAC!$A$2:$B$198,2,FALSE)</f>
        <v>HMOLG</v>
      </c>
    </row>
    <row r="495" spans="5:14" x14ac:dyDescent="0.25">
      <c r="E495" s="83">
        <v>201602</v>
      </c>
      <c r="F495" s="82" t="s">
        <v>563</v>
      </c>
      <c r="G495" s="82" t="s">
        <v>354</v>
      </c>
      <c r="H495" s="82" t="s">
        <v>626</v>
      </c>
      <c r="I495" s="95">
        <v>0</v>
      </c>
      <c r="K495" s="105" t="str">
        <f t="shared" si="23"/>
        <v>0003-1013-0057</v>
      </c>
      <c r="L495" s="105" t="str">
        <f>VLOOKUP(K495,COA!$A$3:$B$337,2,FALSE)</f>
        <v>N55</v>
      </c>
      <c r="M495" s="105" t="str">
        <f t="shared" si="24"/>
        <v>N55</v>
      </c>
      <c r="N495" s="105" t="str">
        <f>VLOOKUP(M495,CAC!$A$2:$B$198,2,FALSE)</f>
        <v>PPOPMR</v>
      </c>
    </row>
    <row r="496" spans="5:14" x14ac:dyDescent="0.25">
      <c r="E496" s="83">
        <v>201510</v>
      </c>
      <c r="F496" s="82" t="s">
        <v>563</v>
      </c>
      <c r="G496" s="82" t="s">
        <v>348</v>
      </c>
      <c r="H496" s="82" t="s">
        <v>353</v>
      </c>
      <c r="I496" s="95">
        <v>0</v>
      </c>
      <c r="K496" s="105" t="str">
        <f t="shared" si="23"/>
        <v>0003-1010-0023</v>
      </c>
      <c r="L496" s="105" t="str">
        <f>VLOOKUP(K496,COA!$A$3:$B$337,2,FALSE)</f>
        <v>S54</v>
      </c>
      <c r="M496" s="105" t="str">
        <f t="shared" si="24"/>
        <v>S54</v>
      </c>
      <c r="N496" s="105" t="str">
        <f>VLOOKUP(M496,CAC!$A$2:$B$198,2,FALSE)</f>
        <v>PPOSG</v>
      </c>
    </row>
    <row r="497" spans="5:14" x14ac:dyDescent="0.25">
      <c r="E497" s="83">
        <v>201503</v>
      </c>
      <c r="F497" s="82" t="s">
        <v>563</v>
      </c>
      <c r="G497" s="82" t="s">
        <v>348</v>
      </c>
      <c r="H497" s="82" t="s">
        <v>353</v>
      </c>
      <c r="I497" s="95">
        <v>0</v>
      </c>
      <c r="K497" s="105" t="str">
        <f t="shared" si="23"/>
        <v>0003-1010-0023</v>
      </c>
      <c r="L497" s="105" t="str">
        <f>VLOOKUP(K497,COA!$A$3:$B$337,2,FALSE)</f>
        <v>S54</v>
      </c>
      <c r="M497" s="105" t="str">
        <f t="shared" si="24"/>
        <v>S54</v>
      </c>
      <c r="N497" s="105" t="str">
        <f>VLOOKUP(M497,CAC!$A$2:$B$198,2,FALSE)</f>
        <v>PPOSG</v>
      </c>
    </row>
    <row r="498" spans="5:14" x14ac:dyDescent="0.25">
      <c r="E498" s="83">
        <v>201602</v>
      </c>
      <c r="F498" s="82" t="s">
        <v>563</v>
      </c>
      <c r="G498" s="82" t="s">
        <v>365</v>
      </c>
      <c r="H498" s="82" t="s">
        <v>367</v>
      </c>
      <c r="I498" s="95">
        <v>0</v>
      </c>
      <c r="K498" s="105" t="str">
        <f t="shared" si="23"/>
        <v>0003-1001-0022</v>
      </c>
      <c r="L498" s="105" t="str">
        <f>VLOOKUP(K498,COA!$A$3:$B$337,2,FALSE)</f>
        <v>V54</v>
      </c>
      <c r="M498" s="105" t="str">
        <f t="shared" si="24"/>
        <v>V54</v>
      </c>
      <c r="N498" s="105" t="str">
        <f>VLOOKUP(M498,CAC!$A$2:$B$198,2,FALSE)</f>
        <v>PPOIFP</v>
      </c>
    </row>
    <row r="499" spans="5:14" x14ac:dyDescent="0.25">
      <c r="E499" s="83">
        <v>201711</v>
      </c>
      <c r="F499" s="82" t="s">
        <v>563</v>
      </c>
      <c r="G499" s="82" t="s">
        <v>359</v>
      </c>
      <c r="H499" s="82" t="s">
        <v>344</v>
      </c>
      <c r="I499" s="95">
        <v>0</v>
      </c>
      <c r="K499" s="105" t="str">
        <f t="shared" si="23"/>
        <v>0003-1005-0012</v>
      </c>
      <c r="L499" s="105" t="str">
        <f>VLOOKUP(K499,COA!$A$3:$B$337,2,FALSE)</f>
        <v>N51</v>
      </c>
      <c r="M499" s="105" t="str">
        <f t="shared" si="24"/>
        <v>N51</v>
      </c>
      <c r="N499" s="105" t="str">
        <f>VLOOKUP(M499,CAC!$A$2:$B$198,2,FALSE)</f>
        <v>PPOLG</v>
      </c>
    </row>
    <row r="500" spans="5:14" x14ac:dyDescent="0.25">
      <c r="E500" s="83">
        <v>201710</v>
      </c>
      <c r="F500" s="82" t="s">
        <v>413</v>
      </c>
      <c r="G500" s="82" t="s">
        <v>365</v>
      </c>
      <c r="H500" s="82" t="s">
        <v>344</v>
      </c>
      <c r="I500" s="95">
        <v>0</v>
      </c>
      <c r="K500" s="105" t="str">
        <f t="shared" si="23"/>
        <v>0008-1001-0012</v>
      </c>
      <c r="L500" s="105" t="str">
        <f>VLOOKUP(K500,COA!$A$3:$B$337,2,FALSE)</f>
        <v>C95</v>
      </c>
      <c r="M500" s="105" t="str">
        <f t="shared" si="24"/>
        <v>C95</v>
      </c>
      <c r="N500" s="105" t="str">
        <f>VLOOKUP(M500,CAC!$A$2:$B$198,2,FALSE)</f>
        <v>DOIIFP</v>
      </c>
    </row>
    <row r="501" spans="5:14" x14ac:dyDescent="0.25">
      <c r="E501" s="83">
        <v>201703</v>
      </c>
      <c r="F501" s="82" t="s">
        <v>345</v>
      </c>
      <c r="G501" s="82" t="s">
        <v>348</v>
      </c>
      <c r="H501" s="82" t="s">
        <v>353</v>
      </c>
      <c r="I501" s="95">
        <v>330.03</v>
      </c>
      <c r="K501" s="105" t="str">
        <f t="shared" si="23"/>
        <v>0011-1010-0023</v>
      </c>
      <c r="L501" s="105" t="str">
        <f>VLOOKUP(K501,COA!$A$3:$B$337,2,FALSE)</f>
        <v>S13</v>
      </c>
      <c r="M501" s="105" t="str">
        <f t="shared" si="24"/>
        <v>S13</v>
      </c>
      <c r="N501" s="105" t="str">
        <f>VLOOKUP(M501,CAC!$A$2:$B$198,2,FALSE)</f>
        <v>HMOSG</v>
      </c>
    </row>
    <row r="502" spans="5:14" x14ac:dyDescent="0.25">
      <c r="E502" s="83">
        <v>201601</v>
      </c>
      <c r="F502" s="82" t="s">
        <v>344</v>
      </c>
      <c r="G502" s="82" t="s">
        <v>352</v>
      </c>
      <c r="H502" s="82" t="s">
        <v>344</v>
      </c>
      <c r="I502" s="95">
        <v>429</v>
      </c>
      <c r="K502" s="105" t="str">
        <f t="shared" si="23"/>
        <v>0012-1004-0012</v>
      </c>
      <c r="L502" s="105" t="str">
        <f>VLOOKUP(K502,COA!$A$3:$B$337,2,FALSE)</f>
        <v>L12</v>
      </c>
      <c r="M502" s="105" t="str">
        <f t="shared" si="24"/>
        <v>L12</v>
      </c>
      <c r="N502" s="105" t="str">
        <f>VLOOKUP(M502,CAC!$A$2:$B$198,2,FALSE)</f>
        <v>HMOLG</v>
      </c>
    </row>
    <row r="503" spans="5:14" x14ac:dyDescent="0.25">
      <c r="E503" s="83">
        <v>201706</v>
      </c>
      <c r="F503" s="82" t="s">
        <v>563</v>
      </c>
      <c r="G503" s="82" t="s">
        <v>355</v>
      </c>
      <c r="H503" s="82" t="s">
        <v>344</v>
      </c>
      <c r="I503" s="95">
        <v>0</v>
      </c>
      <c r="K503" s="105" t="str">
        <f t="shared" si="23"/>
        <v>0003-1006-0012</v>
      </c>
      <c r="L503" s="105" t="str">
        <f>VLOOKUP(K503,COA!$A$3:$B$337,2,FALSE)</f>
        <v>L52</v>
      </c>
      <c r="M503" s="105" t="str">
        <f t="shared" si="24"/>
        <v>L52</v>
      </c>
      <c r="N503" s="105" t="str">
        <f>VLOOKUP(M503,CAC!$A$2:$B$198,2,FALSE)</f>
        <v>PPOLG</v>
      </c>
    </row>
    <row r="504" spans="5:14" x14ac:dyDescent="0.25">
      <c r="E504" s="83">
        <v>201711</v>
      </c>
      <c r="F504" s="82" t="s">
        <v>563</v>
      </c>
      <c r="G504" s="82" t="s">
        <v>348</v>
      </c>
      <c r="H504" s="82" t="s">
        <v>353</v>
      </c>
      <c r="I504" s="95">
        <v>0</v>
      </c>
      <c r="K504" s="105" t="str">
        <f t="shared" si="23"/>
        <v>0003-1010-0023</v>
      </c>
      <c r="L504" s="105" t="str">
        <f>VLOOKUP(K504,COA!$A$3:$B$337,2,FALSE)</f>
        <v>S54</v>
      </c>
      <c r="M504" s="105" t="str">
        <f t="shared" si="24"/>
        <v>S54</v>
      </c>
      <c r="N504" s="105" t="str">
        <f>VLOOKUP(M504,CAC!$A$2:$B$198,2,FALSE)</f>
        <v>PPOSG</v>
      </c>
    </row>
    <row r="505" spans="5:14" x14ac:dyDescent="0.25">
      <c r="E505" s="83">
        <v>201712</v>
      </c>
      <c r="F505" s="82" t="s">
        <v>506</v>
      </c>
      <c r="G505" s="82" t="s">
        <v>350</v>
      </c>
      <c r="H505" s="82" t="s">
        <v>592</v>
      </c>
      <c r="I505" s="95">
        <v>0</v>
      </c>
      <c r="K505" s="105" t="str">
        <f t="shared" si="23"/>
        <v>0013-1012-0035</v>
      </c>
      <c r="L505" s="105" t="str">
        <f>VLOOKUP(K505,COA!$A$3:$B$337,2,FALSE)</f>
        <v>K41</v>
      </c>
      <c r="M505" s="105" t="str">
        <f t="shared" si="24"/>
        <v>K41</v>
      </c>
      <c r="N505" s="105" t="e">
        <f>VLOOKUP(M505,CAC!$A$2:$B$198,2,FALSE)</f>
        <v>#N/A</v>
      </c>
    </row>
    <row r="506" spans="5:14" x14ac:dyDescent="0.25">
      <c r="E506" s="83">
        <v>201608</v>
      </c>
      <c r="F506" s="82" t="s">
        <v>563</v>
      </c>
      <c r="G506" s="82" t="s">
        <v>354</v>
      </c>
      <c r="H506" s="82" t="s">
        <v>360</v>
      </c>
      <c r="I506" s="95">
        <v>0</v>
      </c>
      <c r="K506" s="105" t="str">
        <f t="shared" si="23"/>
        <v>0003-1013-0048</v>
      </c>
      <c r="L506" s="105" t="str">
        <f>VLOOKUP(K506,COA!$A$3:$B$337,2,FALSE)</f>
        <v>N56</v>
      </c>
      <c r="M506" s="105" t="str">
        <f t="shared" si="24"/>
        <v>N56</v>
      </c>
      <c r="N506" s="105" t="str">
        <f>VLOOKUP(M506,CAC!$A$2:$B$198,2,FALSE)</f>
        <v>HMFLEX</v>
      </c>
    </row>
    <row r="507" spans="5:14" x14ac:dyDescent="0.25">
      <c r="E507" s="83">
        <v>201511</v>
      </c>
      <c r="F507" s="82" t="s">
        <v>413</v>
      </c>
      <c r="G507" s="82" t="s">
        <v>355</v>
      </c>
      <c r="H507" s="82" t="s">
        <v>344</v>
      </c>
      <c r="I507" s="95">
        <v>0</v>
      </c>
      <c r="K507" s="105" t="str">
        <f t="shared" si="23"/>
        <v>0008-1006-0012</v>
      </c>
      <c r="L507" s="105" t="str">
        <f>VLOOKUP(K507,COA!$A$3:$B$337,2,FALSE)</f>
        <v>C96</v>
      </c>
      <c r="M507" s="105" t="str">
        <f t="shared" si="24"/>
        <v>C96</v>
      </c>
      <c r="N507" s="105" t="str">
        <f>VLOOKUP(M507,CAC!$A$2:$B$198,2,FALSE)</f>
        <v>DOILG</v>
      </c>
    </row>
    <row r="508" spans="5:14" x14ac:dyDescent="0.25">
      <c r="E508" s="83">
        <v>201610</v>
      </c>
      <c r="F508" s="82" t="s">
        <v>413</v>
      </c>
      <c r="G508" s="82" t="s">
        <v>352</v>
      </c>
      <c r="H508" s="82" t="s">
        <v>344</v>
      </c>
      <c r="I508" s="95">
        <v>0</v>
      </c>
      <c r="K508" s="105" t="str">
        <f t="shared" si="23"/>
        <v>0008-1004-0012</v>
      </c>
      <c r="L508" s="105" t="str">
        <f>VLOOKUP(K508,COA!$A$3:$B$337,2,FALSE)</f>
        <v>C93</v>
      </c>
      <c r="M508" s="105" t="str">
        <f t="shared" si="24"/>
        <v>C93</v>
      </c>
      <c r="N508" s="105" t="str">
        <f>VLOOKUP(M508,CAC!$A$2:$B$198,2,FALSE)</f>
        <v>DOILG</v>
      </c>
    </row>
    <row r="509" spans="5:14" x14ac:dyDescent="0.25">
      <c r="E509" s="83">
        <v>201710</v>
      </c>
      <c r="F509" s="82" t="s">
        <v>746</v>
      </c>
      <c r="G509" s="82" t="s">
        <v>354</v>
      </c>
      <c r="H509" s="82" t="s">
        <v>344</v>
      </c>
      <c r="I509" s="95">
        <v>108</v>
      </c>
      <c r="K509" s="105" t="str">
        <f t="shared" si="23"/>
        <v>0016-1013-0012</v>
      </c>
      <c r="L509" s="105" t="str">
        <f>VLOOKUP(K509,COA!$A$3:$B$337,2,FALSE)</f>
        <v>R19</v>
      </c>
      <c r="M509" s="105" t="str">
        <f t="shared" si="24"/>
        <v>R19</v>
      </c>
      <c r="N509" s="105" t="str">
        <f>VLOOKUP(M509,CAC!$A$2:$B$198,2,FALSE)</f>
        <v>HMOMG</v>
      </c>
    </row>
    <row r="510" spans="5:14" x14ac:dyDescent="0.25">
      <c r="E510" s="83">
        <v>201710</v>
      </c>
      <c r="F510" s="82" t="s">
        <v>344</v>
      </c>
      <c r="G510" s="82" t="s">
        <v>359</v>
      </c>
      <c r="H510" s="82" t="s">
        <v>344</v>
      </c>
      <c r="I510" s="95">
        <v>95</v>
      </c>
      <c r="K510" s="105" t="str">
        <f t="shared" si="23"/>
        <v>0012-1005-0012</v>
      </c>
      <c r="L510" s="105" t="str">
        <f>VLOOKUP(K510,COA!$A$3:$B$337,2,FALSE)</f>
        <v>N13</v>
      </c>
      <c r="M510" s="105" t="str">
        <f t="shared" si="24"/>
        <v>N13</v>
      </c>
      <c r="N510" s="105" t="str">
        <f>VLOOKUP(M510,CAC!$A$2:$B$198,2,FALSE)</f>
        <v>HMOLG</v>
      </c>
    </row>
    <row r="511" spans="5:14" x14ac:dyDescent="0.25">
      <c r="E511" s="83">
        <v>201606</v>
      </c>
      <c r="F511" s="82" t="s">
        <v>563</v>
      </c>
      <c r="G511" s="82" t="s">
        <v>351</v>
      </c>
      <c r="H511" s="82" t="s">
        <v>349</v>
      </c>
      <c r="I511" s="95">
        <v>0</v>
      </c>
      <c r="K511" s="105" t="str">
        <f t="shared" si="23"/>
        <v>0003-0000-0017</v>
      </c>
      <c r="L511" s="105" t="e">
        <f>VLOOKUP(K511,COA!$A$3:$B$337,2,FALSE)</f>
        <v>#N/A</v>
      </c>
      <c r="M511" s="105" t="str">
        <f t="shared" si="24"/>
        <v>XXX</v>
      </c>
      <c r="N511" s="105" t="str">
        <f>VLOOKUP(M511,CAC!$A$2:$B$198,2,FALSE)</f>
        <v>XXX</v>
      </c>
    </row>
    <row r="512" spans="5:14" x14ac:dyDescent="0.25">
      <c r="E512" s="83">
        <v>201801</v>
      </c>
      <c r="F512" s="82" t="s">
        <v>345</v>
      </c>
      <c r="G512" s="82" t="s">
        <v>365</v>
      </c>
      <c r="H512" s="82" t="s">
        <v>366</v>
      </c>
      <c r="I512" s="95">
        <v>11146.49</v>
      </c>
      <c r="K512" s="105" t="str">
        <f t="shared" si="23"/>
        <v>0011-1001-0021</v>
      </c>
      <c r="L512" s="105" t="str">
        <f>VLOOKUP(K512,COA!$A$3:$B$337,2,FALSE)</f>
        <v>V13</v>
      </c>
      <c r="M512" s="105" t="str">
        <f t="shared" si="24"/>
        <v>V13</v>
      </c>
      <c r="N512" s="105" t="str">
        <f>VLOOKUP(M512,CAC!$A$2:$B$198,2,FALSE)</f>
        <v>HMOIFP</v>
      </c>
    </row>
    <row r="513" spans="5:14" x14ac:dyDescent="0.25">
      <c r="E513" s="83">
        <v>201708</v>
      </c>
      <c r="F513" s="82" t="s">
        <v>549</v>
      </c>
      <c r="G513" s="82" t="s">
        <v>352</v>
      </c>
      <c r="H513" s="82" t="s">
        <v>672</v>
      </c>
      <c r="I513" s="95">
        <v>0</v>
      </c>
      <c r="K513" s="105" t="str">
        <f t="shared" si="23"/>
        <v>0026-1004-0058</v>
      </c>
      <c r="L513" s="105" t="str">
        <f>VLOOKUP(K513,COA!$A$3:$B$337,2,FALSE)</f>
        <v>L44</v>
      </c>
      <c r="M513" s="105" t="str">
        <f t="shared" si="24"/>
        <v>L44</v>
      </c>
      <c r="N513" s="105" t="e">
        <f>VLOOKUP(M513,CAC!$A$2:$B$198,2,FALSE)</f>
        <v>#N/A</v>
      </c>
    </row>
    <row r="514" spans="5:14" x14ac:dyDescent="0.25">
      <c r="E514" s="83">
        <v>201507</v>
      </c>
      <c r="F514" s="82" t="s">
        <v>563</v>
      </c>
      <c r="G514" s="82" t="s">
        <v>356</v>
      </c>
      <c r="H514" s="82" t="s">
        <v>344</v>
      </c>
      <c r="I514" s="95">
        <v>0</v>
      </c>
      <c r="K514" s="105" t="str">
        <f t="shared" si="23"/>
        <v>0003-1002-0012</v>
      </c>
      <c r="L514" s="105" t="str">
        <f>VLOOKUP(K514,COA!$A$3:$B$337,2,FALSE)</f>
        <v>F61</v>
      </c>
      <c r="M514" s="105" t="str">
        <f t="shared" si="24"/>
        <v>F61</v>
      </c>
      <c r="N514" s="105" t="str">
        <f>VLOOKUP(M514,CAC!$A$2:$B$198,2,FALSE)</f>
        <v>PPOPMR</v>
      </c>
    </row>
    <row r="515" spans="5:14" x14ac:dyDescent="0.25">
      <c r="E515" s="83">
        <v>201611</v>
      </c>
      <c r="F515" s="82" t="s">
        <v>563</v>
      </c>
      <c r="G515" s="82" t="s">
        <v>350</v>
      </c>
      <c r="H515" s="82" t="s">
        <v>626</v>
      </c>
      <c r="I515" s="95">
        <v>0</v>
      </c>
      <c r="K515" s="105" t="str">
        <f t="shared" si="23"/>
        <v>0003-1012-0057</v>
      </c>
      <c r="L515" s="105" t="str">
        <f>VLOOKUP(K515,COA!$A$3:$B$337,2,FALSE)</f>
        <v>K51</v>
      </c>
      <c r="M515" s="105" t="str">
        <f t="shared" si="24"/>
        <v>K51</v>
      </c>
      <c r="N515" s="105" t="str">
        <f>VLOOKUP(M515,CAC!$A$2:$B$198,2,FALSE)</f>
        <v>PPOPMR</v>
      </c>
    </row>
    <row r="516" spans="5:14" x14ac:dyDescent="0.25">
      <c r="E516" s="83">
        <v>201702</v>
      </c>
      <c r="F516" s="82" t="s">
        <v>563</v>
      </c>
      <c r="G516" s="82" t="s">
        <v>356</v>
      </c>
      <c r="H516" s="82" t="s">
        <v>344</v>
      </c>
      <c r="I516" s="95">
        <v>0</v>
      </c>
      <c r="K516" s="105" t="str">
        <f t="shared" ref="K516:K579" si="25">F516&amp;"-"&amp;G516&amp;"-"&amp;H516</f>
        <v>0003-1002-0012</v>
      </c>
      <c r="L516" s="105" t="str">
        <f>VLOOKUP(K516,COA!$A$3:$B$337,2,FALSE)</f>
        <v>F61</v>
      </c>
      <c r="M516" s="105" t="str">
        <f t="shared" ref="M516:M579" si="26">IF(ISNA(L516),"XXX",L516)</f>
        <v>F61</v>
      </c>
      <c r="N516" s="105" t="str">
        <f>VLOOKUP(M516,CAC!$A$2:$B$198,2,FALSE)</f>
        <v>PPOPMR</v>
      </c>
    </row>
    <row r="517" spans="5:14" x14ac:dyDescent="0.25">
      <c r="E517" s="83">
        <v>201507</v>
      </c>
      <c r="F517" s="82" t="s">
        <v>563</v>
      </c>
      <c r="G517" s="82" t="s">
        <v>348</v>
      </c>
      <c r="H517" s="82" t="s">
        <v>358</v>
      </c>
      <c r="I517" s="95">
        <v>0</v>
      </c>
      <c r="K517" s="105" t="str">
        <f t="shared" si="25"/>
        <v>0003-1010-0024</v>
      </c>
      <c r="L517" s="105" t="str">
        <f>VLOOKUP(K517,COA!$A$3:$B$337,2,FALSE)</f>
        <v>S56</v>
      </c>
      <c r="M517" s="105" t="str">
        <f t="shared" si="26"/>
        <v>S56</v>
      </c>
      <c r="N517" s="105" t="str">
        <f>VLOOKUP(M517,CAC!$A$2:$B$198,2,FALSE)</f>
        <v>PPOSG</v>
      </c>
    </row>
    <row r="518" spans="5:14" x14ac:dyDescent="0.25">
      <c r="E518" s="83">
        <v>201609</v>
      </c>
      <c r="F518" s="82" t="s">
        <v>746</v>
      </c>
      <c r="G518" s="82" t="s">
        <v>355</v>
      </c>
      <c r="H518" s="82" t="s">
        <v>344</v>
      </c>
      <c r="I518" s="95">
        <v>0</v>
      </c>
      <c r="K518" s="105" t="str">
        <f t="shared" si="25"/>
        <v>0016-1006-0012</v>
      </c>
      <c r="L518" s="105" t="str">
        <f>VLOOKUP(K518,COA!$A$3:$B$337,2,FALSE)</f>
        <v>R21</v>
      </c>
      <c r="M518" s="105" t="str">
        <f t="shared" si="26"/>
        <v>R21</v>
      </c>
      <c r="N518" s="105" t="str">
        <f>VLOOKUP(M518,CAC!$A$2:$B$198,2,FALSE)</f>
        <v>HMOMG</v>
      </c>
    </row>
    <row r="519" spans="5:14" x14ac:dyDescent="0.25">
      <c r="E519" s="83">
        <v>201611</v>
      </c>
      <c r="F519" s="82" t="s">
        <v>563</v>
      </c>
      <c r="G519" s="82" t="s">
        <v>359</v>
      </c>
      <c r="H519" s="82" t="s">
        <v>344</v>
      </c>
      <c r="I519" s="95">
        <v>0</v>
      </c>
      <c r="K519" s="105" t="str">
        <f t="shared" si="25"/>
        <v>0003-1005-0012</v>
      </c>
      <c r="L519" s="105" t="str">
        <f>VLOOKUP(K519,COA!$A$3:$B$337,2,FALSE)</f>
        <v>N51</v>
      </c>
      <c r="M519" s="105" t="str">
        <f t="shared" si="26"/>
        <v>N51</v>
      </c>
      <c r="N519" s="105" t="str">
        <f>VLOOKUP(M519,CAC!$A$2:$B$198,2,FALSE)</f>
        <v>PPOLG</v>
      </c>
    </row>
    <row r="520" spans="5:14" x14ac:dyDescent="0.25">
      <c r="E520" s="83">
        <v>201801</v>
      </c>
      <c r="F520" s="82" t="s">
        <v>345</v>
      </c>
      <c r="G520" s="82" t="s">
        <v>355</v>
      </c>
      <c r="H520" s="82" t="s">
        <v>344</v>
      </c>
      <c r="I520" s="95">
        <v>20010.689999999999</v>
      </c>
      <c r="K520" s="105" t="str">
        <f t="shared" si="25"/>
        <v>0011-1006-0012</v>
      </c>
      <c r="L520" s="105" t="str">
        <f>VLOOKUP(K520,COA!$A$3:$B$337,2,FALSE)</f>
        <v>L13</v>
      </c>
      <c r="M520" s="105" t="str">
        <f t="shared" si="26"/>
        <v>L13</v>
      </c>
      <c r="N520" s="105" t="str">
        <f>VLOOKUP(M520,CAC!$A$2:$B$198,2,FALSE)</f>
        <v>HMOLG</v>
      </c>
    </row>
    <row r="521" spans="5:14" x14ac:dyDescent="0.25">
      <c r="E521" s="83">
        <v>201605</v>
      </c>
      <c r="F521" s="82" t="s">
        <v>345</v>
      </c>
      <c r="G521" s="82" t="s">
        <v>362</v>
      </c>
      <c r="H521" s="82" t="s">
        <v>364</v>
      </c>
      <c r="I521" s="95">
        <v>38024.089999999997</v>
      </c>
      <c r="K521" s="105" t="str">
        <f t="shared" si="25"/>
        <v>0011-1008-0037</v>
      </c>
      <c r="L521" s="105" t="str">
        <f>VLOOKUP(K521,COA!$A$3:$B$337,2,FALSE)</f>
        <v>P12</v>
      </c>
      <c r="M521" s="105" t="str">
        <f t="shared" si="26"/>
        <v>P12</v>
      </c>
      <c r="N521" s="105" t="str">
        <f>VLOOKUP(M521,CAC!$A$2:$B$198,2,FALSE)</f>
        <v>HMOPERA</v>
      </c>
    </row>
    <row r="522" spans="5:14" x14ac:dyDescent="0.25">
      <c r="E522" s="83">
        <v>201801</v>
      </c>
      <c r="F522" s="82" t="s">
        <v>563</v>
      </c>
      <c r="G522" s="82" t="s">
        <v>348</v>
      </c>
      <c r="H522" s="82" t="s">
        <v>358</v>
      </c>
      <c r="I522" s="95">
        <v>0</v>
      </c>
      <c r="K522" s="105" t="str">
        <f t="shared" si="25"/>
        <v>0003-1010-0024</v>
      </c>
      <c r="L522" s="105" t="str">
        <f>VLOOKUP(K522,COA!$A$3:$B$337,2,FALSE)</f>
        <v>S56</v>
      </c>
      <c r="M522" s="105" t="str">
        <f t="shared" si="26"/>
        <v>S56</v>
      </c>
      <c r="N522" s="105" t="str">
        <f>VLOOKUP(M522,CAC!$A$2:$B$198,2,FALSE)</f>
        <v>PPOSG</v>
      </c>
    </row>
    <row r="523" spans="5:14" x14ac:dyDescent="0.25">
      <c r="E523" s="83">
        <v>201605</v>
      </c>
      <c r="F523" s="82" t="s">
        <v>345</v>
      </c>
      <c r="G523" s="82" t="s">
        <v>354</v>
      </c>
      <c r="H523" s="82" t="s">
        <v>360</v>
      </c>
      <c r="I523" s="95">
        <v>2200</v>
      </c>
      <c r="K523" s="105" t="str">
        <f t="shared" si="25"/>
        <v>0011-1013-0048</v>
      </c>
      <c r="L523" s="105" t="str">
        <f>VLOOKUP(K523,COA!$A$3:$B$337,2,FALSE)</f>
        <v>N21</v>
      </c>
      <c r="M523" s="105" t="str">
        <f t="shared" si="26"/>
        <v>N21</v>
      </c>
      <c r="N523" s="105" t="str">
        <f>VLOOKUP(M523,CAC!$A$2:$B$198,2,FALSE)</f>
        <v>HMFLEX</v>
      </c>
    </row>
    <row r="524" spans="5:14" x14ac:dyDescent="0.25">
      <c r="E524" s="83">
        <v>201706</v>
      </c>
      <c r="F524" s="82" t="s">
        <v>413</v>
      </c>
      <c r="G524" s="82" t="s">
        <v>359</v>
      </c>
      <c r="H524" s="82" t="s">
        <v>344</v>
      </c>
      <c r="I524" s="95">
        <v>0</v>
      </c>
      <c r="K524" s="105" t="str">
        <f t="shared" si="25"/>
        <v>0008-1005-0012</v>
      </c>
      <c r="L524" s="105" t="str">
        <f>VLOOKUP(K524,COA!$A$3:$B$337,2,FALSE)</f>
        <v>C73</v>
      </c>
      <c r="M524" s="105" t="str">
        <f t="shared" si="26"/>
        <v>C73</v>
      </c>
      <c r="N524" s="105" t="str">
        <f>VLOOKUP(M524,CAC!$A$2:$B$198,2,FALSE)</f>
        <v>DOILG</v>
      </c>
    </row>
    <row r="525" spans="5:14" x14ac:dyDescent="0.25">
      <c r="E525" s="83">
        <v>201506</v>
      </c>
      <c r="F525" s="82" t="s">
        <v>344</v>
      </c>
      <c r="G525" s="82" t="s">
        <v>352</v>
      </c>
      <c r="H525" s="82" t="s">
        <v>344</v>
      </c>
      <c r="I525" s="95">
        <v>260</v>
      </c>
      <c r="K525" s="105" t="str">
        <f t="shared" si="25"/>
        <v>0012-1004-0012</v>
      </c>
      <c r="L525" s="105" t="str">
        <f>VLOOKUP(K525,COA!$A$3:$B$337,2,FALSE)</f>
        <v>L12</v>
      </c>
      <c r="M525" s="105" t="str">
        <f t="shared" si="26"/>
        <v>L12</v>
      </c>
      <c r="N525" s="105" t="str">
        <f>VLOOKUP(M525,CAC!$A$2:$B$198,2,FALSE)</f>
        <v>HMOLG</v>
      </c>
    </row>
    <row r="526" spans="5:14" x14ac:dyDescent="0.25">
      <c r="E526" s="83">
        <v>201512</v>
      </c>
      <c r="F526" s="82" t="s">
        <v>746</v>
      </c>
      <c r="G526" s="82" t="s">
        <v>355</v>
      </c>
      <c r="H526" s="82" t="s">
        <v>344</v>
      </c>
      <c r="I526" s="95">
        <v>0</v>
      </c>
      <c r="K526" s="105" t="str">
        <f t="shared" si="25"/>
        <v>0016-1006-0012</v>
      </c>
      <c r="L526" s="105" t="str">
        <f>VLOOKUP(K526,COA!$A$3:$B$337,2,FALSE)</f>
        <v>R21</v>
      </c>
      <c r="M526" s="105" t="str">
        <f t="shared" si="26"/>
        <v>R21</v>
      </c>
      <c r="N526" s="105" t="str">
        <f>VLOOKUP(M526,CAC!$A$2:$B$198,2,FALSE)</f>
        <v>HMOMG</v>
      </c>
    </row>
    <row r="527" spans="5:14" x14ac:dyDescent="0.25">
      <c r="E527" s="83">
        <v>201506</v>
      </c>
      <c r="F527" s="82" t="s">
        <v>413</v>
      </c>
      <c r="G527" s="82" t="s">
        <v>348</v>
      </c>
      <c r="H527" s="82" t="s">
        <v>349</v>
      </c>
      <c r="I527" s="95">
        <v>0</v>
      </c>
      <c r="K527" s="105" t="str">
        <f t="shared" si="25"/>
        <v>0008-1010-0017</v>
      </c>
      <c r="L527" s="105" t="str">
        <f>VLOOKUP(K527,COA!$A$3:$B$337,2,FALSE)</f>
        <v>C94</v>
      </c>
      <c r="M527" s="105" t="str">
        <f t="shared" si="26"/>
        <v>C94</v>
      </c>
      <c r="N527" s="105" t="str">
        <f>VLOOKUP(M527,CAC!$A$2:$B$198,2,FALSE)</f>
        <v>DOISG</v>
      </c>
    </row>
    <row r="528" spans="5:14" x14ac:dyDescent="0.25">
      <c r="E528" s="83">
        <v>201711</v>
      </c>
      <c r="F528" s="82" t="s">
        <v>563</v>
      </c>
      <c r="G528" s="82" t="s">
        <v>348</v>
      </c>
      <c r="H528" s="82" t="s">
        <v>358</v>
      </c>
      <c r="I528" s="95">
        <v>0</v>
      </c>
      <c r="K528" s="105" t="str">
        <f t="shared" si="25"/>
        <v>0003-1010-0024</v>
      </c>
      <c r="L528" s="105" t="str">
        <f>VLOOKUP(K528,COA!$A$3:$B$337,2,FALSE)</f>
        <v>S56</v>
      </c>
      <c r="M528" s="105" t="str">
        <f t="shared" si="26"/>
        <v>S56</v>
      </c>
      <c r="N528" s="105" t="str">
        <f>VLOOKUP(M528,CAC!$A$2:$B$198,2,FALSE)</f>
        <v>PPOSG</v>
      </c>
    </row>
    <row r="529" spans="5:14" x14ac:dyDescent="0.25">
      <c r="E529" s="83">
        <v>201706</v>
      </c>
      <c r="F529" s="82" t="s">
        <v>413</v>
      </c>
      <c r="G529" s="82" t="s">
        <v>355</v>
      </c>
      <c r="H529" s="82" t="s">
        <v>344</v>
      </c>
      <c r="I529" s="95">
        <v>0</v>
      </c>
      <c r="K529" s="105" t="str">
        <f t="shared" si="25"/>
        <v>0008-1006-0012</v>
      </c>
      <c r="L529" s="105" t="str">
        <f>VLOOKUP(K529,COA!$A$3:$B$337,2,FALSE)</f>
        <v>C96</v>
      </c>
      <c r="M529" s="105" t="str">
        <f t="shared" si="26"/>
        <v>C96</v>
      </c>
      <c r="N529" s="105" t="str">
        <f>VLOOKUP(M529,CAC!$A$2:$B$198,2,FALSE)</f>
        <v>DOILG</v>
      </c>
    </row>
    <row r="530" spans="5:14" x14ac:dyDescent="0.25">
      <c r="E530" s="83">
        <v>201510</v>
      </c>
      <c r="F530" s="82" t="s">
        <v>563</v>
      </c>
      <c r="G530" s="82" t="s">
        <v>348</v>
      </c>
      <c r="H530" s="82" t="s">
        <v>358</v>
      </c>
      <c r="I530" s="95">
        <v>0</v>
      </c>
      <c r="K530" s="105" t="str">
        <f t="shared" si="25"/>
        <v>0003-1010-0024</v>
      </c>
      <c r="L530" s="105" t="str">
        <f>VLOOKUP(K530,COA!$A$3:$B$337,2,FALSE)</f>
        <v>S56</v>
      </c>
      <c r="M530" s="105" t="str">
        <f t="shared" si="26"/>
        <v>S56</v>
      </c>
      <c r="N530" s="105" t="str">
        <f>VLOOKUP(M530,CAC!$A$2:$B$198,2,FALSE)</f>
        <v>PPOSG</v>
      </c>
    </row>
    <row r="531" spans="5:14" x14ac:dyDescent="0.25">
      <c r="E531" s="83">
        <v>201505</v>
      </c>
      <c r="F531" s="82" t="s">
        <v>563</v>
      </c>
      <c r="G531" s="82" t="s">
        <v>350</v>
      </c>
      <c r="H531" s="82" t="s">
        <v>344</v>
      </c>
      <c r="I531" s="95">
        <v>0</v>
      </c>
      <c r="K531" s="105" t="str">
        <f t="shared" si="25"/>
        <v>0003-1012-0012</v>
      </c>
      <c r="L531" s="105" t="str">
        <f>VLOOKUP(K531,COA!$A$3:$B$337,2,FALSE)</f>
        <v>K51</v>
      </c>
      <c r="M531" s="105" t="str">
        <f t="shared" si="26"/>
        <v>K51</v>
      </c>
      <c r="N531" s="105" t="str">
        <f>VLOOKUP(M531,CAC!$A$2:$B$198,2,FALSE)</f>
        <v>PPOPMR</v>
      </c>
    </row>
    <row r="532" spans="5:14" x14ac:dyDescent="0.25">
      <c r="E532" s="83">
        <v>201507</v>
      </c>
      <c r="F532" s="82" t="s">
        <v>506</v>
      </c>
      <c r="G532" s="82" t="s">
        <v>350</v>
      </c>
      <c r="H532" s="82" t="s">
        <v>592</v>
      </c>
      <c r="I532" s="95">
        <v>0</v>
      </c>
      <c r="K532" s="105" t="str">
        <f t="shared" si="25"/>
        <v>0013-1012-0035</v>
      </c>
      <c r="L532" s="105" t="str">
        <f>VLOOKUP(K532,COA!$A$3:$B$337,2,FALSE)</f>
        <v>K41</v>
      </c>
      <c r="M532" s="105" t="str">
        <f t="shared" si="26"/>
        <v>K41</v>
      </c>
      <c r="N532" s="105" t="e">
        <f>VLOOKUP(M532,CAC!$A$2:$B$198,2,FALSE)</f>
        <v>#N/A</v>
      </c>
    </row>
    <row r="533" spans="5:14" x14ac:dyDescent="0.25">
      <c r="E533" s="83">
        <v>201611</v>
      </c>
      <c r="F533" s="82" t="s">
        <v>746</v>
      </c>
      <c r="G533" s="82" t="s">
        <v>356</v>
      </c>
      <c r="H533" s="82" t="s">
        <v>764</v>
      </c>
      <c r="I533" s="95">
        <v>629</v>
      </c>
      <c r="K533" s="105" t="str">
        <f t="shared" si="25"/>
        <v>0016-1002-0064</v>
      </c>
      <c r="L533" s="105" t="str">
        <f>VLOOKUP(K533,COA!$A$3:$B$337,2,FALSE)</f>
        <v>R25</v>
      </c>
      <c r="M533" s="105" t="str">
        <f t="shared" si="26"/>
        <v>R25</v>
      </c>
      <c r="N533" s="105" t="str">
        <f>VLOOKUP(M533,CAC!$A$2:$B$198,2,FALSE)</f>
        <v>HMOMG</v>
      </c>
    </row>
    <row r="534" spans="5:14" x14ac:dyDescent="0.25">
      <c r="E534" s="83">
        <v>201710</v>
      </c>
      <c r="F534" s="82" t="s">
        <v>563</v>
      </c>
      <c r="G534" s="82" t="s">
        <v>359</v>
      </c>
      <c r="H534" s="82" t="s">
        <v>344</v>
      </c>
      <c r="I534" s="95">
        <v>0</v>
      </c>
      <c r="K534" s="105" t="str">
        <f t="shared" si="25"/>
        <v>0003-1005-0012</v>
      </c>
      <c r="L534" s="105" t="str">
        <f>VLOOKUP(K534,COA!$A$3:$B$337,2,FALSE)</f>
        <v>N51</v>
      </c>
      <c r="M534" s="105" t="str">
        <f t="shared" si="26"/>
        <v>N51</v>
      </c>
      <c r="N534" s="105" t="str">
        <f>VLOOKUP(M534,CAC!$A$2:$B$198,2,FALSE)</f>
        <v>PPOLG</v>
      </c>
    </row>
    <row r="535" spans="5:14" x14ac:dyDescent="0.25">
      <c r="E535" s="83">
        <v>201708</v>
      </c>
      <c r="F535" s="82" t="s">
        <v>345</v>
      </c>
      <c r="G535" s="82" t="s">
        <v>346</v>
      </c>
      <c r="H535" s="82" t="s">
        <v>360</v>
      </c>
      <c r="I535" s="95">
        <v>324</v>
      </c>
      <c r="K535" s="105" t="str">
        <f t="shared" si="25"/>
        <v>0011-1014-0048</v>
      </c>
      <c r="L535" s="105" t="str">
        <f>VLOOKUP(K535,COA!$A$3:$B$337,2,FALSE)</f>
        <v>K23</v>
      </c>
      <c r="M535" s="105" t="str">
        <f t="shared" si="26"/>
        <v>K23</v>
      </c>
      <c r="N535" s="105" t="str">
        <f>VLOOKUP(M535,CAC!$A$2:$B$198,2,FALSE)</f>
        <v>HMFLEX</v>
      </c>
    </row>
    <row r="536" spans="5:14" x14ac:dyDescent="0.25">
      <c r="E536" s="83">
        <v>201610</v>
      </c>
      <c r="F536" s="82" t="s">
        <v>552</v>
      </c>
      <c r="G536" s="82" t="s">
        <v>356</v>
      </c>
      <c r="H536" s="82" t="s">
        <v>672</v>
      </c>
      <c r="I536" s="95">
        <v>0</v>
      </c>
      <c r="K536" s="105" t="str">
        <f t="shared" si="25"/>
        <v>0027-1002-0058</v>
      </c>
      <c r="L536" s="105" t="str">
        <f>VLOOKUP(K536,COA!$A$3:$B$337,2,FALSE)</f>
        <v>L45</v>
      </c>
      <c r="M536" s="105" t="str">
        <f t="shared" si="26"/>
        <v>L45</v>
      </c>
      <c r="N536" s="105" t="e">
        <f>VLOOKUP(M536,CAC!$A$2:$B$198,2,FALSE)</f>
        <v>#N/A</v>
      </c>
    </row>
    <row r="537" spans="5:14" x14ac:dyDescent="0.25">
      <c r="E537" s="83">
        <v>201702</v>
      </c>
      <c r="F537" s="82" t="s">
        <v>746</v>
      </c>
      <c r="G537" s="82" t="s">
        <v>350</v>
      </c>
      <c r="H537" s="82" t="s">
        <v>344</v>
      </c>
      <c r="I537" s="95">
        <v>24</v>
      </c>
      <c r="K537" s="105" t="str">
        <f t="shared" si="25"/>
        <v>0016-1012-0012</v>
      </c>
      <c r="L537" s="105" t="str">
        <f>VLOOKUP(K537,COA!$A$3:$B$337,2,FALSE)</f>
        <v>R19</v>
      </c>
      <c r="M537" s="105" t="str">
        <f t="shared" si="26"/>
        <v>R19</v>
      </c>
      <c r="N537" s="105" t="str">
        <f>VLOOKUP(M537,CAC!$A$2:$B$198,2,FALSE)</f>
        <v>HMOMG</v>
      </c>
    </row>
    <row r="538" spans="5:14" x14ac:dyDescent="0.25">
      <c r="E538" s="83">
        <v>201503</v>
      </c>
      <c r="F538" s="82" t="s">
        <v>345</v>
      </c>
      <c r="G538" s="82" t="s">
        <v>351</v>
      </c>
      <c r="H538" s="82" t="s">
        <v>353</v>
      </c>
      <c r="I538" s="95">
        <v>1</v>
      </c>
      <c r="K538" s="105" t="str">
        <f t="shared" si="25"/>
        <v>0011-0000-0023</v>
      </c>
      <c r="L538" s="105" t="e">
        <f>VLOOKUP(K538,COA!$A$3:$B$337,2,FALSE)</f>
        <v>#N/A</v>
      </c>
      <c r="M538" s="105" t="str">
        <f t="shared" si="26"/>
        <v>XXX</v>
      </c>
      <c r="N538" s="105" t="str">
        <f>VLOOKUP(M538,CAC!$A$2:$B$198,2,FALSE)</f>
        <v>XXX</v>
      </c>
    </row>
    <row r="539" spans="5:14" x14ac:dyDescent="0.25">
      <c r="E539" s="83">
        <v>201709</v>
      </c>
      <c r="F539" s="82" t="s">
        <v>563</v>
      </c>
      <c r="G539" s="82" t="s">
        <v>365</v>
      </c>
      <c r="H539" s="82" t="s">
        <v>367</v>
      </c>
      <c r="I539" s="95">
        <v>0</v>
      </c>
      <c r="K539" s="105" t="str">
        <f t="shared" si="25"/>
        <v>0003-1001-0022</v>
      </c>
      <c r="L539" s="105" t="str">
        <f>VLOOKUP(K539,COA!$A$3:$B$337,2,FALSE)</f>
        <v>V54</v>
      </c>
      <c r="M539" s="105" t="str">
        <f t="shared" si="26"/>
        <v>V54</v>
      </c>
      <c r="N539" s="105" t="str">
        <f>VLOOKUP(M539,CAC!$A$2:$B$198,2,FALSE)</f>
        <v>PPOIFP</v>
      </c>
    </row>
    <row r="540" spans="5:14" x14ac:dyDescent="0.25">
      <c r="E540" s="83">
        <v>201510</v>
      </c>
      <c r="F540" s="82" t="s">
        <v>344</v>
      </c>
      <c r="G540" s="82" t="s">
        <v>355</v>
      </c>
      <c r="H540" s="82" t="s">
        <v>344</v>
      </c>
      <c r="I540" s="95">
        <v>238</v>
      </c>
      <c r="K540" s="105" t="str">
        <f t="shared" si="25"/>
        <v>0012-1006-0012</v>
      </c>
      <c r="L540" s="105" t="str">
        <f>VLOOKUP(K540,COA!$A$3:$B$337,2,FALSE)</f>
        <v>L16</v>
      </c>
      <c r="M540" s="105" t="str">
        <f t="shared" si="26"/>
        <v>L16</v>
      </c>
      <c r="N540" s="105" t="str">
        <f>VLOOKUP(M540,CAC!$A$2:$B$198,2,FALSE)</f>
        <v>HMOLG</v>
      </c>
    </row>
    <row r="541" spans="5:14" x14ac:dyDescent="0.25">
      <c r="E541" s="83">
        <v>201512</v>
      </c>
      <c r="F541" s="82" t="s">
        <v>549</v>
      </c>
      <c r="G541" s="82" t="s">
        <v>352</v>
      </c>
      <c r="H541" s="82" t="s">
        <v>672</v>
      </c>
      <c r="I541" s="95">
        <v>0</v>
      </c>
      <c r="K541" s="105" t="str">
        <f t="shared" si="25"/>
        <v>0026-1004-0058</v>
      </c>
      <c r="L541" s="105" t="str">
        <f>VLOOKUP(K541,COA!$A$3:$B$337,2,FALSE)</f>
        <v>L44</v>
      </c>
      <c r="M541" s="105" t="str">
        <f t="shared" si="26"/>
        <v>L44</v>
      </c>
      <c r="N541" s="105" t="e">
        <f>VLOOKUP(M541,CAC!$A$2:$B$198,2,FALSE)</f>
        <v>#N/A</v>
      </c>
    </row>
    <row r="542" spans="5:14" x14ac:dyDescent="0.25">
      <c r="E542" s="83">
        <v>201707</v>
      </c>
      <c r="F542" s="82" t="s">
        <v>413</v>
      </c>
      <c r="G542" s="82" t="s">
        <v>359</v>
      </c>
      <c r="H542" s="82" t="s">
        <v>344</v>
      </c>
      <c r="I542" s="95">
        <v>0</v>
      </c>
      <c r="K542" s="105" t="str">
        <f t="shared" si="25"/>
        <v>0008-1005-0012</v>
      </c>
      <c r="L542" s="105" t="str">
        <f>VLOOKUP(K542,COA!$A$3:$B$337,2,FALSE)</f>
        <v>C73</v>
      </c>
      <c r="M542" s="105" t="str">
        <f t="shared" si="26"/>
        <v>C73</v>
      </c>
      <c r="N542" s="105" t="str">
        <f>VLOOKUP(M542,CAC!$A$2:$B$198,2,FALSE)</f>
        <v>DOILG</v>
      </c>
    </row>
    <row r="543" spans="5:14" x14ac:dyDescent="0.25">
      <c r="E543" s="83">
        <v>201602</v>
      </c>
      <c r="F543" s="82" t="s">
        <v>746</v>
      </c>
      <c r="G543" s="82" t="s">
        <v>356</v>
      </c>
      <c r="H543" s="82" t="s">
        <v>344</v>
      </c>
      <c r="I543" s="95">
        <v>119</v>
      </c>
      <c r="K543" s="105" t="str">
        <f t="shared" si="25"/>
        <v>0016-1002-0012</v>
      </c>
      <c r="L543" s="105" t="str">
        <f>VLOOKUP(K543,COA!$A$3:$B$337,2,FALSE)</f>
        <v>R18</v>
      </c>
      <c r="M543" s="105" t="str">
        <f t="shared" si="26"/>
        <v>R18</v>
      </c>
      <c r="N543" s="105" t="str">
        <f>VLOOKUP(M543,CAC!$A$2:$B$198,2,FALSE)</f>
        <v>HMOMG</v>
      </c>
    </row>
    <row r="544" spans="5:14" x14ac:dyDescent="0.25">
      <c r="E544" s="83">
        <v>201506</v>
      </c>
      <c r="F544" s="82" t="s">
        <v>345</v>
      </c>
      <c r="G544" s="82" t="s">
        <v>351</v>
      </c>
      <c r="H544" s="82" t="s">
        <v>353</v>
      </c>
      <c r="I544" s="95">
        <v>1</v>
      </c>
      <c r="K544" s="105" t="str">
        <f t="shared" si="25"/>
        <v>0011-0000-0023</v>
      </c>
      <c r="L544" s="105" t="e">
        <f>VLOOKUP(K544,COA!$A$3:$B$337,2,FALSE)</f>
        <v>#N/A</v>
      </c>
      <c r="M544" s="105" t="str">
        <f t="shared" si="26"/>
        <v>XXX</v>
      </c>
      <c r="N544" s="105" t="str">
        <f>VLOOKUP(M544,CAC!$A$2:$B$198,2,FALSE)</f>
        <v>XXX</v>
      </c>
    </row>
    <row r="545" spans="5:14" x14ac:dyDescent="0.25">
      <c r="E545" s="83">
        <v>201605</v>
      </c>
      <c r="F545" s="82" t="s">
        <v>746</v>
      </c>
      <c r="G545" s="82" t="s">
        <v>350</v>
      </c>
      <c r="H545" s="82" t="s">
        <v>764</v>
      </c>
      <c r="I545" s="95">
        <v>6</v>
      </c>
      <c r="K545" s="105" t="str">
        <f t="shared" si="25"/>
        <v>0016-1012-0064</v>
      </c>
      <c r="L545" s="105" t="str">
        <f>VLOOKUP(K545,COA!$A$3:$B$337,2,FALSE)</f>
        <v>R25</v>
      </c>
      <c r="M545" s="105" t="str">
        <f t="shared" si="26"/>
        <v>R25</v>
      </c>
      <c r="N545" s="105" t="str">
        <f>VLOOKUP(M545,CAC!$A$2:$B$198,2,FALSE)</f>
        <v>HMOMG</v>
      </c>
    </row>
    <row r="546" spans="5:14" x14ac:dyDescent="0.25">
      <c r="E546" s="83">
        <v>201601</v>
      </c>
      <c r="F546" s="82" t="s">
        <v>345</v>
      </c>
      <c r="G546" s="82" t="s">
        <v>348</v>
      </c>
      <c r="H546" s="82" t="s">
        <v>349</v>
      </c>
      <c r="I546" s="95">
        <v>20276.330000000002</v>
      </c>
      <c r="K546" s="105" t="str">
        <f t="shared" si="25"/>
        <v>0011-1010-0017</v>
      </c>
      <c r="L546" s="105" t="str">
        <f>VLOOKUP(K546,COA!$A$3:$B$337,2,FALSE)</f>
        <v>S11</v>
      </c>
      <c r="M546" s="105" t="str">
        <f t="shared" si="26"/>
        <v>S11</v>
      </c>
      <c r="N546" s="105" t="str">
        <f>VLOOKUP(M546,CAC!$A$2:$B$198,2,FALSE)</f>
        <v>HMOSG</v>
      </c>
    </row>
    <row r="547" spans="5:14" x14ac:dyDescent="0.25">
      <c r="E547" s="83">
        <v>201609</v>
      </c>
      <c r="F547" s="82" t="s">
        <v>563</v>
      </c>
      <c r="G547" s="82" t="s">
        <v>354</v>
      </c>
      <c r="H547" s="82" t="s">
        <v>653</v>
      </c>
      <c r="I547" s="95">
        <v>0</v>
      </c>
      <c r="K547" s="105" t="str">
        <f t="shared" si="25"/>
        <v>0003-1013-0047</v>
      </c>
      <c r="L547" s="105" t="str">
        <f>VLOOKUP(K547,COA!$A$3:$B$337,2,FALSE)</f>
        <v>N57</v>
      </c>
      <c r="M547" s="105" t="str">
        <f t="shared" si="26"/>
        <v>N57</v>
      </c>
      <c r="N547" s="105" t="str">
        <f>VLOOKUP(M547,CAC!$A$2:$B$198,2,FALSE)</f>
        <v>PPOPMR</v>
      </c>
    </row>
    <row r="548" spans="5:14" x14ac:dyDescent="0.25">
      <c r="E548" s="83">
        <v>201512</v>
      </c>
      <c r="F548" s="82" t="s">
        <v>345</v>
      </c>
      <c r="G548" s="82" t="s">
        <v>355</v>
      </c>
      <c r="H548" s="82" t="s">
        <v>344</v>
      </c>
      <c r="I548" s="95">
        <v>26086.38</v>
      </c>
      <c r="K548" s="105" t="str">
        <f t="shared" si="25"/>
        <v>0011-1006-0012</v>
      </c>
      <c r="L548" s="105" t="str">
        <f>VLOOKUP(K548,COA!$A$3:$B$337,2,FALSE)</f>
        <v>L13</v>
      </c>
      <c r="M548" s="105" t="str">
        <f t="shared" si="26"/>
        <v>L13</v>
      </c>
      <c r="N548" s="105" t="str">
        <f>VLOOKUP(M548,CAC!$A$2:$B$198,2,FALSE)</f>
        <v>HMOLG</v>
      </c>
    </row>
    <row r="549" spans="5:14" x14ac:dyDescent="0.25">
      <c r="E549" s="83">
        <v>201703</v>
      </c>
      <c r="F549" s="82" t="s">
        <v>563</v>
      </c>
      <c r="G549" s="82" t="s">
        <v>365</v>
      </c>
      <c r="H549" s="82" t="s">
        <v>367</v>
      </c>
      <c r="I549" s="95">
        <v>0</v>
      </c>
      <c r="K549" s="105" t="str">
        <f t="shared" si="25"/>
        <v>0003-1001-0022</v>
      </c>
      <c r="L549" s="105" t="str">
        <f>VLOOKUP(K549,COA!$A$3:$B$337,2,FALSE)</f>
        <v>V54</v>
      </c>
      <c r="M549" s="105" t="str">
        <f t="shared" si="26"/>
        <v>V54</v>
      </c>
      <c r="N549" s="105" t="str">
        <f>VLOOKUP(M549,CAC!$A$2:$B$198,2,FALSE)</f>
        <v>PPOIFP</v>
      </c>
    </row>
    <row r="550" spans="5:14" x14ac:dyDescent="0.25">
      <c r="E550" s="83">
        <v>201711</v>
      </c>
      <c r="F550" s="82" t="s">
        <v>506</v>
      </c>
      <c r="G550" s="82" t="s">
        <v>354</v>
      </c>
      <c r="H550" s="82" t="s">
        <v>592</v>
      </c>
      <c r="I550" s="95">
        <v>0</v>
      </c>
      <c r="K550" s="105" t="str">
        <f t="shared" si="25"/>
        <v>0013-1013-0035</v>
      </c>
      <c r="L550" s="105" t="str">
        <f>VLOOKUP(K550,COA!$A$3:$B$337,2,FALSE)</f>
        <v>N44</v>
      </c>
      <c r="M550" s="105" t="str">
        <f t="shared" si="26"/>
        <v>N44</v>
      </c>
      <c r="N550" s="105" t="e">
        <f>VLOOKUP(M550,CAC!$A$2:$B$198,2,FALSE)</f>
        <v>#N/A</v>
      </c>
    </row>
    <row r="551" spans="5:14" x14ac:dyDescent="0.25">
      <c r="E551" s="83">
        <v>201512</v>
      </c>
      <c r="F551" s="82" t="s">
        <v>345</v>
      </c>
      <c r="G551" s="82" t="s">
        <v>348</v>
      </c>
      <c r="H551" s="82" t="s">
        <v>349</v>
      </c>
      <c r="I551" s="95">
        <v>20208.09</v>
      </c>
      <c r="K551" s="105" t="str">
        <f t="shared" si="25"/>
        <v>0011-1010-0017</v>
      </c>
      <c r="L551" s="105" t="str">
        <f>VLOOKUP(K551,COA!$A$3:$B$337,2,FALSE)</f>
        <v>S11</v>
      </c>
      <c r="M551" s="105" t="str">
        <f t="shared" si="26"/>
        <v>S11</v>
      </c>
      <c r="N551" s="105" t="str">
        <f>VLOOKUP(M551,CAC!$A$2:$B$198,2,FALSE)</f>
        <v>HMOSG</v>
      </c>
    </row>
    <row r="552" spans="5:14" x14ac:dyDescent="0.25">
      <c r="E552" s="83">
        <v>201502</v>
      </c>
      <c r="F552" s="82" t="s">
        <v>345</v>
      </c>
      <c r="G552" s="82" t="s">
        <v>346</v>
      </c>
      <c r="H552" s="82" t="s">
        <v>347</v>
      </c>
      <c r="I552" s="95">
        <v>10</v>
      </c>
      <c r="K552" s="105" t="str">
        <f t="shared" si="25"/>
        <v>0011-1014-0039</v>
      </c>
      <c r="L552" s="105" t="str">
        <f>VLOOKUP(K552,COA!$A$3:$B$337,2,FALSE)</f>
        <v>K24</v>
      </c>
      <c r="M552" s="105" t="str">
        <f t="shared" si="26"/>
        <v>K24</v>
      </c>
      <c r="N552" s="105" t="str">
        <f>VLOOKUP(M552,CAC!$A$2:$B$198,2,FALSE)</f>
        <v>HMFLEX</v>
      </c>
    </row>
    <row r="553" spans="5:14" x14ac:dyDescent="0.25">
      <c r="E553" s="83">
        <v>201510</v>
      </c>
      <c r="F553" s="82" t="s">
        <v>345</v>
      </c>
      <c r="G553" s="82" t="s">
        <v>348</v>
      </c>
      <c r="H553" s="82" t="s">
        <v>353</v>
      </c>
      <c r="I553" s="95">
        <v>364</v>
      </c>
      <c r="K553" s="105" t="str">
        <f t="shared" si="25"/>
        <v>0011-1010-0023</v>
      </c>
      <c r="L553" s="105" t="str">
        <f>VLOOKUP(K553,COA!$A$3:$B$337,2,FALSE)</f>
        <v>S13</v>
      </c>
      <c r="M553" s="105" t="str">
        <f t="shared" si="26"/>
        <v>S13</v>
      </c>
      <c r="N553" s="105" t="str">
        <f>VLOOKUP(M553,CAC!$A$2:$B$198,2,FALSE)</f>
        <v>HMOSG</v>
      </c>
    </row>
    <row r="554" spans="5:14" x14ac:dyDescent="0.25">
      <c r="E554" s="83">
        <v>201706</v>
      </c>
      <c r="F554" s="82" t="s">
        <v>552</v>
      </c>
      <c r="G554" s="82" t="s">
        <v>356</v>
      </c>
      <c r="H554" s="82" t="s">
        <v>672</v>
      </c>
      <c r="I554" s="95">
        <v>0</v>
      </c>
      <c r="K554" s="105" t="str">
        <f t="shared" si="25"/>
        <v>0027-1002-0058</v>
      </c>
      <c r="L554" s="105" t="str">
        <f>VLOOKUP(K554,COA!$A$3:$B$337,2,FALSE)</f>
        <v>L45</v>
      </c>
      <c r="M554" s="105" t="str">
        <f t="shared" si="26"/>
        <v>L45</v>
      </c>
      <c r="N554" s="105" t="e">
        <f>VLOOKUP(M554,CAC!$A$2:$B$198,2,FALSE)</f>
        <v>#N/A</v>
      </c>
    </row>
    <row r="555" spans="5:14" x14ac:dyDescent="0.25">
      <c r="E555" s="83">
        <v>201603</v>
      </c>
      <c r="F555" s="82" t="s">
        <v>413</v>
      </c>
      <c r="G555" s="82" t="s">
        <v>348</v>
      </c>
      <c r="H555" s="82" t="s">
        <v>349</v>
      </c>
      <c r="I555" s="95">
        <v>0</v>
      </c>
      <c r="K555" s="105" t="str">
        <f t="shared" si="25"/>
        <v>0008-1010-0017</v>
      </c>
      <c r="L555" s="105" t="str">
        <f>VLOOKUP(K555,COA!$A$3:$B$337,2,FALSE)</f>
        <v>C94</v>
      </c>
      <c r="M555" s="105" t="str">
        <f t="shared" si="26"/>
        <v>C94</v>
      </c>
      <c r="N555" s="105" t="str">
        <f>VLOOKUP(M555,CAC!$A$2:$B$198,2,FALSE)</f>
        <v>DOISG</v>
      </c>
    </row>
    <row r="556" spans="5:14" x14ac:dyDescent="0.25">
      <c r="E556" s="83">
        <v>201712</v>
      </c>
      <c r="F556" s="82" t="s">
        <v>563</v>
      </c>
      <c r="G556" s="82" t="s">
        <v>355</v>
      </c>
      <c r="H556" s="82" t="s">
        <v>344</v>
      </c>
      <c r="I556" s="95">
        <v>0</v>
      </c>
      <c r="K556" s="105" t="str">
        <f t="shared" si="25"/>
        <v>0003-1006-0012</v>
      </c>
      <c r="L556" s="105" t="str">
        <f>VLOOKUP(K556,COA!$A$3:$B$337,2,FALSE)</f>
        <v>L52</v>
      </c>
      <c r="M556" s="105" t="str">
        <f t="shared" si="26"/>
        <v>L52</v>
      </c>
      <c r="N556" s="105" t="str">
        <f>VLOOKUP(M556,CAC!$A$2:$B$198,2,FALSE)</f>
        <v>PPOLG</v>
      </c>
    </row>
    <row r="557" spans="5:14" x14ac:dyDescent="0.25">
      <c r="E557" s="83">
        <v>201601</v>
      </c>
      <c r="F557" s="82" t="s">
        <v>345</v>
      </c>
      <c r="G557" s="82" t="s">
        <v>362</v>
      </c>
      <c r="H557" s="82" t="s">
        <v>363</v>
      </c>
      <c r="I557" s="95">
        <v>38446.800000000003</v>
      </c>
      <c r="K557" s="105" t="str">
        <f t="shared" si="25"/>
        <v>0011-1008-0054</v>
      </c>
      <c r="L557" s="105" t="str">
        <f>VLOOKUP(K557,COA!$A$3:$B$337,2,FALSE)</f>
        <v>P23</v>
      </c>
      <c r="M557" s="105" t="str">
        <f t="shared" si="26"/>
        <v>P23</v>
      </c>
      <c r="N557" s="105" t="str">
        <f>VLOOKUP(M557,CAC!$A$2:$B$198,2,FALSE)</f>
        <v>HMOPERN</v>
      </c>
    </row>
    <row r="558" spans="5:14" x14ac:dyDescent="0.25">
      <c r="E558" s="83">
        <v>201608</v>
      </c>
      <c r="F558" s="82" t="s">
        <v>549</v>
      </c>
      <c r="G558" s="82" t="s">
        <v>352</v>
      </c>
      <c r="H558" s="82" t="s">
        <v>672</v>
      </c>
      <c r="I558" s="95">
        <v>0</v>
      </c>
      <c r="K558" s="105" t="str">
        <f t="shared" si="25"/>
        <v>0026-1004-0058</v>
      </c>
      <c r="L558" s="105" t="str">
        <f>VLOOKUP(K558,COA!$A$3:$B$337,2,FALSE)</f>
        <v>L44</v>
      </c>
      <c r="M558" s="105" t="str">
        <f t="shared" si="26"/>
        <v>L44</v>
      </c>
      <c r="N558" s="105" t="e">
        <f>VLOOKUP(M558,CAC!$A$2:$B$198,2,FALSE)</f>
        <v>#N/A</v>
      </c>
    </row>
    <row r="559" spans="5:14" x14ac:dyDescent="0.25">
      <c r="E559" s="83">
        <v>201608</v>
      </c>
      <c r="F559" s="82" t="s">
        <v>345</v>
      </c>
      <c r="G559" s="82" t="s">
        <v>362</v>
      </c>
      <c r="H559" s="82" t="s">
        <v>364</v>
      </c>
      <c r="I559" s="95">
        <v>37846.81</v>
      </c>
      <c r="K559" s="105" t="str">
        <f t="shared" si="25"/>
        <v>0011-1008-0037</v>
      </c>
      <c r="L559" s="105" t="str">
        <f>VLOOKUP(K559,COA!$A$3:$B$337,2,FALSE)</f>
        <v>P12</v>
      </c>
      <c r="M559" s="105" t="str">
        <f t="shared" si="26"/>
        <v>P12</v>
      </c>
      <c r="N559" s="105" t="str">
        <f>VLOOKUP(M559,CAC!$A$2:$B$198,2,FALSE)</f>
        <v>HMOPERA</v>
      </c>
    </row>
    <row r="560" spans="5:14" x14ac:dyDescent="0.25">
      <c r="E560" s="83">
        <v>201801</v>
      </c>
      <c r="F560" s="82" t="s">
        <v>349</v>
      </c>
      <c r="G560" s="82" t="s">
        <v>369</v>
      </c>
      <c r="H560" s="82" t="s">
        <v>344</v>
      </c>
      <c r="I560" s="95">
        <v>43067</v>
      </c>
      <c r="K560" s="105" t="str">
        <f t="shared" si="25"/>
        <v>0017-1009-0012</v>
      </c>
      <c r="L560" s="105" t="str">
        <f>VLOOKUP(K560,COA!$A$3:$B$337,2,FALSE)</f>
        <v>R12</v>
      </c>
      <c r="M560" s="105" t="str">
        <f t="shared" si="26"/>
        <v>R12</v>
      </c>
      <c r="N560" s="105" t="str">
        <f>VLOOKUP(M560,CAC!$A$2:$B$198,2,FALSE)</f>
        <v>HMOMM</v>
      </c>
    </row>
    <row r="561" spans="5:14" x14ac:dyDescent="0.25">
      <c r="E561" s="83">
        <v>201509</v>
      </c>
      <c r="F561" s="82" t="s">
        <v>344</v>
      </c>
      <c r="G561" s="82" t="s">
        <v>355</v>
      </c>
      <c r="H561" s="82" t="s">
        <v>344</v>
      </c>
      <c r="I561" s="95">
        <v>246</v>
      </c>
      <c r="K561" s="105" t="str">
        <f t="shared" si="25"/>
        <v>0012-1006-0012</v>
      </c>
      <c r="L561" s="105" t="str">
        <f>VLOOKUP(K561,COA!$A$3:$B$337,2,FALSE)</f>
        <v>L16</v>
      </c>
      <c r="M561" s="105" t="str">
        <f t="shared" si="26"/>
        <v>L16</v>
      </c>
      <c r="N561" s="105" t="str">
        <f>VLOOKUP(M561,CAC!$A$2:$B$198,2,FALSE)</f>
        <v>HMOLG</v>
      </c>
    </row>
    <row r="562" spans="5:14" x14ac:dyDescent="0.25">
      <c r="E562" s="83">
        <v>201712</v>
      </c>
      <c r="F562" s="82" t="s">
        <v>506</v>
      </c>
      <c r="G562" s="82" t="s">
        <v>361</v>
      </c>
      <c r="H562" s="82" t="s">
        <v>592</v>
      </c>
      <c r="I562" s="95">
        <v>0</v>
      </c>
      <c r="K562" s="105" t="str">
        <f t="shared" si="25"/>
        <v>0013-1003-0035</v>
      </c>
      <c r="L562" s="105" t="str">
        <f>VLOOKUP(K562,COA!$A$3:$B$337,2,FALSE)</f>
        <v>N32</v>
      </c>
      <c r="M562" s="105" t="str">
        <f t="shared" si="26"/>
        <v>N32</v>
      </c>
      <c r="N562" s="105" t="e">
        <f>VLOOKUP(M562,CAC!$A$2:$B$198,2,FALSE)</f>
        <v>#N/A</v>
      </c>
    </row>
    <row r="563" spans="5:14" x14ac:dyDescent="0.25">
      <c r="E563" s="83">
        <v>201512</v>
      </c>
      <c r="F563" s="82" t="s">
        <v>746</v>
      </c>
      <c r="G563" s="82" t="s">
        <v>356</v>
      </c>
      <c r="H563" s="82" t="s">
        <v>344</v>
      </c>
      <c r="I563" s="95">
        <v>120</v>
      </c>
      <c r="K563" s="105" t="str">
        <f t="shared" si="25"/>
        <v>0016-1002-0012</v>
      </c>
      <c r="L563" s="105" t="str">
        <f>VLOOKUP(K563,COA!$A$3:$B$337,2,FALSE)</f>
        <v>R18</v>
      </c>
      <c r="M563" s="105" t="str">
        <f t="shared" si="26"/>
        <v>R18</v>
      </c>
      <c r="N563" s="105" t="str">
        <f>VLOOKUP(M563,CAC!$A$2:$B$198,2,FALSE)</f>
        <v>HMOMG</v>
      </c>
    </row>
    <row r="564" spans="5:14" x14ac:dyDescent="0.25">
      <c r="E564" s="83">
        <v>201612</v>
      </c>
      <c r="F564" s="82" t="s">
        <v>746</v>
      </c>
      <c r="G564" s="82" t="s">
        <v>350</v>
      </c>
      <c r="H564" s="82" t="s">
        <v>764</v>
      </c>
      <c r="I564" s="95">
        <v>5</v>
      </c>
      <c r="K564" s="105" t="str">
        <f t="shared" si="25"/>
        <v>0016-1012-0064</v>
      </c>
      <c r="L564" s="105" t="str">
        <f>VLOOKUP(K564,COA!$A$3:$B$337,2,FALSE)</f>
        <v>R25</v>
      </c>
      <c r="M564" s="105" t="str">
        <f t="shared" si="26"/>
        <v>R25</v>
      </c>
      <c r="N564" s="105" t="str">
        <f>VLOOKUP(M564,CAC!$A$2:$B$198,2,FALSE)</f>
        <v>HMOMG</v>
      </c>
    </row>
    <row r="565" spans="5:14" x14ac:dyDescent="0.25">
      <c r="E565" s="83">
        <v>201604</v>
      </c>
      <c r="F565" s="82" t="s">
        <v>345</v>
      </c>
      <c r="G565" s="82" t="s">
        <v>361</v>
      </c>
      <c r="H565" s="82" t="s">
        <v>344</v>
      </c>
      <c r="I565" s="95">
        <v>4092.33</v>
      </c>
      <c r="K565" s="105" t="str">
        <f t="shared" si="25"/>
        <v>0011-1003-0012</v>
      </c>
      <c r="L565" s="105" t="str">
        <f>VLOOKUP(K565,COA!$A$3:$B$337,2,FALSE)</f>
        <v>N16</v>
      </c>
      <c r="M565" s="105" t="str">
        <f t="shared" si="26"/>
        <v>N16</v>
      </c>
      <c r="N565" s="105" t="str">
        <f>VLOOKUP(M565,CAC!$A$2:$B$198,2,FALSE)</f>
        <v>HMOPMR</v>
      </c>
    </row>
    <row r="566" spans="5:14" x14ac:dyDescent="0.25">
      <c r="E566" s="83">
        <v>201602</v>
      </c>
      <c r="F566" s="82" t="s">
        <v>349</v>
      </c>
      <c r="G566" s="82" t="s">
        <v>369</v>
      </c>
      <c r="H566" s="82" t="s">
        <v>344</v>
      </c>
      <c r="I566" s="95">
        <v>39152.94</v>
      </c>
      <c r="K566" s="105" t="str">
        <f t="shared" si="25"/>
        <v>0017-1009-0012</v>
      </c>
      <c r="L566" s="105" t="str">
        <f>VLOOKUP(K566,COA!$A$3:$B$337,2,FALSE)</f>
        <v>R12</v>
      </c>
      <c r="M566" s="105" t="str">
        <f t="shared" si="26"/>
        <v>R12</v>
      </c>
      <c r="N566" s="105" t="str">
        <f>VLOOKUP(M566,CAC!$A$2:$B$198,2,FALSE)</f>
        <v>HMOMM</v>
      </c>
    </row>
    <row r="567" spans="5:14" x14ac:dyDescent="0.25">
      <c r="E567" s="83">
        <v>201609</v>
      </c>
      <c r="F567" s="82" t="s">
        <v>344</v>
      </c>
      <c r="G567" s="82" t="s">
        <v>356</v>
      </c>
      <c r="H567" s="82" t="s">
        <v>344</v>
      </c>
      <c r="I567" s="95">
        <v>4124</v>
      </c>
      <c r="K567" s="105" t="str">
        <f t="shared" si="25"/>
        <v>0012-1002-0012</v>
      </c>
      <c r="L567" s="105" t="str">
        <f>VLOOKUP(K567,COA!$A$3:$B$337,2,FALSE)</f>
        <v>F22</v>
      </c>
      <c r="M567" s="105" t="str">
        <f t="shared" si="26"/>
        <v>F22</v>
      </c>
      <c r="N567" s="105" t="str">
        <f>VLOOKUP(M567,CAC!$A$2:$B$198,2,FALSE)</f>
        <v>HMOPMR</v>
      </c>
    </row>
    <row r="568" spans="5:14" x14ac:dyDescent="0.25">
      <c r="E568" s="83">
        <v>201702</v>
      </c>
      <c r="F568" s="82" t="s">
        <v>345</v>
      </c>
      <c r="G568" s="82" t="s">
        <v>365</v>
      </c>
      <c r="H568" s="82" t="s">
        <v>366</v>
      </c>
      <c r="I568" s="95">
        <v>912.11</v>
      </c>
      <c r="K568" s="105" t="str">
        <f t="shared" si="25"/>
        <v>0011-1001-0021</v>
      </c>
      <c r="L568" s="105" t="str">
        <f>VLOOKUP(K568,COA!$A$3:$B$337,2,FALSE)</f>
        <v>V13</v>
      </c>
      <c r="M568" s="105" t="str">
        <f t="shared" si="26"/>
        <v>V13</v>
      </c>
      <c r="N568" s="105" t="str">
        <f>VLOOKUP(M568,CAC!$A$2:$B$198,2,FALSE)</f>
        <v>HMOIFP</v>
      </c>
    </row>
    <row r="569" spans="5:14" x14ac:dyDescent="0.25">
      <c r="E569" s="83">
        <v>201511</v>
      </c>
      <c r="F569" s="82" t="s">
        <v>344</v>
      </c>
      <c r="G569" s="82" t="s">
        <v>350</v>
      </c>
      <c r="H569" s="82" t="s">
        <v>344</v>
      </c>
      <c r="I569" s="95">
        <v>123</v>
      </c>
      <c r="K569" s="105" t="str">
        <f t="shared" si="25"/>
        <v>0012-1012-0012</v>
      </c>
      <c r="L569" s="105" t="str">
        <f>VLOOKUP(K569,COA!$A$3:$B$337,2,FALSE)</f>
        <v>K12</v>
      </c>
      <c r="M569" s="105" t="str">
        <f t="shared" si="26"/>
        <v>K12</v>
      </c>
      <c r="N569" s="105" t="str">
        <f>VLOOKUP(M569,CAC!$A$2:$B$198,2,FALSE)</f>
        <v>HMOPMR</v>
      </c>
    </row>
    <row r="570" spans="5:14" x14ac:dyDescent="0.25">
      <c r="E570" s="83">
        <v>201704</v>
      </c>
      <c r="F570" s="82" t="s">
        <v>563</v>
      </c>
      <c r="G570" s="82" t="s">
        <v>352</v>
      </c>
      <c r="H570" s="82" t="s">
        <v>653</v>
      </c>
      <c r="I570" s="95">
        <v>0</v>
      </c>
      <c r="K570" s="105" t="str">
        <f t="shared" si="25"/>
        <v>0003-1004-0047</v>
      </c>
      <c r="L570" s="105" t="str">
        <f>VLOOKUP(K570,COA!$A$3:$B$337,2,FALSE)</f>
        <v>L57</v>
      </c>
      <c r="M570" s="105" t="str">
        <f t="shared" si="26"/>
        <v>L57</v>
      </c>
      <c r="N570" s="105" t="str">
        <f>VLOOKUP(M570,CAC!$A$2:$B$198,2,FALSE)</f>
        <v>PPOLG</v>
      </c>
    </row>
    <row r="571" spans="5:14" x14ac:dyDescent="0.25">
      <c r="E571" s="83">
        <v>201704</v>
      </c>
      <c r="F571" s="82" t="s">
        <v>344</v>
      </c>
      <c r="G571" s="82" t="s">
        <v>354</v>
      </c>
      <c r="H571" s="82" t="s">
        <v>344</v>
      </c>
      <c r="I571" s="95">
        <v>286</v>
      </c>
      <c r="K571" s="105" t="str">
        <f t="shared" si="25"/>
        <v>0012-1013-0012</v>
      </c>
      <c r="L571" s="105" t="str">
        <f>VLOOKUP(K571,COA!$A$3:$B$337,2,FALSE)</f>
        <v>N14</v>
      </c>
      <c r="M571" s="105" t="str">
        <f t="shared" si="26"/>
        <v>N14</v>
      </c>
      <c r="N571" s="105" t="str">
        <f>VLOOKUP(M571,CAC!$A$2:$B$198,2,FALSE)</f>
        <v>HMOPMR</v>
      </c>
    </row>
    <row r="572" spans="5:14" x14ac:dyDescent="0.25">
      <c r="E572" s="83">
        <v>201509</v>
      </c>
      <c r="F572" s="82" t="s">
        <v>524</v>
      </c>
      <c r="G572" s="82" t="s">
        <v>359</v>
      </c>
      <c r="H572" s="82" t="s">
        <v>672</v>
      </c>
      <c r="I572" s="95">
        <v>0</v>
      </c>
      <c r="K572" s="105" t="str">
        <f t="shared" si="25"/>
        <v>0025-1005-0058</v>
      </c>
      <c r="L572" s="105" t="str">
        <f>VLOOKUP(K572,COA!$A$3:$B$337,2,FALSE)</f>
        <v>N46</v>
      </c>
      <c r="M572" s="105" t="str">
        <f t="shared" si="26"/>
        <v>N46</v>
      </c>
      <c r="N572" s="105" t="e">
        <f>VLOOKUP(M572,CAC!$A$2:$B$198,2,FALSE)</f>
        <v>#N/A</v>
      </c>
    </row>
    <row r="573" spans="5:14" x14ac:dyDescent="0.25">
      <c r="E573" s="83">
        <v>201512</v>
      </c>
      <c r="F573" s="82" t="s">
        <v>524</v>
      </c>
      <c r="G573" s="82" t="s">
        <v>359</v>
      </c>
      <c r="H573" s="82" t="s">
        <v>672</v>
      </c>
      <c r="I573" s="95">
        <v>0</v>
      </c>
      <c r="K573" s="105" t="str">
        <f t="shared" si="25"/>
        <v>0025-1005-0058</v>
      </c>
      <c r="L573" s="105" t="str">
        <f>VLOOKUP(K573,COA!$A$3:$B$337,2,FALSE)</f>
        <v>N46</v>
      </c>
      <c r="M573" s="105" t="str">
        <f t="shared" si="26"/>
        <v>N46</v>
      </c>
      <c r="N573" s="105" t="e">
        <f>VLOOKUP(M573,CAC!$A$2:$B$198,2,FALSE)</f>
        <v>#N/A</v>
      </c>
    </row>
    <row r="574" spans="5:14" x14ac:dyDescent="0.25">
      <c r="E574" s="83">
        <v>201506</v>
      </c>
      <c r="F574" s="82" t="s">
        <v>413</v>
      </c>
      <c r="G574" s="82" t="s">
        <v>359</v>
      </c>
      <c r="H574" s="82" t="s">
        <v>344</v>
      </c>
      <c r="I574" s="95">
        <v>0</v>
      </c>
      <c r="K574" s="105" t="str">
        <f t="shared" si="25"/>
        <v>0008-1005-0012</v>
      </c>
      <c r="L574" s="105" t="str">
        <f>VLOOKUP(K574,COA!$A$3:$B$337,2,FALSE)</f>
        <v>C73</v>
      </c>
      <c r="M574" s="105" t="str">
        <f t="shared" si="26"/>
        <v>C73</v>
      </c>
      <c r="N574" s="105" t="str">
        <f>VLOOKUP(M574,CAC!$A$2:$B$198,2,FALSE)</f>
        <v>DOILG</v>
      </c>
    </row>
    <row r="575" spans="5:14" x14ac:dyDescent="0.25">
      <c r="E575" s="83">
        <v>201709</v>
      </c>
      <c r="F575" s="82" t="s">
        <v>344</v>
      </c>
      <c r="G575" s="82" t="s">
        <v>361</v>
      </c>
      <c r="H575" s="82" t="s">
        <v>344</v>
      </c>
      <c r="I575" s="95">
        <v>9688.8700000000008</v>
      </c>
      <c r="K575" s="105" t="str">
        <f t="shared" si="25"/>
        <v>0012-1003-0012</v>
      </c>
      <c r="L575" s="105" t="str">
        <f>VLOOKUP(K575,COA!$A$3:$B$337,2,FALSE)</f>
        <v>N15</v>
      </c>
      <c r="M575" s="105" t="str">
        <f t="shared" si="26"/>
        <v>N15</v>
      </c>
      <c r="N575" s="105" t="str">
        <f>VLOOKUP(M575,CAC!$A$2:$B$198,2,FALSE)</f>
        <v>HMOPMR</v>
      </c>
    </row>
    <row r="576" spans="5:14" x14ac:dyDescent="0.25">
      <c r="E576" s="83">
        <v>201512</v>
      </c>
      <c r="F576" s="82" t="s">
        <v>345</v>
      </c>
      <c r="G576" s="82" t="s">
        <v>352</v>
      </c>
      <c r="H576" s="82" t="s">
        <v>653</v>
      </c>
      <c r="I576" s="95">
        <v>0</v>
      </c>
      <c r="K576" s="105" t="str">
        <f t="shared" si="25"/>
        <v>0011-1004-0047</v>
      </c>
      <c r="L576" s="105" t="str">
        <f>VLOOKUP(K576,COA!$A$3:$B$337,2,FALSE)</f>
        <v>L17</v>
      </c>
      <c r="M576" s="105" t="str">
        <f t="shared" si="26"/>
        <v>L17</v>
      </c>
      <c r="N576" s="105" t="str">
        <f>VLOOKUP(M576,CAC!$A$2:$B$198,2,FALSE)</f>
        <v>HMOLG</v>
      </c>
    </row>
    <row r="577" spans="5:14" x14ac:dyDescent="0.25">
      <c r="E577" s="83">
        <v>201801</v>
      </c>
      <c r="F577" s="82" t="s">
        <v>345</v>
      </c>
      <c r="G577" s="82" t="s">
        <v>369</v>
      </c>
      <c r="H577" s="82" t="s">
        <v>353</v>
      </c>
      <c r="I577" s="95">
        <v>1</v>
      </c>
      <c r="K577" s="105" t="str">
        <f t="shared" si="25"/>
        <v>0011-1009-0023</v>
      </c>
      <c r="L577" s="105" t="e">
        <f>VLOOKUP(K577,COA!$A$3:$B$337,2,FALSE)</f>
        <v>#N/A</v>
      </c>
      <c r="M577" s="105" t="str">
        <f t="shared" si="26"/>
        <v>XXX</v>
      </c>
      <c r="N577" s="105" t="str">
        <f>VLOOKUP(M577,CAC!$A$2:$B$198,2,FALSE)</f>
        <v>XXX</v>
      </c>
    </row>
    <row r="578" spans="5:14" x14ac:dyDescent="0.25">
      <c r="E578" s="83">
        <v>201509</v>
      </c>
      <c r="F578" s="82" t="s">
        <v>563</v>
      </c>
      <c r="G578" s="82" t="s">
        <v>365</v>
      </c>
      <c r="H578" s="82" t="s">
        <v>344</v>
      </c>
      <c r="I578" s="95">
        <v>0</v>
      </c>
      <c r="K578" s="105" t="str">
        <f t="shared" si="25"/>
        <v>0003-1001-0012</v>
      </c>
      <c r="L578" s="105" t="str">
        <f>VLOOKUP(K578,COA!$A$3:$B$337,2,FALSE)</f>
        <v>V51</v>
      </c>
      <c r="M578" s="105" t="str">
        <f t="shared" si="26"/>
        <v>V51</v>
      </c>
      <c r="N578" s="105" t="str">
        <f>VLOOKUP(M578,CAC!$A$2:$B$198,2,FALSE)</f>
        <v>PPOIFP</v>
      </c>
    </row>
    <row r="579" spans="5:14" x14ac:dyDescent="0.25">
      <c r="E579" s="83">
        <v>201703</v>
      </c>
      <c r="F579" s="82" t="s">
        <v>345</v>
      </c>
      <c r="G579" s="82" t="s">
        <v>362</v>
      </c>
      <c r="H579" s="82" t="s">
        <v>364</v>
      </c>
      <c r="I579" s="95">
        <v>47814.35</v>
      </c>
      <c r="K579" s="105" t="str">
        <f t="shared" si="25"/>
        <v>0011-1008-0037</v>
      </c>
      <c r="L579" s="105" t="str">
        <f>VLOOKUP(K579,COA!$A$3:$B$337,2,FALSE)</f>
        <v>P12</v>
      </c>
      <c r="M579" s="105" t="str">
        <f t="shared" si="26"/>
        <v>P12</v>
      </c>
      <c r="N579" s="105" t="str">
        <f>VLOOKUP(M579,CAC!$A$2:$B$198,2,FALSE)</f>
        <v>HMOPERA</v>
      </c>
    </row>
    <row r="580" spans="5:14" x14ac:dyDescent="0.25">
      <c r="E580" s="83">
        <v>201705</v>
      </c>
      <c r="F580" s="82" t="s">
        <v>563</v>
      </c>
      <c r="G580" s="82" t="s">
        <v>356</v>
      </c>
      <c r="H580" s="82" t="s">
        <v>344</v>
      </c>
      <c r="I580" s="95">
        <v>0</v>
      </c>
      <c r="K580" s="105" t="str">
        <f t="shared" ref="K580:K643" si="27">F580&amp;"-"&amp;G580&amp;"-"&amp;H580</f>
        <v>0003-1002-0012</v>
      </c>
      <c r="L580" s="105" t="str">
        <f>VLOOKUP(K580,COA!$A$3:$B$337,2,FALSE)</f>
        <v>F61</v>
      </c>
      <c r="M580" s="105" t="str">
        <f t="shared" ref="M580:M643" si="28">IF(ISNA(L580),"XXX",L580)</f>
        <v>F61</v>
      </c>
      <c r="N580" s="105" t="str">
        <f>VLOOKUP(M580,CAC!$A$2:$B$198,2,FALSE)</f>
        <v>PPOPMR</v>
      </c>
    </row>
    <row r="581" spans="5:14" x14ac:dyDescent="0.25">
      <c r="E581" s="83">
        <v>201504</v>
      </c>
      <c r="F581" s="82" t="s">
        <v>345</v>
      </c>
      <c r="G581" s="82" t="s">
        <v>354</v>
      </c>
      <c r="H581" s="82" t="s">
        <v>344</v>
      </c>
      <c r="I581" s="95">
        <v>89</v>
      </c>
      <c r="K581" s="105" t="str">
        <f t="shared" si="27"/>
        <v>0011-1013-0012</v>
      </c>
      <c r="L581" s="105" t="str">
        <f>VLOOKUP(K581,COA!$A$3:$B$337,2,FALSE)</f>
        <v>N20</v>
      </c>
      <c r="M581" s="105" t="str">
        <f t="shared" si="28"/>
        <v>N20</v>
      </c>
      <c r="N581" s="105" t="str">
        <f>VLOOKUP(M581,CAC!$A$2:$B$198,2,FALSE)</f>
        <v>HMOPMR</v>
      </c>
    </row>
    <row r="582" spans="5:14" x14ac:dyDescent="0.25">
      <c r="E582" s="83">
        <v>201511</v>
      </c>
      <c r="F582" s="82" t="s">
        <v>563</v>
      </c>
      <c r="G582" s="82" t="s">
        <v>365</v>
      </c>
      <c r="H582" s="82" t="s">
        <v>411</v>
      </c>
      <c r="I582" s="95">
        <v>0</v>
      </c>
      <c r="K582" s="105" t="str">
        <f t="shared" si="27"/>
        <v>0003-1001-0007</v>
      </c>
      <c r="L582" s="105" t="str">
        <f>VLOOKUP(K582,COA!$A$3:$B$337,2,FALSE)</f>
        <v>V52</v>
      </c>
      <c r="M582" s="105" t="str">
        <f t="shared" si="28"/>
        <v>V52</v>
      </c>
      <c r="N582" s="105" t="str">
        <f>VLOOKUP(M582,CAC!$A$2:$B$198,2,FALSE)</f>
        <v>PPOIFP</v>
      </c>
    </row>
    <row r="583" spans="5:14" x14ac:dyDescent="0.25">
      <c r="E583" s="83">
        <v>201503</v>
      </c>
      <c r="F583" s="82" t="s">
        <v>413</v>
      </c>
      <c r="G583" s="82" t="s">
        <v>365</v>
      </c>
      <c r="H583" s="82" t="s">
        <v>411</v>
      </c>
      <c r="I583" s="95">
        <v>0</v>
      </c>
      <c r="K583" s="105" t="str">
        <f t="shared" si="27"/>
        <v>0008-1001-0007</v>
      </c>
      <c r="L583" s="105" t="str">
        <f>VLOOKUP(K583,COA!$A$3:$B$337,2,FALSE)</f>
        <v>C99</v>
      </c>
      <c r="M583" s="105" t="str">
        <f t="shared" si="28"/>
        <v>C99</v>
      </c>
      <c r="N583" s="105" t="str">
        <f>VLOOKUP(M583,CAC!$A$2:$B$198,2,FALSE)</f>
        <v>DOIIFP</v>
      </c>
    </row>
    <row r="584" spans="5:14" x14ac:dyDescent="0.25">
      <c r="E584" s="83">
        <v>201507</v>
      </c>
      <c r="F584" s="82" t="s">
        <v>413</v>
      </c>
      <c r="G584" s="82" t="s">
        <v>365</v>
      </c>
      <c r="H584" s="82" t="s">
        <v>411</v>
      </c>
      <c r="I584" s="95">
        <v>0</v>
      </c>
      <c r="K584" s="105" t="str">
        <f t="shared" si="27"/>
        <v>0008-1001-0007</v>
      </c>
      <c r="L584" s="105" t="str">
        <f>VLOOKUP(K584,COA!$A$3:$B$337,2,FALSE)</f>
        <v>C99</v>
      </c>
      <c r="M584" s="105" t="str">
        <f t="shared" si="28"/>
        <v>C99</v>
      </c>
      <c r="N584" s="105" t="str">
        <f>VLOOKUP(M584,CAC!$A$2:$B$198,2,FALSE)</f>
        <v>DOIIFP</v>
      </c>
    </row>
    <row r="585" spans="5:14" x14ac:dyDescent="0.25">
      <c r="E585" s="83">
        <v>201706</v>
      </c>
      <c r="F585" s="82" t="s">
        <v>345</v>
      </c>
      <c r="G585" s="82" t="s">
        <v>346</v>
      </c>
      <c r="H585" s="82" t="s">
        <v>344</v>
      </c>
      <c r="I585" s="95">
        <v>0</v>
      </c>
      <c r="K585" s="105" t="str">
        <f t="shared" si="27"/>
        <v>0011-1014-0012</v>
      </c>
      <c r="L585" s="105" t="e">
        <f>VLOOKUP(K585,COA!$A$3:$B$337,2,FALSE)</f>
        <v>#N/A</v>
      </c>
      <c r="M585" s="105" t="str">
        <f t="shared" si="28"/>
        <v>XXX</v>
      </c>
      <c r="N585" s="105" t="str">
        <f>VLOOKUP(M585,CAC!$A$2:$B$198,2,FALSE)</f>
        <v>XXX</v>
      </c>
    </row>
    <row r="586" spans="5:14" x14ac:dyDescent="0.25">
      <c r="E586" s="83">
        <v>201608</v>
      </c>
      <c r="F586" s="82" t="s">
        <v>345</v>
      </c>
      <c r="G586" s="82" t="s">
        <v>361</v>
      </c>
      <c r="H586" s="82" t="s">
        <v>344</v>
      </c>
      <c r="I586" s="95">
        <v>4149.53</v>
      </c>
      <c r="K586" s="105" t="str">
        <f t="shared" si="27"/>
        <v>0011-1003-0012</v>
      </c>
      <c r="L586" s="105" t="str">
        <f>VLOOKUP(K586,COA!$A$3:$B$337,2,FALSE)</f>
        <v>N16</v>
      </c>
      <c r="M586" s="105" t="str">
        <f t="shared" si="28"/>
        <v>N16</v>
      </c>
      <c r="N586" s="105" t="str">
        <f>VLOOKUP(M586,CAC!$A$2:$B$198,2,FALSE)</f>
        <v>HMOPMR</v>
      </c>
    </row>
    <row r="587" spans="5:14" x14ac:dyDescent="0.25">
      <c r="E587" s="83">
        <v>201708</v>
      </c>
      <c r="F587" s="82" t="s">
        <v>746</v>
      </c>
      <c r="G587" s="82" t="s">
        <v>356</v>
      </c>
      <c r="H587" s="82" t="s">
        <v>764</v>
      </c>
      <c r="I587" s="95">
        <v>641</v>
      </c>
      <c r="K587" s="105" t="str">
        <f t="shared" si="27"/>
        <v>0016-1002-0064</v>
      </c>
      <c r="L587" s="105" t="str">
        <f>VLOOKUP(K587,COA!$A$3:$B$337,2,FALSE)</f>
        <v>R25</v>
      </c>
      <c r="M587" s="105" t="str">
        <f t="shared" si="28"/>
        <v>R25</v>
      </c>
      <c r="N587" s="105" t="str">
        <f>VLOOKUP(M587,CAC!$A$2:$B$198,2,FALSE)</f>
        <v>HMOMG</v>
      </c>
    </row>
    <row r="588" spans="5:14" x14ac:dyDescent="0.25">
      <c r="E588" s="83">
        <v>201609</v>
      </c>
      <c r="F588" s="82" t="s">
        <v>413</v>
      </c>
      <c r="G588" s="82" t="s">
        <v>365</v>
      </c>
      <c r="H588" s="82" t="s">
        <v>411</v>
      </c>
      <c r="I588" s="95">
        <v>0</v>
      </c>
      <c r="K588" s="105" t="str">
        <f t="shared" si="27"/>
        <v>0008-1001-0007</v>
      </c>
      <c r="L588" s="105" t="str">
        <f>VLOOKUP(K588,COA!$A$3:$B$337,2,FALSE)</f>
        <v>C99</v>
      </c>
      <c r="M588" s="105" t="str">
        <f t="shared" si="28"/>
        <v>C99</v>
      </c>
      <c r="N588" s="105" t="str">
        <f>VLOOKUP(M588,CAC!$A$2:$B$198,2,FALSE)</f>
        <v>DOIIFP</v>
      </c>
    </row>
    <row r="589" spans="5:14" x14ac:dyDescent="0.25">
      <c r="E589" s="83">
        <v>201712</v>
      </c>
      <c r="F589" s="82" t="s">
        <v>563</v>
      </c>
      <c r="G589" s="82" t="s">
        <v>369</v>
      </c>
      <c r="H589" s="82" t="s">
        <v>353</v>
      </c>
      <c r="I589" s="95">
        <v>0</v>
      </c>
      <c r="K589" s="105" t="str">
        <f t="shared" si="27"/>
        <v>0003-1009-0023</v>
      </c>
      <c r="L589" s="105" t="e">
        <f>VLOOKUP(K589,COA!$A$3:$B$337,2,FALSE)</f>
        <v>#N/A</v>
      </c>
      <c r="M589" s="105" t="str">
        <f t="shared" si="28"/>
        <v>XXX</v>
      </c>
      <c r="N589" s="105" t="str">
        <f>VLOOKUP(M589,CAC!$A$2:$B$198,2,FALSE)</f>
        <v>XXX</v>
      </c>
    </row>
    <row r="590" spans="5:14" x14ac:dyDescent="0.25">
      <c r="E590" s="83">
        <v>201601</v>
      </c>
      <c r="F590" s="82" t="s">
        <v>563</v>
      </c>
      <c r="G590" s="82" t="s">
        <v>348</v>
      </c>
      <c r="H590" s="82" t="s">
        <v>349</v>
      </c>
      <c r="I590" s="95">
        <v>0</v>
      </c>
      <c r="K590" s="105" t="str">
        <f t="shared" si="27"/>
        <v>0003-1010-0017</v>
      </c>
      <c r="L590" s="105" t="str">
        <f>VLOOKUP(K590,COA!$A$3:$B$337,2,FALSE)</f>
        <v>S51</v>
      </c>
      <c r="M590" s="105" t="str">
        <f t="shared" si="28"/>
        <v>S51</v>
      </c>
      <c r="N590" s="105" t="str">
        <f>VLOOKUP(M590,CAC!$A$2:$B$198,2,FALSE)</f>
        <v>PPOSG</v>
      </c>
    </row>
    <row r="591" spans="5:14" x14ac:dyDescent="0.25">
      <c r="E591" s="83">
        <v>201610</v>
      </c>
      <c r="F591" s="82" t="s">
        <v>345</v>
      </c>
      <c r="G591" s="82" t="s">
        <v>362</v>
      </c>
      <c r="H591" s="82" t="s">
        <v>364</v>
      </c>
      <c r="I591" s="95">
        <v>37502.32</v>
      </c>
      <c r="K591" s="105" t="str">
        <f t="shared" si="27"/>
        <v>0011-1008-0037</v>
      </c>
      <c r="L591" s="105" t="str">
        <f>VLOOKUP(K591,COA!$A$3:$B$337,2,FALSE)</f>
        <v>P12</v>
      </c>
      <c r="M591" s="105" t="str">
        <f t="shared" si="28"/>
        <v>P12</v>
      </c>
      <c r="N591" s="105" t="str">
        <f>VLOOKUP(M591,CAC!$A$2:$B$198,2,FALSE)</f>
        <v>HMOPERA</v>
      </c>
    </row>
    <row r="592" spans="5:14" x14ac:dyDescent="0.25">
      <c r="E592" s="83">
        <v>201706</v>
      </c>
      <c r="F592" s="82" t="s">
        <v>506</v>
      </c>
      <c r="G592" s="82" t="s">
        <v>346</v>
      </c>
      <c r="H592" s="82" t="s">
        <v>592</v>
      </c>
      <c r="I592" s="95">
        <v>0</v>
      </c>
      <c r="K592" s="105" t="str">
        <f t="shared" si="27"/>
        <v>0013-1014-0035</v>
      </c>
      <c r="L592" s="105" t="str">
        <f>VLOOKUP(K592,COA!$A$3:$B$337,2,FALSE)</f>
        <v>K42</v>
      </c>
      <c r="M592" s="105" t="str">
        <f t="shared" si="28"/>
        <v>K42</v>
      </c>
      <c r="N592" s="105" t="str">
        <f>VLOOKUP(M592,CAC!$A$2:$B$198,2,FALSE)</f>
        <v>HMFLEX</v>
      </c>
    </row>
    <row r="593" spans="5:14" x14ac:dyDescent="0.25">
      <c r="E593" s="83">
        <v>201506</v>
      </c>
      <c r="F593" s="82" t="s">
        <v>506</v>
      </c>
      <c r="G593" s="82" t="s">
        <v>346</v>
      </c>
      <c r="H593" s="82" t="s">
        <v>592</v>
      </c>
      <c r="I593" s="95">
        <v>0</v>
      </c>
      <c r="K593" s="105" t="str">
        <f t="shared" si="27"/>
        <v>0013-1014-0035</v>
      </c>
      <c r="L593" s="105" t="str">
        <f>VLOOKUP(K593,COA!$A$3:$B$337,2,FALSE)</f>
        <v>K42</v>
      </c>
      <c r="M593" s="105" t="str">
        <f t="shared" si="28"/>
        <v>K42</v>
      </c>
      <c r="N593" s="105" t="str">
        <f>VLOOKUP(M593,CAC!$A$2:$B$198,2,FALSE)</f>
        <v>HMFLEX</v>
      </c>
    </row>
    <row r="594" spans="5:14" x14ac:dyDescent="0.25">
      <c r="E594" s="83">
        <v>201712</v>
      </c>
      <c r="F594" s="82" t="s">
        <v>344</v>
      </c>
      <c r="G594" s="82" t="s">
        <v>355</v>
      </c>
      <c r="H594" s="82" t="s">
        <v>344</v>
      </c>
      <c r="I594" s="95">
        <v>49</v>
      </c>
      <c r="K594" s="105" t="str">
        <f t="shared" si="27"/>
        <v>0012-1006-0012</v>
      </c>
      <c r="L594" s="105" t="str">
        <f>VLOOKUP(K594,COA!$A$3:$B$337,2,FALSE)</f>
        <v>L16</v>
      </c>
      <c r="M594" s="105" t="str">
        <f t="shared" si="28"/>
        <v>L16</v>
      </c>
      <c r="N594" s="105" t="str">
        <f>VLOOKUP(M594,CAC!$A$2:$B$198,2,FALSE)</f>
        <v>HMOLG</v>
      </c>
    </row>
    <row r="595" spans="5:14" x14ac:dyDescent="0.25">
      <c r="E595" s="83">
        <v>201708</v>
      </c>
      <c r="F595" s="82" t="s">
        <v>344</v>
      </c>
      <c r="G595" s="82" t="s">
        <v>361</v>
      </c>
      <c r="H595" s="82" t="s">
        <v>344</v>
      </c>
      <c r="I595" s="95">
        <v>9643.41</v>
      </c>
      <c r="K595" s="105" t="str">
        <f t="shared" si="27"/>
        <v>0012-1003-0012</v>
      </c>
      <c r="L595" s="105" t="str">
        <f>VLOOKUP(K595,COA!$A$3:$B$337,2,FALSE)</f>
        <v>N15</v>
      </c>
      <c r="M595" s="105" t="str">
        <f t="shared" si="28"/>
        <v>N15</v>
      </c>
      <c r="N595" s="105" t="str">
        <f>VLOOKUP(M595,CAC!$A$2:$B$198,2,FALSE)</f>
        <v>HMOPMR</v>
      </c>
    </row>
    <row r="596" spans="5:14" x14ac:dyDescent="0.25">
      <c r="E596" s="83">
        <v>201610</v>
      </c>
      <c r="F596" s="82" t="s">
        <v>506</v>
      </c>
      <c r="G596" s="82" t="s">
        <v>350</v>
      </c>
      <c r="H596" s="82" t="s">
        <v>592</v>
      </c>
      <c r="I596" s="95">
        <v>0</v>
      </c>
      <c r="K596" s="105" t="str">
        <f t="shared" si="27"/>
        <v>0013-1012-0035</v>
      </c>
      <c r="L596" s="105" t="str">
        <f>VLOOKUP(K596,COA!$A$3:$B$337,2,FALSE)</f>
        <v>K41</v>
      </c>
      <c r="M596" s="105" t="str">
        <f t="shared" si="28"/>
        <v>K41</v>
      </c>
      <c r="N596" s="105" t="e">
        <f>VLOOKUP(M596,CAC!$A$2:$B$198,2,FALSE)</f>
        <v>#N/A</v>
      </c>
    </row>
    <row r="597" spans="5:14" x14ac:dyDescent="0.25">
      <c r="E597" s="83">
        <v>201508</v>
      </c>
      <c r="F597" s="82" t="s">
        <v>563</v>
      </c>
      <c r="G597" s="82" t="s">
        <v>354</v>
      </c>
      <c r="H597" s="82" t="s">
        <v>344</v>
      </c>
      <c r="I597" s="95">
        <v>0</v>
      </c>
      <c r="K597" s="105" t="str">
        <f t="shared" si="27"/>
        <v>0003-1013-0012</v>
      </c>
      <c r="L597" s="105" t="str">
        <f>VLOOKUP(K597,COA!$A$3:$B$337,2,FALSE)</f>
        <v>N55</v>
      </c>
      <c r="M597" s="105" t="str">
        <f t="shared" si="28"/>
        <v>N55</v>
      </c>
      <c r="N597" s="105" t="str">
        <f>VLOOKUP(M597,CAC!$A$2:$B$198,2,FALSE)</f>
        <v>PPOPMR</v>
      </c>
    </row>
    <row r="598" spans="5:14" x14ac:dyDescent="0.25">
      <c r="E598" s="83">
        <v>201509</v>
      </c>
      <c r="F598" s="82" t="s">
        <v>345</v>
      </c>
      <c r="G598" s="82" t="s">
        <v>362</v>
      </c>
      <c r="H598" s="82" t="s">
        <v>363</v>
      </c>
      <c r="I598" s="95">
        <v>59328.800000000003</v>
      </c>
      <c r="K598" s="105" t="str">
        <f t="shared" si="27"/>
        <v>0011-1008-0054</v>
      </c>
      <c r="L598" s="105" t="str">
        <f>VLOOKUP(K598,COA!$A$3:$B$337,2,FALSE)</f>
        <v>P23</v>
      </c>
      <c r="M598" s="105" t="str">
        <f t="shared" si="28"/>
        <v>P23</v>
      </c>
      <c r="N598" s="105" t="str">
        <f>VLOOKUP(M598,CAC!$A$2:$B$198,2,FALSE)</f>
        <v>HMOPERN</v>
      </c>
    </row>
    <row r="599" spans="5:14" x14ac:dyDescent="0.25">
      <c r="E599" s="83">
        <v>201709</v>
      </c>
      <c r="F599" s="82" t="s">
        <v>563</v>
      </c>
      <c r="G599" s="82" t="s">
        <v>365</v>
      </c>
      <c r="H599" s="82" t="s">
        <v>344</v>
      </c>
      <c r="I599" s="95">
        <v>0</v>
      </c>
      <c r="K599" s="105" t="str">
        <f t="shared" si="27"/>
        <v>0003-1001-0012</v>
      </c>
      <c r="L599" s="105" t="str">
        <f>VLOOKUP(K599,COA!$A$3:$B$337,2,FALSE)</f>
        <v>V51</v>
      </c>
      <c r="M599" s="105" t="str">
        <f t="shared" si="28"/>
        <v>V51</v>
      </c>
      <c r="N599" s="105" t="str">
        <f>VLOOKUP(M599,CAC!$A$2:$B$198,2,FALSE)</f>
        <v>PPOIFP</v>
      </c>
    </row>
    <row r="600" spans="5:14" x14ac:dyDescent="0.25">
      <c r="E600" s="83">
        <v>201510</v>
      </c>
      <c r="F600" s="82" t="s">
        <v>563</v>
      </c>
      <c r="G600" s="82" t="s">
        <v>350</v>
      </c>
      <c r="H600" s="82" t="s">
        <v>360</v>
      </c>
      <c r="I600" s="95">
        <v>0</v>
      </c>
      <c r="K600" s="105" t="str">
        <f t="shared" si="27"/>
        <v>0003-1012-0048</v>
      </c>
      <c r="L600" s="105" t="str">
        <f>VLOOKUP(K600,COA!$A$3:$B$337,2,FALSE)</f>
        <v>K56</v>
      </c>
      <c r="M600" s="105" t="str">
        <f t="shared" si="28"/>
        <v>K56</v>
      </c>
      <c r="N600" s="105" t="str">
        <f>VLOOKUP(M600,CAC!$A$2:$B$198,2,FALSE)</f>
        <v>HMFLEX</v>
      </c>
    </row>
    <row r="601" spans="5:14" x14ac:dyDescent="0.25">
      <c r="E601" s="83">
        <v>201610</v>
      </c>
      <c r="F601" s="82" t="s">
        <v>563</v>
      </c>
      <c r="G601" s="82" t="s">
        <v>350</v>
      </c>
      <c r="H601" s="82" t="s">
        <v>626</v>
      </c>
      <c r="I601" s="95">
        <v>0</v>
      </c>
      <c r="K601" s="105" t="str">
        <f t="shared" si="27"/>
        <v>0003-1012-0057</v>
      </c>
      <c r="L601" s="105" t="str">
        <f>VLOOKUP(K601,COA!$A$3:$B$337,2,FALSE)</f>
        <v>K51</v>
      </c>
      <c r="M601" s="105" t="str">
        <f t="shared" si="28"/>
        <v>K51</v>
      </c>
      <c r="N601" s="105" t="str">
        <f>VLOOKUP(M601,CAC!$A$2:$B$198,2,FALSE)</f>
        <v>PPOPMR</v>
      </c>
    </row>
    <row r="602" spans="5:14" x14ac:dyDescent="0.25">
      <c r="E602" s="83">
        <v>201610</v>
      </c>
      <c r="F602" s="82" t="s">
        <v>345</v>
      </c>
      <c r="G602" s="82" t="s">
        <v>351</v>
      </c>
      <c r="H602" s="82" t="s">
        <v>349</v>
      </c>
      <c r="I602" s="95">
        <v>0</v>
      </c>
      <c r="K602" s="105" t="str">
        <f t="shared" si="27"/>
        <v>0011-0000-0017</v>
      </c>
      <c r="L602" s="105" t="e">
        <f>VLOOKUP(K602,COA!$A$3:$B$337,2,FALSE)</f>
        <v>#N/A</v>
      </c>
      <c r="M602" s="105" t="str">
        <f t="shared" si="28"/>
        <v>XXX</v>
      </c>
      <c r="N602" s="105" t="str">
        <f>VLOOKUP(M602,CAC!$A$2:$B$198,2,FALSE)</f>
        <v>XXX</v>
      </c>
    </row>
    <row r="603" spans="5:14" x14ac:dyDescent="0.25">
      <c r="E603" s="83">
        <v>201603</v>
      </c>
      <c r="F603" s="82" t="s">
        <v>345</v>
      </c>
      <c r="G603" s="82" t="s">
        <v>350</v>
      </c>
      <c r="H603" s="82" t="s">
        <v>360</v>
      </c>
      <c r="I603" s="95">
        <v>5862.59</v>
      </c>
      <c r="K603" s="105" t="str">
        <f t="shared" si="27"/>
        <v>0011-1012-0048</v>
      </c>
      <c r="L603" s="105" t="str">
        <f>VLOOKUP(K603,COA!$A$3:$B$337,2,FALSE)</f>
        <v>K21</v>
      </c>
      <c r="M603" s="105" t="str">
        <f t="shared" si="28"/>
        <v>K21</v>
      </c>
      <c r="N603" s="105" t="str">
        <f>VLOOKUP(M603,CAC!$A$2:$B$198,2,FALSE)</f>
        <v>HMFLEX</v>
      </c>
    </row>
    <row r="604" spans="5:14" x14ac:dyDescent="0.25">
      <c r="E604" s="83">
        <v>201602</v>
      </c>
      <c r="F604" s="82" t="s">
        <v>413</v>
      </c>
      <c r="G604" s="82" t="s">
        <v>352</v>
      </c>
      <c r="H604" s="82" t="s">
        <v>344</v>
      </c>
      <c r="I604" s="95">
        <v>0</v>
      </c>
      <c r="K604" s="105" t="str">
        <f t="shared" si="27"/>
        <v>0008-1004-0012</v>
      </c>
      <c r="L604" s="105" t="str">
        <f>VLOOKUP(K604,COA!$A$3:$B$337,2,FALSE)</f>
        <v>C93</v>
      </c>
      <c r="M604" s="105" t="str">
        <f t="shared" si="28"/>
        <v>C93</v>
      </c>
      <c r="N604" s="105" t="str">
        <f>VLOOKUP(M604,CAC!$A$2:$B$198,2,FALSE)</f>
        <v>DOILG</v>
      </c>
    </row>
    <row r="605" spans="5:14" x14ac:dyDescent="0.25">
      <c r="E605" s="83">
        <v>201509</v>
      </c>
      <c r="F605" s="82" t="s">
        <v>413</v>
      </c>
      <c r="G605" s="82" t="s">
        <v>352</v>
      </c>
      <c r="H605" s="82" t="s">
        <v>344</v>
      </c>
      <c r="I605" s="95">
        <v>0</v>
      </c>
      <c r="K605" s="105" t="str">
        <f t="shared" si="27"/>
        <v>0008-1004-0012</v>
      </c>
      <c r="L605" s="105" t="str">
        <f>VLOOKUP(K605,COA!$A$3:$B$337,2,FALSE)</f>
        <v>C93</v>
      </c>
      <c r="M605" s="105" t="str">
        <f t="shared" si="28"/>
        <v>C93</v>
      </c>
      <c r="N605" s="105" t="str">
        <f>VLOOKUP(M605,CAC!$A$2:$B$198,2,FALSE)</f>
        <v>DOILG</v>
      </c>
    </row>
    <row r="606" spans="5:14" x14ac:dyDescent="0.25">
      <c r="E606" s="83">
        <v>201502</v>
      </c>
      <c r="F606" s="82" t="s">
        <v>746</v>
      </c>
      <c r="G606" s="82" t="s">
        <v>354</v>
      </c>
      <c r="H606" s="82" t="s">
        <v>344</v>
      </c>
      <c r="I606" s="95">
        <v>76</v>
      </c>
      <c r="K606" s="105" t="str">
        <f t="shared" si="27"/>
        <v>0016-1013-0012</v>
      </c>
      <c r="L606" s="105" t="str">
        <f>VLOOKUP(K606,COA!$A$3:$B$337,2,FALSE)</f>
        <v>R19</v>
      </c>
      <c r="M606" s="105" t="str">
        <f t="shared" si="28"/>
        <v>R19</v>
      </c>
      <c r="N606" s="105" t="str">
        <f>VLOOKUP(M606,CAC!$A$2:$B$198,2,FALSE)</f>
        <v>HMOMG</v>
      </c>
    </row>
    <row r="607" spans="5:14" x14ac:dyDescent="0.25">
      <c r="E607" s="83">
        <v>201512</v>
      </c>
      <c r="F607" s="82" t="s">
        <v>345</v>
      </c>
      <c r="G607" s="82" t="s">
        <v>362</v>
      </c>
      <c r="H607" s="82" t="s">
        <v>364</v>
      </c>
      <c r="I607" s="95">
        <v>39623.519999999997</v>
      </c>
      <c r="K607" s="105" t="str">
        <f t="shared" si="27"/>
        <v>0011-1008-0037</v>
      </c>
      <c r="L607" s="105" t="str">
        <f>VLOOKUP(K607,COA!$A$3:$B$337,2,FALSE)</f>
        <v>P12</v>
      </c>
      <c r="M607" s="105" t="str">
        <f t="shared" si="28"/>
        <v>P12</v>
      </c>
      <c r="N607" s="105" t="str">
        <f>VLOOKUP(M607,CAC!$A$2:$B$198,2,FALSE)</f>
        <v>HMOPERA</v>
      </c>
    </row>
    <row r="608" spans="5:14" x14ac:dyDescent="0.25">
      <c r="E608" s="83">
        <v>201707</v>
      </c>
      <c r="F608" s="82" t="s">
        <v>345</v>
      </c>
      <c r="G608" s="82" t="s">
        <v>350</v>
      </c>
      <c r="H608" s="82" t="s">
        <v>360</v>
      </c>
      <c r="I608" s="95">
        <v>9784.15</v>
      </c>
      <c r="K608" s="105" t="str">
        <f t="shared" si="27"/>
        <v>0011-1012-0048</v>
      </c>
      <c r="L608" s="105" t="str">
        <f>VLOOKUP(K608,COA!$A$3:$B$337,2,FALSE)</f>
        <v>K21</v>
      </c>
      <c r="M608" s="105" t="str">
        <f t="shared" si="28"/>
        <v>K21</v>
      </c>
      <c r="N608" s="105" t="str">
        <f>VLOOKUP(M608,CAC!$A$2:$B$198,2,FALSE)</f>
        <v>HMFLEX</v>
      </c>
    </row>
    <row r="609" spans="5:14" x14ac:dyDescent="0.25">
      <c r="E609" s="83">
        <v>201508</v>
      </c>
      <c r="F609" s="82" t="s">
        <v>563</v>
      </c>
      <c r="G609" s="82" t="s">
        <v>348</v>
      </c>
      <c r="H609" s="82" t="s">
        <v>349</v>
      </c>
      <c r="I609" s="95">
        <v>0</v>
      </c>
      <c r="K609" s="105" t="str">
        <f t="shared" si="27"/>
        <v>0003-1010-0017</v>
      </c>
      <c r="L609" s="105" t="str">
        <f>VLOOKUP(K609,COA!$A$3:$B$337,2,FALSE)</f>
        <v>S51</v>
      </c>
      <c r="M609" s="105" t="str">
        <f t="shared" si="28"/>
        <v>S51</v>
      </c>
      <c r="N609" s="105" t="str">
        <f>VLOOKUP(M609,CAC!$A$2:$B$198,2,FALSE)</f>
        <v>PPOSG</v>
      </c>
    </row>
    <row r="610" spans="5:14" x14ac:dyDescent="0.25">
      <c r="E610" s="83">
        <v>201604</v>
      </c>
      <c r="F610" s="82" t="s">
        <v>405</v>
      </c>
      <c r="G610" s="82" t="s">
        <v>362</v>
      </c>
      <c r="H610" s="82" t="s">
        <v>342</v>
      </c>
      <c r="I610" s="95">
        <v>0</v>
      </c>
      <c r="K610" s="105" t="str">
        <f t="shared" si="27"/>
        <v>0019-1008-0031</v>
      </c>
      <c r="L610" s="105" t="str">
        <f>VLOOKUP(K610,COA!$A$3:$B$337,2,FALSE)</f>
        <v>P53</v>
      </c>
      <c r="M610" s="105" t="str">
        <f t="shared" si="28"/>
        <v>P53</v>
      </c>
      <c r="N610" s="105" t="str">
        <f>VLOOKUP(M610,CAC!$A$2:$B$198,2,FALSE)</f>
        <v>HMOPERA</v>
      </c>
    </row>
    <row r="611" spans="5:14" x14ac:dyDescent="0.25">
      <c r="E611" s="83">
        <v>201801</v>
      </c>
      <c r="F611" s="82" t="s">
        <v>563</v>
      </c>
      <c r="G611" s="82" t="s">
        <v>356</v>
      </c>
      <c r="H611" s="82" t="s">
        <v>344</v>
      </c>
      <c r="I611" s="95">
        <v>0</v>
      </c>
      <c r="K611" s="105" t="str">
        <f t="shared" si="27"/>
        <v>0003-1002-0012</v>
      </c>
      <c r="L611" s="105" t="str">
        <f>VLOOKUP(K611,COA!$A$3:$B$337,2,FALSE)</f>
        <v>F61</v>
      </c>
      <c r="M611" s="105" t="str">
        <f t="shared" si="28"/>
        <v>F61</v>
      </c>
      <c r="N611" s="105" t="str">
        <f>VLOOKUP(M611,CAC!$A$2:$B$198,2,FALSE)</f>
        <v>PPOPMR</v>
      </c>
    </row>
    <row r="612" spans="5:14" x14ac:dyDescent="0.25">
      <c r="E612" s="83">
        <v>201708</v>
      </c>
      <c r="F612" s="82" t="s">
        <v>345</v>
      </c>
      <c r="G612" s="82" t="s">
        <v>365</v>
      </c>
      <c r="H612" s="82" t="s">
        <v>367</v>
      </c>
      <c r="I612" s="95">
        <v>775.93</v>
      </c>
      <c r="K612" s="105" t="str">
        <f t="shared" si="27"/>
        <v>0011-1001-0022</v>
      </c>
      <c r="L612" s="105" t="str">
        <f>VLOOKUP(K612,COA!$A$3:$B$337,2,FALSE)</f>
        <v>V14</v>
      </c>
      <c r="M612" s="105" t="str">
        <f t="shared" si="28"/>
        <v>V14</v>
      </c>
      <c r="N612" s="105" t="str">
        <f>VLOOKUP(M612,CAC!$A$2:$B$198,2,FALSE)</f>
        <v>HMOIFP</v>
      </c>
    </row>
    <row r="613" spans="5:14" x14ac:dyDescent="0.25">
      <c r="E613" s="83">
        <v>201705</v>
      </c>
      <c r="F613" s="82" t="s">
        <v>563</v>
      </c>
      <c r="G613" s="82" t="s">
        <v>369</v>
      </c>
      <c r="H613" s="82" t="s">
        <v>353</v>
      </c>
      <c r="I613" s="95">
        <v>0</v>
      </c>
      <c r="K613" s="105" t="str">
        <f t="shared" si="27"/>
        <v>0003-1009-0023</v>
      </c>
      <c r="L613" s="105" t="e">
        <f>VLOOKUP(K613,COA!$A$3:$B$337,2,FALSE)</f>
        <v>#N/A</v>
      </c>
      <c r="M613" s="105" t="str">
        <f t="shared" si="28"/>
        <v>XXX</v>
      </c>
      <c r="N613" s="105" t="str">
        <f>VLOOKUP(M613,CAC!$A$2:$B$198,2,FALSE)</f>
        <v>XXX</v>
      </c>
    </row>
    <row r="614" spans="5:14" x14ac:dyDescent="0.25">
      <c r="E614" s="83">
        <v>201711</v>
      </c>
      <c r="F614" s="82" t="s">
        <v>345</v>
      </c>
      <c r="G614" s="82" t="s">
        <v>348</v>
      </c>
      <c r="H614" s="82" t="s">
        <v>349</v>
      </c>
      <c r="I614" s="95">
        <v>27526.14</v>
      </c>
      <c r="K614" s="105" t="str">
        <f t="shared" si="27"/>
        <v>0011-1010-0017</v>
      </c>
      <c r="L614" s="105" t="str">
        <f>VLOOKUP(K614,COA!$A$3:$B$337,2,FALSE)</f>
        <v>S11</v>
      </c>
      <c r="M614" s="105" t="str">
        <f t="shared" si="28"/>
        <v>S11</v>
      </c>
      <c r="N614" s="105" t="str">
        <f>VLOOKUP(M614,CAC!$A$2:$B$198,2,FALSE)</f>
        <v>HMOSG</v>
      </c>
    </row>
    <row r="615" spans="5:14" x14ac:dyDescent="0.25">
      <c r="E615" s="83">
        <v>201801</v>
      </c>
      <c r="F615" s="82" t="s">
        <v>563</v>
      </c>
      <c r="G615" s="82" t="s">
        <v>348</v>
      </c>
      <c r="H615" s="82" t="s">
        <v>353</v>
      </c>
      <c r="I615" s="95">
        <v>0</v>
      </c>
      <c r="K615" s="105" t="str">
        <f t="shared" si="27"/>
        <v>0003-1010-0023</v>
      </c>
      <c r="L615" s="105" t="str">
        <f>VLOOKUP(K615,COA!$A$3:$B$337,2,FALSE)</f>
        <v>S54</v>
      </c>
      <c r="M615" s="105" t="str">
        <f t="shared" si="28"/>
        <v>S54</v>
      </c>
      <c r="N615" s="105" t="str">
        <f>VLOOKUP(M615,CAC!$A$2:$B$198,2,FALSE)</f>
        <v>PPOSG</v>
      </c>
    </row>
    <row r="616" spans="5:14" x14ac:dyDescent="0.25">
      <c r="E616" s="83">
        <v>201507</v>
      </c>
      <c r="F616" s="82" t="s">
        <v>345</v>
      </c>
      <c r="G616" s="82" t="s">
        <v>362</v>
      </c>
      <c r="H616" s="82" t="s">
        <v>364</v>
      </c>
      <c r="I616" s="95">
        <v>39772.42</v>
      </c>
      <c r="K616" s="105" t="str">
        <f t="shared" si="27"/>
        <v>0011-1008-0037</v>
      </c>
      <c r="L616" s="105" t="str">
        <f>VLOOKUP(K616,COA!$A$3:$B$337,2,FALSE)</f>
        <v>P12</v>
      </c>
      <c r="M616" s="105" t="str">
        <f t="shared" si="28"/>
        <v>P12</v>
      </c>
      <c r="N616" s="105" t="str">
        <f>VLOOKUP(M616,CAC!$A$2:$B$198,2,FALSE)</f>
        <v>HMOPERA</v>
      </c>
    </row>
    <row r="617" spans="5:14" x14ac:dyDescent="0.25">
      <c r="E617" s="83">
        <v>201710</v>
      </c>
      <c r="F617" s="82" t="s">
        <v>345</v>
      </c>
      <c r="G617" s="82" t="s">
        <v>359</v>
      </c>
      <c r="H617" s="82" t="s">
        <v>344</v>
      </c>
      <c r="I617" s="95">
        <v>7044.06</v>
      </c>
      <c r="K617" s="105" t="str">
        <f t="shared" si="27"/>
        <v>0011-1005-0012</v>
      </c>
      <c r="L617" s="105" t="str">
        <f>VLOOKUP(K617,COA!$A$3:$B$337,2,FALSE)</f>
        <v>N11</v>
      </c>
      <c r="M617" s="105" t="str">
        <f t="shared" si="28"/>
        <v>N11</v>
      </c>
      <c r="N617" s="105" t="str">
        <f>VLOOKUP(M617,CAC!$A$2:$B$198,2,FALSE)</f>
        <v>HMOLG</v>
      </c>
    </row>
    <row r="618" spans="5:14" x14ac:dyDescent="0.25">
      <c r="E618" s="83">
        <v>201605</v>
      </c>
      <c r="F618" s="82" t="s">
        <v>746</v>
      </c>
      <c r="G618" s="82" t="s">
        <v>354</v>
      </c>
      <c r="H618" s="82" t="s">
        <v>344</v>
      </c>
      <c r="I618" s="95">
        <v>81</v>
      </c>
      <c r="K618" s="105" t="str">
        <f t="shared" si="27"/>
        <v>0016-1013-0012</v>
      </c>
      <c r="L618" s="105" t="str">
        <f>VLOOKUP(K618,COA!$A$3:$B$337,2,FALSE)</f>
        <v>R19</v>
      </c>
      <c r="M618" s="105" t="str">
        <f t="shared" si="28"/>
        <v>R19</v>
      </c>
      <c r="N618" s="105" t="str">
        <f>VLOOKUP(M618,CAC!$A$2:$B$198,2,FALSE)</f>
        <v>HMOMG</v>
      </c>
    </row>
    <row r="619" spans="5:14" x14ac:dyDescent="0.25">
      <c r="E619" s="83">
        <v>201606</v>
      </c>
      <c r="F619" s="82" t="s">
        <v>345</v>
      </c>
      <c r="G619" s="82" t="s">
        <v>352</v>
      </c>
      <c r="H619" s="82" t="s">
        <v>653</v>
      </c>
      <c r="I619" s="95">
        <v>0</v>
      </c>
      <c r="K619" s="105" t="str">
        <f t="shared" si="27"/>
        <v>0011-1004-0047</v>
      </c>
      <c r="L619" s="105" t="str">
        <f>VLOOKUP(K619,COA!$A$3:$B$337,2,FALSE)</f>
        <v>L17</v>
      </c>
      <c r="M619" s="105" t="str">
        <f t="shared" si="28"/>
        <v>L17</v>
      </c>
      <c r="N619" s="105" t="str">
        <f>VLOOKUP(M619,CAC!$A$2:$B$198,2,FALSE)</f>
        <v>HMOLG</v>
      </c>
    </row>
    <row r="620" spans="5:14" x14ac:dyDescent="0.25">
      <c r="E620" s="83">
        <v>201705</v>
      </c>
      <c r="F620" s="82" t="s">
        <v>563</v>
      </c>
      <c r="G620" s="82" t="s">
        <v>365</v>
      </c>
      <c r="H620" s="82" t="s">
        <v>798</v>
      </c>
      <c r="I620" s="95">
        <v>0</v>
      </c>
      <c r="K620" s="105" t="str">
        <f t="shared" si="27"/>
        <v>0003-1001-0065</v>
      </c>
      <c r="L620" s="105" t="str">
        <f>VLOOKUP(K620,COA!$A$3:$B$337,2,FALSE)</f>
        <v>V55</v>
      </c>
      <c r="M620" s="105" t="str">
        <f t="shared" si="28"/>
        <v>V55</v>
      </c>
      <c r="N620" s="105" t="e">
        <f>VLOOKUP(M620,CAC!$A$2:$B$198,2,FALSE)</f>
        <v>#N/A</v>
      </c>
    </row>
    <row r="621" spans="5:14" x14ac:dyDescent="0.25">
      <c r="E621" s="83">
        <v>201508</v>
      </c>
      <c r="F621" s="82" t="s">
        <v>413</v>
      </c>
      <c r="G621" s="82" t="s">
        <v>365</v>
      </c>
      <c r="H621" s="82" t="s">
        <v>344</v>
      </c>
      <c r="I621" s="95">
        <v>0</v>
      </c>
      <c r="K621" s="105" t="str">
        <f t="shared" si="27"/>
        <v>0008-1001-0012</v>
      </c>
      <c r="L621" s="105" t="str">
        <f>VLOOKUP(K621,COA!$A$3:$B$337,2,FALSE)</f>
        <v>C95</v>
      </c>
      <c r="M621" s="105" t="str">
        <f t="shared" si="28"/>
        <v>C95</v>
      </c>
      <c r="N621" s="105" t="str">
        <f>VLOOKUP(M621,CAC!$A$2:$B$198,2,FALSE)</f>
        <v>DOIIFP</v>
      </c>
    </row>
    <row r="622" spans="5:14" x14ac:dyDescent="0.25">
      <c r="E622" s="83">
        <v>201705</v>
      </c>
      <c r="F622" s="82" t="s">
        <v>506</v>
      </c>
      <c r="G622" s="82" t="s">
        <v>361</v>
      </c>
      <c r="H622" s="82" t="s">
        <v>592</v>
      </c>
      <c r="I622" s="95">
        <v>0</v>
      </c>
      <c r="K622" s="105" t="str">
        <f t="shared" si="27"/>
        <v>0013-1003-0035</v>
      </c>
      <c r="L622" s="105" t="str">
        <f>VLOOKUP(K622,COA!$A$3:$B$337,2,FALSE)</f>
        <v>N32</v>
      </c>
      <c r="M622" s="105" t="str">
        <f t="shared" si="28"/>
        <v>N32</v>
      </c>
      <c r="N622" s="105" t="e">
        <f>VLOOKUP(M622,CAC!$A$2:$B$198,2,FALSE)</f>
        <v>#N/A</v>
      </c>
    </row>
    <row r="623" spans="5:14" x14ac:dyDescent="0.25">
      <c r="E623" s="83">
        <v>201701</v>
      </c>
      <c r="F623" s="82" t="s">
        <v>563</v>
      </c>
      <c r="G623" s="82" t="s">
        <v>356</v>
      </c>
      <c r="H623" s="82" t="s">
        <v>344</v>
      </c>
      <c r="I623" s="95">
        <v>0</v>
      </c>
      <c r="K623" s="105" t="str">
        <f t="shared" si="27"/>
        <v>0003-1002-0012</v>
      </c>
      <c r="L623" s="105" t="str">
        <f>VLOOKUP(K623,COA!$A$3:$B$337,2,FALSE)</f>
        <v>F61</v>
      </c>
      <c r="M623" s="105" t="str">
        <f t="shared" si="28"/>
        <v>F61</v>
      </c>
      <c r="N623" s="105" t="str">
        <f>VLOOKUP(M623,CAC!$A$2:$B$198,2,FALSE)</f>
        <v>PPOPMR</v>
      </c>
    </row>
    <row r="624" spans="5:14" x14ac:dyDescent="0.25">
      <c r="E624" s="83">
        <v>201702</v>
      </c>
      <c r="F624" s="82" t="s">
        <v>552</v>
      </c>
      <c r="G624" s="82" t="s">
        <v>356</v>
      </c>
      <c r="H624" s="82" t="s">
        <v>672</v>
      </c>
      <c r="I624" s="95">
        <v>0</v>
      </c>
      <c r="K624" s="105" t="str">
        <f t="shared" si="27"/>
        <v>0027-1002-0058</v>
      </c>
      <c r="L624" s="105" t="str">
        <f>VLOOKUP(K624,COA!$A$3:$B$337,2,FALSE)</f>
        <v>L45</v>
      </c>
      <c r="M624" s="105" t="str">
        <f t="shared" si="28"/>
        <v>L45</v>
      </c>
      <c r="N624" s="105" t="e">
        <f>VLOOKUP(M624,CAC!$A$2:$B$198,2,FALSE)</f>
        <v>#N/A</v>
      </c>
    </row>
    <row r="625" spans="5:14" x14ac:dyDescent="0.25">
      <c r="E625" s="83">
        <v>201711</v>
      </c>
      <c r="F625" s="82" t="s">
        <v>563</v>
      </c>
      <c r="G625" s="82" t="s">
        <v>348</v>
      </c>
      <c r="H625" s="82" t="s">
        <v>349</v>
      </c>
      <c r="I625" s="95">
        <v>0</v>
      </c>
      <c r="K625" s="105" t="str">
        <f t="shared" si="27"/>
        <v>0003-1010-0017</v>
      </c>
      <c r="L625" s="105" t="str">
        <f>VLOOKUP(K625,COA!$A$3:$B$337,2,FALSE)</f>
        <v>S51</v>
      </c>
      <c r="M625" s="105" t="str">
        <f t="shared" si="28"/>
        <v>S51</v>
      </c>
      <c r="N625" s="105" t="str">
        <f>VLOOKUP(M625,CAC!$A$2:$B$198,2,FALSE)</f>
        <v>PPOSG</v>
      </c>
    </row>
    <row r="626" spans="5:14" x14ac:dyDescent="0.25">
      <c r="E626" s="83">
        <v>201704</v>
      </c>
      <c r="F626" s="82" t="s">
        <v>413</v>
      </c>
      <c r="G626" s="82" t="s">
        <v>365</v>
      </c>
      <c r="H626" s="82" t="s">
        <v>344</v>
      </c>
      <c r="I626" s="95">
        <v>0</v>
      </c>
      <c r="K626" s="105" t="str">
        <f t="shared" si="27"/>
        <v>0008-1001-0012</v>
      </c>
      <c r="L626" s="105" t="str">
        <f>VLOOKUP(K626,COA!$A$3:$B$337,2,FALSE)</f>
        <v>C95</v>
      </c>
      <c r="M626" s="105" t="str">
        <f t="shared" si="28"/>
        <v>C95</v>
      </c>
      <c r="N626" s="105" t="str">
        <f>VLOOKUP(M626,CAC!$A$2:$B$198,2,FALSE)</f>
        <v>DOIIFP</v>
      </c>
    </row>
    <row r="627" spans="5:14" x14ac:dyDescent="0.25">
      <c r="E627" s="83">
        <v>201704</v>
      </c>
      <c r="F627" s="82" t="s">
        <v>506</v>
      </c>
      <c r="G627" s="82" t="s">
        <v>350</v>
      </c>
      <c r="H627" s="82" t="s">
        <v>592</v>
      </c>
      <c r="I627" s="95">
        <v>0</v>
      </c>
      <c r="K627" s="105" t="str">
        <f t="shared" si="27"/>
        <v>0013-1012-0035</v>
      </c>
      <c r="L627" s="105" t="str">
        <f>VLOOKUP(K627,COA!$A$3:$B$337,2,FALSE)</f>
        <v>K41</v>
      </c>
      <c r="M627" s="105" t="str">
        <f t="shared" si="28"/>
        <v>K41</v>
      </c>
      <c r="N627" s="105" t="e">
        <f>VLOOKUP(M627,CAC!$A$2:$B$198,2,FALSE)</f>
        <v>#N/A</v>
      </c>
    </row>
    <row r="628" spans="5:14" x14ac:dyDescent="0.25">
      <c r="E628" s="83">
        <v>201507</v>
      </c>
      <c r="F628" s="82" t="s">
        <v>413</v>
      </c>
      <c r="G628" s="82" t="s">
        <v>352</v>
      </c>
      <c r="H628" s="82" t="s">
        <v>344</v>
      </c>
      <c r="I628" s="95">
        <v>0</v>
      </c>
      <c r="K628" s="105" t="str">
        <f t="shared" si="27"/>
        <v>0008-1004-0012</v>
      </c>
      <c r="L628" s="105" t="str">
        <f>VLOOKUP(K628,COA!$A$3:$B$337,2,FALSE)</f>
        <v>C93</v>
      </c>
      <c r="M628" s="105" t="str">
        <f t="shared" si="28"/>
        <v>C93</v>
      </c>
      <c r="N628" s="105" t="str">
        <f>VLOOKUP(M628,CAC!$A$2:$B$198,2,FALSE)</f>
        <v>DOILG</v>
      </c>
    </row>
    <row r="629" spans="5:14" x14ac:dyDescent="0.25">
      <c r="E629" s="83">
        <v>201510</v>
      </c>
      <c r="F629" s="82" t="s">
        <v>405</v>
      </c>
      <c r="G629" s="82" t="s">
        <v>362</v>
      </c>
      <c r="H629" s="82" t="s">
        <v>759</v>
      </c>
      <c r="I629" s="95">
        <v>0</v>
      </c>
      <c r="K629" s="105" t="str">
        <f t="shared" si="27"/>
        <v>0019-1008-0032</v>
      </c>
      <c r="L629" s="105" t="str">
        <f>VLOOKUP(K629,COA!$A$3:$B$337,2,FALSE)</f>
        <v>P58</v>
      </c>
      <c r="M629" s="105" t="str">
        <f t="shared" si="28"/>
        <v>P58</v>
      </c>
      <c r="N629" s="105" t="str">
        <f>VLOOKUP(M629,CAC!$A$2:$B$198,2,FALSE)</f>
        <v>PERMEDA</v>
      </c>
    </row>
    <row r="630" spans="5:14" x14ac:dyDescent="0.25">
      <c r="E630" s="83">
        <v>201602</v>
      </c>
      <c r="F630" s="82" t="s">
        <v>345</v>
      </c>
      <c r="G630" s="82" t="s">
        <v>361</v>
      </c>
      <c r="H630" s="82" t="s">
        <v>344</v>
      </c>
      <c r="I630" s="95">
        <v>4086.63</v>
      </c>
      <c r="K630" s="105" t="str">
        <f t="shared" si="27"/>
        <v>0011-1003-0012</v>
      </c>
      <c r="L630" s="105" t="str">
        <f>VLOOKUP(K630,COA!$A$3:$B$337,2,FALSE)</f>
        <v>N16</v>
      </c>
      <c r="M630" s="105" t="str">
        <f t="shared" si="28"/>
        <v>N16</v>
      </c>
      <c r="N630" s="105" t="str">
        <f>VLOOKUP(M630,CAC!$A$2:$B$198,2,FALSE)</f>
        <v>HMOPMR</v>
      </c>
    </row>
    <row r="631" spans="5:14" x14ac:dyDescent="0.25">
      <c r="E631" s="83">
        <v>201601</v>
      </c>
      <c r="F631" s="82" t="s">
        <v>563</v>
      </c>
      <c r="G631" s="82" t="s">
        <v>348</v>
      </c>
      <c r="H631" s="82" t="s">
        <v>358</v>
      </c>
      <c r="I631" s="95">
        <v>0</v>
      </c>
      <c r="K631" s="105" t="str">
        <f t="shared" si="27"/>
        <v>0003-1010-0024</v>
      </c>
      <c r="L631" s="105" t="str">
        <f>VLOOKUP(K631,COA!$A$3:$B$337,2,FALSE)</f>
        <v>S56</v>
      </c>
      <c r="M631" s="105" t="str">
        <f t="shared" si="28"/>
        <v>S56</v>
      </c>
      <c r="N631" s="105" t="str">
        <f>VLOOKUP(M631,CAC!$A$2:$B$198,2,FALSE)</f>
        <v>PPOSG</v>
      </c>
    </row>
    <row r="632" spans="5:14" x14ac:dyDescent="0.25">
      <c r="E632" s="83">
        <v>201505</v>
      </c>
      <c r="F632" s="82" t="s">
        <v>746</v>
      </c>
      <c r="G632" s="82" t="s">
        <v>354</v>
      </c>
      <c r="H632" s="82" t="s">
        <v>344</v>
      </c>
      <c r="I632" s="95">
        <v>77</v>
      </c>
      <c r="K632" s="105" t="str">
        <f t="shared" si="27"/>
        <v>0016-1013-0012</v>
      </c>
      <c r="L632" s="105" t="str">
        <f>VLOOKUP(K632,COA!$A$3:$B$337,2,FALSE)</f>
        <v>R19</v>
      </c>
      <c r="M632" s="105" t="str">
        <f t="shared" si="28"/>
        <v>R19</v>
      </c>
      <c r="N632" s="105" t="str">
        <f>VLOOKUP(M632,CAC!$A$2:$B$198,2,FALSE)</f>
        <v>HMOMG</v>
      </c>
    </row>
    <row r="633" spans="5:14" x14ac:dyDescent="0.25">
      <c r="E633" s="83">
        <v>201710</v>
      </c>
      <c r="F633" s="82" t="s">
        <v>746</v>
      </c>
      <c r="G633" s="82" t="s">
        <v>350</v>
      </c>
      <c r="H633" s="82" t="s">
        <v>344</v>
      </c>
      <c r="I633" s="95">
        <v>3</v>
      </c>
      <c r="K633" s="105" t="str">
        <f t="shared" si="27"/>
        <v>0016-1012-0012</v>
      </c>
      <c r="L633" s="105" t="str">
        <f>VLOOKUP(K633,COA!$A$3:$B$337,2,FALSE)</f>
        <v>R19</v>
      </c>
      <c r="M633" s="105" t="str">
        <f t="shared" si="28"/>
        <v>R19</v>
      </c>
      <c r="N633" s="105" t="str">
        <f>VLOOKUP(M633,CAC!$A$2:$B$198,2,FALSE)</f>
        <v>HMOMG</v>
      </c>
    </row>
    <row r="634" spans="5:14" x14ac:dyDescent="0.25">
      <c r="E634" s="83">
        <v>201709</v>
      </c>
      <c r="F634" s="82" t="s">
        <v>563</v>
      </c>
      <c r="G634" s="82" t="s">
        <v>365</v>
      </c>
      <c r="H634" s="82" t="s">
        <v>366</v>
      </c>
      <c r="I634" s="95">
        <v>0</v>
      </c>
      <c r="K634" s="105" t="str">
        <f t="shared" si="27"/>
        <v>0003-1001-0021</v>
      </c>
      <c r="L634" s="105" t="str">
        <f>VLOOKUP(K634,COA!$A$3:$B$337,2,FALSE)</f>
        <v>V53</v>
      </c>
      <c r="M634" s="105" t="str">
        <f t="shared" si="28"/>
        <v>V53</v>
      </c>
      <c r="N634" s="105" t="str">
        <f>VLOOKUP(M634,CAC!$A$2:$B$198,2,FALSE)</f>
        <v>PPOIFP</v>
      </c>
    </row>
    <row r="635" spans="5:14" x14ac:dyDescent="0.25">
      <c r="E635" s="83">
        <v>201612</v>
      </c>
      <c r="F635" s="82" t="s">
        <v>345</v>
      </c>
      <c r="G635" s="82" t="s">
        <v>350</v>
      </c>
      <c r="H635" s="82" t="s">
        <v>360</v>
      </c>
      <c r="I635" s="95">
        <v>3922.97</v>
      </c>
      <c r="K635" s="105" t="str">
        <f t="shared" si="27"/>
        <v>0011-1012-0048</v>
      </c>
      <c r="L635" s="105" t="str">
        <f>VLOOKUP(K635,COA!$A$3:$B$337,2,FALSE)</f>
        <v>K21</v>
      </c>
      <c r="M635" s="105" t="str">
        <f t="shared" si="28"/>
        <v>K21</v>
      </c>
      <c r="N635" s="105" t="str">
        <f>VLOOKUP(M635,CAC!$A$2:$B$198,2,FALSE)</f>
        <v>HMFLEX</v>
      </c>
    </row>
    <row r="636" spans="5:14" x14ac:dyDescent="0.25">
      <c r="E636" s="83">
        <v>201712</v>
      </c>
      <c r="F636" s="82" t="s">
        <v>345</v>
      </c>
      <c r="G636" s="82" t="s">
        <v>355</v>
      </c>
      <c r="H636" s="82" t="s">
        <v>344</v>
      </c>
      <c r="I636" s="95">
        <v>19624.82</v>
      </c>
      <c r="K636" s="105" t="str">
        <f t="shared" si="27"/>
        <v>0011-1006-0012</v>
      </c>
      <c r="L636" s="105" t="str">
        <f>VLOOKUP(K636,COA!$A$3:$B$337,2,FALSE)</f>
        <v>L13</v>
      </c>
      <c r="M636" s="105" t="str">
        <f t="shared" si="28"/>
        <v>L13</v>
      </c>
      <c r="N636" s="105" t="str">
        <f>VLOOKUP(M636,CAC!$A$2:$B$198,2,FALSE)</f>
        <v>HMOLG</v>
      </c>
    </row>
    <row r="637" spans="5:14" x14ac:dyDescent="0.25">
      <c r="E637" s="83">
        <v>201704</v>
      </c>
      <c r="F637" s="82" t="s">
        <v>506</v>
      </c>
      <c r="G637" s="82" t="s">
        <v>359</v>
      </c>
      <c r="H637" s="82" t="s">
        <v>592</v>
      </c>
      <c r="I637" s="95">
        <v>0</v>
      </c>
      <c r="K637" s="105" t="str">
        <f t="shared" si="27"/>
        <v>0013-1005-0035</v>
      </c>
      <c r="L637" s="105" t="str">
        <f>VLOOKUP(K637,COA!$A$3:$B$337,2,FALSE)</f>
        <v>N41</v>
      </c>
      <c r="M637" s="105" t="str">
        <f t="shared" si="28"/>
        <v>N41</v>
      </c>
      <c r="N637" s="105" t="e">
        <f>VLOOKUP(M637,CAC!$A$2:$B$198,2,FALSE)</f>
        <v>#N/A</v>
      </c>
    </row>
    <row r="638" spans="5:14" x14ac:dyDescent="0.25">
      <c r="E638" s="83">
        <v>201705</v>
      </c>
      <c r="F638" s="82" t="s">
        <v>563</v>
      </c>
      <c r="G638" s="82" t="s">
        <v>348</v>
      </c>
      <c r="H638" s="82" t="s">
        <v>353</v>
      </c>
      <c r="I638" s="95">
        <v>0</v>
      </c>
      <c r="K638" s="105" t="str">
        <f t="shared" si="27"/>
        <v>0003-1010-0023</v>
      </c>
      <c r="L638" s="105" t="str">
        <f>VLOOKUP(K638,COA!$A$3:$B$337,2,FALSE)</f>
        <v>S54</v>
      </c>
      <c r="M638" s="105" t="str">
        <f t="shared" si="28"/>
        <v>S54</v>
      </c>
      <c r="N638" s="105" t="str">
        <f>VLOOKUP(M638,CAC!$A$2:$B$198,2,FALSE)</f>
        <v>PPOSG</v>
      </c>
    </row>
    <row r="639" spans="5:14" x14ac:dyDescent="0.25">
      <c r="E639" s="83">
        <v>201710</v>
      </c>
      <c r="F639" s="82" t="s">
        <v>413</v>
      </c>
      <c r="G639" s="82" t="s">
        <v>352</v>
      </c>
      <c r="H639" s="82" t="s">
        <v>344</v>
      </c>
      <c r="I639" s="95">
        <v>0</v>
      </c>
      <c r="K639" s="105" t="str">
        <f t="shared" si="27"/>
        <v>0008-1004-0012</v>
      </c>
      <c r="L639" s="105" t="str">
        <f>VLOOKUP(K639,COA!$A$3:$B$337,2,FALSE)</f>
        <v>C93</v>
      </c>
      <c r="M639" s="105" t="str">
        <f t="shared" si="28"/>
        <v>C93</v>
      </c>
      <c r="N639" s="105" t="str">
        <f>VLOOKUP(M639,CAC!$A$2:$B$198,2,FALSE)</f>
        <v>DOILG</v>
      </c>
    </row>
    <row r="640" spans="5:14" x14ac:dyDescent="0.25">
      <c r="E640" s="83">
        <v>201504</v>
      </c>
      <c r="F640" s="82" t="s">
        <v>413</v>
      </c>
      <c r="G640" s="82" t="s">
        <v>348</v>
      </c>
      <c r="H640" s="82" t="s">
        <v>349</v>
      </c>
      <c r="I640" s="95">
        <v>0</v>
      </c>
      <c r="K640" s="105" t="str">
        <f t="shared" si="27"/>
        <v>0008-1010-0017</v>
      </c>
      <c r="L640" s="105" t="str">
        <f>VLOOKUP(K640,COA!$A$3:$B$337,2,FALSE)</f>
        <v>C94</v>
      </c>
      <c r="M640" s="105" t="str">
        <f t="shared" si="28"/>
        <v>C94</v>
      </c>
      <c r="N640" s="105" t="str">
        <f>VLOOKUP(M640,CAC!$A$2:$B$198,2,FALSE)</f>
        <v>DOISG</v>
      </c>
    </row>
    <row r="641" spans="5:14" x14ac:dyDescent="0.25">
      <c r="E641" s="83">
        <v>201512</v>
      </c>
      <c r="F641" s="82" t="s">
        <v>344</v>
      </c>
      <c r="G641" s="82" t="s">
        <v>359</v>
      </c>
      <c r="H641" s="82" t="s">
        <v>344</v>
      </c>
      <c r="I641" s="95">
        <v>125</v>
      </c>
      <c r="K641" s="105" t="str">
        <f t="shared" si="27"/>
        <v>0012-1005-0012</v>
      </c>
      <c r="L641" s="105" t="str">
        <f>VLOOKUP(K641,COA!$A$3:$B$337,2,FALSE)</f>
        <v>N13</v>
      </c>
      <c r="M641" s="105" t="str">
        <f t="shared" si="28"/>
        <v>N13</v>
      </c>
      <c r="N641" s="105" t="str">
        <f>VLOOKUP(M641,CAC!$A$2:$B$198,2,FALSE)</f>
        <v>HMOLG</v>
      </c>
    </row>
    <row r="642" spans="5:14" x14ac:dyDescent="0.25">
      <c r="E642" s="83">
        <v>201708</v>
      </c>
      <c r="F642" s="82" t="s">
        <v>506</v>
      </c>
      <c r="G642" s="82" t="s">
        <v>361</v>
      </c>
      <c r="H642" s="82" t="s">
        <v>592</v>
      </c>
      <c r="I642" s="95">
        <v>0</v>
      </c>
      <c r="K642" s="105" t="str">
        <f t="shared" si="27"/>
        <v>0013-1003-0035</v>
      </c>
      <c r="L642" s="105" t="str">
        <f>VLOOKUP(K642,COA!$A$3:$B$337,2,FALSE)</f>
        <v>N32</v>
      </c>
      <c r="M642" s="105" t="str">
        <f t="shared" si="28"/>
        <v>N32</v>
      </c>
      <c r="N642" s="105" t="e">
        <f>VLOOKUP(M642,CAC!$A$2:$B$198,2,FALSE)</f>
        <v>#N/A</v>
      </c>
    </row>
    <row r="643" spans="5:14" x14ac:dyDescent="0.25">
      <c r="E643" s="83">
        <v>201509</v>
      </c>
      <c r="F643" s="82" t="s">
        <v>345</v>
      </c>
      <c r="G643" s="82" t="s">
        <v>351</v>
      </c>
      <c r="H643" s="82" t="s">
        <v>349</v>
      </c>
      <c r="I643" s="95">
        <v>1</v>
      </c>
      <c r="K643" s="105" t="str">
        <f t="shared" si="27"/>
        <v>0011-0000-0017</v>
      </c>
      <c r="L643" s="105" t="e">
        <f>VLOOKUP(K643,COA!$A$3:$B$337,2,FALSE)</f>
        <v>#N/A</v>
      </c>
      <c r="M643" s="105" t="str">
        <f t="shared" si="28"/>
        <v>XXX</v>
      </c>
      <c r="N643" s="105" t="str">
        <f>VLOOKUP(M643,CAC!$A$2:$B$198,2,FALSE)</f>
        <v>XXX</v>
      </c>
    </row>
    <row r="644" spans="5:14" x14ac:dyDescent="0.25">
      <c r="E644" s="83">
        <v>201706</v>
      </c>
      <c r="F644" s="82" t="s">
        <v>345</v>
      </c>
      <c r="G644" s="82" t="s">
        <v>359</v>
      </c>
      <c r="H644" s="82" t="s">
        <v>344</v>
      </c>
      <c r="I644" s="95">
        <v>5300</v>
      </c>
      <c r="K644" s="105" t="str">
        <f t="shared" ref="K644:K707" si="29">F644&amp;"-"&amp;G644&amp;"-"&amp;H644</f>
        <v>0011-1005-0012</v>
      </c>
      <c r="L644" s="105" t="str">
        <f>VLOOKUP(K644,COA!$A$3:$B$337,2,FALSE)</f>
        <v>N11</v>
      </c>
      <c r="M644" s="105" t="str">
        <f t="shared" ref="M644:M707" si="30">IF(ISNA(L644),"XXX",L644)</f>
        <v>N11</v>
      </c>
      <c r="N644" s="105" t="str">
        <f>VLOOKUP(M644,CAC!$A$2:$B$198,2,FALSE)</f>
        <v>HMOLG</v>
      </c>
    </row>
    <row r="645" spans="5:14" x14ac:dyDescent="0.25">
      <c r="E645" s="83">
        <v>201510</v>
      </c>
      <c r="F645" s="82" t="s">
        <v>345</v>
      </c>
      <c r="G645" s="82" t="s">
        <v>350</v>
      </c>
      <c r="H645" s="82" t="s">
        <v>360</v>
      </c>
      <c r="I645" s="95">
        <v>5220.8</v>
      </c>
      <c r="K645" s="105" t="str">
        <f t="shared" si="29"/>
        <v>0011-1012-0048</v>
      </c>
      <c r="L645" s="105" t="str">
        <f>VLOOKUP(K645,COA!$A$3:$B$337,2,FALSE)</f>
        <v>K21</v>
      </c>
      <c r="M645" s="105" t="str">
        <f t="shared" si="30"/>
        <v>K21</v>
      </c>
      <c r="N645" s="105" t="str">
        <f>VLOOKUP(M645,CAC!$A$2:$B$198,2,FALSE)</f>
        <v>HMFLEX</v>
      </c>
    </row>
    <row r="646" spans="5:14" x14ac:dyDescent="0.25">
      <c r="E646" s="83">
        <v>201703</v>
      </c>
      <c r="F646" s="82" t="s">
        <v>345</v>
      </c>
      <c r="G646" s="82" t="s">
        <v>346</v>
      </c>
      <c r="H646" s="82" t="s">
        <v>344</v>
      </c>
      <c r="I646" s="95">
        <v>0</v>
      </c>
      <c r="K646" s="105" t="str">
        <f t="shared" si="29"/>
        <v>0011-1014-0012</v>
      </c>
      <c r="L646" s="105" t="e">
        <f>VLOOKUP(K646,COA!$A$3:$B$337,2,FALSE)</f>
        <v>#N/A</v>
      </c>
      <c r="M646" s="105" t="str">
        <f t="shared" si="30"/>
        <v>XXX</v>
      </c>
      <c r="N646" s="105" t="str">
        <f>VLOOKUP(M646,CAC!$A$2:$B$198,2,FALSE)</f>
        <v>XXX</v>
      </c>
    </row>
    <row r="647" spans="5:14" x14ac:dyDescent="0.25">
      <c r="E647" s="83">
        <v>201509</v>
      </c>
      <c r="F647" s="82" t="s">
        <v>563</v>
      </c>
      <c r="G647" s="82" t="s">
        <v>348</v>
      </c>
      <c r="H647" s="82" t="s">
        <v>349</v>
      </c>
      <c r="I647" s="95">
        <v>0</v>
      </c>
      <c r="K647" s="105" t="str">
        <f t="shared" si="29"/>
        <v>0003-1010-0017</v>
      </c>
      <c r="L647" s="105" t="str">
        <f>VLOOKUP(K647,COA!$A$3:$B$337,2,FALSE)</f>
        <v>S51</v>
      </c>
      <c r="M647" s="105" t="str">
        <f t="shared" si="30"/>
        <v>S51</v>
      </c>
      <c r="N647" s="105" t="str">
        <f>VLOOKUP(M647,CAC!$A$2:$B$198,2,FALSE)</f>
        <v>PPOSG</v>
      </c>
    </row>
    <row r="648" spans="5:14" x14ac:dyDescent="0.25">
      <c r="E648" s="83">
        <v>201801</v>
      </c>
      <c r="F648" s="82" t="s">
        <v>345</v>
      </c>
      <c r="G648" s="82" t="s">
        <v>361</v>
      </c>
      <c r="H648" s="82" t="s">
        <v>344</v>
      </c>
      <c r="I648" s="95">
        <v>806</v>
      </c>
      <c r="K648" s="105" t="str">
        <f t="shared" si="29"/>
        <v>0011-1003-0012</v>
      </c>
      <c r="L648" s="105" t="str">
        <f>VLOOKUP(K648,COA!$A$3:$B$337,2,FALSE)</f>
        <v>N16</v>
      </c>
      <c r="M648" s="105" t="str">
        <f t="shared" si="30"/>
        <v>N16</v>
      </c>
      <c r="N648" s="105" t="str">
        <f>VLOOKUP(M648,CAC!$A$2:$B$198,2,FALSE)</f>
        <v>HMOPMR</v>
      </c>
    </row>
    <row r="649" spans="5:14" x14ac:dyDescent="0.25">
      <c r="E649" s="83">
        <v>201704</v>
      </c>
      <c r="F649" s="82" t="s">
        <v>345</v>
      </c>
      <c r="G649" s="82" t="s">
        <v>354</v>
      </c>
      <c r="H649" s="82" t="s">
        <v>360</v>
      </c>
      <c r="I649" s="95">
        <v>5107</v>
      </c>
      <c r="K649" s="105" t="str">
        <f t="shared" si="29"/>
        <v>0011-1013-0048</v>
      </c>
      <c r="L649" s="105" t="str">
        <f>VLOOKUP(K649,COA!$A$3:$B$337,2,FALSE)</f>
        <v>N21</v>
      </c>
      <c r="M649" s="105" t="str">
        <f t="shared" si="30"/>
        <v>N21</v>
      </c>
      <c r="N649" s="105" t="str">
        <f>VLOOKUP(M649,CAC!$A$2:$B$198,2,FALSE)</f>
        <v>HMFLEX</v>
      </c>
    </row>
    <row r="650" spans="5:14" x14ac:dyDescent="0.25">
      <c r="E650" s="83">
        <v>201606</v>
      </c>
      <c r="F650" s="82" t="s">
        <v>345</v>
      </c>
      <c r="G650" s="82" t="s">
        <v>351</v>
      </c>
      <c r="H650" s="82" t="s">
        <v>349</v>
      </c>
      <c r="I650" s="95">
        <v>0</v>
      </c>
      <c r="K650" s="105" t="str">
        <f t="shared" si="29"/>
        <v>0011-0000-0017</v>
      </c>
      <c r="L650" s="105" t="e">
        <f>VLOOKUP(K650,COA!$A$3:$B$337,2,FALSE)</f>
        <v>#N/A</v>
      </c>
      <c r="M650" s="105" t="str">
        <f t="shared" si="30"/>
        <v>XXX</v>
      </c>
      <c r="N650" s="105" t="str">
        <f>VLOOKUP(M650,CAC!$A$2:$B$198,2,FALSE)</f>
        <v>XXX</v>
      </c>
    </row>
    <row r="651" spans="5:14" x14ac:dyDescent="0.25">
      <c r="E651" s="83">
        <v>201703</v>
      </c>
      <c r="F651" s="82" t="s">
        <v>345</v>
      </c>
      <c r="G651" s="82" t="s">
        <v>365</v>
      </c>
      <c r="H651" s="82" t="s">
        <v>366</v>
      </c>
      <c r="I651" s="95">
        <v>1089.06</v>
      </c>
      <c r="K651" s="105" t="str">
        <f t="shared" si="29"/>
        <v>0011-1001-0021</v>
      </c>
      <c r="L651" s="105" t="str">
        <f>VLOOKUP(K651,COA!$A$3:$B$337,2,FALSE)</f>
        <v>V13</v>
      </c>
      <c r="M651" s="105" t="str">
        <f t="shared" si="30"/>
        <v>V13</v>
      </c>
      <c r="N651" s="105" t="str">
        <f>VLOOKUP(M651,CAC!$A$2:$B$198,2,FALSE)</f>
        <v>HMOIFP</v>
      </c>
    </row>
    <row r="652" spans="5:14" x14ac:dyDescent="0.25">
      <c r="E652" s="83">
        <v>201510</v>
      </c>
      <c r="F652" s="82" t="s">
        <v>345</v>
      </c>
      <c r="G652" s="82" t="s">
        <v>346</v>
      </c>
      <c r="H652" s="82" t="s">
        <v>360</v>
      </c>
      <c r="I652" s="95">
        <v>394</v>
      </c>
      <c r="K652" s="105" t="str">
        <f t="shared" si="29"/>
        <v>0011-1014-0048</v>
      </c>
      <c r="L652" s="105" t="str">
        <f>VLOOKUP(K652,COA!$A$3:$B$337,2,FALSE)</f>
        <v>K23</v>
      </c>
      <c r="M652" s="105" t="str">
        <f t="shared" si="30"/>
        <v>K23</v>
      </c>
      <c r="N652" s="105" t="str">
        <f>VLOOKUP(M652,CAC!$A$2:$B$198,2,FALSE)</f>
        <v>HMFLEX</v>
      </c>
    </row>
    <row r="653" spans="5:14" x14ac:dyDescent="0.25">
      <c r="E653" s="83">
        <v>201504</v>
      </c>
      <c r="F653" s="82" t="s">
        <v>746</v>
      </c>
      <c r="G653" s="82" t="s">
        <v>361</v>
      </c>
      <c r="H653" s="82" t="s">
        <v>344</v>
      </c>
      <c r="I653" s="95">
        <v>445</v>
      </c>
      <c r="K653" s="105" t="str">
        <f t="shared" si="29"/>
        <v>0016-1003-0012</v>
      </c>
      <c r="L653" s="105" t="str">
        <f>VLOOKUP(K653,COA!$A$3:$B$337,2,FALSE)</f>
        <v>R18</v>
      </c>
      <c r="M653" s="105" t="str">
        <f t="shared" si="30"/>
        <v>R18</v>
      </c>
      <c r="N653" s="105" t="str">
        <f>VLOOKUP(M653,CAC!$A$2:$B$198,2,FALSE)</f>
        <v>HMOMG</v>
      </c>
    </row>
    <row r="654" spans="5:14" x14ac:dyDescent="0.25">
      <c r="E654" s="83">
        <v>201711</v>
      </c>
      <c r="F654" s="82" t="s">
        <v>563</v>
      </c>
      <c r="G654" s="82" t="s">
        <v>350</v>
      </c>
      <c r="H654" s="82" t="s">
        <v>344</v>
      </c>
      <c r="I654" s="95">
        <v>0</v>
      </c>
      <c r="K654" s="105" t="str">
        <f t="shared" si="29"/>
        <v>0003-1012-0012</v>
      </c>
      <c r="L654" s="105" t="str">
        <f>VLOOKUP(K654,COA!$A$3:$B$337,2,FALSE)</f>
        <v>K51</v>
      </c>
      <c r="M654" s="105" t="str">
        <f t="shared" si="30"/>
        <v>K51</v>
      </c>
      <c r="N654" s="105" t="str">
        <f>VLOOKUP(M654,CAC!$A$2:$B$198,2,FALSE)</f>
        <v>PPOPMR</v>
      </c>
    </row>
    <row r="655" spans="5:14" x14ac:dyDescent="0.25">
      <c r="E655" s="83">
        <v>201607</v>
      </c>
      <c r="F655" s="82" t="s">
        <v>345</v>
      </c>
      <c r="G655" s="82" t="s">
        <v>354</v>
      </c>
      <c r="H655" s="82" t="s">
        <v>344</v>
      </c>
      <c r="I655" s="95">
        <v>6861.55</v>
      </c>
      <c r="K655" s="105" t="str">
        <f t="shared" si="29"/>
        <v>0011-1013-0012</v>
      </c>
      <c r="L655" s="105" t="str">
        <f>VLOOKUP(K655,COA!$A$3:$B$337,2,FALSE)</f>
        <v>N20</v>
      </c>
      <c r="M655" s="105" t="str">
        <f t="shared" si="30"/>
        <v>N20</v>
      </c>
      <c r="N655" s="105" t="str">
        <f>VLOOKUP(M655,CAC!$A$2:$B$198,2,FALSE)</f>
        <v>HMOPMR</v>
      </c>
    </row>
    <row r="656" spans="5:14" x14ac:dyDescent="0.25">
      <c r="E656" s="83">
        <v>201703</v>
      </c>
      <c r="F656" s="82" t="s">
        <v>405</v>
      </c>
      <c r="G656" s="82" t="s">
        <v>362</v>
      </c>
      <c r="H656" s="82" t="s">
        <v>342</v>
      </c>
      <c r="I656" s="95">
        <v>0</v>
      </c>
      <c r="K656" s="105" t="str">
        <f t="shared" si="29"/>
        <v>0019-1008-0031</v>
      </c>
      <c r="L656" s="105" t="str">
        <f>VLOOKUP(K656,COA!$A$3:$B$337,2,FALSE)</f>
        <v>P53</v>
      </c>
      <c r="M656" s="105" t="str">
        <f t="shared" si="30"/>
        <v>P53</v>
      </c>
      <c r="N656" s="105" t="str">
        <f>VLOOKUP(M656,CAC!$A$2:$B$198,2,FALSE)</f>
        <v>HMOPERA</v>
      </c>
    </row>
    <row r="657" spans="5:14" x14ac:dyDescent="0.25">
      <c r="E657" s="83">
        <v>201604</v>
      </c>
      <c r="F657" s="82" t="s">
        <v>746</v>
      </c>
      <c r="G657" s="82" t="s">
        <v>356</v>
      </c>
      <c r="H657" s="82" t="s">
        <v>764</v>
      </c>
      <c r="I657" s="95">
        <v>8</v>
      </c>
      <c r="K657" s="105" t="str">
        <f t="shared" si="29"/>
        <v>0016-1002-0064</v>
      </c>
      <c r="L657" s="105" t="str">
        <f>VLOOKUP(K657,COA!$A$3:$B$337,2,FALSE)</f>
        <v>R25</v>
      </c>
      <c r="M657" s="105" t="str">
        <f t="shared" si="30"/>
        <v>R25</v>
      </c>
      <c r="N657" s="105" t="str">
        <f>VLOOKUP(M657,CAC!$A$2:$B$198,2,FALSE)</f>
        <v>HMOMG</v>
      </c>
    </row>
    <row r="658" spans="5:14" x14ac:dyDescent="0.25">
      <c r="E658" s="83">
        <v>201707</v>
      </c>
      <c r="F658" s="82" t="s">
        <v>345</v>
      </c>
      <c r="G658" s="82" t="s">
        <v>361</v>
      </c>
      <c r="H658" s="82" t="s">
        <v>344</v>
      </c>
      <c r="I658" s="95">
        <v>905</v>
      </c>
      <c r="K658" s="105" t="str">
        <f t="shared" si="29"/>
        <v>0011-1003-0012</v>
      </c>
      <c r="L658" s="105" t="str">
        <f>VLOOKUP(K658,COA!$A$3:$B$337,2,FALSE)</f>
        <v>N16</v>
      </c>
      <c r="M658" s="105" t="str">
        <f t="shared" si="30"/>
        <v>N16</v>
      </c>
      <c r="N658" s="105" t="str">
        <f>VLOOKUP(M658,CAC!$A$2:$B$198,2,FALSE)</f>
        <v>HMOPMR</v>
      </c>
    </row>
    <row r="659" spans="5:14" x14ac:dyDescent="0.25">
      <c r="E659" s="83">
        <v>201602</v>
      </c>
      <c r="F659" s="82" t="s">
        <v>563</v>
      </c>
      <c r="G659" s="82" t="s">
        <v>354</v>
      </c>
      <c r="H659" s="82" t="s">
        <v>344</v>
      </c>
      <c r="I659" s="95">
        <v>0</v>
      </c>
      <c r="K659" s="105" t="str">
        <f t="shared" si="29"/>
        <v>0003-1013-0012</v>
      </c>
      <c r="L659" s="105" t="str">
        <f>VLOOKUP(K659,COA!$A$3:$B$337,2,FALSE)</f>
        <v>N55</v>
      </c>
      <c r="M659" s="105" t="str">
        <f t="shared" si="30"/>
        <v>N55</v>
      </c>
      <c r="N659" s="105" t="str">
        <f>VLOOKUP(M659,CAC!$A$2:$B$198,2,FALSE)</f>
        <v>PPOPMR</v>
      </c>
    </row>
    <row r="660" spans="5:14" x14ac:dyDescent="0.25">
      <c r="E660" s="83">
        <v>201702</v>
      </c>
      <c r="F660" s="82" t="s">
        <v>549</v>
      </c>
      <c r="G660" s="82" t="s">
        <v>352</v>
      </c>
      <c r="H660" s="82" t="s">
        <v>672</v>
      </c>
      <c r="I660" s="95">
        <v>0</v>
      </c>
      <c r="K660" s="105" t="str">
        <f t="shared" si="29"/>
        <v>0026-1004-0058</v>
      </c>
      <c r="L660" s="105" t="str">
        <f>VLOOKUP(K660,COA!$A$3:$B$337,2,FALSE)</f>
        <v>L44</v>
      </c>
      <c r="M660" s="105" t="str">
        <f t="shared" si="30"/>
        <v>L44</v>
      </c>
      <c r="N660" s="105" t="e">
        <f>VLOOKUP(M660,CAC!$A$2:$B$198,2,FALSE)</f>
        <v>#N/A</v>
      </c>
    </row>
    <row r="661" spans="5:14" x14ac:dyDescent="0.25">
      <c r="E661" s="83">
        <v>201701</v>
      </c>
      <c r="F661" s="82" t="s">
        <v>746</v>
      </c>
      <c r="G661" s="82" t="s">
        <v>356</v>
      </c>
      <c r="H661" s="82" t="s">
        <v>344</v>
      </c>
      <c r="I661" s="95">
        <v>140</v>
      </c>
      <c r="K661" s="105" t="str">
        <f t="shared" si="29"/>
        <v>0016-1002-0012</v>
      </c>
      <c r="L661" s="105" t="str">
        <f>VLOOKUP(K661,COA!$A$3:$B$337,2,FALSE)</f>
        <v>R18</v>
      </c>
      <c r="M661" s="105" t="str">
        <f t="shared" si="30"/>
        <v>R18</v>
      </c>
      <c r="N661" s="105" t="str">
        <f>VLOOKUP(M661,CAC!$A$2:$B$198,2,FALSE)</f>
        <v>HMOMG</v>
      </c>
    </row>
    <row r="662" spans="5:14" x14ac:dyDescent="0.25">
      <c r="E662" s="83">
        <v>201604</v>
      </c>
      <c r="F662" s="82" t="s">
        <v>563</v>
      </c>
      <c r="G662" s="82" t="s">
        <v>350</v>
      </c>
      <c r="H662" s="82" t="s">
        <v>626</v>
      </c>
      <c r="I662" s="95">
        <v>0</v>
      </c>
      <c r="K662" s="105" t="str">
        <f t="shared" si="29"/>
        <v>0003-1012-0057</v>
      </c>
      <c r="L662" s="105" t="str">
        <f>VLOOKUP(K662,COA!$A$3:$B$337,2,FALSE)</f>
        <v>K51</v>
      </c>
      <c r="M662" s="105" t="str">
        <f t="shared" si="30"/>
        <v>K51</v>
      </c>
      <c r="N662" s="105" t="str">
        <f>VLOOKUP(M662,CAC!$A$2:$B$198,2,FALSE)</f>
        <v>PPOPMR</v>
      </c>
    </row>
    <row r="663" spans="5:14" x14ac:dyDescent="0.25">
      <c r="E663" s="83">
        <v>201606</v>
      </c>
      <c r="F663" s="82" t="s">
        <v>345</v>
      </c>
      <c r="G663" s="82" t="s">
        <v>361</v>
      </c>
      <c r="H663" s="82" t="s">
        <v>344</v>
      </c>
      <c r="I663" s="95">
        <v>4088.45</v>
      </c>
      <c r="K663" s="105" t="str">
        <f t="shared" si="29"/>
        <v>0011-1003-0012</v>
      </c>
      <c r="L663" s="105" t="str">
        <f>VLOOKUP(K663,COA!$A$3:$B$337,2,FALSE)</f>
        <v>N16</v>
      </c>
      <c r="M663" s="105" t="str">
        <f t="shared" si="30"/>
        <v>N16</v>
      </c>
      <c r="N663" s="105" t="str">
        <f>VLOOKUP(M663,CAC!$A$2:$B$198,2,FALSE)</f>
        <v>HMOPMR</v>
      </c>
    </row>
    <row r="664" spans="5:14" x14ac:dyDescent="0.25">
      <c r="E664" s="83">
        <v>201510</v>
      </c>
      <c r="F664" s="82" t="s">
        <v>349</v>
      </c>
      <c r="G664" s="82" t="s">
        <v>369</v>
      </c>
      <c r="H664" s="82" t="s">
        <v>344</v>
      </c>
      <c r="I664" s="95">
        <v>37071</v>
      </c>
      <c r="K664" s="105" t="str">
        <f t="shared" si="29"/>
        <v>0017-1009-0012</v>
      </c>
      <c r="L664" s="105" t="str">
        <f>VLOOKUP(K664,COA!$A$3:$B$337,2,FALSE)</f>
        <v>R12</v>
      </c>
      <c r="M664" s="105" t="str">
        <f t="shared" si="30"/>
        <v>R12</v>
      </c>
      <c r="N664" s="105" t="str">
        <f>VLOOKUP(M664,CAC!$A$2:$B$198,2,FALSE)</f>
        <v>HMOMM</v>
      </c>
    </row>
    <row r="665" spans="5:14" x14ac:dyDescent="0.25">
      <c r="E665" s="83">
        <v>201612</v>
      </c>
      <c r="F665" s="82" t="s">
        <v>563</v>
      </c>
      <c r="G665" s="82" t="s">
        <v>354</v>
      </c>
      <c r="H665" s="82" t="s">
        <v>360</v>
      </c>
      <c r="I665" s="95">
        <v>0</v>
      </c>
      <c r="K665" s="105" t="str">
        <f t="shared" si="29"/>
        <v>0003-1013-0048</v>
      </c>
      <c r="L665" s="105" t="str">
        <f>VLOOKUP(K665,COA!$A$3:$B$337,2,FALSE)</f>
        <v>N56</v>
      </c>
      <c r="M665" s="105" t="str">
        <f t="shared" si="30"/>
        <v>N56</v>
      </c>
      <c r="N665" s="105" t="str">
        <f>VLOOKUP(M665,CAC!$A$2:$B$198,2,FALSE)</f>
        <v>HMFLEX</v>
      </c>
    </row>
    <row r="666" spans="5:14" x14ac:dyDescent="0.25">
      <c r="E666" s="83">
        <v>201709</v>
      </c>
      <c r="F666" s="82" t="s">
        <v>345</v>
      </c>
      <c r="G666" s="82" t="s">
        <v>361</v>
      </c>
      <c r="H666" s="82" t="s">
        <v>344</v>
      </c>
      <c r="I666" s="95">
        <v>915</v>
      </c>
      <c r="K666" s="105" t="str">
        <f t="shared" si="29"/>
        <v>0011-1003-0012</v>
      </c>
      <c r="L666" s="105" t="str">
        <f>VLOOKUP(K666,COA!$A$3:$B$337,2,FALSE)</f>
        <v>N16</v>
      </c>
      <c r="M666" s="105" t="str">
        <f t="shared" si="30"/>
        <v>N16</v>
      </c>
      <c r="N666" s="105" t="str">
        <f>VLOOKUP(M666,CAC!$A$2:$B$198,2,FALSE)</f>
        <v>HMOPMR</v>
      </c>
    </row>
    <row r="667" spans="5:14" x14ac:dyDescent="0.25">
      <c r="E667" s="83">
        <v>201609</v>
      </c>
      <c r="F667" s="82" t="s">
        <v>563</v>
      </c>
      <c r="G667" s="82" t="s">
        <v>348</v>
      </c>
      <c r="H667" s="82" t="s">
        <v>353</v>
      </c>
      <c r="I667" s="95">
        <v>0</v>
      </c>
      <c r="K667" s="105" t="str">
        <f t="shared" si="29"/>
        <v>0003-1010-0023</v>
      </c>
      <c r="L667" s="105" t="str">
        <f>VLOOKUP(K667,COA!$A$3:$B$337,2,FALSE)</f>
        <v>S54</v>
      </c>
      <c r="M667" s="105" t="str">
        <f t="shared" si="30"/>
        <v>S54</v>
      </c>
      <c r="N667" s="105" t="str">
        <f>VLOOKUP(M667,CAC!$A$2:$B$198,2,FALSE)</f>
        <v>PPOSG</v>
      </c>
    </row>
    <row r="668" spans="5:14" x14ac:dyDescent="0.25">
      <c r="E668" s="83">
        <v>201704</v>
      </c>
      <c r="F668" s="82" t="s">
        <v>563</v>
      </c>
      <c r="G668" s="82" t="s">
        <v>365</v>
      </c>
      <c r="H668" s="82" t="s">
        <v>367</v>
      </c>
      <c r="I668" s="95">
        <v>0</v>
      </c>
      <c r="K668" s="105" t="str">
        <f t="shared" si="29"/>
        <v>0003-1001-0022</v>
      </c>
      <c r="L668" s="105" t="str">
        <f>VLOOKUP(K668,COA!$A$3:$B$337,2,FALSE)</f>
        <v>V54</v>
      </c>
      <c r="M668" s="105" t="str">
        <f t="shared" si="30"/>
        <v>V54</v>
      </c>
      <c r="N668" s="105" t="str">
        <f>VLOOKUP(M668,CAC!$A$2:$B$198,2,FALSE)</f>
        <v>PPOIFP</v>
      </c>
    </row>
    <row r="669" spans="5:14" x14ac:dyDescent="0.25">
      <c r="E669" s="83">
        <v>201612</v>
      </c>
      <c r="F669" s="82" t="s">
        <v>344</v>
      </c>
      <c r="G669" s="82" t="s">
        <v>354</v>
      </c>
      <c r="H669" s="82" t="s">
        <v>344</v>
      </c>
      <c r="I669" s="95">
        <v>286</v>
      </c>
      <c r="K669" s="105" t="str">
        <f t="shared" si="29"/>
        <v>0012-1013-0012</v>
      </c>
      <c r="L669" s="105" t="str">
        <f>VLOOKUP(K669,COA!$A$3:$B$337,2,FALSE)</f>
        <v>N14</v>
      </c>
      <c r="M669" s="105" t="str">
        <f t="shared" si="30"/>
        <v>N14</v>
      </c>
      <c r="N669" s="105" t="str">
        <f>VLOOKUP(M669,CAC!$A$2:$B$198,2,FALSE)</f>
        <v>HMOPMR</v>
      </c>
    </row>
    <row r="670" spans="5:14" x14ac:dyDescent="0.25">
      <c r="E670" s="83">
        <v>201509</v>
      </c>
      <c r="F670" s="82" t="s">
        <v>345</v>
      </c>
      <c r="G670" s="82" t="s">
        <v>348</v>
      </c>
      <c r="H670" s="82" t="s">
        <v>358</v>
      </c>
      <c r="I670" s="95">
        <v>58</v>
      </c>
      <c r="K670" s="105" t="str">
        <f t="shared" si="29"/>
        <v>0011-1010-0024</v>
      </c>
      <c r="L670" s="105" t="str">
        <f>VLOOKUP(K670,COA!$A$3:$B$337,2,FALSE)</f>
        <v>S14</v>
      </c>
      <c r="M670" s="105" t="str">
        <f t="shared" si="30"/>
        <v>S14</v>
      </c>
      <c r="N670" s="105" t="str">
        <f>VLOOKUP(M670,CAC!$A$2:$B$198,2,FALSE)</f>
        <v>HMOSG</v>
      </c>
    </row>
    <row r="671" spans="5:14" x14ac:dyDescent="0.25">
      <c r="E671" s="83">
        <v>201708</v>
      </c>
      <c r="F671" s="82" t="s">
        <v>345</v>
      </c>
      <c r="G671" s="82" t="s">
        <v>359</v>
      </c>
      <c r="H671" s="82" t="s">
        <v>344</v>
      </c>
      <c r="I671" s="95">
        <v>6892.97</v>
      </c>
      <c r="K671" s="105" t="str">
        <f t="shared" si="29"/>
        <v>0011-1005-0012</v>
      </c>
      <c r="L671" s="105" t="str">
        <f>VLOOKUP(K671,COA!$A$3:$B$337,2,FALSE)</f>
        <v>N11</v>
      </c>
      <c r="M671" s="105" t="str">
        <f t="shared" si="30"/>
        <v>N11</v>
      </c>
      <c r="N671" s="105" t="str">
        <f>VLOOKUP(M671,CAC!$A$2:$B$198,2,FALSE)</f>
        <v>HMOLG</v>
      </c>
    </row>
    <row r="672" spans="5:14" x14ac:dyDescent="0.25">
      <c r="E672" s="83">
        <v>201712</v>
      </c>
      <c r="F672" s="82" t="s">
        <v>345</v>
      </c>
      <c r="G672" s="82" t="s">
        <v>348</v>
      </c>
      <c r="H672" s="82" t="s">
        <v>353</v>
      </c>
      <c r="I672" s="95">
        <v>636.05999999999995</v>
      </c>
      <c r="K672" s="105" t="str">
        <f t="shared" si="29"/>
        <v>0011-1010-0023</v>
      </c>
      <c r="L672" s="105" t="str">
        <f>VLOOKUP(K672,COA!$A$3:$B$337,2,FALSE)</f>
        <v>S13</v>
      </c>
      <c r="M672" s="105" t="str">
        <f t="shared" si="30"/>
        <v>S13</v>
      </c>
      <c r="N672" s="105" t="str">
        <f>VLOOKUP(M672,CAC!$A$2:$B$198,2,FALSE)</f>
        <v>HMOSG</v>
      </c>
    </row>
    <row r="673" spans="5:14" x14ac:dyDescent="0.25">
      <c r="E673" s="83">
        <v>201705</v>
      </c>
      <c r="F673" s="82" t="s">
        <v>746</v>
      </c>
      <c r="G673" s="82" t="s">
        <v>361</v>
      </c>
      <c r="H673" s="82" t="s">
        <v>344</v>
      </c>
      <c r="I673" s="95">
        <v>498</v>
      </c>
      <c r="K673" s="105" t="str">
        <f t="shared" si="29"/>
        <v>0016-1003-0012</v>
      </c>
      <c r="L673" s="105" t="str">
        <f>VLOOKUP(K673,COA!$A$3:$B$337,2,FALSE)</f>
        <v>R18</v>
      </c>
      <c r="M673" s="105" t="str">
        <f t="shared" si="30"/>
        <v>R18</v>
      </c>
      <c r="N673" s="105" t="str">
        <f>VLOOKUP(M673,CAC!$A$2:$B$198,2,FALSE)</f>
        <v>HMOMG</v>
      </c>
    </row>
    <row r="674" spans="5:14" x14ac:dyDescent="0.25">
      <c r="E674" s="83">
        <v>201709</v>
      </c>
      <c r="F674" s="82" t="s">
        <v>344</v>
      </c>
      <c r="G674" s="82" t="s">
        <v>356</v>
      </c>
      <c r="H674" s="82" t="s">
        <v>344</v>
      </c>
      <c r="I674" s="95">
        <v>4285.0600000000004</v>
      </c>
      <c r="K674" s="105" t="str">
        <f t="shared" si="29"/>
        <v>0012-1002-0012</v>
      </c>
      <c r="L674" s="105" t="str">
        <f>VLOOKUP(K674,COA!$A$3:$B$337,2,FALSE)</f>
        <v>F22</v>
      </c>
      <c r="M674" s="105" t="str">
        <f t="shared" si="30"/>
        <v>F22</v>
      </c>
      <c r="N674" s="105" t="str">
        <f>VLOOKUP(M674,CAC!$A$2:$B$198,2,FALSE)</f>
        <v>HMOPMR</v>
      </c>
    </row>
    <row r="675" spans="5:14" x14ac:dyDescent="0.25">
      <c r="E675" s="83">
        <v>201706</v>
      </c>
      <c r="F675" s="82" t="s">
        <v>345</v>
      </c>
      <c r="G675" s="82" t="s">
        <v>348</v>
      </c>
      <c r="H675" s="82" t="s">
        <v>353</v>
      </c>
      <c r="I675" s="95">
        <v>367</v>
      </c>
      <c r="K675" s="105" t="str">
        <f t="shared" si="29"/>
        <v>0011-1010-0023</v>
      </c>
      <c r="L675" s="105" t="str">
        <f>VLOOKUP(K675,COA!$A$3:$B$337,2,FALSE)</f>
        <v>S13</v>
      </c>
      <c r="M675" s="105" t="str">
        <f t="shared" si="30"/>
        <v>S13</v>
      </c>
      <c r="N675" s="105" t="str">
        <f>VLOOKUP(M675,CAC!$A$2:$B$198,2,FALSE)</f>
        <v>HMOSG</v>
      </c>
    </row>
    <row r="676" spans="5:14" x14ac:dyDescent="0.25">
      <c r="E676" s="83">
        <v>201612</v>
      </c>
      <c r="F676" s="82" t="s">
        <v>563</v>
      </c>
      <c r="G676" s="82" t="s">
        <v>348</v>
      </c>
      <c r="H676" s="82" t="s">
        <v>353</v>
      </c>
      <c r="I676" s="95">
        <v>0</v>
      </c>
      <c r="K676" s="105" t="str">
        <f t="shared" si="29"/>
        <v>0003-1010-0023</v>
      </c>
      <c r="L676" s="105" t="str">
        <f>VLOOKUP(K676,COA!$A$3:$B$337,2,FALSE)</f>
        <v>S54</v>
      </c>
      <c r="M676" s="105" t="str">
        <f t="shared" si="30"/>
        <v>S54</v>
      </c>
      <c r="N676" s="105" t="str">
        <f>VLOOKUP(M676,CAC!$A$2:$B$198,2,FALSE)</f>
        <v>PPOSG</v>
      </c>
    </row>
    <row r="677" spans="5:14" x14ac:dyDescent="0.25">
      <c r="E677" s="83">
        <v>201608</v>
      </c>
      <c r="F677" s="82" t="s">
        <v>345</v>
      </c>
      <c r="G677" s="82" t="s">
        <v>348</v>
      </c>
      <c r="H677" s="82" t="s">
        <v>358</v>
      </c>
      <c r="I677" s="95">
        <v>72</v>
      </c>
      <c r="K677" s="105" t="str">
        <f t="shared" si="29"/>
        <v>0011-1010-0024</v>
      </c>
      <c r="L677" s="105" t="str">
        <f>VLOOKUP(K677,COA!$A$3:$B$337,2,FALSE)</f>
        <v>S14</v>
      </c>
      <c r="M677" s="105" t="str">
        <f t="shared" si="30"/>
        <v>S14</v>
      </c>
      <c r="N677" s="105" t="str">
        <f>VLOOKUP(M677,CAC!$A$2:$B$198,2,FALSE)</f>
        <v>HMOSG</v>
      </c>
    </row>
    <row r="678" spans="5:14" x14ac:dyDescent="0.25">
      <c r="E678" s="83">
        <v>201601</v>
      </c>
      <c r="F678" s="82" t="s">
        <v>345</v>
      </c>
      <c r="G678" s="82" t="s">
        <v>350</v>
      </c>
      <c r="H678" s="82" t="s">
        <v>344</v>
      </c>
      <c r="I678" s="95">
        <v>14950.66</v>
      </c>
      <c r="K678" s="105" t="str">
        <f t="shared" si="29"/>
        <v>0011-1012-0012</v>
      </c>
      <c r="L678" s="105" t="str">
        <f>VLOOKUP(K678,COA!$A$3:$B$337,2,FALSE)</f>
        <v>K11</v>
      </c>
      <c r="M678" s="105" t="str">
        <f t="shared" si="30"/>
        <v>K11</v>
      </c>
      <c r="N678" s="105" t="str">
        <f>VLOOKUP(M678,CAC!$A$2:$B$198,2,FALSE)</f>
        <v>HMOPMR</v>
      </c>
    </row>
    <row r="679" spans="5:14" x14ac:dyDescent="0.25">
      <c r="E679" s="83">
        <v>201508</v>
      </c>
      <c r="F679" s="82" t="s">
        <v>563</v>
      </c>
      <c r="G679" s="82" t="s">
        <v>359</v>
      </c>
      <c r="H679" s="82" t="s">
        <v>344</v>
      </c>
      <c r="I679" s="95">
        <v>0</v>
      </c>
      <c r="K679" s="105" t="str">
        <f t="shared" si="29"/>
        <v>0003-1005-0012</v>
      </c>
      <c r="L679" s="105" t="str">
        <f>VLOOKUP(K679,COA!$A$3:$B$337,2,FALSE)</f>
        <v>N51</v>
      </c>
      <c r="M679" s="105" t="str">
        <f t="shared" si="30"/>
        <v>N51</v>
      </c>
      <c r="N679" s="105" t="str">
        <f>VLOOKUP(M679,CAC!$A$2:$B$198,2,FALSE)</f>
        <v>PPOLG</v>
      </c>
    </row>
    <row r="680" spans="5:14" x14ac:dyDescent="0.25">
      <c r="E680" s="83">
        <v>201603</v>
      </c>
      <c r="F680" s="82" t="s">
        <v>413</v>
      </c>
      <c r="G680" s="82" t="s">
        <v>365</v>
      </c>
      <c r="H680" s="82" t="s">
        <v>344</v>
      </c>
      <c r="I680" s="95">
        <v>0</v>
      </c>
      <c r="K680" s="105" t="str">
        <f t="shared" si="29"/>
        <v>0008-1001-0012</v>
      </c>
      <c r="L680" s="105" t="str">
        <f>VLOOKUP(K680,COA!$A$3:$B$337,2,FALSE)</f>
        <v>C95</v>
      </c>
      <c r="M680" s="105" t="str">
        <f t="shared" si="30"/>
        <v>C95</v>
      </c>
      <c r="N680" s="105" t="str">
        <f>VLOOKUP(M680,CAC!$A$2:$B$198,2,FALSE)</f>
        <v>DOIIFP</v>
      </c>
    </row>
    <row r="681" spans="5:14" x14ac:dyDescent="0.25">
      <c r="E681" s="83">
        <v>201701</v>
      </c>
      <c r="F681" s="82" t="s">
        <v>413</v>
      </c>
      <c r="G681" s="82" t="s">
        <v>359</v>
      </c>
      <c r="H681" s="82" t="s">
        <v>344</v>
      </c>
      <c r="I681" s="95">
        <v>0</v>
      </c>
      <c r="K681" s="105" t="str">
        <f t="shared" si="29"/>
        <v>0008-1005-0012</v>
      </c>
      <c r="L681" s="105" t="str">
        <f>VLOOKUP(K681,COA!$A$3:$B$337,2,FALSE)</f>
        <v>C73</v>
      </c>
      <c r="M681" s="105" t="str">
        <f t="shared" si="30"/>
        <v>C73</v>
      </c>
      <c r="N681" s="105" t="str">
        <f>VLOOKUP(M681,CAC!$A$2:$B$198,2,FALSE)</f>
        <v>DOILG</v>
      </c>
    </row>
    <row r="682" spans="5:14" x14ac:dyDescent="0.25">
      <c r="E682" s="83">
        <v>201710</v>
      </c>
      <c r="F682" s="82" t="s">
        <v>413</v>
      </c>
      <c r="G682" s="82" t="s">
        <v>355</v>
      </c>
      <c r="H682" s="82" t="s">
        <v>344</v>
      </c>
      <c r="I682" s="95">
        <v>0</v>
      </c>
      <c r="K682" s="105" t="str">
        <f t="shared" si="29"/>
        <v>0008-1006-0012</v>
      </c>
      <c r="L682" s="105" t="str">
        <f>VLOOKUP(K682,COA!$A$3:$B$337,2,FALSE)</f>
        <v>C96</v>
      </c>
      <c r="M682" s="105" t="str">
        <f t="shared" si="30"/>
        <v>C96</v>
      </c>
      <c r="N682" s="105" t="str">
        <f>VLOOKUP(M682,CAC!$A$2:$B$198,2,FALSE)</f>
        <v>DOILG</v>
      </c>
    </row>
    <row r="683" spans="5:14" x14ac:dyDescent="0.25">
      <c r="E683" s="83">
        <v>201512</v>
      </c>
      <c r="F683" s="82" t="s">
        <v>344</v>
      </c>
      <c r="G683" s="82" t="s">
        <v>361</v>
      </c>
      <c r="H683" s="82" t="s">
        <v>344</v>
      </c>
      <c r="I683" s="95">
        <v>0</v>
      </c>
      <c r="K683" s="105" t="str">
        <f t="shared" si="29"/>
        <v>0012-1003-0012</v>
      </c>
      <c r="L683" s="105" t="str">
        <f>VLOOKUP(K683,COA!$A$3:$B$337,2,FALSE)</f>
        <v>N15</v>
      </c>
      <c r="M683" s="105" t="str">
        <f t="shared" si="30"/>
        <v>N15</v>
      </c>
      <c r="N683" s="105" t="str">
        <f>VLOOKUP(M683,CAC!$A$2:$B$198,2,FALSE)</f>
        <v>HMOPMR</v>
      </c>
    </row>
    <row r="684" spans="5:14" x14ac:dyDescent="0.25">
      <c r="E684" s="83">
        <v>201708</v>
      </c>
      <c r="F684" s="82" t="s">
        <v>345</v>
      </c>
      <c r="G684" s="82" t="s">
        <v>356</v>
      </c>
      <c r="H684" s="82" t="s">
        <v>344</v>
      </c>
      <c r="I684" s="95">
        <v>16127.55</v>
      </c>
      <c r="K684" s="105" t="str">
        <f t="shared" si="29"/>
        <v>0011-1002-0012</v>
      </c>
      <c r="L684" s="105" t="str">
        <f>VLOOKUP(K684,COA!$A$3:$B$337,2,FALSE)</f>
        <v>F20</v>
      </c>
      <c r="M684" s="105" t="str">
        <f t="shared" si="30"/>
        <v>F20</v>
      </c>
      <c r="N684" s="105" t="str">
        <f>VLOOKUP(M684,CAC!$A$2:$B$198,2,FALSE)</f>
        <v>HMOPMR</v>
      </c>
    </row>
    <row r="685" spans="5:14" x14ac:dyDescent="0.25">
      <c r="E685" s="83">
        <v>201505</v>
      </c>
      <c r="F685" s="82" t="s">
        <v>344</v>
      </c>
      <c r="G685" s="82" t="s">
        <v>352</v>
      </c>
      <c r="H685" s="82" t="s">
        <v>344</v>
      </c>
      <c r="I685" s="95">
        <v>265</v>
      </c>
      <c r="K685" s="105" t="str">
        <f t="shared" si="29"/>
        <v>0012-1004-0012</v>
      </c>
      <c r="L685" s="105" t="str">
        <f>VLOOKUP(K685,COA!$A$3:$B$337,2,FALSE)</f>
        <v>L12</v>
      </c>
      <c r="M685" s="105" t="str">
        <f t="shared" si="30"/>
        <v>L12</v>
      </c>
      <c r="N685" s="105" t="str">
        <f>VLOOKUP(M685,CAC!$A$2:$B$198,2,FALSE)</f>
        <v>HMOLG</v>
      </c>
    </row>
    <row r="686" spans="5:14" x14ac:dyDescent="0.25">
      <c r="E686" s="83">
        <v>201709</v>
      </c>
      <c r="F686" s="82" t="s">
        <v>345</v>
      </c>
      <c r="G686" s="82" t="s">
        <v>352</v>
      </c>
      <c r="H686" s="82" t="s">
        <v>653</v>
      </c>
      <c r="I686" s="95">
        <v>0</v>
      </c>
      <c r="K686" s="105" t="str">
        <f t="shared" si="29"/>
        <v>0011-1004-0047</v>
      </c>
      <c r="L686" s="105" t="str">
        <f>VLOOKUP(K686,COA!$A$3:$B$337,2,FALSE)</f>
        <v>L17</v>
      </c>
      <c r="M686" s="105" t="str">
        <f t="shared" si="30"/>
        <v>L17</v>
      </c>
      <c r="N686" s="105" t="str">
        <f>VLOOKUP(M686,CAC!$A$2:$B$198,2,FALSE)</f>
        <v>HMOLG</v>
      </c>
    </row>
    <row r="687" spans="5:14" x14ac:dyDescent="0.25">
      <c r="E687" s="83">
        <v>201701</v>
      </c>
      <c r="F687" s="82" t="s">
        <v>746</v>
      </c>
      <c r="G687" s="82" t="s">
        <v>352</v>
      </c>
      <c r="H687" s="82" t="s">
        <v>344</v>
      </c>
      <c r="I687" s="95">
        <v>3</v>
      </c>
      <c r="K687" s="105" t="str">
        <f t="shared" si="29"/>
        <v>0016-1004-0012</v>
      </c>
      <c r="L687" s="105" t="str">
        <f>VLOOKUP(K687,COA!$A$3:$B$337,2,FALSE)</f>
        <v>R20</v>
      </c>
      <c r="M687" s="105" t="str">
        <f t="shared" si="30"/>
        <v>R20</v>
      </c>
      <c r="N687" s="105" t="str">
        <f>VLOOKUP(M687,CAC!$A$2:$B$198,2,FALSE)</f>
        <v>HMOMG</v>
      </c>
    </row>
    <row r="688" spans="5:14" x14ac:dyDescent="0.25">
      <c r="E688" s="83">
        <v>201705</v>
      </c>
      <c r="F688" s="82" t="s">
        <v>563</v>
      </c>
      <c r="G688" s="82" t="s">
        <v>365</v>
      </c>
      <c r="H688" s="82" t="s">
        <v>367</v>
      </c>
      <c r="I688" s="95">
        <v>0</v>
      </c>
      <c r="K688" s="105" t="str">
        <f t="shared" si="29"/>
        <v>0003-1001-0022</v>
      </c>
      <c r="L688" s="105" t="str">
        <f>VLOOKUP(K688,COA!$A$3:$B$337,2,FALSE)</f>
        <v>V54</v>
      </c>
      <c r="M688" s="105" t="str">
        <f t="shared" si="30"/>
        <v>V54</v>
      </c>
      <c r="N688" s="105" t="str">
        <f>VLOOKUP(M688,CAC!$A$2:$B$198,2,FALSE)</f>
        <v>PPOIFP</v>
      </c>
    </row>
    <row r="689" spans="5:14" x14ac:dyDescent="0.25">
      <c r="E689" s="83">
        <v>201707</v>
      </c>
      <c r="F689" s="82" t="s">
        <v>563</v>
      </c>
      <c r="G689" s="82" t="s">
        <v>359</v>
      </c>
      <c r="H689" s="82" t="s">
        <v>344</v>
      </c>
      <c r="I689" s="95">
        <v>0</v>
      </c>
      <c r="K689" s="105" t="str">
        <f t="shared" si="29"/>
        <v>0003-1005-0012</v>
      </c>
      <c r="L689" s="105" t="str">
        <f>VLOOKUP(K689,COA!$A$3:$B$337,2,FALSE)</f>
        <v>N51</v>
      </c>
      <c r="M689" s="105" t="str">
        <f t="shared" si="30"/>
        <v>N51</v>
      </c>
      <c r="N689" s="105" t="str">
        <f>VLOOKUP(M689,CAC!$A$2:$B$198,2,FALSE)</f>
        <v>PPOLG</v>
      </c>
    </row>
    <row r="690" spans="5:14" x14ac:dyDescent="0.25">
      <c r="E690" s="83">
        <v>201510</v>
      </c>
      <c r="F690" s="82" t="s">
        <v>746</v>
      </c>
      <c r="G690" s="82" t="s">
        <v>362</v>
      </c>
      <c r="H690" s="82" t="s">
        <v>364</v>
      </c>
      <c r="I690" s="95">
        <v>5937</v>
      </c>
      <c r="K690" s="105" t="str">
        <f t="shared" si="29"/>
        <v>0016-1008-0037</v>
      </c>
      <c r="L690" s="105" t="str">
        <f>VLOOKUP(K690,COA!$A$3:$B$337,2,FALSE)</f>
        <v>R24</v>
      </c>
      <c r="M690" s="105" t="str">
        <f t="shared" si="30"/>
        <v>R24</v>
      </c>
      <c r="N690" s="105" t="str">
        <f>VLOOKUP(M690,CAC!$A$2:$B$198,2,FALSE)</f>
        <v>PERMAPD</v>
      </c>
    </row>
    <row r="691" spans="5:14" x14ac:dyDescent="0.25">
      <c r="E691" s="83">
        <v>201510</v>
      </c>
      <c r="F691" s="82" t="s">
        <v>506</v>
      </c>
      <c r="G691" s="82" t="s">
        <v>359</v>
      </c>
      <c r="H691" s="82" t="s">
        <v>592</v>
      </c>
      <c r="I691" s="95">
        <v>0</v>
      </c>
      <c r="K691" s="105" t="str">
        <f t="shared" si="29"/>
        <v>0013-1005-0035</v>
      </c>
      <c r="L691" s="105" t="str">
        <f>VLOOKUP(K691,COA!$A$3:$B$337,2,FALSE)</f>
        <v>N41</v>
      </c>
      <c r="M691" s="105" t="str">
        <f t="shared" si="30"/>
        <v>N41</v>
      </c>
      <c r="N691" s="105" t="e">
        <f>VLOOKUP(M691,CAC!$A$2:$B$198,2,FALSE)</f>
        <v>#N/A</v>
      </c>
    </row>
    <row r="692" spans="5:14" x14ac:dyDescent="0.25">
      <c r="E692" s="83">
        <v>201701</v>
      </c>
      <c r="F692" s="82" t="s">
        <v>345</v>
      </c>
      <c r="G692" s="82" t="s">
        <v>346</v>
      </c>
      <c r="H692" s="82" t="s">
        <v>360</v>
      </c>
      <c r="I692" s="95">
        <v>337.97</v>
      </c>
      <c r="K692" s="105" t="str">
        <f t="shared" si="29"/>
        <v>0011-1014-0048</v>
      </c>
      <c r="L692" s="105" t="str">
        <f>VLOOKUP(K692,COA!$A$3:$B$337,2,FALSE)</f>
        <v>K23</v>
      </c>
      <c r="M692" s="105" t="str">
        <f t="shared" si="30"/>
        <v>K23</v>
      </c>
      <c r="N692" s="105" t="str">
        <f>VLOOKUP(M692,CAC!$A$2:$B$198,2,FALSE)</f>
        <v>HMFLEX</v>
      </c>
    </row>
    <row r="693" spans="5:14" x14ac:dyDescent="0.25">
      <c r="E693" s="83">
        <v>201506</v>
      </c>
      <c r="F693" s="82" t="s">
        <v>746</v>
      </c>
      <c r="G693" s="82" t="s">
        <v>362</v>
      </c>
      <c r="H693" s="82" t="s">
        <v>364</v>
      </c>
      <c r="I693" s="95">
        <v>5810</v>
      </c>
      <c r="K693" s="105" t="str">
        <f t="shared" si="29"/>
        <v>0016-1008-0037</v>
      </c>
      <c r="L693" s="105" t="str">
        <f>VLOOKUP(K693,COA!$A$3:$B$337,2,FALSE)</f>
        <v>R24</v>
      </c>
      <c r="M693" s="105" t="str">
        <f t="shared" si="30"/>
        <v>R24</v>
      </c>
      <c r="N693" s="105" t="str">
        <f>VLOOKUP(M693,CAC!$A$2:$B$198,2,FALSE)</f>
        <v>PERMAPD</v>
      </c>
    </row>
    <row r="694" spans="5:14" x14ac:dyDescent="0.25">
      <c r="E694" s="83">
        <v>201612</v>
      </c>
      <c r="F694" s="82" t="s">
        <v>506</v>
      </c>
      <c r="G694" s="82" t="s">
        <v>346</v>
      </c>
      <c r="H694" s="82" t="s">
        <v>592</v>
      </c>
      <c r="I694" s="95">
        <v>0</v>
      </c>
      <c r="K694" s="105" t="str">
        <f t="shared" si="29"/>
        <v>0013-1014-0035</v>
      </c>
      <c r="L694" s="105" t="str">
        <f>VLOOKUP(K694,COA!$A$3:$B$337,2,FALSE)</f>
        <v>K42</v>
      </c>
      <c r="M694" s="105" t="str">
        <f t="shared" si="30"/>
        <v>K42</v>
      </c>
      <c r="N694" s="105" t="str">
        <f>VLOOKUP(M694,CAC!$A$2:$B$198,2,FALSE)</f>
        <v>HMFLEX</v>
      </c>
    </row>
    <row r="695" spans="5:14" x14ac:dyDescent="0.25">
      <c r="E695" s="83">
        <v>201606</v>
      </c>
      <c r="F695" s="82" t="s">
        <v>563</v>
      </c>
      <c r="G695" s="82" t="s">
        <v>350</v>
      </c>
      <c r="H695" s="82" t="s">
        <v>360</v>
      </c>
      <c r="I695" s="95">
        <v>0</v>
      </c>
      <c r="K695" s="105" t="str">
        <f t="shared" si="29"/>
        <v>0003-1012-0048</v>
      </c>
      <c r="L695" s="105" t="str">
        <f>VLOOKUP(K695,COA!$A$3:$B$337,2,FALSE)</f>
        <v>K56</v>
      </c>
      <c r="M695" s="105" t="str">
        <f t="shared" si="30"/>
        <v>K56</v>
      </c>
      <c r="N695" s="105" t="str">
        <f>VLOOKUP(M695,CAC!$A$2:$B$198,2,FALSE)</f>
        <v>HMFLEX</v>
      </c>
    </row>
    <row r="696" spans="5:14" x14ac:dyDescent="0.25">
      <c r="E696" s="83">
        <v>201606</v>
      </c>
      <c r="F696" s="82" t="s">
        <v>345</v>
      </c>
      <c r="G696" s="82" t="s">
        <v>346</v>
      </c>
      <c r="H696" s="82" t="s">
        <v>360</v>
      </c>
      <c r="I696" s="95">
        <v>362</v>
      </c>
      <c r="K696" s="105" t="str">
        <f t="shared" si="29"/>
        <v>0011-1014-0048</v>
      </c>
      <c r="L696" s="105" t="str">
        <f>VLOOKUP(K696,COA!$A$3:$B$337,2,FALSE)</f>
        <v>K23</v>
      </c>
      <c r="M696" s="105" t="str">
        <f t="shared" si="30"/>
        <v>K23</v>
      </c>
      <c r="N696" s="105" t="str">
        <f>VLOOKUP(M696,CAC!$A$2:$B$198,2,FALSE)</f>
        <v>HMFLEX</v>
      </c>
    </row>
    <row r="697" spans="5:14" x14ac:dyDescent="0.25">
      <c r="E697" s="83">
        <v>201502</v>
      </c>
      <c r="F697" s="82" t="s">
        <v>563</v>
      </c>
      <c r="G697" s="82" t="s">
        <v>348</v>
      </c>
      <c r="H697" s="82" t="s">
        <v>358</v>
      </c>
      <c r="I697" s="95">
        <v>0</v>
      </c>
      <c r="K697" s="105" t="str">
        <f t="shared" si="29"/>
        <v>0003-1010-0024</v>
      </c>
      <c r="L697" s="105" t="str">
        <f>VLOOKUP(K697,COA!$A$3:$B$337,2,FALSE)</f>
        <v>S56</v>
      </c>
      <c r="M697" s="105" t="str">
        <f t="shared" si="30"/>
        <v>S56</v>
      </c>
      <c r="N697" s="105" t="str">
        <f>VLOOKUP(M697,CAC!$A$2:$B$198,2,FALSE)</f>
        <v>PPOSG</v>
      </c>
    </row>
    <row r="698" spans="5:14" x14ac:dyDescent="0.25">
      <c r="E698" s="83">
        <v>201507</v>
      </c>
      <c r="F698" s="82" t="s">
        <v>345</v>
      </c>
      <c r="G698" s="82" t="s">
        <v>351</v>
      </c>
      <c r="H698" s="82" t="s">
        <v>353</v>
      </c>
      <c r="I698" s="95">
        <v>1</v>
      </c>
      <c r="K698" s="105" t="str">
        <f t="shared" si="29"/>
        <v>0011-0000-0023</v>
      </c>
      <c r="L698" s="105" t="e">
        <f>VLOOKUP(K698,COA!$A$3:$B$337,2,FALSE)</f>
        <v>#N/A</v>
      </c>
      <c r="M698" s="105" t="str">
        <f t="shared" si="30"/>
        <v>XXX</v>
      </c>
      <c r="N698" s="105" t="str">
        <f>VLOOKUP(M698,CAC!$A$2:$B$198,2,FALSE)</f>
        <v>XXX</v>
      </c>
    </row>
    <row r="699" spans="5:14" x14ac:dyDescent="0.25">
      <c r="E699" s="83">
        <v>201612</v>
      </c>
      <c r="F699" s="82" t="s">
        <v>506</v>
      </c>
      <c r="G699" s="82" t="s">
        <v>359</v>
      </c>
      <c r="H699" s="82" t="s">
        <v>592</v>
      </c>
      <c r="I699" s="95">
        <v>0</v>
      </c>
      <c r="K699" s="105" t="str">
        <f t="shared" si="29"/>
        <v>0013-1005-0035</v>
      </c>
      <c r="L699" s="105" t="str">
        <f>VLOOKUP(K699,COA!$A$3:$B$337,2,FALSE)</f>
        <v>N41</v>
      </c>
      <c r="M699" s="105" t="str">
        <f t="shared" si="30"/>
        <v>N41</v>
      </c>
      <c r="N699" s="105" t="e">
        <f>VLOOKUP(M699,CAC!$A$2:$B$198,2,FALSE)</f>
        <v>#N/A</v>
      </c>
    </row>
    <row r="700" spans="5:14" x14ac:dyDescent="0.25">
      <c r="E700" s="83">
        <v>201607</v>
      </c>
      <c r="F700" s="82" t="s">
        <v>563</v>
      </c>
      <c r="G700" s="82" t="s">
        <v>350</v>
      </c>
      <c r="H700" s="82" t="s">
        <v>344</v>
      </c>
      <c r="I700" s="95">
        <v>0</v>
      </c>
      <c r="K700" s="105" t="str">
        <f t="shared" si="29"/>
        <v>0003-1012-0012</v>
      </c>
      <c r="L700" s="105" t="str">
        <f>VLOOKUP(K700,COA!$A$3:$B$337,2,FALSE)</f>
        <v>K51</v>
      </c>
      <c r="M700" s="105" t="str">
        <f t="shared" si="30"/>
        <v>K51</v>
      </c>
      <c r="N700" s="105" t="str">
        <f>VLOOKUP(M700,CAC!$A$2:$B$198,2,FALSE)</f>
        <v>PPOPMR</v>
      </c>
    </row>
    <row r="701" spans="5:14" x14ac:dyDescent="0.25">
      <c r="E701" s="83">
        <v>201505</v>
      </c>
      <c r="F701" s="82" t="s">
        <v>345</v>
      </c>
      <c r="G701" s="82" t="s">
        <v>359</v>
      </c>
      <c r="H701" s="82" t="s">
        <v>344</v>
      </c>
      <c r="I701" s="95">
        <v>2189.4499999999998</v>
      </c>
      <c r="K701" s="105" t="str">
        <f t="shared" si="29"/>
        <v>0011-1005-0012</v>
      </c>
      <c r="L701" s="105" t="str">
        <f>VLOOKUP(K701,COA!$A$3:$B$337,2,FALSE)</f>
        <v>N11</v>
      </c>
      <c r="M701" s="105" t="str">
        <f t="shared" si="30"/>
        <v>N11</v>
      </c>
      <c r="N701" s="105" t="str">
        <f>VLOOKUP(M701,CAC!$A$2:$B$198,2,FALSE)</f>
        <v>HMOLG</v>
      </c>
    </row>
    <row r="702" spans="5:14" x14ac:dyDescent="0.25">
      <c r="E702" s="83">
        <v>201505</v>
      </c>
      <c r="F702" s="82" t="s">
        <v>563</v>
      </c>
      <c r="G702" s="82" t="s">
        <v>352</v>
      </c>
      <c r="H702" s="82" t="s">
        <v>653</v>
      </c>
      <c r="I702" s="95">
        <v>0</v>
      </c>
      <c r="K702" s="105" t="str">
        <f t="shared" si="29"/>
        <v>0003-1004-0047</v>
      </c>
      <c r="L702" s="105" t="str">
        <f>VLOOKUP(K702,COA!$A$3:$B$337,2,FALSE)</f>
        <v>L57</v>
      </c>
      <c r="M702" s="105" t="str">
        <f t="shared" si="30"/>
        <v>L57</v>
      </c>
      <c r="N702" s="105" t="str">
        <f>VLOOKUP(M702,CAC!$A$2:$B$198,2,FALSE)</f>
        <v>PPOLG</v>
      </c>
    </row>
    <row r="703" spans="5:14" x14ac:dyDescent="0.25">
      <c r="E703" s="83">
        <v>201710</v>
      </c>
      <c r="F703" s="82" t="s">
        <v>342</v>
      </c>
      <c r="G703" s="82" t="s">
        <v>343</v>
      </c>
      <c r="H703" s="82" t="s">
        <v>344</v>
      </c>
      <c r="I703" s="95">
        <v>5641.91</v>
      </c>
      <c r="K703" s="105" t="str">
        <f t="shared" si="29"/>
        <v>0031-1000-0012</v>
      </c>
      <c r="L703" s="105" t="str">
        <f>VLOOKUP(K703,COA!$A$3:$B$337,2,FALSE)</f>
        <v>F27</v>
      </c>
      <c r="M703" s="105" t="str">
        <f t="shared" si="30"/>
        <v>F27</v>
      </c>
      <c r="N703" s="105" t="str">
        <f>VLOOKUP(M703,CAC!$A$2:$B$198,2,FALSE)</f>
        <v>HMOFEP</v>
      </c>
    </row>
    <row r="704" spans="5:14" x14ac:dyDescent="0.25">
      <c r="E704" s="83">
        <v>201605</v>
      </c>
      <c r="F704" s="82" t="s">
        <v>413</v>
      </c>
      <c r="G704" s="82" t="s">
        <v>365</v>
      </c>
      <c r="H704" s="82" t="s">
        <v>411</v>
      </c>
      <c r="I704" s="95">
        <v>0</v>
      </c>
      <c r="K704" s="105" t="str">
        <f t="shared" si="29"/>
        <v>0008-1001-0007</v>
      </c>
      <c r="L704" s="105" t="str">
        <f>VLOOKUP(K704,COA!$A$3:$B$337,2,FALSE)</f>
        <v>C99</v>
      </c>
      <c r="M704" s="105" t="str">
        <f t="shared" si="30"/>
        <v>C99</v>
      </c>
      <c r="N704" s="105" t="str">
        <f>VLOOKUP(M704,CAC!$A$2:$B$198,2,FALSE)</f>
        <v>DOIIFP</v>
      </c>
    </row>
    <row r="705" spans="5:14" x14ac:dyDescent="0.25">
      <c r="E705" s="83">
        <v>201509</v>
      </c>
      <c r="F705" s="82" t="s">
        <v>413</v>
      </c>
      <c r="G705" s="82" t="s">
        <v>365</v>
      </c>
      <c r="H705" s="82" t="s">
        <v>344</v>
      </c>
      <c r="I705" s="95">
        <v>0</v>
      </c>
      <c r="K705" s="105" t="str">
        <f t="shared" si="29"/>
        <v>0008-1001-0012</v>
      </c>
      <c r="L705" s="105" t="str">
        <f>VLOOKUP(K705,COA!$A$3:$B$337,2,FALSE)</f>
        <v>C95</v>
      </c>
      <c r="M705" s="105" t="str">
        <f t="shared" si="30"/>
        <v>C95</v>
      </c>
      <c r="N705" s="105" t="str">
        <f>VLOOKUP(M705,CAC!$A$2:$B$198,2,FALSE)</f>
        <v>DOIIFP</v>
      </c>
    </row>
    <row r="706" spans="5:14" x14ac:dyDescent="0.25">
      <c r="E706" s="83">
        <v>201505</v>
      </c>
      <c r="F706" s="82" t="s">
        <v>563</v>
      </c>
      <c r="G706" s="82" t="s">
        <v>365</v>
      </c>
      <c r="H706" s="82" t="s">
        <v>344</v>
      </c>
      <c r="I706" s="95">
        <v>0</v>
      </c>
      <c r="K706" s="105" t="str">
        <f t="shared" si="29"/>
        <v>0003-1001-0012</v>
      </c>
      <c r="L706" s="105" t="str">
        <f>VLOOKUP(K706,COA!$A$3:$B$337,2,FALSE)</f>
        <v>V51</v>
      </c>
      <c r="M706" s="105" t="str">
        <f t="shared" si="30"/>
        <v>V51</v>
      </c>
      <c r="N706" s="105" t="str">
        <f>VLOOKUP(M706,CAC!$A$2:$B$198,2,FALSE)</f>
        <v>PPOIFP</v>
      </c>
    </row>
    <row r="707" spans="5:14" x14ac:dyDescent="0.25">
      <c r="E707" s="83">
        <v>201603</v>
      </c>
      <c r="F707" s="82" t="s">
        <v>413</v>
      </c>
      <c r="G707" s="82" t="s">
        <v>356</v>
      </c>
      <c r="H707" s="82" t="s">
        <v>344</v>
      </c>
      <c r="I707" s="95">
        <v>0</v>
      </c>
      <c r="K707" s="105" t="str">
        <f t="shared" si="29"/>
        <v>0008-1002-0012</v>
      </c>
      <c r="L707" s="105" t="str">
        <f>VLOOKUP(K707,COA!$A$3:$B$337,2,FALSE)</f>
        <v>C74</v>
      </c>
      <c r="M707" s="105" t="str">
        <f t="shared" si="30"/>
        <v>C74</v>
      </c>
      <c r="N707" s="105" t="str">
        <f>VLOOKUP(M707,CAC!$A$2:$B$198,2,FALSE)</f>
        <v>DOILG</v>
      </c>
    </row>
    <row r="708" spans="5:14" x14ac:dyDescent="0.25">
      <c r="E708" s="83">
        <v>201503</v>
      </c>
      <c r="F708" s="82" t="s">
        <v>413</v>
      </c>
      <c r="G708" s="82" t="s">
        <v>359</v>
      </c>
      <c r="H708" s="82" t="s">
        <v>344</v>
      </c>
      <c r="I708" s="95">
        <v>0</v>
      </c>
      <c r="K708" s="105" t="str">
        <f t="shared" ref="K708:K771" si="31">F708&amp;"-"&amp;G708&amp;"-"&amp;H708</f>
        <v>0008-1005-0012</v>
      </c>
      <c r="L708" s="105" t="str">
        <f>VLOOKUP(K708,COA!$A$3:$B$337,2,FALSE)</f>
        <v>C73</v>
      </c>
      <c r="M708" s="105" t="str">
        <f t="shared" ref="M708:M771" si="32">IF(ISNA(L708),"XXX",L708)</f>
        <v>C73</v>
      </c>
      <c r="N708" s="105" t="str">
        <f>VLOOKUP(M708,CAC!$A$2:$B$198,2,FALSE)</f>
        <v>DOILG</v>
      </c>
    </row>
    <row r="709" spans="5:14" x14ac:dyDescent="0.25">
      <c r="E709" s="83">
        <v>201702</v>
      </c>
      <c r="F709" s="82" t="s">
        <v>345</v>
      </c>
      <c r="G709" s="82" t="s">
        <v>348</v>
      </c>
      <c r="H709" s="82" t="s">
        <v>349</v>
      </c>
      <c r="I709" s="95">
        <v>26273.25</v>
      </c>
      <c r="K709" s="105" t="str">
        <f t="shared" si="31"/>
        <v>0011-1010-0017</v>
      </c>
      <c r="L709" s="105" t="str">
        <f>VLOOKUP(K709,COA!$A$3:$B$337,2,FALSE)</f>
        <v>S11</v>
      </c>
      <c r="M709" s="105" t="str">
        <f t="shared" si="32"/>
        <v>S11</v>
      </c>
      <c r="N709" s="105" t="str">
        <f>VLOOKUP(M709,CAC!$A$2:$B$198,2,FALSE)</f>
        <v>HMOSG</v>
      </c>
    </row>
    <row r="710" spans="5:14" x14ac:dyDescent="0.25">
      <c r="E710" s="83">
        <v>201509</v>
      </c>
      <c r="F710" s="82" t="s">
        <v>345</v>
      </c>
      <c r="G710" s="82" t="s">
        <v>362</v>
      </c>
      <c r="H710" s="82" t="s">
        <v>364</v>
      </c>
      <c r="I710" s="95">
        <v>39438.230000000003</v>
      </c>
      <c r="K710" s="105" t="str">
        <f t="shared" si="31"/>
        <v>0011-1008-0037</v>
      </c>
      <c r="L710" s="105" t="str">
        <f>VLOOKUP(K710,COA!$A$3:$B$337,2,FALSE)</f>
        <v>P12</v>
      </c>
      <c r="M710" s="105" t="str">
        <f t="shared" si="32"/>
        <v>P12</v>
      </c>
      <c r="N710" s="105" t="str">
        <f>VLOOKUP(M710,CAC!$A$2:$B$198,2,FALSE)</f>
        <v>HMOPERA</v>
      </c>
    </row>
    <row r="711" spans="5:14" x14ac:dyDescent="0.25">
      <c r="E711" s="83">
        <v>201511</v>
      </c>
      <c r="F711" s="82" t="s">
        <v>345</v>
      </c>
      <c r="G711" s="82" t="s">
        <v>362</v>
      </c>
      <c r="H711" s="82" t="s">
        <v>371</v>
      </c>
      <c r="I711" s="95">
        <v>6325</v>
      </c>
      <c r="K711" s="105" t="str">
        <f t="shared" si="31"/>
        <v>0011-1008-0033</v>
      </c>
      <c r="L711" s="105" t="str">
        <f>VLOOKUP(K711,COA!$A$3:$B$337,2,FALSE)</f>
        <v>P13</v>
      </c>
      <c r="M711" s="105" t="str">
        <f t="shared" si="32"/>
        <v>P13</v>
      </c>
      <c r="N711" s="105" t="str">
        <f>VLOOKUP(M711,CAC!$A$2:$B$198,2,FALSE)</f>
        <v>PERMEDA</v>
      </c>
    </row>
    <row r="712" spans="5:14" x14ac:dyDescent="0.25">
      <c r="E712" s="83">
        <v>201508</v>
      </c>
      <c r="F712" s="82" t="s">
        <v>345</v>
      </c>
      <c r="G712" s="82" t="s">
        <v>346</v>
      </c>
      <c r="H712" s="82" t="s">
        <v>360</v>
      </c>
      <c r="I712" s="95">
        <v>396.09</v>
      </c>
      <c r="K712" s="105" t="str">
        <f t="shared" si="31"/>
        <v>0011-1014-0048</v>
      </c>
      <c r="L712" s="105" t="str">
        <f>VLOOKUP(K712,COA!$A$3:$B$337,2,FALSE)</f>
        <v>K23</v>
      </c>
      <c r="M712" s="105" t="str">
        <f t="shared" si="32"/>
        <v>K23</v>
      </c>
      <c r="N712" s="105" t="str">
        <f>VLOOKUP(M712,CAC!$A$2:$B$198,2,FALSE)</f>
        <v>HMFLEX</v>
      </c>
    </row>
    <row r="713" spans="5:14" x14ac:dyDescent="0.25">
      <c r="E713" s="83">
        <v>201701</v>
      </c>
      <c r="F713" s="82" t="s">
        <v>345</v>
      </c>
      <c r="G713" s="82" t="s">
        <v>352</v>
      </c>
      <c r="H713" s="82" t="s">
        <v>653</v>
      </c>
      <c r="I713" s="95">
        <v>0</v>
      </c>
      <c r="K713" s="105" t="str">
        <f t="shared" si="31"/>
        <v>0011-1004-0047</v>
      </c>
      <c r="L713" s="105" t="str">
        <f>VLOOKUP(K713,COA!$A$3:$B$337,2,FALSE)</f>
        <v>L17</v>
      </c>
      <c r="M713" s="105" t="str">
        <f t="shared" si="32"/>
        <v>L17</v>
      </c>
      <c r="N713" s="105" t="str">
        <f>VLOOKUP(M713,CAC!$A$2:$B$198,2,FALSE)</f>
        <v>HMOLG</v>
      </c>
    </row>
    <row r="714" spans="5:14" x14ac:dyDescent="0.25">
      <c r="E714" s="83">
        <v>201602</v>
      </c>
      <c r="F714" s="82" t="s">
        <v>345</v>
      </c>
      <c r="G714" s="82" t="s">
        <v>346</v>
      </c>
      <c r="H714" s="82" t="s">
        <v>360</v>
      </c>
      <c r="I714" s="95">
        <v>375</v>
      </c>
      <c r="K714" s="105" t="str">
        <f t="shared" si="31"/>
        <v>0011-1014-0048</v>
      </c>
      <c r="L714" s="105" t="str">
        <f>VLOOKUP(K714,COA!$A$3:$B$337,2,FALSE)</f>
        <v>K23</v>
      </c>
      <c r="M714" s="105" t="str">
        <f t="shared" si="32"/>
        <v>K23</v>
      </c>
      <c r="N714" s="105" t="str">
        <f>VLOOKUP(M714,CAC!$A$2:$B$198,2,FALSE)</f>
        <v>HMFLEX</v>
      </c>
    </row>
    <row r="715" spans="5:14" x14ac:dyDescent="0.25">
      <c r="E715" s="83">
        <v>201708</v>
      </c>
      <c r="F715" s="82" t="s">
        <v>563</v>
      </c>
      <c r="G715" s="82" t="s">
        <v>352</v>
      </c>
      <c r="H715" s="82" t="s">
        <v>653</v>
      </c>
      <c r="I715" s="95">
        <v>0</v>
      </c>
      <c r="K715" s="105" t="str">
        <f t="shared" si="31"/>
        <v>0003-1004-0047</v>
      </c>
      <c r="L715" s="105" t="str">
        <f>VLOOKUP(K715,COA!$A$3:$B$337,2,FALSE)</f>
        <v>L57</v>
      </c>
      <c r="M715" s="105" t="str">
        <f t="shared" si="32"/>
        <v>L57</v>
      </c>
      <c r="N715" s="105" t="str">
        <f>VLOOKUP(M715,CAC!$A$2:$B$198,2,FALSE)</f>
        <v>PPOLG</v>
      </c>
    </row>
    <row r="716" spans="5:14" x14ac:dyDescent="0.25">
      <c r="E716" s="83">
        <v>201703</v>
      </c>
      <c r="F716" s="82" t="s">
        <v>413</v>
      </c>
      <c r="G716" s="82" t="s">
        <v>359</v>
      </c>
      <c r="H716" s="82" t="s">
        <v>344</v>
      </c>
      <c r="I716" s="95">
        <v>0</v>
      </c>
      <c r="K716" s="105" t="str">
        <f t="shared" si="31"/>
        <v>0008-1005-0012</v>
      </c>
      <c r="L716" s="105" t="str">
        <f>VLOOKUP(K716,COA!$A$3:$B$337,2,FALSE)</f>
        <v>C73</v>
      </c>
      <c r="M716" s="105" t="str">
        <f t="shared" si="32"/>
        <v>C73</v>
      </c>
      <c r="N716" s="105" t="str">
        <f>VLOOKUP(M716,CAC!$A$2:$B$198,2,FALSE)</f>
        <v>DOILG</v>
      </c>
    </row>
    <row r="717" spans="5:14" x14ac:dyDescent="0.25">
      <c r="E717" s="83">
        <v>201611</v>
      </c>
      <c r="F717" s="82" t="s">
        <v>552</v>
      </c>
      <c r="G717" s="82" t="s">
        <v>356</v>
      </c>
      <c r="H717" s="82" t="s">
        <v>672</v>
      </c>
      <c r="I717" s="95">
        <v>0</v>
      </c>
      <c r="K717" s="105" t="str">
        <f t="shared" si="31"/>
        <v>0027-1002-0058</v>
      </c>
      <c r="L717" s="105" t="str">
        <f>VLOOKUP(K717,COA!$A$3:$B$337,2,FALSE)</f>
        <v>L45</v>
      </c>
      <c r="M717" s="105" t="str">
        <f t="shared" si="32"/>
        <v>L45</v>
      </c>
      <c r="N717" s="105" t="e">
        <f>VLOOKUP(M717,CAC!$A$2:$B$198,2,FALSE)</f>
        <v>#N/A</v>
      </c>
    </row>
    <row r="718" spans="5:14" x14ac:dyDescent="0.25">
      <c r="E718" s="83">
        <v>201707</v>
      </c>
      <c r="F718" s="82" t="s">
        <v>345</v>
      </c>
      <c r="G718" s="82" t="s">
        <v>355</v>
      </c>
      <c r="H718" s="82" t="s">
        <v>344</v>
      </c>
      <c r="I718" s="95">
        <v>16913.43</v>
      </c>
      <c r="K718" s="105" t="str">
        <f t="shared" si="31"/>
        <v>0011-1006-0012</v>
      </c>
      <c r="L718" s="105" t="str">
        <f>VLOOKUP(K718,COA!$A$3:$B$337,2,FALSE)</f>
        <v>L13</v>
      </c>
      <c r="M718" s="105" t="str">
        <f t="shared" si="32"/>
        <v>L13</v>
      </c>
      <c r="N718" s="105" t="str">
        <f>VLOOKUP(M718,CAC!$A$2:$B$198,2,FALSE)</f>
        <v>HMOLG</v>
      </c>
    </row>
    <row r="719" spans="5:14" x14ac:dyDescent="0.25">
      <c r="E719" s="83">
        <v>201611</v>
      </c>
      <c r="F719" s="82" t="s">
        <v>563</v>
      </c>
      <c r="G719" s="82" t="s">
        <v>365</v>
      </c>
      <c r="H719" s="82" t="s">
        <v>411</v>
      </c>
      <c r="I719" s="95">
        <v>0</v>
      </c>
      <c r="K719" s="105" t="str">
        <f t="shared" si="31"/>
        <v>0003-1001-0007</v>
      </c>
      <c r="L719" s="105" t="str">
        <f>VLOOKUP(K719,COA!$A$3:$B$337,2,FALSE)</f>
        <v>V52</v>
      </c>
      <c r="M719" s="105" t="str">
        <f t="shared" si="32"/>
        <v>V52</v>
      </c>
      <c r="N719" s="105" t="str">
        <f>VLOOKUP(M719,CAC!$A$2:$B$198,2,FALSE)</f>
        <v>PPOIFP</v>
      </c>
    </row>
    <row r="720" spans="5:14" x14ac:dyDescent="0.25">
      <c r="E720" s="83">
        <v>201801</v>
      </c>
      <c r="F720" s="82" t="s">
        <v>746</v>
      </c>
      <c r="G720" s="82" t="s">
        <v>350</v>
      </c>
      <c r="H720" s="82" t="s">
        <v>764</v>
      </c>
      <c r="I720" s="95">
        <v>22</v>
      </c>
      <c r="K720" s="105" t="str">
        <f t="shared" si="31"/>
        <v>0016-1012-0064</v>
      </c>
      <c r="L720" s="105" t="str">
        <f>VLOOKUP(K720,COA!$A$3:$B$337,2,FALSE)</f>
        <v>R25</v>
      </c>
      <c r="M720" s="105" t="str">
        <f t="shared" si="32"/>
        <v>R25</v>
      </c>
      <c r="N720" s="105" t="str">
        <f>VLOOKUP(M720,CAC!$A$2:$B$198,2,FALSE)</f>
        <v>HMOMG</v>
      </c>
    </row>
    <row r="721" spans="5:14" x14ac:dyDescent="0.25">
      <c r="E721" s="83">
        <v>201511</v>
      </c>
      <c r="F721" s="82" t="s">
        <v>345</v>
      </c>
      <c r="G721" s="82" t="s">
        <v>351</v>
      </c>
      <c r="H721" s="82" t="s">
        <v>353</v>
      </c>
      <c r="I721" s="95">
        <v>3</v>
      </c>
      <c r="K721" s="105" t="str">
        <f t="shared" si="31"/>
        <v>0011-0000-0023</v>
      </c>
      <c r="L721" s="105" t="e">
        <f>VLOOKUP(K721,COA!$A$3:$B$337,2,FALSE)</f>
        <v>#N/A</v>
      </c>
      <c r="M721" s="105" t="str">
        <f t="shared" si="32"/>
        <v>XXX</v>
      </c>
      <c r="N721" s="105" t="str">
        <f>VLOOKUP(M721,CAC!$A$2:$B$198,2,FALSE)</f>
        <v>XXX</v>
      </c>
    </row>
    <row r="722" spans="5:14" x14ac:dyDescent="0.25">
      <c r="E722" s="83">
        <v>201702</v>
      </c>
      <c r="F722" s="82" t="s">
        <v>345</v>
      </c>
      <c r="G722" s="82" t="s">
        <v>362</v>
      </c>
      <c r="H722" s="82" t="s">
        <v>364</v>
      </c>
      <c r="I722" s="95">
        <v>48099.18</v>
      </c>
      <c r="K722" s="105" t="str">
        <f t="shared" si="31"/>
        <v>0011-1008-0037</v>
      </c>
      <c r="L722" s="105" t="str">
        <f>VLOOKUP(K722,COA!$A$3:$B$337,2,FALSE)</f>
        <v>P12</v>
      </c>
      <c r="M722" s="105" t="str">
        <f t="shared" si="32"/>
        <v>P12</v>
      </c>
      <c r="N722" s="105" t="str">
        <f>VLOOKUP(M722,CAC!$A$2:$B$198,2,FALSE)</f>
        <v>HMOPERA</v>
      </c>
    </row>
    <row r="723" spans="5:14" x14ac:dyDescent="0.25">
      <c r="E723" s="83">
        <v>201705</v>
      </c>
      <c r="F723" s="82" t="s">
        <v>746</v>
      </c>
      <c r="G723" s="82" t="s">
        <v>356</v>
      </c>
      <c r="H723" s="82" t="s">
        <v>344</v>
      </c>
      <c r="I723" s="95">
        <v>137</v>
      </c>
      <c r="K723" s="105" t="str">
        <f t="shared" si="31"/>
        <v>0016-1002-0012</v>
      </c>
      <c r="L723" s="105" t="str">
        <f>VLOOKUP(K723,COA!$A$3:$B$337,2,FALSE)</f>
        <v>R18</v>
      </c>
      <c r="M723" s="105" t="str">
        <f t="shared" si="32"/>
        <v>R18</v>
      </c>
      <c r="N723" s="105" t="str">
        <f>VLOOKUP(M723,CAC!$A$2:$B$198,2,FALSE)</f>
        <v>HMOMG</v>
      </c>
    </row>
    <row r="724" spans="5:14" x14ac:dyDescent="0.25">
      <c r="E724" s="83">
        <v>201604</v>
      </c>
      <c r="F724" s="82" t="s">
        <v>746</v>
      </c>
      <c r="G724" s="82" t="s">
        <v>350</v>
      </c>
      <c r="H724" s="82" t="s">
        <v>764</v>
      </c>
      <c r="I724" s="95">
        <v>7</v>
      </c>
      <c r="K724" s="105" t="str">
        <f t="shared" si="31"/>
        <v>0016-1012-0064</v>
      </c>
      <c r="L724" s="105" t="str">
        <f>VLOOKUP(K724,COA!$A$3:$B$337,2,FALSE)</f>
        <v>R25</v>
      </c>
      <c r="M724" s="105" t="str">
        <f t="shared" si="32"/>
        <v>R25</v>
      </c>
      <c r="N724" s="105" t="str">
        <f>VLOOKUP(M724,CAC!$A$2:$B$198,2,FALSE)</f>
        <v>HMOMG</v>
      </c>
    </row>
    <row r="725" spans="5:14" x14ac:dyDescent="0.25">
      <c r="E725" s="83">
        <v>201711</v>
      </c>
      <c r="F725" s="82" t="s">
        <v>345</v>
      </c>
      <c r="G725" s="82" t="s">
        <v>350</v>
      </c>
      <c r="H725" s="82" t="s">
        <v>360</v>
      </c>
      <c r="I725" s="95">
        <v>10399.030000000001</v>
      </c>
      <c r="K725" s="105" t="str">
        <f t="shared" si="31"/>
        <v>0011-1012-0048</v>
      </c>
      <c r="L725" s="105" t="str">
        <f>VLOOKUP(K725,COA!$A$3:$B$337,2,FALSE)</f>
        <v>K21</v>
      </c>
      <c r="M725" s="105" t="str">
        <f t="shared" si="32"/>
        <v>K21</v>
      </c>
      <c r="N725" s="105" t="str">
        <f>VLOOKUP(M725,CAC!$A$2:$B$198,2,FALSE)</f>
        <v>HMFLEX</v>
      </c>
    </row>
    <row r="726" spans="5:14" x14ac:dyDescent="0.25">
      <c r="E726" s="83">
        <v>201712</v>
      </c>
      <c r="F726" s="82" t="s">
        <v>344</v>
      </c>
      <c r="G726" s="82" t="s">
        <v>359</v>
      </c>
      <c r="H726" s="82" t="s">
        <v>344</v>
      </c>
      <c r="I726" s="95">
        <v>90</v>
      </c>
      <c r="K726" s="105" t="str">
        <f t="shared" si="31"/>
        <v>0012-1005-0012</v>
      </c>
      <c r="L726" s="105" t="str">
        <f>VLOOKUP(K726,COA!$A$3:$B$337,2,FALSE)</f>
        <v>N13</v>
      </c>
      <c r="M726" s="105" t="str">
        <f t="shared" si="32"/>
        <v>N13</v>
      </c>
      <c r="N726" s="105" t="str">
        <f>VLOOKUP(M726,CAC!$A$2:$B$198,2,FALSE)</f>
        <v>HMOLG</v>
      </c>
    </row>
    <row r="727" spans="5:14" x14ac:dyDescent="0.25">
      <c r="E727" s="83">
        <v>201709</v>
      </c>
      <c r="F727" s="82" t="s">
        <v>345</v>
      </c>
      <c r="G727" s="82" t="s">
        <v>346</v>
      </c>
      <c r="H727" s="82" t="s">
        <v>360</v>
      </c>
      <c r="I727" s="95">
        <v>317</v>
      </c>
      <c r="K727" s="105" t="str">
        <f t="shared" si="31"/>
        <v>0011-1014-0048</v>
      </c>
      <c r="L727" s="105" t="str">
        <f>VLOOKUP(K727,COA!$A$3:$B$337,2,FALSE)</f>
        <v>K23</v>
      </c>
      <c r="M727" s="105" t="str">
        <f t="shared" si="32"/>
        <v>K23</v>
      </c>
      <c r="N727" s="105" t="str">
        <f>VLOOKUP(M727,CAC!$A$2:$B$198,2,FALSE)</f>
        <v>HMFLEX</v>
      </c>
    </row>
    <row r="728" spans="5:14" x14ac:dyDescent="0.25">
      <c r="E728" s="83">
        <v>201708</v>
      </c>
      <c r="F728" s="82" t="s">
        <v>506</v>
      </c>
      <c r="G728" s="82" t="s">
        <v>346</v>
      </c>
      <c r="H728" s="82" t="s">
        <v>592</v>
      </c>
      <c r="I728" s="95">
        <v>0</v>
      </c>
      <c r="K728" s="105" t="str">
        <f t="shared" si="31"/>
        <v>0013-1014-0035</v>
      </c>
      <c r="L728" s="105" t="str">
        <f>VLOOKUP(K728,COA!$A$3:$B$337,2,FALSE)</f>
        <v>K42</v>
      </c>
      <c r="M728" s="105" t="str">
        <f t="shared" si="32"/>
        <v>K42</v>
      </c>
      <c r="N728" s="105" t="str">
        <f>VLOOKUP(M728,CAC!$A$2:$B$198,2,FALSE)</f>
        <v>HMFLEX</v>
      </c>
    </row>
    <row r="729" spans="5:14" x14ac:dyDescent="0.25">
      <c r="E729" s="83">
        <v>201707</v>
      </c>
      <c r="F729" s="82" t="s">
        <v>413</v>
      </c>
      <c r="G729" s="82" t="s">
        <v>355</v>
      </c>
      <c r="H729" s="82" t="s">
        <v>344</v>
      </c>
      <c r="I729" s="95">
        <v>0</v>
      </c>
      <c r="K729" s="105" t="str">
        <f t="shared" si="31"/>
        <v>0008-1006-0012</v>
      </c>
      <c r="L729" s="105" t="str">
        <f>VLOOKUP(K729,COA!$A$3:$B$337,2,FALSE)</f>
        <v>C96</v>
      </c>
      <c r="M729" s="105" t="str">
        <f t="shared" si="32"/>
        <v>C96</v>
      </c>
      <c r="N729" s="105" t="str">
        <f>VLOOKUP(M729,CAC!$A$2:$B$198,2,FALSE)</f>
        <v>DOILG</v>
      </c>
    </row>
    <row r="730" spans="5:14" x14ac:dyDescent="0.25">
      <c r="E730" s="83">
        <v>201607</v>
      </c>
      <c r="F730" s="82" t="s">
        <v>344</v>
      </c>
      <c r="G730" s="82" t="s">
        <v>352</v>
      </c>
      <c r="H730" s="82" t="s">
        <v>360</v>
      </c>
      <c r="I730" s="95">
        <v>207</v>
      </c>
      <c r="K730" s="105" t="str">
        <f t="shared" si="31"/>
        <v>0012-1004-0048</v>
      </c>
      <c r="L730" s="105" t="str">
        <f>VLOOKUP(K730,COA!$A$3:$B$337,2,FALSE)</f>
        <v>L22</v>
      </c>
      <c r="M730" s="105" t="str">
        <f t="shared" si="32"/>
        <v>L22</v>
      </c>
      <c r="N730" s="105" t="str">
        <f>VLOOKUP(M730,CAC!$A$2:$B$198,2,FALSE)</f>
        <v>HMFLEX</v>
      </c>
    </row>
    <row r="731" spans="5:14" x14ac:dyDescent="0.25">
      <c r="E731" s="83">
        <v>201609</v>
      </c>
      <c r="F731" s="82" t="s">
        <v>345</v>
      </c>
      <c r="G731" s="82" t="s">
        <v>362</v>
      </c>
      <c r="H731" s="82" t="s">
        <v>364</v>
      </c>
      <c r="I731" s="95">
        <v>37684.019999999997</v>
      </c>
      <c r="K731" s="105" t="str">
        <f t="shared" si="31"/>
        <v>0011-1008-0037</v>
      </c>
      <c r="L731" s="105" t="str">
        <f>VLOOKUP(K731,COA!$A$3:$B$337,2,FALSE)</f>
        <v>P12</v>
      </c>
      <c r="M731" s="105" t="str">
        <f t="shared" si="32"/>
        <v>P12</v>
      </c>
      <c r="N731" s="105" t="str">
        <f>VLOOKUP(M731,CAC!$A$2:$B$198,2,FALSE)</f>
        <v>HMOPERA</v>
      </c>
    </row>
    <row r="732" spans="5:14" x14ac:dyDescent="0.25">
      <c r="E732" s="83">
        <v>201711</v>
      </c>
      <c r="F732" s="82" t="s">
        <v>563</v>
      </c>
      <c r="G732" s="82" t="s">
        <v>365</v>
      </c>
      <c r="H732" s="82" t="s">
        <v>344</v>
      </c>
      <c r="I732" s="95">
        <v>0</v>
      </c>
      <c r="K732" s="105" t="str">
        <f t="shared" si="31"/>
        <v>0003-1001-0012</v>
      </c>
      <c r="L732" s="105" t="str">
        <f>VLOOKUP(K732,COA!$A$3:$B$337,2,FALSE)</f>
        <v>V51</v>
      </c>
      <c r="M732" s="105" t="str">
        <f t="shared" si="32"/>
        <v>V51</v>
      </c>
      <c r="N732" s="105" t="str">
        <f>VLOOKUP(M732,CAC!$A$2:$B$198,2,FALSE)</f>
        <v>PPOIFP</v>
      </c>
    </row>
    <row r="733" spans="5:14" x14ac:dyDescent="0.25">
      <c r="E733" s="83">
        <v>201510</v>
      </c>
      <c r="F733" s="82" t="s">
        <v>524</v>
      </c>
      <c r="G733" s="82" t="s">
        <v>356</v>
      </c>
      <c r="H733" s="82" t="s">
        <v>672</v>
      </c>
      <c r="I733" s="95">
        <v>0</v>
      </c>
      <c r="K733" s="105" t="str">
        <f t="shared" si="31"/>
        <v>0025-1002-0058</v>
      </c>
      <c r="L733" s="105" t="str">
        <f>VLOOKUP(K733,COA!$A$3:$B$337,2,FALSE)</f>
        <v>L45</v>
      </c>
      <c r="M733" s="105" t="str">
        <f t="shared" si="32"/>
        <v>L45</v>
      </c>
      <c r="N733" s="105" t="e">
        <f>VLOOKUP(M733,CAC!$A$2:$B$198,2,FALSE)</f>
        <v>#N/A</v>
      </c>
    </row>
    <row r="734" spans="5:14" x14ac:dyDescent="0.25">
      <c r="E734" s="83">
        <v>201601</v>
      </c>
      <c r="F734" s="82" t="s">
        <v>344</v>
      </c>
      <c r="G734" s="82" t="s">
        <v>354</v>
      </c>
      <c r="H734" s="82" t="s">
        <v>344</v>
      </c>
      <c r="I734" s="95">
        <v>272</v>
      </c>
      <c r="K734" s="105" t="str">
        <f t="shared" si="31"/>
        <v>0012-1013-0012</v>
      </c>
      <c r="L734" s="105" t="str">
        <f>VLOOKUP(K734,COA!$A$3:$B$337,2,FALSE)</f>
        <v>N14</v>
      </c>
      <c r="M734" s="105" t="str">
        <f t="shared" si="32"/>
        <v>N14</v>
      </c>
      <c r="N734" s="105" t="str">
        <f>VLOOKUP(M734,CAC!$A$2:$B$198,2,FALSE)</f>
        <v>HMOPMR</v>
      </c>
    </row>
    <row r="735" spans="5:14" x14ac:dyDescent="0.25">
      <c r="E735" s="83">
        <v>201502</v>
      </c>
      <c r="F735" s="82" t="s">
        <v>563</v>
      </c>
      <c r="G735" s="82" t="s">
        <v>359</v>
      </c>
      <c r="H735" s="82" t="s">
        <v>344</v>
      </c>
      <c r="I735" s="95">
        <v>0</v>
      </c>
      <c r="K735" s="105" t="str">
        <f t="shared" si="31"/>
        <v>0003-1005-0012</v>
      </c>
      <c r="L735" s="105" t="str">
        <f>VLOOKUP(K735,COA!$A$3:$B$337,2,FALSE)</f>
        <v>N51</v>
      </c>
      <c r="M735" s="105" t="str">
        <f t="shared" si="32"/>
        <v>N51</v>
      </c>
      <c r="N735" s="105" t="str">
        <f>VLOOKUP(M735,CAC!$A$2:$B$198,2,FALSE)</f>
        <v>PPOLG</v>
      </c>
    </row>
    <row r="736" spans="5:14" x14ac:dyDescent="0.25">
      <c r="E736" s="83">
        <v>201712</v>
      </c>
      <c r="F736" s="82" t="s">
        <v>344</v>
      </c>
      <c r="G736" s="82" t="s">
        <v>352</v>
      </c>
      <c r="H736" s="82" t="s">
        <v>344</v>
      </c>
      <c r="I736" s="95">
        <v>1148</v>
      </c>
      <c r="K736" s="105" t="str">
        <f t="shared" si="31"/>
        <v>0012-1004-0012</v>
      </c>
      <c r="L736" s="105" t="str">
        <f>VLOOKUP(K736,COA!$A$3:$B$337,2,FALSE)</f>
        <v>L12</v>
      </c>
      <c r="M736" s="105" t="str">
        <f t="shared" si="32"/>
        <v>L12</v>
      </c>
      <c r="N736" s="105" t="str">
        <f>VLOOKUP(M736,CAC!$A$2:$B$198,2,FALSE)</f>
        <v>HMOLG</v>
      </c>
    </row>
    <row r="737" spans="5:14" x14ac:dyDescent="0.25">
      <c r="E737" s="83">
        <v>201604</v>
      </c>
      <c r="F737" s="82" t="s">
        <v>413</v>
      </c>
      <c r="G737" s="82" t="s">
        <v>365</v>
      </c>
      <c r="H737" s="82" t="s">
        <v>411</v>
      </c>
      <c r="I737" s="95">
        <v>0</v>
      </c>
      <c r="K737" s="105" t="str">
        <f t="shared" si="31"/>
        <v>0008-1001-0007</v>
      </c>
      <c r="L737" s="105" t="str">
        <f>VLOOKUP(K737,COA!$A$3:$B$337,2,FALSE)</f>
        <v>C99</v>
      </c>
      <c r="M737" s="105" t="str">
        <f t="shared" si="32"/>
        <v>C99</v>
      </c>
      <c r="N737" s="105" t="str">
        <f>VLOOKUP(M737,CAC!$A$2:$B$198,2,FALSE)</f>
        <v>DOIIFP</v>
      </c>
    </row>
    <row r="738" spans="5:14" x14ac:dyDescent="0.25">
      <c r="E738" s="83">
        <v>201710</v>
      </c>
      <c r="F738" s="82" t="s">
        <v>345</v>
      </c>
      <c r="G738" s="82" t="s">
        <v>356</v>
      </c>
      <c r="H738" s="82" t="s">
        <v>344</v>
      </c>
      <c r="I738" s="95">
        <v>16146.68</v>
      </c>
      <c r="K738" s="105" t="str">
        <f t="shared" si="31"/>
        <v>0011-1002-0012</v>
      </c>
      <c r="L738" s="105" t="str">
        <f>VLOOKUP(K738,COA!$A$3:$B$337,2,FALSE)</f>
        <v>F20</v>
      </c>
      <c r="M738" s="105" t="str">
        <f t="shared" si="32"/>
        <v>F20</v>
      </c>
      <c r="N738" s="105" t="str">
        <f>VLOOKUP(M738,CAC!$A$2:$B$198,2,FALSE)</f>
        <v>HMOPMR</v>
      </c>
    </row>
    <row r="739" spans="5:14" x14ac:dyDescent="0.25">
      <c r="E739" s="83">
        <v>201709</v>
      </c>
      <c r="F739" s="82" t="s">
        <v>413</v>
      </c>
      <c r="G739" s="82" t="s">
        <v>365</v>
      </c>
      <c r="H739" s="82" t="s">
        <v>344</v>
      </c>
      <c r="I739" s="95">
        <v>0</v>
      </c>
      <c r="K739" s="105" t="str">
        <f t="shared" si="31"/>
        <v>0008-1001-0012</v>
      </c>
      <c r="L739" s="105" t="str">
        <f>VLOOKUP(K739,COA!$A$3:$B$337,2,FALSE)</f>
        <v>C95</v>
      </c>
      <c r="M739" s="105" t="str">
        <f t="shared" si="32"/>
        <v>C95</v>
      </c>
      <c r="N739" s="105" t="str">
        <f>VLOOKUP(M739,CAC!$A$2:$B$198,2,FALSE)</f>
        <v>DOIIFP</v>
      </c>
    </row>
    <row r="740" spans="5:14" x14ac:dyDescent="0.25">
      <c r="E740" s="83">
        <v>201606</v>
      </c>
      <c r="F740" s="82" t="s">
        <v>563</v>
      </c>
      <c r="G740" s="82" t="s">
        <v>365</v>
      </c>
      <c r="H740" s="82" t="s">
        <v>367</v>
      </c>
      <c r="I740" s="95">
        <v>0</v>
      </c>
      <c r="K740" s="105" t="str">
        <f t="shared" si="31"/>
        <v>0003-1001-0022</v>
      </c>
      <c r="L740" s="105" t="str">
        <f>VLOOKUP(K740,COA!$A$3:$B$337,2,FALSE)</f>
        <v>V54</v>
      </c>
      <c r="M740" s="105" t="str">
        <f t="shared" si="32"/>
        <v>V54</v>
      </c>
      <c r="N740" s="105" t="str">
        <f>VLOOKUP(M740,CAC!$A$2:$B$198,2,FALSE)</f>
        <v>PPOIFP</v>
      </c>
    </row>
    <row r="741" spans="5:14" x14ac:dyDescent="0.25">
      <c r="E741" s="83">
        <v>201506</v>
      </c>
      <c r="F741" s="82" t="s">
        <v>342</v>
      </c>
      <c r="G741" s="82" t="s">
        <v>343</v>
      </c>
      <c r="H741" s="82" t="s">
        <v>344</v>
      </c>
      <c r="I741" s="95">
        <v>6598.16</v>
      </c>
      <c r="K741" s="105" t="str">
        <f t="shared" si="31"/>
        <v>0031-1000-0012</v>
      </c>
      <c r="L741" s="105" t="str">
        <f>VLOOKUP(K741,COA!$A$3:$B$337,2,FALSE)</f>
        <v>F27</v>
      </c>
      <c r="M741" s="105" t="str">
        <f t="shared" si="32"/>
        <v>F27</v>
      </c>
      <c r="N741" s="105" t="str">
        <f>VLOOKUP(M741,CAC!$A$2:$B$198,2,FALSE)</f>
        <v>HMOFEP</v>
      </c>
    </row>
    <row r="742" spans="5:14" x14ac:dyDescent="0.25">
      <c r="E742" s="83">
        <v>201603</v>
      </c>
      <c r="F742" s="82" t="s">
        <v>345</v>
      </c>
      <c r="G742" s="82" t="s">
        <v>351</v>
      </c>
      <c r="H742" s="82" t="s">
        <v>349</v>
      </c>
      <c r="I742" s="95">
        <v>0</v>
      </c>
      <c r="K742" s="105" t="str">
        <f t="shared" si="31"/>
        <v>0011-0000-0017</v>
      </c>
      <c r="L742" s="105" t="e">
        <f>VLOOKUP(K742,COA!$A$3:$B$337,2,FALSE)</f>
        <v>#N/A</v>
      </c>
      <c r="M742" s="105" t="str">
        <f t="shared" si="32"/>
        <v>XXX</v>
      </c>
      <c r="N742" s="105" t="str">
        <f>VLOOKUP(M742,CAC!$A$2:$B$198,2,FALSE)</f>
        <v>XXX</v>
      </c>
    </row>
    <row r="743" spans="5:14" x14ac:dyDescent="0.25">
      <c r="E743" s="83">
        <v>201801</v>
      </c>
      <c r="F743" s="82" t="s">
        <v>563</v>
      </c>
      <c r="G743" s="82" t="s">
        <v>354</v>
      </c>
      <c r="H743" s="82" t="s">
        <v>626</v>
      </c>
      <c r="I743" s="95">
        <v>0</v>
      </c>
      <c r="K743" s="105" t="str">
        <f t="shared" si="31"/>
        <v>0003-1013-0057</v>
      </c>
      <c r="L743" s="105" t="str">
        <f>VLOOKUP(K743,COA!$A$3:$B$337,2,FALSE)</f>
        <v>N55</v>
      </c>
      <c r="M743" s="105" t="str">
        <f t="shared" si="32"/>
        <v>N55</v>
      </c>
      <c r="N743" s="105" t="str">
        <f>VLOOKUP(M743,CAC!$A$2:$B$198,2,FALSE)</f>
        <v>PPOPMR</v>
      </c>
    </row>
    <row r="744" spans="5:14" x14ac:dyDescent="0.25">
      <c r="E744" s="83">
        <v>201607</v>
      </c>
      <c r="F744" s="82" t="s">
        <v>563</v>
      </c>
      <c r="G744" s="82" t="s">
        <v>365</v>
      </c>
      <c r="H744" s="82" t="s">
        <v>798</v>
      </c>
      <c r="I744" s="95">
        <v>0</v>
      </c>
      <c r="K744" s="105" t="str">
        <f t="shared" si="31"/>
        <v>0003-1001-0065</v>
      </c>
      <c r="L744" s="105" t="str">
        <f>VLOOKUP(K744,COA!$A$3:$B$337,2,FALSE)</f>
        <v>V55</v>
      </c>
      <c r="M744" s="105" t="str">
        <f t="shared" si="32"/>
        <v>V55</v>
      </c>
      <c r="N744" s="105" t="e">
        <f>VLOOKUP(M744,CAC!$A$2:$B$198,2,FALSE)</f>
        <v>#N/A</v>
      </c>
    </row>
    <row r="745" spans="5:14" x14ac:dyDescent="0.25">
      <c r="E745" s="83">
        <v>201709</v>
      </c>
      <c r="F745" s="82" t="s">
        <v>345</v>
      </c>
      <c r="G745" s="82" t="s">
        <v>350</v>
      </c>
      <c r="H745" s="82" t="s">
        <v>344</v>
      </c>
      <c r="I745" s="95">
        <v>17731.14</v>
      </c>
      <c r="K745" s="105" t="str">
        <f t="shared" si="31"/>
        <v>0011-1012-0012</v>
      </c>
      <c r="L745" s="105" t="str">
        <f>VLOOKUP(K745,COA!$A$3:$B$337,2,FALSE)</f>
        <v>K11</v>
      </c>
      <c r="M745" s="105" t="str">
        <f t="shared" si="32"/>
        <v>K11</v>
      </c>
      <c r="N745" s="105" t="str">
        <f>VLOOKUP(M745,CAC!$A$2:$B$198,2,FALSE)</f>
        <v>HMOPMR</v>
      </c>
    </row>
    <row r="746" spans="5:14" x14ac:dyDescent="0.25">
      <c r="E746" s="83">
        <v>201707</v>
      </c>
      <c r="F746" s="82" t="s">
        <v>563</v>
      </c>
      <c r="G746" s="82" t="s">
        <v>348</v>
      </c>
      <c r="H746" s="82" t="s">
        <v>353</v>
      </c>
      <c r="I746" s="95">
        <v>0</v>
      </c>
      <c r="K746" s="105" t="str">
        <f t="shared" si="31"/>
        <v>0003-1010-0023</v>
      </c>
      <c r="L746" s="105" t="str">
        <f>VLOOKUP(K746,COA!$A$3:$B$337,2,FALSE)</f>
        <v>S54</v>
      </c>
      <c r="M746" s="105" t="str">
        <f t="shared" si="32"/>
        <v>S54</v>
      </c>
      <c r="N746" s="105" t="str">
        <f>VLOOKUP(M746,CAC!$A$2:$B$198,2,FALSE)</f>
        <v>PPOSG</v>
      </c>
    </row>
    <row r="747" spans="5:14" x14ac:dyDescent="0.25">
      <c r="E747" s="83">
        <v>201707</v>
      </c>
      <c r="F747" s="82" t="s">
        <v>506</v>
      </c>
      <c r="G747" s="82" t="s">
        <v>352</v>
      </c>
      <c r="H747" s="82" t="s">
        <v>592</v>
      </c>
      <c r="I747" s="95">
        <v>0</v>
      </c>
      <c r="K747" s="105" t="str">
        <f t="shared" si="31"/>
        <v>0013-1004-0035</v>
      </c>
      <c r="L747" s="105" t="str">
        <f>VLOOKUP(K747,COA!$A$3:$B$337,2,FALSE)</f>
        <v>L41</v>
      </c>
      <c r="M747" s="105" t="str">
        <f t="shared" si="32"/>
        <v>L41</v>
      </c>
      <c r="N747" s="105" t="e">
        <f>VLOOKUP(M747,CAC!$A$2:$B$198,2,FALSE)</f>
        <v>#N/A</v>
      </c>
    </row>
    <row r="748" spans="5:14" x14ac:dyDescent="0.25">
      <c r="E748" s="83">
        <v>201707</v>
      </c>
      <c r="F748" s="82" t="s">
        <v>563</v>
      </c>
      <c r="G748" s="82" t="s">
        <v>361</v>
      </c>
      <c r="H748" s="82" t="s">
        <v>344</v>
      </c>
      <c r="I748" s="95">
        <v>0</v>
      </c>
      <c r="K748" s="105" t="str">
        <f t="shared" si="31"/>
        <v>0003-1003-0012</v>
      </c>
      <c r="L748" s="105" t="str">
        <f>VLOOKUP(K748,COA!$A$3:$B$337,2,FALSE)</f>
        <v>N61</v>
      </c>
      <c r="M748" s="105" t="str">
        <f t="shared" si="32"/>
        <v>N61</v>
      </c>
      <c r="N748" s="105" t="str">
        <f>VLOOKUP(M748,CAC!$A$2:$B$198,2,FALSE)</f>
        <v>PPOPMR</v>
      </c>
    </row>
    <row r="749" spans="5:14" x14ac:dyDescent="0.25">
      <c r="E749" s="83">
        <v>201512</v>
      </c>
      <c r="F749" s="82" t="s">
        <v>506</v>
      </c>
      <c r="G749" s="82" t="s">
        <v>346</v>
      </c>
      <c r="H749" s="82" t="s">
        <v>592</v>
      </c>
      <c r="I749" s="95">
        <v>0</v>
      </c>
      <c r="K749" s="105" t="str">
        <f t="shared" si="31"/>
        <v>0013-1014-0035</v>
      </c>
      <c r="L749" s="105" t="str">
        <f>VLOOKUP(K749,COA!$A$3:$B$337,2,FALSE)</f>
        <v>K42</v>
      </c>
      <c r="M749" s="105" t="str">
        <f t="shared" si="32"/>
        <v>K42</v>
      </c>
      <c r="N749" s="105" t="str">
        <f>VLOOKUP(M749,CAC!$A$2:$B$198,2,FALSE)</f>
        <v>HMFLEX</v>
      </c>
    </row>
    <row r="750" spans="5:14" x14ac:dyDescent="0.25">
      <c r="E750" s="83">
        <v>201504</v>
      </c>
      <c r="F750" s="82" t="s">
        <v>413</v>
      </c>
      <c r="G750" s="82" t="s">
        <v>355</v>
      </c>
      <c r="H750" s="82" t="s">
        <v>344</v>
      </c>
      <c r="I750" s="95">
        <v>0</v>
      </c>
      <c r="K750" s="105" t="str">
        <f t="shared" si="31"/>
        <v>0008-1006-0012</v>
      </c>
      <c r="L750" s="105" t="str">
        <f>VLOOKUP(K750,COA!$A$3:$B$337,2,FALSE)</f>
        <v>C96</v>
      </c>
      <c r="M750" s="105" t="str">
        <f t="shared" si="32"/>
        <v>C96</v>
      </c>
      <c r="N750" s="105" t="str">
        <f>VLOOKUP(M750,CAC!$A$2:$B$198,2,FALSE)</f>
        <v>DOILG</v>
      </c>
    </row>
    <row r="751" spans="5:14" x14ac:dyDescent="0.25">
      <c r="E751" s="83">
        <v>201502</v>
      </c>
      <c r="F751" s="82" t="s">
        <v>345</v>
      </c>
      <c r="G751" s="82" t="s">
        <v>351</v>
      </c>
      <c r="H751" s="82" t="s">
        <v>349</v>
      </c>
      <c r="I751" s="95">
        <v>1</v>
      </c>
      <c r="K751" s="105" t="str">
        <f t="shared" si="31"/>
        <v>0011-0000-0017</v>
      </c>
      <c r="L751" s="105" t="e">
        <f>VLOOKUP(K751,COA!$A$3:$B$337,2,FALSE)</f>
        <v>#N/A</v>
      </c>
      <c r="M751" s="105" t="str">
        <f t="shared" si="32"/>
        <v>XXX</v>
      </c>
      <c r="N751" s="105" t="str">
        <f>VLOOKUP(M751,CAC!$A$2:$B$198,2,FALSE)</f>
        <v>XXX</v>
      </c>
    </row>
    <row r="752" spans="5:14" x14ac:dyDescent="0.25">
      <c r="E752" s="83">
        <v>201605</v>
      </c>
      <c r="F752" s="82" t="s">
        <v>563</v>
      </c>
      <c r="G752" s="82" t="s">
        <v>350</v>
      </c>
      <c r="H752" s="82" t="s">
        <v>344</v>
      </c>
      <c r="I752" s="95">
        <v>0</v>
      </c>
      <c r="K752" s="105" t="str">
        <f t="shared" si="31"/>
        <v>0003-1012-0012</v>
      </c>
      <c r="L752" s="105" t="str">
        <f>VLOOKUP(K752,COA!$A$3:$B$337,2,FALSE)</f>
        <v>K51</v>
      </c>
      <c r="M752" s="105" t="str">
        <f t="shared" si="32"/>
        <v>K51</v>
      </c>
      <c r="N752" s="105" t="str">
        <f>VLOOKUP(M752,CAC!$A$2:$B$198,2,FALSE)</f>
        <v>PPOPMR</v>
      </c>
    </row>
    <row r="753" spans="5:14" x14ac:dyDescent="0.25">
      <c r="E753" s="83">
        <v>201703</v>
      </c>
      <c r="F753" s="82" t="s">
        <v>344</v>
      </c>
      <c r="G753" s="82" t="s">
        <v>354</v>
      </c>
      <c r="H753" s="82" t="s">
        <v>344</v>
      </c>
      <c r="I753" s="95">
        <v>284</v>
      </c>
      <c r="K753" s="105" t="str">
        <f t="shared" si="31"/>
        <v>0012-1013-0012</v>
      </c>
      <c r="L753" s="105" t="str">
        <f>VLOOKUP(K753,COA!$A$3:$B$337,2,FALSE)</f>
        <v>N14</v>
      </c>
      <c r="M753" s="105" t="str">
        <f t="shared" si="32"/>
        <v>N14</v>
      </c>
      <c r="N753" s="105" t="str">
        <f>VLOOKUP(M753,CAC!$A$2:$B$198,2,FALSE)</f>
        <v>HMOPMR</v>
      </c>
    </row>
    <row r="754" spans="5:14" x14ac:dyDescent="0.25">
      <c r="E754" s="83">
        <v>201609</v>
      </c>
      <c r="F754" s="82" t="s">
        <v>344</v>
      </c>
      <c r="G754" s="82" t="s">
        <v>352</v>
      </c>
      <c r="H754" s="82" t="s">
        <v>360</v>
      </c>
      <c r="I754" s="95">
        <v>211</v>
      </c>
      <c r="K754" s="105" t="str">
        <f t="shared" si="31"/>
        <v>0012-1004-0048</v>
      </c>
      <c r="L754" s="105" t="str">
        <f>VLOOKUP(K754,COA!$A$3:$B$337,2,FALSE)</f>
        <v>L22</v>
      </c>
      <c r="M754" s="105" t="str">
        <f t="shared" si="32"/>
        <v>L22</v>
      </c>
      <c r="N754" s="105" t="str">
        <f>VLOOKUP(M754,CAC!$A$2:$B$198,2,FALSE)</f>
        <v>HMFLEX</v>
      </c>
    </row>
    <row r="755" spans="5:14" x14ac:dyDescent="0.25">
      <c r="E755" s="83">
        <v>201505</v>
      </c>
      <c r="F755" s="82" t="s">
        <v>342</v>
      </c>
      <c r="G755" s="82" t="s">
        <v>343</v>
      </c>
      <c r="H755" s="82" t="s">
        <v>344</v>
      </c>
      <c r="I755" s="95">
        <v>6604.23</v>
      </c>
      <c r="K755" s="105" t="str">
        <f t="shared" si="31"/>
        <v>0031-1000-0012</v>
      </c>
      <c r="L755" s="105" t="str">
        <f>VLOOKUP(K755,COA!$A$3:$B$337,2,FALSE)</f>
        <v>F27</v>
      </c>
      <c r="M755" s="105" t="str">
        <f t="shared" si="32"/>
        <v>F27</v>
      </c>
      <c r="N755" s="105" t="str">
        <f>VLOOKUP(M755,CAC!$A$2:$B$198,2,FALSE)</f>
        <v>HMOFEP</v>
      </c>
    </row>
    <row r="756" spans="5:14" x14ac:dyDescent="0.25">
      <c r="E756" s="83">
        <v>201512</v>
      </c>
      <c r="F756" s="82" t="s">
        <v>506</v>
      </c>
      <c r="G756" s="82" t="s">
        <v>359</v>
      </c>
      <c r="H756" s="82" t="s">
        <v>592</v>
      </c>
      <c r="I756" s="95">
        <v>0</v>
      </c>
      <c r="K756" s="105" t="str">
        <f t="shared" si="31"/>
        <v>0013-1005-0035</v>
      </c>
      <c r="L756" s="105" t="str">
        <f>VLOOKUP(K756,COA!$A$3:$B$337,2,FALSE)</f>
        <v>N41</v>
      </c>
      <c r="M756" s="105" t="str">
        <f t="shared" si="32"/>
        <v>N41</v>
      </c>
      <c r="N756" s="105" t="e">
        <f>VLOOKUP(M756,CAC!$A$2:$B$198,2,FALSE)</f>
        <v>#N/A</v>
      </c>
    </row>
    <row r="757" spans="5:14" x14ac:dyDescent="0.25">
      <c r="E757" s="83">
        <v>201607</v>
      </c>
      <c r="F757" s="82" t="s">
        <v>563</v>
      </c>
      <c r="G757" s="82" t="s">
        <v>365</v>
      </c>
      <c r="H757" s="82" t="s">
        <v>344</v>
      </c>
      <c r="I757" s="95">
        <v>0</v>
      </c>
      <c r="K757" s="105" t="str">
        <f t="shared" si="31"/>
        <v>0003-1001-0012</v>
      </c>
      <c r="L757" s="105" t="str">
        <f>VLOOKUP(K757,COA!$A$3:$B$337,2,FALSE)</f>
        <v>V51</v>
      </c>
      <c r="M757" s="105" t="str">
        <f t="shared" si="32"/>
        <v>V51</v>
      </c>
      <c r="N757" s="105" t="str">
        <f>VLOOKUP(M757,CAC!$A$2:$B$198,2,FALSE)</f>
        <v>PPOIFP</v>
      </c>
    </row>
    <row r="758" spans="5:14" x14ac:dyDescent="0.25">
      <c r="E758" s="83">
        <v>201712</v>
      </c>
      <c r="F758" s="82" t="s">
        <v>552</v>
      </c>
      <c r="G758" s="82" t="s">
        <v>356</v>
      </c>
      <c r="H758" s="82" t="s">
        <v>672</v>
      </c>
      <c r="I758" s="95">
        <v>0</v>
      </c>
      <c r="K758" s="105" t="str">
        <f t="shared" si="31"/>
        <v>0027-1002-0058</v>
      </c>
      <c r="L758" s="105" t="str">
        <f>VLOOKUP(K758,COA!$A$3:$B$337,2,FALSE)</f>
        <v>L45</v>
      </c>
      <c r="M758" s="105" t="str">
        <f t="shared" si="32"/>
        <v>L45</v>
      </c>
      <c r="N758" s="105" t="e">
        <f>VLOOKUP(M758,CAC!$A$2:$B$198,2,FALSE)</f>
        <v>#N/A</v>
      </c>
    </row>
    <row r="759" spans="5:14" x14ac:dyDescent="0.25">
      <c r="E759" s="83">
        <v>201611</v>
      </c>
      <c r="F759" s="82" t="s">
        <v>345</v>
      </c>
      <c r="G759" s="82" t="s">
        <v>352</v>
      </c>
      <c r="H759" s="82" t="s">
        <v>653</v>
      </c>
      <c r="I759" s="95">
        <v>0</v>
      </c>
      <c r="K759" s="105" t="str">
        <f t="shared" si="31"/>
        <v>0011-1004-0047</v>
      </c>
      <c r="L759" s="105" t="str">
        <f>VLOOKUP(K759,COA!$A$3:$B$337,2,FALSE)</f>
        <v>L17</v>
      </c>
      <c r="M759" s="105" t="str">
        <f t="shared" si="32"/>
        <v>L17</v>
      </c>
      <c r="N759" s="105" t="str">
        <f>VLOOKUP(M759,CAC!$A$2:$B$198,2,FALSE)</f>
        <v>HMOLG</v>
      </c>
    </row>
    <row r="760" spans="5:14" x14ac:dyDescent="0.25">
      <c r="E760" s="83">
        <v>201510</v>
      </c>
      <c r="F760" s="82" t="s">
        <v>563</v>
      </c>
      <c r="G760" s="82" t="s">
        <v>351</v>
      </c>
      <c r="H760" s="82" t="s">
        <v>349</v>
      </c>
      <c r="I760" s="95">
        <v>0</v>
      </c>
      <c r="K760" s="105" t="str">
        <f t="shared" si="31"/>
        <v>0003-0000-0017</v>
      </c>
      <c r="L760" s="105" t="e">
        <f>VLOOKUP(K760,COA!$A$3:$B$337,2,FALSE)</f>
        <v>#N/A</v>
      </c>
      <c r="M760" s="105" t="str">
        <f t="shared" si="32"/>
        <v>XXX</v>
      </c>
      <c r="N760" s="105" t="str">
        <f>VLOOKUP(M760,CAC!$A$2:$B$198,2,FALSE)</f>
        <v>XXX</v>
      </c>
    </row>
    <row r="761" spans="5:14" x14ac:dyDescent="0.25">
      <c r="E761" s="83">
        <v>201712</v>
      </c>
      <c r="F761" s="82" t="s">
        <v>563</v>
      </c>
      <c r="G761" s="82" t="s">
        <v>352</v>
      </c>
      <c r="H761" s="82" t="s">
        <v>344</v>
      </c>
      <c r="I761" s="95">
        <v>0</v>
      </c>
      <c r="K761" s="105" t="str">
        <f t="shared" si="31"/>
        <v>0003-1004-0012</v>
      </c>
      <c r="L761" s="105" t="str">
        <f>VLOOKUP(K761,COA!$A$3:$B$337,2,FALSE)</f>
        <v>L51</v>
      </c>
      <c r="M761" s="105" t="str">
        <f t="shared" si="32"/>
        <v>L51</v>
      </c>
      <c r="N761" s="105" t="str">
        <f>VLOOKUP(M761,CAC!$A$2:$B$198,2,FALSE)</f>
        <v>PPOLG</v>
      </c>
    </row>
    <row r="762" spans="5:14" x14ac:dyDescent="0.25">
      <c r="E762" s="83">
        <v>201607</v>
      </c>
      <c r="F762" s="82" t="s">
        <v>746</v>
      </c>
      <c r="G762" s="82" t="s">
        <v>361</v>
      </c>
      <c r="H762" s="82" t="s">
        <v>344</v>
      </c>
      <c r="I762" s="95">
        <v>472</v>
      </c>
      <c r="K762" s="105" t="str">
        <f t="shared" si="31"/>
        <v>0016-1003-0012</v>
      </c>
      <c r="L762" s="105" t="str">
        <f>VLOOKUP(K762,COA!$A$3:$B$337,2,FALSE)</f>
        <v>R18</v>
      </c>
      <c r="M762" s="105" t="str">
        <f t="shared" si="32"/>
        <v>R18</v>
      </c>
      <c r="N762" s="105" t="str">
        <f>VLOOKUP(M762,CAC!$A$2:$B$198,2,FALSE)</f>
        <v>HMOMG</v>
      </c>
    </row>
    <row r="763" spans="5:14" x14ac:dyDescent="0.25">
      <c r="E763" s="83">
        <v>201708</v>
      </c>
      <c r="F763" s="82" t="s">
        <v>345</v>
      </c>
      <c r="G763" s="82" t="s">
        <v>354</v>
      </c>
      <c r="H763" s="82" t="s">
        <v>368</v>
      </c>
      <c r="I763" s="95">
        <v>1</v>
      </c>
      <c r="K763" s="105" t="str">
        <f t="shared" si="31"/>
        <v>0011-1013-0056</v>
      </c>
      <c r="L763" s="105" t="str">
        <f>VLOOKUP(K763,COA!$A$3:$B$337,2,FALSE)</f>
        <v>N20</v>
      </c>
      <c r="M763" s="105" t="str">
        <f t="shared" si="32"/>
        <v>N20</v>
      </c>
      <c r="N763" s="105" t="str">
        <f>VLOOKUP(M763,CAC!$A$2:$B$198,2,FALSE)</f>
        <v>HMOPMR</v>
      </c>
    </row>
    <row r="764" spans="5:14" x14ac:dyDescent="0.25">
      <c r="E764" s="83">
        <v>201605</v>
      </c>
      <c r="F764" s="82" t="s">
        <v>345</v>
      </c>
      <c r="G764" s="82" t="s">
        <v>348</v>
      </c>
      <c r="H764" s="82" t="s">
        <v>349</v>
      </c>
      <c r="I764" s="95">
        <v>21203.59</v>
      </c>
      <c r="K764" s="105" t="str">
        <f t="shared" si="31"/>
        <v>0011-1010-0017</v>
      </c>
      <c r="L764" s="105" t="str">
        <f>VLOOKUP(K764,COA!$A$3:$B$337,2,FALSE)</f>
        <v>S11</v>
      </c>
      <c r="M764" s="105" t="str">
        <f t="shared" si="32"/>
        <v>S11</v>
      </c>
      <c r="N764" s="105" t="str">
        <f>VLOOKUP(M764,CAC!$A$2:$B$198,2,FALSE)</f>
        <v>HMOSG</v>
      </c>
    </row>
    <row r="765" spans="5:14" x14ac:dyDescent="0.25">
      <c r="E765" s="83">
        <v>201601</v>
      </c>
      <c r="F765" s="82" t="s">
        <v>413</v>
      </c>
      <c r="G765" s="82" t="s">
        <v>355</v>
      </c>
      <c r="H765" s="82" t="s">
        <v>344</v>
      </c>
      <c r="I765" s="95">
        <v>0</v>
      </c>
      <c r="K765" s="105" t="str">
        <f t="shared" si="31"/>
        <v>0008-1006-0012</v>
      </c>
      <c r="L765" s="105" t="str">
        <f>VLOOKUP(K765,COA!$A$3:$B$337,2,FALSE)</f>
        <v>C96</v>
      </c>
      <c r="M765" s="105" t="str">
        <f t="shared" si="32"/>
        <v>C96</v>
      </c>
      <c r="N765" s="105" t="str">
        <f>VLOOKUP(M765,CAC!$A$2:$B$198,2,FALSE)</f>
        <v>DOILG</v>
      </c>
    </row>
    <row r="766" spans="5:14" x14ac:dyDescent="0.25">
      <c r="E766" s="83">
        <v>201502</v>
      </c>
      <c r="F766" s="82" t="s">
        <v>345</v>
      </c>
      <c r="G766" s="82" t="s">
        <v>352</v>
      </c>
      <c r="H766" s="82" t="s">
        <v>344</v>
      </c>
      <c r="I766" s="95">
        <v>4199.97</v>
      </c>
      <c r="K766" s="105" t="str">
        <f t="shared" si="31"/>
        <v>0011-1004-0012</v>
      </c>
      <c r="L766" s="105" t="str">
        <f>VLOOKUP(K766,COA!$A$3:$B$337,2,FALSE)</f>
        <v>L11</v>
      </c>
      <c r="M766" s="105" t="str">
        <f t="shared" si="32"/>
        <v>L11</v>
      </c>
      <c r="N766" s="105" t="str">
        <f>VLOOKUP(M766,CAC!$A$2:$B$198,2,FALSE)</f>
        <v>HMOLG</v>
      </c>
    </row>
    <row r="767" spans="5:14" x14ac:dyDescent="0.25">
      <c r="E767" s="83">
        <v>201710</v>
      </c>
      <c r="F767" s="82" t="s">
        <v>506</v>
      </c>
      <c r="G767" s="82" t="s">
        <v>359</v>
      </c>
      <c r="H767" s="82" t="s">
        <v>592</v>
      </c>
      <c r="I767" s="95">
        <v>0</v>
      </c>
      <c r="K767" s="105" t="str">
        <f t="shared" si="31"/>
        <v>0013-1005-0035</v>
      </c>
      <c r="L767" s="105" t="str">
        <f>VLOOKUP(K767,COA!$A$3:$B$337,2,FALSE)</f>
        <v>N41</v>
      </c>
      <c r="M767" s="105" t="str">
        <f t="shared" si="32"/>
        <v>N41</v>
      </c>
      <c r="N767" s="105" t="e">
        <f>VLOOKUP(M767,CAC!$A$2:$B$198,2,FALSE)</f>
        <v>#N/A</v>
      </c>
    </row>
    <row r="768" spans="5:14" x14ac:dyDescent="0.25">
      <c r="E768" s="83">
        <v>201604</v>
      </c>
      <c r="F768" s="82" t="s">
        <v>345</v>
      </c>
      <c r="G768" s="82" t="s">
        <v>359</v>
      </c>
      <c r="H768" s="82" t="s">
        <v>344</v>
      </c>
      <c r="I768" s="95">
        <v>4006.11</v>
      </c>
      <c r="K768" s="105" t="str">
        <f t="shared" si="31"/>
        <v>0011-1005-0012</v>
      </c>
      <c r="L768" s="105" t="str">
        <f>VLOOKUP(K768,COA!$A$3:$B$337,2,FALSE)</f>
        <v>N11</v>
      </c>
      <c r="M768" s="105" t="str">
        <f t="shared" si="32"/>
        <v>N11</v>
      </c>
      <c r="N768" s="105" t="str">
        <f>VLOOKUP(M768,CAC!$A$2:$B$198,2,FALSE)</f>
        <v>HMOLG</v>
      </c>
    </row>
    <row r="769" spans="5:14" x14ac:dyDescent="0.25">
      <c r="E769" s="83">
        <v>201606</v>
      </c>
      <c r="F769" s="82" t="s">
        <v>563</v>
      </c>
      <c r="G769" s="82" t="s">
        <v>352</v>
      </c>
      <c r="H769" s="82" t="s">
        <v>653</v>
      </c>
      <c r="I769" s="95">
        <v>0</v>
      </c>
      <c r="K769" s="105" t="str">
        <f t="shared" si="31"/>
        <v>0003-1004-0047</v>
      </c>
      <c r="L769" s="105" t="str">
        <f>VLOOKUP(K769,COA!$A$3:$B$337,2,FALSE)</f>
        <v>L57</v>
      </c>
      <c r="M769" s="105" t="str">
        <f t="shared" si="32"/>
        <v>L57</v>
      </c>
      <c r="N769" s="105" t="str">
        <f>VLOOKUP(M769,CAC!$A$2:$B$198,2,FALSE)</f>
        <v>PPOLG</v>
      </c>
    </row>
    <row r="770" spans="5:14" x14ac:dyDescent="0.25">
      <c r="E770" s="83">
        <v>201509</v>
      </c>
      <c r="F770" s="82" t="s">
        <v>405</v>
      </c>
      <c r="G770" s="82" t="s">
        <v>362</v>
      </c>
      <c r="H770" s="82" t="s">
        <v>342</v>
      </c>
      <c r="I770" s="95">
        <v>0</v>
      </c>
      <c r="K770" s="105" t="str">
        <f t="shared" si="31"/>
        <v>0019-1008-0031</v>
      </c>
      <c r="L770" s="105" t="str">
        <f>VLOOKUP(K770,COA!$A$3:$B$337,2,FALSE)</f>
        <v>P53</v>
      </c>
      <c r="M770" s="105" t="str">
        <f t="shared" si="32"/>
        <v>P53</v>
      </c>
      <c r="N770" s="105" t="str">
        <f>VLOOKUP(M770,CAC!$A$2:$B$198,2,FALSE)</f>
        <v>HMOPERA</v>
      </c>
    </row>
    <row r="771" spans="5:14" x14ac:dyDescent="0.25">
      <c r="E771" s="83">
        <v>201702</v>
      </c>
      <c r="F771" s="82" t="s">
        <v>345</v>
      </c>
      <c r="G771" s="82" t="s">
        <v>361</v>
      </c>
      <c r="H771" s="82" t="s">
        <v>344</v>
      </c>
      <c r="I771" s="95">
        <v>931</v>
      </c>
      <c r="K771" s="105" t="str">
        <f t="shared" si="31"/>
        <v>0011-1003-0012</v>
      </c>
      <c r="L771" s="105" t="str">
        <f>VLOOKUP(K771,COA!$A$3:$B$337,2,FALSE)</f>
        <v>N16</v>
      </c>
      <c r="M771" s="105" t="str">
        <f t="shared" si="32"/>
        <v>N16</v>
      </c>
      <c r="N771" s="105" t="str">
        <f>VLOOKUP(M771,CAC!$A$2:$B$198,2,FALSE)</f>
        <v>HMOPMR</v>
      </c>
    </row>
    <row r="772" spans="5:14" x14ac:dyDescent="0.25">
      <c r="E772" s="83">
        <v>201601</v>
      </c>
      <c r="F772" s="82" t="s">
        <v>563</v>
      </c>
      <c r="G772" s="82" t="s">
        <v>350</v>
      </c>
      <c r="H772" s="82" t="s">
        <v>360</v>
      </c>
      <c r="I772" s="95">
        <v>0</v>
      </c>
      <c r="K772" s="105" t="str">
        <f t="shared" ref="K772:K835" si="33">F772&amp;"-"&amp;G772&amp;"-"&amp;H772</f>
        <v>0003-1012-0048</v>
      </c>
      <c r="L772" s="105" t="str">
        <f>VLOOKUP(K772,COA!$A$3:$B$337,2,FALSE)</f>
        <v>K56</v>
      </c>
      <c r="M772" s="105" t="str">
        <f t="shared" ref="M772:M835" si="34">IF(ISNA(L772),"XXX",L772)</f>
        <v>K56</v>
      </c>
      <c r="N772" s="105" t="str">
        <f>VLOOKUP(M772,CAC!$A$2:$B$198,2,FALSE)</f>
        <v>HMFLEX</v>
      </c>
    </row>
    <row r="773" spans="5:14" x14ac:dyDescent="0.25">
      <c r="E773" s="83">
        <v>201508</v>
      </c>
      <c r="F773" s="82" t="s">
        <v>345</v>
      </c>
      <c r="G773" s="82" t="s">
        <v>350</v>
      </c>
      <c r="H773" s="82" t="s">
        <v>360</v>
      </c>
      <c r="I773" s="95">
        <v>600</v>
      </c>
      <c r="K773" s="105" t="str">
        <f t="shared" si="33"/>
        <v>0011-1012-0048</v>
      </c>
      <c r="L773" s="105" t="str">
        <f>VLOOKUP(K773,COA!$A$3:$B$337,2,FALSE)</f>
        <v>K21</v>
      </c>
      <c r="M773" s="105" t="str">
        <f t="shared" si="34"/>
        <v>K21</v>
      </c>
      <c r="N773" s="105" t="str">
        <f>VLOOKUP(M773,CAC!$A$2:$B$198,2,FALSE)</f>
        <v>HMFLEX</v>
      </c>
    </row>
    <row r="774" spans="5:14" x14ac:dyDescent="0.25">
      <c r="E774" s="83">
        <v>201606</v>
      </c>
      <c r="F774" s="82" t="s">
        <v>345</v>
      </c>
      <c r="G774" s="82" t="s">
        <v>350</v>
      </c>
      <c r="H774" s="82" t="s">
        <v>357</v>
      </c>
      <c r="I774" s="95">
        <v>1942.15</v>
      </c>
      <c r="K774" s="105" t="str">
        <f t="shared" si="33"/>
        <v>0011-1012-0038</v>
      </c>
      <c r="L774" s="105" t="str">
        <f>VLOOKUP(K774,COA!$A$3:$B$337,2,FALSE)</f>
        <v>K14</v>
      </c>
      <c r="M774" s="105" t="str">
        <f t="shared" si="34"/>
        <v>K14</v>
      </c>
      <c r="N774" s="105" t="str">
        <f>VLOOKUP(M774,CAC!$A$2:$B$198,2,FALSE)</f>
        <v>HMOPMR</v>
      </c>
    </row>
    <row r="775" spans="5:14" x14ac:dyDescent="0.25">
      <c r="E775" s="83">
        <v>201504</v>
      </c>
      <c r="F775" s="82" t="s">
        <v>344</v>
      </c>
      <c r="G775" s="82" t="s">
        <v>359</v>
      </c>
      <c r="H775" s="82" t="s">
        <v>344</v>
      </c>
      <c r="I775" s="95">
        <v>75.819999999999993</v>
      </c>
      <c r="K775" s="105" t="str">
        <f t="shared" si="33"/>
        <v>0012-1005-0012</v>
      </c>
      <c r="L775" s="105" t="str">
        <f>VLOOKUP(K775,COA!$A$3:$B$337,2,FALSE)</f>
        <v>N13</v>
      </c>
      <c r="M775" s="105" t="str">
        <f t="shared" si="34"/>
        <v>N13</v>
      </c>
      <c r="N775" s="105" t="str">
        <f>VLOOKUP(M775,CAC!$A$2:$B$198,2,FALSE)</f>
        <v>HMOLG</v>
      </c>
    </row>
    <row r="776" spans="5:14" x14ac:dyDescent="0.25">
      <c r="E776" s="83">
        <v>201505</v>
      </c>
      <c r="F776" s="82" t="s">
        <v>746</v>
      </c>
      <c r="G776" s="82" t="s">
        <v>350</v>
      </c>
      <c r="H776" s="82" t="s">
        <v>344</v>
      </c>
      <c r="I776" s="95">
        <v>137</v>
      </c>
      <c r="K776" s="105" t="str">
        <f t="shared" si="33"/>
        <v>0016-1012-0012</v>
      </c>
      <c r="L776" s="105" t="str">
        <f>VLOOKUP(K776,COA!$A$3:$B$337,2,FALSE)</f>
        <v>R19</v>
      </c>
      <c r="M776" s="105" t="str">
        <f t="shared" si="34"/>
        <v>R19</v>
      </c>
      <c r="N776" s="105" t="str">
        <f>VLOOKUP(M776,CAC!$A$2:$B$198,2,FALSE)</f>
        <v>HMOMG</v>
      </c>
    </row>
    <row r="777" spans="5:14" x14ac:dyDescent="0.25">
      <c r="E777" s="83">
        <v>201709</v>
      </c>
      <c r="F777" s="82" t="s">
        <v>506</v>
      </c>
      <c r="G777" s="82" t="s">
        <v>361</v>
      </c>
      <c r="H777" s="82" t="s">
        <v>592</v>
      </c>
      <c r="I777" s="95">
        <v>0</v>
      </c>
      <c r="K777" s="105" t="str">
        <f t="shared" si="33"/>
        <v>0013-1003-0035</v>
      </c>
      <c r="L777" s="105" t="str">
        <f>VLOOKUP(K777,COA!$A$3:$B$337,2,FALSE)</f>
        <v>N32</v>
      </c>
      <c r="M777" s="105" t="str">
        <f t="shared" si="34"/>
        <v>N32</v>
      </c>
      <c r="N777" s="105" t="e">
        <f>VLOOKUP(M777,CAC!$A$2:$B$198,2,FALSE)</f>
        <v>#N/A</v>
      </c>
    </row>
    <row r="778" spans="5:14" x14ac:dyDescent="0.25">
      <c r="E778" s="83">
        <v>201707</v>
      </c>
      <c r="F778" s="82" t="s">
        <v>349</v>
      </c>
      <c r="G778" s="82" t="s">
        <v>369</v>
      </c>
      <c r="H778" s="82" t="s">
        <v>344</v>
      </c>
      <c r="I778" s="95">
        <v>43967</v>
      </c>
      <c r="K778" s="105" t="str">
        <f t="shared" si="33"/>
        <v>0017-1009-0012</v>
      </c>
      <c r="L778" s="105" t="str">
        <f>VLOOKUP(K778,COA!$A$3:$B$337,2,FALSE)</f>
        <v>R12</v>
      </c>
      <c r="M778" s="105" t="str">
        <f t="shared" si="34"/>
        <v>R12</v>
      </c>
      <c r="N778" s="105" t="str">
        <f>VLOOKUP(M778,CAC!$A$2:$B$198,2,FALSE)</f>
        <v>HMOMM</v>
      </c>
    </row>
    <row r="779" spans="5:14" x14ac:dyDescent="0.25">
      <c r="E779" s="83">
        <v>201607</v>
      </c>
      <c r="F779" s="82" t="s">
        <v>345</v>
      </c>
      <c r="G779" s="82" t="s">
        <v>350</v>
      </c>
      <c r="H779" s="82" t="s">
        <v>344</v>
      </c>
      <c r="I779" s="95">
        <v>14593.16</v>
      </c>
      <c r="K779" s="105" t="str">
        <f t="shared" si="33"/>
        <v>0011-1012-0012</v>
      </c>
      <c r="L779" s="105" t="str">
        <f>VLOOKUP(K779,COA!$A$3:$B$337,2,FALSE)</f>
        <v>K11</v>
      </c>
      <c r="M779" s="105" t="str">
        <f t="shared" si="34"/>
        <v>K11</v>
      </c>
      <c r="N779" s="105" t="str">
        <f>VLOOKUP(M779,CAC!$A$2:$B$198,2,FALSE)</f>
        <v>HMOPMR</v>
      </c>
    </row>
    <row r="780" spans="5:14" x14ac:dyDescent="0.25">
      <c r="E780" s="83">
        <v>201606</v>
      </c>
      <c r="F780" s="82" t="s">
        <v>506</v>
      </c>
      <c r="G780" s="82" t="s">
        <v>354</v>
      </c>
      <c r="H780" s="82" t="s">
        <v>592</v>
      </c>
      <c r="I780" s="95">
        <v>0</v>
      </c>
      <c r="K780" s="105" t="str">
        <f t="shared" si="33"/>
        <v>0013-1013-0035</v>
      </c>
      <c r="L780" s="105" t="str">
        <f>VLOOKUP(K780,COA!$A$3:$B$337,2,FALSE)</f>
        <v>N44</v>
      </c>
      <c r="M780" s="105" t="str">
        <f t="shared" si="34"/>
        <v>N44</v>
      </c>
      <c r="N780" s="105" t="e">
        <f>VLOOKUP(M780,CAC!$A$2:$B$198,2,FALSE)</f>
        <v>#N/A</v>
      </c>
    </row>
    <row r="781" spans="5:14" x14ac:dyDescent="0.25">
      <c r="E781" s="83">
        <v>201502</v>
      </c>
      <c r="F781" s="82" t="s">
        <v>563</v>
      </c>
      <c r="G781" s="82" t="s">
        <v>351</v>
      </c>
      <c r="H781" s="82" t="s">
        <v>349</v>
      </c>
      <c r="I781" s="95">
        <v>0</v>
      </c>
      <c r="K781" s="105" t="str">
        <f t="shared" si="33"/>
        <v>0003-0000-0017</v>
      </c>
      <c r="L781" s="105" t="e">
        <f>VLOOKUP(K781,COA!$A$3:$B$337,2,FALSE)</f>
        <v>#N/A</v>
      </c>
      <c r="M781" s="105" t="str">
        <f t="shared" si="34"/>
        <v>XXX</v>
      </c>
      <c r="N781" s="105" t="str">
        <f>VLOOKUP(M781,CAC!$A$2:$B$198,2,FALSE)</f>
        <v>XXX</v>
      </c>
    </row>
    <row r="782" spans="5:14" x14ac:dyDescent="0.25">
      <c r="E782" s="83">
        <v>201509</v>
      </c>
      <c r="F782" s="82" t="s">
        <v>345</v>
      </c>
      <c r="G782" s="82" t="s">
        <v>356</v>
      </c>
      <c r="H782" s="82" t="s">
        <v>344</v>
      </c>
      <c r="I782" s="95">
        <v>15032</v>
      </c>
      <c r="K782" s="105" t="str">
        <f t="shared" si="33"/>
        <v>0011-1002-0012</v>
      </c>
      <c r="L782" s="105" t="str">
        <f>VLOOKUP(K782,COA!$A$3:$B$337,2,FALSE)</f>
        <v>F20</v>
      </c>
      <c r="M782" s="105" t="str">
        <f t="shared" si="34"/>
        <v>F20</v>
      </c>
      <c r="N782" s="105" t="str">
        <f>VLOOKUP(M782,CAC!$A$2:$B$198,2,FALSE)</f>
        <v>HMOPMR</v>
      </c>
    </row>
    <row r="783" spans="5:14" x14ac:dyDescent="0.25">
      <c r="E783" s="83">
        <v>201611</v>
      </c>
      <c r="F783" s="82" t="s">
        <v>506</v>
      </c>
      <c r="G783" s="82" t="s">
        <v>354</v>
      </c>
      <c r="H783" s="82" t="s">
        <v>592</v>
      </c>
      <c r="I783" s="95">
        <v>0</v>
      </c>
      <c r="K783" s="105" t="str">
        <f t="shared" si="33"/>
        <v>0013-1013-0035</v>
      </c>
      <c r="L783" s="105" t="str">
        <f>VLOOKUP(K783,COA!$A$3:$B$337,2,FALSE)</f>
        <v>N44</v>
      </c>
      <c r="M783" s="105" t="str">
        <f t="shared" si="34"/>
        <v>N44</v>
      </c>
      <c r="N783" s="105" t="e">
        <f>VLOOKUP(M783,CAC!$A$2:$B$198,2,FALSE)</f>
        <v>#N/A</v>
      </c>
    </row>
    <row r="784" spans="5:14" x14ac:dyDescent="0.25">
      <c r="E784" s="83">
        <v>201611</v>
      </c>
      <c r="F784" s="82" t="s">
        <v>506</v>
      </c>
      <c r="G784" s="82" t="s">
        <v>359</v>
      </c>
      <c r="H784" s="82" t="s">
        <v>592</v>
      </c>
      <c r="I784" s="95">
        <v>0</v>
      </c>
      <c r="K784" s="105" t="str">
        <f t="shared" si="33"/>
        <v>0013-1005-0035</v>
      </c>
      <c r="L784" s="105" t="str">
        <f>VLOOKUP(K784,COA!$A$3:$B$337,2,FALSE)</f>
        <v>N41</v>
      </c>
      <c r="M784" s="105" t="str">
        <f t="shared" si="34"/>
        <v>N41</v>
      </c>
      <c r="N784" s="105" t="e">
        <f>VLOOKUP(M784,CAC!$A$2:$B$198,2,FALSE)</f>
        <v>#N/A</v>
      </c>
    </row>
    <row r="785" spans="5:14" x14ac:dyDescent="0.25">
      <c r="E785" s="83">
        <v>201512</v>
      </c>
      <c r="F785" s="82" t="s">
        <v>563</v>
      </c>
      <c r="G785" s="82" t="s">
        <v>356</v>
      </c>
      <c r="H785" s="82" t="s">
        <v>344</v>
      </c>
      <c r="I785" s="95">
        <v>0</v>
      </c>
      <c r="K785" s="105" t="str">
        <f t="shared" si="33"/>
        <v>0003-1002-0012</v>
      </c>
      <c r="L785" s="105" t="str">
        <f>VLOOKUP(K785,COA!$A$3:$B$337,2,FALSE)</f>
        <v>F61</v>
      </c>
      <c r="M785" s="105" t="str">
        <f t="shared" si="34"/>
        <v>F61</v>
      </c>
      <c r="N785" s="105" t="str">
        <f>VLOOKUP(M785,CAC!$A$2:$B$198,2,FALSE)</f>
        <v>PPOPMR</v>
      </c>
    </row>
    <row r="786" spans="5:14" x14ac:dyDescent="0.25">
      <c r="E786" s="83">
        <v>201608</v>
      </c>
      <c r="F786" s="82" t="s">
        <v>345</v>
      </c>
      <c r="G786" s="82" t="s">
        <v>355</v>
      </c>
      <c r="H786" s="82" t="s">
        <v>344</v>
      </c>
      <c r="I786" s="95">
        <v>22471.73</v>
      </c>
      <c r="K786" s="105" t="str">
        <f t="shared" si="33"/>
        <v>0011-1006-0012</v>
      </c>
      <c r="L786" s="105" t="str">
        <f>VLOOKUP(K786,COA!$A$3:$B$337,2,FALSE)</f>
        <v>L13</v>
      </c>
      <c r="M786" s="105" t="str">
        <f t="shared" si="34"/>
        <v>L13</v>
      </c>
      <c r="N786" s="105" t="str">
        <f>VLOOKUP(M786,CAC!$A$2:$B$198,2,FALSE)</f>
        <v>HMOLG</v>
      </c>
    </row>
    <row r="787" spans="5:14" x14ac:dyDescent="0.25">
      <c r="E787" s="83">
        <v>201710</v>
      </c>
      <c r="F787" s="82" t="s">
        <v>563</v>
      </c>
      <c r="G787" s="82" t="s">
        <v>350</v>
      </c>
      <c r="H787" s="82" t="s">
        <v>344</v>
      </c>
      <c r="I787" s="95">
        <v>0</v>
      </c>
      <c r="K787" s="105" t="str">
        <f t="shared" si="33"/>
        <v>0003-1012-0012</v>
      </c>
      <c r="L787" s="105" t="str">
        <f>VLOOKUP(K787,COA!$A$3:$B$337,2,FALSE)</f>
        <v>K51</v>
      </c>
      <c r="M787" s="105" t="str">
        <f t="shared" si="34"/>
        <v>K51</v>
      </c>
      <c r="N787" s="105" t="str">
        <f>VLOOKUP(M787,CAC!$A$2:$B$198,2,FALSE)</f>
        <v>PPOPMR</v>
      </c>
    </row>
    <row r="788" spans="5:14" x14ac:dyDescent="0.25">
      <c r="E788" s="83">
        <v>201704</v>
      </c>
      <c r="F788" s="82" t="s">
        <v>345</v>
      </c>
      <c r="G788" s="82" t="s">
        <v>359</v>
      </c>
      <c r="H788" s="82" t="s">
        <v>344</v>
      </c>
      <c r="I788" s="95">
        <v>5106.03</v>
      </c>
      <c r="K788" s="105" t="str">
        <f t="shared" si="33"/>
        <v>0011-1005-0012</v>
      </c>
      <c r="L788" s="105" t="str">
        <f>VLOOKUP(K788,COA!$A$3:$B$337,2,FALSE)</f>
        <v>N11</v>
      </c>
      <c r="M788" s="105" t="str">
        <f t="shared" si="34"/>
        <v>N11</v>
      </c>
      <c r="N788" s="105" t="str">
        <f>VLOOKUP(M788,CAC!$A$2:$B$198,2,FALSE)</f>
        <v>HMOLG</v>
      </c>
    </row>
    <row r="789" spans="5:14" x14ac:dyDescent="0.25">
      <c r="E789" s="83">
        <v>201703</v>
      </c>
      <c r="F789" s="82" t="s">
        <v>345</v>
      </c>
      <c r="G789" s="82" t="s">
        <v>356</v>
      </c>
      <c r="H789" s="82" t="s">
        <v>344</v>
      </c>
      <c r="I789" s="95">
        <v>16085.48</v>
      </c>
      <c r="K789" s="105" t="str">
        <f t="shared" si="33"/>
        <v>0011-1002-0012</v>
      </c>
      <c r="L789" s="105" t="str">
        <f>VLOOKUP(K789,COA!$A$3:$B$337,2,FALSE)</f>
        <v>F20</v>
      </c>
      <c r="M789" s="105" t="str">
        <f t="shared" si="34"/>
        <v>F20</v>
      </c>
      <c r="N789" s="105" t="str">
        <f>VLOOKUP(M789,CAC!$A$2:$B$198,2,FALSE)</f>
        <v>HMOPMR</v>
      </c>
    </row>
    <row r="790" spans="5:14" x14ac:dyDescent="0.25">
      <c r="E790" s="83">
        <v>201606</v>
      </c>
      <c r="F790" s="82" t="s">
        <v>563</v>
      </c>
      <c r="G790" s="82" t="s">
        <v>365</v>
      </c>
      <c r="H790" s="82" t="s">
        <v>798</v>
      </c>
      <c r="I790" s="95">
        <v>0</v>
      </c>
      <c r="K790" s="105" t="str">
        <f t="shared" si="33"/>
        <v>0003-1001-0065</v>
      </c>
      <c r="L790" s="105" t="str">
        <f>VLOOKUP(K790,COA!$A$3:$B$337,2,FALSE)</f>
        <v>V55</v>
      </c>
      <c r="M790" s="105" t="str">
        <f t="shared" si="34"/>
        <v>V55</v>
      </c>
      <c r="N790" s="105" t="e">
        <f>VLOOKUP(M790,CAC!$A$2:$B$198,2,FALSE)</f>
        <v>#N/A</v>
      </c>
    </row>
    <row r="791" spans="5:14" x14ac:dyDescent="0.25">
      <c r="E791" s="83">
        <v>201704</v>
      </c>
      <c r="F791" s="82" t="s">
        <v>563</v>
      </c>
      <c r="G791" s="82" t="s">
        <v>352</v>
      </c>
      <c r="H791" s="82" t="s">
        <v>344</v>
      </c>
      <c r="I791" s="95">
        <v>0</v>
      </c>
      <c r="K791" s="105" t="str">
        <f t="shared" si="33"/>
        <v>0003-1004-0012</v>
      </c>
      <c r="L791" s="105" t="str">
        <f>VLOOKUP(K791,COA!$A$3:$B$337,2,FALSE)</f>
        <v>L51</v>
      </c>
      <c r="M791" s="105" t="str">
        <f t="shared" si="34"/>
        <v>L51</v>
      </c>
      <c r="N791" s="105" t="str">
        <f>VLOOKUP(M791,CAC!$A$2:$B$198,2,FALSE)</f>
        <v>PPOLG</v>
      </c>
    </row>
    <row r="792" spans="5:14" x14ac:dyDescent="0.25">
      <c r="E792" s="83">
        <v>201505</v>
      </c>
      <c r="F792" s="82" t="s">
        <v>506</v>
      </c>
      <c r="G792" s="82" t="s">
        <v>346</v>
      </c>
      <c r="H792" s="82" t="s">
        <v>592</v>
      </c>
      <c r="I792" s="95">
        <v>0</v>
      </c>
      <c r="K792" s="105" t="str">
        <f t="shared" si="33"/>
        <v>0013-1014-0035</v>
      </c>
      <c r="L792" s="105" t="str">
        <f>VLOOKUP(K792,COA!$A$3:$B$337,2,FALSE)</f>
        <v>K42</v>
      </c>
      <c r="M792" s="105" t="str">
        <f t="shared" si="34"/>
        <v>K42</v>
      </c>
      <c r="N792" s="105" t="str">
        <f>VLOOKUP(M792,CAC!$A$2:$B$198,2,FALSE)</f>
        <v>HMFLEX</v>
      </c>
    </row>
    <row r="793" spans="5:14" x14ac:dyDescent="0.25">
      <c r="E793" s="83">
        <v>201605</v>
      </c>
      <c r="F793" s="82" t="s">
        <v>345</v>
      </c>
      <c r="G793" s="82" t="s">
        <v>351</v>
      </c>
      <c r="H793" s="82" t="s">
        <v>349</v>
      </c>
      <c r="I793" s="95">
        <v>0</v>
      </c>
      <c r="K793" s="105" t="str">
        <f t="shared" si="33"/>
        <v>0011-0000-0017</v>
      </c>
      <c r="L793" s="105" t="e">
        <f>VLOOKUP(K793,COA!$A$3:$B$337,2,FALSE)</f>
        <v>#N/A</v>
      </c>
      <c r="M793" s="105" t="str">
        <f t="shared" si="34"/>
        <v>XXX</v>
      </c>
      <c r="N793" s="105" t="str">
        <f>VLOOKUP(M793,CAC!$A$2:$B$198,2,FALSE)</f>
        <v>XXX</v>
      </c>
    </row>
    <row r="794" spans="5:14" x14ac:dyDescent="0.25">
      <c r="E794" s="83">
        <v>201801</v>
      </c>
      <c r="F794" s="82" t="s">
        <v>563</v>
      </c>
      <c r="G794" s="82" t="s">
        <v>359</v>
      </c>
      <c r="H794" s="82" t="s">
        <v>344</v>
      </c>
      <c r="I794" s="95">
        <v>0</v>
      </c>
      <c r="K794" s="105" t="str">
        <f t="shared" si="33"/>
        <v>0003-1005-0012</v>
      </c>
      <c r="L794" s="105" t="str">
        <f>VLOOKUP(K794,COA!$A$3:$B$337,2,FALSE)</f>
        <v>N51</v>
      </c>
      <c r="M794" s="105" t="str">
        <f t="shared" si="34"/>
        <v>N51</v>
      </c>
      <c r="N794" s="105" t="str">
        <f>VLOOKUP(M794,CAC!$A$2:$B$198,2,FALSE)</f>
        <v>PPOLG</v>
      </c>
    </row>
    <row r="795" spans="5:14" x14ac:dyDescent="0.25">
      <c r="E795" s="83">
        <v>201702</v>
      </c>
      <c r="F795" s="82" t="s">
        <v>345</v>
      </c>
      <c r="G795" s="82" t="s">
        <v>350</v>
      </c>
      <c r="H795" s="82" t="s">
        <v>360</v>
      </c>
      <c r="I795" s="95">
        <v>3937</v>
      </c>
      <c r="K795" s="105" t="str">
        <f t="shared" si="33"/>
        <v>0011-1012-0048</v>
      </c>
      <c r="L795" s="105" t="str">
        <f>VLOOKUP(K795,COA!$A$3:$B$337,2,FALSE)</f>
        <v>K21</v>
      </c>
      <c r="M795" s="105" t="str">
        <f t="shared" si="34"/>
        <v>K21</v>
      </c>
      <c r="N795" s="105" t="str">
        <f>VLOOKUP(M795,CAC!$A$2:$B$198,2,FALSE)</f>
        <v>HMFLEX</v>
      </c>
    </row>
    <row r="796" spans="5:14" x14ac:dyDescent="0.25">
      <c r="E796" s="83">
        <v>201611</v>
      </c>
      <c r="F796" s="82" t="s">
        <v>344</v>
      </c>
      <c r="G796" s="82" t="s">
        <v>352</v>
      </c>
      <c r="H796" s="82" t="s">
        <v>360</v>
      </c>
      <c r="I796" s="95">
        <v>214</v>
      </c>
      <c r="K796" s="105" t="str">
        <f t="shared" si="33"/>
        <v>0012-1004-0048</v>
      </c>
      <c r="L796" s="105" t="str">
        <f>VLOOKUP(K796,COA!$A$3:$B$337,2,FALSE)</f>
        <v>L22</v>
      </c>
      <c r="M796" s="105" t="str">
        <f t="shared" si="34"/>
        <v>L22</v>
      </c>
      <c r="N796" s="105" t="str">
        <f>VLOOKUP(M796,CAC!$A$2:$B$198,2,FALSE)</f>
        <v>HMFLEX</v>
      </c>
    </row>
    <row r="797" spans="5:14" x14ac:dyDescent="0.25">
      <c r="E797" s="83">
        <v>201510</v>
      </c>
      <c r="F797" s="82" t="s">
        <v>345</v>
      </c>
      <c r="G797" s="82" t="s">
        <v>352</v>
      </c>
      <c r="H797" s="82" t="s">
        <v>653</v>
      </c>
      <c r="I797" s="95">
        <v>0</v>
      </c>
      <c r="K797" s="105" t="str">
        <f t="shared" si="33"/>
        <v>0011-1004-0047</v>
      </c>
      <c r="L797" s="105" t="str">
        <f>VLOOKUP(K797,COA!$A$3:$B$337,2,FALSE)</f>
        <v>L17</v>
      </c>
      <c r="M797" s="105" t="str">
        <f t="shared" si="34"/>
        <v>L17</v>
      </c>
      <c r="N797" s="105" t="str">
        <f>VLOOKUP(M797,CAC!$A$2:$B$198,2,FALSE)</f>
        <v>HMOLG</v>
      </c>
    </row>
    <row r="798" spans="5:14" x14ac:dyDescent="0.25">
      <c r="E798" s="83">
        <v>201708</v>
      </c>
      <c r="F798" s="82" t="s">
        <v>344</v>
      </c>
      <c r="G798" s="82" t="s">
        <v>355</v>
      </c>
      <c r="H798" s="82" t="s">
        <v>344</v>
      </c>
      <c r="I798" s="95">
        <v>53</v>
      </c>
      <c r="K798" s="105" t="str">
        <f t="shared" si="33"/>
        <v>0012-1006-0012</v>
      </c>
      <c r="L798" s="105" t="str">
        <f>VLOOKUP(K798,COA!$A$3:$B$337,2,FALSE)</f>
        <v>L16</v>
      </c>
      <c r="M798" s="105" t="str">
        <f t="shared" si="34"/>
        <v>L16</v>
      </c>
      <c r="N798" s="105" t="str">
        <f>VLOOKUP(M798,CAC!$A$2:$B$198,2,FALSE)</f>
        <v>HMOLG</v>
      </c>
    </row>
    <row r="799" spans="5:14" x14ac:dyDescent="0.25">
      <c r="E799" s="83">
        <v>201601</v>
      </c>
      <c r="F799" s="82" t="s">
        <v>345</v>
      </c>
      <c r="G799" s="82" t="s">
        <v>348</v>
      </c>
      <c r="H799" s="82" t="s">
        <v>344</v>
      </c>
      <c r="I799" s="95">
        <v>0.21</v>
      </c>
      <c r="K799" s="105" t="str">
        <f t="shared" si="33"/>
        <v>0011-1010-0012</v>
      </c>
      <c r="L799" s="105" t="e">
        <f>VLOOKUP(K799,COA!$A$3:$B$337,2,FALSE)</f>
        <v>#N/A</v>
      </c>
      <c r="M799" s="105" t="str">
        <f t="shared" si="34"/>
        <v>XXX</v>
      </c>
      <c r="N799" s="105" t="str">
        <f>VLOOKUP(M799,CAC!$A$2:$B$198,2,FALSE)</f>
        <v>XXX</v>
      </c>
    </row>
    <row r="800" spans="5:14" x14ac:dyDescent="0.25">
      <c r="E800" s="83">
        <v>201504</v>
      </c>
      <c r="F800" s="82" t="s">
        <v>563</v>
      </c>
      <c r="G800" s="82" t="s">
        <v>365</v>
      </c>
      <c r="H800" s="82" t="s">
        <v>366</v>
      </c>
      <c r="I800" s="95">
        <v>0</v>
      </c>
      <c r="K800" s="105" t="str">
        <f t="shared" si="33"/>
        <v>0003-1001-0021</v>
      </c>
      <c r="L800" s="105" t="str">
        <f>VLOOKUP(K800,COA!$A$3:$B$337,2,FALSE)</f>
        <v>V53</v>
      </c>
      <c r="M800" s="105" t="str">
        <f t="shared" si="34"/>
        <v>V53</v>
      </c>
      <c r="N800" s="105" t="str">
        <f>VLOOKUP(M800,CAC!$A$2:$B$198,2,FALSE)</f>
        <v>PPOIFP</v>
      </c>
    </row>
    <row r="801" spans="5:14" x14ac:dyDescent="0.25">
      <c r="E801" s="83">
        <v>201703</v>
      </c>
      <c r="F801" s="82" t="s">
        <v>349</v>
      </c>
      <c r="G801" s="82" t="s">
        <v>369</v>
      </c>
      <c r="H801" s="82" t="s">
        <v>344</v>
      </c>
      <c r="I801" s="95">
        <v>42840</v>
      </c>
      <c r="K801" s="105" t="str">
        <f t="shared" si="33"/>
        <v>0017-1009-0012</v>
      </c>
      <c r="L801" s="105" t="str">
        <f>VLOOKUP(K801,COA!$A$3:$B$337,2,FALSE)</f>
        <v>R12</v>
      </c>
      <c r="M801" s="105" t="str">
        <f t="shared" si="34"/>
        <v>R12</v>
      </c>
      <c r="N801" s="105" t="str">
        <f>VLOOKUP(M801,CAC!$A$2:$B$198,2,FALSE)</f>
        <v>HMOMM</v>
      </c>
    </row>
    <row r="802" spans="5:14" x14ac:dyDescent="0.25">
      <c r="E802" s="83">
        <v>201603</v>
      </c>
      <c r="F802" s="82" t="s">
        <v>563</v>
      </c>
      <c r="G802" s="82" t="s">
        <v>350</v>
      </c>
      <c r="H802" s="82" t="s">
        <v>360</v>
      </c>
      <c r="I802" s="95">
        <v>0</v>
      </c>
      <c r="K802" s="105" t="str">
        <f t="shared" si="33"/>
        <v>0003-1012-0048</v>
      </c>
      <c r="L802" s="105" t="str">
        <f>VLOOKUP(K802,COA!$A$3:$B$337,2,FALSE)</f>
        <v>K56</v>
      </c>
      <c r="M802" s="105" t="str">
        <f t="shared" si="34"/>
        <v>K56</v>
      </c>
      <c r="N802" s="105" t="str">
        <f>VLOOKUP(M802,CAC!$A$2:$B$198,2,FALSE)</f>
        <v>HMFLEX</v>
      </c>
    </row>
    <row r="803" spans="5:14" x14ac:dyDescent="0.25">
      <c r="E803" s="83">
        <v>201504</v>
      </c>
      <c r="F803" s="82" t="s">
        <v>746</v>
      </c>
      <c r="G803" s="82" t="s">
        <v>356</v>
      </c>
      <c r="H803" s="82" t="s">
        <v>344</v>
      </c>
      <c r="I803" s="95">
        <v>123</v>
      </c>
      <c r="K803" s="105" t="str">
        <f t="shared" si="33"/>
        <v>0016-1002-0012</v>
      </c>
      <c r="L803" s="105" t="str">
        <f>VLOOKUP(K803,COA!$A$3:$B$337,2,FALSE)</f>
        <v>R18</v>
      </c>
      <c r="M803" s="105" t="str">
        <f t="shared" si="34"/>
        <v>R18</v>
      </c>
      <c r="N803" s="105" t="str">
        <f>VLOOKUP(M803,CAC!$A$2:$B$198,2,FALSE)</f>
        <v>HMOMG</v>
      </c>
    </row>
    <row r="804" spans="5:14" x14ac:dyDescent="0.25">
      <c r="E804" s="83">
        <v>201801</v>
      </c>
      <c r="F804" s="82" t="s">
        <v>344</v>
      </c>
      <c r="G804" s="82" t="s">
        <v>355</v>
      </c>
      <c r="H804" s="82" t="s">
        <v>344</v>
      </c>
      <c r="I804" s="95">
        <v>45</v>
      </c>
      <c r="K804" s="105" t="str">
        <f t="shared" si="33"/>
        <v>0012-1006-0012</v>
      </c>
      <c r="L804" s="105" t="str">
        <f>VLOOKUP(K804,COA!$A$3:$B$337,2,FALSE)</f>
        <v>L16</v>
      </c>
      <c r="M804" s="105" t="str">
        <f t="shared" si="34"/>
        <v>L16</v>
      </c>
      <c r="N804" s="105" t="str">
        <f>VLOOKUP(M804,CAC!$A$2:$B$198,2,FALSE)</f>
        <v>HMOLG</v>
      </c>
    </row>
    <row r="805" spans="5:14" x14ac:dyDescent="0.25">
      <c r="E805" s="83">
        <v>201609</v>
      </c>
      <c r="F805" s="82" t="s">
        <v>563</v>
      </c>
      <c r="G805" s="82" t="s">
        <v>365</v>
      </c>
      <c r="H805" s="82" t="s">
        <v>411</v>
      </c>
      <c r="I805" s="95">
        <v>0</v>
      </c>
      <c r="K805" s="105" t="str">
        <f t="shared" si="33"/>
        <v>0003-1001-0007</v>
      </c>
      <c r="L805" s="105" t="str">
        <f>VLOOKUP(K805,COA!$A$3:$B$337,2,FALSE)</f>
        <v>V52</v>
      </c>
      <c r="M805" s="105" t="str">
        <f t="shared" si="34"/>
        <v>V52</v>
      </c>
      <c r="N805" s="105" t="str">
        <f>VLOOKUP(M805,CAC!$A$2:$B$198,2,FALSE)</f>
        <v>PPOIFP</v>
      </c>
    </row>
    <row r="806" spans="5:14" x14ac:dyDescent="0.25">
      <c r="E806" s="83">
        <v>201706</v>
      </c>
      <c r="F806" s="82" t="s">
        <v>563</v>
      </c>
      <c r="G806" s="82" t="s">
        <v>354</v>
      </c>
      <c r="H806" s="82" t="s">
        <v>360</v>
      </c>
      <c r="I806" s="95">
        <v>0</v>
      </c>
      <c r="K806" s="105" t="str">
        <f t="shared" si="33"/>
        <v>0003-1013-0048</v>
      </c>
      <c r="L806" s="105" t="str">
        <f>VLOOKUP(K806,COA!$A$3:$B$337,2,FALSE)</f>
        <v>N56</v>
      </c>
      <c r="M806" s="105" t="str">
        <f t="shared" si="34"/>
        <v>N56</v>
      </c>
      <c r="N806" s="105" t="str">
        <f>VLOOKUP(M806,CAC!$A$2:$B$198,2,FALSE)</f>
        <v>HMFLEX</v>
      </c>
    </row>
    <row r="807" spans="5:14" x14ac:dyDescent="0.25">
      <c r="E807" s="83">
        <v>201601</v>
      </c>
      <c r="F807" s="82" t="s">
        <v>563</v>
      </c>
      <c r="G807" s="82" t="s">
        <v>355</v>
      </c>
      <c r="H807" s="82" t="s">
        <v>344</v>
      </c>
      <c r="I807" s="95">
        <v>0</v>
      </c>
      <c r="K807" s="105" t="str">
        <f t="shared" si="33"/>
        <v>0003-1006-0012</v>
      </c>
      <c r="L807" s="105" t="str">
        <f>VLOOKUP(K807,COA!$A$3:$B$337,2,FALSE)</f>
        <v>L52</v>
      </c>
      <c r="M807" s="105" t="str">
        <f t="shared" si="34"/>
        <v>L52</v>
      </c>
      <c r="N807" s="105" t="str">
        <f>VLOOKUP(M807,CAC!$A$2:$B$198,2,FALSE)</f>
        <v>PPOLG</v>
      </c>
    </row>
    <row r="808" spans="5:14" x14ac:dyDescent="0.25">
      <c r="E808" s="83">
        <v>201609</v>
      </c>
      <c r="F808" s="82" t="s">
        <v>563</v>
      </c>
      <c r="G808" s="82" t="s">
        <v>356</v>
      </c>
      <c r="H808" s="82" t="s">
        <v>344</v>
      </c>
      <c r="I808" s="95">
        <v>0</v>
      </c>
      <c r="K808" s="105" t="str">
        <f t="shared" si="33"/>
        <v>0003-1002-0012</v>
      </c>
      <c r="L808" s="105" t="str">
        <f>VLOOKUP(K808,COA!$A$3:$B$337,2,FALSE)</f>
        <v>F61</v>
      </c>
      <c r="M808" s="105" t="str">
        <f t="shared" si="34"/>
        <v>F61</v>
      </c>
      <c r="N808" s="105" t="str">
        <f>VLOOKUP(M808,CAC!$A$2:$B$198,2,FALSE)</f>
        <v>PPOPMR</v>
      </c>
    </row>
    <row r="809" spans="5:14" x14ac:dyDescent="0.25">
      <c r="E809" s="83">
        <v>201503</v>
      </c>
      <c r="F809" s="82" t="s">
        <v>563</v>
      </c>
      <c r="G809" s="82" t="s">
        <v>348</v>
      </c>
      <c r="H809" s="82" t="s">
        <v>358</v>
      </c>
      <c r="I809" s="95">
        <v>0</v>
      </c>
      <c r="K809" s="105" t="str">
        <f t="shared" si="33"/>
        <v>0003-1010-0024</v>
      </c>
      <c r="L809" s="105" t="str">
        <f>VLOOKUP(K809,COA!$A$3:$B$337,2,FALSE)</f>
        <v>S56</v>
      </c>
      <c r="M809" s="105" t="str">
        <f t="shared" si="34"/>
        <v>S56</v>
      </c>
      <c r="N809" s="105" t="str">
        <f>VLOOKUP(M809,CAC!$A$2:$B$198,2,FALSE)</f>
        <v>PPOSG</v>
      </c>
    </row>
    <row r="810" spans="5:14" x14ac:dyDescent="0.25">
      <c r="E810" s="83">
        <v>201707</v>
      </c>
      <c r="F810" s="82" t="s">
        <v>345</v>
      </c>
      <c r="G810" s="82" t="s">
        <v>348</v>
      </c>
      <c r="H810" s="82" t="s">
        <v>349</v>
      </c>
      <c r="I810" s="95">
        <v>26162.52</v>
      </c>
      <c r="K810" s="105" t="str">
        <f t="shared" si="33"/>
        <v>0011-1010-0017</v>
      </c>
      <c r="L810" s="105" t="str">
        <f>VLOOKUP(K810,COA!$A$3:$B$337,2,FALSE)</f>
        <v>S11</v>
      </c>
      <c r="M810" s="105" t="str">
        <f t="shared" si="34"/>
        <v>S11</v>
      </c>
      <c r="N810" s="105" t="str">
        <f>VLOOKUP(M810,CAC!$A$2:$B$198,2,FALSE)</f>
        <v>HMOSG</v>
      </c>
    </row>
    <row r="811" spans="5:14" x14ac:dyDescent="0.25">
      <c r="E811" s="83">
        <v>201612</v>
      </c>
      <c r="F811" s="82" t="s">
        <v>563</v>
      </c>
      <c r="G811" s="82" t="s">
        <v>359</v>
      </c>
      <c r="H811" s="82" t="s">
        <v>344</v>
      </c>
      <c r="I811" s="95">
        <v>0</v>
      </c>
      <c r="K811" s="105" t="str">
        <f t="shared" si="33"/>
        <v>0003-1005-0012</v>
      </c>
      <c r="L811" s="105" t="str">
        <f>VLOOKUP(K811,COA!$A$3:$B$337,2,FALSE)</f>
        <v>N51</v>
      </c>
      <c r="M811" s="105" t="str">
        <f t="shared" si="34"/>
        <v>N51</v>
      </c>
      <c r="N811" s="105" t="str">
        <f>VLOOKUP(M811,CAC!$A$2:$B$198,2,FALSE)</f>
        <v>PPOLG</v>
      </c>
    </row>
    <row r="812" spans="5:14" x14ac:dyDescent="0.25">
      <c r="E812" s="83">
        <v>201601</v>
      </c>
      <c r="F812" s="82" t="s">
        <v>563</v>
      </c>
      <c r="G812" s="82" t="s">
        <v>361</v>
      </c>
      <c r="H812" s="82" t="s">
        <v>344</v>
      </c>
      <c r="I812" s="95">
        <v>0</v>
      </c>
      <c r="K812" s="105" t="str">
        <f t="shared" si="33"/>
        <v>0003-1003-0012</v>
      </c>
      <c r="L812" s="105" t="str">
        <f>VLOOKUP(K812,COA!$A$3:$B$337,2,FALSE)</f>
        <v>N61</v>
      </c>
      <c r="M812" s="105" t="str">
        <f t="shared" si="34"/>
        <v>N61</v>
      </c>
      <c r="N812" s="105" t="str">
        <f>VLOOKUP(M812,CAC!$A$2:$B$198,2,FALSE)</f>
        <v>PPOPMR</v>
      </c>
    </row>
    <row r="813" spans="5:14" x14ac:dyDescent="0.25">
      <c r="E813" s="83">
        <v>201801</v>
      </c>
      <c r="F813" s="82" t="s">
        <v>563</v>
      </c>
      <c r="G813" s="82" t="s">
        <v>352</v>
      </c>
      <c r="H813" s="82" t="s">
        <v>653</v>
      </c>
      <c r="I813" s="95">
        <v>0</v>
      </c>
      <c r="K813" s="105" t="str">
        <f t="shared" si="33"/>
        <v>0003-1004-0047</v>
      </c>
      <c r="L813" s="105" t="str">
        <f>VLOOKUP(K813,COA!$A$3:$B$337,2,FALSE)</f>
        <v>L57</v>
      </c>
      <c r="M813" s="105" t="str">
        <f t="shared" si="34"/>
        <v>L57</v>
      </c>
      <c r="N813" s="105" t="str">
        <f>VLOOKUP(M813,CAC!$A$2:$B$198,2,FALSE)</f>
        <v>PPOLG</v>
      </c>
    </row>
    <row r="814" spans="5:14" x14ac:dyDescent="0.25">
      <c r="E814" s="83">
        <v>201610</v>
      </c>
      <c r="F814" s="82" t="s">
        <v>344</v>
      </c>
      <c r="G814" s="82" t="s">
        <v>350</v>
      </c>
      <c r="H814" s="82" t="s">
        <v>344</v>
      </c>
      <c r="I814" s="95">
        <v>103</v>
      </c>
      <c r="K814" s="105" t="str">
        <f t="shared" si="33"/>
        <v>0012-1012-0012</v>
      </c>
      <c r="L814" s="105" t="str">
        <f>VLOOKUP(K814,COA!$A$3:$B$337,2,FALSE)</f>
        <v>K12</v>
      </c>
      <c r="M814" s="105" t="str">
        <f t="shared" si="34"/>
        <v>K12</v>
      </c>
      <c r="N814" s="105" t="str">
        <f>VLOOKUP(M814,CAC!$A$2:$B$198,2,FALSE)</f>
        <v>HMOPMR</v>
      </c>
    </row>
    <row r="815" spans="5:14" x14ac:dyDescent="0.25">
      <c r="E815" s="83">
        <v>201504</v>
      </c>
      <c r="F815" s="82" t="s">
        <v>345</v>
      </c>
      <c r="G815" s="82" t="s">
        <v>356</v>
      </c>
      <c r="H815" s="82" t="s">
        <v>344</v>
      </c>
      <c r="I815" s="95">
        <v>148</v>
      </c>
      <c r="K815" s="105" t="str">
        <f t="shared" si="33"/>
        <v>0011-1002-0012</v>
      </c>
      <c r="L815" s="105" t="str">
        <f>VLOOKUP(K815,COA!$A$3:$B$337,2,FALSE)</f>
        <v>F20</v>
      </c>
      <c r="M815" s="105" t="str">
        <f t="shared" si="34"/>
        <v>F20</v>
      </c>
      <c r="N815" s="105" t="str">
        <f>VLOOKUP(M815,CAC!$A$2:$B$198,2,FALSE)</f>
        <v>HMOPMR</v>
      </c>
    </row>
    <row r="816" spans="5:14" x14ac:dyDescent="0.25">
      <c r="E816" s="83">
        <v>201608</v>
      </c>
      <c r="F816" s="82" t="s">
        <v>345</v>
      </c>
      <c r="G816" s="82" t="s">
        <v>352</v>
      </c>
      <c r="H816" s="82" t="s">
        <v>344</v>
      </c>
      <c r="I816" s="95">
        <v>13227.28</v>
      </c>
      <c r="K816" s="105" t="str">
        <f t="shared" si="33"/>
        <v>0011-1004-0012</v>
      </c>
      <c r="L816" s="105" t="str">
        <f>VLOOKUP(K816,COA!$A$3:$B$337,2,FALSE)</f>
        <v>L11</v>
      </c>
      <c r="M816" s="105" t="str">
        <f t="shared" si="34"/>
        <v>L11</v>
      </c>
      <c r="N816" s="105" t="str">
        <f>VLOOKUP(M816,CAC!$A$2:$B$198,2,FALSE)</f>
        <v>HMOLG</v>
      </c>
    </row>
    <row r="817" spans="5:14" x14ac:dyDescent="0.25">
      <c r="E817" s="83">
        <v>201801</v>
      </c>
      <c r="F817" s="82" t="s">
        <v>563</v>
      </c>
      <c r="G817" s="82" t="s">
        <v>361</v>
      </c>
      <c r="H817" s="82" t="s">
        <v>344</v>
      </c>
      <c r="I817" s="95">
        <v>0</v>
      </c>
      <c r="K817" s="105" t="str">
        <f t="shared" si="33"/>
        <v>0003-1003-0012</v>
      </c>
      <c r="L817" s="105" t="str">
        <f>VLOOKUP(K817,COA!$A$3:$B$337,2,FALSE)</f>
        <v>N61</v>
      </c>
      <c r="M817" s="105" t="str">
        <f t="shared" si="34"/>
        <v>N61</v>
      </c>
      <c r="N817" s="105" t="str">
        <f>VLOOKUP(M817,CAC!$A$2:$B$198,2,FALSE)</f>
        <v>PPOPMR</v>
      </c>
    </row>
    <row r="818" spans="5:14" x14ac:dyDescent="0.25">
      <c r="E818" s="83">
        <v>201511</v>
      </c>
      <c r="F818" s="82" t="s">
        <v>413</v>
      </c>
      <c r="G818" s="82" t="s">
        <v>365</v>
      </c>
      <c r="H818" s="82" t="s">
        <v>344</v>
      </c>
      <c r="I818" s="95">
        <v>0</v>
      </c>
      <c r="K818" s="105" t="str">
        <f t="shared" si="33"/>
        <v>0008-1001-0012</v>
      </c>
      <c r="L818" s="105" t="str">
        <f>VLOOKUP(K818,COA!$A$3:$B$337,2,FALSE)</f>
        <v>C95</v>
      </c>
      <c r="M818" s="105" t="str">
        <f t="shared" si="34"/>
        <v>C95</v>
      </c>
      <c r="N818" s="105" t="str">
        <f>VLOOKUP(M818,CAC!$A$2:$B$198,2,FALSE)</f>
        <v>DOIIFP</v>
      </c>
    </row>
    <row r="819" spans="5:14" x14ac:dyDescent="0.25">
      <c r="E819" s="83">
        <v>201708</v>
      </c>
      <c r="F819" s="82" t="s">
        <v>563</v>
      </c>
      <c r="G819" s="82" t="s">
        <v>354</v>
      </c>
      <c r="H819" s="82" t="s">
        <v>344</v>
      </c>
      <c r="I819" s="95">
        <v>0</v>
      </c>
      <c r="K819" s="105" t="str">
        <f t="shared" si="33"/>
        <v>0003-1013-0012</v>
      </c>
      <c r="L819" s="105" t="str">
        <f>VLOOKUP(K819,COA!$A$3:$B$337,2,FALSE)</f>
        <v>N55</v>
      </c>
      <c r="M819" s="105" t="str">
        <f t="shared" si="34"/>
        <v>N55</v>
      </c>
      <c r="N819" s="105" t="str">
        <f>VLOOKUP(M819,CAC!$A$2:$B$198,2,FALSE)</f>
        <v>PPOPMR</v>
      </c>
    </row>
    <row r="820" spans="5:14" x14ac:dyDescent="0.25">
      <c r="E820" s="83">
        <v>201704</v>
      </c>
      <c r="F820" s="82" t="s">
        <v>413</v>
      </c>
      <c r="G820" s="82" t="s">
        <v>359</v>
      </c>
      <c r="H820" s="82" t="s">
        <v>344</v>
      </c>
      <c r="I820" s="95">
        <v>0</v>
      </c>
      <c r="K820" s="105" t="str">
        <f t="shared" si="33"/>
        <v>0008-1005-0012</v>
      </c>
      <c r="L820" s="105" t="str">
        <f>VLOOKUP(K820,COA!$A$3:$B$337,2,FALSE)</f>
        <v>C73</v>
      </c>
      <c r="M820" s="105" t="str">
        <f t="shared" si="34"/>
        <v>C73</v>
      </c>
      <c r="N820" s="105" t="str">
        <f>VLOOKUP(M820,CAC!$A$2:$B$198,2,FALSE)</f>
        <v>DOILG</v>
      </c>
    </row>
    <row r="821" spans="5:14" x14ac:dyDescent="0.25">
      <c r="E821" s="83">
        <v>201603</v>
      </c>
      <c r="F821" s="82" t="s">
        <v>549</v>
      </c>
      <c r="G821" s="82" t="s">
        <v>352</v>
      </c>
      <c r="H821" s="82" t="s">
        <v>672</v>
      </c>
      <c r="I821" s="95">
        <v>0</v>
      </c>
      <c r="K821" s="105" t="str">
        <f t="shared" si="33"/>
        <v>0026-1004-0058</v>
      </c>
      <c r="L821" s="105" t="str">
        <f>VLOOKUP(K821,COA!$A$3:$B$337,2,FALSE)</f>
        <v>L44</v>
      </c>
      <c r="M821" s="105" t="str">
        <f t="shared" si="34"/>
        <v>L44</v>
      </c>
      <c r="N821" s="105" t="e">
        <f>VLOOKUP(M821,CAC!$A$2:$B$198,2,FALSE)</f>
        <v>#N/A</v>
      </c>
    </row>
    <row r="822" spans="5:14" x14ac:dyDescent="0.25">
      <c r="E822" s="83">
        <v>201605</v>
      </c>
      <c r="F822" s="82" t="s">
        <v>506</v>
      </c>
      <c r="G822" s="82" t="s">
        <v>361</v>
      </c>
      <c r="H822" s="82" t="s">
        <v>592</v>
      </c>
      <c r="I822" s="95">
        <v>0</v>
      </c>
      <c r="K822" s="105" t="str">
        <f t="shared" si="33"/>
        <v>0013-1003-0035</v>
      </c>
      <c r="L822" s="105" t="str">
        <f>VLOOKUP(K822,COA!$A$3:$B$337,2,FALSE)</f>
        <v>N32</v>
      </c>
      <c r="M822" s="105" t="str">
        <f t="shared" si="34"/>
        <v>N32</v>
      </c>
      <c r="N822" s="105" t="e">
        <f>VLOOKUP(M822,CAC!$A$2:$B$198,2,FALSE)</f>
        <v>#N/A</v>
      </c>
    </row>
    <row r="823" spans="5:14" x14ac:dyDescent="0.25">
      <c r="E823" s="83">
        <v>201605</v>
      </c>
      <c r="F823" s="82" t="s">
        <v>563</v>
      </c>
      <c r="G823" s="82" t="s">
        <v>348</v>
      </c>
      <c r="H823" s="82" t="s">
        <v>358</v>
      </c>
      <c r="I823" s="95">
        <v>0</v>
      </c>
      <c r="K823" s="105" t="str">
        <f t="shared" si="33"/>
        <v>0003-1010-0024</v>
      </c>
      <c r="L823" s="105" t="str">
        <f>VLOOKUP(K823,COA!$A$3:$B$337,2,FALSE)</f>
        <v>S56</v>
      </c>
      <c r="M823" s="105" t="str">
        <f t="shared" si="34"/>
        <v>S56</v>
      </c>
      <c r="N823" s="105" t="str">
        <f>VLOOKUP(M823,CAC!$A$2:$B$198,2,FALSE)</f>
        <v>PPOSG</v>
      </c>
    </row>
    <row r="824" spans="5:14" x14ac:dyDescent="0.25">
      <c r="E824" s="83">
        <v>201601</v>
      </c>
      <c r="F824" s="82" t="s">
        <v>345</v>
      </c>
      <c r="G824" s="82" t="s">
        <v>348</v>
      </c>
      <c r="H824" s="82" t="s">
        <v>358</v>
      </c>
      <c r="I824" s="95">
        <v>83</v>
      </c>
      <c r="K824" s="105" t="str">
        <f t="shared" si="33"/>
        <v>0011-1010-0024</v>
      </c>
      <c r="L824" s="105" t="str">
        <f>VLOOKUP(K824,COA!$A$3:$B$337,2,FALSE)</f>
        <v>S14</v>
      </c>
      <c r="M824" s="105" t="str">
        <f t="shared" si="34"/>
        <v>S14</v>
      </c>
      <c r="N824" s="105" t="str">
        <f>VLOOKUP(M824,CAC!$A$2:$B$198,2,FALSE)</f>
        <v>HMOSG</v>
      </c>
    </row>
    <row r="825" spans="5:14" x14ac:dyDescent="0.25">
      <c r="E825" s="83">
        <v>201504</v>
      </c>
      <c r="F825" s="82" t="s">
        <v>413</v>
      </c>
      <c r="G825" s="82" t="s">
        <v>365</v>
      </c>
      <c r="H825" s="82" t="s">
        <v>411</v>
      </c>
      <c r="I825" s="95">
        <v>0</v>
      </c>
      <c r="K825" s="105" t="str">
        <f t="shared" si="33"/>
        <v>0008-1001-0007</v>
      </c>
      <c r="L825" s="105" t="str">
        <f>VLOOKUP(K825,COA!$A$3:$B$337,2,FALSE)</f>
        <v>C99</v>
      </c>
      <c r="M825" s="105" t="str">
        <f t="shared" si="34"/>
        <v>C99</v>
      </c>
      <c r="N825" s="105" t="str">
        <f>VLOOKUP(M825,CAC!$A$2:$B$198,2,FALSE)</f>
        <v>DOIIFP</v>
      </c>
    </row>
    <row r="826" spans="5:14" x14ac:dyDescent="0.25">
      <c r="E826" s="83">
        <v>201605</v>
      </c>
      <c r="F826" s="82" t="s">
        <v>563</v>
      </c>
      <c r="G826" s="82" t="s">
        <v>365</v>
      </c>
      <c r="H826" s="82" t="s">
        <v>411</v>
      </c>
      <c r="I826" s="95">
        <v>0</v>
      </c>
      <c r="K826" s="105" t="str">
        <f t="shared" si="33"/>
        <v>0003-1001-0007</v>
      </c>
      <c r="L826" s="105" t="str">
        <f>VLOOKUP(K826,COA!$A$3:$B$337,2,FALSE)</f>
        <v>V52</v>
      </c>
      <c r="M826" s="105" t="str">
        <f t="shared" si="34"/>
        <v>V52</v>
      </c>
      <c r="N826" s="105" t="str">
        <f>VLOOKUP(M826,CAC!$A$2:$B$198,2,FALSE)</f>
        <v>PPOIFP</v>
      </c>
    </row>
    <row r="827" spans="5:14" x14ac:dyDescent="0.25">
      <c r="E827" s="83">
        <v>201508</v>
      </c>
      <c r="F827" s="82" t="s">
        <v>413</v>
      </c>
      <c r="G827" s="82" t="s">
        <v>348</v>
      </c>
      <c r="H827" s="82" t="s">
        <v>349</v>
      </c>
      <c r="I827" s="95">
        <v>0</v>
      </c>
      <c r="K827" s="105" t="str">
        <f t="shared" si="33"/>
        <v>0008-1010-0017</v>
      </c>
      <c r="L827" s="105" t="str">
        <f>VLOOKUP(K827,COA!$A$3:$B$337,2,FALSE)</f>
        <v>C94</v>
      </c>
      <c r="M827" s="105" t="str">
        <f t="shared" si="34"/>
        <v>C94</v>
      </c>
      <c r="N827" s="105" t="str">
        <f>VLOOKUP(M827,CAC!$A$2:$B$198,2,FALSE)</f>
        <v>DOISG</v>
      </c>
    </row>
    <row r="828" spans="5:14" x14ac:dyDescent="0.25">
      <c r="E828" s="83">
        <v>201502</v>
      </c>
      <c r="F828" s="82" t="s">
        <v>345</v>
      </c>
      <c r="G828" s="82" t="s">
        <v>350</v>
      </c>
      <c r="H828" s="82" t="s">
        <v>344</v>
      </c>
      <c r="I828" s="95">
        <v>6953.78</v>
      </c>
      <c r="K828" s="105" t="str">
        <f t="shared" si="33"/>
        <v>0011-1012-0012</v>
      </c>
      <c r="L828" s="105" t="str">
        <f>VLOOKUP(K828,COA!$A$3:$B$337,2,FALSE)</f>
        <v>K11</v>
      </c>
      <c r="M828" s="105" t="str">
        <f t="shared" si="34"/>
        <v>K11</v>
      </c>
      <c r="N828" s="105" t="str">
        <f>VLOOKUP(M828,CAC!$A$2:$B$198,2,FALSE)</f>
        <v>HMOPMR</v>
      </c>
    </row>
    <row r="829" spans="5:14" x14ac:dyDescent="0.25">
      <c r="E829" s="83">
        <v>201607</v>
      </c>
      <c r="F829" s="82" t="s">
        <v>344</v>
      </c>
      <c r="G829" s="82" t="s">
        <v>354</v>
      </c>
      <c r="H829" s="82" t="s">
        <v>344</v>
      </c>
      <c r="I829" s="95">
        <v>295</v>
      </c>
      <c r="K829" s="105" t="str">
        <f t="shared" si="33"/>
        <v>0012-1013-0012</v>
      </c>
      <c r="L829" s="105" t="str">
        <f>VLOOKUP(K829,COA!$A$3:$B$337,2,FALSE)</f>
        <v>N14</v>
      </c>
      <c r="M829" s="105" t="str">
        <f t="shared" si="34"/>
        <v>N14</v>
      </c>
      <c r="N829" s="105" t="str">
        <f>VLOOKUP(M829,CAC!$A$2:$B$198,2,FALSE)</f>
        <v>HMOPMR</v>
      </c>
    </row>
    <row r="830" spans="5:14" x14ac:dyDescent="0.25">
      <c r="E830" s="83">
        <v>201608</v>
      </c>
      <c r="F830" s="82" t="s">
        <v>563</v>
      </c>
      <c r="G830" s="82" t="s">
        <v>348</v>
      </c>
      <c r="H830" s="82" t="s">
        <v>358</v>
      </c>
      <c r="I830" s="95">
        <v>0</v>
      </c>
      <c r="K830" s="105" t="str">
        <f t="shared" si="33"/>
        <v>0003-1010-0024</v>
      </c>
      <c r="L830" s="105" t="str">
        <f>VLOOKUP(K830,COA!$A$3:$B$337,2,FALSE)</f>
        <v>S56</v>
      </c>
      <c r="M830" s="105" t="str">
        <f t="shared" si="34"/>
        <v>S56</v>
      </c>
      <c r="N830" s="105" t="str">
        <f>VLOOKUP(M830,CAC!$A$2:$B$198,2,FALSE)</f>
        <v>PPOSG</v>
      </c>
    </row>
    <row r="831" spans="5:14" x14ac:dyDescent="0.25">
      <c r="E831" s="83">
        <v>201707</v>
      </c>
      <c r="F831" s="82" t="s">
        <v>349</v>
      </c>
      <c r="G831" s="82" t="s">
        <v>369</v>
      </c>
      <c r="H831" s="82" t="s">
        <v>764</v>
      </c>
      <c r="I831" s="95">
        <v>5384</v>
      </c>
      <c r="K831" s="105" t="str">
        <f t="shared" si="33"/>
        <v>0017-1009-0064</v>
      </c>
      <c r="L831" s="105" t="str">
        <f>VLOOKUP(K831,COA!$A$3:$B$337,2,FALSE)</f>
        <v>R15</v>
      </c>
      <c r="M831" s="105" t="str">
        <f t="shared" si="34"/>
        <v>R15</v>
      </c>
      <c r="N831" s="105" t="str">
        <f>VLOOKUP(M831,CAC!$A$2:$B$198,2,FALSE)</f>
        <v>HMOMM</v>
      </c>
    </row>
    <row r="832" spans="5:14" x14ac:dyDescent="0.25">
      <c r="E832" s="83">
        <v>201502</v>
      </c>
      <c r="F832" s="82" t="s">
        <v>345</v>
      </c>
      <c r="G832" s="82" t="s">
        <v>356</v>
      </c>
      <c r="H832" s="82" t="s">
        <v>344</v>
      </c>
      <c r="I832" s="95">
        <v>143.04</v>
      </c>
      <c r="K832" s="105" t="str">
        <f t="shared" si="33"/>
        <v>0011-1002-0012</v>
      </c>
      <c r="L832" s="105" t="str">
        <f>VLOOKUP(K832,COA!$A$3:$B$337,2,FALSE)</f>
        <v>F20</v>
      </c>
      <c r="M832" s="105" t="str">
        <f t="shared" si="34"/>
        <v>F20</v>
      </c>
      <c r="N832" s="105" t="str">
        <f>VLOOKUP(M832,CAC!$A$2:$B$198,2,FALSE)</f>
        <v>HMOPMR</v>
      </c>
    </row>
    <row r="833" spans="5:14" x14ac:dyDescent="0.25">
      <c r="E833" s="83">
        <v>201706</v>
      </c>
      <c r="F833" s="82" t="s">
        <v>345</v>
      </c>
      <c r="G833" s="82" t="s">
        <v>352</v>
      </c>
      <c r="H833" s="82" t="s">
        <v>344</v>
      </c>
      <c r="I833" s="95">
        <v>9320.9699999999993</v>
      </c>
      <c r="K833" s="105" t="str">
        <f t="shared" si="33"/>
        <v>0011-1004-0012</v>
      </c>
      <c r="L833" s="105" t="str">
        <f>VLOOKUP(K833,COA!$A$3:$B$337,2,FALSE)</f>
        <v>L11</v>
      </c>
      <c r="M833" s="105" t="str">
        <f t="shared" si="34"/>
        <v>L11</v>
      </c>
      <c r="N833" s="105" t="str">
        <f>VLOOKUP(M833,CAC!$A$2:$B$198,2,FALSE)</f>
        <v>HMOLG</v>
      </c>
    </row>
    <row r="834" spans="5:14" x14ac:dyDescent="0.25">
      <c r="E834" s="83">
        <v>201604</v>
      </c>
      <c r="F834" s="82" t="s">
        <v>413</v>
      </c>
      <c r="G834" s="82" t="s">
        <v>365</v>
      </c>
      <c r="H834" s="82" t="s">
        <v>344</v>
      </c>
      <c r="I834" s="95">
        <v>0</v>
      </c>
      <c r="K834" s="105" t="str">
        <f t="shared" si="33"/>
        <v>0008-1001-0012</v>
      </c>
      <c r="L834" s="105" t="str">
        <f>VLOOKUP(K834,COA!$A$3:$B$337,2,FALSE)</f>
        <v>C95</v>
      </c>
      <c r="M834" s="105" t="str">
        <f t="shared" si="34"/>
        <v>C95</v>
      </c>
      <c r="N834" s="105" t="str">
        <f>VLOOKUP(M834,CAC!$A$2:$B$198,2,FALSE)</f>
        <v>DOIIFP</v>
      </c>
    </row>
    <row r="835" spans="5:14" x14ac:dyDescent="0.25">
      <c r="E835" s="83">
        <v>201601</v>
      </c>
      <c r="F835" s="82" t="s">
        <v>563</v>
      </c>
      <c r="G835" s="82" t="s">
        <v>359</v>
      </c>
      <c r="H835" s="82" t="s">
        <v>344</v>
      </c>
      <c r="I835" s="95">
        <v>0</v>
      </c>
      <c r="K835" s="105" t="str">
        <f t="shared" si="33"/>
        <v>0003-1005-0012</v>
      </c>
      <c r="L835" s="105" t="str">
        <f>VLOOKUP(K835,COA!$A$3:$B$337,2,FALSE)</f>
        <v>N51</v>
      </c>
      <c r="M835" s="105" t="str">
        <f t="shared" si="34"/>
        <v>N51</v>
      </c>
      <c r="N835" s="105" t="str">
        <f>VLOOKUP(M835,CAC!$A$2:$B$198,2,FALSE)</f>
        <v>PPOLG</v>
      </c>
    </row>
    <row r="836" spans="5:14" x14ac:dyDescent="0.25">
      <c r="E836" s="83">
        <v>201503</v>
      </c>
      <c r="F836" s="82" t="s">
        <v>344</v>
      </c>
      <c r="G836" s="82" t="s">
        <v>352</v>
      </c>
      <c r="H836" s="82" t="s">
        <v>344</v>
      </c>
      <c r="I836" s="95">
        <v>270</v>
      </c>
      <c r="K836" s="105" t="str">
        <f t="shared" ref="K836:K899" si="35">F836&amp;"-"&amp;G836&amp;"-"&amp;H836</f>
        <v>0012-1004-0012</v>
      </c>
      <c r="L836" s="105" t="str">
        <f>VLOOKUP(K836,COA!$A$3:$B$337,2,FALSE)</f>
        <v>L12</v>
      </c>
      <c r="M836" s="105" t="str">
        <f t="shared" ref="M836:M899" si="36">IF(ISNA(L836),"XXX",L836)</f>
        <v>L12</v>
      </c>
      <c r="N836" s="105" t="str">
        <f>VLOOKUP(M836,CAC!$A$2:$B$198,2,FALSE)</f>
        <v>HMOLG</v>
      </c>
    </row>
    <row r="837" spans="5:14" x14ac:dyDescent="0.25">
      <c r="E837" s="83">
        <v>201502</v>
      </c>
      <c r="F837" s="82" t="s">
        <v>413</v>
      </c>
      <c r="G837" s="82" t="s">
        <v>355</v>
      </c>
      <c r="H837" s="82" t="s">
        <v>344</v>
      </c>
      <c r="I837" s="95">
        <v>0</v>
      </c>
      <c r="K837" s="105" t="str">
        <f t="shared" si="35"/>
        <v>0008-1006-0012</v>
      </c>
      <c r="L837" s="105" t="str">
        <f>VLOOKUP(K837,COA!$A$3:$B$337,2,FALSE)</f>
        <v>C96</v>
      </c>
      <c r="M837" s="105" t="str">
        <f t="shared" si="36"/>
        <v>C96</v>
      </c>
      <c r="N837" s="105" t="str">
        <f>VLOOKUP(M837,CAC!$A$2:$B$198,2,FALSE)</f>
        <v>DOILG</v>
      </c>
    </row>
    <row r="838" spans="5:14" x14ac:dyDescent="0.25">
      <c r="E838" s="83">
        <v>201704</v>
      </c>
      <c r="F838" s="82" t="s">
        <v>506</v>
      </c>
      <c r="G838" s="82" t="s">
        <v>352</v>
      </c>
      <c r="H838" s="82" t="s">
        <v>592</v>
      </c>
      <c r="I838" s="95">
        <v>0</v>
      </c>
      <c r="K838" s="105" t="str">
        <f t="shared" si="35"/>
        <v>0013-1004-0035</v>
      </c>
      <c r="L838" s="105" t="str">
        <f>VLOOKUP(K838,COA!$A$3:$B$337,2,FALSE)</f>
        <v>L41</v>
      </c>
      <c r="M838" s="105" t="str">
        <f t="shared" si="36"/>
        <v>L41</v>
      </c>
      <c r="N838" s="105" t="e">
        <f>VLOOKUP(M838,CAC!$A$2:$B$198,2,FALSE)</f>
        <v>#N/A</v>
      </c>
    </row>
    <row r="839" spans="5:14" x14ac:dyDescent="0.25">
      <c r="E839" s="83">
        <v>201607</v>
      </c>
      <c r="F839" s="82" t="s">
        <v>345</v>
      </c>
      <c r="G839" s="82" t="s">
        <v>346</v>
      </c>
      <c r="H839" s="82" t="s">
        <v>344</v>
      </c>
      <c r="I839" s="95">
        <v>0</v>
      </c>
      <c r="K839" s="105" t="str">
        <f t="shared" si="35"/>
        <v>0011-1014-0012</v>
      </c>
      <c r="L839" s="105" t="e">
        <f>VLOOKUP(K839,COA!$A$3:$B$337,2,FALSE)</f>
        <v>#N/A</v>
      </c>
      <c r="M839" s="105" t="str">
        <f t="shared" si="36"/>
        <v>XXX</v>
      </c>
      <c r="N839" s="105" t="str">
        <f>VLOOKUP(M839,CAC!$A$2:$B$198,2,FALSE)</f>
        <v>XXX</v>
      </c>
    </row>
    <row r="840" spans="5:14" x14ac:dyDescent="0.25">
      <c r="E840" s="83">
        <v>201504</v>
      </c>
      <c r="F840" s="82" t="s">
        <v>413</v>
      </c>
      <c r="G840" s="82" t="s">
        <v>365</v>
      </c>
      <c r="H840" s="82" t="s">
        <v>344</v>
      </c>
      <c r="I840" s="95">
        <v>0</v>
      </c>
      <c r="K840" s="105" t="str">
        <f t="shared" si="35"/>
        <v>0008-1001-0012</v>
      </c>
      <c r="L840" s="105" t="str">
        <f>VLOOKUP(K840,COA!$A$3:$B$337,2,FALSE)</f>
        <v>C95</v>
      </c>
      <c r="M840" s="105" t="str">
        <f t="shared" si="36"/>
        <v>C95</v>
      </c>
      <c r="N840" s="105" t="str">
        <f>VLOOKUP(M840,CAC!$A$2:$B$198,2,FALSE)</f>
        <v>DOIIFP</v>
      </c>
    </row>
    <row r="841" spans="5:14" x14ac:dyDescent="0.25">
      <c r="E841" s="83">
        <v>201509</v>
      </c>
      <c r="F841" s="82" t="s">
        <v>413</v>
      </c>
      <c r="G841" s="82" t="s">
        <v>348</v>
      </c>
      <c r="H841" s="82" t="s">
        <v>349</v>
      </c>
      <c r="I841" s="95">
        <v>0</v>
      </c>
      <c r="K841" s="105" t="str">
        <f t="shared" si="35"/>
        <v>0008-1010-0017</v>
      </c>
      <c r="L841" s="105" t="str">
        <f>VLOOKUP(K841,COA!$A$3:$B$337,2,FALSE)</f>
        <v>C94</v>
      </c>
      <c r="M841" s="105" t="str">
        <f t="shared" si="36"/>
        <v>C94</v>
      </c>
      <c r="N841" s="105" t="str">
        <f>VLOOKUP(M841,CAC!$A$2:$B$198,2,FALSE)</f>
        <v>DOISG</v>
      </c>
    </row>
    <row r="842" spans="5:14" x14ac:dyDescent="0.25">
      <c r="E842" s="83">
        <v>201508</v>
      </c>
      <c r="F842" s="82" t="s">
        <v>345</v>
      </c>
      <c r="G842" s="82" t="s">
        <v>356</v>
      </c>
      <c r="H842" s="82" t="s">
        <v>344</v>
      </c>
      <c r="I842" s="95">
        <v>14722.74</v>
      </c>
      <c r="K842" s="105" t="str">
        <f t="shared" si="35"/>
        <v>0011-1002-0012</v>
      </c>
      <c r="L842" s="105" t="str">
        <f>VLOOKUP(K842,COA!$A$3:$B$337,2,FALSE)</f>
        <v>F20</v>
      </c>
      <c r="M842" s="105" t="str">
        <f t="shared" si="36"/>
        <v>F20</v>
      </c>
      <c r="N842" s="105" t="str">
        <f>VLOOKUP(M842,CAC!$A$2:$B$198,2,FALSE)</f>
        <v>HMOPMR</v>
      </c>
    </row>
    <row r="843" spans="5:14" x14ac:dyDescent="0.25">
      <c r="E843" s="83">
        <v>201611</v>
      </c>
      <c r="F843" s="82" t="s">
        <v>345</v>
      </c>
      <c r="G843" s="82" t="s">
        <v>354</v>
      </c>
      <c r="H843" s="82" t="s">
        <v>360</v>
      </c>
      <c r="I843" s="95">
        <v>5073</v>
      </c>
      <c r="K843" s="105" t="str">
        <f t="shared" si="35"/>
        <v>0011-1013-0048</v>
      </c>
      <c r="L843" s="105" t="str">
        <f>VLOOKUP(K843,COA!$A$3:$B$337,2,FALSE)</f>
        <v>N21</v>
      </c>
      <c r="M843" s="105" t="str">
        <f t="shared" si="36"/>
        <v>N21</v>
      </c>
      <c r="N843" s="105" t="str">
        <f>VLOOKUP(M843,CAC!$A$2:$B$198,2,FALSE)</f>
        <v>HMFLEX</v>
      </c>
    </row>
    <row r="844" spans="5:14" x14ac:dyDescent="0.25">
      <c r="E844" s="83">
        <v>201612</v>
      </c>
      <c r="F844" s="82" t="s">
        <v>345</v>
      </c>
      <c r="G844" s="82" t="s">
        <v>354</v>
      </c>
      <c r="H844" s="82" t="s">
        <v>344</v>
      </c>
      <c r="I844" s="95">
        <v>6824</v>
      </c>
      <c r="K844" s="105" t="str">
        <f t="shared" si="35"/>
        <v>0011-1013-0012</v>
      </c>
      <c r="L844" s="105" t="str">
        <f>VLOOKUP(K844,COA!$A$3:$B$337,2,FALSE)</f>
        <v>N20</v>
      </c>
      <c r="M844" s="105" t="str">
        <f t="shared" si="36"/>
        <v>N20</v>
      </c>
      <c r="N844" s="105" t="str">
        <f>VLOOKUP(M844,CAC!$A$2:$B$198,2,FALSE)</f>
        <v>HMOPMR</v>
      </c>
    </row>
    <row r="845" spans="5:14" x14ac:dyDescent="0.25">
      <c r="E845" s="83">
        <v>201707</v>
      </c>
      <c r="F845" s="82" t="s">
        <v>344</v>
      </c>
      <c r="G845" s="82" t="s">
        <v>361</v>
      </c>
      <c r="H845" s="82" t="s">
        <v>344</v>
      </c>
      <c r="I845" s="95">
        <v>3298.29</v>
      </c>
      <c r="K845" s="105" t="str">
        <f t="shared" si="35"/>
        <v>0012-1003-0012</v>
      </c>
      <c r="L845" s="105" t="str">
        <f>VLOOKUP(K845,COA!$A$3:$B$337,2,FALSE)</f>
        <v>N15</v>
      </c>
      <c r="M845" s="105" t="str">
        <f t="shared" si="36"/>
        <v>N15</v>
      </c>
      <c r="N845" s="105" t="str">
        <f>VLOOKUP(M845,CAC!$A$2:$B$198,2,FALSE)</f>
        <v>HMOPMR</v>
      </c>
    </row>
    <row r="846" spans="5:14" x14ac:dyDescent="0.25">
      <c r="E846" s="83">
        <v>201509</v>
      </c>
      <c r="F846" s="82" t="s">
        <v>746</v>
      </c>
      <c r="G846" s="82" t="s">
        <v>361</v>
      </c>
      <c r="H846" s="82" t="s">
        <v>344</v>
      </c>
      <c r="I846" s="95">
        <v>450</v>
      </c>
      <c r="K846" s="105" t="str">
        <f t="shared" si="35"/>
        <v>0016-1003-0012</v>
      </c>
      <c r="L846" s="105" t="str">
        <f>VLOOKUP(K846,COA!$A$3:$B$337,2,FALSE)</f>
        <v>R18</v>
      </c>
      <c r="M846" s="105" t="str">
        <f t="shared" si="36"/>
        <v>R18</v>
      </c>
      <c r="N846" s="105" t="str">
        <f>VLOOKUP(M846,CAC!$A$2:$B$198,2,FALSE)</f>
        <v>HMOMG</v>
      </c>
    </row>
    <row r="847" spans="5:14" x14ac:dyDescent="0.25">
      <c r="E847" s="83">
        <v>201602</v>
      </c>
      <c r="F847" s="82" t="s">
        <v>563</v>
      </c>
      <c r="G847" s="82" t="s">
        <v>348</v>
      </c>
      <c r="H847" s="82" t="s">
        <v>358</v>
      </c>
      <c r="I847" s="95">
        <v>0</v>
      </c>
      <c r="K847" s="105" t="str">
        <f t="shared" si="35"/>
        <v>0003-1010-0024</v>
      </c>
      <c r="L847" s="105" t="str">
        <f>VLOOKUP(K847,COA!$A$3:$B$337,2,FALSE)</f>
        <v>S56</v>
      </c>
      <c r="M847" s="105" t="str">
        <f t="shared" si="36"/>
        <v>S56</v>
      </c>
      <c r="N847" s="105" t="str">
        <f>VLOOKUP(M847,CAC!$A$2:$B$198,2,FALSE)</f>
        <v>PPOSG</v>
      </c>
    </row>
    <row r="848" spans="5:14" x14ac:dyDescent="0.25">
      <c r="E848" s="83">
        <v>201503</v>
      </c>
      <c r="F848" s="82" t="s">
        <v>746</v>
      </c>
      <c r="G848" s="82" t="s">
        <v>350</v>
      </c>
      <c r="H848" s="82" t="s">
        <v>344</v>
      </c>
      <c r="I848" s="95">
        <v>139</v>
      </c>
      <c r="K848" s="105" t="str">
        <f t="shared" si="35"/>
        <v>0016-1012-0012</v>
      </c>
      <c r="L848" s="105" t="str">
        <f>VLOOKUP(K848,COA!$A$3:$B$337,2,FALSE)</f>
        <v>R19</v>
      </c>
      <c r="M848" s="105" t="str">
        <f t="shared" si="36"/>
        <v>R19</v>
      </c>
      <c r="N848" s="105" t="str">
        <f>VLOOKUP(M848,CAC!$A$2:$B$198,2,FALSE)</f>
        <v>HMOMG</v>
      </c>
    </row>
    <row r="849" spans="5:14" x14ac:dyDescent="0.25">
      <c r="E849" s="83">
        <v>201508</v>
      </c>
      <c r="F849" s="82" t="s">
        <v>563</v>
      </c>
      <c r="G849" s="82" t="s">
        <v>350</v>
      </c>
      <c r="H849" s="82" t="s">
        <v>344</v>
      </c>
      <c r="I849" s="95">
        <v>0</v>
      </c>
      <c r="K849" s="105" t="str">
        <f t="shared" si="35"/>
        <v>0003-1012-0012</v>
      </c>
      <c r="L849" s="105" t="str">
        <f>VLOOKUP(K849,COA!$A$3:$B$337,2,FALSE)</f>
        <v>K51</v>
      </c>
      <c r="M849" s="105" t="str">
        <f t="shared" si="36"/>
        <v>K51</v>
      </c>
      <c r="N849" s="105" t="str">
        <f>VLOOKUP(M849,CAC!$A$2:$B$198,2,FALSE)</f>
        <v>PPOPMR</v>
      </c>
    </row>
    <row r="850" spans="5:14" x14ac:dyDescent="0.25">
      <c r="E850" s="83">
        <v>201712</v>
      </c>
      <c r="F850" s="82" t="s">
        <v>563</v>
      </c>
      <c r="G850" s="82" t="s">
        <v>348</v>
      </c>
      <c r="H850" s="82" t="s">
        <v>358</v>
      </c>
      <c r="I850" s="95">
        <v>0</v>
      </c>
      <c r="K850" s="105" t="str">
        <f t="shared" si="35"/>
        <v>0003-1010-0024</v>
      </c>
      <c r="L850" s="105" t="str">
        <f>VLOOKUP(K850,COA!$A$3:$B$337,2,FALSE)</f>
        <v>S56</v>
      </c>
      <c r="M850" s="105" t="str">
        <f t="shared" si="36"/>
        <v>S56</v>
      </c>
      <c r="N850" s="105" t="str">
        <f>VLOOKUP(M850,CAC!$A$2:$B$198,2,FALSE)</f>
        <v>PPOSG</v>
      </c>
    </row>
    <row r="851" spans="5:14" x14ac:dyDescent="0.25">
      <c r="E851" s="83">
        <v>201507</v>
      </c>
      <c r="F851" s="82" t="s">
        <v>746</v>
      </c>
      <c r="G851" s="82" t="s">
        <v>361</v>
      </c>
      <c r="H851" s="82" t="s">
        <v>344</v>
      </c>
      <c r="I851" s="95">
        <v>445</v>
      </c>
      <c r="K851" s="105" t="str">
        <f t="shared" si="35"/>
        <v>0016-1003-0012</v>
      </c>
      <c r="L851" s="105" t="str">
        <f>VLOOKUP(K851,COA!$A$3:$B$337,2,FALSE)</f>
        <v>R18</v>
      </c>
      <c r="M851" s="105" t="str">
        <f t="shared" si="36"/>
        <v>R18</v>
      </c>
      <c r="N851" s="105" t="str">
        <f>VLOOKUP(M851,CAC!$A$2:$B$198,2,FALSE)</f>
        <v>HMOMG</v>
      </c>
    </row>
    <row r="852" spans="5:14" x14ac:dyDescent="0.25">
      <c r="E852" s="83">
        <v>201609</v>
      </c>
      <c r="F852" s="82" t="s">
        <v>345</v>
      </c>
      <c r="G852" s="82" t="s">
        <v>352</v>
      </c>
      <c r="H852" s="82" t="s">
        <v>357</v>
      </c>
      <c r="I852" s="95">
        <v>301</v>
      </c>
      <c r="K852" s="105" t="str">
        <f t="shared" si="35"/>
        <v>0011-1004-0038</v>
      </c>
      <c r="L852" s="105" t="str">
        <f>VLOOKUP(K852,COA!$A$3:$B$337,2,FALSE)</f>
        <v>L14</v>
      </c>
      <c r="M852" s="105" t="str">
        <f t="shared" si="36"/>
        <v>L14</v>
      </c>
      <c r="N852" s="105" t="str">
        <f>VLOOKUP(M852,CAC!$A$2:$B$198,2,FALSE)</f>
        <v>HMOLG</v>
      </c>
    </row>
    <row r="853" spans="5:14" x14ac:dyDescent="0.25">
      <c r="E853" s="83">
        <v>201605</v>
      </c>
      <c r="F853" s="82" t="s">
        <v>746</v>
      </c>
      <c r="G853" s="82" t="s">
        <v>355</v>
      </c>
      <c r="H853" s="82" t="s">
        <v>344</v>
      </c>
      <c r="I853" s="95">
        <v>0</v>
      </c>
      <c r="K853" s="105" t="str">
        <f t="shared" si="35"/>
        <v>0016-1006-0012</v>
      </c>
      <c r="L853" s="105" t="str">
        <f>VLOOKUP(K853,COA!$A$3:$B$337,2,FALSE)</f>
        <v>R21</v>
      </c>
      <c r="M853" s="105" t="str">
        <f t="shared" si="36"/>
        <v>R21</v>
      </c>
      <c r="N853" s="105" t="str">
        <f>VLOOKUP(M853,CAC!$A$2:$B$198,2,FALSE)</f>
        <v>HMOMG</v>
      </c>
    </row>
    <row r="854" spans="5:14" x14ac:dyDescent="0.25">
      <c r="E854" s="83">
        <v>201707</v>
      </c>
      <c r="F854" s="82" t="s">
        <v>746</v>
      </c>
      <c r="G854" s="82" t="s">
        <v>350</v>
      </c>
      <c r="H854" s="82" t="s">
        <v>764</v>
      </c>
      <c r="I854" s="95">
        <v>21</v>
      </c>
      <c r="K854" s="105" t="str">
        <f t="shared" si="35"/>
        <v>0016-1012-0064</v>
      </c>
      <c r="L854" s="105" t="str">
        <f>VLOOKUP(K854,COA!$A$3:$B$337,2,FALSE)</f>
        <v>R25</v>
      </c>
      <c r="M854" s="105" t="str">
        <f t="shared" si="36"/>
        <v>R25</v>
      </c>
      <c r="N854" s="105" t="str">
        <f>VLOOKUP(M854,CAC!$A$2:$B$198,2,FALSE)</f>
        <v>HMOMG</v>
      </c>
    </row>
    <row r="855" spans="5:14" x14ac:dyDescent="0.25">
      <c r="E855" s="83">
        <v>201709</v>
      </c>
      <c r="F855" s="82" t="s">
        <v>345</v>
      </c>
      <c r="G855" s="82" t="s">
        <v>362</v>
      </c>
      <c r="H855" s="82" t="s">
        <v>364</v>
      </c>
      <c r="I855" s="95">
        <v>47129.599999999999</v>
      </c>
      <c r="K855" s="105" t="str">
        <f t="shared" si="35"/>
        <v>0011-1008-0037</v>
      </c>
      <c r="L855" s="105" t="str">
        <f>VLOOKUP(K855,COA!$A$3:$B$337,2,FALSE)</f>
        <v>P12</v>
      </c>
      <c r="M855" s="105" t="str">
        <f t="shared" si="36"/>
        <v>P12</v>
      </c>
      <c r="N855" s="105" t="str">
        <f>VLOOKUP(M855,CAC!$A$2:$B$198,2,FALSE)</f>
        <v>HMOPERA</v>
      </c>
    </row>
    <row r="856" spans="5:14" x14ac:dyDescent="0.25">
      <c r="E856" s="83">
        <v>201708</v>
      </c>
      <c r="F856" s="82" t="s">
        <v>506</v>
      </c>
      <c r="G856" s="82" t="s">
        <v>354</v>
      </c>
      <c r="H856" s="82" t="s">
        <v>592</v>
      </c>
      <c r="I856" s="95">
        <v>0</v>
      </c>
      <c r="K856" s="105" t="str">
        <f t="shared" si="35"/>
        <v>0013-1013-0035</v>
      </c>
      <c r="L856" s="105" t="str">
        <f>VLOOKUP(K856,COA!$A$3:$B$337,2,FALSE)</f>
        <v>N44</v>
      </c>
      <c r="M856" s="105" t="str">
        <f t="shared" si="36"/>
        <v>N44</v>
      </c>
      <c r="N856" s="105" t="e">
        <f>VLOOKUP(M856,CAC!$A$2:$B$198,2,FALSE)</f>
        <v>#N/A</v>
      </c>
    </row>
    <row r="857" spans="5:14" x14ac:dyDescent="0.25">
      <c r="E857" s="83">
        <v>201708</v>
      </c>
      <c r="F857" s="82" t="s">
        <v>345</v>
      </c>
      <c r="G857" s="82" t="s">
        <v>346</v>
      </c>
      <c r="H857" s="82" t="s">
        <v>344</v>
      </c>
      <c r="I857" s="95">
        <v>0</v>
      </c>
      <c r="K857" s="105" t="str">
        <f t="shared" si="35"/>
        <v>0011-1014-0012</v>
      </c>
      <c r="L857" s="105" t="e">
        <f>VLOOKUP(K857,COA!$A$3:$B$337,2,FALSE)</f>
        <v>#N/A</v>
      </c>
      <c r="M857" s="105" t="str">
        <f t="shared" si="36"/>
        <v>XXX</v>
      </c>
      <c r="N857" s="105" t="str">
        <f>VLOOKUP(M857,CAC!$A$2:$B$198,2,FALSE)</f>
        <v>XXX</v>
      </c>
    </row>
    <row r="858" spans="5:14" x14ac:dyDescent="0.25">
      <c r="E858" s="83">
        <v>201706</v>
      </c>
      <c r="F858" s="82" t="s">
        <v>342</v>
      </c>
      <c r="G858" s="82" t="s">
        <v>343</v>
      </c>
      <c r="H858" s="82" t="s">
        <v>344</v>
      </c>
      <c r="I858" s="95">
        <v>5717.66</v>
      </c>
      <c r="K858" s="105" t="str">
        <f t="shared" si="35"/>
        <v>0031-1000-0012</v>
      </c>
      <c r="L858" s="105" t="str">
        <f>VLOOKUP(K858,COA!$A$3:$B$337,2,FALSE)</f>
        <v>F27</v>
      </c>
      <c r="M858" s="105" t="str">
        <f t="shared" si="36"/>
        <v>F27</v>
      </c>
      <c r="N858" s="105" t="str">
        <f>VLOOKUP(M858,CAC!$A$2:$B$198,2,FALSE)</f>
        <v>HMOFEP</v>
      </c>
    </row>
    <row r="859" spans="5:14" x14ac:dyDescent="0.25">
      <c r="E859" s="83">
        <v>201611</v>
      </c>
      <c r="F859" s="82" t="s">
        <v>345</v>
      </c>
      <c r="G859" s="82" t="s">
        <v>362</v>
      </c>
      <c r="H859" s="82" t="s">
        <v>364</v>
      </c>
      <c r="I859" s="95">
        <v>37417</v>
      </c>
      <c r="K859" s="105" t="str">
        <f t="shared" si="35"/>
        <v>0011-1008-0037</v>
      </c>
      <c r="L859" s="105" t="str">
        <f>VLOOKUP(K859,COA!$A$3:$B$337,2,FALSE)</f>
        <v>P12</v>
      </c>
      <c r="M859" s="105" t="str">
        <f t="shared" si="36"/>
        <v>P12</v>
      </c>
      <c r="N859" s="105" t="str">
        <f>VLOOKUP(M859,CAC!$A$2:$B$198,2,FALSE)</f>
        <v>HMOPERA</v>
      </c>
    </row>
    <row r="860" spans="5:14" x14ac:dyDescent="0.25">
      <c r="E860" s="83">
        <v>201705</v>
      </c>
      <c r="F860" s="82" t="s">
        <v>345</v>
      </c>
      <c r="G860" s="82" t="s">
        <v>348</v>
      </c>
      <c r="H860" s="82" t="s">
        <v>353</v>
      </c>
      <c r="I860" s="95">
        <v>343</v>
      </c>
      <c r="K860" s="105" t="str">
        <f t="shared" si="35"/>
        <v>0011-1010-0023</v>
      </c>
      <c r="L860" s="105" t="str">
        <f>VLOOKUP(K860,COA!$A$3:$B$337,2,FALSE)</f>
        <v>S13</v>
      </c>
      <c r="M860" s="105" t="str">
        <f t="shared" si="36"/>
        <v>S13</v>
      </c>
      <c r="N860" s="105" t="str">
        <f>VLOOKUP(M860,CAC!$A$2:$B$198,2,FALSE)</f>
        <v>HMOSG</v>
      </c>
    </row>
    <row r="861" spans="5:14" x14ac:dyDescent="0.25">
      <c r="E861" s="83">
        <v>201506</v>
      </c>
      <c r="F861" s="82" t="s">
        <v>563</v>
      </c>
      <c r="G861" s="82" t="s">
        <v>365</v>
      </c>
      <c r="H861" s="82" t="s">
        <v>411</v>
      </c>
      <c r="I861" s="95">
        <v>0</v>
      </c>
      <c r="K861" s="105" t="str">
        <f t="shared" si="35"/>
        <v>0003-1001-0007</v>
      </c>
      <c r="L861" s="105" t="str">
        <f>VLOOKUP(K861,COA!$A$3:$B$337,2,FALSE)</f>
        <v>V52</v>
      </c>
      <c r="M861" s="105" t="str">
        <f t="shared" si="36"/>
        <v>V52</v>
      </c>
      <c r="N861" s="105" t="str">
        <f>VLOOKUP(M861,CAC!$A$2:$B$198,2,FALSE)</f>
        <v>PPOIFP</v>
      </c>
    </row>
    <row r="862" spans="5:14" x14ac:dyDescent="0.25">
      <c r="E862" s="83">
        <v>201510</v>
      </c>
      <c r="F862" s="82" t="s">
        <v>345</v>
      </c>
      <c r="G862" s="82" t="s">
        <v>355</v>
      </c>
      <c r="H862" s="82" t="s">
        <v>344</v>
      </c>
      <c r="I862" s="95">
        <v>25506.81</v>
      </c>
      <c r="K862" s="105" t="str">
        <f t="shared" si="35"/>
        <v>0011-1006-0012</v>
      </c>
      <c r="L862" s="105" t="str">
        <f>VLOOKUP(K862,COA!$A$3:$B$337,2,FALSE)</f>
        <v>L13</v>
      </c>
      <c r="M862" s="105" t="str">
        <f t="shared" si="36"/>
        <v>L13</v>
      </c>
      <c r="N862" s="105" t="str">
        <f>VLOOKUP(M862,CAC!$A$2:$B$198,2,FALSE)</f>
        <v>HMOLG</v>
      </c>
    </row>
    <row r="863" spans="5:14" x14ac:dyDescent="0.25">
      <c r="E863" s="83">
        <v>201609</v>
      </c>
      <c r="F863" s="82" t="s">
        <v>345</v>
      </c>
      <c r="G863" s="82" t="s">
        <v>348</v>
      </c>
      <c r="H863" s="82" t="s">
        <v>349</v>
      </c>
      <c r="I863" s="95">
        <v>21842.99</v>
      </c>
      <c r="K863" s="105" t="str">
        <f t="shared" si="35"/>
        <v>0011-1010-0017</v>
      </c>
      <c r="L863" s="105" t="str">
        <f>VLOOKUP(K863,COA!$A$3:$B$337,2,FALSE)</f>
        <v>S11</v>
      </c>
      <c r="M863" s="105" t="str">
        <f t="shared" si="36"/>
        <v>S11</v>
      </c>
      <c r="N863" s="105" t="str">
        <f>VLOOKUP(M863,CAC!$A$2:$B$198,2,FALSE)</f>
        <v>HMOSG</v>
      </c>
    </row>
    <row r="864" spans="5:14" x14ac:dyDescent="0.25">
      <c r="E864" s="83">
        <v>201510</v>
      </c>
      <c r="F864" s="82" t="s">
        <v>524</v>
      </c>
      <c r="G864" s="82" t="s">
        <v>352</v>
      </c>
      <c r="H864" s="82" t="s">
        <v>672</v>
      </c>
      <c r="I864" s="95">
        <v>0</v>
      </c>
      <c r="K864" s="105" t="str">
        <f t="shared" si="35"/>
        <v>0025-1004-0058</v>
      </c>
      <c r="L864" s="105" t="str">
        <f>VLOOKUP(K864,COA!$A$3:$B$337,2,FALSE)</f>
        <v>L44</v>
      </c>
      <c r="M864" s="105" t="str">
        <f t="shared" si="36"/>
        <v>L44</v>
      </c>
      <c r="N864" s="105" t="e">
        <f>VLOOKUP(M864,CAC!$A$2:$B$198,2,FALSE)</f>
        <v>#N/A</v>
      </c>
    </row>
    <row r="865" spans="5:14" x14ac:dyDescent="0.25">
      <c r="E865" s="83">
        <v>201510</v>
      </c>
      <c r="F865" s="82" t="s">
        <v>342</v>
      </c>
      <c r="G865" s="82" t="s">
        <v>343</v>
      </c>
      <c r="H865" s="82" t="s">
        <v>344</v>
      </c>
      <c r="I865" s="95">
        <v>6684.26</v>
      </c>
      <c r="K865" s="105" t="str">
        <f t="shared" si="35"/>
        <v>0031-1000-0012</v>
      </c>
      <c r="L865" s="105" t="str">
        <f>VLOOKUP(K865,COA!$A$3:$B$337,2,FALSE)</f>
        <v>F27</v>
      </c>
      <c r="M865" s="105" t="str">
        <f t="shared" si="36"/>
        <v>F27</v>
      </c>
      <c r="N865" s="105" t="str">
        <f>VLOOKUP(M865,CAC!$A$2:$B$198,2,FALSE)</f>
        <v>HMOFEP</v>
      </c>
    </row>
    <row r="866" spans="5:14" x14ac:dyDescent="0.25">
      <c r="E866" s="83">
        <v>201601</v>
      </c>
      <c r="F866" s="82" t="s">
        <v>563</v>
      </c>
      <c r="G866" s="82" t="s">
        <v>356</v>
      </c>
      <c r="H866" s="82" t="s">
        <v>344</v>
      </c>
      <c r="I866" s="95">
        <v>0</v>
      </c>
      <c r="K866" s="105" t="str">
        <f t="shared" si="35"/>
        <v>0003-1002-0012</v>
      </c>
      <c r="L866" s="105" t="str">
        <f>VLOOKUP(K866,COA!$A$3:$B$337,2,FALSE)</f>
        <v>F61</v>
      </c>
      <c r="M866" s="105" t="str">
        <f t="shared" si="36"/>
        <v>F61</v>
      </c>
      <c r="N866" s="105" t="str">
        <f>VLOOKUP(M866,CAC!$A$2:$B$198,2,FALSE)</f>
        <v>PPOPMR</v>
      </c>
    </row>
    <row r="867" spans="5:14" x14ac:dyDescent="0.25">
      <c r="E867" s="83">
        <v>201611</v>
      </c>
      <c r="F867" s="82" t="s">
        <v>746</v>
      </c>
      <c r="G867" s="82" t="s">
        <v>361</v>
      </c>
      <c r="H867" s="82" t="s">
        <v>344</v>
      </c>
      <c r="I867" s="95">
        <v>480</v>
      </c>
      <c r="K867" s="105" t="str">
        <f t="shared" si="35"/>
        <v>0016-1003-0012</v>
      </c>
      <c r="L867" s="105" t="str">
        <f>VLOOKUP(K867,COA!$A$3:$B$337,2,FALSE)</f>
        <v>R18</v>
      </c>
      <c r="M867" s="105" t="str">
        <f t="shared" si="36"/>
        <v>R18</v>
      </c>
      <c r="N867" s="105" t="str">
        <f>VLOOKUP(M867,CAC!$A$2:$B$198,2,FALSE)</f>
        <v>HMOMG</v>
      </c>
    </row>
    <row r="868" spans="5:14" x14ac:dyDescent="0.25">
      <c r="E868" s="83">
        <v>201606</v>
      </c>
      <c r="F868" s="82" t="s">
        <v>552</v>
      </c>
      <c r="G868" s="82" t="s">
        <v>356</v>
      </c>
      <c r="H868" s="82" t="s">
        <v>672</v>
      </c>
      <c r="I868" s="95">
        <v>0</v>
      </c>
      <c r="K868" s="105" t="str">
        <f t="shared" si="35"/>
        <v>0027-1002-0058</v>
      </c>
      <c r="L868" s="105" t="str">
        <f>VLOOKUP(K868,COA!$A$3:$B$337,2,FALSE)</f>
        <v>L45</v>
      </c>
      <c r="M868" s="105" t="str">
        <f t="shared" si="36"/>
        <v>L45</v>
      </c>
      <c r="N868" s="105" t="e">
        <f>VLOOKUP(M868,CAC!$A$2:$B$198,2,FALSE)</f>
        <v>#N/A</v>
      </c>
    </row>
    <row r="869" spans="5:14" x14ac:dyDescent="0.25">
      <c r="E869" s="83">
        <v>201708</v>
      </c>
      <c r="F869" s="82" t="s">
        <v>345</v>
      </c>
      <c r="G869" s="82" t="s">
        <v>352</v>
      </c>
      <c r="H869" s="82" t="s">
        <v>344</v>
      </c>
      <c r="I869" s="95">
        <v>10140.39</v>
      </c>
      <c r="K869" s="105" t="str">
        <f t="shared" si="35"/>
        <v>0011-1004-0012</v>
      </c>
      <c r="L869" s="105" t="str">
        <f>VLOOKUP(K869,COA!$A$3:$B$337,2,FALSE)</f>
        <v>L11</v>
      </c>
      <c r="M869" s="105" t="str">
        <f t="shared" si="36"/>
        <v>L11</v>
      </c>
      <c r="N869" s="105" t="str">
        <f>VLOOKUP(M869,CAC!$A$2:$B$198,2,FALSE)</f>
        <v>HMOLG</v>
      </c>
    </row>
    <row r="870" spans="5:14" x14ac:dyDescent="0.25">
      <c r="E870" s="83">
        <v>201702</v>
      </c>
      <c r="F870" s="82" t="s">
        <v>563</v>
      </c>
      <c r="G870" s="82" t="s">
        <v>365</v>
      </c>
      <c r="H870" s="82" t="s">
        <v>366</v>
      </c>
      <c r="I870" s="95">
        <v>0</v>
      </c>
      <c r="K870" s="105" t="str">
        <f t="shared" si="35"/>
        <v>0003-1001-0021</v>
      </c>
      <c r="L870" s="105" t="str">
        <f>VLOOKUP(K870,COA!$A$3:$B$337,2,FALSE)</f>
        <v>V53</v>
      </c>
      <c r="M870" s="105" t="str">
        <f t="shared" si="36"/>
        <v>V53</v>
      </c>
      <c r="N870" s="105" t="str">
        <f>VLOOKUP(M870,CAC!$A$2:$B$198,2,FALSE)</f>
        <v>PPOIFP</v>
      </c>
    </row>
    <row r="871" spans="5:14" x14ac:dyDescent="0.25">
      <c r="E871" s="83">
        <v>201706</v>
      </c>
      <c r="F871" s="82" t="s">
        <v>506</v>
      </c>
      <c r="G871" s="82" t="s">
        <v>350</v>
      </c>
      <c r="H871" s="82" t="s">
        <v>592</v>
      </c>
      <c r="I871" s="95">
        <v>0</v>
      </c>
      <c r="K871" s="105" t="str">
        <f t="shared" si="35"/>
        <v>0013-1012-0035</v>
      </c>
      <c r="L871" s="105" t="str">
        <f>VLOOKUP(K871,COA!$A$3:$B$337,2,FALSE)</f>
        <v>K41</v>
      </c>
      <c r="M871" s="105" t="str">
        <f t="shared" si="36"/>
        <v>K41</v>
      </c>
      <c r="N871" s="105" t="e">
        <f>VLOOKUP(M871,CAC!$A$2:$B$198,2,FALSE)</f>
        <v>#N/A</v>
      </c>
    </row>
    <row r="872" spans="5:14" x14ac:dyDescent="0.25">
      <c r="E872" s="83">
        <v>201711</v>
      </c>
      <c r="F872" s="82" t="s">
        <v>344</v>
      </c>
      <c r="G872" s="82" t="s">
        <v>356</v>
      </c>
      <c r="H872" s="82" t="s">
        <v>344</v>
      </c>
      <c r="I872" s="95">
        <v>4308.7700000000004</v>
      </c>
      <c r="K872" s="105" t="str">
        <f t="shared" si="35"/>
        <v>0012-1002-0012</v>
      </c>
      <c r="L872" s="105" t="str">
        <f>VLOOKUP(K872,COA!$A$3:$B$337,2,FALSE)</f>
        <v>F22</v>
      </c>
      <c r="M872" s="105" t="str">
        <f t="shared" si="36"/>
        <v>F22</v>
      </c>
      <c r="N872" s="105" t="str">
        <f>VLOOKUP(M872,CAC!$A$2:$B$198,2,FALSE)</f>
        <v>HMOPMR</v>
      </c>
    </row>
    <row r="873" spans="5:14" x14ac:dyDescent="0.25">
      <c r="E873" s="83">
        <v>201702</v>
      </c>
      <c r="F873" s="82" t="s">
        <v>345</v>
      </c>
      <c r="G873" s="82" t="s">
        <v>348</v>
      </c>
      <c r="H873" s="82" t="s">
        <v>353</v>
      </c>
      <c r="I873" s="95">
        <v>316</v>
      </c>
      <c r="K873" s="105" t="str">
        <f t="shared" si="35"/>
        <v>0011-1010-0023</v>
      </c>
      <c r="L873" s="105" t="str">
        <f>VLOOKUP(K873,COA!$A$3:$B$337,2,FALSE)</f>
        <v>S13</v>
      </c>
      <c r="M873" s="105" t="str">
        <f t="shared" si="36"/>
        <v>S13</v>
      </c>
      <c r="N873" s="105" t="str">
        <f>VLOOKUP(M873,CAC!$A$2:$B$198,2,FALSE)</f>
        <v>HMOSG</v>
      </c>
    </row>
    <row r="874" spans="5:14" x14ac:dyDescent="0.25">
      <c r="E874" s="83">
        <v>201710</v>
      </c>
      <c r="F874" s="82" t="s">
        <v>506</v>
      </c>
      <c r="G874" s="82" t="s">
        <v>346</v>
      </c>
      <c r="H874" s="82" t="s">
        <v>592</v>
      </c>
      <c r="I874" s="95">
        <v>0</v>
      </c>
      <c r="K874" s="105" t="str">
        <f t="shared" si="35"/>
        <v>0013-1014-0035</v>
      </c>
      <c r="L874" s="105" t="str">
        <f>VLOOKUP(K874,COA!$A$3:$B$337,2,FALSE)</f>
        <v>K42</v>
      </c>
      <c r="M874" s="105" t="str">
        <f t="shared" si="36"/>
        <v>K42</v>
      </c>
      <c r="N874" s="105" t="str">
        <f>VLOOKUP(M874,CAC!$A$2:$B$198,2,FALSE)</f>
        <v>HMFLEX</v>
      </c>
    </row>
    <row r="875" spans="5:14" x14ac:dyDescent="0.25">
      <c r="E875" s="83">
        <v>201610</v>
      </c>
      <c r="F875" s="82" t="s">
        <v>344</v>
      </c>
      <c r="G875" s="82" t="s">
        <v>352</v>
      </c>
      <c r="H875" s="82" t="s">
        <v>360</v>
      </c>
      <c r="I875" s="95">
        <v>210</v>
      </c>
      <c r="K875" s="105" t="str">
        <f t="shared" si="35"/>
        <v>0012-1004-0048</v>
      </c>
      <c r="L875" s="105" t="str">
        <f>VLOOKUP(K875,COA!$A$3:$B$337,2,FALSE)</f>
        <v>L22</v>
      </c>
      <c r="M875" s="105" t="str">
        <f t="shared" si="36"/>
        <v>L22</v>
      </c>
      <c r="N875" s="105" t="str">
        <f>VLOOKUP(M875,CAC!$A$2:$B$198,2,FALSE)</f>
        <v>HMFLEX</v>
      </c>
    </row>
    <row r="876" spans="5:14" x14ac:dyDescent="0.25">
      <c r="E876" s="83">
        <v>201801</v>
      </c>
      <c r="F876" s="82" t="s">
        <v>746</v>
      </c>
      <c r="G876" s="82" t="s">
        <v>352</v>
      </c>
      <c r="H876" s="82" t="s">
        <v>344</v>
      </c>
      <c r="I876" s="95">
        <v>2</v>
      </c>
      <c r="K876" s="105" t="str">
        <f t="shared" si="35"/>
        <v>0016-1004-0012</v>
      </c>
      <c r="L876" s="105" t="str">
        <f>VLOOKUP(K876,COA!$A$3:$B$337,2,FALSE)</f>
        <v>R20</v>
      </c>
      <c r="M876" s="105" t="str">
        <f t="shared" si="36"/>
        <v>R20</v>
      </c>
      <c r="N876" s="105" t="str">
        <f>VLOOKUP(M876,CAC!$A$2:$B$198,2,FALSE)</f>
        <v>HMOMG</v>
      </c>
    </row>
    <row r="877" spans="5:14" x14ac:dyDescent="0.25">
      <c r="E877" s="83">
        <v>201709</v>
      </c>
      <c r="F877" s="82" t="s">
        <v>563</v>
      </c>
      <c r="G877" s="82" t="s">
        <v>354</v>
      </c>
      <c r="H877" s="82" t="s">
        <v>626</v>
      </c>
      <c r="I877" s="95">
        <v>0</v>
      </c>
      <c r="K877" s="105" t="str">
        <f t="shared" si="35"/>
        <v>0003-1013-0057</v>
      </c>
      <c r="L877" s="105" t="str">
        <f>VLOOKUP(K877,COA!$A$3:$B$337,2,FALSE)</f>
        <v>N55</v>
      </c>
      <c r="M877" s="105" t="str">
        <f t="shared" si="36"/>
        <v>N55</v>
      </c>
      <c r="N877" s="105" t="str">
        <f>VLOOKUP(M877,CAC!$A$2:$B$198,2,FALSE)</f>
        <v>PPOPMR</v>
      </c>
    </row>
    <row r="878" spans="5:14" x14ac:dyDescent="0.25">
      <c r="E878" s="83">
        <v>201606</v>
      </c>
      <c r="F878" s="82" t="s">
        <v>345</v>
      </c>
      <c r="G878" s="82" t="s">
        <v>352</v>
      </c>
      <c r="H878" s="82" t="s">
        <v>344</v>
      </c>
      <c r="I878" s="95">
        <v>13336.38</v>
      </c>
      <c r="K878" s="105" t="str">
        <f t="shared" si="35"/>
        <v>0011-1004-0012</v>
      </c>
      <c r="L878" s="105" t="str">
        <f>VLOOKUP(K878,COA!$A$3:$B$337,2,FALSE)</f>
        <v>L11</v>
      </c>
      <c r="M878" s="105" t="str">
        <f t="shared" si="36"/>
        <v>L11</v>
      </c>
      <c r="N878" s="105" t="str">
        <f>VLOOKUP(M878,CAC!$A$2:$B$198,2,FALSE)</f>
        <v>HMOLG</v>
      </c>
    </row>
    <row r="879" spans="5:14" x14ac:dyDescent="0.25">
      <c r="E879" s="83">
        <v>201704</v>
      </c>
      <c r="F879" s="82" t="s">
        <v>345</v>
      </c>
      <c r="G879" s="82" t="s">
        <v>348</v>
      </c>
      <c r="H879" s="82" t="s">
        <v>353</v>
      </c>
      <c r="I879" s="95">
        <v>351</v>
      </c>
      <c r="K879" s="105" t="str">
        <f t="shared" si="35"/>
        <v>0011-1010-0023</v>
      </c>
      <c r="L879" s="105" t="str">
        <f>VLOOKUP(K879,COA!$A$3:$B$337,2,FALSE)</f>
        <v>S13</v>
      </c>
      <c r="M879" s="105" t="str">
        <f t="shared" si="36"/>
        <v>S13</v>
      </c>
      <c r="N879" s="105" t="str">
        <f>VLOOKUP(M879,CAC!$A$2:$B$198,2,FALSE)</f>
        <v>HMOSG</v>
      </c>
    </row>
    <row r="880" spans="5:14" x14ac:dyDescent="0.25">
      <c r="E880" s="83">
        <v>201505</v>
      </c>
      <c r="F880" s="82" t="s">
        <v>746</v>
      </c>
      <c r="G880" s="82" t="s">
        <v>361</v>
      </c>
      <c r="H880" s="82" t="s">
        <v>344</v>
      </c>
      <c r="I880" s="95">
        <v>447</v>
      </c>
      <c r="K880" s="105" t="str">
        <f t="shared" si="35"/>
        <v>0016-1003-0012</v>
      </c>
      <c r="L880" s="105" t="str">
        <f>VLOOKUP(K880,COA!$A$3:$B$337,2,FALSE)</f>
        <v>R18</v>
      </c>
      <c r="M880" s="105" t="str">
        <f t="shared" si="36"/>
        <v>R18</v>
      </c>
      <c r="N880" s="105" t="str">
        <f>VLOOKUP(M880,CAC!$A$2:$B$198,2,FALSE)</f>
        <v>HMOMG</v>
      </c>
    </row>
    <row r="881" spans="5:14" x14ac:dyDescent="0.25">
      <c r="E881" s="83">
        <v>201607</v>
      </c>
      <c r="F881" s="82" t="s">
        <v>746</v>
      </c>
      <c r="G881" s="82" t="s">
        <v>354</v>
      </c>
      <c r="H881" s="82" t="s">
        <v>344</v>
      </c>
      <c r="I881" s="95">
        <v>80</v>
      </c>
      <c r="K881" s="105" t="str">
        <f t="shared" si="35"/>
        <v>0016-1013-0012</v>
      </c>
      <c r="L881" s="105" t="str">
        <f>VLOOKUP(K881,COA!$A$3:$B$337,2,FALSE)</f>
        <v>R19</v>
      </c>
      <c r="M881" s="105" t="str">
        <f t="shared" si="36"/>
        <v>R19</v>
      </c>
      <c r="N881" s="105" t="str">
        <f>VLOOKUP(M881,CAC!$A$2:$B$198,2,FALSE)</f>
        <v>HMOMG</v>
      </c>
    </row>
    <row r="882" spans="5:14" x14ac:dyDescent="0.25">
      <c r="E882" s="83">
        <v>201609</v>
      </c>
      <c r="F882" s="82" t="s">
        <v>549</v>
      </c>
      <c r="G882" s="82" t="s">
        <v>352</v>
      </c>
      <c r="H882" s="82" t="s">
        <v>672</v>
      </c>
      <c r="I882" s="95">
        <v>0</v>
      </c>
      <c r="K882" s="105" t="str">
        <f t="shared" si="35"/>
        <v>0026-1004-0058</v>
      </c>
      <c r="L882" s="105" t="str">
        <f>VLOOKUP(K882,COA!$A$3:$B$337,2,FALSE)</f>
        <v>L44</v>
      </c>
      <c r="M882" s="105" t="str">
        <f t="shared" si="36"/>
        <v>L44</v>
      </c>
      <c r="N882" s="105" t="e">
        <f>VLOOKUP(M882,CAC!$A$2:$B$198,2,FALSE)</f>
        <v>#N/A</v>
      </c>
    </row>
    <row r="883" spans="5:14" x14ac:dyDescent="0.25">
      <c r="E883" s="83">
        <v>201706</v>
      </c>
      <c r="F883" s="82" t="s">
        <v>506</v>
      </c>
      <c r="G883" s="82" t="s">
        <v>352</v>
      </c>
      <c r="H883" s="82" t="s">
        <v>592</v>
      </c>
      <c r="I883" s="95">
        <v>0</v>
      </c>
      <c r="K883" s="105" t="str">
        <f t="shared" si="35"/>
        <v>0013-1004-0035</v>
      </c>
      <c r="L883" s="105" t="str">
        <f>VLOOKUP(K883,COA!$A$3:$B$337,2,FALSE)</f>
        <v>L41</v>
      </c>
      <c r="M883" s="105" t="str">
        <f t="shared" si="36"/>
        <v>L41</v>
      </c>
      <c r="N883" s="105" t="e">
        <f>VLOOKUP(M883,CAC!$A$2:$B$198,2,FALSE)</f>
        <v>#N/A</v>
      </c>
    </row>
    <row r="884" spans="5:14" x14ac:dyDescent="0.25">
      <c r="E884" s="83">
        <v>201607</v>
      </c>
      <c r="F884" s="82" t="s">
        <v>746</v>
      </c>
      <c r="G884" s="82" t="s">
        <v>350</v>
      </c>
      <c r="H884" s="82" t="s">
        <v>344</v>
      </c>
      <c r="I884" s="95">
        <v>63</v>
      </c>
      <c r="K884" s="105" t="str">
        <f t="shared" si="35"/>
        <v>0016-1012-0012</v>
      </c>
      <c r="L884" s="105" t="str">
        <f>VLOOKUP(K884,COA!$A$3:$B$337,2,FALSE)</f>
        <v>R19</v>
      </c>
      <c r="M884" s="105" t="str">
        <f t="shared" si="36"/>
        <v>R19</v>
      </c>
      <c r="N884" s="105" t="str">
        <f>VLOOKUP(M884,CAC!$A$2:$B$198,2,FALSE)</f>
        <v>HMOMG</v>
      </c>
    </row>
    <row r="885" spans="5:14" x14ac:dyDescent="0.25">
      <c r="E885" s="83">
        <v>201702</v>
      </c>
      <c r="F885" s="82" t="s">
        <v>344</v>
      </c>
      <c r="G885" s="82" t="s">
        <v>359</v>
      </c>
      <c r="H885" s="82" t="s">
        <v>344</v>
      </c>
      <c r="I885" s="95">
        <v>141</v>
      </c>
      <c r="K885" s="105" t="str">
        <f t="shared" si="35"/>
        <v>0012-1005-0012</v>
      </c>
      <c r="L885" s="105" t="str">
        <f>VLOOKUP(K885,COA!$A$3:$B$337,2,FALSE)</f>
        <v>N13</v>
      </c>
      <c r="M885" s="105" t="str">
        <f t="shared" si="36"/>
        <v>N13</v>
      </c>
      <c r="N885" s="105" t="str">
        <f>VLOOKUP(M885,CAC!$A$2:$B$198,2,FALSE)</f>
        <v>HMOLG</v>
      </c>
    </row>
    <row r="886" spans="5:14" x14ac:dyDescent="0.25">
      <c r="E886" s="83">
        <v>201509</v>
      </c>
      <c r="F886" s="82" t="s">
        <v>344</v>
      </c>
      <c r="G886" s="82" t="s">
        <v>350</v>
      </c>
      <c r="H886" s="82" t="s">
        <v>344</v>
      </c>
      <c r="I886" s="95">
        <v>113</v>
      </c>
      <c r="K886" s="105" t="str">
        <f t="shared" si="35"/>
        <v>0012-1012-0012</v>
      </c>
      <c r="L886" s="105" t="str">
        <f>VLOOKUP(K886,COA!$A$3:$B$337,2,FALSE)</f>
        <v>K12</v>
      </c>
      <c r="M886" s="105" t="str">
        <f t="shared" si="36"/>
        <v>K12</v>
      </c>
      <c r="N886" s="105" t="str">
        <f>VLOOKUP(M886,CAC!$A$2:$B$198,2,FALSE)</f>
        <v>HMOPMR</v>
      </c>
    </row>
    <row r="887" spans="5:14" x14ac:dyDescent="0.25">
      <c r="E887" s="83">
        <v>201710</v>
      </c>
      <c r="F887" s="82" t="s">
        <v>344</v>
      </c>
      <c r="G887" s="82" t="s">
        <v>355</v>
      </c>
      <c r="H887" s="82" t="s">
        <v>344</v>
      </c>
      <c r="I887" s="95">
        <v>51</v>
      </c>
      <c r="K887" s="105" t="str">
        <f t="shared" si="35"/>
        <v>0012-1006-0012</v>
      </c>
      <c r="L887" s="105" t="str">
        <f>VLOOKUP(K887,COA!$A$3:$B$337,2,FALSE)</f>
        <v>L16</v>
      </c>
      <c r="M887" s="105" t="str">
        <f t="shared" si="36"/>
        <v>L16</v>
      </c>
      <c r="N887" s="105" t="str">
        <f>VLOOKUP(M887,CAC!$A$2:$B$198,2,FALSE)</f>
        <v>HMOLG</v>
      </c>
    </row>
    <row r="888" spans="5:14" x14ac:dyDescent="0.25">
      <c r="E888" s="83">
        <v>201712</v>
      </c>
      <c r="F888" s="82" t="s">
        <v>746</v>
      </c>
      <c r="G888" s="82" t="s">
        <v>350</v>
      </c>
      <c r="H888" s="82" t="s">
        <v>764</v>
      </c>
      <c r="I888" s="95">
        <v>21</v>
      </c>
      <c r="K888" s="105" t="str">
        <f t="shared" si="35"/>
        <v>0016-1012-0064</v>
      </c>
      <c r="L888" s="105" t="str">
        <f>VLOOKUP(K888,COA!$A$3:$B$337,2,FALSE)</f>
        <v>R25</v>
      </c>
      <c r="M888" s="105" t="str">
        <f t="shared" si="36"/>
        <v>R25</v>
      </c>
      <c r="N888" s="105" t="str">
        <f>VLOOKUP(M888,CAC!$A$2:$B$198,2,FALSE)</f>
        <v>HMOMG</v>
      </c>
    </row>
    <row r="889" spans="5:14" x14ac:dyDescent="0.25">
      <c r="E889" s="83">
        <v>201506</v>
      </c>
      <c r="F889" s="82" t="s">
        <v>563</v>
      </c>
      <c r="G889" s="82" t="s">
        <v>352</v>
      </c>
      <c r="H889" s="82" t="s">
        <v>344</v>
      </c>
      <c r="I889" s="95">
        <v>0</v>
      </c>
      <c r="K889" s="105" t="str">
        <f t="shared" si="35"/>
        <v>0003-1004-0012</v>
      </c>
      <c r="L889" s="105" t="str">
        <f>VLOOKUP(K889,COA!$A$3:$B$337,2,FALSE)</f>
        <v>L51</v>
      </c>
      <c r="M889" s="105" t="str">
        <f t="shared" si="36"/>
        <v>L51</v>
      </c>
      <c r="N889" s="105" t="str">
        <f>VLOOKUP(M889,CAC!$A$2:$B$198,2,FALSE)</f>
        <v>PPOLG</v>
      </c>
    </row>
    <row r="890" spans="5:14" x14ac:dyDescent="0.25">
      <c r="E890" s="83">
        <v>201503</v>
      </c>
      <c r="F890" s="82" t="s">
        <v>345</v>
      </c>
      <c r="G890" s="82" t="s">
        <v>352</v>
      </c>
      <c r="H890" s="82" t="s">
        <v>344</v>
      </c>
      <c r="I890" s="95">
        <v>5443.39</v>
      </c>
      <c r="K890" s="105" t="str">
        <f t="shared" si="35"/>
        <v>0011-1004-0012</v>
      </c>
      <c r="L890" s="105" t="str">
        <f>VLOOKUP(K890,COA!$A$3:$B$337,2,FALSE)</f>
        <v>L11</v>
      </c>
      <c r="M890" s="105" t="str">
        <f t="shared" si="36"/>
        <v>L11</v>
      </c>
      <c r="N890" s="105" t="str">
        <f>VLOOKUP(M890,CAC!$A$2:$B$198,2,FALSE)</f>
        <v>HMOLG</v>
      </c>
    </row>
    <row r="891" spans="5:14" x14ac:dyDescent="0.25">
      <c r="E891" s="83">
        <v>201701</v>
      </c>
      <c r="F891" s="82" t="s">
        <v>552</v>
      </c>
      <c r="G891" s="82" t="s">
        <v>356</v>
      </c>
      <c r="H891" s="82" t="s">
        <v>672</v>
      </c>
      <c r="I891" s="95">
        <v>0</v>
      </c>
      <c r="K891" s="105" t="str">
        <f t="shared" si="35"/>
        <v>0027-1002-0058</v>
      </c>
      <c r="L891" s="105" t="str">
        <f>VLOOKUP(K891,COA!$A$3:$B$337,2,FALSE)</f>
        <v>L45</v>
      </c>
      <c r="M891" s="105" t="str">
        <f t="shared" si="36"/>
        <v>L45</v>
      </c>
      <c r="N891" s="105" t="e">
        <f>VLOOKUP(M891,CAC!$A$2:$B$198,2,FALSE)</f>
        <v>#N/A</v>
      </c>
    </row>
    <row r="892" spans="5:14" x14ac:dyDescent="0.25">
      <c r="E892" s="83">
        <v>201503</v>
      </c>
      <c r="F892" s="82" t="s">
        <v>563</v>
      </c>
      <c r="G892" s="82" t="s">
        <v>365</v>
      </c>
      <c r="H892" s="82" t="s">
        <v>411</v>
      </c>
      <c r="I892" s="95">
        <v>0</v>
      </c>
      <c r="K892" s="105" t="str">
        <f t="shared" si="35"/>
        <v>0003-1001-0007</v>
      </c>
      <c r="L892" s="105" t="str">
        <f>VLOOKUP(K892,COA!$A$3:$B$337,2,FALSE)</f>
        <v>V52</v>
      </c>
      <c r="M892" s="105" t="str">
        <f t="shared" si="36"/>
        <v>V52</v>
      </c>
      <c r="N892" s="105" t="str">
        <f>VLOOKUP(M892,CAC!$A$2:$B$198,2,FALSE)</f>
        <v>PPOIFP</v>
      </c>
    </row>
    <row r="893" spans="5:14" x14ac:dyDescent="0.25">
      <c r="E893" s="83">
        <v>201710</v>
      </c>
      <c r="F893" s="82" t="s">
        <v>563</v>
      </c>
      <c r="G893" s="82" t="s">
        <v>369</v>
      </c>
      <c r="H893" s="82" t="s">
        <v>353</v>
      </c>
      <c r="I893" s="95">
        <v>0</v>
      </c>
      <c r="K893" s="105" t="str">
        <f t="shared" si="35"/>
        <v>0003-1009-0023</v>
      </c>
      <c r="L893" s="105" t="e">
        <f>VLOOKUP(K893,COA!$A$3:$B$337,2,FALSE)</f>
        <v>#N/A</v>
      </c>
      <c r="M893" s="105" t="str">
        <f t="shared" si="36"/>
        <v>XXX</v>
      </c>
      <c r="N893" s="105" t="str">
        <f>VLOOKUP(M893,CAC!$A$2:$B$198,2,FALSE)</f>
        <v>XXX</v>
      </c>
    </row>
    <row r="894" spans="5:14" x14ac:dyDescent="0.25">
      <c r="E894" s="83">
        <v>201508</v>
      </c>
      <c r="F894" s="82" t="s">
        <v>746</v>
      </c>
      <c r="G894" s="82" t="s">
        <v>362</v>
      </c>
      <c r="H894" s="82" t="s">
        <v>364</v>
      </c>
      <c r="I894" s="95">
        <v>5912</v>
      </c>
      <c r="K894" s="105" t="str">
        <f t="shared" si="35"/>
        <v>0016-1008-0037</v>
      </c>
      <c r="L894" s="105" t="str">
        <f>VLOOKUP(K894,COA!$A$3:$B$337,2,FALSE)</f>
        <v>R24</v>
      </c>
      <c r="M894" s="105" t="str">
        <f t="shared" si="36"/>
        <v>R24</v>
      </c>
      <c r="N894" s="105" t="str">
        <f>VLOOKUP(M894,CAC!$A$2:$B$198,2,FALSE)</f>
        <v>PERMAPD</v>
      </c>
    </row>
    <row r="895" spans="5:14" x14ac:dyDescent="0.25">
      <c r="E895" s="83">
        <v>201703</v>
      </c>
      <c r="F895" s="82" t="s">
        <v>344</v>
      </c>
      <c r="G895" s="82" t="s">
        <v>352</v>
      </c>
      <c r="H895" s="82" t="s">
        <v>344</v>
      </c>
      <c r="I895" s="95">
        <v>275</v>
      </c>
      <c r="K895" s="105" t="str">
        <f t="shared" si="35"/>
        <v>0012-1004-0012</v>
      </c>
      <c r="L895" s="105" t="str">
        <f>VLOOKUP(K895,COA!$A$3:$B$337,2,FALSE)</f>
        <v>L12</v>
      </c>
      <c r="M895" s="105" t="str">
        <f t="shared" si="36"/>
        <v>L12</v>
      </c>
      <c r="N895" s="105" t="str">
        <f>VLOOKUP(M895,CAC!$A$2:$B$198,2,FALSE)</f>
        <v>HMOLG</v>
      </c>
    </row>
    <row r="896" spans="5:14" x14ac:dyDescent="0.25">
      <c r="E896" s="83">
        <v>201711</v>
      </c>
      <c r="F896" s="82" t="s">
        <v>345</v>
      </c>
      <c r="G896" s="82" t="s">
        <v>346</v>
      </c>
      <c r="H896" s="82" t="s">
        <v>344</v>
      </c>
      <c r="I896" s="95">
        <v>0</v>
      </c>
      <c r="K896" s="105" t="str">
        <f t="shared" si="35"/>
        <v>0011-1014-0012</v>
      </c>
      <c r="L896" s="105" t="e">
        <f>VLOOKUP(K896,COA!$A$3:$B$337,2,FALSE)</f>
        <v>#N/A</v>
      </c>
      <c r="M896" s="105" t="str">
        <f t="shared" si="36"/>
        <v>XXX</v>
      </c>
      <c r="N896" s="105" t="str">
        <f>VLOOKUP(M896,CAC!$A$2:$B$198,2,FALSE)</f>
        <v>XXX</v>
      </c>
    </row>
    <row r="897" spans="5:14" x14ac:dyDescent="0.25">
      <c r="E897" s="83">
        <v>201701</v>
      </c>
      <c r="F897" s="82" t="s">
        <v>345</v>
      </c>
      <c r="G897" s="82" t="s">
        <v>354</v>
      </c>
      <c r="H897" s="82" t="s">
        <v>368</v>
      </c>
      <c r="I897" s="95">
        <v>0</v>
      </c>
      <c r="K897" s="105" t="str">
        <f t="shared" si="35"/>
        <v>0011-1013-0056</v>
      </c>
      <c r="L897" s="105" t="str">
        <f>VLOOKUP(K897,COA!$A$3:$B$337,2,FALSE)</f>
        <v>N20</v>
      </c>
      <c r="M897" s="105" t="str">
        <f t="shared" si="36"/>
        <v>N20</v>
      </c>
      <c r="N897" s="105" t="str">
        <f>VLOOKUP(M897,CAC!$A$2:$B$198,2,FALSE)</f>
        <v>HMOPMR</v>
      </c>
    </row>
    <row r="898" spans="5:14" x14ac:dyDescent="0.25">
      <c r="E898" s="83">
        <v>201710</v>
      </c>
      <c r="F898" s="82" t="s">
        <v>563</v>
      </c>
      <c r="G898" s="82" t="s">
        <v>348</v>
      </c>
      <c r="H898" s="82" t="s">
        <v>349</v>
      </c>
      <c r="I898" s="95">
        <v>0</v>
      </c>
      <c r="K898" s="105" t="str">
        <f t="shared" si="35"/>
        <v>0003-1010-0017</v>
      </c>
      <c r="L898" s="105" t="str">
        <f>VLOOKUP(K898,COA!$A$3:$B$337,2,FALSE)</f>
        <v>S51</v>
      </c>
      <c r="M898" s="105" t="str">
        <f t="shared" si="36"/>
        <v>S51</v>
      </c>
      <c r="N898" s="105" t="str">
        <f>VLOOKUP(M898,CAC!$A$2:$B$198,2,FALSE)</f>
        <v>PPOSG</v>
      </c>
    </row>
    <row r="899" spans="5:14" x14ac:dyDescent="0.25">
      <c r="E899" s="83">
        <v>201505</v>
      </c>
      <c r="F899" s="82" t="s">
        <v>345</v>
      </c>
      <c r="G899" s="82" t="s">
        <v>355</v>
      </c>
      <c r="H899" s="82" t="s">
        <v>344</v>
      </c>
      <c r="I899" s="95">
        <v>24536.93</v>
      </c>
      <c r="K899" s="105" t="str">
        <f t="shared" si="35"/>
        <v>0011-1006-0012</v>
      </c>
      <c r="L899" s="105" t="str">
        <f>VLOOKUP(K899,COA!$A$3:$B$337,2,FALSE)</f>
        <v>L13</v>
      </c>
      <c r="M899" s="105" t="str">
        <f t="shared" si="36"/>
        <v>L13</v>
      </c>
      <c r="N899" s="105" t="str">
        <f>VLOOKUP(M899,CAC!$A$2:$B$198,2,FALSE)</f>
        <v>HMOLG</v>
      </c>
    </row>
    <row r="900" spans="5:14" x14ac:dyDescent="0.25">
      <c r="E900" s="83">
        <v>201604</v>
      </c>
      <c r="F900" s="82" t="s">
        <v>345</v>
      </c>
      <c r="G900" s="82" t="s">
        <v>354</v>
      </c>
      <c r="H900" s="82" t="s">
        <v>344</v>
      </c>
      <c r="I900" s="95">
        <v>6697.93</v>
      </c>
      <c r="K900" s="105" t="str">
        <f t="shared" ref="K900:K963" si="37">F900&amp;"-"&amp;G900&amp;"-"&amp;H900</f>
        <v>0011-1013-0012</v>
      </c>
      <c r="L900" s="105" t="str">
        <f>VLOOKUP(K900,COA!$A$3:$B$337,2,FALSE)</f>
        <v>N20</v>
      </c>
      <c r="M900" s="105" t="str">
        <f t="shared" ref="M900:M963" si="38">IF(ISNA(L900),"XXX",L900)</f>
        <v>N20</v>
      </c>
      <c r="N900" s="105" t="str">
        <f>VLOOKUP(M900,CAC!$A$2:$B$198,2,FALSE)</f>
        <v>HMOPMR</v>
      </c>
    </row>
    <row r="901" spans="5:14" x14ac:dyDescent="0.25">
      <c r="E901" s="83">
        <v>201511</v>
      </c>
      <c r="F901" s="82" t="s">
        <v>506</v>
      </c>
      <c r="G901" s="82" t="s">
        <v>359</v>
      </c>
      <c r="H901" s="82" t="s">
        <v>592</v>
      </c>
      <c r="I901" s="95">
        <v>0</v>
      </c>
      <c r="K901" s="105" t="str">
        <f t="shared" si="37"/>
        <v>0013-1005-0035</v>
      </c>
      <c r="L901" s="105" t="str">
        <f>VLOOKUP(K901,COA!$A$3:$B$337,2,FALSE)</f>
        <v>N41</v>
      </c>
      <c r="M901" s="105" t="str">
        <f t="shared" si="38"/>
        <v>N41</v>
      </c>
      <c r="N901" s="105" t="e">
        <f>VLOOKUP(M901,CAC!$A$2:$B$198,2,FALSE)</f>
        <v>#N/A</v>
      </c>
    </row>
    <row r="902" spans="5:14" x14ac:dyDescent="0.25">
      <c r="E902" s="83">
        <v>201712</v>
      </c>
      <c r="F902" s="82" t="s">
        <v>413</v>
      </c>
      <c r="G902" s="82" t="s">
        <v>355</v>
      </c>
      <c r="H902" s="82" t="s">
        <v>344</v>
      </c>
      <c r="I902" s="95">
        <v>0</v>
      </c>
      <c r="K902" s="105" t="str">
        <f t="shared" si="37"/>
        <v>0008-1006-0012</v>
      </c>
      <c r="L902" s="105" t="str">
        <f>VLOOKUP(K902,COA!$A$3:$B$337,2,FALSE)</f>
        <v>C96</v>
      </c>
      <c r="M902" s="105" t="str">
        <f t="shared" si="38"/>
        <v>C96</v>
      </c>
      <c r="N902" s="105" t="str">
        <f>VLOOKUP(M902,CAC!$A$2:$B$198,2,FALSE)</f>
        <v>DOILG</v>
      </c>
    </row>
    <row r="903" spans="5:14" x14ac:dyDescent="0.25">
      <c r="E903" s="83">
        <v>201712</v>
      </c>
      <c r="F903" s="82" t="s">
        <v>345</v>
      </c>
      <c r="G903" s="82" t="s">
        <v>348</v>
      </c>
      <c r="H903" s="82" t="s">
        <v>358</v>
      </c>
      <c r="I903" s="95">
        <v>336</v>
      </c>
      <c r="K903" s="105" t="str">
        <f t="shared" si="37"/>
        <v>0011-1010-0024</v>
      </c>
      <c r="L903" s="105" t="str">
        <f>VLOOKUP(K903,COA!$A$3:$B$337,2,FALSE)</f>
        <v>S14</v>
      </c>
      <c r="M903" s="105" t="str">
        <f t="shared" si="38"/>
        <v>S14</v>
      </c>
      <c r="N903" s="105" t="str">
        <f>VLOOKUP(M903,CAC!$A$2:$B$198,2,FALSE)</f>
        <v>HMOSG</v>
      </c>
    </row>
    <row r="904" spans="5:14" x14ac:dyDescent="0.25">
      <c r="E904" s="83">
        <v>201704</v>
      </c>
      <c r="F904" s="82" t="s">
        <v>345</v>
      </c>
      <c r="G904" s="82" t="s">
        <v>354</v>
      </c>
      <c r="H904" s="82" t="s">
        <v>368</v>
      </c>
      <c r="I904" s="95">
        <v>1</v>
      </c>
      <c r="K904" s="105" t="str">
        <f t="shared" si="37"/>
        <v>0011-1013-0056</v>
      </c>
      <c r="L904" s="105" t="str">
        <f>VLOOKUP(K904,COA!$A$3:$B$337,2,FALSE)</f>
        <v>N20</v>
      </c>
      <c r="M904" s="105" t="str">
        <f t="shared" si="38"/>
        <v>N20</v>
      </c>
      <c r="N904" s="105" t="str">
        <f>VLOOKUP(M904,CAC!$A$2:$B$198,2,FALSE)</f>
        <v>HMOPMR</v>
      </c>
    </row>
    <row r="905" spans="5:14" x14ac:dyDescent="0.25">
      <c r="E905" s="83">
        <v>201710</v>
      </c>
      <c r="F905" s="82" t="s">
        <v>563</v>
      </c>
      <c r="G905" s="82" t="s">
        <v>365</v>
      </c>
      <c r="H905" s="82" t="s">
        <v>798</v>
      </c>
      <c r="I905" s="95">
        <v>0</v>
      </c>
      <c r="K905" s="105" t="str">
        <f t="shared" si="37"/>
        <v>0003-1001-0065</v>
      </c>
      <c r="L905" s="105" t="str">
        <f>VLOOKUP(K905,COA!$A$3:$B$337,2,FALSE)</f>
        <v>V55</v>
      </c>
      <c r="M905" s="105" t="str">
        <f t="shared" si="38"/>
        <v>V55</v>
      </c>
      <c r="N905" s="105" t="e">
        <f>VLOOKUP(M905,CAC!$A$2:$B$198,2,FALSE)</f>
        <v>#N/A</v>
      </c>
    </row>
    <row r="906" spans="5:14" x14ac:dyDescent="0.25">
      <c r="E906" s="83">
        <v>201609</v>
      </c>
      <c r="F906" s="82" t="s">
        <v>344</v>
      </c>
      <c r="G906" s="82" t="s">
        <v>359</v>
      </c>
      <c r="H906" s="82" t="s">
        <v>344</v>
      </c>
      <c r="I906" s="95">
        <v>135</v>
      </c>
      <c r="K906" s="105" t="str">
        <f t="shared" si="37"/>
        <v>0012-1005-0012</v>
      </c>
      <c r="L906" s="105" t="str">
        <f>VLOOKUP(K906,COA!$A$3:$B$337,2,FALSE)</f>
        <v>N13</v>
      </c>
      <c r="M906" s="105" t="str">
        <f t="shared" si="38"/>
        <v>N13</v>
      </c>
      <c r="N906" s="105" t="str">
        <f>VLOOKUP(M906,CAC!$A$2:$B$198,2,FALSE)</f>
        <v>HMOLG</v>
      </c>
    </row>
    <row r="907" spans="5:14" x14ac:dyDescent="0.25">
      <c r="E907" s="83">
        <v>201601</v>
      </c>
      <c r="F907" s="82" t="s">
        <v>344</v>
      </c>
      <c r="G907" s="82" t="s">
        <v>350</v>
      </c>
      <c r="H907" s="82" t="s">
        <v>344</v>
      </c>
      <c r="I907" s="95">
        <v>105</v>
      </c>
      <c r="K907" s="105" t="str">
        <f t="shared" si="37"/>
        <v>0012-1012-0012</v>
      </c>
      <c r="L907" s="105" t="str">
        <f>VLOOKUP(K907,COA!$A$3:$B$337,2,FALSE)</f>
        <v>K12</v>
      </c>
      <c r="M907" s="105" t="str">
        <f t="shared" si="38"/>
        <v>K12</v>
      </c>
      <c r="N907" s="105" t="str">
        <f>VLOOKUP(M907,CAC!$A$2:$B$198,2,FALSE)</f>
        <v>HMOPMR</v>
      </c>
    </row>
    <row r="908" spans="5:14" x14ac:dyDescent="0.25">
      <c r="E908" s="83">
        <v>201610</v>
      </c>
      <c r="F908" s="82" t="s">
        <v>563</v>
      </c>
      <c r="G908" s="82" t="s">
        <v>348</v>
      </c>
      <c r="H908" s="82" t="s">
        <v>353</v>
      </c>
      <c r="I908" s="95">
        <v>0</v>
      </c>
      <c r="K908" s="105" t="str">
        <f t="shared" si="37"/>
        <v>0003-1010-0023</v>
      </c>
      <c r="L908" s="105" t="str">
        <f>VLOOKUP(K908,COA!$A$3:$B$337,2,FALSE)</f>
        <v>S54</v>
      </c>
      <c r="M908" s="105" t="str">
        <f t="shared" si="38"/>
        <v>S54</v>
      </c>
      <c r="N908" s="105" t="str">
        <f>VLOOKUP(M908,CAC!$A$2:$B$198,2,FALSE)</f>
        <v>PPOSG</v>
      </c>
    </row>
    <row r="909" spans="5:14" x14ac:dyDescent="0.25">
      <c r="E909" s="83">
        <v>201707</v>
      </c>
      <c r="F909" s="82" t="s">
        <v>344</v>
      </c>
      <c r="G909" s="82" t="s">
        <v>355</v>
      </c>
      <c r="H909" s="82" t="s">
        <v>344</v>
      </c>
      <c r="I909" s="95">
        <v>55</v>
      </c>
      <c r="K909" s="105" t="str">
        <f t="shared" si="37"/>
        <v>0012-1006-0012</v>
      </c>
      <c r="L909" s="105" t="str">
        <f>VLOOKUP(K909,COA!$A$3:$B$337,2,FALSE)</f>
        <v>L16</v>
      </c>
      <c r="M909" s="105" t="str">
        <f t="shared" si="38"/>
        <v>L16</v>
      </c>
      <c r="N909" s="105" t="str">
        <f>VLOOKUP(M909,CAC!$A$2:$B$198,2,FALSE)</f>
        <v>HMOLG</v>
      </c>
    </row>
    <row r="910" spans="5:14" x14ac:dyDescent="0.25">
      <c r="E910" s="83">
        <v>201602</v>
      </c>
      <c r="F910" s="82" t="s">
        <v>345</v>
      </c>
      <c r="G910" s="82" t="s">
        <v>348</v>
      </c>
      <c r="H910" s="82" t="s">
        <v>349</v>
      </c>
      <c r="I910" s="95">
        <v>20492.66</v>
      </c>
      <c r="K910" s="105" t="str">
        <f t="shared" si="37"/>
        <v>0011-1010-0017</v>
      </c>
      <c r="L910" s="105" t="str">
        <f>VLOOKUP(K910,COA!$A$3:$B$337,2,FALSE)</f>
        <v>S11</v>
      </c>
      <c r="M910" s="105" t="str">
        <f t="shared" si="38"/>
        <v>S11</v>
      </c>
      <c r="N910" s="105" t="str">
        <f>VLOOKUP(M910,CAC!$A$2:$B$198,2,FALSE)</f>
        <v>HMOSG</v>
      </c>
    </row>
    <row r="911" spans="5:14" x14ac:dyDescent="0.25">
      <c r="E911" s="83">
        <v>201711</v>
      </c>
      <c r="F911" s="82" t="s">
        <v>345</v>
      </c>
      <c r="G911" s="82" t="s">
        <v>355</v>
      </c>
      <c r="H911" s="82" t="s">
        <v>344</v>
      </c>
      <c r="I911" s="95">
        <v>19424.64</v>
      </c>
      <c r="K911" s="105" t="str">
        <f t="shared" si="37"/>
        <v>0011-1006-0012</v>
      </c>
      <c r="L911" s="105" t="str">
        <f>VLOOKUP(K911,COA!$A$3:$B$337,2,FALSE)</f>
        <v>L13</v>
      </c>
      <c r="M911" s="105" t="str">
        <f t="shared" si="38"/>
        <v>L13</v>
      </c>
      <c r="N911" s="105" t="str">
        <f>VLOOKUP(M911,CAC!$A$2:$B$198,2,FALSE)</f>
        <v>HMOLG</v>
      </c>
    </row>
    <row r="912" spans="5:14" x14ac:dyDescent="0.25">
      <c r="E912" s="83">
        <v>201709</v>
      </c>
      <c r="F912" s="82" t="s">
        <v>345</v>
      </c>
      <c r="G912" s="82" t="s">
        <v>352</v>
      </c>
      <c r="H912" s="82" t="s">
        <v>357</v>
      </c>
      <c r="I912" s="95">
        <v>1959</v>
      </c>
      <c r="K912" s="105" t="str">
        <f t="shared" si="37"/>
        <v>0011-1004-0038</v>
      </c>
      <c r="L912" s="105" t="str">
        <f>VLOOKUP(K912,COA!$A$3:$B$337,2,FALSE)</f>
        <v>L14</v>
      </c>
      <c r="M912" s="105" t="str">
        <f t="shared" si="38"/>
        <v>L14</v>
      </c>
      <c r="N912" s="105" t="str">
        <f>VLOOKUP(M912,CAC!$A$2:$B$198,2,FALSE)</f>
        <v>HMOLG</v>
      </c>
    </row>
    <row r="913" spans="5:14" x14ac:dyDescent="0.25">
      <c r="E913" s="83">
        <v>201707</v>
      </c>
      <c r="F913" s="82" t="s">
        <v>563</v>
      </c>
      <c r="G913" s="82" t="s">
        <v>352</v>
      </c>
      <c r="H913" s="82" t="s">
        <v>344</v>
      </c>
      <c r="I913" s="95">
        <v>0</v>
      </c>
      <c r="K913" s="105" t="str">
        <f t="shared" si="37"/>
        <v>0003-1004-0012</v>
      </c>
      <c r="L913" s="105" t="str">
        <f>VLOOKUP(K913,COA!$A$3:$B$337,2,FALSE)</f>
        <v>L51</v>
      </c>
      <c r="M913" s="105" t="str">
        <f t="shared" si="38"/>
        <v>L51</v>
      </c>
      <c r="N913" s="105" t="str">
        <f>VLOOKUP(M913,CAC!$A$2:$B$198,2,FALSE)</f>
        <v>PPOLG</v>
      </c>
    </row>
    <row r="914" spans="5:14" x14ac:dyDescent="0.25">
      <c r="E914" s="83">
        <v>201506</v>
      </c>
      <c r="F914" s="82" t="s">
        <v>345</v>
      </c>
      <c r="G914" s="82" t="s">
        <v>359</v>
      </c>
      <c r="H914" s="82" t="s">
        <v>344</v>
      </c>
      <c r="I914" s="95">
        <v>2231.94</v>
      </c>
      <c r="K914" s="105" t="str">
        <f t="shared" si="37"/>
        <v>0011-1005-0012</v>
      </c>
      <c r="L914" s="105" t="str">
        <f>VLOOKUP(K914,COA!$A$3:$B$337,2,FALSE)</f>
        <v>N11</v>
      </c>
      <c r="M914" s="105" t="str">
        <f t="shared" si="38"/>
        <v>N11</v>
      </c>
      <c r="N914" s="105" t="str">
        <f>VLOOKUP(M914,CAC!$A$2:$B$198,2,FALSE)</f>
        <v>HMOLG</v>
      </c>
    </row>
    <row r="915" spans="5:14" x14ac:dyDescent="0.25">
      <c r="E915" s="83">
        <v>201508</v>
      </c>
      <c r="F915" s="82" t="s">
        <v>506</v>
      </c>
      <c r="G915" s="82" t="s">
        <v>354</v>
      </c>
      <c r="H915" s="82" t="s">
        <v>592</v>
      </c>
      <c r="I915" s="95">
        <v>0</v>
      </c>
      <c r="K915" s="105" t="str">
        <f t="shared" si="37"/>
        <v>0013-1013-0035</v>
      </c>
      <c r="L915" s="105" t="str">
        <f>VLOOKUP(K915,COA!$A$3:$B$337,2,FALSE)</f>
        <v>N44</v>
      </c>
      <c r="M915" s="105" t="str">
        <f t="shared" si="38"/>
        <v>N44</v>
      </c>
      <c r="N915" s="105" t="e">
        <f>VLOOKUP(M915,CAC!$A$2:$B$198,2,FALSE)</f>
        <v>#N/A</v>
      </c>
    </row>
    <row r="916" spans="5:14" x14ac:dyDescent="0.25">
      <c r="E916" s="83">
        <v>201707</v>
      </c>
      <c r="F916" s="82" t="s">
        <v>563</v>
      </c>
      <c r="G916" s="82" t="s">
        <v>354</v>
      </c>
      <c r="H916" s="82" t="s">
        <v>360</v>
      </c>
      <c r="I916" s="95">
        <v>0</v>
      </c>
      <c r="K916" s="105" t="str">
        <f t="shared" si="37"/>
        <v>0003-1013-0048</v>
      </c>
      <c r="L916" s="105" t="str">
        <f>VLOOKUP(K916,COA!$A$3:$B$337,2,FALSE)</f>
        <v>N56</v>
      </c>
      <c r="M916" s="105" t="str">
        <f t="shared" si="38"/>
        <v>N56</v>
      </c>
      <c r="N916" s="105" t="str">
        <f>VLOOKUP(M916,CAC!$A$2:$B$198,2,FALSE)</f>
        <v>HMFLEX</v>
      </c>
    </row>
    <row r="917" spans="5:14" x14ac:dyDescent="0.25">
      <c r="E917" s="83">
        <v>201606</v>
      </c>
      <c r="F917" s="82" t="s">
        <v>746</v>
      </c>
      <c r="G917" s="82" t="s">
        <v>361</v>
      </c>
      <c r="H917" s="82" t="s">
        <v>344</v>
      </c>
      <c r="I917" s="95">
        <v>470</v>
      </c>
      <c r="K917" s="105" t="str">
        <f t="shared" si="37"/>
        <v>0016-1003-0012</v>
      </c>
      <c r="L917" s="105" t="str">
        <f>VLOOKUP(K917,COA!$A$3:$B$337,2,FALSE)</f>
        <v>R18</v>
      </c>
      <c r="M917" s="105" t="str">
        <f t="shared" si="38"/>
        <v>R18</v>
      </c>
      <c r="N917" s="105" t="str">
        <f>VLOOKUP(M917,CAC!$A$2:$B$198,2,FALSE)</f>
        <v>HMOMG</v>
      </c>
    </row>
    <row r="918" spans="5:14" x14ac:dyDescent="0.25">
      <c r="E918" s="83">
        <v>201712</v>
      </c>
      <c r="F918" s="82" t="s">
        <v>413</v>
      </c>
      <c r="G918" s="82" t="s">
        <v>365</v>
      </c>
      <c r="H918" s="82" t="s">
        <v>344</v>
      </c>
      <c r="I918" s="95">
        <v>0</v>
      </c>
      <c r="K918" s="105" t="str">
        <f t="shared" si="37"/>
        <v>0008-1001-0012</v>
      </c>
      <c r="L918" s="105" t="str">
        <f>VLOOKUP(K918,COA!$A$3:$B$337,2,FALSE)</f>
        <v>C95</v>
      </c>
      <c r="M918" s="105" t="str">
        <f t="shared" si="38"/>
        <v>C95</v>
      </c>
      <c r="N918" s="105" t="str">
        <f>VLOOKUP(M918,CAC!$A$2:$B$198,2,FALSE)</f>
        <v>DOIIFP</v>
      </c>
    </row>
    <row r="919" spans="5:14" x14ac:dyDescent="0.25">
      <c r="E919" s="83">
        <v>201703</v>
      </c>
      <c r="F919" s="82" t="s">
        <v>342</v>
      </c>
      <c r="G919" s="82" t="s">
        <v>343</v>
      </c>
      <c r="H919" s="82" t="s">
        <v>344</v>
      </c>
      <c r="I919" s="95">
        <v>5704.72</v>
      </c>
      <c r="K919" s="105" t="str">
        <f t="shared" si="37"/>
        <v>0031-1000-0012</v>
      </c>
      <c r="L919" s="105" t="str">
        <f>VLOOKUP(K919,COA!$A$3:$B$337,2,FALSE)</f>
        <v>F27</v>
      </c>
      <c r="M919" s="105" t="str">
        <f t="shared" si="38"/>
        <v>F27</v>
      </c>
      <c r="N919" s="105" t="str">
        <f>VLOOKUP(M919,CAC!$A$2:$B$198,2,FALSE)</f>
        <v>HMOFEP</v>
      </c>
    </row>
    <row r="920" spans="5:14" x14ac:dyDescent="0.25">
      <c r="E920" s="83">
        <v>201503</v>
      </c>
      <c r="F920" s="82" t="s">
        <v>345</v>
      </c>
      <c r="G920" s="82" t="s">
        <v>346</v>
      </c>
      <c r="H920" s="82" t="s">
        <v>360</v>
      </c>
      <c r="I920" s="95">
        <v>414</v>
      </c>
      <c r="K920" s="105" t="str">
        <f t="shared" si="37"/>
        <v>0011-1014-0048</v>
      </c>
      <c r="L920" s="105" t="str">
        <f>VLOOKUP(K920,COA!$A$3:$B$337,2,FALSE)</f>
        <v>K23</v>
      </c>
      <c r="M920" s="105" t="str">
        <f t="shared" si="38"/>
        <v>K23</v>
      </c>
      <c r="N920" s="105" t="str">
        <f>VLOOKUP(M920,CAC!$A$2:$B$198,2,FALSE)</f>
        <v>HMFLEX</v>
      </c>
    </row>
    <row r="921" spans="5:14" x14ac:dyDescent="0.25">
      <c r="E921" s="83">
        <v>201612</v>
      </c>
      <c r="F921" s="82" t="s">
        <v>563</v>
      </c>
      <c r="G921" s="82" t="s">
        <v>365</v>
      </c>
      <c r="H921" s="82" t="s">
        <v>344</v>
      </c>
      <c r="I921" s="95">
        <v>0</v>
      </c>
      <c r="K921" s="105" t="str">
        <f t="shared" si="37"/>
        <v>0003-1001-0012</v>
      </c>
      <c r="L921" s="105" t="str">
        <f>VLOOKUP(K921,COA!$A$3:$B$337,2,FALSE)</f>
        <v>V51</v>
      </c>
      <c r="M921" s="105" t="str">
        <f t="shared" si="38"/>
        <v>V51</v>
      </c>
      <c r="N921" s="105" t="str">
        <f>VLOOKUP(M921,CAC!$A$2:$B$198,2,FALSE)</f>
        <v>PPOIFP</v>
      </c>
    </row>
    <row r="922" spans="5:14" x14ac:dyDescent="0.25">
      <c r="E922" s="83">
        <v>201710</v>
      </c>
      <c r="F922" s="82" t="s">
        <v>563</v>
      </c>
      <c r="G922" s="82" t="s">
        <v>365</v>
      </c>
      <c r="H922" s="82" t="s">
        <v>367</v>
      </c>
      <c r="I922" s="95">
        <v>0</v>
      </c>
      <c r="K922" s="105" t="str">
        <f t="shared" si="37"/>
        <v>0003-1001-0022</v>
      </c>
      <c r="L922" s="105" t="str">
        <f>VLOOKUP(K922,COA!$A$3:$B$337,2,FALSE)</f>
        <v>V54</v>
      </c>
      <c r="M922" s="105" t="str">
        <f t="shared" si="38"/>
        <v>V54</v>
      </c>
      <c r="N922" s="105" t="str">
        <f>VLOOKUP(M922,CAC!$A$2:$B$198,2,FALSE)</f>
        <v>PPOIFP</v>
      </c>
    </row>
    <row r="923" spans="5:14" x14ac:dyDescent="0.25">
      <c r="E923" s="83">
        <v>201703</v>
      </c>
      <c r="F923" s="82" t="s">
        <v>549</v>
      </c>
      <c r="G923" s="82" t="s">
        <v>352</v>
      </c>
      <c r="H923" s="82" t="s">
        <v>672</v>
      </c>
      <c r="I923" s="95">
        <v>0</v>
      </c>
      <c r="K923" s="105" t="str">
        <f t="shared" si="37"/>
        <v>0026-1004-0058</v>
      </c>
      <c r="L923" s="105" t="str">
        <f>VLOOKUP(K923,COA!$A$3:$B$337,2,FALSE)</f>
        <v>L44</v>
      </c>
      <c r="M923" s="105" t="str">
        <f t="shared" si="38"/>
        <v>L44</v>
      </c>
      <c r="N923" s="105" t="e">
        <f>VLOOKUP(M923,CAC!$A$2:$B$198,2,FALSE)</f>
        <v>#N/A</v>
      </c>
    </row>
    <row r="924" spans="5:14" x14ac:dyDescent="0.25">
      <c r="E924" s="83">
        <v>201708</v>
      </c>
      <c r="F924" s="82" t="s">
        <v>413</v>
      </c>
      <c r="G924" s="82" t="s">
        <v>355</v>
      </c>
      <c r="H924" s="82" t="s">
        <v>344</v>
      </c>
      <c r="I924" s="95">
        <v>0</v>
      </c>
      <c r="K924" s="105" t="str">
        <f t="shared" si="37"/>
        <v>0008-1006-0012</v>
      </c>
      <c r="L924" s="105" t="str">
        <f>VLOOKUP(K924,COA!$A$3:$B$337,2,FALSE)</f>
        <v>C96</v>
      </c>
      <c r="M924" s="105" t="str">
        <f t="shared" si="38"/>
        <v>C96</v>
      </c>
      <c r="N924" s="105" t="str">
        <f>VLOOKUP(M924,CAC!$A$2:$B$198,2,FALSE)</f>
        <v>DOILG</v>
      </c>
    </row>
    <row r="925" spans="5:14" x14ac:dyDescent="0.25">
      <c r="E925" s="83">
        <v>201512</v>
      </c>
      <c r="F925" s="82" t="s">
        <v>344</v>
      </c>
      <c r="G925" s="82" t="s">
        <v>352</v>
      </c>
      <c r="H925" s="82" t="s">
        <v>344</v>
      </c>
      <c r="I925" s="95">
        <v>455</v>
      </c>
      <c r="K925" s="105" t="str">
        <f t="shared" si="37"/>
        <v>0012-1004-0012</v>
      </c>
      <c r="L925" s="105" t="str">
        <f>VLOOKUP(K925,COA!$A$3:$B$337,2,FALSE)</f>
        <v>L12</v>
      </c>
      <c r="M925" s="105" t="str">
        <f t="shared" si="38"/>
        <v>L12</v>
      </c>
      <c r="N925" s="105" t="str">
        <f>VLOOKUP(M925,CAC!$A$2:$B$198,2,FALSE)</f>
        <v>HMOLG</v>
      </c>
    </row>
    <row r="926" spans="5:14" x14ac:dyDescent="0.25">
      <c r="E926" s="83">
        <v>201604</v>
      </c>
      <c r="F926" s="82" t="s">
        <v>413</v>
      </c>
      <c r="G926" s="82" t="s">
        <v>356</v>
      </c>
      <c r="H926" s="82" t="s">
        <v>344</v>
      </c>
      <c r="I926" s="95">
        <v>0</v>
      </c>
      <c r="K926" s="105" t="str">
        <f t="shared" si="37"/>
        <v>0008-1002-0012</v>
      </c>
      <c r="L926" s="105" t="str">
        <f>VLOOKUP(K926,COA!$A$3:$B$337,2,FALSE)</f>
        <v>C74</v>
      </c>
      <c r="M926" s="105" t="str">
        <f t="shared" si="38"/>
        <v>C74</v>
      </c>
      <c r="N926" s="105" t="str">
        <f>VLOOKUP(M926,CAC!$A$2:$B$198,2,FALSE)</f>
        <v>DOILG</v>
      </c>
    </row>
    <row r="927" spans="5:14" x14ac:dyDescent="0.25">
      <c r="E927" s="83">
        <v>201512</v>
      </c>
      <c r="F927" s="82" t="s">
        <v>345</v>
      </c>
      <c r="G927" s="82" t="s">
        <v>351</v>
      </c>
      <c r="H927" s="82" t="s">
        <v>353</v>
      </c>
      <c r="I927" s="95">
        <v>3</v>
      </c>
      <c r="K927" s="105" t="str">
        <f t="shared" si="37"/>
        <v>0011-0000-0023</v>
      </c>
      <c r="L927" s="105" t="e">
        <f>VLOOKUP(K927,COA!$A$3:$B$337,2,FALSE)</f>
        <v>#N/A</v>
      </c>
      <c r="M927" s="105" t="str">
        <f t="shared" si="38"/>
        <v>XXX</v>
      </c>
      <c r="N927" s="105" t="str">
        <f>VLOOKUP(M927,CAC!$A$2:$B$198,2,FALSE)</f>
        <v>XXX</v>
      </c>
    </row>
    <row r="928" spans="5:14" x14ac:dyDescent="0.25">
      <c r="E928" s="83">
        <v>201511</v>
      </c>
      <c r="F928" s="82" t="s">
        <v>746</v>
      </c>
      <c r="G928" s="82" t="s">
        <v>362</v>
      </c>
      <c r="H928" s="82" t="s">
        <v>364</v>
      </c>
      <c r="I928" s="95">
        <v>5940</v>
      </c>
      <c r="K928" s="105" t="str">
        <f t="shared" si="37"/>
        <v>0016-1008-0037</v>
      </c>
      <c r="L928" s="105" t="str">
        <f>VLOOKUP(K928,COA!$A$3:$B$337,2,FALSE)</f>
        <v>R24</v>
      </c>
      <c r="M928" s="105" t="str">
        <f t="shared" si="38"/>
        <v>R24</v>
      </c>
      <c r="N928" s="105" t="str">
        <f>VLOOKUP(M928,CAC!$A$2:$B$198,2,FALSE)</f>
        <v>PERMAPD</v>
      </c>
    </row>
    <row r="929" spans="5:14" x14ac:dyDescent="0.25">
      <c r="E929" s="83">
        <v>201607</v>
      </c>
      <c r="F929" s="82" t="s">
        <v>563</v>
      </c>
      <c r="G929" s="82" t="s">
        <v>348</v>
      </c>
      <c r="H929" s="82" t="s">
        <v>349</v>
      </c>
      <c r="I929" s="95">
        <v>0</v>
      </c>
      <c r="K929" s="105" t="str">
        <f t="shared" si="37"/>
        <v>0003-1010-0017</v>
      </c>
      <c r="L929" s="105" t="str">
        <f>VLOOKUP(K929,COA!$A$3:$B$337,2,FALSE)</f>
        <v>S51</v>
      </c>
      <c r="M929" s="105" t="str">
        <f t="shared" si="38"/>
        <v>S51</v>
      </c>
      <c r="N929" s="105" t="str">
        <f>VLOOKUP(M929,CAC!$A$2:$B$198,2,FALSE)</f>
        <v>PPOSG</v>
      </c>
    </row>
    <row r="930" spans="5:14" x14ac:dyDescent="0.25">
      <c r="E930" s="83">
        <v>201510</v>
      </c>
      <c r="F930" s="82" t="s">
        <v>413</v>
      </c>
      <c r="G930" s="82" t="s">
        <v>365</v>
      </c>
      <c r="H930" s="82" t="s">
        <v>344</v>
      </c>
      <c r="I930" s="95">
        <v>0</v>
      </c>
      <c r="K930" s="105" t="str">
        <f t="shared" si="37"/>
        <v>0008-1001-0012</v>
      </c>
      <c r="L930" s="105" t="str">
        <f>VLOOKUP(K930,COA!$A$3:$B$337,2,FALSE)</f>
        <v>C95</v>
      </c>
      <c r="M930" s="105" t="str">
        <f t="shared" si="38"/>
        <v>C95</v>
      </c>
      <c r="N930" s="105" t="str">
        <f>VLOOKUP(M930,CAC!$A$2:$B$198,2,FALSE)</f>
        <v>DOIIFP</v>
      </c>
    </row>
    <row r="931" spans="5:14" x14ac:dyDescent="0.25">
      <c r="E931" s="83">
        <v>201801</v>
      </c>
      <c r="F931" s="82" t="s">
        <v>345</v>
      </c>
      <c r="G931" s="82" t="s">
        <v>359</v>
      </c>
      <c r="H931" s="82" t="s">
        <v>344</v>
      </c>
      <c r="I931" s="95">
        <v>7035</v>
      </c>
      <c r="K931" s="105" t="str">
        <f t="shared" si="37"/>
        <v>0011-1005-0012</v>
      </c>
      <c r="L931" s="105" t="str">
        <f>VLOOKUP(K931,COA!$A$3:$B$337,2,FALSE)</f>
        <v>N11</v>
      </c>
      <c r="M931" s="105" t="str">
        <f t="shared" si="38"/>
        <v>N11</v>
      </c>
      <c r="N931" s="105" t="str">
        <f>VLOOKUP(M931,CAC!$A$2:$B$198,2,FALSE)</f>
        <v>HMOLG</v>
      </c>
    </row>
    <row r="932" spans="5:14" x14ac:dyDescent="0.25">
      <c r="E932" s="83">
        <v>201612</v>
      </c>
      <c r="F932" s="82" t="s">
        <v>563</v>
      </c>
      <c r="G932" s="82" t="s">
        <v>354</v>
      </c>
      <c r="H932" s="82" t="s">
        <v>653</v>
      </c>
      <c r="I932" s="95">
        <v>0</v>
      </c>
      <c r="K932" s="105" t="str">
        <f t="shared" si="37"/>
        <v>0003-1013-0047</v>
      </c>
      <c r="L932" s="105" t="str">
        <f>VLOOKUP(K932,COA!$A$3:$B$337,2,FALSE)</f>
        <v>N57</v>
      </c>
      <c r="M932" s="105" t="str">
        <f t="shared" si="38"/>
        <v>N57</v>
      </c>
      <c r="N932" s="105" t="str">
        <f>VLOOKUP(M932,CAC!$A$2:$B$198,2,FALSE)</f>
        <v>PPOPMR</v>
      </c>
    </row>
    <row r="933" spans="5:14" x14ac:dyDescent="0.25">
      <c r="E933" s="83">
        <v>201610</v>
      </c>
      <c r="F933" s="82" t="s">
        <v>413</v>
      </c>
      <c r="G933" s="82" t="s">
        <v>359</v>
      </c>
      <c r="H933" s="82" t="s">
        <v>344</v>
      </c>
      <c r="I933" s="95">
        <v>0</v>
      </c>
      <c r="K933" s="105" t="str">
        <f t="shared" si="37"/>
        <v>0008-1005-0012</v>
      </c>
      <c r="L933" s="105" t="str">
        <f>VLOOKUP(K933,COA!$A$3:$B$337,2,FALSE)</f>
        <v>C73</v>
      </c>
      <c r="M933" s="105" t="str">
        <f t="shared" si="38"/>
        <v>C73</v>
      </c>
      <c r="N933" s="105" t="str">
        <f>VLOOKUP(M933,CAC!$A$2:$B$198,2,FALSE)</f>
        <v>DOILG</v>
      </c>
    </row>
    <row r="934" spans="5:14" x14ac:dyDescent="0.25">
      <c r="E934" s="83">
        <v>201703</v>
      </c>
      <c r="F934" s="82" t="s">
        <v>563</v>
      </c>
      <c r="G934" s="82" t="s">
        <v>365</v>
      </c>
      <c r="H934" s="82" t="s">
        <v>366</v>
      </c>
      <c r="I934" s="95">
        <v>0</v>
      </c>
      <c r="K934" s="105" t="str">
        <f t="shared" si="37"/>
        <v>0003-1001-0021</v>
      </c>
      <c r="L934" s="105" t="str">
        <f>VLOOKUP(K934,COA!$A$3:$B$337,2,FALSE)</f>
        <v>V53</v>
      </c>
      <c r="M934" s="105" t="str">
        <f t="shared" si="38"/>
        <v>V53</v>
      </c>
      <c r="N934" s="105" t="str">
        <f>VLOOKUP(M934,CAC!$A$2:$B$198,2,FALSE)</f>
        <v>PPOIFP</v>
      </c>
    </row>
    <row r="935" spans="5:14" x14ac:dyDescent="0.25">
      <c r="E935" s="83">
        <v>201603</v>
      </c>
      <c r="F935" s="82" t="s">
        <v>506</v>
      </c>
      <c r="G935" s="82" t="s">
        <v>350</v>
      </c>
      <c r="H935" s="82" t="s">
        <v>592</v>
      </c>
      <c r="I935" s="95">
        <v>0</v>
      </c>
      <c r="K935" s="105" t="str">
        <f t="shared" si="37"/>
        <v>0013-1012-0035</v>
      </c>
      <c r="L935" s="105" t="str">
        <f>VLOOKUP(K935,COA!$A$3:$B$337,2,FALSE)</f>
        <v>K41</v>
      </c>
      <c r="M935" s="105" t="str">
        <f t="shared" si="38"/>
        <v>K41</v>
      </c>
      <c r="N935" s="105" t="e">
        <f>VLOOKUP(M935,CAC!$A$2:$B$198,2,FALSE)</f>
        <v>#N/A</v>
      </c>
    </row>
    <row r="936" spans="5:14" x14ac:dyDescent="0.25">
      <c r="E936" s="83">
        <v>201703</v>
      </c>
      <c r="F936" s="82" t="s">
        <v>345</v>
      </c>
      <c r="G936" s="82" t="s">
        <v>352</v>
      </c>
      <c r="H936" s="82" t="s">
        <v>344</v>
      </c>
      <c r="I936" s="95">
        <v>8836.0300000000007</v>
      </c>
      <c r="K936" s="105" t="str">
        <f t="shared" si="37"/>
        <v>0011-1004-0012</v>
      </c>
      <c r="L936" s="105" t="str">
        <f>VLOOKUP(K936,COA!$A$3:$B$337,2,FALSE)</f>
        <v>L11</v>
      </c>
      <c r="M936" s="105" t="str">
        <f t="shared" si="38"/>
        <v>L11</v>
      </c>
      <c r="N936" s="105" t="str">
        <f>VLOOKUP(M936,CAC!$A$2:$B$198,2,FALSE)</f>
        <v>HMOLG</v>
      </c>
    </row>
    <row r="937" spans="5:14" x14ac:dyDescent="0.25">
      <c r="E937" s="83">
        <v>201710</v>
      </c>
      <c r="F937" s="82" t="s">
        <v>345</v>
      </c>
      <c r="G937" s="82" t="s">
        <v>350</v>
      </c>
      <c r="H937" s="82" t="s">
        <v>360</v>
      </c>
      <c r="I937" s="95">
        <v>10359</v>
      </c>
      <c r="K937" s="105" t="str">
        <f t="shared" si="37"/>
        <v>0011-1012-0048</v>
      </c>
      <c r="L937" s="105" t="str">
        <f>VLOOKUP(K937,COA!$A$3:$B$337,2,FALSE)</f>
        <v>K21</v>
      </c>
      <c r="M937" s="105" t="str">
        <f t="shared" si="38"/>
        <v>K21</v>
      </c>
      <c r="N937" s="105" t="str">
        <f>VLOOKUP(M937,CAC!$A$2:$B$198,2,FALSE)</f>
        <v>HMFLEX</v>
      </c>
    </row>
    <row r="938" spans="5:14" x14ac:dyDescent="0.25">
      <c r="E938" s="83">
        <v>201606</v>
      </c>
      <c r="F938" s="82" t="s">
        <v>345</v>
      </c>
      <c r="G938" s="82" t="s">
        <v>362</v>
      </c>
      <c r="H938" s="82" t="s">
        <v>363</v>
      </c>
      <c r="I938" s="95">
        <v>37149.089999999997</v>
      </c>
      <c r="K938" s="105" t="str">
        <f t="shared" si="37"/>
        <v>0011-1008-0054</v>
      </c>
      <c r="L938" s="105" t="str">
        <f>VLOOKUP(K938,COA!$A$3:$B$337,2,FALSE)</f>
        <v>P23</v>
      </c>
      <c r="M938" s="105" t="str">
        <f t="shared" si="38"/>
        <v>P23</v>
      </c>
      <c r="N938" s="105" t="str">
        <f>VLOOKUP(M938,CAC!$A$2:$B$198,2,FALSE)</f>
        <v>HMOPERN</v>
      </c>
    </row>
    <row r="939" spans="5:14" x14ac:dyDescent="0.25">
      <c r="E939" s="83">
        <v>201509</v>
      </c>
      <c r="F939" s="82" t="s">
        <v>345</v>
      </c>
      <c r="G939" s="82" t="s">
        <v>348</v>
      </c>
      <c r="H939" s="82" t="s">
        <v>353</v>
      </c>
      <c r="I939" s="95">
        <v>348.06</v>
      </c>
      <c r="K939" s="105" t="str">
        <f t="shared" si="37"/>
        <v>0011-1010-0023</v>
      </c>
      <c r="L939" s="105" t="str">
        <f>VLOOKUP(K939,COA!$A$3:$B$337,2,FALSE)</f>
        <v>S13</v>
      </c>
      <c r="M939" s="105" t="str">
        <f t="shared" si="38"/>
        <v>S13</v>
      </c>
      <c r="N939" s="105" t="str">
        <f>VLOOKUP(M939,CAC!$A$2:$B$198,2,FALSE)</f>
        <v>HMOSG</v>
      </c>
    </row>
    <row r="940" spans="5:14" x14ac:dyDescent="0.25">
      <c r="E940" s="83">
        <v>201612</v>
      </c>
      <c r="F940" s="82" t="s">
        <v>413</v>
      </c>
      <c r="G940" s="82" t="s">
        <v>355</v>
      </c>
      <c r="H940" s="82" t="s">
        <v>344</v>
      </c>
      <c r="I940" s="95">
        <v>0</v>
      </c>
      <c r="K940" s="105" t="str">
        <f t="shared" si="37"/>
        <v>0008-1006-0012</v>
      </c>
      <c r="L940" s="105" t="str">
        <f>VLOOKUP(K940,COA!$A$3:$B$337,2,FALSE)</f>
        <v>C96</v>
      </c>
      <c r="M940" s="105" t="str">
        <f t="shared" si="38"/>
        <v>C96</v>
      </c>
      <c r="N940" s="105" t="str">
        <f>VLOOKUP(M940,CAC!$A$2:$B$198,2,FALSE)</f>
        <v>DOILG</v>
      </c>
    </row>
    <row r="941" spans="5:14" x14ac:dyDescent="0.25">
      <c r="E941" s="83">
        <v>201710</v>
      </c>
      <c r="F941" s="82" t="s">
        <v>746</v>
      </c>
      <c r="G941" s="82" t="s">
        <v>356</v>
      </c>
      <c r="H941" s="82" t="s">
        <v>764</v>
      </c>
      <c r="I941" s="95">
        <v>648</v>
      </c>
      <c r="K941" s="105" t="str">
        <f t="shared" si="37"/>
        <v>0016-1002-0064</v>
      </c>
      <c r="L941" s="105" t="str">
        <f>VLOOKUP(K941,COA!$A$3:$B$337,2,FALSE)</f>
        <v>R25</v>
      </c>
      <c r="M941" s="105" t="str">
        <f t="shared" si="38"/>
        <v>R25</v>
      </c>
      <c r="N941" s="105" t="str">
        <f>VLOOKUP(M941,CAC!$A$2:$B$198,2,FALSE)</f>
        <v>HMOMG</v>
      </c>
    </row>
    <row r="942" spans="5:14" x14ac:dyDescent="0.25">
      <c r="E942" s="83">
        <v>201703</v>
      </c>
      <c r="F942" s="82" t="s">
        <v>746</v>
      </c>
      <c r="G942" s="82" t="s">
        <v>356</v>
      </c>
      <c r="H942" s="82" t="s">
        <v>344</v>
      </c>
      <c r="I942" s="95">
        <v>136</v>
      </c>
      <c r="K942" s="105" t="str">
        <f t="shared" si="37"/>
        <v>0016-1002-0012</v>
      </c>
      <c r="L942" s="105" t="str">
        <f>VLOOKUP(K942,COA!$A$3:$B$337,2,FALSE)</f>
        <v>R18</v>
      </c>
      <c r="M942" s="105" t="str">
        <f t="shared" si="38"/>
        <v>R18</v>
      </c>
      <c r="N942" s="105" t="str">
        <f>VLOOKUP(M942,CAC!$A$2:$B$198,2,FALSE)</f>
        <v>HMOMG</v>
      </c>
    </row>
    <row r="943" spans="5:14" x14ac:dyDescent="0.25">
      <c r="E943" s="83">
        <v>201703</v>
      </c>
      <c r="F943" s="82" t="s">
        <v>563</v>
      </c>
      <c r="G943" s="82" t="s">
        <v>354</v>
      </c>
      <c r="H943" s="82" t="s">
        <v>344</v>
      </c>
      <c r="I943" s="95">
        <v>0</v>
      </c>
      <c r="K943" s="105" t="str">
        <f t="shared" si="37"/>
        <v>0003-1013-0012</v>
      </c>
      <c r="L943" s="105" t="str">
        <f>VLOOKUP(K943,COA!$A$3:$B$337,2,FALSE)</f>
        <v>N55</v>
      </c>
      <c r="M943" s="105" t="str">
        <f t="shared" si="38"/>
        <v>N55</v>
      </c>
      <c r="N943" s="105" t="str">
        <f>VLOOKUP(M943,CAC!$A$2:$B$198,2,FALSE)</f>
        <v>PPOPMR</v>
      </c>
    </row>
    <row r="944" spans="5:14" x14ac:dyDescent="0.25">
      <c r="E944" s="83">
        <v>201506</v>
      </c>
      <c r="F944" s="82" t="s">
        <v>344</v>
      </c>
      <c r="G944" s="82" t="s">
        <v>355</v>
      </c>
      <c r="H944" s="82" t="s">
        <v>344</v>
      </c>
      <c r="I944" s="95">
        <v>252</v>
      </c>
      <c r="K944" s="105" t="str">
        <f t="shared" si="37"/>
        <v>0012-1006-0012</v>
      </c>
      <c r="L944" s="105" t="str">
        <f>VLOOKUP(K944,COA!$A$3:$B$337,2,FALSE)</f>
        <v>L16</v>
      </c>
      <c r="M944" s="105" t="str">
        <f t="shared" si="38"/>
        <v>L16</v>
      </c>
      <c r="N944" s="105" t="str">
        <f>VLOOKUP(M944,CAC!$A$2:$B$198,2,FALSE)</f>
        <v>HMOLG</v>
      </c>
    </row>
    <row r="945" spans="5:14" x14ac:dyDescent="0.25">
      <c r="E945" s="83">
        <v>201703</v>
      </c>
      <c r="F945" s="82" t="s">
        <v>344</v>
      </c>
      <c r="G945" s="82" t="s">
        <v>356</v>
      </c>
      <c r="H945" s="82" t="s">
        <v>344</v>
      </c>
      <c r="I945" s="95">
        <v>4231</v>
      </c>
      <c r="K945" s="105" t="str">
        <f t="shared" si="37"/>
        <v>0012-1002-0012</v>
      </c>
      <c r="L945" s="105" t="str">
        <f>VLOOKUP(K945,COA!$A$3:$B$337,2,FALSE)</f>
        <v>F22</v>
      </c>
      <c r="M945" s="105" t="str">
        <f t="shared" si="38"/>
        <v>F22</v>
      </c>
      <c r="N945" s="105" t="str">
        <f>VLOOKUP(M945,CAC!$A$2:$B$198,2,FALSE)</f>
        <v>HMOPMR</v>
      </c>
    </row>
    <row r="946" spans="5:14" x14ac:dyDescent="0.25">
      <c r="E946" s="83">
        <v>201706</v>
      </c>
      <c r="F946" s="82" t="s">
        <v>345</v>
      </c>
      <c r="G946" s="82" t="s">
        <v>350</v>
      </c>
      <c r="H946" s="82" t="s">
        <v>360</v>
      </c>
      <c r="I946" s="95">
        <v>3934</v>
      </c>
      <c r="K946" s="105" t="str">
        <f t="shared" si="37"/>
        <v>0011-1012-0048</v>
      </c>
      <c r="L946" s="105" t="str">
        <f>VLOOKUP(K946,COA!$A$3:$B$337,2,FALSE)</f>
        <v>K21</v>
      </c>
      <c r="M946" s="105" t="str">
        <f t="shared" si="38"/>
        <v>K21</v>
      </c>
      <c r="N946" s="105" t="str">
        <f>VLOOKUP(M946,CAC!$A$2:$B$198,2,FALSE)</f>
        <v>HMFLEX</v>
      </c>
    </row>
    <row r="947" spans="5:14" x14ac:dyDescent="0.25">
      <c r="E947" s="83">
        <v>201611</v>
      </c>
      <c r="F947" s="82" t="s">
        <v>413</v>
      </c>
      <c r="G947" s="82" t="s">
        <v>355</v>
      </c>
      <c r="H947" s="82" t="s">
        <v>344</v>
      </c>
      <c r="I947" s="95">
        <v>0</v>
      </c>
      <c r="K947" s="105" t="str">
        <f t="shared" si="37"/>
        <v>0008-1006-0012</v>
      </c>
      <c r="L947" s="105" t="str">
        <f>VLOOKUP(K947,COA!$A$3:$B$337,2,FALSE)</f>
        <v>C96</v>
      </c>
      <c r="M947" s="105" t="str">
        <f t="shared" si="38"/>
        <v>C96</v>
      </c>
      <c r="N947" s="105" t="str">
        <f>VLOOKUP(M947,CAC!$A$2:$B$198,2,FALSE)</f>
        <v>DOILG</v>
      </c>
    </row>
    <row r="948" spans="5:14" x14ac:dyDescent="0.25">
      <c r="E948" s="83">
        <v>201506</v>
      </c>
      <c r="F948" s="82" t="s">
        <v>563</v>
      </c>
      <c r="G948" s="82" t="s">
        <v>356</v>
      </c>
      <c r="H948" s="82" t="s">
        <v>344</v>
      </c>
      <c r="I948" s="95">
        <v>0</v>
      </c>
      <c r="K948" s="105" t="str">
        <f t="shared" si="37"/>
        <v>0003-1002-0012</v>
      </c>
      <c r="L948" s="105" t="str">
        <f>VLOOKUP(K948,COA!$A$3:$B$337,2,FALSE)</f>
        <v>F61</v>
      </c>
      <c r="M948" s="105" t="str">
        <f t="shared" si="38"/>
        <v>F61</v>
      </c>
      <c r="N948" s="105" t="str">
        <f>VLOOKUP(M948,CAC!$A$2:$B$198,2,FALSE)</f>
        <v>PPOPMR</v>
      </c>
    </row>
    <row r="949" spans="5:14" x14ac:dyDescent="0.25">
      <c r="E949" s="83">
        <v>201511</v>
      </c>
      <c r="F949" s="82" t="s">
        <v>746</v>
      </c>
      <c r="G949" s="82" t="s">
        <v>354</v>
      </c>
      <c r="H949" s="82" t="s">
        <v>344</v>
      </c>
      <c r="I949" s="95">
        <v>80</v>
      </c>
      <c r="K949" s="105" t="str">
        <f t="shared" si="37"/>
        <v>0016-1013-0012</v>
      </c>
      <c r="L949" s="105" t="str">
        <f>VLOOKUP(K949,COA!$A$3:$B$337,2,FALSE)</f>
        <v>R19</v>
      </c>
      <c r="M949" s="105" t="str">
        <f t="shared" si="38"/>
        <v>R19</v>
      </c>
      <c r="N949" s="105" t="str">
        <f>VLOOKUP(M949,CAC!$A$2:$B$198,2,FALSE)</f>
        <v>HMOMG</v>
      </c>
    </row>
    <row r="950" spans="5:14" x14ac:dyDescent="0.25">
      <c r="E950" s="83">
        <v>201608</v>
      </c>
      <c r="F950" s="82" t="s">
        <v>746</v>
      </c>
      <c r="G950" s="82" t="s">
        <v>356</v>
      </c>
      <c r="H950" s="82" t="s">
        <v>764</v>
      </c>
      <c r="I950" s="95">
        <v>11</v>
      </c>
      <c r="K950" s="105" t="str">
        <f t="shared" si="37"/>
        <v>0016-1002-0064</v>
      </c>
      <c r="L950" s="105" t="str">
        <f>VLOOKUP(K950,COA!$A$3:$B$337,2,FALSE)</f>
        <v>R25</v>
      </c>
      <c r="M950" s="105" t="str">
        <f t="shared" si="38"/>
        <v>R25</v>
      </c>
      <c r="N950" s="105" t="str">
        <f>VLOOKUP(M950,CAC!$A$2:$B$198,2,FALSE)</f>
        <v>HMOMG</v>
      </c>
    </row>
    <row r="951" spans="5:14" x14ac:dyDescent="0.25">
      <c r="E951" s="83">
        <v>201702</v>
      </c>
      <c r="F951" s="82" t="s">
        <v>746</v>
      </c>
      <c r="G951" s="82" t="s">
        <v>356</v>
      </c>
      <c r="H951" s="82" t="s">
        <v>344</v>
      </c>
      <c r="I951" s="95">
        <v>136</v>
      </c>
      <c r="K951" s="105" t="str">
        <f t="shared" si="37"/>
        <v>0016-1002-0012</v>
      </c>
      <c r="L951" s="105" t="str">
        <f>VLOOKUP(K951,COA!$A$3:$B$337,2,FALSE)</f>
        <v>R18</v>
      </c>
      <c r="M951" s="105" t="str">
        <f t="shared" si="38"/>
        <v>R18</v>
      </c>
      <c r="N951" s="105" t="str">
        <f>VLOOKUP(M951,CAC!$A$2:$B$198,2,FALSE)</f>
        <v>HMOMG</v>
      </c>
    </row>
    <row r="952" spans="5:14" x14ac:dyDescent="0.25">
      <c r="E952" s="83">
        <v>201512</v>
      </c>
      <c r="F952" s="82" t="s">
        <v>563</v>
      </c>
      <c r="G952" s="82" t="s">
        <v>351</v>
      </c>
      <c r="H952" s="82" t="s">
        <v>349</v>
      </c>
      <c r="I952" s="95">
        <v>0</v>
      </c>
      <c r="K952" s="105" t="str">
        <f t="shared" si="37"/>
        <v>0003-0000-0017</v>
      </c>
      <c r="L952" s="105" t="e">
        <f>VLOOKUP(K952,COA!$A$3:$B$337,2,FALSE)</f>
        <v>#N/A</v>
      </c>
      <c r="M952" s="105" t="str">
        <f t="shared" si="38"/>
        <v>XXX</v>
      </c>
      <c r="N952" s="105" t="str">
        <f>VLOOKUP(M952,CAC!$A$2:$B$198,2,FALSE)</f>
        <v>XXX</v>
      </c>
    </row>
    <row r="953" spans="5:14" x14ac:dyDescent="0.25">
      <c r="E953" s="83">
        <v>201704</v>
      </c>
      <c r="F953" s="82" t="s">
        <v>746</v>
      </c>
      <c r="G953" s="82" t="s">
        <v>350</v>
      </c>
      <c r="H953" s="82" t="s">
        <v>344</v>
      </c>
      <c r="I953" s="95">
        <v>27</v>
      </c>
      <c r="K953" s="105" t="str">
        <f t="shared" si="37"/>
        <v>0016-1012-0012</v>
      </c>
      <c r="L953" s="105" t="str">
        <f>VLOOKUP(K953,COA!$A$3:$B$337,2,FALSE)</f>
        <v>R19</v>
      </c>
      <c r="M953" s="105" t="str">
        <f t="shared" si="38"/>
        <v>R19</v>
      </c>
      <c r="N953" s="105" t="str">
        <f>VLOOKUP(M953,CAC!$A$2:$B$198,2,FALSE)</f>
        <v>HMOMG</v>
      </c>
    </row>
    <row r="954" spans="5:14" x14ac:dyDescent="0.25">
      <c r="E954" s="83">
        <v>201701</v>
      </c>
      <c r="F954" s="82" t="s">
        <v>563</v>
      </c>
      <c r="G954" s="82" t="s">
        <v>365</v>
      </c>
      <c r="H954" s="82" t="s">
        <v>367</v>
      </c>
      <c r="I954" s="95">
        <v>0</v>
      </c>
      <c r="K954" s="105" t="str">
        <f t="shared" si="37"/>
        <v>0003-1001-0022</v>
      </c>
      <c r="L954" s="105" t="str">
        <f>VLOOKUP(K954,COA!$A$3:$B$337,2,FALSE)</f>
        <v>V54</v>
      </c>
      <c r="M954" s="105" t="str">
        <f t="shared" si="38"/>
        <v>V54</v>
      </c>
      <c r="N954" s="105" t="str">
        <f>VLOOKUP(M954,CAC!$A$2:$B$198,2,FALSE)</f>
        <v>PPOIFP</v>
      </c>
    </row>
    <row r="955" spans="5:14" x14ac:dyDescent="0.25">
      <c r="E955" s="83">
        <v>201602</v>
      </c>
      <c r="F955" s="82" t="s">
        <v>563</v>
      </c>
      <c r="G955" s="82" t="s">
        <v>369</v>
      </c>
      <c r="H955" s="82" t="s">
        <v>345</v>
      </c>
      <c r="I955" s="95">
        <v>0</v>
      </c>
      <c r="K955" s="105" t="str">
        <f t="shared" si="37"/>
        <v>0003-1009-0011</v>
      </c>
      <c r="L955" s="105" t="str">
        <f>VLOOKUP(K955,COA!$A$3:$B$337,2,FALSE)</f>
        <v>V91</v>
      </c>
      <c r="M955" s="105" t="str">
        <f t="shared" si="38"/>
        <v>V91</v>
      </c>
      <c r="N955" s="105" t="str">
        <f>VLOOKUP(M955,CAC!$A$2:$B$198,2,FALSE)</f>
        <v>PPOMM</v>
      </c>
    </row>
    <row r="956" spans="5:14" x14ac:dyDescent="0.25">
      <c r="E956" s="83">
        <v>201704</v>
      </c>
      <c r="F956" s="82" t="s">
        <v>746</v>
      </c>
      <c r="G956" s="82" t="s">
        <v>350</v>
      </c>
      <c r="H956" s="82" t="s">
        <v>764</v>
      </c>
      <c r="I956" s="95">
        <v>18</v>
      </c>
      <c r="K956" s="105" t="str">
        <f t="shared" si="37"/>
        <v>0016-1012-0064</v>
      </c>
      <c r="L956" s="105" t="str">
        <f>VLOOKUP(K956,COA!$A$3:$B$337,2,FALSE)</f>
        <v>R25</v>
      </c>
      <c r="M956" s="105" t="str">
        <f t="shared" si="38"/>
        <v>R25</v>
      </c>
      <c r="N956" s="105" t="str">
        <f>VLOOKUP(M956,CAC!$A$2:$B$198,2,FALSE)</f>
        <v>HMOMG</v>
      </c>
    </row>
    <row r="957" spans="5:14" x14ac:dyDescent="0.25">
      <c r="E957" s="83">
        <v>201505</v>
      </c>
      <c r="F957" s="82" t="s">
        <v>345</v>
      </c>
      <c r="G957" s="82" t="s">
        <v>352</v>
      </c>
      <c r="H957" s="82" t="s">
        <v>344</v>
      </c>
      <c r="I957" s="95">
        <v>6228.67</v>
      </c>
      <c r="K957" s="105" t="str">
        <f t="shared" si="37"/>
        <v>0011-1004-0012</v>
      </c>
      <c r="L957" s="105" t="str">
        <f>VLOOKUP(K957,COA!$A$3:$B$337,2,FALSE)</f>
        <v>L11</v>
      </c>
      <c r="M957" s="105" t="str">
        <f t="shared" si="38"/>
        <v>L11</v>
      </c>
      <c r="N957" s="105" t="str">
        <f>VLOOKUP(M957,CAC!$A$2:$B$198,2,FALSE)</f>
        <v>HMOLG</v>
      </c>
    </row>
    <row r="958" spans="5:14" x14ac:dyDescent="0.25">
      <c r="E958" s="83">
        <v>201608</v>
      </c>
      <c r="F958" s="82" t="s">
        <v>563</v>
      </c>
      <c r="G958" s="82" t="s">
        <v>352</v>
      </c>
      <c r="H958" s="82" t="s">
        <v>344</v>
      </c>
      <c r="I958" s="95">
        <v>0</v>
      </c>
      <c r="K958" s="105" t="str">
        <f t="shared" si="37"/>
        <v>0003-1004-0012</v>
      </c>
      <c r="L958" s="105" t="str">
        <f>VLOOKUP(K958,COA!$A$3:$B$337,2,FALSE)</f>
        <v>L51</v>
      </c>
      <c r="M958" s="105" t="str">
        <f t="shared" si="38"/>
        <v>L51</v>
      </c>
      <c r="N958" s="105" t="str">
        <f>VLOOKUP(M958,CAC!$A$2:$B$198,2,FALSE)</f>
        <v>PPOLG</v>
      </c>
    </row>
    <row r="959" spans="5:14" x14ac:dyDescent="0.25">
      <c r="E959" s="83">
        <v>201604</v>
      </c>
      <c r="F959" s="82" t="s">
        <v>563</v>
      </c>
      <c r="G959" s="82" t="s">
        <v>361</v>
      </c>
      <c r="H959" s="82" t="s">
        <v>344</v>
      </c>
      <c r="I959" s="95">
        <v>0</v>
      </c>
      <c r="K959" s="105" t="str">
        <f t="shared" si="37"/>
        <v>0003-1003-0012</v>
      </c>
      <c r="L959" s="105" t="str">
        <f>VLOOKUP(K959,COA!$A$3:$B$337,2,FALSE)</f>
        <v>N61</v>
      </c>
      <c r="M959" s="105" t="str">
        <f t="shared" si="38"/>
        <v>N61</v>
      </c>
      <c r="N959" s="105" t="str">
        <f>VLOOKUP(M959,CAC!$A$2:$B$198,2,FALSE)</f>
        <v>PPOPMR</v>
      </c>
    </row>
    <row r="960" spans="5:14" x14ac:dyDescent="0.25">
      <c r="E960" s="83">
        <v>201603</v>
      </c>
      <c r="F960" s="82" t="s">
        <v>413</v>
      </c>
      <c r="G960" s="82" t="s">
        <v>354</v>
      </c>
      <c r="H960" s="82" t="s">
        <v>344</v>
      </c>
      <c r="I960" s="95">
        <v>0</v>
      </c>
      <c r="K960" s="105" t="str">
        <f t="shared" si="37"/>
        <v>0008-1013-0012</v>
      </c>
      <c r="L960" s="105" t="str">
        <f>VLOOKUP(K960,COA!$A$3:$B$337,2,FALSE)</f>
        <v>C76</v>
      </c>
      <c r="M960" s="105" t="str">
        <f t="shared" si="38"/>
        <v>C76</v>
      </c>
      <c r="N960" s="105" t="str">
        <f>VLOOKUP(M960,CAC!$A$2:$B$198,2,FALSE)</f>
        <v>DOILG</v>
      </c>
    </row>
    <row r="961" spans="5:14" x14ac:dyDescent="0.25">
      <c r="E961" s="83">
        <v>201709</v>
      </c>
      <c r="F961" s="82" t="s">
        <v>413</v>
      </c>
      <c r="G961" s="82" t="s">
        <v>352</v>
      </c>
      <c r="H961" s="82" t="s">
        <v>344</v>
      </c>
      <c r="I961" s="95">
        <v>0</v>
      </c>
      <c r="K961" s="105" t="str">
        <f t="shared" si="37"/>
        <v>0008-1004-0012</v>
      </c>
      <c r="L961" s="105" t="str">
        <f>VLOOKUP(K961,COA!$A$3:$B$337,2,FALSE)</f>
        <v>C93</v>
      </c>
      <c r="M961" s="105" t="str">
        <f t="shared" si="38"/>
        <v>C93</v>
      </c>
      <c r="N961" s="105" t="str">
        <f>VLOOKUP(M961,CAC!$A$2:$B$198,2,FALSE)</f>
        <v>DOILG</v>
      </c>
    </row>
    <row r="962" spans="5:14" x14ac:dyDescent="0.25">
      <c r="E962" s="83">
        <v>201609</v>
      </c>
      <c r="F962" s="82" t="s">
        <v>344</v>
      </c>
      <c r="G962" s="82" t="s">
        <v>355</v>
      </c>
      <c r="H962" s="82" t="s">
        <v>344</v>
      </c>
      <c r="I962" s="95">
        <v>84</v>
      </c>
      <c r="K962" s="105" t="str">
        <f t="shared" si="37"/>
        <v>0012-1006-0012</v>
      </c>
      <c r="L962" s="105" t="str">
        <f>VLOOKUP(K962,COA!$A$3:$B$337,2,FALSE)</f>
        <v>L16</v>
      </c>
      <c r="M962" s="105" t="str">
        <f t="shared" si="38"/>
        <v>L16</v>
      </c>
      <c r="N962" s="105" t="str">
        <f>VLOOKUP(M962,CAC!$A$2:$B$198,2,FALSE)</f>
        <v>HMOLG</v>
      </c>
    </row>
    <row r="963" spans="5:14" x14ac:dyDescent="0.25">
      <c r="E963" s="83">
        <v>201608</v>
      </c>
      <c r="F963" s="82" t="s">
        <v>345</v>
      </c>
      <c r="G963" s="82" t="s">
        <v>350</v>
      </c>
      <c r="H963" s="82" t="s">
        <v>344</v>
      </c>
      <c r="I963" s="95">
        <v>14589.54</v>
      </c>
      <c r="K963" s="105" t="str">
        <f t="shared" si="37"/>
        <v>0011-1012-0012</v>
      </c>
      <c r="L963" s="105" t="str">
        <f>VLOOKUP(K963,COA!$A$3:$B$337,2,FALSE)</f>
        <v>K11</v>
      </c>
      <c r="M963" s="105" t="str">
        <f t="shared" si="38"/>
        <v>K11</v>
      </c>
      <c r="N963" s="105" t="str">
        <f>VLOOKUP(M963,CAC!$A$2:$B$198,2,FALSE)</f>
        <v>HMOPMR</v>
      </c>
    </row>
    <row r="964" spans="5:14" x14ac:dyDescent="0.25">
      <c r="E964" s="83">
        <v>201708</v>
      </c>
      <c r="F964" s="82" t="s">
        <v>563</v>
      </c>
      <c r="G964" s="82" t="s">
        <v>350</v>
      </c>
      <c r="H964" s="82" t="s">
        <v>344</v>
      </c>
      <c r="I964" s="95">
        <v>0</v>
      </c>
      <c r="K964" s="105" t="str">
        <f t="shared" ref="K964:K1027" si="39">F964&amp;"-"&amp;G964&amp;"-"&amp;H964</f>
        <v>0003-1012-0012</v>
      </c>
      <c r="L964" s="105" t="str">
        <f>VLOOKUP(K964,COA!$A$3:$B$337,2,FALSE)</f>
        <v>K51</v>
      </c>
      <c r="M964" s="105" t="str">
        <f t="shared" ref="M964:M1027" si="40">IF(ISNA(L964),"XXX",L964)</f>
        <v>K51</v>
      </c>
      <c r="N964" s="105" t="str">
        <f>VLOOKUP(M964,CAC!$A$2:$B$198,2,FALSE)</f>
        <v>PPOPMR</v>
      </c>
    </row>
    <row r="965" spans="5:14" x14ac:dyDescent="0.25">
      <c r="E965" s="83">
        <v>201701</v>
      </c>
      <c r="F965" s="82" t="s">
        <v>345</v>
      </c>
      <c r="G965" s="82" t="s">
        <v>355</v>
      </c>
      <c r="H965" s="82" t="s">
        <v>344</v>
      </c>
      <c r="I965" s="95">
        <v>15740.15</v>
      </c>
      <c r="K965" s="105" t="str">
        <f t="shared" si="39"/>
        <v>0011-1006-0012</v>
      </c>
      <c r="L965" s="105" t="str">
        <f>VLOOKUP(K965,COA!$A$3:$B$337,2,FALSE)</f>
        <v>L13</v>
      </c>
      <c r="M965" s="105" t="str">
        <f t="shared" si="40"/>
        <v>L13</v>
      </c>
      <c r="N965" s="105" t="str">
        <f>VLOOKUP(M965,CAC!$A$2:$B$198,2,FALSE)</f>
        <v>HMOLG</v>
      </c>
    </row>
    <row r="966" spans="5:14" x14ac:dyDescent="0.25">
      <c r="E966" s="83">
        <v>201609</v>
      </c>
      <c r="F966" s="82" t="s">
        <v>563</v>
      </c>
      <c r="G966" s="82" t="s">
        <v>354</v>
      </c>
      <c r="H966" s="82" t="s">
        <v>360</v>
      </c>
      <c r="I966" s="95">
        <v>0</v>
      </c>
      <c r="K966" s="105" t="str">
        <f t="shared" si="39"/>
        <v>0003-1013-0048</v>
      </c>
      <c r="L966" s="105" t="str">
        <f>VLOOKUP(K966,COA!$A$3:$B$337,2,FALSE)</f>
        <v>N56</v>
      </c>
      <c r="M966" s="105" t="str">
        <f t="shared" si="40"/>
        <v>N56</v>
      </c>
      <c r="N966" s="105" t="str">
        <f>VLOOKUP(M966,CAC!$A$2:$B$198,2,FALSE)</f>
        <v>HMFLEX</v>
      </c>
    </row>
    <row r="967" spans="5:14" x14ac:dyDescent="0.25">
      <c r="E967" s="83">
        <v>201708</v>
      </c>
      <c r="F967" s="82" t="s">
        <v>563</v>
      </c>
      <c r="G967" s="82" t="s">
        <v>356</v>
      </c>
      <c r="H967" s="82" t="s">
        <v>344</v>
      </c>
      <c r="I967" s="95">
        <v>0</v>
      </c>
      <c r="K967" s="105" t="str">
        <f t="shared" si="39"/>
        <v>0003-1002-0012</v>
      </c>
      <c r="L967" s="105" t="str">
        <f>VLOOKUP(K967,COA!$A$3:$B$337,2,FALSE)</f>
        <v>F61</v>
      </c>
      <c r="M967" s="105" t="str">
        <f t="shared" si="40"/>
        <v>F61</v>
      </c>
      <c r="N967" s="105" t="str">
        <f>VLOOKUP(M967,CAC!$A$2:$B$198,2,FALSE)</f>
        <v>PPOPMR</v>
      </c>
    </row>
    <row r="968" spans="5:14" x14ac:dyDescent="0.25">
      <c r="E968" s="83">
        <v>201706</v>
      </c>
      <c r="F968" s="82" t="s">
        <v>506</v>
      </c>
      <c r="G968" s="82" t="s">
        <v>361</v>
      </c>
      <c r="H968" s="82" t="s">
        <v>592</v>
      </c>
      <c r="I968" s="95">
        <v>0</v>
      </c>
      <c r="K968" s="105" t="str">
        <f t="shared" si="39"/>
        <v>0013-1003-0035</v>
      </c>
      <c r="L968" s="105" t="str">
        <f>VLOOKUP(K968,COA!$A$3:$B$337,2,FALSE)</f>
        <v>N32</v>
      </c>
      <c r="M968" s="105" t="str">
        <f t="shared" si="40"/>
        <v>N32</v>
      </c>
      <c r="N968" s="105" t="e">
        <f>VLOOKUP(M968,CAC!$A$2:$B$198,2,FALSE)</f>
        <v>#N/A</v>
      </c>
    </row>
    <row r="969" spans="5:14" x14ac:dyDescent="0.25">
      <c r="E969" s="83">
        <v>201608</v>
      </c>
      <c r="F969" s="82" t="s">
        <v>413</v>
      </c>
      <c r="G969" s="82" t="s">
        <v>356</v>
      </c>
      <c r="H969" s="82" t="s">
        <v>344</v>
      </c>
      <c r="I969" s="95">
        <v>0</v>
      </c>
      <c r="K969" s="105" t="str">
        <f t="shared" si="39"/>
        <v>0008-1002-0012</v>
      </c>
      <c r="L969" s="105" t="str">
        <f>VLOOKUP(K969,COA!$A$3:$B$337,2,FALSE)</f>
        <v>C74</v>
      </c>
      <c r="M969" s="105" t="str">
        <f t="shared" si="40"/>
        <v>C74</v>
      </c>
      <c r="N969" s="105" t="str">
        <f>VLOOKUP(M969,CAC!$A$2:$B$198,2,FALSE)</f>
        <v>DOILG</v>
      </c>
    </row>
    <row r="970" spans="5:14" x14ac:dyDescent="0.25">
      <c r="E970" s="83">
        <v>201607</v>
      </c>
      <c r="F970" s="82" t="s">
        <v>345</v>
      </c>
      <c r="G970" s="82" t="s">
        <v>351</v>
      </c>
      <c r="H970" s="82" t="s">
        <v>349</v>
      </c>
      <c r="I970" s="95">
        <v>0</v>
      </c>
      <c r="K970" s="105" t="str">
        <f t="shared" si="39"/>
        <v>0011-0000-0017</v>
      </c>
      <c r="L970" s="105" t="e">
        <f>VLOOKUP(K970,COA!$A$3:$B$337,2,FALSE)</f>
        <v>#N/A</v>
      </c>
      <c r="M970" s="105" t="str">
        <f t="shared" si="40"/>
        <v>XXX</v>
      </c>
      <c r="N970" s="105" t="str">
        <f>VLOOKUP(M970,CAC!$A$2:$B$198,2,FALSE)</f>
        <v>XXX</v>
      </c>
    </row>
    <row r="971" spans="5:14" x14ac:dyDescent="0.25">
      <c r="E971" s="83">
        <v>201705</v>
      </c>
      <c r="F971" s="82" t="s">
        <v>345</v>
      </c>
      <c r="G971" s="82" t="s">
        <v>362</v>
      </c>
      <c r="H971" s="82" t="s">
        <v>364</v>
      </c>
      <c r="I971" s="95">
        <v>47533.36</v>
      </c>
      <c r="K971" s="105" t="str">
        <f t="shared" si="39"/>
        <v>0011-1008-0037</v>
      </c>
      <c r="L971" s="105" t="str">
        <f>VLOOKUP(K971,COA!$A$3:$B$337,2,FALSE)</f>
        <v>P12</v>
      </c>
      <c r="M971" s="105" t="str">
        <f t="shared" si="40"/>
        <v>P12</v>
      </c>
      <c r="N971" s="105" t="str">
        <f>VLOOKUP(M971,CAC!$A$2:$B$198,2,FALSE)</f>
        <v>HMOPERA</v>
      </c>
    </row>
    <row r="972" spans="5:14" x14ac:dyDescent="0.25">
      <c r="E972" s="83">
        <v>201606</v>
      </c>
      <c r="F972" s="82" t="s">
        <v>345</v>
      </c>
      <c r="G972" s="82" t="s">
        <v>350</v>
      </c>
      <c r="H972" s="82" t="s">
        <v>344</v>
      </c>
      <c r="I972" s="95">
        <v>14071.5</v>
      </c>
      <c r="K972" s="105" t="str">
        <f t="shared" si="39"/>
        <v>0011-1012-0012</v>
      </c>
      <c r="L972" s="105" t="str">
        <f>VLOOKUP(K972,COA!$A$3:$B$337,2,FALSE)</f>
        <v>K11</v>
      </c>
      <c r="M972" s="105" t="str">
        <f t="shared" si="40"/>
        <v>K11</v>
      </c>
      <c r="N972" s="105" t="str">
        <f>VLOOKUP(M972,CAC!$A$2:$B$198,2,FALSE)</f>
        <v>HMOPMR</v>
      </c>
    </row>
    <row r="973" spans="5:14" x14ac:dyDescent="0.25">
      <c r="E973" s="83">
        <v>201510</v>
      </c>
      <c r="F973" s="82" t="s">
        <v>413</v>
      </c>
      <c r="G973" s="82" t="s">
        <v>359</v>
      </c>
      <c r="H973" s="82" t="s">
        <v>344</v>
      </c>
      <c r="I973" s="95">
        <v>0</v>
      </c>
      <c r="K973" s="105" t="str">
        <f t="shared" si="39"/>
        <v>0008-1005-0012</v>
      </c>
      <c r="L973" s="105" t="str">
        <f>VLOOKUP(K973,COA!$A$3:$B$337,2,FALSE)</f>
        <v>C73</v>
      </c>
      <c r="M973" s="105" t="str">
        <f t="shared" si="40"/>
        <v>C73</v>
      </c>
      <c r="N973" s="105" t="str">
        <f>VLOOKUP(M973,CAC!$A$2:$B$198,2,FALSE)</f>
        <v>DOILG</v>
      </c>
    </row>
    <row r="974" spans="5:14" x14ac:dyDescent="0.25">
      <c r="E974" s="83">
        <v>201505</v>
      </c>
      <c r="F974" s="82" t="s">
        <v>563</v>
      </c>
      <c r="G974" s="82" t="s">
        <v>348</v>
      </c>
      <c r="H974" s="82" t="s">
        <v>353</v>
      </c>
      <c r="I974" s="95">
        <v>0</v>
      </c>
      <c r="K974" s="105" t="str">
        <f t="shared" si="39"/>
        <v>0003-1010-0023</v>
      </c>
      <c r="L974" s="105" t="str">
        <f>VLOOKUP(K974,COA!$A$3:$B$337,2,FALSE)</f>
        <v>S54</v>
      </c>
      <c r="M974" s="105" t="str">
        <f t="shared" si="40"/>
        <v>S54</v>
      </c>
      <c r="N974" s="105" t="str">
        <f>VLOOKUP(M974,CAC!$A$2:$B$198,2,FALSE)</f>
        <v>PPOSG</v>
      </c>
    </row>
    <row r="975" spans="5:14" x14ac:dyDescent="0.25">
      <c r="E975" s="83">
        <v>201601</v>
      </c>
      <c r="F975" s="82" t="s">
        <v>413</v>
      </c>
      <c r="G975" s="82" t="s">
        <v>365</v>
      </c>
      <c r="H975" s="82" t="s">
        <v>344</v>
      </c>
      <c r="I975" s="95">
        <v>0</v>
      </c>
      <c r="K975" s="105" t="str">
        <f t="shared" si="39"/>
        <v>0008-1001-0012</v>
      </c>
      <c r="L975" s="105" t="str">
        <f>VLOOKUP(K975,COA!$A$3:$B$337,2,FALSE)</f>
        <v>C95</v>
      </c>
      <c r="M975" s="105" t="str">
        <f t="shared" si="40"/>
        <v>C95</v>
      </c>
      <c r="N975" s="105" t="str">
        <f>VLOOKUP(M975,CAC!$A$2:$B$198,2,FALSE)</f>
        <v>DOIIFP</v>
      </c>
    </row>
    <row r="976" spans="5:14" x14ac:dyDescent="0.25">
      <c r="E976" s="83">
        <v>201707</v>
      </c>
      <c r="F976" s="82" t="s">
        <v>345</v>
      </c>
      <c r="G976" s="82" t="s">
        <v>352</v>
      </c>
      <c r="H976" s="82" t="s">
        <v>653</v>
      </c>
      <c r="I976" s="95">
        <v>0</v>
      </c>
      <c r="K976" s="105" t="str">
        <f t="shared" si="39"/>
        <v>0011-1004-0047</v>
      </c>
      <c r="L976" s="105" t="str">
        <f>VLOOKUP(K976,COA!$A$3:$B$337,2,FALSE)</f>
        <v>L17</v>
      </c>
      <c r="M976" s="105" t="str">
        <f t="shared" si="40"/>
        <v>L17</v>
      </c>
      <c r="N976" s="105" t="str">
        <f>VLOOKUP(M976,CAC!$A$2:$B$198,2,FALSE)</f>
        <v>HMOLG</v>
      </c>
    </row>
    <row r="977" spans="5:14" x14ac:dyDescent="0.25">
      <c r="E977" s="83">
        <v>201507</v>
      </c>
      <c r="F977" s="82" t="s">
        <v>345</v>
      </c>
      <c r="G977" s="82" t="s">
        <v>350</v>
      </c>
      <c r="H977" s="82" t="s">
        <v>344</v>
      </c>
      <c r="I977" s="95">
        <v>9102</v>
      </c>
      <c r="K977" s="105" t="str">
        <f t="shared" si="39"/>
        <v>0011-1012-0012</v>
      </c>
      <c r="L977" s="105" t="str">
        <f>VLOOKUP(K977,COA!$A$3:$B$337,2,FALSE)</f>
        <v>K11</v>
      </c>
      <c r="M977" s="105" t="str">
        <f t="shared" si="40"/>
        <v>K11</v>
      </c>
      <c r="N977" s="105" t="str">
        <f>VLOOKUP(M977,CAC!$A$2:$B$198,2,FALSE)</f>
        <v>HMOPMR</v>
      </c>
    </row>
    <row r="978" spans="5:14" x14ac:dyDescent="0.25">
      <c r="E978" s="83">
        <v>201703</v>
      </c>
      <c r="F978" s="82" t="s">
        <v>345</v>
      </c>
      <c r="G978" s="82" t="s">
        <v>352</v>
      </c>
      <c r="H978" s="82" t="s">
        <v>357</v>
      </c>
      <c r="I978" s="95">
        <v>2267</v>
      </c>
      <c r="K978" s="105" t="str">
        <f t="shared" si="39"/>
        <v>0011-1004-0038</v>
      </c>
      <c r="L978" s="105" t="str">
        <f>VLOOKUP(K978,COA!$A$3:$B$337,2,FALSE)</f>
        <v>L14</v>
      </c>
      <c r="M978" s="105" t="str">
        <f t="shared" si="40"/>
        <v>L14</v>
      </c>
      <c r="N978" s="105" t="str">
        <f>VLOOKUP(M978,CAC!$A$2:$B$198,2,FALSE)</f>
        <v>HMOLG</v>
      </c>
    </row>
    <row r="979" spans="5:14" x14ac:dyDescent="0.25">
      <c r="E979" s="83">
        <v>201608</v>
      </c>
      <c r="F979" s="82" t="s">
        <v>344</v>
      </c>
      <c r="G979" s="82" t="s">
        <v>352</v>
      </c>
      <c r="H979" s="82" t="s">
        <v>360</v>
      </c>
      <c r="I979" s="95">
        <v>206</v>
      </c>
      <c r="K979" s="105" t="str">
        <f t="shared" si="39"/>
        <v>0012-1004-0048</v>
      </c>
      <c r="L979" s="105" t="str">
        <f>VLOOKUP(K979,COA!$A$3:$B$337,2,FALSE)</f>
        <v>L22</v>
      </c>
      <c r="M979" s="105" t="str">
        <f t="shared" si="40"/>
        <v>L22</v>
      </c>
      <c r="N979" s="105" t="str">
        <f>VLOOKUP(M979,CAC!$A$2:$B$198,2,FALSE)</f>
        <v>HMFLEX</v>
      </c>
    </row>
    <row r="980" spans="5:14" x14ac:dyDescent="0.25">
      <c r="E980" s="83">
        <v>201705</v>
      </c>
      <c r="F980" s="82" t="s">
        <v>413</v>
      </c>
      <c r="G980" s="82" t="s">
        <v>352</v>
      </c>
      <c r="H980" s="82" t="s">
        <v>344</v>
      </c>
      <c r="I980" s="95">
        <v>0</v>
      </c>
      <c r="K980" s="105" t="str">
        <f t="shared" si="39"/>
        <v>0008-1004-0012</v>
      </c>
      <c r="L980" s="105" t="str">
        <f>VLOOKUP(K980,COA!$A$3:$B$337,2,FALSE)</f>
        <v>C93</v>
      </c>
      <c r="M980" s="105" t="str">
        <f t="shared" si="40"/>
        <v>C93</v>
      </c>
      <c r="N980" s="105" t="str">
        <f>VLOOKUP(M980,CAC!$A$2:$B$198,2,FALSE)</f>
        <v>DOILG</v>
      </c>
    </row>
    <row r="981" spans="5:14" x14ac:dyDescent="0.25">
      <c r="E981" s="83">
        <v>201502</v>
      </c>
      <c r="F981" s="82" t="s">
        <v>342</v>
      </c>
      <c r="G981" s="82" t="s">
        <v>343</v>
      </c>
      <c r="H981" s="82" t="s">
        <v>344</v>
      </c>
      <c r="I981" s="95">
        <v>6625.3</v>
      </c>
      <c r="K981" s="105" t="str">
        <f t="shared" si="39"/>
        <v>0031-1000-0012</v>
      </c>
      <c r="L981" s="105" t="str">
        <f>VLOOKUP(K981,COA!$A$3:$B$337,2,FALSE)</f>
        <v>F27</v>
      </c>
      <c r="M981" s="105" t="str">
        <f t="shared" si="40"/>
        <v>F27</v>
      </c>
      <c r="N981" s="105" t="str">
        <f>VLOOKUP(M981,CAC!$A$2:$B$198,2,FALSE)</f>
        <v>HMOFEP</v>
      </c>
    </row>
    <row r="982" spans="5:14" x14ac:dyDescent="0.25">
      <c r="E982" s="83">
        <v>201611</v>
      </c>
      <c r="F982" s="82" t="s">
        <v>345</v>
      </c>
      <c r="G982" s="82" t="s">
        <v>350</v>
      </c>
      <c r="H982" s="82" t="s">
        <v>360</v>
      </c>
      <c r="I982" s="95">
        <v>3930.03</v>
      </c>
      <c r="K982" s="105" t="str">
        <f t="shared" si="39"/>
        <v>0011-1012-0048</v>
      </c>
      <c r="L982" s="105" t="str">
        <f>VLOOKUP(K982,COA!$A$3:$B$337,2,FALSE)</f>
        <v>K21</v>
      </c>
      <c r="M982" s="105" t="str">
        <f t="shared" si="40"/>
        <v>K21</v>
      </c>
      <c r="N982" s="105" t="str">
        <f>VLOOKUP(M982,CAC!$A$2:$B$198,2,FALSE)</f>
        <v>HMFLEX</v>
      </c>
    </row>
    <row r="983" spans="5:14" x14ac:dyDescent="0.25">
      <c r="E983" s="83">
        <v>201704</v>
      </c>
      <c r="F983" s="82" t="s">
        <v>552</v>
      </c>
      <c r="G983" s="82" t="s">
        <v>356</v>
      </c>
      <c r="H983" s="82" t="s">
        <v>672</v>
      </c>
      <c r="I983" s="95">
        <v>0</v>
      </c>
      <c r="K983" s="105" t="str">
        <f t="shared" si="39"/>
        <v>0027-1002-0058</v>
      </c>
      <c r="L983" s="105" t="str">
        <f>VLOOKUP(K983,COA!$A$3:$B$337,2,FALSE)</f>
        <v>L45</v>
      </c>
      <c r="M983" s="105" t="str">
        <f t="shared" si="40"/>
        <v>L45</v>
      </c>
      <c r="N983" s="105" t="e">
        <f>VLOOKUP(M983,CAC!$A$2:$B$198,2,FALSE)</f>
        <v>#N/A</v>
      </c>
    </row>
    <row r="984" spans="5:14" x14ac:dyDescent="0.25">
      <c r="E984" s="83">
        <v>201701</v>
      </c>
      <c r="F984" s="82" t="s">
        <v>405</v>
      </c>
      <c r="G984" s="82" t="s">
        <v>362</v>
      </c>
      <c r="H984" s="82" t="s">
        <v>342</v>
      </c>
      <c r="I984" s="95">
        <v>0</v>
      </c>
      <c r="K984" s="105" t="str">
        <f t="shared" si="39"/>
        <v>0019-1008-0031</v>
      </c>
      <c r="L984" s="105" t="str">
        <f>VLOOKUP(K984,COA!$A$3:$B$337,2,FALSE)</f>
        <v>P53</v>
      </c>
      <c r="M984" s="105" t="str">
        <f t="shared" si="40"/>
        <v>P53</v>
      </c>
      <c r="N984" s="105" t="str">
        <f>VLOOKUP(M984,CAC!$A$2:$B$198,2,FALSE)</f>
        <v>HMOPERA</v>
      </c>
    </row>
    <row r="985" spans="5:14" x14ac:dyDescent="0.25">
      <c r="E985" s="83">
        <v>201706</v>
      </c>
      <c r="F985" s="82" t="s">
        <v>344</v>
      </c>
      <c r="G985" s="82" t="s">
        <v>352</v>
      </c>
      <c r="H985" s="82" t="s">
        <v>344</v>
      </c>
      <c r="I985" s="95">
        <v>890</v>
      </c>
      <c r="K985" s="105" t="str">
        <f t="shared" si="39"/>
        <v>0012-1004-0012</v>
      </c>
      <c r="L985" s="105" t="str">
        <f>VLOOKUP(K985,COA!$A$3:$B$337,2,FALSE)</f>
        <v>L12</v>
      </c>
      <c r="M985" s="105" t="str">
        <f t="shared" si="40"/>
        <v>L12</v>
      </c>
      <c r="N985" s="105" t="str">
        <f>VLOOKUP(M985,CAC!$A$2:$B$198,2,FALSE)</f>
        <v>HMOLG</v>
      </c>
    </row>
    <row r="986" spans="5:14" x14ac:dyDescent="0.25">
      <c r="E986" s="83">
        <v>201706</v>
      </c>
      <c r="F986" s="82" t="s">
        <v>344</v>
      </c>
      <c r="G986" s="82" t="s">
        <v>352</v>
      </c>
      <c r="H986" s="82" t="s">
        <v>360</v>
      </c>
      <c r="I986" s="95">
        <v>218</v>
      </c>
      <c r="K986" s="105" t="str">
        <f t="shared" si="39"/>
        <v>0012-1004-0048</v>
      </c>
      <c r="L986" s="105" t="str">
        <f>VLOOKUP(K986,COA!$A$3:$B$337,2,FALSE)</f>
        <v>L22</v>
      </c>
      <c r="M986" s="105" t="str">
        <f t="shared" si="40"/>
        <v>L22</v>
      </c>
      <c r="N986" s="105" t="str">
        <f>VLOOKUP(M986,CAC!$A$2:$B$198,2,FALSE)</f>
        <v>HMFLEX</v>
      </c>
    </row>
    <row r="987" spans="5:14" x14ac:dyDescent="0.25">
      <c r="E987" s="83">
        <v>201503</v>
      </c>
      <c r="F987" s="82" t="s">
        <v>746</v>
      </c>
      <c r="G987" s="82" t="s">
        <v>352</v>
      </c>
      <c r="H987" s="82" t="s">
        <v>344</v>
      </c>
      <c r="I987" s="95">
        <v>0</v>
      </c>
      <c r="K987" s="105" t="str">
        <f t="shared" si="39"/>
        <v>0016-1004-0012</v>
      </c>
      <c r="L987" s="105" t="str">
        <f>VLOOKUP(K987,COA!$A$3:$B$337,2,FALSE)</f>
        <v>R20</v>
      </c>
      <c r="M987" s="105" t="str">
        <f t="shared" si="40"/>
        <v>R20</v>
      </c>
      <c r="N987" s="105" t="str">
        <f>VLOOKUP(M987,CAC!$A$2:$B$198,2,FALSE)</f>
        <v>HMOMG</v>
      </c>
    </row>
    <row r="988" spans="5:14" x14ac:dyDescent="0.25">
      <c r="E988" s="83">
        <v>201611</v>
      </c>
      <c r="F988" s="82" t="s">
        <v>563</v>
      </c>
      <c r="G988" s="82" t="s">
        <v>354</v>
      </c>
      <c r="H988" s="82" t="s">
        <v>653</v>
      </c>
      <c r="I988" s="95">
        <v>0</v>
      </c>
      <c r="K988" s="105" t="str">
        <f t="shared" si="39"/>
        <v>0003-1013-0047</v>
      </c>
      <c r="L988" s="105" t="str">
        <f>VLOOKUP(K988,COA!$A$3:$B$337,2,FALSE)</f>
        <v>N57</v>
      </c>
      <c r="M988" s="105" t="str">
        <f t="shared" si="40"/>
        <v>N57</v>
      </c>
      <c r="N988" s="105" t="str">
        <f>VLOOKUP(M988,CAC!$A$2:$B$198,2,FALSE)</f>
        <v>PPOPMR</v>
      </c>
    </row>
    <row r="989" spans="5:14" x14ac:dyDescent="0.25">
      <c r="E989" s="83">
        <v>201602</v>
      </c>
      <c r="F989" s="82" t="s">
        <v>746</v>
      </c>
      <c r="G989" s="82" t="s">
        <v>350</v>
      </c>
      <c r="H989" s="82" t="s">
        <v>344</v>
      </c>
      <c r="I989" s="95">
        <v>58</v>
      </c>
      <c r="K989" s="105" t="str">
        <f t="shared" si="39"/>
        <v>0016-1012-0012</v>
      </c>
      <c r="L989" s="105" t="str">
        <f>VLOOKUP(K989,COA!$A$3:$B$337,2,FALSE)</f>
        <v>R19</v>
      </c>
      <c r="M989" s="105" t="str">
        <f t="shared" si="40"/>
        <v>R19</v>
      </c>
      <c r="N989" s="105" t="str">
        <f>VLOOKUP(M989,CAC!$A$2:$B$198,2,FALSE)</f>
        <v>HMOMG</v>
      </c>
    </row>
    <row r="990" spans="5:14" x14ac:dyDescent="0.25">
      <c r="E990" s="83">
        <v>201712</v>
      </c>
      <c r="F990" s="82" t="s">
        <v>746</v>
      </c>
      <c r="G990" s="82" t="s">
        <v>354</v>
      </c>
      <c r="H990" s="82" t="s">
        <v>344</v>
      </c>
      <c r="I990" s="95">
        <v>107</v>
      </c>
      <c r="K990" s="105" t="str">
        <f t="shared" si="39"/>
        <v>0016-1013-0012</v>
      </c>
      <c r="L990" s="105" t="str">
        <f>VLOOKUP(K990,COA!$A$3:$B$337,2,FALSE)</f>
        <v>R19</v>
      </c>
      <c r="M990" s="105" t="str">
        <f t="shared" si="40"/>
        <v>R19</v>
      </c>
      <c r="N990" s="105" t="str">
        <f>VLOOKUP(M990,CAC!$A$2:$B$198,2,FALSE)</f>
        <v>HMOMG</v>
      </c>
    </row>
    <row r="991" spans="5:14" x14ac:dyDescent="0.25">
      <c r="E991" s="83">
        <v>201605</v>
      </c>
      <c r="F991" s="82" t="s">
        <v>746</v>
      </c>
      <c r="G991" s="82" t="s">
        <v>356</v>
      </c>
      <c r="H991" s="82" t="s">
        <v>344</v>
      </c>
      <c r="I991" s="95">
        <v>129</v>
      </c>
      <c r="K991" s="105" t="str">
        <f t="shared" si="39"/>
        <v>0016-1002-0012</v>
      </c>
      <c r="L991" s="105" t="str">
        <f>VLOOKUP(K991,COA!$A$3:$B$337,2,FALSE)</f>
        <v>R18</v>
      </c>
      <c r="M991" s="105" t="str">
        <f t="shared" si="40"/>
        <v>R18</v>
      </c>
      <c r="N991" s="105" t="str">
        <f>VLOOKUP(M991,CAC!$A$2:$B$198,2,FALSE)</f>
        <v>HMOMG</v>
      </c>
    </row>
    <row r="992" spans="5:14" x14ac:dyDescent="0.25">
      <c r="E992" s="83">
        <v>201708</v>
      </c>
      <c r="F992" s="82" t="s">
        <v>746</v>
      </c>
      <c r="G992" s="82" t="s">
        <v>350</v>
      </c>
      <c r="H992" s="82" t="s">
        <v>764</v>
      </c>
      <c r="I992" s="95">
        <v>21</v>
      </c>
      <c r="K992" s="105" t="str">
        <f t="shared" si="39"/>
        <v>0016-1012-0064</v>
      </c>
      <c r="L992" s="105" t="str">
        <f>VLOOKUP(K992,COA!$A$3:$B$337,2,FALSE)</f>
        <v>R25</v>
      </c>
      <c r="M992" s="105" t="str">
        <f t="shared" si="40"/>
        <v>R25</v>
      </c>
      <c r="N992" s="105" t="str">
        <f>VLOOKUP(M992,CAC!$A$2:$B$198,2,FALSE)</f>
        <v>HMOMG</v>
      </c>
    </row>
    <row r="993" spans="5:14" x14ac:dyDescent="0.25">
      <c r="E993" s="83">
        <v>201712</v>
      </c>
      <c r="F993" s="82" t="s">
        <v>349</v>
      </c>
      <c r="G993" s="82" t="s">
        <v>369</v>
      </c>
      <c r="H993" s="82" t="s">
        <v>764</v>
      </c>
      <c r="I993" s="95">
        <v>5226</v>
      </c>
      <c r="K993" s="105" t="str">
        <f t="shared" si="39"/>
        <v>0017-1009-0064</v>
      </c>
      <c r="L993" s="105" t="str">
        <f>VLOOKUP(K993,COA!$A$3:$B$337,2,FALSE)</f>
        <v>R15</v>
      </c>
      <c r="M993" s="105" t="str">
        <f t="shared" si="40"/>
        <v>R15</v>
      </c>
      <c r="N993" s="105" t="str">
        <f>VLOOKUP(M993,CAC!$A$2:$B$198,2,FALSE)</f>
        <v>HMOMM</v>
      </c>
    </row>
    <row r="994" spans="5:14" x14ac:dyDescent="0.25">
      <c r="E994" s="83">
        <v>201703</v>
      </c>
      <c r="F994" s="82" t="s">
        <v>563</v>
      </c>
      <c r="G994" s="82" t="s">
        <v>348</v>
      </c>
      <c r="H994" s="82" t="s">
        <v>358</v>
      </c>
      <c r="I994" s="95">
        <v>0</v>
      </c>
      <c r="K994" s="105" t="str">
        <f t="shared" si="39"/>
        <v>0003-1010-0024</v>
      </c>
      <c r="L994" s="105" t="str">
        <f>VLOOKUP(K994,COA!$A$3:$B$337,2,FALSE)</f>
        <v>S56</v>
      </c>
      <c r="M994" s="105" t="str">
        <f t="shared" si="40"/>
        <v>S56</v>
      </c>
      <c r="N994" s="105" t="str">
        <f>VLOOKUP(M994,CAC!$A$2:$B$198,2,FALSE)</f>
        <v>PPOSG</v>
      </c>
    </row>
    <row r="995" spans="5:14" x14ac:dyDescent="0.25">
      <c r="E995" s="83">
        <v>201607</v>
      </c>
      <c r="F995" s="82" t="s">
        <v>345</v>
      </c>
      <c r="G995" s="82" t="s">
        <v>356</v>
      </c>
      <c r="H995" s="82" t="s">
        <v>344</v>
      </c>
      <c r="I995" s="95">
        <v>15645.97</v>
      </c>
      <c r="K995" s="105" t="str">
        <f t="shared" si="39"/>
        <v>0011-1002-0012</v>
      </c>
      <c r="L995" s="105" t="str">
        <f>VLOOKUP(K995,COA!$A$3:$B$337,2,FALSE)</f>
        <v>F20</v>
      </c>
      <c r="M995" s="105" t="str">
        <f t="shared" si="40"/>
        <v>F20</v>
      </c>
      <c r="N995" s="105" t="str">
        <f>VLOOKUP(M995,CAC!$A$2:$B$198,2,FALSE)</f>
        <v>HMOPMR</v>
      </c>
    </row>
    <row r="996" spans="5:14" x14ac:dyDescent="0.25">
      <c r="E996" s="83">
        <v>201506</v>
      </c>
      <c r="F996" s="82" t="s">
        <v>345</v>
      </c>
      <c r="G996" s="82" t="s">
        <v>346</v>
      </c>
      <c r="H996" s="82" t="s">
        <v>360</v>
      </c>
      <c r="I996" s="95">
        <v>410</v>
      </c>
      <c r="K996" s="105" t="str">
        <f t="shared" si="39"/>
        <v>0011-1014-0048</v>
      </c>
      <c r="L996" s="105" t="str">
        <f>VLOOKUP(K996,COA!$A$3:$B$337,2,FALSE)</f>
        <v>K23</v>
      </c>
      <c r="M996" s="105" t="str">
        <f t="shared" si="40"/>
        <v>K23</v>
      </c>
      <c r="N996" s="105" t="str">
        <f>VLOOKUP(M996,CAC!$A$2:$B$198,2,FALSE)</f>
        <v>HMFLEX</v>
      </c>
    </row>
    <row r="997" spans="5:14" x14ac:dyDescent="0.25">
      <c r="E997" s="83">
        <v>201512</v>
      </c>
      <c r="F997" s="82" t="s">
        <v>746</v>
      </c>
      <c r="G997" s="82" t="s">
        <v>361</v>
      </c>
      <c r="H997" s="82" t="s">
        <v>344</v>
      </c>
      <c r="I997" s="95">
        <v>455</v>
      </c>
      <c r="K997" s="105" t="str">
        <f t="shared" si="39"/>
        <v>0016-1003-0012</v>
      </c>
      <c r="L997" s="105" t="str">
        <f>VLOOKUP(K997,COA!$A$3:$B$337,2,FALSE)</f>
        <v>R18</v>
      </c>
      <c r="M997" s="105" t="str">
        <f t="shared" si="40"/>
        <v>R18</v>
      </c>
      <c r="N997" s="105" t="str">
        <f>VLOOKUP(M997,CAC!$A$2:$B$198,2,FALSE)</f>
        <v>HMOMG</v>
      </c>
    </row>
    <row r="998" spans="5:14" x14ac:dyDescent="0.25">
      <c r="E998" s="83">
        <v>201601</v>
      </c>
      <c r="F998" s="82" t="s">
        <v>344</v>
      </c>
      <c r="G998" s="82" t="s">
        <v>352</v>
      </c>
      <c r="H998" s="82" t="s">
        <v>360</v>
      </c>
      <c r="I998" s="95">
        <v>223</v>
      </c>
      <c r="K998" s="105" t="str">
        <f t="shared" si="39"/>
        <v>0012-1004-0048</v>
      </c>
      <c r="L998" s="105" t="str">
        <f>VLOOKUP(K998,COA!$A$3:$B$337,2,FALSE)</f>
        <v>L22</v>
      </c>
      <c r="M998" s="105" t="str">
        <f t="shared" si="40"/>
        <v>L22</v>
      </c>
      <c r="N998" s="105" t="str">
        <f>VLOOKUP(M998,CAC!$A$2:$B$198,2,FALSE)</f>
        <v>HMFLEX</v>
      </c>
    </row>
    <row r="999" spans="5:14" x14ac:dyDescent="0.25">
      <c r="E999" s="83">
        <v>201510</v>
      </c>
      <c r="F999" s="82" t="s">
        <v>746</v>
      </c>
      <c r="G999" s="82" t="s">
        <v>354</v>
      </c>
      <c r="H999" s="82" t="s">
        <v>344</v>
      </c>
      <c r="I999" s="95">
        <v>79</v>
      </c>
      <c r="K999" s="105" t="str">
        <f t="shared" si="39"/>
        <v>0016-1013-0012</v>
      </c>
      <c r="L999" s="105" t="str">
        <f>VLOOKUP(K999,COA!$A$3:$B$337,2,FALSE)</f>
        <v>R19</v>
      </c>
      <c r="M999" s="105" t="str">
        <f t="shared" si="40"/>
        <v>R19</v>
      </c>
      <c r="N999" s="105" t="str">
        <f>VLOOKUP(M999,CAC!$A$2:$B$198,2,FALSE)</f>
        <v>HMOMG</v>
      </c>
    </row>
    <row r="1000" spans="5:14" x14ac:dyDescent="0.25">
      <c r="E1000" s="83">
        <v>201508</v>
      </c>
      <c r="F1000" s="82" t="s">
        <v>746</v>
      </c>
      <c r="G1000" s="82" t="s">
        <v>352</v>
      </c>
      <c r="H1000" s="82" t="s">
        <v>344</v>
      </c>
      <c r="I1000" s="95">
        <v>0</v>
      </c>
      <c r="K1000" s="105" t="str">
        <f t="shared" si="39"/>
        <v>0016-1004-0012</v>
      </c>
      <c r="L1000" s="105" t="str">
        <f>VLOOKUP(K1000,COA!$A$3:$B$337,2,FALSE)</f>
        <v>R20</v>
      </c>
      <c r="M1000" s="105" t="str">
        <f t="shared" si="40"/>
        <v>R20</v>
      </c>
      <c r="N1000" s="105" t="str">
        <f>VLOOKUP(M1000,CAC!$A$2:$B$198,2,FALSE)</f>
        <v>HMOMG</v>
      </c>
    </row>
    <row r="1001" spans="5:14" x14ac:dyDescent="0.25">
      <c r="E1001" s="83">
        <v>201610</v>
      </c>
      <c r="F1001" s="82" t="s">
        <v>563</v>
      </c>
      <c r="G1001" s="82" t="s">
        <v>355</v>
      </c>
      <c r="H1001" s="82" t="s">
        <v>344</v>
      </c>
      <c r="I1001" s="95">
        <v>0</v>
      </c>
      <c r="K1001" s="105" t="str">
        <f t="shared" si="39"/>
        <v>0003-1006-0012</v>
      </c>
      <c r="L1001" s="105" t="str">
        <f>VLOOKUP(K1001,COA!$A$3:$B$337,2,FALSE)</f>
        <v>L52</v>
      </c>
      <c r="M1001" s="105" t="str">
        <f t="shared" si="40"/>
        <v>L52</v>
      </c>
      <c r="N1001" s="105" t="str">
        <f>VLOOKUP(M1001,CAC!$A$2:$B$198,2,FALSE)</f>
        <v>PPOLG</v>
      </c>
    </row>
    <row r="1002" spans="5:14" x14ac:dyDescent="0.25">
      <c r="E1002" s="83">
        <v>201603</v>
      </c>
      <c r="F1002" s="82" t="s">
        <v>563</v>
      </c>
      <c r="G1002" s="82" t="s">
        <v>348</v>
      </c>
      <c r="H1002" s="82" t="s">
        <v>349</v>
      </c>
      <c r="I1002" s="95">
        <v>0</v>
      </c>
      <c r="K1002" s="105" t="str">
        <f t="shared" si="39"/>
        <v>0003-1010-0017</v>
      </c>
      <c r="L1002" s="105" t="str">
        <f>VLOOKUP(K1002,COA!$A$3:$B$337,2,FALSE)</f>
        <v>S51</v>
      </c>
      <c r="M1002" s="105" t="str">
        <f t="shared" si="40"/>
        <v>S51</v>
      </c>
      <c r="N1002" s="105" t="str">
        <f>VLOOKUP(M1002,CAC!$A$2:$B$198,2,FALSE)</f>
        <v>PPOSG</v>
      </c>
    </row>
    <row r="1003" spans="5:14" x14ac:dyDescent="0.25">
      <c r="E1003" s="83">
        <v>201711</v>
      </c>
      <c r="F1003" s="82" t="s">
        <v>563</v>
      </c>
      <c r="G1003" s="82" t="s">
        <v>352</v>
      </c>
      <c r="H1003" s="82" t="s">
        <v>653</v>
      </c>
      <c r="I1003" s="95">
        <v>0</v>
      </c>
      <c r="K1003" s="105" t="str">
        <f t="shared" si="39"/>
        <v>0003-1004-0047</v>
      </c>
      <c r="L1003" s="105" t="str">
        <f>VLOOKUP(K1003,COA!$A$3:$B$337,2,FALSE)</f>
        <v>L57</v>
      </c>
      <c r="M1003" s="105" t="str">
        <f t="shared" si="40"/>
        <v>L57</v>
      </c>
      <c r="N1003" s="105" t="str">
        <f>VLOOKUP(M1003,CAC!$A$2:$B$198,2,FALSE)</f>
        <v>PPOLG</v>
      </c>
    </row>
    <row r="1004" spans="5:14" x14ac:dyDescent="0.25">
      <c r="E1004" s="83">
        <v>201708</v>
      </c>
      <c r="F1004" s="82" t="s">
        <v>344</v>
      </c>
      <c r="G1004" s="82" t="s">
        <v>350</v>
      </c>
      <c r="H1004" s="82" t="s">
        <v>344</v>
      </c>
      <c r="I1004" s="95">
        <v>28</v>
      </c>
      <c r="K1004" s="105" t="str">
        <f t="shared" si="39"/>
        <v>0012-1012-0012</v>
      </c>
      <c r="L1004" s="105" t="str">
        <f>VLOOKUP(K1004,COA!$A$3:$B$337,2,FALSE)</f>
        <v>K12</v>
      </c>
      <c r="M1004" s="105" t="str">
        <f t="shared" si="40"/>
        <v>K12</v>
      </c>
      <c r="N1004" s="105" t="str">
        <f>VLOOKUP(M1004,CAC!$A$2:$B$198,2,FALSE)</f>
        <v>HMOPMR</v>
      </c>
    </row>
    <row r="1005" spans="5:14" x14ac:dyDescent="0.25">
      <c r="E1005" s="83">
        <v>201509</v>
      </c>
      <c r="F1005" s="82" t="s">
        <v>405</v>
      </c>
      <c r="G1005" s="82" t="s">
        <v>362</v>
      </c>
      <c r="H1005" s="82" t="s">
        <v>759</v>
      </c>
      <c r="I1005" s="95">
        <v>0</v>
      </c>
      <c r="K1005" s="105" t="str">
        <f t="shared" si="39"/>
        <v>0019-1008-0032</v>
      </c>
      <c r="L1005" s="105" t="str">
        <f>VLOOKUP(K1005,COA!$A$3:$B$337,2,FALSE)</f>
        <v>P58</v>
      </c>
      <c r="M1005" s="105" t="str">
        <f t="shared" si="40"/>
        <v>P58</v>
      </c>
      <c r="N1005" s="105" t="str">
        <f>VLOOKUP(M1005,CAC!$A$2:$B$198,2,FALSE)</f>
        <v>PERMEDA</v>
      </c>
    </row>
    <row r="1006" spans="5:14" x14ac:dyDescent="0.25">
      <c r="E1006" s="83">
        <v>201711</v>
      </c>
      <c r="F1006" s="82" t="s">
        <v>563</v>
      </c>
      <c r="G1006" s="82" t="s">
        <v>354</v>
      </c>
      <c r="H1006" s="82" t="s">
        <v>626</v>
      </c>
      <c r="I1006" s="95">
        <v>0</v>
      </c>
      <c r="K1006" s="105" t="str">
        <f t="shared" si="39"/>
        <v>0003-1013-0057</v>
      </c>
      <c r="L1006" s="105" t="str">
        <f>VLOOKUP(K1006,COA!$A$3:$B$337,2,FALSE)</f>
        <v>N55</v>
      </c>
      <c r="M1006" s="105" t="str">
        <f t="shared" si="40"/>
        <v>N55</v>
      </c>
      <c r="N1006" s="105" t="str">
        <f>VLOOKUP(M1006,CAC!$A$2:$B$198,2,FALSE)</f>
        <v>PPOPMR</v>
      </c>
    </row>
    <row r="1007" spans="5:14" x14ac:dyDescent="0.25">
      <c r="E1007" s="83">
        <v>201612</v>
      </c>
      <c r="F1007" s="82" t="s">
        <v>405</v>
      </c>
      <c r="G1007" s="82" t="s">
        <v>362</v>
      </c>
      <c r="H1007" s="82" t="s">
        <v>342</v>
      </c>
      <c r="I1007" s="95">
        <v>0</v>
      </c>
      <c r="K1007" s="105" t="str">
        <f t="shared" si="39"/>
        <v>0019-1008-0031</v>
      </c>
      <c r="L1007" s="105" t="str">
        <f>VLOOKUP(K1007,COA!$A$3:$B$337,2,FALSE)</f>
        <v>P53</v>
      </c>
      <c r="M1007" s="105" t="str">
        <f t="shared" si="40"/>
        <v>P53</v>
      </c>
      <c r="N1007" s="105" t="str">
        <f>VLOOKUP(M1007,CAC!$A$2:$B$198,2,FALSE)</f>
        <v>HMOPERA</v>
      </c>
    </row>
    <row r="1008" spans="5:14" x14ac:dyDescent="0.25">
      <c r="E1008" s="83">
        <v>201709</v>
      </c>
      <c r="F1008" s="82" t="s">
        <v>344</v>
      </c>
      <c r="G1008" s="82" t="s">
        <v>355</v>
      </c>
      <c r="H1008" s="82" t="s">
        <v>344</v>
      </c>
      <c r="I1008" s="95">
        <v>53</v>
      </c>
      <c r="K1008" s="105" t="str">
        <f t="shared" si="39"/>
        <v>0012-1006-0012</v>
      </c>
      <c r="L1008" s="105" t="str">
        <f>VLOOKUP(K1008,COA!$A$3:$B$337,2,FALSE)</f>
        <v>L16</v>
      </c>
      <c r="M1008" s="105" t="str">
        <f t="shared" si="40"/>
        <v>L16</v>
      </c>
      <c r="N1008" s="105" t="str">
        <f>VLOOKUP(M1008,CAC!$A$2:$B$198,2,FALSE)</f>
        <v>HMOLG</v>
      </c>
    </row>
    <row r="1009" spans="5:14" x14ac:dyDescent="0.25">
      <c r="E1009" s="83">
        <v>201606</v>
      </c>
      <c r="F1009" s="82" t="s">
        <v>345</v>
      </c>
      <c r="G1009" s="82" t="s">
        <v>356</v>
      </c>
      <c r="H1009" s="82" t="s">
        <v>344</v>
      </c>
      <c r="I1009" s="95">
        <v>15594</v>
      </c>
      <c r="K1009" s="105" t="str">
        <f t="shared" si="39"/>
        <v>0011-1002-0012</v>
      </c>
      <c r="L1009" s="105" t="str">
        <f>VLOOKUP(K1009,COA!$A$3:$B$337,2,FALSE)</f>
        <v>F20</v>
      </c>
      <c r="M1009" s="105" t="str">
        <f t="shared" si="40"/>
        <v>F20</v>
      </c>
      <c r="N1009" s="105" t="str">
        <f>VLOOKUP(M1009,CAC!$A$2:$B$198,2,FALSE)</f>
        <v>HMOPMR</v>
      </c>
    </row>
    <row r="1010" spans="5:14" x14ac:dyDescent="0.25">
      <c r="E1010" s="83">
        <v>201603</v>
      </c>
      <c r="F1010" s="82" t="s">
        <v>345</v>
      </c>
      <c r="G1010" s="82" t="s">
        <v>362</v>
      </c>
      <c r="H1010" s="82" t="s">
        <v>364</v>
      </c>
      <c r="I1010" s="95">
        <v>38210.65</v>
      </c>
      <c r="K1010" s="105" t="str">
        <f t="shared" si="39"/>
        <v>0011-1008-0037</v>
      </c>
      <c r="L1010" s="105" t="str">
        <f>VLOOKUP(K1010,COA!$A$3:$B$337,2,FALSE)</f>
        <v>P12</v>
      </c>
      <c r="M1010" s="105" t="str">
        <f t="shared" si="40"/>
        <v>P12</v>
      </c>
      <c r="N1010" s="105" t="str">
        <f>VLOOKUP(M1010,CAC!$A$2:$B$198,2,FALSE)</f>
        <v>HMOPERA</v>
      </c>
    </row>
    <row r="1011" spans="5:14" x14ac:dyDescent="0.25">
      <c r="E1011" s="83">
        <v>201609</v>
      </c>
      <c r="F1011" s="82" t="s">
        <v>345</v>
      </c>
      <c r="G1011" s="82" t="s">
        <v>354</v>
      </c>
      <c r="H1011" s="82" t="s">
        <v>360</v>
      </c>
      <c r="I1011" s="95">
        <v>2970.4</v>
      </c>
      <c r="K1011" s="105" t="str">
        <f t="shared" si="39"/>
        <v>0011-1013-0048</v>
      </c>
      <c r="L1011" s="105" t="str">
        <f>VLOOKUP(K1011,COA!$A$3:$B$337,2,FALSE)</f>
        <v>N21</v>
      </c>
      <c r="M1011" s="105" t="str">
        <f t="shared" si="40"/>
        <v>N21</v>
      </c>
      <c r="N1011" s="105" t="str">
        <f>VLOOKUP(M1011,CAC!$A$2:$B$198,2,FALSE)</f>
        <v>HMFLEX</v>
      </c>
    </row>
    <row r="1012" spans="5:14" x14ac:dyDescent="0.25">
      <c r="E1012" s="83">
        <v>201609</v>
      </c>
      <c r="F1012" s="82" t="s">
        <v>413</v>
      </c>
      <c r="G1012" s="82" t="s">
        <v>355</v>
      </c>
      <c r="H1012" s="82" t="s">
        <v>344</v>
      </c>
      <c r="I1012" s="95">
        <v>0</v>
      </c>
      <c r="K1012" s="105" t="str">
        <f t="shared" si="39"/>
        <v>0008-1006-0012</v>
      </c>
      <c r="L1012" s="105" t="str">
        <f>VLOOKUP(K1012,COA!$A$3:$B$337,2,FALSE)</f>
        <v>C96</v>
      </c>
      <c r="M1012" s="105" t="str">
        <f t="shared" si="40"/>
        <v>C96</v>
      </c>
      <c r="N1012" s="105" t="str">
        <f>VLOOKUP(M1012,CAC!$A$2:$B$198,2,FALSE)</f>
        <v>DOILG</v>
      </c>
    </row>
    <row r="1013" spans="5:14" x14ac:dyDescent="0.25">
      <c r="E1013" s="83">
        <v>201611</v>
      </c>
      <c r="F1013" s="82" t="s">
        <v>344</v>
      </c>
      <c r="G1013" s="82" t="s">
        <v>359</v>
      </c>
      <c r="H1013" s="82" t="s">
        <v>344</v>
      </c>
      <c r="I1013" s="95">
        <v>134</v>
      </c>
      <c r="K1013" s="105" t="str">
        <f t="shared" si="39"/>
        <v>0012-1005-0012</v>
      </c>
      <c r="L1013" s="105" t="str">
        <f>VLOOKUP(K1013,COA!$A$3:$B$337,2,FALSE)</f>
        <v>N13</v>
      </c>
      <c r="M1013" s="105" t="str">
        <f t="shared" si="40"/>
        <v>N13</v>
      </c>
      <c r="N1013" s="105" t="str">
        <f>VLOOKUP(M1013,CAC!$A$2:$B$198,2,FALSE)</f>
        <v>HMOLG</v>
      </c>
    </row>
    <row r="1014" spans="5:14" x14ac:dyDescent="0.25">
      <c r="E1014" s="83">
        <v>201603</v>
      </c>
      <c r="F1014" s="82" t="s">
        <v>344</v>
      </c>
      <c r="G1014" s="82" t="s">
        <v>350</v>
      </c>
      <c r="H1014" s="82" t="s">
        <v>344</v>
      </c>
      <c r="I1014" s="95">
        <v>107</v>
      </c>
      <c r="K1014" s="105" t="str">
        <f t="shared" si="39"/>
        <v>0012-1012-0012</v>
      </c>
      <c r="L1014" s="105" t="str">
        <f>VLOOKUP(K1014,COA!$A$3:$B$337,2,FALSE)</f>
        <v>K12</v>
      </c>
      <c r="M1014" s="105" t="str">
        <f t="shared" si="40"/>
        <v>K12</v>
      </c>
      <c r="N1014" s="105" t="str">
        <f>VLOOKUP(M1014,CAC!$A$2:$B$198,2,FALSE)</f>
        <v>HMOPMR</v>
      </c>
    </row>
    <row r="1015" spans="5:14" x14ac:dyDescent="0.25">
      <c r="E1015" s="83">
        <v>201507</v>
      </c>
      <c r="F1015" s="82" t="s">
        <v>563</v>
      </c>
      <c r="G1015" s="82" t="s">
        <v>365</v>
      </c>
      <c r="H1015" s="82" t="s">
        <v>366</v>
      </c>
      <c r="I1015" s="95">
        <v>0</v>
      </c>
      <c r="K1015" s="105" t="str">
        <f t="shared" si="39"/>
        <v>0003-1001-0021</v>
      </c>
      <c r="L1015" s="105" t="str">
        <f>VLOOKUP(K1015,COA!$A$3:$B$337,2,FALSE)</f>
        <v>V53</v>
      </c>
      <c r="M1015" s="105" t="str">
        <f t="shared" si="40"/>
        <v>V53</v>
      </c>
      <c r="N1015" s="105" t="str">
        <f>VLOOKUP(M1015,CAC!$A$2:$B$198,2,FALSE)</f>
        <v>PPOIFP</v>
      </c>
    </row>
    <row r="1016" spans="5:14" x14ac:dyDescent="0.25">
      <c r="E1016" s="83">
        <v>201712</v>
      </c>
      <c r="F1016" s="82" t="s">
        <v>345</v>
      </c>
      <c r="G1016" s="82" t="s">
        <v>354</v>
      </c>
      <c r="H1016" s="82" t="s">
        <v>344</v>
      </c>
      <c r="I1016" s="95">
        <v>4283</v>
      </c>
      <c r="K1016" s="105" t="str">
        <f t="shared" si="39"/>
        <v>0011-1013-0012</v>
      </c>
      <c r="L1016" s="105" t="str">
        <f>VLOOKUP(K1016,COA!$A$3:$B$337,2,FALSE)</f>
        <v>N20</v>
      </c>
      <c r="M1016" s="105" t="str">
        <f t="shared" si="40"/>
        <v>N20</v>
      </c>
      <c r="N1016" s="105" t="str">
        <f>VLOOKUP(M1016,CAC!$A$2:$B$198,2,FALSE)</f>
        <v>HMOPMR</v>
      </c>
    </row>
    <row r="1017" spans="5:14" x14ac:dyDescent="0.25">
      <c r="E1017" s="83">
        <v>201511</v>
      </c>
      <c r="F1017" s="82" t="s">
        <v>563</v>
      </c>
      <c r="G1017" s="82" t="s">
        <v>348</v>
      </c>
      <c r="H1017" s="82" t="s">
        <v>353</v>
      </c>
      <c r="I1017" s="95">
        <v>0</v>
      </c>
      <c r="K1017" s="105" t="str">
        <f t="shared" si="39"/>
        <v>0003-1010-0023</v>
      </c>
      <c r="L1017" s="105" t="str">
        <f>VLOOKUP(K1017,COA!$A$3:$B$337,2,FALSE)</f>
        <v>S54</v>
      </c>
      <c r="M1017" s="105" t="str">
        <f t="shared" si="40"/>
        <v>S54</v>
      </c>
      <c r="N1017" s="105" t="str">
        <f>VLOOKUP(M1017,CAC!$A$2:$B$198,2,FALSE)</f>
        <v>PPOSG</v>
      </c>
    </row>
    <row r="1018" spans="5:14" x14ac:dyDescent="0.25">
      <c r="E1018" s="83">
        <v>201606</v>
      </c>
      <c r="F1018" s="82" t="s">
        <v>563</v>
      </c>
      <c r="G1018" s="82" t="s">
        <v>369</v>
      </c>
      <c r="H1018" s="82" t="s">
        <v>345</v>
      </c>
      <c r="I1018" s="95">
        <v>0</v>
      </c>
      <c r="K1018" s="105" t="str">
        <f t="shared" si="39"/>
        <v>0003-1009-0011</v>
      </c>
      <c r="L1018" s="105" t="str">
        <f>VLOOKUP(K1018,COA!$A$3:$B$337,2,FALSE)</f>
        <v>V91</v>
      </c>
      <c r="M1018" s="105" t="str">
        <f t="shared" si="40"/>
        <v>V91</v>
      </c>
      <c r="N1018" s="105" t="str">
        <f>VLOOKUP(M1018,CAC!$A$2:$B$198,2,FALSE)</f>
        <v>PPOMM</v>
      </c>
    </row>
    <row r="1019" spans="5:14" x14ac:dyDescent="0.25">
      <c r="E1019" s="83">
        <v>201704</v>
      </c>
      <c r="F1019" s="82" t="s">
        <v>342</v>
      </c>
      <c r="G1019" s="82" t="s">
        <v>343</v>
      </c>
      <c r="H1019" s="82" t="s">
        <v>344</v>
      </c>
      <c r="I1019" s="95">
        <v>5699.01</v>
      </c>
      <c r="K1019" s="105" t="str">
        <f t="shared" si="39"/>
        <v>0031-1000-0012</v>
      </c>
      <c r="L1019" s="105" t="str">
        <f>VLOOKUP(K1019,COA!$A$3:$B$337,2,FALSE)</f>
        <v>F27</v>
      </c>
      <c r="M1019" s="105" t="str">
        <f t="shared" si="40"/>
        <v>F27</v>
      </c>
      <c r="N1019" s="105" t="str">
        <f>VLOOKUP(M1019,CAC!$A$2:$B$198,2,FALSE)</f>
        <v>HMOFEP</v>
      </c>
    </row>
    <row r="1020" spans="5:14" x14ac:dyDescent="0.25">
      <c r="E1020" s="83">
        <v>201506</v>
      </c>
      <c r="F1020" s="82" t="s">
        <v>506</v>
      </c>
      <c r="G1020" s="82" t="s">
        <v>359</v>
      </c>
      <c r="H1020" s="82" t="s">
        <v>592</v>
      </c>
      <c r="I1020" s="95">
        <v>0</v>
      </c>
      <c r="K1020" s="105" t="str">
        <f t="shared" si="39"/>
        <v>0013-1005-0035</v>
      </c>
      <c r="L1020" s="105" t="str">
        <f>VLOOKUP(K1020,COA!$A$3:$B$337,2,FALSE)</f>
        <v>N41</v>
      </c>
      <c r="M1020" s="105" t="str">
        <f t="shared" si="40"/>
        <v>N41</v>
      </c>
      <c r="N1020" s="105" t="e">
        <f>VLOOKUP(M1020,CAC!$A$2:$B$198,2,FALSE)</f>
        <v>#N/A</v>
      </c>
    </row>
    <row r="1021" spans="5:14" x14ac:dyDescent="0.25">
      <c r="E1021" s="83">
        <v>201511</v>
      </c>
      <c r="F1021" s="82" t="s">
        <v>524</v>
      </c>
      <c r="G1021" s="82" t="s">
        <v>356</v>
      </c>
      <c r="H1021" s="82" t="s">
        <v>672</v>
      </c>
      <c r="I1021" s="95">
        <v>0</v>
      </c>
      <c r="K1021" s="105" t="str">
        <f t="shared" si="39"/>
        <v>0025-1002-0058</v>
      </c>
      <c r="L1021" s="105" t="str">
        <f>VLOOKUP(K1021,COA!$A$3:$B$337,2,FALSE)</f>
        <v>L45</v>
      </c>
      <c r="M1021" s="105" t="str">
        <f t="shared" si="40"/>
        <v>L45</v>
      </c>
      <c r="N1021" s="105" t="e">
        <f>VLOOKUP(M1021,CAC!$A$2:$B$198,2,FALSE)</f>
        <v>#N/A</v>
      </c>
    </row>
    <row r="1022" spans="5:14" x14ac:dyDescent="0.25">
      <c r="E1022" s="83">
        <v>201708</v>
      </c>
      <c r="F1022" s="82" t="s">
        <v>746</v>
      </c>
      <c r="G1022" s="82" t="s">
        <v>350</v>
      </c>
      <c r="H1022" s="82" t="s">
        <v>344</v>
      </c>
      <c r="I1022" s="95">
        <v>30</v>
      </c>
      <c r="K1022" s="105" t="str">
        <f t="shared" si="39"/>
        <v>0016-1012-0012</v>
      </c>
      <c r="L1022" s="105" t="str">
        <f>VLOOKUP(K1022,COA!$A$3:$B$337,2,FALSE)</f>
        <v>R19</v>
      </c>
      <c r="M1022" s="105" t="str">
        <f t="shared" si="40"/>
        <v>R19</v>
      </c>
      <c r="N1022" s="105" t="str">
        <f>VLOOKUP(M1022,CAC!$A$2:$B$198,2,FALSE)</f>
        <v>HMOMG</v>
      </c>
    </row>
    <row r="1023" spans="5:14" x14ac:dyDescent="0.25">
      <c r="E1023" s="83">
        <v>201509</v>
      </c>
      <c r="F1023" s="82" t="s">
        <v>563</v>
      </c>
      <c r="G1023" s="82" t="s">
        <v>355</v>
      </c>
      <c r="H1023" s="82" t="s">
        <v>344</v>
      </c>
      <c r="I1023" s="95">
        <v>0</v>
      </c>
      <c r="K1023" s="105" t="str">
        <f t="shared" si="39"/>
        <v>0003-1006-0012</v>
      </c>
      <c r="L1023" s="105" t="str">
        <f>VLOOKUP(K1023,COA!$A$3:$B$337,2,FALSE)</f>
        <v>L52</v>
      </c>
      <c r="M1023" s="105" t="str">
        <f t="shared" si="40"/>
        <v>L52</v>
      </c>
      <c r="N1023" s="105" t="str">
        <f>VLOOKUP(M1023,CAC!$A$2:$B$198,2,FALSE)</f>
        <v>PPOLG</v>
      </c>
    </row>
    <row r="1024" spans="5:14" x14ac:dyDescent="0.25">
      <c r="E1024" s="83">
        <v>201704</v>
      </c>
      <c r="F1024" s="82" t="s">
        <v>345</v>
      </c>
      <c r="G1024" s="82" t="s">
        <v>365</v>
      </c>
      <c r="H1024" s="82" t="s">
        <v>366</v>
      </c>
      <c r="I1024" s="95">
        <v>1175.8</v>
      </c>
      <c r="K1024" s="105" t="str">
        <f t="shared" si="39"/>
        <v>0011-1001-0021</v>
      </c>
      <c r="L1024" s="105" t="str">
        <f>VLOOKUP(K1024,COA!$A$3:$B$337,2,FALSE)</f>
        <v>V13</v>
      </c>
      <c r="M1024" s="105" t="str">
        <f t="shared" si="40"/>
        <v>V13</v>
      </c>
      <c r="N1024" s="105" t="str">
        <f>VLOOKUP(M1024,CAC!$A$2:$B$198,2,FALSE)</f>
        <v>HMOIFP</v>
      </c>
    </row>
    <row r="1025" spans="5:14" x14ac:dyDescent="0.25">
      <c r="E1025" s="83">
        <v>201603</v>
      </c>
      <c r="F1025" s="82" t="s">
        <v>563</v>
      </c>
      <c r="G1025" s="82" t="s">
        <v>352</v>
      </c>
      <c r="H1025" s="82" t="s">
        <v>344</v>
      </c>
      <c r="I1025" s="95">
        <v>0</v>
      </c>
      <c r="K1025" s="105" t="str">
        <f t="shared" si="39"/>
        <v>0003-1004-0012</v>
      </c>
      <c r="L1025" s="105" t="str">
        <f>VLOOKUP(K1025,COA!$A$3:$B$337,2,FALSE)</f>
        <v>L51</v>
      </c>
      <c r="M1025" s="105" t="str">
        <f t="shared" si="40"/>
        <v>L51</v>
      </c>
      <c r="N1025" s="105" t="str">
        <f>VLOOKUP(M1025,CAC!$A$2:$B$198,2,FALSE)</f>
        <v>PPOLG</v>
      </c>
    </row>
    <row r="1026" spans="5:14" x14ac:dyDescent="0.25">
      <c r="E1026" s="83">
        <v>201507</v>
      </c>
      <c r="F1026" s="82" t="s">
        <v>746</v>
      </c>
      <c r="G1026" s="82" t="s">
        <v>354</v>
      </c>
      <c r="H1026" s="82" t="s">
        <v>344</v>
      </c>
      <c r="I1026" s="95">
        <v>79</v>
      </c>
      <c r="K1026" s="105" t="str">
        <f t="shared" si="39"/>
        <v>0016-1013-0012</v>
      </c>
      <c r="L1026" s="105" t="str">
        <f>VLOOKUP(K1026,COA!$A$3:$B$337,2,FALSE)</f>
        <v>R19</v>
      </c>
      <c r="M1026" s="105" t="str">
        <f t="shared" si="40"/>
        <v>R19</v>
      </c>
      <c r="N1026" s="105" t="str">
        <f>VLOOKUP(M1026,CAC!$A$2:$B$198,2,FALSE)</f>
        <v>HMOMG</v>
      </c>
    </row>
    <row r="1027" spans="5:14" x14ac:dyDescent="0.25">
      <c r="E1027" s="83">
        <v>201705</v>
      </c>
      <c r="F1027" s="82" t="s">
        <v>345</v>
      </c>
      <c r="G1027" s="82" t="s">
        <v>350</v>
      </c>
      <c r="H1027" s="82" t="s">
        <v>360</v>
      </c>
      <c r="I1027" s="95">
        <v>3960.16</v>
      </c>
      <c r="K1027" s="105" t="str">
        <f t="shared" si="39"/>
        <v>0011-1012-0048</v>
      </c>
      <c r="L1027" s="105" t="str">
        <f>VLOOKUP(K1027,COA!$A$3:$B$337,2,FALSE)</f>
        <v>K21</v>
      </c>
      <c r="M1027" s="105" t="str">
        <f t="shared" si="40"/>
        <v>K21</v>
      </c>
      <c r="N1027" s="105" t="str">
        <f>VLOOKUP(M1027,CAC!$A$2:$B$198,2,FALSE)</f>
        <v>HMFLEX</v>
      </c>
    </row>
    <row r="1028" spans="5:14" x14ac:dyDescent="0.25">
      <c r="E1028" s="83">
        <v>201601</v>
      </c>
      <c r="F1028" s="82" t="s">
        <v>563</v>
      </c>
      <c r="G1028" s="82" t="s">
        <v>354</v>
      </c>
      <c r="H1028" s="82" t="s">
        <v>653</v>
      </c>
      <c r="I1028" s="95">
        <v>0</v>
      </c>
      <c r="K1028" s="105" t="str">
        <f t="shared" ref="K1028:K1091" si="41">F1028&amp;"-"&amp;G1028&amp;"-"&amp;H1028</f>
        <v>0003-1013-0047</v>
      </c>
      <c r="L1028" s="105" t="str">
        <f>VLOOKUP(K1028,COA!$A$3:$B$337,2,FALSE)</f>
        <v>N57</v>
      </c>
      <c r="M1028" s="105" t="str">
        <f t="shared" ref="M1028:M1091" si="42">IF(ISNA(L1028),"XXX",L1028)</f>
        <v>N57</v>
      </c>
      <c r="N1028" s="105" t="str">
        <f>VLOOKUP(M1028,CAC!$A$2:$B$198,2,FALSE)</f>
        <v>PPOPMR</v>
      </c>
    </row>
    <row r="1029" spans="5:14" x14ac:dyDescent="0.25">
      <c r="E1029" s="83">
        <v>201509</v>
      </c>
      <c r="F1029" s="82" t="s">
        <v>549</v>
      </c>
      <c r="G1029" s="82" t="s">
        <v>352</v>
      </c>
      <c r="H1029" s="82" t="s">
        <v>672</v>
      </c>
      <c r="I1029" s="95">
        <v>0</v>
      </c>
      <c r="K1029" s="105" t="str">
        <f t="shared" si="41"/>
        <v>0026-1004-0058</v>
      </c>
      <c r="L1029" s="105" t="str">
        <f>VLOOKUP(K1029,COA!$A$3:$B$337,2,FALSE)</f>
        <v>L44</v>
      </c>
      <c r="M1029" s="105" t="str">
        <f t="shared" si="42"/>
        <v>L44</v>
      </c>
      <c r="N1029" s="105" t="e">
        <f>VLOOKUP(M1029,CAC!$A$2:$B$198,2,FALSE)</f>
        <v>#N/A</v>
      </c>
    </row>
    <row r="1030" spans="5:14" x14ac:dyDescent="0.25">
      <c r="E1030" s="83">
        <v>201603</v>
      </c>
      <c r="F1030" s="82" t="s">
        <v>563</v>
      </c>
      <c r="G1030" s="82" t="s">
        <v>348</v>
      </c>
      <c r="H1030" s="82" t="s">
        <v>358</v>
      </c>
      <c r="I1030" s="95">
        <v>0</v>
      </c>
      <c r="K1030" s="105" t="str">
        <f t="shared" si="41"/>
        <v>0003-1010-0024</v>
      </c>
      <c r="L1030" s="105" t="str">
        <f>VLOOKUP(K1030,COA!$A$3:$B$337,2,FALSE)</f>
        <v>S56</v>
      </c>
      <c r="M1030" s="105" t="str">
        <f t="shared" si="42"/>
        <v>S56</v>
      </c>
      <c r="N1030" s="105" t="str">
        <f>VLOOKUP(M1030,CAC!$A$2:$B$198,2,FALSE)</f>
        <v>PPOSG</v>
      </c>
    </row>
    <row r="1031" spans="5:14" x14ac:dyDescent="0.25">
      <c r="E1031" s="83">
        <v>201606</v>
      </c>
      <c r="F1031" s="82" t="s">
        <v>405</v>
      </c>
      <c r="G1031" s="82" t="s">
        <v>362</v>
      </c>
      <c r="H1031" s="82" t="s">
        <v>342</v>
      </c>
      <c r="I1031" s="95">
        <v>0</v>
      </c>
      <c r="K1031" s="105" t="str">
        <f t="shared" si="41"/>
        <v>0019-1008-0031</v>
      </c>
      <c r="L1031" s="105" t="str">
        <f>VLOOKUP(K1031,COA!$A$3:$B$337,2,FALSE)</f>
        <v>P53</v>
      </c>
      <c r="M1031" s="105" t="str">
        <f t="shared" si="42"/>
        <v>P53</v>
      </c>
      <c r="N1031" s="105" t="str">
        <f>VLOOKUP(M1031,CAC!$A$2:$B$198,2,FALSE)</f>
        <v>HMOPERA</v>
      </c>
    </row>
    <row r="1032" spans="5:14" x14ac:dyDescent="0.25">
      <c r="E1032" s="83">
        <v>201503</v>
      </c>
      <c r="F1032" s="82" t="s">
        <v>563</v>
      </c>
      <c r="G1032" s="82" t="s">
        <v>352</v>
      </c>
      <c r="H1032" s="82" t="s">
        <v>653</v>
      </c>
      <c r="I1032" s="95">
        <v>0</v>
      </c>
      <c r="K1032" s="105" t="str">
        <f t="shared" si="41"/>
        <v>0003-1004-0047</v>
      </c>
      <c r="L1032" s="105" t="str">
        <f>VLOOKUP(K1032,COA!$A$3:$B$337,2,FALSE)</f>
        <v>L57</v>
      </c>
      <c r="M1032" s="105" t="str">
        <f t="shared" si="42"/>
        <v>L57</v>
      </c>
      <c r="N1032" s="105" t="str">
        <f>VLOOKUP(M1032,CAC!$A$2:$B$198,2,FALSE)</f>
        <v>PPOLG</v>
      </c>
    </row>
    <row r="1033" spans="5:14" x14ac:dyDescent="0.25">
      <c r="E1033" s="83">
        <v>201712</v>
      </c>
      <c r="F1033" s="82" t="s">
        <v>345</v>
      </c>
      <c r="G1033" s="82" t="s">
        <v>352</v>
      </c>
      <c r="H1033" s="82" t="s">
        <v>344</v>
      </c>
      <c r="I1033" s="95">
        <v>13970.65</v>
      </c>
      <c r="K1033" s="105" t="str">
        <f t="shared" si="41"/>
        <v>0011-1004-0012</v>
      </c>
      <c r="L1033" s="105" t="str">
        <f>VLOOKUP(K1033,COA!$A$3:$B$337,2,FALSE)</f>
        <v>L11</v>
      </c>
      <c r="M1033" s="105" t="str">
        <f t="shared" si="42"/>
        <v>L11</v>
      </c>
      <c r="N1033" s="105" t="str">
        <f>VLOOKUP(M1033,CAC!$A$2:$B$198,2,FALSE)</f>
        <v>HMOLG</v>
      </c>
    </row>
    <row r="1034" spans="5:14" x14ac:dyDescent="0.25">
      <c r="E1034" s="83">
        <v>201801</v>
      </c>
      <c r="F1034" s="82" t="s">
        <v>563</v>
      </c>
      <c r="G1034" s="82" t="s">
        <v>365</v>
      </c>
      <c r="H1034" s="82" t="s">
        <v>367</v>
      </c>
      <c r="I1034" s="95">
        <v>0</v>
      </c>
      <c r="K1034" s="105" t="str">
        <f t="shared" si="41"/>
        <v>0003-1001-0022</v>
      </c>
      <c r="L1034" s="105" t="str">
        <f>VLOOKUP(K1034,COA!$A$3:$B$337,2,FALSE)</f>
        <v>V54</v>
      </c>
      <c r="M1034" s="105" t="str">
        <f t="shared" si="42"/>
        <v>V54</v>
      </c>
      <c r="N1034" s="105" t="str">
        <f>VLOOKUP(M1034,CAC!$A$2:$B$198,2,FALSE)</f>
        <v>PPOIFP</v>
      </c>
    </row>
    <row r="1035" spans="5:14" x14ac:dyDescent="0.25">
      <c r="E1035" s="83">
        <v>201601</v>
      </c>
      <c r="F1035" s="82" t="s">
        <v>563</v>
      </c>
      <c r="G1035" s="82" t="s">
        <v>365</v>
      </c>
      <c r="H1035" s="82" t="s">
        <v>798</v>
      </c>
      <c r="I1035" s="95">
        <v>0</v>
      </c>
      <c r="K1035" s="105" t="str">
        <f t="shared" si="41"/>
        <v>0003-1001-0065</v>
      </c>
      <c r="L1035" s="105" t="str">
        <f>VLOOKUP(K1035,COA!$A$3:$B$337,2,FALSE)</f>
        <v>V55</v>
      </c>
      <c r="M1035" s="105" t="str">
        <f t="shared" si="42"/>
        <v>V55</v>
      </c>
      <c r="N1035" s="105" t="e">
        <f>VLOOKUP(M1035,CAC!$A$2:$B$198,2,FALSE)</f>
        <v>#N/A</v>
      </c>
    </row>
    <row r="1036" spans="5:14" x14ac:dyDescent="0.25">
      <c r="E1036" s="83">
        <v>201611</v>
      </c>
      <c r="F1036" s="82" t="s">
        <v>342</v>
      </c>
      <c r="G1036" s="82" t="s">
        <v>343</v>
      </c>
      <c r="H1036" s="82" t="s">
        <v>344</v>
      </c>
      <c r="I1036" s="95">
        <v>5970.4</v>
      </c>
      <c r="K1036" s="105" t="str">
        <f t="shared" si="41"/>
        <v>0031-1000-0012</v>
      </c>
      <c r="L1036" s="105" t="str">
        <f>VLOOKUP(K1036,COA!$A$3:$B$337,2,FALSE)</f>
        <v>F27</v>
      </c>
      <c r="M1036" s="105" t="str">
        <f t="shared" si="42"/>
        <v>F27</v>
      </c>
      <c r="N1036" s="105" t="str">
        <f>VLOOKUP(M1036,CAC!$A$2:$B$198,2,FALSE)</f>
        <v>HMOFEP</v>
      </c>
    </row>
    <row r="1037" spans="5:14" x14ac:dyDescent="0.25">
      <c r="E1037" s="83">
        <v>201608</v>
      </c>
      <c r="F1037" s="82" t="s">
        <v>345</v>
      </c>
      <c r="G1037" s="82" t="s">
        <v>362</v>
      </c>
      <c r="H1037" s="82" t="s">
        <v>363</v>
      </c>
      <c r="I1037" s="95">
        <v>36815.71</v>
      </c>
      <c r="K1037" s="105" t="str">
        <f t="shared" si="41"/>
        <v>0011-1008-0054</v>
      </c>
      <c r="L1037" s="105" t="str">
        <f>VLOOKUP(K1037,COA!$A$3:$B$337,2,FALSE)</f>
        <v>P23</v>
      </c>
      <c r="M1037" s="105" t="str">
        <f t="shared" si="42"/>
        <v>P23</v>
      </c>
      <c r="N1037" s="105" t="str">
        <f>VLOOKUP(M1037,CAC!$A$2:$B$198,2,FALSE)</f>
        <v>HMOPERN</v>
      </c>
    </row>
    <row r="1038" spans="5:14" x14ac:dyDescent="0.25">
      <c r="E1038" s="83">
        <v>201610</v>
      </c>
      <c r="F1038" s="82" t="s">
        <v>563</v>
      </c>
      <c r="G1038" s="82" t="s">
        <v>350</v>
      </c>
      <c r="H1038" s="82" t="s">
        <v>344</v>
      </c>
      <c r="I1038" s="95">
        <v>0</v>
      </c>
      <c r="K1038" s="105" t="str">
        <f t="shared" si="41"/>
        <v>0003-1012-0012</v>
      </c>
      <c r="L1038" s="105" t="str">
        <f>VLOOKUP(K1038,COA!$A$3:$B$337,2,FALSE)</f>
        <v>K51</v>
      </c>
      <c r="M1038" s="105" t="str">
        <f t="shared" si="42"/>
        <v>K51</v>
      </c>
      <c r="N1038" s="105" t="str">
        <f>VLOOKUP(M1038,CAC!$A$2:$B$198,2,FALSE)</f>
        <v>PPOPMR</v>
      </c>
    </row>
    <row r="1039" spans="5:14" x14ac:dyDescent="0.25">
      <c r="E1039" s="83">
        <v>201605</v>
      </c>
      <c r="F1039" s="82" t="s">
        <v>563</v>
      </c>
      <c r="G1039" s="82" t="s">
        <v>365</v>
      </c>
      <c r="H1039" s="82" t="s">
        <v>344</v>
      </c>
      <c r="I1039" s="95">
        <v>0</v>
      </c>
      <c r="K1039" s="105" t="str">
        <f t="shared" si="41"/>
        <v>0003-1001-0012</v>
      </c>
      <c r="L1039" s="105" t="str">
        <f>VLOOKUP(K1039,COA!$A$3:$B$337,2,FALSE)</f>
        <v>V51</v>
      </c>
      <c r="M1039" s="105" t="str">
        <f t="shared" si="42"/>
        <v>V51</v>
      </c>
      <c r="N1039" s="105" t="str">
        <f>VLOOKUP(M1039,CAC!$A$2:$B$198,2,FALSE)</f>
        <v>PPOIFP</v>
      </c>
    </row>
    <row r="1040" spans="5:14" x14ac:dyDescent="0.25">
      <c r="E1040" s="83">
        <v>201607</v>
      </c>
      <c r="F1040" s="82" t="s">
        <v>506</v>
      </c>
      <c r="G1040" s="82" t="s">
        <v>352</v>
      </c>
      <c r="H1040" s="82" t="s">
        <v>592</v>
      </c>
      <c r="I1040" s="95">
        <v>0</v>
      </c>
      <c r="K1040" s="105" t="str">
        <f t="shared" si="41"/>
        <v>0013-1004-0035</v>
      </c>
      <c r="L1040" s="105" t="str">
        <f>VLOOKUP(K1040,COA!$A$3:$B$337,2,FALSE)</f>
        <v>L41</v>
      </c>
      <c r="M1040" s="105" t="str">
        <f t="shared" si="42"/>
        <v>L41</v>
      </c>
      <c r="N1040" s="105" t="e">
        <f>VLOOKUP(M1040,CAC!$A$2:$B$198,2,FALSE)</f>
        <v>#N/A</v>
      </c>
    </row>
    <row r="1041" spans="5:14" x14ac:dyDescent="0.25">
      <c r="E1041" s="83">
        <v>201504</v>
      </c>
      <c r="F1041" s="82" t="s">
        <v>563</v>
      </c>
      <c r="G1041" s="82" t="s">
        <v>352</v>
      </c>
      <c r="H1041" s="82" t="s">
        <v>653</v>
      </c>
      <c r="I1041" s="95">
        <v>0</v>
      </c>
      <c r="K1041" s="105" t="str">
        <f t="shared" si="41"/>
        <v>0003-1004-0047</v>
      </c>
      <c r="L1041" s="105" t="str">
        <f>VLOOKUP(K1041,COA!$A$3:$B$337,2,FALSE)</f>
        <v>L57</v>
      </c>
      <c r="M1041" s="105" t="str">
        <f t="shared" si="42"/>
        <v>L57</v>
      </c>
      <c r="N1041" s="105" t="str">
        <f>VLOOKUP(M1041,CAC!$A$2:$B$198,2,FALSE)</f>
        <v>PPOLG</v>
      </c>
    </row>
    <row r="1042" spans="5:14" x14ac:dyDescent="0.25">
      <c r="E1042" s="83">
        <v>201712</v>
      </c>
      <c r="F1042" s="82" t="s">
        <v>746</v>
      </c>
      <c r="G1042" s="82" t="s">
        <v>350</v>
      </c>
      <c r="H1042" s="82" t="s">
        <v>344</v>
      </c>
      <c r="I1042" s="95">
        <v>3</v>
      </c>
      <c r="K1042" s="105" t="str">
        <f t="shared" si="41"/>
        <v>0016-1012-0012</v>
      </c>
      <c r="L1042" s="105" t="str">
        <f>VLOOKUP(K1042,COA!$A$3:$B$337,2,FALSE)</f>
        <v>R19</v>
      </c>
      <c r="M1042" s="105" t="str">
        <f t="shared" si="42"/>
        <v>R19</v>
      </c>
      <c r="N1042" s="105" t="str">
        <f>VLOOKUP(M1042,CAC!$A$2:$B$198,2,FALSE)</f>
        <v>HMOMG</v>
      </c>
    </row>
    <row r="1043" spans="5:14" x14ac:dyDescent="0.25">
      <c r="E1043" s="83">
        <v>201703</v>
      </c>
      <c r="F1043" s="82" t="s">
        <v>563</v>
      </c>
      <c r="G1043" s="82" t="s">
        <v>352</v>
      </c>
      <c r="H1043" s="82" t="s">
        <v>344</v>
      </c>
      <c r="I1043" s="95">
        <v>0</v>
      </c>
      <c r="K1043" s="105" t="str">
        <f t="shared" si="41"/>
        <v>0003-1004-0012</v>
      </c>
      <c r="L1043" s="105" t="str">
        <f>VLOOKUP(K1043,COA!$A$3:$B$337,2,FALSE)</f>
        <v>L51</v>
      </c>
      <c r="M1043" s="105" t="str">
        <f t="shared" si="42"/>
        <v>L51</v>
      </c>
      <c r="N1043" s="105" t="str">
        <f>VLOOKUP(M1043,CAC!$A$2:$B$198,2,FALSE)</f>
        <v>PPOLG</v>
      </c>
    </row>
    <row r="1044" spans="5:14" x14ac:dyDescent="0.25">
      <c r="E1044" s="83">
        <v>201503</v>
      </c>
      <c r="F1044" s="82" t="s">
        <v>563</v>
      </c>
      <c r="G1044" s="82" t="s">
        <v>365</v>
      </c>
      <c r="H1044" s="82" t="s">
        <v>344</v>
      </c>
      <c r="I1044" s="95">
        <v>0</v>
      </c>
      <c r="K1044" s="105" t="str">
        <f t="shared" si="41"/>
        <v>0003-1001-0012</v>
      </c>
      <c r="L1044" s="105" t="str">
        <f>VLOOKUP(K1044,COA!$A$3:$B$337,2,FALSE)</f>
        <v>V51</v>
      </c>
      <c r="M1044" s="105" t="str">
        <f t="shared" si="42"/>
        <v>V51</v>
      </c>
      <c r="N1044" s="105" t="str">
        <f>VLOOKUP(M1044,CAC!$A$2:$B$198,2,FALSE)</f>
        <v>PPOIFP</v>
      </c>
    </row>
    <row r="1045" spans="5:14" x14ac:dyDescent="0.25">
      <c r="E1045" s="83">
        <v>201504</v>
      </c>
      <c r="F1045" s="82" t="s">
        <v>344</v>
      </c>
      <c r="G1045" s="82" t="s">
        <v>355</v>
      </c>
      <c r="H1045" s="82" t="s">
        <v>344</v>
      </c>
      <c r="I1045" s="95">
        <v>253.97</v>
      </c>
      <c r="K1045" s="105" t="str">
        <f t="shared" si="41"/>
        <v>0012-1006-0012</v>
      </c>
      <c r="L1045" s="105" t="str">
        <f>VLOOKUP(K1045,COA!$A$3:$B$337,2,FALSE)</f>
        <v>L16</v>
      </c>
      <c r="M1045" s="105" t="str">
        <f t="shared" si="42"/>
        <v>L16</v>
      </c>
      <c r="N1045" s="105" t="str">
        <f>VLOOKUP(M1045,CAC!$A$2:$B$198,2,FALSE)</f>
        <v>HMOLG</v>
      </c>
    </row>
    <row r="1046" spans="5:14" x14ac:dyDescent="0.25">
      <c r="E1046" s="83">
        <v>201710</v>
      </c>
      <c r="F1046" s="82" t="s">
        <v>563</v>
      </c>
      <c r="G1046" s="82" t="s">
        <v>348</v>
      </c>
      <c r="H1046" s="82" t="s">
        <v>358</v>
      </c>
      <c r="I1046" s="95">
        <v>0</v>
      </c>
      <c r="K1046" s="105" t="str">
        <f t="shared" si="41"/>
        <v>0003-1010-0024</v>
      </c>
      <c r="L1046" s="105" t="str">
        <f>VLOOKUP(K1046,COA!$A$3:$B$337,2,FALSE)</f>
        <v>S56</v>
      </c>
      <c r="M1046" s="105" t="str">
        <f t="shared" si="42"/>
        <v>S56</v>
      </c>
      <c r="N1046" s="105" t="str">
        <f>VLOOKUP(M1046,CAC!$A$2:$B$198,2,FALSE)</f>
        <v>PPOSG</v>
      </c>
    </row>
    <row r="1047" spans="5:14" x14ac:dyDescent="0.25">
      <c r="E1047" s="83">
        <v>201708</v>
      </c>
      <c r="F1047" s="82" t="s">
        <v>563</v>
      </c>
      <c r="G1047" s="82" t="s">
        <v>352</v>
      </c>
      <c r="H1047" s="82" t="s">
        <v>344</v>
      </c>
      <c r="I1047" s="95">
        <v>0</v>
      </c>
      <c r="K1047" s="105" t="str">
        <f t="shared" si="41"/>
        <v>0003-1004-0012</v>
      </c>
      <c r="L1047" s="105" t="str">
        <f>VLOOKUP(K1047,COA!$A$3:$B$337,2,FALSE)</f>
        <v>L51</v>
      </c>
      <c r="M1047" s="105" t="str">
        <f t="shared" si="42"/>
        <v>L51</v>
      </c>
      <c r="N1047" s="105" t="str">
        <f>VLOOKUP(M1047,CAC!$A$2:$B$198,2,FALSE)</f>
        <v>PPOLG</v>
      </c>
    </row>
    <row r="1048" spans="5:14" x14ac:dyDescent="0.25">
      <c r="E1048" s="83">
        <v>201510</v>
      </c>
      <c r="F1048" s="82" t="s">
        <v>506</v>
      </c>
      <c r="G1048" s="82" t="s">
        <v>350</v>
      </c>
      <c r="H1048" s="82" t="s">
        <v>592</v>
      </c>
      <c r="I1048" s="95">
        <v>0</v>
      </c>
      <c r="K1048" s="105" t="str">
        <f t="shared" si="41"/>
        <v>0013-1012-0035</v>
      </c>
      <c r="L1048" s="105" t="str">
        <f>VLOOKUP(K1048,COA!$A$3:$B$337,2,FALSE)</f>
        <v>K41</v>
      </c>
      <c r="M1048" s="105" t="str">
        <f t="shared" si="42"/>
        <v>K41</v>
      </c>
      <c r="N1048" s="105" t="e">
        <f>VLOOKUP(M1048,CAC!$A$2:$B$198,2,FALSE)</f>
        <v>#N/A</v>
      </c>
    </row>
    <row r="1049" spans="5:14" x14ac:dyDescent="0.25">
      <c r="E1049" s="83">
        <v>201710</v>
      </c>
      <c r="F1049" s="82" t="s">
        <v>349</v>
      </c>
      <c r="G1049" s="82" t="s">
        <v>369</v>
      </c>
      <c r="H1049" s="82" t="s">
        <v>764</v>
      </c>
      <c r="I1049" s="95">
        <v>5312</v>
      </c>
      <c r="K1049" s="105" t="str">
        <f t="shared" si="41"/>
        <v>0017-1009-0064</v>
      </c>
      <c r="L1049" s="105" t="str">
        <f>VLOOKUP(K1049,COA!$A$3:$B$337,2,FALSE)</f>
        <v>R15</v>
      </c>
      <c r="M1049" s="105" t="str">
        <f t="shared" si="42"/>
        <v>R15</v>
      </c>
      <c r="N1049" s="105" t="str">
        <f>VLOOKUP(M1049,CAC!$A$2:$B$198,2,FALSE)</f>
        <v>HMOMM</v>
      </c>
    </row>
    <row r="1050" spans="5:14" x14ac:dyDescent="0.25">
      <c r="E1050" s="83">
        <v>201502</v>
      </c>
      <c r="F1050" s="82" t="s">
        <v>746</v>
      </c>
      <c r="G1050" s="82" t="s">
        <v>361</v>
      </c>
      <c r="H1050" s="82" t="s">
        <v>344</v>
      </c>
      <c r="I1050" s="95">
        <v>437</v>
      </c>
      <c r="K1050" s="105" t="str">
        <f t="shared" si="41"/>
        <v>0016-1003-0012</v>
      </c>
      <c r="L1050" s="105" t="str">
        <f>VLOOKUP(K1050,COA!$A$3:$B$337,2,FALSE)</f>
        <v>R18</v>
      </c>
      <c r="M1050" s="105" t="str">
        <f t="shared" si="42"/>
        <v>R18</v>
      </c>
      <c r="N1050" s="105" t="str">
        <f>VLOOKUP(M1050,CAC!$A$2:$B$198,2,FALSE)</f>
        <v>HMOMG</v>
      </c>
    </row>
    <row r="1051" spans="5:14" x14ac:dyDescent="0.25">
      <c r="E1051" s="83">
        <v>201708</v>
      </c>
      <c r="F1051" s="82" t="s">
        <v>746</v>
      </c>
      <c r="G1051" s="82" t="s">
        <v>356</v>
      </c>
      <c r="H1051" s="82" t="s">
        <v>344</v>
      </c>
      <c r="I1051" s="95">
        <v>136</v>
      </c>
      <c r="K1051" s="105" t="str">
        <f t="shared" si="41"/>
        <v>0016-1002-0012</v>
      </c>
      <c r="L1051" s="105" t="str">
        <f>VLOOKUP(K1051,COA!$A$3:$B$337,2,FALSE)</f>
        <v>R18</v>
      </c>
      <c r="M1051" s="105" t="str">
        <f t="shared" si="42"/>
        <v>R18</v>
      </c>
      <c r="N1051" s="105" t="str">
        <f>VLOOKUP(M1051,CAC!$A$2:$B$198,2,FALSE)</f>
        <v>HMOMG</v>
      </c>
    </row>
    <row r="1052" spans="5:14" x14ac:dyDescent="0.25">
      <c r="E1052" s="83">
        <v>201509</v>
      </c>
      <c r="F1052" s="82" t="s">
        <v>345</v>
      </c>
      <c r="G1052" s="82" t="s">
        <v>354</v>
      </c>
      <c r="H1052" s="82" t="s">
        <v>344</v>
      </c>
      <c r="I1052" s="95">
        <v>2495</v>
      </c>
      <c r="K1052" s="105" t="str">
        <f t="shared" si="41"/>
        <v>0011-1013-0012</v>
      </c>
      <c r="L1052" s="105" t="str">
        <f>VLOOKUP(K1052,COA!$A$3:$B$337,2,FALSE)</f>
        <v>N20</v>
      </c>
      <c r="M1052" s="105" t="str">
        <f t="shared" si="42"/>
        <v>N20</v>
      </c>
      <c r="N1052" s="105" t="str">
        <f>VLOOKUP(M1052,CAC!$A$2:$B$198,2,FALSE)</f>
        <v>HMOPMR</v>
      </c>
    </row>
    <row r="1053" spans="5:14" x14ac:dyDescent="0.25">
      <c r="E1053" s="83">
        <v>201607</v>
      </c>
      <c r="F1053" s="82" t="s">
        <v>549</v>
      </c>
      <c r="G1053" s="82" t="s">
        <v>352</v>
      </c>
      <c r="H1053" s="82" t="s">
        <v>672</v>
      </c>
      <c r="I1053" s="95">
        <v>0</v>
      </c>
      <c r="K1053" s="105" t="str">
        <f t="shared" si="41"/>
        <v>0026-1004-0058</v>
      </c>
      <c r="L1053" s="105" t="str">
        <f>VLOOKUP(K1053,COA!$A$3:$B$337,2,FALSE)</f>
        <v>L44</v>
      </c>
      <c r="M1053" s="105" t="str">
        <f t="shared" si="42"/>
        <v>L44</v>
      </c>
      <c r="N1053" s="105" t="e">
        <f>VLOOKUP(M1053,CAC!$A$2:$B$198,2,FALSE)</f>
        <v>#N/A</v>
      </c>
    </row>
    <row r="1054" spans="5:14" x14ac:dyDescent="0.25">
      <c r="E1054" s="83">
        <v>201508</v>
      </c>
      <c r="F1054" s="82" t="s">
        <v>345</v>
      </c>
      <c r="G1054" s="82" t="s">
        <v>348</v>
      </c>
      <c r="H1054" s="82" t="s">
        <v>353</v>
      </c>
      <c r="I1054" s="95">
        <v>350</v>
      </c>
      <c r="K1054" s="105" t="str">
        <f t="shared" si="41"/>
        <v>0011-1010-0023</v>
      </c>
      <c r="L1054" s="105" t="str">
        <f>VLOOKUP(K1054,COA!$A$3:$B$337,2,FALSE)</f>
        <v>S13</v>
      </c>
      <c r="M1054" s="105" t="str">
        <f t="shared" si="42"/>
        <v>S13</v>
      </c>
      <c r="N1054" s="105" t="str">
        <f>VLOOKUP(M1054,CAC!$A$2:$B$198,2,FALSE)</f>
        <v>HMOSG</v>
      </c>
    </row>
    <row r="1055" spans="5:14" x14ac:dyDescent="0.25">
      <c r="E1055" s="83">
        <v>201606</v>
      </c>
      <c r="F1055" s="82" t="s">
        <v>563</v>
      </c>
      <c r="G1055" s="82" t="s">
        <v>356</v>
      </c>
      <c r="H1055" s="82" t="s">
        <v>344</v>
      </c>
      <c r="I1055" s="95">
        <v>0</v>
      </c>
      <c r="K1055" s="105" t="str">
        <f t="shared" si="41"/>
        <v>0003-1002-0012</v>
      </c>
      <c r="L1055" s="105" t="str">
        <f>VLOOKUP(K1055,COA!$A$3:$B$337,2,FALSE)</f>
        <v>F61</v>
      </c>
      <c r="M1055" s="105" t="str">
        <f t="shared" si="42"/>
        <v>F61</v>
      </c>
      <c r="N1055" s="105" t="str">
        <f>VLOOKUP(M1055,CAC!$A$2:$B$198,2,FALSE)</f>
        <v>PPOPMR</v>
      </c>
    </row>
    <row r="1056" spans="5:14" x14ac:dyDescent="0.25">
      <c r="E1056" s="83">
        <v>201602</v>
      </c>
      <c r="F1056" s="82" t="s">
        <v>413</v>
      </c>
      <c r="G1056" s="82" t="s">
        <v>354</v>
      </c>
      <c r="H1056" s="82" t="s">
        <v>344</v>
      </c>
      <c r="I1056" s="95">
        <v>0</v>
      </c>
      <c r="K1056" s="105" t="str">
        <f t="shared" si="41"/>
        <v>0008-1013-0012</v>
      </c>
      <c r="L1056" s="105" t="str">
        <f>VLOOKUP(K1056,COA!$A$3:$B$337,2,FALSE)</f>
        <v>C76</v>
      </c>
      <c r="M1056" s="105" t="str">
        <f t="shared" si="42"/>
        <v>C76</v>
      </c>
      <c r="N1056" s="105" t="str">
        <f>VLOOKUP(M1056,CAC!$A$2:$B$198,2,FALSE)</f>
        <v>DOILG</v>
      </c>
    </row>
    <row r="1057" spans="5:14" x14ac:dyDescent="0.25">
      <c r="E1057" s="83">
        <v>201701</v>
      </c>
      <c r="F1057" s="82" t="s">
        <v>344</v>
      </c>
      <c r="G1057" s="82" t="s">
        <v>350</v>
      </c>
      <c r="H1057" s="82" t="s">
        <v>344</v>
      </c>
      <c r="I1057" s="95">
        <v>48</v>
      </c>
      <c r="K1057" s="105" t="str">
        <f t="shared" si="41"/>
        <v>0012-1012-0012</v>
      </c>
      <c r="L1057" s="105" t="str">
        <f>VLOOKUP(K1057,COA!$A$3:$B$337,2,FALSE)</f>
        <v>K12</v>
      </c>
      <c r="M1057" s="105" t="str">
        <f t="shared" si="42"/>
        <v>K12</v>
      </c>
      <c r="N1057" s="105" t="str">
        <f>VLOOKUP(M1057,CAC!$A$2:$B$198,2,FALSE)</f>
        <v>HMOPMR</v>
      </c>
    </row>
    <row r="1058" spans="5:14" x14ac:dyDescent="0.25">
      <c r="E1058" s="83">
        <v>201602</v>
      </c>
      <c r="F1058" s="82" t="s">
        <v>413</v>
      </c>
      <c r="G1058" s="82" t="s">
        <v>356</v>
      </c>
      <c r="H1058" s="82" t="s">
        <v>344</v>
      </c>
      <c r="I1058" s="95">
        <v>0</v>
      </c>
      <c r="K1058" s="105" t="str">
        <f t="shared" si="41"/>
        <v>0008-1002-0012</v>
      </c>
      <c r="L1058" s="105" t="str">
        <f>VLOOKUP(K1058,COA!$A$3:$B$337,2,FALSE)</f>
        <v>C74</v>
      </c>
      <c r="M1058" s="105" t="str">
        <f t="shared" si="42"/>
        <v>C74</v>
      </c>
      <c r="N1058" s="105" t="str">
        <f>VLOOKUP(M1058,CAC!$A$2:$B$198,2,FALSE)</f>
        <v>DOILG</v>
      </c>
    </row>
    <row r="1059" spans="5:14" x14ac:dyDescent="0.25">
      <c r="E1059" s="83">
        <v>201505</v>
      </c>
      <c r="F1059" s="82" t="s">
        <v>563</v>
      </c>
      <c r="G1059" s="82" t="s">
        <v>348</v>
      </c>
      <c r="H1059" s="82" t="s">
        <v>358</v>
      </c>
      <c r="I1059" s="95">
        <v>0</v>
      </c>
      <c r="K1059" s="105" t="str">
        <f t="shared" si="41"/>
        <v>0003-1010-0024</v>
      </c>
      <c r="L1059" s="105" t="str">
        <f>VLOOKUP(K1059,COA!$A$3:$B$337,2,FALSE)</f>
        <v>S56</v>
      </c>
      <c r="M1059" s="105" t="str">
        <f t="shared" si="42"/>
        <v>S56</v>
      </c>
      <c r="N1059" s="105" t="str">
        <f>VLOOKUP(M1059,CAC!$A$2:$B$198,2,FALSE)</f>
        <v>PPOSG</v>
      </c>
    </row>
    <row r="1060" spans="5:14" x14ac:dyDescent="0.25">
      <c r="E1060" s="83">
        <v>201710</v>
      </c>
      <c r="F1060" s="82" t="s">
        <v>345</v>
      </c>
      <c r="G1060" s="82" t="s">
        <v>365</v>
      </c>
      <c r="H1060" s="82" t="s">
        <v>366</v>
      </c>
      <c r="I1060" s="95">
        <v>1468.61</v>
      </c>
      <c r="K1060" s="105" t="str">
        <f t="shared" si="41"/>
        <v>0011-1001-0021</v>
      </c>
      <c r="L1060" s="105" t="str">
        <f>VLOOKUP(K1060,COA!$A$3:$B$337,2,FALSE)</f>
        <v>V13</v>
      </c>
      <c r="M1060" s="105" t="str">
        <f t="shared" si="42"/>
        <v>V13</v>
      </c>
      <c r="N1060" s="105" t="str">
        <f>VLOOKUP(M1060,CAC!$A$2:$B$198,2,FALSE)</f>
        <v>HMOIFP</v>
      </c>
    </row>
    <row r="1061" spans="5:14" x14ac:dyDescent="0.25">
      <c r="E1061" s="83">
        <v>201608</v>
      </c>
      <c r="F1061" s="82" t="s">
        <v>563</v>
      </c>
      <c r="G1061" s="82" t="s">
        <v>354</v>
      </c>
      <c r="H1061" s="82" t="s">
        <v>653</v>
      </c>
      <c r="I1061" s="95">
        <v>0</v>
      </c>
      <c r="K1061" s="105" t="str">
        <f t="shared" si="41"/>
        <v>0003-1013-0047</v>
      </c>
      <c r="L1061" s="105" t="str">
        <f>VLOOKUP(K1061,COA!$A$3:$B$337,2,FALSE)</f>
        <v>N57</v>
      </c>
      <c r="M1061" s="105" t="str">
        <f t="shared" si="42"/>
        <v>N57</v>
      </c>
      <c r="N1061" s="105" t="str">
        <f>VLOOKUP(M1061,CAC!$A$2:$B$198,2,FALSE)</f>
        <v>PPOPMR</v>
      </c>
    </row>
    <row r="1062" spans="5:14" x14ac:dyDescent="0.25">
      <c r="E1062" s="83">
        <v>201608</v>
      </c>
      <c r="F1062" s="82" t="s">
        <v>563</v>
      </c>
      <c r="G1062" s="82" t="s">
        <v>359</v>
      </c>
      <c r="H1062" s="82" t="s">
        <v>344</v>
      </c>
      <c r="I1062" s="95">
        <v>0</v>
      </c>
      <c r="K1062" s="105" t="str">
        <f t="shared" si="41"/>
        <v>0003-1005-0012</v>
      </c>
      <c r="L1062" s="105" t="str">
        <f>VLOOKUP(K1062,COA!$A$3:$B$337,2,FALSE)</f>
        <v>N51</v>
      </c>
      <c r="M1062" s="105" t="str">
        <f t="shared" si="42"/>
        <v>N51</v>
      </c>
      <c r="N1062" s="105" t="str">
        <f>VLOOKUP(M1062,CAC!$A$2:$B$198,2,FALSE)</f>
        <v>PPOLG</v>
      </c>
    </row>
    <row r="1063" spans="5:14" x14ac:dyDescent="0.25">
      <c r="E1063" s="83">
        <v>201508</v>
      </c>
      <c r="F1063" s="82" t="s">
        <v>563</v>
      </c>
      <c r="G1063" s="82" t="s">
        <v>356</v>
      </c>
      <c r="H1063" s="82" t="s">
        <v>344</v>
      </c>
      <c r="I1063" s="95">
        <v>0</v>
      </c>
      <c r="K1063" s="105" t="str">
        <f t="shared" si="41"/>
        <v>0003-1002-0012</v>
      </c>
      <c r="L1063" s="105" t="str">
        <f>VLOOKUP(K1063,COA!$A$3:$B$337,2,FALSE)</f>
        <v>F61</v>
      </c>
      <c r="M1063" s="105" t="str">
        <f t="shared" si="42"/>
        <v>F61</v>
      </c>
      <c r="N1063" s="105" t="str">
        <f>VLOOKUP(M1063,CAC!$A$2:$B$198,2,FALSE)</f>
        <v>PPOPMR</v>
      </c>
    </row>
    <row r="1064" spans="5:14" x14ac:dyDescent="0.25">
      <c r="E1064" s="83">
        <v>201707</v>
      </c>
      <c r="F1064" s="82" t="s">
        <v>563</v>
      </c>
      <c r="G1064" s="82" t="s">
        <v>355</v>
      </c>
      <c r="H1064" s="82" t="s">
        <v>344</v>
      </c>
      <c r="I1064" s="95">
        <v>0</v>
      </c>
      <c r="K1064" s="105" t="str">
        <f t="shared" si="41"/>
        <v>0003-1006-0012</v>
      </c>
      <c r="L1064" s="105" t="str">
        <f>VLOOKUP(K1064,COA!$A$3:$B$337,2,FALSE)</f>
        <v>L52</v>
      </c>
      <c r="M1064" s="105" t="str">
        <f t="shared" si="42"/>
        <v>L52</v>
      </c>
      <c r="N1064" s="105" t="str">
        <f>VLOOKUP(M1064,CAC!$A$2:$B$198,2,FALSE)</f>
        <v>PPOLG</v>
      </c>
    </row>
    <row r="1065" spans="5:14" x14ac:dyDescent="0.25">
      <c r="E1065" s="83">
        <v>201709</v>
      </c>
      <c r="F1065" s="82" t="s">
        <v>563</v>
      </c>
      <c r="G1065" s="82" t="s">
        <v>354</v>
      </c>
      <c r="H1065" s="82" t="s">
        <v>360</v>
      </c>
      <c r="I1065" s="95">
        <v>0</v>
      </c>
      <c r="K1065" s="105" t="str">
        <f t="shared" si="41"/>
        <v>0003-1013-0048</v>
      </c>
      <c r="L1065" s="105" t="str">
        <f>VLOOKUP(K1065,COA!$A$3:$B$337,2,FALSE)</f>
        <v>N56</v>
      </c>
      <c r="M1065" s="105" t="str">
        <f t="shared" si="42"/>
        <v>N56</v>
      </c>
      <c r="N1065" s="105" t="str">
        <f>VLOOKUP(M1065,CAC!$A$2:$B$198,2,FALSE)</f>
        <v>HMFLEX</v>
      </c>
    </row>
    <row r="1066" spans="5:14" x14ac:dyDescent="0.25">
      <c r="E1066" s="83">
        <v>201711</v>
      </c>
      <c r="F1066" s="82" t="s">
        <v>345</v>
      </c>
      <c r="G1066" s="82" t="s">
        <v>354</v>
      </c>
      <c r="H1066" s="82" t="s">
        <v>360</v>
      </c>
      <c r="I1066" s="95">
        <v>5159.8999999999996</v>
      </c>
      <c r="K1066" s="105" t="str">
        <f t="shared" si="41"/>
        <v>0011-1013-0048</v>
      </c>
      <c r="L1066" s="105" t="str">
        <f>VLOOKUP(K1066,COA!$A$3:$B$337,2,FALSE)</f>
        <v>N21</v>
      </c>
      <c r="M1066" s="105" t="str">
        <f t="shared" si="42"/>
        <v>N21</v>
      </c>
      <c r="N1066" s="105" t="str">
        <f>VLOOKUP(M1066,CAC!$A$2:$B$198,2,FALSE)</f>
        <v>HMFLEX</v>
      </c>
    </row>
    <row r="1067" spans="5:14" x14ac:dyDescent="0.25">
      <c r="E1067" s="83">
        <v>201709</v>
      </c>
      <c r="F1067" s="82" t="s">
        <v>563</v>
      </c>
      <c r="G1067" s="82" t="s">
        <v>355</v>
      </c>
      <c r="H1067" s="82" t="s">
        <v>344</v>
      </c>
      <c r="I1067" s="95">
        <v>0</v>
      </c>
      <c r="K1067" s="105" t="str">
        <f t="shared" si="41"/>
        <v>0003-1006-0012</v>
      </c>
      <c r="L1067" s="105" t="str">
        <f>VLOOKUP(K1067,COA!$A$3:$B$337,2,FALSE)</f>
        <v>L52</v>
      </c>
      <c r="M1067" s="105" t="str">
        <f t="shared" si="42"/>
        <v>L52</v>
      </c>
      <c r="N1067" s="105" t="str">
        <f>VLOOKUP(M1067,CAC!$A$2:$B$198,2,FALSE)</f>
        <v>PPOLG</v>
      </c>
    </row>
    <row r="1068" spans="5:14" x14ac:dyDescent="0.25">
      <c r="E1068" s="83">
        <v>201612</v>
      </c>
      <c r="F1068" s="82" t="s">
        <v>345</v>
      </c>
      <c r="G1068" s="82" t="s">
        <v>354</v>
      </c>
      <c r="H1068" s="82" t="s">
        <v>360</v>
      </c>
      <c r="I1068" s="95">
        <v>5101</v>
      </c>
      <c r="K1068" s="105" t="str">
        <f t="shared" si="41"/>
        <v>0011-1013-0048</v>
      </c>
      <c r="L1068" s="105" t="str">
        <f>VLOOKUP(K1068,COA!$A$3:$B$337,2,FALSE)</f>
        <v>N21</v>
      </c>
      <c r="M1068" s="105" t="str">
        <f t="shared" si="42"/>
        <v>N21</v>
      </c>
      <c r="N1068" s="105" t="str">
        <f>VLOOKUP(M1068,CAC!$A$2:$B$198,2,FALSE)</f>
        <v>HMFLEX</v>
      </c>
    </row>
    <row r="1069" spans="5:14" x14ac:dyDescent="0.25">
      <c r="E1069" s="83">
        <v>201512</v>
      </c>
      <c r="F1069" s="82" t="s">
        <v>344</v>
      </c>
      <c r="G1069" s="82" t="s">
        <v>354</v>
      </c>
      <c r="H1069" s="82" t="s">
        <v>344</v>
      </c>
      <c r="I1069" s="95">
        <v>273</v>
      </c>
      <c r="K1069" s="105" t="str">
        <f t="shared" si="41"/>
        <v>0012-1013-0012</v>
      </c>
      <c r="L1069" s="105" t="str">
        <f>VLOOKUP(K1069,COA!$A$3:$B$337,2,FALSE)</f>
        <v>N14</v>
      </c>
      <c r="M1069" s="105" t="str">
        <f t="shared" si="42"/>
        <v>N14</v>
      </c>
      <c r="N1069" s="105" t="str">
        <f>VLOOKUP(M1069,CAC!$A$2:$B$198,2,FALSE)</f>
        <v>HMOPMR</v>
      </c>
    </row>
    <row r="1070" spans="5:14" x14ac:dyDescent="0.25">
      <c r="E1070" s="83">
        <v>201709</v>
      </c>
      <c r="F1070" s="82" t="s">
        <v>746</v>
      </c>
      <c r="G1070" s="82" t="s">
        <v>352</v>
      </c>
      <c r="H1070" s="82" t="s">
        <v>344</v>
      </c>
      <c r="I1070" s="95">
        <v>3</v>
      </c>
      <c r="K1070" s="105" t="str">
        <f t="shared" si="41"/>
        <v>0016-1004-0012</v>
      </c>
      <c r="L1070" s="105" t="str">
        <f>VLOOKUP(K1070,COA!$A$3:$B$337,2,FALSE)</f>
        <v>R20</v>
      </c>
      <c r="M1070" s="105" t="str">
        <f t="shared" si="42"/>
        <v>R20</v>
      </c>
      <c r="N1070" s="105" t="str">
        <f>VLOOKUP(M1070,CAC!$A$2:$B$198,2,FALSE)</f>
        <v>HMOMG</v>
      </c>
    </row>
    <row r="1071" spans="5:14" x14ac:dyDescent="0.25">
      <c r="E1071" s="83">
        <v>201506</v>
      </c>
      <c r="F1071" s="82" t="s">
        <v>563</v>
      </c>
      <c r="G1071" s="82" t="s">
        <v>365</v>
      </c>
      <c r="H1071" s="82" t="s">
        <v>344</v>
      </c>
      <c r="I1071" s="95">
        <v>0</v>
      </c>
      <c r="K1071" s="105" t="str">
        <f t="shared" si="41"/>
        <v>0003-1001-0012</v>
      </c>
      <c r="L1071" s="105" t="str">
        <f>VLOOKUP(K1071,COA!$A$3:$B$337,2,FALSE)</f>
        <v>V51</v>
      </c>
      <c r="M1071" s="105" t="str">
        <f t="shared" si="42"/>
        <v>V51</v>
      </c>
      <c r="N1071" s="105" t="str">
        <f>VLOOKUP(M1071,CAC!$A$2:$B$198,2,FALSE)</f>
        <v>PPOIFP</v>
      </c>
    </row>
    <row r="1072" spans="5:14" x14ac:dyDescent="0.25">
      <c r="E1072" s="83">
        <v>201512</v>
      </c>
      <c r="F1072" s="82" t="s">
        <v>506</v>
      </c>
      <c r="G1072" s="82" t="s">
        <v>350</v>
      </c>
      <c r="H1072" s="82" t="s">
        <v>592</v>
      </c>
      <c r="I1072" s="95">
        <v>0</v>
      </c>
      <c r="K1072" s="105" t="str">
        <f t="shared" si="41"/>
        <v>0013-1012-0035</v>
      </c>
      <c r="L1072" s="105" t="str">
        <f>VLOOKUP(K1072,COA!$A$3:$B$337,2,FALSE)</f>
        <v>K41</v>
      </c>
      <c r="M1072" s="105" t="str">
        <f t="shared" si="42"/>
        <v>K41</v>
      </c>
      <c r="N1072" s="105" t="e">
        <f>VLOOKUP(M1072,CAC!$A$2:$B$198,2,FALSE)</f>
        <v>#N/A</v>
      </c>
    </row>
    <row r="1073" spans="5:14" x14ac:dyDescent="0.25">
      <c r="E1073" s="83">
        <v>201503</v>
      </c>
      <c r="F1073" s="82" t="s">
        <v>506</v>
      </c>
      <c r="G1073" s="82" t="s">
        <v>346</v>
      </c>
      <c r="H1073" s="82" t="s">
        <v>592</v>
      </c>
      <c r="I1073" s="95">
        <v>0</v>
      </c>
      <c r="K1073" s="105" t="str">
        <f t="shared" si="41"/>
        <v>0013-1014-0035</v>
      </c>
      <c r="L1073" s="105" t="str">
        <f>VLOOKUP(K1073,COA!$A$3:$B$337,2,FALSE)</f>
        <v>K42</v>
      </c>
      <c r="M1073" s="105" t="str">
        <f t="shared" si="42"/>
        <v>K42</v>
      </c>
      <c r="N1073" s="105" t="str">
        <f>VLOOKUP(M1073,CAC!$A$2:$B$198,2,FALSE)</f>
        <v>HMFLEX</v>
      </c>
    </row>
    <row r="1074" spans="5:14" x14ac:dyDescent="0.25">
      <c r="E1074" s="83">
        <v>201605</v>
      </c>
      <c r="F1074" s="82" t="s">
        <v>345</v>
      </c>
      <c r="G1074" s="82" t="s">
        <v>346</v>
      </c>
      <c r="H1074" s="82" t="s">
        <v>360</v>
      </c>
      <c r="I1074" s="95">
        <v>360</v>
      </c>
      <c r="K1074" s="105" t="str">
        <f t="shared" si="41"/>
        <v>0011-1014-0048</v>
      </c>
      <c r="L1074" s="105" t="str">
        <f>VLOOKUP(K1074,COA!$A$3:$B$337,2,FALSE)</f>
        <v>K23</v>
      </c>
      <c r="M1074" s="105" t="str">
        <f t="shared" si="42"/>
        <v>K23</v>
      </c>
      <c r="N1074" s="105" t="str">
        <f>VLOOKUP(M1074,CAC!$A$2:$B$198,2,FALSE)</f>
        <v>HMFLEX</v>
      </c>
    </row>
    <row r="1075" spans="5:14" x14ac:dyDescent="0.25">
      <c r="E1075" s="83">
        <v>201506</v>
      </c>
      <c r="F1075" s="82" t="s">
        <v>746</v>
      </c>
      <c r="G1075" s="82" t="s">
        <v>354</v>
      </c>
      <c r="H1075" s="82" t="s">
        <v>344</v>
      </c>
      <c r="I1075" s="95">
        <v>76</v>
      </c>
      <c r="K1075" s="105" t="str">
        <f t="shared" si="41"/>
        <v>0016-1013-0012</v>
      </c>
      <c r="L1075" s="105" t="str">
        <f>VLOOKUP(K1075,COA!$A$3:$B$337,2,FALSE)</f>
        <v>R19</v>
      </c>
      <c r="M1075" s="105" t="str">
        <f t="shared" si="42"/>
        <v>R19</v>
      </c>
      <c r="N1075" s="105" t="str">
        <f>VLOOKUP(M1075,CAC!$A$2:$B$198,2,FALSE)</f>
        <v>HMOMG</v>
      </c>
    </row>
    <row r="1076" spans="5:14" x14ac:dyDescent="0.25">
      <c r="E1076" s="83">
        <v>201801</v>
      </c>
      <c r="F1076" s="82" t="s">
        <v>563</v>
      </c>
      <c r="G1076" s="82" t="s">
        <v>359</v>
      </c>
      <c r="H1076" s="82" t="s">
        <v>349</v>
      </c>
      <c r="I1076" s="95">
        <v>0</v>
      </c>
      <c r="K1076" s="105" t="str">
        <f t="shared" si="41"/>
        <v>0003-1005-0017</v>
      </c>
      <c r="L1076" s="105" t="e">
        <f>VLOOKUP(K1076,COA!$A$3:$B$337,2,FALSE)</f>
        <v>#N/A</v>
      </c>
      <c r="M1076" s="105" t="str">
        <f t="shared" si="42"/>
        <v>XXX</v>
      </c>
      <c r="N1076" s="105" t="str">
        <f>VLOOKUP(M1076,CAC!$A$2:$B$198,2,FALSE)</f>
        <v>XXX</v>
      </c>
    </row>
    <row r="1077" spans="5:14" x14ac:dyDescent="0.25">
      <c r="E1077" s="83">
        <v>201609</v>
      </c>
      <c r="F1077" s="82" t="s">
        <v>563</v>
      </c>
      <c r="G1077" s="82" t="s">
        <v>365</v>
      </c>
      <c r="H1077" s="82" t="s">
        <v>366</v>
      </c>
      <c r="I1077" s="95">
        <v>0</v>
      </c>
      <c r="K1077" s="105" t="str">
        <f t="shared" si="41"/>
        <v>0003-1001-0021</v>
      </c>
      <c r="L1077" s="105" t="str">
        <f>VLOOKUP(K1077,COA!$A$3:$B$337,2,FALSE)</f>
        <v>V53</v>
      </c>
      <c r="M1077" s="105" t="str">
        <f t="shared" si="42"/>
        <v>V53</v>
      </c>
      <c r="N1077" s="105" t="str">
        <f>VLOOKUP(M1077,CAC!$A$2:$B$198,2,FALSE)</f>
        <v>PPOIFP</v>
      </c>
    </row>
    <row r="1078" spans="5:14" x14ac:dyDescent="0.25">
      <c r="E1078" s="83">
        <v>201606</v>
      </c>
      <c r="F1078" s="82" t="s">
        <v>563</v>
      </c>
      <c r="G1078" s="82" t="s">
        <v>359</v>
      </c>
      <c r="H1078" s="82" t="s">
        <v>344</v>
      </c>
      <c r="I1078" s="95">
        <v>0</v>
      </c>
      <c r="K1078" s="105" t="str">
        <f t="shared" si="41"/>
        <v>0003-1005-0012</v>
      </c>
      <c r="L1078" s="105" t="str">
        <f>VLOOKUP(K1078,COA!$A$3:$B$337,2,FALSE)</f>
        <v>N51</v>
      </c>
      <c r="M1078" s="105" t="str">
        <f t="shared" si="42"/>
        <v>N51</v>
      </c>
      <c r="N1078" s="105" t="str">
        <f>VLOOKUP(M1078,CAC!$A$2:$B$198,2,FALSE)</f>
        <v>PPOLG</v>
      </c>
    </row>
    <row r="1079" spans="5:14" x14ac:dyDescent="0.25">
      <c r="E1079" s="83">
        <v>201712</v>
      </c>
      <c r="F1079" s="82" t="s">
        <v>563</v>
      </c>
      <c r="G1079" s="82" t="s">
        <v>348</v>
      </c>
      <c r="H1079" s="82" t="s">
        <v>349</v>
      </c>
      <c r="I1079" s="95">
        <v>0</v>
      </c>
      <c r="K1079" s="105" t="str">
        <f t="shared" si="41"/>
        <v>0003-1010-0017</v>
      </c>
      <c r="L1079" s="105" t="str">
        <f>VLOOKUP(K1079,COA!$A$3:$B$337,2,FALSE)</f>
        <v>S51</v>
      </c>
      <c r="M1079" s="105" t="str">
        <f t="shared" si="42"/>
        <v>S51</v>
      </c>
      <c r="N1079" s="105" t="str">
        <f>VLOOKUP(M1079,CAC!$A$2:$B$198,2,FALSE)</f>
        <v>PPOSG</v>
      </c>
    </row>
    <row r="1080" spans="5:14" x14ac:dyDescent="0.25">
      <c r="E1080" s="83">
        <v>201701</v>
      </c>
      <c r="F1080" s="82" t="s">
        <v>345</v>
      </c>
      <c r="G1080" s="82" t="s">
        <v>356</v>
      </c>
      <c r="H1080" s="82" t="s">
        <v>344</v>
      </c>
      <c r="I1080" s="95">
        <v>16066.12</v>
      </c>
      <c r="K1080" s="105" t="str">
        <f t="shared" si="41"/>
        <v>0011-1002-0012</v>
      </c>
      <c r="L1080" s="105" t="str">
        <f>VLOOKUP(K1080,COA!$A$3:$B$337,2,FALSE)</f>
        <v>F20</v>
      </c>
      <c r="M1080" s="105" t="str">
        <f t="shared" si="42"/>
        <v>F20</v>
      </c>
      <c r="N1080" s="105" t="str">
        <f>VLOOKUP(M1080,CAC!$A$2:$B$198,2,FALSE)</f>
        <v>HMOPMR</v>
      </c>
    </row>
    <row r="1081" spans="5:14" x14ac:dyDescent="0.25">
      <c r="E1081" s="83">
        <v>201605</v>
      </c>
      <c r="F1081" s="82" t="s">
        <v>506</v>
      </c>
      <c r="G1081" s="82" t="s">
        <v>346</v>
      </c>
      <c r="H1081" s="82" t="s">
        <v>592</v>
      </c>
      <c r="I1081" s="95">
        <v>0</v>
      </c>
      <c r="K1081" s="105" t="str">
        <f t="shared" si="41"/>
        <v>0013-1014-0035</v>
      </c>
      <c r="L1081" s="105" t="str">
        <f>VLOOKUP(K1081,COA!$A$3:$B$337,2,FALSE)</f>
        <v>K42</v>
      </c>
      <c r="M1081" s="105" t="str">
        <f t="shared" si="42"/>
        <v>K42</v>
      </c>
      <c r="N1081" s="105" t="str">
        <f>VLOOKUP(M1081,CAC!$A$2:$B$198,2,FALSE)</f>
        <v>HMFLEX</v>
      </c>
    </row>
    <row r="1082" spans="5:14" x14ac:dyDescent="0.25">
      <c r="E1082" s="83">
        <v>201707</v>
      </c>
      <c r="F1082" s="82" t="s">
        <v>345</v>
      </c>
      <c r="G1082" s="82" t="s">
        <v>346</v>
      </c>
      <c r="H1082" s="82" t="s">
        <v>360</v>
      </c>
      <c r="I1082" s="95">
        <v>323</v>
      </c>
      <c r="K1082" s="105" t="str">
        <f t="shared" si="41"/>
        <v>0011-1014-0048</v>
      </c>
      <c r="L1082" s="105" t="str">
        <f>VLOOKUP(K1082,COA!$A$3:$B$337,2,FALSE)</f>
        <v>K23</v>
      </c>
      <c r="M1082" s="105" t="str">
        <f t="shared" si="42"/>
        <v>K23</v>
      </c>
      <c r="N1082" s="105" t="str">
        <f>VLOOKUP(M1082,CAC!$A$2:$B$198,2,FALSE)</f>
        <v>HMFLEX</v>
      </c>
    </row>
    <row r="1083" spans="5:14" x14ac:dyDescent="0.25">
      <c r="E1083" s="83">
        <v>201606</v>
      </c>
      <c r="F1083" s="82" t="s">
        <v>344</v>
      </c>
      <c r="G1083" s="82" t="s">
        <v>352</v>
      </c>
      <c r="H1083" s="82" t="s">
        <v>360</v>
      </c>
      <c r="I1083" s="95">
        <v>222.4</v>
      </c>
      <c r="K1083" s="105" t="str">
        <f t="shared" si="41"/>
        <v>0012-1004-0048</v>
      </c>
      <c r="L1083" s="105" t="str">
        <f>VLOOKUP(K1083,COA!$A$3:$B$337,2,FALSE)</f>
        <v>L22</v>
      </c>
      <c r="M1083" s="105" t="str">
        <f t="shared" si="42"/>
        <v>L22</v>
      </c>
      <c r="N1083" s="105" t="str">
        <f>VLOOKUP(M1083,CAC!$A$2:$B$198,2,FALSE)</f>
        <v>HMFLEX</v>
      </c>
    </row>
    <row r="1084" spans="5:14" x14ac:dyDescent="0.25">
      <c r="E1084" s="83">
        <v>201512</v>
      </c>
      <c r="F1084" s="82" t="s">
        <v>344</v>
      </c>
      <c r="G1084" s="82" t="s">
        <v>350</v>
      </c>
      <c r="H1084" s="82" t="s">
        <v>344</v>
      </c>
      <c r="I1084" s="95">
        <v>121</v>
      </c>
      <c r="K1084" s="105" t="str">
        <f t="shared" si="41"/>
        <v>0012-1012-0012</v>
      </c>
      <c r="L1084" s="105" t="str">
        <f>VLOOKUP(K1084,COA!$A$3:$B$337,2,FALSE)</f>
        <v>K12</v>
      </c>
      <c r="M1084" s="105" t="str">
        <f t="shared" si="42"/>
        <v>K12</v>
      </c>
      <c r="N1084" s="105" t="str">
        <f>VLOOKUP(M1084,CAC!$A$2:$B$198,2,FALSE)</f>
        <v>HMOPMR</v>
      </c>
    </row>
    <row r="1085" spans="5:14" x14ac:dyDescent="0.25">
      <c r="E1085" s="83">
        <v>201707</v>
      </c>
      <c r="F1085" s="82" t="s">
        <v>413</v>
      </c>
      <c r="G1085" s="82" t="s">
        <v>352</v>
      </c>
      <c r="H1085" s="82" t="s">
        <v>344</v>
      </c>
      <c r="I1085" s="95">
        <v>0</v>
      </c>
      <c r="K1085" s="105" t="str">
        <f t="shared" si="41"/>
        <v>0008-1004-0012</v>
      </c>
      <c r="L1085" s="105" t="str">
        <f>VLOOKUP(K1085,COA!$A$3:$B$337,2,FALSE)</f>
        <v>C93</v>
      </c>
      <c r="M1085" s="105" t="str">
        <f t="shared" si="42"/>
        <v>C93</v>
      </c>
      <c r="N1085" s="105" t="str">
        <f>VLOOKUP(M1085,CAC!$A$2:$B$198,2,FALSE)</f>
        <v>DOILG</v>
      </c>
    </row>
    <row r="1086" spans="5:14" x14ac:dyDescent="0.25">
      <c r="E1086" s="83">
        <v>201503</v>
      </c>
      <c r="F1086" s="82" t="s">
        <v>345</v>
      </c>
      <c r="G1086" s="82" t="s">
        <v>354</v>
      </c>
      <c r="H1086" s="82" t="s">
        <v>344</v>
      </c>
      <c r="I1086" s="95">
        <v>89</v>
      </c>
      <c r="K1086" s="105" t="str">
        <f t="shared" si="41"/>
        <v>0011-1013-0012</v>
      </c>
      <c r="L1086" s="105" t="str">
        <f>VLOOKUP(K1086,COA!$A$3:$B$337,2,FALSE)</f>
        <v>N20</v>
      </c>
      <c r="M1086" s="105" t="str">
        <f t="shared" si="42"/>
        <v>N20</v>
      </c>
      <c r="N1086" s="105" t="str">
        <f>VLOOKUP(M1086,CAC!$A$2:$B$198,2,FALSE)</f>
        <v>HMOPMR</v>
      </c>
    </row>
    <row r="1087" spans="5:14" x14ac:dyDescent="0.25">
      <c r="E1087" s="83">
        <v>201701</v>
      </c>
      <c r="F1087" s="82" t="s">
        <v>345</v>
      </c>
      <c r="G1087" s="82" t="s">
        <v>348</v>
      </c>
      <c r="H1087" s="82" t="s">
        <v>358</v>
      </c>
      <c r="I1087" s="95">
        <v>85</v>
      </c>
      <c r="K1087" s="105" t="str">
        <f t="shared" si="41"/>
        <v>0011-1010-0024</v>
      </c>
      <c r="L1087" s="105" t="str">
        <f>VLOOKUP(K1087,COA!$A$3:$B$337,2,FALSE)</f>
        <v>S14</v>
      </c>
      <c r="M1087" s="105" t="str">
        <f t="shared" si="42"/>
        <v>S14</v>
      </c>
      <c r="N1087" s="105" t="str">
        <f>VLOOKUP(M1087,CAC!$A$2:$B$198,2,FALSE)</f>
        <v>HMOSG</v>
      </c>
    </row>
    <row r="1088" spans="5:14" x14ac:dyDescent="0.25">
      <c r="E1088" s="83">
        <v>201609</v>
      </c>
      <c r="F1088" s="82" t="s">
        <v>563</v>
      </c>
      <c r="G1088" s="82" t="s">
        <v>365</v>
      </c>
      <c r="H1088" s="82" t="s">
        <v>798</v>
      </c>
      <c r="I1088" s="95">
        <v>0</v>
      </c>
      <c r="K1088" s="105" t="str">
        <f t="shared" si="41"/>
        <v>0003-1001-0065</v>
      </c>
      <c r="L1088" s="105" t="str">
        <f>VLOOKUP(K1088,COA!$A$3:$B$337,2,FALSE)</f>
        <v>V55</v>
      </c>
      <c r="M1088" s="105" t="str">
        <f t="shared" si="42"/>
        <v>V55</v>
      </c>
      <c r="N1088" s="105" t="e">
        <f>VLOOKUP(M1088,CAC!$A$2:$B$198,2,FALSE)</f>
        <v>#N/A</v>
      </c>
    </row>
    <row r="1089" spans="5:14" x14ac:dyDescent="0.25">
      <c r="E1089" s="83">
        <v>201702</v>
      </c>
      <c r="F1089" s="82" t="s">
        <v>345</v>
      </c>
      <c r="G1089" s="82" t="s">
        <v>350</v>
      </c>
      <c r="H1089" s="82" t="s">
        <v>344</v>
      </c>
      <c r="I1089" s="95">
        <v>16207.82</v>
      </c>
      <c r="K1089" s="105" t="str">
        <f t="shared" si="41"/>
        <v>0011-1012-0012</v>
      </c>
      <c r="L1089" s="105" t="str">
        <f>VLOOKUP(K1089,COA!$A$3:$B$337,2,FALSE)</f>
        <v>K11</v>
      </c>
      <c r="M1089" s="105" t="str">
        <f t="shared" si="42"/>
        <v>K11</v>
      </c>
      <c r="N1089" s="105" t="str">
        <f>VLOOKUP(M1089,CAC!$A$2:$B$198,2,FALSE)</f>
        <v>HMOPMR</v>
      </c>
    </row>
    <row r="1090" spans="5:14" x14ac:dyDescent="0.25">
      <c r="E1090" s="83">
        <v>201609</v>
      </c>
      <c r="F1090" s="82" t="s">
        <v>344</v>
      </c>
      <c r="G1090" s="82" t="s">
        <v>361</v>
      </c>
      <c r="H1090" s="82" t="s">
        <v>344</v>
      </c>
      <c r="I1090" s="95">
        <v>9511.85</v>
      </c>
      <c r="K1090" s="105" t="str">
        <f t="shared" si="41"/>
        <v>0012-1003-0012</v>
      </c>
      <c r="L1090" s="105" t="str">
        <f>VLOOKUP(K1090,COA!$A$3:$B$337,2,FALSE)</f>
        <v>N15</v>
      </c>
      <c r="M1090" s="105" t="str">
        <f t="shared" si="42"/>
        <v>N15</v>
      </c>
      <c r="N1090" s="105" t="str">
        <f>VLOOKUP(M1090,CAC!$A$2:$B$198,2,FALSE)</f>
        <v>HMOPMR</v>
      </c>
    </row>
    <row r="1091" spans="5:14" x14ac:dyDescent="0.25">
      <c r="E1091" s="83">
        <v>201703</v>
      </c>
      <c r="F1091" s="82" t="s">
        <v>345</v>
      </c>
      <c r="G1091" s="82" t="s">
        <v>354</v>
      </c>
      <c r="H1091" s="82" t="s">
        <v>344</v>
      </c>
      <c r="I1091" s="95">
        <v>5657.26</v>
      </c>
      <c r="K1091" s="105" t="str">
        <f t="shared" si="41"/>
        <v>0011-1013-0012</v>
      </c>
      <c r="L1091" s="105" t="str">
        <f>VLOOKUP(K1091,COA!$A$3:$B$337,2,FALSE)</f>
        <v>N20</v>
      </c>
      <c r="M1091" s="105" t="str">
        <f t="shared" si="42"/>
        <v>N20</v>
      </c>
      <c r="N1091" s="105" t="str">
        <f>VLOOKUP(M1091,CAC!$A$2:$B$198,2,FALSE)</f>
        <v>HMOPMR</v>
      </c>
    </row>
    <row r="1092" spans="5:14" x14ac:dyDescent="0.25">
      <c r="E1092" s="83">
        <v>201511</v>
      </c>
      <c r="F1092" s="82" t="s">
        <v>506</v>
      </c>
      <c r="G1092" s="82" t="s">
        <v>361</v>
      </c>
      <c r="H1092" s="82" t="s">
        <v>592</v>
      </c>
      <c r="I1092" s="95">
        <v>0</v>
      </c>
      <c r="K1092" s="105" t="str">
        <f t="shared" ref="K1092:K1155" si="43">F1092&amp;"-"&amp;G1092&amp;"-"&amp;H1092</f>
        <v>0013-1003-0035</v>
      </c>
      <c r="L1092" s="105" t="str">
        <f>VLOOKUP(K1092,COA!$A$3:$B$337,2,FALSE)</f>
        <v>N32</v>
      </c>
      <c r="M1092" s="105" t="str">
        <f t="shared" ref="M1092:M1155" si="44">IF(ISNA(L1092),"XXX",L1092)</f>
        <v>N32</v>
      </c>
      <c r="N1092" s="105" t="e">
        <f>VLOOKUP(M1092,CAC!$A$2:$B$198,2,FALSE)</f>
        <v>#N/A</v>
      </c>
    </row>
    <row r="1093" spans="5:14" x14ac:dyDescent="0.25">
      <c r="E1093" s="83">
        <v>201604</v>
      </c>
      <c r="F1093" s="82" t="s">
        <v>413</v>
      </c>
      <c r="G1093" s="82" t="s">
        <v>354</v>
      </c>
      <c r="H1093" s="82" t="s">
        <v>344</v>
      </c>
      <c r="I1093" s="95">
        <v>0</v>
      </c>
      <c r="K1093" s="105" t="str">
        <f t="shared" si="43"/>
        <v>0008-1013-0012</v>
      </c>
      <c r="L1093" s="105" t="str">
        <f>VLOOKUP(K1093,COA!$A$3:$B$337,2,FALSE)</f>
        <v>C76</v>
      </c>
      <c r="M1093" s="105" t="str">
        <f t="shared" si="44"/>
        <v>C76</v>
      </c>
      <c r="N1093" s="105" t="str">
        <f>VLOOKUP(M1093,CAC!$A$2:$B$198,2,FALSE)</f>
        <v>DOILG</v>
      </c>
    </row>
    <row r="1094" spans="5:14" x14ac:dyDescent="0.25">
      <c r="E1094" s="83">
        <v>201508</v>
      </c>
      <c r="F1094" s="82" t="s">
        <v>563</v>
      </c>
      <c r="G1094" s="82" t="s">
        <v>351</v>
      </c>
      <c r="H1094" s="82" t="s">
        <v>349</v>
      </c>
      <c r="I1094" s="95">
        <v>0</v>
      </c>
      <c r="K1094" s="105" t="str">
        <f t="shared" si="43"/>
        <v>0003-0000-0017</v>
      </c>
      <c r="L1094" s="105" t="e">
        <f>VLOOKUP(K1094,COA!$A$3:$B$337,2,FALSE)</f>
        <v>#N/A</v>
      </c>
      <c r="M1094" s="105" t="str">
        <f t="shared" si="44"/>
        <v>XXX</v>
      </c>
      <c r="N1094" s="105" t="str">
        <f>VLOOKUP(M1094,CAC!$A$2:$B$198,2,FALSE)</f>
        <v>XXX</v>
      </c>
    </row>
    <row r="1095" spans="5:14" x14ac:dyDescent="0.25">
      <c r="E1095" s="83">
        <v>201510</v>
      </c>
      <c r="F1095" s="82" t="s">
        <v>563</v>
      </c>
      <c r="G1095" s="82" t="s">
        <v>365</v>
      </c>
      <c r="H1095" s="82" t="s">
        <v>367</v>
      </c>
      <c r="I1095" s="95">
        <v>0</v>
      </c>
      <c r="K1095" s="105" t="str">
        <f t="shared" si="43"/>
        <v>0003-1001-0022</v>
      </c>
      <c r="L1095" s="105" t="str">
        <f>VLOOKUP(K1095,COA!$A$3:$B$337,2,FALSE)</f>
        <v>V54</v>
      </c>
      <c r="M1095" s="105" t="str">
        <f t="shared" si="44"/>
        <v>V54</v>
      </c>
      <c r="N1095" s="105" t="str">
        <f>VLOOKUP(M1095,CAC!$A$2:$B$198,2,FALSE)</f>
        <v>PPOIFP</v>
      </c>
    </row>
    <row r="1096" spans="5:14" x14ac:dyDescent="0.25">
      <c r="E1096" s="83">
        <v>201601</v>
      </c>
      <c r="F1096" s="82" t="s">
        <v>345</v>
      </c>
      <c r="G1096" s="82" t="s">
        <v>359</v>
      </c>
      <c r="H1096" s="82" t="s">
        <v>344</v>
      </c>
      <c r="I1096" s="95">
        <v>3857.28</v>
      </c>
      <c r="K1096" s="105" t="str">
        <f t="shared" si="43"/>
        <v>0011-1005-0012</v>
      </c>
      <c r="L1096" s="105" t="str">
        <f>VLOOKUP(K1096,COA!$A$3:$B$337,2,FALSE)</f>
        <v>N11</v>
      </c>
      <c r="M1096" s="105" t="str">
        <f t="shared" si="44"/>
        <v>N11</v>
      </c>
      <c r="N1096" s="105" t="str">
        <f>VLOOKUP(M1096,CAC!$A$2:$B$198,2,FALSE)</f>
        <v>HMOLG</v>
      </c>
    </row>
    <row r="1097" spans="5:14" x14ac:dyDescent="0.25">
      <c r="E1097" s="83">
        <v>201607</v>
      </c>
      <c r="F1097" s="82" t="s">
        <v>563</v>
      </c>
      <c r="G1097" s="82" t="s">
        <v>361</v>
      </c>
      <c r="H1097" s="82" t="s">
        <v>344</v>
      </c>
      <c r="I1097" s="95">
        <v>0</v>
      </c>
      <c r="K1097" s="105" t="str">
        <f t="shared" si="43"/>
        <v>0003-1003-0012</v>
      </c>
      <c r="L1097" s="105" t="str">
        <f>VLOOKUP(K1097,COA!$A$3:$B$337,2,FALSE)</f>
        <v>N61</v>
      </c>
      <c r="M1097" s="105" t="str">
        <f t="shared" si="44"/>
        <v>N61</v>
      </c>
      <c r="N1097" s="105" t="str">
        <f>VLOOKUP(M1097,CAC!$A$2:$B$198,2,FALSE)</f>
        <v>PPOPMR</v>
      </c>
    </row>
    <row r="1098" spans="5:14" x14ac:dyDescent="0.25">
      <c r="E1098" s="83">
        <v>201707</v>
      </c>
      <c r="F1098" s="82" t="s">
        <v>405</v>
      </c>
      <c r="G1098" s="82" t="s">
        <v>362</v>
      </c>
      <c r="H1098" s="82" t="s">
        <v>342</v>
      </c>
      <c r="I1098" s="95">
        <v>0</v>
      </c>
      <c r="K1098" s="105" t="str">
        <f t="shared" si="43"/>
        <v>0019-1008-0031</v>
      </c>
      <c r="L1098" s="105" t="str">
        <f>VLOOKUP(K1098,COA!$A$3:$B$337,2,FALSE)</f>
        <v>P53</v>
      </c>
      <c r="M1098" s="105" t="str">
        <f t="shared" si="44"/>
        <v>P53</v>
      </c>
      <c r="N1098" s="105" t="str">
        <f>VLOOKUP(M1098,CAC!$A$2:$B$198,2,FALSE)</f>
        <v>HMOPERA</v>
      </c>
    </row>
    <row r="1099" spans="5:14" x14ac:dyDescent="0.25">
      <c r="E1099" s="83">
        <v>201603</v>
      </c>
      <c r="F1099" s="82" t="s">
        <v>552</v>
      </c>
      <c r="G1099" s="82" t="s">
        <v>356</v>
      </c>
      <c r="H1099" s="82" t="s">
        <v>672</v>
      </c>
      <c r="I1099" s="95">
        <v>0</v>
      </c>
      <c r="K1099" s="105" t="str">
        <f t="shared" si="43"/>
        <v>0027-1002-0058</v>
      </c>
      <c r="L1099" s="105" t="str">
        <f>VLOOKUP(K1099,COA!$A$3:$B$337,2,FALSE)</f>
        <v>L45</v>
      </c>
      <c r="M1099" s="105" t="str">
        <f t="shared" si="44"/>
        <v>L45</v>
      </c>
      <c r="N1099" s="105" t="e">
        <f>VLOOKUP(M1099,CAC!$A$2:$B$198,2,FALSE)</f>
        <v>#N/A</v>
      </c>
    </row>
    <row r="1100" spans="5:14" x14ac:dyDescent="0.25">
      <c r="E1100" s="83">
        <v>201609</v>
      </c>
      <c r="F1100" s="82" t="s">
        <v>345</v>
      </c>
      <c r="G1100" s="82" t="s">
        <v>351</v>
      </c>
      <c r="H1100" s="82" t="s">
        <v>353</v>
      </c>
      <c r="I1100" s="95">
        <v>0</v>
      </c>
      <c r="K1100" s="105" t="str">
        <f t="shared" si="43"/>
        <v>0011-0000-0023</v>
      </c>
      <c r="L1100" s="105" t="e">
        <f>VLOOKUP(K1100,COA!$A$3:$B$337,2,FALSE)</f>
        <v>#N/A</v>
      </c>
      <c r="M1100" s="105" t="str">
        <f t="shared" si="44"/>
        <v>XXX</v>
      </c>
      <c r="N1100" s="105" t="str">
        <f>VLOOKUP(M1100,CAC!$A$2:$B$198,2,FALSE)</f>
        <v>XXX</v>
      </c>
    </row>
    <row r="1101" spans="5:14" x14ac:dyDescent="0.25">
      <c r="E1101" s="83">
        <v>201602</v>
      </c>
      <c r="F1101" s="82" t="s">
        <v>746</v>
      </c>
      <c r="G1101" s="82" t="s">
        <v>350</v>
      </c>
      <c r="H1101" s="82" t="s">
        <v>764</v>
      </c>
      <c r="I1101" s="95">
        <v>8</v>
      </c>
      <c r="K1101" s="105" t="str">
        <f t="shared" si="43"/>
        <v>0016-1012-0064</v>
      </c>
      <c r="L1101" s="105" t="str">
        <f>VLOOKUP(K1101,COA!$A$3:$B$337,2,FALSE)</f>
        <v>R25</v>
      </c>
      <c r="M1101" s="105" t="str">
        <f t="shared" si="44"/>
        <v>R25</v>
      </c>
      <c r="N1101" s="105" t="str">
        <f>VLOOKUP(M1101,CAC!$A$2:$B$198,2,FALSE)</f>
        <v>HMOMG</v>
      </c>
    </row>
    <row r="1102" spans="5:14" x14ac:dyDescent="0.25">
      <c r="E1102" s="83">
        <v>201705</v>
      </c>
      <c r="F1102" s="82" t="s">
        <v>413</v>
      </c>
      <c r="G1102" s="82" t="s">
        <v>355</v>
      </c>
      <c r="H1102" s="82" t="s">
        <v>344</v>
      </c>
      <c r="I1102" s="95">
        <v>0</v>
      </c>
      <c r="K1102" s="105" t="str">
        <f t="shared" si="43"/>
        <v>0008-1006-0012</v>
      </c>
      <c r="L1102" s="105" t="str">
        <f>VLOOKUP(K1102,COA!$A$3:$B$337,2,FALSE)</f>
        <v>C96</v>
      </c>
      <c r="M1102" s="105" t="str">
        <f t="shared" si="44"/>
        <v>C96</v>
      </c>
      <c r="N1102" s="105" t="str">
        <f>VLOOKUP(M1102,CAC!$A$2:$B$198,2,FALSE)</f>
        <v>DOILG</v>
      </c>
    </row>
    <row r="1103" spans="5:14" x14ac:dyDescent="0.25">
      <c r="E1103" s="83">
        <v>201608</v>
      </c>
      <c r="F1103" s="82" t="s">
        <v>349</v>
      </c>
      <c r="G1103" s="82" t="s">
        <v>369</v>
      </c>
      <c r="H1103" s="82" t="s">
        <v>764</v>
      </c>
      <c r="I1103" s="95">
        <v>3</v>
      </c>
      <c r="K1103" s="105" t="str">
        <f t="shared" si="43"/>
        <v>0017-1009-0064</v>
      </c>
      <c r="L1103" s="105" t="str">
        <f>VLOOKUP(K1103,COA!$A$3:$B$337,2,FALSE)</f>
        <v>R15</v>
      </c>
      <c r="M1103" s="105" t="str">
        <f t="shared" si="44"/>
        <v>R15</v>
      </c>
      <c r="N1103" s="105" t="str">
        <f>VLOOKUP(M1103,CAC!$A$2:$B$198,2,FALSE)</f>
        <v>HMOMM</v>
      </c>
    </row>
    <row r="1104" spans="5:14" x14ac:dyDescent="0.25">
      <c r="E1104" s="83">
        <v>201601</v>
      </c>
      <c r="F1104" s="82" t="s">
        <v>345</v>
      </c>
      <c r="G1104" s="82" t="s">
        <v>361</v>
      </c>
      <c r="H1104" s="82" t="s">
        <v>344</v>
      </c>
      <c r="I1104" s="95">
        <v>4065.86</v>
      </c>
      <c r="K1104" s="105" t="str">
        <f t="shared" si="43"/>
        <v>0011-1003-0012</v>
      </c>
      <c r="L1104" s="105" t="str">
        <f>VLOOKUP(K1104,COA!$A$3:$B$337,2,FALSE)</f>
        <v>N16</v>
      </c>
      <c r="M1104" s="105" t="str">
        <f t="shared" si="44"/>
        <v>N16</v>
      </c>
      <c r="N1104" s="105" t="str">
        <f>VLOOKUP(M1104,CAC!$A$2:$B$198,2,FALSE)</f>
        <v>HMOPMR</v>
      </c>
    </row>
    <row r="1105" spans="5:14" x14ac:dyDescent="0.25">
      <c r="E1105" s="83">
        <v>201707</v>
      </c>
      <c r="F1105" s="82" t="s">
        <v>345</v>
      </c>
      <c r="G1105" s="82" t="s">
        <v>348</v>
      </c>
      <c r="H1105" s="82" t="s">
        <v>353</v>
      </c>
      <c r="I1105" s="95">
        <v>355</v>
      </c>
      <c r="K1105" s="105" t="str">
        <f t="shared" si="43"/>
        <v>0011-1010-0023</v>
      </c>
      <c r="L1105" s="105" t="str">
        <f>VLOOKUP(K1105,COA!$A$3:$B$337,2,FALSE)</f>
        <v>S13</v>
      </c>
      <c r="M1105" s="105" t="str">
        <f t="shared" si="44"/>
        <v>S13</v>
      </c>
      <c r="N1105" s="105" t="str">
        <f>VLOOKUP(M1105,CAC!$A$2:$B$198,2,FALSE)</f>
        <v>HMOSG</v>
      </c>
    </row>
    <row r="1106" spans="5:14" x14ac:dyDescent="0.25">
      <c r="E1106" s="83">
        <v>201510</v>
      </c>
      <c r="F1106" s="82" t="s">
        <v>413</v>
      </c>
      <c r="G1106" s="82" t="s">
        <v>356</v>
      </c>
      <c r="H1106" s="82" t="s">
        <v>344</v>
      </c>
      <c r="I1106" s="95">
        <v>0</v>
      </c>
      <c r="K1106" s="105" t="str">
        <f t="shared" si="43"/>
        <v>0008-1002-0012</v>
      </c>
      <c r="L1106" s="105" t="str">
        <f>VLOOKUP(K1106,COA!$A$3:$B$337,2,FALSE)</f>
        <v>C74</v>
      </c>
      <c r="M1106" s="105" t="str">
        <f t="shared" si="44"/>
        <v>C74</v>
      </c>
      <c r="N1106" s="105" t="str">
        <f>VLOOKUP(M1106,CAC!$A$2:$B$198,2,FALSE)</f>
        <v>DOILG</v>
      </c>
    </row>
    <row r="1107" spans="5:14" x14ac:dyDescent="0.25">
      <c r="E1107" s="83">
        <v>201607</v>
      </c>
      <c r="F1107" s="82" t="s">
        <v>563</v>
      </c>
      <c r="G1107" s="82" t="s">
        <v>355</v>
      </c>
      <c r="H1107" s="82" t="s">
        <v>344</v>
      </c>
      <c r="I1107" s="95">
        <v>0</v>
      </c>
      <c r="K1107" s="105" t="str">
        <f t="shared" si="43"/>
        <v>0003-1006-0012</v>
      </c>
      <c r="L1107" s="105" t="str">
        <f>VLOOKUP(K1107,COA!$A$3:$B$337,2,FALSE)</f>
        <v>L52</v>
      </c>
      <c r="M1107" s="105" t="str">
        <f t="shared" si="44"/>
        <v>L52</v>
      </c>
      <c r="N1107" s="105" t="str">
        <f>VLOOKUP(M1107,CAC!$A$2:$B$198,2,FALSE)</f>
        <v>PPOLG</v>
      </c>
    </row>
    <row r="1108" spans="5:14" x14ac:dyDescent="0.25">
      <c r="E1108" s="83">
        <v>201509</v>
      </c>
      <c r="F1108" s="82" t="s">
        <v>345</v>
      </c>
      <c r="G1108" s="82" t="s">
        <v>362</v>
      </c>
      <c r="H1108" s="82" t="s">
        <v>371</v>
      </c>
      <c r="I1108" s="95">
        <v>6226</v>
      </c>
      <c r="K1108" s="105" t="str">
        <f t="shared" si="43"/>
        <v>0011-1008-0033</v>
      </c>
      <c r="L1108" s="105" t="str">
        <f>VLOOKUP(K1108,COA!$A$3:$B$337,2,FALSE)</f>
        <v>P13</v>
      </c>
      <c r="M1108" s="105" t="str">
        <f t="shared" si="44"/>
        <v>P13</v>
      </c>
      <c r="N1108" s="105" t="str">
        <f>VLOOKUP(M1108,CAC!$A$2:$B$198,2,FALSE)</f>
        <v>PERMEDA</v>
      </c>
    </row>
    <row r="1109" spans="5:14" x14ac:dyDescent="0.25">
      <c r="E1109" s="83">
        <v>201705</v>
      </c>
      <c r="F1109" s="82" t="s">
        <v>563</v>
      </c>
      <c r="G1109" s="82" t="s">
        <v>354</v>
      </c>
      <c r="H1109" s="82" t="s">
        <v>344</v>
      </c>
      <c r="I1109" s="95">
        <v>0</v>
      </c>
      <c r="K1109" s="105" t="str">
        <f t="shared" si="43"/>
        <v>0003-1013-0012</v>
      </c>
      <c r="L1109" s="105" t="str">
        <f>VLOOKUP(K1109,COA!$A$3:$B$337,2,FALSE)</f>
        <v>N55</v>
      </c>
      <c r="M1109" s="105" t="str">
        <f t="shared" si="44"/>
        <v>N55</v>
      </c>
      <c r="N1109" s="105" t="str">
        <f>VLOOKUP(M1109,CAC!$A$2:$B$198,2,FALSE)</f>
        <v>PPOPMR</v>
      </c>
    </row>
    <row r="1110" spans="5:14" x14ac:dyDescent="0.25">
      <c r="E1110" s="83">
        <v>201505</v>
      </c>
      <c r="F1110" s="82" t="s">
        <v>345</v>
      </c>
      <c r="G1110" s="82" t="s">
        <v>346</v>
      </c>
      <c r="H1110" s="82" t="s">
        <v>347</v>
      </c>
      <c r="I1110" s="95">
        <v>10</v>
      </c>
      <c r="K1110" s="105" t="str">
        <f t="shared" si="43"/>
        <v>0011-1014-0039</v>
      </c>
      <c r="L1110" s="105" t="str">
        <f>VLOOKUP(K1110,COA!$A$3:$B$337,2,FALSE)</f>
        <v>K24</v>
      </c>
      <c r="M1110" s="105" t="str">
        <f t="shared" si="44"/>
        <v>K24</v>
      </c>
      <c r="N1110" s="105" t="str">
        <f>VLOOKUP(M1110,CAC!$A$2:$B$198,2,FALSE)</f>
        <v>HMFLEX</v>
      </c>
    </row>
    <row r="1111" spans="5:14" x14ac:dyDescent="0.25">
      <c r="E1111" s="83">
        <v>201609</v>
      </c>
      <c r="F1111" s="82" t="s">
        <v>563</v>
      </c>
      <c r="G1111" s="82" t="s">
        <v>354</v>
      </c>
      <c r="H1111" s="82" t="s">
        <v>626</v>
      </c>
      <c r="I1111" s="95">
        <v>0</v>
      </c>
      <c r="K1111" s="105" t="str">
        <f t="shared" si="43"/>
        <v>0003-1013-0057</v>
      </c>
      <c r="L1111" s="105" t="str">
        <f>VLOOKUP(K1111,COA!$A$3:$B$337,2,FALSE)</f>
        <v>N55</v>
      </c>
      <c r="M1111" s="105" t="str">
        <f t="shared" si="44"/>
        <v>N55</v>
      </c>
      <c r="N1111" s="105" t="str">
        <f>VLOOKUP(M1111,CAC!$A$2:$B$198,2,FALSE)</f>
        <v>PPOPMR</v>
      </c>
    </row>
    <row r="1112" spans="5:14" x14ac:dyDescent="0.25">
      <c r="E1112" s="83">
        <v>201609</v>
      </c>
      <c r="F1112" s="82" t="s">
        <v>563</v>
      </c>
      <c r="G1112" s="82" t="s">
        <v>348</v>
      </c>
      <c r="H1112" s="82" t="s">
        <v>349</v>
      </c>
      <c r="I1112" s="95">
        <v>0</v>
      </c>
      <c r="K1112" s="105" t="str">
        <f t="shared" si="43"/>
        <v>0003-1010-0017</v>
      </c>
      <c r="L1112" s="105" t="str">
        <f>VLOOKUP(K1112,COA!$A$3:$B$337,2,FALSE)</f>
        <v>S51</v>
      </c>
      <c r="M1112" s="105" t="str">
        <f t="shared" si="44"/>
        <v>S51</v>
      </c>
      <c r="N1112" s="105" t="str">
        <f>VLOOKUP(M1112,CAC!$A$2:$B$198,2,FALSE)</f>
        <v>PPOSG</v>
      </c>
    </row>
    <row r="1113" spans="5:14" x14ac:dyDescent="0.25">
      <c r="E1113" s="83">
        <v>201703</v>
      </c>
      <c r="F1113" s="82" t="s">
        <v>563</v>
      </c>
      <c r="G1113" s="82" t="s">
        <v>354</v>
      </c>
      <c r="H1113" s="82" t="s">
        <v>360</v>
      </c>
      <c r="I1113" s="95">
        <v>0</v>
      </c>
      <c r="K1113" s="105" t="str">
        <f t="shared" si="43"/>
        <v>0003-1013-0048</v>
      </c>
      <c r="L1113" s="105" t="str">
        <f>VLOOKUP(K1113,COA!$A$3:$B$337,2,FALSE)</f>
        <v>N56</v>
      </c>
      <c r="M1113" s="105" t="str">
        <f t="shared" si="44"/>
        <v>N56</v>
      </c>
      <c r="N1113" s="105" t="str">
        <f>VLOOKUP(M1113,CAC!$A$2:$B$198,2,FALSE)</f>
        <v>HMFLEX</v>
      </c>
    </row>
    <row r="1114" spans="5:14" x14ac:dyDescent="0.25">
      <c r="E1114" s="83">
        <v>201707</v>
      </c>
      <c r="F1114" s="82" t="s">
        <v>552</v>
      </c>
      <c r="G1114" s="82" t="s">
        <v>356</v>
      </c>
      <c r="H1114" s="82" t="s">
        <v>672</v>
      </c>
      <c r="I1114" s="95">
        <v>0</v>
      </c>
      <c r="K1114" s="105" t="str">
        <f t="shared" si="43"/>
        <v>0027-1002-0058</v>
      </c>
      <c r="L1114" s="105" t="str">
        <f>VLOOKUP(K1114,COA!$A$3:$B$337,2,FALSE)</f>
        <v>L45</v>
      </c>
      <c r="M1114" s="105" t="str">
        <f t="shared" si="44"/>
        <v>L45</v>
      </c>
      <c r="N1114" s="105" t="e">
        <f>VLOOKUP(M1114,CAC!$A$2:$B$198,2,FALSE)</f>
        <v>#N/A</v>
      </c>
    </row>
    <row r="1115" spans="5:14" x14ac:dyDescent="0.25">
      <c r="E1115" s="83">
        <v>201605</v>
      </c>
      <c r="F1115" s="82" t="s">
        <v>345</v>
      </c>
      <c r="G1115" s="82" t="s">
        <v>348</v>
      </c>
      <c r="H1115" s="82" t="s">
        <v>358</v>
      </c>
      <c r="I1115" s="95">
        <v>90</v>
      </c>
      <c r="K1115" s="105" t="str">
        <f t="shared" si="43"/>
        <v>0011-1010-0024</v>
      </c>
      <c r="L1115" s="105" t="str">
        <f>VLOOKUP(K1115,COA!$A$3:$B$337,2,FALSE)</f>
        <v>S14</v>
      </c>
      <c r="M1115" s="105" t="str">
        <f t="shared" si="44"/>
        <v>S14</v>
      </c>
      <c r="N1115" s="105" t="str">
        <f>VLOOKUP(M1115,CAC!$A$2:$B$198,2,FALSE)</f>
        <v>HMOSG</v>
      </c>
    </row>
    <row r="1116" spans="5:14" x14ac:dyDescent="0.25">
      <c r="E1116" s="83">
        <v>201602</v>
      </c>
      <c r="F1116" s="82" t="s">
        <v>344</v>
      </c>
      <c r="G1116" s="82" t="s">
        <v>352</v>
      </c>
      <c r="H1116" s="82" t="s">
        <v>344</v>
      </c>
      <c r="I1116" s="95">
        <v>425</v>
      </c>
      <c r="K1116" s="105" t="str">
        <f t="shared" si="43"/>
        <v>0012-1004-0012</v>
      </c>
      <c r="L1116" s="105" t="str">
        <f>VLOOKUP(K1116,COA!$A$3:$B$337,2,FALSE)</f>
        <v>L12</v>
      </c>
      <c r="M1116" s="105" t="str">
        <f t="shared" si="44"/>
        <v>L12</v>
      </c>
      <c r="N1116" s="105" t="str">
        <f>VLOOKUP(M1116,CAC!$A$2:$B$198,2,FALSE)</f>
        <v>HMOLG</v>
      </c>
    </row>
    <row r="1117" spans="5:14" x14ac:dyDescent="0.25">
      <c r="E1117" s="83">
        <v>201707</v>
      </c>
      <c r="F1117" s="82" t="s">
        <v>746</v>
      </c>
      <c r="G1117" s="82" t="s">
        <v>350</v>
      </c>
      <c r="H1117" s="82" t="s">
        <v>344</v>
      </c>
      <c r="I1117" s="95">
        <v>30</v>
      </c>
      <c r="K1117" s="105" t="str">
        <f t="shared" si="43"/>
        <v>0016-1012-0012</v>
      </c>
      <c r="L1117" s="105" t="str">
        <f>VLOOKUP(K1117,COA!$A$3:$B$337,2,FALSE)</f>
        <v>R19</v>
      </c>
      <c r="M1117" s="105" t="str">
        <f t="shared" si="44"/>
        <v>R19</v>
      </c>
      <c r="N1117" s="105" t="str">
        <f>VLOOKUP(M1117,CAC!$A$2:$B$198,2,FALSE)</f>
        <v>HMOMG</v>
      </c>
    </row>
    <row r="1118" spans="5:14" x14ac:dyDescent="0.25">
      <c r="E1118" s="83">
        <v>201505</v>
      </c>
      <c r="F1118" s="82" t="s">
        <v>563</v>
      </c>
      <c r="G1118" s="82" t="s">
        <v>351</v>
      </c>
      <c r="H1118" s="82" t="s">
        <v>349</v>
      </c>
      <c r="I1118" s="95">
        <v>0</v>
      </c>
      <c r="K1118" s="105" t="str">
        <f t="shared" si="43"/>
        <v>0003-0000-0017</v>
      </c>
      <c r="L1118" s="105" t="e">
        <f>VLOOKUP(K1118,COA!$A$3:$B$337,2,FALSE)</f>
        <v>#N/A</v>
      </c>
      <c r="M1118" s="105" t="str">
        <f t="shared" si="44"/>
        <v>XXX</v>
      </c>
      <c r="N1118" s="105" t="str">
        <f>VLOOKUP(M1118,CAC!$A$2:$B$198,2,FALSE)</f>
        <v>XXX</v>
      </c>
    </row>
    <row r="1119" spans="5:14" x14ac:dyDescent="0.25">
      <c r="E1119" s="83">
        <v>201610</v>
      </c>
      <c r="F1119" s="82" t="s">
        <v>345</v>
      </c>
      <c r="G1119" s="82" t="s">
        <v>346</v>
      </c>
      <c r="H1119" s="82" t="s">
        <v>344</v>
      </c>
      <c r="I1119" s="95">
        <v>0</v>
      </c>
      <c r="K1119" s="105" t="str">
        <f t="shared" si="43"/>
        <v>0011-1014-0012</v>
      </c>
      <c r="L1119" s="105" t="e">
        <f>VLOOKUP(K1119,COA!$A$3:$B$337,2,FALSE)</f>
        <v>#N/A</v>
      </c>
      <c r="M1119" s="105" t="str">
        <f t="shared" si="44"/>
        <v>XXX</v>
      </c>
      <c r="N1119" s="105" t="str">
        <f>VLOOKUP(M1119,CAC!$A$2:$B$198,2,FALSE)</f>
        <v>XXX</v>
      </c>
    </row>
    <row r="1120" spans="5:14" x14ac:dyDescent="0.25">
      <c r="E1120" s="83">
        <v>201709</v>
      </c>
      <c r="F1120" s="82" t="s">
        <v>345</v>
      </c>
      <c r="G1120" s="82" t="s">
        <v>354</v>
      </c>
      <c r="H1120" s="82" t="s">
        <v>344</v>
      </c>
      <c r="I1120" s="95">
        <v>4255</v>
      </c>
      <c r="K1120" s="105" t="str">
        <f t="shared" si="43"/>
        <v>0011-1013-0012</v>
      </c>
      <c r="L1120" s="105" t="str">
        <f>VLOOKUP(K1120,COA!$A$3:$B$337,2,FALSE)</f>
        <v>N20</v>
      </c>
      <c r="M1120" s="105" t="str">
        <f t="shared" si="44"/>
        <v>N20</v>
      </c>
      <c r="N1120" s="105" t="str">
        <f>VLOOKUP(M1120,CAC!$A$2:$B$198,2,FALSE)</f>
        <v>HMOPMR</v>
      </c>
    </row>
    <row r="1121" spans="5:14" x14ac:dyDescent="0.25">
      <c r="E1121" s="83">
        <v>201607</v>
      </c>
      <c r="F1121" s="82" t="s">
        <v>342</v>
      </c>
      <c r="G1121" s="82" t="s">
        <v>343</v>
      </c>
      <c r="H1121" s="82" t="s">
        <v>344</v>
      </c>
      <c r="I1121" s="95">
        <v>6094.98</v>
      </c>
      <c r="K1121" s="105" t="str">
        <f t="shared" si="43"/>
        <v>0031-1000-0012</v>
      </c>
      <c r="L1121" s="105" t="str">
        <f>VLOOKUP(K1121,COA!$A$3:$B$337,2,FALSE)</f>
        <v>F27</v>
      </c>
      <c r="M1121" s="105" t="str">
        <f t="shared" si="44"/>
        <v>F27</v>
      </c>
      <c r="N1121" s="105" t="str">
        <f>VLOOKUP(M1121,CAC!$A$2:$B$198,2,FALSE)</f>
        <v>HMOFEP</v>
      </c>
    </row>
    <row r="1122" spans="5:14" x14ac:dyDescent="0.25">
      <c r="E1122" s="83">
        <v>201705</v>
      </c>
      <c r="F1122" s="82" t="s">
        <v>563</v>
      </c>
      <c r="G1122" s="82" t="s">
        <v>352</v>
      </c>
      <c r="H1122" s="82" t="s">
        <v>344</v>
      </c>
      <c r="I1122" s="95">
        <v>0</v>
      </c>
      <c r="K1122" s="105" t="str">
        <f t="shared" si="43"/>
        <v>0003-1004-0012</v>
      </c>
      <c r="L1122" s="105" t="str">
        <f>VLOOKUP(K1122,COA!$A$3:$B$337,2,FALSE)</f>
        <v>L51</v>
      </c>
      <c r="M1122" s="105" t="str">
        <f t="shared" si="44"/>
        <v>L51</v>
      </c>
      <c r="N1122" s="105" t="str">
        <f>VLOOKUP(M1122,CAC!$A$2:$B$198,2,FALSE)</f>
        <v>PPOLG</v>
      </c>
    </row>
    <row r="1123" spans="5:14" x14ac:dyDescent="0.25">
      <c r="E1123" s="83">
        <v>201512</v>
      </c>
      <c r="F1123" s="82" t="s">
        <v>563</v>
      </c>
      <c r="G1123" s="82" t="s">
        <v>350</v>
      </c>
      <c r="H1123" s="82" t="s">
        <v>344</v>
      </c>
      <c r="I1123" s="95">
        <v>0</v>
      </c>
      <c r="K1123" s="105" t="str">
        <f t="shared" si="43"/>
        <v>0003-1012-0012</v>
      </c>
      <c r="L1123" s="105" t="str">
        <f>VLOOKUP(K1123,COA!$A$3:$B$337,2,FALSE)</f>
        <v>K51</v>
      </c>
      <c r="M1123" s="105" t="str">
        <f t="shared" si="44"/>
        <v>K51</v>
      </c>
      <c r="N1123" s="105" t="str">
        <f>VLOOKUP(M1123,CAC!$A$2:$B$198,2,FALSE)</f>
        <v>PPOPMR</v>
      </c>
    </row>
    <row r="1124" spans="5:14" x14ac:dyDescent="0.25">
      <c r="E1124" s="83">
        <v>201610</v>
      </c>
      <c r="F1124" s="82" t="s">
        <v>563</v>
      </c>
      <c r="G1124" s="82" t="s">
        <v>365</v>
      </c>
      <c r="H1124" s="82" t="s">
        <v>344</v>
      </c>
      <c r="I1124" s="95">
        <v>0</v>
      </c>
      <c r="K1124" s="105" t="str">
        <f t="shared" si="43"/>
        <v>0003-1001-0012</v>
      </c>
      <c r="L1124" s="105" t="str">
        <f>VLOOKUP(K1124,COA!$A$3:$B$337,2,FALSE)</f>
        <v>V51</v>
      </c>
      <c r="M1124" s="105" t="str">
        <f t="shared" si="44"/>
        <v>V51</v>
      </c>
      <c r="N1124" s="105" t="str">
        <f>VLOOKUP(M1124,CAC!$A$2:$B$198,2,FALSE)</f>
        <v>PPOIFP</v>
      </c>
    </row>
    <row r="1125" spans="5:14" x14ac:dyDescent="0.25">
      <c r="E1125" s="83">
        <v>201701</v>
      </c>
      <c r="F1125" s="82" t="s">
        <v>563</v>
      </c>
      <c r="G1125" s="82" t="s">
        <v>350</v>
      </c>
      <c r="H1125" s="82" t="s">
        <v>626</v>
      </c>
      <c r="I1125" s="95">
        <v>0</v>
      </c>
      <c r="K1125" s="105" t="str">
        <f t="shared" si="43"/>
        <v>0003-1012-0057</v>
      </c>
      <c r="L1125" s="105" t="str">
        <f>VLOOKUP(K1125,COA!$A$3:$B$337,2,FALSE)</f>
        <v>K51</v>
      </c>
      <c r="M1125" s="105" t="str">
        <f t="shared" si="44"/>
        <v>K51</v>
      </c>
      <c r="N1125" s="105" t="str">
        <f>VLOOKUP(M1125,CAC!$A$2:$B$198,2,FALSE)</f>
        <v>PPOPMR</v>
      </c>
    </row>
    <row r="1126" spans="5:14" x14ac:dyDescent="0.25">
      <c r="E1126" s="83">
        <v>201506</v>
      </c>
      <c r="F1126" s="82" t="s">
        <v>563</v>
      </c>
      <c r="G1126" s="82" t="s">
        <v>365</v>
      </c>
      <c r="H1126" s="82" t="s">
        <v>366</v>
      </c>
      <c r="I1126" s="95">
        <v>0</v>
      </c>
      <c r="K1126" s="105" t="str">
        <f t="shared" si="43"/>
        <v>0003-1001-0021</v>
      </c>
      <c r="L1126" s="105" t="str">
        <f>VLOOKUP(K1126,COA!$A$3:$B$337,2,FALSE)</f>
        <v>V53</v>
      </c>
      <c r="M1126" s="105" t="str">
        <f t="shared" si="44"/>
        <v>V53</v>
      </c>
      <c r="N1126" s="105" t="str">
        <f>VLOOKUP(M1126,CAC!$A$2:$B$198,2,FALSE)</f>
        <v>PPOIFP</v>
      </c>
    </row>
    <row r="1127" spans="5:14" x14ac:dyDescent="0.25">
      <c r="E1127" s="83">
        <v>201508</v>
      </c>
      <c r="F1127" s="82" t="s">
        <v>563</v>
      </c>
      <c r="G1127" s="82" t="s">
        <v>365</v>
      </c>
      <c r="H1127" s="82" t="s">
        <v>367</v>
      </c>
      <c r="I1127" s="95">
        <v>0</v>
      </c>
      <c r="K1127" s="105" t="str">
        <f t="shared" si="43"/>
        <v>0003-1001-0022</v>
      </c>
      <c r="L1127" s="105" t="str">
        <f>VLOOKUP(K1127,COA!$A$3:$B$337,2,FALSE)</f>
        <v>V54</v>
      </c>
      <c r="M1127" s="105" t="str">
        <f t="shared" si="44"/>
        <v>V54</v>
      </c>
      <c r="N1127" s="105" t="str">
        <f>VLOOKUP(M1127,CAC!$A$2:$B$198,2,FALSE)</f>
        <v>PPOIFP</v>
      </c>
    </row>
    <row r="1128" spans="5:14" x14ac:dyDescent="0.25">
      <c r="E1128" s="83">
        <v>201801</v>
      </c>
      <c r="F1128" s="82" t="s">
        <v>563</v>
      </c>
      <c r="G1128" s="82" t="s">
        <v>355</v>
      </c>
      <c r="H1128" s="82" t="s">
        <v>344</v>
      </c>
      <c r="I1128" s="95">
        <v>0</v>
      </c>
      <c r="K1128" s="105" t="str">
        <f t="shared" si="43"/>
        <v>0003-1006-0012</v>
      </c>
      <c r="L1128" s="105" t="str">
        <f>VLOOKUP(K1128,COA!$A$3:$B$337,2,FALSE)</f>
        <v>L52</v>
      </c>
      <c r="M1128" s="105" t="str">
        <f t="shared" si="44"/>
        <v>L52</v>
      </c>
      <c r="N1128" s="105" t="str">
        <f>VLOOKUP(M1128,CAC!$A$2:$B$198,2,FALSE)</f>
        <v>PPOLG</v>
      </c>
    </row>
    <row r="1129" spans="5:14" x14ac:dyDescent="0.25">
      <c r="E1129" s="83">
        <v>201701</v>
      </c>
      <c r="F1129" s="82" t="s">
        <v>345</v>
      </c>
      <c r="G1129" s="82" t="s">
        <v>352</v>
      </c>
      <c r="H1129" s="82" t="s">
        <v>344</v>
      </c>
      <c r="I1129" s="95">
        <v>8749.6</v>
      </c>
      <c r="K1129" s="105" t="str">
        <f t="shared" si="43"/>
        <v>0011-1004-0012</v>
      </c>
      <c r="L1129" s="105" t="str">
        <f>VLOOKUP(K1129,COA!$A$3:$B$337,2,FALSE)</f>
        <v>L11</v>
      </c>
      <c r="M1129" s="105" t="str">
        <f t="shared" si="44"/>
        <v>L11</v>
      </c>
      <c r="N1129" s="105" t="str">
        <f>VLOOKUP(M1129,CAC!$A$2:$B$198,2,FALSE)</f>
        <v>HMOLG</v>
      </c>
    </row>
    <row r="1130" spans="5:14" x14ac:dyDescent="0.25">
      <c r="E1130" s="83">
        <v>201611</v>
      </c>
      <c r="F1130" s="82" t="s">
        <v>345</v>
      </c>
      <c r="G1130" s="82" t="s">
        <v>354</v>
      </c>
      <c r="H1130" s="82" t="s">
        <v>344</v>
      </c>
      <c r="I1130" s="95">
        <v>6796.57</v>
      </c>
      <c r="K1130" s="105" t="str">
        <f t="shared" si="43"/>
        <v>0011-1013-0012</v>
      </c>
      <c r="L1130" s="105" t="str">
        <f>VLOOKUP(K1130,COA!$A$3:$B$337,2,FALSE)</f>
        <v>N20</v>
      </c>
      <c r="M1130" s="105" t="str">
        <f t="shared" si="44"/>
        <v>N20</v>
      </c>
      <c r="N1130" s="105" t="str">
        <f>VLOOKUP(M1130,CAC!$A$2:$B$198,2,FALSE)</f>
        <v>HMOPMR</v>
      </c>
    </row>
    <row r="1131" spans="5:14" x14ac:dyDescent="0.25">
      <c r="E1131" s="83">
        <v>201503</v>
      </c>
      <c r="F1131" s="82" t="s">
        <v>746</v>
      </c>
      <c r="G1131" s="82" t="s">
        <v>361</v>
      </c>
      <c r="H1131" s="82" t="s">
        <v>344</v>
      </c>
      <c r="I1131" s="95">
        <v>445</v>
      </c>
      <c r="K1131" s="105" t="str">
        <f t="shared" si="43"/>
        <v>0016-1003-0012</v>
      </c>
      <c r="L1131" s="105" t="str">
        <f>VLOOKUP(K1131,COA!$A$3:$B$337,2,FALSE)</f>
        <v>R18</v>
      </c>
      <c r="M1131" s="105" t="str">
        <f t="shared" si="44"/>
        <v>R18</v>
      </c>
      <c r="N1131" s="105" t="str">
        <f>VLOOKUP(M1131,CAC!$A$2:$B$198,2,FALSE)</f>
        <v>HMOMG</v>
      </c>
    </row>
    <row r="1132" spans="5:14" x14ac:dyDescent="0.25">
      <c r="E1132" s="83">
        <v>201712</v>
      </c>
      <c r="F1132" s="82" t="s">
        <v>746</v>
      </c>
      <c r="G1132" s="82" t="s">
        <v>361</v>
      </c>
      <c r="H1132" s="82" t="s">
        <v>344</v>
      </c>
      <c r="I1132" s="95">
        <v>502</v>
      </c>
      <c r="K1132" s="105" t="str">
        <f t="shared" si="43"/>
        <v>0016-1003-0012</v>
      </c>
      <c r="L1132" s="105" t="str">
        <f>VLOOKUP(K1132,COA!$A$3:$B$337,2,FALSE)</f>
        <v>R18</v>
      </c>
      <c r="M1132" s="105" t="str">
        <f t="shared" si="44"/>
        <v>R18</v>
      </c>
      <c r="N1132" s="105" t="str">
        <f>VLOOKUP(M1132,CAC!$A$2:$B$198,2,FALSE)</f>
        <v>HMOMG</v>
      </c>
    </row>
    <row r="1133" spans="5:14" x14ac:dyDescent="0.25">
      <c r="E1133" s="83">
        <v>201612</v>
      </c>
      <c r="F1133" s="82" t="s">
        <v>746</v>
      </c>
      <c r="G1133" s="82" t="s">
        <v>356</v>
      </c>
      <c r="H1133" s="82" t="s">
        <v>764</v>
      </c>
      <c r="I1133" s="95">
        <v>632</v>
      </c>
      <c r="K1133" s="105" t="str">
        <f t="shared" si="43"/>
        <v>0016-1002-0064</v>
      </c>
      <c r="L1133" s="105" t="str">
        <f>VLOOKUP(K1133,COA!$A$3:$B$337,2,FALSE)</f>
        <v>R25</v>
      </c>
      <c r="M1133" s="105" t="str">
        <f t="shared" si="44"/>
        <v>R25</v>
      </c>
      <c r="N1133" s="105" t="str">
        <f>VLOOKUP(M1133,CAC!$A$2:$B$198,2,FALSE)</f>
        <v>HMOMG</v>
      </c>
    </row>
    <row r="1134" spans="5:14" x14ac:dyDescent="0.25">
      <c r="E1134" s="83">
        <v>201704</v>
      </c>
      <c r="F1134" s="82" t="s">
        <v>344</v>
      </c>
      <c r="G1134" s="82" t="s">
        <v>359</v>
      </c>
      <c r="H1134" s="82" t="s">
        <v>344</v>
      </c>
      <c r="I1134" s="95">
        <v>164</v>
      </c>
      <c r="K1134" s="105" t="str">
        <f t="shared" si="43"/>
        <v>0012-1005-0012</v>
      </c>
      <c r="L1134" s="105" t="str">
        <f>VLOOKUP(K1134,COA!$A$3:$B$337,2,FALSE)</f>
        <v>N13</v>
      </c>
      <c r="M1134" s="105" t="str">
        <f t="shared" si="44"/>
        <v>N13</v>
      </c>
      <c r="N1134" s="105" t="str">
        <f>VLOOKUP(M1134,CAC!$A$2:$B$198,2,FALSE)</f>
        <v>HMOLG</v>
      </c>
    </row>
    <row r="1135" spans="5:14" x14ac:dyDescent="0.25">
      <c r="E1135" s="83">
        <v>201712</v>
      </c>
      <c r="F1135" s="82" t="s">
        <v>345</v>
      </c>
      <c r="G1135" s="82" t="s">
        <v>350</v>
      </c>
      <c r="H1135" s="82" t="s">
        <v>344</v>
      </c>
      <c r="I1135" s="95">
        <v>17850.740000000002</v>
      </c>
      <c r="K1135" s="105" t="str">
        <f t="shared" si="43"/>
        <v>0011-1012-0012</v>
      </c>
      <c r="L1135" s="105" t="str">
        <f>VLOOKUP(K1135,COA!$A$3:$B$337,2,FALSE)</f>
        <v>K11</v>
      </c>
      <c r="M1135" s="105" t="str">
        <f t="shared" si="44"/>
        <v>K11</v>
      </c>
      <c r="N1135" s="105" t="str">
        <f>VLOOKUP(M1135,CAC!$A$2:$B$198,2,FALSE)</f>
        <v>HMOPMR</v>
      </c>
    </row>
    <row r="1136" spans="5:14" x14ac:dyDescent="0.25">
      <c r="E1136" s="83">
        <v>201604</v>
      </c>
      <c r="F1136" s="82" t="s">
        <v>563</v>
      </c>
      <c r="G1136" s="82" t="s">
        <v>350</v>
      </c>
      <c r="H1136" s="82" t="s">
        <v>344</v>
      </c>
      <c r="I1136" s="95">
        <v>0</v>
      </c>
      <c r="K1136" s="105" t="str">
        <f t="shared" si="43"/>
        <v>0003-1012-0012</v>
      </c>
      <c r="L1136" s="105" t="str">
        <f>VLOOKUP(K1136,COA!$A$3:$B$337,2,FALSE)</f>
        <v>K51</v>
      </c>
      <c r="M1136" s="105" t="str">
        <f t="shared" si="44"/>
        <v>K51</v>
      </c>
      <c r="N1136" s="105" t="str">
        <f>VLOOKUP(M1136,CAC!$A$2:$B$198,2,FALSE)</f>
        <v>PPOPMR</v>
      </c>
    </row>
    <row r="1137" spans="5:14" x14ac:dyDescent="0.25">
      <c r="E1137" s="83">
        <v>201601</v>
      </c>
      <c r="F1137" s="82" t="s">
        <v>506</v>
      </c>
      <c r="G1137" s="82" t="s">
        <v>361</v>
      </c>
      <c r="H1137" s="82" t="s">
        <v>592</v>
      </c>
      <c r="I1137" s="95">
        <v>0</v>
      </c>
      <c r="K1137" s="105" t="str">
        <f t="shared" si="43"/>
        <v>0013-1003-0035</v>
      </c>
      <c r="L1137" s="105" t="str">
        <f>VLOOKUP(K1137,COA!$A$3:$B$337,2,FALSE)</f>
        <v>N32</v>
      </c>
      <c r="M1137" s="105" t="str">
        <f t="shared" si="44"/>
        <v>N32</v>
      </c>
      <c r="N1137" s="105" t="e">
        <f>VLOOKUP(M1137,CAC!$A$2:$B$198,2,FALSE)</f>
        <v>#N/A</v>
      </c>
    </row>
    <row r="1138" spans="5:14" x14ac:dyDescent="0.25">
      <c r="E1138" s="83">
        <v>201512</v>
      </c>
      <c r="F1138" s="82" t="s">
        <v>345</v>
      </c>
      <c r="G1138" s="82" t="s">
        <v>354</v>
      </c>
      <c r="H1138" s="82" t="s">
        <v>360</v>
      </c>
      <c r="I1138" s="95">
        <v>605</v>
      </c>
      <c r="K1138" s="105" t="str">
        <f t="shared" si="43"/>
        <v>0011-1013-0048</v>
      </c>
      <c r="L1138" s="105" t="str">
        <f>VLOOKUP(K1138,COA!$A$3:$B$337,2,FALSE)</f>
        <v>N21</v>
      </c>
      <c r="M1138" s="105" t="str">
        <f t="shared" si="44"/>
        <v>N21</v>
      </c>
      <c r="N1138" s="105" t="str">
        <f>VLOOKUP(M1138,CAC!$A$2:$B$198,2,FALSE)</f>
        <v>HMFLEX</v>
      </c>
    </row>
    <row r="1139" spans="5:14" x14ac:dyDescent="0.25">
      <c r="E1139" s="83">
        <v>201711</v>
      </c>
      <c r="F1139" s="82" t="s">
        <v>563</v>
      </c>
      <c r="G1139" s="82" t="s">
        <v>361</v>
      </c>
      <c r="H1139" s="82" t="s">
        <v>344</v>
      </c>
      <c r="I1139" s="95">
        <v>0</v>
      </c>
      <c r="K1139" s="105" t="str">
        <f t="shared" si="43"/>
        <v>0003-1003-0012</v>
      </c>
      <c r="L1139" s="105" t="str">
        <f>VLOOKUP(K1139,COA!$A$3:$B$337,2,FALSE)</f>
        <v>N61</v>
      </c>
      <c r="M1139" s="105" t="str">
        <f t="shared" si="44"/>
        <v>N61</v>
      </c>
      <c r="N1139" s="105" t="str">
        <f>VLOOKUP(M1139,CAC!$A$2:$B$198,2,FALSE)</f>
        <v>PPOPMR</v>
      </c>
    </row>
    <row r="1140" spans="5:14" x14ac:dyDescent="0.25">
      <c r="E1140" s="83">
        <v>201612</v>
      </c>
      <c r="F1140" s="82" t="s">
        <v>344</v>
      </c>
      <c r="G1140" s="82" t="s">
        <v>352</v>
      </c>
      <c r="H1140" s="82" t="s">
        <v>360</v>
      </c>
      <c r="I1140" s="95">
        <v>215</v>
      </c>
      <c r="K1140" s="105" t="str">
        <f t="shared" si="43"/>
        <v>0012-1004-0048</v>
      </c>
      <c r="L1140" s="105" t="str">
        <f>VLOOKUP(K1140,COA!$A$3:$B$337,2,FALSE)</f>
        <v>L22</v>
      </c>
      <c r="M1140" s="105" t="str">
        <f t="shared" si="44"/>
        <v>L22</v>
      </c>
      <c r="N1140" s="105" t="str">
        <f>VLOOKUP(M1140,CAC!$A$2:$B$198,2,FALSE)</f>
        <v>HMFLEX</v>
      </c>
    </row>
    <row r="1141" spans="5:14" x14ac:dyDescent="0.25">
      <c r="E1141" s="83">
        <v>201604</v>
      </c>
      <c r="F1141" s="82" t="s">
        <v>345</v>
      </c>
      <c r="G1141" s="82" t="s">
        <v>362</v>
      </c>
      <c r="H1141" s="82" t="s">
        <v>363</v>
      </c>
      <c r="I1141" s="95">
        <v>37687.39</v>
      </c>
      <c r="K1141" s="105" t="str">
        <f t="shared" si="43"/>
        <v>0011-1008-0054</v>
      </c>
      <c r="L1141" s="105" t="str">
        <f>VLOOKUP(K1141,COA!$A$3:$B$337,2,FALSE)</f>
        <v>P23</v>
      </c>
      <c r="M1141" s="105" t="str">
        <f t="shared" si="44"/>
        <v>P23</v>
      </c>
      <c r="N1141" s="105" t="str">
        <f>VLOOKUP(M1141,CAC!$A$2:$B$198,2,FALSE)</f>
        <v>HMOPERN</v>
      </c>
    </row>
    <row r="1142" spans="5:14" x14ac:dyDescent="0.25">
      <c r="E1142" s="83">
        <v>201604</v>
      </c>
      <c r="F1142" s="82" t="s">
        <v>349</v>
      </c>
      <c r="G1142" s="82" t="s">
        <v>369</v>
      </c>
      <c r="H1142" s="82" t="s">
        <v>764</v>
      </c>
      <c r="I1142" s="95">
        <v>3</v>
      </c>
      <c r="K1142" s="105" t="str">
        <f t="shared" si="43"/>
        <v>0017-1009-0064</v>
      </c>
      <c r="L1142" s="105" t="str">
        <f>VLOOKUP(K1142,COA!$A$3:$B$337,2,FALSE)</f>
        <v>R15</v>
      </c>
      <c r="M1142" s="105" t="str">
        <f t="shared" si="44"/>
        <v>R15</v>
      </c>
      <c r="N1142" s="105" t="str">
        <f>VLOOKUP(M1142,CAC!$A$2:$B$198,2,FALSE)</f>
        <v>HMOMM</v>
      </c>
    </row>
    <row r="1143" spans="5:14" x14ac:dyDescent="0.25">
      <c r="E1143" s="83">
        <v>201708</v>
      </c>
      <c r="F1143" s="82" t="s">
        <v>345</v>
      </c>
      <c r="G1143" s="82" t="s">
        <v>350</v>
      </c>
      <c r="H1143" s="82" t="s">
        <v>360</v>
      </c>
      <c r="I1143" s="95">
        <v>9849</v>
      </c>
      <c r="K1143" s="105" t="str">
        <f t="shared" si="43"/>
        <v>0011-1012-0048</v>
      </c>
      <c r="L1143" s="105" t="str">
        <f>VLOOKUP(K1143,COA!$A$3:$B$337,2,FALSE)</f>
        <v>K21</v>
      </c>
      <c r="M1143" s="105" t="str">
        <f t="shared" si="44"/>
        <v>K21</v>
      </c>
      <c r="N1143" s="105" t="str">
        <f>VLOOKUP(M1143,CAC!$A$2:$B$198,2,FALSE)</f>
        <v>HMFLEX</v>
      </c>
    </row>
    <row r="1144" spans="5:14" x14ac:dyDescent="0.25">
      <c r="E1144" s="83">
        <v>201502</v>
      </c>
      <c r="F1144" s="82" t="s">
        <v>746</v>
      </c>
      <c r="G1144" s="82" t="s">
        <v>362</v>
      </c>
      <c r="H1144" s="82" t="s">
        <v>364</v>
      </c>
      <c r="I1144" s="95">
        <v>5604</v>
      </c>
      <c r="K1144" s="105" t="str">
        <f t="shared" si="43"/>
        <v>0016-1008-0037</v>
      </c>
      <c r="L1144" s="105" t="str">
        <f>VLOOKUP(K1144,COA!$A$3:$B$337,2,FALSE)</f>
        <v>R24</v>
      </c>
      <c r="M1144" s="105" t="str">
        <f t="shared" si="44"/>
        <v>R24</v>
      </c>
      <c r="N1144" s="105" t="str">
        <f>VLOOKUP(M1144,CAC!$A$2:$B$198,2,FALSE)</f>
        <v>PERMAPD</v>
      </c>
    </row>
    <row r="1145" spans="5:14" x14ac:dyDescent="0.25">
      <c r="E1145" s="83">
        <v>201609</v>
      </c>
      <c r="F1145" s="82" t="s">
        <v>506</v>
      </c>
      <c r="G1145" s="82" t="s">
        <v>359</v>
      </c>
      <c r="H1145" s="82" t="s">
        <v>592</v>
      </c>
      <c r="I1145" s="95">
        <v>0</v>
      </c>
      <c r="K1145" s="105" t="str">
        <f t="shared" si="43"/>
        <v>0013-1005-0035</v>
      </c>
      <c r="L1145" s="105" t="str">
        <f>VLOOKUP(K1145,COA!$A$3:$B$337,2,FALSE)</f>
        <v>N41</v>
      </c>
      <c r="M1145" s="105" t="str">
        <f t="shared" si="44"/>
        <v>N41</v>
      </c>
      <c r="N1145" s="105" t="e">
        <f>VLOOKUP(M1145,CAC!$A$2:$B$198,2,FALSE)</f>
        <v>#N/A</v>
      </c>
    </row>
    <row r="1146" spans="5:14" x14ac:dyDescent="0.25">
      <c r="E1146" s="83">
        <v>201703</v>
      </c>
      <c r="F1146" s="82" t="s">
        <v>563</v>
      </c>
      <c r="G1146" s="82" t="s">
        <v>350</v>
      </c>
      <c r="H1146" s="82" t="s">
        <v>626</v>
      </c>
      <c r="I1146" s="95">
        <v>0</v>
      </c>
      <c r="K1146" s="105" t="str">
        <f t="shared" si="43"/>
        <v>0003-1012-0057</v>
      </c>
      <c r="L1146" s="105" t="str">
        <f>VLOOKUP(K1146,COA!$A$3:$B$337,2,FALSE)</f>
        <v>K51</v>
      </c>
      <c r="M1146" s="105" t="str">
        <f t="shared" si="44"/>
        <v>K51</v>
      </c>
      <c r="N1146" s="105" t="str">
        <f>VLOOKUP(M1146,CAC!$A$2:$B$198,2,FALSE)</f>
        <v>PPOPMR</v>
      </c>
    </row>
    <row r="1147" spans="5:14" x14ac:dyDescent="0.25">
      <c r="E1147" s="83">
        <v>201801</v>
      </c>
      <c r="F1147" s="82" t="s">
        <v>552</v>
      </c>
      <c r="G1147" s="82" t="s">
        <v>356</v>
      </c>
      <c r="H1147" s="82" t="s">
        <v>672</v>
      </c>
      <c r="I1147" s="95">
        <v>0</v>
      </c>
      <c r="K1147" s="105" t="str">
        <f t="shared" si="43"/>
        <v>0027-1002-0058</v>
      </c>
      <c r="L1147" s="105" t="str">
        <f>VLOOKUP(K1147,COA!$A$3:$B$337,2,FALSE)</f>
        <v>L45</v>
      </c>
      <c r="M1147" s="105" t="str">
        <f t="shared" si="44"/>
        <v>L45</v>
      </c>
      <c r="N1147" s="105" t="e">
        <f>VLOOKUP(M1147,CAC!$A$2:$B$198,2,FALSE)</f>
        <v>#N/A</v>
      </c>
    </row>
    <row r="1148" spans="5:14" x14ac:dyDescent="0.25">
      <c r="E1148" s="83">
        <v>201509</v>
      </c>
      <c r="F1148" s="82" t="s">
        <v>563</v>
      </c>
      <c r="G1148" s="82" t="s">
        <v>365</v>
      </c>
      <c r="H1148" s="82" t="s">
        <v>367</v>
      </c>
      <c r="I1148" s="95">
        <v>0</v>
      </c>
      <c r="K1148" s="105" t="str">
        <f t="shared" si="43"/>
        <v>0003-1001-0022</v>
      </c>
      <c r="L1148" s="105" t="str">
        <f>VLOOKUP(K1148,COA!$A$3:$B$337,2,FALSE)</f>
        <v>V54</v>
      </c>
      <c r="M1148" s="105" t="str">
        <f t="shared" si="44"/>
        <v>V54</v>
      </c>
      <c r="N1148" s="105" t="str">
        <f>VLOOKUP(M1148,CAC!$A$2:$B$198,2,FALSE)</f>
        <v>PPOIFP</v>
      </c>
    </row>
    <row r="1149" spans="5:14" x14ac:dyDescent="0.25">
      <c r="E1149" s="83">
        <v>201602</v>
      </c>
      <c r="F1149" s="82" t="s">
        <v>563</v>
      </c>
      <c r="G1149" s="82" t="s">
        <v>365</v>
      </c>
      <c r="H1149" s="82" t="s">
        <v>798</v>
      </c>
      <c r="I1149" s="95">
        <v>0</v>
      </c>
      <c r="K1149" s="105" t="str">
        <f t="shared" si="43"/>
        <v>0003-1001-0065</v>
      </c>
      <c r="L1149" s="105" t="str">
        <f>VLOOKUP(K1149,COA!$A$3:$B$337,2,FALSE)</f>
        <v>V55</v>
      </c>
      <c r="M1149" s="105" t="str">
        <f t="shared" si="44"/>
        <v>V55</v>
      </c>
      <c r="N1149" s="105" t="e">
        <f>VLOOKUP(M1149,CAC!$A$2:$B$198,2,FALSE)</f>
        <v>#N/A</v>
      </c>
    </row>
    <row r="1150" spans="5:14" x14ac:dyDescent="0.25">
      <c r="E1150" s="83">
        <v>201605</v>
      </c>
      <c r="F1150" s="82" t="s">
        <v>345</v>
      </c>
      <c r="G1150" s="82" t="s">
        <v>352</v>
      </c>
      <c r="H1150" s="82" t="s">
        <v>344</v>
      </c>
      <c r="I1150" s="95">
        <v>13481.3</v>
      </c>
      <c r="K1150" s="105" t="str">
        <f t="shared" si="43"/>
        <v>0011-1004-0012</v>
      </c>
      <c r="L1150" s="105" t="str">
        <f>VLOOKUP(K1150,COA!$A$3:$B$337,2,FALSE)</f>
        <v>L11</v>
      </c>
      <c r="M1150" s="105" t="str">
        <f t="shared" si="44"/>
        <v>L11</v>
      </c>
      <c r="N1150" s="105" t="str">
        <f>VLOOKUP(M1150,CAC!$A$2:$B$198,2,FALSE)</f>
        <v>HMOLG</v>
      </c>
    </row>
    <row r="1151" spans="5:14" x14ac:dyDescent="0.25">
      <c r="E1151" s="83">
        <v>201612</v>
      </c>
      <c r="F1151" s="82" t="s">
        <v>344</v>
      </c>
      <c r="G1151" s="82" t="s">
        <v>356</v>
      </c>
      <c r="H1151" s="82" t="s">
        <v>344</v>
      </c>
      <c r="I1151" s="95">
        <v>4130.4799999999996</v>
      </c>
      <c r="K1151" s="105" t="str">
        <f t="shared" si="43"/>
        <v>0012-1002-0012</v>
      </c>
      <c r="L1151" s="105" t="str">
        <f>VLOOKUP(K1151,COA!$A$3:$B$337,2,FALSE)</f>
        <v>F22</v>
      </c>
      <c r="M1151" s="105" t="str">
        <f t="shared" si="44"/>
        <v>F22</v>
      </c>
      <c r="N1151" s="105" t="str">
        <f>VLOOKUP(M1151,CAC!$A$2:$B$198,2,FALSE)</f>
        <v>HMOPMR</v>
      </c>
    </row>
    <row r="1152" spans="5:14" x14ac:dyDescent="0.25">
      <c r="E1152" s="83">
        <v>201505</v>
      </c>
      <c r="F1152" s="82" t="s">
        <v>413</v>
      </c>
      <c r="G1152" s="82" t="s">
        <v>355</v>
      </c>
      <c r="H1152" s="82" t="s">
        <v>344</v>
      </c>
      <c r="I1152" s="95">
        <v>0</v>
      </c>
      <c r="K1152" s="105" t="str">
        <f t="shared" si="43"/>
        <v>0008-1006-0012</v>
      </c>
      <c r="L1152" s="105" t="str">
        <f>VLOOKUP(K1152,COA!$A$3:$B$337,2,FALSE)</f>
        <v>C96</v>
      </c>
      <c r="M1152" s="105" t="str">
        <f t="shared" si="44"/>
        <v>C96</v>
      </c>
      <c r="N1152" s="105" t="str">
        <f>VLOOKUP(M1152,CAC!$A$2:$B$198,2,FALSE)</f>
        <v>DOILG</v>
      </c>
    </row>
    <row r="1153" spans="5:14" x14ac:dyDescent="0.25">
      <c r="E1153" s="83">
        <v>201611</v>
      </c>
      <c r="F1153" s="82" t="s">
        <v>345</v>
      </c>
      <c r="G1153" s="82" t="s">
        <v>348</v>
      </c>
      <c r="H1153" s="82" t="s">
        <v>353</v>
      </c>
      <c r="I1153" s="95">
        <v>315</v>
      </c>
      <c r="K1153" s="105" t="str">
        <f t="shared" si="43"/>
        <v>0011-1010-0023</v>
      </c>
      <c r="L1153" s="105" t="str">
        <f>VLOOKUP(K1153,COA!$A$3:$B$337,2,FALSE)</f>
        <v>S13</v>
      </c>
      <c r="M1153" s="105" t="str">
        <f t="shared" si="44"/>
        <v>S13</v>
      </c>
      <c r="N1153" s="105" t="str">
        <f>VLOOKUP(M1153,CAC!$A$2:$B$198,2,FALSE)</f>
        <v>HMOSG</v>
      </c>
    </row>
    <row r="1154" spans="5:14" x14ac:dyDescent="0.25">
      <c r="E1154" s="83">
        <v>201504</v>
      </c>
      <c r="F1154" s="82" t="s">
        <v>563</v>
      </c>
      <c r="G1154" s="82" t="s">
        <v>354</v>
      </c>
      <c r="H1154" s="82" t="s">
        <v>344</v>
      </c>
      <c r="I1154" s="95">
        <v>0</v>
      </c>
      <c r="K1154" s="105" t="str">
        <f t="shared" si="43"/>
        <v>0003-1013-0012</v>
      </c>
      <c r="L1154" s="105" t="str">
        <f>VLOOKUP(K1154,COA!$A$3:$B$337,2,FALSE)</f>
        <v>N55</v>
      </c>
      <c r="M1154" s="105" t="str">
        <f t="shared" si="44"/>
        <v>N55</v>
      </c>
      <c r="N1154" s="105" t="str">
        <f>VLOOKUP(M1154,CAC!$A$2:$B$198,2,FALSE)</f>
        <v>PPOPMR</v>
      </c>
    </row>
    <row r="1155" spans="5:14" x14ac:dyDescent="0.25">
      <c r="E1155" s="83">
        <v>201505</v>
      </c>
      <c r="F1155" s="82" t="s">
        <v>746</v>
      </c>
      <c r="G1155" s="82" t="s">
        <v>352</v>
      </c>
      <c r="H1155" s="82" t="s">
        <v>344</v>
      </c>
      <c r="I1155" s="95">
        <v>0</v>
      </c>
      <c r="K1155" s="105" t="str">
        <f t="shared" si="43"/>
        <v>0016-1004-0012</v>
      </c>
      <c r="L1155" s="105" t="str">
        <f>VLOOKUP(K1155,COA!$A$3:$B$337,2,FALSE)</f>
        <v>R20</v>
      </c>
      <c r="M1155" s="105" t="str">
        <f t="shared" si="44"/>
        <v>R20</v>
      </c>
      <c r="N1155" s="105" t="str">
        <f>VLOOKUP(M1155,CAC!$A$2:$B$198,2,FALSE)</f>
        <v>HMOMG</v>
      </c>
    </row>
    <row r="1156" spans="5:14" x14ac:dyDescent="0.25">
      <c r="E1156" s="83">
        <v>201712</v>
      </c>
      <c r="F1156" s="82" t="s">
        <v>563</v>
      </c>
      <c r="G1156" s="82" t="s">
        <v>365</v>
      </c>
      <c r="H1156" s="82" t="s">
        <v>367</v>
      </c>
      <c r="I1156" s="95">
        <v>0</v>
      </c>
      <c r="K1156" s="105" t="str">
        <f t="shared" ref="K1156:K1219" si="45">F1156&amp;"-"&amp;G1156&amp;"-"&amp;H1156</f>
        <v>0003-1001-0022</v>
      </c>
      <c r="L1156" s="105" t="str">
        <f>VLOOKUP(K1156,COA!$A$3:$B$337,2,FALSE)</f>
        <v>V54</v>
      </c>
      <c r="M1156" s="105" t="str">
        <f t="shared" ref="M1156:M1219" si="46">IF(ISNA(L1156),"XXX",L1156)</f>
        <v>V54</v>
      </c>
      <c r="N1156" s="105" t="str">
        <f>VLOOKUP(M1156,CAC!$A$2:$B$198,2,FALSE)</f>
        <v>PPOIFP</v>
      </c>
    </row>
    <row r="1157" spans="5:14" x14ac:dyDescent="0.25">
      <c r="E1157" s="83">
        <v>201502</v>
      </c>
      <c r="F1157" s="82" t="s">
        <v>563</v>
      </c>
      <c r="G1157" s="82" t="s">
        <v>365</v>
      </c>
      <c r="H1157" s="82" t="s">
        <v>344</v>
      </c>
      <c r="I1157" s="95">
        <v>0</v>
      </c>
      <c r="K1157" s="105" t="str">
        <f t="shared" si="45"/>
        <v>0003-1001-0012</v>
      </c>
      <c r="L1157" s="105" t="str">
        <f>VLOOKUP(K1157,COA!$A$3:$B$337,2,FALSE)</f>
        <v>V51</v>
      </c>
      <c r="M1157" s="105" t="str">
        <f t="shared" si="46"/>
        <v>V51</v>
      </c>
      <c r="N1157" s="105" t="str">
        <f>VLOOKUP(M1157,CAC!$A$2:$B$198,2,FALSE)</f>
        <v>PPOIFP</v>
      </c>
    </row>
    <row r="1158" spans="5:14" x14ac:dyDescent="0.25">
      <c r="E1158" s="83">
        <v>201607</v>
      </c>
      <c r="F1158" s="82" t="s">
        <v>344</v>
      </c>
      <c r="G1158" s="82" t="s">
        <v>359</v>
      </c>
      <c r="H1158" s="82" t="s">
        <v>344</v>
      </c>
      <c r="I1158" s="95">
        <v>138</v>
      </c>
      <c r="K1158" s="105" t="str">
        <f t="shared" si="45"/>
        <v>0012-1005-0012</v>
      </c>
      <c r="L1158" s="105" t="str">
        <f>VLOOKUP(K1158,COA!$A$3:$B$337,2,FALSE)</f>
        <v>N13</v>
      </c>
      <c r="M1158" s="105" t="str">
        <f t="shared" si="46"/>
        <v>N13</v>
      </c>
      <c r="N1158" s="105" t="str">
        <f>VLOOKUP(M1158,CAC!$A$2:$B$198,2,FALSE)</f>
        <v>HMOLG</v>
      </c>
    </row>
    <row r="1159" spans="5:14" x14ac:dyDescent="0.25">
      <c r="E1159" s="83">
        <v>201606</v>
      </c>
      <c r="F1159" s="82" t="s">
        <v>563</v>
      </c>
      <c r="G1159" s="82" t="s">
        <v>348</v>
      </c>
      <c r="H1159" s="82" t="s">
        <v>358</v>
      </c>
      <c r="I1159" s="95">
        <v>0</v>
      </c>
      <c r="K1159" s="105" t="str">
        <f t="shared" si="45"/>
        <v>0003-1010-0024</v>
      </c>
      <c r="L1159" s="105" t="str">
        <f>VLOOKUP(K1159,COA!$A$3:$B$337,2,FALSE)</f>
        <v>S56</v>
      </c>
      <c r="M1159" s="105" t="str">
        <f t="shared" si="46"/>
        <v>S56</v>
      </c>
      <c r="N1159" s="105" t="str">
        <f>VLOOKUP(M1159,CAC!$A$2:$B$198,2,FALSE)</f>
        <v>PPOSG</v>
      </c>
    </row>
    <row r="1160" spans="5:14" x14ac:dyDescent="0.25">
      <c r="E1160" s="83">
        <v>201707</v>
      </c>
      <c r="F1160" s="82" t="s">
        <v>344</v>
      </c>
      <c r="G1160" s="82" t="s">
        <v>356</v>
      </c>
      <c r="H1160" s="82" t="s">
        <v>344</v>
      </c>
      <c r="I1160" s="95">
        <v>4270</v>
      </c>
      <c r="K1160" s="105" t="str">
        <f t="shared" si="45"/>
        <v>0012-1002-0012</v>
      </c>
      <c r="L1160" s="105" t="str">
        <f>VLOOKUP(K1160,COA!$A$3:$B$337,2,FALSE)</f>
        <v>F22</v>
      </c>
      <c r="M1160" s="105" t="str">
        <f t="shared" si="46"/>
        <v>F22</v>
      </c>
      <c r="N1160" s="105" t="str">
        <f>VLOOKUP(M1160,CAC!$A$2:$B$198,2,FALSE)</f>
        <v>HMOPMR</v>
      </c>
    </row>
    <row r="1161" spans="5:14" x14ac:dyDescent="0.25">
      <c r="E1161" s="83">
        <v>201711</v>
      </c>
      <c r="F1161" s="82" t="s">
        <v>405</v>
      </c>
      <c r="G1161" s="82" t="s">
        <v>362</v>
      </c>
      <c r="H1161" s="82" t="s">
        <v>342</v>
      </c>
      <c r="I1161" s="95">
        <v>0</v>
      </c>
      <c r="K1161" s="105" t="str">
        <f t="shared" si="45"/>
        <v>0019-1008-0031</v>
      </c>
      <c r="L1161" s="105" t="str">
        <f>VLOOKUP(K1161,COA!$A$3:$B$337,2,FALSE)</f>
        <v>P53</v>
      </c>
      <c r="M1161" s="105" t="str">
        <f t="shared" si="46"/>
        <v>P53</v>
      </c>
      <c r="N1161" s="105" t="str">
        <f>VLOOKUP(M1161,CAC!$A$2:$B$198,2,FALSE)</f>
        <v>HMOPERA</v>
      </c>
    </row>
    <row r="1162" spans="5:14" x14ac:dyDescent="0.25">
      <c r="E1162" s="83">
        <v>201511</v>
      </c>
      <c r="F1162" s="82" t="s">
        <v>345</v>
      </c>
      <c r="G1162" s="82" t="s">
        <v>346</v>
      </c>
      <c r="H1162" s="82" t="s">
        <v>347</v>
      </c>
      <c r="I1162" s="95">
        <v>8</v>
      </c>
      <c r="K1162" s="105" t="str">
        <f t="shared" si="45"/>
        <v>0011-1014-0039</v>
      </c>
      <c r="L1162" s="105" t="str">
        <f>VLOOKUP(K1162,COA!$A$3:$B$337,2,FALSE)</f>
        <v>K24</v>
      </c>
      <c r="M1162" s="105" t="str">
        <f t="shared" si="46"/>
        <v>K24</v>
      </c>
      <c r="N1162" s="105" t="str">
        <f>VLOOKUP(M1162,CAC!$A$2:$B$198,2,FALSE)</f>
        <v>HMFLEX</v>
      </c>
    </row>
    <row r="1163" spans="5:14" x14ac:dyDescent="0.25">
      <c r="E1163" s="83">
        <v>201702</v>
      </c>
      <c r="F1163" s="82" t="s">
        <v>344</v>
      </c>
      <c r="G1163" s="82" t="s">
        <v>352</v>
      </c>
      <c r="H1163" s="82" t="s">
        <v>344</v>
      </c>
      <c r="I1163" s="95">
        <v>272</v>
      </c>
      <c r="K1163" s="105" t="str">
        <f t="shared" si="45"/>
        <v>0012-1004-0012</v>
      </c>
      <c r="L1163" s="105" t="str">
        <f>VLOOKUP(K1163,COA!$A$3:$B$337,2,FALSE)</f>
        <v>L12</v>
      </c>
      <c r="M1163" s="105" t="str">
        <f t="shared" si="46"/>
        <v>L12</v>
      </c>
      <c r="N1163" s="105" t="str">
        <f>VLOOKUP(M1163,CAC!$A$2:$B$198,2,FALSE)</f>
        <v>HMOLG</v>
      </c>
    </row>
    <row r="1164" spans="5:14" x14ac:dyDescent="0.25">
      <c r="E1164" s="83">
        <v>201706</v>
      </c>
      <c r="F1164" s="82" t="s">
        <v>345</v>
      </c>
      <c r="G1164" s="82" t="s">
        <v>350</v>
      </c>
      <c r="H1164" s="82" t="s">
        <v>344</v>
      </c>
      <c r="I1164" s="95">
        <v>17428.439999999999</v>
      </c>
      <c r="K1164" s="105" t="str">
        <f t="shared" si="45"/>
        <v>0011-1012-0012</v>
      </c>
      <c r="L1164" s="105" t="str">
        <f>VLOOKUP(K1164,COA!$A$3:$B$337,2,FALSE)</f>
        <v>K11</v>
      </c>
      <c r="M1164" s="105" t="str">
        <f t="shared" si="46"/>
        <v>K11</v>
      </c>
      <c r="N1164" s="105" t="str">
        <f>VLOOKUP(M1164,CAC!$A$2:$B$198,2,FALSE)</f>
        <v>HMOPMR</v>
      </c>
    </row>
    <row r="1165" spans="5:14" x14ac:dyDescent="0.25">
      <c r="E1165" s="83">
        <v>201801</v>
      </c>
      <c r="F1165" s="82" t="s">
        <v>506</v>
      </c>
      <c r="G1165" s="82" t="s">
        <v>354</v>
      </c>
      <c r="H1165" s="82" t="s">
        <v>592</v>
      </c>
      <c r="I1165" s="95">
        <v>0</v>
      </c>
      <c r="K1165" s="105" t="str">
        <f t="shared" si="45"/>
        <v>0013-1013-0035</v>
      </c>
      <c r="L1165" s="105" t="str">
        <f>VLOOKUP(K1165,COA!$A$3:$B$337,2,FALSE)</f>
        <v>N44</v>
      </c>
      <c r="M1165" s="105" t="str">
        <f t="shared" si="46"/>
        <v>N44</v>
      </c>
      <c r="N1165" s="105" t="e">
        <f>VLOOKUP(M1165,CAC!$A$2:$B$198,2,FALSE)</f>
        <v>#N/A</v>
      </c>
    </row>
    <row r="1166" spans="5:14" x14ac:dyDescent="0.25">
      <c r="E1166" s="83">
        <v>201506</v>
      </c>
      <c r="F1166" s="82" t="s">
        <v>345</v>
      </c>
      <c r="G1166" s="82" t="s">
        <v>350</v>
      </c>
      <c r="H1166" s="82" t="s">
        <v>344</v>
      </c>
      <c r="I1166" s="95">
        <v>6918</v>
      </c>
      <c r="K1166" s="105" t="str">
        <f t="shared" si="45"/>
        <v>0011-1012-0012</v>
      </c>
      <c r="L1166" s="105" t="str">
        <f>VLOOKUP(K1166,COA!$A$3:$B$337,2,FALSE)</f>
        <v>K11</v>
      </c>
      <c r="M1166" s="105" t="str">
        <f t="shared" si="46"/>
        <v>K11</v>
      </c>
      <c r="N1166" s="105" t="str">
        <f>VLOOKUP(M1166,CAC!$A$2:$B$198,2,FALSE)</f>
        <v>HMOPMR</v>
      </c>
    </row>
    <row r="1167" spans="5:14" x14ac:dyDescent="0.25">
      <c r="E1167" s="83">
        <v>201607</v>
      </c>
      <c r="F1167" s="82" t="s">
        <v>563</v>
      </c>
      <c r="G1167" s="82" t="s">
        <v>359</v>
      </c>
      <c r="H1167" s="82" t="s">
        <v>344</v>
      </c>
      <c r="I1167" s="95">
        <v>0</v>
      </c>
      <c r="K1167" s="105" t="str">
        <f t="shared" si="45"/>
        <v>0003-1005-0012</v>
      </c>
      <c r="L1167" s="105" t="str">
        <f>VLOOKUP(K1167,COA!$A$3:$B$337,2,FALSE)</f>
        <v>N51</v>
      </c>
      <c r="M1167" s="105" t="str">
        <f t="shared" si="46"/>
        <v>N51</v>
      </c>
      <c r="N1167" s="105" t="str">
        <f>VLOOKUP(M1167,CAC!$A$2:$B$198,2,FALSE)</f>
        <v>PPOLG</v>
      </c>
    </row>
    <row r="1168" spans="5:14" x14ac:dyDescent="0.25">
      <c r="E1168" s="83">
        <v>201611</v>
      </c>
      <c r="F1168" s="82" t="s">
        <v>349</v>
      </c>
      <c r="G1168" s="82" t="s">
        <v>369</v>
      </c>
      <c r="H1168" s="82" t="s">
        <v>764</v>
      </c>
      <c r="I1168" s="95">
        <v>5647</v>
      </c>
      <c r="K1168" s="105" t="str">
        <f t="shared" si="45"/>
        <v>0017-1009-0064</v>
      </c>
      <c r="L1168" s="105" t="str">
        <f>VLOOKUP(K1168,COA!$A$3:$B$337,2,FALSE)</f>
        <v>R15</v>
      </c>
      <c r="M1168" s="105" t="str">
        <f t="shared" si="46"/>
        <v>R15</v>
      </c>
      <c r="N1168" s="105" t="str">
        <f>VLOOKUP(M1168,CAC!$A$2:$B$198,2,FALSE)</f>
        <v>HMOMM</v>
      </c>
    </row>
    <row r="1169" spans="5:14" x14ac:dyDescent="0.25">
      <c r="E1169" s="83">
        <v>201507</v>
      </c>
      <c r="F1169" s="82" t="s">
        <v>506</v>
      </c>
      <c r="G1169" s="82" t="s">
        <v>354</v>
      </c>
      <c r="H1169" s="82" t="s">
        <v>592</v>
      </c>
      <c r="I1169" s="95">
        <v>0</v>
      </c>
      <c r="K1169" s="105" t="str">
        <f t="shared" si="45"/>
        <v>0013-1013-0035</v>
      </c>
      <c r="L1169" s="105" t="str">
        <f>VLOOKUP(K1169,COA!$A$3:$B$337,2,FALSE)</f>
        <v>N44</v>
      </c>
      <c r="M1169" s="105" t="str">
        <f t="shared" si="46"/>
        <v>N44</v>
      </c>
      <c r="N1169" s="105" t="e">
        <f>VLOOKUP(M1169,CAC!$A$2:$B$198,2,FALSE)</f>
        <v>#N/A</v>
      </c>
    </row>
    <row r="1170" spans="5:14" x14ac:dyDescent="0.25">
      <c r="E1170" s="83">
        <v>201711</v>
      </c>
      <c r="F1170" s="82" t="s">
        <v>413</v>
      </c>
      <c r="G1170" s="82" t="s">
        <v>359</v>
      </c>
      <c r="H1170" s="82" t="s">
        <v>344</v>
      </c>
      <c r="I1170" s="95">
        <v>0</v>
      </c>
      <c r="K1170" s="105" t="str">
        <f t="shared" si="45"/>
        <v>0008-1005-0012</v>
      </c>
      <c r="L1170" s="105" t="str">
        <f>VLOOKUP(K1170,COA!$A$3:$B$337,2,FALSE)</f>
        <v>C73</v>
      </c>
      <c r="M1170" s="105" t="str">
        <f t="shared" si="46"/>
        <v>C73</v>
      </c>
      <c r="N1170" s="105" t="str">
        <f>VLOOKUP(M1170,CAC!$A$2:$B$198,2,FALSE)</f>
        <v>DOILG</v>
      </c>
    </row>
    <row r="1171" spans="5:14" x14ac:dyDescent="0.25">
      <c r="E1171" s="83">
        <v>201610</v>
      </c>
      <c r="F1171" s="82" t="s">
        <v>563</v>
      </c>
      <c r="G1171" s="82" t="s">
        <v>352</v>
      </c>
      <c r="H1171" s="82" t="s">
        <v>626</v>
      </c>
      <c r="I1171" s="95">
        <v>0</v>
      </c>
      <c r="K1171" s="105" t="str">
        <f t="shared" si="45"/>
        <v>0003-1004-0057</v>
      </c>
      <c r="L1171" s="105" t="e">
        <f>VLOOKUP(K1171,COA!$A$3:$B$337,2,FALSE)</f>
        <v>#N/A</v>
      </c>
      <c r="M1171" s="105" t="str">
        <f t="shared" si="46"/>
        <v>XXX</v>
      </c>
      <c r="N1171" s="105" t="str">
        <f>VLOOKUP(M1171,CAC!$A$2:$B$198,2,FALSE)</f>
        <v>XXX</v>
      </c>
    </row>
    <row r="1172" spans="5:14" x14ac:dyDescent="0.25">
      <c r="E1172" s="83">
        <v>201704</v>
      </c>
      <c r="F1172" s="82" t="s">
        <v>563</v>
      </c>
      <c r="G1172" s="82" t="s">
        <v>369</v>
      </c>
      <c r="H1172" s="82" t="s">
        <v>353</v>
      </c>
      <c r="I1172" s="95">
        <v>0</v>
      </c>
      <c r="K1172" s="105" t="str">
        <f t="shared" si="45"/>
        <v>0003-1009-0023</v>
      </c>
      <c r="L1172" s="105" t="e">
        <f>VLOOKUP(K1172,COA!$A$3:$B$337,2,FALSE)</f>
        <v>#N/A</v>
      </c>
      <c r="M1172" s="105" t="str">
        <f t="shared" si="46"/>
        <v>XXX</v>
      </c>
      <c r="N1172" s="105" t="str">
        <f>VLOOKUP(M1172,CAC!$A$2:$B$198,2,FALSE)</f>
        <v>XXX</v>
      </c>
    </row>
    <row r="1173" spans="5:14" x14ac:dyDescent="0.25">
      <c r="E1173" s="83">
        <v>201705</v>
      </c>
      <c r="F1173" s="82" t="s">
        <v>413</v>
      </c>
      <c r="G1173" s="82" t="s">
        <v>359</v>
      </c>
      <c r="H1173" s="82" t="s">
        <v>344</v>
      </c>
      <c r="I1173" s="95">
        <v>0</v>
      </c>
      <c r="K1173" s="105" t="str">
        <f t="shared" si="45"/>
        <v>0008-1005-0012</v>
      </c>
      <c r="L1173" s="105" t="str">
        <f>VLOOKUP(K1173,COA!$A$3:$B$337,2,FALSE)</f>
        <v>C73</v>
      </c>
      <c r="M1173" s="105" t="str">
        <f t="shared" si="46"/>
        <v>C73</v>
      </c>
      <c r="N1173" s="105" t="str">
        <f>VLOOKUP(M1173,CAC!$A$2:$B$198,2,FALSE)</f>
        <v>DOILG</v>
      </c>
    </row>
    <row r="1174" spans="5:14" x14ac:dyDescent="0.25">
      <c r="E1174" s="83">
        <v>201504</v>
      </c>
      <c r="F1174" s="82" t="s">
        <v>746</v>
      </c>
      <c r="G1174" s="82" t="s">
        <v>350</v>
      </c>
      <c r="H1174" s="82" t="s">
        <v>344</v>
      </c>
      <c r="I1174" s="95">
        <v>138</v>
      </c>
      <c r="K1174" s="105" t="str">
        <f t="shared" si="45"/>
        <v>0016-1012-0012</v>
      </c>
      <c r="L1174" s="105" t="str">
        <f>VLOOKUP(K1174,COA!$A$3:$B$337,2,FALSE)</f>
        <v>R19</v>
      </c>
      <c r="M1174" s="105" t="str">
        <f t="shared" si="46"/>
        <v>R19</v>
      </c>
      <c r="N1174" s="105" t="str">
        <f>VLOOKUP(M1174,CAC!$A$2:$B$198,2,FALSE)</f>
        <v>HMOMG</v>
      </c>
    </row>
    <row r="1175" spans="5:14" x14ac:dyDescent="0.25">
      <c r="E1175" s="83">
        <v>201605</v>
      </c>
      <c r="F1175" s="82" t="s">
        <v>506</v>
      </c>
      <c r="G1175" s="82" t="s">
        <v>350</v>
      </c>
      <c r="H1175" s="82" t="s">
        <v>592</v>
      </c>
      <c r="I1175" s="95">
        <v>0</v>
      </c>
      <c r="K1175" s="105" t="str">
        <f t="shared" si="45"/>
        <v>0013-1012-0035</v>
      </c>
      <c r="L1175" s="105" t="str">
        <f>VLOOKUP(K1175,COA!$A$3:$B$337,2,FALSE)</f>
        <v>K41</v>
      </c>
      <c r="M1175" s="105" t="str">
        <f t="shared" si="46"/>
        <v>K41</v>
      </c>
      <c r="N1175" s="105" t="e">
        <f>VLOOKUP(M1175,CAC!$A$2:$B$198,2,FALSE)</f>
        <v>#N/A</v>
      </c>
    </row>
    <row r="1176" spans="5:14" x14ac:dyDescent="0.25">
      <c r="E1176" s="83">
        <v>201510</v>
      </c>
      <c r="F1176" s="82" t="s">
        <v>563</v>
      </c>
      <c r="G1176" s="82" t="s">
        <v>354</v>
      </c>
      <c r="H1176" s="82" t="s">
        <v>626</v>
      </c>
      <c r="I1176" s="95">
        <v>0</v>
      </c>
      <c r="K1176" s="105" t="str">
        <f t="shared" si="45"/>
        <v>0003-1013-0057</v>
      </c>
      <c r="L1176" s="105" t="str">
        <f>VLOOKUP(K1176,COA!$A$3:$B$337,2,FALSE)</f>
        <v>N55</v>
      </c>
      <c r="M1176" s="105" t="str">
        <f t="shared" si="46"/>
        <v>N55</v>
      </c>
      <c r="N1176" s="105" t="str">
        <f>VLOOKUP(M1176,CAC!$A$2:$B$198,2,FALSE)</f>
        <v>PPOPMR</v>
      </c>
    </row>
    <row r="1177" spans="5:14" x14ac:dyDescent="0.25">
      <c r="E1177" s="83">
        <v>201605</v>
      </c>
      <c r="F1177" s="82" t="s">
        <v>413</v>
      </c>
      <c r="G1177" s="82" t="s">
        <v>354</v>
      </c>
      <c r="H1177" s="82" t="s">
        <v>344</v>
      </c>
      <c r="I1177" s="95">
        <v>0</v>
      </c>
      <c r="K1177" s="105" t="str">
        <f t="shared" si="45"/>
        <v>0008-1013-0012</v>
      </c>
      <c r="L1177" s="105" t="str">
        <f>VLOOKUP(K1177,COA!$A$3:$B$337,2,FALSE)</f>
        <v>C76</v>
      </c>
      <c r="M1177" s="105" t="str">
        <f t="shared" si="46"/>
        <v>C76</v>
      </c>
      <c r="N1177" s="105" t="str">
        <f>VLOOKUP(M1177,CAC!$A$2:$B$198,2,FALSE)</f>
        <v>DOILG</v>
      </c>
    </row>
    <row r="1178" spans="5:14" x14ac:dyDescent="0.25">
      <c r="E1178" s="83">
        <v>201504</v>
      </c>
      <c r="F1178" s="82" t="s">
        <v>563</v>
      </c>
      <c r="G1178" s="82" t="s">
        <v>365</v>
      </c>
      <c r="H1178" s="82" t="s">
        <v>411</v>
      </c>
      <c r="I1178" s="95">
        <v>0</v>
      </c>
      <c r="K1178" s="105" t="str">
        <f t="shared" si="45"/>
        <v>0003-1001-0007</v>
      </c>
      <c r="L1178" s="105" t="str">
        <f>VLOOKUP(K1178,COA!$A$3:$B$337,2,FALSE)</f>
        <v>V52</v>
      </c>
      <c r="M1178" s="105" t="str">
        <f t="shared" si="46"/>
        <v>V52</v>
      </c>
      <c r="N1178" s="105" t="str">
        <f>VLOOKUP(M1178,CAC!$A$2:$B$198,2,FALSE)</f>
        <v>PPOIFP</v>
      </c>
    </row>
    <row r="1179" spans="5:14" x14ac:dyDescent="0.25">
      <c r="E1179" s="83">
        <v>201612</v>
      </c>
      <c r="F1179" s="82" t="s">
        <v>349</v>
      </c>
      <c r="G1179" s="82" t="s">
        <v>369</v>
      </c>
      <c r="H1179" s="82" t="s">
        <v>344</v>
      </c>
      <c r="I1179" s="95">
        <v>40014</v>
      </c>
      <c r="K1179" s="105" t="str">
        <f t="shared" si="45"/>
        <v>0017-1009-0012</v>
      </c>
      <c r="L1179" s="105" t="str">
        <f>VLOOKUP(K1179,COA!$A$3:$B$337,2,FALSE)</f>
        <v>R12</v>
      </c>
      <c r="M1179" s="105" t="str">
        <f t="shared" si="46"/>
        <v>R12</v>
      </c>
      <c r="N1179" s="105" t="str">
        <f>VLOOKUP(M1179,CAC!$A$2:$B$198,2,FALSE)</f>
        <v>HMOMM</v>
      </c>
    </row>
    <row r="1180" spans="5:14" x14ac:dyDescent="0.25">
      <c r="E1180" s="83">
        <v>201702</v>
      </c>
      <c r="F1180" s="82" t="s">
        <v>563</v>
      </c>
      <c r="G1180" s="82" t="s">
        <v>350</v>
      </c>
      <c r="H1180" s="82" t="s">
        <v>344</v>
      </c>
      <c r="I1180" s="95">
        <v>0</v>
      </c>
      <c r="K1180" s="105" t="str">
        <f t="shared" si="45"/>
        <v>0003-1012-0012</v>
      </c>
      <c r="L1180" s="105" t="str">
        <f>VLOOKUP(K1180,COA!$A$3:$B$337,2,FALSE)</f>
        <v>K51</v>
      </c>
      <c r="M1180" s="105" t="str">
        <f t="shared" si="46"/>
        <v>K51</v>
      </c>
      <c r="N1180" s="105" t="str">
        <f>VLOOKUP(M1180,CAC!$A$2:$B$198,2,FALSE)</f>
        <v>PPOPMR</v>
      </c>
    </row>
    <row r="1181" spans="5:14" x14ac:dyDescent="0.25">
      <c r="E1181" s="83">
        <v>201612</v>
      </c>
      <c r="F1181" s="82" t="s">
        <v>563</v>
      </c>
      <c r="G1181" s="82" t="s">
        <v>352</v>
      </c>
      <c r="H1181" s="82" t="s">
        <v>653</v>
      </c>
      <c r="I1181" s="95">
        <v>0</v>
      </c>
      <c r="K1181" s="105" t="str">
        <f t="shared" si="45"/>
        <v>0003-1004-0047</v>
      </c>
      <c r="L1181" s="105" t="str">
        <f>VLOOKUP(K1181,COA!$A$3:$B$337,2,FALSE)</f>
        <v>L57</v>
      </c>
      <c r="M1181" s="105" t="str">
        <f t="shared" si="46"/>
        <v>L57</v>
      </c>
      <c r="N1181" s="105" t="str">
        <f>VLOOKUP(M1181,CAC!$A$2:$B$198,2,FALSE)</f>
        <v>PPOLG</v>
      </c>
    </row>
    <row r="1182" spans="5:14" x14ac:dyDescent="0.25">
      <c r="E1182" s="83">
        <v>201701</v>
      </c>
      <c r="F1182" s="82" t="s">
        <v>563</v>
      </c>
      <c r="G1182" s="82" t="s">
        <v>354</v>
      </c>
      <c r="H1182" s="82" t="s">
        <v>626</v>
      </c>
      <c r="I1182" s="95">
        <v>0</v>
      </c>
      <c r="K1182" s="105" t="str">
        <f t="shared" si="45"/>
        <v>0003-1013-0057</v>
      </c>
      <c r="L1182" s="105" t="str">
        <f>VLOOKUP(K1182,COA!$A$3:$B$337,2,FALSE)</f>
        <v>N55</v>
      </c>
      <c r="M1182" s="105" t="str">
        <f t="shared" si="46"/>
        <v>N55</v>
      </c>
      <c r="N1182" s="105" t="str">
        <f>VLOOKUP(M1182,CAC!$A$2:$B$198,2,FALSE)</f>
        <v>PPOPMR</v>
      </c>
    </row>
    <row r="1183" spans="5:14" x14ac:dyDescent="0.25">
      <c r="E1183" s="83">
        <v>201801</v>
      </c>
      <c r="F1183" s="82" t="s">
        <v>563</v>
      </c>
      <c r="G1183" s="82" t="s">
        <v>365</v>
      </c>
      <c r="H1183" s="82" t="s">
        <v>798</v>
      </c>
      <c r="I1183" s="95">
        <v>0</v>
      </c>
      <c r="K1183" s="105" t="str">
        <f t="shared" si="45"/>
        <v>0003-1001-0065</v>
      </c>
      <c r="L1183" s="105" t="str">
        <f>VLOOKUP(K1183,COA!$A$3:$B$337,2,FALSE)</f>
        <v>V55</v>
      </c>
      <c r="M1183" s="105" t="str">
        <f t="shared" si="46"/>
        <v>V55</v>
      </c>
      <c r="N1183" s="105" t="e">
        <f>VLOOKUP(M1183,CAC!$A$2:$B$198,2,FALSE)</f>
        <v>#N/A</v>
      </c>
    </row>
    <row r="1184" spans="5:14" x14ac:dyDescent="0.25">
      <c r="E1184" s="83">
        <v>201507</v>
      </c>
      <c r="F1184" s="82" t="s">
        <v>342</v>
      </c>
      <c r="G1184" s="82" t="s">
        <v>343</v>
      </c>
      <c r="H1184" s="82" t="s">
        <v>344</v>
      </c>
      <c r="I1184" s="95">
        <v>6596.65</v>
      </c>
      <c r="K1184" s="105" t="str">
        <f t="shared" si="45"/>
        <v>0031-1000-0012</v>
      </c>
      <c r="L1184" s="105" t="str">
        <f>VLOOKUP(K1184,COA!$A$3:$B$337,2,FALSE)</f>
        <v>F27</v>
      </c>
      <c r="M1184" s="105" t="str">
        <f t="shared" si="46"/>
        <v>F27</v>
      </c>
      <c r="N1184" s="105" t="str">
        <f>VLOOKUP(M1184,CAC!$A$2:$B$198,2,FALSE)</f>
        <v>HMOFEP</v>
      </c>
    </row>
    <row r="1185" spans="5:14" x14ac:dyDescent="0.25">
      <c r="E1185" s="83">
        <v>201702</v>
      </c>
      <c r="F1185" s="82" t="s">
        <v>342</v>
      </c>
      <c r="G1185" s="82" t="s">
        <v>343</v>
      </c>
      <c r="H1185" s="82" t="s">
        <v>344</v>
      </c>
      <c r="I1185" s="95">
        <v>5690.31</v>
      </c>
      <c r="K1185" s="105" t="str">
        <f t="shared" si="45"/>
        <v>0031-1000-0012</v>
      </c>
      <c r="L1185" s="105" t="str">
        <f>VLOOKUP(K1185,COA!$A$3:$B$337,2,FALSE)</f>
        <v>F27</v>
      </c>
      <c r="M1185" s="105" t="str">
        <f t="shared" si="46"/>
        <v>F27</v>
      </c>
      <c r="N1185" s="105" t="str">
        <f>VLOOKUP(M1185,CAC!$A$2:$B$198,2,FALSE)</f>
        <v>HMOFEP</v>
      </c>
    </row>
    <row r="1186" spans="5:14" x14ac:dyDescent="0.25">
      <c r="E1186" s="83">
        <v>201801</v>
      </c>
      <c r="F1186" s="82" t="s">
        <v>345</v>
      </c>
      <c r="G1186" s="82" t="s">
        <v>354</v>
      </c>
      <c r="H1186" s="82" t="s">
        <v>360</v>
      </c>
      <c r="I1186" s="95">
        <v>5104</v>
      </c>
      <c r="K1186" s="105" t="str">
        <f t="shared" si="45"/>
        <v>0011-1013-0048</v>
      </c>
      <c r="L1186" s="105" t="str">
        <f>VLOOKUP(K1186,COA!$A$3:$B$337,2,FALSE)</f>
        <v>N21</v>
      </c>
      <c r="M1186" s="105" t="str">
        <f t="shared" si="46"/>
        <v>N21</v>
      </c>
      <c r="N1186" s="105" t="str">
        <f>VLOOKUP(M1186,CAC!$A$2:$B$198,2,FALSE)</f>
        <v>HMFLEX</v>
      </c>
    </row>
    <row r="1187" spans="5:14" x14ac:dyDescent="0.25">
      <c r="E1187" s="83">
        <v>201705</v>
      </c>
      <c r="F1187" s="82" t="s">
        <v>344</v>
      </c>
      <c r="G1187" s="82" t="s">
        <v>354</v>
      </c>
      <c r="H1187" s="82" t="s">
        <v>344</v>
      </c>
      <c r="I1187" s="95">
        <v>286</v>
      </c>
      <c r="K1187" s="105" t="str">
        <f t="shared" si="45"/>
        <v>0012-1013-0012</v>
      </c>
      <c r="L1187" s="105" t="str">
        <f>VLOOKUP(K1187,COA!$A$3:$B$337,2,FALSE)</f>
        <v>N14</v>
      </c>
      <c r="M1187" s="105" t="str">
        <f t="shared" si="46"/>
        <v>N14</v>
      </c>
      <c r="N1187" s="105" t="str">
        <f>VLOOKUP(M1187,CAC!$A$2:$B$198,2,FALSE)</f>
        <v>HMOPMR</v>
      </c>
    </row>
    <row r="1188" spans="5:14" x14ac:dyDescent="0.25">
      <c r="E1188" s="83">
        <v>201509</v>
      </c>
      <c r="F1188" s="82" t="s">
        <v>746</v>
      </c>
      <c r="G1188" s="82" t="s">
        <v>354</v>
      </c>
      <c r="H1188" s="82" t="s">
        <v>344</v>
      </c>
      <c r="I1188" s="95">
        <v>81</v>
      </c>
      <c r="K1188" s="105" t="str">
        <f t="shared" si="45"/>
        <v>0016-1013-0012</v>
      </c>
      <c r="L1188" s="105" t="str">
        <f>VLOOKUP(K1188,COA!$A$3:$B$337,2,FALSE)</f>
        <v>R19</v>
      </c>
      <c r="M1188" s="105" t="str">
        <f t="shared" si="46"/>
        <v>R19</v>
      </c>
      <c r="N1188" s="105" t="str">
        <f>VLOOKUP(M1188,CAC!$A$2:$B$198,2,FALSE)</f>
        <v>HMOMG</v>
      </c>
    </row>
    <row r="1189" spans="5:14" x14ac:dyDescent="0.25">
      <c r="E1189" s="83">
        <v>201506</v>
      </c>
      <c r="F1189" s="82" t="s">
        <v>563</v>
      </c>
      <c r="G1189" s="82" t="s">
        <v>350</v>
      </c>
      <c r="H1189" s="82" t="s">
        <v>344</v>
      </c>
      <c r="I1189" s="95">
        <v>0</v>
      </c>
      <c r="K1189" s="105" t="str">
        <f t="shared" si="45"/>
        <v>0003-1012-0012</v>
      </c>
      <c r="L1189" s="105" t="str">
        <f>VLOOKUP(K1189,COA!$A$3:$B$337,2,FALSE)</f>
        <v>K51</v>
      </c>
      <c r="M1189" s="105" t="str">
        <f t="shared" si="46"/>
        <v>K51</v>
      </c>
      <c r="N1189" s="105" t="str">
        <f>VLOOKUP(M1189,CAC!$A$2:$B$198,2,FALSE)</f>
        <v>PPOPMR</v>
      </c>
    </row>
    <row r="1190" spans="5:14" x14ac:dyDescent="0.25">
      <c r="E1190" s="83">
        <v>201702</v>
      </c>
      <c r="F1190" s="82" t="s">
        <v>345</v>
      </c>
      <c r="G1190" s="82" t="s">
        <v>351</v>
      </c>
      <c r="H1190" s="82" t="s">
        <v>349</v>
      </c>
      <c r="I1190" s="95">
        <v>0</v>
      </c>
      <c r="K1190" s="105" t="str">
        <f t="shared" si="45"/>
        <v>0011-0000-0017</v>
      </c>
      <c r="L1190" s="105" t="e">
        <f>VLOOKUP(K1190,COA!$A$3:$B$337,2,FALSE)</f>
        <v>#N/A</v>
      </c>
      <c r="M1190" s="105" t="str">
        <f t="shared" si="46"/>
        <v>XXX</v>
      </c>
      <c r="N1190" s="105" t="str">
        <f>VLOOKUP(M1190,CAC!$A$2:$B$198,2,FALSE)</f>
        <v>XXX</v>
      </c>
    </row>
    <row r="1191" spans="5:14" x14ac:dyDescent="0.25">
      <c r="E1191" s="83">
        <v>201511</v>
      </c>
      <c r="F1191" s="82" t="s">
        <v>563</v>
      </c>
      <c r="G1191" s="82" t="s">
        <v>365</v>
      </c>
      <c r="H1191" s="82" t="s">
        <v>366</v>
      </c>
      <c r="I1191" s="95">
        <v>0</v>
      </c>
      <c r="K1191" s="105" t="str">
        <f t="shared" si="45"/>
        <v>0003-1001-0021</v>
      </c>
      <c r="L1191" s="105" t="str">
        <f>VLOOKUP(K1191,COA!$A$3:$B$337,2,FALSE)</f>
        <v>V53</v>
      </c>
      <c r="M1191" s="105" t="str">
        <f t="shared" si="46"/>
        <v>V53</v>
      </c>
      <c r="N1191" s="105" t="str">
        <f>VLOOKUP(M1191,CAC!$A$2:$B$198,2,FALSE)</f>
        <v>PPOIFP</v>
      </c>
    </row>
    <row r="1192" spans="5:14" x14ac:dyDescent="0.25">
      <c r="E1192" s="83">
        <v>201701</v>
      </c>
      <c r="F1192" s="82" t="s">
        <v>344</v>
      </c>
      <c r="G1192" s="82" t="s">
        <v>361</v>
      </c>
      <c r="H1192" s="82" t="s">
        <v>344</v>
      </c>
      <c r="I1192" s="95">
        <v>9513.75</v>
      </c>
      <c r="K1192" s="105" t="str">
        <f t="shared" si="45"/>
        <v>0012-1003-0012</v>
      </c>
      <c r="L1192" s="105" t="str">
        <f>VLOOKUP(K1192,COA!$A$3:$B$337,2,FALSE)</f>
        <v>N15</v>
      </c>
      <c r="M1192" s="105" t="str">
        <f t="shared" si="46"/>
        <v>N15</v>
      </c>
      <c r="N1192" s="105" t="str">
        <f>VLOOKUP(M1192,CAC!$A$2:$B$198,2,FALSE)</f>
        <v>HMOPMR</v>
      </c>
    </row>
    <row r="1193" spans="5:14" x14ac:dyDescent="0.25">
      <c r="E1193" s="83">
        <v>201706</v>
      </c>
      <c r="F1193" s="82" t="s">
        <v>563</v>
      </c>
      <c r="G1193" s="82" t="s">
        <v>350</v>
      </c>
      <c r="H1193" s="82" t="s">
        <v>344</v>
      </c>
      <c r="I1193" s="95">
        <v>0</v>
      </c>
      <c r="K1193" s="105" t="str">
        <f t="shared" si="45"/>
        <v>0003-1012-0012</v>
      </c>
      <c r="L1193" s="105" t="str">
        <f>VLOOKUP(K1193,COA!$A$3:$B$337,2,FALSE)</f>
        <v>K51</v>
      </c>
      <c r="M1193" s="105" t="str">
        <f t="shared" si="46"/>
        <v>K51</v>
      </c>
      <c r="N1193" s="105" t="str">
        <f>VLOOKUP(M1193,CAC!$A$2:$B$198,2,FALSE)</f>
        <v>PPOPMR</v>
      </c>
    </row>
    <row r="1194" spans="5:14" x14ac:dyDescent="0.25">
      <c r="E1194" s="83">
        <v>201609</v>
      </c>
      <c r="F1194" s="82" t="s">
        <v>746</v>
      </c>
      <c r="G1194" s="82" t="s">
        <v>350</v>
      </c>
      <c r="H1194" s="82" t="s">
        <v>344</v>
      </c>
      <c r="I1194" s="95">
        <v>63</v>
      </c>
      <c r="K1194" s="105" t="str">
        <f t="shared" si="45"/>
        <v>0016-1012-0012</v>
      </c>
      <c r="L1194" s="105" t="str">
        <f>VLOOKUP(K1194,COA!$A$3:$B$337,2,FALSE)</f>
        <v>R19</v>
      </c>
      <c r="M1194" s="105" t="str">
        <f t="shared" si="46"/>
        <v>R19</v>
      </c>
      <c r="N1194" s="105" t="str">
        <f>VLOOKUP(M1194,CAC!$A$2:$B$198,2,FALSE)</f>
        <v>HMOMG</v>
      </c>
    </row>
    <row r="1195" spans="5:14" x14ac:dyDescent="0.25">
      <c r="E1195" s="83">
        <v>201605</v>
      </c>
      <c r="F1195" s="82" t="s">
        <v>344</v>
      </c>
      <c r="G1195" s="82" t="s">
        <v>359</v>
      </c>
      <c r="H1195" s="82" t="s">
        <v>344</v>
      </c>
      <c r="I1195" s="95">
        <v>133</v>
      </c>
      <c r="K1195" s="105" t="str">
        <f t="shared" si="45"/>
        <v>0012-1005-0012</v>
      </c>
      <c r="L1195" s="105" t="str">
        <f>VLOOKUP(K1195,COA!$A$3:$B$337,2,FALSE)</f>
        <v>N13</v>
      </c>
      <c r="M1195" s="105" t="str">
        <f t="shared" si="46"/>
        <v>N13</v>
      </c>
      <c r="N1195" s="105" t="str">
        <f>VLOOKUP(M1195,CAC!$A$2:$B$198,2,FALSE)</f>
        <v>HMOLG</v>
      </c>
    </row>
    <row r="1196" spans="5:14" x14ac:dyDescent="0.25">
      <c r="E1196" s="83">
        <v>201709</v>
      </c>
      <c r="F1196" s="82" t="s">
        <v>563</v>
      </c>
      <c r="G1196" s="82" t="s">
        <v>348</v>
      </c>
      <c r="H1196" s="82" t="s">
        <v>358</v>
      </c>
      <c r="I1196" s="95">
        <v>0</v>
      </c>
      <c r="K1196" s="105" t="str">
        <f t="shared" si="45"/>
        <v>0003-1010-0024</v>
      </c>
      <c r="L1196" s="105" t="str">
        <f>VLOOKUP(K1196,COA!$A$3:$B$337,2,FALSE)</f>
        <v>S56</v>
      </c>
      <c r="M1196" s="105" t="str">
        <f t="shared" si="46"/>
        <v>S56</v>
      </c>
      <c r="N1196" s="105" t="str">
        <f>VLOOKUP(M1196,CAC!$A$2:$B$198,2,FALSE)</f>
        <v>PPOSG</v>
      </c>
    </row>
    <row r="1197" spans="5:14" x14ac:dyDescent="0.25">
      <c r="E1197" s="83">
        <v>201511</v>
      </c>
      <c r="F1197" s="82" t="s">
        <v>563</v>
      </c>
      <c r="G1197" s="82" t="s">
        <v>351</v>
      </c>
      <c r="H1197" s="82" t="s">
        <v>349</v>
      </c>
      <c r="I1197" s="95">
        <v>0</v>
      </c>
      <c r="K1197" s="105" t="str">
        <f t="shared" si="45"/>
        <v>0003-0000-0017</v>
      </c>
      <c r="L1197" s="105" t="e">
        <f>VLOOKUP(K1197,COA!$A$3:$B$337,2,FALSE)</f>
        <v>#N/A</v>
      </c>
      <c r="M1197" s="105" t="str">
        <f t="shared" si="46"/>
        <v>XXX</v>
      </c>
      <c r="N1197" s="105" t="str">
        <f>VLOOKUP(M1197,CAC!$A$2:$B$198,2,FALSE)</f>
        <v>XXX</v>
      </c>
    </row>
    <row r="1198" spans="5:14" x14ac:dyDescent="0.25">
      <c r="E1198" s="83">
        <v>201603</v>
      </c>
      <c r="F1198" s="82" t="s">
        <v>563</v>
      </c>
      <c r="G1198" s="82" t="s">
        <v>369</v>
      </c>
      <c r="H1198" s="82" t="s">
        <v>345</v>
      </c>
      <c r="I1198" s="95">
        <v>0</v>
      </c>
      <c r="K1198" s="105" t="str">
        <f t="shared" si="45"/>
        <v>0003-1009-0011</v>
      </c>
      <c r="L1198" s="105" t="str">
        <f>VLOOKUP(K1198,COA!$A$3:$B$337,2,FALSE)</f>
        <v>V91</v>
      </c>
      <c r="M1198" s="105" t="str">
        <f t="shared" si="46"/>
        <v>V91</v>
      </c>
      <c r="N1198" s="105" t="str">
        <f>VLOOKUP(M1198,CAC!$A$2:$B$198,2,FALSE)</f>
        <v>PPOMM</v>
      </c>
    </row>
    <row r="1199" spans="5:14" x14ac:dyDescent="0.25">
      <c r="E1199" s="83">
        <v>201801</v>
      </c>
      <c r="F1199" s="82" t="s">
        <v>563</v>
      </c>
      <c r="G1199" s="82" t="s">
        <v>354</v>
      </c>
      <c r="H1199" s="82" t="s">
        <v>360</v>
      </c>
      <c r="I1199" s="95">
        <v>0</v>
      </c>
      <c r="K1199" s="105" t="str">
        <f t="shared" si="45"/>
        <v>0003-1013-0048</v>
      </c>
      <c r="L1199" s="105" t="str">
        <f>VLOOKUP(K1199,COA!$A$3:$B$337,2,FALSE)</f>
        <v>N56</v>
      </c>
      <c r="M1199" s="105" t="str">
        <f t="shared" si="46"/>
        <v>N56</v>
      </c>
      <c r="N1199" s="105" t="str">
        <f>VLOOKUP(M1199,CAC!$A$2:$B$198,2,FALSE)</f>
        <v>HMFLEX</v>
      </c>
    </row>
    <row r="1200" spans="5:14" x14ac:dyDescent="0.25">
      <c r="E1200" s="83">
        <v>201509</v>
      </c>
      <c r="F1200" s="82" t="s">
        <v>563</v>
      </c>
      <c r="G1200" s="82" t="s">
        <v>352</v>
      </c>
      <c r="H1200" s="82" t="s">
        <v>344</v>
      </c>
      <c r="I1200" s="95">
        <v>0</v>
      </c>
      <c r="K1200" s="105" t="str">
        <f t="shared" si="45"/>
        <v>0003-1004-0012</v>
      </c>
      <c r="L1200" s="105" t="str">
        <f>VLOOKUP(K1200,COA!$A$3:$B$337,2,FALSE)</f>
        <v>L51</v>
      </c>
      <c r="M1200" s="105" t="str">
        <f t="shared" si="46"/>
        <v>L51</v>
      </c>
      <c r="N1200" s="105" t="str">
        <f>VLOOKUP(M1200,CAC!$A$2:$B$198,2,FALSE)</f>
        <v>PPOLG</v>
      </c>
    </row>
    <row r="1201" spans="5:14" x14ac:dyDescent="0.25">
      <c r="E1201" s="83">
        <v>201704</v>
      </c>
      <c r="F1201" s="82" t="s">
        <v>405</v>
      </c>
      <c r="G1201" s="82" t="s">
        <v>362</v>
      </c>
      <c r="H1201" s="82" t="s">
        <v>342</v>
      </c>
      <c r="I1201" s="95">
        <v>0</v>
      </c>
      <c r="K1201" s="105" t="str">
        <f t="shared" si="45"/>
        <v>0019-1008-0031</v>
      </c>
      <c r="L1201" s="105" t="str">
        <f>VLOOKUP(K1201,COA!$A$3:$B$337,2,FALSE)</f>
        <v>P53</v>
      </c>
      <c r="M1201" s="105" t="str">
        <f t="shared" si="46"/>
        <v>P53</v>
      </c>
      <c r="N1201" s="105" t="str">
        <f>VLOOKUP(M1201,CAC!$A$2:$B$198,2,FALSE)</f>
        <v>HMOPERA</v>
      </c>
    </row>
    <row r="1202" spans="5:14" x14ac:dyDescent="0.25">
      <c r="E1202" s="83">
        <v>201607</v>
      </c>
      <c r="F1202" s="82" t="s">
        <v>563</v>
      </c>
      <c r="G1202" s="82" t="s">
        <v>348</v>
      </c>
      <c r="H1202" s="82" t="s">
        <v>358</v>
      </c>
      <c r="I1202" s="95">
        <v>0</v>
      </c>
      <c r="K1202" s="105" t="str">
        <f t="shared" si="45"/>
        <v>0003-1010-0024</v>
      </c>
      <c r="L1202" s="105" t="str">
        <f>VLOOKUP(K1202,COA!$A$3:$B$337,2,FALSE)</f>
        <v>S56</v>
      </c>
      <c r="M1202" s="105" t="str">
        <f t="shared" si="46"/>
        <v>S56</v>
      </c>
      <c r="N1202" s="105" t="str">
        <f>VLOOKUP(M1202,CAC!$A$2:$B$198,2,FALSE)</f>
        <v>PPOSG</v>
      </c>
    </row>
    <row r="1203" spans="5:14" x14ac:dyDescent="0.25">
      <c r="E1203" s="83">
        <v>201609</v>
      </c>
      <c r="F1203" s="82" t="s">
        <v>349</v>
      </c>
      <c r="G1203" s="82" t="s">
        <v>369</v>
      </c>
      <c r="H1203" s="82" t="s">
        <v>344</v>
      </c>
      <c r="I1203" s="95">
        <v>39807</v>
      </c>
      <c r="K1203" s="105" t="str">
        <f t="shared" si="45"/>
        <v>0017-1009-0012</v>
      </c>
      <c r="L1203" s="105" t="str">
        <f>VLOOKUP(K1203,COA!$A$3:$B$337,2,FALSE)</f>
        <v>R12</v>
      </c>
      <c r="M1203" s="105" t="str">
        <f t="shared" si="46"/>
        <v>R12</v>
      </c>
      <c r="N1203" s="105" t="str">
        <f>VLOOKUP(M1203,CAC!$A$2:$B$198,2,FALSE)</f>
        <v>HMOMM</v>
      </c>
    </row>
    <row r="1204" spans="5:14" x14ac:dyDescent="0.25">
      <c r="E1204" s="83">
        <v>201509</v>
      </c>
      <c r="F1204" s="82" t="s">
        <v>345</v>
      </c>
      <c r="G1204" s="82" t="s">
        <v>359</v>
      </c>
      <c r="H1204" s="82" t="s">
        <v>344</v>
      </c>
      <c r="I1204" s="95">
        <v>3239.03</v>
      </c>
      <c r="K1204" s="105" t="str">
        <f t="shared" si="45"/>
        <v>0011-1005-0012</v>
      </c>
      <c r="L1204" s="105" t="str">
        <f>VLOOKUP(K1204,COA!$A$3:$B$337,2,FALSE)</f>
        <v>N11</v>
      </c>
      <c r="M1204" s="105" t="str">
        <f t="shared" si="46"/>
        <v>N11</v>
      </c>
      <c r="N1204" s="105" t="str">
        <f>VLOOKUP(M1204,CAC!$A$2:$B$198,2,FALSE)</f>
        <v>HMOLG</v>
      </c>
    </row>
    <row r="1205" spans="5:14" x14ac:dyDescent="0.25">
      <c r="E1205" s="83">
        <v>201612</v>
      </c>
      <c r="F1205" s="82" t="s">
        <v>344</v>
      </c>
      <c r="G1205" s="82" t="s">
        <v>352</v>
      </c>
      <c r="H1205" s="82" t="s">
        <v>344</v>
      </c>
      <c r="I1205" s="95">
        <v>337</v>
      </c>
      <c r="K1205" s="105" t="str">
        <f t="shared" si="45"/>
        <v>0012-1004-0012</v>
      </c>
      <c r="L1205" s="105" t="str">
        <f>VLOOKUP(K1205,COA!$A$3:$B$337,2,FALSE)</f>
        <v>L12</v>
      </c>
      <c r="M1205" s="105" t="str">
        <f t="shared" si="46"/>
        <v>L12</v>
      </c>
      <c r="N1205" s="105" t="str">
        <f>VLOOKUP(M1205,CAC!$A$2:$B$198,2,FALSE)</f>
        <v>HMOLG</v>
      </c>
    </row>
    <row r="1206" spans="5:14" x14ac:dyDescent="0.25">
      <c r="E1206" s="83">
        <v>201510</v>
      </c>
      <c r="F1206" s="82" t="s">
        <v>413</v>
      </c>
      <c r="G1206" s="82" t="s">
        <v>355</v>
      </c>
      <c r="H1206" s="82" t="s">
        <v>344</v>
      </c>
      <c r="I1206" s="95">
        <v>0</v>
      </c>
      <c r="K1206" s="105" t="str">
        <f t="shared" si="45"/>
        <v>0008-1006-0012</v>
      </c>
      <c r="L1206" s="105" t="str">
        <f>VLOOKUP(K1206,COA!$A$3:$B$337,2,FALSE)</f>
        <v>C96</v>
      </c>
      <c r="M1206" s="105" t="str">
        <f t="shared" si="46"/>
        <v>C96</v>
      </c>
      <c r="N1206" s="105" t="str">
        <f>VLOOKUP(M1206,CAC!$A$2:$B$198,2,FALSE)</f>
        <v>DOILG</v>
      </c>
    </row>
    <row r="1207" spans="5:14" x14ac:dyDescent="0.25">
      <c r="E1207" s="83">
        <v>201708</v>
      </c>
      <c r="F1207" s="82" t="s">
        <v>746</v>
      </c>
      <c r="G1207" s="82" t="s">
        <v>361</v>
      </c>
      <c r="H1207" s="82" t="s">
        <v>344</v>
      </c>
      <c r="I1207" s="95">
        <v>494</v>
      </c>
      <c r="K1207" s="105" t="str">
        <f t="shared" si="45"/>
        <v>0016-1003-0012</v>
      </c>
      <c r="L1207" s="105" t="str">
        <f>VLOOKUP(K1207,COA!$A$3:$B$337,2,FALSE)</f>
        <v>R18</v>
      </c>
      <c r="M1207" s="105" t="str">
        <f t="shared" si="46"/>
        <v>R18</v>
      </c>
      <c r="N1207" s="105" t="str">
        <f>VLOOKUP(M1207,CAC!$A$2:$B$198,2,FALSE)</f>
        <v>HMOMG</v>
      </c>
    </row>
    <row r="1208" spans="5:14" x14ac:dyDescent="0.25">
      <c r="E1208" s="83">
        <v>201604</v>
      </c>
      <c r="F1208" s="82" t="s">
        <v>506</v>
      </c>
      <c r="G1208" s="82" t="s">
        <v>361</v>
      </c>
      <c r="H1208" s="82" t="s">
        <v>592</v>
      </c>
      <c r="I1208" s="95">
        <v>0</v>
      </c>
      <c r="K1208" s="105" t="str">
        <f t="shared" si="45"/>
        <v>0013-1003-0035</v>
      </c>
      <c r="L1208" s="105" t="str">
        <f>VLOOKUP(K1208,COA!$A$3:$B$337,2,FALSE)</f>
        <v>N32</v>
      </c>
      <c r="M1208" s="105" t="str">
        <f t="shared" si="46"/>
        <v>N32</v>
      </c>
      <c r="N1208" s="105" t="e">
        <f>VLOOKUP(M1208,CAC!$A$2:$B$198,2,FALSE)</f>
        <v>#N/A</v>
      </c>
    </row>
    <row r="1209" spans="5:14" x14ac:dyDescent="0.25">
      <c r="E1209" s="83">
        <v>201606</v>
      </c>
      <c r="F1209" s="82" t="s">
        <v>506</v>
      </c>
      <c r="G1209" s="82" t="s">
        <v>346</v>
      </c>
      <c r="H1209" s="82" t="s">
        <v>592</v>
      </c>
      <c r="I1209" s="95">
        <v>0</v>
      </c>
      <c r="K1209" s="105" t="str">
        <f t="shared" si="45"/>
        <v>0013-1014-0035</v>
      </c>
      <c r="L1209" s="105" t="str">
        <f>VLOOKUP(K1209,COA!$A$3:$B$337,2,FALSE)</f>
        <v>K42</v>
      </c>
      <c r="M1209" s="105" t="str">
        <f t="shared" si="46"/>
        <v>K42</v>
      </c>
      <c r="N1209" s="105" t="str">
        <f>VLOOKUP(M1209,CAC!$A$2:$B$198,2,FALSE)</f>
        <v>HMFLEX</v>
      </c>
    </row>
    <row r="1210" spans="5:14" x14ac:dyDescent="0.25">
      <c r="E1210" s="83">
        <v>201506</v>
      </c>
      <c r="F1210" s="82" t="s">
        <v>345</v>
      </c>
      <c r="G1210" s="82" t="s">
        <v>356</v>
      </c>
      <c r="H1210" s="82" t="s">
        <v>344</v>
      </c>
      <c r="I1210" s="95">
        <v>150</v>
      </c>
      <c r="K1210" s="105" t="str">
        <f t="shared" si="45"/>
        <v>0011-1002-0012</v>
      </c>
      <c r="L1210" s="105" t="str">
        <f>VLOOKUP(K1210,COA!$A$3:$B$337,2,FALSE)</f>
        <v>F20</v>
      </c>
      <c r="M1210" s="105" t="str">
        <f t="shared" si="46"/>
        <v>F20</v>
      </c>
      <c r="N1210" s="105" t="str">
        <f>VLOOKUP(M1210,CAC!$A$2:$B$198,2,FALSE)</f>
        <v>HMOPMR</v>
      </c>
    </row>
    <row r="1211" spans="5:14" x14ac:dyDescent="0.25">
      <c r="E1211" s="83">
        <v>201502</v>
      </c>
      <c r="F1211" s="82" t="s">
        <v>413</v>
      </c>
      <c r="G1211" s="82" t="s">
        <v>359</v>
      </c>
      <c r="H1211" s="82" t="s">
        <v>344</v>
      </c>
      <c r="I1211" s="95">
        <v>0</v>
      </c>
      <c r="K1211" s="105" t="str">
        <f t="shared" si="45"/>
        <v>0008-1005-0012</v>
      </c>
      <c r="L1211" s="105" t="str">
        <f>VLOOKUP(K1211,COA!$A$3:$B$337,2,FALSE)</f>
        <v>C73</v>
      </c>
      <c r="M1211" s="105" t="str">
        <f t="shared" si="46"/>
        <v>C73</v>
      </c>
      <c r="N1211" s="105" t="str">
        <f>VLOOKUP(M1211,CAC!$A$2:$B$198,2,FALSE)</f>
        <v>DOILG</v>
      </c>
    </row>
    <row r="1212" spans="5:14" x14ac:dyDescent="0.25">
      <c r="E1212" s="83">
        <v>201605</v>
      </c>
      <c r="F1212" s="82" t="s">
        <v>563</v>
      </c>
      <c r="G1212" s="82" t="s">
        <v>351</v>
      </c>
      <c r="H1212" s="82" t="s">
        <v>349</v>
      </c>
      <c r="I1212" s="95">
        <v>0</v>
      </c>
      <c r="K1212" s="105" t="str">
        <f t="shared" si="45"/>
        <v>0003-0000-0017</v>
      </c>
      <c r="L1212" s="105" t="e">
        <f>VLOOKUP(K1212,COA!$A$3:$B$337,2,FALSE)</f>
        <v>#N/A</v>
      </c>
      <c r="M1212" s="105" t="str">
        <f t="shared" si="46"/>
        <v>XXX</v>
      </c>
      <c r="N1212" s="105" t="str">
        <f>VLOOKUP(M1212,CAC!$A$2:$B$198,2,FALSE)</f>
        <v>XXX</v>
      </c>
    </row>
    <row r="1213" spans="5:14" x14ac:dyDescent="0.25">
      <c r="E1213" s="83">
        <v>201710</v>
      </c>
      <c r="F1213" s="82" t="s">
        <v>746</v>
      </c>
      <c r="G1213" s="82" t="s">
        <v>352</v>
      </c>
      <c r="H1213" s="82" t="s">
        <v>344</v>
      </c>
      <c r="I1213" s="95">
        <v>3</v>
      </c>
      <c r="K1213" s="105" t="str">
        <f t="shared" si="45"/>
        <v>0016-1004-0012</v>
      </c>
      <c r="L1213" s="105" t="str">
        <f>VLOOKUP(K1213,COA!$A$3:$B$337,2,FALSE)</f>
        <v>R20</v>
      </c>
      <c r="M1213" s="105" t="str">
        <f t="shared" si="46"/>
        <v>R20</v>
      </c>
      <c r="N1213" s="105" t="str">
        <f>VLOOKUP(M1213,CAC!$A$2:$B$198,2,FALSE)</f>
        <v>HMOMG</v>
      </c>
    </row>
    <row r="1214" spans="5:14" x14ac:dyDescent="0.25">
      <c r="E1214" s="83">
        <v>201710</v>
      </c>
      <c r="F1214" s="82" t="s">
        <v>563</v>
      </c>
      <c r="G1214" s="82" t="s">
        <v>354</v>
      </c>
      <c r="H1214" s="82" t="s">
        <v>344</v>
      </c>
      <c r="I1214" s="95">
        <v>0</v>
      </c>
      <c r="K1214" s="105" t="str">
        <f t="shared" si="45"/>
        <v>0003-1013-0012</v>
      </c>
      <c r="L1214" s="105" t="str">
        <f>VLOOKUP(K1214,COA!$A$3:$B$337,2,FALSE)</f>
        <v>N55</v>
      </c>
      <c r="M1214" s="105" t="str">
        <f t="shared" si="46"/>
        <v>N55</v>
      </c>
      <c r="N1214" s="105" t="str">
        <f>VLOOKUP(M1214,CAC!$A$2:$B$198,2,FALSE)</f>
        <v>PPOPMR</v>
      </c>
    </row>
    <row r="1215" spans="5:14" x14ac:dyDescent="0.25">
      <c r="E1215" s="83">
        <v>201701</v>
      </c>
      <c r="F1215" s="82" t="s">
        <v>506</v>
      </c>
      <c r="G1215" s="82" t="s">
        <v>354</v>
      </c>
      <c r="H1215" s="82" t="s">
        <v>592</v>
      </c>
      <c r="I1215" s="95">
        <v>0</v>
      </c>
      <c r="K1215" s="105" t="str">
        <f t="shared" si="45"/>
        <v>0013-1013-0035</v>
      </c>
      <c r="L1215" s="105" t="str">
        <f>VLOOKUP(K1215,COA!$A$3:$B$337,2,FALSE)</f>
        <v>N44</v>
      </c>
      <c r="M1215" s="105" t="str">
        <f t="shared" si="46"/>
        <v>N44</v>
      </c>
      <c r="N1215" s="105" t="e">
        <f>VLOOKUP(M1215,CAC!$A$2:$B$198,2,FALSE)</f>
        <v>#N/A</v>
      </c>
    </row>
    <row r="1216" spans="5:14" x14ac:dyDescent="0.25">
      <c r="E1216" s="83">
        <v>201606</v>
      </c>
      <c r="F1216" s="82" t="s">
        <v>344</v>
      </c>
      <c r="G1216" s="82" t="s">
        <v>361</v>
      </c>
      <c r="H1216" s="82" t="s">
        <v>344</v>
      </c>
      <c r="I1216" s="95">
        <v>9449.4599999999991</v>
      </c>
      <c r="K1216" s="105" t="str">
        <f t="shared" si="45"/>
        <v>0012-1003-0012</v>
      </c>
      <c r="L1216" s="105" t="str">
        <f>VLOOKUP(K1216,COA!$A$3:$B$337,2,FALSE)</f>
        <v>N15</v>
      </c>
      <c r="M1216" s="105" t="str">
        <f t="shared" si="46"/>
        <v>N15</v>
      </c>
      <c r="N1216" s="105" t="str">
        <f>VLOOKUP(M1216,CAC!$A$2:$B$198,2,FALSE)</f>
        <v>HMOPMR</v>
      </c>
    </row>
    <row r="1217" spans="5:14" x14ac:dyDescent="0.25">
      <c r="E1217" s="83">
        <v>201604</v>
      </c>
      <c r="F1217" s="82" t="s">
        <v>344</v>
      </c>
      <c r="G1217" s="82" t="s">
        <v>352</v>
      </c>
      <c r="H1217" s="82" t="s">
        <v>344</v>
      </c>
      <c r="I1217" s="95">
        <v>436.03</v>
      </c>
      <c r="K1217" s="105" t="str">
        <f t="shared" si="45"/>
        <v>0012-1004-0012</v>
      </c>
      <c r="L1217" s="105" t="str">
        <f>VLOOKUP(K1217,COA!$A$3:$B$337,2,FALSE)</f>
        <v>L12</v>
      </c>
      <c r="M1217" s="105" t="str">
        <f t="shared" si="46"/>
        <v>L12</v>
      </c>
      <c r="N1217" s="105" t="str">
        <f>VLOOKUP(M1217,CAC!$A$2:$B$198,2,FALSE)</f>
        <v>HMOLG</v>
      </c>
    </row>
    <row r="1218" spans="5:14" x14ac:dyDescent="0.25">
      <c r="E1218" s="83">
        <v>201603</v>
      </c>
      <c r="F1218" s="82" t="s">
        <v>563</v>
      </c>
      <c r="G1218" s="82" t="s">
        <v>356</v>
      </c>
      <c r="H1218" s="82" t="s">
        <v>344</v>
      </c>
      <c r="I1218" s="95">
        <v>0</v>
      </c>
      <c r="K1218" s="105" t="str">
        <f t="shared" si="45"/>
        <v>0003-1002-0012</v>
      </c>
      <c r="L1218" s="105" t="str">
        <f>VLOOKUP(K1218,COA!$A$3:$B$337,2,FALSE)</f>
        <v>F61</v>
      </c>
      <c r="M1218" s="105" t="str">
        <f t="shared" si="46"/>
        <v>F61</v>
      </c>
      <c r="N1218" s="105" t="str">
        <f>VLOOKUP(M1218,CAC!$A$2:$B$198,2,FALSE)</f>
        <v>PPOPMR</v>
      </c>
    </row>
    <row r="1219" spans="5:14" x14ac:dyDescent="0.25">
      <c r="E1219" s="83">
        <v>201702</v>
      </c>
      <c r="F1219" s="82" t="s">
        <v>506</v>
      </c>
      <c r="G1219" s="82" t="s">
        <v>361</v>
      </c>
      <c r="H1219" s="82" t="s">
        <v>592</v>
      </c>
      <c r="I1219" s="95">
        <v>0</v>
      </c>
      <c r="K1219" s="105" t="str">
        <f t="shared" si="45"/>
        <v>0013-1003-0035</v>
      </c>
      <c r="L1219" s="105" t="str">
        <f>VLOOKUP(K1219,COA!$A$3:$B$337,2,FALSE)</f>
        <v>N32</v>
      </c>
      <c r="M1219" s="105" t="str">
        <f t="shared" si="46"/>
        <v>N32</v>
      </c>
      <c r="N1219" s="105" t="e">
        <f>VLOOKUP(M1219,CAC!$A$2:$B$198,2,FALSE)</f>
        <v>#N/A</v>
      </c>
    </row>
    <row r="1220" spans="5:14" x14ac:dyDescent="0.25">
      <c r="E1220" s="83">
        <v>201606</v>
      </c>
      <c r="F1220" s="82" t="s">
        <v>563</v>
      </c>
      <c r="G1220" s="82" t="s">
        <v>365</v>
      </c>
      <c r="H1220" s="82" t="s">
        <v>366</v>
      </c>
      <c r="I1220" s="95">
        <v>0</v>
      </c>
      <c r="K1220" s="105" t="str">
        <f t="shared" ref="K1220:K1283" si="47">F1220&amp;"-"&amp;G1220&amp;"-"&amp;H1220</f>
        <v>0003-1001-0021</v>
      </c>
      <c r="L1220" s="105" t="str">
        <f>VLOOKUP(K1220,COA!$A$3:$B$337,2,FALSE)</f>
        <v>V53</v>
      </c>
      <c r="M1220" s="105" t="str">
        <f t="shared" ref="M1220:M1283" si="48">IF(ISNA(L1220),"XXX",L1220)</f>
        <v>V53</v>
      </c>
      <c r="N1220" s="105" t="str">
        <f>VLOOKUP(M1220,CAC!$A$2:$B$198,2,FALSE)</f>
        <v>PPOIFP</v>
      </c>
    </row>
    <row r="1221" spans="5:14" x14ac:dyDescent="0.25">
      <c r="E1221" s="83">
        <v>201702</v>
      </c>
      <c r="F1221" s="82" t="s">
        <v>563</v>
      </c>
      <c r="G1221" s="82" t="s">
        <v>348</v>
      </c>
      <c r="H1221" s="82" t="s">
        <v>353</v>
      </c>
      <c r="I1221" s="95">
        <v>0</v>
      </c>
      <c r="K1221" s="105" t="str">
        <f t="shared" si="47"/>
        <v>0003-1010-0023</v>
      </c>
      <c r="L1221" s="105" t="str">
        <f>VLOOKUP(K1221,COA!$A$3:$B$337,2,FALSE)</f>
        <v>S54</v>
      </c>
      <c r="M1221" s="105" t="str">
        <f t="shared" si="48"/>
        <v>S54</v>
      </c>
      <c r="N1221" s="105" t="str">
        <f>VLOOKUP(M1221,CAC!$A$2:$B$198,2,FALSE)</f>
        <v>PPOSG</v>
      </c>
    </row>
    <row r="1222" spans="5:14" x14ac:dyDescent="0.25">
      <c r="E1222" s="83">
        <v>201604</v>
      </c>
      <c r="F1222" s="82" t="s">
        <v>413</v>
      </c>
      <c r="G1222" s="82" t="s">
        <v>359</v>
      </c>
      <c r="H1222" s="82" t="s">
        <v>344</v>
      </c>
      <c r="I1222" s="95">
        <v>0</v>
      </c>
      <c r="K1222" s="105" t="str">
        <f t="shared" si="47"/>
        <v>0008-1005-0012</v>
      </c>
      <c r="L1222" s="105" t="str">
        <f>VLOOKUP(K1222,COA!$A$3:$B$337,2,FALSE)</f>
        <v>C73</v>
      </c>
      <c r="M1222" s="105" t="str">
        <f t="shared" si="48"/>
        <v>C73</v>
      </c>
      <c r="N1222" s="105" t="str">
        <f>VLOOKUP(M1222,CAC!$A$2:$B$198,2,FALSE)</f>
        <v>DOILG</v>
      </c>
    </row>
    <row r="1223" spans="5:14" x14ac:dyDescent="0.25">
      <c r="E1223" s="83">
        <v>201503</v>
      </c>
      <c r="F1223" s="82" t="s">
        <v>563</v>
      </c>
      <c r="G1223" s="82" t="s">
        <v>350</v>
      </c>
      <c r="H1223" s="82" t="s">
        <v>344</v>
      </c>
      <c r="I1223" s="95">
        <v>0</v>
      </c>
      <c r="K1223" s="105" t="str">
        <f t="shared" si="47"/>
        <v>0003-1012-0012</v>
      </c>
      <c r="L1223" s="105" t="str">
        <f>VLOOKUP(K1223,COA!$A$3:$B$337,2,FALSE)</f>
        <v>K51</v>
      </c>
      <c r="M1223" s="105" t="str">
        <f t="shared" si="48"/>
        <v>K51</v>
      </c>
      <c r="N1223" s="105" t="str">
        <f>VLOOKUP(M1223,CAC!$A$2:$B$198,2,FALSE)</f>
        <v>PPOPMR</v>
      </c>
    </row>
    <row r="1224" spans="5:14" x14ac:dyDescent="0.25">
      <c r="E1224" s="83">
        <v>201509</v>
      </c>
      <c r="F1224" s="82" t="s">
        <v>344</v>
      </c>
      <c r="G1224" s="82" t="s">
        <v>356</v>
      </c>
      <c r="H1224" s="82" t="s">
        <v>344</v>
      </c>
      <c r="I1224" s="95">
        <v>3893.82</v>
      </c>
      <c r="K1224" s="105" t="str">
        <f t="shared" si="47"/>
        <v>0012-1002-0012</v>
      </c>
      <c r="L1224" s="105" t="str">
        <f>VLOOKUP(K1224,COA!$A$3:$B$337,2,FALSE)</f>
        <v>F22</v>
      </c>
      <c r="M1224" s="105" t="str">
        <f t="shared" si="48"/>
        <v>F22</v>
      </c>
      <c r="N1224" s="105" t="str">
        <f>VLOOKUP(M1224,CAC!$A$2:$B$198,2,FALSE)</f>
        <v>HMOPMR</v>
      </c>
    </row>
    <row r="1225" spans="5:14" x14ac:dyDescent="0.25">
      <c r="E1225" s="83">
        <v>201606</v>
      </c>
      <c r="F1225" s="82" t="s">
        <v>746</v>
      </c>
      <c r="G1225" s="82" t="s">
        <v>356</v>
      </c>
      <c r="H1225" s="82" t="s">
        <v>764</v>
      </c>
      <c r="I1225" s="95">
        <v>11</v>
      </c>
      <c r="K1225" s="105" t="str">
        <f t="shared" si="47"/>
        <v>0016-1002-0064</v>
      </c>
      <c r="L1225" s="105" t="str">
        <f>VLOOKUP(K1225,COA!$A$3:$B$337,2,FALSE)</f>
        <v>R25</v>
      </c>
      <c r="M1225" s="105" t="str">
        <f t="shared" si="48"/>
        <v>R25</v>
      </c>
      <c r="N1225" s="105" t="str">
        <f>VLOOKUP(M1225,CAC!$A$2:$B$198,2,FALSE)</f>
        <v>HMOMG</v>
      </c>
    </row>
    <row r="1226" spans="5:14" x14ac:dyDescent="0.25">
      <c r="E1226" s="83">
        <v>201503</v>
      </c>
      <c r="F1226" s="82" t="s">
        <v>563</v>
      </c>
      <c r="G1226" s="82" t="s">
        <v>351</v>
      </c>
      <c r="H1226" s="82" t="s">
        <v>349</v>
      </c>
      <c r="I1226" s="95">
        <v>0</v>
      </c>
      <c r="K1226" s="105" t="str">
        <f t="shared" si="47"/>
        <v>0003-0000-0017</v>
      </c>
      <c r="L1226" s="105" t="e">
        <f>VLOOKUP(K1226,COA!$A$3:$B$337,2,FALSE)</f>
        <v>#N/A</v>
      </c>
      <c r="M1226" s="105" t="str">
        <f t="shared" si="48"/>
        <v>XXX</v>
      </c>
      <c r="N1226" s="105" t="str">
        <f>VLOOKUP(M1226,CAC!$A$2:$B$198,2,FALSE)</f>
        <v>XXX</v>
      </c>
    </row>
    <row r="1227" spans="5:14" x14ac:dyDescent="0.25">
      <c r="E1227" s="83">
        <v>201702</v>
      </c>
      <c r="F1227" s="82" t="s">
        <v>563</v>
      </c>
      <c r="G1227" s="82" t="s">
        <v>369</v>
      </c>
      <c r="H1227" s="82" t="s">
        <v>353</v>
      </c>
      <c r="I1227" s="95">
        <v>0</v>
      </c>
      <c r="K1227" s="105" t="str">
        <f t="shared" si="47"/>
        <v>0003-1009-0023</v>
      </c>
      <c r="L1227" s="105" t="e">
        <f>VLOOKUP(K1227,COA!$A$3:$B$337,2,FALSE)</f>
        <v>#N/A</v>
      </c>
      <c r="M1227" s="105" t="str">
        <f t="shared" si="48"/>
        <v>XXX</v>
      </c>
      <c r="N1227" s="105" t="str">
        <f>VLOOKUP(M1227,CAC!$A$2:$B$198,2,FALSE)</f>
        <v>XXX</v>
      </c>
    </row>
    <row r="1228" spans="5:14" x14ac:dyDescent="0.25">
      <c r="E1228" s="83">
        <v>201602</v>
      </c>
      <c r="F1228" s="82" t="s">
        <v>345</v>
      </c>
      <c r="G1228" s="82" t="s">
        <v>352</v>
      </c>
      <c r="H1228" s="82" t="s">
        <v>344</v>
      </c>
      <c r="I1228" s="95">
        <v>13634.76</v>
      </c>
      <c r="K1228" s="105" t="str">
        <f t="shared" si="47"/>
        <v>0011-1004-0012</v>
      </c>
      <c r="L1228" s="105" t="str">
        <f>VLOOKUP(K1228,COA!$A$3:$B$337,2,FALSE)</f>
        <v>L11</v>
      </c>
      <c r="M1228" s="105" t="str">
        <f t="shared" si="48"/>
        <v>L11</v>
      </c>
      <c r="N1228" s="105" t="str">
        <f>VLOOKUP(M1228,CAC!$A$2:$B$198,2,FALSE)</f>
        <v>HMOLG</v>
      </c>
    </row>
    <row r="1229" spans="5:14" x14ac:dyDescent="0.25">
      <c r="E1229" s="83">
        <v>201708</v>
      </c>
      <c r="F1229" s="82" t="s">
        <v>506</v>
      </c>
      <c r="G1229" s="82" t="s">
        <v>359</v>
      </c>
      <c r="H1229" s="82" t="s">
        <v>592</v>
      </c>
      <c r="I1229" s="95">
        <v>0</v>
      </c>
      <c r="K1229" s="105" t="str">
        <f t="shared" si="47"/>
        <v>0013-1005-0035</v>
      </c>
      <c r="L1229" s="105" t="str">
        <f>VLOOKUP(K1229,COA!$A$3:$B$337,2,FALSE)</f>
        <v>N41</v>
      </c>
      <c r="M1229" s="105" t="str">
        <f t="shared" si="48"/>
        <v>N41</v>
      </c>
      <c r="N1229" s="105" t="e">
        <f>VLOOKUP(M1229,CAC!$A$2:$B$198,2,FALSE)</f>
        <v>#N/A</v>
      </c>
    </row>
    <row r="1230" spans="5:14" x14ac:dyDescent="0.25">
      <c r="E1230" s="83">
        <v>201512</v>
      </c>
      <c r="F1230" s="82" t="s">
        <v>746</v>
      </c>
      <c r="G1230" s="82" t="s">
        <v>350</v>
      </c>
      <c r="H1230" s="82" t="s">
        <v>344</v>
      </c>
      <c r="I1230" s="95">
        <v>70</v>
      </c>
      <c r="K1230" s="105" t="str">
        <f t="shared" si="47"/>
        <v>0016-1012-0012</v>
      </c>
      <c r="L1230" s="105" t="str">
        <f>VLOOKUP(K1230,COA!$A$3:$B$337,2,FALSE)</f>
        <v>R19</v>
      </c>
      <c r="M1230" s="105" t="str">
        <f t="shared" si="48"/>
        <v>R19</v>
      </c>
      <c r="N1230" s="105" t="str">
        <f>VLOOKUP(M1230,CAC!$A$2:$B$198,2,FALSE)</f>
        <v>HMOMG</v>
      </c>
    </row>
    <row r="1231" spans="5:14" x14ac:dyDescent="0.25">
      <c r="E1231" s="83">
        <v>201505</v>
      </c>
      <c r="F1231" s="82" t="s">
        <v>506</v>
      </c>
      <c r="G1231" s="82" t="s">
        <v>359</v>
      </c>
      <c r="H1231" s="82" t="s">
        <v>592</v>
      </c>
      <c r="I1231" s="95">
        <v>0</v>
      </c>
      <c r="K1231" s="105" t="str">
        <f t="shared" si="47"/>
        <v>0013-1005-0035</v>
      </c>
      <c r="L1231" s="105" t="str">
        <f>VLOOKUP(K1231,COA!$A$3:$B$337,2,FALSE)</f>
        <v>N41</v>
      </c>
      <c r="M1231" s="105" t="str">
        <f t="shared" si="48"/>
        <v>N41</v>
      </c>
      <c r="N1231" s="105" t="e">
        <f>VLOOKUP(M1231,CAC!$A$2:$B$198,2,FALSE)</f>
        <v>#N/A</v>
      </c>
    </row>
    <row r="1232" spans="5:14" x14ac:dyDescent="0.25">
      <c r="E1232" s="83">
        <v>201702</v>
      </c>
      <c r="F1232" s="82" t="s">
        <v>413</v>
      </c>
      <c r="G1232" s="82" t="s">
        <v>352</v>
      </c>
      <c r="H1232" s="82" t="s">
        <v>344</v>
      </c>
      <c r="I1232" s="95">
        <v>0</v>
      </c>
      <c r="K1232" s="105" t="str">
        <f t="shared" si="47"/>
        <v>0008-1004-0012</v>
      </c>
      <c r="L1232" s="105" t="str">
        <f>VLOOKUP(K1232,COA!$A$3:$B$337,2,FALSE)</f>
        <v>C93</v>
      </c>
      <c r="M1232" s="105" t="str">
        <f t="shared" si="48"/>
        <v>C93</v>
      </c>
      <c r="N1232" s="105" t="str">
        <f>VLOOKUP(M1232,CAC!$A$2:$B$198,2,FALSE)</f>
        <v>DOILG</v>
      </c>
    </row>
    <row r="1233" spans="5:14" x14ac:dyDescent="0.25">
      <c r="E1233" s="83">
        <v>201504</v>
      </c>
      <c r="F1233" s="82" t="s">
        <v>563</v>
      </c>
      <c r="G1233" s="82" t="s">
        <v>352</v>
      </c>
      <c r="H1233" s="82" t="s">
        <v>344</v>
      </c>
      <c r="I1233" s="95">
        <v>0</v>
      </c>
      <c r="K1233" s="105" t="str">
        <f t="shared" si="47"/>
        <v>0003-1004-0012</v>
      </c>
      <c r="L1233" s="105" t="str">
        <f>VLOOKUP(K1233,COA!$A$3:$B$337,2,FALSE)</f>
        <v>L51</v>
      </c>
      <c r="M1233" s="105" t="str">
        <f t="shared" si="48"/>
        <v>L51</v>
      </c>
      <c r="N1233" s="105" t="str">
        <f>VLOOKUP(M1233,CAC!$A$2:$B$198,2,FALSE)</f>
        <v>PPOLG</v>
      </c>
    </row>
    <row r="1234" spans="5:14" x14ac:dyDescent="0.25">
      <c r="E1234" s="83">
        <v>201709</v>
      </c>
      <c r="F1234" s="82" t="s">
        <v>345</v>
      </c>
      <c r="G1234" s="82" t="s">
        <v>355</v>
      </c>
      <c r="H1234" s="82" t="s">
        <v>344</v>
      </c>
      <c r="I1234" s="95">
        <v>17711.77</v>
      </c>
      <c r="K1234" s="105" t="str">
        <f t="shared" si="47"/>
        <v>0011-1006-0012</v>
      </c>
      <c r="L1234" s="105" t="str">
        <f>VLOOKUP(K1234,COA!$A$3:$B$337,2,FALSE)</f>
        <v>L13</v>
      </c>
      <c r="M1234" s="105" t="str">
        <f t="shared" si="48"/>
        <v>L13</v>
      </c>
      <c r="N1234" s="105" t="str">
        <f>VLOOKUP(M1234,CAC!$A$2:$B$198,2,FALSE)</f>
        <v>HMOLG</v>
      </c>
    </row>
    <row r="1235" spans="5:14" x14ac:dyDescent="0.25">
      <c r="E1235" s="83">
        <v>201712</v>
      </c>
      <c r="F1235" s="82" t="s">
        <v>345</v>
      </c>
      <c r="G1235" s="82" t="s">
        <v>356</v>
      </c>
      <c r="H1235" s="82" t="s">
        <v>344</v>
      </c>
      <c r="I1235" s="95">
        <v>16139.64</v>
      </c>
      <c r="K1235" s="105" t="str">
        <f t="shared" si="47"/>
        <v>0011-1002-0012</v>
      </c>
      <c r="L1235" s="105" t="str">
        <f>VLOOKUP(K1235,COA!$A$3:$B$337,2,FALSE)</f>
        <v>F20</v>
      </c>
      <c r="M1235" s="105" t="str">
        <f t="shared" si="48"/>
        <v>F20</v>
      </c>
      <c r="N1235" s="105" t="str">
        <f>VLOOKUP(M1235,CAC!$A$2:$B$198,2,FALSE)</f>
        <v>HMOPMR</v>
      </c>
    </row>
    <row r="1236" spans="5:14" x14ac:dyDescent="0.25">
      <c r="E1236" s="83">
        <v>201703</v>
      </c>
      <c r="F1236" s="82" t="s">
        <v>506</v>
      </c>
      <c r="G1236" s="82" t="s">
        <v>359</v>
      </c>
      <c r="H1236" s="82" t="s">
        <v>592</v>
      </c>
      <c r="I1236" s="95">
        <v>0</v>
      </c>
      <c r="K1236" s="105" t="str">
        <f t="shared" si="47"/>
        <v>0013-1005-0035</v>
      </c>
      <c r="L1236" s="105" t="str">
        <f>VLOOKUP(K1236,COA!$A$3:$B$337,2,FALSE)</f>
        <v>N41</v>
      </c>
      <c r="M1236" s="105" t="str">
        <f t="shared" si="48"/>
        <v>N41</v>
      </c>
      <c r="N1236" s="105" t="e">
        <f>VLOOKUP(M1236,CAC!$A$2:$B$198,2,FALSE)</f>
        <v>#N/A</v>
      </c>
    </row>
    <row r="1237" spans="5:14" x14ac:dyDescent="0.25">
      <c r="E1237" s="83">
        <v>201503</v>
      </c>
      <c r="F1237" s="82" t="s">
        <v>345</v>
      </c>
      <c r="G1237" s="82" t="s">
        <v>350</v>
      </c>
      <c r="H1237" s="82" t="s">
        <v>344</v>
      </c>
      <c r="I1237" s="95">
        <v>7002</v>
      </c>
      <c r="K1237" s="105" t="str">
        <f t="shared" si="47"/>
        <v>0011-1012-0012</v>
      </c>
      <c r="L1237" s="105" t="str">
        <f>VLOOKUP(K1237,COA!$A$3:$B$337,2,FALSE)</f>
        <v>K11</v>
      </c>
      <c r="M1237" s="105" t="str">
        <f t="shared" si="48"/>
        <v>K11</v>
      </c>
      <c r="N1237" s="105" t="str">
        <f>VLOOKUP(M1237,CAC!$A$2:$B$198,2,FALSE)</f>
        <v>HMOPMR</v>
      </c>
    </row>
    <row r="1238" spans="5:14" x14ac:dyDescent="0.25">
      <c r="E1238" s="83">
        <v>201707</v>
      </c>
      <c r="F1238" s="82" t="s">
        <v>345</v>
      </c>
      <c r="G1238" s="82" t="s">
        <v>352</v>
      </c>
      <c r="H1238" s="82" t="s">
        <v>357</v>
      </c>
      <c r="I1238" s="95">
        <v>1960</v>
      </c>
      <c r="K1238" s="105" t="str">
        <f t="shared" si="47"/>
        <v>0011-1004-0038</v>
      </c>
      <c r="L1238" s="105" t="str">
        <f>VLOOKUP(K1238,COA!$A$3:$B$337,2,FALSE)</f>
        <v>L14</v>
      </c>
      <c r="M1238" s="105" t="str">
        <f t="shared" si="48"/>
        <v>L14</v>
      </c>
      <c r="N1238" s="105" t="str">
        <f>VLOOKUP(M1238,CAC!$A$2:$B$198,2,FALSE)</f>
        <v>HMOLG</v>
      </c>
    </row>
    <row r="1239" spans="5:14" x14ac:dyDescent="0.25">
      <c r="E1239" s="83">
        <v>201601</v>
      </c>
      <c r="F1239" s="82" t="s">
        <v>549</v>
      </c>
      <c r="G1239" s="82" t="s">
        <v>356</v>
      </c>
      <c r="H1239" s="82" t="s">
        <v>672</v>
      </c>
      <c r="I1239" s="95">
        <v>0</v>
      </c>
      <c r="K1239" s="105" t="str">
        <f t="shared" si="47"/>
        <v>0026-1002-0058</v>
      </c>
      <c r="L1239" s="105" t="str">
        <f>VLOOKUP(K1239,COA!$A$3:$B$337,2,FALSE)</f>
        <v>L45</v>
      </c>
      <c r="M1239" s="105" t="str">
        <f t="shared" si="48"/>
        <v>L45</v>
      </c>
      <c r="N1239" s="105" t="e">
        <f>VLOOKUP(M1239,CAC!$A$2:$B$198,2,FALSE)</f>
        <v>#N/A</v>
      </c>
    </row>
    <row r="1240" spans="5:14" x14ac:dyDescent="0.25">
      <c r="E1240" s="83">
        <v>201512</v>
      </c>
      <c r="F1240" s="82" t="s">
        <v>524</v>
      </c>
      <c r="G1240" s="82" t="s">
        <v>361</v>
      </c>
      <c r="H1240" s="82" t="s">
        <v>672</v>
      </c>
      <c r="I1240" s="95">
        <v>0</v>
      </c>
      <c r="K1240" s="105" t="str">
        <f t="shared" si="47"/>
        <v>0025-1003-0058</v>
      </c>
      <c r="L1240" s="105" t="str">
        <f>VLOOKUP(K1240,COA!$A$3:$B$337,2,FALSE)</f>
        <v>N45</v>
      </c>
      <c r="M1240" s="105" t="str">
        <f t="shared" si="48"/>
        <v>N45</v>
      </c>
      <c r="N1240" s="105" t="e">
        <f>VLOOKUP(M1240,CAC!$A$2:$B$198,2,FALSE)</f>
        <v>#N/A</v>
      </c>
    </row>
    <row r="1241" spans="5:14" x14ac:dyDescent="0.25">
      <c r="E1241" s="83">
        <v>201508</v>
      </c>
      <c r="F1241" s="82" t="s">
        <v>345</v>
      </c>
      <c r="G1241" s="82" t="s">
        <v>355</v>
      </c>
      <c r="H1241" s="82" t="s">
        <v>344</v>
      </c>
      <c r="I1241" s="95">
        <v>24521.74</v>
      </c>
      <c r="K1241" s="105" t="str">
        <f t="shared" si="47"/>
        <v>0011-1006-0012</v>
      </c>
      <c r="L1241" s="105" t="str">
        <f>VLOOKUP(K1241,COA!$A$3:$B$337,2,FALSE)</f>
        <v>L13</v>
      </c>
      <c r="M1241" s="105" t="str">
        <f t="shared" si="48"/>
        <v>L13</v>
      </c>
      <c r="N1241" s="105" t="str">
        <f>VLOOKUP(M1241,CAC!$A$2:$B$198,2,FALSE)</f>
        <v>HMOLG</v>
      </c>
    </row>
    <row r="1242" spans="5:14" x14ac:dyDescent="0.25">
      <c r="E1242" s="83">
        <v>201704</v>
      </c>
      <c r="F1242" s="82" t="s">
        <v>563</v>
      </c>
      <c r="G1242" s="82" t="s">
        <v>350</v>
      </c>
      <c r="H1242" s="82" t="s">
        <v>344</v>
      </c>
      <c r="I1242" s="95">
        <v>0</v>
      </c>
      <c r="K1242" s="105" t="str">
        <f t="shared" si="47"/>
        <v>0003-1012-0012</v>
      </c>
      <c r="L1242" s="105" t="str">
        <f>VLOOKUP(K1242,COA!$A$3:$B$337,2,FALSE)</f>
        <v>K51</v>
      </c>
      <c r="M1242" s="105" t="str">
        <f t="shared" si="48"/>
        <v>K51</v>
      </c>
      <c r="N1242" s="105" t="str">
        <f>VLOOKUP(M1242,CAC!$A$2:$B$198,2,FALSE)</f>
        <v>PPOPMR</v>
      </c>
    </row>
    <row r="1243" spans="5:14" x14ac:dyDescent="0.25">
      <c r="E1243" s="83">
        <v>201801</v>
      </c>
      <c r="F1243" s="82" t="s">
        <v>344</v>
      </c>
      <c r="G1243" s="82" t="s">
        <v>361</v>
      </c>
      <c r="H1243" s="82" t="s">
        <v>344</v>
      </c>
      <c r="I1243" s="95">
        <v>9846.26</v>
      </c>
      <c r="K1243" s="105" t="str">
        <f t="shared" si="47"/>
        <v>0012-1003-0012</v>
      </c>
      <c r="L1243" s="105" t="str">
        <f>VLOOKUP(K1243,COA!$A$3:$B$337,2,FALSE)</f>
        <v>N15</v>
      </c>
      <c r="M1243" s="105" t="str">
        <f t="shared" si="48"/>
        <v>N15</v>
      </c>
      <c r="N1243" s="105" t="str">
        <f>VLOOKUP(M1243,CAC!$A$2:$B$198,2,FALSE)</f>
        <v>HMOPMR</v>
      </c>
    </row>
    <row r="1244" spans="5:14" x14ac:dyDescent="0.25">
      <c r="E1244" s="83">
        <v>201710</v>
      </c>
      <c r="F1244" s="82" t="s">
        <v>344</v>
      </c>
      <c r="G1244" s="82" t="s">
        <v>361</v>
      </c>
      <c r="H1244" s="82" t="s">
        <v>344</v>
      </c>
      <c r="I1244" s="95">
        <v>9736.27</v>
      </c>
      <c r="K1244" s="105" t="str">
        <f t="shared" si="47"/>
        <v>0012-1003-0012</v>
      </c>
      <c r="L1244" s="105" t="str">
        <f>VLOOKUP(K1244,COA!$A$3:$B$337,2,FALSE)</f>
        <v>N15</v>
      </c>
      <c r="M1244" s="105" t="str">
        <f t="shared" si="48"/>
        <v>N15</v>
      </c>
      <c r="N1244" s="105" t="str">
        <f>VLOOKUP(M1244,CAC!$A$2:$B$198,2,FALSE)</f>
        <v>HMOPMR</v>
      </c>
    </row>
    <row r="1245" spans="5:14" x14ac:dyDescent="0.25">
      <c r="E1245" s="83">
        <v>201712</v>
      </c>
      <c r="F1245" s="82" t="s">
        <v>405</v>
      </c>
      <c r="G1245" s="82" t="s">
        <v>362</v>
      </c>
      <c r="H1245" s="82" t="s">
        <v>342</v>
      </c>
      <c r="I1245" s="95">
        <v>0</v>
      </c>
      <c r="K1245" s="105" t="str">
        <f t="shared" si="47"/>
        <v>0019-1008-0031</v>
      </c>
      <c r="L1245" s="105" t="str">
        <f>VLOOKUP(K1245,COA!$A$3:$B$337,2,FALSE)</f>
        <v>P53</v>
      </c>
      <c r="M1245" s="105" t="str">
        <f t="shared" si="48"/>
        <v>P53</v>
      </c>
      <c r="N1245" s="105" t="str">
        <f>VLOOKUP(M1245,CAC!$A$2:$B$198,2,FALSE)</f>
        <v>HMOPERA</v>
      </c>
    </row>
    <row r="1246" spans="5:14" x14ac:dyDescent="0.25">
      <c r="E1246" s="83">
        <v>201711</v>
      </c>
      <c r="F1246" s="82" t="s">
        <v>563</v>
      </c>
      <c r="G1246" s="82" t="s">
        <v>369</v>
      </c>
      <c r="H1246" s="82" t="s">
        <v>353</v>
      </c>
      <c r="I1246" s="95">
        <v>0</v>
      </c>
      <c r="K1246" s="105" t="str">
        <f t="shared" si="47"/>
        <v>0003-1009-0023</v>
      </c>
      <c r="L1246" s="105" t="e">
        <f>VLOOKUP(K1246,COA!$A$3:$B$337,2,FALSE)</f>
        <v>#N/A</v>
      </c>
      <c r="M1246" s="105" t="str">
        <f t="shared" si="48"/>
        <v>XXX</v>
      </c>
      <c r="N1246" s="105" t="str">
        <f>VLOOKUP(M1246,CAC!$A$2:$B$198,2,FALSE)</f>
        <v>XXX</v>
      </c>
    </row>
    <row r="1247" spans="5:14" x14ac:dyDescent="0.25">
      <c r="E1247" s="83">
        <v>201608</v>
      </c>
      <c r="F1247" s="82" t="s">
        <v>345</v>
      </c>
      <c r="G1247" s="82" t="s">
        <v>356</v>
      </c>
      <c r="H1247" s="82" t="s">
        <v>344</v>
      </c>
      <c r="I1247" s="95">
        <v>15549.71</v>
      </c>
      <c r="K1247" s="105" t="str">
        <f t="shared" si="47"/>
        <v>0011-1002-0012</v>
      </c>
      <c r="L1247" s="105" t="str">
        <f>VLOOKUP(K1247,COA!$A$3:$B$337,2,FALSE)</f>
        <v>F20</v>
      </c>
      <c r="M1247" s="105" t="str">
        <f t="shared" si="48"/>
        <v>F20</v>
      </c>
      <c r="N1247" s="105" t="str">
        <f>VLOOKUP(M1247,CAC!$A$2:$B$198,2,FALSE)</f>
        <v>HMOPMR</v>
      </c>
    </row>
    <row r="1248" spans="5:14" x14ac:dyDescent="0.25">
      <c r="E1248" s="83">
        <v>201507</v>
      </c>
      <c r="F1248" s="82" t="s">
        <v>563</v>
      </c>
      <c r="G1248" s="82" t="s">
        <v>359</v>
      </c>
      <c r="H1248" s="82" t="s">
        <v>344</v>
      </c>
      <c r="I1248" s="95">
        <v>0</v>
      </c>
      <c r="K1248" s="105" t="str">
        <f t="shared" si="47"/>
        <v>0003-1005-0012</v>
      </c>
      <c r="L1248" s="105" t="str">
        <f>VLOOKUP(K1248,COA!$A$3:$B$337,2,FALSE)</f>
        <v>N51</v>
      </c>
      <c r="M1248" s="105" t="str">
        <f t="shared" si="48"/>
        <v>N51</v>
      </c>
      <c r="N1248" s="105" t="str">
        <f>VLOOKUP(M1248,CAC!$A$2:$B$198,2,FALSE)</f>
        <v>PPOLG</v>
      </c>
    </row>
    <row r="1249" spans="5:14" x14ac:dyDescent="0.25">
      <c r="E1249" s="83">
        <v>201609</v>
      </c>
      <c r="F1249" s="82" t="s">
        <v>345</v>
      </c>
      <c r="G1249" s="82" t="s">
        <v>355</v>
      </c>
      <c r="H1249" s="82" t="s">
        <v>344</v>
      </c>
      <c r="I1249" s="95">
        <v>21844.44</v>
      </c>
      <c r="K1249" s="105" t="str">
        <f t="shared" si="47"/>
        <v>0011-1006-0012</v>
      </c>
      <c r="L1249" s="105" t="str">
        <f>VLOOKUP(K1249,COA!$A$3:$B$337,2,FALSE)</f>
        <v>L13</v>
      </c>
      <c r="M1249" s="105" t="str">
        <f t="shared" si="48"/>
        <v>L13</v>
      </c>
      <c r="N1249" s="105" t="str">
        <f>VLOOKUP(M1249,CAC!$A$2:$B$198,2,FALSE)</f>
        <v>HMOLG</v>
      </c>
    </row>
    <row r="1250" spans="5:14" x14ac:dyDescent="0.25">
      <c r="E1250" s="83">
        <v>201610</v>
      </c>
      <c r="F1250" s="82" t="s">
        <v>506</v>
      </c>
      <c r="G1250" s="82" t="s">
        <v>359</v>
      </c>
      <c r="H1250" s="82" t="s">
        <v>592</v>
      </c>
      <c r="I1250" s="95">
        <v>0</v>
      </c>
      <c r="K1250" s="105" t="str">
        <f t="shared" si="47"/>
        <v>0013-1005-0035</v>
      </c>
      <c r="L1250" s="105" t="str">
        <f>VLOOKUP(K1250,COA!$A$3:$B$337,2,FALSE)</f>
        <v>N41</v>
      </c>
      <c r="M1250" s="105" t="str">
        <f t="shared" si="48"/>
        <v>N41</v>
      </c>
      <c r="N1250" s="105" t="e">
        <f>VLOOKUP(M1250,CAC!$A$2:$B$198,2,FALSE)</f>
        <v>#N/A</v>
      </c>
    </row>
    <row r="1251" spans="5:14" x14ac:dyDescent="0.25">
      <c r="E1251" s="83">
        <v>201707</v>
      </c>
      <c r="F1251" s="82" t="s">
        <v>746</v>
      </c>
      <c r="G1251" s="82" t="s">
        <v>356</v>
      </c>
      <c r="H1251" s="82" t="s">
        <v>764</v>
      </c>
      <c r="I1251" s="95">
        <v>639</v>
      </c>
      <c r="K1251" s="105" t="str">
        <f t="shared" si="47"/>
        <v>0016-1002-0064</v>
      </c>
      <c r="L1251" s="105" t="str">
        <f>VLOOKUP(K1251,COA!$A$3:$B$337,2,FALSE)</f>
        <v>R25</v>
      </c>
      <c r="M1251" s="105" t="str">
        <f t="shared" si="48"/>
        <v>R25</v>
      </c>
      <c r="N1251" s="105" t="str">
        <f>VLOOKUP(M1251,CAC!$A$2:$B$198,2,FALSE)</f>
        <v>HMOMG</v>
      </c>
    </row>
    <row r="1252" spans="5:14" x14ac:dyDescent="0.25">
      <c r="E1252" s="83">
        <v>201502</v>
      </c>
      <c r="F1252" s="82" t="s">
        <v>345</v>
      </c>
      <c r="G1252" s="82" t="s">
        <v>348</v>
      </c>
      <c r="H1252" s="82" t="s">
        <v>353</v>
      </c>
      <c r="I1252" s="95">
        <v>237</v>
      </c>
      <c r="K1252" s="105" t="str">
        <f t="shared" si="47"/>
        <v>0011-1010-0023</v>
      </c>
      <c r="L1252" s="105" t="str">
        <f>VLOOKUP(K1252,COA!$A$3:$B$337,2,FALSE)</f>
        <v>S13</v>
      </c>
      <c r="M1252" s="105" t="str">
        <f t="shared" si="48"/>
        <v>S13</v>
      </c>
      <c r="N1252" s="105" t="str">
        <f>VLOOKUP(M1252,CAC!$A$2:$B$198,2,FALSE)</f>
        <v>HMOSG</v>
      </c>
    </row>
    <row r="1253" spans="5:14" x14ac:dyDescent="0.25">
      <c r="E1253" s="83">
        <v>201701</v>
      </c>
      <c r="F1253" s="82" t="s">
        <v>349</v>
      </c>
      <c r="G1253" s="82" t="s">
        <v>369</v>
      </c>
      <c r="H1253" s="82" t="s">
        <v>344</v>
      </c>
      <c r="I1253" s="95">
        <v>42861</v>
      </c>
      <c r="K1253" s="105" t="str">
        <f t="shared" si="47"/>
        <v>0017-1009-0012</v>
      </c>
      <c r="L1253" s="105" t="str">
        <f>VLOOKUP(K1253,COA!$A$3:$B$337,2,FALSE)</f>
        <v>R12</v>
      </c>
      <c r="M1253" s="105" t="str">
        <f t="shared" si="48"/>
        <v>R12</v>
      </c>
      <c r="N1253" s="105" t="str">
        <f>VLOOKUP(M1253,CAC!$A$2:$B$198,2,FALSE)</f>
        <v>HMOMM</v>
      </c>
    </row>
    <row r="1254" spans="5:14" x14ac:dyDescent="0.25">
      <c r="E1254" s="83">
        <v>201603</v>
      </c>
      <c r="F1254" s="82" t="s">
        <v>563</v>
      </c>
      <c r="G1254" s="82" t="s">
        <v>365</v>
      </c>
      <c r="H1254" s="82" t="s">
        <v>798</v>
      </c>
      <c r="I1254" s="95">
        <v>0</v>
      </c>
      <c r="K1254" s="105" t="str">
        <f t="shared" si="47"/>
        <v>0003-1001-0065</v>
      </c>
      <c r="L1254" s="105" t="str">
        <f>VLOOKUP(K1254,COA!$A$3:$B$337,2,FALSE)</f>
        <v>V55</v>
      </c>
      <c r="M1254" s="105" t="str">
        <f t="shared" si="48"/>
        <v>V55</v>
      </c>
      <c r="N1254" s="105" t="e">
        <f>VLOOKUP(M1254,CAC!$A$2:$B$198,2,FALSE)</f>
        <v>#N/A</v>
      </c>
    </row>
    <row r="1255" spans="5:14" x14ac:dyDescent="0.25">
      <c r="E1255" s="83">
        <v>201711</v>
      </c>
      <c r="F1255" s="82" t="s">
        <v>506</v>
      </c>
      <c r="G1255" s="82" t="s">
        <v>346</v>
      </c>
      <c r="H1255" s="82" t="s">
        <v>592</v>
      </c>
      <c r="I1255" s="95">
        <v>0</v>
      </c>
      <c r="K1255" s="105" t="str">
        <f t="shared" si="47"/>
        <v>0013-1014-0035</v>
      </c>
      <c r="L1255" s="105" t="str">
        <f>VLOOKUP(K1255,COA!$A$3:$B$337,2,FALSE)</f>
        <v>K42</v>
      </c>
      <c r="M1255" s="105" t="str">
        <f t="shared" si="48"/>
        <v>K42</v>
      </c>
      <c r="N1255" s="105" t="str">
        <f>VLOOKUP(M1255,CAC!$A$2:$B$198,2,FALSE)</f>
        <v>HMFLEX</v>
      </c>
    </row>
    <row r="1256" spans="5:14" x14ac:dyDescent="0.25">
      <c r="E1256" s="83">
        <v>201608</v>
      </c>
      <c r="F1256" s="82" t="s">
        <v>563</v>
      </c>
      <c r="G1256" s="82" t="s">
        <v>354</v>
      </c>
      <c r="H1256" s="82" t="s">
        <v>626</v>
      </c>
      <c r="I1256" s="95">
        <v>0</v>
      </c>
      <c r="K1256" s="105" t="str">
        <f t="shared" si="47"/>
        <v>0003-1013-0057</v>
      </c>
      <c r="L1256" s="105" t="str">
        <f>VLOOKUP(K1256,COA!$A$3:$B$337,2,FALSE)</f>
        <v>N55</v>
      </c>
      <c r="M1256" s="105" t="str">
        <f t="shared" si="48"/>
        <v>N55</v>
      </c>
      <c r="N1256" s="105" t="str">
        <f>VLOOKUP(M1256,CAC!$A$2:$B$198,2,FALSE)</f>
        <v>PPOPMR</v>
      </c>
    </row>
    <row r="1257" spans="5:14" x14ac:dyDescent="0.25">
      <c r="E1257" s="83">
        <v>201707</v>
      </c>
      <c r="F1257" s="82" t="s">
        <v>345</v>
      </c>
      <c r="G1257" s="82" t="s">
        <v>348</v>
      </c>
      <c r="H1257" s="82" t="s">
        <v>358</v>
      </c>
      <c r="I1257" s="95">
        <v>127</v>
      </c>
      <c r="K1257" s="105" t="str">
        <f t="shared" si="47"/>
        <v>0011-1010-0024</v>
      </c>
      <c r="L1257" s="105" t="str">
        <f>VLOOKUP(K1257,COA!$A$3:$B$337,2,FALSE)</f>
        <v>S14</v>
      </c>
      <c r="M1257" s="105" t="str">
        <f t="shared" si="48"/>
        <v>S14</v>
      </c>
      <c r="N1257" s="105" t="str">
        <f>VLOOKUP(M1257,CAC!$A$2:$B$198,2,FALSE)</f>
        <v>HMOSG</v>
      </c>
    </row>
    <row r="1258" spans="5:14" x14ac:dyDescent="0.25">
      <c r="E1258" s="83">
        <v>201506</v>
      </c>
      <c r="F1258" s="82" t="s">
        <v>563</v>
      </c>
      <c r="G1258" s="82" t="s">
        <v>348</v>
      </c>
      <c r="H1258" s="82" t="s">
        <v>358</v>
      </c>
      <c r="I1258" s="95">
        <v>0</v>
      </c>
      <c r="K1258" s="105" t="str">
        <f t="shared" si="47"/>
        <v>0003-1010-0024</v>
      </c>
      <c r="L1258" s="105" t="str">
        <f>VLOOKUP(K1258,COA!$A$3:$B$337,2,FALSE)</f>
        <v>S56</v>
      </c>
      <c r="M1258" s="105" t="str">
        <f t="shared" si="48"/>
        <v>S56</v>
      </c>
      <c r="N1258" s="105" t="str">
        <f>VLOOKUP(M1258,CAC!$A$2:$B$198,2,FALSE)</f>
        <v>PPOSG</v>
      </c>
    </row>
    <row r="1259" spans="5:14" x14ac:dyDescent="0.25">
      <c r="E1259" s="83">
        <v>201504</v>
      </c>
      <c r="F1259" s="82" t="s">
        <v>563</v>
      </c>
      <c r="G1259" s="82" t="s">
        <v>348</v>
      </c>
      <c r="H1259" s="82" t="s">
        <v>358</v>
      </c>
      <c r="I1259" s="95">
        <v>0</v>
      </c>
      <c r="K1259" s="105" t="str">
        <f t="shared" si="47"/>
        <v>0003-1010-0024</v>
      </c>
      <c r="L1259" s="105" t="str">
        <f>VLOOKUP(K1259,COA!$A$3:$B$337,2,FALSE)</f>
        <v>S56</v>
      </c>
      <c r="M1259" s="105" t="str">
        <f t="shared" si="48"/>
        <v>S56</v>
      </c>
      <c r="N1259" s="105" t="str">
        <f>VLOOKUP(M1259,CAC!$A$2:$B$198,2,FALSE)</f>
        <v>PPOSG</v>
      </c>
    </row>
    <row r="1260" spans="5:14" x14ac:dyDescent="0.25">
      <c r="E1260" s="83">
        <v>201603</v>
      </c>
      <c r="F1260" s="82" t="s">
        <v>563</v>
      </c>
      <c r="G1260" s="82" t="s">
        <v>365</v>
      </c>
      <c r="H1260" s="82" t="s">
        <v>366</v>
      </c>
      <c r="I1260" s="95">
        <v>0</v>
      </c>
      <c r="K1260" s="105" t="str">
        <f t="shared" si="47"/>
        <v>0003-1001-0021</v>
      </c>
      <c r="L1260" s="105" t="str">
        <f>VLOOKUP(K1260,COA!$A$3:$B$337,2,FALSE)</f>
        <v>V53</v>
      </c>
      <c r="M1260" s="105" t="str">
        <f t="shared" si="48"/>
        <v>V53</v>
      </c>
      <c r="N1260" s="105" t="str">
        <f>VLOOKUP(M1260,CAC!$A$2:$B$198,2,FALSE)</f>
        <v>PPOIFP</v>
      </c>
    </row>
    <row r="1261" spans="5:14" x14ac:dyDescent="0.25">
      <c r="E1261" s="83">
        <v>201503</v>
      </c>
      <c r="F1261" s="82" t="s">
        <v>563</v>
      </c>
      <c r="G1261" s="82" t="s">
        <v>356</v>
      </c>
      <c r="H1261" s="82" t="s">
        <v>344</v>
      </c>
      <c r="I1261" s="95">
        <v>0</v>
      </c>
      <c r="K1261" s="105" t="str">
        <f t="shared" si="47"/>
        <v>0003-1002-0012</v>
      </c>
      <c r="L1261" s="105" t="str">
        <f>VLOOKUP(K1261,COA!$A$3:$B$337,2,FALSE)</f>
        <v>F61</v>
      </c>
      <c r="M1261" s="105" t="str">
        <f t="shared" si="48"/>
        <v>F61</v>
      </c>
      <c r="N1261" s="105" t="str">
        <f>VLOOKUP(M1261,CAC!$A$2:$B$198,2,FALSE)</f>
        <v>PPOPMR</v>
      </c>
    </row>
    <row r="1262" spans="5:14" x14ac:dyDescent="0.25">
      <c r="E1262" s="83">
        <v>201607</v>
      </c>
      <c r="F1262" s="82" t="s">
        <v>344</v>
      </c>
      <c r="G1262" s="82" t="s">
        <v>356</v>
      </c>
      <c r="H1262" s="82" t="s">
        <v>344</v>
      </c>
      <c r="I1262" s="95">
        <v>4195.9399999999996</v>
      </c>
      <c r="K1262" s="105" t="str">
        <f t="shared" si="47"/>
        <v>0012-1002-0012</v>
      </c>
      <c r="L1262" s="105" t="str">
        <f>VLOOKUP(K1262,COA!$A$3:$B$337,2,FALSE)</f>
        <v>F22</v>
      </c>
      <c r="M1262" s="105" t="str">
        <f t="shared" si="48"/>
        <v>F22</v>
      </c>
      <c r="N1262" s="105" t="str">
        <f>VLOOKUP(M1262,CAC!$A$2:$B$198,2,FALSE)</f>
        <v>HMOPMR</v>
      </c>
    </row>
    <row r="1263" spans="5:14" x14ac:dyDescent="0.25">
      <c r="E1263" s="83">
        <v>201509</v>
      </c>
      <c r="F1263" s="82" t="s">
        <v>349</v>
      </c>
      <c r="G1263" s="82" t="s">
        <v>369</v>
      </c>
      <c r="H1263" s="82" t="s">
        <v>344</v>
      </c>
      <c r="I1263" s="95">
        <v>37017</v>
      </c>
      <c r="K1263" s="105" t="str">
        <f t="shared" si="47"/>
        <v>0017-1009-0012</v>
      </c>
      <c r="L1263" s="105" t="str">
        <f>VLOOKUP(K1263,COA!$A$3:$B$337,2,FALSE)</f>
        <v>R12</v>
      </c>
      <c r="M1263" s="105" t="str">
        <f t="shared" si="48"/>
        <v>R12</v>
      </c>
      <c r="N1263" s="105" t="str">
        <f>VLOOKUP(M1263,CAC!$A$2:$B$198,2,FALSE)</f>
        <v>HMOMM</v>
      </c>
    </row>
    <row r="1264" spans="5:14" x14ac:dyDescent="0.25">
      <c r="E1264" s="83">
        <v>201503</v>
      </c>
      <c r="F1264" s="82" t="s">
        <v>345</v>
      </c>
      <c r="G1264" s="82" t="s">
        <v>348</v>
      </c>
      <c r="H1264" s="82" t="s">
        <v>358</v>
      </c>
      <c r="I1264" s="95">
        <v>52</v>
      </c>
      <c r="K1264" s="105" t="str">
        <f t="shared" si="47"/>
        <v>0011-1010-0024</v>
      </c>
      <c r="L1264" s="105" t="str">
        <f>VLOOKUP(K1264,COA!$A$3:$B$337,2,FALSE)</f>
        <v>S14</v>
      </c>
      <c r="M1264" s="105" t="str">
        <f t="shared" si="48"/>
        <v>S14</v>
      </c>
      <c r="N1264" s="105" t="str">
        <f>VLOOKUP(M1264,CAC!$A$2:$B$198,2,FALSE)</f>
        <v>HMOSG</v>
      </c>
    </row>
    <row r="1265" spans="5:14" x14ac:dyDescent="0.25">
      <c r="E1265" s="83">
        <v>201607</v>
      </c>
      <c r="F1265" s="82" t="s">
        <v>563</v>
      </c>
      <c r="G1265" s="82" t="s">
        <v>354</v>
      </c>
      <c r="H1265" s="82" t="s">
        <v>653</v>
      </c>
      <c r="I1265" s="95">
        <v>0</v>
      </c>
      <c r="K1265" s="105" t="str">
        <f t="shared" si="47"/>
        <v>0003-1013-0047</v>
      </c>
      <c r="L1265" s="105" t="str">
        <f>VLOOKUP(K1265,COA!$A$3:$B$337,2,FALSE)</f>
        <v>N57</v>
      </c>
      <c r="M1265" s="105" t="str">
        <f t="shared" si="48"/>
        <v>N57</v>
      </c>
      <c r="N1265" s="105" t="str">
        <f>VLOOKUP(M1265,CAC!$A$2:$B$198,2,FALSE)</f>
        <v>PPOPMR</v>
      </c>
    </row>
    <row r="1266" spans="5:14" x14ac:dyDescent="0.25">
      <c r="E1266" s="83">
        <v>201611</v>
      </c>
      <c r="F1266" s="82" t="s">
        <v>563</v>
      </c>
      <c r="G1266" s="82" t="s">
        <v>352</v>
      </c>
      <c r="H1266" s="82" t="s">
        <v>653</v>
      </c>
      <c r="I1266" s="95">
        <v>0</v>
      </c>
      <c r="K1266" s="105" t="str">
        <f t="shared" si="47"/>
        <v>0003-1004-0047</v>
      </c>
      <c r="L1266" s="105" t="str">
        <f>VLOOKUP(K1266,COA!$A$3:$B$337,2,FALSE)</f>
        <v>L57</v>
      </c>
      <c r="M1266" s="105" t="str">
        <f t="shared" si="48"/>
        <v>L57</v>
      </c>
      <c r="N1266" s="105" t="str">
        <f>VLOOKUP(M1266,CAC!$A$2:$B$198,2,FALSE)</f>
        <v>PPOLG</v>
      </c>
    </row>
    <row r="1267" spans="5:14" x14ac:dyDescent="0.25">
      <c r="E1267" s="83">
        <v>201801</v>
      </c>
      <c r="F1267" s="82" t="s">
        <v>344</v>
      </c>
      <c r="G1267" s="82" t="s">
        <v>352</v>
      </c>
      <c r="H1267" s="82" t="s">
        <v>344</v>
      </c>
      <c r="I1267" s="95">
        <v>1081</v>
      </c>
      <c r="K1267" s="105" t="str">
        <f t="shared" si="47"/>
        <v>0012-1004-0012</v>
      </c>
      <c r="L1267" s="105" t="str">
        <f>VLOOKUP(K1267,COA!$A$3:$B$337,2,FALSE)</f>
        <v>L12</v>
      </c>
      <c r="M1267" s="105" t="str">
        <f t="shared" si="48"/>
        <v>L12</v>
      </c>
      <c r="N1267" s="105" t="str">
        <f>VLOOKUP(M1267,CAC!$A$2:$B$198,2,FALSE)</f>
        <v>HMOLG</v>
      </c>
    </row>
    <row r="1268" spans="5:14" x14ac:dyDescent="0.25">
      <c r="E1268" s="83">
        <v>201603</v>
      </c>
      <c r="F1268" s="82" t="s">
        <v>345</v>
      </c>
      <c r="G1268" s="82" t="s">
        <v>350</v>
      </c>
      <c r="H1268" s="82" t="s">
        <v>344</v>
      </c>
      <c r="I1268" s="95">
        <v>14922.48</v>
      </c>
      <c r="K1268" s="105" t="str">
        <f t="shared" si="47"/>
        <v>0011-1012-0012</v>
      </c>
      <c r="L1268" s="105" t="str">
        <f>VLOOKUP(K1268,COA!$A$3:$B$337,2,FALSE)</f>
        <v>K11</v>
      </c>
      <c r="M1268" s="105" t="str">
        <f t="shared" si="48"/>
        <v>K11</v>
      </c>
      <c r="N1268" s="105" t="str">
        <f>VLOOKUP(M1268,CAC!$A$2:$B$198,2,FALSE)</f>
        <v>HMOPMR</v>
      </c>
    </row>
    <row r="1269" spans="5:14" x14ac:dyDescent="0.25">
      <c r="E1269" s="83">
        <v>201607</v>
      </c>
      <c r="F1269" s="82" t="s">
        <v>345</v>
      </c>
      <c r="G1269" s="82" t="s">
        <v>362</v>
      </c>
      <c r="H1269" s="82" t="s">
        <v>363</v>
      </c>
      <c r="I1269" s="95">
        <v>36982.480000000003</v>
      </c>
      <c r="K1269" s="105" t="str">
        <f t="shared" si="47"/>
        <v>0011-1008-0054</v>
      </c>
      <c r="L1269" s="105" t="str">
        <f>VLOOKUP(K1269,COA!$A$3:$B$337,2,FALSE)</f>
        <v>P23</v>
      </c>
      <c r="M1269" s="105" t="str">
        <f t="shared" si="48"/>
        <v>P23</v>
      </c>
      <c r="N1269" s="105" t="str">
        <f>VLOOKUP(M1269,CAC!$A$2:$B$198,2,FALSE)</f>
        <v>HMOPERN</v>
      </c>
    </row>
    <row r="1270" spans="5:14" x14ac:dyDescent="0.25">
      <c r="E1270" s="83">
        <v>201607</v>
      </c>
      <c r="F1270" s="82" t="s">
        <v>563</v>
      </c>
      <c r="G1270" s="82" t="s">
        <v>352</v>
      </c>
      <c r="H1270" s="82" t="s">
        <v>653</v>
      </c>
      <c r="I1270" s="95">
        <v>0</v>
      </c>
      <c r="K1270" s="105" t="str">
        <f t="shared" si="47"/>
        <v>0003-1004-0047</v>
      </c>
      <c r="L1270" s="105" t="str">
        <f>VLOOKUP(K1270,COA!$A$3:$B$337,2,FALSE)</f>
        <v>L57</v>
      </c>
      <c r="M1270" s="105" t="str">
        <f t="shared" si="48"/>
        <v>L57</v>
      </c>
      <c r="N1270" s="105" t="str">
        <f>VLOOKUP(M1270,CAC!$A$2:$B$198,2,FALSE)</f>
        <v>PPOLG</v>
      </c>
    </row>
    <row r="1271" spans="5:14" x14ac:dyDescent="0.25">
      <c r="E1271" s="83">
        <v>201704</v>
      </c>
      <c r="F1271" s="82" t="s">
        <v>563</v>
      </c>
      <c r="G1271" s="82" t="s">
        <v>356</v>
      </c>
      <c r="H1271" s="82" t="s">
        <v>344</v>
      </c>
      <c r="I1271" s="95">
        <v>0</v>
      </c>
      <c r="K1271" s="105" t="str">
        <f t="shared" si="47"/>
        <v>0003-1002-0012</v>
      </c>
      <c r="L1271" s="105" t="str">
        <f>VLOOKUP(K1271,COA!$A$3:$B$337,2,FALSE)</f>
        <v>F61</v>
      </c>
      <c r="M1271" s="105" t="str">
        <f t="shared" si="48"/>
        <v>F61</v>
      </c>
      <c r="N1271" s="105" t="str">
        <f>VLOOKUP(M1271,CAC!$A$2:$B$198,2,FALSE)</f>
        <v>PPOPMR</v>
      </c>
    </row>
    <row r="1272" spans="5:14" x14ac:dyDescent="0.25">
      <c r="E1272" s="83">
        <v>201708</v>
      </c>
      <c r="F1272" s="82" t="s">
        <v>344</v>
      </c>
      <c r="G1272" s="82" t="s">
        <v>352</v>
      </c>
      <c r="H1272" s="82" t="s">
        <v>344</v>
      </c>
      <c r="I1272" s="95">
        <v>1165</v>
      </c>
      <c r="K1272" s="105" t="str">
        <f t="shared" si="47"/>
        <v>0012-1004-0012</v>
      </c>
      <c r="L1272" s="105" t="str">
        <f>VLOOKUP(K1272,COA!$A$3:$B$337,2,FALSE)</f>
        <v>L12</v>
      </c>
      <c r="M1272" s="105" t="str">
        <f t="shared" si="48"/>
        <v>L12</v>
      </c>
      <c r="N1272" s="105" t="str">
        <f>VLOOKUP(M1272,CAC!$A$2:$B$198,2,FALSE)</f>
        <v>HMOLG</v>
      </c>
    </row>
    <row r="1273" spans="5:14" x14ac:dyDescent="0.25">
      <c r="E1273" s="83">
        <v>201612</v>
      </c>
      <c r="F1273" s="82" t="s">
        <v>345</v>
      </c>
      <c r="G1273" s="82" t="s">
        <v>361</v>
      </c>
      <c r="H1273" s="82" t="s">
        <v>344</v>
      </c>
      <c r="I1273" s="95">
        <v>4132.8900000000003</v>
      </c>
      <c r="K1273" s="105" t="str">
        <f t="shared" si="47"/>
        <v>0011-1003-0012</v>
      </c>
      <c r="L1273" s="105" t="str">
        <f>VLOOKUP(K1273,COA!$A$3:$B$337,2,FALSE)</f>
        <v>N16</v>
      </c>
      <c r="M1273" s="105" t="str">
        <f t="shared" si="48"/>
        <v>N16</v>
      </c>
      <c r="N1273" s="105" t="str">
        <f>VLOOKUP(M1273,CAC!$A$2:$B$198,2,FALSE)</f>
        <v>HMOPMR</v>
      </c>
    </row>
    <row r="1274" spans="5:14" x14ac:dyDescent="0.25">
      <c r="E1274" s="83">
        <v>201707</v>
      </c>
      <c r="F1274" s="82" t="s">
        <v>563</v>
      </c>
      <c r="G1274" s="82" t="s">
        <v>352</v>
      </c>
      <c r="H1274" s="82" t="s">
        <v>653</v>
      </c>
      <c r="I1274" s="95">
        <v>0</v>
      </c>
      <c r="K1274" s="105" t="str">
        <f t="shared" si="47"/>
        <v>0003-1004-0047</v>
      </c>
      <c r="L1274" s="105" t="str">
        <f>VLOOKUP(K1274,COA!$A$3:$B$337,2,FALSE)</f>
        <v>L57</v>
      </c>
      <c r="M1274" s="105" t="str">
        <f t="shared" si="48"/>
        <v>L57</v>
      </c>
      <c r="N1274" s="105" t="str">
        <f>VLOOKUP(M1274,CAC!$A$2:$B$198,2,FALSE)</f>
        <v>PPOLG</v>
      </c>
    </row>
    <row r="1275" spans="5:14" x14ac:dyDescent="0.25">
      <c r="E1275" s="83">
        <v>201603</v>
      </c>
      <c r="F1275" s="82" t="s">
        <v>413</v>
      </c>
      <c r="G1275" s="82" t="s">
        <v>359</v>
      </c>
      <c r="H1275" s="82" t="s">
        <v>344</v>
      </c>
      <c r="I1275" s="95">
        <v>0</v>
      </c>
      <c r="K1275" s="105" t="str">
        <f t="shared" si="47"/>
        <v>0008-1005-0012</v>
      </c>
      <c r="L1275" s="105" t="str">
        <f>VLOOKUP(K1275,COA!$A$3:$B$337,2,FALSE)</f>
        <v>C73</v>
      </c>
      <c r="M1275" s="105" t="str">
        <f t="shared" si="48"/>
        <v>C73</v>
      </c>
      <c r="N1275" s="105" t="str">
        <f>VLOOKUP(M1275,CAC!$A$2:$B$198,2,FALSE)</f>
        <v>DOILG</v>
      </c>
    </row>
    <row r="1276" spans="5:14" x14ac:dyDescent="0.25">
      <c r="E1276" s="83">
        <v>201703</v>
      </c>
      <c r="F1276" s="82" t="s">
        <v>552</v>
      </c>
      <c r="G1276" s="82" t="s">
        <v>356</v>
      </c>
      <c r="H1276" s="82" t="s">
        <v>672</v>
      </c>
      <c r="I1276" s="95">
        <v>0</v>
      </c>
      <c r="K1276" s="105" t="str">
        <f t="shared" si="47"/>
        <v>0027-1002-0058</v>
      </c>
      <c r="L1276" s="105" t="str">
        <f>VLOOKUP(K1276,COA!$A$3:$B$337,2,FALSE)</f>
        <v>L45</v>
      </c>
      <c r="M1276" s="105" t="str">
        <f t="shared" si="48"/>
        <v>L45</v>
      </c>
      <c r="N1276" s="105" t="e">
        <f>VLOOKUP(M1276,CAC!$A$2:$B$198,2,FALSE)</f>
        <v>#N/A</v>
      </c>
    </row>
    <row r="1277" spans="5:14" x14ac:dyDescent="0.25">
      <c r="E1277" s="83">
        <v>201609</v>
      </c>
      <c r="F1277" s="82" t="s">
        <v>345</v>
      </c>
      <c r="G1277" s="82" t="s">
        <v>348</v>
      </c>
      <c r="H1277" s="82" t="s">
        <v>358</v>
      </c>
      <c r="I1277" s="95">
        <v>72</v>
      </c>
      <c r="K1277" s="105" t="str">
        <f t="shared" si="47"/>
        <v>0011-1010-0024</v>
      </c>
      <c r="L1277" s="105" t="str">
        <f>VLOOKUP(K1277,COA!$A$3:$B$337,2,FALSE)</f>
        <v>S14</v>
      </c>
      <c r="M1277" s="105" t="str">
        <f t="shared" si="48"/>
        <v>S14</v>
      </c>
      <c r="N1277" s="105" t="str">
        <f>VLOOKUP(M1277,CAC!$A$2:$B$198,2,FALSE)</f>
        <v>HMOSG</v>
      </c>
    </row>
    <row r="1278" spans="5:14" x14ac:dyDescent="0.25">
      <c r="E1278" s="83">
        <v>201509</v>
      </c>
      <c r="F1278" s="82" t="s">
        <v>345</v>
      </c>
      <c r="G1278" s="82" t="s">
        <v>361</v>
      </c>
      <c r="H1278" s="82" t="s">
        <v>344</v>
      </c>
      <c r="I1278" s="95">
        <v>803</v>
      </c>
      <c r="K1278" s="105" t="str">
        <f t="shared" si="47"/>
        <v>0011-1003-0012</v>
      </c>
      <c r="L1278" s="105" t="str">
        <f>VLOOKUP(K1278,COA!$A$3:$B$337,2,FALSE)</f>
        <v>N16</v>
      </c>
      <c r="M1278" s="105" t="str">
        <f t="shared" si="48"/>
        <v>N16</v>
      </c>
      <c r="N1278" s="105" t="str">
        <f>VLOOKUP(M1278,CAC!$A$2:$B$198,2,FALSE)</f>
        <v>HMOPMR</v>
      </c>
    </row>
    <row r="1279" spans="5:14" x14ac:dyDescent="0.25">
      <c r="E1279" s="83">
        <v>201604</v>
      </c>
      <c r="F1279" s="82" t="s">
        <v>345</v>
      </c>
      <c r="G1279" s="82" t="s">
        <v>346</v>
      </c>
      <c r="H1279" s="82" t="s">
        <v>360</v>
      </c>
      <c r="I1279" s="95">
        <v>357</v>
      </c>
      <c r="K1279" s="105" t="str">
        <f t="shared" si="47"/>
        <v>0011-1014-0048</v>
      </c>
      <c r="L1279" s="105" t="str">
        <f>VLOOKUP(K1279,COA!$A$3:$B$337,2,FALSE)</f>
        <v>K23</v>
      </c>
      <c r="M1279" s="105" t="str">
        <f t="shared" si="48"/>
        <v>K23</v>
      </c>
      <c r="N1279" s="105" t="str">
        <f>VLOOKUP(M1279,CAC!$A$2:$B$198,2,FALSE)</f>
        <v>HMFLEX</v>
      </c>
    </row>
    <row r="1280" spans="5:14" x14ac:dyDescent="0.25">
      <c r="E1280" s="83">
        <v>201706</v>
      </c>
      <c r="F1280" s="82" t="s">
        <v>413</v>
      </c>
      <c r="G1280" s="82" t="s">
        <v>352</v>
      </c>
      <c r="H1280" s="82" t="s">
        <v>344</v>
      </c>
      <c r="I1280" s="95">
        <v>0</v>
      </c>
      <c r="K1280" s="105" t="str">
        <f t="shared" si="47"/>
        <v>0008-1004-0012</v>
      </c>
      <c r="L1280" s="105" t="str">
        <f>VLOOKUP(K1280,COA!$A$3:$B$337,2,FALSE)</f>
        <v>C93</v>
      </c>
      <c r="M1280" s="105" t="str">
        <f t="shared" si="48"/>
        <v>C93</v>
      </c>
      <c r="N1280" s="105" t="str">
        <f>VLOOKUP(M1280,CAC!$A$2:$B$198,2,FALSE)</f>
        <v>DOILG</v>
      </c>
    </row>
    <row r="1281" spans="5:14" x14ac:dyDescent="0.25">
      <c r="E1281" s="83">
        <v>201709</v>
      </c>
      <c r="F1281" s="82" t="s">
        <v>344</v>
      </c>
      <c r="G1281" s="82" t="s">
        <v>359</v>
      </c>
      <c r="H1281" s="82" t="s">
        <v>344</v>
      </c>
      <c r="I1281" s="95">
        <v>95</v>
      </c>
      <c r="K1281" s="105" t="str">
        <f t="shared" si="47"/>
        <v>0012-1005-0012</v>
      </c>
      <c r="L1281" s="105" t="str">
        <f>VLOOKUP(K1281,COA!$A$3:$B$337,2,FALSE)</f>
        <v>N13</v>
      </c>
      <c r="M1281" s="105" t="str">
        <f t="shared" si="48"/>
        <v>N13</v>
      </c>
      <c r="N1281" s="105" t="str">
        <f>VLOOKUP(M1281,CAC!$A$2:$B$198,2,FALSE)</f>
        <v>HMOLG</v>
      </c>
    </row>
    <row r="1282" spans="5:14" x14ac:dyDescent="0.25">
      <c r="E1282" s="83">
        <v>201505</v>
      </c>
      <c r="F1282" s="82" t="s">
        <v>413</v>
      </c>
      <c r="G1282" s="82" t="s">
        <v>365</v>
      </c>
      <c r="H1282" s="82" t="s">
        <v>344</v>
      </c>
      <c r="I1282" s="95">
        <v>0</v>
      </c>
      <c r="K1282" s="105" t="str">
        <f t="shared" si="47"/>
        <v>0008-1001-0012</v>
      </c>
      <c r="L1282" s="105" t="str">
        <f>VLOOKUP(K1282,COA!$A$3:$B$337,2,FALSE)</f>
        <v>C95</v>
      </c>
      <c r="M1282" s="105" t="str">
        <f t="shared" si="48"/>
        <v>C95</v>
      </c>
      <c r="N1282" s="105" t="str">
        <f>VLOOKUP(M1282,CAC!$A$2:$B$198,2,FALSE)</f>
        <v>DOIIFP</v>
      </c>
    </row>
    <row r="1283" spans="5:14" x14ac:dyDescent="0.25">
      <c r="E1283" s="83">
        <v>201709</v>
      </c>
      <c r="F1283" s="82" t="s">
        <v>344</v>
      </c>
      <c r="G1283" s="82" t="s">
        <v>352</v>
      </c>
      <c r="H1283" s="82" t="s">
        <v>344</v>
      </c>
      <c r="I1283" s="95">
        <v>1166</v>
      </c>
      <c r="K1283" s="105" t="str">
        <f t="shared" si="47"/>
        <v>0012-1004-0012</v>
      </c>
      <c r="L1283" s="105" t="str">
        <f>VLOOKUP(K1283,COA!$A$3:$B$337,2,FALSE)</f>
        <v>L12</v>
      </c>
      <c r="M1283" s="105" t="str">
        <f t="shared" si="48"/>
        <v>L12</v>
      </c>
      <c r="N1283" s="105" t="str">
        <f>VLOOKUP(M1283,CAC!$A$2:$B$198,2,FALSE)</f>
        <v>HMOLG</v>
      </c>
    </row>
    <row r="1284" spans="5:14" x14ac:dyDescent="0.25">
      <c r="E1284" s="83">
        <v>201602</v>
      </c>
      <c r="F1284" s="82" t="s">
        <v>506</v>
      </c>
      <c r="G1284" s="82" t="s">
        <v>361</v>
      </c>
      <c r="H1284" s="82" t="s">
        <v>592</v>
      </c>
      <c r="I1284" s="95">
        <v>0</v>
      </c>
      <c r="K1284" s="105" t="str">
        <f t="shared" ref="K1284:K1347" si="49">F1284&amp;"-"&amp;G1284&amp;"-"&amp;H1284</f>
        <v>0013-1003-0035</v>
      </c>
      <c r="L1284" s="105" t="str">
        <f>VLOOKUP(K1284,COA!$A$3:$B$337,2,FALSE)</f>
        <v>N32</v>
      </c>
      <c r="M1284" s="105" t="str">
        <f t="shared" ref="M1284:M1347" si="50">IF(ISNA(L1284),"XXX",L1284)</f>
        <v>N32</v>
      </c>
      <c r="N1284" s="105" t="e">
        <f>VLOOKUP(M1284,CAC!$A$2:$B$198,2,FALSE)</f>
        <v>#N/A</v>
      </c>
    </row>
    <row r="1285" spans="5:14" x14ac:dyDescent="0.25">
      <c r="E1285" s="83">
        <v>201704</v>
      </c>
      <c r="F1285" s="82" t="s">
        <v>345</v>
      </c>
      <c r="G1285" s="82" t="s">
        <v>352</v>
      </c>
      <c r="H1285" s="82" t="s">
        <v>653</v>
      </c>
      <c r="I1285" s="95">
        <v>0</v>
      </c>
      <c r="K1285" s="105" t="str">
        <f t="shared" si="49"/>
        <v>0011-1004-0047</v>
      </c>
      <c r="L1285" s="105" t="str">
        <f>VLOOKUP(K1285,COA!$A$3:$B$337,2,FALSE)</f>
        <v>L17</v>
      </c>
      <c r="M1285" s="105" t="str">
        <f t="shared" si="50"/>
        <v>L17</v>
      </c>
      <c r="N1285" s="105" t="str">
        <f>VLOOKUP(M1285,CAC!$A$2:$B$198,2,FALSE)</f>
        <v>HMOLG</v>
      </c>
    </row>
    <row r="1286" spans="5:14" x14ac:dyDescent="0.25">
      <c r="E1286" s="83">
        <v>201705</v>
      </c>
      <c r="F1286" s="82" t="s">
        <v>746</v>
      </c>
      <c r="G1286" s="82" t="s">
        <v>354</v>
      </c>
      <c r="H1286" s="82" t="s">
        <v>344</v>
      </c>
      <c r="I1286" s="95">
        <v>82</v>
      </c>
      <c r="K1286" s="105" t="str">
        <f t="shared" si="49"/>
        <v>0016-1013-0012</v>
      </c>
      <c r="L1286" s="105" t="str">
        <f>VLOOKUP(K1286,COA!$A$3:$B$337,2,FALSE)</f>
        <v>R19</v>
      </c>
      <c r="M1286" s="105" t="str">
        <f t="shared" si="50"/>
        <v>R19</v>
      </c>
      <c r="N1286" s="105" t="str">
        <f>VLOOKUP(M1286,CAC!$A$2:$B$198,2,FALSE)</f>
        <v>HMOMG</v>
      </c>
    </row>
    <row r="1287" spans="5:14" x14ac:dyDescent="0.25">
      <c r="E1287" s="83">
        <v>201510</v>
      </c>
      <c r="F1287" s="82" t="s">
        <v>563</v>
      </c>
      <c r="G1287" s="82" t="s">
        <v>356</v>
      </c>
      <c r="H1287" s="82" t="s">
        <v>344</v>
      </c>
      <c r="I1287" s="95">
        <v>0</v>
      </c>
      <c r="K1287" s="105" t="str">
        <f t="shared" si="49"/>
        <v>0003-1002-0012</v>
      </c>
      <c r="L1287" s="105" t="str">
        <f>VLOOKUP(K1287,COA!$A$3:$B$337,2,FALSE)</f>
        <v>F61</v>
      </c>
      <c r="M1287" s="105" t="str">
        <f t="shared" si="50"/>
        <v>F61</v>
      </c>
      <c r="N1287" s="105" t="str">
        <f>VLOOKUP(M1287,CAC!$A$2:$B$198,2,FALSE)</f>
        <v>PPOPMR</v>
      </c>
    </row>
    <row r="1288" spans="5:14" x14ac:dyDescent="0.25">
      <c r="E1288" s="83">
        <v>201601</v>
      </c>
      <c r="F1288" s="82" t="s">
        <v>524</v>
      </c>
      <c r="G1288" s="82" t="s">
        <v>359</v>
      </c>
      <c r="H1288" s="82" t="s">
        <v>672</v>
      </c>
      <c r="I1288" s="95">
        <v>0</v>
      </c>
      <c r="K1288" s="105" t="str">
        <f t="shared" si="49"/>
        <v>0025-1005-0058</v>
      </c>
      <c r="L1288" s="105" t="str">
        <f>VLOOKUP(K1288,COA!$A$3:$B$337,2,FALSE)</f>
        <v>N46</v>
      </c>
      <c r="M1288" s="105" t="str">
        <f t="shared" si="50"/>
        <v>N46</v>
      </c>
      <c r="N1288" s="105" t="e">
        <f>VLOOKUP(M1288,CAC!$A$2:$B$198,2,FALSE)</f>
        <v>#N/A</v>
      </c>
    </row>
    <row r="1289" spans="5:14" x14ac:dyDescent="0.25">
      <c r="E1289" s="83">
        <v>201703</v>
      </c>
      <c r="F1289" s="82" t="s">
        <v>344</v>
      </c>
      <c r="G1289" s="82" t="s">
        <v>355</v>
      </c>
      <c r="H1289" s="82" t="s">
        <v>344</v>
      </c>
      <c r="I1289" s="95">
        <v>41</v>
      </c>
      <c r="K1289" s="105" t="str">
        <f t="shared" si="49"/>
        <v>0012-1006-0012</v>
      </c>
      <c r="L1289" s="105" t="str">
        <f>VLOOKUP(K1289,COA!$A$3:$B$337,2,FALSE)</f>
        <v>L16</v>
      </c>
      <c r="M1289" s="105" t="str">
        <f t="shared" si="50"/>
        <v>L16</v>
      </c>
      <c r="N1289" s="105" t="str">
        <f>VLOOKUP(M1289,CAC!$A$2:$B$198,2,FALSE)</f>
        <v>HMOLG</v>
      </c>
    </row>
    <row r="1290" spans="5:14" x14ac:dyDescent="0.25">
      <c r="E1290" s="83">
        <v>201709</v>
      </c>
      <c r="F1290" s="82" t="s">
        <v>345</v>
      </c>
      <c r="G1290" s="82" t="s">
        <v>365</v>
      </c>
      <c r="H1290" s="82" t="s">
        <v>366</v>
      </c>
      <c r="I1290" s="95">
        <v>1428.53</v>
      </c>
      <c r="K1290" s="105" t="str">
        <f t="shared" si="49"/>
        <v>0011-1001-0021</v>
      </c>
      <c r="L1290" s="105" t="str">
        <f>VLOOKUP(K1290,COA!$A$3:$B$337,2,FALSE)</f>
        <v>V13</v>
      </c>
      <c r="M1290" s="105" t="str">
        <f t="shared" si="50"/>
        <v>V13</v>
      </c>
      <c r="N1290" s="105" t="str">
        <f>VLOOKUP(M1290,CAC!$A$2:$B$198,2,FALSE)</f>
        <v>HMOIFP</v>
      </c>
    </row>
    <row r="1291" spans="5:14" x14ac:dyDescent="0.25">
      <c r="E1291" s="83">
        <v>201612</v>
      </c>
      <c r="F1291" s="82" t="s">
        <v>345</v>
      </c>
      <c r="G1291" s="82" t="s">
        <v>350</v>
      </c>
      <c r="H1291" s="82" t="s">
        <v>344</v>
      </c>
      <c r="I1291" s="95">
        <v>14624.54</v>
      </c>
      <c r="K1291" s="105" t="str">
        <f t="shared" si="49"/>
        <v>0011-1012-0012</v>
      </c>
      <c r="L1291" s="105" t="str">
        <f>VLOOKUP(K1291,COA!$A$3:$B$337,2,FALSE)</f>
        <v>K11</v>
      </c>
      <c r="M1291" s="105" t="str">
        <f t="shared" si="50"/>
        <v>K11</v>
      </c>
      <c r="N1291" s="105" t="str">
        <f>VLOOKUP(M1291,CAC!$A$2:$B$198,2,FALSE)</f>
        <v>HMOPMR</v>
      </c>
    </row>
    <row r="1292" spans="5:14" x14ac:dyDescent="0.25">
      <c r="E1292" s="83">
        <v>201711</v>
      </c>
      <c r="F1292" s="82" t="s">
        <v>344</v>
      </c>
      <c r="G1292" s="82" t="s">
        <v>352</v>
      </c>
      <c r="H1292" s="82" t="s">
        <v>344</v>
      </c>
      <c r="I1292" s="95">
        <v>1141.2</v>
      </c>
      <c r="K1292" s="105" t="str">
        <f t="shared" si="49"/>
        <v>0012-1004-0012</v>
      </c>
      <c r="L1292" s="105" t="str">
        <f>VLOOKUP(K1292,COA!$A$3:$B$337,2,FALSE)</f>
        <v>L12</v>
      </c>
      <c r="M1292" s="105" t="str">
        <f t="shared" si="50"/>
        <v>L12</v>
      </c>
      <c r="N1292" s="105" t="str">
        <f>VLOOKUP(M1292,CAC!$A$2:$B$198,2,FALSE)</f>
        <v>HMOLG</v>
      </c>
    </row>
    <row r="1293" spans="5:14" x14ac:dyDescent="0.25">
      <c r="E1293" s="83">
        <v>201508</v>
      </c>
      <c r="F1293" s="82" t="s">
        <v>345</v>
      </c>
      <c r="G1293" s="82" t="s">
        <v>352</v>
      </c>
      <c r="H1293" s="82" t="s">
        <v>344</v>
      </c>
      <c r="I1293" s="95">
        <v>6920.68</v>
      </c>
      <c r="K1293" s="105" t="str">
        <f t="shared" si="49"/>
        <v>0011-1004-0012</v>
      </c>
      <c r="L1293" s="105" t="str">
        <f>VLOOKUP(K1293,COA!$A$3:$B$337,2,FALSE)</f>
        <v>L11</v>
      </c>
      <c r="M1293" s="105" t="str">
        <f t="shared" si="50"/>
        <v>L11</v>
      </c>
      <c r="N1293" s="105" t="str">
        <f>VLOOKUP(M1293,CAC!$A$2:$B$198,2,FALSE)</f>
        <v>HMOLG</v>
      </c>
    </row>
    <row r="1294" spans="5:14" x14ac:dyDescent="0.25">
      <c r="E1294" s="83">
        <v>201801</v>
      </c>
      <c r="F1294" s="82" t="s">
        <v>746</v>
      </c>
      <c r="G1294" s="82" t="s">
        <v>356</v>
      </c>
      <c r="H1294" s="82" t="s">
        <v>764</v>
      </c>
      <c r="I1294" s="95">
        <v>644</v>
      </c>
      <c r="K1294" s="105" t="str">
        <f t="shared" si="49"/>
        <v>0016-1002-0064</v>
      </c>
      <c r="L1294" s="105" t="str">
        <f>VLOOKUP(K1294,COA!$A$3:$B$337,2,FALSE)</f>
        <v>R25</v>
      </c>
      <c r="M1294" s="105" t="str">
        <f t="shared" si="50"/>
        <v>R25</v>
      </c>
      <c r="N1294" s="105" t="str">
        <f>VLOOKUP(M1294,CAC!$A$2:$B$198,2,FALSE)</f>
        <v>HMOMG</v>
      </c>
    </row>
    <row r="1295" spans="5:14" x14ac:dyDescent="0.25">
      <c r="E1295" s="83">
        <v>201801</v>
      </c>
      <c r="F1295" s="82" t="s">
        <v>345</v>
      </c>
      <c r="G1295" s="82" t="s">
        <v>346</v>
      </c>
      <c r="H1295" s="82" t="s">
        <v>344</v>
      </c>
      <c r="I1295" s="95">
        <v>0</v>
      </c>
      <c r="K1295" s="105" t="str">
        <f t="shared" si="49"/>
        <v>0011-1014-0012</v>
      </c>
      <c r="L1295" s="105" t="e">
        <f>VLOOKUP(K1295,COA!$A$3:$B$337,2,FALSE)</f>
        <v>#N/A</v>
      </c>
      <c r="M1295" s="105" t="str">
        <f t="shared" si="50"/>
        <v>XXX</v>
      </c>
      <c r="N1295" s="105" t="str">
        <f>VLOOKUP(M1295,CAC!$A$2:$B$198,2,FALSE)</f>
        <v>XXX</v>
      </c>
    </row>
    <row r="1296" spans="5:14" x14ac:dyDescent="0.25">
      <c r="E1296" s="83">
        <v>201611</v>
      </c>
      <c r="F1296" s="82" t="s">
        <v>344</v>
      </c>
      <c r="G1296" s="82" t="s">
        <v>356</v>
      </c>
      <c r="H1296" s="82" t="s">
        <v>344</v>
      </c>
      <c r="I1296" s="95">
        <v>4138</v>
      </c>
      <c r="K1296" s="105" t="str">
        <f t="shared" si="49"/>
        <v>0012-1002-0012</v>
      </c>
      <c r="L1296" s="105" t="str">
        <f>VLOOKUP(K1296,COA!$A$3:$B$337,2,FALSE)</f>
        <v>F22</v>
      </c>
      <c r="M1296" s="105" t="str">
        <f t="shared" si="50"/>
        <v>F22</v>
      </c>
      <c r="N1296" s="105" t="str">
        <f>VLOOKUP(M1296,CAC!$A$2:$B$198,2,FALSE)</f>
        <v>HMOPMR</v>
      </c>
    </row>
    <row r="1297" spans="5:14" x14ac:dyDescent="0.25">
      <c r="E1297" s="83">
        <v>201704</v>
      </c>
      <c r="F1297" s="82" t="s">
        <v>563</v>
      </c>
      <c r="G1297" s="82" t="s">
        <v>361</v>
      </c>
      <c r="H1297" s="82" t="s">
        <v>344</v>
      </c>
      <c r="I1297" s="95">
        <v>0</v>
      </c>
      <c r="K1297" s="105" t="str">
        <f t="shared" si="49"/>
        <v>0003-1003-0012</v>
      </c>
      <c r="L1297" s="105" t="str">
        <f>VLOOKUP(K1297,COA!$A$3:$B$337,2,FALSE)</f>
        <v>N61</v>
      </c>
      <c r="M1297" s="105" t="str">
        <f t="shared" si="50"/>
        <v>N61</v>
      </c>
      <c r="N1297" s="105" t="str">
        <f>VLOOKUP(M1297,CAC!$A$2:$B$198,2,FALSE)</f>
        <v>PPOPMR</v>
      </c>
    </row>
    <row r="1298" spans="5:14" x14ac:dyDescent="0.25">
      <c r="E1298" s="83">
        <v>201602</v>
      </c>
      <c r="F1298" s="82" t="s">
        <v>506</v>
      </c>
      <c r="G1298" s="82" t="s">
        <v>352</v>
      </c>
      <c r="H1298" s="82" t="s">
        <v>592</v>
      </c>
      <c r="I1298" s="95">
        <v>0</v>
      </c>
      <c r="K1298" s="105" t="str">
        <f t="shared" si="49"/>
        <v>0013-1004-0035</v>
      </c>
      <c r="L1298" s="105" t="str">
        <f>VLOOKUP(K1298,COA!$A$3:$B$337,2,FALSE)</f>
        <v>L41</v>
      </c>
      <c r="M1298" s="105" t="str">
        <f t="shared" si="50"/>
        <v>L41</v>
      </c>
      <c r="N1298" s="105" t="e">
        <f>VLOOKUP(M1298,CAC!$A$2:$B$198,2,FALSE)</f>
        <v>#N/A</v>
      </c>
    </row>
    <row r="1299" spans="5:14" x14ac:dyDescent="0.25">
      <c r="E1299" s="83">
        <v>201705</v>
      </c>
      <c r="F1299" s="82" t="s">
        <v>506</v>
      </c>
      <c r="G1299" s="82" t="s">
        <v>352</v>
      </c>
      <c r="H1299" s="82" t="s">
        <v>592</v>
      </c>
      <c r="I1299" s="95">
        <v>0</v>
      </c>
      <c r="K1299" s="105" t="str">
        <f t="shared" si="49"/>
        <v>0013-1004-0035</v>
      </c>
      <c r="L1299" s="105" t="str">
        <f>VLOOKUP(K1299,COA!$A$3:$B$337,2,FALSE)</f>
        <v>L41</v>
      </c>
      <c r="M1299" s="105" t="str">
        <f t="shared" si="50"/>
        <v>L41</v>
      </c>
      <c r="N1299" s="105" t="e">
        <f>VLOOKUP(M1299,CAC!$A$2:$B$198,2,FALSE)</f>
        <v>#N/A</v>
      </c>
    </row>
    <row r="1300" spans="5:14" x14ac:dyDescent="0.25">
      <c r="E1300" s="83">
        <v>201703</v>
      </c>
      <c r="F1300" s="82" t="s">
        <v>345</v>
      </c>
      <c r="G1300" s="82" t="s">
        <v>365</v>
      </c>
      <c r="H1300" s="82" t="s">
        <v>367</v>
      </c>
      <c r="I1300" s="95">
        <v>600.75</v>
      </c>
      <c r="K1300" s="105" t="str">
        <f t="shared" si="49"/>
        <v>0011-1001-0022</v>
      </c>
      <c r="L1300" s="105" t="str">
        <f>VLOOKUP(K1300,COA!$A$3:$B$337,2,FALSE)</f>
        <v>V14</v>
      </c>
      <c r="M1300" s="105" t="str">
        <f t="shared" si="50"/>
        <v>V14</v>
      </c>
      <c r="N1300" s="105" t="str">
        <f>VLOOKUP(M1300,CAC!$A$2:$B$198,2,FALSE)</f>
        <v>HMOIFP</v>
      </c>
    </row>
    <row r="1301" spans="5:14" x14ac:dyDescent="0.25">
      <c r="E1301" s="83">
        <v>201610</v>
      </c>
      <c r="F1301" s="82" t="s">
        <v>345</v>
      </c>
      <c r="G1301" s="82" t="s">
        <v>362</v>
      </c>
      <c r="H1301" s="82" t="s">
        <v>363</v>
      </c>
      <c r="I1301" s="95">
        <v>35971.96</v>
      </c>
      <c r="K1301" s="105" t="str">
        <f t="shared" si="49"/>
        <v>0011-1008-0054</v>
      </c>
      <c r="L1301" s="105" t="str">
        <f>VLOOKUP(K1301,COA!$A$3:$B$337,2,FALSE)</f>
        <v>P23</v>
      </c>
      <c r="M1301" s="105" t="str">
        <f t="shared" si="50"/>
        <v>P23</v>
      </c>
      <c r="N1301" s="105" t="str">
        <f>VLOOKUP(M1301,CAC!$A$2:$B$198,2,FALSE)</f>
        <v>HMOPERN</v>
      </c>
    </row>
    <row r="1302" spans="5:14" x14ac:dyDescent="0.25">
      <c r="E1302" s="83">
        <v>201503</v>
      </c>
      <c r="F1302" s="82" t="s">
        <v>345</v>
      </c>
      <c r="G1302" s="82" t="s">
        <v>359</v>
      </c>
      <c r="H1302" s="82" t="s">
        <v>344</v>
      </c>
      <c r="I1302" s="95">
        <v>1926.07</v>
      </c>
      <c r="K1302" s="105" t="str">
        <f t="shared" si="49"/>
        <v>0011-1005-0012</v>
      </c>
      <c r="L1302" s="105" t="str">
        <f>VLOOKUP(K1302,COA!$A$3:$B$337,2,FALSE)</f>
        <v>N11</v>
      </c>
      <c r="M1302" s="105" t="str">
        <f t="shared" si="50"/>
        <v>N11</v>
      </c>
      <c r="N1302" s="105" t="str">
        <f>VLOOKUP(M1302,CAC!$A$2:$B$198,2,FALSE)</f>
        <v>HMOLG</v>
      </c>
    </row>
    <row r="1303" spans="5:14" x14ac:dyDescent="0.25">
      <c r="E1303" s="83">
        <v>201604</v>
      </c>
      <c r="F1303" s="82" t="s">
        <v>563</v>
      </c>
      <c r="G1303" s="82" t="s">
        <v>354</v>
      </c>
      <c r="H1303" s="82" t="s">
        <v>653</v>
      </c>
      <c r="I1303" s="95">
        <v>0</v>
      </c>
      <c r="K1303" s="105" t="str">
        <f t="shared" si="49"/>
        <v>0003-1013-0047</v>
      </c>
      <c r="L1303" s="105" t="str">
        <f>VLOOKUP(K1303,COA!$A$3:$B$337,2,FALSE)</f>
        <v>N57</v>
      </c>
      <c r="M1303" s="105" t="str">
        <f t="shared" si="50"/>
        <v>N57</v>
      </c>
      <c r="N1303" s="105" t="str">
        <f>VLOOKUP(M1303,CAC!$A$2:$B$198,2,FALSE)</f>
        <v>PPOPMR</v>
      </c>
    </row>
    <row r="1304" spans="5:14" x14ac:dyDescent="0.25">
      <c r="E1304" s="83">
        <v>201611</v>
      </c>
      <c r="F1304" s="82" t="s">
        <v>549</v>
      </c>
      <c r="G1304" s="82" t="s">
        <v>352</v>
      </c>
      <c r="H1304" s="82" t="s">
        <v>672</v>
      </c>
      <c r="I1304" s="95">
        <v>0</v>
      </c>
      <c r="K1304" s="105" t="str">
        <f t="shared" si="49"/>
        <v>0026-1004-0058</v>
      </c>
      <c r="L1304" s="105" t="str">
        <f>VLOOKUP(K1304,COA!$A$3:$B$337,2,FALSE)</f>
        <v>L44</v>
      </c>
      <c r="M1304" s="105" t="str">
        <f t="shared" si="50"/>
        <v>L44</v>
      </c>
      <c r="N1304" s="105" t="e">
        <f>VLOOKUP(M1304,CAC!$A$2:$B$198,2,FALSE)</f>
        <v>#N/A</v>
      </c>
    </row>
    <row r="1305" spans="5:14" x14ac:dyDescent="0.25">
      <c r="E1305" s="83">
        <v>201508</v>
      </c>
      <c r="F1305" s="82" t="s">
        <v>413</v>
      </c>
      <c r="G1305" s="82" t="s">
        <v>352</v>
      </c>
      <c r="H1305" s="82" t="s">
        <v>344</v>
      </c>
      <c r="I1305" s="95">
        <v>0</v>
      </c>
      <c r="K1305" s="105" t="str">
        <f t="shared" si="49"/>
        <v>0008-1004-0012</v>
      </c>
      <c r="L1305" s="105" t="str">
        <f>VLOOKUP(K1305,COA!$A$3:$B$337,2,FALSE)</f>
        <v>C93</v>
      </c>
      <c r="M1305" s="105" t="str">
        <f t="shared" si="50"/>
        <v>C93</v>
      </c>
      <c r="N1305" s="105" t="str">
        <f>VLOOKUP(M1305,CAC!$A$2:$B$198,2,FALSE)</f>
        <v>DOILG</v>
      </c>
    </row>
    <row r="1306" spans="5:14" x14ac:dyDescent="0.25">
      <c r="E1306" s="83">
        <v>201708</v>
      </c>
      <c r="F1306" s="82" t="s">
        <v>413</v>
      </c>
      <c r="G1306" s="82" t="s">
        <v>352</v>
      </c>
      <c r="H1306" s="82" t="s">
        <v>344</v>
      </c>
      <c r="I1306" s="95">
        <v>0</v>
      </c>
      <c r="K1306" s="105" t="str">
        <f t="shared" si="49"/>
        <v>0008-1004-0012</v>
      </c>
      <c r="L1306" s="105" t="str">
        <f>VLOOKUP(K1306,COA!$A$3:$B$337,2,FALSE)</f>
        <v>C93</v>
      </c>
      <c r="M1306" s="105" t="str">
        <f t="shared" si="50"/>
        <v>C93</v>
      </c>
      <c r="N1306" s="105" t="str">
        <f>VLOOKUP(M1306,CAC!$A$2:$B$198,2,FALSE)</f>
        <v>DOILG</v>
      </c>
    </row>
    <row r="1307" spans="5:14" x14ac:dyDescent="0.25">
      <c r="E1307" s="83">
        <v>201609</v>
      </c>
      <c r="F1307" s="82" t="s">
        <v>746</v>
      </c>
      <c r="G1307" s="82" t="s">
        <v>356</v>
      </c>
      <c r="H1307" s="82" t="s">
        <v>764</v>
      </c>
      <c r="I1307" s="95">
        <v>11</v>
      </c>
      <c r="K1307" s="105" t="str">
        <f t="shared" si="49"/>
        <v>0016-1002-0064</v>
      </c>
      <c r="L1307" s="105" t="str">
        <f>VLOOKUP(K1307,COA!$A$3:$B$337,2,FALSE)</f>
        <v>R25</v>
      </c>
      <c r="M1307" s="105" t="str">
        <f t="shared" si="50"/>
        <v>R25</v>
      </c>
      <c r="N1307" s="105" t="str">
        <f>VLOOKUP(M1307,CAC!$A$2:$B$198,2,FALSE)</f>
        <v>HMOMG</v>
      </c>
    </row>
    <row r="1308" spans="5:14" x14ac:dyDescent="0.25">
      <c r="E1308" s="83">
        <v>201611</v>
      </c>
      <c r="F1308" s="82" t="s">
        <v>563</v>
      </c>
      <c r="G1308" s="82" t="s">
        <v>348</v>
      </c>
      <c r="H1308" s="82" t="s">
        <v>353</v>
      </c>
      <c r="I1308" s="95">
        <v>0</v>
      </c>
      <c r="K1308" s="105" t="str">
        <f t="shared" si="49"/>
        <v>0003-1010-0023</v>
      </c>
      <c r="L1308" s="105" t="str">
        <f>VLOOKUP(K1308,COA!$A$3:$B$337,2,FALSE)</f>
        <v>S54</v>
      </c>
      <c r="M1308" s="105" t="str">
        <f t="shared" si="50"/>
        <v>S54</v>
      </c>
      <c r="N1308" s="105" t="str">
        <f>VLOOKUP(M1308,CAC!$A$2:$B$198,2,FALSE)</f>
        <v>PPOSG</v>
      </c>
    </row>
    <row r="1309" spans="5:14" x14ac:dyDescent="0.25">
      <c r="E1309" s="83">
        <v>201508</v>
      </c>
      <c r="F1309" s="82" t="s">
        <v>344</v>
      </c>
      <c r="G1309" s="82" t="s">
        <v>359</v>
      </c>
      <c r="H1309" s="82" t="s">
        <v>344</v>
      </c>
      <c r="I1309" s="95">
        <v>69</v>
      </c>
      <c r="K1309" s="105" t="str">
        <f t="shared" si="49"/>
        <v>0012-1005-0012</v>
      </c>
      <c r="L1309" s="105" t="str">
        <f>VLOOKUP(K1309,COA!$A$3:$B$337,2,FALSE)</f>
        <v>N13</v>
      </c>
      <c r="M1309" s="105" t="str">
        <f t="shared" si="50"/>
        <v>N13</v>
      </c>
      <c r="N1309" s="105" t="str">
        <f>VLOOKUP(M1309,CAC!$A$2:$B$198,2,FALSE)</f>
        <v>HMOLG</v>
      </c>
    </row>
    <row r="1310" spans="5:14" x14ac:dyDescent="0.25">
      <c r="E1310" s="83">
        <v>201511</v>
      </c>
      <c r="F1310" s="82" t="s">
        <v>413</v>
      </c>
      <c r="G1310" s="82" t="s">
        <v>348</v>
      </c>
      <c r="H1310" s="82" t="s">
        <v>349</v>
      </c>
      <c r="I1310" s="95">
        <v>0</v>
      </c>
      <c r="K1310" s="105" t="str">
        <f t="shared" si="49"/>
        <v>0008-1010-0017</v>
      </c>
      <c r="L1310" s="105" t="str">
        <f>VLOOKUP(K1310,COA!$A$3:$B$337,2,FALSE)</f>
        <v>C94</v>
      </c>
      <c r="M1310" s="105" t="str">
        <f t="shared" si="50"/>
        <v>C94</v>
      </c>
      <c r="N1310" s="105" t="str">
        <f>VLOOKUP(M1310,CAC!$A$2:$B$198,2,FALSE)</f>
        <v>DOISG</v>
      </c>
    </row>
    <row r="1311" spans="5:14" x14ac:dyDescent="0.25">
      <c r="E1311" s="83">
        <v>201801</v>
      </c>
      <c r="F1311" s="82" t="s">
        <v>345</v>
      </c>
      <c r="G1311" s="82" t="s">
        <v>352</v>
      </c>
      <c r="H1311" s="82" t="s">
        <v>653</v>
      </c>
      <c r="I1311" s="95">
        <v>0</v>
      </c>
      <c r="K1311" s="105" t="str">
        <f t="shared" si="49"/>
        <v>0011-1004-0047</v>
      </c>
      <c r="L1311" s="105" t="str">
        <f>VLOOKUP(K1311,COA!$A$3:$B$337,2,FALSE)</f>
        <v>L17</v>
      </c>
      <c r="M1311" s="105" t="str">
        <f t="shared" si="50"/>
        <v>L17</v>
      </c>
      <c r="N1311" s="105" t="str">
        <f>VLOOKUP(M1311,CAC!$A$2:$B$198,2,FALSE)</f>
        <v>HMOLG</v>
      </c>
    </row>
    <row r="1312" spans="5:14" x14ac:dyDescent="0.25">
      <c r="E1312" s="83">
        <v>201706</v>
      </c>
      <c r="F1312" s="82" t="s">
        <v>746</v>
      </c>
      <c r="G1312" s="82" t="s">
        <v>352</v>
      </c>
      <c r="H1312" s="82" t="s">
        <v>344</v>
      </c>
      <c r="I1312" s="95">
        <v>3</v>
      </c>
      <c r="K1312" s="105" t="str">
        <f t="shared" si="49"/>
        <v>0016-1004-0012</v>
      </c>
      <c r="L1312" s="105" t="str">
        <f>VLOOKUP(K1312,COA!$A$3:$B$337,2,FALSE)</f>
        <v>R20</v>
      </c>
      <c r="M1312" s="105" t="str">
        <f t="shared" si="50"/>
        <v>R20</v>
      </c>
      <c r="N1312" s="105" t="str">
        <f>VLOOKUP(M1312,CAC!$A$2:$B$198,2,FALSE)</f>
        <v>HMOMG</v>
      </c>
    </row>
    <row r="1313" spans="5:14" x14ac:dyDescent="0.25">
      <c r="E1313" s="83">
        <v>201509</v>
      </c>
      <c r="F1313" s="82" t="s">
        <v>345</v>
      </c>
      <c r="G1313" s="82" t="s">
        <v>351</v>
      </c>
      <c r="H1313" s="82" t="s">
        <v>353</v>
      </c>
      <c r="I1313" s="95">
        <v>1</v>
      </c>
      <c r="K1313" s="105" t="str">
        <f t="shared" si="49"/>
        <v>0011-0000-0023</v>
      </c>
      <c r="L1313" s="105" t="e">
        <f>VLOOKUP(K1313,COA!$A$3:$B$337,2,FALSE)</f>
        <v>#N/A</v>
      </c>
      <c r="M1313" s="105" t="str">
        <f t="shared" si="50"/>
        <v>XXX</v>
      </c>
      <c r="N1313" s="105" t="str">
        <f>VLOOKUP(M1313,CAC!$A$2:$B$198,2,FALSE)</f>
        <v>XXX</v>
      </c>
    </row>
    <row r="1314" spans="5:14" x14ac:dyDescent="0.25">
      <c r="E1314" s="83">
        <v>201605</v>
      </c>
      <c r="F1314" s="82" t="s">
        <v>563</v>
      </c>
      <c r="G1314" s="82" t="s">
        <v>354</v>
      </c>
      <c r="H1314" s="82" t="s">
        <v>344</v>
      </c>
      <c r="I1314" s="95">
        <v>0</v>
      </c>
      <c r="K1314" s="105" t="str">
        <f t="shared" si="49"/>
        <v>0003-1013-0012</v>
      </c>
      <c r="L1314" s="105" t="str">
        <f>VLOOKUP(K1314,COA!$A$3:$B$337,2,FALSE)</f>
        <v>N55</v>
      </c>
      <c r="M1314" s="105" t="str">
        <f t="shared" si="50"/>
        <v>N55</v>
      </c>
      <c r="N1314" s="105" t="str">
        <f>VLOOKUP(M1314,CAC!$A$2:$B$198,2,FALSE)</f>
        <v>PPOPMR</v>
      </c>
    </row>
    <row r="1315" spans="5:14" x14ac:dyDescent="0.25">
      <c r="E1315" s="83">
        <v>201611</v>
      </c>
      <c r="F1315" s="82" t="s">
        <v>344</v>
      </c>
      <c r="G1315" s="82" t="s">
        <v>350</v>
      </c>
      <c r="H1315" s="82" t="s">
        <v>344</v>
      </c>
      <c r="I1315" s="95">
        <v>98</v>
      </c>
      <c r="K1315" s="105" t="str">
        <f t="shared" si="49"/>
        <v>0012-1012-0012</v>
      </c>
      <c r="L1315" s="105" t="str">
        <f>VLOOKUP(K1315,COA!$A$3:$B$337,2,FALSE)</f>
        <v>K12</v>
      </c>
      <c r="M1315" s="105" t="str">
        <f t="shared" si="50"/>
        <v>K12</v>
      </c>
      <c r="N1315" s="105" t="str">
        <f>VLOOKUP(M1315,CAC!$A$2:$B$198,2,FALSE)</f>
        <v>HMOPMR</v>
      </c>
    </row>
    <row r="1316" spans="5:14" x14ac:dyDescent="0.25">
      <c r="E1316" s="83">
        <v>201608</v>
      </c>
      <c r="F1316" s="82" t="s">
        <v>344</v>
      </c>
      <c r="G1316" s="82" t="s">
        <v>355</v>
      </c>
      <c r="H1316" s="82" t="s">
        <v>344</v>
      </c>
      <c r="I1316" s="95">
        <v>89</v>
      </c>
      <c r="K1316" s="105" t="str">
        <f t="shared" si="49"/>
        <v>0012-1006-0012</v>
      </c>
      <c r="L1316" s="105" t="str">
        <f>VLOOKUP(K1316,COA!$A$3:$B$337,2,FALSE)</f>
        <v>L16</v>
      </c>
      <c r="M1316" s="105" t="str">
        <f t="shared" si="50"/>
        <v>L16</v>
      </c>
      <c r="N1316" s="105" t="str">
        <f>VLOOKUP(M1316,CAC!$A$2:$B$198,2,FALSE)</f>
        <v>HMOLG</v>
      </c>
    </row>
    <row r="1317" spans="5:14" x14ac:dyDescent="0.25">
      <c r="E1317" s="83">
        <v>201512</v>
      </c>
      <c r="F1317" s="82" t="s">
        <v>563</v>
      </c>
      <c r="G1317" s="82" t="s">
        <v>365</v>
      </c>
      <c r="H1317" s="82" t="s">
        <v>411</v>
      </c>
      <c r="I1317" s="95">
        <v>0</v>
      </c>
      <c r="K1317" s="105" t="str">
        <f t="shared" si="49"/>
        <v>0003-1001-0007</v>
      </c>
      <c r="L1317" s="105" t="str">
        <f>VLOOKUP(K1317,COA!$A$3:$B$337,2,FALSE)</f>
        <v>V52</v>
      </c>
      <c r="M1317" s="105" t="str">
        <f t="shared" si="50"/>
        <v>V52</v>
      </c>
      <c r="N1317" s="105" t="str">
        <f>VLOOKUP(M1317,CAC!$A$2:$B$198,2,FALSE)</f>
        <v>PPOIFP</v>
      </c>
    </row>
    <row r="1318" spans="5:14" x14ac:dyDescent="0.25">
      <c r="E1318" s="83">
        <v>201509</v>
      </c>
      <c r="F1318" s="82" t="s">
        <v>345</v>
      </c>
      <c r="G1318" s="82" t="s">
        <v>348</v>
      </c>
      <c r="H1318" s="82" t="s">
        <v>349</v>
      </c>
      <c r="I1318" s="95">
        <v>18549.43</v>
      </c>
      <c r="K1318" s="105" t="str">
        <f t="shared" si="49"/>
        <v>0011-1010-0017</v>
      </c>
      <c r="L1318" s="105" t="str">
        <f>VLOOKUP(K1318,COA!$A$3:$B$337,2,FALSE)</f>
        <v>S11</v>
      </c>
      <c r="M1318" s="105" t="str">
        <f t="shared" si="50"/>
        <v>S11</v>
      </c>
      <c r="N1318" s="105" t="str">
        <f>VLOOKUP(M1318,CAC!$A$2:$B$198,2,FALSE)</f>
        <v>HMOSG</v>
      </c>
    </row>
    <row r="1319" spans="5:14" x14ac:dyDescent="0.25">
      <c r="E1319" s="83">
        <v>201709</v>
      </c>
      <c r="F1319" s="82" t="s">
        <v>345</v>
      </c>
      <c r="G1319" s="82" t="s">
        <v>348</v>
      </c>
      <c r="H1319" s="82" t="s">
        <v>349</v>
      </c>
      <c r="I1319" s="95">
        <v>26156.3</v>
      </c>
      <c r="K1319" s="105" t="str">
        <f t="shared" si="49"/>
        <v>0011-1010-0017</v>
      </c>
      <c r="L1319" s="105" t="str">
        <f>VLOOKUP(K1319,COA!$A$3:$B$337,2,FALSE)</f>
        <v>S11</v>
      </c>
      <c r="M1319" s="105" t="str">
        <f t="shared" si="50"/>
        <v>S11</v>
      </c>
      <c r="N1319" s="105" t="str">
        <f>VLOOKUP(M1319,CAC!$A$2:$B$198,2,FALSE)</f>
        <v>HMOSG</v>
      </c>
    </row>
    <row r="1320" spans="5:14" x14ac:dyDescent="0.25">
      <c r="E1320" s="83">
        <v>201509</v>
      </c>
      <c r="F1320" s="82" t="s">
        <v>345</v>
      </c>
      <c r="G1320" s="82" t="s">
        <v>355</v>
      </c>
      <c r="H1320" s="82" t="s">
        <v>344</v>
      </c>
      <c r="I1320" s="95">
        <v>25139.3</v>
      </c>
      <c r="K1320" s="105" t="str">
        <f t="shared" si="49"/>
        <v>0011-1006-0012</v>
      </c>
      <c r="L1320" s="105" t="str">
        <f>VLOOKUP(K1320,COA!$A$3:$B$337,2,FALSE)</f>
        <v>L13</v>
      </c>
      <c r="M1320" s="105" t="str">
        <f t="shared" si="50"/>
        <v>L13</v>
      </c>
      <c r="N1320" s="105" t="str">
        <f>VLOOKUP(M1320,CAC!$A$2:$B$198,2,FALSE)</f>
        <v>HMOLG</v>
      </c>
    </row>
    <row r="1321" spans="5:14" x14ac:dyDescent="0.25">
      <c r="E1321" s="83">
        <v>201508</v>
      </c>
      <c r="F1321" s="82" t="s">
        <v>345</v>
      </c>
      <c r="G1321" s="82" t="s">
        <v>359</v>
      </c>
      <c r="H1321" s="82" t="s">
        <v>344</v>
      </c>
      <c r="I1321" s="95">
        <v>2487</v>
      </c>
      <c r="K1321" s="105" t="str">
        <f t="shared" si="49"/>
        <v>0011-1005-0012</v>
      </c>
      <c r="L1321" s="105" t="str">
        <f>VLOOKUP(K1321,COA!$A$3:$B$337,2,FALSE)</f>
        <v>N11</v>
      </c>
      <c r="M1321" s="105" t="str">
        <f t="shared" si="50"/>
        <v>N11</v>
      </c>
      <c r="N1321" s="105" t="str">
        <f>VLOOKUP(M1321,CAC!$A$2:$B$198,2,FALSE)</f>
        <v>HMOLG</v>
      </c>
    </row>
    <row r="1322" spans="5:14" x14ac:dyDescent="0.25">
      <c r="E1322" s="83">
        <v>201702</v>
      </c>
      <c r="F1322" s="82" t="s">
        <v>563</v>
      </c>
      <c r="G1322" s="82" t="s">
        <v>352</v>
      </c>
      <c r="H1322" s="82" t="s">
        <v>653</v>
      </c>
      <c r="I1322" s="95">
        <v>0</v>
      </c>
      <c r="K1322" s="105" t="str">
        <f t="shared" si="49"/>
        <v>0003-1004-0047</v>
      </c>
      <c r="L1322" s="105" t="str">
        <f>VLOOKUP(K1322,COA!$A$3:$B$337,2,FALSE)</f>
        <v>L57</v>
      </c>
      <c r="M1322" s="105" t="str">
        <f t="shared" si="50"/>
        <v>L57</v>
      </c>
      <c r="N1322" s="105" t="str">
        <f>VLOOKUP(M1322,CAC!$A$2:$B$198,2,FALSE)</f>
        <v>PPOLG</v>
      </c>
    </row>
    <row r="1323" spans="5:14" x14ac:dyDescent="0.25">
      <c r="E1323" s="83">
        <v>201603</v>
      </c>
      <c r="F1323" s="82" t="s">
        <v>344</v>
      </c>
      <c r="G1323" s="82" t="s">
        <v>356</v>
      </c>
      <c r="H1323" s="82" t="s">
        <v>344</v>
      </c>
      <c r="I1323" s="95">
        <v>4164</v>
      </c>
      <c r="K1323" s="105" t="str">
        <f t="shared" si="49"/>
        <v>0012-1002-0012</v>
      </c>
      <c r="L1323" s="105" t="str">
        <f>VLOOKUP(K1323,COA!$A$3:$B$337,2,FALSE)</f>
        <v>F22</v>
      </c>
      <c r="M1323" s="105" t="str">
        <f t="shared" si="50"/>
        <v>F22</v>
      </c>
      <c r="N1323" s="105" t="str">
        <f>VLOOKUP(M1323,CAC!$A$2:$B$198,2,FALSE)</f>
        <v>HMOPMR</v>
      </c>
    </row>
    <row r="1324" spans="5:14" x14ac:dyDescent="0.25">
      <c r="E1324" s="83">
        <v>201611</v>
      </c>
      <c r="F1324" s="82" t="s">
        <v>746</v>
      </c>
      <c r="G1324" s="82" t="s">
        <v>352</v>
      </c>
      <c r="H1324" s="82" t="s">
        <v>344</v>
      </c>
      <c r="I1324" s="95">
        <v>2</v>
      </c>
      <c r="K1324" s="105" t="str">
        <f t="shared" si="49"/>
        <v>0016-1004-0012</v>
      </c>
      <c r="L1324" s="105" t="str">
        <f>VLOOKUP(K1324,COA!$A$3:$B$337,2,FALSE)</f>
        <v>R20</v>
      </c>
      <c r="M1324" s="105" t="str">
        <f t="shared" si="50"/>
        <v>R20</v>
      </c>
      <c r="N1324" s="105" t="str">
        <f>VLOOKUP(M1324,CAC!$A$2:$B$198,2,FALSE)</f>
        <v>HMOMG</v>
      </c>
    </row>
    <row r="1325" spans="5:14" x14ac:dyDescent="0.25">
      <c r="E1325" s="83">
        <v>201607</v>
      </c>
      <c r="F1325" s="82" t="s">
        <v>405</v>
      </c>
      <c r="G1325" s="82" t="s">
        <v>362</v>
      </c>
      <c r="H1325" s="82" t="s">
        <v>342</v>
      </c>
      <c r="I1325" s="95">
        <v>0</v>
      </c>
      <c r="K1325" s="105" t="str">
        <f t="shared" si="49"/>
        <v>0019-1008-0031</v>
      </c>
      <c r="L1325" s="105" t="str">
        <f>VLOOKUP(K1325,COA!$A$3:$B$337,2,FALSE)</f>
        <v>P53</v>
      </c>
      <c r="M1325" s="105" t="str">
        <f t="shared" si="50"/>
        <v>P53</v>
      </c>
      <c r="N1325" s="105" t="str">
        <f>VLOOKUP(M1325,CAC!$A$2:$B$198,2,FALSE)</f>
        <v>HMOPERA</v>
      </c>
    </row>
    <row r="1326" spans="5:14" x14ac:dyDescent="0.25">
      <c r="E1326" s="83">
        <v>201607</v>
      </c>
      <c r="F1326" s="82" t="s">
        <v>345</v>
      </c>
      <c r="G1326" s="82" t="s">
        <v>348</v>
      </c>
      <c r="H1326" s="82" t="s">
        <v>353</v>
      </c>
      <c r="I1326" s="95">
        <v>319</v>
      </c>
      <c r="K1326" s="105" t="str">
        <f t="shared" si="49"/>
        <v>0011-1010-0023</v>
      </c>
      <c r="L1326" s="105" t="str">
        <f>VLOOKUP(K1326,COA!$A$3:$B$337,2,FALSE)</f>
        <v>S13</v>
      </c>
      <c r="M1326" s="105" t="str">
        <f t="shared" si="50"/>
        <v>S13</v>
      </c>
      <c r="N1326" s="105" t="str">
        <f>VLOOKUP(M1326,CAC!$A$2:$B$198,2,FALSE)</f>
        <v>HMOSG</v>
      </c>
    </row>
    <row r="1327" spans="5:14" x14ac:dyDescent="0.25">
      <c r="E1327" s="83">
        <v>201706</v>
      </c>
      <c r="F1327" s="82" t="s">
        <v>746</v>
      </c>
      <c r="G1327" s="82" t="s">
        <v>350</v>
      </c>
      <c r="H1327" s="82" t="s">
        <v>764</v>
      </c>
      <c r="I1327" s="95">
        <v>21</v>
      </c>
      <c r="K1327" s="105" t="str">
        <f t="shared" si="49"/>
        <v>0016-1012-0064</v>
      </c>
      <c r="L1327" s="105" t="str">
        <f>VLOOKUP(K1327,COA!$A$3:$B$337,2,FALSE)</f>
        <v>R25</v>
      </c>
      <c r="M1327" s="105" t="str">
        <f t="shared" si="50"/>
        <v>R25</v>
      </c>
      <c r="N1327" s="105" t="str">
        <f>VLOOKUP(M1327,CAC!$A$2:$B$198,2,FALSE)</f>
        <v>HMOMG</v>
      </c>
    </row>
    <row r="1328" spans="5:14" x14ac:dyDescent="0.25">
      <c r="E1328" s="83">
        <v>201709</v>
      </c>
      <c r="F1328" s="82" t="s">
        <v>563</v>
      </c>
      <c r="G1328" s="82" t="s">
        <v>369</v>
      </c>
      <c r="H1328" s="82" t="s">
        <v>353</v>
      </c>
      <c r="I1328" s="95">
        <v>0</v>
      </c>
      <c r="K1328" s="105" t="str">
        <f t="shared" si="49"/>
        <v>0003-1009-0023</v>
      </c>
      <c r="L1328" s="105" t="e">
        <f>VLOOKUP(K1328,COA!$A$3:$B$337,2,FALSE)</f>
        <v>#N/A</v>
      </c>
      <c r="M1328" s="105" t="str">
        <f t="shared" si="50"/>
        <v>XXX</v>
      </c>
      <c r="N1328" s="105" t="str">
        <f>VLOOKUP(M1328,CAC!$A$2:$B$198,2,FALSE)</f>
        <v>XXX</v>
      </c>
    </row>
    <row r="1329" spans="5:14" x14ac:dyDescent="0.25">
      <c r="E1329" s="83">
        <v>201512</v>
      </c>
      <c r="F1329" s="82" t="s">
        <v>345</v>
      </c>
      <c r="G1329" s="82" t="s">
        <v>350</v>
      </c>
      <c r="H1329" s="82" t="s">
        <v>344</v>
      </c>
      <c r="I1329" s="95">
        <v>14506.28</v>
      </c>
      <c r="K1329" s="105" t="str">
        <f t="shared" si="49"/>
        <v>0011-1012-0012</v>
      </c>
      <c r="L1329" s="105" t="str">
        <f>VLOOKUP(K1329,COA!$A$3:$B$337,2,FALSE)</f>
        <v>K11</v>
      </c>
      <c r="M1329" s="105" t="str">
        <f t="shared" si="50"/>
        <v>K11</v>
      </c>
      <c r="N1329" s="105" t="str">
        <f>VLOOKUP(M1329,CAC!$A$2:$B$198,2,FALSE)</f>
        <v>HMOPMR</v>
      </c>
    </row>
    <row r="1330" spans="5:14" x14ac:dyDescent="0.25">
      <c r="E1330" s="83">
        <v>201703</v>
      </c>
      <c r="F1330" s="82" t="s">
        <v>349</v>
      </c>
      <c r="G1330" s="82" t="s">
        <v>369</v>
      </c>
      <c r="H1330" s="82" t="s">
        <v>764</v>
      </c>
      <c r="I1330" s="95">
        <v>5434</v>
      </c>
      <c r="K1330" s="105" t="str">
        <f t="shared" si="49"/>
        <v>0017-1009-0064</v>
      </c>
      <c r="L1330" s="105" t="str">
        <f>VLOOKUP(K1330,COA!$A$3:$B$337,2,FALSE)</f>
        <v>R15</v>
      </c>
      <c r="M1330" s="105" t="str">
        <f t="shared" si="50"/>
        <v>R15</v>
      </c>
      <c r="N1330" s="105" t="str">
        <f>VLOOKUP(M1330,CAC!$A$2:$B$198,2,FALSE)</f>
        <v>HMOMM</v>
      </c>
    </row>
    <row r="1331" spans="5:14" x14ac:dyDescent="0.25">
      <c r="E1331" s="83">
        <v>201605</v>
      </c>
      <c r="F1331" s="82" t="s">
        <v>345</v>
      </c>
      <c r="G1331" s="82" t="s">
        <v>356</v>
      </c>
      <c r="H1331" s="82" t="s">
        <v>344</v>
      </c>
      <c r="I1331" s="95">
        <v>15681.86</v>
      </c>
      <c r="K1331" s="105" t="str">
        <f t="shared" si="49"/>
        <v>0011-1002-0012</v>
      </c>
      <c r="L1331" s="105" t="str">
        <f>VLOOKUP(K1331,COA!$A$3:$B$337,2,FALSE)</f>
        <v>F20</v>
      </c>
      <c r="M1331" s="105" t="str">
        <f t="shared" si="50"/>
        <v>F20</v>
      </c>
      <c r="N1331" s="105" t="str">
        <f>VLOOKUP(M1331,CAC!$A$2:$B$198,2,FALSE)</f>
        <v>HMOPMR</v>
      </c>
    </row>
    <row r="1332" spans="5:14" x14ac:dyDescent="0.25">
      <c r="E1332" s="83">
        <v>201508</v>
      </c>
      <c r="F1332" s="82" t="s">
        <v>345</v>
      </c>
      <c r="G1332" s="82" t="s">
        <v>362</v>
      </c>
      <c r="H1332" s="82" t="s">
        <v>370</v>
      </c>
      <c r="I1332" s="95">
        <v>2279</v>
      </c>
      <c r="K1332" s="105" t="str">
        <f t="shared" si="49"/>
        <v>0011-1008-0055</v>
      </c>
      <c r="L1332" s="105" t="str">
        <f>VLOOKUP(K1332,COA!$A$3:$B$337,2,FALSE)</f>
        <v>P28</v>
      </c>
      <c r="M1332" s="105" t="str">
        <f t="shared" si="50"/>
        <v>P28</v>
      </c>
      <c r="N1332" s="105" t="str">
        <f>VLOOKUP(M1332,CAC!$A$2:$B$198,2,FALSE)</f>
        <v>PERMEDN</v>
      </c>
    </row>
    <row r="1333" spans="5:14" x14ac:dyDescent="0.25">
      <c r="E1333" s="83">
        <v>201711</v>
      </c>
      <c r="F1333" s="82" t="s">
        <v>344</v>
      </c>
      <c r="G1333" s="82" t="s">
        <v>350</v>
      </c>
      <c r="H1333" s="82" t="s">
        <v>344</v>
      </c>
      <c r="I1333" s="95">
        <v>27</v>
      </c>
      <c r="K1333" s="105" t="str">
        <f t="shared" si="49"/>
        <v>0012-1012-0012</v>
      </c>
      <c r="L1333" s="105" t="str">
        <f>VLOOKUP(K1333,COA!$A$3:$B$337,2,FALSE)</f>
        <v>K12</v>
      </c>
      <c r="M1333" s="105" t="str">
        <f t="shared" si="50"/>
        <v>K12</v>
      </c>
      <c r="N1333" s="105" t="str">
        <f>VLOOKUP(M1333,CAC!$A$2:$B$198,2,FALSE)</f>
        <v>HMOPMR</v>
      </c>
    </row>
    <row r="1334" spans="5:14" x14ac:dyDescent="0.25">
      <c r="E1334" s="83">
        <v>201601</v>
      </c>
      <c r="F1334" s="82" t="s">
        <v>563</v>
      </c>
      <c r="G1334" s="82" t="s">
        <v>365</v>
      </c>
      <c r="H1334" s="82" t="s">
        <v>366</v>
      </c>
      <c r="I1334" s="95">
        <v>0</v>
      </c>
      <c r="K1334" s="105" t="str">
        <f t="shared" si="49"/>
        <v>0003-1001-0021</v>
      </c>
      <c r="L1334" s="105" t="str">
        <f>VLOOKUP(K1334,COA!$A$3:$B$337,2,FALSE)</f>
        <v>V53</v>
      </c>
      <c r="M1334" s="105" t="str">
        <f t="shared" si="50"/>
        <v>V53</v>
      </c>
      <c r="N1334" s="105" t="str">
        <f>VLOOKUP(M1334,CAC!$A$2:$B$198,2,FALSE)</f>
        <v>PPOIFP</v>
      </c>
    </row>
    <row r="1335" spans="5:14" x14ac:dyDescent="0.25">
      <c r="E1335" s="83">
        <v>201603</v>
      </c>
      <c r="F1335" s="82" t="s">
        <v>563</v>
      </c>
      <c r="G1335" s="82" t="s">
        <v>350</v>
      </c>
      <c r="H1335" s="82" t="s">
        <v>344</v>
      </c>
      <c r="I1335" s="95">
        <v>0</v>
      </c>
      <c r="K1335" s="105" t="str">
        <f t="shared" si="49"/>
        <v>0003-1012-0012</v>
      </c>
      <c r="L1335" s="105" t="str">
        <f>VLOOKUP(K1335,COA!$A$3:$B$337,2,FALSE)</f>
        <v>K51</v>
      </c>
      <c r="M1335" s="105" t="str">
        <f t="shared" si="50"/>
        <v>K51</v>
      </c>
      <c r="N1335" s="105" t="str">
        <f>VLOOKUP(M1335,CAC!$A$2:$B$198,2,FALSE)</f>
        <v>PPOPMR</v>
      </c>
    </row>
    <row r="1336" spans="5:14" x14ac:dyDescent="0.25">
      <c r="E1336" s="83">
        <v>201509</v>
      </c>
      <c r="F1336" s="82" t="s">
        <v>506</v>
      </c>
      <c r="G1336" s="82" t="s">
        <v>346</v>
      </c>
      <c r="H1336" s="82" t="s">
        <v>592</v>
      </c>
      <c r="I1336" s="95">
        <v>0</v>
      </c>
      <c r="K1336" s="105" t="str">
        <f t="shared" si="49"/>
        <v>0013-1014-0035</v>
      </c>
      <c r="L1336" s="105" t="str">
        <f>VLOOKUP(K1336,COA!$A$3:$B$337,2,FALSE)</f>
        <v>K42</v>
      </c>
      <c r="M1336" s="105" t="str">
        <f t="shared" si="50"/>
        <v>K42</v>
      </c>
      <c r="N1336" s="105" t="str">
        <f>VLOOKUP(M1336,CAC!$A$2:$B$198,2,FALSE)</f>
        <v>HMFLEX</v>
      </c>
    </row>
    <row r="1337" spans="5:14" x14ac:dyDescent="0.25">
      <c r="E1337" s="83">
        <v>201507</v>
      </c>
      <c r="F1337" s="82" t="s">
        <v>345</v>
      </c>
      <c r="G1337" s="82" t="s">
        <v>350</v>
      </c>
      <c r="H1337" s="82" t="s">
        <v>360</v>
      </c>
      <c r="I1337" s="95">
        <v>592</v>
      </c>
      <c r="K1337" s="105" t="str">
        <f t="shared" si="49"/>
        <v>0011-1012-0048</v>
      </c>
      <c r="L1337" s="105" t="str">
        <f>VLOOKUP(K1337,COA!$A$3:$B$337,2,FALSE)</f>
        <v>K21</v>
      </c>
      <c r="M1337" s="105" t="str">
        <f t="shared" si="50"/>
        <v>K21</v>
      </c>
      <c r="N1337" s="105" t="str">
        <f>VLOOKUP(M1337,CAC!$A$2:$B$198,2,FALSE)</f>
        <v>HMFLEX</v>
      </c>
    </row>
    <row r="1338" spans="5:14" x14ac:dyDescent="0.25">
      <c r="E1338" s="83">
        <v>201607</v>
      </c>
      <c r="F1338" s="82" t="s">
        <v>552</v>
      </c>
      <c r="G1338" s="82" t="s">
        <v>356</v>
      </c>
      <c r="H1338" s="82" t="s">
        <v>672</v>
      </c>
      <c r="I1338" s="95">
        <v>0</v>
      </c>
      <c r="K1338" s="105" t="str">
        <f t="shared" si="49"/>
        <v>0027-1002-0058</v>
      </c>
      <c r="L1338" s="105" t="str">
        <f>VLOOKUP(K1338,COA!$A$3:$B$337,2,FALSE)</f>
        <v>L45</v>
      </c>
      <c r="M1338" s="105" t="str">
        <f t="shared" si="50"/>
        <v>L45</v>
      </c>
      <c r="N1338" s="105" t="e">
        <f>VLOOKUP(M1338,CAC!$A$2:$B$198,2,FALSE)</f>
        <v>#N/A</v>
      </c>
    </row>
    <row r="1339" spans="5:14" x14ac:dyDescent="0.25">
      <c r="E1339" s="83">
        <v>201502</v>
      </c>
      <c r="F1339" s="82" t="s">
        <v>746</v>
      </c>
      <c r="G1339" s="82" t="s">
        <v>352</v>
      </c>
      <c r="H1339" s="82" t="s">
        <v>344</v>
      </c>
      <c r="I1339" s="95">
        <v>0</v>
      </c>
      <c r="K1339" s="105" t="str">
        <f t="shared" si="49"/>
        <v>0016-1004-0012</v>
      </c>
      <c r="L1339" s="105" t="str">
        <f>VLOOKUP(K1339,COA!$A$3:$B$337,2,FALSE)</f>
        <v>R20</v>
      </c>
      <c r="M1339" s="105" t="str">
        <f t="shared" si="50"/>
        <v>R20</v>
      </c>
      <c r="N1339" s="105" t="str">
        <f>VLOOKUP(M1339,CAC!$A$2:$B$198,2,FALSE)</f>
        <v>HMOMG</v>
      </c>
    </row>
    <row r="1340" spans="5:14" x14ac:dyDescent="0.25">
      <c r="E1340" s="83">
        <v>201512</v>
      </c>
      <c r="F1340" s="82" t="s">
        <v>506</v>
      </c>
      <c r="G1340" s="82" t="s">
        <v>354</v>
      </c>
      <c r="H1340" s="82" t="s">
        <v>592</v>
      </c>
      <c r="I1340" s="95">
        <v>0</v>
      </c>
      <c r="K1340" s="105" t="str">
        <f t="shared" si="49"/>
        <v>0013-1013-0035</v>
      </c>
      <c r="L1340" s="105" t="str">
        <f>VLOOKUP(K1340,COA!$A$3:$B$337,2,FALSE)</f>
        <v>N44</v>
      </c>
      <c r="M1340" s="105" t="str">
        <f t="shared" si="50"/>
        <v>N44</v>
      </c>
      <c r="N1340" s="105" t="e">
        <f>VLOOKUP(M1340,CAC!$A$2:$B$198,2,FALSE)</f>
        <v>#N/A</v>
      </c>
    </row>
    <row r="1341" spans="5:14" x14ac:dyDescent="0.25">
      <c r="E1341" s="83">
        <v>201604</v>
      </c>
      <c r="F1341" s="82" t="s">
        <v>345</v>
      </c>
      <c r="G1341" s="82" t="s">
        <v>348</v>
      </c>
      <c r="H1341" s="82" t="s">
        <v>353</v>
      </c>
      <c r="I1341" s="95">
        <v>315</v>
      </c>
      <c r="K1341" s="105" t="str">
        <f t="shared" si="49"/>
        <v>0011-1010-0023</v>
      </c>
      <c r="L1341" s="105" t="str">
        <f>VLOOKUP(K1341,COA!$A$3:$B$337,2,FALSE)</f>
        <v>S13</v>
      </c>
      <c r="M1341" s="105" t="str">
        <f t="shared" si="50"/>
        <v>S13</v>
      </c>
      <c r="N1341" s="105" t="str">
        <f>VLOOKUP(M1341,CAC!$A$2:$B$198,2,FALSE)</f>
        <v>HMOSG</v>
      </c>
    </row>
    <row r="1342" spans="5:14" x14ac:dyDescent="0.25">
      <c r="E1342" s="83">
        <v>201703</v>
      </c>
      <c r="F1342" s="82" t="s">
        <v>506</v>
      </c>
      <c r="G1342" s="82" t="s">
        <v>361</v>
      </c>
      <c r="H1342" s="82" t="s">
        <v>592</v>
      </c>
      <c r="I1342" s="95">
        <v>0</v>
      </c>
      <c r="K1342" s="105" t="str">
        <f t="shared" si="49"/>
        <v>0013-1003-0035</v>
      </c>
      <c r="L1342" s="105" t="str">
        <f>VLOOKUP(K1342,COA!$A$3:$B$337,2,FALSE)</f>
        <v>N32</v>
      </c>
      <c r="M1342" s="105" t="str">
        <f t="shared" si="50"/>
        <v>N32</v>
      </c>
      <c r="N1342" s="105" t="e">
        <f>VLOOKUP(M1342,CAC!$A$2:$B$198,2,FALSE)</f>
        <v>#N/A</v>
      </c>
    </row>
    <row r="1343" spans="5:14" x14ac:dyDescent="0.25">
      <c r="E1343" s="83">
        <v>201605</v>
      </c>
      <c r="F1343" s="82" t="s">
        <v>345</v>
      </c>
      <c r="G1343" s="82" t="s">
        <v>355</v>
      </c>
      <c r="H1343" s="82" t="s">
        <v>344</v>
      </c>
      <c r="I1343" s="95">
        <v>23385.1</v>
      </c>
      <c r="K1343" s="105" t="str">
        <f t="shared" si="49"/>
        <v>0011-1006-0012</v>
      </c>
      <c r="L1343" s="105" t="str">
        <f>VLOOKUP(K1343,COA!$A$3:$B$337,2,FALSE)</f>
        <v>L13</v>
      </c>
      <c r="M1343" s="105" t="str">
        <f t="shared" si="50"/>
        <v>L13</v>
      </c>
      <c r="N1343" s="105" t="str">
        <f>VLOOKUP(M1343,CAC!$A$2:$B$198,2,FALSE)</f>
        <v>HMOLG</v>
      </c>
    </row>
    <row r="1344" spans="5:14" x14ac:dyDescent="0.25">
      <c r="E1344" s="83">
        <v>201512</v>
      </c>
      <c r="F1344" s="82" t="s">
        <v>345</v>
      </c>
      <c r="G1344" s="82" t="s">
        <v>346</v>
      </c>
      <c r="H1344" s="82" t="s">
        <v>347</v>
      </c>
      <c r="I1344" s="95">
        <v>8</v>
      </c>
      <c r="K1344" s="105" t="str">
        <f t="shared" si="49"/>
        <v>0011-1014-0039</v>
      </c>
      <c r="L1344" s="105" t="str">
        <f>VLOOKUP(K1344,COA!$A$3:$B$337,2,FALSE)</f>
        <v>K24</v>
      </c>
      <c r="M1344" s="105" t="str">
        <f t="shared" si="50"/>
        <v>K24</v>
      </c>
      <c r="N1344" s="105" t="str">
        <f>VLOOKUP(M1344,CAC!$A$2:$B$198,2,FALSE)</f>
        <v>HMFLEX</v>
      </c>
    </row>
    <row r="1345" spans="5:14" x14ac:dyDescent="0.25">
      <c r="E1345" s="83">
        <v>201701</v>
      </c>
      <c r="F1345" s="82" t="s">
        <v>345</v>
      </c>
      <c r="G1345" s="82" t="s">
        <v>359</v>
      </c>
      <c r="H1345" s="82" t="s">
        <v>344</v>
      </c>
      <c r="I1345" s="95">
        <v>4813.97</v>
      </c>
      <c r="K1345" s="105" t="str">
        <f t="shared" si="49"/>
        <v>0011-1005-0012</v>
      </c>
      <c r="L1345" s="105" t="str">
        <f>VLOOKUP(K1345,COA!$A$3:$B$337,2,FALSE)</f>
        <v>N11</v>
      </c>
      <c r="M1345" s="105" t="str">
        <f t="shared" si="50"/>
        <v>N11</v>
      </c>
      <c r="N1345" s="105" t="str">
        <f>VLOOKUP(M1345,CAC!$A$2:$B$198,2,FALSE)</f>
        <v>HMOLG</v>
      </c>
    </row>
    <row r="1346" spans="5:14" x14ac:dyDescent="0.25">
      <c r="E1346" s="83">
        <v>201607</v>
      </c>
      <c r="F1346" s="82" t="s">
        <v>413</v>
      </c>
      <c r="G1346" s="82" t="s">
        <v>355</v>
      </c>
      <c r="H1346" s="82" t="s">
        <v>344</v>
      </c>
      <c r="I1346" s="95">
        <v>0</v>
      </c>
      <c r="K1346" s="105" t="str">
        <f t="shared" si="49"/>
        <v>0008-1006-0012</v>
      </c>
      <c r="L1346" s="105" t="str">
        <f>VLOOKUP(K1346,COA!$A$3:$B$337,2,FALSE)</f>
        <v>C96</v>
      </c>
      <c r="M1346" s="105" t="str">
        <f t="shared" si="50"/>
        <v>C96</v>
      </c>
      <c r="N1346" s="105" t="str">
        <f>VLOOKUP(M1346,CAC!$A$2:$B$198,2,FALSE)</f>
        <v>DOILG</v>
      </c>
    </row>
    <row r="1347" spans="5:14" x14ac:dyDescent="0.25">
      <c r="E1347" s="83">
        <v>201701</v>
      </c>
      <c r="F1347" s="82" t="s">
        <v>344</v>
      </c>
      <c r="G1347" s="82" t="s">
        <v>352</v>
      </c>
      <c r="H1347" s="82" t="s">
        <v>344</v>
      </c>
      <c r="I1347" s="95">
        <v>271</v>
      </c>
      <c r="K1347" s="105" t="str">
        <f t="shared" si="49"/>
        <v>0012-1004-0012</v>
      </c>
      <c r="L1347" s="105" t="str">
        <f>VLOOKUP(K1347,COA!$A$3:$B$337,2,FALSE)</f>
        <v>L12</v>
      </c>
      <c r="M1347" s="105" t="str">
        <f t="shared" si="50"/>
        <v>L12</v>
      </c>
      <c r="N1347" s="105" t="str">
        <f>VLOOKUP(M1347,CAC!$A$2:$B$198,2,FALSE)</f>
        <v>HMOLG</v>
      </c>
    </row>
    <row r="1348" spans="5:14" x14ac:dyDescent="0.25">
      <c r="E1348" s="83">
        <v>201705</v>
      </c>
      <c r="F1348" s="82" t="s">
        <v>552</v>
      </c>
      <c r="G1348" s="82" t="s">
        <v>356</v>
      </c>
      <c r="H1348" s="82" t="s">
        <v>672</v>
      </c>
      <c r="I1348" s="95">
        <v>0</v>
      </c>
      <c r="K1348" s="105" t="str">
        <f t="shared" ref="K1348:K1411" si="51">F1348&amp;"-"&amp;G1348&amp;"-"&amp;H1348</f>
        <v>0027-1002-0058</v>
      </c>
      <c r="L1348" s="105" t="str">
        <f>VLOOKUP(K1348,COA!$A$3:$B$337,2,FALSE)</f>
        <v>L45</v>
      </c>
      <c r="M1348" s="105" t="str">
        <f t="shared" ref="M1348:M1411" si="52">IF(ISNA(L1348),"XXX",L1348)</f>
        <v>L45</v>
      </c>
      <c r="N1348" s="105" t="e">
        <f>VLOOKUP(M1348,CAC!$A$2:$B$198,2,FALSE)</f>
        <v>#N/A</v>
      </c>
    </row>
    <row r="1349" spans="5:14" x14ac:dyDescent="0.25">
      <c r="E1349" s="83">
        <v>201709</v>
      </c>
      <c r="F1349" s="82" t="s">
        <v>506</v>
      </c>
      <c r="G1349" s="82" t="s">
        <v>354</v>
      </c>
      <c r="H1349" s="82" t="s">
        <v>592</v>
      </c>
      <c r="I1349" s="95">
        <v>0</v>
      </c>
      <c r="K1349" s="105" t="str">
        <f t="shared" si="51"/>
        <v>0013-1013-0035</v>
      </c>
      <c r="L1349" s="105" t="str">
        <f>VLOOKUP(K1349,COA!$A$3:$B$337,2,FALSE)</f>
        <v>N44</v>
      </c>
      <c r="M1349" s="105" t="str">
        <f t="shared" si="52"/>
        <v>N44</v>
      </c>
      <c r="N1349" s="105" t="e">
        <f>VLOOKUP(M1349,CAC!$A$2:$B$198,2,FALSE)</f>
        <v>#N/A</v>
      </c>
    </row>
    <row r="1350" spans="5:14" x14ac:dyDescent="0.25">
      <c r="E1350" s="83">
        <v>201510</v>
      </c>
      <c r="F1350" s="82" t="s">
        <v>345</v>
      </c>
      <c r="G1350" s="82" t="s">
        <v>362</v>
      </c>
      <c r="H1350" s="82" t="s">
        <v>363</v>
      </c>
      <c r="I1350" s="95">
        <v>59102.84</v>
      </c>
      <c r="K1350" s="105" t="str">
        <f t="shared" si="51"/>
        <v>0011-1008-0054</v>
      </c>
      <c r="L1350" s="105" t="str">
        <f>VLOOKUP(K1350,COA!$A$3:$B$337,2,FALSE)</f>
        <v>P23</v>
      </c>
      <c r="M1350" s="105" t="str">
        <f t="shared" si="52"/>
        <v>P23</v>
      </c>
      <c r="N1350" s="105" t="str">
        <f>VLOOKUP(M1350,CAC!$A$2:$B$198,2,FALSE)</f>
        <v>HMOPERN</v>
      </c>
    </row>
    <row r="1351" spans="5:14" x14ac:dyDescent="0.25">
      <c r="E1351" s="83">
        <v>201509</v>
      </c>
      <c r="F1351" s="82" t="s">
        <v>524</v>
      </c>
      <c r="G1351" s="82" t="s">
        <v>356</v>
      </c>
      <c r="H1351" s="82" t="s">
        <v>672</v>
      </c>
      <c r="I1351" s="95">
        <v>0</v>
      </c>
      <c r="K1351" s="105" t="str">
        <f t="shared" si="51"/>
        <v>0025-1002-0058</v>
      </c>
      <c r="L1351" s="105" t="str">
        <f>VLOOKUP(K1351,COA!$A$3:$B$337,2,FALSE)</f>
        <v>L45</v>
      </c>
      <c r="M1351" s="105" t="str">
        <f t="shared" si="52"/>
        <v>L45</v>
      </c>
      <c r="N1351" s="105" t="e">
        <f>VLOOKUP(M1351,CAC!$A$2:$B$198,2,FALSE)</f>
        <v>#N/A</v>
      </c>
    </row>
    <row r="1352" spans="5:14" x14ac:dyDescent="0.25">
      <c r="E1352" s="83">
        <v>201712</v>
      </c>
      <c r="F1352" s="82" t="s">
        <v>413</v>
      </c>
      <c r="G1352" s="82" t="s">
        <v>352</v>
      </c>
      <c r="H1352" s="82" t="s">
        <v>344</v>
      </c>
      <c r="I1352" s="95">
        <v>0</v>
      </c>
      <c r="K1352" s="105" t="str">
        <f t="shared" si="51"/>
        <v>0008-1004-0012</v>
      </c>
      <c r="L1352" s="105" t="str">
        <f>VLOOKUP(K1352,COA!$A$3:$B$337,2,FALSE)</f>
        <v>C93</v>
      </c>
      <c r="M1352" s="105" t="str">
        <f t="shared" si="52"/>
        <v>C93</v>
      </c>
      <c r="N1352" s="105" t="str">
        <f>VLOOKUP(M1352,CAC!$A$2:$B$198,2,FALSE)</f>
        <v>DOILG</v>
      </c>
    </row>
    <row r="1353" spans="5:14" x14ac:dyDescent="0.25">
      <c r="E1353" s="83">
        <v>201508</v>
      </c>
      <c r="F1353" s="82" t="s">
        <v>563</v>
      </c>
      <c r="G1353" s="82" t="s">
        <v>361</v>
      </c>
      <c r="H1353" s="82" t="s">
        <v>344</v>
      </c>
      <c r="I1353" s="95">
        <v>0</v>
      </c>
      <c r="K1353" s="105" t="str">
        <f t="shared" si="51"/>
        <v>0003-1003-0012</v>
      </c>
      <c r="L1353" s="105" t="str">
        <f>VLOOKUP(K1353,COA!$A$3:$B$337,2,FALSE)</f>
        <v>N61</v>
      </c>
      <c r="M1353" s="105" t="str">
        <f t="shared" si="52"/>
        <v>N61</v>
      </c>
      <c r="N1353" s="105" t="str">
        <f>VLOOKUP(M1353,CAC!$A$2:$B$198,2,FALSE)</f>
        <v>PPOPMR</v>
      </c>
    </row>
    <row r="1354" spans="5:14" x14ac:dyDescent="0.25">
      <c r="E1354" s="83">
        <v>201611</v>
      </c>
      <c r="F1354" s="82" t="s">
        <v>405</v>
      </c>
      <c r="G1354" s="82" t="s">
        <v>362</v>
      </c>
      <c r="H1354" s="82" t="s">
        <v>342</v>
      </c>
      <c r="I1354" s="95">
        <v>0</v>
      </c>
      <c r="K1354" s="105" t="str">
        <f t="shared" si="51"/>
        <v>0019-1008-0031</v>
      </c>
      <c r="L1354" s="105" t="str">
        <f>VLOOKUP(K1354,COA!$A$3:$B$337,2,FALSE)</f>
        <v>P53</v>
      </c>
      <c r="M1354" s="105" t="str">
        <f t="shared" si="52"/>
        <v>P53</v>
      </c>
      <c r="N1354" s="105" t="str">
        <f>VLOOKUP(M1354,CAC!$A$2:$B$198,2,FALSE)</f>
        <v>HMOPERA</v>
      </c>
    </row>
    <row r="1355" spans="5:14" x14ac:dyDescent="0.25">
      <c r="E1355" s="83">
        <v>201507</v>
      </c>
      <c r="F1355" s="82" t="s">
        <v>344</v>
      </c>
      <c r="G1355" s="82" t="s">
        <v>359</v>
      </c>
      <c r="H1355" s="82" t="s">
        <v>344</v>
      </c>
      <c r="I1355" s="95">
        <v>57</v>
      </c>
      <c r="K1355" s="105" t="str">
        <f t="shared" si="51"/>
        <v>0012-1005-0012</v>
      </c>
      <c r="L1355" s="105" t="str">
        <f>VLOOKUP(K1355,COA!$A$3:$B$337,2,FALSE)</f>
        <v>N13</v>
      </c>
      <c r="M1355" s="105" t="str">
        <f t="shared" si="52"/>
        <v>N13</v>
      </c>
      <c r="N1355" s="105" t="str">
        <f>VLOOKUP(M1355,CAC!$A$2:$B$198,2,FALSE)</f>
        <v>HMOLG</v>
      </c>
    </row>
    <row r="1356" spans="5:14" x14ac:dyDescent="0.25">
      <c r="E1356" s="83">
        <v>201601</v>
      </c>
      <c r="F1356" s="82" t="s">
        <v>345</v>
      </c>
      <c r="G1356" s="82" t="s">
        <v>346</v>
      </c>
      <c r="H1356" s="82" t="s">
        <v>344</v>
      </c>
      <c r="I1356" s="95">
        <v>1</v>
      </c>
      <c r="K1356" s="105" t="str">
        <f t="shared" si="51"/>
        <v>0011-1014-0012</v>
      </c>
      <c r="L1356" s="105" t="e">
        <f>VLOOKUP(K1356,COA!$A$3:$B$337,2,FALSE)</f>
        <v>#N/A</v>
      </c>
      <c r="M1356" s="105" t="str">
        <f t="shared" si="52"/>
        <v>XXX</v>
      </c>
      <c r="N1356" s="105" t="str">
        <f>VLOOKUP(M1356,CAC!$A$2:$B$198,2,FALSE)</f>
        <v>XXX</v>
      </c>
    </row>
    <row r="1357" spans="5:14" x14ac:dyDescent="0.25">
      <c r="E1357" s="83">
        <v>201603</v>
      </c>
      <c r="F1357" s="82" t="s">
        <v>345</v>
      </c>
      <c r="G1357" s="82" t="s">
        <v>359</v>
      </c>
      <c r="H1357" s="82" t="s">
        <v>344</v>
      </c>
      <c r="I1357" s="95">
        <v>3937</v>
      </c>
      <c r="K1357" s="105" t="str">
        <f t="shared" si="51"/>
        <v>0011-1005-0012</v>
      </c>
      <c r="L1357" s="105" t="str">
        <f>VLOOKUP(K1357,COA!$A$3:$B$337,2,FALSE)</f>
        <v>N11</v>
      </c>
      <c r="M1357" s="105" t="str">
        <f t="shared" si="52"/>
        <v>N11</v>
      </c>
      <c r="N1357" s="105" t="str">
        <f>VLOOKUP(M1357,CAC!$A$2:$B$198,2,FALSE)</f>
        <v>HMOLG</v>
      </c>
    </row>
    <row r="1358" spans="5:14" x14ac:dyDescent="0.25">
      <c r="E1358" s="83">
        <v>201510</v>
      </c>
      <c r="F1358" s="82" t="s">
        <v>563</v>
      </c>
      <c r="G1358" s="82" t="s">
        <v>350</v>
      </c>
      <c r="H1358" s="82" t="s">
        <v>344</v>
      </c>
      <c r="I1358" s="95">
        <v>0</v>
      </c>
      <c r="K1358" s="105" t="str">
        <f t="shared" si="51"/>
        <v>0003-1012-0012</v>
      </c>
      <c r="L1358" s="105" t="str">
        <f>VLOOKUP(K1358,COA!$A$3:$B$337,2,FALSE)</f>
        <v>K51</v>
      </c>
      <c r="M1358" s="105" t="str">
        <f t="shared" si="52"/>
        <v>K51</v>
      </c>
      <c r="N1358" s="105" t="str">
        <f>VLOOKUP(M1358,CAC!$A$2:$B$198,2,FALSE)</f>
        <v>PPOPMR</v>
      </c>
    </row>
    <row r="1359" spans="5:14" x14ac:dyDescent="0.25">
      <c r="E1359" s="83">
        <v>201706</v>
      </c>
      <c r="F1359" s="82" t="s">
        <v>563</v>
      </c>
      <c r="G1359" s="82" t="s">
        <v>354</v>
      </c>
      <c r="H1359" s="82" t="s">
        <v>344</v>
      </c>
      <c r="I1359" s="95">
        <v>0</v>
      </c>
      <c r="K1359" s="105" t="str">
        <f t="shared" si="51"/>
        <v>0003-1013-0012</v>
      </c>
      <c r="L1359" s="105" t="str">
        <f>VLOOKUP(K1359,COA!$A$3:$B$337,2,FALSE)</f>
        <v>N55</v>
      </c>
      <c r="M1359" s="105" t="str">
        <f t="shared" si="52"/>
        <v>N55</v>
      </c>
      <c r="N1359" s="105" t="str">
        <f>VLOOKUP(M1359,CAC!$A$2:$B$198,2,FALSE)</f>
        <v>PPOPMR</v>
      </c>
    </row>
    <row r="1360" spans="5:14" x14ac:dyDescent="0.25">
      <c r="E1360" s="83">
        <v>201508</v>
      </c>
      <c r="F1360" s="82" t="s">
        <v>345</v>
      </c>
      <c r="G1360" s="82" t="s">
        <v>346</v>
      </c>
      <c r="H1360" s="82" t="s">
        <v>347</v>
      </c>
      <c r="I1360" s="95">
        <v>8</v>
      </c>
      <c r="K1360" s="105" t="str">
        <f t="shared" si="51"/>
        <v>0011-1014-0039</v>
      </c>
      <c r="L1360" s="105" t="str">
        <f>VLOOKUP(K1360,COA!$A$3:$B$337,2,FALSE)</f>
        <v>K24</v>
      </c>
      <c r="M1360" s="105" t="str">
        <f t="shared" si="52"/>
        <v>K24</v>
      </c>
      <c r="N1360" s="105" t="str">
        <f>VLOOKUP(M1360,CAC!$A$2:$B$198,2,FALSE)</f>
        <v>HMFLEX</v>
      </c>
    </row>
    <row r="1361" spans="5:14" x14ac:dyDescent="0.25">
      <c r="E1361" s="83">
        <v>201710</v>
      </c>
      <c r="F1361" s="82" t="s">
        <v>344</v>
      </c>
      <c r="G1361" s="82" t="s">
        <v>350</v>
      </c>
      <c r="H1361" s="82" t="s">
        <v>344</v>
      </c>
      <c r="I1361" s="95">
        <v>28</v>
      </c>
      <c r="K1361" s="105" t="str">
        <f t="shared" si="51"/>
        <v>0012-1012-0012</v>
      </c>
      <c r="L1361" s="105" t="str">
        <f>VLOOKUP(K1361,COA!$A$3:$B$337,2,FALSE)</f>
        <v>K12</v>
      </c>
      <c r="M1361" s="105" t="str">
        <f t="shared" si="52"/>
        <v>K12</v>
      </c>
      <c r="N1361" s="105" t="str">
        <f>VLOOKUP(M1361,CAC!$A$2:$B$198,2,FALSE)</f>
        <v>HMOPMR</v>
      </c>
    </row>
    <row r="1362" spans="5:14" x14ac:dyDescent="0.25">
      <c r="E1362" s="83">
        <v>201707</v>
      </c>
      <c r="F1362" s="82" t="s">
        <v>344</v>
      </c>
      <c r="G1362" s="82" t="s">
        <v>359</v>
      </c>
      <c r="H1362" s="82" t="s">
        <v>344</v>
      </c>
      <c r="I1362" s="95">
        <v>151</v>
      </c>
      <c r="K1362" s="105" t="str">
        <f t="shared" si="51"/>
        <v>0012-1005-0012</v>
      </c>
      <c r="L1362" s="105" t="str">
        <f>VLOOKUP(K1362,COA!$A$3:$B$337,2,FALSE)</f>
        <v>N13</v>
      </c>
      <c r="M1362" s="105" t="str">
        <f t="shared" si="52"/>
        <v>N13</v>
      </c>
      <c r="N1362" s="105" t="str">
        <f>VLOOKUP(M1362,CAC!$A$2:$B$198,2,FALSE)</f>
        <v>HMOLG</v>
      </c>
    </row>
    <row r="1363" spans="5:14" x14ac:dyDescent="0.25">
      <c r="E1363" s="83">
        <v>201512</v>
      </c>
      <c r="F1363" s="82" t="s">
        <v>413</v>
      </c>
      <c r="G1363" s="82" t="s">
        <v>348</v>
      </c>
      <c r="H1363" s="82" t="s">
        <v>349</v>
      </c>
      <c r="I1363" s="95">
        <v>0</v>
      </c>
      <c r="K1363" s="105" t="str">
        <f t="shared" si="51"/>
        <v>0008-1010-0017</v>
      </c>
      <c r="L1363" s="105" t="str">
        <f>VLOOKUP(K1363,COA!$A$3:$B$337,2,FALSE)</f>
        <v>C94</v>
      </c>
      <c r="M1363" s="105" t="str">
        <f t="shared" si="52"/>
        <v>C94</v>
      </c>
      <c r="N1363" s="105" t="str">
        <f>VLOOKUP(M1363,CAC!$A$2:$B$198,2,FALSE)</f>
        <v>DOISG</v>
      </c>
    </row>
    <row r="1364" spans="5:14" x14ac:dyDescent="0.25">
      <c r="E1364" s="83">
        <v>201705</v>
      </c>
      <c r="F1364" s="82" t="s">
        <v>345</v>
      </c>
      <c r="G1364" s="82" t="s">
        <v>359</v>
      </c>
      <c r="H1364" s="82" t="s">
        <v>344</v>
      </c>
      <c r="I1364" s="95">
        <v>5121.88</v>
      </c>
      <c r="K1364" s="105" t="str">
        <f t="shared" si="51"/>
        <v>0011-1005-0012</v>
      </c>
      <c r="L1364" s="105" t="str">
        <f>VLOOKUP(K1364,COA!$A$3:$B$337,2,FALSE)</f>
        <v>N11</v>
      </c>
      <c r="M1364" s="105" t="str">
        <f t="shared" si="52"/>
        <v>N11</v>
      </c>
      <c r="N1364" s="105" t="str">
        <f>VLOOKUP(M1364,CAC!$A$2:$B$198,2,FALSE)</f>
        <v>HMOLG</v>
      </c>
    </row>
    <row r="1365" spans="5:14" x14ac:dyDescent="0.25">
      <c r="E1365" s="83">
        <v>201510</v>
      </c>
      <c r="F1365" s="82" t="s">
        <v>563</v>
      </c>
      <c r="G1365" s="82" t="s">
        <v>365</v>
      </c>
      <c r="H1365" s="82" t="s">
        <v>344</v>
      </c>
      <c r="I1365" s="95">
        <v>0</v>
      </c>
      <c r="K1365" s="105" t="str">
        <f t="shared" si="51"/>
        <v>0003-1001-0012</v>
      </c>
      <c r="L1365" s="105" t="str">
        <f>VLOOKUP(K1365,COA!$A$3:$B$337,2,FALSE)</f>
        <v>V51</v>
      </c>
      <c r="M1365" s="105" t="str">
        <f t="shared" si="52"/>
        <v>V51</v>
      </c>
      <c r="N1365" s="105" t="str">
        <f>VLOOKUP(M1365,CAC!$A$2:$B$198,2,FALSE)</f>
        <v>PPOIFP</v>
      </c>
    </row>
    <row r="1366" spans="5:14" x14ac:dyDescent="0.25">
      <c r="E1366" s="83">
        <v>201801</v>
      </c>
      <c r="F1366" s="82" t="s">
        <v>345</v>
      </c>
      <c r="G1366" s="82" t="s">
        <v>354</v>
      </c>
      <c r="H1366" s="82" t="s">
        <v>344</v>
      </c>
      <c r="I1366" s="95">
        <v>4129.42</v>
      </c>
      <c r="K1366" s="105" t="str">
        <f t="shared" si="51"/>
        <v>0011-1013-0012</v>
      </c>
      <c r="L1366" s="105" t="str">
        <f>VLOOKUP(K1366,COA!$A$3:$B$337,2,FALSE)</f>
        <v>N20</v>
      </c>
      <c r="M1366" s="105" t="str">
        <f t="shared" si="52"/>
        <v>N20</v>
      </c>
      <c r="N1366" s="105" t="str">
        <f>VLOOKUP(M1366,CAC!$A$2:$B$198,2,FALSE)</f>
        <v>HMOPMR</v>
      </c>
    </row>
    <row r="1367" spans="5:14" x14ac:dyDescent="0.25">
      <c r="E1367" s="83">
        <v>201706</v>
      </c>
      <c r="F1367" s="82" t="s">
        <v>344</v>
      </c>
      <c r="G1367" s="82" t="s">
        <v>361</v>
      </c>
      <c r="H1367" s="82" t="s">
        <v>344</v>
      </c>
      <c r="I1367" s="95">
        <v>9761.36</v>
      </c>
      <c r="K1367" s="105" t="str">
        <f t="shared" si="51"/>
        <v>0012-1003-0012</v>
      </c>
      <c r="L1367" s="105" t="str">
        <f>VLOOKUP(K1367,COA!$A$3:$B$337,2,FALSE)</f>
        <v>N15</v>
      </c>
      <c r="M1367" s="105" t="str">
        <f t="shared" si="52"/>
        <v>N15</v>
      </c>
      <c r="N1367" s="105" t="str">
        <f>VLOOKUP(M1367,CAC!$A$2:$B$198,2,FALSE)</f>
        <v>HMOPMR</v>
      </c>
    </row>
    <row r="1368" spans="5:14" x14ac:dyDescent="0.25">
      <c r="E1368" s="83">
        <v>201603</v>
      </c>
      <c r="F1368" s="82" t="s">
        <v>345</v>
      </c>
      <c r="G1368" s="82" t="s">
        <v>348</v>
      </c>
      <c r="H1368" s="82" t="s">
        <v>358</v>
      </c>
      <c r="I1368" s="95">
        <v>86</v>
      </c>
      <c r="K1368" s="105" t="str">
        <f t="shared" si="51"/>
        <v>0011-1010-0024</v>
      </c>
      <c r="L1368" s="105" t="str">
        <f>VLOOKUP(K1368,COA!$A$3:$B$337,2,FALSE)</f>
        <v>S14</v>
      </c>
      <c r="M1368" s="105" t="str">
        <f t="shared" si="52"/>
        <v>S14</v>
      </c>
      <c r="N1368" s="105" t="str">
        <f>VLOOKUP(M1368,CAC!$A$2:$B$198,2,FALSE)</f>
        <v>HMOSG</v>
      </c>
    </row>
    <row r="1369" spans="5:14" x14ac:dyDescent="0.25">
      <c r="E1369" s="83">
        <v>201706</v>
      </c>
      <c r="F1369" s="82" t="s">
        <v>563</v>
      </c>
      <c r="G1369" s="82" t="s">
        <v>352</v>
      </c>
      <c r="H1369" s="82" t="s">
        <v>626</v>
      </c>
      <c r="I1369" s="95">
        <v>0</v>
      </c>
      <c r="K1369" s="105" t="str">
        <f t="shared" si="51"/>
        <v>0003-1004-0057</v>
      </c>
      <c r="L1369" s="105" t="e">
        <f>VLOOKUP(K1369,COA!$A$3:$B$337,2,FALSE)</f>
        <v>#N/A</v>
      </c>
      <c r="M1369" s="105" t="str">
        <f t="shared" si="52"/>
        <v>XXX</v>
      </c>
      <c r="N1369" s="105" t="str">
        <f>VLOOKUP(M1369,CAC!$A$2:$B$198,2,FALSE)</f>
        <v>XXX</v>
      </c>
    </row>
    <row r="1370" spans="5:14" x14ac:dyDescent="0.25">
      <c r="E1370" s="83">
        <v>201604</v>
      </c>
      <c r="F1370" s="82" t="s">
        <v>345</v>
      </c>
      <c r="G1370" s="82" t="s">
        <v>355</v>
      </c>
      <c r="H1370" s="82" t="s">
        <v>344</v>
      </c>
      <c r="I1370" s="95">
        <v>23872.35</v>
      </c>
      <c r="K1370" s="105" t="str">
        <f t="shared" si="51"/>
        <v>0011-1006-0012</v>
      </c>
      <c r="L1370" s="105" t="str">
        <f>VLOOKUP(K1370,COA!$A$3:$B$337,2,FALSE)</f>
        <v>L13</v>
      </c>
      <c r="M1370" s="105" t="str">
        <f t="shared" si="52"/>
        <v>L13</v>
      </c>
      <c r="N1370" s="105" t="str">
        <f>VLOOKUP(M1370,CAC!$A$2:$B$198,2,FALSE)</f>
        <v>HMOLG</v>
      </c>
    </row>
    <row r="1371" spans="5:14" x14ac:dyDescent="0.25">
      <c r="E1371" s="83">
        <v>201610</v>
      </c>
      <c r="F1371" s="82" t="s">
        <v>345</v>
      </c>
      <c r="G1371" s="82" t="s">
        <v>350</v>
      </c>
      <c r="H1371" s="82" t="s">
        <v>344</v>
      </c>
      <c r="I1371" s="95">
        <v>14492.49</v>
      </c>
      <c r="K1371" s="105" t="str">
        <f t="shared" si="51"/>
        <v>0011-1012-0012</v>
      </c>
      <c r="L1371" s="105" t="str">
        <f>VLOOKUP(K1371,COA!$A$3:$B$337,2,FALSE)</f>
        <v>K11</v>
      </c>
      <c r="M1371" s="105" t="str">
        <f t="shared" si="52"/>
        <v>K11</v>
      </c>
      <c r="N1371" s="105" t="str">
        <f>VLOOKUP(M1371,CAC!$A$2:$B$198,2,FALSE)</f>
        <v>HMOPMR</v>
      </c>
    </row>
    <row r="1372" spans="5:14" x14ac:dyDescent="0.25">
      <c r="E1372" s="83">
        <v>201607</v>
      </c>
      <c r="F1372" s="82" t="s">
        <v>413</v>
      </c>
      <c r="G1372" s="82" t="s">
        <v>354</v>
      </c>
      <c r="H1372" s="82" t="s">
        <v>344</v>
      </c>
      <c r="I1372" s="95">
        <v>0</v>
      </c>
      <c r="K1372" s="105" t="str">
        <f t="shared" si="51"/>
        <v>0008-1013-0012</v>
      </c>
      <c r="L1372" s="105" t="str">
        <f>VLOOKUP(K1372,COA!$A$3:$B$337,2,FALSE)</f>
        <v>C76</v>
      </c>
      <c r="M1372" s="105" t="str">
        <f t="shared" si="52"/>
        <v>C76</v>
      </c>
      <c r="N1372" s="105" t="str">
        <f>VLOOKUP(M1372,CAC!$A$2:$B$198,2,FALSE)</f>
        <v>DOILG</v>
      </c>
    </row>
    <row r="1373" spans="5:14" x14ac:dyDescent="0.25">
      <c r="E1373" s="83">
        <v>201705</v>
      </c>
      <c r="F1373" s="82" t="s">
        <v>345</v>
      </c>
      <c r="G1373" s="82" t="s">
        <v>352</v>
      </c>
      <c r="H1373" s="82" t="s">
        <v>344</v>
      </c>
      <c r="I1373" s="95">
        <v>9255.81</v>
      </c>
      <c r="K1373" s="105" t="str">
        <f t="shared" si="51"/>
        <v>0011-1004-0012</v>
      </c>
      <c r="L1373" s="105" t="str">
        <f>VLOOKUP(K1373,COA!$A$3:$B$337,2,FALSE)</f>
        <v>L11</v>
      </c>
      <c r="M1373" s="105" t="str">
        <f t="shared" si="52"/>
        <v>L11</v>
      </c>
      <c r="N1373" s="105" t="str">
        <f>VLOOKUP(M1373,CAC!$A$2:$B$198,2,FALSE)</f>
        <v>HMOLG</v>
      </c>
    </row>
    <row r="1374" spans="5:14" x14ac:dyDescent="0.25">
      <c r="E1374" s="83">
        <v>201510</v>
      </c>
      <c r="F1374" s="82" t="s">
        <v>345</v>
      </c>
      <c r="G1374" s="82" t="s">
        <v>361</v>
      </c>
      <c r="H1374" s="82" t="s">
        <v>344</v>
      </c>
      <c r="I1374" s="95">
        <v>802</v>
      </c>
      <c r="K1374" s="105" t="str">
        <f t="shared" si="51"/>
        <v>0011-1003-0012</v>
      </c>
      <c r="L1374" s="105" t="str">
        <f>VLOOKUP(K1374,COA!$A$3:$B$337,2,FALSE)</f>
        <v>N16</v>
      </c>
      <c r="M1374" s="105" t="str">
        <f t="shared" si="52"/>
        <v>N16</v>
      </c>
      <c r="N1374" s="105" t="str">
        <f>VLOOKUP(M1374,CAC!$A$2:$B$198,2,FALSE)</f>
        <v>HMOPMR</v>
      </c>
    </row>
    <row r="1375" spans="5:14" x14ac:dyDescent="0.25">
      <c r="E1375" s="83">
        <v>201705</v>
      </c>
      <c r="F1375" s="82" t="s">
        <v>563</v>
      </c>
      <c r="G1375" s="82" t="s">
        <v>352</v>
      </c>
      <c r="H1375" s="82" t="s">
        <v>653</v>
      </c>
      <c r="I1375" s="95">
        <v>0</v>
      </c>
      <c r="K1375" s="105" t="str">
        <f t="shared" si="51"/>
        <v>0003-1004-0047</v>
      </c>
      <c r="L1375" s="105" t="str">
        <f>VLOOKUP(K1375,COA!$A$3:$B$337,2,FALSE)</f>
        <v>L57</v>
      </c>
      <c r="M1375" s="105" t="str">
        <f t="shared" si="52"/>
        <v>L57</v>
      </c>
      <c r="N1375" s="105" t="str">
        <f>VLOOKUP(M1375,CAC!$A$2:$B$198,2,FALSE)</f>
        <v>PPOLG</v>
      </c>
    </row>
    <row r="1376" spans="5:14" x14ac:dyDescent="0.25">
      <c r="E1376" s="83">
        <v>201710</v>
      </c>
      <c r="F1376" s="82" t="s">
        <v>345</v>
      </c>
      <c r="G1376" s="82" t="s">
        <v>346</v>
      </c>
      <c r="H1376" s="82" t="s">
        <v>344</v>
      </c>
      <c r="I1376" s="95">
        <v>0</v>
      </c>
      <c r="K1376" s="105" t="str">
        <f t="shared" si="51"/>
        <v>0011-1014-0012</v>
      </c>
      <c r="L1376" s="105" t="e">
        <f>VLOOKUP(K1376,COA!$A$3:$B$337,2,FALSE)</f>
        <v>#N/A</v>
      </c>
      <c r="M1376" s="105" t="str">
        <f t="shared" si="52"/>
        <v>XXX</v>
      </c>
      <c r="N1376" s="105" t="str">
        <f>VLOOKUP(M1376,CAC!$A$2:$B$198,2,FALSE)</f>
        <v>XXX</v>
      </c>
    </row>
    <row r="1377" spans="5:14" x14ac:dyDescent="0.25">
      <c r="E1377" s="83">
        <v>201712</v>
      </c>
      <c r="F1377" s="82" t="s">
        <v>563</v>
      </c>
      <c r="G1377" s="82" t="s">
        <v>365</v>
      </c>
      <c r="H1377" s="82" t="s">
        <v>798</v>
      </c>
      <c r="I1377" s="95">
        <v>0</v>
      </c>
      <c r="K1377" s="105" t="str">
        <f t="shared" si="51"/>
        <v>0003-1001-0065</v>
      </c>
      <c r="L1377" s="105" t="str">
        <f>VLOOKUP(K1377,COA!$A$3:$B$337,2,FALSE)</f>
        <v>V55</v>
      </c>
      <c r="M1377" s="105" t="str">
        <f t="shared" si="52"/>
        <v>V55</v>
      </c>
      <c r="N1377" s="105" t="e">
        <f>VLOOKUP(M1377,CAC!$A$2:$B$198,2,FALSE)</f>
        <v>#N/A</v>
      </c>
    </row>
    <row r="1378" spans="5:14" x14ac:dyDescent="0.25">
      <c r="E1378" s="83">
        <v>201504</v>
      </c>
      <c r="F1378" s="82" t="s">
        <v>563</v>
      </c>
      <c r="G1378" s="82" t="s">
        <v>365</v>
      </c>
      <c r="H1378" s="82" t="s">
        <v>367</v>
      </c>
      <c r="I1378" s="95">
        <v>0</v>
      </c>
      <c r="K1378" s="105" t="str">
        <f t="shared" si="51"/>
        <v>0003-1001-0022</v>
      </c>
      <c r="L1378" s="105" t="str">
        <f>VLOOKUP(K1378,COA!$A$3:$B$337,2,FALSE)</f>
        <v>V54</v>
      </c>
      <c r="M1378" s="105" t="str">
        <f t="shared" si="52"/>
        <v>V54</v>
      </c>
      <c r="N1378" s="105" t="str">
        <f>VLOOKUP(M1378,CAC!$A$2:$B$198,2,FALSE)</f>
        <v>PPOIFP</v>
      </c>
    </row>
    <row r="1379" spans="5:14" x14ac:dyDescent="0.25">
      <c r="E1379" s="83">
        <v>201609</v>
      </c>
      <c r="F1379" s="82" t="s">
        <v>413</v>
      </c>
      <c r="G1379" s="82" t="s">
        <v>359</v>
      </c>
      <c r="H1379" s="82" t="s">
        <v>344</v>
      </c>
      <c r="I1379" s="95">
        <v>0</v>
      </c>
      <c r="K1379" s="105" t="str">
        <f t="shared" si="51"/>
        <v>0008-1005-0012</v>
      </c>
      <c r="L1379" s="105" t="str">
        <f>VLOOKUP(K1379,COA!$A$3:$B$337,2,FALSE)</f>
        <v>C73</v>
      </c>
      <c r="M1379" s="105" t="str">
        <f t="shared" si="52"/>
        <v>C73</v>
      </c>
      <c r="N1379" s="105" t="str">
        <f>VLOOKUP(M1379,CAC!$A$2:$B$198,2,FALSE)</f>
        <v>DOILG</v>
      </c>
    </row>
    <row r="1380" spans="5:14" x14ac:dyDescent="0.25">
      <c r="E1380" s="83">
        <v>201708</v>
      </c>
      <c r="F1380" s="82" t="s">
        <v>563</v>
      </c>
      <c r="G1380" s="82" t="s">
        <v>348</v>
      </c>
      <c r="H1380" s="82" t="s">
        <v>358</v>
      </c>
      <c r="I1380" s="95">
        <v>0</v>
      </c>
      <c r="K1380" s="105" t="str">
        <f t="shared" si="51"/>
        <v>0003-1010-0024</v>
      </c>
      <c r="L1380" s="105" t="str">
        <f>VLOOKUP(K1380,COA!$A$3:$B$337,2,FALSE)</f>
        <v>S56</v>
      </c>
      <c r="M1380" s="105" t="str">
        <f t="shared" si="52"/>
        <v>S56</v>
      </c>
      <c r="N1380" s="105" t="str">
        <f>VLOOKUP(M1380,CAC!$A$2:$B$198,2,FALSE)</f>
        <v>PPOSG</v>
      </c>
    </row>
    <row r="1381" spans="5:14" x14ac:dyDescent="0.25">
      <c r="E1381" s="83">
        <v>201512</v>
      </c>
      <c r="F1381" s="82" t="s">
        <v>345</v>
      </c>
      <c r="G1381" s="82" t="s">
        <v>348</v>
      </c>
      <c r="H1381" s="82" t="s">
        <v>358</v>
      </c>
      <c r="I1381" s="95">
        <v>79</v>
      </c>
      <c r="K1381" s="105" t="str">
        <f t="shared" si="51"/>
        <v>0011-1010-0024</v>
      </c>
      <c r="L1381" s="105" t="str">
        <f>VLOOKUP(K1381,COA!$A$3:$B$337,2,FALSE)</f>
        <v>S14</v>
      </c>
      <c r="M1381" s="105" t="str">
        <f t="shared" si="52"/>
        <v>S14</v>
      </c>
      <c r="N1381" s="105" t="str">
        <f>VLOOKUP(M1381,CAC!$A$2:$B$198,2,FALSE)</f>
        <v>HMOSG</v>
      </c>
    </row>
    <row r="1382" spans="5:14" x14ac:dyDescent="0.25">
      <c r="E1382" s="83">
        <v>201708</v>
      </c>
      <c r="F1382" s="82" t="s">
        <v>746</v>
      </c>
      <c r="G1382" s="82" t="s">
        <v>352</v>
      </c>
      <c r="H1382" s="82" t="s">
        <v>344</v>
      </c>
      <c r="I1382" s="95">
        <v>3</v>
      </c>
      <c r="K1382" s="105" t="str">
        <f t="shared" si="51"/>
        <v>0016-1004-0012</v>
      </c>
      <c r="L1382" s="105" t="str">
        <f>VLOOKUP(K1382,COA!$A$3:$B$337,2,FALSE)</f>
        <v>R20</v>
      </c>
      <c r="M1382" s="105" t="str">
        <f t="shared" si="52"/>
        <v>R20</v>
      </c>
      <c r="N1382" s="105" t="str">
        <f>VLOOKUP(M1382,CAC!$A$2:$B$198,2,FALSE)</f>
        <v>HMOMG</v>
      </c>
    </row>
    <row r="1383" spans="5:14" x14ac:dyDescent="0.25">
      <c r="E1383" s="83">
        <v>201601</v>
      </c>
      <c r="F1383" s="82" t="s">
        <v>413</v>
      </c>
      <c r="G1383" s="82" t="s">
        <v>348</v>
      </c>
      <c r="H1383" s="82" t="s">
        <v>349</v>
      </c>
      <c r="I1383" s="95">
        <v>0</v>
      </c>
      <c r="K1383" s="105" t="str">
        <f t="shared" si="51"/>
        <v>0008-1010-0017</v>
      </c>
      <c r="L1383" s="105" t="str">
        <f>VLOOKUP(K1383,COA!$A$3:$B$337,2,FALSE)</f>
        <v>C94</v>
      </c>
      <c r="M1383" s="105" t="str">
        <f t="shared" si="52"/>
        <v>C94</v>
      </c>
      <c r="N1383" s="105" t="str">
        <f>VLOOKUP(M1383,CAC!$A$2:$B$198,2,FALSE)</f>
        <v>DOISG</v>
      </c>
    </row>
    <row r="1384" spans="5:14" x14ac:dyDescent="0.25">
      <c r="E1384" s="83">
        <v>201612</v>
      </c>
      <c r="F1384" s="82" t="s">
        <v>563</v>
      </c>
      <c r="G1384" s="82" t="s">
        <v>354</v>
      </c>
      <c r="H1384" s="82" t="s">
        <v>344</v>
      </c>
      <c r="I1384" s="95">
        <v>0</v>
      </c>
      <c r="K1384" s="105" t="str">
        <f t="shared" si="51"/>
        <v>0003-1013-0012</v>
      </c>
      <c r="L1384" s="105" t="str">
        <f>VLOOKUP(K1384,COA!$A$3:$B$337,2,FALSE)</f>
        <v>N55</v>
      </c>
      <c r="M1384" s="105" t="str">
        <f t="shared" si="52"/>
        <v>N55</v>
      </c>
      <c r="N1384" s="105" t="str">
        <f>VLOOKUP(M1384,CAC!$A$2:$B$198,2,FALSE)</f>
        <v>PPOPMR</v>
      </c>
    </row>
    <row r="1385" spans="5:14" x14ac:dyDescent="0.25">
      <c r="E1385" s="83">
        <v>201504</v>
      </c>
      <c r="F1385" s="82" t="s">
        <v>563</v>
      </c>
      <c r="G1385" s="82" t="s">
        <v>348</v>
      </c>
      <c r="H1385" s="82" t="s">
        <v>349</v>
      </c>
      <c r="I1385" s="95">
        <v>0</v>
      </c>
      <c r="K1385" s="105" t="str">
        <f t="shared" si="51"/>
        <v>0003-1010-0017</v>
      </c>
      <c r="L1385" s="105" t="str">
        <f>VLOOKUP(K1385,COA!$A$3:$B$337,2,FALSE)</f>
        <v>S51</v>
      </c>
      <c r="M1385" s="105" t="str">
        <f t="shared" si="52"/>
        <v>S51</v>
      </c>
      <c r="N1385" s="105" t="str">
        <f>VLOOKUP(M1385,CAC!$A$2:$B$198,2,FALSE)</f>
        <v>PPOSG</v>
      </c>
    </row>
    <row r="1386" spans="5:14" x14ac:dyDescent="0.25">
      <c r="E1386" s="83">
        <v>201711</v>
      </c>
      <c r="F1386" s="82" t="s">
        <v>563</v>
      </c>
      <c r="G1386" s="82" t="s">
        <v>354</v>
      </c>
      <c r="H1386" s="82" t="s">
        <v>344</v>
      </c>
      <c r="I1386" s="95">
        <v>0</v>
      </c>
      <c r="K1386" s="105" t="str">
        <f t="shared" si="51"/>
        <v>0003-1013-0012</v>
      </c>
      <c r="L1386" s="105" t="str">
        <f>VLOOKUP(K1386,COA!$A$3:$B$337,2,FALSE)</f>
        <v>N55</v>
      </c>
      <c r="M1386" s="105" t="str">
        <f t="shared" si="52"/>
        <v>N55</v>
      </c>
      <c r="N1386" s="105" t="str">
        <f>VLOOKUP(M1386,CAC!$A$2:$B$198,2,FALSE)</f>
        <v>PPOPMR</v>
      </c>
    </row>
    <row r="1387" spans="5:14" x14ac:dyDescent="0.25">
      <c r="E1387" s="83">
        <v>201508</v>
      </c>
      <c r="F1387" s="82" t="s">
        <v>563</v>
      </c>
      <c r="G1387" s="82" t="s">
        <v>352</v>
      </c>
      <c r="H1387" s="82" t="s">
        <v>653</v>
      </c>
      <c r="I1387" s="95">
        <v>0</v>
      </c>
      <c r="K1387" s="105" t="str">
        <f t="shared" si="51"/>
        <v>0003-1004-0047</v>
      </c>
      <c r="L1387" s="105" t="str">
        <f>VLOOKUP(K1387,COA!$A$3:$B$337,2,FALSE)</f>
        <v>L57</v>
      </c>
      <c r="M1387" s="105" t="str">
        <f t="shared" si="52"/>
        <v>L57</v>
      </c>
      <c r="N1387" s="105" t="str">
        <f>VLOOKUP(M1387,CAC!$A$2:$B$198,2,FALSE)</f>
        <v>PPOLG</v>
      </c>
    </row>
    <row r="1388" spans="5:14" x14ac:dyDescent="0.25">
      <c r="E1388" s="83">
        <v>201507</v>
      </c>
      <c r="F1388" s="82" t="s">
        <v>563</v>
      </c>
      <c r="G1388" s="82" t="s">
        <v>348</v>
      </c>
      <c r="H1388" s="82" t="s">
        <v>353</v>
      </c>
      <c r="I1388" s="95">
        <v>0</v>
      </c>
      <c r="K1388" s="105" t="str">
        <f t="shared" si="51"/>
        <v>0003-1010-0023</v>
      </c>
      <c r="L1388" s="105" t="str">
        <f>VLOOKUP(K1388,COA!$A$3:$B$337,2,FALSE)</f>
        <v>S54</v>
      </c>
      <c r="M1388" s="105" t="str">
        <f t="shared" si="52"/>
        <v>S54</v>
      </c>
      <c r="N1388" s="105" t="str">
        <f>VLOOKUP(M1388,CAC!$A$2:$B$198,2,FALSE)</f>
        <v>PPOSG</v>
      </c>
    </row>
    <row r="1389" spans="5:14" x14ac:dyDescent="0.25">
      <c r="E1389" s="83">
        <v>201703</v>
      </c>
      <c r="F1389" s="82" t="s">
        <v>345</v>
      </c>
      <c r="G1389" s="82" t="s">
        <v>359</v>
      </c>
      <c r="H1389" s="82" t="s">
        <v>344</v>
      </c>
      <c r="I1389" s="95">
        <v>5080.5200000000004</v>
      </c>
      <c r="K1389" s="105" t="str">
        <f t="shared" si="51"/>
        <v>0011-1005-0012</v>
      </c>
      <c r="L1389" s="105" t="str">
        <f>VLOOKUP(K1389,COA!$A$3:$B$337,2,FALSE)</f>
        <v>N11</v>
      </c>
      <c r="M1389" s="105" t="str">
        <f t="shared" si="52"/>
        <v>N11</v>
      </c>
      <c r="N1389" s="105" t="str">
        <f>VLOOKUP(M1389,CAC!$A$2:$B$198,2,FALSE)</f>
        <v>HMOLG</v>
      </c>
    </row>
    <row r="1390" spans="5:14" x14ac:dyDescent="0.25">
      <c r="E1390" s="83">
        <v>201604</v>
      </c>
      <c r="F1390" s="82" t="s">
        <v>345</v>
      </c>
      <c r="G1390" s="82" t="s">
        <v>354</v>
      </c>
      <c r="H1390" s="82" t="s">
        <v>360</v>
      </c>
      <c r="I1390" s="95">
        <v>2198</v>
      </c>
      <c r="K1390" s="105" t="str">
        <f t="shared" si="51"/>
        <v>0011-1013-0048</v>
      </c>
      <c r="L1390" s="105" t="str">
        <f>VLOOKUP(K1390,COA!$A$3:$B$337,2,FALSE)</f>
        <v>N21</v>
      </c>
      <c r="M1390" s="105" t="str">
        <f t="shared" si="52"/>
        <v>N21</v>
      </c>
      <c r="N1390" s="105" t="str">
        <f>VLOOKUP(M1390,CAC!$A$2:$B$198,2,FALSE)</f>
        <v>HMFLEX</v>
      </c>
    </row>
    <row r="1391" spans="5:14" x14ac:dyDescent="0.25">
      <c r="E1391" s="83">
        <v>201611</v>
      </c>
      <c r="F1391" s="82" t="s">
        <v>413</v>
      </c>
      <c r="G1391" s="82" t="s">
        <v>365</v>
      </c>
      <c r="H1391" s="82" t="s">
        <v>411</v>
      </c>
      <c r="I1391" s="95">
        <v>0</v>
      </c>
      <c r="K1391" s="105" t="str">
        <f t="shared" si="51"/>
        <v>0008-1001-0007</v>
      </c>
      <c r="L1391" s="105" t="str">
        <f>VLOOKUP(K1391,COA!$A$3:$B$337,2,FALSE)</f>
        <v>C99</v>
      </c>
      <c r="M1391" s="105" t="str">
        <f t="shared" si="52"/>
        <v>C99</v>
      </c>
      <c r="N1391" s="105" t="str">
        <f>VLOOKUP(M1391,CAC!$A$2:$B$198,2,FALSE)</f>
        <v>DOIIFP</v>
      </c>
    </row>
    <row r="1392" spans="5:14" x14ac:dyDescent="0.25">
      <c r="E1392" s="83">
        <v>201701</v>
      </c>
      <c r="F1392" s="82" t="s">
        <v>345</v>
      </c>
      <c r="G1392" s="82" t="s">
        <v>350</v>
      </c>
      <c r="H1392" s="82" t="s">
        <v>360</v>
      </c>
      <c r="I1392" s="95">
        <v>3951.03</v>
      </c>
      <c r="K1392" s="105" t="str">
        <f t="shared" si="51"/>
        <v>0011-1012-0048</v>
      </c>
      <c r="L1392" s="105" t="str">
        <f>VLOOKUP(K1392,COA!$A$3:$B$337,2,FALSE)</f>
        <v>K21</v>
      </c>
      <c r="M1392" s="105" t="str">
        <f t="shared" si="52"/>
        <v>K21</v>
      </c>
      <c r="N1392" s="105" t="str">
        <f>VLOOKUP(M1392,CAC!$A$2:$B$198,2,FALSE)</f>
        <v>HMFLEX</v>
      </c>
    </row>
    <row r="1393" spans="5:14" x14ac:dyDescent="0.25">
      <c r="E1393" s="83">
        <v>201603</v>
      </c>
      <c r="F1393" s="82" t="s">
        <v>344</v>
      </c>
      <c r="G1393" s="82" t="s">
        <v>352</v>
      </c>
      <c r="H1393" s="82" t="s">
        <v>344</v>
      </c>
      <c r="I1393" s="95">
        <v>437</v>
      </c>
      <c r="K1393" s="105" t="str">
        <f t="shared" si="51"/>
        <v>0012-1004-0012</v>
      </c>
      <c r="L1393" s="105" t="str">
        <f>VLOOKUP(K1393,COA!$A$3:$B$337,2,FALSE)</f>
        <v>L12</v>
      </c>
      <c r="M1393" s="105" t="str">
        <f t="shared" si="52"/>
        <v>L12</v>
      </c>
      <c r="N1393" s="105" t="str">
        <f>VLOOKUP(M1393,CAC!$A$2:$B$198,2,FALSE)</f>
        <v>HMOLG</v>
      </c>
    </row>
    <row r="1394" spans="5:14" x14ac:dyDescent="0.25">
      <c r="E1394" s="83">
        <v>201707</v>
      </c>
      <c r="F1394" s="82" t="s">
        <v>345</v>
      </c>
      <c r="G1394" s="82" t="s">
        <v>352</v>
      </c>
      <c r="H1394" s="82" t="s">
        <v>344</v>
      </c>
      <c r="I1394" s="95">
        <v>10100.27</v>
      </c>
      <c r="K1394" s="105" t="str">
        <f t="shared" si="51"/>
        <v>0011-1004-0012</v>
      </c>
      <c r="L1394" s="105" t="str">
        <f>VLOOKUP(K1394,COA!$A$3:$B$337,2,FALSE)</f>
        <v>L11</v>
      </c>
      <c r="M1394" s="105" t="str">
        <f t="shared" si="52"/>
        <v>L11</v>
      </c>
      <c r="N1394" s="105" t="str">
        <f>VLOOKUP(M1394,CAC!$A$2:$B$198,2,FALSE)</f>
        <v>HMOLG</v>
      </c>
    </row>
    <row r="1395" spans="5:14" x14ac:dyDescent="0.25">
      <c r="E1395" s="83">
        <v>201603</v>
      </c>
      <c r="F1395" s="82" t="s">
        <v>506</v>
      </c>
      <c r="G1395" s="82" t="s">
        <v>354</v>
      </c>
      <c r="H1395" s="82" t="s">
        <v>592</v>
      </c>
      <c r="I1395" s="95">
        <v>0</v>
      </c>
      <c r="K1395" s="105" t="str">
        <f t="shared" si="51"/>
        <v>0013-1013-0035</v>
      </c>
      <c r="L1395" s="105" t="str">
        <f>VLOOKUP(K1395,COA!$A$3:$B$337,2,FALSE)</f>
        <v>N44</v>
      </c>
      <c r="M1395" s="105" t="str">
        <f t="shared" si="52"/>
        <v>N44</v>
      </c>
      <c r="N1395" s="105" t="e">
        <f>VLOOKUP(M1395,CAC!$A$2:$B$198,2,FALSE)</f>
        <v>#N/A</v>
      </c>
    </row>
    <row r="1396" spans="5:14" x14ac:dyDescent="0.25">
      <c r="E1396" s="83">
        <v>201606</v>
      </c>
      <c r="F1396" s="82" t="s">
        <v>345</v>
      </c>
      <c r="G1396" s="82" t="s">
        <v>354</v>
      </c>
      <c r="H1396" s="82" t="s">
        <v>360</v>
      </c>
      <c r="I1396" s="95">
        <v>2181.27</v>
      </c>
      <c r="K1396" s="105" t="str">
        <f t="shared" si="51"/>
        <v>0011-1013-0048</v>
      </c>
      <c r="L1396" s="105" t="str">
        <f>VLOOKUP(K1396,COA!$A$3:$B$337,2,FALSE)</f>
        <v>N21</v>
      </c>
      <c r="M1396" s="105" t="str">
        <f t="shared" si="52"/>
        <v>N21</v>
      </c>
      <c r="N1396" s="105" t="str">
        <f>VLOOKUP(M1396,CAC!$A$2:$B$198,2,FALSE)</f>
        <v>HMFLEX</v>
      </c>
    </row>
    <row r="1397" spans="5:14" x14ac:dyDescent="0.25">
      <c r="E1397" s="83">
        <v>201603</v>
      </c>
      <c r="F1397" s="82" t="s">
        <v>746</v>
      </c>
      <c r="G1397" s="82" t="s">
        <v>354</v>
      </c>
      <c r="H1397" s="82" t="s">
        <v>344</v>
      </c>
      <c r="I1397" s="95">
        <v>83</v>
      </c>
      <c r="K1397" s="105" t="str">
        <f t="shared" si="51"/>
        <v>0016-1013-0012</v>
      </c>
      <c r="L1397" s="105" t="str">
        <f>VLOOKUP(K1397,COA!$A$3:$B$337,2,FALSE)</f>
        <v>R19</v>
      </c>
      <c r="M1397" s="105" t="str">
        <f t="shared" si="52"/>
        <v>R19</v>
      </c>
      <c r="N1397" s="105" t="str">
        <f>VLOOKUP(M1397,CAC!$A$2:$B$198,2,FALSE)</f>
        <v>HMOMG</v>
      </c>
    </row>
    <row r="1398" spans="5:14" x14ac:dyDescent="0.25">
      <c r="E1398" s="83">
        <v>201610</v>
      </c>
      <c r="F1398" s="82" t="s">
        <v>345</v>
      </c>
      <c r="G1398" s="82" t="s">
        <v>348</v>
      </c>
      <c r="H1398" s="82" t="s">
        <v>358</v>
      </c>
      <c r="I1398" s="95">
        <v>79</v>
      </c>
      <c r="K1398" s="105" t="str">
        <f t="shared" si="51"/>
        <v>0011-1010-0024</v>
      </c>
      <c r="L1398" s="105" t="str">
        <f>VLOOKUP(K1398,COA!$A$3:$B$337,2,FALSE)</f>
        <v>S14</v>
      </c>
      <c r="M1398" s="105" t="str">
        <f t="shared" si="52"/>
        <v>S14</v>
      </c>
      <c r="N1398" s="105" t="str">
        <f>VLOOKUP(M1398,CAC!$A$2:$B$198,2,FALSE)</f>
        <v>HMOSG</v>
      </c>
    </row>
    <row r="1399" spans="5:14" x14ac:dyDescent="0.25">
      <c r="E1399" s="83">
        <v>201601</v>
      </c>
      <c r="F1399" s="82" t="s">
        <v>563</v>
      </c>
      <c r="G1399" s="82" t="s">
        <v>365</v>
      </c>
      <c r="H1399" s="82" t="s">
        <v>411</v>
      </c>
      <c r="I1399" s="95">
        <v>0</v>
      </c>
      <c r="K1399" s="105" t="str">
        <f t="shared" si="51"/>
        <v>0003-1001-0007</v>
      </c>
      <c r="L1399" s="105" t="str">
        <f>VLOOKUP(K1399,COA!$A$3:$B$337,2,FALSE)</f>
        <v>V52</v>
      </c>
      <c r="M1399" s="105" t="str">
        <f t="shared" si="52"/>
        <v>V52</v>
      </c>
      <c r="N1399" s="105" t="str">
        <f>VLOOKUP(M1399,CAC!$A$2:$B$198,2,FALSE)</f>
        <v>PPOIFP</v>
      </c>
    </row>
    <row r="1400" spans="5:14" x14ac:dyDescent="0.25">
      <c r="E1400" s="83">
        <v>201612</v>
      </c>
      <c r="F1400" s="82" t="s">
        <v>563</v>
      </c>
      <c r="G1400" s="82" t="s">
        <v>355</v>
      </c>
      <c r="H1400" s="82" t="s">
        <v>344</v>
      </c>
      <c r="I1400" s="95">
        <v>0</v>
      </c>
      <c r="K1400" s="105" t="str">
        <f t="shared" si="51"/>
        <v>0003-1006-0012</v>
      </c>
      <c r="L1400" s="105" t="str">
        <f>VLOOKUP(K1400,COA!$A$3:$B$337,2,FALSE)</f>
        <v>L52</v>
      </c>
      <c r="M1400" s="105" t="str">
        <f t="shared" si="52"/>
        <v>L52</v>
      </c>
      <c r="N1400" s="105" t="str">
        <f>VLOOKUP(M1400,CAC!$A$2:$B$198,2,FALSE)</f>
        <v>PPOLG</v>
      </c>
    </row>
    <row r="1401" spans="5:14" x14ac:dyDescent="0.25">
      <c r="E1401" s="83">
        <v>201704</v>
      </c>
      <c r="F1401" s="82" t="s">
        <v>563</v>
      </c>
      <c r="G1401" s="82" t="s">
        <v>354</v>
      </c>
      <c r="H1401" s="82" t="s">
        <v>344</v>
      </c>
      <c r="I1401" s="95">
        <v>0</v>
      </c>
      <c r="K1401" s="105" t="str">
        <f t="shared" si="51"/>
        <v>0003-1013-0012</v>
      </c>
      <c r="L1401" s="105" t="str">
        <f>VLOOKUP(K1401,COA!$A$3:$B$337,2,FALSE)</f>
        <v>N55</v>
      </c>
      <c r="M1401" s="105" t="str">
        <f t="shared" si="52"/>
        <v>N55</v>
      </c>
      <c r="N1401" s="105" t="str">
        <f>VLOOKUP(M1401,CAC!$A$2:$B$198,2,FALSE)</f>
        <v>PPOPMR</v>
      </c>
    </row>
    <row r="1402" spans="5:14" x14ac:dyDescent="0.25">
      <c r="E1402" s="83">
        <v>201508</v>
      </c>
      <c r="F1402" s="82" t="s">
        <v>345</v>
      </c>
      <c r="G1402" s="82" t="s">
        <v>362</v>
      </c>
      <c r="H1402" s="82" t="s">
        <v>371</v>
      </c>
      <c r="I1402" s="95">
        <v>6203</v>
      </c>
      <c r="K1402" s="105" t="str">
        <f t="shared" si="51"/>
        <v>0011-1008-0033</v>
      </c>
      <c r="L1402" s="105" t="str">
        <f>VLOOKUP(K1402,COA!$A$3:$B$337,2,FALSE)</f>
        <v>P13</v>
      </c>
      <c r="M1402" s="105" t="str">
        <f t="shared" si="52"/>
        <v>P13</v>
      </c>
      <c r="N1402" s="105" t="str">
        <f>VLOOKUP(M1402,CAC!$A$2:$B$198,2,FALSE)</f>
        <v>PERMEDA</v>
      </c>
    </row>
    <row r="1403" spans="5:14" x14ac:dyDescent="0.25">
      <c r="E1403" s="83">
        <v>201703</v>
      </c>
      <c r="F1403" s="82" t="s">
        <v>746</v>
      </c>
      <c r="G1403" s="82" t="s">
        <v>361</v>
      </c>
      <c r="H1403" s="82" t="s">
        <v>344</v>
      </c>
      <c r="I1403" s="95">
        <v>489</v>
      </c>
      <c r="K1403" s="105" t="str">
        <f t="shared" si="51"/>
        <v>0016-1003-0012</v>
      </c>
      <c r="L1403" s="105" t="str">
        <f>VLOOKUP(K1403,COA!$A$3:$B$337,2,FALSE)</f>
        <v>R18</v>
      </c>
      <c r="M1403" s="105" t="str">
        <f t="shared" si="52"/>
        <v>R18</v>
      </c>
      <c r="N1403" s="105" t="str">
        <f>VLOOKUP(M1403,CAC!$A$2:$B$198,2,FALSE)</f>
        <v>HMOMG</v>
      </c>
    </row>
    <row r="1404" spans="5:14" x14ac:dyDescent="0.25">
      <c r="E1404" s="83">
        <v>201510</v>
      </c>
      <c r="F1404" s="82" t="s">
        <v>746</v>
      </c>
      <c r="G1404" s="82" t="s">
        <v>350</v>
      </c>
      <c r="H1404" s="82" t="s">
        <v>344</v>
      </c>
      <c r="I1404" s="95">
        <v>65</v>
      </c>
      <c r="K1404" s="105" t="str">
        <f t="shared" si="51"/>
        <v>0016-1012-0012</v>
      </c>
      <c r="L1404" s="105" t="str">
        <f>VLOOKUP(K1404,COA!$A$3:$B$337,2,FALSE)</f>
        <v>R19</v>
      </c>
      <c r="M1404" s="105" t="str">
        <f t="shared" si="52"/>
        <v>R19</v>
      </c>
      <c r="N1404" s="105" t="str">
        <f>VLOOKUP(M1404,CAC!$A$2:$B$198,2,FALSE)</f>
        <v>HMOMG</v>
      </c>
    </row>
    <row r="1405" spans="5:14" x14ac:dyDescent="0.25">
      <c r="E1405" s="83">
        <v>201511</v>
      </c>
      <c r="F1405" s="82" t="s">
        <v>524</v>
      </c>
      <c r="G1405" s="82" t="s">
        <v>359</v>
      </c>
      <c r="H1405" s="82" t="s">
        <v>672</v>
      </c>
      <c r="I1405" s="95">
        <v>0</v>
      </c>
      <c r="K1405" s="105" t="str">
        <f t="shared" si="51"/>
        <v>0025-1005-0058</v>
      </c>
      <c r="L1405" s="105" t="str">
        <f>VLOOKUP(K1405,COA!$A$3:$B$337,2,FALSE)</f>
        <v>N46</v>
      </c>
      <c r="M1405" s="105" t="str">
        <f t="shared" si="52"/>
        <v>N46</v>
      </c>
      <c r="N1405" s="105" t="e">
        <f>VLOOKUP(M1405,CAC!$A$2:$B$198,2,FALSE)</f>
        <v>#N/A</v>
      </c>
    </row>
    <row r="1406" spans="5:14" x14ac:dyDescent="0.25">
      <c r="E1406" s="83">
        <v>201508</v>
      </c>
      <c r="F1406" s="82" t="s">
        <v>413</v>
      </c>
      <c r="G1406" s="82" t="s">
        <v>365</v>
      </c>
      <c r="H1406" s="82" t="s">
        <v>411</v>
      </c>
      <c r="I1406" s="95">
        <v>0</v>
      </c>
      <c r="K1406" s="105" t="str">
        <f t="shared" si="51"/>
        <v>0008-1001-0007</v>
      </c>
      <c r="L1406" s="105" t="str">
        <f>VLOOKUP(K1406,COA!$A$3:$B$337,2,FALSE)</f>
        <v>C99</v>
      </c>
      <c r="M1406" s="105" t="str">
        <f t="shared" si="52"/>
        <v>C99</v>
      </c>
      <c r="N1406" s="105" t="str">
        <f>VLOOKUP(M1406,CAC!$A$2:$B$198,2,FALSE)</f>
        <v>DOIIFP</v>
      </c>
    </row>
    <row r="1407" spans="5:14" x14ac:dyDescent="0.25">
      <c r="E1407" s="83">
        <v>201701</v>
      </c>
      <c r="F1407" s="82" t="s">
        <v>345</v>
      </c>
      <c r="G1407" s="82" t="s">
        <v>351</v>
      </c>
      <c r="H1407" s="82" t="s">
        <v>349</v>
      </c>
      <c r="I1407" s="95">
        <v>0</v>
      </c>
      <c r="K1407" s="105" t="str">
        <f t="shared" si="51"/>
        <v>0011-0000-0017</v>
      </c>
      <c r="L1407" s="105" t="e">
        <f>VLOOKUP(K1407,COA!$A$3:$B$337,2,FALSE)</f>
        <v>#N/A</v>
      </c>
      <c r="M1407" s="105" t="str">
        <f t="shared" si="52"/>
        <v>XXX</v>
      </c>
      <c r="N1407" s="105" t="str">
        <f>VLOOKUP(M1407,CAC!$A$2:$B$198,2,FALSE)</f>
        <v>XXX</v>
      </c>
    </row>
    <row r="1408" spans="5:14" x14ac:dyDescent="0.25">
      <c r="E1408" s="83">
        <v>201709</v>
      </c>
      <c r="F1408" s="82" t="s">
        <v>345</v>
      </c>
      <c r="G1408" s="82" t="s">
        <v>346</v>
      </c>
      <c r="H1408" s="82" t="s">
        <v>344</v>
      </c>
      <c r="I1408" s="95">
        <v>0</v>
      </c>
      <c r="K1408" s="105" t="str">
        <f t="shared" si="51"/>
        <v>0011-1014-0012</v>
      </c>
      <c r="L1408" s="105" t="e">
        <f>VLOOKUP(K1408,COA!$A$3:$B$337,2,FALSE)</f>
        <v>#N/A</v>
      </c>
      <c r="M1408" s="105" t="str">
        <f t="shared" si="52"/>
        <v>XXX</v>
      </c>
      <c r="N1408" s="105" t="str">
        <f>VLOOKUP(M1408,CAC!$A$2:$B$198,2,FALSE)</f>
        <v>XXX</v>
      </c>
    </row>
    <row r="1409" spans="5:14" x14ac:dyDescent="0.25">
      <c r="E1409" s="83">
        <v>201604</v>
      </c>
      <c r="F1409" s="82" t="s">
        <v>345</v>
      </c>
      <c r="G1409" s="82" t="s">
        <v>348</v>
      </c>
      <c r="H1409" s="82" t="s">
        <v>349</v>
      </c>
      <c r="I1409" s="95">
        <v>21011.53</v>
      </c>
      <c r="K1409" s="105" t="str">
        <f t="shared" si="51"/>
        <v>0011-1010-0017</v>
      </c>
      <c r="L1409" s="105" t="str">
        <f>VLOOKUP(K1409,COA!$A$3:$B$337,2,FALSE)</f>
        <v>S11</v>
      </c>
      <c r="M1409" s="105" t="str">
        <f t="shared" si="52"/>
        <v>S11</v>
      </c>
      <c r="N1409" s="105" t="str">
        <f>VLOOKUP(M1409,CAC!$A$2:$B$198,2,FALSE)</f>
        <v>HMOSG</v>
      </c>
    </row>
    <row r="1410" spans="5:14" x14ac:dyDescent="0.25">
      <c r="E1410" s="83">
        <v>201603</v>
      </c>
      <c r="F1410" s="82" t="s">
        <v>345</v>
      </c>
      <c r="G1410" s="82" t="s">
        <v>348</v>
      </c>
      <c r="H1410" s="82" t="s">
        <v>349</v>
      </c>
      <c r="I1410" s="95">
        <v>20759.25</v>
      </c>
      <c r="K1410" s="105" t="str">
        <f t="shared" si="51"/>
        <v>0011-1010-0017</v>
      </c>
      <c r="L1410" s="105" t="str">
        <f>VLOOKUP(K1410,COA!$A$3:$B$337,2,FALSE)</f>
        <v>S11</v>
      </c>
      <c r="M1410" s="105" t="str">
        <f t="shared" si="52"/>
        <v>S11</v>
      </c>
      <c r="N1410" s="105" t="str">
        <f>VLOOKUP(M1410,CAC!$A$2:$B$198,2,FALSE)</f>
        <v>HMOSG</v>
      </c>
    </row>
    <row r="1411" spans="5:14" x14ac:dyDescent="0.25">
      <c r="E1411" s="83">
        <v>201610</v>
      </c>
      <c r="F1411" s="82" t="s">
        <v>563</v>
      </c>
      <c r="G1411" s="82" t="s">
        <v>365</v>
      </c>
      <c r="H1411" s="82" t="s">
        <v>798</v>
      </c>
      <c r="I1411" s="95">
        <v>0</v>
      </c>
      <c r="K1411" s="105" t="str">
        <f t="shared" si="51"/>
        <v>0003-1001-0065</v>
      </c>
      <c r="L1411" s="105" t="str">
        <f>VLOOKUP(K1411,COA!$A$3:$B$337,2,FALSE)</f>
        <v>V55</v>
      </c>
      <c r="M1411" s="105" t="str">
        <f t="shared" si="52"/>
        <v>V55</v>
      </c>
      <c r="N1411" s="105" t="e">
        <f>VLOOKUP(M1411,CAC!$A$2:$B$198,2,FALSE)</f>
        <v>#N/A</v>
      </c>
    </row>
    <row r="1412" spans="5:14" x14ac:dyDescent="0.25">
      <c r="E1412" s="83">
        <v>201610</v>
      </c>
      <c r="F1412" s="82" t="s">
        <v>563</v>
      </c>
      <c r="G1412" s="82" t="s">
        <v>351</v>
      </c>
      <c r="H1412" s="82" t="s">
        <v>349</v>
      </c>
      <c r="I1412" s="95">
        <v>0</v>
      </c>
      <c r="K1412" s="105" t="str">
        <f t="shared" ref="K1412:K1475" si="53">F1412&amp;"-"&amp;G1412&amp;"-"&amp;H1412</f>
        <v>0003-0000-0017</v>
      </c>
      <c r="L1412" s="105" t="e">
        <f>VLOOKUP(K1412,COA!$A$3:$B$337,2,FALSE)</f>
        <v>#N/A</v>
      </c>
      <c r="M1412" s="105" t="str">
        <f t="shared" ref="M1412:M1475" si="54">IF(ISNA(L1412),"XXX",L1412)</f>
        <v>XXX</v>
      </c>
      <c r="N1412" s="105" t="str">
        <f>VLOOKUP(M1412,CAC!$A$2:$B$198,2,FALSE)</f>
        <v>XXX</v>
      </c>
    </row>
    <row r="1413" spans="5:14" x14ac:dyDescent="0.25">
      <c r="E1413" s="83">
        <v>201511</v>
      </c>
      <c r="F1413" s="82" t="s">
        <v>746</v>
      </c>
      <c r="G1413" s="82" t="s">
        <v>350</v>
      </c>
      <c r="H1413" s="82" t="s">
        <v>344</v>
      </c>
      <c r="I1413" s="95">
        <v>71</v>
      </c>
      <c r="K1413" s="105" t="str">
        <f t="shared" si="53"/>
        <v>0016-1012-0012</v>
      </c>
      <c r="L1413" s="105" t="str">
        <f>VLOOKUP(K1413,COA!$A$3:$B$337,2,FALSE)</f>
        <v>R19</v>
      </c>
      <c r="M1413" s="105" t="str">
        <f t="shared" si="54"/>
        <v>R19</v>
      </c>
      <c r="N1413" s="105" t="str">
        <f>VLOOKUP(M1413,CAC!$A$2:$B$198,2,FALSE)</f>
        <v>HMOMG</v>
      </c>
    </row>
    <row r="1414" spans="5:14" x14ac:dyDescent="0.25">
      <c r="E1414" s="83">
        <v>201506</v>
      </c>
      <c r="F1414" s="82" t="s">
        <v>413</v>
      </c>
      <c r="G1414" s="82" t="s">
        <v>355</v>
      </c>
      <c r="H1414" s="82" t="s">
        <v>344</v>
      </c>
      <c r="I1414" s="95">
        <v>0</v>
      </c>
      <c r="K1414" s="105" t="str">
        <f t="shared" si="53"/>
        <v>0008-1006-0012</v>
      </c>
      <c r="L1414" s="105" t="str">
        <f>VLOOKUP(K1414,COA!$A$3:$B$337,2,FALSE)</f>
        <v>C96</v>
      </c>
      <c r="M1414" s="105" t="str">
        <f t="shared" si="54"/>
        <v>C96</v>
      </c>
      <c r="N1414" s="105" t="str">
        <f>VLOOKUP(M1414,CAC!$A$2:$B$198,2,FALSE)</f>
        <v>DOILG</v>
      </c>
    </row>
    <row r="1415" spans="5:14" x14ac:dyDescent="0.25">
      <c r="E1415" s="83">
        <v>201505</v>
      </c>
      <c r="F1415" s="82" t="s">
        <v>345</v>
      </c>
      <c r="G1415" s="82" t="s">
        <v>351</v>
      </c>
      <c r="H1415" s="82" t="s">
        <v>353</v>
      </c>
      <c r="I1415" s="95">
        <v>1</v>
      </c>
      <c r="K1415" s="105" t="str">
        <f t="shared" si="53"/>
        <v>0011-0000-0023</v>
      </c>
      <c r="L1415" s="105" t="e">
        <f>VLOOKUP(K1415,COA!$A$3:$B$337,2,FALSE)</f>
        <v>#N/A</v>
      </c>
      <c r="M1415" s="105" t="str">
        <f t="shared" si="54"/>
        <v>XXX</v>
      </c>
      <c r="N1415" s="105" t="str">
        <f>VLOOKUP(M1415,CAC!$A$2:$B$198,2,FALSE)</f>
        <v>XXX</v>
      </c>
    </row>
    <row r="1416" spans="5:14" x14ac:dyDescent="0.25">
      <c r="E1416" s="83">
        <v>201505</v>
      </c>
      <c r="F1416" s="82" t="s">
        <v>563</v>
      </c>
      <c r="G1416" s="82" t="s">
        <v>352</v>
      </c>
      <c r="H1416" s="82" t="s">
        <v>344</v>
      </c>
      <c r="I1416" s="95">
        <v>0</v>
      </c>
      <c r="K1416" s="105" t="str">
        <f t="shared" si="53"/>
        <v>0003-1004-0012</v>
      </c>
      <c r="L1416" s="105" t="str">
        <f>VLOOKUP(K1416,COA!$A$3:$B$337,2,FALSE)</f>
        <v>L51</v>
      </c>
      <c r="M1416" s="105" t="str">
        <f t="shared" si="54"/>
        <v>L51</v>
      </c>
      <c r="N1416" s="105" t="str">
        <f>VLOOKUP(M1416,CAC!$A$2:$B$198,2,FALSE)</f>
        <v>PPOLG</v>
      </c>
    </row>
    <row r="1417" spans="5:14" x14ac:dyDescent="0.25">
      <c r="E1417" s="83">
        <v>201801</v>
      </c>
      <c r="F1417" s="82" t="s">
        <v>345</v>
      </c>
      <c r="G1417" s="82" t="s">
        <v>348</v>
      </c>
      <c r="H1417" s="82" t="s">
        <v>358</v>
      </c>
      <c r="I1417" s="95">
        <v>495</v>
      </c>
      <c r="K1417" s="105" t="str">
        <f t="shared" si="53"/>
        <v>0011-1010-0024</v>
      </c>
      <c r="L1417" s="105" t="str">
        <f>VLOOKUP(K1417,COA!$A$3:$B$337,2,FALSE)</f>
        <v>S14</v>
      </c>
      <c r="M1417" s="105" t="str">
        <f t="shared" si="54"/>
        <v>S14</v>
      </c>
      <c r="N1417" s="105" t="str">
        <f>VLOOKUP(M1417,CAC!$A$2:$B$198,2,FALSE)</f>
        <v>HMOSG</v>
      </c>
    </row>
    <row r="1418" spans="5:14" x14ac:dyDescent="0.25">
      <c r="E1418" s="83">
        <v>201507</v>
      </c>
      <c r="F1418" s="82" t="s">
        <v>345</v>
      </c>
      <c r="G1418" s="82" t="s">
        <v>348</v>
      </c>
      <c r="H1418" s="82" t="s">
        <v>358</v>
      </c>
      <c r="I1418" s="95">
        <v>61</v>
      </c>
      <c r="K1418" s="105" t="str">
        <f t="shared" si="53"/>
        <v>0011-1010-0024</v>
      </c>
      <c r="L1418" s="105" t="str">
        <f>VLOOKUP(K1418,COA!$A$3:$B$337,2,FALSE)</f>
        <v>S14</v>
      </c>
      <c r="M1418" s="105" t="str">
        <f t="shared" si="54"/>
        <v>S14</v>
      </c>
      <c r="N1418" s="105" t="str">
        <f>VLOOKUP(M1418,CAC!$A$2:$B$198,2,FALSE)</f>
        <v>HMOSG</v>
      </c>
    </row>
    <row r="1419" spans="5:14" x14ac:dyDescent="0.25">
      <c r="E1419" s="83">
        <v>201702</v>
      </c>
      <c r="F1419" s="82" t="s">
        <v>344</v>
      </c>
      <c r="G1419" s="82" t="s">
        <v>355</v>
      </c>
      <c r="H1419" s="82" t="s">
        <v>344</v>
      </c>
      <c r="I1419" s="95">
        <v>41</v>
      </c>
      <c r="K1419" s="105" t="str">
        <f t="shared" si="53"/>
        <v>0012-1006-0012</v>
      </c>
      <c r="L1419" s="105" t="str">
        <f>VLOOKUP(K1419,COA!$A$3:$B$337,2,FALSE)</f>
        <v>L16</v>
      </c>
      <c r="M1419" s="105" t="str">
        <f t="shared" si="54"/>
        <v>L16</v>
      </c>
      <c r="N1419" s="105" t="str">
        <f>VLOOKUP(M1419,CAC!$A$2:$B$198,2,FALSE)</f>
        <v>HMOLG</v>
      </c>
    </row>
    <row r="1420" spans="5:14" x14ac:dyDescent="0.25">
      <c r="E1420" s="83">
        <v>201701</v>
      </c>
      <c r="F1420" s="82" t="s">
        <v>344</v>
      </c>
      <c r="G1420" s="82" t="s">
        <v>356</v>
      </c>
      <c r="H1420" s="82" t="s">
        <v>344</v>
      </c>
      <c r="I1420" s="95">
        <v>4224.03</v>
      </c>
      <c r="K1420" s="105" t="str">
        <f t="shared" si="53"/>
        <v>0012-1002-0012</v>
      </c>
      <c r="L1420" s="105" t="str">
        <f>VLOOKUP(K1420,COA!$A$3:$B$337,2,FALSE)</f>
        <v>F22</v>
      </c>
      <c r="M1420" s="105" t="str">
        <f t="shared" si="54"/>
        <v>F22</v>
      </c>
      <c r="N1420" s="105" t="str">
        <f>VLOOKUP(M1420,CAC!$A$2:$B$198,2,FALSE)</f>
        <v>HMOPMR</v>
      </c>
    </row>
    <row r="1421" spans="5:14" x14ac:dyDescent="0.25">
      <c r="E1421" s="83">
        <v>201701</v>
      </c>
      <c r="F1421" s="82" t="s">
        <v>563</v>
      </c>
      <c r="G1421" s="82" t="s">
        <v>352</v>
      </c>
      <c r="H1421" s="82" t="s">
        <v>653</v>
      </c>
      <c r="I1421" s="95">
        <v>0</v>
      </c>
      <c r="K1421" s="105" t="str">
        <f t="shared" si="53"/>
        <v>0003-1004-0047</v>
      </c>
      <c r="L1421" s="105" t="str">
        <f>VLOOKUP(K1421,COA!$A$3:$B$337,2,FALSE)</f>
        <v>L57</v>
      </c>
      <c r="M1421" s="105" t="str">
        <f t="shared" si="54"/>
        <v>L57</v>
      </c>
      <c r="N1421" s="105" t="str">
        <f>VLOOKUP(M1421,CAC!$A$2:$B$198,2,FALSE)</f>
        <v>PPOLG</v>
      </c>
    </row>
    <row r="1422" spans="5:14" x14ac:dyDescent="0.25">
      <c r="E1422" s="83">
        <v>201603</v>
      </c>
      <c r="F1422" s="82" t="s">
        <v>549</v>
      </c>
      <c r="G1422" s="82" t="s">
        <v>356</v>
      </c>
      <c r="H1422" s="82" t="s">
        <v>672</v>
      </c>
      <c r="I1422" s="95">
        <v>0</v>
      </c>
      <c r="K1422" s="105" t="str">
        <f t="shared" si="53"/>
        <v>0026-1002-0058</v>
      </c>
      <c r="L1422" s="105" t="str">
        <f>VLOOKUP(K1422,COA!$A$3:$B$337,2,FALSE)</f>
        <v>L45</v>
      </c>
      <c r="M1422" s="105" t="str">
        <f t="shared" si="54"/>
        <v>L45</v>
      </c>
      <c r="N1422" s="105" t="e">
        <f>VLOOKUP(M1422,CAC!$A$2:$B$198,2,FALSE)</f>
        <v>#N/A</v>
      </c>
    </row>
    <row r="1423" spans="5:14" x14ac:dyDescent="0.25">
      <c r="E1423" s="83">
        <v>201710</v>
      </c>
      <c r="F1423" s="82" t="s">
        <v>746</v>
      </c>
      <c r="G1423" s="82" t="s">
        <v>356</v>
      </c>
      <c r="H1423" s="82" t="s">
        <v>344</v>
      </c>
      <c r="I1423" s="95">
        <v>144</v>
      </c>
      <c r="K1423" s="105" t="str">
        <f t="shared" si="53"/>
        <v>0016-1002-0012</v>
      </c>
      <c r="L1423" s="105" t="str">
        <f>VLOOKUP(K1423,COA!$A$3:$B$337,2,FALSE)</f>
        <v>R18</v>
      </c>
      <c r="M1423" s="105" t="str">
        <f t="shared" si="54"/>
        <v>R18</v>
      </c>
      <c r="N1423" s="105" t="str">
        <f>VLOOKUP(M1423,CAC!$A$2:$B$198,2,FALSE)</f>
        <v>HMOMG</v>
      </c>
    </row>
    <row r="1424" spans="5:14" x14ac:dyDescent="0.25">
      <c r="E1424" s="83">
        <v>201510</v>
      </c>
      <c r="F1424" s="82" t="s">
        <v>345</v>
      </c>
      <c r="G1424" s="82" t="s">
        <v>348</v>
      </c>
      <c r="H1424" s="82" t="s">
        <v>358</v>
      </c>
      <c r="I1424" s="95">
        <v>67</v>
      </c>
      <c r="K1424" s="105" t="str">
        <f t="shared" si="53"/>
        <v>0011-1010-0024</v>
      </c>
      <c r="L1424" s="105" t="str">
        <f>VLOOKUP(K1424,COA!$A$3:$B$337,2,FALSE)</f>
        <v>S14</v>
      </c>
      <c r="M1424" s="105" t="str">
        <f t="shared" si="54"/>
        <v>S14</v>
      </c>
      <c r="N1424" s="105" t="str">
        <f>VLOOKUP(M1424,CAC!$A$2:$B$198,2,FALSE)</f>
        <v>HMOSG</v>
      </c>
    </row>
    <row r="1425" spans="5:14" x14ac:dyDescent="0.25">
      <c r="E1425" s="83">
        <v>201603</v>
      </c>
      <c r="F1425" s="82" t="s">
        <v>413</v>
      </c>
      <c r="G1425" s="82" t="s">
        <v>365</v>
      </c>
      <c r="H1425" s="82" t="s">
        <v>411</v>
      </c>
      <c r="I1425" s="95">
        <v>0</v>
      </c>
      <c r="K1425" s="105" t="str">
        <f t="shared" si="53"/>
        <v>0008-1001-0007</v>
      </c>
      <c r="L1425" s="105" t="str">
        <f>VLOOKUP(K1425,COA!$A$3:$B$337,2,FALSE)</f>
        <v>C99</v>
      </c>
      <c r="M1425" s="105" t="str">
        <f t="shared" si="54"/>
        <v>C99</v>
      </c>
      <c r="N1425" s="105" t="str">
        <f>VLOOKUP(M1425,CAC!$A$2:$B$198,2,FALSE)</f>
        <v>DOIIFP</v>
      </c>
    </row>
    <row r="1426" spans="5:14" x14ac:dyDescent="0.25">
      <c r="E1426" s="83">
        <v>201607</v>
      </c>
      <c r="F1426" s="82" t="s">
        <v>563</v>
      </c>
      <c r="G1426" s="82" t="s">
        <v>365</v>
      </c>
      <c r="H1426" s="82" t="s">
        <v>366</v>
      </c>
      <c r="I1426" s="95">
        <v>0</v>
      </c>
      <c r="K1426" s="105" t="str">
        <f t="shared" si="53"/>
        <v>0003-1001-0021</v>
      </c>
      <c r="L1426" s="105" t="str">
        <f>VLOOKUP(K1426,COA!$A$3:$B$337,2,FALSE)</f>
        <v>V53</v>
      </c>
      <c r="M1426" s="105" t="str">
        <f t="shared" si="54"/>
        <v>V53</v>
      </c>
      <c r="N1426" s="105" t="str">
        <f>VLOOKUP(M1426,CAC!$A$2:$B$198,2,FALSE)</f>
        <v>PPOIFP</v>
      </c>
    </row>
    <row r="1427" spans="5:14" x14ac:dyDescent="0.25">
      <c r="E1427" s="83">
        <v>201511</v>
      </c>
      <c r="F1427" s="82" t="s">
        <v>563</v>
      </c>
      <c r="G1427" s="82" t="s">
        <v>354</v>
      </c>
      <c r="H1427" s="82" t="s">
        <v>653</v>
      </c>
      <c r="I1427" s="95">
        <v>0</v>
      </c>
      <c r="K1427" s="105" t="str">
        <f t="shared" si="53"/>
        <v>0003-1013-0047</v>
      </c>
      <c r="L1427" s="105" t="str">
        <f>VLOOKUP(K1427,COA!$A$3:$B$337,2,FALSE)</f>
        <v>N57</v>
      </c>
      <c r="M1427" s="105" t="str">
        <f t="shared" si="54"/>
        <v>N57</v>
      </c>
      <c r="N1427" s="105" t="str">
        <f>VLOOKUP(M1427,CAC!$A$2:$B$198,2,FALSE)</f>
        <v>PPOPMR</v>
      </c>
    </row>
    <row r="1428" spans="5:14" x14ac:dyDescent="0.25">
      <c r="E1428" s="83">
        <v>201606</v>
      </c>
      <c r="F1428" s="82" t="s">
        <v>549</v>
      </c>
      <c r="G1428" s="82" t="s">
        <v>352</v>
      </c>
      <c r="H1428" s="82" t="s">
        <v>672</v>
      </c>
      <c r="I1428" s="95">
        <v>0</v>
      </c>
      <c r="K1428" s="105" t="str">
        <f t="shared" si="53"/>
        <v>0026-1004-0058</v>
      </c>
      <c r="L1428" s="105" t="str">
        <f>VLOOKUP(K1428,COA!$A$3:$B$337,2,FALSE)</f>
        <v>L44</v>
      </c>
      <c r="M1428" s="105" t="str">
        <f t="shared" si="54"/>
        <v>L44</v>
      </c>
      <c r="N1428" s="105" t="e">
        <f>VLOOKUP(M1428,CAC!$A$2:$B$198,2,FALSE)</f>
        <v>#N/A</v>
      </c>
    </row>
    <row r="1429" spans="5:14" x14ac:dyDescent="0.25">
      <c r="E1429" s="83">
        <v>201801</v>
      </c>
      <c r="F1429" s="82" t="s">
        <v>344</v>
      </c>
      <c r="G1429" s="82" t="s">
        <v>359</v>
      </c>
      <c r="H1429" s="82" t="s">
        <v>344</v>
      </c>
      <c r="I1429" s="95">
        <v>90</v>
      </c>
      <c r="K1429" s="105" t="str">
        <f t="shared" si="53"/>
        <v>0012-1005-0012</v>
      </c>
      <c r="L1429" s="105" t="str">
        <f>VLOOKUP(K1429,COA!$A$3:$B$337,2,FALSE)</f>
        <v>N13</v>
      </c>
      <c r="M1429" s="105" t="str">
        <f t="shared" si="54"/>
        <v>N13</v>
      </c>
      <c r="N1429" s="105" t="str">
        <f>VLOOKUP(M1429,CAC!$A$2:$B$198,2,FALSE)</f>
        <v>HMOLG</v>
      </c>
    </row>
    <row r="1430" spans="5:14" x14ac:dyDescent="0.25">
      <c r="E1430" s="83">
        <v>201707</v>
      </c>
      <c r="F1430" s="82" t="s">
        <v>563</v>
      </c>
      <c r="G1430" s="82" t="s">
        <v>369</v>
      </c>
      <c r="H1430" s="82" t="s">
        <v>353</v>
      </c>
      <c r="I1430" s="95">
        <v>0</v>
      </c>
      <c r="K1430" s="105" t="str">
        <f t="shared" si="53"/>
        <v>0003-1009-0023</v>
      </c>
      <c r="L1430" s="105" t="e">
        <f>VLOOKUP(K1430,COA!$A$3:$B$337,2,FALSE)</f>
        <v>#N/A</v>
      </c>
      <c r="M1430" s="105" t="str">
        <f t="shared" si="54"/>
        <v>XXX</v>
      </c>
      <c r="N1430" s="105" t="str">
        <f>VLOOKUP(M1430,CAC!$A$2:$B$198,2,FALSE)</f>
        <v>XXX</v>
      </c>
    </row>
    <row r="1431" spans="5:14" x14ac:dyDescent="0.25">
      <c r="E1431" s="83">
        <v>201708</v>
      </c>
      <c r="F1431" s="82" t="s">
        <v>413</v>
      </c>
      <c r="G1431" s="82" t="s">
        <v>365</v>
      </c>
      <c r="H1431" s="82" t="s">
        <v>344</v>
      </c>
      <c r="I1431" s="95">
        <v>0</v>
      </c>
      <c r="K1431" s="105" t="str">
        <f t="shared" si="53"/>
        <v>0008-1001-0012</v>
      </c>
      <c r="L1431" s="105" t="str">
        <f>VLOOKUP(K1431,COA!$A$3:$B$337,2,FALSE)</f>
        <v>C95</v>
      </c>
      <c r="M1431" s="105" t="str">
        <f t="shared" si="54"/>
        <v>C95</v>
      </c>
      <c r="N1431" s="105" t="str">
        <f>VLOOKUP(M1431,CAC!$A$2:$B$198,2,FALSE)</f>
        <v>DOIIFP</v>
      </c>
    </row>
    <row r="1432" spans="5:14" x14ac:dyDescent="0.25">
      <c r="E1432" s="83">
        <v>201604</v>
      </c>
      <c r="F1432" s="82" t="s">
        <v>563</v>
      </c>
      <c r="G1432" s="82" t="s">
        <v>350</v>
      </c>
      <c r="H1432" s="82" t="s">
        <v>360</v>
      </c>
      <c r="I1432" s="95">
        <v>0</v>
      </c>
      <c r="K1432" s="105" t="str">
        <f t="shared" si="53"/>
        <v>0003-1012-0048</v>
      </c>
      <c r="L1432" s="105" t="str">
        <f>VLOOKUP(K1432,COA!$A$3:$B$337,2,FALSE)</f>
        <v>K56</v>
      </c>
      <c r="M1432" s="105" t="str">
        <f t="shared" si="54"/>
        <v>K56</v>
      </c>
      <c r="N1432" s="105" t="str">
        <f>VLOOKUP(M1432,CAC!$A$2:$B$198,2,FALSE)</f>
        <v>HMFLEX</v>
      </c>
    </row>
    <row r="1433" spans="5:14" x14ac:dyDescent="0.25">
      <c r="E1433" s="83">
        <v>201801</v>
      </c>
      <c r="F1433" s="82" t="s">
        <v>506</v>
      </c>
      <c r="G1433" s="82" t="s">
        <v>352</v>
      </c>
      <c r="H1433" s="82" t="s">
        <v>592</v>
      </c>
      <c r="I1433" s="95">
        <v>0</v>
      </c>
      <c r="K1433" s="105" t="str">
        <f t="shared" si="53"/>
        <v>0013-1004-0035</v>
      </c>
      <c r="L1433" s="105" t="str">
        <f>VLOOKUP(K1433,COA!$A$3:$B$337,2,FALSE)</f>
        <v>L41</v>
      </c>
      <c r="M1433" s="105" t="str">
        <f t="shared" si="54"/>
        <v>L41</v>
      </c>
      <c r="N1433" s="105" t="e">
        <f>VLOOKUP(M1433,CAC!$A$2:$B$198,2,FALSE)</f>
        <v>#N/A</v>
      </c>
    </row>
    <row r="1434" spans="5:14" x14ac:dyDescent="0.25">
      <c r="E1434" s="83">
        <v>201601</v>
      </c>
      <c r="F1434" s="82" t="s">
        <v>413</v>
      </c>
      <c r="G1434" s="82" t="s">
        <v>359</v>
      </c>
      <c r="H1434" s="82" t="s">
        <v>344</v>
      </c>
      <c r="I1434" s="95">
        <v>0</v>
      </c>
      <c r="K1434" s="105" t="str">
        <f t="shared" si="53"/>
        <v>0008-1005-0012</v>
      </c>
      <c r="L1434" s="105" t="str">
        <f>VLOOKUP(K1434,COA!$A$3:$B$337,2,FALSE)</f>
        <v>C73</v>
      </c>
      <c r="M1434" s="105" t="str">
        <f t="shared" si="54"/>
        <v>C73</v>
      </c>
      <c r="N1434" s="105" t="str">
        <f>VLOOKUP(M1434,CAC!$A$2:$B$198,2,FALSE)</f>
        <v>DOILG</v>
      </c>
    </row>
    <row r="1435" spans="5:14" x14ac:dyDescent="0.25">
      <c r="E1435" s="83">
        <v>201703</v>
      </c>
      <c r="F1435" s="82" t="s">
        <v>746</v>
      </c>
      <c r="G1435" s="82" t="s">
        <v>352</v>
      </c>
      <c r="H1435" s="82" t="s">
        <v>344</v>
      </c>
      <c r="I1435" s="95">
        <v>3</v>
      </c>
      <c r="K1435" s="105" t="str">
        <f t="shared" si="53"/>
        <v>0016-1004-0012</v>
      </c>
      <c r="L1435" s="105" t="str">
        <f>VLOOKUP(K1435,COA!$A$3:$B$337,2,FALSE)</f>
        <v>R20</v>
      </c>
      <c r="M1435" s="105" t="str">
        <f t="shared" si="54"/>
        <v>R20</v>
      </c>
      <c r="N1435" s="105" t="str">
        <f>VLOOKUP(M1435,CAC!$A$2:$B$198,2,FALSE)</f>
        <v>HMOMG</v>
      </c>
    </row>
    <row r="1436" spans="5:14" x14ac:dyDescent="0.25">
      <c r="E1436" s="83">
        <v>201611</v>
      </c>
      <c r="F1436" s="82" t="s">
        <v>563</v>
      </c>
      <c r="G1436" s="82" t="s">
        <v>365</v>
      </c>
      <c r="H1436" s="82" t="s">
        <v>366</v>
      </c>
      <c r="I1436" s="95">
        <v>0</v>
      </c>
      <c r="K1436" s="105" t="str">
        <f t="shared" si="53"/>
        <v>0003-1001-0021</v>
      </c>
      <c r="L1436" s="105" t="str">
        <f>VLOOKUP(K1436,COA!$A$3:$B$337,2,FALSE)</f>
        <v>V53</v>
      </c>
      <c r="M1436" s="105" t="str">
        <f t="shared" si="54"/>
        <v>V53</v>
      </c>
      <c r="N1436" s="105" t="str">
        <f>VLOOKUP(M1436,CAC!$A$2:$B$198,2,FALSE)</f>
        <v>PPOIFP</v>
      </c>
    </row>
    <row r="1437" spans="5:14" x14ac:dyDescent="0.25">
      <c r="E1437" s="83">
        <v>201703</v>
      </c>
      <c r="F1437" s="82" t="s">
        <v>413</v>
      </c>
      <c r="G1437" s="82" t="s">
        <v>365</v>
      </c>
      <c r="H1437" s="82" t="s">
        <v>344</v>
      </c>
      <c r="I1437" s="95">
        <v>0</v>
      </c>
      <c r="K1437" s="105" t="str">
        <f t="shared" si="53"/>
        <v>0008-1001-0012</v>
      </c>
      <c r="L1437" s="105" t="str">
        <f>VLOOKUP(K1437,COA!$A$3:$B$337,2,FALSE)</f>
        <v>C95</v>
      </c>
      <c r="M1437" s="105" t="str">
        <f t="shared" si="54"/>
        <v>C95</v>
      </c>
      <c r="N1437" s="105" t="str">
        <f>VLOOKUP(M1437,CAC!$A$2:$B$198,2,FALSE)</f>
        <v>DOIIFP</v>
      </c>
    </row>
    <row r="1438" spans="5:14" x14ac:dyDescent="0.25">
      <c r="E1438" s="83">
        <v>201612</v>
      </c>
      <c r="F1438" s="82" t="s">
        <v>345</v>
      </c>
      <c r="G1438" s="82" t="s">
        <v>359</v>
      </c>
      <c r="H1438" s="82" t="s">
        <v>344</v>
      </c>
      <c r="I1438" s="95">
        <v>3953.01</v>
      </c>
      <c r="K1438" s="105" t="str">
        <f t="shared" si="53"/>
        <v>0011-1005-0012</v>
      </c>
      <c r="L1438" s="105" t="str">
        <f>VLOOKUP(K1438,COA!$A$3:$B$337,2,FALSE)</f>
        <v>N11</v>
      </c>
      <c r="M1438" s="105" t="str">
        <f t="shared" si="54"/>
        <v>N11</v>
      </c>
      <c r="N1438" s="105" t="str">
        <f>VLOOKUP(M1438,CAC!$A$2:$B$198,2,FALSE)</f>
        <v>HMOLG</v>
      </c>
    </row>
    <row r="1439" spans="5:14" x14ac:dyDescent="0.25">
      <c r="E1439" s="83">
        <v>201603</v>
      </c>
      <c r="F1439" s="82" t="s">
        <v>345</v>
      </c>
      <c r="G1439" s="82" t="s">
        <v>355</v>
      </c>
      <c r="H1439" s="82" t="s">
        <v>344</v>
      </c>
      <c r="I1439" s="95">
        <v>24161.599999999999</v>
      </c>
      <c r="K1439" s="105" t="str">
        <f t="shared" si="53"/>
        <v>0011-1006-0012</v>
      </c>
      <c r="L1439" s="105" t="str">
        <f>VLOOKUP(K1439,COA!$A$3:$B$337,2,FALSE)</f>
        <v>L13</v>
      </c>
      <c r="M1439" s="105" t="str">
        <f t="shared" si="54"/>
        <v>L13</v>
      </c>
      <c r="N1439" s="105" t="str">
        <f>VLOOKUP(M1439,CAC!$A$2:$B$198,2,FALSE)</f>
        <v>HMOLG</v>
      </c>
    </row>
    <row r="1440" spans="5:14" x14ac:dyDescent="0.25">
      <c r="E1440" s="83">
        <v>201607</v>
      </c>
      <c r="F1440" s="82" t="s">
        <v>344</v>
      </c>
      <c r="G1440" s="82" t="s">
        <v>361</v>
      </c>
      <c r="H1440" s="82" t="s">
        <v>344</v>
      </c>
      <c r="I1440" s="95">
        <v>2749.96</v>
      </c>
      <c r="K1440" s="105" t="str">
        <f t="shared" si="53"/>
        <v>0012-1003-0012</v>
      </c>
      <c r="L1440" s="105" t="str">
        <f>VLOOKUP(K1440,COA!$A$3:$B$337,2,FALSE)</f>
        <v>N15</v>
      </c>
      <c r="M1440" s="105" t="str">
        <f t="shared" si="54"/>
        <v>N15</v>
      </c>
      <c r="N1440" s="105" t="str">
        <f>VLOOKUP(M1440,CAC!$A$2:$B$198,2,FALSE)</f>
        <v>HMOPMR</v>
      </c>
    </row>
    <row r="1441" spans="5:14" x14ac:dyDescent="0.25">
      <c r="E1441" s="83">
        <v>201604</v>
      </c>
      <c r="F1441" s="82" t="s">
        <v>563</v>
      </c>
      <c r="G1441" s="82" t="s">
        <v>365</v>
      </c>
      <c r="H1441" s="82" t="s">
        <v>798</v>
      </c>
      <c r="I1441" s="95">
        <v>0</v>
      </c>
      <c r="K1441" s="105" t="str">
        <f t="shared" si="53"/>
        <v>0003-1001-0065</v>
      </c>
      <c r="L1441" s="105" t="str">
        <f>VLOOKUP(K1441,COA!$A$3:$B$337,2,FALSE)</f>
        <v>V55</v>
      </c>
      <c r="M1441" s="105" t="str">
        <f t="shared" si="54"/>
        <v>V55</v>
      </c>
      <c r="N1441" s="105" t="e">
        <f>VLOOKUP(M1441,CAC!$A$2:$B$198,2,FALSE)</f>
        <v>#N/A</v>
      </c>
    </row>
    <row r="1442" spans="5:14" x14ac:dyDescent="0.25">
      <c r="E1442" s="83">
        <v>201701</v>
      </c>
      <c r="F1442" s="82" t="s">
        <v>506</v>
      </c>
      <c r="G1442" s="82" t="s">
        <v>346</v>
      </c>
      <c r="H1442" s="82" t="s">
        <v>592</v>
      </c>
      <c r="I1442" s="95">
        <v>0</v>
      </c>
      <c r="K1442" s="105" t="str">
        <f t="shared" si="53"/>
        <v>0013-1014-0035</v>
      </c>
      <c r="L1442" s="105" t="str">
        <f>VLOOKUP(K1442,COA!$A$3:$B$337,2,FALSE)</f>
        <v>K42</v>
      </c>
      <c r="M1442" s="105" t="str">
        <f t="shared" si="54"/>
        <v>K42</v>
      </c>
      <c r="N1442" s="105" t="str">
        <f>VLOOKUP(M1442,CAC!$A$2:$B$198,2,FALSE)</f>
        <v>HMFLEX</v>
      </c>
    </row>
    <row r="1443" spans="5:14" x14ac:dyDescent="0.25">
      <c r="E1443" s="83">
        <v>201611</v>
      </c>
      <c r="F1443" s="82" t="s">
        <v>746</v>
      </c>
      <c r="G1443" s="82" t="s">
        <v>354</v>
      </c>
      <c r="H1443" s="82" t="s">
        <v>344</v>
      </c>
      <c r="I1443" s="95">
        <v>81</v>
      </c>
      <c r="K1443" s="105" t="str">
        <f t="shared" si="53"/>
        <v>0016-1013-0012</v>
      </c>
      <c r="L1443" s="105" t="str">
        <f>VLOOKUP(K1443,COA!$A$3:$B$337,2,FALSE)</f>
        <v>R19</v>
      </c>
      <c r="M1443" s="105" t="str">
        <f t="shared" si="54"/>
        <v>R19</v>
      </c>
      <c r="N1443" s="105" t="str">
        <f>VLOOKUP(M1443,CAC!$A$2:$B$198,2,FALSE)</f>
        <v>HMOMG</v>
      </c>
    </row>
    <row r="1444" spans="5:14" x14ac:dyDescent="0.25">
      <c r="E1444" s="83">
        <v>201604</v>
      </c>
      <c r="F1444" s="82" t="s">
        <v>563</v>
      </c>
      <c r="G1444" s="82" t="s">
        <v>369</v>
      </c>
      <c r="H1444" s="82" t="s">
        <v>345</v>
      </c>
      <c r="I1444" s="95">
        <v>0</v>
      </c>
      <c r="K1444" s="105" t="str">
        <f t="shared" si="53"/>
        <v>0003-1009-0011</v>
      </c>
      <c r="L1444" s="105" t="str">
        <f>VLOOKUP(K1444,COA!$A$3:$B$337,2,FALSE)</f>
        <v>V91</v>
      </c>
      <c r="M1444" s="105" t="str">
        <f t="shared" si="54"/>
        <v>V91</v>
      </c>
      <c r="N1444" s="105" t="str">
        <f>VLOOKUP(M1444,CAC!$A$2:$B$198,2,FALSE)</f>
        <v>PPOMM</v>
      </c>
    </row>
    <row r="1445" spans="5:14" x14ac:dyDescent="0.25">
      <c r="E1445" s="83">
        <v>201605</v>
      </c>
      <c r="F1445" s="82" t="s">
        <v>563</v>
      </c>
      <c r="G1445" s="82" t="s">
        <v>365</v>
      </c>
      <c r="H1445" s="82" t="s">
        <v>366</v>
      </c>
      <c r="I1445" s="95">
        <v>0</v>
      </c>
      <c r="K1445" s="105" t="str">
        <f t="shared" si="53"/>
        <v>0003-1001-0021</v>
      </c>
      <c r="L1445" s="105" t="str">
        <f>VLOOKUP(K1445,COA!$A$3:$B$337,2,FALSE)</f>
        <v>V53</v>
      </c>
      <c r="M1445" s="105" t="str">
        <f t="shared" si="54"/>
        <v>V53</v>
      </c>
      <c r="N1445" s="105" t="str">
        <f>VLOOKUP(M1445,CAC!$A$2:$B$198,2,FALSE)</f>
        <v>PPOIFP</v>
      </c>
    </row>
    <row r="1446" spans="5:14" x14ac:dyDescent="0.25">
      <c r="E1446" s="83">
        <v>201711</v>
      </c>
      <c r="F1446" s="82" t="s">
        <v>413</v>
      </c>
      <c r="G1446" s="82" t="s">
        <v>355</v>
      </c>
      <c r="H1446" s="82" t="s">
        <v>344</v>
      </c>
      <c r="I1446" s="95">
        <v>0</v>
      </c>
      <c r="K1446" s="105" t="str">
        <f t="shared" si="53"/>
        <v>0008-1006-0012</v>
      </c>
      <c r="L1446" s="105" t="str">
        <f>VLOOKUP(K1446,COA!$A$3:$B$337,2,FALSE)</f>
        <v>C96</v>
      </c>
      <c r="M1446" s="105" t="str">
        <f t="shared" si="54"/>
        <v>C96</v>
      </c>
      <c r="N1446" s="105" t="str">
        <f>VLOOKUP(M1446,CAC!$A$2:$B$198,2,FALSE)</f>
        <v>DOILG</v>
      </c>
    </row>
    <row r="1447" spans="5:14" x14ac:dyDescent="0.25">
      <c r="E1447" s="83">
        <v>201703</v>
      </c>
      <c r="F1447" s="82" t="s">
        <v>563</v>
      </c>
      <c r="G1447" s="82" t="s">
        <v>356</v>
      </c>
      <c r="H1447" s="82" t="s">
        <v>344</v>
      </c>
      <c r="I1447" s="95">
        <v>0</v>
      </c>
      <c r="K1447" s="105" t="str">
        <f t="shared" si="53"/>
        <v>0003-1002-0012</v>
      </c>
      <c r="L1447" s="105" t="str">
        <f>VLOOKUP(K1447,COA!$A$3:$B$337,2,FALSE)</f>
        <v>F61</v>
      </c>
      <c r="M1447" s="105" t="str">
        <f t="shared" si="54"/>
        <v>F61</v>
      </c>
      <c r="N1447" s="105" t="str">
        <f>VLOOKUP(M1447,CAC!$A$2:$B$198,2,FALSE)</f>
        <v>PPOPMR</v>
      </c>
    </row>
    <row r="1448" spans="5:14" x14ac:dyDescent="0.25">
      <c r="E1448" s="83">
        <v>201608</v>
      </c>
      <c r="F1448" s="82" t="s">
        <v>345</v>
      </c>
      <c r="G1448" s="82" t="s">
        <v>352</v>
      </c>
      <c r="H1448" s="82" t="s">
        <v>653</v>
      </c>
      <c r="I1448" s="95">
        <v>0</v>
      </c>
      <c r="K1448" s="105" t="str">
        <f t="shared" si="53"/>
        <v>0011-1004-0047</v>
      </c>
      <c r="L1448" s="105" t="str">
        <f>VLOOKUP(K1448,COA!$A$3:$B$337,2,FALSE)</f>
        <v>L17</v>
      </c>
      <c r="M1448" s="105" t="str">
        <f t="shared" si="54"/>
        <v>L17</v>
      </c>
      <c r="N1448" s="105" t="str">
        <f>VLOOKUP(M1448,CAC!$A$2:$B$198,2,FALSE)</f>
        <v>HMOLG</v>
      </c>
    </row>
    <row r="1449" spans="5:14" x14ac:dyDescent="0.25">
      <c r="E1449" s="83">
        <v>201702</v>
      </c>
      <c r="F1449" s="82" t="s">
        <v>413</v>
      </c>
      <c r="G1449" s="82" t="s">
        <v>365</v>
      </c>
      <c r="H1449" s="82" t="s">
        <v>344</v>
      </c>
      <c r="I1449" s="95">
        <v>0</v>
      </c>
      <c r="K1449" s="105" t="str">
        <f t="shared" si="53"/>
        <v>0008-1001-0012</v>
      </c>
      <c r="L1449" s="105" t="str">
        <f>VLOOKUP(K1449,COA!$A$3:$B$337,2,FALSE)</f>
        <v>C95</v>
      </c>
      <c r="M1449" s="105" t="str">
        <f t="shared" si="54"/>
        <v>C95</v>
      </c>
      <c r="N1449" s="105" t="str">
        <f>VLOOKUP(M1449,CAC!$A$2:$B$198,2,FALSE)</f>
        <v>DOIIFP</v>
      </c>
    </row>
    <row r="1450" spans="5:14" x14ac:dyDescent="0.25">
      <c r="E1450" s="83">
        <v>201607</v>
      </c>
      <c r="F1450" s="82" t="s">
        <v>345</v>
      </c>
      <c r="G1450" s="82" t="s">
        <v>346</v>
      </c>
      <c r="H1450" s="82" t="s">
        <v>360</v>
      </c>
      <c r="I1450" s="95">
        <v>358</v>
      </c>
      <c r="K1450" s="105" t="str">
        <f t="shared" si="53"/>
        <v>0011-1014-0048</v>
      </c>
      <c r="L1450" s="105" t="str">
        <f>VLOOKUP(K1450,COA!$A$3:$B$337,2,FALSE)</f>
        <v>K23</v>
      </c>
      <c r="M1450" s="105" t="str">
        <f t="shared" si="54"/>
        <v>K23</v>
      </c>
      <c r="N1450" s="105" t="str">
        <f>VLOOKUP(M1450,CAC!$A$2:$B$198,2,FALSE)</f>
        <v>HMFLEX</v>
      </c>
    </row>
    <row r="1451" spans="5:14" x14ac:dyDescent="0.25">
      <c r="E1451" s="83">
        <v>201603</v>
      </c>
      <c r="F1451" s="82" t="s">
        <v>563</v>
      </c>
      <c r="G1451" s="82" t="s">
        <v>365</v>
      </c>
      <c r="H1451" s="82" t="s">
        <v>344</v>
      </c>
      <c r="I1451" s="95">
        <v>0</v>
      </c>
      <c r="K1451" s="105" t="str">
        <f t="shared" si="53"/>
        <v>0003-1001-0012</v>
      </c>
      <c r="L1451" s="105" t="str">
        <f>VLOOKUP(K1451,COA!$A$3:$B$337,2,FALSE)</f>
        <v>V51</v>
      </c>
      <c r="M1451" s="105" t="str">
        <f t="shared" si="54"/>
        <v>V51</v>
      </c>
      <c r="N1451" s="105" t="str">
        <f>VLOOKUP(M1451,CAC!$A$2:$B$198,2,FALSE)</f>
        <v>PPOIFP</v>
      </c>
    </row>
    <row r="1452" spans="5:14" x14ac:dyDescent="0.25">
      <c r="E1452" s="83">
        <v>201708</v>
      </c>
      <c r="F1452" s="82" t="s">
        <v>506</v>
      </c>
      <c r="G1452" s="82" t="s">
        <v>350</v>
      </c>
      <c r="H1452" s="82" t="s">
        <v>592</v>
      </c>
      <c r="I1452" s="95">
        <v>0</v>
      </c>
      <c r="K1452" s="105" t="str">
        <f t="shared" si="53"/>
        <v>0013-1012-0035</v>
      </c>
      <c r="L1452" s="105" t="str">
        <f>VLOOKUP(K1452,COA!$A$3:$B$337,2,FALSE)</f>
        <v>K41</v>
      </c>
      <c r="M1452" s="105" t="str">
        <f t="shared" si="54"/>
        <v>K41</v>
      </c>
      <c r="N1452" s="105" t="e">
        <f>VLOOKUP(M1452,CAC!$A$2:$B$198,2,FALSE)</f>
        <v>#N/A</v>
      </c>
    </row>
    <row r="1453" spans="5:14" x14ac:dyDescent="0.25">
      <c r="E1453" s="83">
        <v>201602</v>
      </c>
      <c r="F1453" s="82" t="s">
        <v>563</v>
      </c>
      <c r="G1453" s="82" t="s">
        <v>352</v>
      </c>
      <c r="H1453" s="82" t="s">
        <v>653</v>
      </c>
      <c r="I1453" s="95">
        <v>0</v>
      </c>
      <c r="K1453" s="105" t="str">
        <f t="shared" si="53"/>
        <v>0003-1004-0047</v>
      </c>
      <c r="L1453" s="105" t="str">
        <f>VLOOKUP(K1453,COA!$A$3:$B$337,2,FALSE)</f>
        <v>L57</v>
      </c>
      <c r="M1453" s="105" t="str">
        <f t="shared" si="54"/>
        <v>L57</v>
      </c>
      <c r="N1453" s="105" t="str">
        <f>VLOOKUP(M1453,CAC!$A$2:$B$198,2,FALSE)</f>
        <v>PPOLG</v>
      </c>
    </row>
    <row r="1454" spans="5:14" x14ac:dyDescent="0.25">
      <c r="E1454" s="83">
        <v>201511</v>
      </c>
      <c r="F1454" s="82" t="s">
        <v>405</v>
      </c>
      <c r="G1454" s="82" t="s">
        <v>362</v>
      </c>
      <c r="H1454" s="82" t="s">
        <v>342</v>
      </c>
      <c r="I1454" s="95">
        <v>0</v>
      </c>
      <c r="K1454" s="105" t="str">
        <f t="shared" si="53"/>
        <v>0019-1008-0031</v>
      </c>
      <c r="L1454" s="105" t="str">
        <f>VLOOKUP(K1454,COA!$A$3:$B$337,2,FALSE)</f>
        <v>P53</v>
      </c>
      <c r="M1454" s="105" t="str">
        <f t="shared" si="54"/>
        <v>P53</v>
      </c>
      <c r="N1454" s="105" t="str">
        <f>VLOOKUP(M1454,CAC!$A$2:$B$198,2,FALSE)</f>
        <v>HMOPERA</v>
      </c>
    </row>
    <row r="1455" spans="5:14" x14ac:dyDescent="0.25">
      <c r="E1455" s="83">
        <v>201609</v>
      </c>
      <c r="F1455" s="82" t="s">
        <v>413</v>
      </c>
      <c r="G1455" s="82" t="s">
        <v>352</v>
      </c>
      <c r="H1455" s="82" t="s">
        <v>344</v>
      </c>
      <c r="I1455" s="95">
        <v>0</v>
      </c>
      <c r="K1455" s="105" t="str">
        <f t="shared" si="53"/>
        <v>0008-1004-0012</v>
      </c>
      <c r="L1455" s="105" t="str">
        <f>VLOOKUP(K1455,COA!$A$3:$B$337,2,FALSE)</f>
        <v>C93</v>
      </c>
      <c r="M1455" s="105" t="str">
        <f t="shared" si="54"/>
        <v>C93</v>
      </c>
      <c r="N1455" s="105" t="str">
        <f>VLOOKUP(M1455,CAC!$A$2:$B$198,2,FALSE)</f>
        <v>DOILG</v>
      </c>
    </row>
    <row r="1456" spans="5:14" x14ac:dyDescent="0.25">
      <c r="E1456" s="83">
        <v>201608</v>
      </c>
      <c r="F1456" s="82" t="s">
        <v>413</v>
      </c>
      <c r="G1456" s="82" t="s">
        <v>365</v>
      </c>
      <c r="H1456" s="82" t="s">
        <v>411</v>
      </c>
      <c r="I1456" s="95">
        <v>0</v>
      </c>
      <c r="K1456" s="105" t="str">
        <f t="shared" si="53"/>
        <v>0008-1001-0007</v>
      </c>
      <c r="L1456" s="105" t="str">
        <f>VLOOKUP(K1456,COA!$A$3:$B$337,2,FALSE)</f>
        <v>C99</v>
      </c>
      <c r="M1456" s="105" t="str">
        <f t="shared" si="54"/>
        <v>C99</v>
      </c>
      <c r="N1456" s="105" t="str">
        <f>VLOOKUP(M1456,CAC!$A$2:$B$198,2,FALSE)</f>
        <v>DOIIFP</v>
      </c>
    </row>
    <row r="1457" spans="5:14" x14ac:dyDescent="0.25">
      <c r="E1457" s="83">
        <v>201801</v>
      </c>
      <c r="F1457" s="82" t="s">
        <v>549</v>
      </c>
      <c r="G1457" s="82" t="s">
        <v>352</v>
      </c>
      <c r="H1457" s="82" t="s">
        <v>672</v>
      </c>
      <c r="I1457" s="95">
        <v>0</v>
      </c>
      <c r="K1457" s="105" t="str">
        <f t="shared" si="53"/>
        <v>0026-1004-0058</v>
      </c>
      <c r="L1457" s="105" t="str">
        <f>VLOOKUP(K1457,COA!$A$3:$B$337,2,FALSE)</f>
        <v>L44</v>
      </c>
      <c r="M1457" s="105" t="str">
        <f t="shared" si="54"/>
        <v>L44</v>
      </c>
      <c r="N1457" s="105" t="e">
        <f>VLOOKUP(M1457,CAC!$A$2:$B$198,2,FALSE)</f>
        <v>#N/A</v>
      </c>
    </row>
    <row r="1458" spans="5:14" x14ac:dyDescent="0.25">
      <c r="E1458" s="83">
        <v>201610</v>
      </c>
      <c r="F1458" s="82" t="s">
        <v>349</v>
      </c>
      <c r="G1458" s="82" t="s">
        <v>369</v>
      </c>
      <c r="H1458" s="82" t="s">
        <v>344</v>
      </c>
      <c r="I1458" s="95">
        <v>39898</v>
      </c>
      <c r="K1458" s="105" t="str">
        <f t="shared" si="53"/>
        <v>0017-1009-0012</v>
      </c>
      <c r="L1458" s="105" t="str">
        <f>VLOOKUP(K1458,COA!$A$3:$B$337,2,FALSE)</f>
        <v>R12</v>
      </c>
      <c r="M1458" s="105" t="str">
        <f t="shared" si="54"/>
        <v>R12</v>
      </c>
      <c r="N1458" s="105" t="str">
        <f>VLOOKUP(M1458,CAC!$A$2:$B$198,2,FALSE)</f>
        <v>HMOMM</v>
      </c>
    </row>
    <row r="1459" spans="5:14" x14ac:dyDescent="0.25">
      <c r="E1459" s="83">
        <v>201706</v>
      </c>
      <c r="F1459" s="82" t="s">
        <v>345</v>
      </c>
      <c r="G1459" s="82" t="s">
        <v>365</v>
      </c>
      <c r="H1459" s="82" t="s">
        <v>366</v>
      </c>
      <c r="I1459" s="95">
        <v>1265.27</v>
      </c>
      <c r="K1459" s="105" t="str">
        <f t="shared" si="53"/>
        <v>0011-1001-0021</v>
      </c>
      <c r="L1459" s="105" t="str">
        <f>VLOOKUP(K1459,COA!$A$3:$B$337,2,FALSE)</f>
        <v>V13</v>
      </c>
      <c r="M1459" s="105" t="str">
        <f t="shared" si="54"/>
        <v>V13</v>
      </c>
      <c r="N1459" s="105" t="str">
        <f>VLOOKUP(M1459,CAC!$A$2:$B$198,2,FALSE)</f>
        <v>HMOIFP</v>
      </c>
    </row>
    <row r="1460" spans="5:14" x14ac:dyDescent="0.25">
      <c r="E1460" s="83">
        <v>201706</v>
      </c>
      <c r="F1460" s="82" t="s">
        <v>563</v>
      </c>
      <c r="G1460" s="82" t="s">
        <v>348</v>
      </c>
      <c r="H1460" s="82" t="s">
        <v>353</v>
      </c>
      <c r="I1460" s="95">
        <v>0</v>
      </c>
      <c r="K1460" s="105" t="str">
        <f t="shared" si="53"/>
        <v>0003-1010-0023</v>
      </c>
      <c r="L1460" s="105" t="str">
        <f>VLOOKUP(K1460,COA!$A$3:$B$337,2,FALSE)</f>
        <v>S54</v>
      </c>
      <c r="M1460" s="105" t="str">
        <f t="shared" si="54"/>
        <v>S54</v>
      </c>
      <c r="N1460" s="105" t="str">
        <f>VLOOKUP(M1460,CAC!$A$2:$B$198,2,FALSE)</f>
        <v>PPOSG</v>
      </c>
    </row>
    <row r="1461" spans="5:14" x14ac:dyDescent="0.25">
      <c r="E1461" s="83">
        <v>201608</v>
      </c>
      <c r="F1461" s="82" t="s">
        <v>345</v>
      </c>
      <c r="G1461" s="82" t="s">
        <v>354</v>
      </c>
      <c r="H1461" s="82" t="s">
        <v>344</v>
      </c>
      <c r="I1461" s="95">
        <v>6821.49</v>
      </c>
      <c r="K1461" s="105" t="str">
        <f t="shared" si="53"/>
        <v>0011-1013-0012</v>
      </c>
      <c r="L1461" s="105" t="str">
        <f>VLOOKUP(K1461,COA!$A$3:$B$337,2,FALSE)</f>
        <v>N20</v>
      </c>
      <c r="M1461" s="105" t="str">
        <f t="shared" si="54"/>
        <v>N20</v>
      </c>
      <c r="N1461" s="105" t="str">
        <f>VLOOKUP(M1461,CAC!$A$2:$B$198,2,FALSE)</f>
        <v>HMOPMR</v>
      </c>
    </row>
    <row r="1462" spans="5:14" x14ac:dyDescent="0.25">
      <c r="E1462" s="83">
        <v>201511</v>
      </c>
      <c r="F1462" s="82" t="s">
        <v>746</v>
      </c>
      <c r="G1462" s="82" t="s">
        <v>356</v>
      </c>
      <c r="H1462" s="82" t="s">
        <v>344</v>
      </c>
      <c r="I1462" s="95">
        <v>118</v>
      </c>
      <c r="K1462" s="105" t="str">
        <f t="shared" si="53"/>
        <v>0016-1002-0012</v>
      </c>
      <c r="L1462" s="105" t="str">
        <f>VLOOKUP(K1462,COA!$A$3:$B$337,2,FALSE)</f>
        <v>R18</v>
      </c>
      <c r="M1462" s="105" t="str">
        <f t="shared" si="54"/>
        <v>R18</v>
      </c>
      <c r="N1462" s="105" t="str">
        <f>VLOOKUP(M1462,CAC!$A$2:$B$198,2,FALSE)</f>
        <v>HMOMG</v>
      </c>
    </row>
    <row r="1463" spans="5:14" x14ac:dyDescent="0.25">
      <c r="E1463" s="83">
        <v>201607</v>
      </c>
      <c r="F1463" s="82" t="s">
        <v>563</v>
      </c>
      <c r="G1463" s="82" t="s">
        <v>356</v>
      </c>
      <c r="H1463" s="82" t="s">
        <v>344</v>
      </c>
      <c r="I1463" s="95">
        <v>0</v>
      </c>
      <c r="K1463" s="105" t="str">
        <f t="shared" si="53"/>
        <v>0003-1002-0012</v>
      </c>
      <c r="L1463" s="105" t="str">
        <f>VLOOKUP(K1463,COA!$A$3:$B$337,2,FALSE)</f>
        <v>F61</v>
      </c>
      <c r="M1463" s="105" t="str">
        <f t="shared" si="54"/>
        <v>F61</v>
      </c>
      <c r="N1463" s="105" t="str">
        <f>VLOOKUP(M1463,CAC!$A$2:$B$198,2,FALSE)</f>
        <v>PPOPMR</v>
      </c>
    </row>
    <row r="1464" spans="5:14" x14ac:dyDescent="0.25">
      <c r="E1464" s="83">
        <v>201509</v>
      </c>
      <c r="F1464" s="82" t="s">
        <v>563</v>
      </c>
      <c r="G1464" s="82" t="s">
        <v>365</v>
      </c>
      <c r="H1464" s="82" t="s">
        <v>411</v>
      </c>
      <c r="I1464" s="95">
        <v>0</v>
      </c>
      <c r="K1464" s="105" t="str">
        <f t="shared" si="53"/>
        <v>0003-1001-0007</v>
      </c>
      <c r="L1464" s="105" t="str">
        <f>VLOOKUP(K1464,COA!$A$3:$B$337,2,FALSE)</f>
        <v>V52</v>
      </c>
      <c r="M1464" s="105" t="str">
        <f t="shared" si="54"/>
        <v>V52</v>
      </c>
      <c r="N1464" s="105" t="str">
        <f>VLOOKUP(M1464,CAC!$A$2:$B$198,2,FALSE)</f>
        <v>PPOIFP</v>
      </c>
    </row>
    <row r="1465" spans="5:14" x14ac:dyDescent="0.25">
      <c r="E1465" s="83">
        <v>201602</v>
      </c>
      <c r="F1465" s="82" t="s">
        <v>413</v>
      </c>
      <c r="G1465" s="82" t="s">
        <v>365</v>
      </c>
      <c r="H1465" s="82" t="s">
        <v>411</v>
      </c>
      <c r="I1465" s="95">
        <v>0</v>
      </c>
      <c r="K1465" s="105" t="str">
        <f t="shared" si="53"/>
        <v>0008-1001-0007</v>
      </c>
      <c r="L1465" s="105" t="str">
        <f>VLOOKUP(K1465,COA!$A$3:$B$337,2,FALSE)</f>
        <v>C99</v>
      </c>
      <c r="M1465" s="105" t="str">
        <f t="shared" si="54"/>
        <v>C99</v>
      </c>
      <c r="N1465" s="105" t="str">
        <f>VLOOKUP(M1465,CAC!$A$2:$B$198,2,FALSE)</f>
        <v>DOIIFP</v>
      </c>
    </row>
    <row r="1466" spans="5:14" x14ac:dyDescent="0.25">
      <c r="E1466" s="83">
        <v>201512</v>
      </c>
      <c r="F1466" s="82" t="s">
        <v>413</v>
      </c>
      <c r="G1466" s="82" t="s">
        <v>355</v>
      </c>
      <c r="H1466" s="82" t="s">
        <v>344</v>
      </c>
      <c r="I1466" s="95">
        <v>0</v>
      </c>
      <c r="K1466" s="105" t="str">
        <f t="shared" si="53"/>
        <v>0008-1006-0012</v>
      </c>
      <c r="L1466" s="105" t="str">
        <f>VLOOKUP(K1466,COA!$A$3:$B$337,2,FALSE)</f>
        <v>C96</v>
      </c>
      <c r="M1466" s="105" t="str">
        <f t="shared" si="54"/>
        <v>C96</v>
      </c>
      <c r="N1466" s="105" t="str">
        <f>VLOOKUP(M1466,CAC!$A$2:$B$198,2,FALSE)</f>
        <v>DOILG</v>
      </c>
    </row>
    <row r="1467" spans="5:14" x14ac:dyDescent="0.25">
      <c r="E1467" s="83">
        <v>201708</v>
      </c>
      <c r="F1467" s="82" t="s">
        <v>405</v>
      </c>
      <c r="G1467" s="82" t="s">
        <v>362</v>
      </c>
      <c r="H1467" s="82" t="s">
        <v>342</v>
      </c>
      <c r="I1467" s="95">
        <v>0</v>
      </c>
      <c r="K1467" s="105" t="str">
        <f t="shared" si="53"/>
        <v>0019-1008-0031</v>
      </c>
      <c r="L1467" s="105" t="str">
        <f>VLOOKUP(K1467,COA!$A$3:$B$337,2,FALSE)</f>
        <v>P53</v>
      </c>
      <c r="M1467" s="105" t="str">
        <f t="shared" si="54"/>
        <v>P53</v>
      </c>
      <c r="N1467" s="105" t="str">
        <f>VLOOKUP(M1467,CAC!$A$2:$B$198,2,FALSE)</f>
        <v>HMOPERA</v>
      </c>
    </row>
    <row r="1468" spans="5:14" x14ac:dyDescent="0.25">
      <c r="E1468" s="83">
        <v>201710</v>
      </c>
      <c r="F1468" s="82" t="s">
        <v>345</v>
      </c>
      <c r="G1468" s="82" t="s">
        <v>348</v>
      </c>
      <c r="H1468" s="82" t="s">
        <v>349</v>
      </c>
      <c r="I1468" s="95">
        <v>26861.57</v>
      </c>
      <c r="K1468" s="105" t="str">
        <f t="shared" si="53"/>
        <v>0011-1010-0017</v>
      </c>
      <c r="L1468" s="105" t="str">
        <f>VLOOKUP(K1468,COA!$A$3:$B$337,2,FALSE)</f>
        <v>S11</v>
      </c>
      <c r="M1468" s="105" t="str">
        <f t="shared" si="54"/>
        <v>S11</v>
      </c>
      <c r="N1468" s="105" t="str">
        <f>VLOOKUP(M1468,CAC!$A$2:$B$198,2,FALSE)</f>
        <v>HMOSG</v>
      </c>
    </row>
    <row r="1469" spans="5:14" x14ac:dyDescent="0.25">
      <c r="E1469" s="83">
        <v>201704</v>
      </c>
      <c r="F1469" s="82" t="s">
        <v>344</v>
      </c>
      <c r="G1469" s="82" t="s">
        <v>361</v>
      </c>
      <c r="H1469" s="82" t="s">
        <v>344</v>
      </c>
      <c r="I1469" s="95">
        <v>9737.4</v>
      </c>
      <c r="K1469" s="105" t="str">
        <f t="shared" si="53"/>
        <v>0012-1003-0012</v>
      </c>
      <c r="L1469" s="105" t="str">
        <f>VLOOKUP(K1469,COA!$A$3:$B$337,2,FALSE)</f>
        <v>N15</v>
      </c>
      <c r="M1469" s="105" t="str">
        <f t="shared" si="54"/>
        <v>N15</v>
      </c>
      <c r="N1469" s="105" t="str">
        <f>VLOOKUP(M1469,CAC!$A$2:$B$198,2,FALSE)</f>
        <v>HMOPMR</v>
      </c>
    </row>
    <row r="1470" spans="5:14" x14ac:dyDescent="0.25">
      <c r="E1470" s="83">
        <v>201505</v>
      </c>
      <c r="F1470" s="82" t="s">
        <v>563</v>
      </c>
      <c r="G1470" s="82" t="s">
        <v>365</v>
      </c>
      <c r="H1470" s="82" t="s">
        <v>367</v>
      </c>
      <c r="I1470" s="95">
        <v>0</v>
      </c>
      <c r="K1470" s="105" t="str">
        <f t="shared" si="53"/>
        <v>0003-1001-0022</v>
      </c>
      <c r="L1470" s="105" t="str">
        <f>VLOOKUP(K1470,COA!$A$3:$B$337,2,FALSE)</f>
        <v>V54</v>
      </c>
      <c r="M1470" s="105" t="str">
        <f t="shared" si="54"/>
        <v>V54</v>
      </c>
      <c r="N1470" s="105" t="str">
        <f>VLOOKUP(M1470,CAC!$A$2:$B$198,2,FALSE)</f>
        <v>PPOIFP</v>
      </c>
    </row>
    <row r="1471" spans="5:14" x14ac:dyDescent="0.25">
      <c r="E1471" s="83">
        <v>201709</v>
      </c>
      <c r="F1471" s="82" t="s">
        <v>563</v>
      </c>
      <c r="G1471" s="82" t="s">
        <v>365</v>
      </c>
      <c r="H1471" s="82" t="s">
        <v>798</v>
      </c>
      <c r="I1471" s="95">
        <v>0</v>
      </c>
      <c r="K1471" s="105" t="str">
        <f t="shared" si="53"/>
        <v>0003-1001-0065</v>
      </c>
      <c r="L1471" s="105" t="str">
        <f>VLOOKUP(K1471,COA!$A$3:$B$337,2,FALSE)</f>
        <v>V55</v>
      </c>
      <c r="M1471" s="105" t="str">
        <f t="shared" si="54"/>
        <v>V55</v>
      </c>
      <c r="N1471" s="105" t="e">
        <f>VLOOKUP(M1471,CAC!$A$2:$B$198,2,FALSE)</f>
        <v>#N/A</v>
      </c>
    </row>
    <row r="1472" spans="5:14" x14ac:dyDescent="0.25">
      <c r="E1472" s="83">
        <v>201604</v>
      </c>
      <c r="F1472" s="82" t="s">
        <v>563</v>
      </c>
      <c r="G1472" s="82" t="s">
        <v>352</v>
      </c>
      <c r="H1472" s="82" t="s">
        <v>344</v>
      </c>
      <c r="I1472" s="95">
        <v>0</v>
      </c>
      <c r="K1472" s="105" t="str">
        <f t="shared" si="53"/>
        <v>0003-1004-0012</v>
      </c>
      <c r="L1472" s="105" t="str">
        <f>VLOOKUP(K1472,COA!$A$3:$B$337,2,FALSE)</f>
        <v>L51</v>
      </c>
      <c r="M1472" s="105" t="str">
        <f t="shared" si="54"/>
        <v>L51</v>
      </c>
      <c r="N1472" s="105" t="str">
        <f>VLOOKUP(M1472,CAC!$A$2:$B$198,2,FALSE)</f>
        <v>PPOLG</v>
      </c>
    </row>
    <row r="1473" spans="5:14" x14ac:dyDescent="0.25">
      <c r="E1473" s="83">
        <v>201706</v>
      </c>
      <c r="F1473" s="82" t="s">
        <v>563</v>
      </c>
      <c r="G1473" s="82" t="s">
        <v>352</v>
      </c>
      <c r="H1473" s="82" t="s">
        <v>653</v>
      </c>
      <c r="I1473" s="95">
        <v>0</v>
      </c>
      <c r="K1473" s="105" t="str">
        <f t="shared" si="53"/>
        <v>0003-1004-0047</v>
      </c>
      <c r="L1473" s="105" t="str">
        <f>VLOOKUP(K1473,COA!$A$3:$B$337,2,FALSE)</f>
        <v>L57</v>
      </c>
      <c r="M1473" s="105" t="str">
        <f t="shared" si="54"/>
        <v>L57</v>
      </c>
      <c r="N1473" s="105" t="str">
        <f>VLOOKUP(M1473,CAC!$A$2:$B$198,2,FALSE)</f>
        <v>PPOLG</v>
      </c>
    </row>
    <row r="1474" spans="5:14" x14ac:dyDescent="0.25">
      <c r="E1474" s="83">
        <v>201508</v>
      </c>
      <c r="F1474" s="82" t="s">
        <v>746</v>
      </c>
      <c r="G1474" s="82" t="s">
        <v>361</v>
      </c>
      <c r="H1474" s="82" t="s">
        <v>344</v>
      </c>
      <c r="I1474" s="95">
        <v>450</v>
      </c>
      <c r="K1474" s="105" t="str">
        <f t="shared" si="53"/>
        <v>0016-1003-0012</v>
      </c>
      <c r="L1474" s="105" t="str">
        <f>VLOOKUP(K1474,COA!$A$3:$B$337,2,FALSE)</f>
        <v>R18</v>
      </c>
      <c r="M1474" s="105" t="str">
        <f t="shared" si="54"/>
        <v>R18</v>
      </c>
      <c r="N1474" s="105" t="str">
        <f>VLOOKUP(M1474,CAC!$A$2:$B$198,2,FALSE)</f>
        <v>HMOMG</v>
      </c>
    </row>
    <row r="1475" spans="5:14" x14ac:dyDescent="0.25">
      <c r="E1475" s="83">
        <v>201611</v>
      </c>
      <c r="F1475" s="82" t="s">
        <v>563</v>
      </c>
      <c r="G1475" s="82" t="s">
        <v>348</v>
      </c>
      <c r="H1475" s="82" t="s">
        <v>358</v>
      </c>
      <c r="I1475" s="95">
        <v>0</v>
      </c>
      <c r="K1475" s="105" t="str">
        <f t="shared" si="53"/>
        <v>0003-1010-0024</v>
      </c>
      <c r="L1475" s="105" t="str">
        <f>VLOOKUP(K1475,COA!$A$3:$B$337,2,FALSE)</f>
        <v>S56</v>
      </c>
      <c r="M1475" s="105" t="str">
        <f t="shared" si="54"/>
        <v>S56</v>
      </c>
      <c r="N1475" s="105" t="str">
        <f>VLOOKUP(M1475,CAC!$A$2:$B$198,2,FALSE)</f>
        <v>PPOSG</v>
      </c>
    </row>
    <row r="1476" spans="5:14" x14ac:dyDescent="0.25">
      <c r="E1476" s="83">
        <v>201706</v>
      </c>
      <c r="F1476" s="82" t="s">
        <v>345</v>
      </c>
      <c r="G1476" s="82" t="s">
        <v>365</v>
      </c>
      <c r="H1476" s="82" t="s">
        <v>367</v>
      </c>
      <c r="I1476" s="95">
        <v>740.94</v>
      </c>
      <c r="K1476" s="105" t="str">
        <f t="shared" ref="K1476:K1539" si="55">F1476&amp;"-"&amp;G1476&amp;"-"&amp;H1476</f>
        <v>0011-1001-0022</v>
      </c>
      <c r="L1476" s="105" t="str">
        <f>VLOOKUP(K1476,COA!$A$3:$B$337,2,FALSE)</f>
        <v>V14</v>
      </c>
      <c r="M1476" s="105" t="str">
        <f t="shared" ref="M1476:M1539" si="56">IF(ISNA(L1476),"XXX",L1476)</f>
        <v>V14</v>
      </c>
      <c r="N1476" s="105" t="str">
        <f>VLOOKUP(M1476,CAC!$A$2:$B$198,2,FALSE)</f>
        <v>HMOIFP</v>
      </c>
    </row>
    <row r="1477" spans="5:14" x14ac:dyDescent="0.25">
      <c r="E1477" s="83">
        <v>201607</v>
      </c>
      <c r="F1477" s="82" t="s">
        <v>413</v>
      </c>
      <c r="G1477" s="82" t="s">
        <v>365</v>
      </c>
      <c r="H1477" s="82" t="s">
        <v>411</v>
      </c>
      <c r="I1477" s="95">
        <v>0</v>
      </c>
      <c r="K1477" s="105" t="str">
        <f t="shared" si="55"/>
        <v>0008-1001-0007</v>
      </c>
      <c r="L1477" s="105" t="str">
        <f>VLOOKUP(K1477,COA!$A$3:$B$337,2,FALSE)</f>
        <v>C99</v>
      </c>
      <c r="M1477" s="105" t="str">
        <f t="shared" si="56"/>
        <v>C99</v>
      </c>
      <c r="N1477" s="105" t="str">
        <f>VLOOKUP(M1477,CAC!$A$2:$B$198,2,FALSE)</f>
        <v>DOIIFP</v>
      </c>
    </row>
    <row r="1478" spans="5:14" x14ac:dyDescent="0.25">
      <c r="E1478" s="83">
        <v>201709</v>
      </c>
      <c r="F1478" s="82" t="s">
        <v>345</v>
      </c>
      <c r="G1478" s="82" t="s">
        <v>354</v>
      </c>
      <c r="H1478" s="82" t="s">
        <v>368</v>
      </c>
      <c r="I1478" s="95">
        <v>1</v>
      </c>
      <c r="K1478" s="105" t="str">
        <f t="shared" si="55"/>
        <v>0011-1013-0056</v>
      </c>
      <c r="L1478" s="105" t="str">
        <f>VLOOKUP(K1478,COA!$A$3:$B$337,2,FALSE)</f>
        <v>N20</v>
      </c>
      <c r="M1478" s="105" t="str">
        <f t="shared" si="56"/>
        <v>N20</v>
      </c>
      <c r="N1478" s="105" t="str">
        <f>VLOOKUP(M1478,CAC!$A$2:$B$198,2,FALSE)</f>
        <v>HMOPMR</v>
      </c>
    </row>
    <row r="1479" spans="5:14" x14ac:dyDescent="0.25">
      <c r="E1479" s="83">
        <v>201604</v>
      </c>
      <c r="F1479" s="82" t="s">
        <v>344</v>
      </c>
      <c r="G1479" s="82" t="s">
        <v>356</v>
      </c>
      <c r="H1479" s="82" t="s">
        <v>344</v>
      </c>
      <c r="I1479" s="95">
        <v>4160</v>
      </c>
      <c r="K1479" s="105" t="str">
        <f t="shared" si="55"/>
        <v>0012-1002-0012</v>
      </c>
      <c r="L1479" s="105" t="str">
        <f>VLOOKUP(K1479,COA!$A$3:$B$337,2,FALSE)</f>
        <v>F22</v>
      </c>
      <c r="M1479" s="105" t="str">
        <f t="shared" si="56"/>
        <v>F22</v>
      </c>
      <c r="N1479" s="105" t="str">
        <f>VLOOKUP(M1479,CAC!$A$2:$B$198,2,FALSE)</f>
        <v>HMOPMR</v>
      </c>
    </row>
    <row r="1480" spans="5:14" x14ac:dyDescent="0.25">
      <c r="E1480" s="83">
        <v>201708</v>
      </c>
      <c r="F1480" s="82" t="s">
        <v>345</v>
      </c>
      <c r="G1480" s="82" t="s">
        <v>362</v>
      </c>
      <c r="H1480" s="82" t="s">
        <v>364</v>
      </c>
      <c r="I1480" s="95">
        <v>46935.839999999997</v>
      </c>
      <c r="K1480" s="105" t="str">
        <f t="shared" si="55"/>
        <v>0011-1008-0037</v>
      </c>
      <c r="L1480" s="105" t="str">
        <f>VLOOKUP(K1480,COA!$A$3:$B$337,2,FALSE)</f>
        <v>P12</v>
      </c>
      <c r="M1480" s="105" t="str">
        <f t="shared" si="56"/>
        <v>P12</v>
      </c>
      <c r="N1480" s="105" t="str">
        <f>VLOOKUP(M1480,CAC!$A$2:$B$198,2,FALSE)</f>
        <v>HMOPERA</v>
      </c>
    </row>
    <row r="1481" spans="5:14" x14ac:dyDescent="0.25">
      <c r="E1481" s="83">
        <v>201704</v>
      </c>
      <c r="F1481" s="82" t="s">
        <v>345</v>
      </c>
      <c r="G1481" s="82" t="s">
        <v>350</v>
      </c>
      <c r="H1481" s="82" t="s">
        <v>344</v>
      </c>
      <c r="I1481" s="95">
        <v>17365.5</v>
      </c>
      <c r="K1481" s="105" t="str">
        <f t="shared" si="55"/>
        <v>0011-1012-0012</v>
      </c>
      <c r="L1481" s="105" t="str">
        <f>VLOOKUP(K1481,COA!$A$3:$B$337,2,FALSE)</f>
        <v>K11</v>
      </c>
      <c r="M1481" s="105" t="str">
        <f t="shared" si="56"/>
        <v>K11</v>
      </c>
      <c r="N1481" s="105" t="str">
        <f>VLOOKUP(M1481,CAC!$A$2:$B$198,2,FALSE)</f>
        <v>HMOPMR</v>
      </c>
    </row>
    <row r="1482" spans="5:14" x14ac:dyDescent="0.25">
      <c r="E1482" s="83">
        <v>201611</v>
      </c>
      <c r="F1482" s="82" t="s">
        <v>344</v>
      </c>
      <c r="G1482" s="82" t="s">
        <v>352</v>
      </c>
      <c r="H1482" s="82" t="s">
        <v>344</v>
      </c>
      <c r="I1482" s="95">
        <v>339</v>
      </c>
      <c r="K1482" s="105" t="str">
        <f t="shared" si="55"/>
        <v>0012-1004-0012</v>
      </c>
      <c r="L1482" s="105" t="str">
        <f>VLOOKUP(K1482,COA!$A$3:$B$337,2,FALSE)</f>
        <v>L12</v>
      </c>
      <c r="M1482" s="105" t="str">
        <f t="shared" si="56"/>
        <v>L12</v>
      </c>
      <c r="N1482" s="105" t="str">
        <f>VLOOKUP(M1482,CAC!$A$2:$B$198,2,FALSE)</f>
        <v>HMOLG</v>
      </c>
    </row>
    <row r="1483" spans="5:14" x14ac:dyDescent="0.25">
      <c r="E1483" s="83">
        <v>201607</v>
      </c>
      <c r="F1483" s="82" t="s">
        <v>345</v>
      </c>
      <c r="G1483" s="82" t="s">
        <v>348</v>
      </c>
      <c r="H1483" s="82" t="s">
        <v>358</v>
      </c>
      <c r="I1483" s="95">
        <v>72</v>
      </c>
      <c r="K1483" s="105" t="str">
        <f t="shared" si="55"/>
        <v>0011-1010-0024</v>
      </c>
      <c r="L1483" s="105" t="str">
        <f>VLOOKUP(K1483,COA!$A$3:$B$337,2,FALSE)</f>
        <v>S14</v>
      </c>
      <c r="M1483" s="105" t="str">
        <f t="shared" si="56"/>
        <v>S14</v>
      </c>
      <c r="N1483" s="105" t="str">
        <f>VLOOKUP(M1483,CAC!$A$2:$B$198,2,FALSE)</f>
        <v>HMOSG</v>
      </c>
    </row>
    <row r="1484" spans="5:14" x14ac:dyDescent="0.25">
      <c r="E1484" s="83">
        <v>201508</v>
      </c>
      <c r="F1484" s="82" t="s">
        <v>345</v>
      </c>
      <c r="G1484" s="82" t="s">
        <v>362</v>
      </c>
      <c r="H1484" s="82" t="s">
        <v>364</v>
      </c>
      <c r="I1484" s="95">
        <v>39593.71</v>
      </c>
      <c r="K1484" s="105" t="str">
        <f t="shared" si="55"/>
        <v>0011-1008-0037</v>
      </c>
      <c r="L1484" s="105" t="str">
        <f>VLOOKUP(K1484,COA!$A$3:$B$337,2,FALSE)</f>
        <v>P12</v>
      </c>
      <c r="M1484" s="105" t="str">
        <f t="shared" si="56"/>
        <v>P12</v>
      </c>
      <c r="N1484" s="105" t="str">
        <f>VLOOKUP(M1484,CAC!$A$2:$B$198,2,FALSE)</f>
        <v>HMOPERA</v>
      </c>
    </row>
    <row r="1485" spans="5:14" x14ac:dyDescent="0.25">
      <c r="E1485" s="83">
        <v>201512</v>
      </c>
      <c r="F1485" s="82" t="s">
        <v>405</v>
      </c>
      <c r="G1485" s="82" t="s">
        <v>362</v>
      </c>
      <c r="H1485" s="82" t="s">
        <v>342</v>
      </c>
      <c r="I1485" s="95">
        <v>0</v>
      </c>
      <c r="K1485" s="105" t="str">
        <f t="shared" si="55"/>
        <v>0019-1008-0031</v>
      </c>
      <c r="L1485" s="105" t="str">
        <f>VLOOKUP(K1485,COA!$A$3:$B$337,2,FALSE)</f>
        <v>P53</v>
      </c>
      <c r="M1485" s="105" t="str">
        <f t="shared" si="56"/>
        <v>P53</v>
      </c>
      <c r="N1485" s="105" t="str">
        <f>VLOOKUP(M1485,CAC!$A$2:$B$198,2,FALSE)</f>
        <v>HMOPERA</v>
      </c>
    </row>
    <row r="1486" spans="5:14" x14ac:dyDescent="0.25">
      <c r="E1486" s="83">
        <v>201611</v>
      </c>
      <c r="F1486" s="82" t="s">
        <v>413</v>
      </c>
      <c r="G1486" s="82" t="s">
        <v>359</v>
      </c>
      <c r="H1486" s="82" t="s">
        <v>344</v>
      </c>
      <c r="I1486" s="95">
        <v>0</v>
      </c>
      <c r="K1486" s="105" t="str">
        <f t="shared" si="55"/>
        <v>0008-1005-0012</v>
      </c>
      <c r="L1486" s="105" t="str">
        <f>VLOOKUP(K1486,COA!$A$3:$B$337,2,FALSE)</f>
        <v>C73</v>
      </c>
      <c r="M1486" s="105" t="str">
        <f t="shared" si="56"/>
        <v>C73</v>
      </c>
      <c r="N1486" s="105" t="str">
        <f>VLOOKUP(M1486,CAC!$A$2:$B$198,2,FALSE)</f>
        <v>DOILG</v>
      </c>
    </row>
    <row r="1487" spans="5:14" x14ac:dyDescent="0.25">
      <c r="E1487" s="83">
        <v>201709</v>
      </c>
      <c r="F1487" s="82" t="s">
        <v>345</v>
      </c>
      <c r="G1487" s="82" t="s">
        <v>348</v>
      </c>
      <c r="H1487" s="82" t="s">
        <v>353</v>
      </c>
      <c r="I1487" s="95">
        <v>358</v>
      </c>
      <c r="K1487" s="105" t="str">
        <f t="shared" si="55"/>
        <v>0011-1010-0023</v>
      </c>
      <c r="L1487" s="105" t="str">
        <f>VLOOKUP(K1487,COA!$A$3:$B$337,2,FALSE)</f>
        <v>S13</v>
      </c>
      <c r="M1487" s="105" t="str">
        <f t="shared" si="56"/>
        <v>S13</v>
      </c>
      <c r="N1487" s="105" t="str">
        <f>VLOOKUP(M1487,CAC!$A$2:$B$198,2,FALSE)</f>
        <v>HMOSG</v>
      </c>
    </row>
    <row r="1488" spans="5:14" x14ac:dyDescent="0.25">
      <c r="E1488" s="83">
        <v>201705</v>
      </c>
      <c r="F1488" s="82" t="s">
        <v>746</v>
      </c>
      <c r="G1488" s="82" t="s">
        <v>350</v>
      </c>
      <c r="H1488" s="82" t="s">
        <v>344</v>
      </c>
      <c r="I1488" s="95">
        <v>27</v>
      </c>
      <c r="K1488" s="105" t="str">
        <f t="shared" si="55"/>
        <v>0016-1012-0012</v>
      </c>
      <c r="L1488" s="105" t="str">
        <f>VLOOKUP(K1488,COA!$A$3:$B$337,2,FALSE)</f>
        <v>R19</v>
      </c>
      <c r="M1488" s="105" t="str">
        <f t="shared" si="56"/>
        <v>R19</v>
      </c>
      <c r="N1488" s="105" t="str">
        <f>VLOOKUP(M1488,CAC!$A$2:$B$198,2,FALSE)</f>
        <v>HMOMG</v>
      </c>
    </row>
    <row r="1489" spans="5:14" x14ac:dyDescent="0.25">
      <c r="E1489" s="83">
        <v>201508</v>
      </c>
      <c r="F1489" s="82" t="s">
        <v>345</v>
      </c>
      <c r="G1489" s="82" t="s">
        <v>351</v>
      </c>
      <c r="H1489" s="82" t="s">
        <v>349</v>
      </c>
      <c r="I1489" s="95">
        <v>1</v>
      </c>
      <c r="K1489" s="105" t="str">
        <f t="shared" si="55"/>
        <v>0011-0000-0017</v>
      </c>
      <c r="L1489" s="105" t="e">
        <f>VLOOKUP(K1489,COA!$A$3:$B$337,2,FALSE)</f>
        <v>#N/A</v>
      </c>
      <c r="M1489" s="105" t="str">
        <f t="shared" si="56"/>
        <v>XXX</v>
      </c>
      <c r="N1489" s="105" t="str">
        <f>VLOOKUP(M1489,CAC!$A$2:$B$198,2,FALSE)</f>
        <v>XXX</v>
      </c>
    </row>
    <row r="1490" spans="5:14" x14ac:dyDescent="0.25">
      <c r="E1490" s="83">
        <v>201702</v>
      </c>
      <c r="F1490" s="82" t="s">
        <v>345</v>
      </c>
      <c r="G1490" s="82" t="s">
        <v>346</v>
      </c>
      <c r="H1490" s="82" t="s">
        <v>344</v>
      </c>
      <c r="I1490" s="95">
        <v>0</v>
      </c>
      <c r="K1490" s="105" t="str">
        <f t="shared" si="55"/>
        <v>0011-1014-0012</v>
      </c>
      <c r="L1490" s="105" t="e">
        <f>VLOOKUP(K1490,COA!$A$3:$B$337,2,FALSE)</f>
        <v>#N/A</v>
      </c>
      <c r="M1490" s="105" t="str">
        <f t="shared" si="56"/>
        <v>XXX</v>
      </c>
      <c r="N1490" s="105" t="str">
        <f>VLOOKUP(M1490,CAC!$A$2:$B$198,2,FALSE)</f>
        <v>XXX</v>
      </c>
    </row>
    <row r="1491" spans="5:14" x14ac:dyDescent="0.25">
      <c r="E1491" s="83">
        <v>201508</v>
      </c>
      <c r="F1491" s="82" t="s">
        <v>342</v>
      </c>
      <c r="G1491" s="82" t="s">
        <v>343</v>
      </c>
      <c r="H1491" s="82" t="s">
        <v>344</v>
      </c>
      <c r="I1491" s="95">
        <v>6581.45</v>
      </c>
      <c r="K1491" s="105" t="str">
        <f t="shared" si="55"/>
        <v>0031-1000-0012</v>
      </c>
      <c r="L1491" s="105" t="str">
        <f>VLOOKUP(K1491,COA!$A$3:$B$337,2,FALSE)</f>
        <v>F27</v>
      </c>
      <c r="M1491" s="105" t="str">
        <f t="shared" si="56"/>
        <v>F27</v>
      </c>
      <c r="N1491" s="105" t="str">
        <f>VLOOKUP(M1491,CAC!$A$2:$B$198,2,FALSE)</f>
        <v>HMOFEP</v>
      </c>
    </row>
    <row r="1492" spans="5:14" x14ac:dyDescent="0.25">
      <c r="E1492" s="83">
        <v>201702</v>
      </c>
      <c r="F1492" s="82" t="s">
        <v>506</v>
      </c>
      <c r="G1492" s="82" t="s">
        <v>354</v>
      </c>
      <c r="H1492" s="82" t="s">
        <v>592</v>
      </c>
      <c r="I1492" s="95">
        <v>0</v>
      </c>
      <c r="K1492" s="105" t="str">
        <f t="shared" si="55"/>
        <v>0013-1013-0035</v>
      </c>
      <c r="L1492" s="105" t="str">
        <f>VLOOKUP(K1492,COA!$A$3:$B$337,2,FALSE)</f>
        <v>N44</v>
      </c>
      <c r="M1492" s="105" t="str">
        <f t="shared" si="56"/>
        <v>N44</v>
      </c>
      <c r="N1492" s="105" t="e">
        <f>VLOOKUP(M1492,CAC!$A$2:$B$198,2,FALSE)</f>
        <v>#N/A</v>
      </c>
    </row>
    <row r="1493" spans="5:14" x14ac:dyDescent="0.25">
      <c r="E1493" s="83">
        <v>201605</v>
      </c>
      <c r="F1493" s="82" t="s">
        <v>563</v>
      </c>
      <c r="G1493" s="82" t="s">
        <v>369</v>
      </c>
      <c r="H1493" s="82" t="s">
        <v>345</v>
      </c>
      <c r="I1493" s="95">
        <v>0</v>
      </c>
      <c r="K1493" s="105" t="str">
        <f t="shared" si="55"/>
        <v>0003-1009-0011</v>
      </c>
      <c r="L1493" s="105" t="str">
        <f>VLOOKUP(K1493,COA!$A$3:$B$337,2,FALSE)</f>
        <v>V91</v>
      </c>
      <c r="M1493" s="105" t="str">
        <f t="shared" si="56"/>
        <v>V91</v>
      </c>
      <c r="N1493" s="105" t="str">
        <f>VLOOKUP(M1493,CAC!$A$2:$B$198,2,FALSE)</f>
        <v>PPOMM</v>
      </c>
    </row>
    <row r="1494" spans="5:14" x14ac:dyDescent="0.25">
      <c r="E1494" s="83">
        <v>201710</v>
      </c>
      <c r="F1494" s="82" t="s">
        <v>563</v>
      </c>
      <c r="G1494" s="82" t="s">
        <v>354</v>
      </c>
      <c r="H1494" s="82" t="s">
        <v>360</v>
      </c>
      <c r="I1494" s="95">
        <v>0</v>
      </c>
      <c r="K1494" s="105" t="str">
        <f t="shared" si="55"/>
        <v>0003-1013-0048</v>
      </c>
      <c r="L1494" s="105" t="str">
        <f>VLOOKUP(K1494,COA!$A$3:$B$337,2,FALSE)</f>
        <v>N56</v>
      </c>
      <c r="M1494" s="105" t="str">
        <f t="shared" si="56"/>
        <v>N56</v>
      </c>
      <c r="N1494" s="105" t="str">
        <f>VLOOKUP(M1494,CAC!$A$2:$B$198,2,FALSE)</f>
        <v>HMFLEX</v>
      </c>
    </row>
    <row r="1495" spans="5:14" x14ac:dyDescent="0.25">
      <c r="E1495" s="83">
        <v>201503</v>
      </c>
      <c r="F1495" s="82" t="s">
        <v>345</v>
      </c>
      <c r="G1495" s="82" t="s">
        <v>356</v>
      </c>
      <c r="H1495" s="82" t="s">
        <v>344</v>
      </c>
      <c r="I1495" s="95">
        <v>145</v>
      </c>
      <c r="K1495" s="105" t="str">
        <f t="shared" si="55"/>
        <v>0011-1002-0012</v>
      </c>
      <c r="L1495" s="105" t="str">
        <f>VLOOKUP(K1495,COA!$A$3:$B$337,2,FALSE)</f>
        <v>F20</v>
      </c>
      <c r="M1495" s="105" t="str">
        <f t="shared" si="56"/>
        <v>F20</v>
      </c>
      <c r="N1495" s="105" t="str">
        <f>VLOOKUP(M1495,CAC!$A$2:$B$198,2,FALSE)</f>
        <v>HMOPMR</v>
      </c>
    </row>
    <row r="1496" spans="5:14" x14ac:dyDescent="0.25">
      <c r="E1496" s="83">
        <v>201611</v>
      </c>
      <c r="F1496" s="82" t="s">
        <v>345</v>
      </c>
      <c r="G1496" s="82" t="s">
        <v>348</v>
      </c>
      <c r="H1496" s="82" t="s">
        <v>358</v>
      </c>
      <c r="I1496" s="95">
        <v>82</v>
      </c>
      <c r="K1496" s="105" t="str">
        <f t="shared" si="55"/>
        <v>0011-1010-0024</v>
      </c>
      <c r="L1496" s="105" t="str">
        <f>VLOOKUP(K1496,COA!$A$3:$B$337,2,FALSE)</f>
        <v>S14</v>
      </c>
      <c r="M1496" s="105" t="str">
        <f t="shared" si="56"/>
        <v>S14</v>
      </c>
      <c r="N1496" s="105" t="str">
        <f>VLOOKUP(M1496,CAC!$A$2:$B$198,2,FALSE)</f>
        <v>HMOSG</v>
      </c>
    </row>
    <row r="1497" spans="5:14" x14ac:dyDescent="0.25">
      <c r="E1497" s="83">
        <v>201705</v>
      </c>
      <c r="F1497" s="82" t="s">
        <v>563</v>
      </c>
      <c r="G1497" s="82" t="s">
        <v>350</v>
      </c>
      <c r="H1497" s="82" t="s">
        <v>344</v>
      </c>
      <c r="I1497" s="95">
        <v>0</v>
      </c>
      <c r="K1497" s="105" t="str">
        <f t="shared" si="55"/>
        <v>0003-1012-0012</v>
      </c>
      <c r="L1497" s="105" t="str">
        <f>VLOOKUP(K1497,COA!$A$3:$B$337,2,FALSE)</f>
        <v>K51</v>
      </c>
      <c r="M1497" s="105" t="str">
        <f t="shared" si="56"/>
        <v>K51</v>
      </c>
      <c r="N1497" s="105" t="str">
        <f>VLOOKUP(M1497,CAC!$A$2:$B$198,2,FALSE)</f>
        <v>PPOPMR</v>
      </c>
    </row>
    <row r="1498" spans="5:14" x14ac:dyDescent="0.25">
      <c r="E1498" s="83">
        <v>201508</v>
      </c>
      <c r="F1498" s="82" t="s">
        <v>506</v>
      </c>
      <c r="G1498" s="82" t="s">
        <v>350</v>
      </c>
      <c r="H1498" s="82" t="s">
        <v>592</v>
      </c>
      <c r="I1498" s="95">
        <v>0</v>
      </c>
      <c r="K1498" s="105" t="str">
        <f t="shared" si="55"/>
        <v>0013-1012-0035</v>
      </c>
      <c r="L1498" s="105" t="str">
        <f>VLOOKUP(K1498,COA!$A$3:$B$337,2,FALSE)</f>
        <v>K41</v>
      </c>
      <c r="M1498" s="105" t="str">
        <f t="shared" si="56"/>
        <v>K41</v>
      </c>
      <c r="N1498" s="105" t="e">
        <f>VLOOKUP(M1498,CAC!$A$2:$B$198,2,FALSE)</f>
        <v>#N/A</v>
      </c>
    </row>
    <row r="1499" spans="5:14" x14ac:dyDescent="0.25">
      <c r="E1499" s="83">
        <v>201512</v>
      </c>
      <c r="F1499" s="82" t="s">
        <v>563</v>
      </c>
      <c r="G1499" s="82" t="s">
        <v>350</v>
      </c>
      <c r="H1499" s="82" t="s">
        <v>360</v>
      </c>
      <c r="I1499" s="95">
        <v>0</v>
      </c>
      <c r="K1499" s="105" t="str">
        <f t="shared" si="55"/>
        <v>0003-1012-0048</v>
      </c>
      <c r="L1499" s="105" t="str">
        <f>VLOOKUP(K1499,COA!$A$3:$B$337,2,FALSE)</f>
        <v>K56</v>
      </c>
      <c r="M1499" s="105" t="str">
        <f t="shared" si="56"/>
        <v>K56</v>
      </c>
      <c r="N1499" s="105" t="str">
        <f>VLOOKUP(M1499,CAC!$A$2:$B$198,2,FALSE)</f>
        <v>HMFLEX</v>
      </c>
    </row>
    <row r="1500" spans="5:14" x14ac:dyDescent="0.25">
      <c r="E1500" s="83">
        <v>201605</v>
      </c>
      <c r="F1500" s="82" t="s">
        <v>563</v>
      </c>
      <c r="G1500" s="82" t="s">
        <v>350</v>
      </c>
      <c r="H1500" s="82" t="s">
        <v>360</v>
      </c>
      <c r="I1500" s="95">
        <v>0</v>
      </c>
      <c r="K1500" s="105" t="str">
        <f t="shared" si="55"/>
        <v>0003-1012-0048</v>
      </c>
      <c r="L1500" s="105" t="str">
        <f>VLOOKUP(K1500,COA!$A$3:$B$337,2,FALSE)</f>
        <v>K56</v>
      </c>
      <c r="M1500" s="105" t="str">
        <f t="shared" si="56"/>
        <v>K56</v>
      </c>
      <c r="N1500" s="105" t="str">
        <f>VLOOKUP(M1500,CAC!$A$2:$B$198,2,FALSE)</f>
        <v>HMFLEX</v>
      </c>
    </row>
    <row r="1501" spans="5:14" x14ac:dyDescent="0.25">
      <c r="E1501" s="83">
        <v>201507</v>
      </c>
      <c r="F1501" s="82" t="s">
        <v>563</v>
      </c>
      <c r="G1501" s="82" t="s">
        <v>352</v>
      </c>
      <c r="H1501" s="82" t="s">
        <v>653</v>
      </c>
      <c r="I1501" s="95">
        <v>0</v>
      </c>
      <c r="K1501" s="105" t="str">
        <f t="shared" si="55"/>
        <v>0003-1004-0047</v>
      </c>
      <c r="L1501" s="105" t="str">
        <f>VLOOKUP(K1501,COA!$A$3:$B$337,2,FALSE)</f>
        <v>L57</v>
      </c>
      <c r="M1501" s="105" t="str">
        <f t="shared" si="56"/>
        <v>L57</v>
      </c>
      <c r="N1501" s="105" t="str">
        <f>VLOOKUP(M1501,CAC!$A$2:$B$198,2,FALSE)</f>
        <v>PPOLG</v>
      </c>
    </row>
    <row r="1502" spans="5:14" x14ac:dyDescent="0.25">
      <c r="E1502" s="83">
        <v>201704</v>
      </c>
      <c r="F1502" s="82" t="s">
        <v>345</v>
      </c>
      <c r="G1502" s="82" t="s">
        <v>355</v>
      </c>
      <c r="H1502" s="82" t="s">
        <v>344</v>
      </c>
      <c r="I1502" s="95">
        <v>15864.25</v>
      </c>
      <c r="K1502" s="105" t="str">
        <f t="shared" si="55"/>
        <v>0011-1006-0012</v>
      </c>
      <c r="L1502" s="105" t="str">
        <f>VLOOKUP(K1502,COA!$A$3:$B$337,2,FALSE)</f>
        <v>L13</v>
      </c>
      <c r="M1502" s="105" t="str">
        <f t="shared" si="56"/>
        <v>L13</v>
      </c>
      <c r="N1502" s="105" t="str">
        <f>VLOOKUP(M1502,CAC!$A$2:$B$198,2,FALSE)</f>
        <v>HMOLG</v>
      </c>
    </row>
    <row r="1503" spans="5:14" x14ac:dyDescent="0.25">
      <c r="E1503" s="83">
        <v>201708</v>
      </c>
      <c r="F1503" s="82" t="s">
        <v>345</v>
      </c>
      <c r="G1503" s="82" t="s">
        <v>361</v>
      </c>
      <c r="H1503" s="82" t="s">
        <v>344</v>
      </c>
      <c r="I1503" s="95">
        <v>906</v>
      </c>
      <c r="K1503" s="105" t="str">
        <f t="shared" si="55"/>
        <v>0011-1003-0012</v>
      </c>
      <c r="L1503" s="105" t="str">
        <f>VLOOKUP(K1503,COA!$A$3:$B$337,2,FALSE)</f>
        <v>N16</v>
      </c>
      <c r="M1503" s="105" t="str">
        <f t="shared" si="56"/>
        <v>N16</v>
      </c>
      <c r="N1503" s="105" t="str">
        <f>VLOOKUP(M1503,CAC!$A$2:$B$198,2,FALSE)</f>
        <v>HMOPMR</v>
      </c>
    </row>
    <row r="1504" spans="5:14" x14ac:dyDescent="0.25">
      <c r="E1504" s="83">
        <v>201602</v>
      </c>
      <c r="F1504" s="82" t="s">
        <v>563</v>
      </c>
      <c r="G1504" s="82" t="s">
        <v>365</v>
      </c>
      <c r="H1504" s="82" t="s">
        <v>411</v>
      </c>
      <c r="I1504" s="95">
        <v>0</v>
      </c>
      <c r="K1504" s="105" t="str">
        <f t="shared" si="55"/>
        <v>0003-1001-0007</v>
      </c>
      <c r="L1504" s="105" t="str">
        <f>VLOOKUP(K1504,COA!$A$3:$B$337,2,FALSE)</f>
        <v>V52</v>
      </c>
      <c r="M1504" s="105" t="str">
        <f t="shared" si="56"/>
        <v>V52</v>
      </c>
      <c r="N1504" s="105" t="str">
        <f>VLOOKUP(M1504,CAC!$A$2:$B$198,2,FALSE)</f>
        <v>PPOIFP</v>
      </c>
    </row>
    <row r="1505" spans="5:14" x14ac:dyDescent="0.25">
      <c r="E1505" s="83">
        <v>201705</v>
      </c>
      <c r="F1505" s="82" t="s">
        <v>563</v>
      </c>
      <c r="G1505" s="82" t="s">
        <v>354</v>
      </c>
      <c r="H1505" s="82" t="s">
        <v>626</v>
      </c>
      <c r="I1505" s="95">
        <v>0</v>
      </c>
      <c r="K1505" s="105" t="str">
        <f t="shared" si="55"/>
        <v>0003-1013-0057</v>
      </c>
      <c r="L1505" s="105" t="str">
        <f>VLOOKUP(K1505,COA!$A$3:$B$337,2,FALSE)</f>
        <v>N55</v>
      </c>
      <c r="M1505" s="105" t="str">
        <f t="shared" si="56"/>
        <v>N55</v>
      </c>
      <c r="N1505" s="105" t="str">
        <f>VLOOKUP(M1505,CAC!$A$2:$B$198,2,FALSE)</f>
        <v>PPOPMR</v>
      </c>
    </row>
    <row r="1506" spans="5:14" x14ac:dyDescent="0.25">
      <c r="E1506" s="83">
        <v>201511</v>
      </c>
      <c r="F1506" s="82" t="s">
        <v>563</v>
      </c>
      <c r="G1506" s="82" t="s">
        <v>365</v>
      </c>
      <c r="H1506" s="82" t="s">
        <v>367</v>
      </c>
      <c r="I1506" s="95">
        <v>0</v>
      </c>
      <c r="K1506" s="105" t="str">
        <f t="shared" si="55"/>
        <v>0003-1001-0022</v>
      </c>
      <c r="L1506" s="105" t="str">
        <f>VLOOKUP(K1506,COA!$A$3:$B$337,2,FALSE)</f>
        <v>V54</v>
      </c>
      <c r="M1506" s="105" t="str">
        <f t="shared" si="56"/>
        <v>V54</v>
      </c>
      <c r="N1506" s="105" t="str">
        <f>VLOOKUP(M1506,CAC!$A$2:$B$198,2,FALSE)</f>
        <v>PPOIFP</v>
      </c>
    </row>
    <row r="1507" spans="5:14" x14ac:dyDescent="0.25">
      <c r="E1507" s="83">
        <v>201711</v>
      </c>
      <c r="F1507" s="82" t="s">
        <v>345</v>
      </c>
      <c r="G1507" s="82" t="s">
        <v>359</v>
      </c>
      <c r="H1507" s="82" t="s">
        <v>344</v>
      </c>
      <c r="I1507" s="95">
        <v>7048.5</v>
      </c>
      <c r="K1507" s="105" t="str">
        <f t="shared" si="55"/>
        <v>0011-1005-0012</v>
      </c>
      <c r="L1507" s="105" t="str">
        <f>VLOOKUP(K1507,COA!$A$3:$B$337,2,FALSE)</f>
        <v>N11</v>
      </c>
      <c r="M1507" s="105" t="str">
        <f t="shared" si="56"/>
        <v>N11</v>
      </c>
      <c r="N1507" s="105" t="str">
        <f>VLOOKUP(M1507,CAC!$A$2:$B$198,2,FALSE)</f>
        <v>HMOLG</v>
      </c>
    </row>
    <row r="1508" spans="5:14" x14ac:dyDescent="0.25">
      <c r="E1508" s="83">
        <v>201512</v>
      </c>
      <c r="F1508" s="82" t="s">
        <v>563</v>
      </c>
      <c r="G1508" s="82" t="s">
        <v>365</v>
      </c>
      <c r="H1508" s="82" t="s">
        <v>344</v>
      </c>
      <c r="I1508" s="95">
        <v>0</v>
      </c>
      <c r="K1508" s="105" t="str">
        <f t="shared" si="55"/>
        <v>0003-1001-0012</v>
      </c>
      <c r="L1508" s="105" t="str">
        <f>VLOOKUP(K1508,COA!$A$3:$B$337,2,FALSE)</f>
        <v>V51</v>
      </c>
      <c r="M1508" s="105" t="str">
        <f t="shared" si="56"/>
        <v>V51</v>
      </c>
      <c r="N1508" s="105" t="str">
        <f>VLOOKUP(M1508,CAC!$A$2:$B$198,2,FALSE)</f>
        <v>PPOIFP</v>
      </c>
    </row>
    <row r="1509" spans="5:14" x14ac:dyDescent="0.25">
      <c r="E1509" s="83">
        <v>201702</v>
      </c>
      <c r="F1509" s="82" t="s">
        <v>506</v>
      </c>
      <c r="G1509" s="82" t="s">
        <v>359</v>
      </c>
      <c r="H1509" s="82" t="s">
        <v>592</v>
      </c>
      <c r="I1509" s="95">
        <v>0</v>
      </c>
      <c r="K1509" s="105" t="str">
        <f t="shared" si="55"/>
        <v>0013-1005-0035</v>
      </c>
      <c r="L1509" s="105" t="str">
        <f>VLOOKUP(K1509,COA!$A$3:$B$337,2,FALSE)</f>
        <v>N41</v>
      </c>
      <c r="M1509" s="105" t="str">
        <f t="shared" si="56"/>
        <v>N41</v>
      </c>
      <c r="N1509" s="105" t="e">
        <f>VLOOKUP(M1509,CAC!$A$2:$B$198,2,FALSE)</f>
        <v>#N/A</v>
      </c>
    </row>
    <row r="1510" spans="5:14" x14ac:dyDescent="0.25">
      <c r="E1510" s="83">
        <v>201511</v>
      </c>
      <c r="F1510" s="82" t="s">
        <v>344</v>
      </c>
      <c r="G1510" s="82" t="s">
        <v>355</v>
      </c>
      <c r="H1510" s="82" t="s">
        <v>344</v>
      </c>
      <c r="I1510" s="95">
        <v>238</v>
      </c>
      <c r="K1510" s="105" t="str">
        <f t="shared" si="55"/>
        <v>0012-1006-0012</v>
      </c>
      <c r="L1510" s="105" t="str">
        <f>VLOOKUP(K1510,COA!$A$3:$B$337,2,FALSE)</f>
        <v>L16</v>
      </c>
      <c r="M1510" s="105" t="str">
        <f t="shared" si="56"/>
        <v>L16</v>
      </c>
      <c r="N1510" s="105" t="str">
        <f>VLOOKUP(M1510,CAC!$A$2:$B$198,2,FALSE)</f>
        <v>HMOLG</v>
      </c>
    </row>
    <row r="1511" spans="5:14" x14ac:dyDescent="0.25">
      <c r="E1511" s="83">
        <v>201511</v>
      </c>
      <c r="F1511" s="82" t="s">
        <v>344</v>
      </c>
      <c r="G1511" s="82" t="s">
        <v>354</v>
      </c>
      <c r="H1511" s="82" t="s">
        <v>344</v>
      </c>
      <c r="I1511" s="95">
        <v>274</v>
      </c>
      <c r="K1511" s="105" t="str">
        <f t="shared" si="55"/>
        <v>0012-1013-0012</v>
      </c>
      <c r="L1511" s="105" t="str">
        <f>VLOOKUP(K1511,COA!$A$3:$B$337,2,FALSE)</f>
        <v>N14</v>
      </c>
      <c r="M1511" s="105" t="str">
        <f t="shared" si="56"/>
        <v>N14</v>
      </c>
      <c r="N1511" s="105" t="str">
        <f>VLOOKUP(M1511,CAC!$A$2:$B$198,2,FALSE)</f>
        <v>HMOPMR</v>
      </c>
    </row>
    <row r="1512" spans="5:14" x14ac:dyDescent="0.25">
      <c r="E1512" s="83">
        <v>201604</v>
      </c>
      <c r="F1512" s="82" t="s">
        <v>345</v>
      </c>
      <c r="G1512" s="82" t="s">
        <v>362</v>
      </c>
      <c r="H1512" s="82" t="s">
        <v>364</v>
      </c>
      <c r="I1512" s="95">
        <v>38117.599999999999</v>
      </c>
      <c r="K1512" s="105" t="str">
        <f t="shared" si="55"/>
        <v>0011-1008-0037</v>
      </c>
      <c r="L1512" s="105" t="str">
        <f>VLOOKUP(K1512,COA!$A$3:$B$337,2,FALSE)</f>
        <v>P12</v>
      </c>
      <c r="M1512" s="105" t="str">
        <f t="shared" si="56"/>
        <v>P12</v>
      </c>
      <c r="N1512" s="105" t="str">
        <f>VLOOKUP(M1512,CAC!$A$2:$B$198,2,FALSE)</f>
        <v>HMOPERA</v>
      </c>
    </row>
    <row r="1513" spans="5:14" x14ac:dyDescent="0.25">
      <c r="E1513" s="83">
        <v>201603</v>
      </c>
      <c r="F1513" s="82" t="s">
        <v>345</v>
      </c>
      <c r="G1513" s="82" t="s">
        <v>346</v>
      </c>
      <c r="H1513" s="82" t="s">
        <v>360</v>
      </c>
      <c r="I1513" s="95">
        <v>369</v>
      </c>
      <c r="K1513" s="105" t="str">
        <f t="shared" si="55"/>
        <v>0011-1014-0048</v>
      </c>
      <c r="L1513" s="105" t="str">
        <f>VLOOKUP(K1513,COA!$A$3:$B$337,2,FALSE)</f>
        <v>K23</v>
      </c>
      <c r="M1513" s="105" t="str">
        <f t="shared" si="56"/>
        <v>K23</v>
      </c>
      <c r="N1513" s="105" t="str">
        <f>VLOOKUP(M1513,CAC!$A$2:$B$198,2,FALSE)</f>
        <v>HMFLEX</v>
      </c>
    </row>
    <row r="1514" spans="5:14" x14ac:dyDescent="0.25">
      <c r="E1514" s="83">
        <v>201608</v>
      </c>
      <c r="F1514" s="82" t="s">
        <v>506</v>
      </c>
      <c r="G1514" s="82" t="s">
        <v>350</v>
      </c>
      <c r="H1514" s="82" t="s">
        <v>592</v>
      </c>
      <c r="I1514" s="95">
        <v>0</v>
      </c>
      <c r="K1514" s="105" t="str">
        <f t="shared" si="55"/>
        <v>0013-1012-0035</v>
      </c>
      <c r="L1514" s="105" t="str">
        <f>VLOOKUP(K1514,COA!$A$3:$B$337,2,FALSE)</f>
        <v>K41</v>
      </c>
      <c r="M1514" s="105" t="str">
        <f t="shared" si="56"/>
        <v>K41</v>
      </c>
      <c r="N1514" s="105" t="e">
        <f>VLOOKUP(M1514,CAC!$A$2:$B$198,2,FALSE)</f>
        <v>#N/A</v>
      </c>
    </row>
    <row r="1515" spans="5:14" x14ac:dyDescent="0.25">
      <c r="E1515" s="83">
        <v>201712</v>
      </c>
      <c r="F1515" s="82" t="s">
        <v>345</v>
      </c>
      <c r="G1515" s="82" t="s">
        <v>365</v>
      </c>
      <c r="H1515" s="82" t="s">
        <v>366</v>
      </c>
      <c r="I1515" s="95">
        <v>1492.64</v>
      </c>
      <c r="K1515" s="105" t="str">
        <f t="shared" si="55"/>
        <v>0011-1001-0021</v>
      </c>
      <c r="L1515" s="105" t="str">
        <f>VLOOKUP(K1515,COA!$A$3:$B$337,2,FALSE)</f>
        <v>V13</v>
      </c>
      <c r="M1515" s="105" t="str">
        <f t="shared" si="56"/>
        <v>V13</v>
      </c>
      <c r="N1515" s="105" t="str">
        <f>VLOOKUP(M1515,CAC!$A$2:$B$198,2,FALSE)</f>
        <v>HMOIFP</v>
      </c>
    </row>
    <row r="1516" spans="5:14" x14ac:dyDescent="0.25">
      <c r="E1516" s="83">
        <v>201607</v>
      </c>
      <c r="F1516" s="82" t="s">
        <v>349</v>
      </c>
      <c r="G1516" s="82" t="s">
        <v>369</v>
      </c>
      <c r="H1516" s="82" t="s">
        <v>764</v>
      </c>
      <c r="I1516" s="95">
        <v>3</v>
      </c>
      <c r="K1516" s="105" t="str">
        <f t="shared" si="55"/>
        <v>0017-1009-0064</v>
      </c>
      <c r="L1516" s="105" t="str">
        <f>VLOOKUP(K1516,COA!$A$3:$B$337,2,FALSE)</f>
        <v>R15</v>
      </c>
      <c r="M1516" s="105" t="str">
        <f t="shared" si="56"/>
        <v>R15</v>
      </c>
      <c r="N1516" s="105" t="str">
        <f>VLOOKUP(M1516,CAC!$A$2:$B$198,2,FALSE)</f>
        <v>HMOMM</v>
      </c>
    </row>
    <row r="1517" spans="5:14" x14ac:dyDescent="0.25">
      <c r="E1517" s="83">
        <v>201708</v>
      </c>
      <c r="F1517" s="82" t="s">
        <v>345</v>
      </c>
      <c r="G1517" s="82" t="s">
        <v>348</v>
      </c>
      <c r="H1517" s="82" t="s">
        <v>358</v>
      </c>
      <c r="I1517" s="95">
        <v>129</v>
      </c>
      <c r="K1517" s="105" t="str">
        <f t="shared" si="55"/>
        <v>0011-1010-0024</v>
      </c>
      <c r="L1517" s="105" t="str">
        <f>VLOOKUP(K1517,COA!$A$3:$B$337,2,FALSE)</f>
        <v>S14</v>
      </c>
      <c r="M1517" s="105" t="str">
        <f t="shared" si="56"/>
        <v>S14</v>
      </c>
      <c r="N1517" s="105" t="str">
        <f>VLOOKUP(M1517,CAC!$A$2:$B$198,2,FALSE)</f>
        <v>HMOSG</v>
      </c>
    </row>
    <row r="1518" spans="5:14" x14ac:dyDescent="0.25">
      <c r="E1518" s="83">
        <v>201606</v>
      </c>
      <c r="F1518" s="82" t="s">
        <v>746</v>
      </c>
      <c r="G1518" s="82" t="s">
        <v>350</v>
      </c>
      <c r="H1518" s="82" t="s">
        <v>344</v>
      </c>
      <c r="I1518" s="95">
        <v>63</v>
      </c>
      <c r="K1518" s="105" t="str">
        <f t="shared" si="55"/>
        <v>0016-1012-0012</v>
      </c>
      <c r="L1518" s="105" t="str">
        <f>VLOOKUP(K1518,COA!$A$3:$B$337,2,FALSE)</f>
        <v>R19</v>
      </c>
      <c r="M1518" s="105" t="str">
        <f t="shared" si="56"/>
        <v>R19</v>
      </c>
      <c r="N1518" s="105" t="str">
        <f>VLOOKUP(M1518,CAC!$A$2:$B$198,2,FALSE)</f>
        <v>HMOMG</v>
      </c>
    </row>
    <row r="1519" spans="5:14" x14ac:dyDescent="0.25">
      <c r="E1519" s="83">
        <v>201701</v>
      </c>
      <c r="F1519" s="82" t="s">
        <v>563</v>
      </c>
      <c r="G1519" s="82" t="s">
        <v>365</v>
      </c>
      <c r="H1519" s="82" t="s">
        <v>344</v>
      </c>
      <c r="I1519" s="95">
        <v>0</v>
      </c>
      <c r="K1519" s="105" t="str">
        <f t="shared" si="55"/>
        <v>0003-1001-0012</v>
      </c>
      <c r="L1519" s="105" t="str">
        <f>VLOOKUP(K1519,COA!$A$3:$B$337,2,FALSE)</f>
        <v>V51</v>
      </c>
      <c r="M1519" s="105" t="str">
        <f t="shared" si="56"/>
        <v>V51</v>
      </c>
      <c r="N1519" s="105" t="str">
        <f>VLOOKUP(M1519,CAC!$A$2:$B$198,2,FALSE)</f>
        <v>PPOIFP</v>
      </c>
    </row>
    <row r="1520" spans="5:14" x14ac:dyDescent="0.25">
      <c r="E1520" s="83">
        <v>201605</v>
      </c>
      <c r="F1520" s="82" t="s">
        <v>746</v>
      </c>
      <c r="G1520" s="82" t="s">
        <v>361</v>
      </c>
      <c r="H1520" s="82" t="s">
        <v>344</v>
      </c>
      <c r="I1520" s="95">
        <v>470</v>
      </c>
      <c r="K1520" s="105" t="str">
        <f t="shared" si="55"/>
        <v>0016-1003-0012</v>
      </c>
      <c r="L1520" s="105" t="str">
        <f>VLOOKUP(K1520,COA!$A$3:$B$337,2,FALSE)</f>
        <v>R18</v>
      </c>
      <c r="M1520" s="105" t="str">
        <f t="shared" si="56"/>
        <v>R18</v>
      </c>
      <c r="N1520" s="105" t="str">
        <f>VLOOKUP(M1520,CAC!$A$2:$B$198,2,FALSE)</f>
        <v>HMOMG</v>
      </c>
    </row>
    <row r="1521" spans="5:14" x14ac:dyDescent="0.25">
      <c r="E1521" s="83">
        <v>201503</v>
      </c>
      <c r="F1521" s="82" t="s">
        <v>345</v>
      </c>
      <c r="G1521" s="82" t="s">
        <v>346</v>
      </c>
      <c r="H1521" s="82" t="s">
        <v>347</v>
      </c>
      <c r="I1521" s="95">
        <v>12</v>
      </c>
      <c r="K1521" s="105" t="str">
        <f t="shared" si="55"/>
        <v>0011-1014-0039</v>
      </c>
      <c r="L1521" s="105" t="str">
        <f>VLOOKUP(K1521,COA!$A$3:$B$337,2,FALSE)</f>
        <v>K24</v>
      </c>
      <c r="M1521" s="105" t="str">
        <f t="shared" si="56"/>
        <v>K24</v>
      </c>
      <c r="N1521" s="105" t="str">
        <f>VLOOKUP(M1521,CAC!$A$2:$B$198,2,FALSE)</f>
        <v>HMFLEX</v>
      </c>
    </row>
    <row r="1522" spans="5:14" x14ac:dyDescent="0.25">
      <c r="E1522" s="83">
        <v>201712</v>
      </c>
      <c r="F1522" s="82" t="s">
        <v>746</v>
      </c>
      <c r="G1522" s="82" t="s">
        <v>356</v>
      </c>
      <c r="H1522" s="82" t="s">
        <v>344</v>
      </c>
      <c r="I1522" s="95">
        <v>140</v>
      </c>
      <c r="K1522" s="105" t="str">
        <f t="shared" si="55"/>
        <v>0016-1002-0012</v>
      </c>
      <c r="L1522" s="105" t="str">
        <f>VLOOKUP(K1522,COA!$A$3:$B$337,2,FALSE)</f>
        <v>R18</v>
      </c>
      <c r="M1522" s="105" t="str">
        <f t="shared" si="56"/>
        <v>R18</v>
      </c>
      <c r="N1522" s="105" t="str">
        <f>VLOOKUP(M1522,CAC!$A$2:$B$198,2,FALSE)</f>
        <v>HMOMG</v>
      </c>
    </row>
    <row r="1523" spans="5:14" x14ac:dyDescent="0.25">
      <c r="E1523" s="83">
        <v>201706</v>
      </c>
      <c r="F1523" s="82" t="s">
        <v>563</v>
      </c>
      <c r="G1523" s="82" t="s">
        <v>365</v>
      </c>
      <c r="H1523" s="82" t="s">
        <v>366</v>
      </c>
      <c r="I1523" s="95">
        <v>0</v>
      </c>
      <c r="K1523" s="105" t="str">
        <f t="shared" si="55"/>
        <v>0003-1001-0021</v>
      </c>
      <c r="L1523" s="105" t="str">
        <f>VLOOKUP(K1523,COA!$A$3:$B$337,2,FALSE)</f>
        <v>V53</v>
      </c>
      <c r="M1523" s="105" t="str">
        <f t="shared" si="56"/>
        <v>V53</v>
      </c>
      <c r="N1523" s="105" t="str">
        <f>VLOOKUP(M1523,CAC!$A$2:$B$198,2,FALSE)</f>
        <v>PPOIFP</v>
      </c>
    </row>
    <row r="1524" spans="5:14" x14ac:dyDescent="0.25">
      <c r="E1524" s="83">
        <v>201606</v>
      </c>
      <c r="F1524" s="82" t="s">
        <v>563</v>
      </c>
      <c r="G1524" s="82" t="s">
        <v>354</v>
      </c>
      <c r="H1524" s="82" t="s">
        <v>653</v>
      </c>
      <c r="I1524" s="95">
        <v>0</v>
      </c>
      <c r="K1524" s="105" t="str">
        <f t="shared" si="55"/>
        <v>0003-1013-0047</v>
      </c>
      <c r="L1524" s="105" t="str">
        <f>VLOOKUP(K1524,COA!$A$3:$B$337,2,FALSE)</f>
        <v>N57</v>
      </c>
      <c r="M1524" s="105" t="str">
        <f t="shared" si="56"/>
        <v>N57</v>
      </c>
      <c r="N1524" s="105" t="str">
        <f>VLOOKUP(M1524,CAC!$A$2:$B$198,2,FALSE)</f>
        <v>PPOPMR</v>
      </c>
    </row>
    <row r="1525" spans="5:14" x14ac:dyDescent="0.25">
      <c r="E1525" s="83">
        <v>201606</v>
      </c>
      <c r="F1525" s="82" t="s">
        <v>413</v>
      </c>
      <c r="G1525" s="82" t="s">
        <v>352</v>
      </c>
      <c r="H1525" s="82" t="s">
        <v>344</v>
      </c>
      <c r="I1525" s="95">
        <v>0</v>
      </c>
      <c r="K1525" s="105" t="str">
        <f t="shared" si="55"/>
        <v>0008-1004-0012</v>
      </c>
      <c r="L1525" s="105" t="str">
        <f>VLOOKUP(K1525,COA!$A$3:$B$337,2,FALSE)</f>
        <v>C93</v>
      </c>
      <c r="M1525" s="105" t="str">
        <f t="shared" si="56"/>
        <v>C93</v>
      </c>
      <c r="N1525" s="105" t="str">
        <f>VLOOKUP(M1525,CAC!$A$2:$B$198,2,FALSE)</f>
        <v>DOILG</v>
      </c>
    </row>
    <row r="1526" spans="5:14" x14ac:dyDescent="0.25">
      <c r="E1526" s="83">
        <v>201601</v>
      </c>
      <c r="F1526" s="82" t="s">
        <v>345</v>
      </c>
      <c r="G1526" s="82" t="s">
        <v>350</v>
      </c>
      <c r="H1526" s="82" t="s">
        <v>360</v>
      </c>
      <c r="I1526" s="95">
        <v>5821.18</v>
      </c>
      <c r="K1526" s="105" t="str">
        <f t="shared" si="55"/>
        <v>0011-1012-0048</v>
      </c>
      <c r="L1526" s="105" t="str">
        <f>VLOOKUP(K1526,COA!$A$3:$B$337,2,FALSE)</f>
        <v>K21</v>
      </c>
      <c r="M1526" s="105" t="str">
        <f t="shared" si="56"/>
        <v>K21</v>
      </c>
      <c r="N1526" s="105" t="str">
        <f>VLOOKUP(M1526,CAC!$A$2:$B$198,2,FALSE)</f>
        <v>HMFLEX</v>
      </c>
    </row>
    <row r="1527" spans="5:14" x14ac:dyDescent="0.25">
      <c r="E1527" s="83">
        <v>201611</v>
      </c>
      <c r="F1527" s="82" t="s">
        <v>345</v>
      </c>
      <c r="G1527" s="82" t="s">
        <v>362</v>
      </c>
      <c r="H1527" s="82" t="s">
        <v>363</v>
      </c>
      <c r="I1527" s="95">
        <v>35658.339999999997</v>
      </c>
      <c r="K1527" s="105" t="str">
        <f t="shared" si="55"/>
        <v>0011-1008-0054</v>
      </c>
      <c r="L1527" s="105" t="str">
        <f>VLOOKUP(K1527,COA!$A$3:$B$337,2,FALSE)</f>
        <v>P23</v>
      </c>
      <c r="M1527" s="105" t="str">
        <f t="shared" si="56"/>
        <v>P23</v>
      </c>
      <c r="N1527" s="105" t="str">
        <f>VLOOKUP(M1527,CAC!$A$2:$B$198,2,FALSE)</f>
        <v>HMOPERN</v>
      </c>
    </row>
    <row r="1528" spans="5:14" x14ac:dyDescent="0.25">
      <c r="E1528" s="83">
        <v>201602</v>
      </c>
      <c r="F1528" s="82" t="s">
        <v>506</v>
      </c>
      <c r="G1528" s="82" t="s">
        <v>346</v>
      </c>
      <c r="H1528" s="82" t="s">
        <v>592</v>
      </c>
      <c r="I1528" s="95">
        <v>0</v>
      </c>
      <c r="K1528" s="105" t="str">
        <f t="shared" si="55"/>
        <v>0013-1014-0035</v>
      </c>
      <c r="L1528" s="105" t="str">
        <f>VLOOKUP(K1528,COA!$A$3:$B$337,2,FALSE)</f>
        <v>K42</v>
      </c>
      <c r="M1528" s="105" t="str">
        <f t="shared" si="56"/>
        <v>K42</v>
      </c>
      <c r="N1528" s="105" t="str">
        <f>VLOOKUP(M1528,CAC!$A$2:$B$198,2,FALSE)</f>
        <v>HMFLEX</v>
      </c>
    </row>
    <row r="1529" spans="5:14" x14ac:dyDescent="0.25">
      <c r="E1529" s="83">
        <v>201705</v>
      </c>
      <c r="F1529" s="82" t="s">
        <v>345</v>
      </c>
      <c r="G1529" s="82" t="s">
        <v>348</v>
      </c>
      <c r="H1529" s="82" t="s">
        <v>358</v>
      </c>
      <c r="I1529" s="95">
        <v>92</v>
      </c>
      <c r="K1529" s="105" t="str">
        <f t="shared" si="55"/>
        <v>0011-1010-0024</v>
      </c>
      <c r="L1529" s="105" t="str">
        <f>VLOOKUP(K1529,COA!$A$3:$B$337,2,FALSE)</f>
        <v>S14</v>
      </c>
      <c r="M1529" s="105" t="str">
        <f t="shared" si="56"/>
        <v>S14</v>
      </c>
      <c r="N1529" s="105" t="str">
        <f>VLOOKUP(M1529,CAC!$A$2:$B$198,2,FALSE)</f>
        <v>HMOSG</v>
      </c>
    </row>
    <row r="1530" spans="5:14" x14ac:dyDescent="0.25">
      <c r="E1530" s="83">
        <v>201604</v>
      </c>
      <c r="F1530" s="82" t="s">
        <v>563</v>
      </c>
      <c r="G1530" s="82" t="s">
        <v>365</v>
      </c>
      <c r="H1530" s="82" t="s">
        <v>411</v>
      </c>
      <c r="I1530" s="95">
        <v>0</v>
      </c>
      <c r="K1530" s="105" t="str">
        <f t="shared" si="55"/>
        <v>0003-1001-0007</v>
      </c>
      <c r="L1530" s="105" t="str">
        <f>VLOOKUP(K1530,COA!$A$3:$B$337,2,FALSE)</f>
        <v>V52</v>
      </c>
      <c r="M1530" s="105" t="str">
        <f t="shared" si="56"/>
        <v>V52</v>
      </c>
      <c r="N1530" s="105" t="str">
        <f>VLOOKUP(M1530,CAC!$A$2:$B$198,2,FALSE)</f>
        <v>PPOIFP</v>
      </c>
    </row>
    <row r="1531" spans="5:14" x14ac:dyDescent="0.25">
      <c r="E1531" s="83">
        <v>201508</v>
      </c>
      <c r="F1531" s="82" t="s">
        <v>345</v>
      </c>
      <c r="G1531" s="82" t="s">
        <v>362</v>
      </c>
      <c r="H1531" s="82" t="s">
        <v>363</v>
      </c>
      <c r="I1531" s="95">
        <v>59471.9</v>
      </c>
      <c r="K1531" s="105" t="str">
        <f t="shared" si="55"/>
        <v>0011-1008-0054</v>
      </c>
      <c r="L1531" s="105" t="str">
        <f>VLOOKUP(K1531,COA!$A$3:$B$337,2,FALSE)</f>
        <v>P23</v>
      </c>
      <c r="M1531" s="105" t="str">
        <f t="shared" si="56"/>
        <v>P23</v>
      </c>
      <c r="N1531" s="105" t="str">
        <f>VLOOKUP(M1531,CAC!$A$2:$B$198,2,FALSE)</f>
        <v>HMOPERN</v>
      </c>
    </row>
    <row r="1532" spans="5:14" x14ac:dyDescent="0.25">
      <c r="E1532" s="83">
        <v>201507</v>
      </c>
      <c r="F1532" s="82" t="s">
        <v>746</v>
      </c>
      <c r="G1532" s="82" t="s">
        <v>350</v>
      </c>
      <c r="H1532" s="82" t="s">
        <v>344</v>
      </c>
      <c r="I1532" s="95">
        <v>63</v>
      </c>
      <c r="K1532" s="105" t="str">
        <f t="shared" si="55"/>
        <v>0016-1012-0012</v>
      </c>
      <c r="L1532" s="105" t="str">
        <f>VLOOKUP(K1532,COA!$A$3:$B$337,2,FALSE)</f>
        <v>R19</v>
      </c>
      <c r="M1532" s="105" t="str">
        <f t="shared" si="56"/>
        <v>R19</v>
      </c>
      <c r="N1532" s="105" t="str">
        <f>VLOOKUP(M1532,CAC!$A$2:$B$198,2,FALSE)</f>
        <v>HMOMG</v>
      </c>
    </row>
    <row r="1533" spans="5:14" x14ac:dyDescent="0.25">
      <c r="E1533" s="83">
        <v>201511</v>
      </c>
      <c r="F1533" s="82" t="s">
        <v>563</v>
      </c>
      <c r="G1533" s="82" t="s">
        <v>352</v>
      </c>
      <c r="H1533" s="82" t="s">
        <v>653</v>
      </c>
      <c r="I1533" s="95">
        <v>0</v>
      </c>
      <c r="K1533" s="105" t="str">
        <f t="shared" si="55"/>
        <v>0003-1004-0047</v>
      </c>
      <c r="L1533" s="105" t="str">
        <f>VLOOKUP(K1533,COA!$A$3:$B$337,2,FALSE)</f>
        <v>L57</v>
      </c>
      <c r="M1533" s="105" t="str">
        <f t="shared" si="56"/>
        <v>L57</v>
      </c>
      <c r="N1533" s="105" t="str">
        <f>VLOOKUP(M1533,CAC!$A$2:$B$198,2,FALSE)</f>
        <v>PPOLG</v>
      </c>
    </row>
    <row r="1534" spans="5:14" x14ac:dyDescent="0.25">
      <c r="E1534" s="83">
        <v>201702</v>
      </c>
      <c r="F1534" s="82" t="s">
        <v>345</v>
      </c>
      <c r="G1534" s="82" t="s">
        <v>354</v>
      </c>
      <c r="H1534" s="82" t="s">
        <v>368</v>
      </c>
      <c r="I1534" s="95">
        <v>1</v>
      </c>
      <c r="K1534" s="105" t="str">
        <f t="shared" si="55"/>
        <v>0011-1013-0056</v>
      </c>
      <c r="L1534" s="105" t="str">
        <f>VLOOKUP(K1534,COA!$A$3:$B$337,2,FALSE)</f>
        <v>N20</v>
      </c>
      <c r="M1534" s="105" t="str">
        <f t="shared" si="56"/>
        <v>N20</v>
      </c>
      <c r="N1534" s="105" t="str">
        <f>VLOOKUP(M1534,CAC!$A$2:$B$198,2,FALSE)</f>
        <v>HMOPMR</v>
      </c>
    </row>
    <row r="1535" spans="5:14" x14ac:dyDescent="0.25">
      <c r="E1535" s="83">
        <v>201605</v>
      </c>
      <c r="F1535" s="82" t="s">
        <v>563</v>
      </c>
      <c r="G1535" s="82" t="s">
        <v>365</v>
      </c>
      <c r="H1535" s="82" t="s">
        <v>798</v>
      </c>
      <c r="I1535" s="95">
        <v>0</v>
      </c>
      <c r="K1535" s="105" t="str">
        <f t="shared" si="55"/>
        <v>0003-1001-0065</v>
      </c>
      <c r="L1535" s="105" t="str">
        <f>VLOOKUP(K1535,COA!$A$3:$B$337,2,FALSE)</f>
        <v>V55</v>
      </c>
      <c r="M1535" s="105" t="str">
        <f t="shared" si="56"/>
        <v>V55</v>
      </c>
      <c r="N1535" s="105" t="e">
        <f>VLOOKUP(M1535,CAC!$A$2:$B$198,2,FALSE)</f>
        <v>#N/A</v>
      </c>
    </row>
    <row r="1536" spans="5:14" x14ac:dyDescent="0.25">
      <c r="E1536" s="83">
        <v>201603</v>
      </c>
      <c r="F1536" s="82" t="s">
        <v>563</v>
      </c>
      <c r="G1536" s="82" t="s">
        <v>355</v>
      </c>
      <c r="H1536" s="82" t="s">
        <v>344</v>
      </c>
      <c r="I1536" s="95">
        <v>0</v>
      </c>
      <c r="K1536" s="105" t="str">
        <f t="shared" si="55"/>
        <v>0003-1006-0012</v>
      </c>
      <c r="L1536" s="105" t="str">
        <f>VLOOKUP(K1536,COA!$A$3:$B$337,2,FALSE)</f>
        <v>L52</v>
      </c>
      <c r="M1536" s="105" t="str">
        <f t="shared" si="56"/>
        <v>L52</v>
      </c>
      <c r="N1536" s="105" t="str">
        <f>VLOOKUP(M1536,CAC!$A$2:$B$198,2,FALSE)</f>
        <v>PPOLG</v>
      </c>
    </row>
    <row r="1537" spans="5:14" x14ac:dyDescent="0.25">
      <c r="E1537" s="83">
        <v>201609</v>
      </c>
      <c r="F1537" s="82" t="s">
        <v>342</v>
      </c>
      <c r="G1537" s="82" t="s">
        <v>343</v>
      </c>
      <c r="H1537" s="82" t="s">
        <v>344</v>
      </c>
      <c r="I1537" s="95">
        <v>6034.99</v>
      </c>
      <c r="K1537" s="105" t="str">
        <f t="shared" si="55"/>
        <v>0031-1000-0012</v>
      </c>
      <c r="L1537" s="105" t="str">
        <f>VLOOKUP(K1537,COA!$A$3:$B$337,2,FALSE)</f>
        <v>F27</v>
      </c>
      <c r="M1537" s="105" t="str">
        <f t="shared" si="56"/>
        <v>F27</v>
      </c>
      <c r="N1537" s="105" t="str">
        <f>VLOOKUP(M1537,CAC!$A$2:$B$198,2,FALSE)</f>
        <v>HMOFEP</v>
      </c>
    </row>
    <row r="1538" spans="5:14" x14ac:dyDescent="0.25">
      <c r="E1538" s="83">
        <v>201701</v>
      </c>
      <c r="F1538" s="82" t="s">
        <v>345</v>
      </c>
      <c r="G1538" s="82" t="s">
        <v>352</v>
      </c>
      <c r="H1538" s="82" t="s">
        <v>357</v>
      </c>
      <c r="I1538" s="95">
        <v>2259.58</v>
      </c>
      <c r="K1538" s="105" t="str">
        <f t="shared" si="55"/>
        <v>0011-1004-0038</v>
      </c>
      <c r="L1538" s="105" t="str">
        <f>VLOOKUP(K1538,COA!$A$3:$B$337,2,FALSE)</f>
        <v>L14</v>
      </c>
      <c r="M1538" s="105" t="str">
        <f t="shared" si="56"/>
        <v>L14</v>
      </c>
      <c r="N1538" s="105" t="str">
        <f>VLOOKUP(M1538,CAC!$A$2:$B$198,2,FALSE)</f>
        <v>HMOLG</v>
      </c>
    </row>
    <row r="1539" spans="5:14" x14ac:dyDescent="0.25">
      <c r="E1539" s="83">
        <v>201801</v>
      </c>
      <c r="F1539" s="82" t="s">
        <v>563</v>
      </c>
      <c r="G1539" s="82" t="s">
        <v>350</v>
      </c>
      <c r="H1539" s="82" t="s">
        <v>344</v>
      </c>
      <c r="I1539" s="95">
        <v>0</v>
      </c>
      <c r="K1539" s="105" t="str">
        <f t="shared" si="55"/>
        <v>0003-1012-0012</v>
      </c>
      <c r="L1539" s="105" t="str">
        <f>VLOOKUP(K1539,COA!$A$3:$B$337,2,FALSE)</f>
        <v>K51</v>
      </c>
      <c r="M1539" s="105" t="str">
        <f t="shared" si="56"/>
        <v>K51</v>
      </c>
      <c r="N1539" s="105" t="str">
        <f>VLOOKUP(M1539,CAC!$A$2:$B$198,2,FALSE)</f>
        <v>PPOPMR</v>
      </c>
    </row>
    <row r="1540" spans="5:14" x14ac:dyDescent="0.25">
      <c r="E1540" s="83">
        <v>201801</v>
      </c>
      <c r="F1540" s="82" t="s">
        <v>563</v>
      </c>
      <c r="G1540" s="82" t="s">
        <v>352</v>
      </c>
      <c r="H1540" s="82" t="s">
        <v>344</v>
      </c>
      <c r="I1540" s="95">
        <v>0</v>
      </c>
      <c r="K1540" s="105" t="str">
        <f t="shared" ref="K1540:K1603" si="57">F1540&amp;"-"&amp;G1540&amp;"-"&amp;H1540</f>
        <v>0003-1004-0012</v>
      </c>
      <c r="L1540" s="105" t="str">
        <f>VLOOKUP(K1540,COA!$A$3:$B$337,2,FALSE)</f>
        <v>L51</v>
      </c>
      <c r="M1540" s="105" t="str">
        <f t="shared" ref="M1540:M1603" si="58">IF(ISNA(L1540),"XXX",L1540)</f>
        <v>L51</v>
      </c>
      <c r="N1540" s="105" t="str">
        <f>VLOOKUP(M1540,CAC!$A$2:$B$198,2,FALSE)</f>
        <v>PPOLG</v>
      </c>
    </row>
    <row r="1541" spans="5:14" x14ac:dyDescent="0.25">
      <c r="E1541" s="83">
        <v>201512</v>
      </c>
      <c r="F1541" s="82" t="s">
        <v>506</v>
      </c>
      <c r="G1541" s="82" t="s">
        <v>352</v>
      </c>
      <c r="H1541" s="82" t="s">
        <v>592</v>
      </c>
      <c r="I1541" s="95">
        <v>0</v>
      </c>
      <c r="K1541" s="105" t="str">
        <f t="shared" si="57"/>
        <v>0013-1004-0035</v>
      </c>
      <c r="L1541" s="105" t="str">
        <f>VLOOKUP(K1541,COA!$A$3:$B$337,2,FALSE)</f>
        <v>L41</v>
      </c>
      <c r="M1541" s="105" t="str">
        <f t="shared" si="58"/>
        <v>L41</v>
      </c>
      <c r="N1541" s="105" t="e">
        <f>VLOOKUP(M1541,CAC!$A$2:$B$198,2,FALSE)</f>
        <v>#N/A</v>
      </c>
    </row>
    <row r="1542" spans="5:14" x14ac:dyDescent="0.25">
      <c r="E1542" s="83">
        <v>201712</v>
      </c>
      <c r="F1542" s="82" t="s">
        <v>563</v>
      </c>
      <c r="G1542" s="82" t="s">
        <v>352</v>
      </c>
      <c r="H1542" s="82" t="s">
        <v>653</v>
      </c>
      <c r="I1542" s="95">
        <v>0</v>
      </c>
      <c r="K1542" s="105" t="str">
        <f t="shared" si="57"/>
        <v>0003-1004-0047</v>
      </c>
      <c r="L1542" s="105" t="str">
        <f>VLOOKUP(K1542,COA!$A$3:$B$337,2,FALSE)</f>
        <v>L57</v>
      </c>
      <c r="M1542" s="105" t="str">
        <f t="shared" si="58"/>
        <v>L57</v>
      </c>
      <c r="N1542" s="105" t="str">
        <f>VLOOKUP(M1542,CAC!$A$2:$B$198,2,FALSE)</f>
        <v>PPOLG</v>
      </c>
    </row>
    <row r="1543" spans="5:14" x14ac:dyDescent="0.25">
      <c r="E1543" s="83">
        <v>201709</v>
      </c>
      <c r="F1543" s="82" t="s">
        <v>563</v>
      </c>
      <c r="G1543" s="82" t="s">
        <v>356</v>
      </c>
      <c r="H1543" s="82" t="s">
        <v>344</v>
      </c>
      <c r="I1543" s="95">
        <v>0</v>
      </c>
      <c r="K1543" s="105" t="str">
        <f t="shared" si="57"/>
        <v>0003-1002-0012</v>
      </c>
      <c r="L1543" s="105" t="str">
        <f>VLOOKUP(K1543,COA!$A$3:$B$337,2,FALSE)</f>
        <v>F61</v>
      </c>
      <c r="M1543" s="105" t="str">
        <f t="shared" si="58"/>
        <v>F61</v>
      </c>
      <c r="N1543" s="105" t="str">
        <f>VLOOKUP(M1543,CAC!$A$2:$B$198,2,FALSE)</f>
        <v>PPOPMR</v>
      </c>
    </row>
    <row r="1544" spans="5:14" x14ac:dyDescent="0.25">
      <c r="E1544" s="83">
        <v>201610</v>
      </c>
      <c r="F1544" s="82" t="s">
        <v>746</v>
      </c>
      <c r="G1544" s="82" t="s">
        <v>361</v>
      </c>
      <c r="H1544" s="82" t="s">
        <v>344</v>
      </c>
      <c r="I1544" s="95">
        <v>480</v>
      </c>
      <c r="K1544" s="105" t="str">
        <f t="shared" si="57"/>
        <v>0016-1003-0012</v>
      </c>
      <c r="L1544" s="105" t="str">
        <f>VLOOKUP(K1544,COA!$A$3:$B$337,2,FALSE)</f>
        <v>R18</v>
      </c>
      <c r="M1544" s="105" t="str">
        <f t="shared" si="58"/>
        <v>R18</v>
      </c>
      <c r="N1544" s="105" t="str">
        <f>VLOOKUP(M1544,CAC!$A$2:$B$198,2,FALSE)</f>
        <v>HMOMG</v>
      </c>
    </row>
    <row r="1545" spans="5:14" x14ac:dyDescent="0.25">
      <c r="E1545" s="83">
        <v>201610</v>
      </c>
      <c r="F1545" s="82" t="s">
        <v>345</v>
      </c>
      <c r="G1545" s="82" t="s">
        <v>352</v>
      </c>
      <c r="H1545" s="82" t="s">
        <v>357</v>
      </c>
      <c r="I1545" s="95">
        <v>1320</v>
      </c>
      <c r="K1545" s="105" t="str">
        <f t="shared" si="57"/>
        <v>0011-1004-0038</v>
      </c>
      <c r="L1545" s="105" t="str">
        <f>VLOOKUP(K1545,COA!$A$3:$B$337,2,FALSE)</f>
        <v>L14</v>
      </c>
      <c r="M1545" s="105" t="str">
        <f t="shared" si="58"/>
        <v>L14</v>
      </c>
      <c r="N1545" s="105" t="str">
        <f>VLOOKUP(M1545,CAC!$A$2:$B$198,2,FALSE)</f>
        <v>HMOLG</v>
      </c>
    </row>
    <row r="1546" spans="5:14" x14ac:dyDescent="0.25">
      <c r="E1546" s="83">
        <v>201711</v>
      </c>
      <c r="F1546" s="82" t="s">
        <v>563</v>
      </c>
      <c r="G1546" s="82" t="s">
        <v>365</v>
      </c>
      <c r="H1546" s="82" t="s">
        <v>366</v>
      </c>
      <c r="I1546" s="95">
        <v>0</v>
      </c>
      <c r="K1546" s="105" t="str">
        <f t="shared" si="57"/>
        <v>0003-1001-0021</v>
      </c>
      <c r="L1546" s="105" t="str">
        <f>VLOOKUP(K1546,COA!$A$3:$B$337,2,FALSE)</f>
        <v>V53</v>
      </c>
      <c r="M1546" s="105" t="str">
        <f t="shared" si="58"/>
        <v>V53</v>
      </c>
      <c r="N1546" s="105" t="str">
        <f>VLOOKUP(M1546,CAC!$A$2:$B$198,2,FALSE)</f>
        <v>PPOIFP</v>
      </c>
    </row>
    <row r="1547" spans="5:14" x14ac:dyDescent="0.25">
      <c r="E1547" s="83">
        <v>201710</v>
      </c>
      <c r="F1547" s="82" t="s">
        <v>549</v>
      </c>
      <c r="G1547" s="82" t="s">
        <v>352</v>
      </c>
      <c r="H1547" s="82" t="s">
        <v>672</v>
      </c>
      <c r="I1547" s="95">
        <v>0</v>
      </c>
      <c r="K1547" s="105" t="str">
        <f t="shared" si="57"/>
        <v>0026-1004-0058</v>
      </c>
      <c r="L1547" s="105" t="str">
        <f>VLOOKUP(K1547,COA!$A$3:$B$337,2,FALSE)</f>
        <v>L44</v>
      </c>
      <c r="M1547" s="105" t="str">
        <f t="shared" si="58"/>
        <v>L44</v>
      </c>
      <c r="N1547" s="105" t="e">
        <f>VLOOKUP(M1547,CAC!$A$2:$B$198,2,FALSE)</f>
        <v>#N/A</v>
      </c>
    </row>
    <row r="1548" spans="5:14" x14ac:dyDescent="0.25">
      <c r="E1548" s="83">
        <v>201612</v>
      </c>
      <c r="F1548" s="82" t="s">
        <v>413</v>
      </c>
      <c r="G1548" s="82" t="s">
        <v>359</v>
      </c>
      <c r="H1548" s="82" t="s">
        <v>344</v>
      </c>
      <c r="I1548" s="95">
        <v>0</v>
      </c>
      <c r="K1548" s="105" t="str">
        <f t="shared" si="57"/>
        <v>0008-1005-0012</v>
      </c>
      <c r="L1548" s="105" t="str">
        <f>VLOOKUP(K1548,COA!$A$3:$B$337,2,FALSE)</f>
        <v>C73</v>
      </c>
      <c r="M1548" s="105" t="str">
        <f t="shared" si="58"/>
        <v>C73</v>
      </c>
      <c r="N1548" s="105" t="str">
        <f>VLOOKUP(M1548,CAC!$A$2:$B$198,2,FALSE)</f>
        <v>DOILG</v>
      </c>
    </row>
    <row r="1549" spans="5:14" x14ac:dyDescent="0.25">
      <c r="E1549" s="83">
        <v>201709</v>
      </c>
      <c r="F1549" s="82" t="s">
        <v>746</v>
      </c>
      <c r="G1549" s="82" t="s">
        <v>356</v>
      </c>
      <c r="H1549" s="82" t="s">
        <v>764</v>
      </c>
      <c r="I1549" s="95">
        <v>642</v>
      </c>
      <c r="K1549" s="105" t="str">
        <f t="shared" si="57"/>
        <v>0016-1002-0064</v>
      </c>
      <c r="L1549" s="105" t="str">
        <f>VLOOKUP(K1549,COA!$A$3:$B$337,2,FALSE)</f>
        <v>R25</v>
      </c>
      <c r="M1549" s="105" t="str">
        <f t="shared" si="58"/>
        <v>R25</v>
      </c>
      <c r="N1549" s="105" t="str">
        <f>VLOOKUP(M1549,CAC!$A$2:$B$198,2,FALSE)</f>
        <v>HMOMG</v>
      </c>
    </row>
    <row r="1550" spans="5:14" x14ac:dyDescent="0.25">
      <c r="E1550" s="83">
        <v>201703</v>
      </c>
      <c r="F1550" s="82" t="s">
        <v>345</v>
      </c>
      <c r="G1550" s="82" t="s">
        <v>350</v>
      </c>
      <c r="H1550" s="82" t="s">
        <v>360</v>
      </c>
      <c r="I1550" s="95">
        <v>3942</v>
      </c>
      <c r="K1550" s="105" t="str">
        <f t="shared" si="57"/>
        <v>0011-1012-0048</v>
      </c>
      <c r="L1550" s="105" t="str">
        <f>VLOOKUP(K1550,COA!$A$3:$B$337,2,FALSE)</f>
        <v>K21</v>
      </c>
      <c r="M1550" s="105" t="str">
        <f t="shared" si="58"/>
        <v>K21</v>
      </c>
      <c r="N1550" s="105" t="str">
        <f>VLOOKUP(M1550,CAC!$A$2:$B$198,2,FALSE)</f>
        <v>HMFLEX</v>
      </c>
    </row>
    <row r="1551" spans="5:14" x14ac:dyDescent="0.25">
      <c r="E1551" s="83">
        <v>201509</v>
      </c>
      <c r="F1551" s="82" t="s">
        <v>552</v>
      </c>
      <c r="G1551" s="82" t="s">
        <v>356</v>
      </c>
      <c r="H1551" s="82" t="s">
        <v>672</v>
      </c>
      <c r="I1551" s="95">
        <v>0</v>
      </c>
      <c r="K1551" s="105" t="str">
        <f t="shared" si="57"/>
        <v>0027-1002-0058</v>
      </c>
      <c r="L1551" s="105" t="str">
        <f>VLOOKUP(K1551,COA!$A$3:$B$337,2,FALSE)</f>
        <v>L45</v>
      </c>
      <c r="M1551" s="105" t="str">
        <f t="shared" si="58"/>
        <v>L45</v>
      </c>
      <c r="N1551" s="105" t="e">
        <f>VLOOKUP(M1551,CAC!$A$2:$B$198,2,FALSE)</f>
        <v>#N/A</v>
      </c>
    </row>
    <row r="1552" spans="5:14" x14ac:dyDescent="0.25">
      <c r="E1552" s="83">
        <v>201608</v>
      </c>
      <c r="F1552" s="82" t="s">
        <v>413</v>
      </c>
      <c r="G1552" s="82" t="s">
        <v>354</v>
      </c>
      <c r="H1552" s="82" t="s">
        <v>344</v>
      </c>
      <c r="I1552" s="95">
        <v>0</v>
      </c>
      <c r="K1552" s="105" t="str">
        <f t="shared" si="57"/>
        <v>0008-1013-0012</v>
      </c>
      <c r="L1552" s="105" t="str">
        <f>VLOOKUP(K1552,COA!$A$3:$B$337,2,FALSE)</f>
        <v>C76</v>
      </c>
      <c r="M1552" s="105" t="str">
        <f t="shared" si="58"/>
        <v>C76</v>
      </c>
      <c r="N1552" s="105" t="str">
        <f>VLOOKUP(M1552,CAC!$A$2:$B$198,2,FALSE)</f>
        <v>DOILG</v>
      </c>
    </row>
    <row r="1553" spans="5:14" x14ac:dyDescent="0.25">
      <c r="E1553" s="83">
        <v>201605</v>
      </c>
      <c r="F1553" s="82" t="s">
        <v>746</v>
      </c>
      <c r="G1553" s="82" t="s">
        <v>356</v>
      </c>
      <c r="H1553" s="82" t="s">
        <v>764</v>
      </c>
      <c r="I1553" s="95">
        <v>11</v>
      </c>
      <c r="K1553" s="105" t="str">
        <f t="shared" si="57"/>
        <v>0016-1002-0064</v>
      </c>
      <c r="L1553" s="105" t="str">
        <f>VLOOKUP(K1553,COA!$A$3:$B$337,2,FALSE)</f>
        <v>R25</v>
      </c>
      <c r="M1553" s="105" t="str">
        <f t="shared" si="58"/>
        <v>R25</v>
      </c>
      <c r="N1553" s="105" t="str">
        <f>VLOOKUP(M1553,CAC!$A$2:$B$198,2,FALSE)</f>
        <v>HMOMG</v>
      </c>
    </row>
    <row r="1554" spans="5:14" x14ac:dyDescent="0.25">
      <c r="E1554" s="83">
        <v>201505</v>
      </c>
      <c r="F1554" s="82" t="s">
        <v>413</v>
      </c>
      <c r="G1554" s="82" t="s">
        <v>359</v>
      </c>
      <c r="H1554" s="82" t="s">
        <v>344</v>
      </c>
      <c r="I1554" s="95">
        <v>0</v>
      </c>
      <c r="K1554" s="105" t="str">
        <f t="shared" si="57"/>
        <v>0008-1005-0012</v>
      </c>
      <c r="L1554" s="105" t="str">
        <f>VLOOKUP(K1554,COA!$A$3:$B$337,2,FALSE)</f>
        <v>C73</v>
      </c>
      <c r="M1554" s="105" t="str">
        <f t="shared" si="58"/>
        <v>C73</v>
      </c>
      <c r="N1554" s="105" t="str">
        <f>VLOOKUP(M1554,CAC!$A$2:$B$198,2,FALSE)</f>
        <v>DOILG</v>
      </c>
    </row>
    <row r="1555" spans="5:14" x14ac:dyDescent="0.25">
      <c r="E1555" s="83">
        <v>201706</v>
      </c>
      <c r="F1555" s="82" t="s">
        <v>345</v>
      </c>
      <c r="G1555" s="82" t="s">
        <v>355</v>
      </c>
      <c r="H1555" s="82" t="s">
        <v>344</v>
      </c>
      <c r="I1555" s="95">
        <v>16718.13</v>
      </c>
      <c r="K1555" s="105" t="str">
        <f t="shared" si="57"/>
        <v>0011-1006-0012</v>
      </c>
      <c r="L1555" s="105" t="str">
        <f>VLOOKUP(K1555,COA!$A$3:$B$337,2,FALSE)</f>
        <v>L13</v>
      </c>
      <c r="M1555" s="105" t="str">
        <f t="shared" si="58"/>
        <v>L13</v>
      </c>
      <c r="N1555" s="105" t="str">
        <f>VLOOKUP(M1555,CAC!$A$2:$B$198,2,FALSE)</f>
        <v>HMOLG</v>
      </c>
    </row>
    <row r="1556" spans="5:14" x14ac:dyDescent="0.25">
      <c r="E1556" s="83">
        <v>201602</v>
      </c>
      <c r="F1556" s="82" t="s">
        <v>349</v>
      </c>
      <c r="G1556" s="82" t="s">
        <v>369</v>
      </c>
      <c r="H1556" s="82" t="s">
        <v>764</v>
      </c>
      <c r="I1556" s="95">
        <v>3</v>
      </c>
      <c r="K1556" s="105" t="str">
        <f t="shared" si="57"/>
        <v>0017-1009-0064</v>
      </c>
      <c r="L1556" s="105" t="str">
        <f>VLOOKUP(K1556,COA!$A$3:$B$337,2,FALSE)</f>
        <v>R15</v>
      </c>
      <c r="M1556" s="105" t="str">
        <f t="shared" si="58"/>
        <v>R15</v>
      </c>
      <c r="N1556" s="105" t="str">
        <f>VLOOKUP(M1556,CAC!$A$2:$B$198,2,FALSE)</f>
        <v>HMOMM</v>
      </c>
    </row>
    <row r="1557" spans="5:14" x14ac:dyDescent="0.25">
      <c r="E1557" s="83">
        <v>201608</v>
      </c>
      <c r="F1557" s="82" t="s">
        <v>344</v>
      </c>
      <c r="G1557" s="82" t="s">
        <v>350</v>
      </c>
      <c r="H1557" s="82" t="s">
        <v>344</v>
      </c>
      <c r="I1557" s="95">
        <v>104</v>
      </c>
      <c r="K1557" s="105" t="str">
        <f t="shared" si="57"/>
        <v>0012-1012-0012</v>
      </c>
      <c r="L1557" s="105" t="str">
        <f>VLOOKUP(K1557,COA!$A$3:$B$337,2,FALSE)</f>
        <v>K12</v>
      </c>
      <c r="M1557" s="105" t="str">
        <f t="shared" si="58"/>
        <v>K12</v>
      </c>
      <c r="N1557" s="105" t="str">
        <f>VLOOKUP(M1557,CAC!$A$2:$B$198,2,FALSE)</f>
        <v>HMOPMR</v>
      </c>
    </row>
    <row r="1558" spans="5:14" x14ac:dyDescent="0.25">
      <c r="E1558" s="83">
        <v>201608</v>
      </c>
      <c r="F1558" s="82" t="s">
        <v>552</v>
      </c>
      <c r="G1558" s="82" t="s">
        <v>356</v>
      </c>
      <c r="H1558" s="82" t="s">
        <v>672</v>
      </c>
      <c r="I1558" s="95">
        <v>0</v>
      </c>
      <c r="K1558" s="105" t="str">
        <f t="shared" si="57"/>
        <v>0027-1002-0058</v>
      </c>
      <c r="L1558" s="105" t="str">
        <f>VLOOKUP(K1558,COA!$A$3:$B$337,2,FALSE)</f>
        <v>L45</v>
      </c>
      <c r="M1558" s="105" t="str">
        <f t="shared" si="58"/>
        <v>L45</v>
      </c>
      <c r="N1558" s="105" t="e">
        <f>VLOOKUP(M1558,CAC!$A$2:$B$198,2,FALSE)</f>
        <v>#N/A</v>
      </c>
    </row>
    <row r="1559" spans="5:14" x14ac:dyDescent="0.25">
      <c r="E1559" s="83">
        <v>201610</v>
      </c>
      <c r="F1559" s="82" t="s">
        <v>345</v>
      </c>
      <c r="G1559" s="82" t="s">
        <v>350</v>
      </c>
      <c r="H1559" s="82" t="s">
        <v>360</v>
      </c>
      <c r="I1559" s="95">
        <v>3933</v>
      </c>
      <c r="K1559" s="105" t="str">
        <f t="shared" si="57"/>
        <v>0011-1012-0048</v>
      </c>
      <c r="L1559" s="105" t="str">
        <f>VLOOKUP(K1559,COA!$A$3:$B$337,2,FALSE)</f>
        <v>K21</v>
      </c>
      <c r="M1559" s="105" t="str">
        <f t="shared" si="58"/>
        <v>K21</v>
      </c>
      <c r="N1559" s="105" t="str">
        <f>VLOOKUP(M1559,CAC!$A$2:$B$198,2,FALSE)</f>
        <v>HMFLEX</v>
      </c>
    </row>
    <row r="1560" spans="5:14" x14ac:dyDescent="0.25">
      <c r="E1560" s="83">
        <v>201603</v>
      </c>
      <c r="F1560" s="82" t="s">
        <v>563</v>
      </c>
      <c r="G1560" s="82" t="s">
        <v>361</v>
      </c>
      <c r="H1560" s="82" t="s">
        <v>344</v>
      </c>
      <c r="I1560" s="95">
        <v>0</v>
      </c>
      <c r="K1560" s="105" t="str">
        <f t="shared" si="57"/>
        <v>0003-1003-0012</v>
      </c>
      <c r="L1560" s="105" t="str">
        <f>VLOOKUP(K1560,COA!$A$3:$B$337,2,FALSE)</f>
        <v>N61</v>
      </c>
      <c r="M1560" s="105" t="str">
        <f t="shared" si="58"/>
        <v>N61</v>
      </c>
      <c r="N1560" s="105" t="str">
        <f>VLOOKUP(M1560,CAC!$A$2:$B$198,2,FALSE)</f>
        <v>PPOPMR</v>
      </c>
    </row>
    <row r="1561" spans="5:14" x14ac:dyDescent="0.25">
      <c r="E1561" s="83">
        <v>201604</v>
      </c>
      <c r="F1561" s="82" t="s">
        <v>344</v>
      </c>
      <c r="G1561" s="82" t="s">
        <v>350</v>
      </c>
      <c r="H1561" s="82" t="s">
        <v>344</v>
      </c>
      <c r="I1561" s="95">
        <v>108</v>
      </c>
      <c r="K1561" s="105" t="str">
        <f t="shared" si="57"/>
        <v>0012-1012-0012</v>
      </c>
      <c r="L1561" s="105" t="str">
        <f>VLOOKUP(K1561,COA!$A$3:$B$337,2,FALSE)</f>
        <v>K12</v>
      </c>
      <c r="M1561" s="105" t="str">
        <f t="shared" si="58"/>
        <v>K12</v>
      </c>
      <c r="N1561" s="105" t="str">
        <f>VLOOKUP(M1561,CAC!$A$2:$B$198,2,FALSE)</f>
        <v>HMOPMR</v>
      </c>
    </row>
    <row r="1562" spans="5:14" x14ac:dyDescent="0.25">
      <c r="E1562" s="83">
        <v>201606</v>
      </c>
      <c r="F1562" s="82" t="s">
        <v>746</v>
      </c>
      <c r="G1562" s="82" t="s">
        <v>354</v>
      </c>
      <c r="H1562" s="82" t="s">
        <v>344</v>
      </c>
      <c r="I1562" s="95">
        <v>81</v>
      </c>
      <c r="K1562" s="105" t="str">
        <f t="shared" si="57"/>
        <v>0016-1013-0012</v>
      </c>
      <c r="L1562" s="105" t="str">
        <f>VLOOKUP(K1562,COA!$A$3:$B$337,2,FALSE)</f>
        <v>R19</v>
      </c>
      <c r="M1562" s="105" t="str">
        <f t="shared" si="58"/>
        <v>R19</v>
      </c>
      <c r="N1562" s="105" t="str">
        <f>VLOOKUP(M1562,CAC!$A$2:$B$198,2,FALSE)</f>
        <v>HMOMG</v>
      </c>
    </row>
    <row r="1563" spans="5:14" x14ac:dyDescent="0.25">
      <c r="E1563" s="83">
        <v>201610</v>
      </c>
      <c r="F1563" s="82" t="s">
        <v>345</v>
      </c>
      <c r="G1563" s="82" t="s">
        <v>361</v>
      </c>
      <c r="H1563" s="82" t="s">
        <v>344</v>
      </c>
      <c r="I1563" s="95">
        <v>4159.9399999999996</v>
      </c>
      <c r="K1563" s="105" t="str">
        <f t="shared" si="57"/>
        <v>0011-1003-0012</v>
      </c>
      <c r="L1563" s="105" t="str">
        <f>VLOOKUP(K1563,COA!$A$3:$B$337,2,FALSE)</f>
        <v>N16</v>
      </c>
      <c r="M1563" s="105" t="str">
        <f t="shared" si="58"/>
        <v>N16</v>
      </c>
      <c r="N1563" s="105" t="str">
        <f>VLOOKUP(M1563,CAC!$A$2:$B$198,2,FALSE)</f>
        <v>HMOPMR</v>
      </c>
    </row>
    <row r="1564" spans="5:14" x14ac:dyDescent="0.25">
      <c r="E1564" s="83">
        <v>201703</v>
      </c>
      <c r="F1564" s="82" t="s">
        <v>563</v>
      </c>
      <c r="G1564" s="82" t="s">
        <v>350</v>
      </c>
      <c r="H1564" s="82" t="s">
        <v>344</v>
      </c>
      <c r="I1564" s="95">
        <v>0</v>
      </c>
      <c r="K1564" s="105" t="str">
        <f t="shared" si="57"/>
        <v>0003-1012-0012</v>
      </c>
      <c r="L1564" s="105" t="str">
        <f>VLOOKUP(K1564,COA!$A$3:$B$337,2,FALSE)</f>
        <v>K51</v>
      </c>
      <c r="M1564" s="105" t="str">
        <f t="shared" si="58"/>
        <v>K51</v>
      </c>
      <c r="N1564" s="105" t="str">
        <f>VLOOKUP(M1564,CAC!$A$2:$B$198,2,FALSE)</f>
        <v>PPOPMR</v>
      </c>
    </row>
    <row r="1565" spans="5:14" x14ac:dyDescent="0.25">
      <c r="E1565" s="83">
        <v>201609</v>
      </c>
      <c r="F1565" s="82" t="s">
        <v>413</v>
      </c>
      <c r="G1565" s="82" t="s">
        <v>365</v>
      </c>
      <c r="H1565" s="82" t="s">
        <v>344</v>
      </c>
      <c r="I1565" s="95">
        <v>0</v>
      </c>
      <c r="K1565" s="105" t="str">
        <f t="shared" si="57"/>
        <v>0008-1001-0012</v>
      </c>
      <c r="L1565" s="105" t="str">
        <f>VLOOKUP(K1565,COA!$A$3:$B$337,2,FALSE)</f>
        <v>C95</v>
      </c>
      <c r="M1565" s="105" t="str">
        <f t="shared" si="58"/>
        <v>C95</v>
      </c>
      <c r="N1565" s="105" t="str">
        <f>VLOOKUP(M1565,CAC!$A$2:$B$198,2,FALSE)</f>
        <v>DOIIFP</v>
      </c>
    </row>
    <row r="1566" spans="5:14" x14ac:dyDescent="0.25">
      <c r="E1566" s="83">
        <v>201509</v>
      </c>
      <c r="F1566" s="82" t="s">
        <v>413</v>
      </c>
      <c r="G1566" s="82" t="s">
        <v>355</v>
      </c>
      <c r="H1566" s="82" t="s">
        <v>344</v>
      </c>
      <c r="I1566" s="95">
        <v>0</v>
      </c>
      <c r="K1566" s="105" t="str">
        <f t="shared" si="57"/>
        <v>0008-1006-0012</v>
      </c>
      <c r="L1566" s="105" t="str">
        <f>VLOOKUP(K1566,COA!$A$3:$B$337,2,FALSE)</f>
        <v>C96</v>
      </c>
      <c r="M1566" s="105" t="str">
        <f t="shared" si="58"/>
        <v>C96</v>
      </c>
      <c r="N1566" s="105" t="str">
        <f>VLOOKUP(M1566,CAC!$A$2:$B$198,2,FALSE)</f>
        <v>DOILG</v>
      </c>
    </row>
    <row r="1567" spans="5:14" x14ac:dyDescent="0.25">
      <c r="E1567" s="83">
        <v>201611</v>
      </c>
      <c r="F1567" s="82" t="s">
        <v>506</v>
      </c>
      <c r="G1567" s="82" t="s">
        <v>350</v>
      </c>
      <c r="H1567" s="82" t="s">
        <v>592</v>
      </c>
      <c r="I1567" s="95">
        <v>0</v>
      </c>
      <c r="K1567" s="105" t="str">
        <f t="shared" si="57"/>
        <v>0013-1012-0035</v>
      </c>
      <c r="L1567" s="105" t="str">
        <f>VLOOKUP(K1567,COA!$A$3:$B$337,2,FALSE)</f>
        <v>K41</v>
      </c>
      <c r="M1567" s="105" t="str">
        <f t="shared" si="58"/>
        <v>K41</v>
      </c>
      <c r="N1567" s="105" t="e">
        <f>VLOOKUP(M1567,CAC!$A$2:$B$198,2,FALSE)</f>
        <v>#N/A</v>
      </c>
    </row>
    <row r="1568" spans="5:14" x14ac:dyDescent="0.25">
      <c r="E1568" s="83">
        <v>201507</v>
      </c>
      <c r="F1568" s="82" t="s">
        <v>405</v>
      </c>
      <c r="G1568" s="82" t="s">
        <v>362</v>
      </c>
      <c r="H1568" s="82" t="s">
        <v>342</v>
      </c>
      <c r="I1568" s="95">
        <v>0</v>
      </c>
      <c r="K1568" s="105" t="str">
        <f t="shared" si="57"/>
        <v>0019-1008-0031</v>
      </c>
      <c r="L1568" s="105" t="str">
        <f>VLOOKUP(K1568,COA!$A$3:$B$337,2,FALSE)</f>
        <v>P53</v>
      </c>
      <c r="M1568" s="105" t="str">
        <f t="shared" si="58"/>
        <v>P53</v>
      </c>
      <c r="N1568" s="105" t="str">
        <f>VLOOKUP(M1568,CAC!$A$2:$B$198,2,FALSE)</f>
        <v>HMOPERA</v>
      </c>
    </row>
    <row r="1569" spans="5:14" x14ac:dyDescent="0.25">
      <c r="E1569" s="83">
        <v>201608</v>
      </c>
      <c r="F1569" s="82" t="s">
        <v>413</v>
      </c>
      <c r="G1569" s="82" t="s">
        <v>359</v>
      </c>
      <c r="H1569" s="82" t="s">
        <v>344</v>
      </c>
      <c r="I1569" s="95">
        <v>0</v>
      </c>
      <c r="K1569" s="105" t="str">
        <f t="shared" si="57"/>
        <v>0008-1005-0012</v>
      </c>
      <c r="L1569" s="105" t="str">
        <f>VLOOKUP(K1569,COA!$A$3:$B$337,2,FALSE)</f>
        <v>C73</v>
      </c>
      <c r="M1569" s="105" t="str">
        <f t="shared" si="58"/>
        <v>C73</v>
      </c>
      <c r="N1569" s="105" t="str">
        <f>VLOOKUP(M1569,CAC!$A$2:$B$198,2,FALSE)</f>
        <v>DOILG</v>
      </c>
    </row>
    <row r="1570" spans="5:14" x14ac:dyDescent="0.25">
      <c r="E1570" s="83">
        <v>201507</v>
      </c>
      <c r="F1570" s="82" t="s">
        <v>345</v>
      </c>
      <c r="G1570" s="82" t="s">
        <v>351</v>
      </c>
      <c r="H1570" s="82" t="s">
        <v>349</v>
      </c>
      <c r="I1570" s="95">
        <v>1</v>
      </c>
      <c r="K1570" s="105" t="str">
        <f t="shared" si="57"/>
        <v>0011-0000-0017</v>
      </c>
      <c r="L1570" s="105" t="e">
        <f>VLOOKUP(K1570,COA!$A$3:$B$337,2,FALSE)</f>
        <v>#N/A</v>
      </c>
      <c r="M1570" s="105" t="str">
        <f t="shared" si="58"/>
        <v>XXX</v>
      </c>
      <c r="N1570" s="105" t="str">
        <f>VLOOKUP(M1570,CAC!$A$2:$B$198,2,FALSE)</f>
        <v>XXX</v>
      </c>
    </row>
    <row r="1571" spans="5:14" x14ac:dyDescent="0.25">
      <c r="E1571" s="83">
        <v>201801</v>
      </c>
      <c r="F1571" s="82" t="s">
        <v>413</v>
      </c>
      <c r="G1571" s="82" t="s">
        <v>365</v>
      </c>
      <c r="H1571" s="82" t="s">
        <v>344</v>
      </c>
      <c r="I1571" s="95">
        <v>0</v>
      </c>
      <c r="K1571" s="105" t="str">
        <f t="shared" si="57"/>
        <v>0008-1001-0012</v>
      </c>
      <c r="L1571" s="105" t="str">
        <f>VLOOKUP(K1571,COA!$A$3:$B$337,2,FALSE)</f>
        <v>C95</v>
      </c>
      <c r="M1571" s="105" t="str">
        <f t="shared" si="58"/>
        <v>C95</v>
      </c>
      <c r="N1571" s="105" t="str">
        <f>VLOOKUP(M1571,CAC!$A$2:$B$198,2,FALSE)</f>
        <v>DOIIFP</v>
      </c>
    </row>
    <row r="1572" spans="5:14" x14ac:dyDescent="0.25">
      <c r="E1572" s="83">
        <v>201607</v>
      </c>
      <c r="F1572" s="82" t="s">
        <v>345</v>
      </c>
      <c r="G1572" s="82" t="s">
        <v>352</v>
      </c>
      <c r="H1572" s="82" t="s">
        <v>344</v>
      </c>
      <c r="I1572" s="95">
        <v>13327.21</v>
      </c>
      <c r="K1572" s="105" t="str">
        <f t="shared" si="57"/>
        <v>0011-1004-0012</v>
      </c>
      <c r="L1572" s="105" t="str">
        <f>VLOOKUP(K1572,COA!$A$3:$B$337,2,FALSE)</f>
        <v>L11</v>
      </c>
      <c r="M1572" s="105" t="str">
        <f t="shared" si="58"/>
        <v>L11</v>
      </c>
      <c r="N1572" s="105" t="str">
        <f>VLOOKUP(M1572,CAC!$A$2:$B$198,2,FALSE)</f>
        <v>HMOLG</v>
      </c>
    </row>
    <row r="1573" spans="5:14" x14ac:dyDescent="0.25">
      <c r="E1573" s="83">
        <v>201612</v>
      </c>
      <c r="F1573" s="82" t="s">
        <v>345</v>
      </c>
      <c r="G1573" s="82" t="s">
        <v>348</v>
      </c>
      <c r="H1573" s="82" t="s">
        <v>349</v>
      </c>
      <c r="I1573" s="95">
        <v>25648.83</v>
      </c>
      <c r="K1573" s="105" t="str">
        <f t="shared" si="57"/>
        <v>0011-1010-0017</v>
      </c>
      <c r="L1573" s="105" t="str">
        <f>VLOOKUP(K1573,COA!$A$3:$B$337,2,FALSE)</f>
        <v>S11</v>
      </c>
      <c r="M1573" s="105" t="str">
        <f t="shared" si="58"/>
        <v>S11</v>
      </c>
      <c r="N1573" s="105" t="str">
        <f>VLOOKUP(M1573,CAC!$A$2:$B$198,2,FALSE)</f>
        <v>HMOSG</v>
      </c>
    </row>
    <row r="1574" spans="5:14" x14ac:dyDescent="0.25">
      <c r="E1574" s="83">
        <v>201504</v>
      </c>
      <c r="F1574" s="82" t="s">
        <v>345</v>
      </c>
      <c r="G1574" s="82" t="s">
        <v>359</v>
      </c>
      <c r="H1574" s="82" t="s">
        <v>344</v>
      </c>
      <c r="I1574" s="95">
        <v>1960.94</v>
      </c>
      <c r="K1574" s="105" t="str">
        <f t="shared" si="57"/>
        <v>0011-1005-0012</v>
      </c>
      <c r="L1574" s="105" t="str">
        <f>VLOOKUP(K1574,COA!$A$3:$B$337,2,FALSE)</f>
        <v>N11</v>
      </c>
      <c r="M1574" s="105" t="str">
        <f t="shared" si="58"/>
        <v>N11</v>
      </c>
      <c r="N1574" s="105" t="str">
        <f>VLOOKUP(M1574,CAC!$A$2:$B$198,2,FALSE)</f>
        <v>HMOLG</v>
      </c>
    </row>
    <row r="1575" spans="5:14" x14ac:dyDescent="0.25">
      <c r="E1575" s="83">
        <v>201609</v>
      </c>
      <c r="F1575" s="82" t="s">
        <v>344</v>
      </c>
      <c r="G1575" s="82" t="s">
        <v>352</v>
      </c>
      <c r="H1575" s="82" t="s">
        <v>344</v>
      </c>
      <c r="I1575" s="95">
        <v>451</v>
      </c>
      <c r="K1575" s="105" t="str">
        <f t="shared" si="57"/>
        <v>0012-1004-0012</v>
      </c>
      <c r="L1575" s="105" t="str">
        <f>VLOOKUP(K1575,COA!$A$3:$B$337,2,FALSE)</f>
        <v>L12</v>
      </c>
      <c r="M1575" s="105" t="str">
        <f t="shared" si="58"/>
        <v>L12</v>
      </c>
      <c r="N1575" s="105" t="str">
        <f>VLOOKUP(M1575,CAC!$A$2:$B$198,2,FALSE)</f>
        <v>HMOLG</v>
      </c>
    </row>
    <row r="1576" spans="5:14" x14ac:dyDescent="0.25">
      <c r="E1576" s="83">
        <v>201507</v>
      </c>
      <c r="F1576" s="82" t="s">
        <v>746</v>
      </c>
      <c r="G1576" s="82" t="s">
        <v>356</v>
      </c>
      <c r="H1576" s="82" t="s">
        <v>344</v>
      </c>
      <c r="I1576" s="95">
        <v>119</v>
      </c>
      <c r="K1576" s="105" t="str">
        <f t="shared" si="57"/>
        <v>0016-1002-0012</v>
      </c>
      <c r="L1576" s="105" t="str">
        <f>VLOOKUP(K1576,COA!$A$3:$B$337,2,FALSE)</f>
        <v>R18</v>
      </c>
      <c r="M1576" s="105" t="str">
        <f t="shared" si="58"/>
        <v>R18</v>
      </c>
      <c r="N1576" s="105" t="str">
        <f>VLOOKUP(M1576,CAC!$A$2:$B$198,2,FALSE)</f>
        <v>HMOMG</v>
      </c>
    </row>
    <row r="1577" spans="5:14" x14ac:dyDescent="0.25">
      <c r="E1577" s="83">
        <v>201507</v>
      </c>
      <c r="F1577" s="82" t="s">
        <v>345</v>
      </c>
      <c r="G1577" s="82" t="s">
        <v>362</v>
      </c>
      <c r="H1577" s="82" t="s">
        <v>363</v>
      </c>
      <c r="I1577" s="95">
        <v>59738.44</v>
      </c>
      <c r="K1577" s="105" t="str">
        <f t="shared" si="57"/>
        <v>0011-1008-0054</v>
      </c>
      <c r="L1577" s="105" t="str">
        <f>VLOOKUP(K1577,COA!$A$3:$B$337,2,FALSE)</f>
        <v>P23</v>
      </c>
      <c r="M1577" s="105" t="str">
        <f t="shared" si="58"/>
        <v>P23</v>
      </c>
      <c r="N1577" s="105" t="str">
        <f>VLOOKUP(M1577,CAC!$A$2:$B$198,2,FALSE)</f>
        <v>HMOPERN</v>
      </c>
    </row>
    <row r="1578" spans="5:14" x14ac:dyDescent="0.25">
      <c r="E1578" s="83">
        <v>201504</v>
      </c>
      <c r="F1578" s="82" t="s">
        <v>746</v>
      </c>
      <c r="G1578" s="82" t="s">
        <v>362</v>
      </c>
      <c r="H1578" s="82" t="s">
        <v>364</v>
      </c>
      <c r="I1578" s="95">
        <v>5664</v>
      </c>
      <c r="K1578" s="105" t="str">
        <f t="shared" si="57"/>
        <v>0016-1008-0037</v>
      </c>
      <c r="L1578" s="105" t="str">
        <f>VLOOKUP(K1578,COA!$A$3:$B$337,2,FALSE)</f>
        <v>R24</v>
      </c>
      <c r="M1578" s="105" t="str">
        <f t="shared" si="58"/>
        <v>R24</v>
      </c>
      <c r="N1578" s="105" t="str">
        <f>VLOOKUP(M1578,CAC!$A$2:$B$198,2,FALSE)</f>
        <v>PERMAPD</v>
      </c>
    </row>
    <row r="1579" spans="5:14" x14ac:dyDescent="0.25">
      <c r="E1579" s="83">
        <v>201708</v>
      </c>
      <c r="F1579" s="82" t="s">
        <v>345</v>
      </c>
      <c r="G1579" s="82" t="s">
        <v>354</v>
      </c>
      <c r="H1579" s="82" t="s">
        <v>344</v>
      </c>
      <c r="I1579" s="95">
        <v>4238.97</v>
      </c>
      <c r="K1579" s="105" t="str">
        <f t="shared" si="57"/>
        <v>0011-1013-0012</v>
      </c>
      <c r="L1579" s="105" t="str">
        <f>VLOOKUP(K1579,COA!$A$3:$B$337,2,FALSE)</f>
        <v>N20</v>
      </c>
      <c r="M1579" s="105" t="str">
        <f t="shared" si="58"/>
        <v>N20</v>
      </c>
      <c r="N1579" s="105" t="str">
        <f>VLOOKUP(M1579,CAC!$A$2:$B$198,2,FALSE)</f>
        <v>HMOPMR</v>
      </c>
    </row>
    <row r="1580" spans="5:14" x14ac:dyDescent="0.25">
      <c r="E1580" s="83">
        <v>201608</v>
      </c>
      <c r="F1580" s="82" t="s">
        <v>413</v>
      </c>
      <c r="G1580" s="82" t="s">
        <v>352</v>
      </c>
      <c r="H1580" s="82" t="s">
        <v>344</v>
      </c>
      <c r="I1580" s="95">
        <v>0</v>
      </c>
      <c r="K1580" s="105" t="str">
        <f t="shared" si="57"/>
        <v>0008-1004-0012</v>
      </c>
      <c r="L1580" s="105" t="str">
        <f>VLOOKUP(K1580,COA!$A$3:$B$337,2,FALSE)</f>
        <v>C93</v>
      </c>
      <c r="M1580" s="105" t="str">
        <f t="shared" si="58"/>
        <v>C93</v>
      </c>
      <c r="N1580" s="105" t="str">
        <f>VLOOKUP(M1580,CAC!$A$2:$B$198,2,FALSE)</f>
        <v>DOILG</v>
      </c>
    </row>
    <row r="1581" spans="5:14" x14ac:dyDescent="0.25">
      <c r="E1581" s="83">
        <v>201705</v>
      </c>
      <c r="F1581" s="82" t="s">
        <v>563</v>
      </c>
      <c r="G1581" s="82" t="s">
        <v>350</v>
      </c>
      <c r="H1581" s="82" t="s">
        <v>626</v>
      </c>
      <c r="I1581" s="95">
        <v>0</v>
      </c>
      <c r="K1581" s="105" t="str">
        <f t="shared" si="57"/>
        <v>0003-1012-0057</v>
      </c>
      <c r="L1581" s="105" t="str">
        <f>VLOOKUP(K1581,COA!$A$3:$B$337,2,FALSE)</f>
        <v>K51</v>
      </c>
      <c r="M1581" s="105" t="str">
        <f t="shared" si="58"/>
        <v>K51</v>
      </c>
      <c r="N1581" s="105" t="str">
        <f>VLOOKUP(M1581,CAC!$A$2:$B$198,2,FALSE)</f>
        <v>PPOPMR</v>
      </c>
    </row>
    <row r="1582" spans="5:14" x14ac:dyDescent="0.25">
      <c r="E1582" s="83">
        <v>201510</v>
      </c>
      <c r="F1582" s="82" t="s">
        <v>344</v>
      </c>
      <c r="G1582" s="82" t="s">
        <v>350</v>
      </c>
      <c r="H1582" s="82" t="s">
        <v>344</v>
      </c>
      <c r="I1582" s="95">
        <v>111</v>
      </c>
      <c r="K1582" s="105" t="str">
        <f t="shared" si="57"/>
        <v>0012-1012-0012</v>
      </c>
      <c r="L1582" s="105" t="str">
        <f>VLOOKUP(K1582,COA!$A$3:$B$337,2,FALSE)</f>
        <v>K12</v>
      </c>
      <c r="M1582" s="105" t="str">
        <f t="shared" si="58"/>
        <v>K12</v>
      </c>
      <c r="N1582" s="105" t="str">
        <f>VLOOKUP(M1582,CAC!$A$2:$B$198,2,FALSE)</f>
        <v>HMOPMR</v>
      </c>
    </row>
    <row r="1583" spans="5:14" x14ac:dyDescent="0.25">
      <c r="E1583" s="83">
        <v>201511</v>
      </c>
      <c r="F1583" s="82" t="s">
        <v>345</v>
      </c>
      <c r="G1583" s="82" t="s">
        <v>348</v>
      </c>
      <c r="H1583" s="82" t="s">
        <v>358</v>
      </c>
      <c r="I1583" s="95">
        <v>67</v>
      </c>
      <c r="K1583" s="105" t="str">
        <f t="shared" si="57"/>
        <v>0011-1010-0024</v>
      </c>
      <c r="L1583" s="105" t="str">
        <f>VLOOKUP(K1583,COA!$A$3:$B$337,2,FALSE)</f>
        <v>S14</v>
      </c>
      <c r="M1583" s="105" t="str">
        <f t="shared" si="58"/>
        <v>S14</v>
      </c>
      <c r="N1583" s="105" t="str">
        <f>VLOOKUP(M1583,CAC!$A$2:$B$198,2,FALSE)</f>
        <v>HMOSG</v>
      </c>
    </row>
    <row r="1584" spans="5:14" x14ac:dyDescent="0.25">
      <c r="E1584" s="83">
        <v>201708</v>
      </c>
      <c r="F1584" s="82" t="s">
        <v>563</v>
      </c>
      <c r="G1584" s="82" t="s">
        <v>352</v>
      </c>
      <c r="H1584" s="82" t="s">
        <v>626</v>
      </c>
      <c r="I1584" s="95">
        <v>0</v>
      </c>
      <c r="K1584" s="105" t="str">
        <f t="shared" si="57"/>
        <v>0003-1004-0057</v>
      </c>
      <c r="L1584" s="105" t="e">
        <f>VLOOKUP(K1584,COA!$A$3:$B$337,2,FALSE)</f>
        <v>#N/A</v>
      </c>
      <c r="M1584" s="105" t="str">
        <f t="shared" si="58"/>
        <v>XXX</v>
      </c>
      <c r="N1584" s="105" t="str">
        <f>VLOOKUP(M1584,CAC!$A$2:$B$198,2,FALSE)</f>
        <v>XXX</v>
      </c>
    </row>
    <row r="1585" spans="5:14" x14ac:dyDescent="0.25">
      <c r="E1585" s="83">
        <v>201609</v>
      </c>
      <c r="F1585" s="82" t="s">
        <v>746</v>
      </c>
      <c r="G1585" s="82" t="s">
        <v>350</v>
      </c>
      <c r="H1585" s="82" t="s">
        <v>764</v>
      </c>
      <c r="I1585" s="95">
        <v>4</v>
      </c>
      <c r="K1585" s="105" t="str">
        <f t="shared" si="57"/>
        <v>0016-1012-0064</v>
      </c>
      <c r="L1585" s="105" t="str">
        <f>VLOOKUP(K1585,COA!$A$3:$B$337,2,FALSE)</f>
        <v>R25</v>
      </c>
      <c r="M1585" s="105" t="str">
        <f t="shared" si="58"/>
        <v>R25</v>
      </c>
      <c r="N1585" s="105" t="str">
        <f>VLOOKUP(M1585,CAC!$A$2:$B$198,2,FALSE)</f>
        <v>HMOMG</v>
      </c>
    </row>
    <row r="1586" spans="5:14" x14ac:dyDescent="0.25">
      <c r="E1586" s="83">
        <v>201707</v>
      </c>
      <c r="F1586" s="82" t="s">
        <v>342</v>
      </c>
      <c r="G1586" s="82" t="s">
        <v>343</v>
      </c>
      <c r="H1586" s="82" t="s">
        <v>344</v>
      </c>
      <c r="I1586" s="95">
        <v>5665.25</v>
      </c>
      <c r="K1586" s="105" t="str">
        <f t="shared" si="57"/>
        <v>0031-1000-0012</v>
      </c>
      <c r="L1586" s="105" t="str">
        <f>VLOOKUP(K1586,COA!$A$3:$B$337,2,FALSE)</f>
        <v>F27</v>
      </c>
      <c r="M1586" s="105" t="str">
        <f t="shared" si="58"/>
        <v>F27</v>
      </c>
      <c r="N1586" s="105" t="str">
        <f>VLOOKUP(M1586,CAC!$A$2:$B$198,2,FALSE)</f>
        <v>HMOFEP</v>
      </c>
    </row>
    <row r="1587" spans="5:14" x14ac:dyDescent="0.25">
      <c r="E1587" s="83">
        <v>201702</v>
      </c>
      <c r="F1587" s="82" t="s">
        <v>563</v>
      </c>
      <c r="G1587" s="82" t="s">
        <v>348</v>
      </c>
      <c r="H1587" s="82" t="s">
        <v>349</v>
      </c>
      <c r="I1587" s="95">
        <v>0</v>
      </c>
      <c r="K1587" s="105" t="str">
        <f t="shared" si="57"/>
        <v>0003-1010-0017</v>
      </c>
      <c r="L1587" s="105" t="str">
        <f>VLOOKUP(K1587,COA!$A$3:$B$337,2,FALSE)</f>
        <v>S51</v>
      </c>
      <c r="M1587" s="105" t="str">
        <f t="shared" si="58"/>
        <v>S51</v>
      </c>
      <c r="N1587" s="105" t="str">
        <f>VLOOKUP(M1587,CAC!$A$2:$B$198,2,FALSE)</f>
        <v>PPOSG</v>
      </c>
    </row>
    <row r="1588" spans="5:14" x14ac:dyDescent="0.25">
      <c r="E1588" s="83">
        <v>201508</v>
      </c>
      <c r="F1588" s="82" t="s">
        <v>345</v>
      </c>
      <c r="G1588" s="82" t="s">
        <v>350</v>
      </c>
      <c r="H1588" s="82" t="s">
        <v>344</v>
      </c>
      <c r="I1588" s="95">
        <v>9154</v>
      </c>
      <c r="K1588" s="105" t="str">
        <f t="shared" si="57"/>
        <v>0011-1012-0012</v>
      </c>
      <c r="L1588" s="105" t="str">
        <f>VLOOKUP(K1588,COA!$A$3:$B$337,2,FALSE)</f>
        <v>K11</v>
      </c>
      <c r="M1588" s="105" t="str">
        <f t="shared" si="58"/>
        <v>K11</v>
      </c>
      <c r="N1588" s="105" t="str">
        <f>VLOOKUP(M1588,CAC!$A$2:$B$198,2,FALSE)</f>
        <v>HMOPMR</v>
      </c>
    </row>
    <row r="1589" spans="5:14" x14ac:dyDescent="0.25">
      <c r="E1589" s="83">
        <v>201609</v>
      </c>
      <c r="F1589" s="82" t="s">
        <v>345</v>
      </c>
      <c r="G1589" s="82" t="s">
        <v>362</v>
      </c>
      <c r="H1589" s="82" t="s">
        <v>363</v>
      </c>
      <c r="I1589" s="95">
        <v>36460.79</v>
      </c>
      <c r="K1589" s="105" t="str">
        <f t="shared" si="57"/>
        <v>0011-1008-0054</v>
      </c>
      <c r="L1589" s="105" t="str">
        <f>VLOOKUP(K1589,COA!$A$3:$B$337,2,FALSE)</f>
        <v>P23</v>
      </c>
      <c r="M1589" s="105" t="str">
        <f t="shared" si="58"/>
        <v>P23</v>
      </c>
      <c r="N1589" s="105" t="str">
        <f>VLOOKUP(M1589,CAC!$A$2:$B$198,2,FALSE)</f>
        <v>HMOPERN</v>
      </c>
    </row>
    <row r="1590" spans="5:14" x14ac:dyDescent="0.25">
      <c r="E1590" s="83">
        <v>201709</v>
      </c>
      <c r="F1590" s="82" t="s">
        <v>345</v>
      </c>
      <c r="G1590" s="82" t="s">
        <v>354</v>
      </c>
      <c r="H1590" s="82" t="s">
        <v>360</v>
      </c>
      <c r="I1590" s="95">
        <v>5097</v>
      </c>
      <c r="K1590" s="105" t="str">
        <f t="shared" si="57"/>
        <v>0011-1013-0048</v>
      </c>
      <c r="L1590" s="105" t="str">
        <f>VLOOKUP(K1590,COA!$A$3:$B$337,2,FALSE)</f>
        <v>N21</v>
      </c>
      <c r="M1590" s="105" t="str">
        <f t="shared" si="58"/>
        <v>N21</v>
      </c>
      <c r="N1590" s="105" t="str">
        <f>VLOOKUP(M1590,CAC!$A$2:$B$198,2,FALSE)</f>
        <v>HMFLEX</v>
      </c>
    </row>
    <row r="1591" spans="5:14" x14ac:dyDescent="0.25">
      <c r="E1591" s="83">
        <v>201605</v>
      </c>
      <c r="F1591" s="82" t="s">
        <v>563</v>
      </c>
      <c r="G1591" s="82" t="s">
        <v>352</v>
      </c>
      <c r="H1591" s="82" t="s">
        <v>344</v>
      </c>
      <c r="I1591" s="95">
        <v>0</v>
      </c>
      <c r="K1591" s="105" t="str">
        <f t="shared" si="57"/>
        <v>0003-1004-0012</v>
      </c>
      <c r="L1591" s="105" t="str">
        <f>VLOOKUP(K1591,COA!$A$3:$B$337,2,FALSE)</f>
        <v>L51</v>
      </c>
      <c r="M1591" s="105" t="str">
        <f t="shared" si="58"/>
        <v>L51</v>
      </c>
      <c r="N1591" s="105" t="str">
        <f>VLOOKUP(M1591,CAC!$A$2:$B$198,2,FALSE)</f>
        <v>PPOLG</v>
      </c>
    </row>
    <row r="1592" spans="5:14" x14ac:dyDescent="0.25">
      <c r="E1592" s="83">
        <v>201610</v>
      </c>
      <c r="F1592" s="82" t="s">
        <v>344</v>
      </c>
      <c r="G1592" s="82" t="s">
        <v>354</v>
      </c>
      <c r="H1592" s="82" t="s">
        <v>344</v>
      </c>
      <c r="I1592" s="95">
        <v>285</v>
      </c>
      <c r="K1592" s="105" t="str">
        <f t="shared" si="57"/>
        <v>0012-1013-0012</v>
      </c>
      <c r="L1592" s="105" t="str">
        <f>VLOOKUP(K1592,COA!$A$3:$B$337,2,FALSE)</f>
        <v>N14</v>
      </c>
      <c r="M1592" s="105" t="str">
        <f t="shared" si="58"/>
        <v>N14</v>
      </c>
      <c r="N1592" s="105" t="str">
        <f>VLOOKUP(M1592,CAC!$A$2:$B$198,2,FALSE)</f>
        <v>HMOPMR</v>
      </c>
    </row>
    <row r="1593" spans="5:14" x14ac:dyDescent="0.25">
      <c r="E1593" s="83">
        <v>201703</v>
      </c>
      <c r="F1593" s="82" t="s">
        <v>345</v>
      </c>
      <c r="G1593" s="82" t="s">
        <v>346</v>
      </c>
      <c r="H1593" s="82" t="s">
        <v>360</v>
      </c>
      <c r="I1593" s="95">
        <v>345</v>
      </c>
      <c r="K1593" s="105" t="str">
        <f t="shared" si="57"/>
        <v>0011-1014-0048</v>
      </c>
      <c r="L1593" s="105" t="str">
        <f>VLOOKUP(K1593,COA!$A$3:$B$337,2,FALSE)</f>
        <v>K23</v>
      </c>
      <c r="M1593" s="105" t="str">
        <f t="shared" si="58"/>
        <v>K23</v>
      </c>
      <c r="N1593" s="105" t="str">
        <f>VLOOKUP(M1593,CAC!$A$2:$B$198,2,FALSE)</f>
        <v>HMFLEX</v>
      </c>
    </row>
    <row r="1594" spans="5:14" x14ac:dyDescent="0.25">
      <c r="E1594" s="83">
        <v>201610</v>
      </c>
      <c r="F1594" s="82" t="s">
        <v>563</v>
      </c>
      <c r="G1594" s="82" t="s">
        <v>354</v>
      </c>
      <c r="H1594" s="82" t="s">
        <v>626</v>
      </c>
      <c r="I1594" s="95">
        <v>0</v>
      </c>
      <c r="K1594" s="105" t="str">
        <f t="shared" si="57"/>
        <v>0003-1013-0057</v>
      </c>
      <c r="L1594" s="105" t="str">
        <f>VLOOKUP(K1594,COA!$A$3:$B$337,2,FALSE)</f>
        <v>N55</v>
      </c>
      <c r="M1594" s="105" t="str">
        <f t="shared" si="58"/>
        <v>N55</v>
      </c>
      <c r="N1594" s="105" t="str">
        <f>VLOOKUP(M1594,CAC!$A$2:$B$198,2,FALSE)</f>
        <v>PPOPMR</v>
      </c>
    </row>
    <row r="1595" spans="5:14" x14ac:dyDescent="0.25">
      <c r="E1595" s="83">
        <v>201606</v>
      </c>
      <c r="F1595" s="82" t="s">
        <v>746</v>
      </c>
      <c r="G1595" s="82" t="s">
        <v>356</v>
      </c>
      <c r="H1595" s="82" t="s">
        <v>344</v>
      </c>
      <c r="I1595" s="95">
        <v>130</v>
      </c>
      <c r="K1595" s="105" t="str">
        <f t="shared" si="57"/>
        <v>0016-1002-0012</v>
      </c>
      <c r="L1595" s="105" t="str">
        <f>VLOOKUP(K1595,COA!$A$3:$B$337,2,FALSE)</f>
        <v>R18</v>
      </c>
      <c r="M1595" s="105" t="str">
        <f t="shared" si="58"/>
        <v>R18</v>
      </c>
      <c r="N1595" s="105" t="str">
        <f>VLOOKUP(M1595,CAC!$A$2:$B$198,2,FALSE)</f>
        <v>HMOMG</v>
      </c>
    </row>
    <row r="1596" spans="5:14" x14ac:dyDescent="0.25">
      <c r="E1596" s="83">
        <v>201510</v>
      </c>
      <c r="F1596" s="82" t="s">
        <v>345</v>
      </c>
      <c r="G1596" s="82" t="s">
        <v>351</v>
      </c>
      <c r="H1596" s="82" t="s">
        <v>349</v>
      </c>
      <c r="I1596" s="95">
        <v>1</v>
      </c>
      <c r="K1596" s="105" t="str">
        <f t="shared" si="57"/>
        <v>0011-0000-0017</v>
      </c>
      <c r="L1596" s="105" t="e">
        <f>VLOOKUP(K1596,COA!$A$3:$B$337,2,FALSE)</f>
        <v>#N/A</v>
      </c>
      <c r="M1596" s="105" t="str">
        <f t="shared" si="58"/>
        <v>XXX</v>
      </c>
      <c r="N1596" s="105" t="str">
        <f>VLOOKUP(M1596,CAC!$A$2:$B$198,2,FALSE)</f>
        <v>XXX</v>
      </c>
    </row>
    <row r="1597" spans="5:14" x14ac:dyDescent="0.25">
      <c r="E1597" s="83">
        <v>201702</v>
      </c>
      <c r="F1597" s="82" t="s">
        <v>349</v>
      </c>
      <c r="G1597" s="82" t="s">
        <v>369</v>
      </c>
      <c r="H1597" s="82" t="s">
        <v>344</v>
      </c>
      <c r="I1597" s="95">
        <v>42845</v>
      </c>
      <c r="K1597" s="105" t="str">
        <f t="shared" si="57"/>
        <v>0017-1009-0012</v>
      </c>
      <c r="L1597" s="105" t="str">
        <f>VLOOKUP(K1597,COA!$A$3:$B$337,2,FALSE)</f>
        <v>R12</v>
      </c>
      <c r="M1597" s="105" t="str">
        <f t="shared" si="58"/>
        <v>R12</v>
      </c>
      <c r="N1597" s="105" t="str">
        <f>VLOOKUP(M1597,CAC!$A$2:$B$198,2,FALSE)</f>
        <v>HMOMM</v>
      </c>
    </row>
    <row r="1598" spans="5:14" x14ac:dyDescent="0.25">
      <c r="E1598" s="83">
        <v>201502</v>
      </c>
      <c r="F1598" s="82" t="s">
        <v>413</v>
      </c>
      <c r="G1598" s="82" t="s">
        <v>365</v>
      </c>
      <c r="H1598" s="82" t="s">
        <v>344</v>
      </c>
      <c r="I1598" s="95">
        <v>0</v>
      </c>
      <c r="K1598" s="105" t="str">
        <f t="shared" si="57"/>
        <v>0008-1001-0012</v>
      </c>
      <c r="L1598" s="105" t="str">
        <f>VLOOKUP(K1598,COA!$A$3:$B$337,2,FALSE)</f>
        <v>C95</v>
      </c>
      <c r="M1598" s="105" t="str">
        <f t="shared" si="58"/>
        <v>C95</v>
      </c>
      <c r="N1598" s="105" t="str">
        <f>VLOOKUP(M1598,CAC!$A$2:$B$198,2,FALSE)</f>
        <v>DOIIFP</v>
      </c>
    </row>
    <row r="1599" spans="5:14" x14ac:dyDescent="0.25">
      <c r="E1599" s="83">
        <v>201612</v>
      </c>
      <c r="F1599" s="82" t="s">
        <v>345</v>
      </c>
      <c r="G1599" s="82" t="s">
        <v>362</v>
      </c>
      <c r="H1599" s="82" t="s">
        <v>363</v>
      </c>
      <c r="I1599" s="95">
        <v>35352.519999999997</v>
      </c>
      <c r="K1599" s="105" t="str">
        <f t="shared" si="57"/>
        <v>0011-1008-0054</v>
      </c>
      <c r="L1599" s="105" t="str">
        <f>VLOOKUP(K1599,COA!$A$3:$B$337,2,FALSE)</f>
        <v>P23</v>
      </c>
      <c r="M1599" s="105" t="str">
        <f t="shared" si="58"/>
        <v>P23</v>
      </c>
      <c r="N1599" s="105" t="str">
        <f>VLOOKUP(M1599,CAC!$A$2:$B$198,2,FALSE)</f>
        <v>HMOPERN</v>
      </c>
    </row>
    <row r="1600" spans="5:14" x14ac:dyDescent="0.25">
      <c r="E1600" s="83">
        <v>201606</v>
      </c>
      <c r="F1600" s="82" t="s">
        <v>349</v>
      </c>
      <c r="G1600" s="82" t="s">
        <v>369</v>
      </c>
      <c r="H1600" s="82" t="s">
        <v>764</v>
      </c>
      <c r="I1600" s="95">
        <v>3</v>
      </c>
      <c r="K1600" s="105" t="str">
        <f t="shared" si="57"/>
        <v>0017-1009-0064</v>
      </c>
      <c r="L1600" s="105" t="str">
        <f>VLOOKUP(K1600,COA!$A$3:$B$337,2,FALSE)</f>
        <v>R15</v>
      </c>
      <c r="M1600" s="105" t="str">
        <f t="shared" si="58"/>
        <v>R15</v>
      </c>
      <c r="N1600" s="105" t="str">
        <f>VLOOKUP(M1600,CAC!$A$2:$B$198,2,FALSE)</f>
        <v>HMOMM</v>
      </c>
    </row>
    <row r="1601" spans="5:14" x14ac:dyDescent="0.25">
      <c r="E1601" s="83">
        <v>201706</v>
      </c>
      <c r="F1601" s="82" t="s">
        <v>563</v>
      </c>
      <c r="G1601" s="82" t="s">
        <v>365</v>
      </c>
      <c r="H1601" s="82" t="s">
        <v>344</v>
      </c>
      <c r="I1601" s="95">
        <v>0</v>
      </c>
      <c r="K1601" s="105" t="str">
        <f t="shared" si="57"/>
        <v>0003-1001-0012</v>
      </c>
      <c r="L1601" s="105" t="str">
        <f>VLOOKUP(K1601,COA!$A$3:$B$337,2,FALSE)</f>
        <v>V51</v>
      </c>
      <c r="M1601" s="105" t="str">
        <f t="shared" si="58"/>
        <v>V51</v>
      </c>
      <c r="N1601" s="105" t="str">
        <f>VLOOKUP(M1601,CAC!$A$2:$B$198,2,FALSE)</f>
        <v>PPOIFP</v>
      </c>
    </row>
    <row r="1602" spans="5:14" x14ac:dyDescent="0.25">
      <c r="E1602" s="83">
        <v>201607</v>
      </c>
      <c r="F1602" s="82" t="s">
        <v>746</v>
      </c>
      <c r="G1602" s="82" t="s">
        <v>355</v>
      </c>
      <c r="H1602" s="82" t="s">
        <v>344</v>
      </c>
      <c r="I1602" s="95">
        <v>0</v>
      </c>
      <c r="K1602" s="105" t="str">
        <f t="shared" si="57"/>
        <v>0016-1006-0012</v>
      </c>
      <c r="L1602" s="105" t="str">
        <f>VLOOKUP(K1602,COA!$A$3:$B$337,2,FALSE)</f>
        <v>R21</v>
      </c>
      <c r="M1602" s="105" t="str">
        <f t="shared" si="58"/>
        <v>R21</v>
      </c>
      <c r="N1602" s="105" t="str">
        <f>VLOOKUP(M1602,CAC!$A$2:$B$198,2,FALSE)</f>
        <v>HMOMG</v>
      </c>
    </row>
    <row r="1603" spans="5:14" x14ac:dyDescent="0.25">
      <c r="E1603" s="83">
        <v>201712</v>
      </c>
      <c r="F1603" s="82" t="s">
        <v>563</v>
      </c>
      <c r="G1603" s="82" t="s">
        <v>354</v>
      </c>
      <c r="H1603" s="82" t="s">
        <v>344</v>
      </c>
      <c r="I1603" s="95">
        <v>0</v>
      </c>
      <c r="K1603" s="105" t="str">
        <f t="shared" si="57"/>
        <v>0003-1013-0012</v>
      </c>
      <c r="L1603" s="105" t="str">
        <f>VLOOKUP(K1603,COA!$A$3:$B$337,2,FALSE)</f>
        <v>N55</v>
      </c>
      <c r="M1603" s="105" t="str">
        <f t="shared" si="58"/>
        <v>N55</v>
      </c>
      <c r="N1603" s="105" t="str">
        <f>VLOOKUP(M1603,CAC!$A$2:$B$198,2,FALSE)</f>
        <v>PPOPMR</v>
      </c>
    </row>
    <row r="1604" spans="5:14" x14ac:dyDescent="0.25">
      <c r="E1604" s="83">
        <v>201607</v>
      </c>
      <c r="F1604" s="82" t="s">
        <v>506</v>
      </c>
      <c r="G1604" s="82" t="s">
        <v>346</v>
      </c>
      <c r="H1604" s="82" t="s">
        <v>592</v>
      </c>
      <c r="I1604" s="95">
        <v>0</v>
      </c>
      <c r="K1604" s="105" t="str">
        <f t="shared" ref="K1604:K1667" si="59">F1604&amp;"-"&amp;G1604&amp;"-"&amp;H1604</f>
        <v>0013-1014-0035</v>
      </c>
      <c r="L1604" s="105" t="str">
        <f>VLOOKUP(K1604,COA!$A$3:$B$337,2,FALSE)</f>
        <v>K42</v>
      </c>
      <c r="M1604" s="105" t="str">
        <f t="shared" ref="M1604:M1667" si="60">IF(ISNA(L1604),"XXX",L1604)</f>
        <v>K42</v>
      </c>
      <c r="N1604" s="105" t="str">
        <f>VLOOKUP(M1604,CAC!$A$2:$B$198,2,FALSE)</f>
        <v>HMFLEX</v>
      </c>
    </row>
    <row r="1605" spans="5:14" x14ac:dyDescent="0.25">
      <c r="E1605" s="83">
        <v>201605</v>
      </c>
      <c r="F1605" s="82" t="s">
        <v>344</v>
      </c>
      <c r="G1605" s="82" t="s">
        <v>354</v>
      </c>
      <c r="H1605" s="82" t="s">
        <v>344</v>
      </c>
      <c r="I1605" s="95">
        <v>282</v>
      </c>
      <c r="K1605" s="105" t="str">
        <f t="shared" si="59"/>
        <v>0012-1013-0012</v>
      </c>
      <c r="L1605" s="105" t="str">
        <f>VLOOKUP(K1605,COA!$A$3:$B$337,2,FALSE)</f>
        <v>N14</v>
      </c>
      <c r="M1605" s="105" t="str">
        <f t="shared" si="60"/>
        <v>N14</v>
      </c>
      <c r="N1605" s="105" t="str">
        <f>VLOOKUP(M1605,CAC!$A$2:$B$198,2,FALSE)</f>
        <v>HMOPMR</v>
      </c>
    </row>
    <row r="1606" spans="5:14" x14ac:dyDescent="0.25">
      <c r="E1606" s="83">
        <v>201512</v>
      </c>
      <c r="F1606" s="82" t="s">
        <v>413</v>
      </c>
      <c r="G1606" s="82" t="s">
        <v>352</v>
      </c>
      <c r="H1606" s="82" t="s">
        <v>344</v>
      </c>
      <c r="I1606" s="95">
        <v>0</v>
      </c>
      <c r="K1606" s="105" t="str">
        <f t="shared" si="59"/>
        <v>0008-1004-0012</v>
      </c>
      <c r="L1606" s="105" t="str">
        <f>VLOOKUP(K1606,COA!$A$3:$B$337,2,FALSE)</f>
        <v>C93</v>
      </c>
      <c r="M1606" s="105" t="str">
        <f t="shared" si="60"/>
        <v>C93</v>
      </c>
      <c r="N1606" s="105" t="str">
        <f>VLOOKUP(M1606,CAC!$A$2:$B$198,2,FALSE)</f>
        <v>DOILG</v>
      </c>
    </row>
    <row r="1607" spans="5:14" x14ac:dyDescent="0.25">
      <c r="E1607" s="83">
        <v>201712</v>
      </c>
      <c r="F1607" s="82" t="s">
        <v>746</v>
      </c>
      <c r="G1607" s="82" t="s">
        <v>352</v>
      </c>
      <c r="H1607" s="82" t="s">
        <v>344</v>
      </c>
      <c r="I1607" s="95">
        <v>3</v>
      </c>
      <c r="K1607" s="105" t="str">
        <f t="shared" si="59"/>
        <v>0016-1004-0012</v>
      </c>
      <c r="L1607" s="105" t="str">
        <f>VLOOKUP(K1607,COA!$A$3:$B$337,2,FALSE)</f>
        <v>R20</v>
      </c>
      <c r="M1607" s="105" t="str">
        <f t="shared" si="60"/>
        <v>R20</v>
      </c>
      <c r="N1607" s="105" t="str">
        <f>VLOOKUP(M1607,CAC!$A$2:$B$198,2,FALSE)</f>
        <v>HMOMG</v>
      </c>
    </row>
    <row r="1608" spans="5:14" x14ac:dyDescent="0.25">
      <c r="E1608" s="83">
        <v>201708</v>
      </c>
      <c r="F1608" s="82" t="s">
        <v>563</v>
      </c>
      <c r="G1608" s="82" t="s">
        <v>348</v>
      </c>
      <c r="H1608" s="82" t="s">
        <v>353</v>
      </c>
      <c r="I1608" s="95">
        <v>0</v>
      </c>
      <c r="K1608" s="105" t="str">
        <f t="shared" si="59"/>
        <v>0003-1010-0023</v>
      </c>
      <c r="L1608" s="105" t="str">
        <f>VLOOKUP(K1608,COA!$A$3:$B$337,2,FALSE)</f>
        <v>S54</v>
      </c>
      <c r="M1608" s="105" t="str">
        <f t="shared" si="60"/>
        <v>S54</v>
      </c>
      <c r="N1608" s="105" t="str">
        <f>VLOOKUP(M1608,CAC!$A$2:$B$198,2,FALSE)</f>
        <v>PPOSG</v>
      </c>
    </row>
    <row r="1609" spans="5:14" x14ac:dyDescent="0.25">
      <c r="E1609" s="83">
        <v>201712</v>
      </c>
      <c r="F1609" s="82" t="s">
        <v>506</v>
      </c>
      <c r="G1609" s="82" t="s">
        <v>352</v>
      </c>
      <c r="H1609" s="82" t="s">
        <v>592</v>
      </c>
      <c r="I1609" s="95">
        <v>0</v>
      </c>
      <c r="K1609" s="105" t="str">
        <f t="shared" si="59"/>
        <v>0013-1004-0035</v>
      </c>
      <c r="L1609" s="105" t="str">
        <f>VLOOKUP(K1609,COA!$A$3:$B$337,2,FALSE)</f>
        <v>L41</v>
      </c>
      <c r="M1609" s="105" t="str">
        <f t="shared" si="60"/>
        <v>L41</v>
      </c>
      <c r="N1609" s="105" t="e">
        <f>VLOOKUP(M1609,CAC!$A$2:$B$198,2,FALSE)</f>
        <v>#N/A</v>
      </c>
    </row>
    <row r="1610" spans="5:14" x14ac:dyDescent="0.25">
      <c r="E1610" s="83">
        <v>201701</v>
      </c>
      <c r="F1610" s="82" t="s">
        <v>563</v>
      </c>
      <c r="G1610" s="82" t="s">
        <v>361</v>
      </c>
      <c r="H1610" s="82" t="s">
        <v>344</v>
      </c>
      <c r="I1610" s="95">
        <v>0</v>
      </c>
      <c r="K1610" s="105" t="str">
        <f t="shared" si="59"/>
        <v>0003-1003-0012</v>
      </c>
      <c r="L1610" s="105" t="str">
        <f>VLOOKUP(K1610,COA!$A$3:$B$337,2,FALSE)</f>
        <v>N61</v>
      </c>
      <c r="M1610" s="105" t="str">
        <f t="shared" si="60"/>
        <v>N61</v>
      </c>
      <c r="N1610" s="105" t="str">
        <f>VLOOKUP(M1610,CAC!$A$2:$B$198,2,FALSE)</f>
        <v>PPOPMR</v>
      </c>
    </row>
    <row r="1611" spans="5:14" x14ac:dyDescent="0.25">
      <c r="E1611" s="83">
        <v>201505</v>
      </c>
      <c r="F1611" s="82" t="s">
        <v>345</v>
      </c>
      <c r="G1611" s="82" t="s">
        <v>356</v>
      </c>
      <c r="H1611" s="82" t="s">
        <v>344</v>
      </c>
      <c r="I1611" s="95">
        <v>149</v>
      </c>
      <c r="K1611" s="105" t="str">
        <f t="shared" si="59"/>
        <v>0011-1002-0012</v>
      </c>
      <c r="L1611" s="105" t="str">
        <f>VLOOKUP(K1611,COA!$A$3:$B$337,2,FALSE)</f>
        <v>F20</v>
      </c>
      <c r="M1611" s="105" t="str">
        <f t="shared" si="60"/>
        <v>F20</v>
      </c>
      <c r="N1611" s="105" t="str">
        <f>VLOOKUP(M1611,CAC!$A$2:$B$198,2,FALSE)</f>
        <v>HMOPMR</v>
      </c>
    </row>
    <row r="1612" spans="5:14" x14ac:dyDescent="0.25">
      <c r="E1612" s="83">
        <v>201511</v>
      </c>
      <c r="F1612" s="82" t="s">
        <v>345</v>
      </c>
      <c r="G1612" s="82" t="s">
        <v>352</v>
      </c>
      <c r="H1612" s="82" t="s">
        <v>653</v>
      </c>
      <c r="I1612" s="95">
        <v>0</v>
      </c>
      <c r="K1612" s="105" t="str">
        <f t="shared" si="59"/>
        <v>0011-1004-0047</v>
      </c>
      <c r="L1612" s="105" t="str">
        <f>VLOOKUP(K1612,COA!$A$3:$B$337,2,FALSE)</f>
        <v>L17</v>
      </c>
      <c r="M1612" s="105" t="str">
        <f t="shared" si="60"/>
        <v>L17</v>
      </c>
      <c r="N1612" s="105" t="str">
        <f>VLOOKUP(M1612,CAC!$A$2:$B$198,2,FALSE)</f>
        <v>HMOLG</v>
      </c>
    </row>
    <row r="1613" spans="5:14" x14ac:dyDescent="0.25">
      <c r="E1613" s="83">
        <v>201608</v>
      </c>
      <c r="F1613" s="82" t="s">
        <v>345</v>
      </c>
      <c r="G1613" s="82" t="s">
        <v>346</v>
      </c>
      <c r="H1613" s="82" t="s">
        <v>344</v>
      </c>
      <c r="I1613" s="95">
        <v>0</v>
      </c>
      <c r="K1613" s="105" t="str">
        <f t="shared" si="59"/>
        <v>0011-1014-0012</v>
      </c>
      <c r="L1613" s="105" t="e">
        <f>VLOOKUP(K1613,COA!$A$3:$B$337,2,FALSE)</f>
        <v>#N/A</v>
      </c>
      <c r="M1613" s="105" t="str">
        <f t="shared" si="60"/>
        <v>XXX</v>
      </c>
      <c r="N1613" s="105" t="str">
        <f>VLOOKUP(M1613,CAC!$A$2:$B$198,2,FALSE)</f>
        <v>XXX</v>
      </c>
    </row>
    <row r="1614" spans="5:14" x14ac:dyDescent="0.25">
      <c r="E1614" s="83">
        <v>201709</v>
      </c>
      <c r="F1614" s="82" t="s">
        <v>746</v>
      </c>
      <c r="G1614" s="82" t="s">
        <v>350</v>
      </c>
      <c r="H1614" s="82" t="s">
        <v>764</v>
      </c>
      <c r="I1614" s="95">
        <v>22</v>
      </c>
      <c r="K1614" s="105" t="str">
        <f t="shared" si="59"/>
        <v>0016-1012-0064</v>
      </c>
      <c r="L1614" s="105" t="str">
        <f>VLOOKUP(K1614,COA!$A$3:$B$337,2,FALSE)</f>
        <v>R25</v>
      </c>
      <c r="M1614" s="105" t="str">
        <f t="shared" si="60"/>
        <v>R25</v>
      </c>
      <c r="N1614" s="105" t="str">
        <f>VLOOKUP(M1614,CAC!$A$2:$B$198,2,FALSE)</f>
        <v>HMOMG</v>
      </c>
    </row>
    <row r="1615" spans="5:14" x14ac:dyDescent="0.25">
      <c r="E1615" s="83">
        <v>201609</v>
      </c>
      <c r="F1615" s="82" t="s">
        <v>563</v>
      </c>
      <c r="G1615" s="82" t="s">
        <v>350</v>
      </c>
      <c r="H1615" s="82" t="s">
        <v>360</v>
      </c>
      <c r="I1615" s="95">
        <v>0</v>
      </c>
      <c r="K1615" s="105" t="str">
        <f t="shared" si="59"/>
        <v>0003-1012-0048</v>
      </c>
      <c r="L1615" s="105" t="str">
        <f>VLOOKUP(K1615,COA!$A$3:$B$337,2,FALSE)</f>
        <v>K56</v>
      </c>
      <c r="M1615" s="105" t="str">
        <f t="shared" si="60"/>
        <v>K56</v>
      </c>
      <c r="N1615" s="105" t="str">
        <f>VLOOKUP(M1615,CAC!$A$2:$B$198,2,FALSE)</f>
        <v>HMFLEX</v>
      </c>
    </row>
    <row r="1616" spans="5:14" x14ac:dyDescent="0.25">
      <c r="E1616" s="83">
        <v>201509</v>
      </c>
      <c r="F1616" s="82" t="s">
        <v>344</v>
      </c>
      <c r="G1616" s="82" t="s">
        <v>352</v>
      </c>
      <c r="H1616" s="82" t="s">
        <v>344</v>
      </c>
      <c r="I1616" s="95">
        <v>442</v>
      </c>
      <c r="K1616" s="105" t="str">
        <f t="shared" si="59"/>
        <v>0012-1004-0012</v>
      </c>
      <c r="L1616" s="105" t="str">
        <f>VLOOKUP(K1616,COA!$A$3:$B$337,2,FALSE)</f>
        <v>L12</v>
      </c>
      <c r="M1616" s="105" t="str">
        <f t="shared" si="60"/>
        <v>L12</v>
      </c>
      <c r="N1616" s="105" t="str">
        <f>VLOOKUP(M1616,CAC!$A$2:$B$198,2,FALSE)</f>
        <v>HMOLG</v>
      </c>
    </row>
    <row r="1617" spans="5:14" x14ac:dyDescent="0.25">
      <c r="E1617" s="83">
        <v>201605</v>
      </c>
      <c r="F1617" s="82" t="s">
        <v>549</v>
      </c>
      <c r="G1617" s="82" t="s">
        <v>356</v>
      </c>
      <c r="H1617" s="82" t="s">
        <v>672</v>
      </c>
      <c r="I1617" s="95">
        <v>0</v>
      </c>
      <c r="K1617" s="105" t="str">
        <f t="shared" si="59"/>
        <v>0026-1002-0058</v>
      </c>
      <c r="L1617" s="105" t="str">
        <f>VLOOKUP(K1617,COA!$A$3:$B$337,2,FALSE)</f>
        <v>L45</v>
      </c>
      <c r="M1617" s="105" t="str">
        <f t="shared" si="60"/>
        <v>L45</v>
      </c>
      <c r="N1617" s="105" t="e">
        <f>VLOOKUP(M1617,CAC!$A$2:$B$198,2,FALSE)</f>
        <v>#N/A</v>
      </c>
    </row>
    <row r="1618" spans="5:14" x14ac:dyDescent="0.25">
      <c r="E1618" s="83">
        <v>201607</v>
      </c>
      <c r="F1618" s="82" t="s">
        <v>345</v>
      </c>
      <c r="G1618" s="82" t="s">
        <v>352</v>
      </c>
      <c r="H1618" s="82" t="s">
        <v>653</v>
      </c>
      <c r="I1618" s="95">
        <v>0</v>
      </c>
      <c r="K1618" s="105" t="str">
        <f t="shared" si="59"/>
        <v>0011-1004-0047</v>
      </c>
      <c r="L1618" s="105" t="str">
        <f>VLOOKUP(K1618,COA!$A$3:$B$337,2,FALSE)</f>
        <v>L17</v>
      </c>
      <c r="M1618" s="105" t="str">
        <f t="shared" si="60"/>
        <v>L17</v>
      </c>
      <c r="N1618" s="105" t="str">
        <f>VLOOKUP(M1618,CAC!$A$2:$B$198,2,FALSE)</f>
        <v>HMOLG</v>
      </c>
    </row>
    <row r="1619" spans="5:14" x14ac:dyDescent="0.25">
      <c r="E1619" s="83">
        <v>201703</v>
      </c>
      <c r="F1619" s="82" t="s">
        <v>345</v>
      </c>
      <c r="G1619" s="82" t="s">
        <v>348</v>
      </c>
      <c r="H1619" s="82" t="s">
        <v>358</v>
      </c>
      <c r="I1619" s="95">
        <v>86</v>
      </c>
      <c r="K1619" s="105" t="str">
        <f t="shared" si="59"/>
        <v>0011-1010-0024</v>
      </c>
      <c r="L1619" s="105" t="str">
        <f>VLOOKUP(K1619,COA!$A$3:$B$337,2,FALSE)</f>
        <v>S14</v>
      </c>
      <c r="M1619" s="105" t="str">
        <f t="shared" si="60"/>
        <v>S14</v>
      </c>
      <c r="N1619" s="105" t="str">
        <f>VLOOKUP(M1619,CAC!$A$2:$B$198,2,FALSE)</f>
        <v>HMOSG</v>
      </c>
    </row>
    <row r="1620" spans="5:14" x14ac:dyDescent="0.25">
      <c r="E1620" s="83">
        <v>201701</v>
      </c>
      <c r="F1620" s="82" t="s">
        <v>563</v>
      </c>
      <c r="G1620" s="82" t="s">
        <v>365</v>
      </c>
      <c r="H1620" s="82" t="s">
        <v>366</v>
      </c>
      <c r="I1620" s="95">
        <v>0</v>
      </c>
      <c r="K1620" s="105" t="str">
        <f t="shared" si="59"/>
        <v>0003-1001-0021</v>
      </c>
      <c r="L1620" s="105" t="str">
        <f>VLOOKUP(K1620,COA!$A$3:$B$337,2,FALSE)</f>
        <v>V53</v>
      </c>
      <c r="M1620" s="105" t="str">
        <f t="shared" si="60"/>
        <v>V53</v>
      </c>
      <c r="N1620" s="105" t="str">
        <f>VLOOKUP(M1620,CAC!$A$2:$B$198,2,FALSE)</f>
        <v>PPOIFP</v>
      </c>
    </row>
    <row r="1621" spans="5:14" x14ac:dyDescent="0.25">
      <c r="E1621" s="83">
        <v>201502</v>
      </c>
      <c r="F1621" s="82" t="s">
        <v>563</v>
      </c>
      <c r="G1621" s="82" t="s">
        <v>365</v>
      </c>
      <c r="H1621" s="82" t="s">
        <v>366</v>
      </c>
      <c r="I1621" s="95">
        <v>0</v>
      </c>
      <c r="K1621" s="105" t="str">
        <f t="shared" si="59"/>
        <v>0003-1001-0021</v>
      </c>
      <c r="L1621" s="105" t="str">
        <f>VLOOKUP(K1621,COA!$A$3:$B$337,2,FALSE)</f>
        <v>V53</v>
      </c>
      <c r="M1621" s="105" t="str">
        <f t="shared" si="60"/>
        <v>V53</v>
      </c>
      <c r="N1621" s="105" t="str">
        <f>VLOOKUP(M1621,CAC!$A$2:$B$198,2,FALSE)</f>
        <v>PPOIFP</v>
      </c>
    </row>
    <row r="1622" spans="5:14" x14ac:dyDescent="0.25">
      <c r="E1622" s="83">
        <v>201609</v>
      </c>
      <c r="F1622" s="82" t="s">
        <v>345</v>
      </c>
      <c r="G1622" s="82" t="s">
        <v>350</v>
      </c>
      <c r="H1622" s="82" t="s">
        <v>357</v>
      </c>
      <c r="I1622" s="95">
        <v>1936.52</v>
      </c>
      <c r="K1622" s="105" t="str">
        <f t="shared" si="59"/>
        <v>0011-1012-0038</v>
      </c>
      <c r="L1622" s="105" t="str">
        <f>VLOOKUP(K1622,COA!$A$3:$B$337,2,FALSE)</f>
        <v>K14</v>
      </c>
      <c r="M1622" s="105" t="str">
        <f t="shared" si="60"/>
        <v>K14</v>
      </c>
      <c r="N1622" s="105" t="str">
        <f>VLOOKUP(M1622,CAC!$A$2:$B$198,2,FALSE)</f>
        <v>HMOPMR</v>
      </c>
    </row>
    <row r="1623" spans="5:14" x14ac:dyDescent="0.25">
      <c r="E1623" s="83">
        <v>201601</v>
      </c>
      <c r="F1623" s="82" t="s">
        <v>413</v>
      </c>
      <c r="G1623" s="82" t="s">
        <v>352</v>
      </c>
      <c r="H1623" s="82" t="s">
        <v>344</v>
      </c>
      <c r="I1623" s="95">
        <v>0</v>
      </c>
      <c r="K1623" s="105" t="str">
        <f t="shared" si="59"/>
        <v>0008-1004-0012</v>
      </c>
      <c r="L1623" s="105" t="str">
        <f>VLOOKUP(K1623,COA!$A$3:$B$337,2,FALSE)</f>
        <v>C93</v>
      </c>
      <c r="M1623" s="105" t="str">
        <f t="shared" si="60"/>
        <v>C93</v>
      </c>
      <c r="N1623" s="105" t="str">
        <f>VLOOKUP(M1623,CAC!$A$2:$B$198,2,FALSE)</f>
        <v>DOILG</v>
      </c>
    </row>
    <row r="1624" spans="5:14" x14ac:dyDescent="0.25">
      <c r="E1624" s="83">
        <v>201606</v>
      </c>
      <c r="F1624" s="82" t="s">
        <v>345</v>
      </c>
      <c r="G1624" s="82" t="s">
        <v>348</v>
      </c>
      <c r="H1624" s="82" t="s">
        <v>349</v>
      </c>
      <c r="I1624" s="95">
        <v>21330.46</v>
      </c>
      <c r="K1624" s="105" t="str">
        <f t="shared" si="59"/>
        <v>0011-1010-0017</v>
      </c>
      <c r="L1624" s="105" t="str">
        <f>VLOOKUP(K1624,COA!$A$3:$B$337,2,FALSE)</f>
        <v>S11</v>
      </c>
      <c r="M1624" s="105" t="str">
        <f t="shared" si="60"/>
        <v>S11</v>
      </c>
      <c r="N1624" s="105" t="str">
        <f>VLOOKUP(M1624,CAC!$A$2:$B$198,2,FALSE)</f>
        <v>HMOSG</v>
      </c>
    </row>
    <row r="1625" spans="5:14" x14ac:dyDescent="0.25">
      <c r="E1625" s="83">
        <v>201611</v>
      </c>
      <c r="F1625" s="82" t="s">
        <v>413</v>
      </c>
      <c r="G1625" s="82" t="s">
        <v>365</v>
      </c>
      <c r="H1625" s="82" t="s">
        <v>344</v>
      </c>
      <c r="I1625" s="95">
        <v>0</v>
      </c>
      <c r="K1625" s="105" t="str">
        <f t="shared" si="59"/>
        <v>0008-1001-0012</v>
      </c>
      <c r="L1625" s="105" t="str">
        <f>VLOOKUP(K1625,COA!$A$3:$B$337,2,FALSE)</f>
        <v>C95</v>
      </c>
      <c r="M1625" s="105" t="str">
        <f t="shared" si="60"/>
        <v>C95</v>
      </c>
      <c r="N1625" s="105" t="str">
        <f>VLOOKUP(M1625,CAC!$A$2:$B$198,2,FALSE)</f>
        <v>DOIIFP</v>
      </c>
    </row>
    <row r="1626" spans="5:14" x14ac:dyDescent="0.25">
      <c r="E1626" s="83">
        <v>201710</v>
      </c>
      <c r="F1626" s="82" t="s">
        <v>563</v>
      </c>
      <c r="G1626" s="82" t="s">
        <v>361</v>
      </c>
      <c r="H1626" s="82" t="s">
        <v>344</v>
      </c>
      <c r="I1626" s="95">
        <v>0</v>
      </c>
      <c r="K1626" s="105" t="str">
        <f t="shared" si="59"/>
        <v>0003-1003-0012</v>
      </c>
      <c r="L1626" s="105" t="str">
        <f>VLOOKUP(K1626,COA!$A$3:$B$337,2,FALSE)</f>
        <v>N61</v>
      </c>
      <c r="M1626" s="105" t="str">
        <f t="shared" si="60"/>
        <v>N61</v>
      </c>
      <c r="N1626" s="105" t="str">
        <f>VLOOKUP(M1626,CAC!$A$2:$B$198,2,FALSE)</f>
        <v>PPOPMR</v>
      </c>
    </row>
    <row r="1627" spans="5:14" x14ac:dyDescent="0.25">
      <c r="E1627" s="83">
        <v>201711</v>
      </c>
      <c r="F1627" s="82" t="s">
        <v>746</v>
      </c>
      <c r="G1627" s="82" t="s">
        <v>356</v>
      </c>
      <c r="H1627" s="82" t="s">
        <v>344</v>
      </c>
      <c r="I1627" s="95">
        <v>142</v>
      </c>
      <c r="K1627" s="105" t="str">
        <f t="shared" si="59"/>
        <v>0016-1002-0012</v>
      </c>
      <c r="L1627" s="105" t="str">
        <f>VLOOKUP(K1627,COA!$A$3:$B$337,2,FALSE)</f>
        <v>R18</v>
      </c>
      <c r="M1627" s="105" t="str">
        <f t="shared" si="60"/>
        <v>R18</v>
      </c>
      <c r="N1627" s="105" t="str">
        <f>VLOOKUP(M1627,CAC!$A$2:$B$198,2,FALSE)</f>
        <v>HMOMG</v>
      </c>
    </row>
    <row r="1628" spans="5:14" x14ac:dyDescent="0.25">
      <c r="E1628" s="83">
        <v>201602</v>
      </c>
      <c r="F1628" s="82" t="s">
        <v>746</v>
      </c>
      <c r="G1628" s="82" t="s">
        <v>356</v>
      </c>
      <c r="H1628" s="82" t="s">
        <v>764</v>
      </c>
      <c r="I1628" s="95">
        <v>6</v>
      </c>
      <c r="K1628" s="105" t="str">
        <f t="shared" si="59"/>
        <v>0016-1002-0064</v>
      </c>
      <c r="L1628" s="105" t="str">
        <f>VLOOKUP(K1628,COA!$A$3:$B$337,2,FALSE)</f>
        <v>R25</v>
      </c>
      <c r="M1628" s="105" t="str">
        <f t="shared" si="60"/>
        <v>R25</v>
      </c>
      <c r="N1628" s="105" t="str">
        <f>VLOOKUP(M1628,CAC!$A$2:$B$198,2,FALSE)</f>
        <v>HMOMG</v>
      </c>
    </row>
    <row r="1629" spans="5:14" x14ac:dyDescent="0.25">
      <c r="E1629" s="83">
        <v>201603</v>
      </c>
      <c r="F1629" s="82" t="s">
        <v>563</v>
      </c>
      <c r="G1629" s="82" t="s">
        <v>354</v>
      </c>
      <c r="H1629" s="82" t="s">
        <v>626</v>
      </c>
      <c r="I1629" s="95">
        <v>0</v>
      </c>
      <c r="K1629" s="105" t="str">
        <f t="shared" si="59"/>
        <v>0003-1013-0057</v>
      </c>
      <c r="L1629" s="105" t="str">
        <f>VLOOKUP(K1629,COA!$A$3:$B$337,2,FALSE)</f>
        <v>N55</v>
      </c>
      <c r="M1629" s="105" t="str">
        <f t="shared" si="60"/>
        <v>N55</v>
      </c>
      <c r="N1629" s="105" t="str">
        <f>VLOOKUP(M1629,CAC!$A$2:$B$198,2,FALSE)</f>
        <v>PPOPMR</v>
      </c>
    </row>
    <row r="1630" spans="5:14" x14ac:dyDescent="0.25">
      <c r="E1630" s="83">
        <v>201610</v>
      </c>
      <c r="F1630" s="82" t="s">
        <v>413</v>
      </c>
      <c r="G1630" s="82" t="s">
        <v>356</v>
      </c>
      <c r="H1630" s="82" t="s">
        <v>344</v>
      </c>
      <c r="I1630" s="95">
        <v>0</v>
      </c>
      <c r="K1630" s="105" t="str">
        <f t="shared" si="59"/>
        <v>0008-1002-0012</v>
      </c>
      <c r="L1630" s="105" t="str">
        <f>VLOOKUP(K1630,COA!$A$3:$B$337,2,FALSE)</f>
        <v>C74</v>
      </c>
      <c r="M1630" s="105" t="str">
        <f t="shared" si="60"/>
        <v>C74</v>
      </c>
      <c r="N1630" s="105" t="str">
        <f>VLOOKUP(M1630,CAC!$A$2:$B$198,2,FALSE)</f>
        <v>DOILG</v>
      </c>
    </row>
    <row r="1631" spans="5:14" x14ac:dyDescent="0.25">
      <c r="E1631" s="83">
        <v>201709</v>
      </c>
      <c r="F1631" s="82" t="s">
        <v>746</v>
      </c>
      <c r="G1631" s="82" t="s">
        <v>350</v>
      </c>
      <c r="H1631" s="82" t="s">
        <v>344</v>
      </c>
      <c r="I1631" s="95">
        <v>32</v>
      </c>
      <c r="K1631" s="105" t="str">
        <f t="shared" si="59"/>
        <v>0016-1012-0012</v>
      </c>
      <c r="L1631" s="105" t="str">
        <f>VLOOKUP(K1631,COA!$A$3:$B$337,2,FALSE)</f>
        <v>R19</v>
      </c>
      <c r="M1631" s="105" t="str">
        <f t="shared" si="60"/>
        <v>R19</v>
      </c>
      <c r="N1631" s="105" t="str">
        <f>VLOOKUP(M1631,CAC!$A$2:$B$198,2,FALSE)</f>
        <v>HMOMG</v>
      </c>
    </row>
    <row r="1632" spans="5:14" x14ac:dyDescent="0.25">
      <c r="E1632" s="83">
        <v>201608</v>
      </c>
      <c r="F1632" s="82" t="s">
        <v>563</v>
      </c>
      <c r="G1632" s="82" t="s">
        <v>369</v>
      </c>
      <c r="H1632" s="82" t="s">
        <v>345</v>
      </c>
      <c r="I1632" s="95">
        <v>0</v>
      </c>
      <c r="K1632" s="105" t="str">
        <f t="shared" si="59"/>
        <v>0003-1009-0011</v>
      </c>
      <c r="L1632" s="105" t="str">
        <f>VLOOKUP(K1632,COA!$A$3:$B$337,2,FALSE)</f>
        <v>V91</v>
      </c>
      <c r="M1632" s="105" t="str">
        <f t="shared" si="60"/>
        <v>V91</v>
      </c>
      <c r="N1632" s="105" t="str">
        <f>VLOOKUP(M1632,CAC!$A$2:$B$198,2,FALSE)</f>
        <v>PPOMM</v>
      </c>
    </row>
    <row r="1633" spans="5:14" x14ac:dyDescent="0.25">
      <c r="E1633" s="83">
        <v>201710</v>
      </c>
      <c r="F1633" s="82" t="s">
        <v>345</v>
      </c>
      <c r="G1633" s="82" t="s">
        <v>354</v>
      </c>
      <c r="H1633" s="82" t="s">
        <v>360</v>
      </c>
      <c r="I1633" s="95">
        <v>5058</v>
      </c>
      <c r="K1633" s="105" t="str">
        <f t="shared" si="59"/>
        <v>0011-1013-0048</v>
      </c>
      <c r="L1633" s="105" t="str">
        <f>VLOOKUP(K1633,COA!$A$3:$B$337,2,FALSE)</f>
        <v>N21</v>
      </c>
      <c r="M1633" s="105" t="str">
        <f t="shared" si="60"/>
        <v>N21</v>
      </c>
      <c r="N1633" s="105" t="str">
        <f>VLOOKUP(M1633,CAC!$A$2:$B$198,2,FALSE)</f>
        <v>HMFLEX</v>
      </c>
    </row>
    <row r="1634" spans="5:14" x14ac:dyDescent="0.25">
      <c r="E1634" s="83">
        <v>201610</v>
      </c>
      <c r="F1634" s="82" t="s">
        <v>345</v>
      </c>
      <c r="G1634" s="82" t="s">
        <v>354</v>
      </c>
      <c r="H1634" s="82" t="s">
        <v>360</v>
      </c>
      <c r="I1634" s="95">
        <v>5027</v>
      </c>
      <c r="K1634" s="105" t="str">
        <f t="shared" si="59"/>
        <v>0011-1013-0048</v>
      </c>
      <c r="L1634" s="105" t="str">
        <f>VLOOKUP(K1634,COA!$A$3:$B$337,2,FALSE)</f>
        <v>N21</v>
      </c>
      <c r="M1634" s="105" t="str">
        <f t="shared" si="60"/>
        <v>N21</v>
      </c>
      <c r="N1634" s="105" t="str">
        <f>VLOOKUP(M1634,CAC!$A$2:$B$198,2,FALSE)</f>
        <v>HMFLEX</v>
      </c>
    </row>
    <row r="1635" spans="5:14" x14ac:dyDescent="0.25">
      <c r="E1635" s="83">
        <v>201507</v>
      </c>
      <c r="F1635" s="82" t="s">
        <v>345</v>
      </c>
      <c r="G1635" s="82" t="s">
        <v>346</v>
      </c>
      <c r="H1635" s="82" t="s">
        <v>347</v>
      </c>
      <c r="I1635" s="95">
        <v>10</v>
      </c>
      <c r="K1635" s="105" t="str">
        <f t="shared" si="59"/>
        <v>0011-1014-0039</v>
      </c>
      <c r="L1635" s="105" t="str">
        <f>VLOOKUP(K1635,COA!$A$3:$B$337,2,FALSE)</f>
        <v>K24</v>
      </c>
      <c r="M1635" s="105" t="str">
        <f t="shared" si="60"/>
        <v>K24</v>
      </c>
      <c r="N1635" s="105" t="str">
        <f>VLOOKUP(M1635,CAC!$A$2:$B$198,2,FALSE)</f>
        <v>HMFLEX</v>
      </c>
    </row>
    <row r="1636" spans="5:14" x14ac:dyDescent="0.25">
      <c r="E1636" s="83">
        <v>201602</v>
      </c>
      <c r="F1636" s="82" t="s">
        <v>345</v>
      </c>
      <c r="G1636" s="82" t="s">
        <v>348</v>
      </c>
      <c r="H1636" s="82" t="s">
        <v>353</v>
      </c>
      <c r="I1636" s="95">
        <v>329</v>
      </c>
      <c r="K1636" s="105" t="str">
        <f t="shared" si="59"/>
        <v>0011-1010-0023</v>
      </c>
      <c r="L1636" s="105" t="str">
        <f>VLOOKUP(K1636,COA!$A$3:$B$337,2,FALSE)</f>
        <v>S13</v>
      </c>
      <c r="M1636" s="105" t="str">
        <f t="shared" si="60"/>
        <v>S13</v>
      </c>
      <c r="N1636" s="105" t="str">
        <f>VLOOKUP(M1636,CAC!$A$2:$B$198,2,FALSE)</f>
        <v>HMOSG</v>
      </c>
    </row>
    <row r="1637" spans="5:14" x14ac:dyDescent="0.25">
      <c r="E1637" s="83">
        <v>201701</v>
      </c>
      <c r="F1637" s="82" t="s">
        <v>413</v>
      </c>
      <c r="G1637" s="82" t="s">
        <v>352</v>
      </c>
      <c r="H1637" s="82" t="s">
        <v>344</v>
      </c>
      <c r="I1637" s="95">
        <v>0</v>
      </c>
      <c r="K1637" s="105" t="str">
        <f t="shared" si="59"/>
        <v>0008-1004-0012</v>
      </c>
      <c r="L1637" s="105" t="str">
        <f>VLOOKUP(K1637,COA!$A$3:$B$337,2,FALSE)</f>
        <v>C93</v>
      </c>
      <c r="M1637" s="105" t="str">
        <f t="shared" si="60"/>
        <v>C93</v>
      </c>
      <c r="N1637" s="105" t="str">
        <f>VLOOKUP(M1637,CAC!$A$2:$B$198,2,FALSE)</f>
        <v>DOILG</v>
      </c>
    </row>
    <row r="1638" spans="5:14" x14ac:dyDescent="0.25">
      <c r="E1638" s="83">
        <v>201601</v>
      </c>
      <c r="F1638" s="82" t="s">
        <v>413</v>
      </c>
      <c r="G1638" s="82" t="s">
        <v>356</v>
      </c>
      <c r="H1638" s="82" t="s">
        <v>344</v>
      </c>
      <c r="I1638" s="95">
        <v>0</v>
      </c>
      <c r="K1638" s="105" t="str">
        <f t="shared" si="59"/>
        <v>0008-1002-0012</v>
      </c>
      <c r="L1638" s="105" t="str">
        <f>VLOOKUP(K1638,COA!$A$3:$B$337,2,FALSE)</f>
        <v>C74</v>
      </c>
      <c r="M1638" s="105" t="str">
        <f t="shared" si="60"/>
        <v>C74</v>
      </c>
      <c r="N1638" s="105" t="str">
        <f>VLOOKUP(M1638,CAC!$A$2:$B$198,2,FALSE)</f>
        <v>DOILG</v>
      </c>
    </row>
    <row r="1639" spans="5:14" x14ac:dyDescent="0.25">
      <c r="E1639" s="83">
        <v>201511</v>
      </c>
      <c r="F1639" s="82" t="s">
        <v>413</v>
      </c>
      <c r="G1639" s="82" t="s">
        <v>365</v>
      </c>
      <c r="H1639" s="82" t="s">
        <v>411</v>
      </c>
      <c r="I1639" s="95">
        <v>0</v>
      </c>
      <c r="K1639" s="105" t="str">
        <f t="shared" si="59"/>
        <v>0008-1001-0007</v>
      </c>
      <c r="L1639" s="105" t="str">
        <f>VLOOKUP(K1639,COA!$A$3:$B$337,2,FALSE)</f>
        <v>C99</v>
      </c>
      <c r="M1639" s="105" t="str">
        <f t="shared" si="60"/>
        <v>C99</v>
      </c>
      <c r="N1639" s="105" t="str">
        <f>VLOOKUP(M1639,CAC!$A$2:$B$198,2,FALSE)</f>
        <v>DOIIFP</v>
      </c>
    </row>
    <row r="1640" spans="5:14" x14ac:dyDescent="0.25">
      <c r="E1640" s="83">
        <v>201607</v>
      </c>
      <c r="F1640" s="82" t="s">
        <v>345</v>
      </c>
      <c r="G1640" s="82" t="s">
        <v>362</v>
      </c>
      <c r="H1640" s="82" t="s">
        <v>364</v>
      </c>
      <c r="I1640" s="95">
        <v>38064.67</v>
      </c>
      <c r="K1640" s="105" t="str">
        <f t="shared" si="59"/>
        <v>0011-1008-0037</v>
      </c>
      <c r="L1640" s="105" t="str">
        <f>VLOOKUP(K1640,COA!$A$3:$B$337,2,FALSE)</f>
        <v>P12</v>
      </c>
      <c r="M1640" s="105" t="str">
        <f t="shared" si="60"/>
        <v>P12</v>
      </c>
      <c r="N1640" s="105" t="str">
        <f>VLOOKUP(M1640,CAC!$A$2:$B$198,2,FALSE)</f>
        <v>HMOPERA</v>
      </c>
    </row>
    <row r="1641" spans="5:14" x14ac:dyDescent="0.25">
      <c r="E1641" s="83">
        <v>201608</v>
      </c>
      <c r="F1641" s="82" t="s">
        <v>563</v>
      </c>
      <c r="G1641" s="82" t="s">
        <v>350</v>
      </c>
      <c r="H1641" s="82" t="s">
        <v>344</v>
      </c>
      <c r="I1641" s="95">
        <v>0</v>
      </c>
      <c r="K1641" s="105" t="str">
        <f t="shared" si="59"/>
        <v>0003-1012-0012</v>
      </c>
      <c r="L1641" s="105" t="str">
        <f>VLOOKUP(K1641,COA!$A$3:$B$337,2,FALSE)</f>
        <v>K51</v>
      </c>
      <c r="M1641" s="105" t="str">
        <f t="shared" si="60"/>
        <v>K51</v>
      </c>
      <c r="N1641" s="105" t="str">
        <f>VLOOKUP(M1641,CAC!$A$2:$B$198,2,FALSE)</f>
        <v>PPOPMR</v>
      </c>
    </row>
    <row r="1642" spans="5:14" x14ac:dyDescent="0.25">
      <c r="E1642" s="83">
        <v>201610</v>
      </c>
      <c r="F1642" s="82" t="s">
        <v>563</v>
      </c>
      <c r="G1642" s="82" t="s">
        <v>348</v>
      </c>
      <c r="H1642" s="82" t="s">
        <v>349</v>
      </c>
      <c r="I1642" s="95">
        <v>0</v>
      </c>
      <c r="K1642" s="105" t="str">
        <f t="shared" si="59"/>
        <v>0003-1010-0017</v>
      </c>
      <c r="L1642" s="105" t="str">
        <f>VLOOKUP(K1642,COA!$A$3:$B$337,2,FALSE)</f>
        <v>S51</v>
      </c>
      <c r="M1642" s="105" t="str">
        <f t="shared" si="60"/>
        <v>S51</v>
      </c>
      <c r="N1642" s="105" t="str">
        <f>VLOOKUP(M1642,CAC!$A$2:$B$198,2,FALSE)</f>
        <v>PPOSG</v>
      </c>
    </row>
    <row r="1643" spans="5:14" x14ac:dyDescent="0.25">
      <c r="E1643" s="83">
        <v>201607</v>
      </c>
      <c r="F1643" s="82" t="s">
        <v>345</v>
      </c>
      <c r="G1643" s="82" t="s">
        <v>361</v>
      </c>
      <c r="H1643" s="82" t="s">
        <v>344</v>
      </c>
      <c r="I1643" s="95">
        <v>4131.87</v>
      </c>
      <c r="K1643" s="105" t="str">
        <f t="shared" si="59"/>
        <v>0011-1003-0012</v>
      </c>
      <c r="L1643" s="105" t="str">
        <f>VLOOKUP(K1643,COA!$A$3:$B$337,2,FALSE)</f>
        <v>N16</v>
      </c>
      <c r="M1643" s="105" t="str">
        <f t="shared" si="60"/>
        <v>N16</v>
      </c>
      <c r="N1643" s="105" t="str">
        <f>VLOOKUP(M1643,CAC!$A$2:$B$198,2,FALSE)</f>
        <v>HMOPMR</v>
      </c>
    </row>
    <row r="1644" spans="5:14" x14ac:dyDescent="0.25">
      <c r="E1644" s="83">
        <v>201608</v>
      </c>
      <c r="F1644" s="82" t="s">
        <v>344</v>
      </c>
      <c r="G1644" s="82" t="s">
        <v>356</v>
      </c>
      <c r="H1644" s="82" t="s">
        <v>344</v>
      </c>
      <c r="I1644" s="95">
        <v>4136.6099999999997</v>
      </c>
      <c r="K1644" s="105" t="str">
        <f t="shared" si="59"/>
        <v>0012-1002-0012</v>
      </c>
      <c r="L1644" s="105" t="str">
        <f>VLOOKUP(K1644,COA!$A$3:$B$337,2,FALSE)</f>
        <v>F22</v>
      </c>
      <c r="M1644" s="105" t="str">
        <f t="shared" si="60"/>
        <v>F22</v>
      </c>
      <c r="N1644" s="105" t="str">
        <f>VLOOKUP(M1644,CAC!$A$2:$B$198,2,FALSE)</f>
        <v>HMOPMR</v>
      </c>
    </row>
    <row r="1645" spans="5:14" x14ac:dyDescent="0.25">
      <c r="E1645" s="83">
        <v>201510</v>
      </c>
      <c r="F1645" s="82" t="s">
        <v>405</v>
      </c>
      <c r="G1645" s="82" t="s">
        <v>362</v>
      </c>
      <c r="H1645" s="82" t="s">
        <v>342</v>
      </c>
      <c r="I1645" s="95">
        <v>0</v>
      </c>
      <c r="K1645" s="105" t="str">
        <f t="shared" si="59"/>
        <v>0019-1008-0031</v>
      </c>
      <c r="L1645" s="105" t="str">
        <f>VLOOKUP(K1645,COA!$A$3:$B$337,2,FALSE)</f>
        <v>P53</v>
      </c>
      <c r="M1645" s="105" t="str">
        <f t="shared" si="60"/>
        <v>P53</v>
      </c>
      <c r="N1645" s="105" t="str">
        <f>VLOOKUP(M1645,CAC!$A$2:$B$198,2,FALSE)</f>
        <v>HMOPERA</v>
      </c>
    </row>
    <row r="1646" spans="5:14" x14ac:dyDescent="0.25">
      <c r="E1646" s="83">
        <v>201509</v>
      </c>
      <c r="F1646" s="82" t="s">
        <v>563</v>
      </c>
      <c r="G1646" s="82" t="s">
        <v>356</v>
      </c>
      <c r="H1646" s="82" t="s">
        <v>344</v>
      </c>
      <c r="I1646" s="95">
        <v>0</v>
      </c>
      <c r="K1646" s="105" t="str">
        <f t="shared" si="59"/>
        <v>0003-1002-0012</v>
      </c>
      <c r="L1646" s="105" t="str">
        <f>VLOOKUP(K1646,COA!$A$3:$B$337,2,FALSE)</f>
        <v>F61</v>
      </c>
      <c r="M1646" s="105" t="str">
        <f t="shared" si="60"/>
        <v>F61</v>
      </c>
      <c r="N1646" s="105" t="str">
        <f>VLOOKUP(M1646,CAC!$A$2:$B$198,2,FALSE)</f>
        <v>PPOPMR</v>
      </c>
    </row>
    <row r="1647" spans="5:14" x14ac:dyDescent="0.25">
      <c r="E1647" s="83">
        <v>201801</v>
      </c>
      <c r="F1647" s="82" t="s">
        <v>746</v>
      </c>
      <c r="G1647" s="82" t="s">
        <v>361</v>
      </c>
      <c r="H1647" s="82" t="s">
        <v>344</v>
      </c>
      <c r="I1647" s="95">
        <v>492</v>
      </c>
      <c r="K1647" s="105" t="str">
        <f t="shared" si="59"/>
        <v>0016-1003-0012</v>
      </c>
      <c r="L1647" s="105" t="str">
        <f>VLOOKUP(K1647,COA!$A$3:$B$337,2,FALSE)</f>
        <v>R18</v>
      </c>
      <c r="M1647" s="105" t="str">
        <f t="shared" si="60"/>
        <v>R18</v>
      </c>
      <c r="N1647" s="105" t="str">
        <f>VLOOKUP(M1647,CAC!$A$2:$B$198,2,FALSE)</f>
        <v>HMOMG</v>
      </c>
    </row>
    <row r="1648" spans="5:14" x14ac:dyDescent="0.25">
      <c r="E1648" s="83">
        <v>201710</v>
      </c>
      <c r="F1648" s="82" t="s">
        <v>345</v>
      </c>
      <c r="G1648" s="82" t="s">
        <v>352</v>
      </c>
      <c r="H1648" s="82" t="s">
        <v>357</v>
      </c>
      <c r="I1648" s="95">
        <v>885</v>
      </c>
      <c r="K1648" s="105" t="str">
        <f t="shared" si="59"/>
        <v>0011-1004-0038</v>
      </c>
      <c r="L1648" s="105" t="str">
        <f>VLOOKUP(K1648,COA!$A$3:$B$337,2,FALSE)</f>
        <v>L14</v>
      </c>
      <c r="M1648" s="105" t="str">
        <f t="shared" si="60"/>
        <v>L14</v>
      </c>
      <c r="N1648" s="105" t="str">
        <f>VLOOKUP(M1648,CAC!$A$2:$B$198,2,FALSE)</f>
        <v>HMOLG</v>
      </c>
    </row>
    <row r="1649" spans="5:14" x14ac:dyDescent="0.25">
      <c r="E1649" s="83">
        <v>201611</v>
      </c>
      <c r="F1649" s="82" t="s">
        <v>563</v>
      </c>
      <c r="G1649" s="82" t="s">
        <v>356</v>
      </c>
      <c r="H1649" s="82" t="s">
        <v>344</v>
      </c>
      <c r="I1649" s="95">
        <v>0</v>
      </c>
      <c r="K1649" s="105" t="str">
        <f t="shared" si="59"/>
        <v>0003-1002-0012</v>
      </c>
      <c r="L1649" s="105" t="str">
        <f>VLOOKUP(K1649,COA!$A$3:$B$337,2,FALSE)</f>
        <v>F61</v>
      </c>
      <c r="M1649" s="105" t="str">
        <f t="shared" si="60"/>
        <v>F61</v>
      </c>
      <c r="N1649" s="105" t="str">
        <f>VLOOKUP(M1649,CAC!$A$2:$B$198,2,FALSE)</f>
        <v>PPOPMR</v>
      </c>
    </row>
    <row r="1650" spans="5:14" x14ac:dyDescent="0.25">
      <c r="E1650" s="83">
        <v>201708</v>
      </c>
      <c r="F1650" s="82" t="s">
        <v>563</v>
      </c>
      <c r="G1650" s="82" t="s">
        <v>369</v>
      </c>
      <c r="H1650" s="82" t="s">
        <v>353</v>
      </c>
      <c r="I1650" s="95">
        <v>0</v>
      </c>
      <c r="K1650" s="105" t="str">
        <f t="shared" si="59"/>
        <v>0003-1009-0023</v>
      </c>
      <c r="L1650" s="105" t="e">
        <f>VLOOKUP(K1650,COA!$A$3:$B$337,2,FALSE)</f>
        <v>#N/A</v>
      </c>
      <c r="M1650" s="105" t="str">
        <f t="shared" si="60"/>
        <v>XXX</v>
      </c>
      <c r="N1650" s="105" t="str">
        <f>VLOOKUP(M1650,CAC!$A$2:$B$198,2,FALSE)</f>
        <v>XXX</v>
      </c>
    </row>
    <row r="1651" spans="5:14" x14ac:dyDescent="0.25">
      <c r="E1651" s="83">
        <v>201602</v>
      </c>
      <c r="F1651" s="82" t="s">
        <v>345</v>
      </c>
      <c r="G1651" s="82" t="s">
        <v>350</v>
      </c>
      <c r="H1651" s="82" t="s">
        <v>360</v>
      </c>
      <c r="I1651" s="95">
        <v>5819.35</v>
      </c>
      <c r="K1651" s="105" t="str">
        <f t="shared" si="59"/>
        <v>0011-1012-0048</v>
      </c>
      <c r="L1651" s="105" t="str">
        <f>VLOOKUP(K1651,COA!$A$3:$B$337,2,FALSE)</f>
        <v>K21</v>
      </c>
      <c r="M1651" s="105" t="str">
        <f t="shared" si="60"/>
        <v>K21</v>
      </c>
      <c r="N1651" s="105" t="str">
        <f>VLOOKUP(M1651,CAC!$A$2:$B$198,2,FALSE)</f>
        <v>HMFLEX</v>
      </c>
    </row>
    <row r="1652" spans="5:14" x14ac:dyDescent="0.25">
      <c r="E1652" s="83">
        <v>201702</v>
      </c>
      <c r="F1652" s="82" t="s">
        <v>345</v>
      </c>
      <c r="G1652" s="82" t="s">
        <v>359</v>
      </c>
      <c r="H1652" s="82" t="s">
        <v>344</v>
      </c>
      <c r="I1652" s="95">
        <v>4871.79</v>
      </c>
      <c r="K1652" s="105" t="str">
        <f t="shared" si="59"/>
        <v>0011-1005-0012</v>
      </c>
      <c r="L1652" s="105" t="str">
        <f>VLOOKUP(K1652,COA!$A$3:$B$337,2,FALSE)</f>
        <v>N11</v>
      </c>
      <c r="M1652" s="105" t="str">
        <f t="shared" si="60"/>
        <v>N11</v>
      </c>
      <c r="N1652" s="105" t="str">
        <f>VLOOKUP(M1652,CAC!$A$2:$B$198,2,FALSE)</f>
        <v>HMOLG</v>
      </c>
    </row>
    <row r="1653" spans="5:14" x14ac:dyDescent="0.25">
      <c r="E1653" s="83">
        <v>201709</v>
      </c>
      <c r="F1653" s="82" t="s">
        <v>349</v>
      </c>
      <c r="G1653" s="82" t="s">
        <v>369</v>
      </c>
      <c r="H1653" s="82" t="s">
        <v>344</v>
      </c>
      <c r="I1653" s="95">
        <v>44119</v>
      </c>
      <c r="K1653" s="105" t="str">
        <f t="shared" si="59"/>
        <v>0017-1009-0012</v>
      </c>
      <c r="L1653" s="105" t="str">
        <f>VLOOKUP(K1653,COA!$A$3:$B$337,2,FALSE)</f>
        <v>R12</v>
      </c>
      <c r="M1653" s="105" t="str">
        <f t="shared" si="60"/>
        <v>R12</v>
      </c>
      <c r="N1653" s="105" t="str">
        <f>VLOOKUP(M1653,CAC!$A$2:$B$198,2,FALSE)</f>
        <v>HMOMM</v>
      </c>
    </row>
    <row r="1654" spans="5:14" x14ac:dyDescent="0.25">
      <c r="E1654" s="83">
        <v>201705</v>
      </c>
      <c r="F1654" s="82" t="s">
        <v>342</v>
      </c>
      <c r="G1654" s="82" t="s">
        <v>343</v>
      </c>
      <c r="H1654" s="82" t="s">
        <v>344</v>
      </c>
      <c r="I1654" s="95">
        <v>5706.26</v>
      </c>
      <c r="K1654" s="105" t="str">
        <f t="shared" si="59"/>
        <v>0031-1000-0012</v>
      </c>
      <c r="L1654" s="105" t="str">
        <f>VLOOKUP(K1654,COA!$A$3:$B$337,2,FALSE)</f>
        <v>F27</v>
      </c>
      <c r="M1654" s="105" t="str">
        <f t="shared" si="60"/>
        <v>F27</v>
      </c>
      <c r="N1654" s="105" t="str">
        <f>VLOOKUP(M1654,CAC!$A$2:$B$198,2,FALSE)</f>
        <v>HMOFEP</v>
      </c>
    </row>
    <row r="1655" spans="5:14" x14ac:dyDescent="0.25">
      <c r="E1655" s="83">
        <v>201612</v>
      </c>
      <c r="F1655" s="82" t="s">
        <v>413</v>
      </c>
      <c r="G1655" s="82" t="s">
        <v>356</v>
      </c>
      <c r="H1655" s="82" t="s">
        <v>344</v>
      </c>
      <c r="I1655" s="95">
        <v>0</v>
      </c>
      <c r="K1655" s="105" t="str">
        <f t="shared" si="59"/>
        <v>0008-1002-0012</v>
      </c>
      <c r="L1655" s="105" t="str">
        <f>VLOOKUP(K1655,COA!$A$3:$B$337,2,FALSE)</f>
        <v>C74</v>
      </c>
      <c r="M1655" s="105" t="str">
        <f t="shared" si="60"/>
        <v>C74</v>
      </c>
      <c r="N1655" s="105" t="str">
        <f>VLOOKUP(M1655,CAC!$A$2:$B$198,2,FALSE)</f>
        <v>DOILG</v>
      </c>
    </row>
    <row r="1656" spans="5:14" x14ac:dyDescent="0.25">
      <c r="E1656" s="83">
        <v>201502</v>
      </c>
      <c r="F1656" s="82" t="s">
        <v>746</v>
      </c>
      <c r="G1656" s="82" t="s">
        <v>356</v>
      </c>
      <c r="H1656" s="82" t="s">
        <v>344</v>
      </c>
      <c r="I1656" s="95">
        <v>124</v>
      </c>
      <c r="K1656" s="105" t="str">
        <f t="shared" si="59"/>
        <v>0016-1002-0012</v>
      </c>
      <c r="L1656" s="105" t="str">
        <f>VLOOKUP(K1656,COA!$A$3:$B$337,2,FALSE)</f>
        <v>R18</v>
      </c>
      <c r="M1656" s="105" t="str">
        <f t="shared" si="60"/>
        <v>R18</v>
      </c>
      <c r="N1656" s="105" t="str">
        <f>VLOOKUP(M1656,CAC!$A$2:$B$198,2,FALSE)</f>
        <v>HMOMG</v>
      </c>
    </row>
    <row r="1657" spans="5:14" x14ac:dyDescent="0.25">
      <c r="E1657" s="83">
        <v>201601</v>
      </c>
      <c r="F1657" s="82" t="s">
        <v>563</v>
      </c>
      <c r="G1657" s="82" t="s">
        <v>348</v>
      </c>
      <c r="H1657" s="82" t="s">
        <v>344</v>
      </c>
      <c r="I1657" s="95">
        <v>0</v>
      </c>
      <c r="K1657" s="105" t="str">
        <f t="shared" si="59"/>
        <v>0003-1010-0012</v>
      </c>
      <c r="L1657" s="105" t="e">
        <f>VLOOKUP(K1657,COA!$A$3:$B$337,2,FALSE)</f>
        <v>#N/A</v>
      </c>
      <c r="M1657" s="105" t="str">
        <f t="shared" si="60"/>
        <v>XXX</v>
      </c>
      <c r="N1657" s="105" t="str">
        <f>VLOOKUP(M1657,CAC!$A$2:$B$198,2,FALSE)</f>
        <v>XXX</v>
      </c>
    </row>
    <row r="1658" spans="5:14" x14ac:dyDescent="0.25">
      <c r="E1658" s="83">
        <v>201707</v>
      </c>
      <c r="F1658" s="82" t="s">
        <v>549</v>
      </c>
      <c r="G1658" s="82" t="s">
        <v>352</v>
      </c>
      <c r="H1658" s="82" t="s">
        <v>672</v>
      </c>
      <c r="I1658" s="95">
        <v>0</v>
      </c>
      <c r="K1658" s="105" t="str">
        <f t="shared" si="59"/>
        <v>0026-1004-0058</v>
      </c>
      <c r="L1658" s="105" t="str">
        <f>VLOOKUP(K1658,COA!$A$3:$B$337,2,FALSE)</f>
        <v>L44</v>
      </c>
      <c r="M1658" s="105" t="str">
        <f t="shared" si="60"/>
        <v>L44</v>
      </c>
      <c r="N1658" s="105" t="e">
        <f>VLOOKUP(M1658,CAC!$A$2:$B$198,2,FALSE)</f>
        <v>#N/A</v>
      </c>
    </row>
    <row r="1659" spans="5:14" x14ac:dyDescent="0.25">
      <c r="E1659" s="83">
        <v>201608</v>
      </c>
      <c r="F1659" s="82" t="s">
        <v>563</v>
      </c>
      <c r="G1659" s="82" t="s">
        <v>365</v>
      </c>
      <c r="H1659" s="82" t="s">
        <v>367</v>
      </c>
      <c r="I1659" s="95">
        <v>0</v>
      </c>
      <c r="K1659" s="105" t="str">
        <f t="shared" si="59"/>
        <v>0003-1001-0022</v>
      </c>
      <c r="L1659" s="105" t="str">
        <f>VLOOKUP(K1659,COA!$A$3:$B$337,2,FALSE)</f>
        <v>V54</v>
      </c>
      <c r="M1659" s="105" t="str">
        <f t="shared" si="60"/>
        <v>V54</v>
      </c>
      <c r="N1659" s="105" t="str">
        <f>VLOOKUP(M1659,CAC!$A$2:$B$198,2,FALSE)</f>
        <v>PPOIFP</v>
      </c>
    </row>
    <row r="1660" spans="5:14" x14ac:dyDescent="0.25">
      <c r="E1660" s="83">
        <v>201610</v>
      </c>
      <c r="F1660" s="82" t="s">
        <v>563</v>
      </c>
      <c r="G1660" s="82" t="s">
        <v>352</v>
      </c>
      <c r="H1660" s="82" t="s">
        <v>344</v>
      </c>
      <c r="I1660" s="95">
        <v>0</v>
      </c>
      <c r="K1660" s="105" t="str">
        <f t="shared" si="59"/>
        <v>0003-1004-0012</v>
      </c>
      <c r="L1660" s="105" t="str">
        <f>VLOOKUP(K1660,COA!$A$3:$B$337,2,FALSE)</f>
        <v>L51</v>
      </c>
      <c r="M1660" s="105" t="str">
        <f t="shared" si="60"/>
        <v>L51</v>
      </c>
      <c r="N1660" s="105" t="str">
        <f>VLOOKUP(M1660,CAC!$A$2:$B$198,2,FALSE)</f>
        <v>PPOLG</v>
      </c>
    </row>
    <row r="1661" spans="5:14" x14ac:dyDescent="0.25">
      <c r="E1661" s="83">
        <v>201708</v>
      </c>
      <c r="F1661" s="82" t="s">
        <v>345</v>
      </c>
      <c r="G1661" s="82" t="s">
        <v>348</v>
      </c>
      <c r="H1661" s="82" t="s">
        <v>353</v>
      </c>
      <c r="I1661" s="95">
        <v>363</v>
      </c>
      <c r="K1661" s="105" t="str">
        <f t="shared" si="59"/>
        <v>0011-1010-0023</v>
      </c>
      <c r="L1661" s="105" t="str">
        <f>VLOOKUP(K1661,COA!$A$3:$B$337,2,FALSE)</f>
        <v>S13</v>
      </c>
      <c r="M1661" s="105" t="str">
        <f t="shared" si="60"/>
        <v>S13</v>
      </c>
      <c r="N1661" s="105" t="str">
        <f>VLOOKUP(M1661,CAC!$A$2:$B$198,2,FALSE)</f>
        <v>HMOSG</v>
      </c>
    </row>
    <row r="1662" spans="5:14" x14ac:dyDescent="0.25">
      <c r="E1662" s="83">
        <v>201605</v>
      </c>
      <c r="F1662" s="82" t="s">
        <v>344</v>
      </c>
      <c r="G1662" s="82" t="s">
        <v>355</v>
      </c>
      <c r="H1662" s="82" t="s">
        <v>344</v>
      </c>
      <c r="I1662" s="95">
        <v>109</v>
      </c>
      <c r="K1662" s="105" t="str">
        <f t="shared" si="59"/>
        <v>0012-1006-0012</v>
      </c>
      <c r="L1662" s="105" t="str">
        <f>VLOOKUP(K1662,COA!$A$3:$B$337,2,FALSE)</f>
        <v>L16</v>
      </c>
      <c r="M1662" s="105" t="str">
        <f t="shared" si="60"/>
        <v>L16</v>
      </c>
      <c r="N1662" s="105" t="str">
        <f>VLOOKUP(M1662,CAC!$A$2:$B$198,2,FALSE)</f>
        <v>HMOLG</v>
      </c>
    </row>
    <row r="1663" spans="5:14" x14ac:dyDescent="0.25">
      <c r="E1663" s="83">
        <v>201701</v>
      </c>
      <c r="F1663" s="82" t="s">
        <v>344</v>
      </c>
      <c r="G1663" s="82" t="s">
        <v>359</v>
      </c>
      <c r="H1663" s="82" t="s">
        <v>344</v>
      </c>
      <c r="I1663" s="95">
        <v>143</v>
      </c>
      <c r="K1663" s="105" t="str">
        <f t="shared" si="59"/>
        <v>0012-1005-0012</v>
      </c>
      <c r="L1663" s="105" t="str">
        <f>VLOOKUP(K1663,COA!$A$3:$B$337,2,FALSE)</f>
        <v>N13</v>
      </c>
      <c r="M1663" s="105" t="str">
        <f t="shared" si="60"/>
        <v>N13</v>
      </c>
      <c r="N1663" s="105" t="str">
        <f>VLOOKUP(M1663,CAC!$A$2:$B$198,2,FALSE)</f>
        <v>HMOLG</v>
      </c>
    </row>
    <row r="1664" spans="5:14" x14ac:dyDescent="0.25">
      <c r="E1664" s="83">
        <v>201602</v>
      </c>
      <c r="F1664" s="82" t="s">
        <v>345</v>
      </c>
      <c r="G1664" s="82" t="s">
        <v>348</v>
      </c>
      <c r="H1664" s="82" t="s">
        <v>358</v>
      </c>
      <c r="I1664" s="95">
        <v>86</v>
      </c>
      <c r="K1664" s="105" t="str">
        <f t="shared" si="59"/>
        <v>0011-1010-0024</v>
      </c>
      <c r="L1664" s="105" t="str">
        <f>VLOOKUP(K1664,COA!$A$3:$B$337,2,FALSE)</f>
        <v>S14</v>
      </c>
      <c r="M1664" s="105" t="str">
        <f t="shared" si="60"/>
        <v>S14</v>
      </c>
      <c r="N1664" s="105" t="str">
        <f>VLOOKUP(M1664,CAC!$A$2:$B$198,2,FALSE)</f>
        <v>HMOSG</v>
      </c>
    </row>
    <row r="1665" spans="5:14" x14ac:dyDescent="0.25">
      <c r="E1665" s="83">
        <v>201502</v>
      </c>
      <c r="F1665" s="82" t="s">
        <v>344</v>
      </c>
      <c r="G1665" s="82" t="s">
        <v>359</v>
      </c>
      <c r="H1665" s="82" t="s">
        <v>344</v>
      </c>
      <c r="I1665" s="95">
        <v>10</v>
      </c>
      <c r="K1665" s="105" t="str">
        <f t="shared" si="59"/>
        <v>0012-1005-0012</v>
      </c>
      <c r="L1665" s="105" t="str">
        <f>VLOOKUP(K1665,COA!$A$3:$B$337,2,FALSE)</f>
        <v>N13</v>
      </c>
      <c r="M1665" s="105" t="str">
        <f t="shared" si="60"/>
        <v>N13</v>
      </c>
      <c r="N1665" s="105" t="str">
        <f>VLOOKUP(M1665,CAC!$A$2:$B$198,2,FALSE)</f>
        <v>HMOLG</v>
      </c>
    </row>
    <row r="1666" spans="5:14" x14ac:dyDescent="0.25">
      <c r="E1666" s="83">
        <v>201701</v>
      </c>
      <c r="F1666" s="82" t="s">
        <v>345</v>
      </c>
      <c r="G1666" s="82" t="s">
        <v>346</v>
      </c>
      <c r="H1666" s="82" t="s">
        <v>344</v>
      </c>
      <c r="I1666" s="95">
        <v>0</v>
      </c>
      <c r="K1666" s="105" t="str">
        <f t="shared" si="59"/>
        <v>0011-1014-0012</v>
      </c>
      <c r="L1666" s="105" t="e">
        <f>VLOOKUP(K1666,COA!$A$3:$B$337,2,FALSE)</f>
        <v>#N/A</v>
      </c>
      <c r="M1666" s="105" t="str">
        <f t="shared" si="60"/>
        <v>XXX</v>
      </c>
      <c r="N1666" s="105" t="str">
        <f>VLOOKUP(M1666,CAC!$A$2:$B$198,2,FALSE)</f>
        <v>XXX</v>
      </c>
    </row>
    <row r="1667" spans="5:14" x14ac:dyDescent="0.25">
      <c r="E1667" s="83">
        <v>201705</v>
      </c>
      <c r="F1667" s="82" t="s">
        <v>506</v>
      </c>
      <c r="G1667" s="82" t="s">
        <v>354</v>
      </c>
      <c r="H1667" s="82" t="s">
        <v>592</v>
      </c>
      <c r="I1667" s="95">
        <v>0</v>
      </c>
      <c r="K1667" s="105" t="str">
        <f t="shared" si="59"/>
        <v>0013-1013-0035</v>
      </c>
      <c r="L1667" s="105" t="str">
        <f>VLOOKUP(K1667,COA!$A$3:$B$337,2,FALSE)</f>
        <v>N44</v>
      </c>
      <c r="M1667" s="105" t="str">
        <f t="shared" si="60"/>
        <v>N44</v>
      </c>
      <c r="N1667" s="105" t="e">
        <f>VLOOKUP(M1667,CAC!$A$2:$B$198,2,FALSE)</f>
        <v>#N/A</v>
      </c>
    </row>
    <row r="1668" spans="5:14" x14ac:dyDescent="0.25">
      <c r="E1668" s="83">
        <v>201706</v>
      </c>
      <c r="F1668" s="82" t="s">
        <v>345</v>
      </c>
      <c r="G1668" s="82" t="s">
        <v>346</v>
      </c>
      <c r="H1668" s="82" t="s">
        <v>360</v>
      </c>
      <c r="I1668" s="95">
        <v>335</v>
      </c>
      <c r="K1668" s="105" t="str">
        <f t="shared" ref="K1668:K1731" si="61">F1668&amp;"-"&amp;G1668&amp;"-"&amp;H1668</f>
        <v>0011-1014-0048</v>
      </c>
      <c r="L1668" s="105" t="str">
        <f>VLOOKUP(K1668,COA!$A$3:$B$337,2,FALSE)</f>
        <v>K23</v>
      </c>
      <c r="M1668" s="105" t="str">
        <f t="shared" ref="M1668:M1731" si="62">IF(ISNA(L1668),"XXX",L1668)</f>
        <v>K23</v>
      </c>
      <c r="N1668" s="105" t="str">
        <f>VLOOKUP(M1668,CAC!$A$2:$B$198,2,FALSE)</f>
        <v>HMFLEX</v>
      </c>
    </row>
    <row r="1669" spans="5:14" x14ac:dyDescent="0.25">
      <c r="E1669" s="83">
        <v>201507</v>
      </c>
      <c r="F1669" s="82" t="s">
        <v>506</v>
      </c>
      <c r="G1669" s="82" t="s">
        <v>346</v>
      </c>
      <c r="H1669" s="82" t="s">
        <v>592</v>
      </c>
      <c r="I1669" s="95">
        <v>0</v>
      </c>
      <c r="K1669" s="105" t="str">
        <f t="shared" si="61"/>
        <v>0013-1014-0035</v>
      </c>
      <c r="L1669" s="105" t="str">
        <f>VLOOKUP(K1669,COA!$A$3:$B$337,2,FALSE)</f>
        <v>K42</v>
      </c>
      <c r="M1669" s="105" t="str">
        <f t="shared" si="62"/>
        <v>K42</v>
      </c>
      <c r="N1669" s="105" t="str">
        <f>VLOOKUP(M1669,CAC!$A$2:$B$198,2,FALSE)</f>
        <v>HMFLEX</v>
      </c>
    </row>
    <row r="1670" spans="5:14" x14ac:dyDescent="0.25">
      <c r="E1670" s="83">
        <v>201605</v>
      </c>
      <c r="F1670" s="82" t="s">
        <v>345</v>
      </c>
      <c r="G1670" s="82" t="s">
        <v>350</v>
      </c>
      <c r="H1670" s="82" t="s">
        <v>357</v>
      </c>
      <c r="I1670" s="95">
        <v>1943.9</v>
      </c>
      <c r="K1670" s="105" t="str">
        <f t="shared" si="61"/>
        <v>0011-1012-0038</v>
      </c>
      <c r="L1670" s="105" t="str">
        <f>VLOOKUP(K1670,COA!$A$3:$B$337,2,FALSE)</f>
        <v>K14</v>
      </c>
      <c r="M1670" s="105" t="str">
        <f t="shared" si="62"/>
        <v>K14</v>
      </c>
      <c r="N1670" s="105" t="str">
        <f>VLOOKUP(M1670,CAC!$A$2:$B$198,2,FALSE)</f>
        <v>HMOPMR</v>
      </c>
    </row>
    <row r="1671" spans="5:14" x14ac:dyDescent="0.25">
      <c r="E1671" s="83">
        <v>201709</v>
      </c>
      <c r="F1671" s="82" t="s">
        <v>746</v>
      </c>
      <c r="G1671" s="82" t="s">
        <v>354</v>
      </c>
      <c r="H1671" s="82" t="s">
        <v>344</v>
      </c>
      <c r="I1671" s="95">
        <v>82</v>
      </c>
      <c r="K1671" s="105" t="str">
        <f t="shared" si="61"/>
        <v>0016-1013-0012</v>
      </c>
      <c r="L1671" s="105" t="str">
        <f>VLOOKUP(K1671,COA!$A$3:$B$337,2,FALSE)</f>
        <v>R19</v>
      </c>
      <c r="M1671" s="105" t="str">
        <f t="shared" si="62"/>
        <v>R19</v>
      </c>
      <c r="N1671" s="105" t="str">
        <f>VLOOKUP(M1671,CAC!$A$2:$B$198,2,FALSE)</f>
        <v>HMOMG</v>
      </c>
    </row>
    <row r="1672" spans="5:14" x14ac:dyDescent="0.25">
      <c r="E1672" s="83">
        <v>201701</v>
      </c>
      <c r="F1672" s="82" t="s">
        <v>563</v>
      </c>
      <c r="G1672" s="82" t="s">
        <v>354</v>
      </c>
      <c r="H1672" s="82" t="s">
        <v>360</v>
      </c>
      <c r="I1672" s="95">
        <v>0</v>
      </c>
      <c r="K1672" s="105" t="str">
        <f t="shared" si="61"/>
        <v>0003-1013-0048</v>
      </c>
      <c r="L1672" s="105" t="str">
        <f>VLOOKUP(K1672,COA!$A$3:$B$337,2,FALSE)</f>
        <v>N56</v>
      </c>
      <c r="M1672" s="105" t="str">
        <f t="shared" si="62"/>
        <v>N56</v>
      </c>
      <c r="N1672" s="105" t="str">
        <f>VLOOKUP(M1672,CAC!$A$2:$B$198,2,FALSE)</f>
        <v>HMFLEX</v>
      </c>
    </row>
    <row r="1673" spans="5:14" x14ac:dyDescent="0.25">
      <c r="E1673" s="83">
        <v>201610</v>
      </c>
      <c r="F1673" s="82" t="s">
        <v>413</v>
      </c>
      <c r="G1673" s="82" t="s">
        <v>354</v>
      </c>
      <c r="H1673" s="82" t="s">
        <v>344</v>
      </c>
      <c r="I1673" s="95">
        <v>0</v>
      </c>
      <c r="K1673" s="105" t="str">
        <f t="shared" si="61"/>
        <v>0008-1013-0012</v>
      </c>
      <c r="L1673" s="105" t="str">
        <f>VLOOKUP(K1673,COA!$A$3:$B$337,2,FALSE)</f>
        <v>C76</v>
      </c>
      <c r="M1673" s="105" t="str">
        <f t="shared" si="62"/>
        <v>C76</v>
      </c>
      <c r="N1673" s="105" t="str">
        <f>VLOOKUP(M1673,CAC!$A$2:$B$198,2,FALSE)</f>
        <v>DOILG</v>
      </c>
    </row>
    <row r="1674" spans="5:14" x14ac:dyDescent="0.25">
      <c r="E1674" s="83">
        <v>201607</v>
      </c>
      <c r="F1674" s="82" t="s">
        <v>413</v>
      </c>
      <c r="G1674" s="82" t="s">
        <v>356</v>
      </c>
      <c r="H1674" s="82" t="s">
        <v>344</v>
      </c>
      <c r="I1674" s="95">
        <v>0</v>
      </c>
      <c r="K1674" s="105" t="str">
        <f t="shared" si="61"/>
        <v>0008-1002-0012</v>
      </c>
      <c r="L1674" s="105" t="str">
        <f>VLOOKUP(K1674,COA!$A$3:$B$337,2,FALSE)</f>
        <v>C74</v>
      </c>
      <c r="M1674" s="105" t="str">
        <f t="shared" si="62"/>
        <v>C74</v>
      </c>
      <c r="N1674" s="105" t="str">
        <f>VLOOKUP(M1674,CAC!$A$2:$B$198,2,FALSE)</f>
        <v>DOILG</v>
      </c>
    </row>
    <row r="1675" spans="5:14" x14ac:dyDescent="0.25">
      <c r="E1675" s="83">
        <v>201604</v>
      </c>
      <c r="F1675" s="82" t="s">
        <v>563</v>
      </c>
      <c r="G1675" s="82" t="s">
        <v>348</v>
      </c>
      <c r="H1675" s="82" t="s">
        <v>353</v>
      </c>
      <c r="I1675" s="95">
        <v>0</v>
      </c>
      <c r="K1675" s="105" t="str">
        <f t="shared" si="61"/>
        <v>0003-1010-0023</v>
      </c>
      <c r="L1675" s="105" t="str">
        <f>VLOOKUP(K1675,COA!$A$3:$B$337,2,FALSE)</f>
        <v>S54</v>
      </c>
      <c r="M1675" s="105" t="str">
        <f t="shared" si="62"/>
        <v>S54</v>
      </c>
      <c r="N1675" s="105" t="str">
        <f>VLOOKUP(M1675,CAC!$A$2:$B$198,2,FALSE)</f>
        <v>PPOSG</v>
      </c>
    </row>
    <row r="1676" spans="5:14" x14ac:dyDescent="0.25">
      <c r="E1676" s="83">
        <v>201712</v>
      </c>
      <c r="F1676" s="82" t="s">
        <v>349</v>
      </c>
      <c r="G1676" s="82" t="s">
        <v>369</v>
      </c>
      <c r="H1676" s="82" t="s">
        <v>344</v>
      </c>
      <c r="I1676" s="95">
        <v>43971.97</v>
      </c>
      <c r="K1676" s="105" t="str">
        <f t="shared" si="61"/>
        <v>0017-1009-0012</v>
      </c>
      <c r="L1676" s="105" t="str">
        <f>VLOOKUP(K1676,COA!$A$3:$B$337,2,FALSE)</f>
        <v>R12</v>
      </c>
      <c r="M1676" s="105" t="str">
        <f t="shared" si="62"/>
        <v>R12</v>
      </c>
      <c r="N1676" s="105" t="str">
        <f>VLOOKUP(M1676,CAC!$A$2:$B$198,2,FALSE)</f>
        <v>HMOMM</v>
      </c>
    </row>
    <row r="1677" spans="5:14" x14ac:dyDescent="0.25">
      <c r="E1677" s="83">
        <v>201702</v>
      </c>
      <c r="F1677" s="82" t="s">
        <v>563</v>
      </c>
      <c r="G1677" s="82" t="s">
        <v>365</v>
      </c>
      <c r="H1677" s="82" t="s">
        <v>367</v>
      </c>
      <c r="I1677" s="95">
        <v>0</v>
      </c>
      <c r="K1677" s="105" t="str">
        <f t="shared" si="61"/>
        <v>0003-1001-0022</v>
      </c>
      <c r="L1677" s="105" t="str">
        <f>VLOOKUP(K1677,COA!$A$3:$B$337,2,FALSE)</f>
        <v>V54</v>
      </c>
      <c r="M1677" s="105" t="str">
        <f t="shared" si="62"/>
        <v>V54</v>
      </c>
      <c r="N1677" s="105" t="str">
        <f>VLOOKUP(M1677,CAC!$A$2:$B$198,2,FALSE)</f>
        <v>PPOIFP</v>
      </c>
    </row>
    <row r="1678" spans="5:14" x14ac:dyDescent="0.25">
      <c r="E1678" s="83">
        <v>201607</v>
      </c>
      <c r="F1678" s="82" t="s">
        <v>563</v>
      </c>
      <c r="G1678" s="82" t="s">
        <v>350</v>
      </c>
      <c r="H1678" s="82" t="s">
        <v>360</v>
      </c>
      <c r="I1678" s="95">
        <v>0</v>
      </c>
      <c r="K1678" s="105" t="str">
        <f t="shared" si="61"/>
        <v>0003-1012-0048</v>
      </c>
      <c r="L1678" s="105" t="str">
        <f>VLOOKUP(K1678,COA!$A$3:$B$337,2,FALSE)</f>
        <v>K56</v>
      </c>
      <c r="M1678" s="105" t="str">
        <f t="shared" si="62"/>
        <v>K56</v>
      </c>
      <c r="N1678" s="105" t="str">
        <f>VLOOKUP(M1678,CAC!$A$2:$B$198,2,FALSE)</f>
        <v>HMFLEX</v>
      </c>
    </row>
    <row r="1679" spans="5:14" x14ac:dyDescent="0.25">
      <c r="E1679" s="83">
        <v>201705</v>
      </c>
      <c r="F1679" s="82" t="s">
        <v>345</v>
      </c>
      <c r="G1679" s="82" t="s">
        <v>346</v>
      </c>
      <c r="H1679" s="82" t="s">
        <v>360</v>
      </c>
      <c r="I1679" s="95">
        <v>331</v>
      </c>
      <c r="K1679" s="105" t="str">
        <f t="shared" si="61"/>
        <v>0011-1014-0048</v>
      </c>
      <c r="L1679" s="105" t="str">
        <f>VLOOKUP(K1679,COA!$A$3:$B$337,2,FALSE)</f>
        <v>K23</v>
      </c>
      <c r="M1679" s="105" t="str">
        <f t="shared" si="62"/>
        <v>K23</v>
      </c>
      <c r="N1679" s="105" t="str">
        <f>VLOOKUP(M1679,CAC!$A$2:$B$198,2,FALSE)</f>
        <v>HMFLEX</v>
      </c>
    </row>
    <row r="1680" spans="5:14" x14ac:dyDescent="0.25">
      <c r="E1680" s="83">
        <v>201601</v>
      </c>
      <c r="F1680" s="82" t="s">
        <v>405</v>
      </c>
      <c r="G1680" s="82" t="s">
        <v>362</v>
      </c>
      <c r="H1680" s="82" t="s">
        <v>342</v>
      </c>
      <c r="I1680" s="95">
        <v>0</v>
      </c>
      <c r="K1680" s="105" t="str">
        <f t="shared" si="61"/>
        <v>0019-1008-0031</v>
      </c>
      <c r="L1680" s="105" t="str">
        <f>VLOOKUP(K1680,COA!$A$3:$B$337,2,FALSE)</f>
        <v>P53</v>
      </c>
      <c r="M1680" s="105" t="str">
        <f t="shared" si="62"/>
        <v>P53</v>
      </c>
      <c r="N1680" s="105" t="str">
        <f>VLOOKUP(M1680,CAC!$A$2:$B$198,2,FALSE)</f>
        <v>HMOPERA</v>
      </c>
    </row>
    <row r="1681" spans="5:14" x14ac:dyDescent="0.25">
      <c r="E1681" s="83">
        <v>201604</v>
      </c>
      <c r="F1681" s="82" t="s">
        <v>345</v>
      </c>
      <c r="G1681" s="82" t="s">
        <v>352</v>
      </c>
      <c r="H1681" s="82" t="s">
        <v>357</v>
      </c>
      <c r="I1681" s="95">
        <v>285</v>
      </c>
      <c r="K1681" s="105" t="str">
        <f t="shared" si="61"/>
        <v>0011-1004-0038</v>
      </c>
      <c r="L1681" s="105" t="str">
        <f>VLOOKUP(K1681,COA!$A$3:$B$337,2,FALSE)</f>
        <v>L14</v>
      </c>
      <c r="M1681" s="105" t="str">
        <f t="shared" si="62"/>
        <v>L14</v>
      </c>
      <c r="N1681" s="105" t="str">
        <f>VLOOKUP(M1681,CAC!$A$2:$B$198,2,FALSE)</f>
        <v>HMOLG</v>
      </c>
    </row>
    <row r="1682" spans="5:14" x14ac:dyDescent="0.25">
      <c r="E1682" s="83">
        <v>201606</v>
      </c>
      <c r="F1682" s="82" t="s">
        <v>345</v>
      </c>
      <c r="G1682" s="82" t="s">
        <v>346</v>
      </c>
      <c r="H1682" s="82" t="s">
        <v>344</v>
      </c>
      <c r="I1682" s="95">
        <v>0</v>
      </c>
      <c r="K1682" s="105" t="str">
        <f t="shared" si="61"/>
        <v>0011-1014-0012</v>
      </c>
      <c r="L1682" s="105" t="e">
        <f>VLOOKUP(K1682,COA!$A$3:$B$337,2,FALSE)</f>
        <v>#N/A</v>
      </c>
      <c r="M1682" s="105" t="str">
        <f t="shared" si="62"/>
        <v>XXX</v>
      </c>
      <c r="N1682" s="105" t="str">
        <f>VLOOKUP(M1682,CAC!$A$2:$B$198,2,FALSE)</f>
        <v>XXX</v>
      </c>
    </row>
    <row r="1683" spans="5:14" x14ac:dyDescent="0.25">
      <c r="E1683" s="83">
        <v>201506</v>
      </c>
      <c r="F1683" s="82" t="s">
        <v>563</v>
      </c>
      <c r="G1683" s="82" t="s">
        <v>359</v>
      </c>
      <c r="H1683" s="82" t="s">
        <v>344</v>
      </c>
      <c r="I1683" s="95">
        <v>0</v>
      </c>
      <c r="K1683" s="105" t="str">
        <f t="shared" si="61"/>
        <v>0003-1005-0012</v>
      </c>
      <c r="L1683" s="105" t="str">
        <f>VLOOKUP(K1683,COA!$A$3:$B$337,2,FALSE)</f>
        <v>N51</v>
      </c>
      <c r="M1683" s="105" t="str">
        <f t="shared" si="62"/>
        <v>N51</v>
      </c>
      <c r="N1683" s="105" t="str">
        <f>VLOOKUP(M1683,CAC!$A$2:$B$198,2,FALSE)</f>
        <v>PPOLG</v>
      </c>
    </row>
    <row r="1684" spans="5:14" x14ac:dyDescent="0.25">
      <c r="E1684" s="83">
        <v>201509</v>
      </c>
      <c r="F1684" s="82" t="s">
        <v>563</v>
      </c>
      <c r="G1684" s="82" t="s">
        <v>365</v>
      </c>
      <c r="H1684" s="82" t="s">
        <v>366</v>
      </c>
      <c r="I1684" s="95">
        <v>0</v>
      </c>
      <c r="K1684" s="105" t="str">
        <f t="shared" si="61"/>
        <v>0003-1001-0021</v>
      </c>
      <c r="L1684" s="105" t="str">
        <f>VLOOKUP(K1684,COA!$A$3:$B$337,2,FALSE)</f>
        <v>V53</v>
      </c>
      <c r="M1684" s="105" t="str">
        <f t="shared" si="62"/>
        <v>V53</v>
      </c>
      <c r="N1684" s="105" t="str">
        <f>VLOOKUP(M1684,CAC!$A$2:$B$198,2,FALSE)</f>
        <v>PPOIFP</v>
      </c>
    </row>
    <row r="1685" spans="5:14" x14ac:dyDescent="0.25">
      <c r="E1685" s="83">
        <v>201608</v>
      </c>
      <c r="F1685" s="82" t="s">
        <v>563</v>
      </c>
      <c r="G1685" s="82" t="s">
        <v>352</v>
      </c>
      <c r="H1685" s="82" t="s">
        <v>653</v>
      </c>
      <c r="I1685" s="95">
        <v>0</v>
      </c>
      <c r="K1685" s="105" t="str">
        <f t="shared" si="61"/>
        <v>0003-1004-0047</v>
      </c>
      <c r="L1685" s="105" t="str">
        <f>VLOOKUP(K1685,COA!$A$3:$B$337,2,FALSE)</f>
        <v>L57</v>
      </c>
      <c r="M1685" s="105" t="str">
        <f t="shared" si="62"/>
        <v>L57</v>
      </c>
      <c r="N1685" s="105" t="str">
        <f>VLOOKUP(M1685,CAC!$A$2:$B$198,2,FALSE)</f>
        <v>PPOLG</v>
      </c>
    </row>
    <row r="1686" spans="5:14" x14ac:dyDescent="0.25">
      <c r="E1686" s="83">
        <v>201705</v>
      </c>
      <c r="F1686" s="82" t="s">
        <v>345</v>
      </c>
      <c r="G1686" s="82" t="s">
        <v>354</v>
      </c>
      <c r="H1686" s="82" t="s">
        <v>368</v>
      </c>
      <c r="I1686" s="95">
        <v>1</v>
      </c>
      <c r="K1686" s="105" t="str">
        <f t="shared" si="61"/>
        <v>0011-1013-0056</v>
      </c>
      <c r="L1686" s="105" t="str">
        <f>VLOOKUP(K1686,COA!$A$3:$B$337,2,FALSE)</f>
        <v>N20</v>
      </c>
      <c r="M1686" s="105" t="str">
        <f t="shared" si="62"/>
        <v>N20</v>
      </c>
      <c r="N1686" s="105" t="str">
        <f>VLOOKUP(M1686,CAC!$A$2:$B$198,2,FALSE)</f>
        <v>HMOPMR</v>
      </c>
    </row>
    <row r="1687" spans="5:14" x14ac:dyDescent="0.25">
      <c r="E1687" s="83">
        <v>201710</v>
      </c>
      <c r="F1687" s="82" t="s">
        <v>563</v>
      </c>
      <c r="G1687" s="82" t="s">
        <v>351</v>
      </c>
      <c r="H1687" s="82" t="s">
        <v>353</v>
      </c>
      <c r="I1687" s="95">
        <v>0</v>
      </c>
      <c r="K1687" s="105" t="str">
        <f t="shared" si="61"/>
        <v>0003-0000-0023</v>
      </c>
      <c r="L1687" s="105" t="e">
        <f>VLOOKUP(K1687,COA!$A$3:$B$337,2,FALSE)</f>
        <v>#N/A</v>
      </c>
      <c r="M1687" s="105" t="str">
        <f t="shared" si="62"/>
        <v>XXX</v>
      </c>
      <c r="N1687" s="105" t="str">
        <f>VLOOKUP(M1687,CAC!$A$2:$B$198,2,FALSE)</f>
        <v>XXX</v>
      </c>
    </row>
    <row r="1688" spans="5:14" x14ac:dyDescent="0.25">
      <c r="E1688" s="83">
        <v>201712</v>
      </c>
      <c r="F1688" s="82" t="s">
        <v>563</v>
      </c>
      <c r="G1688" s="82" t="s">
        <v>359</v>
      </c>
      <c r="H1688" s="82" t="s">
        <v>344</v>
      </c>
      <c r="I1688" s="95">
        <v>0</v>
      </c>
      <c r="K1688" s="105" t="str">
        <f t="shared" si="61"/>
        <v>0003-1005-0012</v>
      </c>
      <c r="L1688" s="105" t="str">
        <f>VLOOKUP(K1688,COA!$A$3:$B$337,2,FALSE)</f>
        <v>N51</v>
      </c>
      <c r="M1688" s="105" t="str">
        <f t="shared" si="62"/>
        <v>N51</v>
      </c>
      <c r="N1688" s="105" t="str">
        <f>VLOOKUP(M1688,CAC!$A$2:$B$198,2,FALSE)</f>
        <v>PPOLG</v>
      </c>
    </row>
    <row r="1689" spans="5:14" x14ac:dyDescent="0.25">
      <c r="E1689" s="83">
        <v>201711</v>
      </c>
      <c r="F1689" s="82" t="s">
        <v>563</v>
      </c>
      <c r="G1689" s="82" t="s">
        <v>365</v>
      </c>
      <c r="H1689" s="82" t="s">
        <v>798</v>
      </c>
      <c r="I1689" s="95">
        <v>0</v>
      </c>
      <c r="K1689" s="105" t="str">
        <f t="shared" si="61"/>
        <v>0003-1001-0065</v>
      </c>
      <c r="L1689" s="105" t="str">
        <f>VLOOKUP(K1689,COA!$A$3:$B$337,2,FALSE)</f>
        <v>V55</v>
      </c>
      <c r="M1689" s="105" t="str">
        <f t="shared" si="62"/>
        <v>V55</v>
      </c>
      <c r="N1689" s="105" t="e">
        <f>VLOOKUP(M1689,CAC!$A$2:$B$198,2,FALSE)</f>
        <v>#N/A</v>
      </c>
    </row>
    <row r="1690" spans="5:14" x14ac:dyDescent="0.25">
      <c r="E1690" s="83">
        <v>201503</v>
      </c>
      <c r="F1690" s="82" t="s">
        <v>345</v>
      </c>
      <c r="G1690" s="82" t="s">
        <v>348</v>
      </c>
      <c r="H1690" s="82" t="s">
        <v>349</v>
      </c>
      <c r="I1690" s="95">
        <v>17035.580000000002</v>
      </c>
      <c r="K1690" s="105" t="str">
        <f t="shared" si="61"/>
        <v>0011-1010-0017</v>
      </c>
      <c r="L1690" s="105" t="str">
        <f>VLOOKUP(K1690,COA!$A$3:$B$337,2,FALSE)</f>
        <v>S11</v>
      </c>
      <c r="M1690" s="105" t="str">
        <f t="shared" si="62"/>
        <v>S11</v>
      </c>
      <c r="N1690" s="105" t="str">
        <f>VLOOKUP(M1690,CAC!$A$2:$B$198,2,FALSE)</f>
        <v>HMOSG</v>
      </c>
    </row>
    <row r="1691" spans="5:14" x14ac:dyDescent="0.25">
      <c r="E1691" s="83">
        <v>201612</v>
      </c>
      <c r="F1691" s="82" t="s">
        <v>413</v>
      </c>
      <c r="G1691" s="82" t="s">
        <v>365</v>
      </c>
      <c r="H1691" s="82" t="s">
        <v>344</v>
      </c>
      <c r="I1691" s="95">
        <v>0</v>
      </c>
      <c r="K1691" s="105" t="str">
        <f t="shared" si="61"/>
        <v>0008-1001-0012</v>
      </c>
      <c r="L1691" s="105" t="str">
        <f>VLOOKUP(K1691,COA!$A$3:$B$337,2,FALSE)</f>
        <v>C95</v>
      </c>
      <c r="M1691" s="105" t="str">
        <f t="shared" si="62"/>
        <v>C95</v>
      </c>
      <c r="N1691" s="105" t="str">
        <f>VLOOKUP(M1691,CAC!$A$2:$B$198,2,FALSE)</f>
        <v>DOIIFP</v>
      </c>
    </row>
    <row r="1692" spans="5:14" x14ac:dyDescent="0.25">
      <c r="E1692" s="83">
        <v>201701</v>
      </c>
      <c r="F1692" s="82" t="s">
        <v>345</v>
      </c>
      <c r="G1692" s="82" t="s">
        <v>354</v>
      </c>
      <c r="H1692" s="82" t="s">
        <v>360</v>
      </c>
      <c r="I1692" s="95">
        <v>5027</v>
      </c>
      <c r="K1692" s="105" t="str">
        <f t="shared" si="61"/>
        <v>0011-1013-0048</v>
      </c>
      <c r="L1692" s="105" t="str">
        <f>VLOOKUP(K1692,COA!$A$3:$B$337,2,FALSE)</f>
        <v>N21</v>
      </c>
      <c r="M1692" s="105" t="str">
        <f t="shared" si="62"/>
        <v>N21</v>
      </c>
      <c r="N1692" s="105" t="str">
        <f>VLOOKUP(M1692,CAC!$A$2:$B$198,2,FALSE)</f>
        <v>HMFLEX</v>
      </c>
    </row>
    <row r="1693" spans="5:14" x14ac:dyDescent="0.25">
      <c r="E1693" s="83">
        <v>201507</v>
      </c>
      <c r="F1693" s="82" t="s">
        <v>563</v>
      </c>
      <c r="G1693" s="82" t="s">
        <v>352</v>
      </c>
      <c r="H1693" s="82" t="s">
        <v>344</v>
      </c>
      <c r="I1693" s="95">
        <v>0</v>
      </c>
      <c r="K1693" s="105" t="str">
        <f t="shared" si="61"/>
        <v>0003-1004-0012</v>
      </c>
      <c r="L1693" s="105" t="str">
        <f>VLOOKUP(K1693,COA!$A$3:$B$337,2,FALSE)</f>
        <v>L51</v>
      </c>
      <c r="M1693" s="105" t="str">
        <f t="shared" si="62"/>
        <v>L51</v>
      </c>
      <c r="N1693" s="105" t="str">
        <f>VLOOKUP(M1693,CAC!$A$2:$B$198,2,FALSE)</f>
        <v>PPOLG</v>
      </c>
    </row>
    <row r="1694" spans="5:14" x14ac:dyDescent="0.25">
      <c r="E1694" s="83">
        <v>201606</v>
      </c>
      <c r="F1694" s="82" t="s">
        <v>344</v>
      </c>
      <c r="G1694" s="82" t="s">
        <v>350</v>
      </c>
      <c r="H1694" s="82" t="s">
        <v>344</v>
      </c>
      <c r="I1694" s="95">
        <v>107</v>
      </c>
      <c r="K1694" s="105" t="str">
        <f t="shared" si="61"/>
        <v>0012-1012-0012</v>
      </c>
      <c r="L1694" s="105" t="str">
        <f>VLOOKUP(K1694,COA!$A$3:$B$337,2,FALSE)</f>
        <v>K12</v>
      </c>
      <c r="M1694" s="105" t="str">
        <f t="shared" si="62"/>
        <v>K12</v>
      </c>
      <c r="N1694" s="105" t="str">
        <f>VLOOKUP(M1694,CAC!$A$2:$B$198,2,FALSE)</f>
        <v>HMOPMR</v>
      </c>
    </row>
    <row r="1695" spans="5:14" x14ac:dyDescent="0.25">
      <c r="E1695" s="83">
        <v>201712</v>
      </c>
      <c r="F1695" s="82" t="s">
        <v>563</v>
      </c>
      <c r="G1695" s="82" t="s">
        <v>365</v>
      </c>
      <c r="H1695" s="82" t="s">
        <v>344</v>
      </c>
      <c r="I1695" s="95">
        <v>0</v>
      </c>
      <c r="K1695" s="105" t="str">
        <f t="shared" si="61"/>
        <v>0003-1001-0012</v>
      </c>
      <c r="L1695" s="105" t="str">
        <f>VLOOKUP(K1695,COA!$A$3:$B$337,2,FALSE)</f>
        <v>V51</v>
      </c>
      <c r="M1695" s="105" t="str">
        <f t="shared" si="62"/>
        <v>V51</v>
      </c>
      <c r="N1695" s="105" t="str">
        <f>VLOOKUP(M1695,CAC!$A$2:$B$198,2,FALSE)</f>
        <v>PPOIFP</v>
      </c>
    </row>
    <row r="1696" spans="5:14" x14ac:dyDescent="0.25">
      <c r="E1696" s="83">
        <v>201606</v>
      </c>
      <c r="F1696" s="82" t="s">
        <v>344</v>
      </c>
      <c r="G1696" s="82" t="s">
        <v>359</v>
      </c>
      <c r="H1696" s="82" t="s">
        <v>344</v>
      </c>
      <c r="I1696" s="95">
        <v>138</v>
      </c>
      <c r="K1696" s="105" t="str">
        <f t="shared" si="61"/>
        <v>0012-1005-0012</v>
      </c>
      <c r="L1696" s="105" t="str">
        <f>VLOOKUP(K1696,COA!$A$3:$B$337,2,FALSE)</f>
        <v>N13</v>
      </c>
      <c r="M1696" s="105" t="str">
        <f t="shared" si="62"/>
        <v>N13</v>
      </c>
      <c r="N1696" s="105" t="str">
        <f>VLOOKUP(M1696,CAC!$A$2:$B$198,2,FALSE)</f>
        <v>HMOLG</v>
      </c>
    </row>
    <row r="1697" spans="5:14" x14ac:dyDescent="0.25">
      <c r="E1697" s="83">
        <v>201711</v>
      </c>
      <c r="F1697" s="82" t="s">
        <v>345</v>
      </c>
      <c r="G1697" s="82" t="s">
        <v>365</v>
      </c>
      <c r="H1697" s="82" t="s">
        <v>367</v>
      </c>
      <c r="I1697" s="95">
        <v>833.94</v>
      </c>
      <c r="K1697" s="105" t="str">
        <f t="shared" si="61"/>
        <v>0011-1001-0022</v>
      </c>
      <c r="L1697" s="105" t="str">
        <f>VLOOKUP(K1697,COA!$A$3:$B$337,2,FALSE)</f>
        <v>V14</v>
      </c>
      <c r="M1697" s="105" t="str">
        <f t="shared" si="62"/>
        <v>V14</v>
      </c>
      <c r="N1697" s="105" t="str">
        <f>VLOOKUP(M1697,CAC!$A$2:$B$198,2,FALSE)</f>
        <v>HMOIFP</v>
      </c>
    </row>
    <row r="1698" spans="5:14" x14ac:dyDescent="0.25">
      <c r="E1698" s="83">
        <v>201511</v>
      </c>
      <c r="F1698" s="82" t="s">
        <v>563</v>
      </c>
      <c r="G1698" s="82" t="s">
        <v>350</v>
      </c>
      <c r="H1698" s="82" t="s">
        <v>344</v>
      </c>
      <c r="I1698" s="95">
        <v>0</v>
      </c>
      <c r="K1698" s="105" t="str">
        <f t="shared" si="61"/>
        <v>0003-1012-0012</v>
      </c>
      <c r="L1698" s="105" t="str">
        <f>VLOOKUP(K1698,COA!$A$3:$B$337,2,FALSE)</f>
        <v>K51</v>
      </c>
      <c r="M1698" s="105" t="str">
        <f t="shared" si="62"/>
        <v>K51</v>
      </c>
      <c r="N1698" s="105" t="str">
        <f>VLOOKUP(M1698,CAC!$A$2:$B$198,2,FALSE)</f>
        <v>PPOPMR</v>
      </c>
    </row>
    <row r="1699" spans="5:14" x14ac:dyDescent="0.25">
      <c r="E1699" s="83">
        <v>201612</v>
      </c>
      <c r="F1699" s="82" t="s">
        <v>563</v>
      </c>
      <c r="G1699" s="82" t="s">
        <v>365</v>
      </c>
      <c r="H1699" s="82" t="s">
        <v>798</v>
      </c>
      <c r="I1699" s="95">
        <v>0</v>
      </c>
      <c r="K1699" s="105" t="str">
        <f t="shared" si="61"/>
        <v>0003-1001-0065</v>
      </c>
      <c r="L1699" s="105" t="str">
        <f>VLOOKUP(K1699,COA!$A$3:$B$337,2,FALSE)</f>
        <v>V55</v>
      </c>
      <c r="M1699" s="105" t="str">
        <f t="shared" si="62"/>
        <v>V55</v>
      </c>
      <c r="N1699" s="105" t="e">
        <f>VLOOKUP(M1699,CAC!$A$2:$B$198,2,FALSE)</f>
        <v>#N/A</v>
      </c>
    </row>
    <row r="1700" spans="5:14" x14ac:dyDescent="0.25">
      <c r="E1700" s="83">
        <v>201701</v>
      </c>
      <c r="F1700" s="82" t="s">
        <v>345</v>
      </c>
      <c r="G1700" s="82" t="s">
        <v>365</v>
      </c>
      <c r="H1700" s="82" t="s">
        <v>366</v>
      </c>
      <c r="I1700" s="95">
        <v>715.03</v>
      </c>
      <c r="K1700" s="105" t="str">
        <f t="shared" si="61"/>
        <v>0011-1001-0021</v>
      </c>
      <c r="L1700" s="105" t="str">
        <f>VLOOKUP(K1700,COA!$A$3:$B$337,2,FALSE)</f>
        <v>V13</v>
      </c>
      <c r="M1700" s="105" t="str">
        <f t="shared" si="62"/>
        <v>V13</v>
      </c>
      <c r="N1700" s="105" t="str">
        <f>VLOOKUP(M1700,CAC!$A$2:$B$198,2,FALSE)</f>
        <v>HMOIFP</v>
      </c>
    </row>
    <row r="1701" spans="5:14" x14ac:dyDescent="0.25">
      <c r="E1701" s="83">
        <v>201608</v>
      </c>
      <c r="F1701" s="82" t="s">
        <v>746</v>
      </c>
      <c r="G1701" s="82" t="s">
        <v>361</v>
      </c>
      <c r="H1701" s="82" t="s">
        <v>344</v>
      </c>
      <c r="I1701" s="95">
        <v>469</v>
      </c>
      <c r="K1701" s="105" t="str">
        <f t="shared" si="61"/>
        <v>0016-1003-0012</v>
      </c>
      <c r="L1701" s="105" t="str">
        <f>VLOOKUP(K1701,COA!$A$3:$B$337,2,FALSE)</f>
        <v>R18</v>
      </c>
      <c r="M1701" s="105" t="str">
        <f t="shared" si="62"/>
        <v>R18</v>
      </c>
      <c r="N1701" s="105" t="str">
        <f>VLOOKUP(M1701,CAC!$A$2:$B$198,2,FALSE)</f>
        <v>HMOMG</v>
      </c>
    </row>
    <row r="1702" spans="5:14" x14ac:dyDescent="0.25">
      <c r="E1702" s="83">
        <v>201701</v>
      </c>
      <c r="F1702" s="82" t="s">
        <v>344</v>
      </c>
      <c r="G1702" s="82" t="s">
        <v>352</v>
      </c>
      <c r="H1702" s="82" t="s">
        <v>360</v>
      </c>
      <c r="I1702" s="95">
        <v>218</v>
      </c>
      <c r="K1702" s="105" t="str">
        <f t="shared" si="61"/>
        <v>0012-1004-0048</v>
      </c>
      <c r="L1702" s="105" t="str">
        <f>VLOOKUP(K1702,COA!$A$3:$B$337,2,FALSE)</f>
        <v>L22</v>
      </c>
      <c r="M1702" s="105" t="str">
        <f t="shared" si="62"/>
        <v>L22</v>
      </c>
      <c r="N1702" s="105" t="str">
        <f>VLOOKUP(M1702,CAC!$A$2:$B$198,2,FALSE)</f>
        <v>HMFLEX</v>
      </c>
    </row>
    <row r="1703" spans="5:14" x14ac:dyDescent="0.25">
      <c r="E1703" s="83">
        <v>201607</v>
      </c>
      <c r="F1703" s="82" t="s">
        <v>413</v>
      </c>
      <c r="G1703" s="82" t="s">
        <v>352</v>
      </c>
      <c r="H1703" s="82" t="s">
        <v>344</v>
      </c>
      <c r="I1703" s="95">
        <v>0</v>
      </c>
      <c r="K1703" s="105" t="str">
        <f t="shared" si="61"/>
        <v>0008-1004-0012</v>
      </c>
      <c r="L1703" s="105" t="str">
        <f>VLOOKUP(K1703,COA!$A$3:$B$337,2,FALSE)</f>
        <v>C93</v>
      </c>
      <c r="M1703" s="105" t="str">
        <f t="shared" si="62"/>
        <v>C93</v>
      </c>
      <c r="N1703" s="105" t="str">
        <f>VLOOKUP(M1703,CAC!$A$2:$B$198,2,FALSE)</f>
        <v>DOILG</v>
      </c>
    </row>
    <row r="1704" spans="5:14" x14ac:dyDescent="0.25">
      <c r="E1704" s="83">
        <v>201705</v>
      </c>
      <c r="F1704" s="82" t="s">
        <v>345</v>
      </c>
      <c r="G1704" s="82" t="s">
        <v>354</v>
      </c>
      <c r="H1704" s="82" t="s">
        <v>360</v>
      </c>
      <c r="I1704" s="95">
        <v>5125</v>
      </c>
      <c r="K1704" s="105" t="str">
        <f t="shared" si="61"/>
        <v>0011-1013-0048</v>
      </c>
      <c r="L1704" s="105" t="str">
        <f>VLOOKUP(K1704,COA!$A$3:$B$337,2,FALSE)</f>
        <v>N21</v>
      </c>
      <c r="M1704" s="105" t="str">
        <f t="shared" si="62"/>
        <v>N21</v>
      </c>
      <c r="N1704" s="105" t="str">
        <f>VLOOKUP(M1704,CAC!$A$2:$B$198,2,FALSE)</f>
        <v>HMFLEX</v>
      </c>
    </row>
    <row r="1705" spans="5:14" x14ac:dyDescent="0.25">
      <c r="E1705" s="83">
        <v>201706</v>
      </c>
      <c r="F1705" s="82" t="s">
        <v>349</v>
      </c>
      <c r="G1705" s="82" t="s">
        <v>369</v>
      </c>
      <c r="H1705" s="82" t="s">
        <v>764</v>
      </c>
      <c r="I1705" s="95">
        <v>5389</v>
      </c>
      <c r="K1705" s="105" t="str">
        <f t="shared" si="61"/>
        <v>0017-1009-0064</v>
      </c>
      <c r="L1705" s="105" t="str">
        <f>VLOOKUP(K1705,COA!$A$3:$B$337,2,FALSE)</f>
        <v>R15</v>
      </c>
      <c r="M1705" s="105" t="str">
        <f t="shared" si="62"/>
        <v>R15</v>
      </c>
      <c r="N1705" s="105" t="str">
        <f>VLOOKUP(M1705,CAC!$A$2:$B$198,2,FALSE)</f>
        <v>HMOMM</v>
      </c>
    </row>
    <row r="1706" spans="5:14" x14ac:dyDescent="0.25">
      <c r="E1706" s="83">
        <v>201506</v>
      </c>
      <c r="F1706" s="82" t="s">
        <v>345</v>
      </c>
      <c r="G1706" s="82" t="s">
        <v>351</v>
      </c>
      <c r="H1706" s="82" t="s">
        <v>349</v>
      </c>
      <c r="I1706" s="95">
        <v>1</v>
      </c>
      <c r="K1706" s="105" t="str">
        <f t="shared" si="61"/>
        <v>0011-0000-0017</v>
      </c>
      <c r="L1706" s="105" t="e">
        <f>VLOOKUP(K1706,COA!$A$3:$B$337,2,FALSE)</f>
        <v>#N/A</v>
      </c>
      <c r="M1706" s="105" t="str">
        <f t="shared" si="62"/>
        <v>XXX</v>
      </c>
      <c r="N1706" s="105" t="str">
        <f>VLOOKUP(M1706,CAC!$A$2:$B$198,2,FALSE)</f>
        <v>XXX</v>
      </c>
    </row>
    <row r="1707" spans="5:14" x14ac:dyDescent="0.25">
      <c r="E1707" s="83">
        <v>201801</v>
      </c>
      <c r="F1707" s="82" t="s">
        <v>413</v>
      </c>
      <c r="G1707" s="82" t="s">
        <v>359</v>
      </c>
      <c r="H1707" s="82" t="s">
        <v>344</v>
      </c>
      <c r="I1707" s="95">
        <v>0</v>
      </c>
      <c r="K1707" s="105" t="str">
        <f t="shared" si="61"/>
        <v>0008-1005-0012</v>
      </c>
      <c r="L1707" s="105" t="str">
        <f>VLOOKUP(K1707,COA!$A$3:$B$337,2,FALSE)</f>
        <v>C73</v>
      </c>
      <c r="M1707" s="105" t="str">
        <f t="shared" si="62"/>
        <v>C73</v>
      </c>
      <c r="N1707" s="105" t="str">
        <f>VLOOKUP(M1707,CAC!$A$2:$B$198,2,FALSE)</f>
        <v>DOILG</v>
      </c>
    </row>
    <row r="1708" spans="5:14" x14ac:dyDescent="0.25">
      <c r="E1708" s="83">
        <v>201506</v>
      </c>
      <c r="F1708" s="82" t="s">
        <v>344</v>
      </c>
      <c r="G1708" s="82" t="s">
        <v>359</v>
      </c>
      <c r="H1708" s="82" t="s">
        <v>344</v>
      </c>
      <c r="I1708" s="95">
        <v>58</v>
      </c>
      <c r="K1708" s="105" t="str">
        <f t="shared" si="61"/>
        <v>0012-1005-0012</v>
      </c>
      <c r="L1708" s="105" t="str">
        <f>VLOOKUP(K1708,COA!$A$3:$B$337,2,FALSE)</f>
        <v>N13</v>
      </c>
      <c r="M1708" s="105" t="str">
        <f t="shared" si="62"/>
        <v>N13</v>
      </c>
      <c r="N1708" s="105" t="str">
        <f>VLOOKUP(M1708,CAC!$A$2:$B$198,2,FALSE)</f>
        <v>HMOLG</v>
      </c>
    </row>
    <row r="1709" spans="5:14" x14ac:dyDescent="0.25">
      <c r="E1709" s="83">
        <v>201506</v>
      </c>
      <c r="F1709" s="82" t="s">
        <v>345</v>
      </c>
      <c r="G1709" s="82" t="s">
        <v>361</v>
      </c>
      <c r="H1709" s="82" t="s">
        <v>344</v>
      </c>
      <c r="I1709" s="95">
        <v>9</v>
      </c>
      <c r="K1709" s="105" t="str">
        <f t="shared" si="61"/>
        <v>0011-1003-0012</v>
      </c>
      <c r="L1709" s="105" t="str">
        <f>VLOOKUP(K1709,COA!$A$3:$B$337,2,FALSE)</f>
        <v>N16</v>
      </c>
      <c r="M1709" s="105" t="str">
        <f t="shared" si="62"/>
        <v>N16</v>
      </c>
      <c r="N1709" s="105" t="str">
        <f>VLOOKUP(M1709,CAC!$A$2:$B$198,2,FALSE)</f>
        <v>HMOPMR</v>
      </c>
    </row>
    <row r="1710" spans="5:14" x14ac:dyDescent="0.25">
      <c r="E1710" s="83">
        <v>201509</v>
      </c>
      <c r="F1710" s="82" t="s">
        <v>524</v>
      </c>
      <c r="G1710" s="82" t="s">
        <v>361</v>
      </c>
      <c r="H1710" s="82" t="s">
        <v>672</v>
      </c>
      <c r="I1710" s="95">
        <v>0</v>
      </c>
      <c r="K1710" s="105" t="str">
        <f t="shared" si="61"/>
        <v>0025-1003-0058</v>
      </c>
      <c r="L1710" s="105" t="str">
        <f>VLOOKUP(K1710,COA!$A$3:$B$337,2,FALSE)</f>
        <v>N45</v>
      </c>
      <c r="M1710" s="105" t="str">
        <f t="shared" si="62"/>
        <v>N45</v>
      </c>
      <c r="N1710" s="105" t="e">
        <f>VLOOKUP(M1710,CAC!$A$2:$B$198,2,FALSE)</f>
        <v>#N/A</v>
      </c>
    </row>
    <row r="1711" spans="5:14" x14ac:dyDescent="0.25">
      <c r="E1711" s="83">
        <v>201703</v>
      </c>
      <c r="F1711" s="82" t="s">
        <v>563</v>
      </c>
      <c r="G1711" s="82" t="s">
        <v>369</v>
      </c>
      <c r="H1711" s="82" t="s">
        <v>353</v>
      </c>
      <c r="I1711" s="95">
        <v>0</v>
      </c>
      <c r="K1711" s="105" t="str">
        <f t="shared" si="61"/>
        <v>0003-1009-0023</v>
      </c>
      <c r="L1711" s="105" t="e">
        <f>VLOOKUP(K1711,COA!$A$3:$B$337,2,FALSE)</f>
        <v>#N/A</v>
      </c>
      <c r="M1711" s="105" t="str">
        <f t="shared" si="62"/>
        <v>XXX</v>
      </c>
      <c r="N1711" s="105" t="str">
        <f>VLOOKUP(M1711,CAC!$A$2:$B$198,2,FALSE)</f>
        <v>XXX</v>
      </c>
    </row>
    <row r="1712" spans="5:14" x14ac:dyDescent="0.25">
      <c r="E1712" s="83">
        <v>201711</v>
      </c>
      <c r="F1712" s="82" t="s">
        <v>563</v>
      </c>
      <c r="G1712" s="82" t="s">
        <v>365</v>
      </c>
      <c r="H1712" s="82" t="s">
        <v>367</v>
      </c>
      <c r="I1712" s="95">
        <v>0</v>
      </c>
      <c r="K1712" s="105" t="str">
        <f t="shared" si="61"/>
        <v>0003-1001-0022</v>
      </c>
      <c r="L1712" s="105" t="str">
        <f>VLOOKUP(K1712,COA!$A$3:$B$337,2,FALSE)</f>
        <v>V54</v>
      </c>
      <c r="M1712" s="105" t="str">
        <f t="shared" si="62"/>
        <v>V54</v>
      </c>
      <c r="N1712" s="105" t="str">
        <f>VLOOKUP(M1712,CAC!$A$2:$B$198,2,FALSE)</f>
        <v>PPOIFP</v>
      </c>
    </row>
    <row r="1713" spans="5:14" x14ac:dyDescent="0.25">
      <c r="E1713" s="83">
        <v>201506</v>
      </c>
      <c r="F1713" s="82" t="s">
        <v>413</v>
      </c>
      <c r="G1713" s="82" t="s">
        <v>365</v>
      </c>
      <c r="H1713" s="82" t="s">
        <v>344</v>
      </c>
      <c r="I1713" s="95">
        <v>0</v>
      </c>
      <c r="K1713" s="105" t="str">
        <f t="shared" si="61"/>
        <v>0008-1001-0012</v>
      </c>
      <c r="L1713" s="105" t="str">
        <f>VLOOKUP(K1713,COA!$A$3:$B$337,2,FALSE)</f>
        <v>C95</v>
      </c>
      <c r="M1713" s="105" t="str">
        <f t="shared" si="62"/>
        <v>C95</v>
      </c>
      <c r="N1713" s="105" t="str">
        <f>VLOOKUP(M1713,CAC!$A$2:$B$198,2,FALSE)</f>
        <v>DOIIFP</v>
      </c>
    </row>
    <row r="1714" spans="5:14" x14ac:dyDescent="0.25">
      <c r="E1714" s="83">
        <v>201609</v>
      </c>
      <c r="F1714" s="82" t="s">
        <v>345</v>
      </c>
      <c r="G1714" s="82" t="s">
        <v>350</v>
      </c>
      <c r="H1714" s="82" t="s">
        <v>344</v>
      </c>
      <c r="I1714" s="95">
        <v>14651.36</v>
      </c>
      <c r="K1714" s="105" t="str">
        <f t="shared" si="61"/>
        <v>0011-1012-0012</v>
      </c>
      <c r="L1714" s="105" t="str">
        <f>VLOOKUP(K1714,COA!$A$3:$B$337,2,FALSE)</f>
        <v>K11</v>
      </c>
      <c r="M1714" s="105" t="str">
        <f t="shared" si="62"/>
        <v>K11</v>
      </c>
      <c r="N1714" s="105" t="str">
        <f>VLOOKUP(M1714,CAC!$A$2:$B$198,2,FALSE)</f>
        <v>HMOPMR</v>
      </c>
    </row>
    <row r="1715" spans="5:14" x14ac:dyDescent="0.25">
      <c r="E1715" s="83">
        <v>201510</v>
      </c>
      <c r="F1715" s="82" t="s">
        <v>563</v>
      </c>
      <c r="G1715" s="82" t="s">
        <v>354</v>
      </c>
      <c r="H1715" s="82" t="s">
        <v>653</v>
      </c>
      <c r="I1715" s="95">
        <v>0</v>
      </c>
      <c r="K1715" s="105" t="str">
        <f t="shared" si="61"/>
        <v>0003-1013-0047</v>
      </c>
      <c r="L1715" s="105" t="str">
        <f>VLOOKUP(K1715,COA!$A$3:$B$337,2,FALSE)</f>
        <v>N57</v>
      </c>
      <c r="M1715" s="105" t="str">
        <f t="shared" si="62"/>
        <v>N57</v>
      </c>
      <c r="N1715" s="105" t="str">
        <f>VLOOKUP(M1715,CAC!$A$2:$B$198,2,FALSE)</f>
        <v>PPOPMR</v>
      </c>
    </row>
    <row r="1716" spans="5:14" x14ac:dyDescent="0.25">
      <c r="E1716" s="83">
        <v>201704</v>
      </c>
      <c r="F1716" s="82" t="s">
        <v>413</v>
      </c>
      <c r="G1716" s="82" t="s">
        <v>355</v>
      </c>
      <c r="H1716" s="82" t="s">
        <v>344</v>
      </c>
      <c r="I1716" s="95">
        <v>0</v>
      </c>
      <c r="K1716" s="105" t="str">
        <f t="shared" si="61"/>
        <v>0008-1006-0012</v>
      </c>
      <c r="L1716" s="105" t="str">
        <f>VLOOKUP(K1716,COA!$A$3:$B$337,2,FALSE)</f>
        <v>C96</v>
      </c>
      <c r="M1716" s="105" t="str">
        <f t="shared" si="62"/>
        <v>C96</v>
      </c>
      <c r="N1716" s="105" t="str">
        <f>VLOOKUP(M1716,CAC!$A$2:$B$198,2,FALSE)</f>
        <v>DOILG</v>
      </c>
    </row>
    <row r="1717" spans="5:14" x14ac:dyDescent="0.25">
      <c r="E1717" s="83">
        <v>201506</v>
      </c>
      <c r="F1717" s="82" t="s">
        <v>413</v>
      </c>
      <c r="G1717" s="82" t="s">
        <v>365</v>
      </c>
      <c r="H1717" s="82" t="s">
        <v>411</v>
      </c>
      <c r="I1717" s="95">
        <v>0</v>
      </c>
      <c r="K1717" s="105" t="str">
        <f t="shared" si="61"/>
        <v>0008-1001-0007</v>
      </c>
      <c r="L1717" s="105" t="str">
        <f>VLOOKUP(K1717,COA!$A$3:$B$337,2,FALSE)</f>
        <v>C99</v>
      </c>
      <c r="M1717" s="105" t="str">
        <f t="shared" si="62"/>
        <v>C99</v>
      </c>
      <c r="N1717" s="105" t="str">
        <f>VLOOKUP(M1717,CAC!$A$2:$B$198,2,FALSE)</f>
        <v>DOIIFP</v>
      </c>
    </row>
    <row r="1718" spans="5:14" x14ac:dyDescent="0.25">
      <c r="E1718" s="83">
        <v>201610</v>
      </c>
      <c r="F1718" s="82" t="s">
        <v>345</v>
      </c>
      <c r="G1718" s="82" t="s">
        <v>359</v>
      </c>
      <c r="H1718" s="82" t="s">
        <v>344</v>
      </c>
      <c r="I1718" s="95">
        <v>4067.94</v>
      </c>
      <c r="K1718" s="105" t="str">
        <f t="shared" si="61"/>
        <v>0011-1005-0012</v>
      </c>
      <c r="L1718" s="105" t="str">
        <f>VLOOKUP(K1718,COA!$A$3:$B$337,2,FALSE)</f>
        <v>N11</v>
      </c>
      <c r="M1718" s="105" t="str">
        <f t="shared" si="62"/>
        <v>N11</v>
      </c>
      <c r="N1718" s="105" t="str">
        <f>VLOOKUP(M1718,CAC!$A$2:$B$198,2,FALSE)</f>
        <v>HMOLG</v>
      </c>
    </row>
    <row r="1719" spans="5:14" x14ac:dyDescent="0.25">
      <c r="E1719" s="83">
        <v>201702</v>
      </c>
      <c r="F1719" s="82" t="s">
        <v>563</v>
      </c>
      <c r="G1719" s="82" t="s">
        <v>354</v>
      </c>
      <c r="H1719" s="82" t="s">
        <v>360</v>
      </c>
      <c r="I1719" s="95">
        <v>0</v>
      </c>
      <c r="K1719" s="105" t="str">
        <f t="shared" si="61"/>
        <v>0003-1013-0048</v>
      </c>
      <c r="L1719" s="105" t="str">
        <f>VLOOKUP(K1719,COA!$A$3:$B$337,2,FALSE)</f>
        <v>N56</v>
      </c>
      <c r="M1719" s="105" t="str">
        <f t="shared" si="62"/>
        <v>N56</v>
      </c>
      <c r="N1719" s="105" t="str">
        <f>VLOOKUP(M1719,CAC!$A$2:$B$198,2,FALSE)</f>
        <v>HMFLEX</v>
      </c>
    </row>
    <row r="1720" spans="5:14" x14ac:dyDescent="0.25">
      <c r="E1720" s="83">
        <v>201603</v>
      </c>
      <c r="F1720" s="82" t="s">
        <v>506</v>
      </c>
      <c r="G1720" s="82" t="s">
        <v>359</v>
      </c>
      <c r="H1720" s="82" t="s">
        <v>592</v>
      </c>
      <c r="I1720" s="95">
        <v>0</v>
      </c>
      <c r="K1720" s="105" t="str">
        <f t="shared" si="61"/>
        <v>0013-1005-0035</v>
      </c>
      <c r="L1720" s="105" t="str">
        <f>VLOOKUP(K1720,COA!$A$3:$B$337,2,FALSE)</f>
        <v>N41</v>
      </c>
      <c r="M1720" s="105" t="str">
        <f t="shared" si="62"/>
        <v>N41</v>
      </c>
      <c r="N1720" s="105" t="e">
        <f>VLOOKUP(M1720,CAC!$A$2:$B$198,2,FALSE)</f>
        <v>#N/A</v>
      </c>
    </row>
    <row r="1721" spans="5:14" x14ac:dyDescent="0.25">
      <c r="E1721" s="83">
        <v>201701</v>
      </c>
      <c r="F1721" s="82" t="s">
        <v>563</v>
      </c>
      <c r="G1721" s="82" t="s">
        <v>365</v>
      </c>
      <c r="H1721" s="82" t="s">
        <v>798</v>
      </c>
      <c r="I1721" s="95">
        <v>0</v>
      </c>
      <c r="K1721" s="105" t="str">
        <f t="shared" si="61"/>
        <v>0003-1001-0065</v>
      </c>
      <c r="L1721" s="105" t="str">
        <f>VLOOKUP(K1721,COA!$A$3:$B$337,2,FALSE)</f>
        <v>V55</v>
      </c>
      <c r="M1721" s="105" t="str">
        <f t="shared" si="62"/>
        <v>V55</v>
      </c>
      <c r="N1721" s="105" t="e">
        <f>VLOOKUP(M1721,CAC!$A$2:$B$198,2,FALSE)</f>
        <v>#N/A</v>
      </c>
    </row>
    <row r="1722" spans="5:14" x14ac:dyDescent="0.25">
      <c r="E1722" s="83">
        <v>201612</v>
      </c>
      <c r="F1722" s="82" t="s">
        <v>506</v>
      </c>
      <c r="G1722" s="82" t="s">
        <v>354</v>
      </c>
      <c r="H1722" s="82" t="s">
        <v>592</v>
      </c>
      <c r="I1722" s="95">
        <v>0</v>
      </c>
      <c r="K1722" s="105" t="str">
        <f t="shared" si="61"/>
        <v>0013-1013-0035</v>
      </c>
      <c r="L1722" s="105" t="str">
        <f>VLOOKUP(K1722,COA!$A$3:$B$337,2,FALSE)</f>
        <v>N44</v>
      </c>
      <c r="M1722" s="105" t="str">
        <f t="shared" si="62"/>
        <v>N44</v>
      </c>
      <c r="N1722" s="105" t="e">
        <f>VLOOKUP(M1722,CAC!$A$2:$B$198,2,FALSE)</f>
        <v>#N/A</v>
      </c>
    </row>
    <row r="1723" spans="5:14" x14ac:dyDescent="0.25">
      <c r="E1723" s="83">
        <v>201708</v>
      </c>
      <c r="F1723" s="82" t="s">
        <v>345</v>
      </c>
      <c r="G1723" s="82" t="s">
        <v>350</v>
      </c>
      <c r="H1723" s="82" t="s">
        <v>344</v>
      </c>
      <c r="I1723" s="95">
        <v>17525.47</v>
      </c>
      <c r="K1723" s="105" t="str">
        <f t="shared" si="61"/>
        <v>0011-1012-0012</v>
      </c>
      <c r="L1723" s="105" t="str">
        <f>VLOOKUP(K1723,COA!$A$3:$B$337,2,FALSE)</f>
        <v>K11</v>
      </c>
      <c r="M1723" s="105" t="str">
        <f t="shared" si="62"/>
        <v>K11</v>
      </c>
      <c r="N1723" s="105" t="str">
        <f>VLOOKUP(M1723,CAC!$A$2:$B$198,2,FALSE)</f>
        <v>HMOPMR</v>
      </c>
    </row>
    <row r="1724" spans="5:14" x14ac:dyDescent="0.25">
      <c r="E1724" s="83">
        <v>201708</v>
      </c>
      <c r="F1724" s="82" t="s">
        <v>345</v>
      </c>
      <c r="G1724" s="82" t="s">
        <v>354</v>
      </c>
      <c r="H1724" s="82" t="s">
        <v>360</v>
      </c>
      <c r="I1724" s="95">
        <v>5113.55</v>
      </c>
      <c r="K1724" s="105" t="str">
        <f t="shared" si="61"/>
        <v>0011-1013-0048</v>
      </c>
      <c r="L1724" s="105" t="str">
        <f>VLOOKUP(K1724,COA!$A$3:$B$337,2,FALSE)</f>
        <v>N21</v>
      </c>
      <c r="M1724" s="105" t="str">
        <f t="shared" si="62"/>
        <v>N21</v>
      </c>
      <c r="N1724" s="105" t="str">
        <f>VLOOKUP(M1724,CAC!$A$2:$B$198,2,FALSE)</f>
        <v>HMFLEX</v>
      </c>
    </row>
    <row r="1725" spans="5:14" x14ac:dyDescent="0.25">
      <c r="E1725" s="83">
        <v>201509</v>
      </c>
      <c r="F1725" s="82" t="s">
        <v>506</v>
      </c>
      <c r="G1725" s="82" t="s">
        <v>359</v>
      </c>
      <c r="H1725" s="82" t="s">
        <v>592</v>
      </c>
      <c r="I1725" s="95">
        <v>0</v>
      </c>
      <c r="K1725" s="105" t="str">
        <f t="shared" si="61"/>
        <v>0013-1005-0035</v>
      </c>
      <c r="L1725" s="105" t="str">
        <f>VLOOKUP(K1725,COA!$A$3:$B$337,2,FALSE)</f>
        <v>N41</v>
      </c>
      <c r="M1725" s="105" t="str">
        <f t="shared" si="62"/>
        <v>N41</v>
      </c>
      <c r="N1725" s="105" t="e">
        <f>VLOOKUP(M1725,CAC!$A$2:$B$198,2,FALSE)</f>
        <v>#N/A</v>
      </c>
    </row>
    <row r="1726" spans="5:14" x14ac:dyDescent="0.25">
      <c r="E1726" s="83">
        <v>201512</v>
      </c>
      <c r="F1726" s="82" t="s">
        <v>345</v>
      </c>
      <c r="G1726" s="82" t="s">
        <v>362</v>
      </c>
      <c r="H1726" s="82" t="s">
        <v>370</v>
      </c>
      <c r="I1726" s="95">
        <v>2390</v>
      </c>
      <c r="K1726" s="105" t="str">
        <f t="shared" si="61"/>
        <v>0011-1008-0055</v>
      </c>
      <c r="L1726" s="105" t="str">
        <f>VLOOKUP(K1726,COA!$A$3:$B$337,2,FALSE)</f>
        <v>P28</v>
      </c>
      <c r="M1726" s="105" t="str">
        <f t="shared" si="62"/>
        <v>P28</v>
      </c>
      <c r="N1726" s="105" t="str">
        <f>VLOOKUP(M1726,CAC!$A$2:$B$198,2,FALSE)</f>
        <v>PERMEDN</v>
      </c>
    </row>
    <row r="1727" spans="5:14" x14ac:dyDescent="0.25">
      <c r="E1727" s="83">
        <v>201712</v>
      </c>
      <c r="F1727" s="82" t="s">
        <v>413</v>
      </c>
      <c r="G1727" s="82" t="s">
        <v>359</v>
      </c>
      <c r="H1727" s="82" t="s">
        <v>344</v>
      </c>
      <c r="I1727" s="95">
        <v>0</v>
      </c>
      <c r="K1727" s="105" t="str">
        <f t="shared" si="61"/>
        <v>0008-1005-0012</v>
      </c>
      <c r="L1727" s="105" t="str">
        <f>VLOOKUP(K1727,COA!$A$3:$B$337,2,FALSE)</f>
        <v>C73</v>
      </c>
      <c r="M1727" s="105" t="str">
        <f t="shared" si="62"/>
        <v>C73</v>
      </c>
      <c r="N1727" s="105" t="str">
        <f>VLOOKUP(M1727,CAC!$A$2:$B$198,2,FALSE)</f>
        <v>DOILG</v>
      </c>
    </row>
    <row r="1728" spans="5:14" x14ac:dyDescent="0.25">
      <c r="E1728" s="83">
        <v>201609</v>
      </c>
      <c r="F1728" s="82" t="s">
        <v>563</v>
      </c>
      <c r="G1728" s="82" t="s">
        <v>359</v>
      </c>
      <c r="H1728" s="82" t="s">
        <v>344</v>
      </c>
      <c r="I1728" s="95">
        <v>0</v>
      </c>
      <c r="K1728" s="105" t="str">
        <f t="shared" si="61"/>
        <v>0003-1005-0012</v>
      </c>
      <c r="L1728" s="105" t="str">
        <f>VLOOKUP(K1728,COA!$A$3:$B$337,2,FALSE)</f>
        <v>N51</v>
      </c>
      <c r="M1728" s="105" t="str">
        <f t="shared" si="62"/>
        <v>N51</v>
      </c>
      <c r="N1728" s="105" t="str">
        <f>VLOOKUP(M1728,CAC!$A$2:$B$198,2,FALSE)</f>
        <v>PPOLG</v>
      </c>
    </row>
    <row r="1729" spans="5:14" x14ac:dyDescent="0.25">
      <c r="E1729" s="83">
        <v>201705</v>
      </c>
      <c r="F1729" s="82" t="s">
        <v>345</v>
      </c>
      <c r="G1729" s="82" t="s">
        <v>348</v>
      </c>
      <c r="H1729" s="82" t="s">
        <v>349</v>
      </c>
      <c r="I1729" s="95">
        <v>26376.26</v>
      </c>
      <c r="K1729" s="105" t="str">
        <f t="shared" si="61"/>
        <v>0011-1010-0017</v>
      </c>
      <c r="L1729" s="105" t="str">
        <f>VLOOKUP(K1729,COA!$A$3:$B$337,2,FALSE)</f>
        <v>S11</v>
      </c>
      <c r="M1729" s="105" t="str">
        <f t="shared" si="62"/>
        <v>S11</v>
      </c>
      <c r="N1729" s="105" t="str">
        <f>VLOOKUP(M1729,CAC!$A$2:$B$198,2,FALSE)</f>
        <v>HMOSG</v>
      </c>
    </row>
    <row r="1730" spans="5:14" x14ac:dyDescent="0.25">
      <c r="E1730" s="83">
        <v>201702</v>
      </c>
      <c r="F1730" s="82" t="s">
        <v>345</v>
      </c>
      <c r="G1730" s="82" t="s">
        <v>346</v>
      </c>
      <c r="H1730" s="82" t="s">
        <v>360</v>
      </c>
      <c r="I1730" s="95">
        <v>336</v>
      </c>
      <c r="K1730" s="105" t="str">
        <f t="shared" si="61"/>
        <v>0011-1014-0048</v>
      </c>
      <c r="L1730" s="105" t="str">
        <f>VLOOKUP(K1730,COA!$A$3:$B$337,2,FALSE)</f>
        <v>K23</v>
      </c>
      <c r="M1730" s="105" t="str">
        <f t="shared" si="62"/>
        <v>K23</v>
      </c>
      <c r="N1730" s="105" t="str">
        <f>VLOOKUP(M1730,CAC!$A$2:$B$198,2,FALSE)</f>
        <v>HMFLEX</v>
      </c>
    </row>
    <row r="1731" spans="5:14" x14ac:dyDescent="0.25">
      <c r="E1731" s="83">
        <v>201704</v>
      </c>
      <c r="F1731" s="82" t="s">
        <v>344</v>
      </c>
      <c r="G1731" s="82" t="s">
        <v>352</v>
      </c>
      <c r="H1731" s="82" t="s">
        <v>344</v>
      </c>
      <c r="I1731" s="95">
        <v>907</v>
      </c>
      <c r="K1731" s="105" t="str">
        <f t="shared" si="61"/>
        <v>0012-1004-0012</v>
      </c>
      <c r="L1731" s="105" t="str">
        <f>VLOOKUP(K1731,COA!$A$3:$B$337,2,FALSE)</f>
        <v>L12</v>
      </c>
      <c r="M1731" s="105" t="str">
        <f t="shared" si="62"/>
        <v>L12</v>
      </c>
      <c r="N1731" s="105" t="str">
        <f>VLOOKUP(M1731,CAC!$A$2:$B$198,2,FALSE)</f>
        <v>HMOLG</v>
      </c>
    </row>
    <row r="1732" spans="5:14" x14ac:dyDescent="0.25">
      <c r="E1732" s="83">
        <v>201706</v>
      </c>
      <c r="F1732" s="82" t="s">
        <v>563</v>
      </c>
      <c r="G1732" s="82" t="s">
        <v>350</v>
      </c>
      <c r="H1732" s="82" t="s">
        <v>626</v>
      </c>
      <c r="I1732" s="95">
        <v>0</v>
      </c>
      <c r="K1732" s="105" t="str">
        <f t="shared" ref="K1732:K1795" si="63">F1732&amp;"-"&amp;G1732&amp;"-"&amp;H1732</f>
        <v>0003-1012-0057</v>
      </c>
      <c r="L1732" s="105" t="str">
        <f>VLOOKUP(K1732,COA!$A$3:$B$337,2,FALSE)</f>
        <v>K51</v>
      </c>
      <c r="M1732" s="105" t="str">
        <f t="shared" ref="M1732:M1795" si="64">IF(ISNA(L1732),"XXX",L1732)</f>
        <v>K51</v>
      </c>
      <c r="N1732" s="105" t="str">
        <f>VLOOKUP(M1732,CAC!$A$2:$B$198,2,FALSE)</f>
        <v>PPOPMR</v>
      </c>
    </row>
    <row r="1733" spans="5:14" x14ac:dyDescent="0.25">
      <c r="E1733" s="83">
        <v>201605</v>
      </c>
      <c r="F1733" s="82" t="s">
        <v>552</v>
      </c>
      <c r="G1733" s="82" t="s">
        <v>356</v>
      </c>
      <c r="H1733" s="82" t="s">
        <v>672</v>
      </c>
      <c r="I1733" s="95">
        <v>0</v>
      </c>
      <c r="K1733" s="105" t="str">
        <f t="shared" si="63"/>
        <v>0027-1002-0058</v>
      </c>
      <c r="L1733" s="105" t="str">
        <f>VLOOKUP(K1733,COA!$A$3:$B$337,2,FALSE)</f>
        <v>L45</v>
      </c>
      <c r="M1733" s="105" t="str">
        <f t="shared" si="64"/>
        <v>L45</v>
      </c>
      <c r="N1733" s="105" t="e">
        <f>VLOOKUP(M1733,CAC!$A$2:$B$198,2,FALSE)</f>
        <v>#N/A</v>
      </c>
    </row>
    <row r="1734" spans="5:14" x14ac:dyDescent="0.25">
      <c r="E1734" s="83">
        <v>201706</v>
      </c>
      <c r="F1734" s="82" t="s">
        <v>746</v>
      </c>
      <c r="G1734" s="82" t="s">
        <v>356</v>
      </c>
      <c r="H1734" s="82" t="s">
        <v>764</v>
      </c>
      <c r="I1734" s="95">
        <v>637</v>
      </c>
      <c r="K1734" s="105" t="str">
        <f t="shared" si="63"/>
        <v>0016-1002-0064</v>
      </c>
      <c r="L1734" s="105" t="str">
        <f>VLOOKUP(K1734,COA!$A$3:$B$337,2,FALSE)</f>
        <v>R25</v>
      </c>
      <c r="M1734" s="105" t="str">
        <f t="shared" si="64"/>
        <v>R25</v>
      </c>
      <c r="N1734" s="105" t="str">
        <f>VLOOKUP(M1734,CAC!$A$2:$B$198,2,FALSE)</f>
        <v>HMOMG</v>
      </c>
    </row>
    <row r="1735" spans="5:14" x14ac:dyDescent="0.25">
      <c r="E1735" s="83">
        <v>201706</v>
      </c>
      <c r="F1735" s="82" t="s">
        <v>746</v>
      </c>
      <c r="G1735" s="82" t="s">
        <v>356</v>
      </c>
      <c r="H1735" s="82" t="s">
        <v>344</v>
      </c>
      <c r="I1735" s="95">
        <v>137</v>
      </c>
      <c r="K1735" s="105" t="str">
        <f t="shared" si="63"/>
        <v>0016-1002-0012</v>
      </c>
      <c r="L1735" s="105" t="str">
        <f>VLOOKUP(K1735,COA!$A$3:$B$337,2,FALSE)</f>
        <v>R18</v>
      </c>
      <c r="M1735" s="105" t="str">
        <f t="shared" si="64"/>
        <v>R18</v>
      </c>
      <c r="N1735" s="105" t="str">
        <f>VLOOKUP(M1735,CAC!$A$2:$B$198,2,FALSE)</f>
        <v>HMOMG</v>
      </c>
    </row>
    <row r="1736" spans="5:14" x14ac:dyDescent="0.25">
      <c r="E1736" s="83">
        <v>201608</v>
      </c>
      <c r="F1736" s="82" t="s">
        <v>345</v>
      </c>
      <c r="G1736" s="82" t="s">
        <v>351</v>
      </c>
      <c r="H1736" s="82" t="s">
        <v>349</v>
      </c>
      <c r="I1736" s="95">
        <v>0</v>
      </c>
      <c r="K1736" s="105" t="str">
        <f t="shared" si="63"/>
        <v>0011-0000-0017</v>
      </c>
      <c r="L1736" s="105" t="e">
        <f>VLOOKUP(K1736,COA!$A$3:$B$337,2,FALSE)</f>
        <v>#N/A</v>
      </c>
      <c r="M1736" s="105" t="str">
        <f t="shared" si="64"/>
        <v>XXX</v>
      </c>
      <c r="N1736" s="105" t="str">
        <f>VLOOKUP(M1736,CAC!$A$2:$B$198,2,FALSE)</f>
        <v>XXX</v>
      </c>
    </row>
    <row r="1737" spans="5:14" x14ac:dyDescent="0.25">
      <c r="E1737" s="83">
        <v>201712</v>
      </c>
      <c r="F1737" s="82" t="s">
        <v>506</v>
      </c>
      <c r="G1737" s="82" t="s">
        <v>354</v>
      </c>
      <c r="H1737" s="82" t="s">
        <v>592</v>
      </c>
      <c r="I1737" s="95">
        <v>0</v>
      </c>
      <c r="K1737" s="105" t="str">
        <f t="shared" si="63"/>
        <v>0013-1013-0035</v>
      </c>
      <c r="L1737" s="105" t="str">
        <f>VLOOKUP(K1737,COA!$A$3:$B$337,2,FALSE)</f>
        <v>N44</v>
      </c>
      <c r="M1737" s="105" t="str">
        <f t="shared" si="64"/>
        <v>N44</v>
      </c>
      <c r="N1737" s="105" t="e">
        <f>VLOOKUP(M1737,CAC!$A$2:$B$198,2,FALSE)</f>
        <v>#N/A</v>
      </c>
    </row>
    <row r="1738" spans="5:14" x14ac:dyDescent="0.25">
      <c r="E1738" s="83">
        <v>201602</v>
      </c>
      <c r="F1738" s="82" t="s">
        <v>563</v>
      </c>
      <c r="G1738" s="82" t="s">
        <v>354</v>
      </c>
      <c r="H1738" s="82" t="s">
        <v>653</v>
      </c>
      <c r="I1738" s="95">
        <v>0</v>
      </c>
      <c r="K1738" s="105" t="str">
        <f t="shared" si="63"/>
        <v>0003-1013-0047</v>
      </c>
      <c r="L1738" s="105" t="str">
        <f>VLOOKUP(K1738,COA!$A$3:$B$337,2,FALSE)</f>
        <v>N57</v>
      </c>
      <c r="M1738" s="105" t="str">
        <f t="shared" si="64"/>
        <v>N57</v>
      </c>
      <c r="N1738" s="105" t="str">
        <f>VLOOKUP(M1738,CAC!$A$2:$B$198,2,FALSE)</f>
        <v>PPOPMR</v>
      </c>
    </row>
    <row r="1739" spans="5:14" x14ac:dyDescent="0.25">
      <c r="E1739" s="83">
        <v>201609</v>
      </c>
      <c r="F1739" s="82" t="s">
        <v>345</v>
      </c>
      <c r="G1739" s="82" t="s">
        <v>354</v>
      </c>
      <c r="H1739" s="82" t="s">
        <v>344</v>
      </c>
      <c r="I1739" s="95">
        <v>6816.35</v>
      </c>
      <c r="K1739" s="105" t="str">
        <f t="shared" si="63"/>
        <v>0011-1013-0012</v>
      </c>
      <c r="L1739" s="105" t="str">
        <f>VLOOKUP(K1739,COA!$A$3:$B$337,2,FALSE)</f>
        <v>N20</v>
      </c>
      <c r="M1739" s="105" t="str">
        <f t="shared" si="64"/>
        <v>N20</v>
      </c>
      <c r="N1739" s="105" t="str">
        <f>VLOOKUP(M1739,CAC!$A$2:$B$198,2,FALSE)</f>
        <v>HMOPMR</v>
      </c>
    </row>
    <row r="1740" spans="5:14" x14ac:dyDescent="0.25">
      <c r="E1740" s="83">
        <v>201605</v>
      </c>
      <c r="F1740" s="82" t="s">
        <v>413</v>
      </c>
      <c r="G1740" s="82" t="s">
        <v>359</v>
      </c>
      <c r="H1740" s="82" t="s">
        <v>344</v>
      </c>
      <c r="I1740" s="95">
        <v>0</v>
      </c>
      <c r="K1740" s="105" t="str">
        <f t="shared" si="63"/>
        <v>0008-1005-0012</v>
      </c>
      <c r="L1740" s="105" t="str">
        <f>VLOOKUP(K1740,COA!$A$3:$B$337,2,FALSE)</f>
        <v>C73</v>
      </c>
      <c r="M1740" s="105" t="str">
        <f t="shared" si="64"/>
        <v>C73</v>
      </c>
      <c r="N1740" s="105" t="str">
        <f>VLOOKUP(M1740,CAC!$A$2:$B$198,2,FALSE)</f>
        <v>DOILG</v>
      </c>
    </row>
    <row r="1741" spans="5:14" x14ac:dyDescent="0.25">
      <c r="E1741" s="83">
        <v>201601</v>
      </c>
      <c r="F1741" s="82" t="s">
        <v>344</v>
      </c>
      <c r="G1741" s="82" t="s">
        <v>359</v>
      </c>
      <c r="H1741" s="82" t="s">
        <v>344</v>
      </c>
      <c r="I1741" s="95">
        <v>129</v>
      </c>
      <c r="K1741" s="105" t="str">
        <f t="shared" si="63"/>
        <v>0012-1005-0012</v>
      </c>
      <c r="L1741" s="105" t="str">
        <f>VLOOKUP(K1741,COA!$A$3:$B$337,2,FALSE)</f>
        <v>N13</v>
      </c>
      <c r="M1741" s="105" t="str">
        <f t="shared" si="64"/>
        <v>N13</v>
      </c>
      <c r="N1741" s="105" t="str">
        <f>VLOOKUP(M1741,CAC!$A$2:$B$198,2,FALSE)</f>
        <v>HMOLG</v>
      </c>
    </row>
    <row r="1742" spans="5:14" x14ac:dyDescent="0.25">
      <c r="E1742" s="83">
        <v>201609</v>
      </c>
      <c r="F1742" s="82" t="s">
        <v>563</v>
      </c>
      <c r="G1742" s="82" t="s">
        <v>354</v>
      </c>
      <c r="H1742" s="82" t="s">
        <v>344</v>
      </c>
      <c r="I1742" s="95">
        <v>0</v>
      </c>
      <c r="K1742" s="105" t="str">
        <f t="shared" si="63"/>
        <v>0003-1013-0012</v>
      </c>
      <c r="L1742" s="105" t="str">
        <f>VLOOKUP(K1742,COA!$A$3:$B$337,2,FALSE)</f>
        <v>N55</v>
      </c>
      <c r="M1742" s="105" t="str">
        <f t="shared" si="64"/>
        <v>N55</v>
      </c>
      <c r="N1742" s="105" t="str">
        <f>VLOOKUP(M1742,CAC!$A$2:$B$198,2,FALSE)</f>
        <v>PPOPMR</v>
      </c>
    </row>
    <row r="1743" spans="5:14" x14ac:dyDescent="0.25">
      <c r="E1743" s="83">
        <v>201709</v>
      </c>
      <c r="F1743" s="82" t="s">
        <v>405</v>
      </c>
      <c r="G1743" s="82" t="s">
        <v>362</v>
      </c>
      <c r="H1743" s="82" t="s">
        <v>342</v>
      </c>
      <c r="I1743" s="95">
        <v>0</v>
      </c>
      <c r="K1743" s="105" t="str">
        <f t="shared" si="63"/>
        <v>0019-1008-0031</v>
      </c>
      <c r="L1743" s="105" t="str">
        <f>VLOOKUP(K1743,COA!$A$3:$B$337,2,FALSE)</f>
        <v>P53</v>
      </c>
      <c r="M1743" s="105" t="str">
        <f t="shared" si="64"/>
        <v>P53</v>
      </c>
      <c r="N1743" s="105" t="str">
        <f>VLOOKUP(M1743,CAC!$A$2:$B$198,2,FALSE)</f>
        <v>HMOPERA</v>
      </c>
    </row>
    <row r="1744" spans="5:14" x14ac:dyDescent="0.25">
      <c r="E1744" s="83">
        <v>201710</v>
      </c>
      <c r="F1744" s="82" t="s">
        <v>345</v>
      </c>
      <c r="G1744" s="82" t="s">
        <v>365</v>
      </c>
      <c r="H1744" s="82" t="s">
        <v>367</v>
      </c>
      <c r="I1744" s="95">
        <v>827.26</v>
      </c>
      <c r="K1744" s="105" t="str">
        <f t="shared" si="63"/>
        <v>0011-1001-0022</v>
      </c>
      <c r="L1744" s="105" t="str">
        <f>VLOOKUP(K1744,COA!$A$3:$B$337,2,FALSE)</f>
        <v>V14</v>
      </c>
      <c r="M1744" s="105" t="str">
        <f t="shared" si="64"/>
        <v>V14</v>
      </c>
      <c r="N1744" s="105" t="str">
        <f>VLOOKUP(M1744,CAC!$A$2:$B$198,2,FALSE)</f>
        <v>HMOIFP</v>
      </c>
    </row>
    <row r="1745" spans="5:14" x14ac:dyDescent="0.25">
      <c r="E1745" s="83">
        <v>201701</v>
      </c>
      <c r="F1745" s="82" t="s">
        <v>746</v>
      </c>
      <c r="G1745" s="82" t="s">
        <v>356</v>
      </c>
      <c r="H1745" s="82" t="s">
        <v>764</v>
      </c>
      <c r="I1745" s="95">
        <v>632</v>
      </c>
      <c r="K1745" s="105" t="str">
        <f t="shared" si="63"/>
        <v>0016-1002-0064</v>
      </c>
      <c r="L1745" s="105" t="str">
        <f>VLOOKUP(K1745,COA!$A$3:$B$337,2,FALSE)</f>
        <v>R25</v>
      </c>
      <c r="M1745" s="105" t="str">
        <f t="shared" si="64"/>
        <v>R25</v>
      </c>
      <c r="N1745" s="105" t="str">
        <f>VLOOKUP(M1745,CAC!$A$2:$B$198,2,FALSE)</f>
        <v>HMOMG</v>
      </c>
    </row>
    <row r="1746" spans="5:14" x14ac:dyDescent="0.25">
      <c r="E1746" s="83">
        <v>201601</v>
      </c>
      <c r="F1746" s="82" t="s">
        <v>563</v>
      </c>
      <c r="G1746" s="82" t="s">
        <v>351</v>
      </c>
      <c r="H1746" s="82" t="s">
        <v>349</v>
      </c>
      <c r="I1746" s="95">
        <v>0</v>
      </c>
      <c r="K1746" s="105" t="str">
        <f t="shared" si="63"/>
        <v>0003-0000-0017</v>
      </c>
      <c r="L1746" s="105" t="e">
        <f>VLOOKUP(K1746,COA!$A$3:$B$337,2,FALSE)</f>
        <v>#N/A</v>
      </c>
      <c r="M1746" s="105" t="str">
        <f t="shared" si="64"/>
        <v>XXX</v>
      </c>
      <c r="N1746" s="105" t="str">
        <f>VLOOKUP(M1746,CAC!$A$2:$B$198,2,FALSE)</f>
        <v>XXX</v>
      </c>
    </row>
    <row r="1747" spans="5:14" x14ac:dyDescent="0.25">
      <c r="E1747" s="83">
        <v>201608</v>
      </c>
      <c r="F1747" s="82" t="s">
        <v>345</v>
      </c>
      <c r="G1747" s="82" t="s">
        <v>348</v>
      </c>
      <c r="H1747" s="82" t="s">
        <v>353</v>
      </c>
      <c r="I1747" s="95">
        <v>326</v>
      </c>
      <c r="K1747" s="105" t="str">
        <f t="shared" si="63"/>
        <v>0011-1010-0023</v>
      </c>
      <c r="L1747" s="105" t="str">
        <f>VLOOKUP(K1747,COA!$A$3:$B$337,2,FALSE)</f>
        <v>S13</v>
      </c>
      <c r="M1747" s="105" t="str">
        <f t="shared" si="64"/>
        <v>S13</v>
      </c>
      <c r="N1747" s="105" t="str">
        <f>VLOOKUP(M1747,CAC!$A$2:$B$198,2,FALSE)</f>
        <v>HMOSG</v>
      </c>
    </row>
    <row r="1748" spans="5:14" x14ac:dyDescent="0.25">
      <c r="E1748" s="83">
        <v>201602</v>
      </c>
      <c r="F1748" s="82" t="s">
        <v>549</v>
      </c>
      <c r="G1748" s="82" t="s">
        <v>356</v>
      </c>
      <c r="H1748" s="82" t="s">
        <v>672</v>
      </c>
      <c r="I1748" s="95">
        <v>0</v>
      </c>
      <c r="K1748" s="105" t="str">
        <f t="shared" si="63"/>
        <v>0026-1002-0058</v>
      </c>
      <c r="L1748" s="105" t="str">
        <f>VLOOKUP(K1748,COA!$A$3:$B$337,2,FALSE)</f>
        <v>L45</v>
      </c>
      <c r="M1748" s="105" t="str">
        <f t="shared" si="64"/>
        <v>L45</v>
      </c>
      <c r="N1748" s="105" t="e">
        <f>VLOOKUP(M1748,CAC!$A$2:$B$198,2,FALSE)</f>
        <v>#N/A</v>
      </c>
    </row>
    <row r="1749" spans="5:14" x14ac:dyDescent="0.25">
      <c r="E1749" s="83">
        <v>201709</v>
      </c>
      <c r="F1749" s="82" t="s">
        <v>563</v>
      </c>
      <c r="G1749" s="82" t="s">
        <v>348</v>
      </c>
      <c r="H1749" s="82" t="s">
        <v>353</v>
      </c>
      <c r="I1749" s="95">
        <v>0</v>
      </c>
      <c r="K1749" s="105" t="str">
        <f t="shared" si="63"/>
        <v>0003-1010-0023</v>
      </c>
      <c r="L1749" s="105" t="str">
        <f>VLOOKUP(K1749,COA!$A$3:$B$337,2,FALSE)</f>
        <v>S54</v>
      </c>
      <c r="M1749" s="105" t="str">
        <f t="shared" si="64"/>
        <v>S54</v>
      </c>
      <c r="N1749" s="105" t="str">
        <f>VLOOKUP(M1749,CAC!$A$2:$B$198,2,FALSE)</f>
        <v>PPOSG</v>
      </c>
    </row>
    <row r="1750" spans="5:14" x14ac:dyDescent="0.25">
      <c r="E1750" s="83">
        <v>201610</v>
      </c>
      <c r="F1750" s="82" t="s">
        <v>342</v>
      </c>
      <c r="G1750" s="82" t="s">
        <v>343</v>
      </c>
      <c r="H1750" s="82" t="s">
        <v>344</v>
      </c>
      <c r="I1750" s="95">
        <v>5997.27</v>
      </c>
      <c r="K1750" s="105" t="str">
        <f t="shared" si="63"/>
        <v>0031-1000-0012</v>
      </c>
      <c r="L1750" s="105" t="str">
        <f>VLOOKUP(K1750,COA!$A$3:$B$337,2,FALSE)</f>
        <v>F27</v>
      </c>
      <c r="M1750" s="105" t="str">
        <f t="shared" si="64"/>
        <v>F27</v>
      </c>
      <c r="N1750" s="105" t="str">
        <f>VLOOKUP(M1750,CAC!$A$2:$B$198,2,FALSE)</f>
        <v>HMOFEP</v>
      </c>
    </row>
    <row r="1751" spans="5:14" x14ac:dyDescent="0.25">
      <c r="E1751" s="83">
        <v>201707</v>
      </c>
      <c r="F1751" s="82" t="s">
        <v>746</v>
      </c>
      <c r="G1751" s="82" t="s">
        <v>354</v>
      </c>
      <c r="H1751" s="82" t="s">
        <v>344</v>
      </c>
      <c r="I1751" s="95">
        <v>81</v>
      </c>
      <c r="K1751" s="105" t="str">
        <f t="shared" si="63"/>
        <v>0016-1013-0012</v>
      </c>
      <c r="L1751" s="105" t="str">
        <f>VLOOKUP(K1751,COA!$A$3:$B$337,2,FALSE)</f>
        <v>R19</v>
      </c>
      <c r="M1751" s="105" t="str">
        <f t="shared" si="64"/>
        <v>R19</v>
      </c>
      <c r="N1751" s="105" t="str">
        <f>VLOOKUP(M1751,CAC!$A$2:$B$198,2,FALSE)</f>
        <v>HMOMG</v>
      </c>
    </row>
    <row r="1752" spans="5:14" x14ac:dyDescent="0.25">
      <c r="E1752" s="83">
        <v>201703</v>
      </c>
      <c r="F1752" s="82" t="s">
        <v>746</v>
      </c>
      <c r="G1752" s="82" t="s">
        <v>350</v>
      </c>
      <c r="H1752" s="82" t="s">
        <v>344</v>
      </c>
      <c r="I1752" s="95">
        <v>27</v>
      </c>
      <c r="K1752" s="105" t="str">
        <f t="shared" si="63"/>
        <v>0016-1012-0012</v>
      </c>
      <c r="L1752" s="105" t="str">
        <f>VLOOKUP(K1752,COA!$A$3:$B$337,2,FALSE)</f>
        <v>R19</v>
      </c>
      <c r="M1752" s="105" t="str">
        <f t="shared" si="64"/>
        <v>R19</v>
      </c>
      <c r="N1752" s="105" t="str">
        <f>VLOOKUP(M1752,CAC!$A$2:$B$198,2,FALSE)</f>
        <v>HMOMG</v>
      </c>
    </row>
    <row r="1753" spans="5:14" x14ac:dyDescent="0.25">
      <c r="E1753" s="83">
        <v>201502</v>
      </c>
      <c r="F1753" s="82" t="s">
        <v>345</v>
      </c>
      <c r="G1753" s="82" t="s">
        <v>348</v>
      </c>
      <c r="H1753" s="82" t="s">
        <v>358</v>
      </c>
      <c r="I1753" s="95">
        <v>47</v>
      </c>
      <c r="K1753" s="105" t="str">
        <f t="shared" si="63"/>
        <v>0011-1010-0024</v>
      </c>
      <c r="L1753" s="105" t="str">
        <f>VLOOKUP(K1753,COA!$A$3:$B$337,2,FALSE)</f>
        <v>S14</v>
      </c>
      <c r="M1753" s="105" t="str">
        <f t="shared" si="64"/>
        <v>S14</v>
      </c>
      <c r="N1753" s="105" t="str">
        <f>VLOOKUP(M1753,CAC!$A$2:$B$198,2,FALSE)</f>
        <v>HMOSG</v>
      </c>
    </row>
    <row r="1754" spans="5:14" x14ac:dyDescent="0.25">
      <c r="E1754" s="83">
        <v>201504</v>
      </c>
      <c r="F1754" s="82" t="s">
        <v>345</v>
      </c>
      <c r="G1754" s="82" t="s">
        <v>346</v>
      </c>
      <c r="H1754" s="82" t="s">
        <v>360</v>
      </c>
      <c r="I1754" s="95">
        <v>407</v>
      </c>
      <c r="K1754" s="105" t="str">
        <f t="shared" si="63"/>
        <v>0011-1014-0048</v>
      </c>
      <c r="L1754" s="105" t="str">
        <f>VLOOKUP(K1754,COA!$A$3:$B$337,2,FALSE)</f>
        <v>K23</v>
      </c>
      <c r="M1754" s="105" t="str">
        <f t="shared" si="64"/>
        <v>K23</v>
      </c>
      <c r="N1754" s="105" t="str">
        <f>VLOOKUP(M1754,CAC!$A$2:$B$198,2,FALSE)</f>
        <v>HMFLEX</v>
      </c>
    </row>
    <row r="1755" spans="5:14" x14ac:dyDescent="0.25">
      <c r="E1755" s="83">
        <v>201505</v>
      </c>
      <c r="F1755" s="82" t="s">
        <v>563</v>
      </c>
      <c r="G1755" s="82" t="s">
        <v>348</v>
      </c>
      <c r="H1755" s="82" t="s">
        <v>349</v>
      </c>
      <c r="I1755" s="95">
        <v>0</v>
      </c>
      <c r="K1755" s="105" t="str">
        <f t="shared" si="63"/>
        <v>0003-1010-0017</v>
      </c>
      <c r="L1755" s="105" t="str">
        <f>VLOOKUP(K1755,COA!$A$3:$B$337,2,FALSE)</f>
        <v>S51</v>
      </c>
      <c r="M1755" s="105" t="str">
        <f t="shared" si="64"/>
        <v>S51</v>
      </c>
      <c r="N1755" s="105" t="str">
        <f>VLOOKUP(M1755,CAC!$A$2:$B$198,2,FALSE)</f>
        <v>PPOSG</v>
      </c>
    </row>
    <row r="1756" spans="5:14" x14ac:dyDescent="0.25">
      <c r="E1756" s="83">
        <v>201511</v>
      </c>
      <c r="F1756" s="82" t="s">
        <v>345</v>
      </c>
      <c r="G1756" s="82" t="s">
        <v>359</v>
      </c>
      <c r="H1756" s="82" t="s">
        <v>344</v>
      </c>
      <c r="I1756" s="95">
        <v>3429.46</v>
      </c>
      <c r="K1756" s="105" t="str">
        <f t="shared" si="63"/>
        <v>0011-1005-0012</v>
      </c>
      <c r="L1756" s="105" t="str">
        <f>VLOOKUP(K1756,COA!$A$3:$B$337,2,FALSE)</f>
        <v>N11</v>
      </c>
      <c r="M1756" s="105" t="str">
        <f t="shared" si="64"/>
        <v>N11</v>
      </c>
      <c r="N1756" s="105" t="str">
        <f>VLOOKUP(M1756,CAC!$A$2:$B$198,2,FALSE)</f>
        <v>HMOLG</v>
      </c>
    </row>
    <row r="1757" spans="5:14" x14ac:dyDescent="0.25">
      <c r="E1757" s="83">
        <v>201702</v>
      </c>
      <c r="F1757" s="82" t="s">
        <v>506</v>
      </c>
      <c r="G1757" s="82" t="s">
        <v>346</v>
      </c>
      <c r="H1757" s="82" t="s">
        <v>592</v>
      </c>
      <c r="I1757" s="95">
        <v>0</v>
      </c>
      <c r="K1757" s="105" t="str">
        <f t="shared" si="63"/>
        <v>0013-1014-0035</v>
      </c>
      <c r="L1757" s="105" t="str">
        <f>VLOOKUP(K1757,COA!$A$3:$B$337,2,FALSE)</f>
        <v>K42</v>
      </c>
      <c r="M1757" s="105" t="str">
        <f t="shared" si="64"/>
        <v>K42</v>
      </c>
      <c r="N1757" s="105" t="str">
        <f>VLOOKUP(M1757,CAC!$A$2:$B$198,2,FALSE)</f>
        <v>HMFLEX</v>
      </c>
    </row>
    <row r="1758" spans="5:14" x14ac:dyDescent="0.25">
      <c r="E1758" s="83">
        <v>201507</v>
      </c>
      <c r="F1758" s="82" t="s">
        <v>563</v>
      </c>
      <c r="G1758" s="82" t="s">
        <v>365</v>
      </c>
      <c r="H1758" s="82" t="s">
        <v>344</v>
      </c>
      <c r="I1758" s="95">
        <v>0</v>
      </c>
      <c r="K1758" s="105" t="str">
        <f t="shared" si="63"/>
        <v>0003-1001-0012</v>
      </c>
      <c r="L1758" s="105" t="str">
        <f>VLOOKUP(K1758,COA!$A$3:$B$337,2,FALSE)</f>
        <v>V51</v>
      </c>
      <c r="M1758" s="105" t="str">
        <f t="shared" si="64"/>
        <v>V51</v>
      </c>
      <c r="N1758" s="105" t="str">
        <f>VLOOKUP(M1758,CAC!$A$2:$B$198,2,FALSE)</f>
        <v>PPOIFP</v>
      </c>
    </row>
    <row r="1759" spans="5:14" x14ac:dyDescent="0.25">
      <c r="E1759" s="83">
        <v>201602</v>
      </c>
      <c r="F1759" s="82" t="s">
        <v>563</v>
      </c>
      <c r="G1759" s="82" t="s">
        <v>361</v>
      </c>
      <c r="H1759" s="82" t="s">
        <v>344</v>
      </c>
      <c r="I1759" s="95">
        <v>0</v>
      </c>
      <c r="K1759" s="105" t="str">
        <f t="shared" si="63"/>
        <v>0003-1003-0012</v>
      </c>
      <c r="L1759" s="105" t="str">
        <f>VLOOKUP(K1759,COA!$A$3:$B$337,2,FALSE)</f>
        <v>N61</v>
      </c>
      <c r="M1759" s="105" t="str">
        <f t="shared" si="64"/>
        <v>N61</v>
      </c>
      <c r="N1759" s="105" t="str">
        <f>VLOOKUP(M1759,CAC!$A$2:$B$198,2,FALSE)</f>
        <v>PPOPMR</v>
      </c>
    </row>
    <row r="1760" spans="5:14" x14ac:dyDescent="0.25">
      <c r="E1760" s="83">
        <v>201801</v>
      </c>
      <c r="F1760" s="82" t="s">
        <v>345</v>
      </c>
      <c r="G1760" s="82" t="s">
        <v>356</v>
      </c>
      <c r="H1760" s="82" t="s">
        <v>344</v>
      </c>
      <c r="I1760" s="95">
        <v>16764.03</v>
      </c>
      <c r="K1760" s="105" t="str">
        <f t="shared" si="63"/>
        <v>0011-1002-0012</v>
      </c>
      <c r="L1760" s="105" t="str">
        <f>VLOOKUP(K1760,COA!$A$3:$B$337,2,FALSE)</f>
        <v>F20</v>
      </c>
      <c r="M1760" s="105" t="str">
        <f t="shared" si="64"/>
        <v>F20</v>
      </c>
      <c r="N1760" s="105" t="str">
        <f>VLOOKUP(M1760,CAC!$A$2:$B$198,2,FALSE)</f>
        <v>HMOPMR</v>
      </c>
    </row>
    <row r="1761" spans="5:14" x14ac:dyDescent="0.25">
      <c r="E1761" s="83">
        <v>201607</v>
      </c>
      <c r="F1761" s="82" t="s">
        <v>345</v>
      </c>
      <c r="G1761" s="82" t="s">
        <v>348</v>
      </c>
      <c r="H1761" s="82" t="s">
        <v>349</v>
      </c>
      <c r="I1761" s="95">
        <v>21746.99</v>
      </c>
      <c r="K1761" s="105" t="str">
        <f t="shared" si="63"/>
        <v>0011-1010-0017</v>
      </c>
      <c r="L1761" s="105" t="str">
        <f>VLOOKUP(K1761,COA!$A$3:$B$337,2,FALSE)</f>
        <v>S11</v>
      </c>
      <c r="M1761" s="105" t="str">
        <f t="shared" si="64"/>
        <v>S11</v>
      </c>
      <c r="N1761" s="105" t="str">
        <f>VLOOKUP(M1761,CAC!$A$2:$B$198,2,FALSE)</f>
        <v>HMOSG</v>
      </c>
    </row>
    <row r="1762" spans="5:14" x14ac:dyDescent="0.25">
      <c r="E1762" s="83">
        <v>201707</v>
      </c>
      <c r="F1762" s="82" t="s">
        <v>563</v>
      </c>
      <c r="G1762" s="82" t="s">
        <v>365</v>
      </c>
      <c r="H1762" s="82" t="s">
        <v>366</v>
      </c>
      <c r="I1762" s="95">
        <v>0</v>
      </c>
      <c r="K1762" s="105" t="str">
        <f t="shared" si="63"/>
        <v>0003-1001-0021</v>
      </c>
      <c r="L1762" s="105" t="str">
        <f>VLOOKUP(K1762,COA!$A$3:$B$337,2,FALSE)</f>
        <v>V53</v>
      </c>
      <c r="M1762" s="105" t="str">
        <f t="shared" si="64"/>
        <v>V53</v>
      </c>
      <c r="N1762" s="105" t="str">
        <f>VLOOKUP(M1762,CAC!$A$2:$B$198,2,FALSE)</f>
        <v>PPOIFP</v>
      </c>
    </row>
    <row r="1763" spans="5:14" x14ac:dyDescent="0.25">
      <c r="E1763" s="83">
        <v>201505</v>
      </c>
      <c r="F1763" s="82" t="s">
        <v>746</v>
      </c>
      <c r="G1763" s="82" t="s">
        <v>362</v>
      </c>
      <c r="H1763" s="82" t="s">
        <v>364</v>
      </c>
      <c r="I1763" s="95">
        <v>5766</v>
      </c>
      <c r="K1763" s="105" t="str">
        <f t="shared" si="63"/>
        <v>0016-1008-0037</v>
      </c>
      <c r="L1763" s="105" t="str">
        <f>VLOOKUP(K1763,COA!$A$3:$B$337,2,FALSE)</f>
        <v>R24</v>
      </c>
      <c r="M1763" s="105" t="str">
        <f t="shared" si="64"/>
        <v>R24</v>
      </c>
      <c r="N1763" s="105" t="str">
        <f>VLOOKUP(M1763,CAC!$A$2:$B$198,2,FALSE)</f>
        <v>PERMAPD</v>
      </c>
    </row>
    <row r="1764" spans="5:14" x14ac:dyDescent="0.25">
      <c r="E1764" s="83">
        <v>201504</v>
      </c>
      <c r="F1764" s="82" t="s">
        <v>563</v>
      </c>
      <c r="G1764" s="82" t="s">
        <v>355</v>
      </c>
      <c r="H1764" s="82" t="s">
        <v>344</v>
      </c>
      <c r="I1764" s="95">
        <v>0</v>
      </c>
      <c r="K1764" s="105" t="str">
        <f t="shared" si="63"/>
        <v>0003-1006-0012</v>
      </c>
      <c r="L1764" s="105" t="str">
        <f>VLOOKUP(K1764,COA!$A$3:$B$337,2,FALSE)</f>
        <v>L52</v>
      </c>
      <c r="M1764" s="105" t="str">
        <f t="shared" si="64"/>
        <v>L52</v>
      </c>
      <c r="N1764" s="105" t="str">
        <f>VLOOKUP(M1764,CAC!$A$2:$B$198,2,FALSE)</f>
        <v>PPOLG</v>
      </c>
    </row>
    <row r="1765" spans="5:14" x14ac:dyDescent="0.25">
      <c r="E1765" s="83">
        <v>201601</v>
      </c>
      <c r="F1765" s="82" t="s">
        <v>349</v>
      </c>
      <c r="G1765" s="82" t="s">
        <v>369</v>
      </c>
      <c r="H1765" s="82" t="s">
        <v>344</v>
      </c>
      <c r="I1765" s="95">
        <v>39165</v>
      </c>
      <c r="K1765" s="105" t="str">
        <f t="shared" si="63"/>
        <v>0017-1009-0012</v>
      </c>
      <c r="L1765" s="105" t="str">
        <f>VLOOKUP(K1765,COA!$A$3:$B$337,2,FALSE)</f>
        <v>R12</v>
      </c>
      <c r="M1765" s="105" t="str">
        <f t="shared" si="64"/>
        <v>R12</v>
      </c>
      <c r="N1765" s="105" t="str">
        <f>VLOOKUP(M1765,CAC!$A$2:$B$198,2,FALSE)</f>
        <v>HMOMM</v>
      </c>
    </row>
    <row r="1766" spans="5:14" x14ac:dyDescent="0.25">
      <c r="E1766" s="83">
        <v>201511</v>
      </c>
      <c r="F1766" s="82" t="s">
        <v>563</v>
      </c>
      <c r="G1766" s="82" t="s">
        <v>354</v>
      </c>
      <c r="H1766" s="82" t="s">
        <v>344</v>
      </c>
      <c r="I1766" s="95">
        <v>0</v>
      </c>
      <c r="K1766" s="105" t="str">
        <f t="shared" si="63"/>
        <v>0003-1013-0012</v>
      </c>
      <c r="L1766" s="105" t="str">
        <f>VLOOKUP(K1766,COA!$A$3:$B$337,2,FALSE)</f>
        <v>N55</v>
      </c>
      <c r="M1766" s="105" t="str">
        <f t="shared" si="64"/>
        <v>N55</v>
      </c>
      <c r="N1766" s="105" t="str">
        <f>VLOOKUP(M1766,CAC!$A$2:$B$198,2,FALSE)</f>
        <v>PPOPMR</v>
      </c>
    </row>
    <row r="1767" spans="5:14" x14ac:dyDescent="0.25">
      <c r="E1767" s="83">
        <v>201601</v>
      </c>
      <c r="F1767" s="82" t="s">
        <v>549</v>
      </c>
      <c r="G1767" s="82" t="s">
        <v>352</v>
      </c>
      <c r="H1767" s="82" t="s">
        <v>672</v>
      </c>
      <c r="I1767" s="95">
        <v>0</v>
      </c>
      <c r="K1767" s="105" t="str">
        <f t="shared" si="63"/>
        <v>0026-1004-0058</v>
      </c>
      <c r="L1767" s="105" t="str">
        <f>VLOOKUP(K1767,COA!$A$3:$B$337,2,FALSE)</f>
        <v>L44</v>
      </c>
      <c r="M1767" s="105" t="str">
        <f t="shared" si="64"/>
        <v>L44</v>
      </c>
      <c r="N1767" s="105" t="e">
        <f>VLOOKUP(M1767,CAC!$A$2:$B$198,2,FALSE)</f>
        <v>#N/A</v>
      </c>
    </row>
    <row r="1768" spans="5:14" x14ac:dyDescent="0.25">
      <c r="E1768" s="83">
        <v>201508</v>
      </c>
      <c r="F1768" s="82" t="s">
        <v>746</v>
      </c>
      <c r="G1768" s="82" t="s">
        <v>356</v>
      </c>
      <c r="H1768" s="82" t="s">
        <v>344</v>
      </c>
      <c r="I1768" s="95">
        <v>120</v>
      </c>
      <c r="K1768" s="105" t="str">
        <f t="shared" si="63"/>
        <v>0016-1002-0012</v>
      </c>
      <c r="L1768" s="105" t="str">
        <f>VLOOKUP(K1768,COA!$A$3:$B$337,2,FALSE)</f>
        <v>R18</v>
      </c>
      <c r="M1768" s="105" t="str">
        <f t="shared" si="64"/>
        <v>R18</v>
      </c>
      <c r="N1768" s="105" t="str">
        <f>VLOOKUP(M1768,CAC!$A$2:$B$198,2,FALSE)</f>
        <v>HMOMG</v>
      </c>
    </row>
    <row r="1769" spans="5:14" x14ac:dyDescent="0.25">
      <c r="E1769" s="83">
        <v>201508</v>
      </c>
      <c r="F1769" s="82" t="s">
        <v>563</v>
      </c>
      <c r="G1769" s="82" t="s">
        <v>348</v>
      </c>
      <c r="H1769" s="82" t="s">
        <v>358</v>
      </c>
      <c r="I1769" s="95">
        <v>0</v>
      </c>
      <c r="K1769" s="105" t="str">
        <f t="shared" si="63"/>
        <v>0003-1010-0024</v>
      </c>
      <c r="L1769" s="105" t="str">
        <f>VLOOKUP(K1769,COA!$A$3:$B$337,2,FALSE)</f>
        <v>S56</v>
      </c>
      <c r="M1769" s="105" t="str">
        <f t="shared" si="64"/>
        <v>S56</v>
      </c>
      <c r="N1769" s="105" t="str">
        <f>VLOOKUP(M1769,CAC!$A$2:$B$198,2,FALSE)</f>
        <v>PPOSG</v>
      </c>
    </row>
    <row r="1770" spans="5:14" x14ac:dyDescent="0.25">
      <c r="E1770" s="83">
        <v>201705</v>
      </c>
      <c r="F1770" s="82" t="s">
        <v>563</v>
      </c>
      <c r="G1770" s="82" t="s">
        <v>348</v>
      </c>
      <c r="H1770" s="82" t="s">
        <v>349</v>
      </c>
      <c r="I1770" s="95">
        <v>0</v>
      </c>
      <c r="K1770" s="105" t="str">
        <f t="shared" si="63"/>
        <v>0003-1010-0017</v>
      </c>
      <c r="L1770" s="105" t="str">
        <f>VLOOKUP(K1770,COA!$A$3:$B$337,2,FALSE)</f>
        <v>S51</v>
      </c>
      <c r="M1770" s="105" t="str">
        <f t="shared" si="64"/>
        <v>S51</v>
      </c>
      <c r="N1770" s="105" t="str">
        <f>VLOOKUP(M1770,CAC!$A$2:$B$198,2,FALSE)</f>
        <v>PPOSG</v>
      </c>
    </row>
    <row r="1771" spans="5:14" x14ac:dyDescent="0.25">
      <c r="E1771" s="83">
        <v>201603</v>
      </c>
      <c r="F1771" s="82" t="s">
        <v>345</v>
      </c>
      <c r="G1771" s="82" t="s">
        <v>354</v>
      </c>
      <c r="H1771" s="82" t="s">
        <v>344</v>
      </c>
      <c r="I1771" s="95">
        <v>6698.03</v>
      </c>
      <c r="K1771" s="105" t="str">
        <f t="shared" si="63"/>
        <v>0011-1013-0012</v>
      </c>
      <c r="L1771" s="105" t="str">
        <f>VLOOKUP(K1771,COA!$A$3:$B$337,2,FALSE)</f>
        <v>N20</v>
      </c>
      <c r="M1771" s="105" t="str">
        <f t="shared" si="64"/>
        <v>N20</v>
      </c>
      <c r="N1771" s="105" t="str">
        <f>VLOOKUP(M1771,CAC!$A$2:$B$198,2,FALSE)</f>
        <v>HMOPMR</v>
      </c>
    </row>
    <row r="1772" spans="5:14" x14ac:dyDescent="0.25">
      <c r="E1772" s="83">
        <v>201512</v>
      </c>
      <c r="F1772" s="82" t="s">
        <v>563</v>
      </c>
      <c r="G1772" s="82" t="s">
        <v>361</v>
      </c>
      <c r="H1772" s="82" t="s">
        <v>344</v>
      </c>
      <c r="I1772" s="95">
        <v>0</v>
      </c>
      <c r="K1772" s="105" t="str">
        <f t="shared" si="63"/>
        <v>0003-1003-0012</v>
      </c>
      <c r="L1772" s="105" t="str">
        <f>VLOOKUP(K1772,COA!$A$3:$B$337,2,FALSE)</f>
        <v>N61</v>
      </c>
      <c r="M1772" s="105" t="str">
        <f t="shared" si="64"/>
        <v>N61</v>
      </c>
      <c r="N1772" s="105" t="str">
        <f>VLOOKUP(M1772,CAC!$A$2:$B$198,2,FALSE)</f>
        <v>PPOPMR</v>
      </c>
    </row>
    <row r="1773" spans="5:14" x14ac:dyDescent="0.25">
      <c r="E1773" s="83">
        <v>201610</v>
      </c>
      <c r="F1773" s="82" t="s">
        <v>563</v>
      </c>
      <c r="G1773" s="82" t="s">
        <v>348</v>
      </c>
      <c r="H1773" s="82" t="s">
        <v>358</v>
      </c>
      <c r="I1773" s="95">
        <v>0</v>
      </c>
      <c r="K1773" s="105" t="str">
        <f t="shared" si="63"/>
        <v>0003-1010-0024</v>
      </c>
      <c r="L1773" s="105" t="str">
        <f>VLOOKUP(K1773,COA!$A$3:$B$337,2,FALSE)</f>
        <v>S56</v>
      </c>
      <c r="M1773" s="105" t="str">
        <f t="shared" si="64"/>
        <v>S56</v>
      </c>
      <c r="N1773" s="105" t="str">
        <f>VLOOKUP(M1773,CAC!$A$2:$B$198,2,FALSE)</f>
        <v>PPOSG</v>
      </c>
    </row>
    <row r="1774" spans="5:14" x14ac:dyDescent="0.25">
      <c r="E1774" s="83">
        <v>201702</v>
      </c>
      <c r="F1774" s="82" t="s">
        <v>345</v>
      </c>
      <c r="G1774" s="82" t="s">
        <v>365</v>
      </c>
      <c r="H1774" s="82" t="s">
        <v>367</v>
      </c>
      <c r="I1774" s="95">
        <v>465</v>
      </c>
      <c r="K1774" s="105" t="str">
        <f t="shared" si="63"/>
        <v>0011-1001-0022</v>
      </c>
      <c r="L1774" s="105" t="str">
        <f>VLOOKUP(K1774,COA!$A$3:$B$337,2,FALSE)</f>
        <v>V14</v>
      </c>
      <c r="M1774" s="105" t="str">
        <f t="shared" si="64"/>
        <v>V14</v>
      </c>
      <c r="N1774" s="105" t="str">
        <f>VLOOKUP(M1774,CAC!$A$2:$B$198,2,FALSE)</f>
        <v>HMOIFP</v>
      </c>
    </row>
    <row r="1775" spans="5:14" x14ac:dyDescent="0.25">
      <c r="E1775" s="83">
        <v>201703</v>
      </c>
      <c r="F1775" s="82" t="s">
        <v>563</v>
      </c>
      <c r="G1775" s="82" t="s">
        <v>354</v>
      </c>
      <c r="H1775" s="82" t="s">
        <v>626</v>
      </c>
      <c r="I1775" s="95">
        <v>0</v>
      </c>
      <c r="K1775" s="105" t="str">
        <f t="shared" si="63"/>
        <v>0003-1013-0057</v>
      </c>
      <c r="L1775" s="105" t="str">
        <f>VLOOKUP(K1775,COA!$A$3:$B$337,2,FALSE)</f>
        <v>N55</v>
      </c>
      <c r="M1775" s="105" t="str">
        <f t="shared" si="64"/>
        <v>N55</v>
      </c>
      <c r="N1775" s="105" t="str">
        <f>VLOOKUP(M1775,CAC!$A$2:$B$198,2,FALSE)</f>
        <v>PPOPMR</v>
      </c>
    </row>
    <row r="1776" spans="5:14" x14ac:dyDescent="0.25">
      <c r="E1776" s="83">
        <v>201503</v>
      </c>
      <c r="F1776" s="82" t="s">
        <v>345</v>
      </c>
      <c r="G1776" s="82" t="s">
        <v>351</v>
      </c>
      <c r="H1776" s="82" t="s">
        <v>349</v>
      </c>
      <c r="I1776" s="95">
        <v>1</v>
      </c>
      <c r="K1776" s="105" t="str">
        <f t="shared" si="63"/>
        <v>0011-0000-0017</v>
      </c>
      <c r="L1776" s="105" t="e">
        <f>VLOOKUP(K1776,COA!$A$3:$B$337,2,FALSE)</f>
        <v>#N/A</v>
      </c>
      <c r="M1776" s="105" t="str">
        <f t="shared" si="64"/>
        <v>XXX</v>
      </c>
      <c r="N1776" s="105" t="str">
        <f>VLOOKUP(M1776,CAC!$A$2:$B$198,2,FALSE)</f>
        <v>XXX</v>
      </c>
    </row>
    <row r="1777" spans="5:14" x14ac:dyDescent="0.25">
      <c r="E1777" s="83">
        <v>201604</v>
      </c>
      <c r="F1777" s="82" t="s">
        <v>563</v>
      </c>
      <c r="G1777" s="82" t="s">
        <v>359</v>
      </c>
      <c r="H1777" s="82" t="s">
        <v>344</v>
      </c>
      <c r="I1777" s="95">
        <v>0</v>
      </c>
      <c r="K1777" s="105" t="str">
        <f t="shared" si="63"/>
        <v>0003-1005-0012</v>
      </c>
      <c r="L1777" s="105" t="str">
        <f>VLOOKUP(K1777,COA!$A$3:$B$337,2,FALSE)</f>
        <v>N51</v>
      </c>
      <c r="M1777" s="105" t="str">
        <f t="shared" si="64"/>
        <v>N51</v>
      </c>
      <c r="N1777" s="105" t="str">
        <f>VLOOKUP(M1777,CAC!$A$2:$B$198,2,FALSE)</f>
        <v>PPOLG</v>
      </c>
    </row>
    <row r="1778" spans="5:14" x14ac:dyDescent="0.25">
      <c r="E1778" s="83">
        <v>201707</v>
      </c>
      <c r="F1778" s="82" t="s">
        <v>345</v>
      </c>
      <c r="G1778" s="82" t="s">
        <v>354</v>
      </c>
      <c r="H1778" s="82" t="s">
        <v>344</v>
      </c>
      <c r="I1778" s="95">
        <v>4215</v>
      </c>
      <c r="K1778" s="105" t="str">
        <f t="shared" si="63"/>
        <v>0011-1013-0012</v>
      </c>
      <c r="L1778" s="105" t="str">
        <f>VLOOKUP(K1778,COA!$A$3:$B$337,2,FALSE)</f>
        <v>N20</v>
      </c>
      <c r="M1778" s="105" t="str">
        <f t="shared" si="64"/>
        <v>N20</v>
      </c>
      <c r="N1778" s="105" t="str">
        <f>VLOOKUP(M1778,CAC!$A$2:$B$198,2,FALSE)</f>
        <v>HMOPMR</v>
      </c>
    </row>
    <row r="1779" spans="5:14" x14ac:dyDescent="0.25">
      <c r="E1779" s="83">
        <v>201602</v>
      </c>
      <c r="F1779" s="82" t="s">
        <v>563</v>
      </c>
      <c r="G1779" s="82" t="s">
        <v>348</v>
      </c>
      <c r="H1779" s="82" t="s">
        <v>353</v>
      </c>
      <c r="I1779" s="95">
        <v>0</v>
      </c>
      <c r="K1779" s="105" t="str">
        <f t="shared" si="63"/>
        <v>0003-1010-0023</v>
      </c>
      <c r="L1779" s="105" t="str">
        <f>VLOOKUP(K1779,COA!$A$3:$B$337,2,FALSE)</f>
        <v>S54</v>
      </c>
      <c r="M1779" s="105" t="str">
        <f t="shared" si="64"/>
        <v>S54</v>
      </c>
      <c r="N1779" s="105" t="str">
        <f>VLOOKUP(M1779,CAC!$A$2:$B$198,2,FALSE)</f>
        <v>PPOSG</v>
      </c>
    </row>
    <row r="1780" spans="5:14" x14ac:dyDescent="0.25">
      <c r="E1780" s="83">
        <v>201509</v>
      </c>
      <c r="F1780" s="82" t="s">
        <v>746</v>
      </c>
      <c r="G1780" s="82" t="s">
        <v>350</v>
      </c>
      <c r="H1780" s="82" t="s">
        <v>344</v>
      </c>
      <c r="I1780" s="95">
        <v>64</v>
      </c>
      <c r="K1780" s="105" t="str">
        <f t="shared" si="63"/>
        <v>0016-1012-0012</v>
      </c>
      <c r="L1780" s="105" t="str">
        <f>VLOOKUP(K1780,COA!$A$3:$B$337,2,FALSE)</f>
        <v>R19</v>
      </c>
      <c r="M1780" s="105" t="str">
        <f t="shared" si="64"/>
        <v>R19</v>
      </c>
      <c r="N1780" s="105" t="str">
        <f>VLOOKUP(M1780,CAC!$A$2:$B$198,2,FALSE)</f>
        <v>HMOMG</v>
      </c>
    </row>
    <row r="1781" spans="5:14" x14ac:dyDescent="0.25">
      <c r="E1781" s="83">
        <v>201505</v>
      </c>
      <c r="F1781" s="82" t="s">
        <v>344</v>
      </c>
      <c r="G1781" s="82" t="s">
        <v>359</v>
      </c>
      <c r="H1781" s="82" t="s">
        <v>344</v>
      </c>
      <c r="I1781" s="95">
        <v>70</v>
      </c>
      <c r="K1781" s="105" t="str">
        <f t="shared" si="63"/>
        <v>0012-1005-0012</v>
      </c>
      <c r="L1781" s="105" t="str">
        <f>VLOOKUP(K1781,COA!$A$3:$B$337,2,FALSE)</f>
        <v>N13</v>
      </c>
      <c r="M1781" s="105" t="str">
        <f t="shared" si="64"/>
        <v>N13</v>
      </c>
      <c r="N1781" s="105" t="str">
        <f>VLOOKUP(M1781,CAC!$A$2:$B$198,2,FALSE)</f>
        <v>HMOLG</v>
      </c>
    </row>
    <row r="1782" spans="5:14" x14ac:dyDescent="0.25">
      <c r="E1782" s="83">
        <v>201601</v>
      </c>
      <c r="F1782" s="82" t="s">
        <v>563</v>
      </c>
      <c r="G1782" s="82" t="s">
        <v>365</v>
      </c>
      <c r="H1782" s="82" t="s">
        <v>367</v>
      </c>
      <c r="I1782" s="95">
        <v>0</v>
      </c>
      <c r="K1782" s="105" t="str">
        <f t="shared" si="63"/>
        <v>0003-1001-0022</v>
      </c>
      <c r="L1782" s="105" t="str">
        <f>VLOOKUP(K1782,COA!$A$3:$B$337,2,FALSE)</f>
        <v>V54</v>
      </c>
      <c r="M1782" s="105" t="str">
        <f t="shared" si="64"/>
        <v>V54</v>
      </c>
      <c r="N1782" s="105" t="str">
        <f>VLOOKUP(M1782,CAC!$A$2:$B$198,2,FALSE)</f>
        <v>PPOIFP</v>
      </c>
    </row>
    <row r="1783" spans="5:14" x14ac:dyDescent="0.25">
      <c r="E1783" s="83">
        <v>201605</v>
      </c>
      <c r="F1783" s="82" t="s">
        <v>746</v>
      </c>
      <c r="G1783" s="82" t="s">
        <v>350</v>
      </c>
      <c r="H1783" s="82" t="s">
        <v>344</v>
      </c>
      <c r="I1783" s="95">
        <v>62</v>
      </c>
      <c r="K1783" s="105" t="str">
        <f t="shared" si="63"/>
        <v>0016-1012-0012</v>
      </c>
      <c r="L1783" s="105" t="str">
        <f>VLOOKUP(K1783,COA!$A$3:$B$337,2,FALSE)</f>
        <v>R19</v>
      </c>
      <c r="M1783" s="105" t="str">
        <f t="shared" si="64"/>
        <v>R19</v>
      </c>
      <c r="N1783" s="105" t="str">
        <f>VLOOKUP(M1783,CAC!$A$2:$B$198,2,FALSE)</f>
        <v>HMOMG</v>
      </c>
    </row>
    <row r="1784" spans="5:14" x14ac:dyDescent="0.25">
      <c r="E1784" s="83">
        <v>201509</v>
      </c>
      <c r="F1784" s="82" t="s">
        <v>413</v>
      </c>
      <c r="G1784" s="82" t="s">
        <v>354</v>
      </c>
      <c r="H1784" s="82" t="s">
        <v>344</v>
      </c>
      <c r="I1784" s="95">
        <v>0</v>
      </c>
      <c r="K1784" s="105" t="str">
        <f t="shared" si="63"/>
        <v>0008-1013-0012</v>
      </c>
      <c r="L1784" s="105" t="str">
        <f>VLOOKUP(K1784,COA!$A$3:$B$337,2,FALSE)</f>
        <v>C76</v>
      </c>
      <c r="M1784" s="105" t="str">
        <f t="shared" si="64"/>
        <v>C76</v>
      </c>
      <c r="N1784" s="105" t="str">
        <f>VLOOKUP(M1784,CAC!$A$2:$B$198,2,FALSE)</f>
        <v>DOILG</v>
      </c>
    </row>
    <row r="1785" spans="5:14" x14ac:dyDescent="0.25">
      <c r="E1785" s="83">
        <v>201602</v>
      </c>
      <c r="F1785" s="82" t="s">
        <v>563</v>
      </c>
      <c r="G1785" s="82" t="s">
        <v>355</v>
      </c>
      <c r="H1785" s="82" t="s">
        <v>344</v>
      </c>
      <c r="I1785" s="95">
        <v>0</v>
      </c>
      <c r="K1785" s="105" t="str">
        <f t="shared" si="63"/>
        <v>0003-1006-0012</v>
      </c>
      <c r="L1785" s="105" t="str">
        <f>VLOOKUP(K1785,COA!$A$3:$B$337,2,FALSE)</f>
        <v>L52</v>
      </c>
      <c r="M1785" s="105" t="str">
        <f t="shared" si="64"/>
        <v>L52</v>
      </c>
      <c r="N1785" s="105" t="str">
        <f>VLOOKUP(M1785,CAC!$A$2:$B$198,2,FALSE)</f>
        <v>PPOLG</v>
      </c>
    </row>
    <row r="1786" spans="5:14" x14ac:dyDescent="0.25">
      <c r="E1786" s="83">
        <v>201604</v>
      </c>
      <c r="F1786" s="82" t="s">
        <v>549</v>
      </c>
      <c r="G1786" s="82" t="s">
        <v>352</v>
      </c>
      <c r="H1786" s="82" t="s">
        <v>672</v>
      </c>
      <c r="I1786" s="95">
        <v>0</v>
      </c>
      <c r="K1786" s="105" t="str">
        <f t="shared" si="63"/>
        <v>0026-1004-0058</v>
      </c>
      <c r="L1786" s="105" t="str">
        <f>VLOOKUP(K1786,COA!$A$3:$B$337,2,FALSE)</f>
        <v>L44</v>
      </c>
      <c r="M1786" s="105" t="str">
        <f t="shared" si="64"/>
        <v>L44</v>
      </c>
      <c r="N1786" s="105" t="e">
        <f>VLOOKUP(M1786,CAC!$A$2:$B$198,2,FALSE)</f>
        <v>#N/A</v>
      </c>
    </row>
    <row r="1787" spans="5:14" x14ac:dyDescent="0.25">
      <c r="E1787" s="83">
        <v>201703</v>
      </c>
      <c r="F1787" s="82" t="s">
        <v>563</v>
      </c>
      <c r="G1787" s="82" t="s">
        <v>352</v>
      </c>
      <c r="H1787" s="82" t="s">
        <v>653</v>
      </c>
      <c r="I1787" s="95">
        <v>0</v>
      </c>
      <c r="K1787" s="105" t="str">
        <f t="shared" si="63"/>
        <v>0003-1004-0047</v>
      </c>
      <c r="L1787" s="105" t="str">
        <f>VLOOKUP(K1787,COA!$A$3:$B$337,2,FALSE)</f>
        <v>L57</v>
      </c>
      <c r="M1787" s="105" t="str">
        <f t="shared" si="64"/>
        <v>L57</v>
      </c>
      <c r="N1787" s="105" t="str">
        <f>VLOOKUP(M1787,CAC!$A$2:$B$198,2,FALSE)</f>
        <v>PPOLG</v>
      </c>
    </row>
    <row r="1788" spans="5:14" x14ac:dyDescent="0.25">
      <c r="E1788" s="83">
        <v>201507</v>
      </c>
      <c r="F1788" s="82" t="s">
        <v>345</v>
      </c>
      <c r="G1788" s="82" t="s">
        <v>348</v>
      </c>
      <c r="H1788" s="82" t="s">
        <v>353</v>
      </c>
      <c r="I1788" s="95">
        <v>348</v>
      </c>
      <c r="K1788" s="105" t="str">
        <f t="shared" si="63"/>
        <v>0011-1010-0023</v>
      </c>
      <c r="L1788" s="105" t="str">
        <f>VLOOKUP(K1788,COA!$A$3:$B$337,2,FALSE)</f>
        <v>S13</v>
      </c>
      <c r="M1788" s="105" t="str">
        <f t="shared" si="64"/>
        <v>S13</v>
      </c>
      <c r="N1788" s="105" t="str">
        <f>VLOOKUP(M1788,CAC!$A$2:$B$198,2,FALSE)</f>
        <v>HMOSG</v>
      </c>
    </row>
    <row r="1789" spans="5:14" x14ac:dyDescent="0.25">
      <c r="E1789" s="83">
        <v>201607</v>
      </c>
      <c r="F1789" s="82" t="s">
        <v>345</v>
      </c>
      <c r="G1789" s="82" t="s">
        <v>350</v>
      </c>
      <c r="H1789" s="82" t="s">
        <v>360</v>
      </c>
      <c r="I1789" s="95">
        <v>6914.82</v>
      </c>
      <c r="K1789" s="105" t="str">
        <f t="shared" si="63"/>
        <v>0011-1012-0048</v>
      </c>
      <c r="L1789" s="105" t="str">
        <f>VLOOKUP(K1789,COA!$A$3:$B$337,2,FALSE)</f>
        <v>K21</v>
      </c>
      <c r="M1789" s="105" t="str">
        <f t="shared" si="64"/>
        <v>K21</v>
      </c>
      <c r="N1789" s="105" t="str">
        <f>VLOOKUP(M1789,CAC!$A$2:$B$198,2,FALSE)</f>
        <v>HMFLEX</v>
      </c>
    </row>
    <row r="1790" spans="5:14" x14ac:dyDescent="0.25">
      <c r="E1790" s="83">
        <v>201604</v>
      </c>
      <c r="F1790" s="82" t="s">
        <v>345</v>
      </c>
      <c r="G1790" s="82" t="s">
        <v>350</v>
      </c>
      <c r="H1790" s="82" t="s">
        <v>357</v>
      </c>
      <c r="I1790" s="95">
        <v>1947.84</v>
      </c>
      <c r="K1790" s="105" t="str">
        <f t="shared" si="63"/>
        <v>0011-1012-0038</v>
      </c>
      <c r="L1790" s="105" t="str">
        <f>VLOOKUP(K1790,COA!$A$3:$B$337,2,FALSE)</f>
        <v>K14</v>
      </c>
      <c r="M1790" s="105" t="str">
        <f t="shared" si="64"/>
        <v>K14</v>
      </c>
      <c r="N1790" s="105" t="str">
        <f>VLOOKUP(M1790,CAC!$A$2:$B$198,2,FALSE)</f>
        <v>HMOPMR</v>
      </c>
    </row>
    <row r="1791" spans="5:14" x14ac:dyDescent="0.25">
      <c r="E1791" s="83">
        <v>201511</v>
      </c>
      <c r="F1791" s="82" t="s">
        <v>563</v>
      </c>
      <c r="G1791" s="82" t="s">
        <v>359</v>
      </c>
      <c r="H1791" s="82" t="s">
        <v>344</v>
      </c>
      <c r="I1791" s="95">
        <v>0</v>
      </c>
      <c r="K1791" s="105" t="str">
        <f t="shared" si="63"/>
        <v>0003-1005-0012</v>
      </c>
      <c r="L1791" s="105" t="str">
        <f>VLOOKUP(K1791,COA!$A$3:$B$337,2,FALSE)</f>
        <v>N51</v>
      </c>
      <c r="M1791" s="105" t="str">
        <f t="shared" si="64"/>
        <v>N51</v>
      </c>
      <c r="N1791" s="105" t="str">
        <f>VLOOKUP(M1791,CAC!$A$2:$B$198,2,FALSE)</f>
        <v>PPOLG</v>
      </c>
    </row>
    <row r="1792" spans="5:14" x14ac:dyDescent="0.25">
      <c r="E1792" s="83">
        <v>201511</v>
      </c>
      <c r="F1792" s="82" t="s">
        <v>563</v>
      </c>
      <c r="G1792" s="82" t="s">
        <v>350</v>
      </c>
      <c r="H1792" s="82" t="s">
        <v>360</v>
      </c>
      <c r="I1792" s="95">
        <v>0</v>
      </c>
      <c r="K1792" s="105" t="str">
        <f t="shared" si="63"/>
        <v>0003-1012-0048</v>
      </c>
      <c r="L1792" s="105" t="str">
        <f>VLOOKUP(K1792,COA!$A$3:$B$337,2,FALSE)</f>
        <v>K56</v>
      </c>
      <c r="M1792" s="105" t="str">
        <f t="shared" si="64"/>
        <v>K56</v>
      </c>
      <c r="N1792" s="105" t="str">
        <f>VLOOKUP(M1792,CAC!$A$2:$B$198,2,FALSE)</f>
        <v>HMFLEX</v>
      </c>
    </row>
    <row r="1793" spans="5:14" x14ac:dyDescent="0.25">
      <c r="E1793" s="83">
        <v>201605</v>
      </c>
      <c r="F1793" s="82" t="s">
        <v>345</v>
      </c>
      <c r="G1793" s="82" t="s">
        <v>359</v>
      </c>
      <c r="H1793" s="82" t="s">
        <v>344</v>
      </c>
      <c r="I1793" s="95">
        <v>4021.5</v>
      </c>
      <c r="K1793" s="105" t="str">
        <f t="shared" si="63"/>
        <v>0011-1005-0012</v>
      </c>
      <c r="L1793" s="105" t="str">
        <f>VLOOKUP(K1793,COA!$A$3:$B$337,2,FALSE)</f>
        <v>N11</v>
      </c>
      <c r="M1793" s="105" t="str">
        <f t="shared" si="64"/>
        <v>N11</v>
      </c>
      <c r="N1793" s="105" t="str">
        <f>VLOOKUP(M1793,CAC!$A$2:$B$198,2,FALSE)</f>
        <v>HMOLG</v>
      </c>
    </row>
    <row r="1794" spans="5:14" x14ac:dyDescent="0.25">
      <c r="E1794" s="83">
        <v>201507</v>
      </c>
      <c r="F1794" s="82" t="s">
        <v>344</v>
      </c>
      <c r="G1794" s="82" t="s">
        <v>355</v>
      </c>
      <c r="H1794" s="82" t="s">
        <v>344</v>
      </c>
      <c r="I1794" s="95">
        <v>240</v>
      </c>
      <c r="K1794" s="105" t="str">
        <f t="shared" si="63"/>
        <v>0012-1006-0012</v>
      </c>
      <c r="L1794" s="105" t="str">
        <f>VLOOKUP(K1794,COA!$A$3:$B$337,2,FALSE)</f>
        <v>L16</v>
      </c>
      <c r="M1794" s="105" t="str">
        <f t="shared" si="64"/>
        <v>L16</v>
      </c>
      <c r="N1794" s="105" t="str">
        <f>VLOOKUP(M1794,CAC!$A$2:$B$198,2,FALSE)</f>
        <v>HMOLG</v>
      </c>
    </row>
    <row r="1795" spans="5:14" x14ac:dyDescent="0.25">
      <c r="E1795" s="83">
        <v>201702</v>
      </c>
      <c r="F1795" s="82" t="s">
        <v>413</v>
      </c>
      <c r="G1795" s="82" t="s">
        <v>359</v>
      </c>
      <c r="H1795" s="82" t="s">
        <v>344</v>
      </c>
      <c r="I1795" s="95">
        <v>0</v>
      </c>
      <c r="K1795" s="105" t="str">
        <f t="shared" si="63"/>
        <v>0008-1005-0012</v>
      </c>
      <c r="L1795" s="105" t="str">
        <f>VLOOKUP(K1795,COA!$A$3:$B$337,2,FALSE)</f>
        <v>C73</v>
      </c>
      <c r="M1795" s="105" t="str">
        <f t="shared" si="64"/>
        <v>C73</v>
      </c>
      <c r="N1795" s="105" t="str">
        <f>VLOOKUP(M1795,CAC!$A$2:$B$198,2,FALSE)</f>
        <v>DOILG</v>
      </c>
    </row>
    <row r="1796" spans="5:14" x14ac:dyDescent="0.25">
      <c r="E1796" s="83">
        <v>201602</v>
      </c>
      <c r="F1796" s="82" t="s">
        <v>344</v>
      </c>
      <c r="G1796" s="82" t="s">
        <v>355</v>
      </c>
      <c r="H1796" s="82" t="s">
        <v>344</v>
      </c>
      <c r="I1796" s="95">
        <v>124</v>
      </c>
      <c r="K1796" s="105" t="str">
        <f t="shared" ref="K1796:K1859" si="65">F1796&amp;"-"&amp;G1796&amp;"-"&amp;H1796</f>
        <v>0012-1006-0012</v>
      </c>
      <c r="L1796" s="105" t="str">
        <f>VLOOKUP(K1796,COA!$A$3:$B$337,2,FALSE)</f>
        <v>L16</v>
      </c>
      <c r="M1796" s="105" t="str">
        <f t="shared" ref="M1796:M1859" si="66">IF(ISNA(L1796),"XXX",L1796)</f>
        <v>L16</v>
      </c>
      <c r="N1796" s="105" t="str">
        <f>VLOOKUP(M1796,CAC!$A$2:$B$198,2,FALSE)</f>
        <v>HMOLG</v>
      </c>
    </row>
    <row r="1797" spans="5:14" x14ac:dyDescent="0.25">
      <c r="E1797" s="83">
        <v>201506</v>
      </c>
      <c r="F1797" s="82" t="s">
        <v>746</v>
      </c>
      <c r="G1797" s="82" t="s">
        <v>356</v>
      </c>
      <c r="H1797" s="82" t="s">
        <v>344</v>
      </c>
      <c r="I1797" s="95">
        <v>116</v>
      </c>
      <c r="K1797" s="105" t="str">
        <f t="shared" si="65"/>
        <v>0016-1002-0012</v>
      </c>
      <c r="L1797" s="105" t="str">
        <f>VLOOKUP(K1797,COA!$A$3:$B$337,2,FALSE)</f>
        <v>R18</v>
      </c>
      <c r="M1797" s="105" t="str">
        <f t="shared" si="66"/>
        <v>R18</v>
      </c>
      <c r="N1797" s="105" t="str">
        <f>VLOOKUP(M1797,CAC!$A$2:$B$198,2,FALSE)</f>
        <v>HMOMG</v>
      </c>
    </row>
    <row r="1798" spans="5:14" x14ac:dyDescent="0.25">
      <c r="E1798" s="83">
        <v>201612</v>
      </c>
      <c r="F1798" s="82" t="s">
        <v>563</v>
      </c>
      <c r="G1798" s="82" t="s">
        <v>365</v>
      </c>
      <c r="H1798" s="82" t="s">
        <v>367</v>
      </c>
      <c r="I1798" s="95">
        <v>0</v>
      </c>
      <c r="K1798" s="105" t="str">
        <f t="shared" si="65"/>
        <v>0003-1001-0022</v>
      </c>
      <c r="L1798" s="105" t="str">
        <f>VLOOKUP(K1798,COA!$A$3:$B$337,2,FALSE)</f>
        <v>V54</v>
      </c>
      <c r="M1798" s="105" t="str">
        <f t="shared" si="66"/>
        <v>V54</v>
      </c>
      <c r="N1798" s="105" t="str">
        <f>VLOOKUP(M1798,CAC!$A$2:$B$198,2,FALSE)</f>
        <v>PPOIFP</v>
      </c>
    </row>
    <row r="1799" spans="5:14" x14ac:dyDescent="0.25">
      <c r="E1799" s="83">
        <v>201711</v>
      </c>
      <c r="F1799" s="82" t="s">
        <v>342</v>
      </c>
      <c r="G1799" s="82" t="s">
        <v>343</v>
      </c>
      <c r="H1799" s="82" t="s">
        <v>344</v>
      </c>
      <c r="I1799" s="95">
        <v>5607.92</v>
      </c>
      <c r="K1799" s="105" t="str">
        <f t="shared" si="65"/>
        <v>0031-1000-0012</v>
      </c>
      <c r="L1799" s="105" t="str">
        <f>VLOOKUP(K1799,COA!$A$3:$B$337,2,FALSE)</f>
        <v>F27</v>
      </c>
      <c r="M1799" s="105" t="str">
        <f t="shared" si="66"/>
        <v>F27</v>
      </c>
      <c r="N1799" s="105" t="str">
        <f>VLOOKUP(M1799,CAC!$A$2:$B$198,2,FALSE)</f>
        <v>HMOFEP</v>
      </c>
    </row>
    <row r="1800" spans="5:14" x14ac:dyDescent="0.25">
      <c r="E1800" s="83">
        <v>201611</v>
      </c>
      <c r="F1800" s="82" t="s">
        <v>563</v>
      </c>
      <c r="G1800" s="82" t="s">
        <v>354</v>
      </c>
      <c r="H1800" s="82" t="s">
        <v>360</v>
      </c>
      <c r="I1800" s="95">
        <v>0</v>
      </c>
      <c r="K1800" s="105" t="str">
        <f t="shared" si="65"/>
        <v>0003-1013-0048</v>
      </c>
      <c r="L1800" s="105" t="str">
        <f>VLOOKUP(K1800,COA!$A$3:$B$337,2,FALSE)</f>
        <v>N56</v>
      </c>
      <c r="M1800" s="105" t="str">
        <f t="shared" si="66"/>
        <v>N56</v>
      </c>
      <c r="N1800" s="105" t="str">
        <f>VLOOKUP(M1800,CAC!$A$2:$B$198,2,FALSE)</f>
        <v>HMFLEX</v>
      </c>
    </row>
    <row r="1801" spans="5:14" x14ac:dyDescent="0.25">
      <c r="E1801" s="83">
        <v>201801</v>
      </c>
      <c r="F1801" s="82" t="s">
        <v>413</v>
      </c>
      <c r="G1801" s="82" t="s">
        <v>352</v>
      </c>
      <c r="H1801" s="82" t="s">
        <v>344</v>
      </c>
      <c r="I1801" s="95">
        <v>0</v>
      </c>
      <c r="K1801" s="105" t="str">
        <f t="shared" si="65"/>
        <v>0008-1004-0012</v>
      </c>
      <c r="L1801" s="105" t="str">
        <f>VLOOKUP(K1801,COA!$A$3:$B$337,2,FALSE)</f>
        <v>C93</v>
      </c>
      <c r="M1801" s="105" t="str">
        <f t="shared" si="66"/>
        <v>C93</v>
      </c>
      <c r="N1801" s="105" t="str">
        <f>VLOOKUP(M1801,CAC!$A$2:$B$198,2,FALSE)</f>
        <v>DOILG</v>
      </c>
    </row>
    <row r="1802" spans="5:14" x14ac:dyDescent="0.25">
      <c r="E1802" s="83">
        <v>201605</v>
      </c>
      <c r="F1802" s="82" t="s">
        <v>345</v>
      </c>
      <c r="G1802" s="82" t="s">
        <v>352</v>
      </c>
      <c r="H1802" s="82" t="s">
        <v>653</v>
      </c>
      <c r="I1802" s="95">
        <v>0</v>
      </c>
      <c r="K1802" s="105" t="str">
        <f t="shared" si="65"/>
        <v>0011-1004-0047</v>
      </c>
      <c r="L1802" s="105" t="str">
        <f>VLOOKUP(K1802,COA!$A$3:$B$337,2,FALSE)</f>
        <v>L17</v>
      </c>
      <c r="M1802" s="105" t="str">
        <f t="shared" si="66"/>
        <v>L17</v>
      </c>
      <c r="N1802" s="105" t="str">
        <f>VLOOKUP(M1802,CAC!$A$2:$B$198,2,FALSE)</f>
        <v>HMOLG</v>
      </c>
    </row>
    <row r="1803" spans="5:14" x14ac:dyDescent="0.25">
      <c r="E1803" s="83">
        <v>201503</v>
      </c>
      <c r="F1803" s="82" t="s">
        <v>413</v>
      </c>
      <c r="G1803" s="82" t="s">
        <v>348</v>
      </c>
      <c r="H1803" s="82" t="s">
        <v>349</v>
      </c>
      <c r="I1803" s="95">
        <v>0</v>
      </c>
      <c r="K1803" s="105" t="str">
        <f t="shared" si="65"/>
        <v>0008-1010-0017</v>
      </c>
      <c r="L1803" s="105" t="str">
        <f>VLOOKUP(K1803,COA!$A$3:$B$337,2,FALSE)</f>
        <v>C94</v>
      </c>
      <c r="M1803" s="105" t="str">
        <f t="shared" si="66"/>
        <v>C94</v>
      </c>
      <c r="N1803" s="105" t="str">
        <f>VLOOKUP(M1803,CAC!$A$2:$B$198,2,FALSE)</f>
        <v>DOISG</v>
      </c>
    </row>
    <row r="1804" spans="5:14" x14ac:dyDescent="0.25">
      <c r="E1804" s="83">
        <v>201703</v>
      </c>
      <c r="F1804" s="82" t="s">
        <v>563</v>
      </c>
      <c r="G1804" s="82" t="s">
        <v>355</v>
      </c>
      <c r="H1804" s="82" t="s">
        <v>344</v>
      </c>
      <c r="I1804" s="95">
        <v>0</v>
      </c>
      <c r="K1804" s="105" t="str">
        <f t="shared" si="65"/>
        <v>0003-1006-0012</v>
      </c>
      <c r="L1804" s="105" t="str">
        <f>VLOOKUP(K1804,COA!$A$3:$B$337,2,FALSE)</f>
        <v>L52</v>
      </c>
      <c r="M1804" s="105" t="str">
        <f t="shared" si="66"/>
        <v>L52</v>
      </c>
      <c r="N1804" s="105" t="str">
        <f>VLOOKUP(M1804,CAC!$A$2:$B$198,2,FALSE)</f>
        <v>PPOLG</v>
      </c>
    </row>
    <row r="1805" spans="5:14" x14ac:dyDescent="0.25">
      <c r="E1805" s="83">
        <v>201511</v>
      </c>
      <c r="F1805" s="82" t="s">
        <v>563</v>
      </c>
      <c r="G1805" s="82" t="s">
        <v>348</v>
      </c>
      <c r="H1805" s="82" t="s">
        <v>349</v>
      </c>
      <c r="I1805" s="95">
        <v>0</v>
      </c>
      <c r="K1805" s="105" t="str">
        <f t="shared" si="65"/>
        <v>0003-1010-0017</v>
      </c>
      <c r="L1805" s="105" t="str">
        <f>VLOOKUP(K1805,COA!$A$3:$B$337,2,FALSE)</f>
        <v>S51</v>
      </c>
      <c r="M1805" s="105" t="str">
        <f t="shared" si="66"/>
        <v>S51</v>
      </c>
      <c r="N1805" s="105" t="str">
        <f>VLOOKUP(M1805,CAC!$A$2:$B$198,2,FALSE)</f>
        <v>PPOSG</v>
      </c>
    </row>
    <row r="1806" spans="5:14" x14ac:dyDescent="0.25">
      <c r="E1806" s="83">
        <v>201508</v>
      </c>
      <c r="F1806" s="82" t="s">
        <v>405</v>
      </c>
      <c r="G1806" s="82" t="s">
        <v>362</v>
      </c>
      <c r="H1806" s="82" t="s">
        <v>342</v>
      </c>
      <c r="I1806" s="95">
        <v>0</v>
      </c>
      <c r="K1806" s="105" t="str">
        <f t="shared" si="65"/>
        <v>0019-1008-0031</v>
      </c>
      <c r="L1806" s="105" t="str">
        <f>VLOOKUP(K1806,COA!$A$3:$B$337,2,FALSE)</f>
        <v>P53</v>
      </c>
      <c r="M1806" s="105" t="str">
        <f t="shared" si="66"/>
        <v>P53</v>
      </c>
      <c r="N1806" s="105" t="str">
        <f>VLOOKUP(M1806,CAC!$A$2:$B$198,2,FALSE)</f>
        <v>HMOPERA</v>
      </c>
    </row>
    <row r="1807" spans="5:14" x14ac:dyDescent="0.25">
      <c r="E1807" s="83">
        <v>201604</v>
      </c>
      <c r="F1807" s="82" t="s">
        <v>746</v>
      </c>
      <c r="G1807" s="82" t="s">
        <v>354</v>
      </c>
      <c r="H1807" s="82" t="s">
        <v>344</v>
      </c>
      <c r="I1807" s="95">
        <v>83</v>
      </c>
      <c r="K1807" s="105" t="str">
        <f t="shared" si="65"/>
        <v>0016-1013-0012</v>
      </c>
      <c r="L1807" s="105" t="str">
        <f>VLOOKUP(K1807,COA!$A$3:$B$337,2,FALSE)</f>
        <v>R19</v>
      </c>
      <c r="M1807" s="105" t="str">
        <f t="shared" si="66"/>
        <v>R19</v>
      </c>
      <c r="N1807" s="105" t="str">
        <f>VLOOKUP(M1807,CAC!$A$2:$B$198,2,FALSE)</f>
        <v>HMOMG</v>
      </c>
    </row>
    <row r="1808" spans="5:14" x14ac:dyDescent="0.25">
      <c r="E1808" s="83">
        <v>201703</v>
      </c>
      <c r="F1808" s="82" t="s">
        <v>344</v>
      </c>
      <c r="G1808" s="82" t="s">
        <v>359</v>
      </c>
      <c r="H1808" s="82" t="s">
        <v>344</v>
      </c>
      <c r="I1808" s="95">
        <v>146</v>
      </c>
      <c r="K1808" s="105" t="str">
        <f t="shared" si="65"/>
        <v>0012-1005-0012</v>
      </c>
      <c r="L1808" s="105" t="str">
        <f>VLOOKUP(K1808,COA!$A$3:$B$337,2,FALSE)</f>
        <v>N13</v>
      </c>
      <c r="M1808" s="105" t="str">
        <f t="shared" si="66"/>
        <v>N13</v>
      </c>
      <c r="N1808" s="105" t="str">
        <f>VLOOKUP(M1808,CAC!$A$2:$B$198,2,FALSE)</f>
        <v>HMOLG</v>
      </c>
    </row>
    <row r="1809" spans="5:14" x14ac:dyDescent="0.25">
      <c r="E1809" s="83">
        <v>201601</v>
      </c>
      <c r="F1809" s="82" t="s">
        <v>563</v>
      </c>
      <c r="G1809" s="82" t="s">
        <v>350</v>
      </c>
      <c r="H1809" s="82" t="s">
        <v>626</v>
      </c>
      <c r="I1809" s="95">
        <v>0</v>
      </c>
      <c r="K1809" s="105" t="str">
        <f t="shared" si="65"/>
        <v>0003-1012-0057</v>
      </c>
      <c r="L1809" s="105" t="str">
        <f>VLOOKUP(K1809,COA!$A$3:$B$337,2,FALSE)</f>
        <v>K51</v>
      </c>
      <c r="M1809" s="105" t="str">
        <f t="shared" si="66"/>
        <v>K51</v>
      </c>
      <c r="N1809" s="105" t="str">
        <f>VLOOKUP(M1809,CAC!$A$2:$B$198,2,FALSE)</f>
        <v>PPOPMR</v>
      </c>
    </row>
    <row r="1810" spans="5:14" x14ac:dyDescent="0.25">
      <c r="E1810" s="83">
        <v>201705</v>
      </c>
      <c r="F1810" s="82" t="s">
        <v>345</v>
      </c>
      <c r="G1810" s="82" t="s">
        <v>350</v>
      </c>
      <c r="H1810" s="82" t="s">
        <v>344</v>
      </c>
      <c r="I1810" s="95">
        <v>17460.16</v>
      </c>
      <c r="K1810" s="105" t="str">
        <f t="shared" si="65"/>
        <v>0011-1012-0012</v>
      </c>
      <c r="L1810" s="105" t="str">
        <f>VLOOKUP(K1810,COA!$A$3:$B$337,2,FALSE)</f>
        <v>K11</v>
      </c>
      <c r="M1810" s="105" t="str">
        <f t="shared" si="66"/>
        <v>K11</v>
      </c>
      <c r="N1810" s="105" t="str">
        <f>VLOOKUP(M1810,CAC!$A$2:$B$198,2,FALSE)</f>
        <v>HMOPMR</v>
      </c>
    </row>
    <row r="1811" spans="5:14" x14ac:dyDescent="0.25">
      <c r="E1811" s="83">
        <v>201709</v>
      </c>
      <c r="F1811" s="82" t="s">
        <v>345</v>
      </c>
      <c r="G1811" s="82" t="s">
        <v>356</v>
      </c>
      <c r="H1811" s="82" t="s">
        <v>344</v>
      </c>
      <c r="I1811" s="95">
        <v>16119.15</v>
      </c>
      <c r="K1811" s="105" t="str">
        <f t="shared" si="65"/>
        <v>0011-1002-0012</v>
      </c>
      <c r="L1811" s="105" t="str">
        <f>VLOOKUP(K1811,COA!$A$3:$B$337,2,FALSE)</f>
        <v>F20</v>
      </c>
      <c r="M1811" s="105" t="str">
        <f t="shared" si="66"/>
        <v>F20</v>
      </c>
      <c r="N1811" s="105" t="str">
        <f>VLOOKUP(M1811,CAC!$A$2:$B$198,2,FALSE)</f>
        <v>HMOPMR</v>
      </c>
    </row>
    <row r="1812" spans="5:14" x14ac:dyDescent="0.25">
      <c r="E1812" s="83">
        <v>201711</v>
      </c>
      <c r="F1812" s="82" t="s">
        <v>349</v>
      </c>
      <c r="G1812" s="82" t="s">
        <v>369</v>
      </c>
      <c r="H1812" s="82" t="s">
        <v>764</v>
      </c>
      <c r="I1812" s="95">
        <v>5258</v>
      </c>
      <c r="K1812" s="105" t="str">
        <f t="shared" si="65"/>
        <v>0017-1009-0064</v>
      </c>
      <c r="L1812" s="105" t="str">
        <f>VLOOKUP(K1812,COA!$A$3:$B$337,2,FALSE)</f>
        <v>R15</v>
      </c>
      <c r="M1812" s="105" t="str">
        <f t="shared" si="66"/>
        <v>R15</v>
      </c>
      <c r="N1812" s="105" t="str">
        <f>VLOOKUP(M1812,CAC!$A$2:$B$198,2,FALSE)</f>
        <v>HMOMM</v>
      </c>
    </row>
    <row r="1813" spans="5:14" x14ac:dyDescent="0.25">
      <c r="E1813" s="83">
        <v>201510</v>
      </c>
      <c r="F1813" s="82" t="s">
        <v>345</v>
      </c>
      <c r="G1813" s="82" t="s">
        <v>348</v>
      </c>
      <c r="H1813" s="82" t="s">
        <v>349</v>
      </c>
      <c r="I1813" s="95">
        <v>18904.57</v>
      </c>
      <c r="K1813" s="105" t="str">
        <f t="shared" si="65"/>
        <v>0011-1010-0017</v>
      </c>
      <c r="L1813" s="105" t="str">
        <f>VLOOKUP(K1813,COA!$A$3:$B$337,2,FALSE)</f>
        <v>S11</v>
      </c>
      <c r="M1813" s="105" t="str">
        <f t="shared" si="66"/>
        <v>S11</v>
      </c>
      <c r="N1813" s="105" t="str">
        <f>VLOOKUP(M1813,CAC!$A$2:$B$198,2,FALSE)</f>
        <v>HMOSG</v>
      </c>
    </row>
    <row r="1814" spans="5:14" x14ac:dyDescent="0.25">
      <c r="E1814" s="83">
        <v>201509</v>
      </c>
      <c r="F1814" s="82" t="s">
        <v>506</v>
      </c>
      <c r="G1814" s="82" t="s">
        <v>361</v>
      </c>
      <c r="H1814" s="82" t="s">
        <v>592</v>
      </c>
      <c r="I1814" s="95">
        <v>0</v>
      </c>
      <c r="K1814" s="105" t="str">
        <f t="shared" si="65"/>
        <v>0013-1003-0035</v>
      </c>
      <c r="L1814" s="105" t="str">
        <f>VLOOKUP(K1814,COA!$A$3:$B$337,2,FALSE)</f>
        <v>N32</v>
      </c>
      <c r="M1814" s="105" t="str">
        <f t="shared" si="66"/>
        <v>N32</v>
      </c>
      <c r="N1814" s="105" t="e">
        <f>VLOOKUP(M1814,CAC!$A$2:$B$198,2,FALSE)</f>
        <v>#N/A</v>
      </c>
    </row>
    <row r="1815" spans="5:14" x14ac:dyDescent="0.25">
      <c r="E1815" s="83">
        <v>201607</v>
      </c>
      <c r="F1815" s="82" t="s">
        <v>563</v>
      </c>
      <c r="G1815" s="82" t="s">
        <v>350</v>
      </c>
      <c r="H1815" s="82" t="s">
        <v>626</v>
      </c>
      <c r="I1815" s="95">
        <v>0</v>
      </c>
      <c r="K1815" s="105" t="str">
        <f t="shared" si="65"/>
        <v>0003-1012-0057</v>
      </c>
      <c r="L1815" s="105" t="str">
        <f>VLOOKUP(K1815,COA!$A$3:$B$337,2,FALSE)</f>
        <v>K51</v>
      </c>
      <c r="M1815" s="105" t="str">
        <f t="shared" si="66"/>
        <v>K51</v>
      </c>
      <c r="N1815" s="105" t="str">
        <f>VLOOKUP(M1815,CAC!$A$2:$B$198,2,FALSE)</f>
        <v>PPOPMR</v>
      </c>
    </row>
    <row r="1816" spans="5:14" x14ac:dyDescent="0.25">
      <c r="E1816" s="83">
        <v>201706</v>
      </c>
      <c r="F1816" s="82" t="s">
        <v>344</v>
      </c>
      <c r="G1816" s="82" t="s">
        <v>359</v>
      </c>
      <c r="H1816" s="82" t="s">
        <v>344</v>
      </c>
      <c r="I1816" s="95">
        <v>152</v>
      </c>
      <c r="K1816" s="105" t="str">
        <f t="shared" si="65"/>
        <v>0012-1005-0012</v>
      </c>
      <c r="L1816" s="105" t="str">
        <f>VLOOKUP(K1816,COA!$A$3:$B$337,2,FALSE)</f>
        <v>N13</v>
      </c>
      <c r="M1816" s="105" t="str">
        <f t="shared" si="66"/>
        <v>N13</v>
      </c>
      <c r="N1816" s="105" t="str">
        <f>VLOOKUP(M1816,CAC!$A$2:$B$198,2,FALSE)</f>
        <v>HMOLG</v>
      </c>
    </row>
    <row r="1817" spans="5:14" x14ac:dyDescent="0.25">
      <c r="E1817" s="83">
        <v>201511</v>
      </c>
      <c r="F1817" s="82" t="s">
        <v>405</v>
      </c>
      <c r="G1817" s="82" t="s">
        <v>362</v>
      </c>
      <c r="H1817" s="82" t="s">
        <v>759</v>
      </c>
      <c r="I1817" s="95">
        <v>0</v>
      </c>
      <c r="K1817" s="105" t="str">
        <f t="shared" si="65"/>
        <v>0019-1008-0032</v>
      </c>
      <c r="L1817" s="105" t="str">
        <f>VLOOKUP(K1817,COA!$A$3:$B$337,2,FALSE)</f>
        <v>P58</v>
      </c>
      <c r="M1817" s="105" t="str">
        <f t="shared" si="66"/>
        <v>P58</v>
      </c>
      <c r="N1817" s="105" t="str">
        <f>VLOOKUP(M1817,CAC!$A$2:$B$198,2,FALSE)</f>
        <v>PERMEDA</v>
      </c>
    </row>
    <row r="1818" spans="5:14" x14ac:dyDescent="0.25">
      <c r="E1818" s="83">
        <v>201707</v>
      </c>
      <c r="F1818" s="82" t="s">
        <v>563</v>
      </c>
      <c r="G1818" s="82" t="s">
        <v>365</v>
      </c>
      <c r="H1818" s="82" t="s">
        <v>798</v>
      </c>
      <c r="I1818" s="95">
        <v>0</v>
      </c>
      <c r="K1818" s="105" t="str">
        <f t="shared" si="65"/>
        <v>0003-1001-0065</v>
      </c>
      <c r="L1818" s="105" t="str">
        <f>VLOOKUP(K1818,COA!$A$3:$B$337,2,FALSE)</f>
        <v>V55</v>
      </c>
      <c r="M1818" s="105" t="str">
        <f t="shared" si="66"/>
        <v>V55</v>
      </c>
      <c r="N1818" s="105" t="e">
        <f>VLOOKUP(M1818,CAC!$A$2:$B$198,2,FALSE)</f>
        <v>#N/A</v>
      </c>
    </row>
    <row r="1819" spans="5:14" x14ac:dyDescent="0.25">
      <c r="E1819" s="83">
        <v>201606</v>
      </c>
      <c r="F1819" s="82" t="s">
        <v>344</v>
      </c>
      <c r="G1819" s="82" t="s">
        <v>354</v>
      </c>
      <c r="H1819" s="82" t="s">
        <v>344</v>
      </c>
      <c r="I1819" s="95">
        <v>280</v>
      </c>
      <c r="K1819" s="105" t="str">
        <f t="shared" si="65"/>
        <v>0012-1013-0012</v>
      </c>
      <c r="L1819" s="105" t="str">
        <f>VLOOKUP(K1819,COA!$A$3:$B$337,2,FALSE)</f>
        <v>N14</v>
      </c>
      <c r="M1819" s="105" t="str">
        <f t="shared" si="66"/>
        <v>N14</v>
      </c>
      <c r="N1819" s="105" t="str">
        <f>VLOOKUP(M1819,CAC!$A$2:$B$198,2,FALSE)</f>
        <v>HMOPMR</v>
      </c>
    </row>
    <row r="1820" spans="5:14" x14ac:dyDescent="0.25">
      <c r="E1820" s="83">
        <v>201704</v>
      </c>
      <c r="F1820" s="82" t="s">
        <v>506</v>
      </c>
      <c r="G1820" s="82" t="s">
        <v>361</v>
      </c>
      <c r="H1820" s="82" t="s">
        <v>592</v>
      </c>
      <c r="I1820" s="95">
        <v>0</v>
      </c>
      <c r="K1820" s="105" t="str">
        <f t="shared" si="65"/>
        <v>0013-1003-0035</v>
      </c>
      <c r="L1820" s="105" t="str">
        <f>VLOOKUP(K1820,COA!$A$3:$B$337,2,FALSE)</f>
        <v>N32</v>
      </c>
      <c r="M1820" s="105" t="str">
        <f t="shared" si="66"/>
        <v>N32</v>
      </c>
      <c r="N1820" s="105" t="e">
        <f>VLOOKUP(M1820,CAC!$A$2:$B$198,2,FALSE)</f>
        <v>#N/A</v>
      </c>
    </row>
    <row r="1821" spans="5:14" x14ac:dyDescent="0.25">
      <c r="E1821" s="83">
        <v>201706</v>
      </c>
      <c r="F1821" s="82" t="s">
        <v>349</v>
      </c>
      <c r="G1821" s="82" t="s">
        <v>369</v>
      </c>
      <c r="H1821" s="82" t="s">
        <v>344</v>
      </c>
      <c r="I1821" s="95">
        <v>43817</v>
      </c>
      <c r="K1821" s="105" t="str">
        <f t="shared" si="65"/>
        <v>0017-1009-0012</v>
      </c>
      <c r="L1821" s="105" t="str">
        <f>VLOOKUP(K1821,COA!$A$3:$B$337,2,FALSE)</f>
        <v>R12</v>
      </c>
      <c r="M1821" s="105" t="str">
        <f t="shared" si="66"/>
        <v>R12</v>
      </c>
      <c r="N1821" s="105" t="str">
        <f>VLOOKUP(M1821,CAC!$A$2:$B$198,2,FALSE)</f>
        <v>HMOMM</v>
      </c>
    </row>
    <row r="1822" spans="5:14" x14ac:dyDescent="0.25">
      <c r="E1822" s="83">
        <v>201510</v>
      </c>
      <c r="F1822" s="82" t="s">
        <v>345</v>
      </c>
      <c r="G1822" s="82" t="s">
        <v>362</v>
      </c>
      <c r="H1822" s="82" t="s">
        <v>364</v>
      </c>
      <c r="I1822" s="95">
        <v>39522</v>
      </c>
      <c r="K1822" s="105" t="str">
        <f t="shared" si="65"/>
        <v>0011-1008-0037</v>
      </c>
      <c r="L1822" s="105" t="str">
        <f>VLOOKUP(K1822,COA!$A$3:$B$337,2,FALSE)</f>
        <v>P12</v>
      </c>
      <c r="M1822" s="105" t="str">
        <f t="shared" si="66"/>
        <v>P12</v>
      </c>
      <c r="N1822" s="105" t="str">
        <f>VLOOKUP(M1822,CAC!$A$2:$B$198,2,FALSE)</f>
        <v>HMOPERA</v>
      </c>
    </row>
    <row r="1823" spans="5:14" x14ac:dyDescent="0.25">
      <c r="E1823" s="83">
        <v>201503</v>
      </c>
      <c r="F1823" s="82" t="s">
        <v>342</v>
      </c>
      <c r="G1823" s="82" t="s">
        <v>343</v>
      </c>
      <c r="H1823" s="82" t="s">
        <v>344</v>
      </c>
      <c r="I1823" s="95">
        <v>6645.33</v>
      </c>
      <c r="K1823" s="105" t="str">
        <f t="shared" si="65"/>
        <v>0031-1000-0012</v>
      </c>
      <c r="L1823" s="105" t="str">
        <f>VLOOKUP(K1823,COA!$A$3:$B$337,2,FALSE)</f>
        <v>F27</v>
      </c>
      <c r="M1823" s="105" t="str">
        <f t="shared" si="66"/>
        <v>F27</v>
      </c>
      <c r="N1823" s="105" t="str">
        <f>VLOOKUP(M1823,CAC!$A$2:$B$198,2,FALSE)</f>
        <v>HMOFEP</v>
      </c>
    </row>
    <row r="1824" spans="5:14" x14ac:dyDescent="0.25">
      <c r="E1824" s="83">
        <v>201703</v>
      </c>
      <c r="F1824" s="82" t="s">
        <v>563</v>
      </c>
      <c r="G1824" s="82" t="s">
        <v>361</v>
      </c>
      <c r="H1824" s="82" t="s">
        <v>344</v>
      </c>
      <c r="I1824" s="95">
        <v>0</v>
      </c>
      <c r="K1824" s="105" t="str">
        <f t="shared" si="65"/>
        <v>0003-1003-0012</v>
      </c>
      <c r="L1824" s="105" t="str">
        <f>VLOOKUP(K1824,COA!$A$3:$B$337,2,FALSE)</f>
        <v>N61</v>
      </c>
      <c r="M1824" s="105" t="str">
        <f t="shared" si="66"/>
        <v>N61</v>
      </c>
      <c r="N1824" s="105" t="str">
        <f>VLOOKUP(M1824,CAC!$A$2:$B$198,2,FALSE)</f>
        <v>PPOPMR</v>
      </c>
    </row>
    <row r="1825" spans="5:14" x14ac:dyDescent="0.25">
      <c r="E1825" s="83">
        <v>201604</v>
      </c>
      <c r="F1825" s="82" t="s">
        <v>349</v>
      </c>
      <c r="G1825" s="82" t="s">
        <v>369</v>
      </c>
      <c r="H1825" s="82" t="s">
        <v>344</v>
      </c>
      <c r="I1825" s="95">
        <v>39228</v>
      </c>
      <c r="K1825" s="105" t="str">
        <f t="shared" si="65"/>
        <v>0017-1009-0012</v>
      </c>
      <c r="L1825" s="105" t="str">
        <f>VLOOKUP(K1825,COA!$A$3:$B$337,2,FALSE)</f>
        <v>R12</v>
      </c>
      <c r="M1825" s="105" t="str">
        <f t="shared" si="66"/>
        <v>R12</v>
      </c>
      <c r="N1825" s="105" t="str">
        <f>VLOOKUP(M1825,CAC!$A$2:$B$198,2,FALSE)</f>
        <v>HMOMM</v>
      </c>
    </row>
    <row r="1826" spans="5:14" x14ac:dyDescent="0.25">
      <c r="E1826" s="83">
        <v>201512</v>
      </c>
      <c r="F1826" s="82" t="s">
        <v>349</v>
      </c>
      <c r="G1826" s="82" t="s">
        <v>369</v>
      </c>
      <c r="H1826" s="82" t="s">
        <v>344</v>
      </c>
      <c r="I1826" s="95">
        <v>37200</v>
      </c>
      <c r="K1826" s="105" t="str">
        <f t="shared" si="65"/>
        <v>0017-1009-0012</v>
      </c>
      <c r="L1826" s="105" t="str">
        <f>VLOOKUP(K1826,COA!$A$3:$B$337,2,FALSE)</f>
        <v>R12</v>
      </c>
      <c r="M1826" s="105" t="str">
        <f t="shared" si="66"/>
        <v>R12</v>
      </c>
      <c r="N1826" s="105" t="str">
        <f>VLOOKUP(M1826,CAC!$A$2:$B$198,2,FALSE)</f>
        <v>HMOMM</v>
      </c>
    </row>
    <row r="1827" spans="5:14" x14ac:dyDescent="0.25">
      <c r="E1827" s="83">
        <v>201605</v>
      </c>
      <c r="F1827" s="82" t="s">
        <v>345</v>
      </c>
      <c r="G1827" s="82" t="s">
        <v>350</v>
      </c>
      <c r="H1827" s="82" t="s">
        <v>360</v>
      </c>
      <c r="I1827" s="95">
        <v>6001</v>
      </c>
      <c r="K1827" s="105" t="str">
        <f t="shared" si="65"/>
        <v>0011-1012-0048</v>
      </c>
      <c r="L1827" s="105" t="str">
        <f>VLOOKUP(K1827,COA!$A$3:$B$337,2,FALSE)</f>
        <v>K21</v>
      </c>
      <c r="M1827" s="105" t="str">
        <f t="shared" si="66"/>
        <v>K21</v>
      </c>
      <c r="N1827" s="105" t="str">
        <f>VLOOKUP(M1827,CAC!$A$2:$B$198,2,FALSE)</f>
        <v>HMFLEX</v>
      </c>
    </row>
    <row r="1828" spans="5:14" x14ac:dyDescent="0.25">
      <c r="E1828" s="83">
        <v>201712</v>
      </c>
      <c r="F1828" s="82" t="s">
        <v>345</v>
      </c>
      <c r="G1828" s="82" t="s">
        <v>361</v>
      </c>
      <c r="H1828" s="82" t="s">
        <v>344</v>
      </c>
      <c r="I1828" s="95">
        <v>868</v>
      </c>
      <c r="K1828" s="105" t="str">
        <f t="shared" si="65"/>
        <v>0011-1003-0012</v>
      </c>
      <c r="L1828" s="105" t="str">
        <f>VLOOKUP(K1828,COA!$A$3:$B$337,2,FALSE)</f>
        <v>N16</v>
      </c>
      <c r="M1828" s="105" t="str">
        <f t="shared" si="66"/>
        <v>N16</v>
      </c>
      <c r="N1828" s="105" t="str">
        <f>VLOOKUP(M1828,CAC!$A$2:$B$198,2,FALSE)</f>
        <v>HMOPMR</v>
      </c>
    </row>
    <row r="1829" spans="5:14" x14ac:dyDescent="0.25">
      <c r="E1829" s="83">
        <v>201508</v>
      </c>
      <c r="F1829" s="82" t="s">
        <v>345</v>
      </c>
      <c r="G1829" s="82" t="s">
        <v>361</v>
      </c>
      <c r="H1829" s="82" t="s">
        <v>344</v>
      </c>
      <c r="I1829" s="95">
        <v>268</v>
      </c>
      <c r="K1829" s="105" t="str">
        <f t="shared" si="65"/>
        <v>0011-1003-0012</v>
      </c>
      <c r="L1829" s="105" t="str">
        <f>VLOOKUP(K1829,COA!$A$3:$B$337,2,FALSE)</f>
        <v>N16</v>
      </c>
      <c r="M1829" s="105" t="str">
        <f t="shared" si="66"/>
        <v>N16</v>
      </c>
      <c r="N1829" s="105" t="str">
        <f>VLOOKUP(M1829,CAC!$A$2:$B$198,2,FALSE)</f>
        <v>HMOPMR</v>
      </c>
    </row>
    <row r="1830" spans="5:14" x14ac:dyDescent="0.25">
      <c r="E1830" s="83">
        <v>201706</v>
      </c>
      <c r="F1830" s="82" t="s">
        <v>563</v>
      </c>
      <c r="G1830" s="82" t="s">
        <v>348</v>
      </c>
      <c r="H1830" s="82" t="s">
        <v>358</v>
      </c>
      <c r="I1830" s="95">
        <v>0</v>
      </c>
      <c r="K1830" s="105" t="str">
        <f t="shared" si="65"/>
        <v>0003-1010-0024</v>
      </c>
      <c r="L1830" s="105" t="str">
        <f>VLOOKUP(K1830,COA!$A$3:$B$337,2,FALSE)</f>
        <v>S56</v>
      </c>
      <c r="M1830" s="105" t="str">
        <f t="shared" si="66"/>
        <v>S56</v>
      </c>
      <c r="N1830" s="105" t="str">
        <f>VLOOKUP(M1830,CAC!$A$2:$B$198,2,FALSE)</f>
        <v>PPOSG</v>
      </c>
    </row>
    <row r="1831" spans="5:14" x14ac:dyDescent="0.25">
      <c r="E1831" s="83">
        <v>201603</v>
      </c>
      <c r="F1831" s="82" t="s">
        <v>746</v>
      </c>
      <c r="G1831" s="82" t="s">
        <v>355</v>
      </c>
      <c r="H1831" s="82" t="s">
        <v>344</v>
      </c>
      <c r="I1831" s="95">
        <v>0</v>
      </c>
      <c r="K1831" s="105" t="str">
        <f t="shared" si="65"/>
        <v>0016-1006-0012</v>
      </c>
      <c r="L1831" s="105" t="str">
        <f>VLOOKUP(K1831,COA!$A$3:$B$337,2,FALSE)</f>
        <v>R21</v>
      </c>
      <c r="M1831" s="105" t="str">
        <f t="shared" si="66"/>
        <v>R21</v>
      </c>
      <c r="N1831" s="105" t="str">
        <f>VLOOKUP(M1831,CAC!$A$2:$B$198,2,FALSE)</f>
        <v>HMOMG</v>
      </c>
    </row>
    <row r="1832" spans="5:14" x14ac:dyDescent="0.25">
      <c r="E1832" s="83">
        <v>201610</v>
      </c>
      <c r="F1832" s="82" t="s">
        <v>506</v>
      </c>
      <c r="G1832" s="82" t="s">
        <v>354</v>
      </c>
      <c r="H1832" s="82" t="s">
        <v>592</v>
      </c>
      <c r="I1832" s="95">
        <v>0</v>
      </c>
      <c r="K1832" s="105" t="str">
        <f t="shared" si="65"/>
        <v>0013-1013-0035</v>
      </c>
      <c r="L1832" s="105" t="str">
        <f>VLOOKUP(K1832,COA!$A$3:$B$337,2,FALSE)</f>
        <v>N44</v>
      </c>
      <c r="M1832" s="105" t="str">
        <f t="shared" si="66"/>
        <v>N44</v>
      </c>
      <c r="N1832" s="105" t="e">
        <f>VLOOKUP(M1832,CAC!$A$2:$B$198,2,FALSE)</f>
        <v>#N/A</v>
      </c>
    </row>
    <row r="1833" spans="5:14" x14ac:dyDescent="0.25">
      <c r="E1833" s="83">
        <v>201711</v>
      </c>
      <c r="F1833" s="82" t="s">
        <v>345</v>
      </c>
      <c r="G1833" s="82" t="s">
        <v>346</v>
      </c>
      <c r="H1833" s="82" t="s">
        <v>360</v>
      </c>
      <c r="I1833" s="95">
        <v>340</v>
      </c>
      <c r="K1833" s="105" t="str">
        <f t="shared" si="65"/>
        <v>0011-1014-0048</v>
      </c>
      <c r="L1833" s="105" t="str">
        <f>VLOOKUP(K1833,COA!$A$3:$B$337,2,FALSE)</f>
        <v>K23</v>
      </c>
      <c r="M1833" s="105" t="str">
        <f t="shared" si="66"/>
        <v>K23</v>
      </c>
      <c r="N1833" s="105" t="str">
        <f>VLOOKUP(M1833,CAC!$A$2:$B$198,2,FALSE)</f>
        <v>HMFLEX</v>
      </c>
    </row>
    <row r="1834" spans="5:14" x14ac:dyDescent="0.25">
      <c r="E1834" s="83">
        <v>201608</v>
      </c>
      <c r="F1834" s="82" t="s">
        <v>506</v>
      </c>
      <c r="G1834" s="82" t="s">
        <v>352</v>
      </c>
      <c r="H1834" s="82" t="s">
        <v>592</v>
      </c>
      <c r="I1834" s="95">
        <v>0</v>
      </c>
      <c r="K1834" s="105" t="str">
        <f t="shared" si="65"/>
        <v>0013-1004-0035</v>
      </c>
      <c r="L1834" s="105" t="str">
        <f>VLOOKUP(K1834,COA!$A$3:$B$337,2,FALSE)</f>
        <v>L41</v>
      </c>
      <c r="M1834" s="105" t="str">
        <f t="shared" si="66"/>
        <v>L41</v>
      </c>
      <c r="N1834" s="105" t="e">
        <f>VLOOKUP(M1834,CAC!$A$2:$B$198,2,FALSE)</f>
        <v>#N/A</v>
      </c>
    </row>
    <row r="1835" spans="5:14" x14ac:dyDescent="0.25">
      <c r="E1835" s="83">
        <v>201504</v>
      </c>
      <c r="F1835" s="82" t="s">
        <v>344</v>
      </c>
      <c r="G1835" s="82" t="s">
        <v>352</v>
      </c>
      <c r="H1835" s="82" t="s">
        <v>344</v>
      </c>
      <c r="I1835" s="95">
        <v>272</v>
      </c>
      <c r="K1835" s="105" t="str">
        <f t="shared" si="65"/>
        <v>0012-1004-0012</v>
      </c>
      <c r="L1835" s="105" t="str">
        <f>VLOOKUP(K1835,COA!$A$3:$B$337,2,FALSE)</f>
        <v>L12</v>
      </c>
      <c r="M1835" s="105" t="str">
        <f t="shared" si="66"/>
        <v>L12</v>
      </c>
      <c r="N1835" s="105" t="str">
        <f>VLOOKUP(M1835,CAC!$A$2:$B$198,2,FALSE)</f>
        <v>HMOLG</v>
      </c>
    </row>
    <row r="1836" spans="5:14" x14ac:dyDescent="0.25">
      <c r="E1836" s="83">
        <v>201506</v>
      </c>
      <c r="F1836" s="82" t="s">
        <v>345</v>
      </c>
      <c r="G1836" s="82" t="s">
        <v>348</v>
      </c>
      <c r="H1836" s="82" t="s">
        <v>353</v>
      </c>
      <c r="I1836" s="95">
        <v>332</v>
      </c>
      <c r="K1836" s="105" t="str">
        <f t="shared" si="65"/>
        <v>0011-1010-0023</v>
      </c>
      <c r="L1836" s="105" t="str">
        <f>VLOOKUP(K1836,COA!$A$3:$B$337,2,FALSE)</f>
        <v>S13</v>
      </c>
      <c r="M1836" s="105" t="str">
        <f t="shared" si="66"/>
        <v>S13</v>
      </c>
      <c r="N1836" s="105" t="str">
        <f>VLOOKUP(M1836,CAC!$A$2:$B$198,2,FALSE)</f>
        <v>HMOSG</v>
      </c>
    </row>
    <row r="1837" spans="5:14" x14ac:dyDescent="0.25">
      <c r="E1837" s="83">
        <v>201702</v>
      </c>
      <c r="F1837" s="82" t="s">
        <v>563</v>
      </c>
      <c r="G1837" s="82" t="s">
        <v>354</v>
      </c>
      <c r="H1837" s="82" t="s">
        <v>626</v>
      </c>
      <c r="I1837" s="95">
        <v>0</v>
      </c>
      <c r="K1837" s="105" t="str">
        <f t="shared" si="65"/>
        <v>0003-1013-0057</v>
      </c>
      <c r="L1837" s="105" t="str">
        <f>VLOOKUP(K1837,COA!$A$3:$B$337,2,FALSE)</f>
        <v>N55</v>
      </c>
      <c r="M1837" s="105" t="str">
        <f t="shared" si="66"/>
        <v>N55</v>
      </c>
      <c r="N1837" s="105" t="str">
        <f>VLOOKUP(M1837,CAC!$A$2:$B$198,2,FALSE)</f>
        <v>PPOPMR</v>
      </c>
    </row>
    <row r="1838" spans="5:14" x14ac:dyDescent="0.25">
      <c r="E1838" s="83">
        <v>201511</v>
      </c>
      <c r="F1838" s="82" t="s">
        <v>563</v>
      </c>
      <c r="G1838" s="82" t="s">
        <v>355</v>
      </c>
      <c r="H1838" s="82" t="s">
        <v>344</v>
      </c>
      <c r="I1838" s="95">
        <v>0</v>
      </c>
      <c r="K1838" s="105" t="str">
        <f t="shared" si="65"/>
        <v>0003-1006-0012</v>
      </c>
      <c r="L1838" s="105" t="str">
        <f>VLOOKUP(K1838,COA!$A$3:$B$337,2,FALSE)</f>
        <v>L52</v>
      </c>
      <c r="M1838" s="105" t="str">
        <f t="shared" si="66"/>
        <v>L52</v>
      </c>
      <c r="N1838" s="105" t="str">
        <f>VLOOKUP(M1838,CAC!$A$2:$B$198,2,FALSE)</f>
        <v>PPOLG</v>
      </c>
    </row>
    <row r="1839" spans="5:14" x14ac:dyDescent="0.25">
      <c r="E1839" s="83">
        <v>201604</v>
      </c>
      <c r="F1839" s="82" t="s">
        <v>345</v>
      </c>
      <c r="G1839" s="82" t="s">
        <v>352</v>
      </c>
      <c r="H1839" s="82" t="s">
        <v>344</v>
      </c>
      <c r="I1839" s="95">
        <v>13398.17</v>
      </c>
      <c r="K1839" s="105" t="str">
        <f t="shared" si="65"/>
        <v>0011-1004-0012</v>
      </c>
      <c r="L1839" s="105" t="str">
        <f>VLOOKUP(K1839,COA!$A$3:$B$337,2,FALSE)</f>
        <v>L11</v>
      </c>
      <c r="M1839" s="105" t="str">
        <f t="shared" si="66"/>
        <v>L11</v>
      </c>
      <c r="N1839" s="105" t="str">
        <f>VLOOKUP(M1839,CAC!$A$2:$B$198,2,FALSE)</f>
        <v>HMOLG</v>
      </c>
    </row>
    <row r="1840" spans="5:14" x14ac:dyDescent="0.25">
      <c r="E1840" s="83">
        <v>201511</v>
      </c>
      <c r="F1840" s="82" t="s">
        <v>345</v>
      </c>
      <c r="G1840" s="82" t="s">
        <v>348</v>
      </c>
      <c r="H1840" s="82" t="s">
        <v>353</v>
      </c>
      <c r="I1840" s="95">
        <v>368</v>
      </c>
      <c r="K1840" s="105" t="str">
        <f t="shared" si="65"/>
        <v>0011-1010-0023</v>
      </c>
      <c r="L1840" s="105" t="str">
        <f>VLOOKUP(K1840,COA!$A$3:$B$337,2,FALSE)</f>
        <v>S13</v>
      </c>
      <c r="M1840" s="105" t="str">
        <f t="shared" si="66"/>
        <v>S13</v>
      </c>
      <c r="N1840" s="105" t="str">
        <f>VLOOKUP(M1840,CAC!$A$2:$B$198,2,FALSE)</f>
        <v>HMOSG</v>
      </c>
    </row>
    <row r="1841" spans="5:14" x14ac:dyDescent="0.25">
      <c r="E1841" s="83">
        <v>201505</v>
      </c>
      <c r="F1841" s="82" t="s">
        <v>345</v>
      </c>
      <c r="G1841" s="82" t="s">
        <v>350</v>
      </c>
      <c r="H1841" s="82" t="s">
        <v>344</v>
      </c>
      <c r="I1841" s="95">
        <v>6787.2</v>
      </c>
      <c r="K1841" s="105" t="str">
        <f t="shared" si="65"/>
        <v>0011-1012-0012</v>
      </c>
      <c r="L1841" s="105" t="str">
        <f>VLOOKUP(K1841,COA!$A$3:$B$337,2,FALSE)</f>
        <v>K11</v>
      </c>
      <c r="M1841" s="105" t="str">
        <f t="shared" si="66"/>
        <v>K11</v>
      </c>
      <c r="N1841" s="105" t="str">
        <f>VLOOKUP(M1841,CAC!$A$2:$B$198,2,FALSE)</f>
        <v>HMOPMR</v>
      </c>
    </row>
    <row r="1842" spans="5:14" x14ac:dyDescent="0.25">
      <c r="E1842" s="83">
        <v>201509</v>
      </c>
      <c r="F1842" s="82" t="s">
        <v>345</v>
      </c>
      <c r="G1842" s="82" t="s">
        <v>362</v>
      </c>
      <c r="H1842" s="82" t="s">
        <v>370</v>
      </c>
      <c r="I1842" s="95">
        <v>2299</v>
      </c>
      <c r="K1842" s="105" t="str">
        <f t="shared" si="65"/>
        <v>0011-1008-0055</v>
      </c>
      <c r="L1842" s="105" t="str">
        <f>VLOOKUP(K1842,COA!$A$3:$B$337,2,FALSE)</f>
        <v>P28</v>
      </c>
      <c r="M1842" s="105" t="str">
        <f t="shared" si="66"/>
        <v>P28</v>
      </c>
      <c r="N1842" s="105" t="str">
        <f>VLOOKUP(M1842,CAC!$A$2:$B$198,2,FALSE)</f>
        <v>PERMEDN</v>
      </c>
    </row>
    <row r="1843" spans="5:14" x14ac:dyDescent="0.25">
      <c r="E1843" s="83">
        <v>201511</v>
      </c>
      <c r="F1843" s="82" t="s">
        <v>413</v>
      </c>
      <c r="G1843" s="82" t="s">
        <v>354</v>
      </c>
      <c r="H1843" s="82" t="s">
        <v>344</v>
      </c>
      <c r="I1843" s="95">
        <v>0</v>
      </c>
      <c r="K1843" s="105" t="str">
        <f t="shared" si="65"/>
        <v>0008-1013-0012</v>
      </c>
      <c r="L1843" s="105" t="str">
        <f>VLOOKUP(K1843,COA!$A$3:$B$337,2,FALSE)</f>
        <v>C76</v>
      </c>
      <c r="M1843" s="105" t="str">
        <f t="shared" si="66"/>
        <v>C76</v>
      </c>
      <c r="N1843" s="105" t="str">
        <f>VLOOKUP(M1843,CAC!$A$2:$B$198,2,FALSE)</f>
        <v>DOILG</v>
      </c>
    </row>
    <row r="1844" spans="5:14" x14ac:dyDescent="0.25">
      <c r="E1844" s="83">
        <v>201605</v>
      </c>
      <c r="F1844" s="82" t="s">
        <v>345</v>
      </c>
      <c r="G1844" s="82" t="s">
        <v>346</v>
      </c>
      <c r="H1844" s="82" t="s">
        <v>344</v>
      </c>
      <c r="I1844" s="95">
        <v>0</v>
      </c>
      <c r="K1844" s="105" t="str">
        <f t="shared" si="65"/>
        <v>0011-1014-0012</v>
      </c>
      <c r="L1844" s="105" t="e">
        <f>VLOOKUP(K1844,COA!$A$3:$B$337,2,FALSE)</f>
        <v>#N/A</v>
      </c>
      <c r="M1844" s="105" t="str">
        <f t="shared" si="66"/>
        <v>XXX</v>
      </c>
      <c r="N1844" s="105" t="str">
        <f>VLOOKUP(M1844,CAC!$A$2:$B$198,2,FALSE)</f>
        <v>XXX</v>
      </c>
    </row>
    <row r="1845" spans="5:14" x14ac:dyDescent="0.25">
      <c r="E1845" s="83">
        <v>201605</v>
      </c>
      <c r="F1845" s="82" t="s">
        <v>345</v>
      </c>
      <c r="G1845" s="82" t="s">
        <v>362</v>
      </c>
      <c r="H1845" s="82" t="s">
        <v>363</v>
      </c>
      <c r="I1845" s="95">
        <v>37416</v>
      </c>
      <c r="K1845" s="105" t="str">
        <f t="shared" si="65"/>
        <v>0011-1008-0054</v>
      </c>
      <c r="L1845" s="105" t="str">
        <f>VLOOKUP(K1845,COA!$A$3:$B$337,2,FALSE)</f>
        <v>P23</v>
      </c>
      <c r="M1845" s="105" t="str">
        <f t="shared" si="66"/>
        <v>P23</v>
      </c>
      <c r="N1845" s="105" t="str">
        <f>VLOOKUP(M1845,CAC!$A$2:$B$198,2,FALSE)</f>
        <v>HMOPERN</v>
      </c>
    </row>
    <row r="1846" spans="5:14" x14ac:dyDescent="0.25">
      <c r="E1846" s="83">
        <v>201509</v>
      </c>
      <c r="F1846" s="82" t="s">
        <v>549</v>
      </c>
      <c r="G1846" s="82" t="s">
        <v>356</v>
      </c>
      <c r="H1846" s="82" t="s">
        <v>672</v>
      </c>
      <c r="I1846" s="95">
        <v>0</v>
      </c>
      <c r="K1846" s="105" t="str">
        <f t="shared" si="65"/>
        <v>0026-1002-0058</v>
      </c>
      <c r="L1846" s="105" t="str">
        <f>VLOOKUP(K1846,COA!$A$3:$B$337,2,FALSE)</f>
        <v>L45</v>
      </c>
      <c r="M1846" s="105" t="str">
        <f t="shared" si="66"/>
        <v>L45</v>
      </c>
      <c r="N1846" s="105" t="e">
        <f>VLOOKUP(M1846,CAC!$A$2:$B$198,2,FALSE)</f>
        <v>#N/A</v>
      </c>
    </row>
    <row r="1847" spans="5:14" x14ac:dyDescent="0.25">
      <c r="E1847" s="83">
        <v>201707</v>
      </c>
      <c r="F1847" s="82" t="s">
        <v>506</v>
      </c>
      <c r="G1847" s="82" t="s">
        <v>346</v>
      </c>
      <c r="H1847" s="82" t="s">
        <v>592</v>
      </c>
      <c r="I1847" s="95">
        <v>0</v>
      </c>
      <c r="K1847" s="105" t="str">
        <f t="shared" si="65"/>
        <v>0013-1014-0035</v>
      </c>
      <c r="L1847" s="105" t="str">
        <f>VLOOKUP(K1847,COA!$A$3:$B$337,2,FALSE)</f>
        <v>K42</v>
      </c>
      <c r="M1847" s="105" t="str">
        <f t="shared" si="66"/>
        <v>K42</v>
      </c>
      <c r="N1847" s="105" t="str">
        <f>VLOOKUP(M1847,CAC!$A$2:$B$198,2,FALSE)</f>
        <v>HMFLEX</v>
      </c>
    </row>
    <row r="1848" spans="5:14" x14ac:dyDescent="0.25">
      <c r="E1848" s="83">
        <v>201610</v>
      </c>
      <c r="F1848" s="82" t="s">
        <v>345</v>
      </c>
      <c r="G1848" s="82" t="s">
        <v>352</v>
      </c>
      <c r="H1848" s="82" t="s">
        <v>653</v>
      </c>
      <c r="I1848" s="95">
        <v>0</v>
      </c>
      <c r="K1848" s="105" t="str">
        <f t="shared" si="65"/>
        <v>0011-1004-0047</v>
      </c>
      <c r="L1848" s="105" t="str">
        <f>VLOOKUP(K1848,COA!$A$3:$B$337,2,FALSE)</f>
        <v>L17</v>
      </c>
      <c r="M1848" s="105" t="str">
        <f t="shared" si="66"/>
        <v>L17</v>
      </c>
      <c r="N1848" s="105" t="str">
        <f>VLOOKUP(M1848,CAC!$A$2:$B$198,2,FALSE)</f>
        <v>HMOLG</v>
      </c>
    </row>
    <row r="1849" spans="5:14" x14ac:dyDescent="0.25">
      <c r="E1849" s="83">
        <v>201708</v>
      </c>
      <c r="F1849" s="82" t="s">
        <v>563</v>
      </c>
      <c r="G1849" s="82" t="s">
        <v>348</v>
      </c>
      <c r="H1849" s="82" t="s">
        <v>349</v>
      </c>
      <c r="I1849" s="95">
        <v>0</v>
      </c>
      <c r="K1849" s="105" t="str">
        <f t="shared" si="65"/>
        <v>0003-1010-0017</v>
      </c>
      <c r="L1849" s="105" t="str">
        <f>VLOOKUP(K1849,COA!$A$3:$B$337,2,FALSE)</f>
        <v>S51</v>
      </c>
      <c r="M1849" s="105" t="str">
        <f t="shared" si="66"/>
        <v>S51</v>
      </c>
      <c r="N1849" s="105" t="str">
        <f>VLOOKUP(M1849,CAC!$A$2:$B$198,2,FALSE)</f>
        <v>PPOSG</v>
      </c>
    </row>
    <row r="1850" spans="5:14" x14ac:dyDescent="0.25">
      <c r="E1850" s="83">
        <v>201606</v>
      </c>
      <c r="F1850" s="82" t="s">
        <v>506</v>
      </c>
      <c r="G1850" s="82" t="s">
        <v>361</v>
      </c>
      <c r="H1850" s="82" t="s">
        <v>592</v>
      </c>
      <c r="I1850" s="95">
        <v>0</v>
      </c>
      <c r="K1850" s="105" t="str">
        <f t="shared" si="65"/>
        <v>0013-1003-0035</v>
      </c>
      <c r="L1850" s="105" t="str">
        <f>VLOOKUP(K1850,COA!$A$3:$B$337,2,FALSE)</f>
        <v>N32</v>
      </c>
      <c r="M1850" s="105" t="str">
        <f t="shared" si="66"/>
        <v>N32</v>
      </c>
      <c r="N1850" s="105" t="e">
        <f>VLOOKUP(M1850,CAC!$A$2:$B$198,2,FALSE)</f>
        <v>#N/A</v>
      </c>
    </row>
    <row r="1851" spans="5:14" x14ac:dyDescent="0.25">
      <c r="E1851" s="83">
        <v>201604</v>
      </c>
      <c r="F1851" s="82" t="s">
        <v>506</v>
      </c>
      <c r="G1851" s="82" t="s">
        <v>346</v>
      </c>
      <c r="H1851" s="82" t="s">
        <v>592</v>
      </c>
      <c r="I1851" s="95">
        <v>0</v>
      </c>
      <c r="K1851" s="105" t="str">
        <f t="shared" si="65"/>
        <v>0013-1014-0035</v>
      </c>
      <c r="L1851" s="105" t="str">
        <f>VLOOKUP(K1851,COA!$A$3:$B$337,2,FALSE)</f>
        <v>K42</v>
      </c>
      <c r="M1851" s="105" t="str">
        <f t="shared" si="66"/>
        <v>K42</v>
      </c>
      <c r="N1851" s="105" t="str">
        <f>VLOOKUP(M1851,CAC!$A$2:$B$198,2,FALSE)</f>
        <v>HMFLEX</v>
      </c>
    </row>
    <row r="1852" spans="5:14" x14ac:dyDescent="0.25">
      <c r="E1852" s="83">
        <v>201607</v>
      </c>
      <c r="F1852" s="82" t="s">
        <v>563</v>
      </c>
      <c r="G1852" s="82" t="s">
        <v>351</v>
      </c>
      <c r="H1852" s="82" t="s">
        <v>349</v>
      </c>
      <c r="I1852" s="95">
        <v>0</v>
      </c>
      <c r="K1852" s="105" t="str">
        <f t="shared" si="65"/>
        <v>0003-0000-0017</v>
      </c>
      <c r="L1852" s="105" t="e">
        <f>VLOOKUP(K1852,COA!$A$3:$B$337,2,FALSE)</f>
        <v>#N/A</v>
      </c>
      <c r="M1852" s="105" t="str">
        <f t="shared" si="66"/>
        <v>XXX</v>
      </c>
      <c r="N1852" s="105" t="str">
        <f>VLOOKUP(M1852,CAC!$A$2:$B$198,2,FALSE)</f>
        <v>XXX</v>
      </c>
    </row>
    <row r="1853" spans="5:14" x14ac:dyDescent="0.25">
      <c r="E1853" s="83">
        <v>201509</v>
      </c>
      <c r="F1853" s="82" t="s">
        <v>345</v>
      </c>
      <c r="G1853" s="82" t="s">
        <v>352</v>
      </c>
      <c r="H1853" s="82" t="s">
        <v>344</v>
      </c>
      <c r="I1853" s="95">
        <v>9097.4</v>
      </c>
      <c r="K1853" s="105" t="str">
        <f t="shared" si="65"/>
        <v>0011-1004-0012</v>
      </c>
      <c r="L1853" s="105" t="str">
        <f>VLOOKUP(K1853,COA!$A$3:$B$337,2,FALSE)</f>
        <v>L11</v>
      </c>
      <c r="M1853" s="105" t="str">
        <f t="shared" si="66"/>
        <v>L11</v>
      </c>
      <c r="N1853" s="105" t="str">
        <f>VLOOKUP(M1853,CAC!$A$2:$B$198,2,FALSE)</f>
        <v>HMOLG</v>
      </c>
    </row>
    <row r="1854" spans="5:14" x14ac:dyDescent="0.25">
      <c r="E1854" s="83">
        <v>201702</v>
      </c>
      <c r="F1854" s="82" t="s">
        <v>563</v>
      </c>
      <c r="G1854" s="82" t="s">
        <v>354</v>
      </c>
      <c r="H1854" s="82" t="s">
        <v>344</v>
      </c>
      <c r="I1854" s="95">
        <v>0</v>
      </c>
      <c r="K1854" s="105" t="str">
        <f t="shared" si="65"/>
        <v>0003-1013-0012</v>
      </c>
      <c r="L1854" s="105" t="str">
        <f>VLOOKUP(K1854,COA!$A$3:$B$337,2,FALSE)</f>
        <v>N55</v>
      </c>
      <c r="M1854" s="105" t="str">
        <f t="shared" si="66"/>
        <v>N55</v>
      </c>
      <c r="N1854" s="105" t="str">
        <f>VLOOKUP(M1854,CAC!$A$2:$B$198,2,FALSE)</f>
        <v>PPOPMR</v>
      </c>
    </row>
    <row r="1855" spans="5:14" x14ac:dyDescent="0.25">
      <c r="E1855" s="83">
        <v>201702</v>
      </c>
      <c r="F1855" s="82" t="s">
        <v>413</v>
      </c>
      <c r="G1855" s="82" t="s">
        <v>355</v>
      </c>
      <c r="H1855" s="82" t="s">
        <v>344</v>
      </c>
      <c r="I1855" s="95">
        <v>0</v>
      </c>
      <c r="K1855" s="105" t="str">
        <f t="shared" si="65"/>
        <v>0008-1006-0012</v>
      </c>
      <c r="L1855" s="105" t="str">
        <f>VLOOKUP(K1855,COA!$A$3:$B$337,2,FALSE)</f>
        <v>C96</v>
      </c>
      <c r="M1855" s="105" t="str">
        <f t="shared" si="66"/>
        <v>C96</v>
      </c>
      <c r="N1855" s="105" t="str">
        <f>VLOOKUP(M1855,CAC!$A$2:$B$198,2,FALSE)</f>
        <v>DOILG</v>
      </c>
    </row>
    <row r="1856" spans="5:14" x14ac:dyDescent="0.25">
      <c r="E1856" s="83">
        <v>201509</v>
      </c>
      <c r="F1856" s="82" t="s">
        <v>563</v>
      </c>
      <c r="G1856" s="82" t="s">
        <v>348</v>
      </c>
      <c r="H1856" s="82" t="s">
        <v>358</v>
      </c>
      <c r="I1856" s="95">
        <v>0</v>
      </c>
      <c r="K1856" s="105" t="str">
        <f t="shared" si="65"/>
        <v>0003-1010-0024</v>
      </c>
      <c r="L1856" s="105" t="str">
        <f>VLOOKUP(K1856,COA!$A$3:$B$337,2,FALSE)</f>
        <v>S56</v>
      </c>
      <c r="M1856" s="105" t="str">
        <f t="shared" si="66"/>
        <v>S56</v>
      </c>
      <c r="N1856" s="105" t="str">
        <f>VLOOKUP(M1856,CAC!$A$2:$B$198,2,FALSE)</f>
        <v>PPOSG</v>
      </c>
    </row>
    <row r="1857" spans="5:14" x14ac:dyDescent="0.25">
      <c r="E1857" s="83">
        <v>201510</v>
      </c>
      <c r="F1857" s="82" t="s">
        <v>563</v>
      </c>
      <c r="G1857" s="82" t="s">
        <v>355</v>
      </c>
      <c r="H1857" s="82" t="s">
        <v>344</v>
      </c>
      <c r="I1857" s="95">
        <v>0</v>
      </c>
      <c r="K1857" s="105" t="str">
        <f t="shared" si="65"/>
        <v>0003-1006-0012</v>
      </c>
      <c r="L1857" s="105" t="str">
        <f>VLOOKUP(K1857,COA!$A$3:$B$337,2,FALSE)</f>
        <v>L52</v>
      </c>
      <c r="M1857" s="105" t="str">
        <f t="shared" si="66"/>
        <v>L52</v>
      </c>
      <c r="N1857" s="105" t="str">
        <f>VLOOKUP(M1857,CAC!$A$2:$B$198,2,FALSE)</f>
        <v>PPOLG</v>
      </c>
    </row>
    <row r="1858" spans="5:14" x14ac:dyDescent="0.25">
      <c r="E1858" s="83">
        <v>201712</v>
      </c>
      <c r="F1858" s="82" t="s">
        <v>345</v>
      </c>
      <c r="G1858" s="82" t="s">
        <v>352</v>
      </c>
      <c r="H1858" s="82" t="s">
        <v>360</v>
      </c>
      <c r="I1858" s="95">
        <v>231</v>
      </c>
      <c r="K1858" s="105" t="str">
        <f t="shared" si="65"/>
        <v>0011-1004-0048</v>
      </c>
      <c r="L1858" s="105" t="str">
        <f>VLOOKUP(K1858,COA!$A$3:$B$337,2,FALSE)</f>
        <v>L21</v>
      </c>
      <c r="M1858" s="105" t="str">
        <f t="shared" si="66"/>
        <v>L21</v>
      </c>
      <c r="N1858" s="105" t="str">
        <f>VLOOKUP(M1858,CAC!$A$2:$B$198,2,FALSE)</f>
        <v>HMFLEX</v>
      </c>
    </row>
    <row r="1859" spans="5:14" x14ac:dyDescent="0.25">
      <c r="E1859" s="83">
        <v>201506</v>
      </c>
      <c r="F1859" s="82" t="s">
        <v>563</v>
      </c>
      <c r="G1859" s="82" t="s">
        <v>354</v>
      </c>
      <c r="H1859" s="82" t="s">
        <v>344</v>
      </c>
      <c r="I1859" s="95">
        <v>0</v>
      </c>
      <c r="K1859" s="105" t="str">
        <f t="shared" si="65"/>
        <v>0003-1013-0012</v>
      </c>
      <c r="L1859" s="105" t="str">
        <f>VLOOKUP(K1859,COA!$A$3:$B$337,2,FALSE)</f>
        <v>N55</v>
      </c>
      <c r="M1859" s="105" t="str">
        <f t="shared" si="66"/>
        <v>N55</v>
      </c>
      <c r="N1859" s="105" t="str">
        <f>VLOOKUP(M1859,CAC!$A$2:$B$198,2,FALSE)</f>
        <v>PPOPMR</v>
      </c>
    </row>
    <row r="1860" spans="5:14" x14ac:dyDescent="0.25">
      <c r="E1860" s="83">
        <v>201702</v>
      </c>
      <c r="F1860" s="82" t="s">
        <v>563</v>
      </c>
      <c r="G1860" s="82" t="s">
        <v>359</v>
      </c>
      <c r="H1860" s="82" t="s">
        <v>344</v>
      </c>
      <c r="I1860" s="95">
        <v>0</v>
      </c>
      <c r="K1860" s="105" t="str">
        <f t="shared" ref="K1860:K1923" si="67">F1860&amp;"-"&amp;G1860&amp;"-"&amp;H1860</f>
        <v>0003-1005-0012</v>
      </c>
      <c r="L1860" s="105" t="str">
        <f>VLOOKUP(K1860,COA!$A$3:$B$337,2,FALSE)</f>
        <v>N51</v>
      </c>
      <c r="M1860" s="105" t="str">
        <f t="shared" ref="M1860:M1923" si="68">IF(ISNA(L1860),"XXX",L1860)</f>
        <v>N51</v>
      </c>
      <c r="N1860" s="105" t="str">
        <f>VLOOKUP(M1860,CAC!$A$2:$B$198,2,FALSE)</f>
        <v>PPOLG</v>
      </c>
    </row>
    <row r="1861" spans="5:14" x14ac:dyDescent="0.25">
      <c r="E1861" s="83">
        <v>201509</v>
      </c>
      <c r="F1861" s="82" t="s">
        <v>506</v>
      </c>
      <c r="G1861" s="82" t="s">
        <v>350</v>
      </c>
      <c r="H1861" s="82" t="s">
        <v>592</v>
      </c>
      <c r="I1861" s="95">
        <v>0</v>
      </c>
      <c r="K1861" s="105" t="str">
        <f t="shared" si="67"/>
        <v>0013-1012-0035</v>
      </c>
      <c r="L1861" s="105" t="str">
        <f>VLOOKUP(K1861,COA!$A$3:$B$337,2,FALSE)</f>
        <v>K41</v>
      </c>
      <c r="M1861" s="105" t="str">
        <f t="shared" si="68"/>
        <v>K41</v>
      </c>
      <c r="N1861" s="105" t="e">
        <f>VLOOKUP(M1861,CAC!$A$2:$B$198,2,FALSE)</f>
        <v>#N/A</v>
      </c>
    </row>
    <row r="1862" spans="5:14" x14ac:dyDescent="0.25">
      <c r="E1862" s="83">
        <v>201609</v>
      </c>
      <c r="F1862" s="82" t="s">
        <v>746</v>
      </c>
      <c r="G1862" s="82" t="s">
        <v>354</v>
      </c>
      <c r="H1862" s="82" t="s">
        <v>344</v>
      </c>
      <c r="I1862" s="95">
        <v>80</v>
      </c>
      <c r="K1862" s="105" t="str">
        <f t="shared" si="67"/>
        <v>0016-1013-0012</v>
      </c>
      <c r="L1862" s="105" t="str">
        <f>VLOOKUP(K1862,COA!$A$3:$B$337,2,FALSE)</f>
        <v>R19</v>
      </c>
      <c r="M1862" s="105" t="str">
        <f t="shared" si="68"/>
        <v>R19</v>
      </c>
      <c r="N1862" s="105" t="str">
        <f>VLOOKUP(M1862,CAC!$A$2:$B$198,2,FALSE)</f>
        <v>HMOMG</v>
      </c>
    </row>
    <row r="1863" spans="5:14" x14ac:dyDescent="0.25">
      <c r="E1863" s="83">
        <v>201609</v>
      </c>
      <c r="F1863" s="82" t="s">
        <v>345</v>
      </c>
      <c r="G1863" s="82" t="s">
        <v>352</v>
      </c>
      <c r="H1863" s="82" t="s">
        <v>653</v>
      </c>
      <c r="I1863" s="95">
        <v>0</v>
      </c>
      <c r="K1863" s="105" t="str">
        <f t="shared" si="67"/>
        <v>0011-1004-0047</v>
      </c>
      <c r="L1863" s="105" t="str">
        <f>VLOOKUP(K1863,COA!$A$3:$B$337,2,FALSE)</f>
        <v>L17</v>
      </c>
      <c r="M1863" s="105" t="str">
        <f t="shared" si="68"/>
        <v>L17</v>
      </c>
      <c r="N1863" s="105" t="str">
        <f>VLOOKUP(M1863,CAC!$A$2:$B$198,2,FALSE)</f>
        <v>HMOLG</v>
      </c>
    </row>
    <row r="1864" spans="5:14" x14ac:dyDescent="0.25">
      <c r="E1864" s="83">
        <v>201605</v>
      </c>
      <c r="F1864" s="82" t="s">
        <v>563</v>
      </c>
      <c r="G1864" s="82" t="s">
        <v>348</v>
      </c>
      <c r="H1864" s="82" t="s">
        <v>353</v>
      </c>
      <c r="I1864" s="95">
        <v>0</v>
      </c>
      <c r="K1864" s="105" t="str">
        <f t="shared" si="67"/>
        <v>0003-1010-0023</v>
      </c>
      <c r="L1864" s="105" t="str">
        <f>VLOOKUP(K1864,COA!$A$3:$B$337,2,FALSE)</f>
        <v>S54</v>
      </c>
      <c r="M1864" s="105" t="str">
        <f t="shared" si="68"/>
        <v>S54</v>
      </c>
      <c r="N1864" s="105" t="str">
        <f>VLOOKUP(M1864,CAC!$A$2:$B$198,2,FALSE)</f>
        <v>PPOSG</v>
      </c>
    </row>
    <row r="1865" spans="5:14" x14ac:dyDescent="0.25">
      <c r="E1865" s="83">
        <v>201612</v>
      </c>
      <c r="F1865" s="82" t="s">
        <v>345</v>
      </c>
      <c r="G1865" s="82" t="s">
        <v>354</v>
      </c>
      <c r="H1865" s="82" t="s">
        <v>368</v>
      </c>
      <c r="I1865" s="95">
        <v>0</v>
      </c>
      <c r="K1865" s="105" t="str">
        <f t="shared" si="67"/>
        <v>0011-1013-0056</v>
      </c>
      <c r="L1865" s="105" t="str">
        <f>VLOOKUP(K1865,COA!$A$3:$B$337,2,FALSE)</f>
        <v>N20</v>
      </c>
      <c r="M1865" s="105" t="str">
        <f t="shared" si="68"/>
        <v>N20</v>
      </c>
      <c r="N1865" s="105" t="str">
        <f>VLOOKUP(M1865,CAC!$A$2:$B$198,2,FALSE)</f>
        <v>HMOPMR</v>
      </c>
    </row>
    <row r="1866" spans="5:14" x14ac:dyDescent="0.25">
      <c r="E1866" s="83">
        <v>201705</v>
      </c>
      <c r="F1866" s="82" t="s">
        <v>563</v>
      </c>
      <c r="G1866" s="82" t="s">
        <v>352</v>
      </c>
      <c r="H1866" s="82" t="s">
        <v>626</v>
      </c>
      <c r="I1866" s="95">
        <v>0</v>
      </c>
      <c r="K1866" s="105" t="str">
        <f t="shared" si="67"/>
        <v>0003-1004-0057</v>
      </c>
      <c r="L1866" s="105" t="e">
        <f>VLOOKUP(K1866,COA!$A$3:$B$337,2,FALSE)</f>
        <v>#N/A</v>
      </c>
      <c r="M1866" s="105" t="str">
        <f t="shared" si="68"/>
        <v>XXX</v>
      </c>
      <c r="N1866" s="105" t="str">
        <f>VLOOKUP(M1866,CAC!$A$2:$B$198,2,FALSE)</f>
        <v>XXX</v>
      </c>
    </row>
    <row r="1867" spans="5:14" x14ac:dyDescent="0.25">
      <c r="E1867" s="83">
        <v>201610</v>
      </c>
      <c r="F1867" s="82" t="s">
        <v>345</v>
      </c>
      <c r="G1867" s="82" t="s">
        <v>351</v>
      </c>
      <c r="H1867" s="82" t="s">
        <v>353</v>
      </c>
      <c r="I1867" s="95">
        <v>0</v>
      </c>
      <c r="K1867" s="105" t="str">
        <f t="shared" si="67"/>
        <v>0011-0000-0023</v>
      </c>
      <c r="L1867" s="105" t="e">
        <f>VLOOKUP(K1867,COA!$A$3:$B$337,2,FALSE)</f>
        <v>#N/A</v>
      </c>
      <c r="M1867" s="105" t="str">
        <f t="shared" si="68"/>
        <v>XXX</v>
      </c>
      <c r="N1867" s="105" t="str">
        <f>VLOOKUP(M1867,CAC!$A$2:$B$198,2,FALSE)</f>
        <v>XXX</v>
      </c>
    </row>
    <row r="1868" spans="5:14" x14ac:dyDescent="0.25">
      <c r="E1868" s="83">
        <v>201801</v>
      </c>
      <c r="F1868" s="82" t="s">
        <v>345</v>
      </c>
      <c r="G1868" s="82" t="s">
        <v>346</v>
      </c>
      <c r="H1868" s="82" t="s">
        <v>360</v>
      </c>
      <c r="I1868" s="95">
        <v>366</v>
      </c>
      <c r="K1868" s="105" t="str">
        <f t="shared" si="67"/>
        <v>0011-1014-0048</v>
      </c>
      <c r="L1868" s="105" t="str">
        <f>VLOOKUP(K1868,COA!$A$3:$B$337,2,FALSE)</f>
        <v>K23</v>
      </c>
      <c r="M1868" s="105" t="str">
        <f t="shared" si="68"/>
        <v>K23</v>
      </c>
      <c r="N1868" s="105" t="str">
        <f>VLOOKUP(M1868,CAC!$A$2:$B$198,2,FALSE)</f>
        <v>HMFLEX</v>
      </c>
    </row>
    <row r="1869" spans="5:14" x14ac:dyDescent="0.25">
      <c r="E1869" s="83">
        <v>201712</v>
      </c>
      <c r="F1869" s="82" t="s">
        <v>344</v>
      </c>
      <c r="G1869" s="82" t="s">
        <v>361</v>
      </c>
      <c r="H1869" s="82" t="s">
        <v>344</v>
      </c>
      <c r="I1869" s="95">
        <v>9906.19</v>
      </c>
      <c r="K1869" s="105" t="str">
        <f t="shared" si="67"/>
        <v>0012-1003-0012</v>
      </c>
      <c r="L1869" s="105" t="str">
        <f>VLOOKUP(K1869,COA!$A$3:$B$337,2,FALSE)</f>
        <v>N15</v>
      </c>
      <c r="M1869" s="105" t="str">
        <f t="shared" si="68"/>
        <v>N15</v>
      </c>
      <c r="N1869" s="105" t="str">
        <f>VLOOKUP(M1869,CAC!$A$2:$B$198,2,FALSE)</f>
        <v>HMOPMR</v>
      </c>
    </row>
    <row r="1870" spans="5:14" x14ac:dyDescent="0.25">
      <c r="E1870" s="83">
        <v>201706</v>
      </c>
      <c r="F1870" s="82" t="s">
        <v>549</v>
      </c>
      <c r="G1870" s="82" t="s">
        <v>352</v>
      </c>
      <c r="H1870" s="82" t="s">
        <v>672</v>
      </c>
      <c r="I1870" s="95">
        <v>0</v>
      </c>
      <c r="K1870" s="105" t="str">
        <f t="shared" si="67"/>
        <v>0026-1004-0058</v>
      </c>
      <c r="L1870" s="105" t="str">
        <f>VLOOKUP(K1870,COA!$A$3:$B$337,2,FALSE)</f>
        <v>L44</v>
      </c>
      <c r="M1870" s="105" t="str">
        <f t="shared" si="68"/>
        <v>L44</v>
      </c>
      <c r="N1870" s="105" t="e">
        <f>VLOOKUP(M1870,CAC!$A$2:$B$198,2,FALSE)</f>
        <v>#N/A</v>
      </c>
    </row>
    <row r="1871" spans="5:14" x14ac:dyDescent="0.25">
      <c r="E1871" s="83">
        <v>201706</v>
      </c>
      <c r="F1871" s="82" t="s">
        <v>563</v>
      </c>
      <c r="G1871" s="82" t="s">
        <v>365</v>
      </c>
      <c r="H1871" s="82" t="s">
        <v>798</v>
      </c>
      <c r="I1871" s="95">
        <v>0</v>
      </c>
      <c r="K1871" s="105" t="str">
        <f t="shared" si="67"/>
        <v>0003-1001-0065</v>
      </c>
      <c r="L1871" s="105" t="str">
        <f>VLOOKUP(K1871,COA!$A$3:$B$337,2,FALSE)</f>
        <v>V55</v>
      </c>
      <c r="M1871" s="105" t="str">
        <f t="shared" si="68"/>
        <v>V55</v>
      </c>
      <c r="N1871" s="105" t="e">
        <f>VLOOKUP(M1871,CAC!$A$2:$B$198,2,FALSE)</f>
        <v>#N/A</v>
      </c>
    </row>
    <row r="1872" spans="5:14" x14ac:dyDescent="0.25">
      <c r="E1872" s="83">
        <v>201711</v>
      </c>
      <c r="F1872" s="82" t="s">
        <v>345</v>
      </c>
      <c r="G1872" s="82" t="s">
        <v>352</v>
      </c>
      <c r="H1872" s="82" t="s">
        <v>344</v>
      </c>
      <c r="I1872" s="95">
        <v>13734.95</v>
      </c>
      <c r="K1872" s="105" t="str">
        <f t="shared" si="67"/>
        <v>0011-1004-0012</v>
      </c>
      <c r="L1872" s="105" t="str">
        <f>VLOOKUP(K1872,COA!$A$3:$B$337,2,FALSE)</f>
        <v>L11</v>
      </c>
      <c r="M1872" s="105" t="str">
        <f t="shared" si="68"/>
        <v>L11</v>
      </c>
      <c r="N1872" s="105" t="str">
        <f>VLOOKUP(M1872,CAC!$A$2:$B$198,2,FALSE)</f>
        <v>HMOLG</v>
      </c>
    </row>
    <row r="1873" spans="5:14" x14ac:dyDescent="0.25">
      <c r="E1873" s="83">
        <v>201703</v>
      </c>
      <c r="F1873" s="82" t="s">
        <v>746</v>
      </c>
      <c r="G1873" s="82" t="s">
        <v>354</v>
      </c>
      <c r="H1873" s="82" t="s">
        <v>344</v>
      </c>
      <c r="I1873" s="95">
        <v>79</v>
      </c>
      <c r="K1873" s="105" t="str">
        <f t="shared" si="67"/>
        <v>0016-1013-0012</v>
      </c>
      <c r="L1873" s="105" t="str">
        <f>VLOOKUP(K1873,COA!$A$3:$B$337,2,FALSE)</f>
        <v>R19</v>
      </c>
      <c r="M1873" s="105" t="str">
        <f t="shared" si="68"/>
        <v>R19</v>
      </c>
      <c r="N1873" s="105" t="str">
        <f>VLOOKUP(M1873,CAC!$A$2:$B$198,2,FALSE)</f>
        <v>HMOMG</v>
      </c>
    </row>
    <row r="1874" spans="5:14" x14ac:dyDescent="0.25">
      <c r="E1874" s="83">
        <v>201606</v>
      </c>
      <c r="F1874" s="82" t="s">
        <v>563</v>
      </c>
      <c r="G1874" s="82" t="s">
        <v>350</v>
      </c>
      <c r="H1874" s="82" t="s">
        <v>626</v>
      </c>
      <c r="I1874" s="95">
        <v>0</v>
      </c>
      <c r="K1874" s="105" t="str">
        <f t="shared" si="67"/>
        <v>0003-1012-0057</v>
      </c>
      <c r="L1874" s="105" t="str">
        <f>VLOOKUP(K1874,COA!$A$3:$B$337,2,FALSE)</f>
        <v>K51</v>
      </c>
      <c r="M1874" s="105" t="str">
        <f t="shared" si="68"/>
        <v>K51</v>
      </c>
      <c r="N1874" s="105" t="str">
        <f>VLOOKUP(M1874,CAC!$A$2:$B$198,2,FALSE)</f>
        <v>PPOPMR</v>
      </c>
    </row>
    <row r="1875" spans="5:14" x14ac:dyDescent="0.25">
      <c r="E1875" s="83">
        <v>201608</v>
      </c>
      <c r="F1875" s="82" t="s">
        <v>563</v>
      </c>
      <c r="G1875" s="82" t="s">
        <v>348</v>
      </c>
      <c r="H1875" s="82" t="s">
        <v>349</v>
      </c>
      <c r="I1875" s="95">
        <v>0</v>
      </c>
      <c r="K1875" s="105" t="str">
        <f t="shared" si="67"/>
        <v>0003-1010-0017</v>
      </c>
      <c r="L1875" s="105" t="str">
        <f>VLOOKUP(K1875,COA!$A$3:$B$337,2,FALSE)</f>
        <v>S51</v>
      </c>
      <c r="M1875" s="105" t="str">
        <f t="shared" si="68"/>
        <v>S51</v>
      </c>
      <c r="N1875" s="105" t="str">
        <f>VLOOKUP(M1875,CAC!$A$2:$B$198,2,FALSE)</f>
        <v>PPOSG</v>
      </c>
    </row>
    <row r="1876" spans="5:14" x14ac:dyDescent="0.25">
      <c r="E1876" s="83">
        <v>201507</v>
      </c>
      <c r="F1876" s="82" t="s">
        <v>563</v>
      </c>
      <c r="G1876" s="82" t="s">
        <v>348</v>
      </c>
      <c r="H1876" s="82" t="s">
        <v>349</v>
      </c>
      <c r="I1876" s="95">
        <v>0</v>
      </c>
      <c r="K1876" s="105" t="str">
        <f t="shared" si="67"/>
        <v>0003-1010-0017</v>
      </c>
      <c r="L1876" s="105" t="str">
        <f>VLOOKUP(K1876,COA!$A$3:$B$337,2,FALSE)</f>
        <v>S51</v>
      </c>
      <c r="M1876" s="105" t="str">
        <f t="shared" si="68"/>
        <v>S51</v>
      </c>
      <c r="N1876" s="105" t="str">
        <f>VLOOKUP(M1876,CAC!$A$2:$B$198,2,FALSE)</f>
        <v>PPOSG</v>
      </c>
    </row>
    <row r="1877" spans="5:14" x14ac:dyDescent="0.25">
      <c r="E1877" s="83">
        <v>201512</v>
      </c>
      <c r="F1877" s="82" t="s">
        <v>413</v>
      </c>
      <c r="G1877" s="82" t="s">
        <v>365</v>
      </c>
      <c r="H1877" s="82" t="s">
        <v>344</v>
      </c>
      <c r="I1877" s="95">
        <v>0</v>
      </c>
      <c r="K1877" s="105" t="str">
        <f t="shared" si="67"/>
        <v>0008-1001-0012</v>
      </c>
      <c r="L1877" s="105" t="str">
        <f>VLOOKUP(K1877,COA!$A$3:$B$337,2,FALSE)</f>
        <v>C95</v>
      </c>
      <c r="M1877" s="105" t="str">
        <f t="shared" si="68"/>
        <v>C95</v>
      </c>
      <c r="N1877" s="105" t="str">
        <f>VLOOKUP(M1877,CAC!$A$2:$B$198,2,FALSE)</f>
        <v>DOIIFP</v>
      </c>
    </row>
    <row r="1878" spans="5:14" x14ac:dyDescent="0.25">
      <c r="E1878" s="83">
        <v>201502</v>
      </c>
      <c r="F1878" s="82" t="s">
        <v>746</v>
      </c>
      <c r="G1878" s="82" t="s">
        <v>350</v>
      </c>
      <c r="H1878" s="82" t="s">
        <v>344</v>
      </c>
      <c r="I1878" s="95">
        <v>137</v>
      </c>
      <c r="K1878" s="105" t="str">
        <f t="shared" si="67"/>
        <v>0016-1012-0012</v>
      </c>
      <c r="L1878" s="105" t="str">
        <f>VLOOKUP(K1878,COA!$A$3:$B$337,2,FALSE)</f>
        <v>R19</v>
      </c>
      <c r="M1878" s="105" t="str">
        <f t="shared" si="68"/>
        <v>R19</v>
      </c>
      <c r="N1878" s="105" t="str">
        <f>VLOOKUP(M1878,CAC!$A$2:$B$198,2,FALSE)</f>
        <v>HMOMG</v>
      </c>
    </row>
    <row r="1879" spans="5:14" x14ac:dyDescent="0.25">
      <c r="E1879" s="83">
        <v>201712</v>
      </c>
      <c r="F1879" s="82" t="s">
        <v>563</v>
      </c>
      <c r="G1879" s="82" t="s">
        <v>348</v>
      </c>
      <c r="H1879" s="82" t="s">
        <v>353</v>
      </c>
      <c r="I1879" s="95">
        <v>0</v>
      </c>
      <c r="K1879" s="105" t="str">
        <f t="shared" si="67"/>
        <v>0003-1010-0023</v>
      </c>
      <c r="L1879" s="105" t="str">
        <f>VLOOKUP(K1879,COA!$A$3:$B$337,2,FALSE)</f>
        <v>S54</v>
      </c>
      <c r="M1879" s="105" t="str">
        <f t="shared" si="68"/>
        <v>S54</v>
      </c>
      <c r="N1879" s="105" t="str">
        <f>VLOOKUP(M1879,CAC!$A$2:$B$198,2,FALSE)</f>
        <v>PPOSG</v>
      </c>
    </row>
    <row r="1880" spans="5:14" x14ac:dyDescent="0.25">
      <c r="E1880" s="83">
        <v>201801</v>
      </c>
      <c r="F1880" s="82" t="s">
        <v>413</v>
      </c>
      <c r="G1880" s="82" t="s">
        <v>355</v>
      </c>
      <c r="H1880" s="82" t="s">
        <v>344</v>
      </c>
      <c r="I1880" s="95">
        <v>0</v>
      </c>
      <c r="K1880" s="105" t="str">
        <f t="shared" si="67"/>
        <v>0008-1006-0012</v>
      </c>
      <c r="L1880" s="105" t="str">
        <f>VLOOKUP(K1880,COA!$A$3:$B$337,2,FALSE)</f>
        <v>C96</v>
      </c>
      <c r="M1880" s="105" t="str">
        <f t="shared" si="68"/>
        <v>C96</v>
      </c>
      <c r="N1880" s="105" t="str">
        <f>VLOOKUP(M1880,CAC!$A$2:$B$198,2,FALSE)</f>
        <v>DOILG</v>
      </c>
    </row>
    <row r="1881" spans="5:14" x14ac:dyDescent="0.25">
      <c r="E1881" s="83">
        <v>201710</v>
      </c>
      <c r="F1881" s="82" t="s">
        <v>345</v>
      </c>
      <c r="G1881" s="82" t="s">
        <v>348</v>
      </c>
      <c r="H1881" s="82" t="s">
        <v>353</v>
      </c>
      <c r="I1881" s="95">
        <v>402</v>
      </c>
      <c r="K1881" s="105" t="str">
        <f t="shared" si="67"/>
        <v>0011-1010-0023</v>
      </c>
      <c r="L1881" s="105" t="str">
        <f>VLOOKUP(K1881,COA!$A$3:$B$337,2,FALSE)</f>
        <v>S13</v>
      </c>
      <c r="M1881" s="105" t="str">
        <f t="shared" si="68"/>
        <v>S13</v>
      </c>
      <c r="N1881" s="105" t="str">
        <f>VLOOKUP(M1881,CAC!$A$2:$B$198,2,FALSE)</f>
        <v>HMOSG</v>
      </c>
    </row>
    <row r="1882" spans="5:14" x14ac:dyDescent="0.25">
      <c r="E1882" s="83">
        <v>201612</v>
      </c>
      <c r="F1882" s="82" t="s">
        <v>345</v>
      </c>
      <c r="G1882" s="82" t="s">
        <v>348</v>
      </c>
      <c r="H1882" s="82" t="s">
        <v>353</v>
      </c>
      <c r="I1882" s="95">
        <v>308.13</v>
      </c>
      <c r="K1882" s="105" t="str">
        <f t="shared" si="67"/>
        <v>0011-1010-0023</v>
      </c>
      <c r="L1882" s="105" t="str">
        <f>VLOOKUP(K1882,COA!$A$3:$B$337,2,FALSE)</f>
        <v>S13</v>
      </c>
      <c r="M1882" s="105" t="str">
        <f t="shared" si="68"/>
        <v>S13</v>
      </c>
      <c r="N1882" s="105" t="str">
        <f>VLOOKUP(M1882,CAC!$A$2:$B$198,2,FALSE)</f>
        <v>HMOSG</v>
      </c>
    </row>
    <row r="1883" spans="5:14" x14ac:dyDescent="0.25">
      <c r="E1883" s="83">
        <v>201704</v>
      </c>
      <c r="F1883" s="82" t="s">
        <v>345</v>
      </c>
      <c r="G1883" s="82" t="s">
        <v>346</v>
      </c>
      <c r="H1883" s="82" t="s">
        <v>344</v>
      </c>
      <c r="I1883" s="95">
        <v>0</v>
      </c>
      <c r="K1883" s="105" t="str">
        <f t="shared" si="67"/>
        <v>0011-1014-0012</v>
      </c>
      <c r="L1883" s="105" t="e">
        <f>VLOOKUP(K1883,COA!$A$3:$B$337,2,FALSE)</f>
        <v>#N/A</v>
      </c>
      <c r="M1883" s="105" t="str">
        <f t="shared" si="68"/>
        <v>XXX</v>
      </c>
      <c r="N1883" s="105" t="str">
        <f>VLOOKUP(M1883,CAC!$A$2:$B$198,2,FALSE)</f>
        <v>XXX</v>
      </c>
    </row>
    <row r="1884" spans="5:14" x14ac:dyDescent="0.25">
      <c r="E1884" s="83">
        <v>201510</v>
      </c>
      <c r="F1884" s="82" t="s">
        <v>413</v>
      </c>
      <c r="G1884" s="82" t="s">
        <v>348</v>
      </c>
      <c r="H1884" s="82" t="s">
        <v>349</v>
      </c>
      <c r="I1884" s="95">
        <v>0</v>
      </c>
      <c r="K1884" s="105" t="str">
        <f t="shared" si="67"/>
        <v>0008-1010-0017</v>
      </c>
      <c r="L1884" s="105" t="str">
        <f>VLOOKUP(K1884,COA!$A$3:$B$337,2,FALSE)</f>
        <v>C94</v>
      </c>
      <c r="M1884" s="105" t="str">
        <f t="shared" si="68"/>
        <v>C94</v>
      </c>
      <c r="N1884" s="105" t="str">
        <f>VLOOKUP(M1884,CAC!$A$2:$B$198,2,FALSE)</f>
        <v>DOISG</v>
      </c>
    </row>
    <row r="1885" spans="5:14" x14ac:dyDescent="0.25">
      <c r="E1885" s="83">
        <v>201504</v>
      </c>
      <c r="F1885" s="82" t="s">
        <v>345</v>
      </c>
      <c r="G1885" s="82" t="s">
        <v>346</v>
      </c>
      <c r="H1885" s="82" t="s">
        <v>347</v>
      </c>
      <c r="I1885" s="95">
        <v>11</v>
      </c>
      <c r="K1885" s="105" t="str">
        <f t="shared" si="67"/>
        <v>0011-1014-0039</v>
      </c>
      <c r="L1885" s="105" t="str">
        <f>VLOOKUP(K1885,COA!$A$3:$B$337,2,FALSE)</f>
        <v>K24</v>
      </c>
      <c r="M1885" s="105" t="str">
        <f t="shared" si="68"/>
        <v>K24</v>
      </c>
      <c r="N1885" s="105" t="str">
        <f>VLOOKUP(M1885,CAC!$A$2:$B$198,2,FALSE)</f>
        <v>HMFLEX</v>
      </c>
    </row>
    <row r="1886" spans="5:14" x14ac:dyDescent="0.25">
      <c r="E1886" s="83">
        <v>201511</v>
      </c>
      <c r="F1886" s="82" t="s">
        <v>413</v>
      </c>
      <c r="G1886" s="82" t="s">
        <v>359</v>
      </c>
      <c r="H1886" s="82" t="s">
        <v>344</v>
      </c>
      <c r="I1886" s="95">
        <v>0</v>
      </c>
      <c r="K1886" s="105" t="str">
        <f t="shared" si="67"/>
        <v>0008-1005-0012</v>
      </c>
      <c r="L1886" s="105" t="str">
        <f>VLOOKUP(K1886,COA!$A$3:$B$337,2,FALSE)</f>
        <v>C73</v>
      </c>
      <c r="M1886" s="105" t="str">
        <f t="shared" si="68"/>
        <v>C73</v>
      </c>
      <c r="N1886" s="105" t="str">
        <f>VLOOKUP(M1886,CAC!$A$2:$B$198,2,FALSE)</f>
        <v>DOILG</v>
      </c>
    </row>
    <row r="1887" spans="5:14" x14ac:dyDescent="0.25">
      <c r="E1887" s="83">
        <v>201705</v>
      </c>
      <c r="F1887" s="82" t="s">
        <v>344</v>
      </c>
      <c r="G1887" s="82" t="s">
        <v>352</v>
      </c>
      <c r="H1887" s="82" t="s">
        <v>344</v>
      </c>
      <c r="I1887" s="95">
        <v>893</v>
      </c>
      <c r="K1887" s="105" t="str">
        <f t="shared" si="67"/>
        <v>0012-1004-0012</v>
      </c>
      <c r="L1887" s="105" t="str">
        <f>VLOOKUP(K1887,COA!$A$3:$B$337,2,FALSE)</f>
        <v>L12</v>
      </c>
      <c r="M1887" s="105" t="str">
        <f t="shared" si="68"/>
        <v>L12</v>
      </c>
      <c r="N1887" s="105" t="str">
        <f>VLOOKUP(M1887,CAC!$A$2:$B$198,2,FALSE)</f>
        <v>HMOLG</v>
      </c>
    </row>
    <row r="1888" spans="5:14" x14ac:dyDescent="0.25">
      <c r="E1888" s="83">
        <v>201706</v>
      </c>
      <c r="F1888" s="82" t="s">
        <v>345</v>
      </c>
      <c r="G1888" s="82" t="s">
        <v>352</v>
      </c>
      <c r="H1888" s="82" t="s">
        <v>653</v>
      </c>
      <c r="I1888" s="95">
        <v>0</v>
      </c>
      <c r="K1888" s="105" t="str">
        <f t="shared" si="67"/>
        <v>0011-1004-0047</v>
      </c>
      <c r="L1888" s="105" t="str">
        <f>VLOOKUP(K1888,COA!$A$3:$B$337,2,FALSE)</f>
        <v>L17</v>
      </c>
      <c r="M1888" s="105" t="str">
        <f t="shared" si="68"/>
        <v>L17</v>
      </c>
      <c r="N1888" s="105" t="str">
        <f>VLOOKUP(M1888,CAC!$A$2:$B$198,2,FALSE)</f>
        <v>HMOLG</v>
      </c>
    </row>
    <row r="1889" spans="5:14" x14ac:dyDescent="0.25">
      <c r="E1889" s="83">
        <v>201712</v>
      </c>
      <c r="F1889" s="82" t="s">
        <v>345</v>
      </c>
      <c r="G1889" s="82" t="s">
        <v>346</v>
      </c>
      <c r="H1889" s="82" t="s">
        <v>344</v>
      </c>
      <c r="I1889" s="95">
        <v>0</v>
      </c>
      <c r="K1889" s="105" t="str">
        <f t="shared" si="67"/>
        <v>0011-1014-0012</v>
      </c>
      <c r="L1889" s="105" t="e">
        <f>VLOOKUP(K1889,COA!$A$3:$B$337,2,FALSE)</f>
        <v>#N/A</v>
      </c>
      <c r="M1889" s="105" t="str">
        <f t="shared" si="68"/>
        <v>XXX</v>
      </c>
      <c r="N1889" s="105" t="str">
        <f>VLOOKUP(M1889,CAC!$A$2:$B$198,2,FALSE)</f>
        <v>XXX</v>
      </c>
    </row>
    <row r="1890" spans="5:14" x14ac:dyDescent="0.25">
      <c r="E1890" s="83">
        <v>201801</v>
      </c>
      <c r="F1890" s="82" t="s">
        <v>345</v>
      </c>
      <c r="G1890" s="82" t="s">
        <v>350</v>
      </c>
      <c r="H1890" s="82" t="s">
        <v>344</v>
      </c>
      <c r="I1890" s="95">
        <v>38031.54</v>
      </c>
      <c r="K1890" s="105" t="str">
        <f t="shared" si="67"/>
        <v>0011-1012-0012</v>
      </c>
      <c r="L1890" s="105" t="str">
        <f>VLOOKUP(K1890,COA!$A$3:$B$337,2,FALSE)</f>
        <v>K11</v>
      </c>
      <c r="M1890" s="105" t="str">
        <f t="shared" si="68"/>
        <v>K11</v>
      </c>
      <c r="N1890" s="105" t="str">
        <f>VLOOKUP(M1890,CAC!$A$2:$B$198,2,FALSE)</f>
        <v>HMOPMR</v>
      </c>
    </row>
    <row r="1891" spans="5:14" x14ac:dyDescent="0.25">
      <c r="E1891" s="83">
        <v>201601</v>
      </c>
      <c r="F1891" s="82" t="s">
        <v>563</v>
      </c>
      <c r="G1891" s="82" t="s">
        <v>352</v>
      </c>
      <c r="H1891" s="82" t="s">
        <v>344</v>
      </c>
      <c r="I1891" s="95">
        <v>0</v>
      </c>
      <c r="K1891" s="105" t="str">
        <f t="shared" si="67"/>
        <v>0003-1004-0012</v>
      </c>
      <c r="L1891" s="105" t="str">
        <f>VLOOKUP(K1891,COA!$A$3:$B$337,2,FALSE)</f>
        <v>L51</v>
      </c>
      <c r="M1891" s="105" t="str">
        <f t="shared" si="68"/>
        <v>L51</v>
      </c>
      <c r="N1891" s="105" t="str">
        <f>VLOOKUP(M1891,CAC!$A$2:$B$198,2,FALSE)</f>
        <v>PPOLG</v>
      </c>
    </row>
    <row r="1892" spans="5:14" x14ac:dyDescent="0.25">
      <c r="E1892" s="83">
        <v>201711</v>
      </c>
      <c r="F1892" s="82" t="s">
        <v>549</v>
      </c>
      <c r="G1892" s="82" t="s">
        <v>352</v>
      </c>
      <c r="H1892" s="82" t="s">
        <v>672</v>
      </c>
      <c r="I1892" s="95">
        <v>0</v>
      </c>
      <c r="K1892" s="105" t="str">
        <f t="shared" si="67"/>
        <v>0026-1004-0058</v>
      </c>
      <c r="L1892" s="105" t="str">
        <f>VLOOKUP(K1892,COA!$A$3:$B$337,2,FALSE)</f>
        <v>L44</v>
      </c>
      <c r="M1892" s="105" t="str">
        <f t="shared" si="68"/>
        <v>L44</v>
      </c>
      <c r="N1892" s="105" t="e">
        <f>VLOOKUP(M1892,CAC!$A$2:$B$198,2,FALSE)</f>
        <v>#N/A</v>
      </c>
    </row>
    <row r="1893" spans="5:14" x14ac:dyDescent="0.25">
      <c r="E1893" s="83">
        <v>201701</v>
      </c>
      <c r="F1893" s="82" t="s">
        <v>344</v>
      </c>
      <c r="G1893" s="82" t="s">
        <v>354</v>
      </c>
      <c r="H1893" s="82" t="s">
        <v>344</v>
      </c>
      <c r="I1893" s="95">
        <v>282</v>
      </c>
      <c r="K1893" s="105" t="str">
        <f t="shared" si="67"/>
        <v>0012-1013-0012</v>
      </c>
      <c r="L1893" s="105" t="str">
        <f>VLOOKUP(K1893,COA!$A$3:$B$337,2,FALSE)</f>
        <v>N14</v>
      </c>
      <c r="M1893" s="105" t="str">
        <f t="shared" si="68"/>
        <v>N14</v>
      </c>
      <c r="N1893" s="105" t="str">
        <f>VLOOKUP(M1893,CAC!$A$2:$B$198,2,FALSE)</f>
        <v>HMOPMR</v>
      </c>
    </row>
    <row r="1894" spans="5:14" x14ac:dyDescent="0.25">
      <c r="E1894" s="83">
        <v>201705</v>
      </c>
      <c r="F1894" s="82" t="s">
        <v>344</v>
      </c>
      <c r="G1894" s="82" t="s">
        <v>350</v>
      </c>
      <c r="H1894" s="82" t="s">
        <v>344</v>
      </c>
      <c r="I1894" s="95">
        <v>29</v>
      </c>
      <c r="K1894" s="105" t="str">
        <f t="shared" si="67"/>
        <v>0012-1012-0012</v>
      </c>
      <c r="L1894" s="105" t="str">
        <f>VLOOKUP(K1894,COA!$A$3:$B$337,2,FALSE)</f>
        <v>K12</v>
      </c>
      <c r="M1894" s="105" t="str">
        <f t="shared" si="68"/>
        <v>K12</v>
      </c>
      <c r="N1894" s="105" t="str">
        <f>VLOOKUP(M1894,CAC!$A$2:$B$198,2,FALSE)</f>
        <v>HMOPMR</v>
      </c>
    </row>
    <row r="1895" spans="5:14" x14ac:dyDescent="0.25">
      <c r="E1895" s="83">
        <v>201609</v>
      </c>
      <c r="F1895" s="82" t="s">
        <v>552</v>
      </c>
      <c r="G1895" s="82" t="s">
        <v>356</v>
      </c>
      <c r="H1895" s="82" t="s">
        <v>672</v>
      </c>
      <c r="I1895" s="95">
        <v>0</v>
      </c>
      <c r="K1895" s="105" t="str">
        <f t="shared" si="67"/>
        <v>0027-1002-0058</v>
      </c>
      <c r="L1895" s="105" t="str">
        <f>VLOOKUP(K1895,COA!$A$3:$B$337,2,FALSE)</f>
        <v>L45</v>
      </c>
      <c r="M1895" s="105" t="str">
        <f t="shared" si="68"/>
        <v>L45</v>
      </c>
      <c r="N1895" s="105" t="e">
        <f>VLOOKUP(M1895,CAC!$A$2:$B$198,2,FALSE)</f>
        <v>#N/A</v>
      </c>
    </row>
    <row r="1896" spans="5:14" x14ac:dyDescent="0.25">
      <c r="E1896" s="83">
        <v>201505</v>
      </c>
      <c r="F1896" s="82" t="s">
        <v>746</v>
      </c>
      <c r="G1896" s="82" t="s">
        <v>356</v>
      </c>
      <c r="H1896" s="82" t="s">
        <v>344</v>
      </c>
      <c r="I1896" s="95">
        <v>122</v>
      </c>
      <c r="K1896" s="105" t="str">
        <f t="shared" si="67"/>
        <v>0016-1002-0012</v>
      </c>
      <c r="L1896" s="105" t="str">
        <f>VLOOKUP(K1896,COA!$A$3:$B$337,2,FALSE)</f>
        <v>R18</v>
      </c>
      <c r="M1896" s="105" t="str">
        <f t="shared" si="68"/>
        <v>R18</v>
      </c>
      <c r="N1896" s="105" t="str">
        <f>VLOOKUP(M1896,CAC!$A$2:$B$198,2,FALSE)</f>
        <v>HMOMG</v>
      </c>
    </row>
    <row r="1897" spans="5:14" x14ac:dyDescent="0.25">
      <c r="E1897" s="83">
        <v>201706</v>
      </c>
      <c r="F1897" s="82" t="s">
        <v>344</v>
      </c>
      <c r="G1897" s="82" t="s">
        <v>355</v>
      </c>
      <c r="H1897" s="82" t="s">
        <v>344</v>
      </c>
      <c r="I1897" s="95">
        <v>54</v>
      </c>
      <c r="K1897" s="105" t="str">
        <f t="shared" si="67"/>
        <v>0012-1006-0012</v>
      </c>
      <c r="L1897" s="105" t="str">
        <f>VLOOKUP(K1897,COA!$A$3:$B$337,2,FALSE)</f>
        <v>L16</v>
      </c>
      <c r="M1897" s="105" t="str">
        <f t="shared" si="68"/>
        <v>L16</v>
      </c>
      <c r="N1897" s="105" t="str">
        <f>VLOOKUP(M1897,CAC!$A$2:$B$198,2,FALSE)</f>
        <v>HMOLG</v>
      </c>
    </row>
    <row r="1898" spans="5:14" x14ac:dyDescent="0.25">
      <c r="E1898" s="83">
        <v>201601</v>
      </c>
      <c r="F1898" s="82" t="s">
        <v>413</v>
      </c>
      <c r="G1898" s="82" t="s">
        <v>365</v>
      </c>
      <c r="H1898" s="82" t="s">
        <v>411</v>
      </c>
      <c r="I1898" s="95">
        <v>0</v>
      </c>
      <c r="K1898" s="105" t="str">
        <f t="shared" si="67"/>
        <v>0008-1001-0007</v>
      </c>
      <c r="L1898" s="105" t="str">
        <f>VLOOKUP(K1898,COA!$A$3:$B$337,2,FALSE)</f>
        <v>C99</v>
      </c>
      <c r="M1898" s="105" t="str">
        <f t="shared" si="68"/>
        <v>C99</v>
      </c>
      <c r="N1898" s="105" t="str">
        <f>VLOOKUP(M1898,CAC!$A$2:$B$198,2,FALSE)</f>
        <v>DOIIFP</v>
      </c>
    </row>
    <row r="1899" spans="5:14" x14ac:dyDescent="0.25">
      <c r="E1899" s="83">
        <v>201703</v>
      </c>
      <c r="F1899" s="82" t="s">
        <v>345</v>
      </c>
      <c r="G1899" s="82" t="s">
        <v>355</v>
      </c>
      <c r="H1899" s="82" t="s">
        <v>344</v>
      </c>
      <c r="I1899" s="95">
        <v>15717.03</v>
      </c>
      <c r="K1899" s="105" t="str">
        <f t="shared" si="67"/>
        <v>0011-1006-0012</v>
      </c>
      <c r="L1899" s="105" t="str">
        <f>VLOOKUP(K1899,COA!$A$3:$B$337,2,FALSE)</f>
        <v>L13</v>
      </c>
      <c r="M1899" s="105" t="str">
        <f t="shared" si="68"/>
        <v>L13</v>
      </c>
      <c r="N1899" s="105" t="str">
        <f>VLOOKUP(M1899,CAC!$A$2:$B$198,2,FALSE)</f>
        <v>HMOLG</v>
      </c>
    </row>
    <row r="1900" spans="5:14" x14ac:dyDescent="0.25">
      <c r="E1900" s="83">
        <v>201707</v>
      </c>
      <c r="F1900" s="82" t="s">
        <v>506</v>
      </c>
      <c r="G1900" s="82" t="s">
        <v>354</v>
      </c>
      <c r="H1900" s="82" t="s">
        <v>592</v>
      </c>
      <c r="I1900" s="95">
        <v>0</v>
      </c>
      <c r="K1900" s="105" t="str">
        <f t="shared" si="67"/>
        <v>0013-1013-0035</v>
      </c>
      <c r="L1900" s="105" t="str">
        <f>VLOOKUP(K1900,COA!$A$3:$B$337,2,FALSE)</f>
        <v>N44</v>
      </c>
      <c r="M1900" s="105" t="str">
        <f t="shared" si="68"/>
        <v>N44</v>
      </c>
      <c r="N1900" s="105" t="e">
        <f>VLOOKUP(M1900,CAC!$A$2:$B$198,2,FALSE)</f>
        <v>#N/A</v>
      </c>
    </row>
    <row r="1901" spans="5:14" x14ac:dyDescent="0.25">
      <c r="E1901" s="83">
        <v>201612</v>
      </c>
      <c r="F1901" s="82" t="s">
        <v>563</v>
      </c>
      <c r="G1901" s="82" t="s">
        <v>350</v>
      </c>
      <c r="H1901" s="82" t="s">
        <v>626</v>
      </c>
      <c r="I1901" s="95">
        <v>0</v>
      </c>
      <c r="K1901" s="105" t="str">
        <f t="shared" si="67"/>
        <v>0003-1012-0057</v>
      </c>
      <c r="L1901" s="105" t="str">
        <f>VLOOKUP(K1901,COA!$A$3:$B$337,2,FALSE)</f>
        <v>K51</v>
      </c>
      <c r="M1901" s="105" t="str">
        <f t="shared" si="68"/>
        <v>K51</v>
      </c>
      <c r="N1901" s="105" t="str">
        <f>VLOOKUP(M1901,CAC!$A$2:$B$198,2,FALSE)</f>
        <v>PPOPMR</v>
      </c>
    </row>
    <row r="1902" spans="5:14" x14ac:dyDescent="0.25">
      <c r="E1902" s="83">
        <v>201604</v>
      </c>
      <c r="F1902" s="82" t="s">
        <v>563</v>
      </c>
      <c r="G1902" s="82" t="s">
        <v>365</v>
      </c>
      <c r="H1902" s="82" t="s">
        <v>344</v>
      </c>
      <c r="I1902" s="95">
        <v>0</v>
      </c>
      <c r="K1902" s="105" t="str">
        <f t="shared" si="67"/>
        <v>0003-1001-0012</v>
      </c>
      <c r="L1902" s="105" t="str">
        <f>VLOOKUP(K1902,COA!$A$3:$B$337,2,FALSE)</f>
        <v>V51</v>
      </c>
      <c r="M1902" s="105" t="str">
        <f t="shared" si="68"/>
        <v>V51</v>
      </c>
      <c r="N1902" s="105" t="str">
        <f>VLOOKUP(M1902,CAC!$A$2:$B$198,2,FALSE)</f>
        <v>PPOIFP</v>
      </c>
    </row>
    <row r="1903" spans="5:14" x14ac:dyDescent="0.25">
      <c r="E1903" s="83">
        <v>201511</v>
      </c>
      <c r="F1903" s="82" t="s">
        <v>524</v>
      </c>
      <c r="G1903" s="82" t="s">
        <v>352</v>
      </c>
      <c r="H1903" s="82" t="s">
        <v>672</v>
      </c>
      <c r="I1903" s="95">
        <v>0</v>
      </c>
      <c r="K1903" s="105" t="str">
        <f t="shared" si="67"/>
        <v>0025-1004-0058</v>
      </c>
      <c r="L1903" s="105" t="str">
        <f>VLOOKUP(K1903,COA!$A$3:$B$337,2,FALSE)</f>
        <v>L44</v>
      </c>
      <c r="M1903" s="105" t="str">
        <f t="shared" si="68"/>
        <v>L44</v>
      </c>
      <c r="N1903" s="105" t="e">
        <f>VLOOKUP(M1903,CAC!$A$2:$B$198,2,FALSE)</f>
        <v>#N/A</v>
      </c>
    </row>
    <row r="1904" spans="5:14" x14ac:dyDescent="0.25">
      <c r="E1904" s="83">
        <v>201507</v>
      </c>
      <c r="F1904" s="82" t="s">
        <v>413</v>
      </c>
      <c r="G1904" s="82" t="s">
        <v>359</v>
      </c>
      <c r="H1904" s="82" t="s">
        <v>344</v>
      </c>
      <c r="I1904" s="95">
        <v>0</v>
      </c>
      <c r="K1904" s="105" t="str">
        <f t="shared" si="67"/>
        <v>0008-1005-0012</v>
      </c>
      <c r="L1904" s="105" t="str">
        <f>VLOOKUP(K1904,COA!$A$3:$B$337,2,FALSE)</f>
        <v>C73</v>
      </c>
      <c r="M1904" s="105" t="str">
        <f t="shared" si="68"/>
        <v>C73</v>
      </c>
      <c r="N1904" s="105" t="str">
        <f>VLOOKUP(M1904,CAC!$A$2:$B$198,2,FALSE)</f>
        <v>DOILG</v>
      </c>
    </row>
    <row r="1905" spans="5:14" x14ac:dyDescent="0.25">
      <c r="E1905" s="83">
        <v>201709</v>
      </c>
      <c r="F1905" s="82" t="s">
        <v>344</v>
      </c>
      <c r="G1905" s="82" t="s">
        <v>350</v>
      </c>
      <c r="H1905" s="82" t="s">
        <v>344</v>
      </c>
      <c r="I1905" s="95">
        <v>28</v>
      </c>
      <c r="K1905" s="105" t="str">
        <f t="shared" si="67"/>
        <v>0012-1012-0012</v>
      </c>
      <c r="L1905" s="105" t="str">
        <f>VLOOKUP(K1905,COA!$A$3:$B$337,2,FALSE)</f>
        <v>K12</v>
      </c>
      <c r="M1905" s="105" t="str">
        <f t="shared" si="68"/>
        <v>K12</v>
      </c>
      <c r="N1905" s="105" t="str">
        <f>VLOOKUP(M1905,CAC!$A$2:$B$198,2,FALSE)</f>
        <v>HMOPMR</v>
      </c>
    </row>
    <row r="1906" spans="5:14" x14ac:dyDescent="0.25">
      <c r="E1906" s="83">
        <v>201706</v>
      </c>
      <c r="F1906" s="82" t="s">
        <v>563</v>
      </c>
      <c r="G1906" s="82" t="s">
        <v>359</v>
      </c>
      <c r="H1906" s="82" t="s">
        <v>344</v>
      </c>
      <c r="I1906" s="95">
        <v>0</v>
      </c>
      <c r="K1906" s="105" t="str">
        <f t="shared" si="67"/>
        <v>0003-1005-0012</v>
      </c>
      <c r="L1906" s="105" t="str">
        <f>VLOOKUP(K1906,COA!$A$3:$B$337,2,FALSE)</f>
        <v>N51</v>
      </c>
      <c r="M1906" s="105" t="str">
        <f t="shared" si="68"/>
        <v>N51</v>
      </c>
      <c r="N1906" s="105" t="str">
        <f>VLOOKUP(M1906,CAC!$A$2:$B$198,2,FALSE)</f>
        <v>PPOLG</v>
      </c>
    </row>
    <row r="1907" spans="5:14" x14ac:dyDescent="0.25">
      <c r="E1907" s="83">
        <v>201502</v>
      </c>
      <c r="F1907" s="82" t="s">
        <v>345</v>
      </c>
      <c r="G1907" s="82" t="s">
        <v>351</v>
      </c>
      <c r="H1907" s="82" t="s">
        <v>353</v>
      </c>
      <c r="I1907" s="95">
        <v>1</v>
      </c>
      <c r="K1907" s="105" t="str">
        <f t="shared" si="67"/>
        <v>0011-0000-0023</v>
      </c>
      <c r="L1907" s="105" t="e">
        <f>VLOOKUP(K1907,COA!$A$3:$B$337,2,FALSE)</f>
        <v>#N/A</v>
      </c>
      <c r="M1907" s="105" t="str">
        <f t="shared" si="68"/>
        <v>XXX</v>
      </c>
      <c r="N1907" s="105" t="str">
        <f>VLOOKUP(M1907,CAC!$A$2:$B$198,2,FALSE)</f>
        <v>XXX</v>
      </c>
    </row>
    <row r="1908" spans="5:14" x14ac:dyDescent="0.25">
      <c r="E1908" s="83">
        <v>201704</v>
      </c>
      <c r="F1908" s="82" t="s">
        <v>563</v>
      </c>
      <c r="G1908" s="82" t="s">
        <v>365</v>
      </c>
      <c r="H1908" s="82" t="s">
        <v>366</v>
      </c>
      <c r="I1908" s="95">
        <v>0</v>
      </c>
      <c r="K1908" s="105" t="str">
        <f t="shared" si="67"/>
        <v>0003-1001-0021</v>
      </c>
      <c r="L1908" s="105" t="str">
        <f>VLOOKUP(K1908,COA!$A$3:$B$337,2,FALSE)</f>
        <v>V53</v>
      </c>
      <c r="M1908" s="105" t="str">
        <f t="shared" si="68"/>
        <v>V53</v>
      </c>
      <c r="N1908" s="105" t="str">
        <f>VLOOKUP(M1908,CAC!$A$2:$B$198,2,FALSE)</f>
        <v>PPOIFP</v>
      </c>
    </row>
    <row r="1909" spans="5:14" x14ac:dyDescent="0.25">
      <c r="E1909" s="83">
        <v>201510</v>
      </c>
      <c r="F1909" s="82" t="s">
        <v>345</v>
      </c>
      <c r="G1909" s="82" t="s">
        <v>356</v>
      </c>
      <c r="H1909" s="82" t="s">
        <v>344</v>
      </c>
      <c r="I1909" s="95">
        <v>15166</v>
      </c>
      <c r="K1909" s="105" t="str">
        <f t="shared" si="67"/>
        <v>0011-1002-0012</v>
      </c>
      <c r="L1909" s="105" t="str">
        <f>VLOOKUP(K1909,COA!$A$3:$B$337,2,FALSE)</f>
        <v>F20</v>
      </c>
      <c r="M1909" s="105" t="str">
        <f t="shared" si="68"/>
        <v>F20</v>
      </c>
      <c r="N1909" s="105" t="str">
        <f>VLOOKUP(M1909,CAC!$A$2:$B$198,2,FALSE)</f>
        <v>HMOPMR</v>
      </c>
    </row>
    <row r="1910" spans="5:14" x14ac:dyDescent="0.25">
      <c r="E1910" s="83">
        <v>201602</v>
      </c>
      <c r="F1910" s="82" t="s">
        <v>746</v>
      </c>
      <c r="G1910" s="82" t="s">
        <v>361</v>
      </c>
      <c r="H1910" s="82" t="s">
        <v>344</v>
      </c>
      <c r="I1910" s="95">
        <v>461</v>
      </c>
      <c r="K1910" s="105" t="str">
        <f t="shared" si="67"/>
        <v>0016-1003-0012</v>
      </c>
      <c r="L1910" s="105" t="str">
        <f>VLOOKUP(K1910,COA!$A$3:$B$337,2,FALSE)</f>
        <v>R18</v>
      </c>
      <c r="M1910" s="105" t="str">
        <f t="shared" si="68"/>
        <v>R18</v>
      </c>
      <c r="N1910" s="105" t="str">
        <f>VLOOKUP(M1910,CAC!$A$2:$B$198,2,FALSE)</f>
        <v>HMOMG</v>
      </c>
    </row>
    <row r="1911" spans="5:14" x14ac:dyDescent="0.25">
      <c r="E1911" s="83">
        <v>201606</v>
      </c>
      <c r="F1911" s="82" t="s">
        <v>563</v>
      </c>
      <c r="G1911" s="82" t="s">
        <v>348</v>
      </c>
      <c r="H1911" s="82" t="s">
        <v>349</v>
      </c>
      <c r="I1911" s="95">
        <v>0</v>
      </c>
      <c r="K1911" s="105" t="str">
        <f t="shared" si="67"/>
        <v>0003-1010-0017</v>
      </c>
      <c r="L1911" s="105" t="str">
        <f>VLOOKUP(K1911,COA!$A$3:$B$337,2,FALSE)</f>
        <v>S51</v>
      </c>
      <c r="M1911" s="105" t="str">
        <f t="shared" si="68"/>
        <v>S51</v>
      </c>
      <c r="N1911" s="105" t="str">
        <f>VLOOKUP(M1911,CAC!$A$2:$B$198,2,FALSE)</f>
        <v>PPOSG</v>
      </c>
    </row>
    <row r="1912" spans="5:14" x14ac:dyDescent="0.25">
      <c r="E1912" s="83">
        <v>201507</v>
      </c>
      <c r="F1912" s="82" t="s">
        <v>563</v>
      </c>
      <c r="G1912" s="82" t="s">
        <v>355</v>
      </c>
      <c r="H1912" s="82" t="s">
        <v>344</v>
      </c>
      <c r="I1912" s="95">
        <v>0</v>
      </c>
      <c r="K1912" s="105" t="str">
        <f t="shared" si="67"/>
        <v>0003-1006-0012</v>
      </c>
      <c r="L1912" s="105" t="str">
        <f>VLOOKUP(K1912,COA!$A$3:$B$337,2,FALSE)</f>
        <v>L52</v>
      </c>
      <c r="M1912" s="105" t="str">
        <f t="shared" si="68"/>
        <v>L52</v>
      </c>
      <c r="N1912" s="105" t="str">
        <f>VLOOKUP(M1912,CAC!$A$2:$B$198,2,FALSE)</f>
        <v>PPOLG</v>
      </c>
    </row>
    <row r="1913" spans="5:14" x14ac:dyDescent="0.25">
      <c r="E1913" s="83">
        <v>201712</v>
      </c>
      <c r="F1913" s="82" t="s">
        <v>345</v>
      </c>
      <c r="G1913" s="82" t="s">
        <v>350</v>
      </c>
      <c r="H1913" s="82" t="s">
        <v>360</v>
      </c>
      <c r="I1913" s="95">
        <v>10518</v>
      </c>
      <c r="K1913" s="105" t="str">
        <f t="shared" si="67"/>
        <v>0011-1012-0048</v>
      </c>
      <c r="L1913" s="105" t="str">
        <f>VLOOKUP(K1913,COA!$A$3:$B$337,2,FALSE)</f>
        <v>K21</v>
      </c>
      <c r="M1913" s="105" t="str">
        <f t="shared" si="68"/>
        <v>K21</v>
      </c>
      <c r="N1913" s="105" t="str">
        <f>VLOOKUP(M1913,CAC!$A$2:$B$198,2,FALSE)</f>
        <v>HMFLEX</v>
      </c>
    </row>
    <row r="1914" spans="5:14" x14ac:dyDescent="0.25">
      <c r="E1914" s="83">
        <v>201512</v>
      </c>
      <c r="F1914" s="82" t="s">
        <v>506</v>
      </c>
      <c r="G1914" s="82" t="s">
        <v>361</v>
      </c>
      <c r="H1914" s="82" t="s">
        <v>592</v>
      </c>
      <c r="I1914" s="95">
        <v>0</v>
      </c>
      <c r="K1914" s="105" t="str">
        <f t="shared" si="67"/>
        <v>0013-1003-0035</v>
      </c>
      <c r="L1914" s="105" t="str">
        <f>VLOOKUP(K1914,COA!$A$3:$B$337,2,FALSE)</f>
        <v>N32</v>
      </c>
      <c r="M1914" s="105" t="str">
        <f t="shared" si="68"/>
        <v>N32</v>
      </c>
      <c r="N1914" s="105" t="e">
        <f>VLOOKUP(M1914,CAC!$A$2:$B$198,2,FALSE)</f>
        <v>#N/A</v>
      </c>
    </row>
    <row r="1915" spans="5:14" x14ac:dyDescent="0.25">
      <c r="E1915" s="83">
        <v>201611</v>
      </c>
      <c r="F1915" s="82" t="s">
        <v>345</v>
      </c>
      <c r="G1915" s="82" t="s">
        <v>346</v>
      </c>
      <c r="H1915" s="82" t="s">
        <v>360</v>
      </c>
      <c r="I1915" s="95">
        <v>353</v>
      </c>
      <c r="K1915" s="105" t="str">
        <f t="shared" si="67"/>
        <v>0011-1014-0048</v>
      </c>
      <c r="L1915" s="105" t="str">
        <f>VLOOKUP(K1915,COA!$A$3:$B$337,2,FALSE)</f>
        <v>K23</v>
      </c>
      <c r="M1915" s="105" t="str">
        <f t="shared" si="68"/>
        <v>K23</v>
      </c>
      <c r="N1915" s="105" t="str">
        <f>VLOOKUP(M1915,CAC!$A$2:$B$198,2,FALSE)</f>
        <v>HMFLEX</v>
      </c>
    </row>
    <row r="1916" spans="5:14" x14ac:dyDescent="0.25">
      <c r="E1916" s="83">
        <v>201511</v>
      </c>
      <c r="F1916" s="82" t="s">
        <v>345</v>
      </c>
      <c r="G1916" s="82" t="s">
        <v>354</v>
      </c>
      <c r="H1916" s="82" t="s">
        <v>360</v>
      </c>
      <c r="I1916" s="95">
        <v>610</v>
      </c>
      <c r="K1916" s="105" t="str">
        <f t="shared" si="67"/>
        <v>0011-1013-0048</v>
      </c>
      <c r="L1916" s="105" t="str">
        <f>VLOOKUP(K1916,COA!$A$3:$B$337,2,FALSE)</f>
        <v>N21</v>
      </c>
      <c r="M1916" s="105" t="str">
        <f t="shared" si="68"/>
        <v>N21</v>
      </c>
      <c r="N1916" s="105" t="str">
        <f>VLOOKUP(M1916,CAC!$A$2:$B$198,2,FALSE)</f>
        <v>HMFLEX</v>
      </c>
    </row>
    <row r="1917" spans="5:14" x14ac:dyDescent="0.25">
      <c r="E1917" s="83">
        <v>201610</v>
      </c>
      <c r="F1917" s="82" t="s">
        <v>344</v>
      </c>
      <c r="G1917" s="82" t="s">
        <v>359</v>
      </c>
      <c r="H1917" s="82" t="s">
        <v>344</v>
      </c>
      <c r="I1917" s="95">
        <v>134</v>
      </c>
      <c r="K1917" s="105" t="str">
        <f t="shared" si="67"/>
        <v>0012-1005-0012</v>
      </c>
      <c r="L1917" s="105" t="str">
        <f>VLOOKUP(K1917,COA!$A$3:$B$337,2,FALSE)</f>
        <v>N13</v>
      </c>
      <c r="M1917" s="105" t="str">
        <f t="shared" si="68"/>
        <v>N13</v>
      </c>
      <c r="N1917" s="105" t="str">
        <f>VLOOKUP(M1917,CAC!$A$2:$B$198,2,FALSE)</f>
        <v>HMOLG</v>
      </c>
    </row>
    <row r="1918" spans="5:14" x14ac:dyDescent="0.25">
      <c r="E1918" s="83">
        <v>201601</v>
      </c>
      <c r="F1918" s="82" t="s">
        <v>746</v>
      </c>
      <c r="G1918" s="82" t="s">
        <v>361</v>
      </c>
      <c r="H1918" s="82" t="s">
        <v>344</v>
      </c>
      <c r="I1918" s="95">
        <v>455</v>
      </c>
      <c r="K1918" s="105" t="str">
        <f t="shared" si="67"/>
        <v>0016-1003-0012</v>
      </c>
      <c r="L1918" s="105" t="str">
        <f>VLOOKUP(K1918,COA!$A$3:$B$337,2,FALSE)</f>
        <v>R18</v>
      </c>
      <c r="M1918" s="105" t="str">
        <f t="shared" si="68"/>
        <v>R18</v>
      </c>
      <c r="N1918" s="105" t="str">
        <f>VLOOKUP(M1918,CAC!$A$2:$B$198,2,FALSE)</f>
        <v>HMOMG</v>
      </c>
    </row>
    <row r="1919" spans="5:14" x14ac:dyDescent="0.25">
      <c r="E1919" s="83">
        <v>201602</v>
      </c>
      <c r="F1919" s="82" t="s">
        <v>344</v>
      </c>
      <c r="G1919" s="82" t="s">
        <v>354</v>
      </c>
      <c r="H1919" s="82" t="s">
        <v>344</v>
      </c>
      <c r="I1919" s="95">
        <v>272</v>
      </c>
      <c r="K1919" s="105" t="str">
        <f t="shared" si="67"/>
        <v>0012-1013-0012</v>
      </c>
      <c r="L1919" s="105" t="str">
        <f>VLOOKUP(K1919,COA!$A$3:$B$337,2,FALSE)</f>
        <v>N14</v>
      </c>
      <c r="M1919" s="105" t="str">
        <f t="shared" si="68"/>
        <v>N14</v>
      </c>
      <c r="N1919" s="105" t="str">
        <f>VLOOKUP(M1919,CAC!$A$2:$B$198,2,FALSE)</f>
        <v>HMOPMR</v>
      </c>
    </row>
    <row r="1920" spans="5:14" x14ac:dyDescent="0.25">
      <c r="E1920" s="83">
        <v>201707</v>
      </c>
      <c r="F1920" s="82" t="s">
        <v>563</v>
      </c>
      <c r="G1920" s="82" t="s">
        <v>348</v>
      </c>
      <c r="H1920" s="82" t="s">
        <v>358</v>
      </c>
      <c r="I1920" s="95">
        <v>0</v>
      </c>
      <c r="K1920" s="105" t="str">
        <f t="shared" si="67"/>
        <v>0003-1010-0024</v>
      </c>
      <c r="L1920" s="105" t="str">
        <f>VLOOKUP(K1920,COA!$A$3:$B$337,2,FALSE)</f>
        <v>S56</v>
      </c>
      <c r="M1920" s="105" t="str">
        <f t="shared" si="68"/>
        <v>S56</v>
      </c>
      <c r="N1920" s="105" t="str">
        <f>VLOOKUP(M1920,CAC!$A$2:$B$198,2,FALSE)</f>
        <v>PPOSG</v>
      </c>
    </row>
    <row r="1921" spans="5:14" x14ac:dyDescent="0.25">
      <c r="E1921" s="83">
        <v>201801</v>
      </c>
      <c r="F1921" s="82" t="s">
        <v>506</v>
      </c>
      <c r="G1921" s="82" t="s">
        <v>346</v>
      </c>
      <c r="H1921" s="82" t="s">
        <v>592</v>
      </c>
      <c r="I1921" s="95">
        <v>0</v>
      </c>
      <c r="K1921" s="105" t="str">
        <f t="shared" si="67"/>
        <v>0013-1014-0035</v>
      </c>
      <c r="L1921" s="105" t="str">
        <f>VLOOKUP(K1921,COA!$A$3:$B$337,2,FALSE)</f>
        <v>K42</v>
      </c>
      <c r="M1921" s="105" t="str">
        <f t="shared" si="68"/>
        <v>K42</v>
      </c>
      <c r="N1921" s="105" t="str">
        <f>VLOOKUP(M1921,CAC!$A$2:$B$198,2,FALSE)</f>
        <v>HMFLEX</v>
      </c>
    </row>
    <row r="1922" spans="5:14" x14ac:dyDescent="0.25">
      <c r="E1922" s="83">
        <v>201508</v>
      </c>
      <c r="F1922" s="82" t="s">
        <v>344</v>
      </c>
      <c r="G1922" s="82" t="s">
        <v>355</v>
      </c>
      <c r="H1922" s="82" t="s">
        <v>344</v>
      </c>
      <c r="I1922" s="95">
        <v>237</v>
      </c>
      <c r="K1922" s="105" t="str">
        <f t="shared" si="67"/>
        <v>0012-1006-0012</v>
      </c>
      <c r="L1922" s="105" t="str">
        <f>VLOOKUP(K1922,COA!$A$3:$B$337,2,FALSE)</f>
        <v>L16</v>
      </c>
      <c r="M1922" s="105" t="str">
        <f t="shared" si="68"/>
        <v>L16</v>
      </c>
      <c r="N1922" s="105" t="str">
        <f>VLOOKUP(M1922,CAC!$A$2:$B$198,2,FALSE)</f>
        <v>HMOLG</v>
      </c>
    </row>
    <row r="1923" spans="5:14" x14ac:dyDescent="0.25">
      <c r="E1923" s="83">
        <v>201608</v>
      </c>
      <c r="F1923" s="82" t="s">
        <v>345</v>
      </c>
      <c r="G1923" s="82" t="s">
        <v>352</v>
      </c>
      <c r="H1923" s="82" t="s">
        <v>357</v>
      </c>
      <c r="I1923" s="95">
        <v>292</v>
      </c>
      <c r="K1923" s="105" t="str">
        <f t="shared" si="67"/>
        <v>0011-1004-0038</v>
      </c>
      <c r="L1923" s="105" t="str">
        <f>VLOOKUP(K1923,COA!$A$3:$B$337,2,FALSE)</f>
        <v>L14</v>
      </c>
      <c r="M1923" s="105" t="str">
        <f t="shared" si="68"/>
        <v>L14</v>
      </c>
      <c r="N1923" s="105" t="str">
        <f>VLOOKUP(M1923,CAC!$A$2:$B$198,2,FALSE)</f>
        <v>HMOLG</v>
      </c>
    </row>
    <row r="1924" spans="5:14" x14ac:dyDescent="0.25">
      <c r="E1924" s="83">
        <v>201505</v>
      </c>
      <c r="F1924" s="82" t="s">
        <v>563</v>
      </c>
      <c r="G1924" s="82" t="s">
        <v>365</v>
      </c>
      <c r="H1924" s="82" t="s">
        <v>411</v>
      </c>
      <c r="I1924" s="95">
        <v>0</v>
      </c>
      <c r="K1924" s="105" t="str">
        <f t="shared" ref="K1924:K1987" si="69">F1924&amp;"-"&amp;G1924&amp;"-"&amp;H1924</f>
        <v>0003-1001-0007</v>
      </c>
      <c r="L1924" s="105" t="str">
        <f>VLOOKUP(K1924,COA!$A$3:$B$337,2,FALSE)</f>
        <v>V52</v>
      </c>
      <c r="M1924" s="105" t="str">
        <f t="shared" ref="M1924:M1987" si="70">IF(ISNA(L1924),"XXX",L1924)</f>
        <v>V52</v>
      </c>
      <c r="N1924" s="105" t="str">
        <f>VLOOKUP(M1924,CAC!$A$2:$B$198,2,FALSE)</f>
        <v>PPOIFP</v>
      </c>
    </row>
    <row r="1925" spans="5:14" x14ac:dyDescent="0.25">
      <c r="E1925" s="83">
        <v>201505</v>
      </c>
      <c r="F1925" s="82" t="s">
        <v>349</v>
      </c>
      <c r="G1925" s="82" t="s">
        <v>369</v>
      </c>
      <c r="H1925" s="82" t="s">
        <v>344</v>
      </c>
      <c r="I1925" s="95">
        <v>36336.58</v>
      </c>
      <c r="K1925" s="105" t="str">
        <f t="shared" si="69"/>
        <v>0017-1009-0012</v>
      </c>
      <c r="L1925" s="105" t="str">
        <f>VLOOKUP(K1925,COA!$A$3:$B$337,2,FALSE)</f>
        <v>R12</v>
      </c>
      <c r="M1925" s="105" t="str">
        <f t="shared" si="70"/>
        <v>R12</v>
      </c>
      <c r="N1925" s="105" t="str">
        <f>VLOOKUP(M1925,CAC!$A$2:$B$198,2,FALSE)</f>
        <v>HMOMM</v>
      </c>
    </row>
    <row r="1926" spans="5:14" x14ac:dyDescent="0.25">
      <c r="E1926" s="83">
        <v>201604</v>
      </c>
      <c r="F1926" s="82" t="s">
        <v>342</v>
      </c>
      <c r="G1926" s="82" t="s">
        <v>343</v>
      </c>
      <c r="H1926" s="82" t="s">
        <v>344</v>
      </c>
      <c r="I1926" s="95">
        <v>6089.74</v>
      </c>
      <c r="K1926" s="105" t="str">
        <f t="shared" si="69"/>
        <v>0031-1000-0012</v>
      </c>
      <c r="L1926" s="105" t="str">
        <f>VLOOKUP(K1926,COA!$A$3:$B$337,2,FALSE)</f>
        <v>F27</v>
      </c>
      <c r="M1926" s="105" t="str">
        <f t="shared" si="70"/>
        <v>F27</v>
      </c>
      <c r="N1926" s="105" t="str">
        <f>VLOOKUP(M1926,CAC!$A$2:$B$198,2,FALSE)</f>
        <v>HMOFEP</v>
      </c>
    </row>
    <row r="1927" spans="5:14" x14ac:dyDescent="0.25">
      <c r="E1927" s="83">
        <v>201709</v>
      </c>
      <c r="F1927" s="82" t="s">
        <v>345</v>
      </c>
      <c r="G1927" s="82" t="s">
        <v>352</v>
      </c>
      <c r="H1927" s="82" t="s">
        <v>344</v>
      </c>
      <c r="I1927" s="95">
        <v>10609.82</v>
      </c>
      <c r="K1927" s="105" t="str">
        <f t="shared" si="69"/>
        <v>0011-1004-0012</v>
      </c>
      <c r="L1927" s="105" t="str">
        <f>VLOOKUP(K1927,COA!$A$3:$B$337,2,FALSE)</f>
        <v>L11</v>
      </c>
      <c r="M1927" s="105" t="str">
        <f t="shared" si="70"/>
        <v>L11</v>
      </c>
      <c r="N1927" s="105" t="str">
        <f>VLOOKUP(M1927,CAC!$A$2:$B$198,2,FALSE)</f>
        <v>HMOLG</v>
      </c>
    </row>
    <row r="1928" spans="5:14" x14ac:dyDescent="0.25">
      <c r="E1928" s="83">
        <v>201505</v>
      </c>
      <c r="F1928" s="82" t="s">
        <v>344</v>
      </c>
      <c r="G1928" s="82" t="s">
        <v>355</v>
      </c>
      <c r="H1928" s="82" t="s">
        <v>344</v>
      </c>
      <c r="I1928" s="95">
        <v>254.91</v>
      </c>
      <c r="K1928" s="105" t="str">
        <f t="shared" si="69"/>
        <v>0012-1006-0012</v>
      </c>
      <c r="L1928" s="105" t="str">
        <f>VLOOKUP(K1928,COA!$A$3:$B$337,2,FALSE)</f>
        <v>L16</v>
      </c>
      <c r="M1928" s="105" t="str">
        <f t="shared" si="70"/>
        <v>L16</v>
      </c>
      <c r="N1928" s="105" t="str">
        <f>VLOOKUP(M1928,CAC!$A$2:$B$198,2,FALSE)</f>
        <v>HMOLG</v>
      </c>
    </row>
    <row r="1929" spans="5:14" x14ac:dyDescent="0.25">
      <c r="E1929" s="83">
        <v>201503</v>
      </c>
      <c r="F1929" s="82" t="s">
        <v>344</v>
      </c>
      <c r="G1929" s="82" t="s">
        <v>355</v>
      </c>
      <c r="H1929" s="82" t="s">
        <v>344</v>
      </c>
      <c r="I1929" s="95">
        <v>315.97000000000003</v>
      </c>
      <c r="K1929" s="105" t="str">
        <f t="shared" si="69"/>
        <v>0012-1006-0012</v>
      </c>
      <c r="L1929" s="105" t="str">
        <f>VLOOKUP(K1929,COA!$A$3:$B$337,2,FALSE)</f>
        <v>L16</v>
      </c>
      <c r="M1929" s="105" t="str">
        <f t="shared" si="70"/>
        <v>L16</v>
      </c>
      <c r="N1929" s="105" t="str">
        <f>VLOOKUP(M1929,CAC!$A$2:$B$198,2,FALSE)</f>
        <v>HMOLG</v>
      </c>
    </row>
    <row r="1930" spans="5:14" x14ac:dyDescent="0.25">
      <c r="E1930" s="83">
        <v>201704</v>
      </c>
      <c r="F1930" s="82" t="s">
        <v>345</v>
      </c>
      <c r="G1930" s="82" t="s">
        <v>362</v>
      </c>
      <c r="H1930" s="82" t="s">
        <v>364</v>
      </c>
      <c r="I1930" s="95">
        <v>47680.5</v>
      </c>
      <c r="K1930" s="105" t="str">
        <f t="shared" si="69"/>
        <v>0011-1008-0037</v>
      </c>
      <c r="L1930" s="105" t="str">
        <f>VLOOKUP(K1930,COA!$A$3:$B$337,2,FALSE)</f>
        <v>P12</v>
      </c>
      <c r="M1930" s="105" t="str">
        <f t="shared" si="70"/>
        <v>P12</v>
      </c>
      <c r="N1930" s="105" t="str">
        <f>VLOOKUP(M1930,CAC!$A$2:$B$198,2,FALSE)</f>
        <v>HMOPERA</v>
      </c>
    </row>
    <row r="1931" spans="5:14" x14ac:dyDescent="0.25">
      <c r="E1931" s="83">
        <v>201801</v>
      </c>
      <c r="F1931" s="82" t="s">
        <v>345</v>
      </c>
      <c r="G1931" s="82" t="s">
        <v>362</v>
      </c>
      <c r="H1931" s="82" t="s">
        <v>364</v>
      </c>
      <c r="I1931" s="95">
        <v>50005.89</v>
      </c>
      <c r="K1931" s="105" t="str">
        <f t="shared" si="69"/>
        <v>0011-1008-0037</v>
      </c>
      <c r="L1931" s="105" t="str">
        <f>VLOOKUP(K1931,COA!$A$3:$B$337,2,FALSE)</f>
        <v>P12</v>
      </c>
      <c r="M1931" s="105" t="str">
        <f t="shared" si="70"/>
        <v>P12</v>
      </c>
      <c r="N1931" s="105" t="str">
        <f>VLOOKUP(M1931,CAC!$A$2:$B$198,2,FALSE)</f>
        <v>HMOPERA</v>
      </c>
    </row>
    <row r="1932" spans="5:14" x14ac:dyDescent="0.25">
      <c r="E1932" s="83">
        <v>201511</v>
      </c>
      <c r="F1932" s="82" t="s">
        <v>345</v>
      </c>
      <c r="G1932" s="82" t="s">
        <v>350</v>
      </c>
      <c r="H1932" s="82" t="s">
        <v>344</v>
      </c>
      <c r="I1932" s="95">
        <v>14477.6</v>
      </c>
      <c r="K1932" s="105" t="str">
        <f t="shared" si="69"/>
        <v>0011-1012-0012</v>
      </c>
      <c r="L1932" s="105" t="str">
        <f>VLOOKUP(K1932,COA!$A$3:$B$337,2,FALSE)</f>
        <v>K11</v>
      </c>
      <c r="M1932" s="105" t="str">
        <f t="shared" si="70"/>
        <v>K11</v>
      </c>
      <c r="N1932" s="105" t="str">
        <f>VLOOKUP(M1932,CAC!$A$2:$B$198,2,FALSE)</f>
        <v>HMOPMR</v>
      </c>
    </row>
    <row r="1933" spans="5:14" x14ac:dyDescent="0.25">
      <c r="E1933" s="83">
        <v>201709</v>
      </c>
      <c r="F1933" s="82" t="s">
        <v>549</v>
      </c>
      <c r="G1933" s="82" t="s">
        <v>352</v>
      </c>
      <c r="H1933" s="82" t="s">
        <v>672</v>
      </c>
      <c r="I1933" s="95">
        <v>0</v>
      </c>
      <c r="K1933" s="105" t="str">
        <f t="shared" si="69"/>
        <v>0026-1004-0058</v>
      </c>
      <c r="L1933" s="105" t="str">
        <f>VLOOKUP(K1933,COA!$A$3:$B$337,2,FALSE)</f>
        <v>L44</v>
      </c>
      <c r="M1933" s="105" t="str">
        <f t="shared" si="70"/>
        <v>L44</v>
      </c>
      <c r="N1933" s="105" t="e">
        <f>VLOOKUP(M1933,CAC!$A$2:$B$198,2,FALSE)</f>
        <v>#N/A</v>
      </c>
    </row>
    <row r="1934" spans="5:14" x14ac:dyDescent="0.25">
      <c r="E1934" s="83">
        <v>201604</v>
      </c>
      <c r="F1934" s="82" t="s">
        <v>746</v>
      </c>
      <c r="G1934" s="82" t="s">
        <v>361</v>
      </c>
      <c r="H1934" s="82" t="s">
        <v>344</v>
      </c>
      <c r="I1934" s="95">
        <v>463</v>
      </c>
      <c r="K1934" s="105" t="str">
        <f t="shared" si="69"/>
        <v>0016-1003-0012</v>
      </c>
      <c r="L1934" s="105" t="str">
        <f>VLOOKUP(K1934,COA!$A$3:$B$337,2,FALSE)</f>
        <v>R18</v>
      </c>
      <c r="M1934" s="105" t="str">
        <f t="shared" si="70"/>
        <v>R18</v>
      </c>
      <c r="N1934" s="105" t="str">
        <f>VLOOKUP(M1934,CAC!$A$2:$B$198,2,FALSE)</f>
        <v>HMOMG</v>
      </c>
    </row>
    <row r="1935" spans="5:14" x14ac:dyDescent="0.25">
      <c r="E1935" s="83">
        <v>201608</v>
      </c>
      <c r="F1935" s="82" t="s">
        <v>345</v>
      </c>
      <c r="G1935" s="82" t="s">
        <v>354</v>
      </c>
      <c r="H1935" s="82" t="s">
        <v>360</v>
      </c>
      <c r="I1935" s="95">
        <v>2761.48</v>
      </c>
      <c r="K1935" s="105" t="str">
        <f t="shared" si="69"/>
        <v>0011-1013-0048</v>
      </c>
      <c r="L1935" s="105" t="str">
        <f>VLOOKUP(K1935,COA!$A$3:$B$337,2,FALSE)</f>
        <v>N21</v>
      </c>
      <c r="M1935" s="105" t="str">
        <f t="shared" si="70"/>
        <v>N21</v>
      </c>
      <c r="N1935" s="105" t="str">
        <f>VLOOKUP(M1935,CAC!$A$2:$B$198,2,FALSE)</f>
        <v>HMFLEX</v>
      </c>
    </row>
    <row r="1936" spans="5:14" x14ac:dyDescent="0.25">
      <c r="E1936" s="83">
        <v>201601</v>
      </c>
      <c r="F1936" s="82" t="s">
        <v>563</v>
      </c>
      <c r="G1936" s="82" t="s">
        <v>365</v>
      </c>
      <c r="H1936" s="82" t="s">
        <v>344</v>
      </c>
      <c r="I1936" s="95">
        <v>0</v>
      </c>
      <c r="K1936" s="105" t="str">
        <f t="shared" si="69"/>
        <v>0003-1001-0012</v>
      </c>
      <c r="L1936" s="105" t="str">
        <f>VLOOKUP(K1936,COA!$A$3:$B$337,2,FALSE)</f>
        <v>V51</v>
      </c>
      <c r="M1936" s="105" t="str">
        <f t="shared" si="70"/>
        <v>V51</v>
      </c>
      <c r="N1936" s="105" t="str">
        <f>VLOOKUP(M1936,CAC!$A$2:$B$198,2,FALSE)</f>
        <v>PPOIFP</v>
      </c>
    </row>
    <row r="1937" spans="5:14" x14ac:dyDescent="0.25">
      <c r="E1937" s="83">
        <v>201605</v>
      </c>
      <c r="F1937" s="82" t="s">
        <v>345</v>
      </c>
      <c r="G1937" s="82" t="s">
        <v>361</v>
      </c>
      <c r="H1937" s="82" t="s">
        <v>344</v>
      </c>
      <c r="I1937" s="95">
        <v>4066.76</v>
      </c>
      <c r="K1937" s="105" t="str">
        <f t="shared" si="69"/>
        <v>0011-1003-0012</v>
      </c>
      <c r="L1937" s="105" t="str">
        <f>VLOOKUP(K1937,COA!$A$3:$B$337,2,FALSE)</f>
        <v>N16</v>
      </c>
      <c r="M1937" s="105" t="str">
        <f t="shared" si="70"/>
        <v>N16</v>
      </c>
      <c r="N1937" s="105" t="str">
        <f>VLOOKUP(M1937,CAC!$A$2:$B$198,2,FALSE)</f>
        <v>HMOPMR</v>
      </c>
    </row>
    <row r="1938" spans="5:14" x14ac:dyDescent="0.25">
      <c r="E1938" s="83">
        <v>201704</v>
      </c>
      <c r="F1938" s="82" t="s">
        <v>506</v>
      </c>
      <c r="G1938" s="82" t="s">
        <v>346</v>
      </c>
      <c r="H1938" s="82" t="s">
        <v>592</v>
      </c>
      <c r="I1938" s="95">
        <v>0</v>
      </c>
      <c r="K1938" s="105" t="str">
        <f t="shared" si="69"/>
        <v>0013-1014-0035</v>
      </c>
      <c r="L1938" s="105" t="str">
        <f>VLOOKUP(K1938,COA!$A$3:$B$337,2,FALSE)</f>
        <v>K42</v>
      </c>
      <c r="M1938" s="105" t="str">
        <f t="shared" si="70"/>
        <v>K42</v>
      </c>
      <c r="N1938" s="105" t="str">
        <f>VLOOKUP(M1938,CAC!$A$2:$B$198,2,FALSE)</f>
        <v>HMFLEX</v>
      </c>
    </row>
    <row r="1939" spans="5:14" x14ac:dyDescent="0.25">
      <c r="E1939" s="83">
        <v>201510</v>
      </c>
      <c r="F1939" s="82" t="s">
        <v>552</v>
      </c>
      <c r="G1939" s="82" t="s">
        <v>356</v>
      </c>
      <c r="H1939" s="82" t="s">
        <v>672</v>
      </c>
      <c r="I1939" s="95">
        <v>0</v>
      </c>
      <c r="K1939" s="105" t="str">
        <f t="shared" si="69"/>
        <v>0027-1002-0058</v>
      </c>
      <c r="L1939" s="105" t="str">
        <f>VLOOKUP(K1939,COA!$A$3:$B$337,2,FALSE)</f>
        <v>L45</v>
      </c>
      <c r="M1939" s="105" t="str">
        <f t="shared" si="70"/>
        <v>L45</v>
      </c>
      <c r="N1939" s="105" t="e">
        <f>VLOOKUP(M1939,CAC!$A$2:$B$198,2,FALSE)</f>
        <v>#N/A</v>
      </c>
    </row>
    <row r="1940" spans="5:14" x14ac:dyDescent="0.25">
      <c r="E1940" s="83">
        <v>201506</v>
      </c>
      <c r="F1940" s="82" t="s">
        <v>746</v>
      </c>
      <c r="G1940" s="82" t="s">
        <v>352</v>
      </c>
      <c r="H1940" s="82" t="s">
        <v>344</v>
      </c>
      <c r="I1940" s="95">
        <v>0</v>
      </c>
      <c r="K1940" s="105" t="str">
        <f t="shared" si="69"/>
        <v>0016-1004-0012</v>
      </c>
      <c r="L1940" s="105" t="str">
        <f>VLOOKUP(K1940,COA!$A$3:$B$337,2,FALSE)</f>
        <v>R20</v>
      </c>
      <c r="M1940" s="105" t="str">
        <f t="shared" si="70"/>
        <v>R20</v>
      </c>
      <c r="N1940" s="105" t="str">
        <f>VLOOKUP(M1940,CAC!$A$2:$B$198,2,FALSE)</f>
        <v>HMOMG</v>
      </c>
    </row>
    <row r="1941" spans="5:14" x14ac:dyDescent="0.25">
      <c r="E1941" s="83">
        <v>201611</v>
      </c>
      <c r="F1941" s="82" t="s">
        <v>344</v>
      </c>
      <c r="G1941" s="82" t="s">
        <v>361</v>
      </c>
      <c r="H1941" s="82" t="s">
        <v>344</v>
      </c>
      <c r="I1941" s="95">
        <v>9535.1200000000008</v>
      </c>
      <c r="K1941" s="105" t="str">
        <f t="shared" si="69"/>
        <v>0012-1003-0012</v>
      </c>
      <c r="L1941" s="105" t="str">
        <f>VLOOKUP(K1941,COA!$A$3:$B$337,2,FALSE)</f>
        <v>N15</v>
      </c>
      <c r="M1941" s="105" t="str">
        <f t="shared" si="70"/>
        <v>N15</v>
      </c>
      <c r="N1941" s="105" t="str">
        <f>VLOOKUP(M1941,CAC!$A$2:$B$198,2,FALSE)</f>
        <v>HMOPMR</v>
      </c>
    </row>
    <row r="1942" spans="5:14" x14ac:dyDescent="0.25">
      <c r="E1942" s="83">
        <v>201607</v>
      </c>
      <c r="F1942" s="82" t="s">
        <v>413</v>
      </c>
      <c r="G1942" s="82" t="s">
        <v>365</v>
      </c>
      <c r="H1942" s="82" t="s">
        <v>344</v>
      </c>
      <c r="I1942" s="95">
        <v>0</v>
      </c>
      <c r="K1942" s="105" t="str">
        <f t="shared" si="69"/>
        <v>0008-1001-0012</v>
      </c>
      <c r="L1942" s="105" t="str">
        <f>VLOOKUP(K1942,COA!$A$3:$B$337,2,FALSE)</f>
        <v>C95</v>
      </c>
      <c r="M1942" s="105" t="str">
        <f t="shared" si="70"/>
        <v>C95</v>
      </c>
      <c r="N1942" s="105" t="str">
        <f>VLOOKUP(M1942,CAC!$A$2:$B$198,2,FALSE)</f>
        <v>DOIIFP</v>
      </c>
    </row>
    <row r="1943" spans="5:14" x14ac:dyDescent="0.25">
      <c r="E1943" s="83">
        <v>201801</v>
      </c>
      <c r="F1943" s="82" t="s">
        <v>345</v>
      </c>
      <c r="G1943" s="82" t="s">
        <v>352</v>
      </c>
      <c r="H1943" s="82" t="s">
        <v>360</v>
      </c>
      <c r="I1943" s="95">
        <v>234</v>
      </c>
      <c r="K1943" s="105" t="str">
        <f t="shared" si="69"/>
        <v>0011-1004-0048</v>
      </c>
      <c r="L1943" s="105" t="str">
        <f>VLOOKUP(K1943,COA!$A$3:$B$337,2,FALSE)</f>
        <v>L21</v>
      </c>
      <c r="M1943" s="105" t="str">
        <f t="shared" si="70"/>
        <v>L21</v>
      </c>
      <c r="N1943" s="105" t="str">
        <f>VLOOKUP(M1943,CAC!$A$2:$B$198,2,FALSE)</f>
        <v>HMFLEX</v>
      </c>
    </row>
    <row r="1944" spans="5:14" x14ac:dyDescent="0.25">
      <c r="E1944" s="83">
        <v>201602</v>
      </c>
      <c r="F1944" s="82" t="s">
        <v>344</v>
      </c>
      <c r="G1944" s="82" t="s">
        <v>352</v>
      </c>
      <c r="H1944" s="82" t="s">
        <v>360</v>
      </c>
      <c r="I1944" s="95">
        <v>230</v>
      </c>
      <c r="K1944" s="105" t="str">
        <f t="shared" si="69"/>
        <v>0012-1004-0048</v>
      </c>
      <c r="L1944" s="105" t="str">
        <f>VLOOKUP(K1944,COA!$A$3:$B$337,2,FALSE)</f>
        <v>L22</v>
      </c>
      <c r="M1944" s="105" t="str">
        <f t="shared" si="70"/>
        <v>L22</v>
      </c>
      <c r="N1944" s="105" t="str">
        <f>VLOOKUP(M1944,CAC!$A$2:$B$198,2,FALSE)</f>
        <v>HMFLEX</v>
      </c>
    </row>
    <row r="1945" spans="5:14" x14ac:dyDescent="0.25">
      <c r="E1945" s="83">
        <v>201705</v>
      </c>
      <c r="F1945" s="82" t="s">
        <v>344</v>
      </c>
      <c r="G1945" s="82" t="s">
        <v>355</v>
      </c>
      <c r="H1945" s="82" t="s">
        <v>344</v>
      </c>
      <c r="I1945" s="95">
        <v>54</v>
      </c>
      <c r="K1945" s="105" t="str">
        <f t="shared" si="69"/>
        <v>0012-1006-0012</v>
      </c>
      <c r="L1945" s="105" t="str">
        <f>VLOOKUP(K1945,COA!$A$3:$B$337,2,FALSE)</f>
        <v>L16</v>
      </c>
      <c r="M1945" s="105" t="str">
        <f t="shared" si="70"/>
        <v>L16</v>
      </c>
      <c r="N1945" s="105" t="str">
        <f>VLOOKUP(M1945,CAC!$A$2:$B$198,2,FALSE)</f>
        <v>HMOLG</v>
      </c>
    </row>
    <row r="1946" spans="5:14" x14ac:dyDescent="0.25">
      <c r="E1946" s="83">
        <v>201512</v>
      </c>
      <c r="F1946" s="82" t="s">
        <v>344</v>
      </c>
      <c r="G1946" s="82" t="s">
        <v>356</v>
      </c>
      <c r="H1946" s="82" t="s">
        <v>344</v>
      </c>
      <c r="I1946" s="95">
        <v>3959.12</v>
      </c>
      <c r="K1946" s="105" t="str">
        <f t="shared" si="69"/>
        <v>0012-1002-0012</v>
      </c>
      <c r="L1946" s="105" t="str">
        <f>VLOOKUP(K1946,COA!$A$3:$B$337,2,FALSE)</f>
        <v>F22</v>
      </c>
      <c r="M1946" s="105" t="str">
        <f t="shared" si="70"/>
        <v>F22</v>
      </c>
      <c r="N1946" s="105" t="str">
        <f>VLOOKUP(M1946,CAC!$A$2:$B$198,2,FALSE)</f>
        <v>HMOPMR</v>
      </c>
    </row>
    <row r="1947" spans="5:14" x14ac:dyDescent="0.25">
      <c r="E1947" s="83">
        <v>201502</v>
      </c>
      <c r="F1947" s="82" t="s">
        <v>563</v>
      </c>
      <c r="G1947" s="82" t="s">
        <v>352</v>
      </c>
      <c r="H1947" s="82" t="s">
        <v>344</v>
      </c>
      <c r="I1947" s="95">
        <v>0</v>
      </c>
      <c r="K1947" s="105" t="str">
        <f t="shared" si="69"/>
        <v>0003-1004-0012</v>
      </c>
      <c r="L1947" s="105" t="str">
        <f>VLOOKUP(K1947,COA!$A$3:$B$337,2,FALSE)</f>
        <v>L51</v>
      </c>
      <c r="M1947" s="105" t="str">
        <f t="shared" si="70"/>
        <v>L51</v>
      </c>
      <c r="N1947" s="105" t="str">
        <f>VLOOKUP(M1947,CAC!$A$2:$B$198,2,FALSE)</f>
        <v>PPOLG</v>
      </c>
    </row>
    <row r="1948" spans="5:14" x14ac:dyDescent="0.25">
      <c r="E1948" s="83">
        <v>201510</v>
      </c>
      <c r="F1948" s="82" t="s">
        <v>413</v>
      </c>
      <c r="G1948" s="82" t="s">
        <v>352</v>
      </c>
      <c r="H1948" s="82" t="s">
        <v>344</v>
      </c>
      <c r="I1948" s="95">
        <v>0</v>
      </c>
      <c r="K1948" s="105" t="str">
        <f t="shared" si="69"/>
        <v>0008-1004-0012</v>
      </c>
      <c r="L1948" s="105" t="str">
        <f>VLOOKUP(K1948,COA!$A$3:$B$337,2,FALSE)</f>
        <v>C93</v>
      </c>
      <c r="M1948" s="105" t="str">
        <f t="shared" si="70"/>
        <v>C93</v>
      </c>
      <c r="N1948" s="105" t="str">
        <f>VLOOKUP(M1948,CAC!$A$2:$B$198,2,FALSE)</f>
        <v>DOILG</v>
      </c>
    </row>
    <row r="1949" spans="5:14" x14ac:dyDescent="0.25">
      <c r="E1949" s="83">
        <v>201704</v>
      </c>
      <c r="F1949" s="82" t="s">
        <v>345</v>
      </c>
      <c r="G1949" s="82" t="s">
        <v>348</v>
      </c>
      <c r="H1949" s="82" t="s">
        <v>358</v>
      </c>
      <c r="I1949" s="95">
        <v>87</v>
      </c>
      <c r="K1949" s="105" t="str">
        <f t="shared" si="69"/>
        <v>0011-1010-0024</v>
      </c>
      <c r="L1949" s="105" t="str">
        <f>VLOOKUP(K1949,COA!$A$3:$B$337,2,FALSE)</f>
        <v>S14</v>
      </c>
      <c r="M1949" s="105" t="str">
        <f t="shared" si="70"/>
        <v>S14</v>
      </c>
      <c r="N1949" s="105" t="str">
        <f>VLOOKUP(M1949,CAC!$A$2:$B$198,2,FALSE)</f>
        <v>HMOSG</v>
      </c>
    </row>
    <row r="1950" spans="5:14" x14ac:dyDescent="0.25">
      <c r="E1950" s="83">
        <v>201612</v>
      </c>
      <c r="F1950" s="82" t="s">
        <v>746</v>
      </c>
      <c r="G1950" s="82" t="s">
        <v>350</v>
      </c>
      <c r="H1950" s="82" t="s">
        <v>344</v>
      </c>
      <c r="I1950" s="95">
        <v>61</v>
      </c>
      <c r="K1950" s="105" t="str">
        <f t="shared" si="69"/>
        <v>0016-1012-0012</v>
      </c>
      <c r="L1950" s="105" t="str">
        <f>VLOOKUP(K1950,COA!$A$3:$B$337,2,FALSE)</f>
        <v>R19</v>
      </c>
      <c r="M1950" s="105" t="str">
        <f t="shared" si="70"/>
        <v>R19</v>
      </c>
      <c r="N1950" s="105" t="str">
        <f>VLOOKUP(M1950,CAC!$A$2:$B$198,2,FALSE)</f>
        <v>HMOMG</v>
      </c>
    </row>
    <row r="1951" spans="5:14" x14ac:dyDescent="0.25">
      <c r="E1951" s="83">
        <v>201711</v>
      </c>
      <c r="F1951" s="82" t="s">
        <v>563</v>
      </c>
      <c r="G1951" s="82" t="s">
        <v>352</v>
      </c>
      <c r="H1951" s="82" t="s">
        <v>344</v>
      </c>
      <c r="I1951" s="95">
        <v>0</v>
      </c>
      <c r="K1951" s="105" t="str">
        <f t="shared" si="69"/>
        <v>0003-1004-0012</v>
      </c>
      <c r="L1951" s="105" t="str">
        <f>VLOOKUP(K1951,COA!$A$3:$B$337,2,FALSE)</f>
        <v>L51</v>
      </c>
      <c r="M1951" s="105" t="str">
        <f t="shared" si="70"/>
        <v>L51</v>
      </c>
      <c r="N1951" s="105" t="str">
        <f>VLOOKUP(M1951,CAC!$A$2:$B$198,2,FALSE)</f>
        <v>PPOLG</v>
      </c>
    </row>
    <row r="1952" spans="5:14" x14ac:dyDescent="0.25">
      <c r="E1952" s="83">
        <v>201707</v>
      </c>
      <c r="F1952" s="82" t="s">
        <v>345</v>
      </c>
      <c r="G1952" s="82" t="s">
        <v>365</v>
      </c>
      <c r="H1952" s="82" t="s">
        <v>366</v>
      </c>
      <c r="I1952" s="95">
        <v>1315.27</v>
      </c>
      <c r="K1952" s="105" t="str">
        <f t="shared" si="69"/>
        <v>0011-1001-0021</v>
      </c>
      <c r="L1952" s="105" t="str">
        <f>VLOOKUP(K1952,COA!$A$3:$B$337,2,FALSE)</f>
        <v>V13</v>
      </c>
      <c r="M1952" s="105" t="str">
        <f t="shared" si="70"/>
        <v>V13</v>
      </c>
      <c r="N1952" s="105" t="str">
        <f>VLOOKUP(M1952,CAC!$A$2:$B$198,2,FALSE)</f>
        <v>HMOIFP</v>
      </c>
    </row>
    <row r="1953" spans="5:14" x14ac:dyDescent="0.25">
      <c r="E1953" s="83">
        <v>201512</v>
      </c>
      <c r="F1953" s="82" t="s">
        <v>413</v>
      </c>
      <c r="G1953" s="82" t="s">
        <v>359</v>
      </c>
      <c r="H1953" s="82" t="s">
        <v>344</v>
      </c>
      <c r="I1953" s="95">
        <v>0</v>
      </c>
      <c r="K1953" s="105" t="str">
        <f t="shared" si="69"/>
        <v>0008-1005-0012</v>
      </c>
      <c r="L1953" s="105" t="str">
        <f>VLOOKUP(K1953,COA!$A$3:$B$337,2,FALSE)</f>
        <v>C73</v>
      </c>
      <c r="M1953" s="105" t="str">
        <f t="shared" si="70"/>
        <v>C73</v>
      </c>
      <c r="N1953" s="105" t="str">
        <f>VLOOKUP(M1953,CAC!$A$2:$B$198,2,FALSE)</f>
        <v>DOILG</v>
      </c>
    </row>
    <row r="1954" spans="5:14" x14ac:dyDescent="0.25">
      <c r="E1954" s="83">
        <v>201702</v>
      </c>
      <c r="F1954" s="82" t="s">
        <v>563</v>
      </c>
      <c r="G1954" s="82" t="s">
        <v>350</v>
      </c>
      <c r="H1954" s="82" t="s">
        <v>626</v>
      </c>
      <c r="I1954" s="95">
        <v>0</v>
      </c>
      <c r="K1954" s="105" t="str">
        <f t="shared" si="69"/>
        <v>0003-1012-0057</v>
      </c>
      <c r="L1954" s="105" t="str">
        <f>VLOOKUP(K1954,COA!$A$3:$B$337,2,FALSE)</f>
        <v>K51</v>
      </c>
      <c r="M1954" s="105" t="str">
        <f t="shared" si="70"/>
        <v>K51</v>
      </c>
      <c r="N1954" s="105" t="str">
        <f>VLOOKUP(M1954,CAC!$A$2:$B$198,2,FALSE)</f>
        <v>PPOPMR</v>
      </c>
    </row>
    <row r="1955" spans="5:14" x14ac:dyDescent="0.25">
      <c r="E1955" s="83">
        <v>201712</v>
      </c>
      <c r="F1955" s="82" t="s">
        <v>345</v>
      </c>
      <c r="G1955" s="82" t="s">
        <v>354</v>
      </c>
      <c r="H1955" s="82" t="s">
        <v>360</v>
      </c>
      <c r="I1955" s="95">
        <v>5184</v>
      </c>
      <c r="K1955" s="105" t="str">
        <f t="shared" si="69"/>
        <v>0011-1013-0048</v>
      </c>
      <c r="L1955" s="105" t="str">
        <f>VLOOKUP(K1955,COA!$A$3:$B$337,2,FALSE)</f>
        <v>N21</v>
      </c>
      <c r="M1955" s="105" t="str">
        <f t="shared" si="70"/>
        <v>N21</v>
      </c>
      <c r="N1955" s="105" t="str">
        <f>VLOOKUP(M1955,CAC!$A$2:$B$198,2,FALSE)</f>
        <v>HMFLEX</v>
      </c>
    </row>
    <row r="1956" spans="5:14" x14ac:dyDescent="0.25">
      <c r="E1956" s="83">
        <v>201601</v>
      </c>
      <c r="F1956" s="82" t="s">
        <v>345</v>
      </c>
      <c r="G1956" s="82" t="s">
        <v>352</v>
      </c>
      <c r="H1956" s="82" t="s">
        <v>344</v>
      </c>
      <c r="I1956" s="95">
        <v>13576.17</v>
      </c>
      <c r="K1956" s="105" t="str">
        <f t="shared" si="69"/>
        <v>0011-1004-0012</v>
      </c>
      <c r="L1956" s="105" t="str">
        <f>VLOOKUP(K1956,COA!$A$3:$B$337,2,FALSE)</f>
        <v>L11</v>
      </c>
      <c r="M1956" s="105" t="str">
        <f t="shared" si="70"/>
        <v>L11</v>
      </c>
      <c r="N1956" s="105" t="str">
        <f>VLOOKUP(M1956,CAC!$A$2:$B$198,2,FALSE)</f>
        <v>HMOLG</v>
      </c>
    </row>
    <row r="1957" spans="5:14" x14ac:dyDescent="0.25">
      <c r="E1957" s="83">
        <v>201711</v>
      </c>
      <c r="F1957" s="82" t="s">
        <v>345</v>
      </c>
      <c r="G1957" s="82" t="s">
        <v>361</v>
      </c>
      <c r="H1957" s="82" t="s">
        <v>344</v>
      </c>
      <c r="I1957" s="95">
        <v>874</v>
      </c>
      <c r="K1957" s="105" t="str">
        <f t="shared" si="69"/>
        <v>0011-1003-0012</v>
      </c>
      <c r="L1957" s="105" t="str">
        <f>VLOOKUP(K1957,COA!$A$3:$B$337,2,FALSE)</f>
        <v>N16</v>
      </c>
      <c r="M1957" s="105" t="str">
        <f t="shared" si="70"/>
        <v>N16</v>
      </c>
      <c r="N1957" s="105" t="str">
        <f>VLOOKUP(M1957,CAC!$A$2:$B$198,2,FALSE)</f>
        <v>HMOPMR</v>
      </c>
    </row>
    <row r="1958" spans="5:14" x14ac:dyDescent="0.25">
      <c r="E1958" s="83">
        <v>201607</v>
      </c>
      <c r="F1958" s="82" t="s">
        <v>506</v>
      </c>
      <c r="G1958" s="82" t="s">
        <v>350</v>
      </c>
      <c r="H1958" s="82" t="s">
        <v>592</v>
      </c>
      <c r="I1958" s="95">
        <v>0</v>
      </c>
      <c r="K1958" s="105" t="str">
        <f t="shared" si="69"/>
        <v>0013-1012-0035</v>
      </c>
      <c r="L1958" s="105" t="str">
        <f>VLOOKUP(K1958,COA!$A$3:$B$337,2,FALSE)</f>
        <v>K41</v>
      </c>
      <c r="M1958" s="105" t="str">
        <f t="shared" si="70"/>
        <v>K41</v>
      </c>
      <c r="N1958" s="105" t="e">
        <f>VLOOKUP(M1958,CAC!$A$2:$B$198,2,FALSE)</f>
        <v>#N/A</v>
      </c>
    </row>
    <row r="1959" spans="5:14" x14ac:dyDescent="0.25">
      <c r="E1959" s="83">
        <v>201509</v>
      </c>
      <c r="F1959" s="82" t="s">
        <v>563</v>
      </c>
      <c r="G1959" s="82" t="s">
        <v>361</v>
      </c>
      <c r="H1959" s="82" t="s">
        <v>344</v>
      </c>
      <c r="I1959" s="95">
        <v>0</v>
      </c>
      <c r="K1959" s="105" t="str">
        <f t="shared" si="69"/>
        <v>0003-1003-0012</v>
      </c>
      <c r="L1959" s="105" t="str">
        <f>VLOOKUP(K1959,COA!$A$3:$B$337,2,FALSE)</f>
        <v>N61</v>
      </c>
      <c r="M1959" s="105" t="str">
        <f t="shared" si="70"/>
        <v>N61</v>
      </c>
      <c r="N1959" s="105" t="str">
        <f>VLOOKUP(M1959,CAC!$A$2:$B$198,2,FALSE)</f>
        <v>PPOPMR</v>
      </c>
    </row>
    <row r="1960" spans="5:14" x14ac:dyDescent="0.25">
      <c r="E1960" s="83">
        <v>201605</v>
      </c>
      <c r="F1960" s="82" t="s">
        <v>345</v>
      </c>
      <c r="G1960" s="82" t="s">
        <v>348</v>
      </c>
      <c r="H1960" s="82" t="s">
        <v>353</v>
      </c>
      <c r="I1960" s="95">
        <v>315</v>
      </c>
      <c r="K1960" s="105" t="str">
        <f t="shared" si="69"/>
        <v>0011-1010-0023</v>
      </c>
      <c r="L1960" s="105" t="str">
        <f>VLOOKUP(K1960,COA!$A$3:$B$337,2,FALSE)</f>
        <v>S13</v>
      </c>
      <c r="M1960" s="105" t="str">
        <f t="shared" si="70"/>
        <v>S13</v>
      </c>
      <c r="N1960" s="105" t="str">
        <f>VLOOKUP(M1960,CAC!$A$2:$B$198,2,FALSE)</f>
        <v>HMOSG</v>
      </c>
    </row>
    <row r="1961" spans="5:14" x14ac:dyDescent="0.25">
      <c r="E1961" s="83">
        <v>201706</v>
      </c>
      <c r="F1961" s="82" t="s">
        <v>345</v>
      </c>
      <c r="G1961" s="82" t="s">
        <v>362</v>
      </c>
      <c r="H1961" s="82" t="s">
        <v>364</v>
      </c>
      <c r="I1961" s="95">
        <v>47347</v>
      </c>
      <c r="K1961" s="105" t="str">
        <f t="shared" si="69"/>
        <v>0011-1008-0037</v>
      </c>
      <c r="L1961" s="105" t="str">
        <f>VLOOKUP(K1961,COA!$A$3:$B$337,2,FALSE)</f>
        <v>P12</v>
      </c>
      <c r="M1961" s="105" t="str">
        <f t="shared" si="70"/>
        <v>P12</v>
      </c>
      <c r="N1961" s="105" t="str">
        <f>VLOOKUP(M1961,CAC!$A$2:$B$198,2,FALSE)</f>
        <v>HMOPERA</v>
      </c>
    </row>
    <row r="1962" spans="5:14" x14ac:dyDescent="0.25">
      <c r="E1962" s="83">
        <v>201610</v>
      </c>
      <c r="F1962" s="82" t="s">
        <v>345</v>
      </c>
      <c r="G1962" s="82" t="s">
        <v>348</v>
      </c>
      <c r="H1962" s="82" t="s">
        <v>349</v>
      </c>
      <c r="I1962" s="95">
        <v>22279.41</v>
      </c>
      <c r="K1962" s="105" t="str">
        <f t="shared" si="69"/>
        <v>0011-1010-0017</v>
      </c>
      <c r="L1962" s="105" t="str">
        <f>VLOOKUP(K1962,COA!$A$3:$B$337,2,FALSE)</f>
        <v>S11</v>
      </c>
      <c r="M1962" s="105" t="str">
        <f t="shared" si="70"/>
        <v>S11</v>
      </c>
      <c r="N1962" s="105" t="str">
        <f>VLOOKUP(M1962,CAC!$A$2:$B$198,2,FALSE)</f>
        <v>HMOSG</v>
      </c>
    </row>
    <row r="1963" spans="5:14" x14ac:dyDescent="0.25">
      <c r="E1963" s="83">
        <v>201801</v>
      </c>
      <c r="F1963" s="82" t="s">
        <v>345</v>
      </c>
      <c r="G1963" s="82" t="s">
        <v>365</v>
      </c>
      <c r="H1963" s="82" t="s">
        <v>367</v>
      </c>
      <c r="I1963" s="95">
        <v>3913.34</v>
      </c>
      <c r="K1963" s="105" t="str">
        <f t="shared" si="69"/>
        <v>0011-1001-0022</v>
      </c>
      <c r="L1963" s="105" t="str">
        <f>VLOOKUP(K1963,COA!$A$3:$B$337,2,FALSE)</f>
        <v>V14</v>
      </c>
      <c r="M1963" s="105" t="str">
        <f t="shared" si="70"/>
        <v>V14</v>
      </c>
      <c r="N1963" s="105" t="str">
        <f>VLOOKUP(M1963,CAC!$A$2:$B$198,2,FALSE)</f>
        <v>HMOIFP</v>
      </c>
    </row>
    <row r="1964" spans="5:14" x14ac:dyDescent="0.25">
      <c r="E1964" s="83">
        <v>201702</v>
      </c>
      <c r="F1964" s="82" t="s">
        <v>349</v>
      </c>
      <c r="G1964" s="82" t="s">
        <v>369</v>
      </c>
      <c r="H1964" s="82" t="s">
        <v>764</v>
      </c>
      <c r="I1964" s="95">
        <v>5469</v>
      </c>
      <c r="K1964" s="105" t="str">
        <f t="shared" si="69"/>
        <v>0017-1009-0064</v>
      </c>
      <c r="L1964" s="105" t="str">
        <f>VLOOKUP(K1964,COA!$A$3:$B$337,2,FALSE)</f>
        <v>R15</v>
      </c>
      <c r="M1964" s="105" t="str">
        <f t="shared" si="70"/>
        <v>R15</v>
      </c>
      <c r="N1964" s="105" t="str">
        <f>VLOOKUP(M1964,CAC!$A$2:$B$198,2,FALSE)</f>
        <v>HMOMM</v>
      </c>
    </row>
    <row r="1965" spans="5:14" x14ac:dyDescent="0.25">
      <c r="E1965" s="83">
        <v>201710</v>
      </c>
      <c r="F1965" s="82" t="s">
        <v>563</v>
      </c>
      <c r="G1965" s="82" t="s">
        <v>365</v>
      </c>
      <c r="H1965" s="82" t="s">
        <v>344</v>
      </c>
      <c r="I1965" s="95">
        <v>0</v>
      </c>
      <c r="K1965" s="105" t="str">
        <f t="shared" si="69"/>
        <v>0003-1001-0012</v>
      </c>
      <c r="L1965" s="105" t="str">
        <f>VLOOKUP(K1965,COA!$A$3:$B$337,2,FALSE)</f>
        <v>V51</v>
      </c>
      <c r="M1965" s="105" t="str">
        <f t="shared" si="70"/>
        <v>V51</v>
      </c>
      <c r="N1965" s="105" t="str">
        <f>VLOOKUP(M1965,CAC!$A$2:$B$198,2,FALSE)</f>
        <v>PPOIFP</v>
      </c>
    </row>
    <row r="1966" spans="5:14" x14ac:dyDescent="0.25">
      <c r="E1966" s="83">
        <v>201801</v>
      </c>
      <c r="F1966" s="82" t="s">
        <v>563</v>
      </c>
      <c r="G1966" s="82" t="s">
        <v>348</v>
      </c>
      <c r="H1966" s="82" t="s">
        <v>349</v>
      </c>
      <c r="I1966" s="95">
        <v>0</v>
      </c>
      <c r="K1966" s="105" t="str">
        <f t="shared" si="69"/>
        <v>0003-1010-0017</v>
      </c>
      <c r="L1966" s="105" t="str">
        <f>VLOOKUP(K1966,COA!$A$3:$B$337,2,FALSE)</f>
        <v>S51</v>
      </c>
      <c r="M1966" s="105" t="str">
        <f t="shared" si="70"/>
        <v>S51</v>
      </c>
      <c r="N1966" s="105" t="str">
        <f>VLOOKUP(M1966,CAC!$A$2:$B$198,2,FALSE)</f>
        <v>PPOSG</v>
      </c>
    </row>
    <row r="1967" spans="5:14" x14ac:dyDescent="0.25">
      <c r="E1967" s="83">
        <v>201601</v>
      </c>
      <c r="F1967" s="82" t="s">
        <v>344</v>
      </c>
      <c r="G1967" s="82" t="s">
        <v>361</v>
      </c>
      <c r="H1967" s="82" t="s">
        <v>344</v>
      </c>
      <c r="I1967" s="95">
        <v>9826.1299999999992</v>
      </c>
      <c r="K1967" s="105" t="str">
        <f t="shared" si="69"/>
        <v>0012-1003-0012</v>
      </c>
      <c r="L1967" s="105" t="str">
        <f>VLOOKUP(K1967,COA!$A$3:$B$337,2,FALSE)</f>
        <v>N15</v>
      </c>
      <c r="M1967" s="105" t="str">
        <f t="shared" si="70"/>
        <v>N15</v>
      </c>
      <c r="N1967" s="105" t="str">
        <f>VLOOKUP(M1967,CAC!$A$2:$B$198,2,FALSE)</f>
        <v>HMOPMR</v>
      </c>
    </row>
    <row r="1968" spans="5:14" x14ac:dyDescent="0.25">
      <c r="E1968" s="83">
        <v>201510</v>
      </c>
      <c r="F1968" s="82" t="s">
        <v>506</v>
      </c>
      <c r="G1968" s="82" t="s">
        <v>352</v>
      </c>
      <c r="H1968" s="82" t="s">
        <v>592</v>
      </c>
      <c r="I1968" s="95">
        <v>0</v>
      </c>
      <c r="K1968" s="105" t="str">
        <f t="shared" si="69"/>
        <v>0013-1004-0035</v>
      </c>
      <c r="L1968" s="105" t="str">
        <f>VLOOKUP(K1968,COA!$A$3:$B$337,2,FALSE)</f>
        <v>L41</v>
      </c>
      <c r="M1968" s="105" t="str">
        <f t="shared" si="70"/>
        <v>L41</v>
      </c>
      <c r="N1968" s="105" t="e">
        <f>VLOOKUP(M1968,CAC!$A$2:$B$198,2,FALSE)</f>
        <v>#N/A</v>
      </c>
    </row>
    <row r="1969" spans="5:14" x14ac:dyDescent="0.25">
      <c r="E1969" s="83">
        <v>201512</v>
      </c>
      <c r="F1969" s="82" t="s">
        <v>345</v>
      </c>
      <c r="G1969" s="82" t="s">
        <v>362</v>
      </c>
      <c r="H1969" s="82" t="s">
        <v>371</v>
      </c>
      <c r="I1969" s="95">
        <v>6342.03</v>
      </c>
      <c r="K1969" s="105" t="str">
        <f t="shared" si="69"/>
        <v>0011-1008-0033</v>
      </c>
      <c r="L1969" s="105" t="str">
        <f>VLOOKUP(K1969,COA!$A$3:$B$337,2,FALSE)</f>
        <v>P13</v>
      </c>
      <c r="M1969" s="105" t="str">
        <f t="shared" si="70"/>
        <v>P13</v>
      </c>
      <c r="N1969" s="105" t="str">
        <f>VLOOKUP(M1969,CAC!$A$2:$B$198,2,FALSE)</f>
        <v>PERMEDA</v>
      </c>
    </row>
    <row r="1970" spans="5:14" x14ac:dyDescent="0.25">
      <c r="E1970" s="83">
        <v>201605</v>
      </c>
      <c r="F1970" s="82" t="s">
        <v>506</v>
      </c>
      <c r="G1970" s="82" t="s">
        <v>354</v>
      </c>
      <c r="H1970" s="82" t="s">
        <v>592</v>
      </c>
      <c r="I1970" s="95">
        <v>0</v>
      </c>
      <c r="K1970" s="105" t="str">
        <f t="shared" si="69"/>
        <v>0013-1013-0035</v>
      </c>
      <c r="L1970" s="105" t="str">
        <f>VLOOKUP(K1970,COA!$A$3:$B$337,2,FALSE)</f>
        <v>N44</v>
      </c>
      <c r="M1970" s="105" t="str">
        <f t="shared" si="70"/>
        <v>N44</v>
      </c>
      <c r="N1970" s="105" t="e">
        <f>VLOOKUP(M1970,CAC!$A$2:$B$198,2,FALSE)</f>
        <v>#N/A</v>
      </c>
    </row>
    <row r="1971" spans="5:14" x14ac:dyDescent="0.25">
      <c r="E1971" s="83">
        <v>201608</v>
      </c>
      <c r="F1971" s="82" t="s">
        <v>563</v>
      </c>
      <c r="G1971" s="82" t="s">
        <v>361</v>
      </c>
      <c r="H1971" s="82" t="s">
        <v>344</v>
      </c>
      <c r="I1971" s="95">
        <v>0</v>
      </c>
      <c r="K1971" s="105" t="str">
        <f t="shared" si="69"/>
        <v>0003-1003-0012</v>
      </c>
      <c r="L1971" s="105" t="str">
        <f>VLOOKUP(K1971,COA!$A$3:$B$337,2,FALSE)</f>
        <v>N61</v>
      </c>
      <c r="M1971" s="105" t="str">
        <f t="shared" si="70"/>
        <v>N61</v>
      </c>
      <c r="N1971" s="105" t="str">
        <f>VLOOKUP(M1971,CAC!$A$2:$B$198,2,FALSE)</f>
        <v>PPOPMR</v>
      </c>
    </row>
    <row r="1972" spans="5:14" x14ac:dyDescent="0.25">
      <c r="E1972" s="83">
        <v>201612</v>
      </c>
      <c r="F1972" s="82" t="s">
        <v>506</v>
      </c>
      <c r="G1972" s="82" t="s">
        <v>350</v>
      </c>
      <c r="H1972" s="82" t="s">
        <v>592</v>
      </c>
      <c r="I1972" s="95">
        <v>0</v>
      </c>
      <c r="K1972" s="105" t="str">
        <f t="shared" si="69"/>
        <v>0013-1012-0035</v>
      </c>
      <c r="L1972" s="105" t="str">
        <f>VLOOKUP(K1972,COA!$A$3:$B$337,2,FALSE)</f>
        <v>K41</v>
      </c>
      <c r="M1972" s="105" t="str">
        <f t="shared" si="70"/>
        <v>K41</v>
      </c>
      <c r="N1972" s="105" t="e">
        <f>VLOOKUP(M1972,CAC!$A$2:$B$198,2,FALSE)</f>
        <v>#N/A</v>
      </c>
    </row>
    <row r="1973" spans="5:14" x14ac:dyDescent="0.25">
      <c r="E1973" s="83">
        <v>201602</v>
      </c>
      <c r="F1973" s="82" t="s">
        <v>345</v>
      </c>
      <c r="G1973" s="82" t="s">
        <v>359</v>
      </c>
      <c r="H1973" s="82" t="s">
        <v>344</v>
      </c>
      <c r="I1973" s="95">
        <v>3905.38</v>
      </c>
      <c r="K1973" s="105" t="str">
        <f t="shared" si="69"/>
        <v>0011-1005-0012</v>
      </c>
      <c r="L1973" s="105" t="str">
        <f>VLOOKUP(K1973,COA!$A$3:$B$337,2,FALSE)</f>
        <v>N11</v>
      </c>
      <c r="M1973" s="105" t="str">
        <f t="shared" si="70"/>
        <v>N11</v>
      </c>
      <c r="N1973" s="105" t="str">
        <f>VLOOKUP(M1973,CAC!$A$2:$B$198,2,FALSE)</f>
        <v>HMOLG</v>
      </c>
    </row>
    <row r="1974" spans="5:14" x14ac:dyDescent="0.25">
      <c r="E1974" s="83">
        <v>201610</v>
      </c>
      <c r="F1974" s="82" t="s">
        <v>345</v>
      </c>
      <c r="G1974" s="82" t="s">
        <v>355</v>
      </c>
      <c r="H1974" s="82" t="s">
        <v>344</v>
      </c>
      <c r="I1974" s="95">
        <v>20938.689999999999</v>
      </c>
      <c r="K1974" s="105" t="str">
        <f t="shared" si="69"/>
        <v>0011-1006-0012</v>
      </c>
      <c r="L1974" s="105" t="str">
        <f>VLOOKUP(K1974,COA!$A$3:$B$337,2,FALSE)</f>
        <v>L13</v>
      </c>
      <c r="M1974" s="105" t="str">
        <f t="shared" si="70"/>
        <v>L13</v>
      </c>
      <c r="N1974" s="105" t="str">
        <f>VLOOKUP(M1974,CAC!$A$2:$B$198,2,FALSE)</f>
        <v>HMOLG</v>
      </c>
    </row>
    <row r="1975" spans="5:14" x14ac:dyDescent="0.25">
      <c r="E1975" s="83">
        <v>201701</v>
      </c>
      <c r="F1975" s="82" t="s">
        <v>345</v>
      </c>
      <c r="G1975" s="82" t="s">
        <v>350</v>
      </c>
      <c r="H1975" s="82" t="s">
        <v>344</v>
      </c>
      <c r="I1975" s="95">
        <v>16450.009999999998</v>
      </c>
      <c r="K1975" s="105" t="str">
        <f t="shared" si="69"/>
        <v>0011-1012-0012</v>
      </c>
      <c r="L1975" s="105" t="str">
        <f>VLOOKUP(K1975,COA!$A$3:$B$337,2,FALSE)</f>
        <v>K11</v>
      </c>
      <c r="M1975" s="105" t="str">
        <f t="shared" si="70"/>
        <v>K11</v>
      </c>
      <c r="N1975" s="105" t="str">
        <f>VLOOKUP(M1975,CAC!$A$2:$B$198,2,FALSE)</f>
        <v>HMOPMR</v>
      </c>
    </row>
    <row r="1976" spans="5:14" x14ac:dyDescent="0.25">
      <c r="E1976" s="83">
        <v>201508</v>
      </c>
      <c r="F1976" s="82" t="s">
        <v>413</v>
      </c>
      <c r="G1976" s="82" t="s">
        <v>355</v>
      </c>
      <c r="H1976" s="82" t="s">
        <v>344</v>
      </c>
      <c r="I1976" s="95">
        <v>0</v>
      </c>
      <c r="K1976" s="105" t="str">
        <f t="shared" si="69"/>
        <v>0008-1006-0012</v>
      </c>
      <c r="L1976" s="105" t="str">
        <f>VLOOKUP(K1976,COA!$A$3:$B$337,2,FALSE)</f>
        <v>C96</v>
      </c>
      <c r="M1976" s="105" t="str">
        <f t="shared" si="70"/>
        <v>C96</v>
      </c>
      <c r="N1976" s="105" t="str">
        <f>VLOOKUP(M1976,CAC!$A$2:$B$198,2,FALSE)</f>
        <v>DOILG</v>
      </c>
    </row>
    <row r="1977" spans="5:14" x14ac:dyDescent="0.25">
      <c r="E1977" s="83">
        <v>201512</v>
      </c>
      <c r="F1977" s="82" t="s">
        <v>345</v>
      </c>
      <c r="G1977" s="82" t="s">
        <v>352</v>
      </c>
      <c r="H1977" s="82" t="s">
        <v>344</v>
      </c>
      <c r="I1977" s="95">
        <v>12370.89</v>
      </c>
      <c r="K1977" s="105" t="str">
        <f t="shared" si="69"/>
        <v>0011-1004-0012</v>
      </c>
      <c r="L1977" s="105" t="str">
        <f>VLOOKUP(K1977,COA!$A$3:$B$337,2,FALSE)</f>
        <v>L11</v>
      </c>
      <c r="M1977" s="105" t="str">
        <f t="shared" si="70"/>
        <v>L11</v>
      </c>
      <c r="N1977" s="105" t="str">
        <f>VLOOKUP(M1977,CAC!$A$2:$B$198,2,FALSE)</f>
        <v>HMOLG</v>
      </c>
    </row>
    <row r="1978" spans="5:14" x14ac:dyDescent="0.25">
      <c r="E1978" s="83">
        <v>201504</v>
      </c>
      <c r="F1978" s="82" t="s">
        <v>345</v>
      </c>
      <c r="G1978" s="82" t="s">
        <v>350</v>
      </c>
      <c r="H1978" s="82" t="s">
        <v>344</v>
      </c>
      <c r="I1978" s="95">
        <v>6943</v>
      </c>
      <c r="K1978" s="105" t="str">
        <f t="shared" si="69"/>
        <v>0011-1012-0012</v>
      </c>
      <c r="L1978" s="105" t="str">
        <f>VLOOKUP(K1978,COA!$A$3:$B$337,2,FALSE)</f>
        <v>K11</v>
      </c>
      <c r="M1978" s="105" t="str">
        <f t="shared" si="70"/>
        <v>K11</v>
      </c>
      <c r="N1978" s="105" t="str">
        <f>VLOOKUP(M1978,CAC!$A$2:$B$198,2,FALSE)</f>
        <v>HMOPMR</v>
      </c>
    </row>
    <row r="1979" spans="5:14" x14ac:dyDescent="0.25">
      <c r="E1979" s="83">
        <v>201504</v>
      </c>
      <c r="F1979" s="82" t="s">
        <v>345</v>
      </c>
      <c r="G1979" s="82" t="s">
        <v>348</v>
      </c>
      <c r="H1979" s="82" t="s">
        <v>353</v>
      </c>
      <c r="I1979" s="95">
        <v>303</v>
      </c>
      <c r="K1979" s="105" t="str">
        <f t="shared" si="69"/>
        <v>0011-1010-0023</v>
      </c>
      <c r="L1979" s="105" t="str">
        <f>VLOOKUP(K1979,COA!$A$3:$B$337,2,FALSE)</f>
        <v>S13</v>
      </c>
      <c r="M1979" s="105" t="str">
        <f t="shared" si="70"/>
        <v>S13</v>
      </c>
      <c r="N1979" s="105" t="str">
        <f>VLOOKUP(M1979,CAC!$A$2:$B$198,2,FALSE)</f>
        <v>HMOSG</v>
      </c>
    </row>
    <row r="1980" spans="5:14" x14ac:dyDescent="0.25">
      <c r="E1980" s="83">
        <v>201710</v>
      </c>
      <c r="F1980" s="82" t="s">
        <v>552</v>
      </c>
      <c r="G1980" s="82" t="s">
        <v>356</v>
      </c>
      <c r="H1980" s="82" t="s">
        <v>672</v>
      </c>
      <c r="I1980" s="95">
        <v>0</v>
      </c>
      <c r="K1980" s="105" t="str">
        <f t="shared" si="69"/>
        <v>0027-1002-0058</v>
      </c>
      <c r="L1980" s="105" t="str">
        <f>VLOOKUP(K1980,COA!$A$3:$B$337,2,FALSE)</f>
        <v>L45</v>
      </c>
      <c r="M1980" s="105" t="str">
        <f t="shared" si="70"/>
        <v>L45</v>
      </c>
      <c r="N1980" s="105" t="e">
        <f>VLOOKUP(M1980,CAC!$A$2:$B$198,2,FALSE)</f>
        <v>#N/A</v>
      </c>
    </row>
    <row r="1981" spans="5:14" x14ac:dyDescent="0.25">
      <c r="E1981" s="83">
        <v>201603</v>
      </c>
      <c r="F1981" s="82" t="s">
        <v>345</v>
      </c>
      <c r="G1981" s="82" t="s">
        <v>356</v>
      </c>
      <c r="H1981" s="82" t="s">
        <v>344</v>
      </c>
      <c r="I1981" s="95">
        <v>15664</v>
      </c>
      <c r="K1981" s="105" t="str">
        <f t="shared" si="69"/>
        <v>0011-1002-0012</v>
      </c>
      <c r="L1981" s="105" t="str">
        <f>VLOOKUP(K1981,COA!$A$3:$B$337,2,FALSE)</f>
        <v>F20</v>
      </c>
      <c r="M1981" s="105" t="str">
        <f t="shared" si="70"/>
        <v>F20</v>
      </c>
      <c r="N1981" s="105" t="str">
        <f>VLOOKUP(M1981,CAC!$A$2:$B$198,2,FALSE)</f>
        <v>HMOPMR</v>
      </c>
    </row>
    <row r="1982" spans="5:14" x14ac:dyDescent="0.25">
      <c r="E1982" s="83">
        <v>201708</v>
      </c>
      <c r="F1982" s="82" t="s">
        <v>563</v>
      </c>
      <c r="G1982" s="82" t="s">
        <v>355</v>
      </c>
      <c r="H1982" s="82" t="s">
        <v>344</v>
      </c>
      <c r="I1982" s="95">
        <v>0</v>
      </c>
      <c r="K1982" s="105" t="str">
        <f t="shared" si="69"/>
        <v>0003-1006-0012</v>
      </c>
      <c r="L1982" s="105" t="str">
        <f>VLOOKUP(K1982,COA!$A$3:$B$337,2,FALSE)</f>
        <v>L52</v>
      </c>
      <c r="M1982" s="105" t="str">
        <f t="shared" si="70"/>
        <v>L52</v>
      </c>
      <c r="N1982" s="105" t="str">
        <f>VLOOKUP(M1982,CAC!$A$2:$B$198,2,FALSE)</f>
        <v>PPOLG</v>
      </c>
    </row>
    <row r="1983" spans="5:14" x14ac:dyDescent="0.25">
      <c r="E1983" s="83">
        <v>201604</v>
      </c>
      <c r="F1983" s="82" t="s">
        <v>344</v>
      </c>
      <c r="G1983" s="82" t="s">
        <v>361</v>
      </c>
      <c r="H1983" s="82" t="s">
        <v>344</v>
      </c>
      <c r="I1983" s="95">
        <v>9624.31</v>
      </c>
      <c r="K1983" s="105" t="str">
        <f t="shared" si="69"/>
        <v>0012-1003-0012</v>
      </c>
      <c r="L1983" s="105" t="str">
        <f>VLOOKUP(K1983,COA!$A$3:$B$337,2,FALSE)</f>
        <v>N15</v>
      </c>
      <c r="M1983" s="105" t="str">
        <f t="shared" si="70"/>
        <v>N15</v>
      </c>
      <c r="N1983" s="105" t="str">
        <f>VLOOKUP(M1983,CAC!$A$2:$B$198,2,FALSE)</f>
        <v>HMOPMR</v>
      </c>
    </row>
    <row r="1984" spans="5:14" x14ac:dyDescent="0.25">
      <c r="E1984" s="83">
        <v>201608</v>
      </c>
      <c r="F1984" s="82" t="s">
        <v>344</v>
      </c>
      <c r="G1984" s="82" t="s">
        <v>352</v>
      </c>
      <c r="H1984" s="82" t="s">
        <v>344</v>
      </c>
      <c r="I1984" s="95">
        <v>438</v>
      </c>
      <c r="K1984" s="105" t="str">
        <f t="shared" si="69"/>
        <v>0012-1004-0012</v>
      </c>
      <c r="L1984" s="105" t="str">
        <f>VLOOKUP(K1984,COA!$A$3:$B$337,2,FALSE)</f>
        <v>L12</v>
      </c>
      <c r="M1984" s="105" t="str">
        <f t="shared" si="70"/>
        <v>L12</v>
      </c>
      <c r="N1984" s="105" t="str">
        <f>VLOOKUP(M1984,CAC!$A$2:$B$198,2,FALSE)</f>
        <v>HMOLG</v>
      </c>
    </row>
    <row r="1985" spans="5:14" x14ac:dyDescent="0.25">
      <c r="E1985" s="83">
        <v>201612</v>
      </c>
      <c r="F1985" s="82" t="s">
        <v>413</v>
      </c>
      <c r="G1985" s="82" t="s">
        <v>352</v>
      </c>
      <c r="H1985" s="82" t="s">
        <v>344</v>
      </c>
      <c r="I1985" s="95">
        <v>0</v>
      </c>
      <c r="K1985" s="105" t="str">
        <f t="shared" si="69"/>
        <v>0008-1004-0012</v>
      </c>
      <c r="L1985" s="105" t="str">
        <f>VLOOKUP(K1985,COA!$A$3:$B$337,2,FALSE)</f>
        <v>C93</v>
      </c>
      <c r="M1985" s="105" t="str">
        <f t="shared" si="70"/>
        <v>C93</v>
      </c>
      <c r="N1985" s="105" t="str">
        <f>VLOOKUP(M1985,CAC!$A$2:$B$198,2,FALSE)</f>
        <v>DOILG</v>
      </c>
    </row>
    <row r="1986" spans="5:14" x14ac:dyDescent="0.25">
      <c r="E1986" s="83">
        <v>201701</v>
      </c>
      <c r="F1986" s="82" t="s">
        <v>345</v>
      </c>
      <c r="G1986" s="82" t="s">
        <v>365</v>
      </c>
      <c r="H1986" s="82" t="s">
        <v>367</v>
      </c>
      <c r="I1986" s="95">
        <v>337</v>
      </c>
      <c r="K1986" s="105" t="str">
        <f t="shared" si="69"/>
        <v>0011-1001-0022</v>
      </c>
      <c r="L1986" s="105" t="str">
        <f>VLOOKUP(K1986,COA!$A$3:$B$337,2,FALSE)</f>
        <v>V14</v>
      </c>
      <c r="M1986" s="105" t="str">
        <f t="shared" si="70"/>
        <v>V14</v>
      </c>
      <c r="N1986" s="105" t="str">
        <f>VLOOKUP(M1986,CAC!$A$2:$B$198,2,FALSE)</f>
        <v>HMOIFP</v>
      </c>
    </row>
    <row r="1987" spans="5:14" x14ac:dyDescent="0.25">
      <c r="E1987" s="83">
        <v>201605</v>
      </c>
      <c r="F1987" s="82" t="s">
        <v>345</v>
      </c>
      <c r="G1987" s="82" t="s">
        <v>352</v>
      </c>
      <c r="H1987" s="82" t="s">
        <v>357</v>
      </c>
      <c r="I1987" s="95">
        <v>301</v>
      </c>
      <c r="K1987" s="105" t="str">
        <f t="shared" si="69"/>
        <v>0011-1004-0038</v>
      </c>
      <c r="L1987" s="105" t="str">
        <f>VLOOKUP(K1987,COA!$A$3:$B$337,2,FALSE)</f>
        <v>L14</v>
      </c>
      <c r="M1987" s="105" t="str">
        <f t="shared" si="70"/>
        <v>L14</v>
      </c>
      <c r="N1987" s="105" t="str">
        <f>VLOOKUP(M1987,CAC!$A$2:$B$198,2,FALSE)</f>
        <v>HMOLG</v>
      </c>
    </row>
    <row r="1988" spans="5:14" x14ac:dyDescent="0.25">
      <c r="E1988" s="83">
        <v>201710</v>
      </c>
      <c r="F1988" s="82" t="s">
        <v>345</v>
      </c>
      <c r="G1988" s="82" t="s">
        <v>350</v>
      </c>
      <c r="H1988" s="82" t="s">
        <v>344</v>
      </c>
      <c r="I1988" s="95">
        <v>17736.96</v>
      </c>
      <c r="K1988" s="105" t="str">
        <f t="shared" ref="K1988:K2051" si="71">F1988&amp;"-"&amp;G1988&amp;"-"&amp;H1988</f>
        <v>0011-1012-0012</v>
      </c>
      <c r="L1988" s="105" t="str">
        <f>VLOOKUP(K1988,COA!$A$3:$B$337,2,FALSE)</f>
        <v>K11</v>
      </c>
      <c r="M1988" s="105" t="str">
        <f t="shared" ref="M1988:M2051" si="72">IF(ISNA(L1988),"XXX",L1988)</f>
        <v>K11</v>
      </c>
      <c r="N1988" s="105" t="str">
        <f>VLOOKUP(M1988,CAC!$A$2:$B$198,2,FALSE)</f>
        <v>HMOPMR</v>
      </c>
    </row>
    <row r="1989" spans="5:14" x14ac:dyDescent="0.25">
      <c r="E1989" s="83">
        <v>201601</v>
      </c>
      <c r="F1989" s="82" t="s">
        <v>345</v>
      </c>
      <c r="G1989" s="82" t="s">
        <v>355</v>
      </c>
      <c r="H1989" s="82" t="s">
        <v>344</v>
      </c>
      <c r="I1989" s="95">
        <v>24711.599999999999</v>
      </c>
      <c r="K1989" s="105" t="str">
        <f t="shared" si="71"/>
        <v>0011-1006-0012</v>
      </c>
      <c r="L1989" s="105" t="str">
        <f>VLOOKUP(K1989,COA!$A$3:$B$337,2,FALSE)</f>
        <v>L13</v>
      </c>
      <c r="M1989" s="105" t="str">
        <f t="shared" si="72"/>
        <v>L13</v>
      </c>
      <c r="N1989" s="105" t="str">
        <f>VLOOKUP(M1989,CAC!$A$2:$B$198,2,FALSE)</f>
        <v>HMOLG</v>
      </c>
    </row>
    <row r="1990" spans="5:14" x14ac:dyDescent="0.25">
      <c r="E1990" s="83">
        <v>201512</v>
      </c>
      <c r="F1990" s="82" t="s">
        <v>345</v>
      </c>
      <c r="G1990" s="82" t="s">
        <v>359</v>
      </c>
      <c r="H1990" s="82" t="s">
        <v>344</v>
      </c>
      <c r="I1990" s="95">
        <v>3431.84</v>
      </c>
      <c r="K1990" s="105" t="str">
        <f t="shared" si="71"/>
        <v>0011-1005-0012</v>
      </c>
      <c r="L1990" s="105" t="str">
        <f>VLOOKUP(K1990,COA!$A$3:$B$337,2,FALSE)</f>
        <v>N11</v>
      </c>
      <c r="M1990" s="105" t="str">
        <f t="shared" si="72"/>
        <v>N11</v>
      </c>
      <c r="N1990" s="105" t="str">
        <f>VLOOKUP(M1990,CAC!$A$2:$B$198,2,FALSE)</f>
        <v>HMOLG</v>
      </c>
    </row>
    <row r="1991" spans="5:14" x14ac:dyDescent="0.25">
      <c r="E1991" s="83">
        <v>201703</v>
      </c>
      <c r="F1991" s="82" t="s">
        <v>563</v>
      </c>
      <c r="G1991" s="82" t="s">
        <v>365</v>
      </c>
      <c r="H1991" s="82" t="s">
        <v>344</v>
      </c>
      <c r="I1991" s="95">
        <v>0</v>
      </c>
      <c r="K1991" s="105" t="str">
        <f t="shared" si="71"/>
        <v>0003-1001-0012</v>
      </c>
      <c r="L1991" s="105" t="str">
        <f>VLOOKUP(K1991,COA!$A$3:$B$337,2,FALSE)</f>
        <v>V51</v>
      </c>
      <c r="M1991" s="105" t="str">
        <f t="shared" si="72"/>
        <v>V51</v>
      </c>
      <c r="N1991" s="105" t="str">
        <f>VLOOKUP(M1991,CAC!$A$2:$B$198,2,FALSE)</f>
        <v>PPOIFP</v>
      </c>
    </row>
    <row r="1992" spans="5:14" x14ac:dyDescent="0.25">
      <c r="E1992" s="83">
        <v>201509</v>
      </c>
      <c r="F1992" s="82" t="s">
        <v>506</v>
      </c>
      <c r="G1992" s="82" t="s">
        <v>352</v>
      </c>
      <c r="H1992" s="82" t="s">
        <v>592</v>
      </c>
      <c r="I1992" s="95">
        <v>0</v>
      </c>
      <c r="K1992" s="105" t="str">
        <f t="shared" si="71"/>
        <v>0013-1004-0035</v>
      </c>
      <c r="L1992" s="105" t="str">
        <f>VLOOKUP(K1992,COA!$A$3:$B$337,2,FALSE)</f>
        <v>L41</v>
      </c>
      <c r="M1992" s="105" t="str">
        <f t="shared" si="72"/>
        <v>L41</v>
      </c>
      <c r="N1992" s="105" t="e">
        <f>VLOOKUP(M1992,CAC!$A$2:$B$198,2,FALSE)</f>
        <v>#N/A</v>
      </c>
    </row>
    <row r="1993" spans="5:14" x14ac:dyDescent="0.25">
      <c r="E1993" s="83">
        <v>201710</v>
      </c>
      <c r="F1993" s="82" t="s">
        <v>563</v>
      </c>
      <c r="G1993" s="82" t="s">
        <v>356</v>
      </c>
      <c r="H1993" s="82" t="s">
        <v>344</v>
      </c>
      <c r="I1993" s="95">
        <v>0</v>
      </c>
      <c r="K1993" s="105" t="str">
        <f t="shared" si="71"/>
        <v>0003-1002-0012</v>
      </c>
      <c r="L1993" s="105" t="str">
        <f>VLOOKUP(K1993,COA!$A$3:$B$337,2,FALSE)</f>
        <v>F61</v>
      </c>
      <c r="M1993" s="105" t="str">
        <f t="shared" si="72"/>
        <v>F61</v>
      </c>
      <c r="N1993" s="105" t="str">
        <f>VLOOKUP(M1993,CAC!$A$2:$B$198,2,FALSE)</f>
        <v>PPOPMR</v>
      </c>
    </row>
    <row r="1994" spans="5:14" x14ac:dyDescent="0.25">
      <c r="E1994" s="83">
        <v>201611</v>
      </c>
      <c r="F1994" s="82" t="s">
        <v>563</v>
      </c>
      <c r="G1994" s="82" t="s">
        <v>354</v>
      </c>
      <c r="H1994" s="82" t="s">
        <v>626</v>
      </c>
      <c r="I1994" s="95">
        <v>0</v>
      </c>
      <c r="K1994" s="105" t="str">
        <f t="shared" si="71"/>
        <v>0003-1013-0057</v>
      </c>
      <c r="L1994" s="105" t="str">
        <f>VLOOKUP(K1994,COA!$A$3:$B$337,2,FALSE)</f>
        <v>N55</v>
      </c>
      <c r="M1994" s="105" t="str">
        <f t="shared" si="72"/>
        <v>N55</v>
      </c>
      <c r="N1994" s="105" t="str">
        <f>VLOOKUP(M1994,CAC!$A$2:$B$198,2,FALSE)</f>
        <v>PPOPMR</v>
      </c>
    </row>
    <row r="1995" spans="5:14" x14ac:dyDescent="0.25">
      <c r="E1995" s="83">
        <v>201604</v>
      </c>
      <c r="F1995" s="82" t="s">
        <v>563</v>
      </c>
      <c r="G1995" s="82" t="s">
        <v>365</v>
      </c>
      <c r="H1995" s="82" t="s">
        <v>367</v>
      </c>
      <c r="I1995" s="95">
        <v>0</v>
      </c>
      <c r="K1995" s="105" t="str">
        <f t="shared" si="71"/>
        <v>0003-1001-0022</v>
      </c>
      <c r="L1995" s="105" t="str">
        <f>VLOOKUP(K1995,COA!$A$3:$B$337,2,FALSE)</f>
        <v>V54</v>
      </c>
      <c r="M1995" s="105" t="str">
        <f t="shared" si="72"/>
        <v>V54</v>
      </c>
      <c r="N1995" s="105" t="str">
        <f>VLOOKUP(M1995,CAC!$A$2:$B$198,2,FALSE)</f>
        <v>PPOIFP</v>
      </c>
    </row>
    <row r="1996" spans="5:14" x14ac:dyDescent="0.25">
      <c r="E1996" s="83">
        <v>201511</v>
      </c>
      <c r="F1996" s="82" t="s">
        <v>342</v>
      </c>
      <c r="G1996" s="82" t="s">
        <v>343</v>
      </c>
      <c r="H1996" s="82" t="s">
        <v>344</v>
      </c>
      <c r="I1996" s="95">
        <v>6687.34</v>
      </c>
      <c r="K1996" s="105" t="str">
        <f t="shared" si="71"/>
        <v>0031-1000-0012</v>
      </c>
      <c r="L1996" s="105" t="str">
        <f>VLOOKUP(K1996,COA!$A$3:$B$337,2,FALSE)</f>
        <v>F27</v>
      </c>
      <c r="M1996" s="105" t="str">
        <f t="shared" si="72"/>
        <v>F27</v>
      </c>
      <c r="N1996" s="105" t="str">
        <f>VLOOKUP(M1996,CAC!$A$2:$B$198,2,FALSE)</f>
        <v>HMOFEP</v>
      </c>
    </row>
    <row r="1997" spans="5:14" x14ac:dyDescent="0.25">
      <c r="E1997" s="83">
        <v>201510</v>
      </c>
      <c r="F1997" s="82" t="s">
        <v>345</v>
      </c>
      <c r="G1997" s="82" t="s">
        <v>350</v>
      </c>
      <c r="H1997" s="82" t="s">
        <v>344</v>
      </c>
      <c r="I1997" s="95">
        <v>10379.52</v>
      </c>
      <c r="K1997" s="105" t="str">
        <f t="shared" si="71"/>
        <v>0011-1012-0012</v>
      </c>
      <c r="L1997" s="105" t="str">
        <f>VLOOKUP(K1997,COA!$A$3:$B$337,2,FALSE)</f>
        <v>K11</v>
      </c>
      <c r="M1997" s="105" t="str">
        <f t="shared" si="72"/>
        <v>K11</v>
      </c>
      <c r="N1997" s="105" t="str">
        <f>VLOOKUP(M1997,CAC!$A$2:$B$198,2,FALSE)</f>
        <v>HMOPMR</v>
      </c>
    </row>
    <row r="1998" spans="5:14" x14ac:dyDescent="0.25">
      <c r="E1998" s="83">
        <v>201601</v>
      </c>
      <c r="F1998" s="82" t="s">
        <v>563</v>
      </c>
      <c r="G1998" s="82" t="s">
        <v>350</v>
      </c>
      <c r="H1998" s="82" t="s">
        <v>344</v>
      </c>
      <c r="I1998" s="95">
        <v>0</v>
      </c>
      <c r="K1998" s="105" t="str">
        <f t="shared" si="71"/>
        <v>0003-1012-0012</v>
      </c>
      <c r="L1998" s="105" t="str">
        <f>VLOOKUP(K1998,COA!$A$3:$B$337,2,FALSE)</f>
        <v>K51</v>
      </c>
      <c r="M1998" s="105" t="str">
        <f t="shared" si="72"/>
        <v>K51</v>
      </c>
      <c r="N1998" s="105" t="str">
        <f>VLOOKUP(M1998,CAC!$A$2:$B$198,2,FALSE)</f>
        <v>PPOPMR</v>
      </c>
    </row>
    <row r="1999" spans="5:14" x14ac:dyDescent="0.25">
      <c r="E1999" s="83">
        <v>201606</v>
      </c>
      <c r="F1999" s="82" t="s">
        <v>549</v>
      </c>
      <c r="G1999" s="82" t="s">
        <v>356</v>
      </c>
      <c r="H1999" s="82" t="s">
        <v>672</v>
      </c>
      <c r="I1999" s="95">
        <v>0</v>
      </c>
      <c r="K1999" s="105" t="str">
        <f t="shared" si="71"/>
        <v>0026-1002-0058</v>
      </c>
      <c r="L1999" s="105" t="str">
        <f>VLOOKUP(K1999,COA!$A$3:$B$337,2,FALSE)</f>
        <v>L45</v>
      </c>
      <c r="M1999" s="105" t="str">
        <f t="shared" si="72"/>
        <v>L45</v>
      </c>
      <c r="N1999" s="105" t="e">
        <f>VLOOKUP(M1999,CAC!$A$2:$B$198,2,FALSE)</f>
        <v>#N/A</v>
      </c>
    </row>
    <row r="2000" spans="5:14" x14ac:dyDescent="0.25">
      <c r="E2000" s="83">
        <v>201508</v>
      </c>
      <c r="F2000" s="82" t="s">
        <v>563</v>
      </c>
      <c r="G2000" s="82" t="s">
        <v>365</v>
      </c>
      <c r="H2000" s="82" t="s">
        <v>344</v>
      </c>
      <c r="I2000" s="95">
        <v>0</v>
      </c>
      <c r="K2000" s="105" t="str">
        <f t="shared" si="71"/>
        <v>0003-1001-0012</v>
      </c>
      <c r="L2000" s="105" t="str">
        <f>VLOOKUP(K2000,COA!$A$3:$B$337,2,FALSE)</f>
        <v>V51</v>
      </c>
      <c r="M2000" s="105" t="str">
        <f t="shared" si="72"/>
        <v>V51</v>
      </c>
      <c r="N2000" s="105" t="str">
        <f>VLOOKUP(M2000,CAC!$A$2:$B$198,2,FALSE)</f>
        <v>PPOIFP</v>
      </c>
    </row>
    <row r="2001" spans="5:14" x14ac:dyDescent="0.25">
      <c r="E2001" s="83">
        <v>201603</v>
      </c>
      <c r="F2001" s="82" t="s">
        <v>344</v>
      </c>
      <c r="G2001" s="82" t="s">
        <v>354</v>
      </c>
      <c r="H2001" s="82" t="s">
        <v>344</v>
      </c>
      <c r="I2001" s="95">
        <v>277</v>
      </c>
      <c r="K2001" s="105" t="str">
        <f t="shared" si="71"/>
        <v>0012-1013-0012</v>
      </c>
      <c r="L2001" s="105" t="str">
        <f>VLOOKUP(K2001,COA!$A$3:$B$337,2,FALSE)</f>
        <v>N14</v>
      </c>
      <c r="M2001" s="105" t="str">
        <f t="shared" si="72"/>
        <v>N14</v>
      </c>
      <c r="N2001" s="105" t="str">
        <f>VLOOKUP(M2001,CAC!$A$2:$B$198,2,FALSE)</f>
        <v>HMOPMR</v>
      </c>
    </row>
    <row r="2002" spans="5:14" x14ac:dyDescent="0.25">
      <c r="E2002" s="83">
        <v>201704</v>
      </c>
      <c r="F2002" s="82" t="s">
        <v>413</v>
      </c>
      <c r="G2002" s="82" t="s">
        <v>352</v>
      </c>
      <c r="H2002" s="82" t="s">
        <v>344</v>
      </c>
      <c r="I2002" s="95">
        <v>0</v>
      </c>
      <c r="K2002" s="105" t="str">
        <f t="shared" si="71"/>
        <v>0008-1004-0012</v>
      </c>
      <c r="L2002" s="105" t="str">
        <f>VLOOKUP(K2002,COA!$A$3:$B$337,2,FALSE)</f>
        <v>C93</v>
      </c>
      <c r="M2002" s="105" t="str">
        <f t="shared" si="72"/>
        <v>C93</v>
      </c>
      <c r="N2002" s="105" t="str">
        <f>VLOOKUP(M2002,CAC!$A$2:$B$198,2,FALSE)</f>
        <v>DOILG</v>
      </c>
    </row>
    <row r="2003" spans="5:14" x14ac:dyDescent="0.25">
      <c r="E2003" s="83">
        <v>201604</v>
      </c>
      <c r="F2003" s="82" t="s">
        <v>552</v>
      </c>
      <c r="G2003" s="82" t="s">
        <v>356</v>
      </c>
      <c r="H2003" s="82" t="s">
        <v>672</v>
      </c>
      <c r="I2003" s="95">
        <v>0</v>
      </c>
      <c r="K2003" s="105" t="str">
        <f t="shared" si="71"/>
        <v>0027-1002-0058</v>
      </c>
      <c r="L2003" s="105" t="str">
        <f>VLOOKUP(K2003,COA!$A$3:$B$337,2,FALSE)</f>
        <v>L45</v>
      </c>
      <c r="M2003" s="105" t="str">
        <f t="shared" si="72"/>
        <v>L45</v>
      </c>
      <c r="N2003" s="105" t="e">
        <f>VLOOKUP(M2003,CAC!$A$2:$B$198,2,FALSE)</f>
        <v>#N/A</v>
      </c>
    </row>
    <row r="2004" spans="5:14" x14ac:dyDescent="0.25">
      <c r="E2004" s="83">
        <v>201503</v>
      </c>
      <c r="F2004" s="82" t="s">
        <v>563</v>
      </c>
      <c r="G2004" s="82" t="s">
        <v>352</v>
      </c>
      <c r="H2004" s="82" t="s">
        <v>344</v>
      </c>
      <c r="I2004" s="95">
        <v>0</v>
      </c>
      <c r="K2004" s="105" t="str">
        <f t="shared" si="71"/>
        <v>0003-1004-0012</v>
      </c>
      <c r="L2004" s="105" t="str">
        <f>VLOOKUP(K2004,COA!$A$3:$B$337,2,FALSE)</f>
        <v>L51</v>
      </c>
      <c r="M2004" s="105" t="str">
        <f t="shared" si="72"/>
        <v>L51</v>
      </c>
      <c r="N2004" s="105" t="str">
        <f>VLOOKUP(M2004,CAC!$A$2:$B$198,2,FALSE)</f>
        <v>PPOLG</v>
      </c>
    </row>
    <row r="2005" spans="5:14" x14ac:dyDescent="0.25">
      <c r="E2005" s="83">
        <v>201603</v>
      </c>
      <c r="F2005" s="82" t="s">
        <v>345</v>
      </c>
      <c r="G2005" s="82" t="s">
        <v>350</v>
      </c>
      <c r="H2005" s="82" t="s">
        <v>357</v>
      </c>
      <c r="I2005" s="95">
        <v>687.16</v>
      </c>
      <c r="K2005" s="105" t="str">
        <f t="shared" si="71"/>
        <v>0011-1012-0038</v>
      </c>
      <c r="L2005" s="105" t="str">
        <f>VLOOKUP(K2005,COA!$A$3:$B$337,2,FALSE)</f>
        <v>K14</v>
      </c>
      <c r="M2005" s="105" t="str">
        <f t="shared" si="72"/>
        <v>K14</v>
      </c>
      <c r="N2005" s="105" t="str">
        <f>VLOOKUP(M2005,CAC!$A$2:$B$198,2,FALSE)</f>
        <v>HMOPMR</v>
      </c>
    </row>
    <row r="2006" spans="5:14" x14ac:dyDescent="0.25">
      <c r="E2006" s="83">
        <v>201512</v>
      </c>
      <c r="F2006" s="82" t="s">
        <v>746</v>
      </c>
      <c r="G2006" s="82" t="s">
        <v>362</v>
      </c>
      <c r="H2006" s="82" t="s">
        <v>364</v>
      </c>
      <c r="I2006" s="95">
        <v>5971</v>
      </c>
      <c r="K2006" s="105" t="str">
        <f t="shared" si="71"/>
        <v>0016-1008-0037</v>
      </c>
      <c r="L2006" s="105" t="str">
        <f>VLOOKUP(K2006,COA!$A$3:$B$337,2,FALSE)</f>
        <v>R24</v>
      </c>
      <c r="M2006" s="105" t="str">
        <f t="shared" si="72"/>
        <v>R24</v>
      </c>
      <c r="N2006" s="105" t="str">
        <f>VLOOKUP(M2006,CAC!$A$2:$B$198,2,FALSE)</f>
        <v>PERMAPD</v>
      </c>
    </row>
    <row r="2007" spans="5:14" x14ac:dyDescent="0.25">
      <c r="E2007" s="83">
        <v>201608</v>
      </c>
      <c r="F2007" s="82" t="s">
        <v>344</v>
      </c>
      <c r="G2007" s="82" t="s">
        <v>359</v>
      </c>
      <c r="H2007" s="82" t="s">
        <v>344</v>
      </c>
      <c r="I2007" s="95">
        <v>136</v>
      </c>
      <c r="K2007" s="105" t="str">
        <f t="shared" si="71"/>
        <v>0012-1005-0012</v>
      </c>
      <c r="L2007" s="105" t="str">
        <f>VLOOKUP(K2007,COA!$A$3:$B$337,2,FALSE)</f>
        <v>N13</v>
      </c>
      <c r="M2007" s="105" t="str">
        <f t="shared" si="72"/>
        <v>N13</v>
      </c>
      <c r="N2007" s="105" t="str">
        <f>VLOOKUP(M2007,CAC!$A$2:$B$198,2,FALSE)</f>
        <v>HMOLG</v>
      </c>
    </row>
    <row r="2008" spans="5:14" x14ac:dyDescent="0.25">
      <c r="E2008" s="83">
        <v>201510</v>
      </c>
      <c r="F2008" s="82" t="s">
        <v>549</v>
      </c>
      <c r="G2008" s="82" t="s">
        <v>352</v>
      </c>
      <c r="H2008" s="82" t="s">
        <v>672</v>
      </c>
      <c r="I2008" s="95">
        <v>0</v>
      </c>
      <c r="K2008" s="105" t="str">
        <f t="shared" si="71"/>
        <v>0026-1004-0058</v>
      </c>
      <c r="L2008" s="105" t="str">
        <f>VLOOKUP(K2008,COA!$A$3:$B$337,2,FALSE)</f>
        <v>L44</v>
      </c>
      <c r="M2008" s="105" t="str">
        <f t="shared" si="72"/>
        <v>L44</v>
      </c>
      <c r="N2008" s="105" t="e">
        <f>VLOOKUP(M2008,CAC!$A$2:$B$198,2,FALSE)</f>
        <v>#N/A</v>
      </c>
    </row>
    <row r="2009" spans="5:14" x14ac:dyDescent="0.25">
      <c r="E2009" s="83">
        <v>201611</v>
      </c>
      <c r="F2009" s="82" t="s">
        <v>345</v>
      </c>
      <c r="G2009" s="82" t="s">
        <v>359</v>
      </c>
      <c r="H2009" s="82" t="s">
        <v>344</v>
      </c>
      <c r="I2009" s="95">
        <v>3982</v>
      </c>
      <c r="K2009" s="105" t="str">
        <f t="shared" si="71"/>
        <v>0011-1005-0012</v>
      </c>
      <c r="L2009" s="105" t="str">
        <f>VLOOKUP(K2009,COA!$A$3:$B$337,2,FALSE)</f>
        <v>N11</v>
      </c>
      <c r="M2009" s="105" t="str">
        <f t="shared" si="72"/>
        <v>N11</v>
      </c>
      <c r="N2009" s="105" t="str">
        <f>VLOOKUP(M2009,CAC!$A$2:$B$198,2,FALSE)</f>
        <v>HMOLG</v>
      </c>
    </row>
    <row r="2010" spans="5:14" x14ac:dyDescent="0.25">
      <c r="E2010" s="83">
        <v>201709</v>
      </c>
      <c r="F2010" s="82" t="s">
        <v>563</v>
      </c>
      <c r="G2010" s="82" t="s">
        <v>359</v>
      </c>
      <c r="H2010" s="82" t="s">
        <v>344</v>
      </c>
      <c r="I2010" s="95">
        <v>0</v>
      </c>
      <c r="K2010" s="105" t="str">
        <f t="shared" si="71"/>
        <v>0003-1005-0012</v>
      </c>
      <c r="L2010" s="105" t="str">
        <f>VLOOKUP(K2010,COA!$A$3:$B$337,2,FALSE)</f>
        <v>N51</v>
      </c>
      <c r="M2010" s="105" t="str">
        <f t="shared" si="72"/>
        <v>N51</v>
      </c>
      <c r="N2010" s="105" t="str">
        <f>VLOOKUP(M2010,CAC!$A$2:$B$198,2,FALSE)</f>
        <v>PPOLG</v>
      </c>
    </row>
    <row r="2011" spans="5:14" x14ac:dyDescent="0.25">
      <c r="E2011" s="83">
        <v>201701</v>
      </c>
      <c r="F2011" s="82" t="s">
        <v>563</v>
      </c>
      <c r="G2011" s="82" t="s">
        <v>355</v>
      </c>
      <c r="H2011" s="82" t="s">
        <v>344</v>
      </c>
      <c r="I2011" s="95">
        <v>0</v>
      </c>
      <c r="K2011" s="105" t="str">
        <f t="shared" si="71"/>
        <v>0003-1006-0012</v>
      </c>
      <c r="L2011" s="105" t="str">
        <f>VLOOKUP(K2011,COA!$A$3:$B$337,2,FALSE)</f>
        <v>L52</v>
      </c>
      <c r="M2011" s="105" t="str">
        <f t="shared" si="72"/>
        <v>L52</v>
      </c>
      <c r="N2011" s="105" t="str">
        <f>VLOOKUP(M2011,CAC!$A$2:$B$198,2,FALSE)</f>
        <v>PPOLG</v>
      </c>
    </row>
    <row r="2012" spans="5:14" x14ac:dyDescent="0.25">
      <c r="E2012" s="83">
        <v>201606</v>
      </c>
      <c r="F2012" s="82" t="s">
        <v>506</v>
      </c>
      <c r="G2012" s="82" t="s">
        <v>352</v>
      </c>
      <c r="H2012" s="82" t="s">
        <v>592</v>
      </c>
      <c r="I2012" s="95">
        <v>0</v>
      </c>
      <c r="K2012" s="105" t="str">
        <f t="shared" si="71"/>
        <v>0013-1004-0035</v>
      </c>
      <c r="L2012" s="105" t="str">
        <f>VLOOKUP(K2012,COA!$A$3:$B$337,2,FALSE)</f>
        <v>L41</v>
      </c>
      <c r="M2012" s="105" t="str">
        <f t="shared" si="72"/>
        <v>L41</v>
      </c>
      <c r="N2012" s="105" t="e">
        <f>VLOOKUP(M2012,CAC!$A$2:$B$198,2,FALSE)</f>
        <v>#N/A</v>
      </c>
    </row>
    <row r="2013" spans="5:14" x14ac:dyDescent="0.25">
      <c r="E2013" s="83">
        <v>201512</v>
      </c>
      <c r="F2013" s="82" t="s">
        <v>342</v>
      </c>
      <c r="G2013" s="82" t="s">
        <v>343</v>
      </c>
      <c r="H2013" s="82" t="s">
        <v>344</v>
      </c>
      <c r="I2013" s="95">
        <v>6679.35</v>
      </c>
      <c r="K2013" s="105" t="str">
        <f t="shared" si="71"/>
        <v>0031-1000-0012</v>
      </c>
      <c r="L2013" s="105" t="str">
        <f>VLOOKUP(K2013,COA!$A$3:$B$337,2,FALSE)</f>
        <v>F27</v>
      </c>
      <c r="M2013" s="105" t="str">
        <f t="shared" si="72"/>
        <v>F27</v>
      </c>
      <c r="N2013" s="105" t="str">
        <f>VLOOKUP(M2013,CAC!$A$2:$B$198,2,FALSE)</f>
        <v>HMOFEP</v>
      </c>
    </row>
    <row r="2014" spans="5:14" x14ac:dyDescent="0.25">
      <c r="E2014" s="83">
        <v>201511</v>
      </c>
      <c r="F2014" s="82" t="s">
        <v>563</v>
      </c>
      <c r="G2014" s="82" t="s">
        <v>356</v>
      </c>
      <c r="H2014" s="82" t="s">
        <v>344</v>
      </c>
      <c r="I2014" s="95">
        <v>0</v>
      </c>
      <c r="K2014" s="105" t="str">
        <f t="shared" si="71"/>
        <v>0003-1002-0012</v>
      </c>
      <c r="L2014" s="105" t="str">
        <f>VLOOKUP(K2014,COA!$A$3:$B$337,2,FALSE)</f>
        <v>F61</v>
      </c>
      <c r="M2014" s="105" t="str">
        <f t="shared" si="72"/>
        <v>F61</v>
      </c>
      <c r="N2014" s="105" t="str">
        <f>VLOOKUP(M2014,CAC!$A$2:$B$198,2,FALSE)</f>
        <v>PPOPMR</v>
      </c>
    </row>
    <row r="2015" spans="5:14" x14ac:dyDescent="0.25">
      <c r="E2015" s="83">
        <v>201711</v>
      </c>
      <c r="F2015" s="82" t="s">
        <v>345</v>
      </c>
      <c r="G2015" s="82" t="s">
        <v>352</v>
      </c>
      <c r="H2015" s="82" t="s">
        <v>360</v>
      </c>
      <c r="I2015" s="95">
        <v>230</v>
      </c>
      <c r="K2015" s="105" t="str">
        <f t="shared" si="71"/>
        <v>0011-1004-0048</v>
      </c>
      <c r="L2015" s="105" t="str">
        <f>VLOOKUP(K2015,COA!$A$3:$B$337,2,FALSE)</f>
        <v>L21</v>
      </c>
      <c r="M2015" s="105" t="str">
        <f t="shared" si="72"/>
        <v>L21</v>
      </c>
      <c r="N2015" s="105" t="str">
        <f>VLOOKUP(M2015,CAC!$A$2:$B$198,2,FALSE)</f>
        <v>HMFLEX</v>
      </c>
    </row>
    <row r="2016" spans="5:14" x14ac:dyDescent="0.25">
      <c r="E2016" s="83">
        <v>201510</v>
      </c>
      <c r="F2016" s="82" t="s">
        <v>344</v>
      </c>
      <c r="G2016" s="82" t="s">
        <v>359</v>
      </c>
      <c r="H2016" s="82" t="s">
        <v>344</v>
      </c>
      <c r="I2016" s="95">
        <v>68</v>
      </c>
      <c r="K2016" s="105" t="str">
        <f t="shared" si="71"/>
        <v>0012-1005-0012</v>
      </c>
      <c r="L2016" s="105" t="str">
        <f>VLOOKUP(K2016,COA!$A$3:$B$337,2,FALSE)</f>
        <v>N13</v>
      </c>
      <c r="M2016" s="105" t="str">
        <f t="shared" si="72"/>
        <v>N13</v>
      </c>
      <c r="N2016" s="105" t="str">
        <f>VLOOKUP(M2016,CAC!$A$2:$B$198,2,FALSE)</f>
        <v>HMOLG</v>
      </c>
    </row>
    <row r="2017" spans="5:14" x14ac:dyDescent="0.25">
      <c r="E2017" s="83">
        <v>201711</v>
      </c>
      <c r="F2017" s="82" t="s">
        <v>506</v>
      </c>
      <c r="G2017" s="82" t="s">
        <v>361</v>
      </c>
      <c r="H2017" s="82" t="s">
        <v>592</v>
      </c>
      <c r="I2017" s="95">
        <v>0</v>
      </c>
      <c r="K2017" s="105" t="str">
        <f t="shared" si="71"/>
        <v>0013-1003-0035</v>
      </c>
      <c r="L2017" s="105" t="str">
        <f>VLOOKUP(K2017,COA!$A$3:$B$337,2,FALSE)</f>
        <v>N32</v>
      </c>
      <c r="M2017" s="105" t="str">
        <f t="shared" si="72"/>
        <v>N32</v>
      </c>
      <c r="N2017" s="105" t="e">
        <f>VLOOKUP(M2017,CAC!$A$2:$B$198,2,FALSE)</f>
        <v>#N/A</v>
      </c>
    </row>
    <row r="2018" spans="5:14" x14ac:dyDescent="0.25">
      <c r="E2018" s="83">
        <v>201801</v>
      </c>
      <c r="F2018" s="82" t="s">
        <v>746</v>
      </c>
      <c r="G2018" s="82" t="s">
        <v>354</v>
      </c>
      <c r="H2018" s="82" t="s">
        <v>344</v>
      </c>
      <c r="I2018" s="95">
        <v>101</v>
      </c>
      <c r="K2018" s="105" t="str">
        <f t="shared" si="71"/>
        <v>0016-1013-0012</v>
      </c>
      <c r="L2018" s="105" t="str">
        <f>VLOOKUP(K2018,COA!$A$3:$B$337,2,FALSE)</f>
        <v>R19</v>
      </c>
      <c r="M2018" s="105" t="str">
        <f t="shared" si="72"/>
        <v>R19</v>
      </c>
      <c r="N2018" s="105" t="str">
        <f>VLOOKUP(M2018,CAC!$A$2:$B$198,2,FALSE)</f>
        <v>HMOMG</v>
      </c>
    </row>
    <row r="2019" spans="5:14" x14ac:dyDescent="0.25">
      <c r="E2019" s="83">
        <v>201611</v>
      </c>
      <c r="F2019" s="82" t="s">
        <v>345</v>
      </c>
      <c r="G2019" s="82" t="s">
        <v>356</v>
      </c>
      <c r="H2019" s="82" t="s">
        <v>344</v>
      </c>
      <c r="I2019" s="95">
        <v>15583.27</v>
      </c>
      <c r="K2019" s="105" t="str">
        <f t="shared" si="71"/>
        <v>0011-1002-0012</v>
      </c>
      <c r="L2019" s="105" t="str">
        <f>VLOOKUP(K2019,COA!$A$3:$B$337,2,FALSE)</f>
        <v>F20</v>
      </c>
      <c r="M2019" s="105" t="str">
        <f t="shared" si="72"/>
        <v>F20</v>
      </c>
      <c r="N2019" s="105" t="str">
        <f>VLOOKUP(M2019,CAC!$A$2:$B$198,2,FALSE)</f>
        <v>HMOPMR</v>
      </c>
    </row>
    <row r="2020" spans="5:14" x14ac:dyDescent="0.25">
      <c r="E2020" s="83">
        <v>201711</v>
      </c>
      <c r="F2020" s="82" t="s">
        <v>344</v>
      </c>
      <c r="G2020" s="82" t="s">
        <v>361</v>
      </c>
      <c r="H2020" s="82" t="s">
        <v>344</v>
      </c>
      <c r="I2020" s="95">
        <v>9781.8799999999992</v>
      </c>
      <c r="K2020" s="105" t="str">
        <f t="shared" si="71"/>
        <v>0012-1003-0012</v>
      </c>
      <c r="L2020" s="105" t="str">
        <f>VLOOKUP(K2020,COA!$A$3:$B$337,2,FALSE)</f>
        <v>N15</v>
      </c>
      <c r="M2020" s="105" t="str">
        <f t="shared" si="72"/>
        <v>N15</v>
      </c>
      <c r="N2020" s="105" t="str">
        <f>VLOOKUP(M2020,CAC!$A$2:$B$198,2,FALSE)</f>
        <v>HMOPMR</v>
      </c>
    </row>
    <row r="2021" spans="5:14" x14ac:dyDescent="0.25">
      <c r="E2021" s="83">
        <v>201708</v>
      </c>
      <c r="F2021" s="82" t="s">
        <v>349</v>
      </c>
      <c r="G2021" s="82" t="s">
        <v>369</v>
      </c>
      <c r="H2021" s="82" t="s">
        <v>764</v>
      </c>
      <c r="I2021" s="95">
        <v>5368</v>
      </c>
      <c r="K2021" s="105" t="str">
        <f t="shared" si="71"/>
        <v>0017-1009-0064</v>
      </c>
      <c r="L2021" s="105" t="str">
        <f>VLOOKUP(K2021,COA!$A$3:$B$337,2,FALSE)</f>
        <v>R15</v>
      </c>
      <c r="M2021" s="105" t="str">
        <f t="shared" si="72"/>
        <v>R15</v>
      </c>
      <c r="N2021" s="105" t="str">
        <f>VLOOKUP(M2021,CAC!$A$2:$B$198,2,FALSE)</f>
        <v>HMOMM</v>
      </c>
    </row>
    <row r="2022" spans="5:14" x14ac:dyDescent="0.25">
      <c r="E2022" s="83">
        <v>201505</v>
      </c>
      <c r="F2022" s="82" t="s">
        <v>345</v>
      </c>
      <c r="G2022" s="82" t="s">
        <v>348</v>
      </c>
      <c r="H2022" s="82" t="s">
        <v>353</v>
      </c>
      <c r="I2022" s="95">
        <v>319</v>
      </c>
      <c r="K2022" s="105" t="str">
        <f t="shared" si="71"/>
        <v>0011-1010-0023</v>
      </c>
      <c r="L2022" s="105" t="str">
        <f>VLOOKUP(K2022,COA!$A$3:$B$337,2,FALSE)</f>
        <v>S13</v>
      </c>
      <c r="M2022" s="105" t="str">
        <f t="shared" si="72"/>
        <v>S13</v>
      </c>
      <c r="N2022" s="105" t="str">
        <f>VLOOKUP(M2022,CAC!$A$2:$B$198,2,FALSE)</f>
        <v>HMOSG</v>
      </c>
    </row>
    <row r="2023" spans="5:14" x14ac:dyDescent="0.25">
      <c r="E2023" s="83">
        <v>201611</v>
      </c>
      <c r="F2023" s="82" t="s">
        <v>563</v>
      </c>
      <c r="G2023" s="82" t="s">
        <v>351</v>
      </c>
      <c r="H2023" s="82" t="s">
        <v>349</v>
      </c>
      <c r="I2023" s="95">
        <v>0</v>
      </c>
      <c r="K2023" s="105" t="str">
        <f t="shared" si="71"/>
        <v>0003-0000-0017</v>
      </c>
      <c r="L2023" s="105" t="e">
        <f>VLOOKUP(K2023,COA!$A$3:$B$337,2,FALSE)</f>
        <v>#N/A</v>
      </c>
      <c r="M2023" s="105" t="str">
        <f t="shared" si="72"/>
        <v>XXX</v>
      </c>
      <c r="N2023" s="105" t="str">
        <f>VLOOKUP(M2023,CAC!$A$2:$B$198,2,FALSE)</f>
        <v>XXX</v>
      </c>
    </row>
    <row r="2024" spans="5:14" x14ac:dyDescent="0.25">
      <c r="E2024" s="83">
        <v>201608</v>
      </c>
      <c r="F2024" s="82" t="s">
        <v>345</v>
      </c>
      <c r="G2024" s="82" t="s">
        <v>351</v>
      </c>
      <c r="H2024" s="82" t="s">
        <v>353</v>
      </c>
      <c r="I2024" s="95">
        <v>0</v>
      </c>
      <c r="K2024" s="105" t="str">
        <f t="shared" si="71"/>
        <v>0011-0000-0023</v>
      </c>
      <c r="L2024" s="105" t="e">
        <f>VLOOKUP(K2024,COA!$A$3:$B$337,2,FALSE)</f>
        <v>#N/A</v>
      </c>
      <c r="M2024" s="105" t="str">
        <f t="shared" si="72"/>
        <v>XXX</v>
      </c>
      <c r="N2024" s="105" t="str">
        <f>VLOOKUP(M2024,CAC!$A$2:$B$198,2,FALSE)</f>
        <v>XXX</v>
      </c>
    </row>
    <row r="2025" spans="5:14" x14ac:dyDescent="0.25">
      <c r="E2025" s="83">
        <v>201608</v>
      </c>
      <c r="F2025" s="82" t="s">
        <v>563</v>
      </c>
      <c r="G2025" s="82" t="s">
        <v>365</v>
      </c>
      <c r="H2025" s="82" t="s">
        <v>344</v>
      </c>
      <c r="I2025" s="95">
        <v>0</v>
      </c>
      <c r="K2025" s="105" t="str">
        <f t="shared" si="71"/>
        <v>0003-1001-0012</v>
      </c>
      <c r="L2025" s="105" t="str">
        <f>VLOOKUP(K2025,COA!$A$3:$B$337,2,FALSE)</f>
        <v>V51</v>
      </c>
      <c r="M2025" s="105" t="str">
        <f t="shared" si="72"/>
        <v>V51</v>
      </c>
      <c r="N2025" s="105" t="str">
        <f>VLOOKUP(M2025,CAC!$A$2:$B$198,2,FALSE)</f>
        <v>PPOIFP</v>
      </c>
    </row>
    <row r="2026" spans="5:14" x14ac:dyDescent="0.25">
      <c r="E2026" s="83">
        <v>201603</v>
      </c>
      <c r="F2026" s="82" t="s">
        <v>344</v>
      </c>
      <c r="G2026" s="82" t="s">
        <v>361</v>
      </c>
      <c r="H2026" s="82" t="s">
        <v>344</v>
      </c>
      <c r="I2026" s="95">
        <v>9723.16</v>
      </c>
      <c r="K2026" s="105" t="str">
        <f t="shared" si="71"/>
        <v>0012-1003-0012</v>
      </c>
      <c r="L2026" s="105" t="str">
        <f>VLOOKUP(K2026,COA!$A$3:$B$337,2,FALSE)</f>
        <v>N15</v>
      </c>
      <c r="M2026" s="105" t="str">
        <f t="shared" si="72"/>
        <v>N15</v>
      </c>
      <c r="N2026" s="105" t="str">
        <f>VLOOKUP(M2026,CAC!$A$2:$B$198,2,FALSE)</f>
        <v>HMOPMR</v>
      </c>
    </row>
    <row r="2027" spans="5:14" x14ac:dyDescent="0.25">
      <c r="E2027" s="83">
        <v>201510</v>
      </c>
      <c r="F2027" s="82" t="s">
        <v>563</v>
      </c>
      <c r="G2027" s="82" t="s">
        <v>359</v>
      </c>
      <c r="H2027" s="82" t="s">
        <v>344</v>
      </c>
      <c r="I2027" s="95">
        <v>0</v>
      </c>
      <c r="K2027" s="105" t="str">
        <f t="shared" si="71"/>
        <v>0003-1005-0012</v>
      </c>
      <c r="L2027" s="105" t="str">
        <f>VLOOKUP(K2027,COA!$A$3:$B$337,2,FALSE)</f>
        <v>N51</v>
      </c>
      <c r="M2027" s="105" t="str">
        <f t="shared" si="72"/>
        <v>N51</v>
      </c>
      <c r="N2027" s="105" t="str">
        <f>VLOOKUP(M2027,CAC!$A$2:$B$198,2,FALSE)</f>
        <v>PPOLG</v>
      </c>
    </row>
    <row r="2028" spans="5:14" x14ac:dyDescent="0.25">
      <c r="E2028" s="83">
        <v>201504</v>
      </c>
      <c r="F2028" s="82" t="s">
        <v>563</v>
      </c>
      <c r="G2028" s="82" t="s">
        <v>348</v>
      </c>
      <c r="H2028" s="82" t="s">
        <v>353</v>
      </c>
      <c r="I2028" s="95">
        <v>0</v>
      </c>
      <c r="K2028" s="105" t="str">
        <f t="shared" si="71"/>
        <v>0003-1010-0023</v>
      </c>
      <c r="L2028" s="105" t="str">
        <f>VLOOKUP(K2028,COA!$A$3:$B$337,2,FALSE)</f>
        <v>S54</v>
      </c>
      <c r="M2028" s="105" t="str">
        <f t="shared" si="72"/>
        <v>S54</v>
      </c>
      <c r="N2028" s="105" t="str">
        <f>VLOOKUP(M2028,CAC!$A$2:$B$198,2,FALSE)</f>
        <v>PPOSG</v>
      </c>
    </row>
    <row r="2029" spans="5:14" x14ac:dyDescent="0.25">
      <c r="E2029" s="83">
        <v>201502</v>
      </c>
      <c r="F2029" s="82" t="s">
        <v>413</v>
      </c>
      <c r="G2029" s="82" t="s">
        <v>365</v>
      </c>
      <c r="H2029" s="82" t="s">
        <v>411</v>
      </c>
      <c r="I2029" s="95">
        <v>0</v>
      </c>
      <c r="K2029" s="105" t="str">
        <f t="shared" si="71"/>
        <v>0008-1001-0007</v>
      </c>
      <c r="L2029" s="105" t="str">
        <f>VLOOKUP(K2029,COA!$A$3:$B$337,2,FALSE)</f>
        <v>C99</v>
      </c>
      <c r="M2029" s="105" t="str">
        <f t="shared" si="72"/>
        <v>C99</v>
      </c>
      <c r="N2029" s="105" t="str">
        <f>VLOOKUP(M2029,CAC!$A$2:$B$198,2,FALSE)</f>
        <v>DOIIFP</v>
      </c>
    </row>
    <row r="2030" spans="5:14" x14ac:dyDescent="0.25">
      <c r="E2030" s="83">
        <v>201609</v>
      </c>
      <c r="F2030" s="82" t="s">
        <v>345</v>
      </c>
      <c r="G2030" s="82" t="s">
        <v>356</v>
      </c>
      <c r="H2030" s="82" t="s">
        <v>344</v>
      </c>
      <c r="I2030" s="95">
        <v>15468.4</v>
      </c>
      <c r="K2030" s="105" t="str">
        <f t="shared" si="71"/>
        <v>0011-1002-0012</v>
      </c>
      <c r="L2030" s="105" t="str">
        <f>VLOOKUP(K2030,COA!$A$3:$B$337,2,FALSE)</f>
        <v>F20</v>
      </c>
      <c r="M2030" s="105" t="str">
        <f t="shared" si="72"/>
        <v>F20</v>
      </c>
      <c r="N2030" s="105" t="str">
        <f>VLOOKUP(M2030,CAC!$A$2:$B$198,2,FALSE)</f>
        <v>HMOPMR</v>
      </c>
    </row>
    <row r="2031" spans="5:14" x14ac:dyDescent="0.25">
      <c r="E2031" s="83">
        <v>201709</v>
      </c>
      <c r="F2031" s="82" t="s">
        <v>349</v>
      </c>
      <c r="G2031" s="82" t="s">
        <v>369</v>
      </c>
      <c r="H2031" s="82" t="s">
        <v>764</v>
      </c>
      <c r="I2031" s="95">
        <v>5347</v>
      </c>
      <c r="K2031" s="105" t="str">
        <f t="shared" si="71"/>
        <v>0017-1009-0064</v>
      </c>
      <c r="L2031" s="105" t="str">
        <f>VLOOKUP(K2031,COA!$A$3:$B$337,2,FALSE)</f>
        <v>R15</v>
      </c>
      <c r="M2031" s="105" t="str">
        <f t="shared" si="72"/>
        <v>R15</v>
      </c>
      <c r="N2031" s="105" t="str">
        <f>VLOOKUP(M2031,CAC!$A$2:$B$198,2,FALSE)</f>
        <v>HMOMM</v>
      </c>
    </row>
    <row r="2032" spans="5:14" x14ac:dyDescent="0.25">
      <c r="E2032" s="83">
        <v>201507</v>
      </c>
      <c r="F2032" s="82" t="s">
        <v>563</v>
      </c>
      <c r="G2032" s="82" t="s">
        <v>354</v>
      </c>
      <c r="H2032" s="82" t="s">
        <v>344</v>
      </c>
      <c r="I2032" s="95">
        <v>0</v>
      </c>
      <c r="K2032" s="105" t="str">
        <f t="shared" si="71"/>
        <v>0003-1013-0012</v>
      </c>
      <c r="L2032" s="105" t="str">
        <f>VLOOKUP(K2032,COA!$A$3:$B$337,2,FALSE)</f>
        <v>N55</v>
      </c>
      <c r="M2032" s="105" t="str">
        <f t="shared" si="72"/>
        <v>N55</v>
      </c>
      <c r="N2032" s="105" t="str">
        <f>VLOOKUP(M2032,CAC!$A$2:$B$198,2,FALSE)</f>
        <v>PPOPMR</v>
      </c>
    </row>
    <row r="2033" spans="5:14" x14ac:dyDescent="0.25">
      <c r="E2033" s="83">
        <v>201511</v>
      </c>
      <c r="F2033" s="82" t="s">
        <v>413</v>
      </c>
      <c r="G2033" s="82" t="s">
        <v>352</v>
      </c>
      <c r="H2033" s="82" t="s">
        <v>344</v>
      </c>
      <c r="I2033" s="95">
        <v>0</v>
      </c>
      <c r="K2033" s="105" t="str">
        <f t="shared" si="71"/>
        <v>0008-1004-0012</v>
      </c>
      <c r="L2033" s="105" t="str">
        <f>VLOOKUP(K2033,COA!$A$3:$B$337,2,FALSE)</f>
        <v>C93</v>
      </c>
      <c r="M2033" s="105" t="str">
        <f t="shared" si="72"/>
        <v>C93</v>
      </c>
      <c r="N2033" s="105" t="str">
        <f>VLOOKUP(M2033,CAC!$A$2:$B$198,2,FALSE)</f>
        <v>DOILG</v>
      </c>
    </row>
    <row r="2034" spans="5:14" x14ac:dyDescent="0.25">
      <c r="E2034" s="83">
        <v>201607</v>
      </c>
      <c r="F2034" s="82" t="s">
        <v>344</v>
      </c>
      <c r="G2034" s="82" t="s">
        <v>350</v>
      </c>
      <c r="H2034" s="82" t="s">
        <v>344</v>
      </c>
      <c r="I2034" s="95">
        <v>107</v>
      </c>
      <c r="K2034" s="105" t="str">
        <f t="shared" si="71"/>
        <v>0012-1012-0012</v>
      </c>
      <c r="L2034" s="105" t="str">
        <f>VLOOKUP(K2034,COA!$A$3:$B$337,2,FALSE)</f>
        <v>K12</v>
      </c>
      <c r="M2034" s="105" t="str">
        <f t="shared" si="72"/>
        <v>K12</v>
      </c>
      <c r="N2034" s="105" t="str">
        <f>VLOOKUP(M2034,CAC!$A$2:$B$198,2,FALSE)</f>
        <v>HMOPMR</v>
      </c>
    </row>
    <row r="2035" spans="5:14" x14ac:dyDescent="0.25">
      <c r="E2035" s="83">
        <v>201603</v>
      </c>
      <c r="F2035" s="82" t="s">
        <v>563</v>
      </c>
      <c r="G2035" s="82" t="s">
        <v>365</v>
      </c>
      <c r="H2035" s="82" t="s">
        <v>411</v>
      </c>
      <c r="I2035" s="95">
        <v>0</v>
      </c>
      <c r="K2035" s="105" t="str">
        <f t="shared" si="71"/>
        <v>0003-1001-0007</v>
      </c>
      <c r="L2035" s="105" t="str">
        <f>VLOOKUP(K2035,COA!$A$3:$B$337,2,FALSE)</f>
        <v>V52</v>
      </c>
      <c r="M2035" s="105" t="str">
        <f t="shared" si="72"/>
        <v>V52</v>
      </c>
      <c r="N2035" s="105" t="str">
        <f>VLOOKUP(M2035,CAC!$A$2:$B$198,2,FALSE)</f>
        <v>PPOIFP</v>
      </c>
    </row>
    <row r="2036" spans="5:14" x14ac:dyDescent="0.25">
      <c r="E2036" s="83">
        <v>201610</v>
      </c>
      <c r="F2036" s="82" t="s">
        <v>506</v>
      </c>
      <c r="G2036" s="82" t="s">
        <v>352</v>
      </c>
      <c r="H2036" s="82" t="s">
        <v>592</v>
      </c>
      <c r="I2036" s="95">
        <v>0</v>
      </c>
      <c r="K2036" s="105" t="str">
        <f t="shared" si="71"/>
        <v>0013-1004-0035</v>
      </c>
      <c r="L2036" s="105" t="str">
        <f>VLOOKUP(K2036,COA!$A$3:$B$337,2,FALSE)</f>
        <v>L41</v>
      </c>
      <c r="M2036" s="105" t="str">
        <f t="shared" si="72"/>
        <v>L41</v>
      </c>
      <c r="N2036" s="105" t="e">
        <f>VLOOKUP(M2036,CAC!$A$2:$B$198,2,FALSE)</f>
        <v>#N/A</v>
      </c>
    </row>
    <row r="2037" spans="5:14" x14ac:dyDescent="0.25">
      <c r="E2037" s="83">
        <v>201608</v>
      </c>
      <c r="F2037" s="82" t="s">
        <v>506</v>
      </c>
      <c r="G2037" s="82" t="s">
        <v>354</v>
      </c>
      <c r="H2037" s="82" t="s">
        <v>592</v>
      </c>
      <c r="I2037" s="95">
        <v>0</v>
      </c>
      <c r="K2037" s="105" t="str">
        <f t="shared" si="71"/>
        <v>0013-1013-0035</v>
      </c>
      <c r="L2037" s="105" t="str">
        <f>VLOOKUP(K2037,COA!$A$3:$B$337,2,FALSE)</f>
        <v>N44</v>
      </c>
      <c r="M2037" s="105" t="str">
        <f t="shared" si="72"/>
        <v>N44</v>
      </c>
      <c r="N2037" s="105" t="e">
        <f>VLOOKUP(M2037,CAC!$A$2:$B$198,2,FALSE)</f>
        <v>#N/A</v>
      </c>
    </row>
    <row r="2038" spans="5:14" x14ac:dyDescent="0.25">
      <c r="E2038" s="83">
        <v>201507</v>
      </c>
      <c r="F2038" s="82" t="s">
        <v>344</v>
      </c>
      <c r="G2038" s="82" t="s">
        <v>352</v>
      </c>
      <c r="H2038" s="82" t="s">
        <v>344</v>
      </c>
      <c r="I2038" s="95">
        <v>261</v>
      </c>
      <c r="K2038" s="105" t="str">
        <f t="shared" si="71"/>
        <v>0012-1004-0012</v>
      </c>
      <c r="L2038" s="105" t="str">
        <f>VLOOKUP(K2038,COA!$A$3:$B$337,2,FALSE)</f>
        <v>L12</v>
      </c>
      <c r="M2038" s="105" t="str">
        <f t="shared" si="72"/>
        <v>L12</v>
      </c>
      <c r="N2038" s="105" t="str">
        <f>VLOOKUP(M2038,CAC!$A$2:$B$198,2,FALSE)</f>
        <v>HMOLG</v>
      </c>
    </row>
    <row r="2039" spans="5:14" x14ac:dyDescent="0.25">
      <c r="E2039" s="83">
        <v>201711</v>
      </c>
      <c r="F2039" s="82" t="s">
        <v>506</v>
      </c>
      <c r="G2039" s="82" t="s">
        <v>350</v>
      </c>
      <c r="H2039" s="82" t="s">
        <v>592</v>
      </c>
      <c r="I2039" s="95">
        <v>0</v>
      </c>
      <c r="K2039" s="105" t="str">
        <f t="shared" si="71"/>
        <v>0013-1012-0035</v>
      </c>
      <c r="L2039" s="105" t="str">
        <f>VLOOKUP(K2039,COA!$A$3:$B$337,2,FALSE)</f>
        <v>K41</v>
      </c>
      <c r="M2039" s="105" t="str">
        <f t="shared" si="72"/>
        <v>K41</v>
      </c>
      <c r="N2039" s="105" t="e">
        <f>VLOOKUP(M2039,CAC!$A$2:$B$198,2,FALSE)</f>
        <v>#N/A</v>
      </c>
    </row>
    <row r="2040" spans="5:14" x14ac:dyDescent="0.25">
      <c r="E2040" s="83">
        <v>201609</v>
      </c>
      <c r="F2040" s="82" t="s">
        <v>746</v>
      </c>
      <c r="G2040" s="82" t="s">
        <v>356</v>
      </c>
      <c r="H2040" s="82" t="s">
        <v>344</v>
      </c>
      <c r="I2040" s="95">
        <v>134</v>
      </c>
      <c r="K2040" s="105" t="str">
        <f t="shared" si="71"/>
        <v>0016-1002-0012</v>
      </c>
      <c r="L2040" s="105" t="str">
        <f>VLOOKUP(K2040,COA!$A$3:$B$337,2,FALSE)</f>
        <v>R18</v>
      </c>
      <c r="M2040" s="105" t="str">
        <f t="shared" si="72"/>
        <v>R18</v>
      </c>
      <c r="N2040" s="105" t="str">
        <f>VLOOKUP(M2040,CAC!$A$2:$B$198,2,FALSE)</f>
        <v>HMOMG</v>
      </c>
    </row>
    <row r="2041" spans="5:14" x14ac:dyDescent="0.25">
      <c r="E2041" s="83">
        <v>201711</v>
      </c>
      <c r="F2041" s="82" t="s">
        <v>746</v>
      </c>
      <c r="G2041" s="82" t="s">
        <v>352</v>
      </c>
      <c r="H2041" s="82" t="s">
        <v>344</v>
      </c>
      <c r="I2041" s="95">
        <v>3</v>
      </c>
      <c r="K2041" s="105" t="str">
        <f t="shared" si="71"/>
        <v>0016-1004-0012</v>
      </c>
      <c r="L2041" s="105" t="str">
        <f>VLOOKUP(K2041,COA!$A$3:$B$337,2,FALSE)</f>
        <v>R20</v>
      </c>
      <c r="M2041" s="105" t="str">
        <f t="shared" si="72"/>
        <v>R20</v>
      </c>
      <c r="N2041" s="105" t="str">
        <f>VLOOKUP(M2041,CAC!$A$2:$B$198,2,FALSE)</f>
        <v>HMOMG</v>
      </c>
    </row>
    <row r="2042" spans="5:14" x14ac:dyDescent="0.25">
      <c r="E2042" s="83">
        <v>201606</v>
      </c>
      <c r="F2042" s="82" t="s">
        <v>413</v>
      </c>
      <c r="G2042" s="82" t="s">
        <v>365</v>
      </c>
      <c r="H2042" s="82" t="s">
        <v>411</v>
      </c>
      <c r="I2042" s="95">
        <v>0</v>
      </c>
      <c r="K2042" s="105" t="str">
        <f t="shared" si="71"/>
        <v>0008-1001-0007</v>
      </c>
      <c r="L2042" s="105" t="str">
        <f>VLOOKUP(K2042,COA!$A$3:$B$337,2,FALSE)</f>
        <v>C99</v>
      </c>
      <c r="M2042" s="105" t="str">
        <f t="shared" si="72"/>
        <v>C99</v>
      </c>
      <c r="N2042" s="105" t="str">
        <f>VLOOKUP(M2042,CAC!$A$2:$B$198,2,FALSE)</f>
        <v>DOIIFP</v>
      </c>
    </row>
    <row r="2043" spans="5:14" x14ac:dyDescent="0.25">
      <c r="E2043" s="83">
        <v>201707</v>
      </c>
      <c r="F2043" s="82" t="s">
        <v>563</v>
      </c>
      <c r="G2043" s="82" t="s">
        <v>365</v>
      </c>
      <c r="H2043" s="82" t="s">
        <v>367</v>
      </c>
      <c r="I2043" s="95">
        <v>0</v>
      </c>
      <c r="K2043" s="105" t="str">
        <f t="shared" si="71"/>
        <v>0003-1001-0022</v>
      </c>
      <c r="L2043" s="105" t="str">
        <f>VLOOKUP(K2043,COA!$A$3:$B$337,2,FALSE)</f>
        <v>V54</v>
      </c>
      <c r="M2043" s="105" t="str">
        <f t="shared" si="72"/>
        <v>V54</v>
      </c>
      <c r="N2043" s="105" t="str">
        <f>VLOOKUP(M2043,CAC!$A$2:$B$198,2,FALSE)</f>
        <v>PPOIFP</v>
      </c>
    </row>
    <row r="2044" spans="5:14" x14ac:dyDescent="0.25">
      <c r="E2044" s="83">
        <v>201606</v>
      </c>
      <c r="F2044" s="82" t="s">
        <v>344</v>
      </c>
      <c r="G2044" s="82" t="s">
        <v>356</v>
      </c>
      <c r="H2044" s="82" t="s">
        <v>344</v>
      </c>
      <c r="I2044" s="95">
        <v>4160</v>
      </c>
      <c r="K2044" s="105" t="str">
        <f t="shared" si="71"/>
        <v>0012-1002-0012</v>
      </c>
      <c r="L2044" s="105" t="str">
        <f>VLOOKUP(K2044,COA!$A$3:$B$337,2,FALSE)</f>
        <v>F22</v>
      </c>
      <c r="M2044" s="105" t="str">
        <f t="shared" si="72"/>
        <v>F22</v>
      </c>
      <c r="N2044" s="105" t="str">
        <f>VLOOKUP(M2044,CAC!$A$2:$B$198,2,FALSE)</f>
        <v>HMOPMR</v>
      </c>
    </row>
    <row r="2045" spans="5:14" x14ac:dyDescent="0.25">
      <c r="E2045" s="83">
        <v>201712</v>
      </c>
      <c r="F2045" s="82" t="s">
        <v>506</v>
      </c>
      <c r="G2045" s="82" t="s">
        <v>359</v>
      </c>
      <c r="H2045" s="82" t="s">
        <v>592</v>
      </c>
      <c r="I2045" s="95">
        <v>0</v>
      </c>
      <c r="K2045" s="105" t="str">
        <f t="shared" si="71"/>
        <v>0013-1005-0035</v>
      </c>
      <c r="L2045" s="105" t="str">
        <f>VLOOKUP(K2045,COA!$A$3:$B$337,2,FALSE)</f>
        <v>N41</v>
      </c>
      <c r="M2045" s="105" t="str">
        <f t="shared" si="72"/>
        <v>N41</v>
      </c>
      <c r="N2045" s="105" t="e">
        <f>VLOOKUP(M2045,CAC!$A$2:$B$198,2,FALSE)</f>
        <v>#N/A</v>
      </c>
    </row>
    <row r="2046" spans="5:14" x14ac:dyDescent="0.25">
      <c r="E2046" s="83">
        <v>201604</v>
      </c>
      <c r="F2046" s="82" t="s">
        <v>563</v>
      </c>
      <c r="G2046" s="82" t="s">
        <v>356</v>
      </c>
      <c r="H2046" s="82" t="s">
        <v>344</v>
      </c>
      <c r="I2046" s="95">
        <v>0</v>
      </c>
      <c r="K2046" s="105" t="str">
        <f t="shared" si="71"/>
        <v>0003-1002-0012</v>
      </c>
      <c r="L2046" s="105" t="str">
        <f>VLOOKUP(K2046,COA!$A$3:$B$337,2,FALSE)</f>
        <v>F61</v>
      </c>
      <c r="M2046" s="105" t="str">
        <f t="shared" si="72"/>
        <v>F61</v>
      </c>
      <c r="N2046" s="105" t="str">
        <f>VLOOKUP(M2046,CAC!$A$2:$B$198,2,FALSE)</f>
        <v>PPOPMR</v>
      </c>
    </row>
    <row r="2047" spans="5:14" x14ac:dyDescent="0.25">
      <c r="E2047" s="83">
        <v>201609</v>
      </c>
      <c r="F2047" s="82" t="s">
        <v>344</v>
      </c>
      <c r="G2047" s="82" t="s">
        <v>354</v>
      </c>
      <c r="H2047" s="82" t="s">
        <v>344</v>
      </c>
      <c r="I2047" s="95">
        <v>286</v>
      </c>
      <c r="K2047" s="105" t="str">
        <f t="shared" si="71"/>
        <v>0012-1013-0012</v>
      </c>
      <c r="L2047" s="105" t="str">
        <f>VLOOKUP(K2047,COA!$A$3:$B$337,2,FALSE)</f>
        <v>N14</v>
      </c>
      <c r="M2047" s="105" t="str">
        <f t="shared" si="72"/>
        <v>N14</v>
      </c>
      <c r="N2047" s="105" t="str">
        <f>VLOOKUP(M2047,CAC!$A$2:$B$198,2,FALSE)</f>
        <v>HMOPMR</v>
      </c>
    </row>
    <row r="2048" spans="5:14" x14ac:dyDescent="0.25">
      <c r="E2048" s="83">
        <v>201708</v>
      </c>
      <c r="F2048" s="82" t="s">
        <v>563</v>
      </c>
      <c r="G2048" s="82" t="s">
        <v>359</v>
      </c>
      <c r="H2048" s="82" t="s">
        <v>344</v>
      </c>
      <c r="I2048" s="95">
        <v>0</v>
      </c>
      <c r="K2048" s="105" t="str">
        <f t="shared" si="71"/>
        <v>0003-1005-0012</v>
      </c>
      <c r="L2048" s="105" t="str">
        <f>VLOOKUP(K2048,COA!$A$3:$B$337,2,FALSE)</f>
        <v>N51</v>
      </c>
      <c r="M2048" s="105" t="str">
        <f t="shared" si="72"/>
        <v>N51</v>
      </c>
      <c r="N2048" s="105" t="str">
        <f>VLOOKUP(M2048,CAC!$A$2:$B$198,2,FALSE)</f>
        <v>PPOLG</v>
      </c>
    </row>
    <row r="2049" spans="5:14" x14ac:dyDescent="0.25">
      <c r="E2049" s="83">
        <v>201712</v>
      </c>
      <c r="F2049" s="82" t="s">
        <v>563</v>
      </c>
      <c r="G2049" s="82" t="s">
        <v>354</v>
      </c>
      <c r="H2049" s="82" t="s">
        <v>360</v>
      </c>
      <c r="I2049" s="95">
        <v>0</v>
      </c>
      <c r="K2049" s="105" t="str">
        <f t="shared" si="71"/>
        <v>0003-1013-0048</v>
      </c>
      <c r="L2049" s="105" t="str">
        <f>VLOOKUP(K2049,COA!$A$3:$B$337,2,FALSE)</f>
        <v>N56</v>
      </c>
      <c r="M2049" s="105" t="str">
        <f t="shared" si="72"/>
        <v>N56</v>
      </c>
      <c r="N2049" s="105" t="str">
        <f>VLOOKUP(M2049,CAC!$A$2:$B$198,2,FALSE)</f>
        <v>HMFLEX</v>
      </c>
    </row>
    <row r="2050" spans="5:14" x14ac:dyDescent="0.25">
      <c r="E2050" s="83">
        <v>201503</v>
      </c>
      <c r="F2050" s="82" t="s">
        <v>563</v>
      </c>
      <c r="G2050" s="82" t="s">
        <v>355</v>
      </c>
      <c r="H2050" s="82" t="s">
        <v>344</v>
      </c>
      <c r="I2050" s="95">
        <v>0</v>
      </c>
      <c r="K2050" s="105" t="str">
        <f t="shared" si="71"/>
        <v>0003-1006-0012</v>
      </c>
      <c r="L2050" s="105" t="str">
        <f>VLOOKUP(K2050,COA!$A$3:$B$337,2,FALSE)</f>
        <v>L52</v>
      </c>
      <c r="M2050" s="105" t="str">
        <f t="shared" si="72"/>
        <v>L52</v>
      </c>
      <c r="N2050" s="105" t="str">
        <f>VLOOKUP(M2050,CAC!$A$2:$B$198,2,FALSE)</f>
        <v>PPOLG</v>
      </c>
    </row>
    <row r="2051" spans="5:14" x14ac:dyDescent="0.25">
      <c r="E2051" s="83">
        <v>201701</v>
      </c>
      <c r="F2051" s="82" t="s">
        <v>342</v>
      </c>
      <c r="G2051" s="82" t="s">
        <v>343</v>
      </c>
      <c r="H2051" s="82" t="s">
        <v>344</v>
      </c>
      <c r="I2051" s="95">
        <v>5618.91</v>
      </c>
      <c r="K2051" s="105" t="str">
        <f t="shared" si="71"/>
        <v>0031-1000-0012</v>
      </c>
      <c r="L2051" s="105" t="str">
        <f>VLOOKUP(K2051,COA!$A$3:$B$337,2,FALSE)</f>
        <v>F27</v>
      </c>
      <c r="M2051" s="105" t="str">
        <f t="shared" si="72"/>
        <v>F27</v>
      </c>
      <c r="N2051" s="105" t="str">
        <f>VLOOKUP(M2051,CAC!$A$2:$B$198,2,FALSE)</f>
        <v>HMOFEP</v>
      </c>
    </row>
    <row r="2052" spans="5:14" x14ac:dyDescent="0.25">
      <c r="E2052" s="83">
        <v>201512</v>
      </c>
      <c r="F2052" s="82" t="s">
        <v>563</v>
      </c>
      <c r="G2052" s="82" t="s">
        <v>354</v>
      </c>
      <c r="H2052" s="82" t="s">
        <v>344</v>
      </c>
      <c r="I2052" s="95">
        <v>0</v>
      </c>
      <c r="K2052" s="105" t="str">
        <f t="shared" ref="K2052:K2115" si="73">F2052&amp;"-"&amp;G2052&amp;"-"&amp;H2052</f>
        <v>0003-1013-0012</v>
      </c>
      <c r="L2052" s="105" t="str">
        <f>VLOOKUP(K2052,COA!$A$3:$B$337,2,FALSE)</f>
        <v>N55</v>
      </c>
      <c r="M2052" s="105" t="str">
        <f t="shared" ref="M2052:M2115" si="74">IF(ISNA(L2052),"XXX",L2052)</f>
        <v>N55</v>
      </c>
      <c r="N2052" s="105" t="str">
        <f>VLOOKUP(M2052,CAC!$A$2:$B$198,2,FALSE)</f>
        <v>PPOPMR</v>
      </c>
    </row>
    <row r="2053" spans="5:14" x14ac:dyDescent="0.25">
      <c r="E2053" s="83">
        <v>201705</v>
      </c>
      <c r="F2053" s="82" t="s">
        <v>344</v>
      </c>
      <c r="G2053" s="82" t="s">
        <v>361</v>
      </c>
      <c r="H2053" s="82" t="s">
        <v>344</v>
      </c>
      <c r="I2053" s="95">
        <v>9763.2199999999993</v>
      </c>
      <c r="K2053" s="105" t="str">
        <f t="shared" si="73"/>
        <v>0012-1003-0012</v>
      </c>
      <c r="L2053" s="105" t="str">
        <f>VLOOKUP(K2053,COA!$A$3:$B$337,2,FALSE)</f>
        <v>N15</v>
      </c>
      <c r="M2053" s="105" t="str">
        <f t="shared" si="74"/>
        <v>N15</v>
      </c>
      <c r="N2053" s="105" t="str">
        <f>VLOOKUP(M2053,CAC!$A$2:$B$198,2,FALSE)</f>
        <v>HMOPMR</v>
      </c>
    </row>
    <row r="2054" spans="5:14" x14ac:dyDescent="0.25">
      <c r="E2054" s="83">
        <v>201703</v>
      </c>
      <c r="F2054" s="82" t="s">
        <v>413</v>
      </c>
      <c r="G2054" s="82" t="s">
        <v>352</v>
      </c>
      <c r="H2054" s="82" t="s">
        <v>344</v>
      </c>
      <c r="I2054" s="95">
        <v>0</v>
      </c>
      <c r="K2054" s="105" t="str">
        <f t="shared" si="73"/>
        <v>0008-1004-0012</v>
      </c>
      <c r="L2054" s="105" t="str">
        <f>VLOOKUP(K2054,COA!$A$3:$B$337,2,FALSE)</f>
        <v>C93</v>
      </c>
      <c r="M2054" s="105" t="str">
        <f t="shared" si="74"/>
        <v>C93</v>
      </c>
      <c r="N2054" s="105" t="str">
        <f>VLOOKUP(M2054,CAC!$A$2:$B$198,2,FALSE)</f>
        <v>DOILG</v>
      </c>
    </row>
    <row r="2055" spans="5:14" x14ac:dyDescent="0.25">
      <c r="E2055" s="83">
        <v>201507</v>
      </c>
      <c r="F2055" s="82" t="s">
        <v>563</v>
      </c>
      <c r="G2055" s="82" t="s">
        <v>365</v>
      </c>
      <c r="H2055" s="82" t="s">
        <v>411</v>
      </c>
      <c r="I2055" s="95">
        <v>0</v>
      </c>
      <c r="K2055" s="105" t="str">
        <f t="shared" si="73"/>
        <v>0003-1001-0007</v>
      </c>
      <c r="L2055" s="105" t="str">
        <f>VLOOKUP(K2055,COA!$A$3:$B$337,2,FALSE)</f>
        <v>V52</v>
      </c>
      <c r="M2055" s="105" t="str">
        <f t="shared" si="74"/>
        <v>V52</v>
      </c>
      <c r="N2055" s="105" t="str">
        <f>VLOOKUP(M2055,CAC!$A$2:$B$198,2,FALSE)</f>
        <v>PPOIFP</v>
      </c>
    </row>
    <row r="2056" spans="5:14" x14ac:dyDescent="0.25">
      <c r="E2056" s="83">
        <v>201703</v>
      </c>
      <c r="F2056" s="82" t="s">
        <v>345</v>
      </c>
      <c r="G2056" s="82" t="s">
        <v>350</v>
      </c>
      <c r="H2056" s="82" t="s">
        <v>344</v>
      </c>
      <c r="I2056" s="95">
        <v>16078.3</v>
      </c>
      <c r="K2056" s="105" t="str">
        <f t="shared" si="73"/>
        <v>0011-1012-0012</v>
      </c>
      <c r="L2056" s="105" t="str">
        <f>VLOOKUP(K2056,COA!$A$3:$B$337,2,FALSE)</f>
        <v>K11</v>
      </c>
      <c r="M2056" s="105" t="str">
        <f t="shared" si="74"/>
        <v>K11</v>
      </c>
      <c r="N2056" s="105" t="str">
        <f>VLOOKUP(M2056,CAC!$A$2:$B$198,2,FALSE)</f>
        <v>HMOPMR</v>
      </c>
    </row>
    <row r="2057" spans="5:14" x14ac:dyDescent="0.25">
      <c r="E2057" s="83">
        <v>201606</v>
      </c>
      <c r="F2057" s="82" t="s">
        <v>563</v>
      </c>
      <c r="G2057" s="82" t="s">
        <v>361</v>
      </c>
      <c r="H2057" s="82" t="s">
        <v>344</v>
      </c>
      <c r="I2057" s="95">
        <v>0</v>
      </c>
      <c r="K2057" s="105" t="str">
        <f t="shared" si="73"/>
        <v>0003-1003-0012</v>
      </c>
      <c r="L2057" s="105" t="str">
        <f>VLOOKUP(K2057,COA!$A$3:$B$337,2,FALSE)</f>
        <v>N61</v>
      </c>
      <c r="M2057" s="105" t="str">
        <f t="shared" si="74"/>
        <v>N61</v>
      </c>
      <c r="N2057" s="105" t="str">
        <f>VLOOKUP(M2057,CAC!$A$2:$B$198,2,FALSE)</f>
        <v>PPOPMR</v>
      </c>
    </row>
    <row r="2058" spans="5:14" x14ac:dyDescent="0.25">
      <c r="E2058" s="83">
        <v>201510</v>
      </c>
      <c r="F2058" s="82" t="s">
        <v>506</v>
      </c>
      <c r="G2058" s="82" t="s">
        <v>354</v>
      </c>
      <c r="H2058" s="82" t="s">
        <v>592</v>
      </c>
      <c r="I2058" s="95">
        <v>0</v>
      </c>
      <c r="K2058" s="105" t="str">
        <f t="shared" si="73"/>
        <v>0013-1013-0035</v>
      </c>
      <c r="L2058" s="105" t="str">
        <f>VLOOKUP(K2058,COA!$A$3:$B$337,2,FALSE)</f>
        <v>N44</v>
      </c>
      <c r="M2058" s="105" t="str">
        <f t="shared" si="74"/>
        <v>N44</v>
      </c>
      <c r="N2058" s="105" t="e">
        <f>VLOOKUP(M2058,CAC!$A$2:$B$198,2,FALSE)</f>
        <v>#N/A</v>
      </c>
    </row>
    <row r="2059" spans="5:14" x14ac:dyDescent="0.25">
      <c r="E2059" s="83">
        <v>201510</v>
      </c>
      <c r="F2059" s="82" t="s">
        <v>563</v>
      </c>
      <c r="G2059" s="82" t="s">
        <v>352</v>
      </c>
      <c r="H2059" s="82" t="s">
        <v>653</v>
      </c>
      <c r="I2059" s="95">
        <v>0</v>
      </c>
      <c r="K2059" s="105" t="str">
        <f t="shared" si="73"/>
        <v>0003-1004-0047</v>
      </c>
      <c r="L2059" s="105" t="str">
        <f>VLOOKUP(K2059,COA!$A$3:$B$337,2,FALSE)</f>
        <v>L57</v>
      </c>
      <c r="M2059" s="105" t="str">
        <f t="shared" si="74"/>
        <v>L57</v>
      </c>
      <c r="N2059" s="105" t="str">
        <f>VLOOKUP(M2059,CAC!$A$2:$B$198,2,FALSE)</f>
        <v>PPOLG</v>
      </c>
    </row>
    <row r="2060" spans="5:14" x14ac:dyDescent="0.25">
      <c r="E2060" s="83">
        <v>201703</v>
      </c>
      <c r="F2060" s="82" t="s">
        <v>413</v>
      </c>
      <c r="G2060" s="82" t="s">
        <v>355</v>
      </c>
      <c r="H2060" s="82" t="s">
        <v>344</v>
      </c>
      <c r="I2060" s="95">
        <v>0</v>
      </c>
      <c r="K2060" s="105" t="str">
        <f t="shared" si="73"/>
        <v>0008-1006-0012</v>
      </c>
      <c r="L2060" s="105" t="str">
        <f>VLOOKUP(K2060,COA!$A$3:$B$337,2,FALSE)</f>
        <v>C96</v>
      </c>
      <c r="M2060" s="105" t="str">
        <f t="shared" si="74"/>
        <v>C96</v>
      </c>
      <c r="N2060" s="105" t="str">
        <f>VLOOKUP(M2060,CAC!$A$2:$B$198,2,FALSE)</f>
        <v>DOILG</v>
      </c>
    </row>
    <row r="2061" spans="5:14" x14ac:dyDescent="0.25">
      <c r="E2061" s="83">
        <v>201708</v>
      </c>
      <c r="F2061" s="82" t="s">
        <v>563</v>
      </c>
      <c r="G2061" s="82" t="s">
        <v>365</v>
      </c>
      <c r="H2061" s="82" t="s">
        <v>344</v>
      </c>
      <c r="I2061" s="95">
        <v>0</v>
      </c>
      <c r="K2061" s="105" t="str">
        <f t="shared" si="73"/>
        <v>0003-1001-0012</v>
      </c>
      <c r="L2061" s="105" t="str">
        <f>VLOOKUP(K2061,COA!$A$3:$B$337,2,FALSE)</f>
        <v>V51</v>
      </c>
      <c r="M2061" s="105" t="str">
        <f t="shared" si="74"/>
        <v>V51</v>
      </c>
      <c r="N2061" s="105" t="str">
        <f>VLOOKUP(M2061,CAC!$A$2:$B$198,2,FALSE)</f>
        <v>PPOIFP</v>
      </c>
    </row>
    <row r="2062" spans="5:14" x14ac:dyDescent="0.25">
      <c r="E2062" s="83">
        <v>201712</v>
      </c>
      <c r="F2062" s="82" t="s">
        <v>344</v>
      </c>
      <c r="G2062" s="82" t="s">
        <v>350</v>
      </c>
      <c r="H2062" s="82" t="s">
        <v>344</v>
      </c>
      <c r="I2062" s="95">
        <v>25</v>
      </c>
      <c r="K2062" s="105" t="str">
        <f t="shared" si="73"/>
        <v>0012-1012-0012</v>
      </c>
      <c r="L2062" s="105" t="str">
        <f>VLOOKUP(K2062,COA!$A$3:$B$337,2,FALSE)</f>
        <v>K12</v>
      </c>
      <c r="M2062" s="105" t="str">
        <f t="shared" si="74"/>
        <v>K12</v>
      </c>
      <c r="N2062" s="105" t="str">
        <f>VLOOKUP(M2062,CAC!$A$2:$B$198,2,FALSE)</f>
        <v>HMOPMR</v>
      </c>
    </row>
    <row r="2063" spans="5:14" x14ac:dyDescent="0.25">
      <c r="E2063" s="83">
        <v>201710</v>
      </c>
      <c r="F2063" s="82" t="s">
        <v>345</v>
      </c>
      <c r="G2063" s="82" t="s">
        <v>352</v>
      </c>
      <c r="H2063" s="82" t="s">
        <v>344</v>
      </c>
      <c r="I2063" s="95">
        <v>12407.77</v>
      </c>
      <c r="K2063" s="105" t="str">
        <f t="shared" si="73"/>
        <v>0011-1004-0012</v>
      </c>
      <c r="L2063" s="105" t="str">
        <f>VLOOKUP(K2063,COA!$A$3:$B$337,2,FALSE)</f>
        <v>L11</v>
      </c>
      <c r="M2063" s="105" t="str">
        <f t="shared" si="74"/>
        <v>L11</v>
      </c>
      <c r="N2063" s="105" t="str">
        <f>VLOOKUP(M2063,CAC!$A$2:$B$198,2,FALSE)</f>
        <v>HMOLG</v>
      </c>
    </row>
    <row r="2064" spans="5:14" x14ac:dyDescent="0.25">
      <c r="E2064" s="83">
        <v>201510</v>
      </c>
      <c r="F2064" s="82" t="s">
        <v>344</v>
      </c>
      <c r="G2064" s="82" t="s">
        <v>356</v>
      </c>
      <c r="H2064" s="82" t="s">
        <v>344</v>
      </c>
      <c r="I2064" s="95">
        <v>3904</v>
      </c>
      <c r="K2064" s="105" t="str">
        <f t="shared" si="73"/>
        <v>0012-1002-0012</v>
      </c>
      <c r="L2064" s="105" t="str">
        <f>VLOOKUP(K2064,COA!$A$3:$B$337,2,FALSE)</f>
        <v>F22</v>
      </c>
      <c r="M2064" s="105" t="str">
        <f t="shared" si="74"/>
        <v>F22</v>
      </c>
      <c r="N2064" s="105" t="str">
        <f>VLOOKUP(M2064,CAC!$A$2:$B$198,2,FALSE)</f>
        <v>HMOPMR</v>
      </c>
    </row>
    <row r="2065" spans="5:14" x14ac:dyDescent="0.25">
      <c r="E2065" s="83">
        <v>201706</v>
      </c>
      <c r="F2065" s="82" t="s">
        <v>506</v>
      </c>
      <c r="G2065" s="82" t="s">
        <v>359</v>
      </c>
      <c r="H2065" s="82" t="s">
        <v>592</v>
      </c>
      <c r="I2065" s="95">
        <v>0</v>
      </c>
      <c r="K2065" s="105" t="str">
        <f t="shared" si="73"/>
        <v>0013-1005-0035</v>
      </c>
      <c r="L2065" s="105" t="str">
        <f>VLOOKUP(K2065,COA!$A$3:$B$337,2,FALSE)</f>
        <v>N41</v>
      </c>
      <c r="M2065" s="105" t="str">
        <f t="shared" si="74"/>
        <v>N41</v>
      </c>
      <c r="N2065" s="105" t="e">
        <f>VLOOKUP(M2065,CAC!$A$2:$B$198,2,FALSE)</f>
        <v>#N/A</v>
      </c>
    </row>
    <row r="2066" spans="5:14" x14ac:dyDescent="0.25">
      <c r="E2066" s="83">
        <v>201707</v>
      </c>
      <c r="F2066" s="82" t="s">
        <v>746</v>
      </c>
      <c r="G2066" s="82" t="s">
        <v>356</v>
      </c>
      <c r="H2066" s="82" t="s">
        <v>344</v>
      </c>
      <c r="I2066" s="95">
        <v>135</v>
      </c>
      <c r="K2066" s="105" t="str">
        <f t="shared" si="73"/>
        <v>0016-1002-0012</v>
      </c>
      <c r="L2066" s="105" t="str">
        <f>VLOOKUP(K2066,COA!$A$3:$B$337,2,FALSE)</f>
        <v>R18</v>
      </c>
      <c r="M2066" s="105" t="str">
        <f t="shared" si="74"/>
        <v>R18</v>
      </c>
      <c r="N2066" s="105" t="str">
        <f>VLOOKUP(M2066,CAC!$A$2:$B$198,2,FALSE)</f>
        <v>HMOMG</v>
      </c>
    </row>
    <row r="2067" spans="5:14" x14ac:dyDescent="0.25">
      <c r="E2067" s="83">
        <v>201708</v>
      </c>
      <c r="F2067" s="82" t="s">
        <v>349</v>
      </c>
      <c r="G2067" s="82" t="s">
        <v>369</v>
      </c>
      <c r="H2067" s="82" t="s">
        <v>344</v>
      </c>
      <c r="I2067" s="95">
        <v>44079.97</v>
      </c>
      <c r="K2067" s="105" t="str">
        <f t="shared" si="73"/>
        <v>0017-1009-0012</v>
      </c>
      <c r="L2067" s="105" t="str">
        <f>VLOOKUP(K2067,COA!$A$3:$B$337,2,FALSE)</f>
        <v>R12</v>
      </c>
      <c r="M2067" s="105" t="str">
        <f t="shared" si="74"/>
        <v>R12</v>
      </c>
      <c r="N2067" s="105" t="str">
        <f>VLOOKUP(M2067,CAC!$A$2:$B$198,2,FALSE)</f>
        <v>HMOMM</v>
      </c>
    </row>
    <row r="2068" spans="5:14" x14ac:dyDescent="0.25">
      <c r="E2068" s="83">
        <v>201708</v>
      </c>
      <c r="F2068" s="82" t="s">
        <v>342</v>
      </c>
      <c r="G2068" s="82" t="s">
        <v>343</v>
      </c>
      <c r="H2068" s="82" t="s">
        <v>344</v>
      </c>
      <c r="I2068" s="95">
        <v>5662.78</v>
      </c>
      <c r="K2068" s="105" t="str">
        <f t="shared" si="73"/>
        <v>0031-1000-0012</v>
      </c>
      <c r="L2068" s="105" t="str">
        <f>VLOOKUP(K2068,COA!$A$3:$B$337,2,FALSE)</f>
        <v>F27</v>
      </c>
      <c r="M2068" s="105" t="str">
        <f t="shared" si="74"/>
        <v>F27</v>
      </c>
      <c r="N2068" s="105" t="str">
        <f>VLOOKUP(M2068,CAC!$A$2:$B$198,2,FALSE)</f>
        <v>HMOFEP</v>
      </c>
    </row>
    <row r="2069" spans="5:14" x14ac:dyDescent="0.25">
      <c r="E2069" s="83">
        <v>201706</v>
      </c>
      <c r="F2069" s="82" t="s">
        <v>345</v>
      </c>
      <c r="G2069" s="82" t="s">
        <v>354</v>
      </c>
      <c r="H2069" s="82" t="s">
        <v>360</v>
      </c>
      <c r="I2069" s="95">
        <v>5094</v>
      </c>
      <c r="K2069" s="105" t="str">
        <f t="shared" si="73"/>
        <v>0011-1013-0048</v>
      </c>
      <c r="L2069" s="105" t="str">
        <f>VLOOKUP(K2069,COA!$A$3:$B$337,2,FALSE)</f>
        <v>N21</v>
      </c>
      <c r="M2069" s="105" t="str">
        <f t="shared" si="74"/>
        <v>N21</v>
      </c>
      <c r="N2069" s="105" t="str">
        <f>VLOOKUP(M2069,CAC!$A$2:$B$198,2,FALSE)</f>
        <v>HMFLEX</v>
      </c>
    </row>
    <row r="2070" spans="5:14" x14ac:dyDescent="0.25">
      <c r="E2070" s="83">
        <v>201706</v>
      </c>
      <c r="F2070" s="82" t="s">
        <v>563</v>
      </c>
      <c r="G2070" s="82" t="s">
        <v>352</v>
      </c>
      <c r="H2070" s="82" t="s">
        <v>344</v>
      </c>
      <c r="I2070" s="95">
        <v>0</v>
      </c>
      <c r="K2070" s="105" t="str">
        <f t="shared" si="73"/>
        <v>0003-1004-0012</v>
      </c>
      <c r="L2070" s="105" t="str">
        <f>VLOOKUP(K2070,COA!$A$3:$B$337,2,FALSE)</f>
        <v>L51</v>
      </c>
      <c r="M2070" s="105" t="str">
        <f t="shared" si="74"/>
        <v>L51</v>
      </c>
      <c r="N2070" s="105" t="str">
        <f>VLOOKUP(M2070,CAC!$A$2:$B$198,2,FALSE)</f>
        <v>PPOLG</v>
      </c>
    </row>
    <row r="2071" spans="5:14" x14ac:dyDescent="0.25">
      <c r="E2071" s="83">
        <v>201610</v>
      </c>
      <c r="F2071" s="82" t="s">
        <v>506</v>
      </c>
      <c r="G2071" s="82" t="s">
        <v>346</v>
      </c>
      <c r="H2071" s="82" t="s">
        <v>592</v>
      </c>
      <c r="I2071" s="95">
        <v>0</v>
      </c>
      <c r="K2071" s="105" t="str">
        <f t="shared" si="73"/>
        <v>0013-1014-0035</v>
      </c>
      <c r="L2071" s="105" t="str">
        <f>VLOOKUP(K2071,COA!$A$3:$B$337,2,FALSE)</f>
        <v>K42</v>
      </c>
      <c r="M2071" s="105" t="str">
        <f t="shared" si="74"/>
        <v>K42</v>
      </c>
      <c r="N2071" s="105" t="str">
        <f>VLOOKUP(M2071,CAC!$A$2:$B$198,2,FALSE)</f>
        <v>HMFLEX</v>
      </c>
    </row>
    <row r="2072" spans="5:14" x14ac:dyDescent="0.25">
      <c r="E2072" s="83">
        <v>201609</v>
      </c>
      <c r="F2072" s="82" t="s">
        <v>345</v>
      </c>
      <c r="G2072" s="82" t="s">
        <v>348</v>
      </c>
      <c r="H2072" s="82" t="s">
        <v>353</v>
      </c>
      <c r="I2072" s="95">
        <v>338</v>
      </c>
      <c r="K2072" s="105" t="str">
        <f t="shared" si="73"/>
        <v>0011-1010-0023</v>
      </c>
      <c r="L2072" s="105" t="str">
        <f>VLOOKUP(K2072,COA!$A$3:$B$337,2,FALSE)</f>
        <v>S13</v>
      </c>
      <c r="M2072" s="105" t="str">
        <f t="shared" si="74"/>
        <v>S13</v>
      </c>
      <c r="N2072" s="105" t="str">
        <f>VLOOKUP(M2072,CAC!$A$2:$B$198,2,FALSE)</f>
        <v>HMOSG</v>
      </c>
    </row>
    <row r="2073" spans="5:14" x14ac:dyDescent="0.25">
      <c r="E2073" s="83">
        <v>201509</v>
      </c>
      <c r="F2073" s="82" t="s">
        <v>413</v>
      </c>
      <c r="G2073" s="82" t="s">
        <v>365</v>
      </c>
      <c r="H2073" s="82" t="s">
        <v>411</v>
      </c>
      <c r="I2073" s="95">
        <v>0</v>
      </c>
      <c r="K2073" s="105" t="str">
        <f t="shared" si="73"/>
        <v>0008-1001-0007</v>
      </c>
      <c r="L2073" s="105" t="str">
        <f>VLOOKUP(K2073,COA!$A$3:$B$337,2,FALSE)</f>
        <v>C99</v>
      </c>
      <c r="M2073" s="105" t="str">
        <f t="shared" si="74"/>
        <v>C99</v>
      </c>
      <c r="N2073" s="105" t="str">
        <f>VLOOKUP(M2073,CAC!$A$2:$B$198,2,FALSE)</f>
        <v>DOIIFP</v>
      </c>
    </row>
    <row r="2074" spans="5:14" x14ac:dyDescent="0.25">
      <c r="E2074" s="83">
        <v>201609</v>
      </c>
      <c r="F2074" s="82" t="s">
        <v>345</v>
      </c>
      <c r="G2074" s="82" t="s">
        <v>351</v>
      </c>
      <c r="H2074" s="82" t="s">
        <v>349</v>
      </c>
      <c r="I2074" s="95">
        <v>0</v>
      </c>
      <c r="K2074" s="105" t="str">
        <f t="shared" si="73"/>
        <v>0011-0000-0017</v>
      </c>
      <c r="L2074" s="105" t="e">
        <f>VLOOKUP(K2074,COA!$A$3:$B$337,2,FALSE)</f>
        <v>#N/A</v>
      </c>
      <c r="M2074" s="105" t="str">
        <f t="shared" si="74"/>
        <v>XXX</v>
      </c>
      <c r="N2074" s="105" t="str">
        <f>VLOOKUP(M2074,CAC!$A$2:$B$198,2,FALSE)</f>
        <v>XXX</v>
      </c>
    </row>
    <row r="2075" spans="5:14" x14ac:dyDescent="0.25">
      <c r="E2075" s="83">
        <v>201510</v>
      </c>
      <c r="F2075" s="82" t="s">
        <v>563</v>
      </c>
      <c r="G2075" s="82" t="s">
        <v>348</v>
      </c>
      <c r="H2075" s="82" t="s">
        <v>349</v>
      </c>
      <c r="I2075" s="95">
        <v>0</v>
      </c>
      <c r="K2075" s="105" t="str">
        <f t="shared" si="73"/>
        <v>0003-1010-0017</v>
      </c>
      <c r="L2075" s="105" t="str">
        <f>VLOOKUP(K2075,COA!$A$3:$B$337,2,FALSE)</f>
        <v>S51</v>
      </c>
      <c r="M2075" s="105" t="str">
        <f t="shared" si="74"/>
        <v>S51</v>
      </c>
      <c r="N2075" s="105" t="str">
        <f>VLOOKUP(M2075,CAC!$A$2:$B$198,2,FALSE)</f>
        <v>PPOSG</v>
      </c>
    </row>
    <row r="2076" spans="5:14" x14ac:dyDescent="0.25">
      <c r="E2076" s="83">
        <v>201610</v>
      </c>
      <c r="F2076" s="82" t="s">
        <v>413</v>
      </c>
      <c r="G2076" s="82" t="s">
        <v>365</v>
      </c>
      <c r="H2076" s="82" t="s">
        <v>344</v>
      </c>
      <c r="I2076" s="95">
        <v>0</v>
      </c>
      <c r="K2076" s="105" t="str">
        <f t="shared" si="73"/>
        <v>0008-1001-0012</v>
      </c>
      <c r="L2076" s="105" t="str">
        <f>VLOOKUP(K2076,COA!$A$3:$B$337,2,FALSE)</f>
        <v>C95</v>
      </c>
      <c r="M2076" s="105" t="str">
        <f t="shared" si="74"/>
        <v>C95</v>
      </c>
      <c r="N2076" s="105" t="str">
        <f>VLOOKUP(M2076,CAC!$A$2:$B$198,2,FALSE)</f>
        <v>DOIIFP</v>
      </c>
    </row>
    <row r="2077" spans="5:14" x14ac:dyDescent="0.25">
      <c r="E2077" s="83">
        <v>201611</v>
      </c>
      <c r="F2077" s="82" t="s">
        <v>345</v>
      </c>
      <c r="G2077" s="82" t="s">
        <v>350</v>
      </c>
      <c r="H2077" s="82" t="s">
        <v>344</v>
      </c>
      <c r="I2077" s="95">
        <v>14642.16</v>
      </c>
      <c r="K2077" s="105" t="str">
        <f t="shared" si="73"/>
        <v>0011-1012-0012</v>
      </c>
      <c r="L2077" s="105" t="str">
        <f>VLOOKUP(K2077,COA!$A$3:$B$337,2,FALSE)</f>
        <v>K11</v>
      </c>
      <c r="M2077" s="105" t="str">
        <f t="shared" si="74"/>
        <v>K11</v>
      </c>
      <c r="N2077" s="105" t="str">
        <f>VLOOKUP(M2077,CAC!$A$2:$B$198,2,FALSE)</f>
        <v>HMOPMR</v>
      </c>
    </row>
    <row r="2078" spans="5:14" x14ac:dyDescent="0.25">
      <c r="E2078" s="83">
        <v>201706</v>
      </c>
      <c r="F2078" s="82" t="s">
        <v>345</v>
      </c>
      <c r="G2078" s="82" t="s">
        <v>361</v>
      </c>
      <c r="H2078" s="82" t="s">
        <v>344</v>
      </c>
      <c r="I2078" s="95">
        <v>937</v>
      </c>
      <c r="K2078" s="105" t="str">
        <f t="shared" si="73"/>
        <v>0011-1003-0012</v>
      </c>
      <c r="L2078" s="105" t="str">
        <f>VLOOKUP(K2078,COA!$A$3:$B$337,2,FALSE)</f>
        <v>N16</v>
      </c>
      <c r="M2078" s="105" t="str">
        <f t="shared" si="74"/>
        <v>N16</v>
      </c>
      <c r="N2078" s="105" t="str">
        <f>VLOOKUP(M2078,CAC!$A$2:$B$198,2,FALSE)</f>
        <v>HMOPMR</v>
      </c>
    </row>
    <row r="2079" spans="5:14" x14ac:dyDescent="0.25">
      <c r="E2079" s="83">
        <v>201704</v>
      </c>
      <c r="F2079" s="82" t="s">
        <v>563</v>
      </c>
      <c r="G2079" s="82" t="s">
        <v>352</v>
      </c>
      <c r="H2079" s="82" t="s">
        <v>626</v>
      </c>
      <c r="I2079" s="95">
        <v>0</v>
      </c>
      <c r="K2079" s="105" t="str">
        <f t="shared" si="73"/>
        <v>0003-1004-0057</v>
      </c>
      <c r="L2079" s="105" t="e">
        <f>VLOOKUP(K2079,COA!$A$3:$B$337,2,FALSE)</f>
        <v>#N/A</v>
      </c>
      <c r="M2079" s="105" t="str">
        <f t="shared" si="74"/>
        <v>XXX</v>
      </c>
      <c r="N2079" s="105" t="str">
        <f>VLOOKUP(M2079,CAC!$A$2:$B$198,2,FALSE)</f>
        <v>XXX</v>
      </c>
    </row>
    <row r="2080" spans="5:14" x14ac:dyDescent="0.25">
      <c r="E2080" s="83">
        <v>201610</v>
      </c>
      <c r="F2080" s="82" t="s">
        <v>344</v>
      </c>
      <c r="G2080" s="82" t="s">
        <v>361</v>
      </c>
      <c r="H2080" s="82" t="s">
        <v>344</v>
      </c>
      <c r="I2080" s="95">
        <v>9570.19</v>
      </c>
      <c r="K2080" s="105" t="str">
        <f t="shared" si="73"/>
        <v>0012-1003-0012</v>
      </c>
      <c r="L2080" s="105" t="str">
        <f>VLOOKUP(K2080,COA!$A$3:$B$337,2,FALSE)</f>
        <v>N15</v>
      </c>
      <c r="M2080" s="105" t="str">
        <f t="shared" si="74"/>
        <v>N15</v>
      </c>
      <c r="N2080" s="105" t="str">
        <f>VLOOKUP(M2080,CAC!$A$2:$B$198,2,FALSE)</f>
        <v>HMOPMR</v>
      </c>
    </row>
    <row r="2081" spans="5:14" x14ac:dyDescent="0.25">
      <c r="E2081" s="83">
        <v>201702</v>
      </c>
      <c r="F2081" s="82" t="s">
        <v>345</v>
      </c>
      <c r="G2081" s="82" t="s">
        <v>355</v>
      </c>
      <c r="H2081" s="82" t="s">
        <v>344</v>
      </c>
      <c r="I2081" s="95">
        <v>15835.12</v>
      </c>
      <c r="K2081" s="105" t="str">
        <f t="shared" si="73"/>
        <v>0011-1006-0012</v>
      </c>
      <c r="L2081" s="105" t="str">
        <f>VLOOKUP(K2081,COA!$A$3:$B$337,2,FALSE)</f>
        <v>L13</v>
      </c>
      <c r="M2081" s="105" t="str">
        <f t="shared" si="74"/>
        <v>L13</v>
      </c>
      <c r="N2081" s="105" t="str">
        <f>VLOOKUP(M2081,CAC!$A$2:$B$198,2,FALSE)</f>
        <v>HMOLG</v>
      </c>
    </row>
    <row r="2082" spans="5:14" x14ac:dyDescent="0.25">
      <c r="E2082" s="83">
        <v>201703</v>
      </c>
      <c r="F2082" s="82" t="s">
        <v>345</v>
      </c>
      <c r="G2082" s="82" t="s">
        <v>361</v>
      </c>
      <c r="H2082" s="82" t="s">
        <v>344</v>
      </c>
      <c r="I2082" s="95">
        <v>930.88</v>
      </c>
      <c r="K2082" s="105" t="str">
        <f t="shared" si="73"/>
        <v>0011-1003-0012</v>
      </c>
      <c r="L2082" s="105" t="str">
        <f>VLOOKUP(K2082,COA!$A$3:$B$337,2,FALSE)</f>
        <v>N16</v>
      </c>
      <c r="M2082" s="105" t="str">
        <f t="shared" si="74"/>
        <v>N16</v>
      </c>
      <c r="N2082" s="105" t="str">
        <f>VLOOKUP(M2082,CAC!$A$2:$B$198,2,FALSE)</f>
        <v>HMOPMR</v>
      </c>
    </row>
    <row r="2083" spans="5:14" x14ac:dyDescent="0.25">
      <c r="E2083" s="83">
        <v>201606</v>
      </c>
      <c r="F2083" s="82" t="s">
        <v>344</v>
      </c>
      <c r="G2083" s="82" t="s">
        <v>352</v>
      </c>
      <c r="H2083" s="82" t="s">
        <v>344</v>
      </c>
      <c r="I2083" s="95">
        <v>431</v>
      </c>
      <c r="K2083" s="105" t="str">
        <f t="shared" si="73"/>
        <v>0012-1004-0012</v>
      </c>
      <c r="L2083" s="105" t="str">
        <f>VLOOKUP(K2083,COA!$A$3:$B$337,2,FALSE)</f>
        <v>L12</v>
      </c>
      <c r="M2083" s="105" t="str">
        <f t="shared" si="74"/>
        <v>L12</v>
      </c>
      <c r="N2083" s="105" t="str">
        <f>VLOOKUP(M2083,CAC!$A$2:$B$198,2,FALSE)</f>
        <v>HMOLG</v>
      </c>
    </row>
    <row r="2084" spans="5:14" x14ac:dyDescent="0.25">
      <c r="E2084" s="83">
        <v>201512</v>
      </c>
      <c r="F2084" s="82" t="s">
        <v>413</v>
      </c>
      <c r="G2084" s="82" t="s">
        <v>356</v>
      </c>
      <c r="H2084" s="82" t="s">
        <v>344</v>
      </c>
      <c r="I2084" s="95">
        <v>0</v>
      </c>
      <c r="K2084" s="105" t="str">
        <f t="shared" si="73"/>
        <v>0008-1002-0012</v>
      </c>
      <c r="L2084" s="105" t="str">
        <f>VLOOKUP(K2084,COA!$A$3:$B$337,2,FALSE)</f>
        <v>C74</v>
      </c>
      <c r="M2084" s="105" t="str">
        <f t="shared" si="74"/>
        <v>C74</v>
      </c>
      <c r="N2084" s="105" t="str">
        <f>VLOOKUP(M2084,CAC!$A$2:$B$198,2,FALSE)</f>
        <v>DOILG</v>
      </c>
    </row>
    <row r="2085" spans="5:14" x14ac:dyDescent="0.25">
      <c r="E2085" s="83">
        <v>201704</v>
      </c>
      <c r="F2085" s="82" t="s">
        <v>563</v>
      </c>
      <c r="G2085" s="82" t="s">
        <v>355</v>
      </c>
      <c r="H2085" s="82" t="s">
        <v>344</v>
      </c>
      <c r="I2085" s="95">
        <v>0</v>
      </c>
      <c r="K2085" s="105" t="str">
        <f t="shared" si="73"/>
        <v>0003-1006-0012</v>
      </c>
      <c r="L2085" s="105" t="str">
        <f>VLOOKUP(K2085,COA!$A$3:$B$337,2,FALSE)</f>
        <v>L52</v>
      </c>
      <c r="M2085" s="105" t="str">
        <f t="shared" si="74"/>
        <v>L52</v>
      </c>
      <c r="N2085" s="105" t="str">
        <f>VLOOKUP(M2085,CAC!$A$2:$B$198,2,FALSE)</f>
        <v>PPOLG</v>
      </c>
    </row>
    <row r="2086" spans="5:14" x14ac:dyDescent="0.25">
      <c r="E2086" s="83">
        <v>201606</v>
      </c>
      <c r="F2086" s="82" t="s">
        <v>345</v>
      </c>
      <c r="G2086" s="82" t="s">
        <v>359</v>
      </c>
      <c r="H2086" s="82" t="s">
        <v>344</v>
      </c>
      <c r="I2086" s="95">
        <v>4174.2700000000004</v>
      </c>
      <c r="K2086" s="105" t="str">
        <f t="shared" si="73"/>
        <v>0011-1005-0012</v>
      </c>
      <c r="L2086" s="105" t="str">
        <f>VLOOKUP(K2086,COA!$A$3:$B$337,2,FALSE)</f>
        <v>N11</v>
      </c>
      <c r="M2086" s="105" t="str">
        <f t="shared" si="74"/>
        <v>N11</v>
      </c>
      <c r="N2086" s="105" t="str">
        <f>VLOOKUP(M2086,CAC!$A$2:$B$198,2,FALSE)</f>
        <v>HMOLG</v>
      </c>
    </row>
    <row r="2087" spans="5:14" x14ac:dyDescent="0.25">
      <c r="E2087" s="83">
        <v>201603</v>
      </c>
      <c r="F2087" s="82" t="s">
        <v>405</v>
      </c>
      <c r="G2087" s="82" t="s">
        <v>362</v>
      </c>
      <c r="H2087" s="82" t="s">
        <v>342</v>
      </c>
      <c r="I2087" s="95">
        <v>0</v>
      </c>
      <c r="K2087" s="105" t="str">
        <f t="shared" si="73"/>
        <v>0019-1008-0031</v>
      </c>
      <c r="L2087" s="105" t="str">
        <f>VLOOKUP(K2087,COA!$A$3:$B$337,2,FALSE)</f>
        <v>P53</v>
      </c>
      <c r="M2087" s="105" t="str">
        <f t="shared" si="74"/>
        <v>P53</v>
      </c>
      <c r="N2087" s="105" t="str">
        <f>VLOOKUP(M2087,CAC!$A$2:$B$198,2,FALSE)</f>
        <v>HMOPERA</v>
      </c>
    </row>
    <row r="2088" spans="5:14" x14ac:dyDescent="0.25">
      <c r="E2088" s="83">
        <v>201610</v>
      </c>
      <c r="F2088" s="82" t="s">
        <v>349</v>
      </c>
      <c r="G2088" s="82" t="s">
        <v>369</v>
      </c>
      <c r="H2088" s="82" t="s">
        <v>764</v>
      </c>
      <c r="I2088" s="95">
        <v>5682</v>
      </c>
      <c r="K2088" s="105" t="str">
        <f t="shared" si="73"/>
        <v>0017-1009-0064</v>
      </c>
      <c r="L2088" s="105" t="str">
        <f>VLOOKUP(K2088,COA!$A$3:$B$337,2,FALSE)</f>
        <v>R15</v>
      </c>
      <c r="M2088" s="105" t="str">
        <f t="shared" si="74"/>
        <v>R15</v>
      </c>
      <c r="N2088" s="105" t="str">
        <f>VLOOKUP(M2088,CAC!$A$2:$B$198,2,FALSE)</f>
        <v>HMOMM</v>
      </c>
    </row>
    <row r="2089" spans="5:14" x14ac:dyDescent="0.25">
      <c r="E2089" s="83">
        <v>201507</v>
      </c>
      <c r="F2089" s="82" t="s">
        <v>563</v>
      </c>
      <c r="G2089" s="82" t="s">
        <v>350</v>
      </c>
      <c r="H2089" s="82" t="s">
        <v>344</v>
      </c>
      <c r="I2089" s="95">
        <v>0</v>
      </c>
      <c r="K2089" s="105" t="str">
        <f t="shared" si="73"/>
        <v>0003-1012-0012</v>
      </c>
      <c r="L2089" s="105" t="str">
        <f>VLOOKUP(K2089,COA!$A$3:$B$337,2,FALSE)</f>
        <v>K51</v>
      </c>
      <c r="M2089" s="105" t="str">
        <f t="shared" si="74"/>
        <v>K51</v>
      </c>
      <c r="N2089" s="105" t="str">
        <f>VLOOKUP(M2089,CAC!$A$2:$B$198,2,FALSE)</f>
        <v>PPOPMR</v>
      </c>
    </row>
    <row r="2090" spans="5:14" x14ac:dyDescent="0.25">
      <c r="E2090" s="83">
        <v>201503</v>
      </c>
      <c r="F2090" s="82" t="s">
        <v>746</v>
      </c>
      <c r="G2090" s="82" t="s">
        <v>354</v>
      </c>
      <c r="H2090" s="82" t="s">
        <v>344</v>
      </c>
      <c r="I2090" s="95">
        <v>77</v>
      </c>
      <c r="K2090" s="105" t="str">
        <f t="shared" si="73"/>
        <v>0016-1013-0012</v>
      </c>
      <c r="L2090" s="105" t="str">
        <f>VLOOKUP(K2090,COA!$A$3:$B$337,2,FALSE)</f>
        <v>R19</v>
      </c>
      <c r="M2090" s="105" t="str">
        <f t="shared" si="74"/>
        <v>R19</v>
      </c>
      <c r="N2090" s="105" t="str">
        <f>VLOOKUP(M2090,CAC!$A$2:$B$198,2,FALSE)</f>
        <v>HMOMG</v>
      </c>
    </row>
    <row r="2091" spans="5:14" x14ac:dyDescent="0.25">
      <c r="E2091" s="83">
        <v>201702</v>
      </c>
      <c r="F2091" s="82" t="s">
        <v>563</v>
      </c>
      <c r="G2091" s="82" t="s">
        <v>351</v>
      </c>
      <c r="H2091" s="82" t="s">
        <v>349</v>
      </c>
      <c r="I2091" s="95">
        <v>0</v>
      </c>
      <c r="K2091" s="105" t="str">
        <f t="shared" si="73"/>
        <v>0003-0000-0017</v>
      </c>
      <c r="L2091" s="105" t="e">
        <f>VLOOKUP(K2091,COA!$A$3:$B$337,2,FALSE)</f>
        <v>#N/A</v>
      </c>
      <c r="M2091" s="105" t="str">
        <f t="shared" si="74"/>
        <v>XXX</v>
      </c>
      <c r="N2091" s="105" t="str">
        <f>VLOOKUP(M2091,CAC!$A$2:$B$198,2,FALSE)</f>
        <v>XXX</v>
      </c>
    </row>
    <row r="2092" spans="5:14" x14ac:dyDescent="0.25">
      <c r="E2092" s="83">
        <v>201602</v>
      </c>
      <c r="F2092" s="82" t="s">
        <v>563</v>
      </c>
      <c r="G2092" s="82" t="s">
        <v>348</v>
      </c>
      <c r="H2092" s="82" t="s">
        <v>349</v>
      </c>
      <c r="I2092" s="95">
        <v>0</v>
      </c>
      <c r="K2092" s="105" t="str">
        <f t="shared" si="73"/>
        <v>0003-1010-0017</v>
      </c>
      <c r="L2092" s="105" t="str">
        <f>VLOOKUP(K2092,COA!$A$3:$B$337,2,FALSE)</f>
        <v>S51</v>
      </c>
      <c r="M2092" s="105" t="str">
        <f t="shared" si="74"/>
        <v>S51</v>
      </c>
      <c r="N2092" s="105" t="str">
        <f>VLOOKUP(M2092,CAC!$A$2:$B$198,2,FALSE)</f>
        <v>PPOSG</v>
      </c>
    </row>
    <row r="2093" spans="5:14" x14ac:dyDescent="0.25">
      <c r="E2093" s="83">
        <v>201605</v>
      </c>
      <c r="F2093" s="82" t="s">
        <v>345</v>
      </c>
      <c r="G2093" s="82" t="s">
        <v>354</v>
      </c>
      <c r="H2093" s="82" t="s">
        <v>344</v>
      </c>
      <c r="I2093" s="95">
        <v>6706.39</v>
      </c>
      <c r="K2093" s="105" t="str">
        <f t="shared" si="73"/>
        <v>0011-1013-0012</v>
      </c>
      <c r="L2093" s="105" t="str">
        <f>VLOOKUP(K2093,COA!$A$3:$B$337,2,FALSE)</f>
        <v>N20</v>
      </c>
      <c r="M2093" s="105" t="str">
        <f t="shared" si="74"/>
        <v>N20</v>
      </c>
      <c r="N2093" s="105" t="str">
        <f>VLOOKUP(M2093,CAC!$A$2:$B$198,2,FALSE)</f>
        <v>HMOPMR</v>
      </c>
    </row>
    <row r="2094" spans="5:14" x14ac:dyDescent="0.25">
      <c r="E2094" s="83">
        <v>201508</v>
      </c>
      <c r="F2094" s="82" t="s">
        <v>563</v>
      </c>
      <c r="G2094" s="82" t="s">
        <v>352</v>
      </c>
      <c r="H2094" s="82" t="s">
        <v>344</v>
      </c>
      <c r="I2094" s="95">
        <v>0</v>
      </c>
      <c r="K2094" s="105" t="str">
        <f t="shared" si="73"/>
        <v>0003-1004-0012</v>
      </c>
      <c r="L2094" s="105" t="str">
        <f>VLOOKUP(K2094,COA!$A$3:$B$337,2,FALSE)</f>
        <v>L51</v>
      </c>
      <c r="M2094" s="105" t="str">
        <f t="shared" si="74"/>
        <v>L51</v>
      </c>
      <c r="N2094" s="105" t="str">
        <f>VLOOKUP(M2094,CAC!$A$2:$B$198,2,FALSE)</f>
        <v>PPOLG</v>
      </c>
    </row>
    <row r="2095" spans="5:14" x14ac:dyDescent="0.25">
      <c r="E2095" s="83">
        <v>201710</v>
      </c>
      <c r="F2095" s="82" t="s">
        <v>413</v>
      </c>
      <c r="G2095" s="82" t="s">
        <v>359</v>
      </c>
      <c r="H2095" s="82" t="s">
        <v>344</v>
      </c>
      <c r="I2095" s="95">
        <v>0</v>
      </c>
      <c r="K2095" s="105" t="str">
        <f t="shared" si="73"/>
        <v>0008-1005-0012</v>
      </c>
      <c r="L2095" s="105" t="str">
        <f>VLOOKUP(K2095,COA!$A$3:$B$337,2,FALSE)</f>
        <v>C73</v>
      </c>
      <c r="M2095" s="105" t="str">
        <f t="shared" si="74"/>
        <v>C73</v>
      </c>
      <c r="N2095" s="105" t="str">
        <f>VLOOKUP(M2095,CAC!$A$2:$B$198,2,FALSE)</f>
        <v>DOILG</v>
      </c>
    </row>
    <row r="2096" spans="5:14" x14ac:dyDescent="0.25">
      <c r="E2096" s="83">
        <v>201602</v>
      </c>
      <c r="F2096" s="82" t="s">
        <v>552</v>
      </c>
      <c r="G2096" s="82" t="s">
        <v>356</v>
      </c>
      <c r="H2096" s="82" t="s">
        <v>672</v>
      </c>
      <c r="I2096" s="95">
        <v>0</v>
      </c>
      <c r="K2096" s="105" t="str">
        <f t="shared" si="73"/>
        <v>0027-1002-0058</v>
      </c>
      <c r="L2096" s="105" t="str">
        <f>VLOOKUP(K2096,COA!$A$3:$B$337,2,FALSE)</f>
        <v>L45</v>
      </c>
      <c r="M2096" s="105" t="str">
        <f t="shared" si="74"/>
        <v>L45</v>
      </c>
      <c r="N2096" s="105" t="e">
        <f>VLOOKUP(M2096,CAC!$A$2:$B$198,2,FALSE)</f>
        <v>#N/A</v>
      </c>
    </row>
    <row r="2097" spans="5:14" x14ac:dyDescent="0.25">
      <c r="E2097" s="83">
        <v>201604</v>
      </c>
      <c r="F2097" s="82" t="s">
        <v>345</v>
      </c>
      <c r="G2097" s="82" t="s">
        <v>351</v>
      </c>
      <c r="H2097" s="82" t="s">
        <v>349</v>
      </c>
      <c r="I2097" s="95">
        <v>0</v>
      </c>
      <c r="K2097" s="105" t="str">
        <f t="shared" si="73"/>
        <v>0011-0000-0017</v>
      </c>
      <c r="L2097" s="105" t="e">
        <f>VLOOKUP(K2097,COA!$A$3:$B$337,2,FALSE)</f>
        <v>#N/A</v>
      </c>
      <c r="M2097" s="105" t="str">
        <f t="shared" si="74"/>
        <v>XXX</v>
      </c>
      <c r="N2097" s="105" t="str">
        <f>VLOOKUP(M2097,CAC!$A$2:$B$198,2,FALSE)</f>
        <v>XXX</v>
      </c>
    </row>
    <row r="2098" spans="5:14" x14ac:dyDescent="0.25">
      <c r="E2098" s="83">
        <v>201608</v>
      </c>
      <c r="F2098" s="82" t="s">
        <v>563</v>
      </c>
      <c r="G2098" s="82" t="s">
        <v>351</v>
      </c>
      <c r="H2098" s="82" t="s">
        <v>349</v>
      </c>
      <c r="I2098" s="95">
        <v>0</v>
      </c>
      <c r="K2098" s="105" t="str">
        <f t="shared" si="73"/>
        <v>0003-0000-0017</v>
      </c>
      <c r="L2098" s="105" t="e">
        <f>VLOOKUP(K2098,COA!$A$3:$B$337,2,FALSE)</f>
        <v>#N/A</v>
      </c>
      <c r="M2098" s="105" t="str">
        <f t="shared" si="74"/>
        <v>XXX</v>
      </c>
      <c r="N2098" s="105" t="str">
        <f>VLOOKUP(M2098,CAC!$A$2:$B$198,2,FALSE)</f>
        <v>XXX</v>
      </c>
    </row>
    <row r="2099" spans="5:14" x14ac:dyDescent="0.25">
      <c r="E2099" s="83">
        <v>201606</v>
      </c>
      <c r="F2099" s="82" t="s">
        <v>563</v>
      </c>
      <c r="G2099" s="82" t="s">
        <v>352</v>
      </c>
      <c r="H2099" s="82" t="s">
        <v>344</v>
      </c>
      <c r="I2099" s="95">
        <v>0</v>
      </c>
      <c r="K2099" s="105" t="str">
        <f t="shared" si="73"/>
        <v>0003-1004-0012</v>
      </c>
      <c r="L2099" s="105" t="str">
        <f>VLOOKUP(K2099,COA!$A$3:$B$337,2,FALSE)</f>
        <v>L51</v>
      </c>
      <c r="M2099" s="105" t="str">
        <f t="shared" si="74"/>
        <v>L51</v>
      </c>
      <c r="N2099" s="105" t="str">
        <f>VLOOKUP(M2099,CAC!$A$2:$B$198,2,FALSE)</f>
        <v>PPOLG</v>
      </c>
    </row>
    <row r="2100" spans="5:14" x14ac:dyDescent="0.25">
      <c r="E2100" s="83">
        <v>201603</v>
      </c>
      <c r="F2100" s="82" t="s">
        <v>342</v>
      </c>
      <c r="G2100" s="82" t="s">
        <v>343</v>
      </c>
      <c r="H2100" s="82" t="s">
        <v>344</v>
      </c>
      <c r="I2100" s="95">
        <v>6106.8</v>
      </c>
      <c r="K2100" s="105" t="str">
        <f t="shared" si="73"/>
        <v>0031-1000-0012</v>
      </c>
      <c r="L2100" s="105" t="str">
        <f>VLOOKUP(K2100,COA!$A$3:$B$337,2,FALSE)</f>
        <v>F27</v>
      </c>
      <c r="M2100" s="105" t="str">
        <f t="shared" si="74"/>
        <v>F27</v>
      </c>
      <c r="N2100" s="105" t="str">
        <f>VLOOKUP(M2100,CAC!$A$2:$B$198,2,FALSE)</f>
        <v>HMOFEP</v>
      </c>
    </row>
    <row r="2101" spans="5:14" x14ac:dyDescent="0.25">
      <c r="E2101" s="83">
        <v>201610</v>
      </c>
      <c r="F2101" s="82" t="s">
        <v>563</v>
      </c>
      <c r="G2101" s="82" t="s">
        <v>361</v>
      </c>
      <c r="H2101" s="82" t="s">
        <v>344</v>
      </c>
      <c r="I2101" s="95">
        <v>0</v>
      </c>
      <c r="K2101" s="105" t="str">
        <f t="shared" si="73"/>
        <v>0003-1003-0012</v>
      </c>
      <c r="L2101" s="105" t="str">
        <f>VLOOKUP(K2101,COA!$A$3:$B$337,2,FALSE)</f>
        <v>N61</v>
      </c>
      <c r="M2101" s="105" t="str">
        <f t="shared" si="74"/>
        <v>N61</v>
      </c>
      <c r="N2101" s="105" t="str">
        <f>VLOOKUP(M2101,CAC!$A$2:$B$198,2,FALSE)</f>
        <v>PPOPMR</v>
      </c>
    </row>
    <row r="2102" spans="5:14" x14ac:dyDescent="0.25">
      <c r="E2102" s="83">
        <v>201704</v>
      </c>
      <c r="F2102" s="82" t="s">
        <v>349</v>
      </c>
      <c r="G2102" s="82" t="s">
        <v>369</v>
      </c>
      <c r="H2102" s="82" t="s">
        <v>764</v>
      </c>
      <c r="I2102" s="95">
        <v>5427</v>
      </c>
      <c r="K2102" s="105" t="str">
        <f t="shared" si="73"/>
        <v>0017-1009-0064</v>
      </c>
      <c r="L2102" s="105" t="str">
        <f>VLOOKUP(K2102,COA!$A$3:$B$337,2,FALSE)</f>
        <v>R15</v>
      </c>
      <c r="M2102" s="105" t="str">
        <f t="shared" si="74"/>
        <v>R15</v>
      </c>
      <c r="N2102" s="105" t="str">
        <f>VLOOKUP(M2102,CAC!$A$2:$B$198,2,FALSE)</f>
        <v>HMOMM</v>
      </c>
    </row>
    <row r="2103" spans="5:14" x14ac:dyDescent="0.25">
      <c r="E2103" s="83">
        <v>201704</v>
      </c>
      <c r="F2103" s="82" t="s">
        <v>344</v>
      </c>
      <c r="G2103" s="82" t="s">
        <v>356</v>
      </c>
      <c r="H2103" s="82" t="s">
        <v>344</v>
      </c>
      <c r="I2103" s="95">
        <v>4269</v>
      </c>
      <c r="K2103" s="105" t="str">
        <f t="shared" si="73"/>
        <v>0012-1002-0012</v>
      </c>
      <c r="L2103" s="105" t="str">
        <f>VLOOKUP(K2103,COA!$A$3:$B$337,2,FALSE)</f>
        <v>F22</v>
      </c>
      <c r="M2103" s="105" t="str">
        <f t="shared" si="74"/>
        <v>F22</v>
      </c>
      <c r="N2103" s="105" t="str">
        <f>VLOOKUP(M2103,CAC!$A$2:$B$198,2,FALSE)</f>
        <v>HMOPMR</v>
      </c>
    </row>
    <row r="2104" spans="5:14" x14ac:dyDescent="0.25">
      <c r="E2104" s="83">
        <v>201511</v>
      </c>
      <c r="F2104" s="82" t="s">
        <v>563</v>
      </c>
      <c r="G2104" s="82" t="s">
        <v>361</v>
      </c>
      <c r="H2104" s="82" t="s">
        <v>344</v>
      </c>
      <c r="I2104" s="95">
        <v>0</v>
      </c>
      <c r="K2104" s="105" t="str">
        <f t="shared" si="73"/>
        <v>0003-1003-0012</v>
      </c>
      <c r="L2104" s="105" t="str">
        <f>VLOOKUP(K2104,COA!$A$3:$B$337,2,FALSE)</f>
        <v>N61</v>
      </c>
      <c r="M2104" s="105" t="str">
        <f t="shared" si="74"/>
        <v>N61</v>
      </c>
      <c r="N2104" s="105" t="str">
        <f>VLOOKUP(M2104,CAC!$A$2:$B$198,2,FALSE)</f>
        <v>PPOPMR</v>
      </c>
    </row>
    <row r="2105" spans="5:14" x14ac:dyDescent="0.25">
      <c r="E2105" s="83">
        <v>201711</v>
      </c>
      <c r="F2105" s="82" t="s">
        <v>345</v>
      </c>
      <c r="G2105" s="82" t="s">
        <v>348</v>
      </c>
      <c r="H2105" s="82" t="s">
        <v>358</v>
      </c>
      <c r="I2105" s="95">
        <v>195</v>
      </c>
      <c r="K2105" s="105" t="str">
        <f t="shared" si="73"/>
        <v>0011-1010-0024</v>
      </c>
      <c r="L2105" s="105" t="str">
        <f>VLOOKUP(K2105,COA!$A$3:$B$337,2,FALSE)</f>
        <v>S14</v>
      </c>
      <c r="M2105" s="105" t="str">
        <f t="shared" si="74"/>
        <v>S14</v>
      </c>
      <c r="N2105" s="105" t="str">
        <f>VLOOKUP(M2105,CAC!$A$2:$B$198,2,FALSE)</f>
        <v>HMOSG</v>
      </c>
    </row>
    <row r="2106" spans="5:14" x14ac:dyDescent="0.25">
      <c r="E2106" s="83">
        <v>201710</v>
      </c>
      <c r="F2106" s="82" t="s">
        <v>345</v>
      </c>
      <c r="G2106" s="82" t="s">
        <v>352</v>
      </c>
      <c r="H2106" s="82" t="s">
        <v>653</v>
      </c>
      <c r="I2106" s="95">
        <v>0</v>
      </c>
      <c r="K2106" s="105" t="str">
        <f t="shared" si="73"/>
        <v>0011-1004-0047</v>
      </c>
      <c r="L2106" s="105" t="str">
        <f>VLOOKUP(K2106,COA!$A$3:$B$337,2,FALSE)</f>
        <v>L17</v>
      </c>
      <c r="M2106" s="105" t="str">
        <f t="shared" si="74"/>
        <v>L17</v>
      </c>
      <c r="N2106" s="105" t="str">
        <f>VLOOKUP(M2106,CAC!$A$2:$B$198,2,FALSE)</f>
        <v>HMOLG</v>
      </c>
    </row>
    <row r="2107" spans="5:14" x14ac:dyDescent="0.25">
      <c r="E2107" s="83">
        <v>201602</v>
      </c>
      <c r="F2107" s="82" t="s">
        <v>563</v>
      </c>
      <c r="G2107" s="82" t="s">
        <v>350</v>
      </c>
      <c r="H2107" s="82" t="s">
        <v>626</v>
      </c>
      <c r="I2107" s="95">
        <v>0</v>
      </c>
      <c r="K2107" s="105" t="str">
        <f t="shared" si="73"/>
        <v>0003-1012-0057</v>
      </c>
      <c r="L2107" s="105" t="str">
        <f>VLOOKUP(K2107,COA!$A$3:$B$337,2,FALSE)</f>
        <v>K51</v>
      </c>
      <c r="M2107" s="105" t="str">
        <f t="shared" si="74"/>
        <v>K51</v>
      </c>
      <c r="N2107" s="105" t="str">
        <f>VLOOKUP(M2107,CAC!$A$2:$B$198,2,FALSE)</f>
        <v>PPOPMR</v>
      </c>
    </row>
    <row r="2108" spans="5:14" x14ac:dyDescent="0.25">
      <c r="E2108" s="83">
        <v>201602</v>
      </c>
      <c r="F2108" s="82" t="s">
        <v>345</v>
      </c>
      <c r="G2108" s="82" t="s">
        <v>355</v>
      </c>
      <c r="H2108" s="82" t="s">
        <v>344</v>
      </c>
      <c r="I2108" s="95">
        <v>24510.74</v>
      </c>
      <c r="K2108" s="105" t="str">
        <f t="shared" si="73"/>
        <v>0011-1006-0012</v>
      </c>
      <c r="L2108" s="105" t="str">
        <f>VLOOKUP(K2108,COA!$A$3:$B$337,2,FALSE)</f>
        <v>L13</v>
      </c>
      <c r="M2108" s="105" t="str">
        <f t="shared" si="74"/>
        <v>L13</v>
      </c>
      <c r="N2108" s="105" t="str">
        <f>VLOOKUP(M2108,CAC!$A$2:$B$198,2,FALSE)</f>
        <v>HMOLG</v>
      </c>
    </row>
    <row r="2109" spans="5:14" x14ac:dyDescent="0.25">
      <c r="E2109" s="83">
        <v>201512</v>
      </c>
      <c r="F2109" s="82" t="s">
        <v>563</v>
      </c>
      <c r="G2109" s="82" t="s">
        <v>365</v>
      </c>
      <c r="H2109" s="82" t="s">
        <v>367</v>
      </c>
      <c r="I2109" s="95">
        <v>0</v>
      </c>
      <c r="K2109" s="105" t="str">
        <f t="shared" si="73"/>
        <v>0003-1001-0022</v>
      </c>
      <c r="L2109" s="105" t="str">
        <f>VLOOKUP(K2109,COA!$A$3:$B$337,2,FALSE)</f>
        <v>V54</v>
      </c>
      <c r="M2109" s="105" t="str">
        <f t="shared" si="74"/>
        <v>V54</v>
      </c>
      <c r="N2109" s="105" t="str">
        <f>VLOOKUP(M2109,CAC!$A$2:$B$198,2,FALSE)</f>
        <v>PPOIFP</v>
      </c>
    </row>
    <row r="2110" spans="5:14" x14ac:dyDescent="0.25">
      <c r="E2110" s="83">
        <v>201602</v>
      </c>
      <c r="F2110" s="82" t="s">
        <v>746</v>
      </c>
      <c r="G2110" s="82" t="s">
        <v>354</v>
      </c>
      <c r="H2110" s="82" t="s">
        <v>344</v>
      </c>
      <c r="I2110" s="95">
        <v>82</v>
      </c>
      <c r="K2110" s="105" t="str">
        <f t="shared" si="73"/>
        <v>0016-1013-0012</v>
      </c>
      <c r="L2110" s="105" t="str">
        <f>VLOOKUP(K2110,COA!$A$3:$B$337,2,FALSE)</f>
        <v>R19</v>
      </c>
      <c r="M2110" s="105" t="str">
        <f t="shared" si="74"/>
        <v>R19</v>
      </c>
      <c r="N2110" s="105" t="str">
        <f>VLOOKUP(M2110,CAC!$A$2:$B$198,2,FALSE)</f>
        <v>HMOMG</v>
      </c>
    </row>
    <row r="2111" spans="5:14" x14ac:dyDescent="0.25">
      <c r="E2111" s="83">
        <v>201702</v>
      </c>
      <c r="F2111" s="82" t="s">
        <v>345</v>
      </c>
      <c r="G2111" s="82" t="s">
        <v>352</v>
      </c>
      <c r="H2111" s="82" t="s">
        <v>357</v>
      </c>
      <c r="I2111" s="95">
        <v>2259</v>
      </c>
      <c r="K2111" s="105" t="str">
        <f t="shared" si="73"/>
        <v>0011-1004-0038</v>
      </c>
      <c r="L2111" s="105" t="str">
        <f>VLOOKUP(K2111,COA!$A$3:$B$337,2,FALSE)</f>
        <v>L14</v>
      </c>
      <c r="M2111" s="105" t="str">
        <f t="shared" si="74"/>
        <v>L14</v>
      </c>
      <c r="N2111" s="105" t="str">
        <f>VLOOKUP(M2111,CAC!$A$2:$B$198,2,FALSE)</f>
        <v>HMOLG</v>
      </c>
    </row>
    <row r="2112" spans="5:14" x14ac:dyDescent="0.25">
      <c r="E2112" s="83">
        <v>201503</v>
      </c>
      <c r="F2112" s="82" t="s">
        <v>563</v>
      </c>
      <c r="G2112" s="82" t="s">
        <v>365</v>
      </c>
      <c r="H2112" s="82" t="s">
        <v>366</v>
      </c>
      <c r="I2112" s="95">
        <v>0</v>
      </c>
      <c r="K2112" s="105" t="str">
        <f t="shared" si="73"/>
        <v>0003-1001-0021</v>
      </c>
      <c r="L2112" s="105" t="str">
        <f>VLOOKUP(K2112,COA!$A$3:$B$337,2,FALSE)</f>
        <v>V53</v>
      </c>
      <c r="M2112" s="105" t="str">
        <f t="shared" si="74"/>
        <v>V53</v>
      </c>
      <c r="N2112" s="105" t="str">
        <f>VLOOKUP(M2112,CAC!$A$2:$B$198,2,FALSE)</f>
        <v>PPOIFP</v>
      </c>
    </row>
    <row r="2113" spans="5:14" x14ac:dyDescent="0.25">
      <c r="E2113" s="83">
        <v>201505</v>
      </c>
      <c r="F2113" s="82" t="s">
        <v>563</v>
      </c>
      <c r="G2113" s="82" t="s">
        <v>365</v>
      </c>
      <c r="H2113" s="82" t="s">
        <v>366</v>
      </c>
      <c r="I2113" s="95">
        <v>0</v>
      </c>
      <c r="K2113" s="105" t="str">
        <f t="shared" si="73"/>
        <v>0003-1001-0021</v>
      </c>
      <c r="L2113" s="105" t="str">
        <f>VLOOKUP(K2113,COA!$A$3:$B$337,2,FALSE)</f>
        <v>V53</v>
      </c>
      <c r="M2113" s="105" t="str">
        <f t="shared" si="74"/>
        <v>V53</v>
      </c>
      <c r="N2113" s="105" t="str">
        <f>VLOOKUP(M2113,CAC!$A$2:$B$198,2,FALSE)</f>
        <v>PPOIFP</v>
      </c>
    </row>
    <row r="2114" spans="5:14" x14ac:dyDescent="0.25">
      <c r="E2114" s="83">
        <v>201509</v>
      </c>
      <c r="F2114" s="82" t="s">
        <v>506</v>
      </c>
      <c r="G2114" s="82" t="s">
        <v>354</v>
      </c>
      <c r="H2114" s="82" t="s">
        <v>592</v>
      </c>
      <c r="I2114" s="95">
        <v>0</v>
      </c>
      <c r="K2114" s="105" t="str">
        <f t="shared" si="73"/>
        <v>0013-1013-0035</v>
      </c>
      <c r="L2114" s="105" t="str">
        <f>VLOOKUP(K2114,COA!$A$3:$B$337,2,FALSE)</f>
        <v>N44</v>
      </c>
      <c r="M2114" s="105" t="str">
        <f t="shared" si="74"/>
        <v>N44</v>
      </c>
      <c r="N2114" s="105" t="e">
        <f>VLOOKUP(M2114,CAC!$A$2:$B$198,2,FALSE)</f>
        <v>#N/A</v>
      </c>
    </row>
    <row r="2115" spans="5:14" x14ac:dyDescent="0.25">
      <c r="E2115" s="83">
        <v>201510</v>
      </c>
      <c r="F2115" s="82" t="s">
        <v>563</v>
      </c>
      <c r="G2115" s="82" t="s">
        <v>365</v>
      </c>
      <c r="H2115" s="82" t="s">
        <v>411</v>
      </c>
      <c r="I2115" s="95">
        <v>0</v>
      </c>
      <c r="K2115" s="105" t="str">
        <f t="shared" si="73"/>
        <v>0003-1001-0007</v>
      </c>
      <c r="L2115" s="105" t="str">
        <f>VLOOKUP(K2115,COA!$A$3:$B$337,2,FALSE)</f>
        <v>V52</v>
      </c>
      <c r="M2115" s="105" t="str">
        <f t="shared" si="74"/>
        <v>V52</v>
      </c>
      <c r="N2115" s="105" t="str">
        <f>VLOOKUP(M2115,CAC!$A$2:$B$198,2,FALSE)</f>
        <v>PPOIFP</v>
      </c>
    </row>
    <row r="2116" spans="5:14" x14ac:dyDescent="0.25">
      <c r="E2116" s="83">
        <v>201605</v>
      </c>
      <c r="F2116" s="82" t="s">
        <v>345</v>
      </c>
      <c r="G2116" s="82" t="s">
        <v>351</v>
      </c>
      <c r="H2116" s="82" t="s">
        <v>353</v>
      </c>
      <c r="I2116" s="95">
        <v>0</v>
      </c>
      <c r="K2116" s="105" t="str">
        <f t="shared" ref="K2116:K2179" si="75">F2116&amp;"-"&amp;G2116&amp;"-"&amp;H2116</f>
        <v>0011-0000-0023</v>
      </c>
      <c r="L2116" s="105" t="e">
        <f>VLOOKUP(K2116,COA!$A$3:$B$337,2,FALSE)</f>
        <v>#N/A</v>
      </c>
      <c r="M2116" s="105" t="str">
        <f t="shared" ref="M2116:M2179" si="76">IF(ISNA(L2116),"XXX",L2116)</f>
        <v>XXX</v>
      </c>
      <c r="N2116" s="105" t="str">
        <f>VLOOKUP(M2116,CAC!$A$2:$B$198,2,FALSE)</f>
        <v>XXX</v>
      </c>
    </row>
    <row r="2117" spans="5:14" x14ac:dyDescent="0.25">
      <c r="E2117" s="83">
        <v>201711</v>
      </c>
      <c r="F2117" s="82" t="s">
        <v>563</v>
      </c>
      <c r="G2117" s="82" t="s">
        <v>355</v>
      </c>
      <c r="H2117" s="82" t="s">
        <v>344</v>
      </c>
      <c r="I2117" s="95">
        <v>0</v>
      </c>
      <c r="K2117" s="105" t="str">
        <f t="shared" si="75"/>
        <v>0003-1006-0012</v>
      </c>
      <c r="L2117" s="105" t="str">
        <f>VLOOKUP(K2117,COA!$A$3:$B$337,2,FALSE)</f>
        <v>L52</v>
      </c>
      <c r="M2117" s="105" t="str">
        <f t="shared" si="76"/>
        <v>L52</v>
      </c>
      <c r="N2117" s="105" t="str">
        <f>VLOOKUP(M2117,CAC!$A$2:$B$198,2,FALSE)</f>
        <v>PPOLG</v>
      </c>
    </row>
    <row r="2118" spans="5:14" x14ac:dyDescent="0.25">
      <c r="E2118" s="83">
        <v>201610</v>
      </c>
      <c r="F2118" s="82" t="s">
        <v>563</v>
      </c>
      <c r="G2118" s="82" t="s">
        <v>365</v>
      </c>
      <c r="H2118" s="82" t="s">
        <v>367</v>
      </c>
      <c r="I2118" s="95">
        <v>0</v>
      </c>
      <c r="K2118" s="105" t="str">
        <f t="shared" si="75"/>
        <v>0003-1001-0022</v>
      </c>
      <c r="L2118" s="105" t="str">
        <f>VLOOKUP(K2118,COA!$A$3:$B$337,2,FALSE)</f>
        <v>V54</v>
      </c>
      <c r="M2118" s="105" t="str">
        <f t="shared" si="76"/>
        <v>V54</v>
      </c>
      <c r="N2118" s="105" t="str">
        <f>VLOOKUP(M2118,CAC!$A$2:$B$198,2,FALSE)</f>
        <v>PPOIFP</v>
      </c>
    </row>
    <row r="2119" spans="5:14" x14ac:dyDescent="0.25">
      <c r="E2119" s="83">
        <v>201611</v>
      </c>
      <c r="F2119" s="82" t="s">
        <v>746</v>
      </c>
      <c r="G2119" s="82" t="s">
        <v>356</v>
      </c>
      <c r="H2119" s="82" t="s">
        <v>344</v>
      </c>
      <c r="I2119" s="95">
        <v>134</v>
      </c>
      <c r="K2119" s="105" t="str">
        <f t="shared" si="75"/>
        <v>0016-1002-0012</v>
      </c>
      <c r="L2119" s="105" t="str">
        <f>VLOOKUP(K2119,COA!$A$3:$B$337,2,FALSE)</f>
        <v>R18</v>
      </c>
      <c r="M2119" s="105" t="str">
        <f t="shared" si="76"/>
        <v>R18</v>
      </c>
      <c r="N2119" s="105" t="str">
        <f>VLOOKUP(M2119,CAC!$A$2:$B$198,2,FALSE)</f>
        <v>HMOMG</v>
      </c>
    </row>
    <row r="2120" spans="5:14" x14ac:dyDescent="0.25">
      <c r="E2120" s="83">
        <v>201702</v>
      </c>
      <c r="F2120" s="82" t="s">
        <v>746</v>
      </c>
      <c r="G2120" s="82" t="s">
        <v>350</v>
      </c>
      <c r="H2120" s="82" t="s">
        <v>764</v>
      </c>
      <c r="I2120" s="95">
        <v>18</v>
      </c>
      <c r="K2120" s="105" t="str">
        <f t="shared" si="75"/>
        <v>0016-1012-0064</v>
      </c>
      <c r="L2120" s="105" t="str">
        <f>VLOOKUP(K2120,COA!$A$3:$B$337,2,FALSE)</f>
        <v>R25</v>
      </c>
      <c r="M2120" s="105" t="str">
        <f t="shared" si="76"/>
        <v>R25</v>
      </c>
      <c r="N2120" s="105" t="str">
        <f>VLOOKUP(M2120,CAC!$A$2:$B$198,2,FALSE)</f>
        <v>HMOMG</v>
      </c>
    </row>
    <row r="2121" spans="5:14" x14ac:dyDescent="0.25">
      <c r="E2121" s="83">
        <v>201611</v>
      </c>
      <c r="F2121" s="82" t="s">
        <v>349</v>
      </c>
      <c r="G2121" s="82" t="s">
        <v>369</v>
      </c>
      <c r="H2121" s="82" t="s">
        <v>344</v>
      </c>
      <c r="I2121" s="95">
        <v>39951</v>
      </c>
      <c r="K2121" s="105" t="str">
        <f t="shared" si="75"/>
        <v>0017-1009-0012</v>
      </c>
      <c r="L2121" s="105" t="str">
        <f>VLOOKUP(K2121,COA!$A$3:$B$337,2,FALSE)</f>
        <v>R12</v>
      </c>
      <c r="M2121" s="105" t="str">
        <f t="shared" si="76"/>
        <v>R12</v>
      </c>
      <c r="N2121" s="105" t="str">
        <f>VLOOKUP(M2121,CAC!$A$2:$B$198,2,FALSE)</f>
        <v>HMOMM</v>
      </c>
    </row>
    <row r="2122" spans="5:14" x14ac:dyDescent="0.25">
      <c r="E2122" s="83">
        <v>201511</v>
      </c>
      <c r="F2122" s="82" t="s">
        <v>345</v>
      </c>
      <c r="G2122" s="82" t="s">
        <v>362</v>
      </c>
      <c r="H2122" s="82" t="s">
        <v>363</v>
      </c>
      <c r="I2122" s="95">
        <v>59314.55</v>
      </c>
      <c r="K2122" s="105" t="str">
        <f t="shared" si="75"/>
        <v>0011-1008-0054</v>
      </c>
      <c r="L2122" s="105" t="str">
        <f>VLOOKUP(K2122,COA!$A$3:$B$337,2,FALSE)</f>
        <v>P23</v>
      </c>
      <c r="M2122" s="105" t="str">
        <f t="shared" si="76"/>
        <v>P23</v>
      </c>
      <c r="N2122" s="105" t="str">
        <f>VLOOKUP(M2122,CAC!$A$2:$B$198,2,FALSE)</f>
        <v>HMOPERN</v>
      </c>
    </row>
    <row r="2123" spans="5:14" x14ac:dyDescent="0.25">
      <c r="E2123" s="83">
        <v>201601</v>
      </c>
      <c r="F2123" s="82" t="s">
        <v>506</v>
      </c>
      <c r="G2123" s="82" t="s">
        <v>352</v>
      </c>
      <c r="H2123" s="82" t="s">
        <v>592</v>
      </c>
      <c r="I2123" s="95">
        <v>0</v>
      </c>
      <c r="K2123" s="105" t="str">
        <f t="shared" si="75"/>
        <v>0013-1004-0035</v>
      </c>
      <c r="L2123" s="105" t="str">
        <f>VLOOKUP(K2123,COA!$A$3:$B$337,2,FALSE)</f>
        <v>L41</v>
      </c>
      <c r="M2123" s="105" t="str">
        <f t="shared" si="76"/>
        <v>L41</v>
      </c>
      <c r="N2123" s="105" t="e">
        <f>VLOOKUP(M2123,CAC!$A$2:$B$198,2,FALSE)</f>
        <v>#N/A</v>
      </c>
    </row>
    <row r="2124" spans="5:14" x14ac:dyDescent="0.25">
      <c r="E2124" s="83">
        <v>201608</v>
      </c>
      <c r="F2124" s="82" t="s">
        <v>563</v>
      </c>
      <c r="G2124" s="82" t="s">
        <v>350</v>
      </c>
      <c r="H2124" s="82" t="s">
        <v>626</v>
      </c>
      <c r="I2124" s="95">
        <v>0</v>
      </c>
      <c r="K2124" s="105" t="str">
        <f t="shared" si="75"/>
        <v>0003-1012-0057</v>
      </c>
      <c r="L2124" s="105" t="str">
        <f>VLOOKUP(K2124,COA!$A$3:$B$337,2,FALSE)</f>
        <v>K51</v>
      </c>
      <c r="M2124" s="105" t="str">
        <f t="shared" si="76"/>
        <v>K51</v>
      </c>
      <c r="N2124" s="105" t="str">
        <f>VLOOKUP(M2124,CAC!$A$2:$B$198,2,FALSE)</f>
        <v>PPOPMR</v>
      </c>
    </row>
    <row r="2125" spans="5:14" x14ac:dyDescent="0.25">
      <c r="E2125" s="83">
        <v>201507</v>
      </c>
      <c r="F2125" s="82" t="s">
        <v>345</v>
      </c>
      <c r="G2125" s="82" t="s">
        <v>352</v>
      </c>
      <c r="H2125" s="82" t="s">
        <v>344</v>
      </c>
      <c r="I2125" s="95">
        <v>6964.68</v>
      </c>
      <c r="K2125" s="105" t="str">
        <f t="shared" si="75"/>
        <v>0011-1004-0012</v>
      </c>
      <c r="L2125" s="105" t="str">
        <f>VLOOKUP(K2125,COA!$A$3:$B$337,2,FALSE)</f>
        <v>L11</v>
      </c>
      <c r="M2125" s="105" t="str">
        <f t="shared" si="76"/>
        <v>L11</v>
      </c>
      <c r="N2125" s="105" t="str">
        <f>VLOOKUP(M2125,CAC!$A$2:$B$198,2,FALSE)</f>
        <v>HMOLG</v>
      </c>
    </row>
    <row r="2126" spans="5:14" x14ac:dyDescent="0.25">
      <c r="E2126" s="83">
        <v>201703</v>
      </c>
      <c r="F2126" s="82" t="s">
        <v>563</v>
      </c>
      <c r="G2126" s="82" t="s">
        <v>348</v>
      </c>
      <c r="H2126" s="82" t="s">
        <v>349</v>
      </c>
      <c r="I2126" s="95">
        <v>0</v>
      </c>
      <c r="K2126" s="105" t="str">
        <f t="shared" si="75"/>
        <v>0003-1010-0017</v>
      </c>
      <c r="L2126" s="105" t="str">
        <f>VLOOKUP(K2126,COA!$A$3:$B$337,2,FALSE)</f>
        <v>S51</v>
      </c>
      <c r="M2126" s="105" t="str">
        <f t="shared" si="76"/>
        <v>S51</v>
      </c>
      <c r="N2126" s="105" t="str">
        <f>VLOOKUP(M2126,CAC!$A$2:$B$198,2,FALSE)</f>
        <v>PPOSG</v>
      </c>
    </row>
    <row r="2127" spans="5:14" x14ac:dyDescent="0.25">
      <c r="E2127" s="83">
        <v>201511</v>
      </c>
      <c r="F2127" s="82" t="s">
        <v>345</v>
      </c>
      <c r="G2127" s="82" t="s">
        <v>362</v>
      </c>
      <c r="H2127" s="82" t="s">
        <v>364</v>
      </c>
      <c r="I2127" s="95">
        <v>39737.06</v>
      </c>
      <c r="K2127" s="105" t="str">
        <f t="shared" si="75"/>
        <v>0011-1008-0037</v>
      </c>
      <c r="L2127" s="105" t="str">
        <f>VLOOKUP(K2127,COA!$A$3:$B$337,2,FALSE)</f>
        <v>P12</v>
      </c>
      <c r="M2127" s="105" t="str">
        <f t="shared" si="76"/>
        <v>P12</v>
      </c>
      <c r="N2127" s="105" t="str">
        <f>VLOOKUP(M2127,CAC!$A$2:$B$198,2,FALSE)</f>
        <v>HMOPERA</v>
      </c>
    </row>
    <row r="2128" spans="5:14" x14ac:dyDescent="0.25">
      <c r="E2128" s="83">
        <v>201705</v>
      </c>
      <c r="F2128" s="82" t="s">
        <v>345</v>
      </c>
      <c r="G2128" s="82" t="s">
        <v>361</v>
      </c>
      <c r="H2128" s="82" t="s">
        <v>344</v>
      </c>
      <c r="I2128" s="95">
        <v>959</v>
      </c>
      <c r="K2128" s="105" t="str">
        <f t="shared" si="75"/>
        <v>0011-1003-0012</v>
      </c>
      <c r="L2128" s="105" t="str">
        <f>VLOOKUP(K2128,COA!$A$3:$B$337,2,FALSE)</f>
        <v>N16</v>
      </c>
      <c r="M2128" s="105" t="str">
        <f t="shared" si="76"/>
        <v>N16</v>
      </c>
      <c r="N2128" s="105" t="str">
        <f>VLOOKUP(M2128,CAC!$A$2:$B$198,2,FALSE)</f>
        <v>HMOPMR</v>
      </c>
    </row>
    <row r="2129" spans="5:14" x14ac:dyDescent="0.25">
      <c r="E2129" s="83">
        <v>201606</v>
      </c>
      <c r="F2129" s="82" t="s">
        <v>563</v>
      </c>
      <c r="G2129" s="82" t="s">
        <v>354</v>
      </c>
      <c r="H2129" s="82" t="s">
        <v>344</v>
      </c>
      <c r="I2129" s="95">
        <v>0</v>
      </c>
      <c r="K2129" s="105" t="str">
        <f t="shared" si="75"/>
        <v>0003-1013-0012</v>
      </c>
      <c r="L2129" s="105" t="str">
        <f>VLOOKUP(K2129,COA!$A$3:$B$337,2,FALSE)</f>
        <v>N55</v>
      </c>
      <c r="M2129" s="105" t="str">
        <f t="shared" si="76"/>
        <v>N55</v>
      </c>
      <c r="N2129" s="105" t="str">
        <f>VLOOKUP(M2129,CAC!$A$2:$B$198,2,FALSE)</f>
        <v>PPOPMR</v>
      </c>
    </row>
    <row r="2130" spans="5:14" x14ac:dyDescent="0.25">
      <c r="E2130" s="83">
        <v>201701</v>
      </c>
      <c r="F2130" s="82" t="s">
        <v>563</v>
      </c>
      <c r="G2130" s="82" t="s">
        <v>350</v>
      </c>
      <c r="H2130" s="82" t="s">
        <v>344</v>
      </c>
      <c r="I2130" s="95">
        <v>0</v>
      </c>
      <c r="K2130" s="105" t="str">
        <f t="shared" si="75"/>
        <v>0003-1012-0012</v>
      </c>
      <c r="L2130" s="105" t="str">
        <f>VLOOKUP(K2130,COA!$A$3:$B$337,2,FALSE)</f>
        <v>K51</v>
      </c>
      <c r="M2130" s="105" t="str">
        <f t="shared" si="76"/>
        <v>K51</v>
      </c>
      <c r="N2130" s="105" t="str">
        <f>VLOOKUP(M2130,CAC!$A$2:$B$198,2,FALSE)</f>
        <v>PPOPMR</v>
      </c>
    </row>
    <row r="2131" spans="5:14" x14ac:dyDescent="0.25">
      <c r="E2131" s="83">
        <v>201509</v>
      </c>
      <c r="F2131" s="82" t="s">
        <v>746</v>
      </c>
      <c r="G2131" s="82" t="s">
        <v>352</v>
      </c>
      <c r="H2131" s="82" t="s">
        <v>344</v>
      </c>
      <c r="I2131" s="95">
        <v>0</v>
      </c>
      <c r="K2131" s="105" t="str">
        <f t="shared" si="75"/>
        <v>0016-1004-0012</v>
      </c>
      <c r="L2131" s="105" t="str">
        <f>VLOOKUP(K2131,COA!$A$3:$B$337,2,FALSE)</f>
        <v>R20</v>
      </c>
      <c r="M2131" s="105" t="str">
        <f t="shared" si="76"/>
        <v>R20</v>
      </c>
      <c r="N2131" s="105" t="str">
        <f>VLOOKUP(M2131,CAC!$A$2:$B$198,2,FALSE)</f>
        <v>HMOMG</v>
      </c>
    </row>
    <row r="2132" spans="5:14" x14ac:dyDescent="0.25">
      <c r="E2132" s="83">
        <v>201611</v>
      </c>
      <c r="F2132" s="82" t="s">
        <v>563</v>
      </c>
      <c r="G2132" s="82" t="s">
        <v>355</v>
      </c>
      <c r="H2132" s="82" t="s">
        <v>344</v>
      </c>
      <c r="I2132" s="95">
        <v>0</v>
      </c>
      <c r="K2132" s="105" t="str">
        <f t="shared" si="75"/>
        <v>0003-1006-0012</v>
      </c>
      <c r="L2132" s="105" t="str">
        <f>VLOOKUP(K2132,COA!$A$3:$B$337,2,FALSE)</f>
        <v>L52</v>
      </c>
      <c r="M2132" s="105" t="str">
        <f t="shared" si="76"/>
        <v>L52</v>
      </c>
      <c r="N2132" s="105" t="str">
        <f>VLOOKUP(M2132,CAC!$A$2:$B$198,2,FALSE)</f>
        <v>PPOLG</v>
      </c>
    </row>
    <row r="2133" spans="5:14" x14ac:dyDescent="0.25">
      <c r="E2133" s="83">
        <v>201702</v>
      </c>
      <c r="F2133" s="82" t="s">
        <v>746</v>
      </c>
      <c r="G2133" s="82" t="s">
        <v>354</v>
      </c>
      <c r="H2133" s="82" t="s">
        <v>344</v>
      </c>
      <c r="I2133" s="95">
        <v>79</v>
      </c>
      <c r="K2133" s="105" t="str">
        <f t="shared" si="75"/>
        <v>0016-1013-0012</v>
      </c>
      <c r="L2133" s="105" t="str">
        <f>VLOOKUP(K2133,COA!$A$3:$B$337,2,FALSE)</f>
        <v>R19</v>
      </c>
      <c r="M2133" s="105" t="str">
        <f t="shared" si="76"/>
        <v>R19</v>
      </c>
      <c r="N2133" s="105" t="str">
        <f>VLOOKUP(M2133,CAC!$A$2:$B$198,2,FALSE)</f>
        <v>HMOMG</v>
      </c>
    </row>
    <row r="2134" spans="5:14" x14ac:dyDescent="0.25">
      <c r="E2134" s="83">
        <v>201503</v>
      </c>
      <c r="F2134" s="82" t="s">
        <v>746</v>
      </c>
      <c r="G2134" s="82" t="s">
        <v>356</v>
      </c>
      <c r="H2134" s="82" t="s">
        <v>344</v>
      </c>
      <c r="I2134" s="95">
        <v>124</v>
      </c>
      <c r="K2134" s="105" t="str">
        <f t="shared" si="75"/>
        <v>0016-1002-0012</v>
      </c>
      <c r="L2134" s="105" t="str">
        <f>VLOOKUP(K2134,COA!$A$3:$B$337,2,FALSE)</f>
        <v>R18</v>
      </c>
      <c r="M2134" s="105" t="str">
        <f t="shared" si="76"/>
        <v>R18</v>
      </c>
      <c r="N2134" s="105" t="str">
        <f>VLOOKUP(M2134,CAC!$A$2:$B$198,2,FALSE)</f>
        <v>HMOMG</v>
      </c>
    </row>
    <row r="2135" spans="5:14" x14ac:dyDescent="0.25">
      <c r="E2135" s="83">
        <v>201602</v>
      </c>
      <c r="F2135" s="82" t="s">
        <v>345</v>
      </c>
      <c r="G2135" s="82" t="s">
        <v>351</v>
      </c>
      <c r="H2135" s="82" t="s">
        <v>349</v>
      </c>
      <c r="I2135" s="95">
        <v>0</v>
      </c>
      <c r="K2135" s="105" t="str">
        <f t="shared" si="75"/>
        <v>0011-0000-0017</v>
      </c>
      <c r="L2135" s="105" t="e">
        <f>VLOOKUP(K2135,COA!$A$3:$B$337,2,FALSE)</f>
        <v>#N/A</v>
      </c>
      <c r="M2135" s="105" t="str">
        <f t="shared" si="76"/>
        <v>XXX</v>
      </c>
      <c r="N2135" s="105" t="str">
        <f>VLOOKUP(M2135,CAC!$A$2:$B$198,2,FALSE)</f>
        <v>XXX</v>
      </c>
    </row>
    <row r="2136" spans="5:14" x14ac:dyDescent="0.25">
      <c r="E2136" s="83">
        <v>201603</v>
      </c>
      <c r="F2136" s="82" t="s">
        <v>344</v>
      </c>
      <c r="G2136" s="82" t="s">
        <v>359</v>
      </c>
      <c r="H2136" s="82" t="s">
        <v>344</v>
      </c>
      <c r="I2136" s="95">
        <v>129</v>
      </c>
      <c r="K2136" s="105" t="str">
        <f t="shared" si="75"/>
        <v>0012-1005-0012</v>
      </c>
      <c r="L2136" s="105" t="str">
        <f>VLOOKUP(K2136,COA!$A$3:$B$337,2,FALSE)</f>
        <v>N13</v>
      </c>
      <c r="M2136" s="105" t="str">
        <f t="shared" si="76"/>
        <v>N13</v>
      </c>
      <c r="N2136" s="105" t="str">
        <f>VLOOKUP(M2136,CAC!$A$2:$B$198,2,FALSE)</f>
        <v>HMOLG</v>
      </c>
    </row>
    <row r="2137" spans="5:14" x14ac:dyDescent="0.25">
      <c r="E2137" s="83">
        <v>201607</v>
      </c>
      <c r="F2137" s="82" t="s">
        <v>413</v>
      </c>
      <c r="G2137" s="82" t="s">
        <v>359</v>
      </c>
      <c r="H2137" s="82" t="s">
        <v>344</v>
      </c>
      <c r="I2137" s="95">
        <v>0</v>
      </c>
      <c r="K2137" s="105" t="str">
        <f t="shared" si="75"/>
        <v>0008-1005-0012</v>
      </c>
      <c r="L2137" s="105" t="str">
        <f>VLOOKUP(K2137,COA!$A$3:$B$337,2,FALSE)</f>
        <v>C73</v>
      </c>
      <c r="M2137" s="105" t="str">
        <f t="shared" si="76"/>
        <v>C73</v>
      </c>
      <c r="N2137" s="105" t="str">
        <f>VLOOKUP(M2137,CAC!$A$2:$B$198,2,FALSE)</f>
        <v>DOILG</v>
      </c>
    </row>
    <row r="2138" spans="5:14" x14ac:dyDescent="0.25">
      <c r="E2138" s="83">
        <v>201605</v>
      </c>
      <c r="F2138" s="82" t="s">
        <v>563</v>
      </c>
      <c r="G2138" s="82" t="s">
        <v>356</v>
      </c>
      <c r="H2138" s="82" t="s">
        <v>344</v>
      </c>
      <c r="I2138" s="95">
        <v>0</v>
      </c>
      <c r="K2138" s="105" t="str">
        <f t="shared" si="75"/>
        <v>0003-1002-0012</v>
      </c>
      <c r="L2138" s="105" t="str">
        <f>VLOOKUP(K2138,COA!$A$3:$B$337,2,FALSE)</f>
        <v>F61</v>
      </c>
      <c r="M2138" s="105" t="str">
        <f t="shared" si="76"/>
        <v>F61</v>
      </c>
      <c r="N2138" s="105" t="str">
        <f>VLOOKUP(M2138,CAC!$A$2:$B$198,2,FALSE)</f>
        <v>PPOPMR</v>
      </c>
    </row>
    <row r="2139" spans="5:14" x14ac:dyDescent="0.25">
      <c r="E2139" s="83">
        <v>201508</v>
      </c>
      <c r="F2139" s="82" t="s">
        <v>344</v>
      </c>
      <c r="G2139" s="82" t="s">
        <v>352</v>
      </c>
      <c r="H2139" s="82" t="s">
        <v>344</v>
      </c>
      <c r="I2139" s="95">
        <v>264</v>
      </c>
      <c r="K2139" s="105" t="str">
        <f t="shared" si="75"/>
        <v>0012-1004-0012</v>
      </c>
      <c r="L2139" s="105" t="str">
        <f>VLOOKUP(K2139,COA!$A$3:$B$337,2,FALSE)</f>
        <v>L12</v>
      </c>
      <c r="M2139" s="105" t="str">
        <f t="shared" si="76"/>
        <v>L12</v>
      </c>
      <c r="N2139" s="105" t="str">
        <f>VLOOKUP(M2139,CAC!$A$2:$B$198,2,FALSE)</f>
        <v>HMOLG</v>
      </c>
    </row>
    <row r="2140" spans="5:14" x14ac:dyDescent="0.25">
      <c r="E2140" s="83">
        <v>201709</v>
      </c>
      <c r="F2140" s="82" t="s">
        <v>345</v>
      </c>
      <c r="G2140" s="82" t="s">
        <v>365</v>
      </c>
      <c r="H2140" s="82" t="s">
        <v>367</v>
      </c>
      <c r="I2140" s="95">
        <v>814.47</v>
      </c>
      <c r="K2140" s="105" t="str">
        <f t="shared" si="75"/>
        <v>0011-1001-0022</v>
      </c>
      <c r="L2140" s="105" t="str">
        <f>VLOOKUP(K2140,COA!$A$3:$B$337,2,FALSE)</f>
        <v>V14</v>
      </c>
      <c r="M2140" s="105" t="str">
        <f t="shared" si="76"/>
        <v>V14</v>
      </c>
      <c r="N2140" s="105" t="str">
        <f>VLOOKUP(M2140,CAC!$A$2:$B$198,2,FALSE)</f>
        <v>HMOIFP</v>
      </c>
    </row>
    <row r="2141" spans="5:14" x14ac:dyDescent="0.25">
      <c r="E2141" s="83">
        <v>201711</v>
      </c>
      <c r="F2141" s="82" t="s">
        <v>349</v>
      </c>
      <c r="G2141" s="82" t="s">
        <v>369</v>
      </c>
      <c r="H2141" s="82" t="s">
        <v>344</v>
      </c>
      <c r="I2141" s="95">
        <v>44043</v>
      </c>
      <c r="K2141" s="105" t="str">
        <f t="shared" si="75"/>
        <v>0017-1009-0012</v>
      </c>
      <c r="L2141" s="105" t="str">
        <f>VLOOKUP(K2141,COA!$A$3:$B$337,2,FALSE)</f>
        <v>R12</v>
      </c>
      <c r="M2141" s="105" t="str">
        <f t="shared" si="76"/>
        <v>R12</v>
      </c>
      <c r="N2141" s="105" t="str">
        <f>VLOOKUP(M2141,CAC!$A$2:$B$198,2,FALSE)</f>
        <v>HMOMM</v>
      </c>
    </row>
    <row r="2142" spans="5:14" x14ac:dyDescent="0.25">
      <c r="E2142" s="83">
        <v>201612</v>
      </c>
      <c r="F2142" s="82" t="s">
        <v>344</v>
      </c>
      <c r="G2142" s="82" t="s">
        <v>361</v>
      </c>
      <c r="H2142" s="82" t="s">
        <v>344</v>
      </c>
      <c r="I2142" s="95">
        <v>9537.26</v>
      </c>
      <c r="K2142" s="105" t="str">
        <f t="shared" si="75"/>
        <v>0012-1003-0012</v>
      </c>
      <c r="L2142" s="105" t="str">
        <f>VLOOKUP(K2142,COA!$A$3:$B$337,2,FALSE)</f>
        <v>N15</v>
      </c>
      <c r="M2142" s="105" t="str">
        <f t="shared" si="76"/>
        <v>N15</v>
      </c>
      <c r="N2142" s="105" t="str">
        <f>VLOOKUP(M2142,CAC!$A$2:$B$198,2,FALSE)</f>
        <v>HMOPMR</v>
      </c>
    </row>
    <row r="2143" spans="5:14" x14ac:dyDescent="0.25">
      <c r="E2143" s="83">
        <v>201602</v>
      </c>
      <c r="F2143" s="82" t="s">
        <v>506</v>
      </c>
      <c r="G2143" s="82" t="s">
        <v>359</v>
      </c>
      <c r="H2143" s="82" t="s">
        <v>592</v>
      </c>
      <c r="I2143" s="95">
        <v>0</v>
      </c>
      <c r="K2143" s="105" t="str">
        <f t="shared" si="75"/>
        <v>0013-1005-0035</v>
      </c>
      <c r="L2143" s="105" t="str">
        <f>VLOOKUP(K2143,COA!$A$3:$B$337,2,FALSE)</f>
        <v>N41</v>
      </c>
      <c r="M2143" s="105" t="str">
        <f t="shared" si="76"/>
        <v>N41</v>
      </c>
      <c r="N2143" s="105" t="e">
        <f>VLOOKUP(M2143,CAC!$A$2:$B$198,2,FALSE)</f>
        <v>#N/A</v>
      </c>
    </row>
    <row r="2144" spans="5:14" x14ac:dyDescent="0.25">
      <c r="E2144" s="83">
        <v>201706</v>
      </c>
      <c r="F2144" s="82" t="s">
        <v>344</v>
      </c>
      <c r="G2144" s="82" t="s">
        <v>354</v>
      </c>
      <c r="H2144" s="82" t="s">
        <v>344</v>
      </c>
      <c r="I2144" s="95">
        <v>286</v>
      </c>
      <c r="K2144" s="105" t="str">
        <f t="shared" si="75"/>
        <v>0012-1013-0012</v>
      </c>
      <c r="L2144" s="105" t="str">
        <f>VLOOKUP(K2144,COA!$A$3:$B$337,2,FALSE)</f>
        <v>N14</v>
      </c>
      <c r="M2144" s="105" t="str">
        <f t="shared" si="76"/>
        <v>N14</v>
      </c>
      <c r="N2144" s="105" t="str">
        <f>VLOOKUP(M2144,CAC!$A$2:$B$198,2,FALSE)</f>
        <v>HMOPMR</v>
      </c>
    </row>
    <row r="2145" spans="5:14" x14ac:dyDescent="0.25">
      <c r="E2145" s="83">
        <v>201708</v>
      </c>
      <c r="F2145" s="82" t="s">
        <v>746</v>
      </c>
      <c r="G2145" s="82" t="s">
        <v>354</v>
      </c>
      <c r="H2145" s="82" t="s">
        <v>344</v>
      </c>
      <c r="I2145" s="95">
        <v>80</v>
      </c>
      <c r="K2145" s="105" t="str">
        <f t="shared" si="75"/>
        <v>0016-1013-0012</v>
      </c>
      <c r="L2145" s="105" t="str">
        <f>VLOOKUP(K2145,COA!$A$3:$B$337,2,FALSE)</f>
        <v>R19</v>
      </c>
      <c r="M2145" s="105" t="str">
        <f t="shared" si="76"/>
        <v>R19</v>
      </c>
      <c r="N2145" s="105" t="str">
        <f>VLOOKUP(M2145,CAC!$A$2:$B$198,2,FALSE)</f>
        <v>HMOMG</v>
      </c>
    </row>
    <row r="2146" spans="5:14" x14ac:dyDescent="0.25">
      <c r="E2146" s="83">
        <v>201512</v>
      </c>
      <c r="F2146" s="82" t="s">
        <v>345</v>
      </c>
      <c r="G2146" s="82" t="s">
        <v>362</v>
      </c>
      <c r="H2146" s="82" t="s">
        <v>363</v>
      </c>
      <c r="I2146" s="95">
        <v>59049.08</v>
      </c>
      <c r="K2146" s="105" t="str">
        <f t="shared" si="75"/>
        <v>0011-1008-0054</v>
      </c>
      <c r="L2146" s="105" t="str">
        <f>VLOOKUP(K2146,COA!$A$3:$B$337,2,FALSE)</f>
        <v>P23</v>
      </c>
      <c r="M2146" s="105" t="str">
        <f t="shared" si="76"/>
        <v>P23</v>
      </c>
      <c r="N2146" s="105" t="str">
        <f>VLOOKUP(M2146,CAC!$A$2:$B$198,2,FALSE)</f>
        <v>HMOPERN</v>
      </c>
    </row>
    <row r="2147" spans="5:14" x14ac:dyDescent="0.25">
      <c r="E2147" s="83">
        <v>201701</v>
      </c>
      <c r="F2147" s="82" t="s">
        <v>345</v>
      </c>
      <c r="G2147" s="82" t="s">
        <v>362</v>
      </c>
      <c r="H2147" s="82" t="s">
        <v>364</v>
      </c>
      <c r="I2147" s="95">
        <v>48456.800000000003</v>
      </c>
      <c r="K2147" s="105" t="str">
        <f t="shared" si="75"/>
        <v>0011-1008-0037</v>
      </c>
      <c r="L2147" s="105" t="str">
        <f>VLOOKUP(K2147,COA!$A$3:$B$337,2,FALSE)</f>
        <v>P12</v>
      </c>
      <c r="M2147" s="105" t="str">
        <f t="shared" si="76"/>
        <v>P12</v>
      </c>
      <c r="N2147" s="105" t="str">
        <f>VLOOKUP(M2147,CAC!$A$2:$B$198,2,FALSE)</f>
        <v>HMOPERA</v>
      </c>
    </row>
    <row r="2148" spans="5:14" x14ac:dyDescent="0.25">
      <c r="E2148" s="83">
        <v>201605</v>
      </c>
      <c r="F2148" s="82" t="s">
        <v>563</v>
      </c>
      <c r="G2148" s="82" t="s">
        <v>361</v>
      </c>
      <c r="H2148" s="82" t="s">
        <v>344</v>
      </c>
      <c r="I2148" s="95">
        <v>0</v>
      </c>
      <c r="K2148" s="105" t="str">
        <f t="shared" si="75"/>
        <v>0003-1003-0012</v>
      </c>
      <c r="L2148" s="105" t="str">
        <f>VLOOKUP(K2148,COA!$A$3:$B$337,2,FALSE)</f>
        <v>N61</v>
      </c>
      <c r="M2148" s="105" t="str">
        <f t="shared" si="76"/>
        <v>N61</v>
      </c>
      <c r="N2148" s="105" t="str">
        <f>VLOOKUP(M2148,CAC!$A$2:$B$198,2,FALSE)</f>
        <v>PPOPMR</v>
      </c>
    </row>
    <row r="2149" spans="5:14" x14ac:dyDescent="0.25">
      <c r="E2149" s="83">
        <v>201601</v>
      </c>
      <c r="F2149" s="82" t="s">
        <v>349</v>
      </c>
      <c r="G2149" s="82" t="s">
        <v>369</v>
      </c>
      <c r="H2149" s="82" t="s">
        <v>764</v>
      </c>
      <c r="I2149" s="95">
        <v>3</v>
      </c>
      <c r="K2149" s="105" t="str">
        <f t="shared" si="75"/>
        <v>0017-1009-0064</v>
      </c>
      <c r="L2149" s="105" t="str">
        <f>VLOOKUP(K2149,COA!$A$3:$B$337,2,FALSE)</f>
        <v>R15</v>
      </c>
      <c r="M2149" s="105" t="str">
        <f t="shared" si="76"/>
        <v>R15</v>
      </c>
      <c r="N2149" s="105" t="str">
        <f>VLOOKUP(M2149,CAC!$A$2:$B$198,2,FALSE)</f>
        <v>HMOMM</v>
      </c>
    </row>
    <row r="2150" spans="5:14" x14ac:dyDescent="0.25">
      <c r="E2150" s="83">
        <v>201506</v>
      </c>
      <c r="F2150" s="82" t="s">
        <v>345</v>
      </c>
      <c r="G2150" s="82" t="s">
        <v>354</v>
      </c>
      <c r="H2150" s="82" t="s">
        <v>344</v>
      </c>
      <c r="I2150" s="95">
        <v>89.6</v>
      </c>
      <c r="K2150" s="105" t="str">
        <f t="shared" si="75"/>
        <v>0011-1013-0012</v>
      </c>
      <c r="L2150" s="105" t="str">
        <f>VLOOKUP(K2150,COA!$A$3:$B$337,2,FALSE)</f>
        <v>N20</v>
      </c>
      <c r="M2150" s="105" t="str">
        <f t="shared" si="76"/>
        <v>N20</v>
      </c>
      <c r="N2150" s="105" t="str">
        <f>VLOOKUP(M2150,CAC!$A$2:$B$198,2,FALSE)</f>
        <v>HMOPMR</v>
      </c>
    </row>
    <row r="2151" spans="5:14" x14ac:dyDescent="0.25">
      <c r="E2151" s="83">
        <v>201612</v>
      </c>
      <c r="F2151" s="82" t="s">
        <v>345</v>
      </c>
      <c r="G2151" s="82" t="s">
        <v>352</v>
      </c>
      <c r="H2151" s="82" t="s">
        <v>344</v>
      </c>
      <c r="I2151" s="95">
        <v>10671.97</v>
      </c>
      <c r="K2151" s="105" t="str">
        <f t="shared" si="75"/>
        <v>0011-1004-0012</v>
      </c>
      <c r="L2151" s="105" t="str">
        <f>VLOOKUP(K2151,COA!$A$3:$B$337,2,FALSE)</f>
        <v>L11</v>
      </c>
      <c r="M2151" s="105" t="str">
        <f t="shared" si="76"/>
        <v>L11</v>
      </c>
      <c r="N2151" s="105" t="str">
        <f>VLOOKUP(M2151,CAC!$A$2:$B$198,2,FALSE)</f>
        <v>HMOLG</v>
      </c>
    </row>
    <row r="2152" spans="5:14" x14ac:dyDescent="0.25">
      <c r="E2152" s="83">
        <v>201602</v>
      </c>
      <c r="F2152" s="82" t="s">
        <v>563</v>
      </c>
      <c r="G2152" s="82" t="s">
        <v>365</v>
      </c>
      <c r="H2152" s="82" t="s">
        <v>366</v>
      </c>
      <c r="I2152" s="95">
        <v>0</v>
      </c>
      <c r="K2152" s="105" t="str">
        <f t="shared" si="75"/>
        <v>0003-1001-0021</v>
      </c>
      <c r="L2152" s="105" t="str">
        <f>VLOOKUP(K2152,COA!$A$3:$B$337,2,FALSE)</f>
        <v>V53</v>
      </c>
      <c r="M2152" s="105" t="str">
        <f t="shared" si="76"/>
        <v>V53</v>
      </c>
      <c r="N2152" s="105" t="str">
        <f>VLOOKUP(M2152,CAC!$A$2:$B$198,2,FALSE)</f>
        <v>PPOIFP</v>
      </c>
    </row>
    <row r="2153" spans="5:14" x14ac:dyDescent="0.25">
      <c r="E2153" s="83">
        <v>201507</v>
      </c>
      <c r="F2153" s="82" t="s">
        <v>746</v>
      </c>
      <c r="G2153" s="82" t="s">
        <v>362</v>
      </c>
      <c r="H2153" s="82" t="s">
        <v>364</v>
      </c>
      <c r="I2153" s="95">
        <v>5876</v>
      </c>
      <c r="K2153" s="105" t="str">
        <f t="shared" si="75"/>
        <v>0016-1008-0037</v>
      </c>
      <c r="L2153" s="105" t="str">
        <f>VLOOKUP(K2153,COA!$A$3:$B$337,2,FALSE)</f>
        <v>R24</v>
      </c>
      <c r="M2153" s="105" t="str">
        <f t="shared" si="76"/>
        <v>R24</v>
      </c>
      <c r="N2153" s="105" t="str">
        <f>VLOOKUP(M2153,CAC!$A$2:$B$198,2,FALSE)</f>
        <v>PERMAPD</v>
      </c>
    </row>
    <row r="2154" spans="5:14" x14ac:dyDescent="0.25">
      <c r="E2154" s="83">
        <v>201705</v>
      </c>
      <c r="F2154" s="82" t="s">
        <v>746</v>
      </c>
      <c r="G2154" s="82" t="s">
        <v>356</v>
      </c>
      <c r="H2154" s="82" t="s">
        <v>764</v>
      </c>
      <c r="I2154" s="95">
        <v>637</v>
      </c>
      <c r="K2154" s="105" t="str">
        <f t="shared" si="75"/>
        <v>0016-1002-0064</v>
      </c>
      <c r="L2154" s="105" t="str">
        <f>VLOOKUP(K2154,COA!$A$3:$B$337,2,FALSE)</f>
        <v>R25</v>
      </c>
      <c r="M2154" s="105" t="str">
        <f t="shared" si="76"/>
        <v>R25</v>
      </c>
      <c r="N2154" s="105" t="str">
        <f>VLOOKUP(M2154,CAC!$A$2:$B$198,2,FALSE)</f>
        <v>HMOMG</v>
      </c>
    </row>
    <row r="2155" spans="5:14" x14ac:dyDescent="0.25">
      <c r="E2155" s="83">
        <v>201801</v>
      </c>
      <c r="F2155" s="82" t="s">
        <v>746</v>
      </c>
      <c r="G2155" s="82" t="s">
        <v>356</v>
      </c>
      <c r="H2155" s="82" t="s">
        <v>344</v>
      </c>
      <c r="I2155" s="95">
        <v>133</v>
      </c>
      <c r="K2155" s="105" t="str">
        <f t="shared" si="75"/>
        <v>0016-1002-0012</v>
      </c>
      <c r="L2155" s="105" t="str">
        <f>VLOOKUP(K2155,COA!$A$3:$B$337,2,FALSE)</f>
        <v>R18</v>
      </c>
      <c r="M2155" s="105" t="str">
        <f t="shared" si="76"/>
        <v>R18</v>
      </c>
      <c r="N2155" s="105" t="str">
        <f>VLOOKUP(M2155,CAC!$A$2:$B$198,2,FALSE)</f>
        <v>HMOMG</v>
      </c>
    </row>
    <row r="2156" spans="5:14" x14ac:dyDescent="0.25">
      <c r="E2156" s="83">
        <v>201504</v>
      </c>
      <c r="F2156" s="82" t="s">
        <v>345</v>
      </c>
      <c r="G2156" s="82" t="s">
        <v>351</v>
      </c>
      <c r="H2156" s="82" t="s">
        <v>353</v>
      </c>
      <c r="I2156" s="95">
        <v>1</v>
      </c>
      <c r="K2156" s="105" t="str">
        <f t="shared" si="75"/>
        <v>0011-0000-0023</v>
      </c>
      <c r="L2156" s="105" t="e">
        <f>VLOOKUP(K2156,COA!$A$3:$B$337,2,FALSE)</f>
        <v>#N/A</v>
      </c>
      <c r="M2156" s="105" t="str">
        <f t="shared" si="76"/>
        <v>XXX</v>
      </c>
      <c r="N2156" s="105" t="str">
        <f>VLOOKUP(M2156,CAC!$A$2:$B$198,2,FALSE)</f>
        <v>XXX</v>
      </c>
    </row>
    <row r="2157" spans="5:14" x14ac:dyDescent="0.25">
      <c r="E2157" s="83">
        <v>201608</v>
      </c>
      <c r="F2157" s="82" t="s">
        <v>563</v>
      </c>
      <c r="G2157" s="82" t="s">
        <v>365</v>
      </c>
      <c r="H2157" s="82" t="s">
        <v>366</v>
      </c>
      <c r="I2157" s="95">
        <v>0</v>
      </c>
      <c r="K2157" s="105" t="str">
        <f t="shared" si="75"/>
        <v>0003-1001-0021</v>
      </c>
      <c r="L2157" s="105" t="str">
        <f>VLOOKUP(K2157,COA!$A$3:$B$337,2,FALSE)</f>
        <v>V53</v>
      </c>
      <c r="M2157" s="105" t="str">
        <f t="shared" si="76"/>
        <v>V53</v>
      </c>
      <c r="N2157" s="105" t="str">
        <f>VLOOKUP(M2157,CAC!$A$2:$B$198,2,FALSE)</f>
        <v>PPOIFP</v>
      </c>
    </row>
    <row r="2158" spans="5:14" x14ac:dyDescent="0.25">
      <c r="E2158" s="83">
        <v>201502</v>
      </c>
      <c r="F2158" s="82" t="s">
        <v>345</v>
      </c>
      <c r="G2158" s="82" t="s">
        <v>348</v>
      </c>
      <c r="H2158" s="82" t="s">
        <v>349</v>
      </c>
      <c r="I2158" s="95">
        <v>16888.93</v>
      </c>
      <c r="K2158" s="105" t="str">
        <f t="shared" si="75"/>
        <v>0011-1010-0017</v>
      </c>
      <c r="L2158" s="105" t="str">
        <f>VLOOKUP(K2158,COA!$A$3:$B$337,2,FALSE)</f>
        <v>S11</v>
      </c>
      <c r="M2158" s="105" t="str">
        <f t="shared" si="76"/>
        <v>S11</v>
      </c>
      <c r="N2158" s="105" t="str">
        <f>VLOOKUP(M2158,CAC!$A$2:$B$198,2,FALSE)</f>
        <v>HMOSG</v>
      </c>
    </row>
    <row r="2159" spans="5:14" x14ac:dyDescent="0.25">
      <c r="E2159" s="83">
        <v>201703</v>
      </c>
      <c r="F2159" s="82" t="s">
        <v>344</v>
      </c>
      <c r="G2159" s="82" t="s">
        <v>352</v>
      </c>
      <c r="H2159" s="82" t="s">
        <v>360</v>
      </c>
      <c r="I2159" s="95">
        <v>216</v>
      </c>
      <c r="K2159" s="105" t="str">
        <f t="shared" si="75"/>
        <v>0012-1004-0048</v>
      </c>
      <c r="L2159" s="105" t="str">
        <f>VLOOKUP(K2159,COA!$A$3:$B$337,2,FALSE)</f>
        <v>L22</v>
      </c>
      <c r="M2159" s="105" t="str">
        <f t="shared" si="76"/>
        <v>L22</v>
      </c>
      <c r="N2159" s="105" t="str">
        <f>VLOOKUP(M2159,CAC!$A$2:$B$198,2,FALSE)</f>
        <v>HMFLEX</v>
      </c>
    </row>
    <row r="2160" spans="5:14" x14ac:dyDescent="0.25">
      <c r="E2160" s="83">
        <v>201701</v>
      </c>
      <c r="F2160" s="82" t="s">
        <v>563</v>
      </c>
      <c r="G2160" s="82" t="s">
        <v>352</v>
      </c>
      <c r="H2160" s="82" t="s">
        <v>344</v>
      </c>
      <c r="I2160" s="95">
        <v>0</v>
      </c>
      <c r="K2160" s="105" t="str">
        <f t="shared" si="75"/>
        <v>0003-1004-0012</v>
      </c>
      <c r="L2160" s="105" t="str">
        <f>VLOOKUP(K2160,COA!$A$3:$B$337,2,FALSE)</f>
        <v>L51</v>
      </c>
      <c r="M2160" s="105" t="str">
        <f t="shared" si="76"/>
        <v>L51</v>
      </c>
      <c r="N2160" s="105" t="str">
        <f>VLOOKUP(M2160,CAC!$A$2:$B$198,2,FALSE)</f>
        <v>PPOLG</v>
      </c>
    </row>
    <row r="2161" spans="5:14" x14ac:dyDescent="0.25">
      <c r="E2161" s="83">
        <v>201703</v>
      </c>
      <c r="F2161" s="82" t="s">
        <v>345</v>
      </c>
      <c r="G2161" s="82" t="s">
        <v>354</v>
      </c>
      <c r="H2161" s="82" t="s">
        <v>360</v>
      </c>
      <c r="I2161" s="95">
        <v>5131</v>
      </c>
      <c r="K2161" s="105" t="str">
        <f t="shared" si="75"/>
        <v>0011-1013-0048</v>
      </c>
      <c r="L2161" s="105" t="str">
        <f>VLOOKUP(K2161,COA!$A$3:$B$337,2,FALSE)</f>
        <v>N21</v>
      </c>
      <c r="M2161" s="105" t="str">
        <f t="shared" si="76"/>
        <v>N21</v>
      </c>
      <c r="N2161" s="105" t="str">
        <f>VLOOKUP(M2161,CAC!$A$2:$B$198,2,FALSE)</f>
        <v>HMFLEX</v>
      </c>
    </row>
    <row r="2162" spans="5:14" x14ac:dyDescent="0.25">
      <c r="E2162" s="83">
        <v>201512</v>
      </c>
      <c r="F2162" s="82" t="s">
        <v>524</v>
      </c>
      <c r="G2162" s="82" t="s">
        <v>356</v>
      </c>
      <c r="H2162" s="82" t="s">
        <v>672</v>
      </c>
      <c r="I2162" s="95">
        <v>0</v>
      </c>
      <c r="K2162" s="105" t="str">
        <f t="shared" si="75"/>
        <v>0025-1002-0058</v>
      </c>
      <c r="L2162" s="105" t="str">
        <f>VLOOKUP(K2162,COA!$A$3:$B$337,2,FALSE)</f>
        <v>L45</v>
      </c>
      <c r="M2162" s="105" t="str">
        <f t="shared" si="76"/>
        <v>L45</v>
      </c>
      <c r="N2162" s="105" t="e">
        <f>VLOOKUP(M2162,CAC!$A$2:$B$198,2,FALSE)</f>
        <v>#N/A</v>
      </c>
    </row>
    <row r="2163" spans="5:14" x14ac:dyDescent="0.25">
      <c r="E2163" s="83">
        <v>201702</v>
      </c>
      <c r="F2163" s="82" t="s">
        <v>506</v>
      </c>
      <c r="G2163" s="82" t="s">
        <v>350</v>
      </c>
      <c r="H2163" s="82" t="s">
        <v>592</v>
      </c>
      <c r="I2163" s="95">
        <v>0</v>
      </c>
      <c r="K2163" s="105" t="str">
        <f t="shared" si="75"/>
        <v>0013-1012-0035</v>
      </c>
      <c r="L2163" s="105" t="str">
        <f>VLOOKUP(K2163,COA!$A$3:$B$337,2,FALSE)</f>
        <v>K41</v>
      </c>
      <c r="M2163" s="105" t="str">
        <f t="shared" si="76"/>
        <v>K41</v>
      </c>
      <c r="N2163" s="105" t="e">
        <f>VLOOKUP(M2163,CAC!$A$2:$B$198,2,FALSE)</f>
        <v>#N/A</v>
      </c>
    </row>
    <row r="2164" spans="5:14" x14ac:dyDescent="0.25">
      <c r="E2164" s="83">
        <v>201505</v>
      </c>
      <c r="F2164" s="82" t="s">
        <v>345</v>
      </c>
      <c r="G2164" s="82" t="s">
        <v>351</v>
      </c>
      <c r="H2164" s="82" t="s">
        <v>349</v>
      </c>
      <c r="I2164" s="95">
        <v>1</v>
      </c>
      <c r="K2164" s="105" t="str">
        <f t="shared" si="75"/>
        <v>0011-0000-0017</v>
      </c>
      <c r="L2164" s="105" t="e">
        <f>VLOOKUP(K2164,COA!$A$3:$B$337,2,FALSE)</f>
        <v>#N/A</v>
      </c>
      <c r="M2164" s="105" t="str">
        <f t="shared" si="76"/>
        <v>XXX</v>
      </c>
      <c r="N2164" s="105" t="str">
        <f>VLOOKUP(M2164,CAC!$A$2:$B$198,2,FALSE)</f>
        <v>XXX</v>
      </c>
    </row>
    <row r="2165" spans="5:14" x14ac:dyDescent="0.25">
      <c r="E2165" s="83">
        <v>201510</v>
      </c>
      <c r="F2165" s="82" t="s">
        <v>345</v>
      </c>
      <c r="G2165" s="82" t="s">
        <v>359</v>
      </c>
      <c r="H2165" s="82" t="s">
        <v>344</v>
      </c>
      <c r="I2165" s="95">
        <v>3080.65</v>
      </c>
      <c r="K2165" s="105" t="str">
        <f t="shared" si="75"/>
        <v>0011-1005-0012</v>
      </c>
      <c r="L2165" s="105" t="str">
        <f>VLOOKUP(K2165,COA!$A$3:$B$337,2,FALSE)</f>
        <v>N11</v>
      </c>
      <c r="M2165" s="105" t="str">
        <f t="shared" si="76"/>
        <v>N11</v>
      </c>
      <c r="N2165" s="105" t="str">
        <f>VLOOKUP(M2165,CAC!$A$2:$B$198,2,FALSE)</f>
        <v>HMOLG</v>
      </c>
    </row>
    <row r="2166" spans="5:14" x14ac:dyDescent="0.25">
      <c r="E2166" s="83">
        <v>201704</v>
      </c>
      <c r="F2166" s="82" t="s">
        <v>563</v>
      </c>
      <c r="G2166" s="82" t="s">
        <v>348</v>
      </c>
      <c r="H2166" s="82" t="s">
        <v>353</v>
      </c>
      <c r="I2166" s="95">
        <v>0</v>
      </c>
      <c r="K2166" s="105" t="str">
        <f t="shared" si="75"/>
        <v>0003-1010-0023</v>
      </c>
      <c r="L2166" s="105" t="str">
        <f>VLOOKUP(K2166,COA!$A$3:$B$337,2,FALSE)</f>
        <v>S54</v>
      </c>
      <c r="M2166" s="105" t="str">
        <f t="shared" si="76"/>
        <v>S54</v>
      </c>
      <c r="N2166" s="105" t="str">
        <f>VLOOKUP(M2166,CAC!$A$2:$B$198,2,FALSE)</f>
        <v>PPOSG</v>
      </c>
    </row>
    <row r="2167" spans="5:14" x14ac:dyDescent="0.25">
      <c r="E2167" s="83">
        <v>201512</v>
      </c>
      <c r="F2167" s="82" t="s">
        <v>549</v>
      </c>
      <c r="G2167" s="82" t="s">
        <v>356</v>
      </c>
      <c r="H2167" s="82" t="s">
        <v>672</v>
      </c>
      <c r="I2167" s="95">
        <v>0</v>
      </c>
      <c r="K2167" s="105" t="str">
        <f t="shared" si="75"/>
        <v>0026-1002-0058</v>
      </c>
      <c r="L2167" s="105" t="str">
        <f>VLOOKUP(K2167,COA!$A$3:$B$337,2,FALSE)</f>
        <v>L45</v>
      </c>
      <c r="M2167" s="105" t="str">
        <f t="shared" si="76"/>
        <v>L45</v>
      </c>
      <c r="N2167" s="105" t="e">
        <f>VLOOKUP(M2167,CAC!$A$2:$B$198,2,FALSE)</f>
        <v>#N/A</v>
      </c>
    </row>
    <row r="2168" spans="5:14" x14ac:dyDescent="0.25">
      <c r="E2168" s="83">
        <v>201712</v>
      </c>
      <c r="F2168" s="82" t="s">
        <v>345</v>
      </c>
      <c r="G2168" s="82" t="s">
        <v>346</v>
      </c>
      <c r="H2168" s="82" t="s">
        <v>360</v>
      </c>
      <c r="I2168" s="95">
        <v>333</v>
      </c>
      <c r="K2168" s="105" t="str">
        <f t="shared" si="75"/>
        <v>0011-1014-0048</v>
      </c>
      <c r="L2168" s="105" t="str">
        <f>VLOOKUP(K2168,COA!$A$3:$B$337,2,FALSE)</f>
        <v>K23</v>
      </c>
      <c r="M2168" s="105" t="str">
        <f t="shared" si="76"/>
        <v>K23</v>
      </c>
      <c r="N2168" s="105" t="str">
        <f>VLOOKUP(M2168,CAC!$A$2:$B$198,2,FALSE)</f>
        <v>HMFLEX</v>
      </c>
    </row>
    <row r="2169" spans="5:14" x14ac:dyDescent="0.25">
      <c r="E2169" s="83">
        <v>201511</v>
      </c>
      <c r="F2169" s="82" t="s">
        <v>563</v>
      </c>
      <c r="G2169" s="82" t="s">
        <v>354</v>
      </c>
      <c r="H2169" s="82" t="s">
        <v>626</v>
      </c>
      <c r="I2169" s="95">
        <v>0</v>
      </c>
      <c r="K2169" s="105" t="str">
        <f t="shared" si="75"/>
        <v>0003-1013-0057</v>
      </c>
      <c r="L2169" s="105" t="str">
        <f>VLOOKUP(K2169,COA!$A$3:$B$337,2,FALSE)</f>
        <v>N55</v>
      </c>
      <c r="M2169" s="105" t="str">
        <f t="shared" si="76"/>
        <v>N55</v>
      </c>
      <c r="N2169" s="105" t="str">
        <f>VLOOKUP(M2169,CAC!$A$2:$B$198,2,FALSE)</f>
        <v>PPOPMR</v>
      </c>
    </row>
    <row r="2170" spans="5:14" x14ac:dyDescent="0.25">
      <c r="E2170" s="83">
        <v>201604</v>
      </c>
      <c r="F2170" s="82" t="s">
        <v>345</v>
      </c>
      <c r="G2170" s="82" t="s">
        <v>350</v>
      </c>
      <c r="H2170" s="82" t="s">
        <v>344</v>
      </c>
      <c r="I2170" s="95">
        <v>14198.93</v>
      </c>
      <c r="K2170" s="105" t="str">
        <f t="shared" si="75"/>
        <v>0011-1012-0012</v>
      </c>
      <c r="L2170" s="105" t="str">
        <f>VLOOKUP(K2170,COA!$A$3:$B$337,2,FALSE)</f>
        <v>K11</v>
      </c>
      <c r="M2170" s="105" t="str">
        <f t="shared" si="76"/>
        <v>K11</v>
      </c>
      <c r="N2170" s="105" t="str">
        <f>VLOOKUP(M2170,CAC!$A$2:$B$198,2,FALSE)</f>
        <v>HMOPMR</v>
      </c>
    </row>
    <row r="2171" spans="5:14" x14ac:dyDescent="0.25">
      <c r="E2171" s="83">
        <v>201609</v>
      </c>
      <c r="F2171" s="82" t="s">
        <v>345</v>
      </c>
      <c r="G2171" s="82" t="s">
        <v>361</v>
      </c>
      <c r="H2171" s="82" t="s">
        <v>344</v>
      </c>
      <c r="I2171" s="95">
        <v>4175</v>
      </c>
      <c r="K2171" s="105" t="str">
        <f t="shared" si="75"/>
        <v>0011-1003-0012</v>
      </c>
      <c r="L2171" s="105" t="str">
        <f>VLOOKUP(K2171,COA!$A$3:$B$337,2,FALSE)</f>
        <v>N16</v>
      </c>
      <c r="M2171" s="105" t="str">
        <f t="shared" si="76"/>
        <v>N16</v>
      </c>
      <c r="N2171" s="105" t="str">
        <f>VLOOKUP(M2171,CAC!$A$2:$B$198,2,FALSE)</f>
        <v>HMOPMR</v>
      </c>
    </row>
    <row r="2172" spans="5:14" x14ac:dyDescent="0.25">
      <c r="E2172" s="83">
        <v>201502</v>
      </c>
      <c r="F2172" s="82" t="s">
        <v>563</v>
      </c>
      <c r="G2172" s="82" t="s">
        <v>356</v>
      </c>
      <c r="H2172" s="82" t="s">
        <v>344</v>
      </c>
      <c r="I2172" s="95">
        <v>0</v>
      </c>
      <c r="K2172" s="105" t="str">
        <f t="shared" si="75"/>
        <v>0003-1002-0012</v>
      </c>
      <c r="L2172" s="105" t="str">
        <f>VLOOKUP(K2172,COA!$A$3:$B$337,2,FALSE)</f>
        <v>F61</v>
      </c>
      <c r="M2172" s="105" t="str">
        <f t="shared" si="76"/>
        <v>F61</v>
      </c>
      <c r="N2172" s="105" t="str">
        <f>VLOOKUP(M2172,CAC!$A$2:$B$198,2,FALSE)</f>
        <v>PPOPMR</v>
      </c>
    </row>
    <row r="2173" spans="5:14" x14ac:dyDescent="0.25">
      <c r="E2173" s="83">
        <v>201603</v>
      </c>
      <c r="F2173" s="82" t="s">
        <v>746</v>
      </c>
      <c r="G2173" s="82" t="s">
        <v>350</v>
      </c>
      <c r="H2173" s="82" t="s">
        <v>344</v>
      </c>
      <c r="I2173" s="95">
        <v>60</v>
      </c>
      <c r="K2173" s="105" t="str">
        <f t="shared" si="75"/>
        <v>0016-1012-0012</v>
      </c>
      <c r="L2173" s="105" t="str">
        <f>VLOOKUP(K2173,COA!$A$3:$B$337,2,FALSE)</f>
        <v>R19</v>
      </c>
      <c r="M2173" s="105" t="str">
        <f t="shared" si="76"/>
        <v>R19</v>
      </c>
      <c r="N2173" s="105" t="str">
        <f>VLOOKUP(M2173,CAC!$A$2:$B$198,2,FALSE)</f>
        <v>HMOMG</v>
      </c>
    </row>
    <row r="2174" spans="5:14" x14ac:dyDescent="0.25">
      <c r="E2174" s="83">
        <v>201702</v>
      </c>
      <c r="F2174" s="82" t="s">
        <v>506</v>
      </c>
      <c r="G2174" s="82" t="s">
        <v>352</v>
      </c>
      <c r="H2174" s="82" t="s">
        <v>592</v>
      </c>
      <c r="I2174" s="95">
        <v>0</v>
      </c>
      <c r="K2174" s="105" t="str">
        <f t="shared" si="75"/>
        <v>0013-1004-0035</v>
      </c>
      <c r="L2174" s="105" t="str">
        <f>VLOOKUP(K2174,COA!$A$3:$B$337,2,FALSE)</f>
        <v>L41</v>
      </c>
      <c r="M2174" s="105" t="str">
        <f t="shared" si="76"/>
        <v>L41</v>
      </c>
      <c r="N2174" s="105" t="e">
        <f>VLOOKUP(M2174,CAC!$A$2:$B$198,2,FALSE)</f>
        <v>#N/A</v>
      </c>
    </row>
    <row r="2175" spans="5:14" x14ac:dyDescent="0.25">
      <c r="E2175" s="83">
        <v>201510</v>
      </c>
      <c r="F2175" s="82" t="s">
        <v>746</v>
      </c>
      <c r="G2175" s="82" t="s">
        <v>356</v>
      </c>
      <c r="H2175" s="82" t="s">
        <v>344</v>
      </c>
      <c r="I2175" s="95">
        <v>118</v>
      </c>
      <c r="K2175" s="105" t="str">
        <f t="shared" si="75"/>
        <v>0016-1002-0012</v>
      </c>
      <c r="L2175" s="105" t="str">
        <f>VLOOKUP(K2175,COA!$A$3:$B$337,2,FALSE)</f>
        <v>R18</v>
      </c>
      <c r="M2175" s="105" t="str">
        <f t="shared" si="76"/>
        <v>R18</v>
      </c>
      <c r="N2175" s="105" t="str">
        <f>VLOOKUP(M2175,CAC!$A$2:$B$198,2,FALSE)</f>
        <v>HMOMG</v>
      </c>
    </row>
    <row r="2176" spans="5:14" x14ac:dyDescent="0.25">
      <c r="E2176" s="83">
        <v>201602</v>
      </c>
      <c r="F2176" s="82" t="s">
        <v>563</v>
      </c>
      <c r="G2176" s="82" t="s">
        <v>352</v>
      </c>
      <c r="H2176" s="82" t="s">
        <v>344</v>
      </c>
      <c r="I2176" s="95">
        <v>0</v>
      </c>
      <c r="K2176" s="105" t="str">
        <f t="shared" si="75"/>
        <v>0003-1004-0012</v>
      </c>
      <c r="L2176" s="105" t="str">
        <f>VLOOKUP(K2176,COA!$A$3:$B$337,2,FALSE)</f>
        <v>L51</v>
      </c>
      <c r="M2176" s="105" t="str">
        <f t="shared" si="76"/>
        <v>L51</v>
      </c>
      <c r="N2176" s="105" t="str">
        <f>VLOOKUP(M2176,CAC!$A$2:$B$198,2,FALSE)</f>
        <v>PPOLG</v>
      </c>
    </row>
    <row r="2177" spans="5:14" x14ac:dyDescent="0.25">
      <c r="E2177" s="83">
        <v>201710</v>
      </c>
      <c r="F2177" s="82" t="s">
        <v>563</v>
      </c>
      <c r="G2177" s="82" t="s">
        <v>348</v>
      </c>
      <c r="H2177" s="82" t="s">
        <v>353</v>
      </c>
      <c r="I2177" s="95">
        <v>0</v>
      </c>
      <c r="K2177" s="105" t="str">
        <f t="shared" si="75"/>
        <v>0003-1010-0023</v>
      </c>
      <c r="L2177" s="105" t="str">
        <f>VLOOKUP(K2177,COA!$A$3:$B$337,2,FALSE)</f>
        <v>S54</v>
      </c>
      <c r="M2177" s="105" t="str">
        <f t="shared" si="76"/>
        <v>S54</v>
      </c>
      <c r="N2177" s="105" t="str">
        <f>VLOOKUP(M2177,CAC!$A$2:$B$198,2,FALSE)</f>
        <v>PPOSG</v>
      </c>
    </row>
    <row r="2178" spans="5:14" x14ac:dyDescent="0.25">
      <c r="E2178" s="83">
        <v>201601</v>
      </c>
      <c r="F2178" s="82" t="s">
        <v>552</v>
      </c>
      <c r="G2178" s="82" t="s">
        <v>356</v>
      </c>
      <c r="H2178" s="82" t="s">
        <v>672</v>
      </c>
      <c r="I2178" s="95">
        <v>0</v>
      </c>
      <c r="K2178" s="105" t="str">
        <f t="shared" si="75"/>
        <v>0027-1002-0058</v>
      </c>
      <c r="L2178" s="105" t="str">
        <f>VLOOKUP(K2178,COA!$A$3:$B$337,2,FALSE)</f>
        <v>L45</v>
      </c>
      <c r="M2178" s="105" t="str">
        <f t="shared" si="76"/>
        <v>L45</v>
      </c>
      <c r="N2178" s="105" t="e">
        <f>VLOOKUP(M2178,CAC!$A$2:$B$198,2,FALSE)</f>
        <v>#N/A</v>
      </c>
    </row>
    <row r="2179" spans="5:14" x14ac:dyDescent="0.25">
      <c r="E2179" s="83">
        <v>201701</v>
      </c>
      <c r="F2179" s="82" t="s">
        <v>746</v>
      </c>
      <c r="G2179" s="82" t="s">
        <v>361</v>
      </c>
      <c r="H2179" s="82" t="s">
        <v>344</v>
      </c>
      <c r="I2179" s="95">
        <v>486</v>
      </c>
      <c r="K2179" s="105" t="str">
        <f t="shared" si="75"/>
        <v>0016-1003-0012</v>
      </c>
      <c r="L2179" s="105" t="str">
        <f>VLOOKUP(K2179,COA!$A$3:$B$337,2,FALSE)</f>
        <v>R18</v>
      </c>
      <c r="M2179" s="105" t="str">
        <f t="shared" si="76"/>
        <v>R18</v>
      </c>
      <c r="N2179" s="105" t="str">
        <f>VLOOKUP(M2179,CAC!$A$2:$B$198,2,FALSE)</f>
        <v>HMOMG</v>
      </c>
    </row>
    <row r="2180" spans="5:14" x14ac:dyDescent="0.25">
      <c r="E2180" s="83">
        <v>201603</v>
      </c>
      <c r="F2180" s="82" t="s">
        <v>506</v>
      </c>
      <c r="G2180" s="82" t="s">
        <v>361</v>
      </c>
      <c r="H2180" s="82" t="s">
        <v>592</v>
      </c>
      <c r="I2180" s="95">
        <v>0</v>
      </c>
      <c r="K2180" s="105" t="str">
        <f t="shared" ref="K2180:K2243" si="77">F2180&amp;"-"&amp;G2180&amp;"-"&amp;H2180</f>
        <v>0013-1003-0035</v>
      </c>
      <c r="L2180" s="105" t="str">
        <f>VLOOKUP(K2180,COA!$A$3:$B$337,2,FALSE)</f>
        <v>N32</v>
      </c>
      <c r="M2180" s="105" t="str">
        <f t="shared" ref="M2180:M2243" si="78">IF(ISNA(L2180),"XXX",L2180)</f>
        <v>N32</v>
      </c>
      <c r="N2180" s="105" t="e">
        <f>VLOOKUP(M2180,CAC!$A$2:$B$198,2,FALSE)</f>
        <v>#N/A</v>
      </c>
    </row>
    <row r="2181" spans="5:14" x14ac:dyDescent="0.25">
      <c r="E2181" s="83">
        <v>201612</v>
      </c>
      <c r="F2181" s="82" t="s">
        <v>413</v>
      </c>
      <c r="G2181" s="82" t="s">
        <v>354</v>
      </c>
      <c r="H2181" s="82" t="s">
        <v>344</v>
      </c>
      <c r="I2181" s="95">
        <v>0</v>
      </c>
      <c r="K2181" s="105" t="str">
        <f t="shared" si="77"/>
        <v>0008-1013-0012</v>
      </c>
      <c r="L2181" s="105" t="str">
        <f>VLOOKUP(K2181,COA!$A$3:$B$337,2,FALSE)</f>
        <v>C76</v>
      </c>
      <c r="M2181" s="105" t="str">
        <f t="shared" si="78"/>
        <v>C76</v>
      </c>
      <c r="N2181" s="105" t="str">
        <f>VLOOKUP(M2181,CAC!$A$2:$B$198,2,FALSE)</f>
        <v>DOILG</v>
      </c>
    </row>
    <row r="2182" spans="5:14" x14ac:dyDescent="0.25">
      <c r="E2182" s="83">
        <v>201703</v>
      </c>
      <c r="F2182" s="82" t="s">
        <v>345</v>
      </c>
      <c r="G2182" s="82" t="s">
        <v>354</v>
      </c>
      <c r="H2182" s="82" t="s">
        <v>368</v>
      </c>
      <c r="I2182" s="95">
        <v>1</v>
      </c>
      <c r="K2182" s="105" t="str">
        <f t="shared" si="77"/>
        <v>0011-1013-0056</v>
      </c>
      <c r="L2182" s="105" t="str">
        <f>VLOOKUP(K2182,COA!$A$3:$B$337,2,FALSE)</f>
        <v>N20</v>
      </c>
      <c r="M2182" s="105" t="str">
        <f t="shared" si="78"/>
        <v>N20</v>
      </c>
      <c r="N2182" s="105" t="str">
        <f>VLOOKUP(M2182,CAC!$A$2:$B$198,2,FALSE)</f>
        <v>HMOPMR</v>
      </c>
    </row>
    <row r="2183" spans="5:14" x14ac:dyDescent="0.25">
      <c r="E2183" s="83">
        <v>201612</v>
      </c>
      <c r="F2183" s="82" t="s">
        <v>345</v>
      </c>
      <c r="G2183" s="82" t="s">
        <v>362</v>
      </c>
      <c r="H2183" s="82" t="s">
        <v>364</v>
      </c>
      <c r="I2183" s="95">
        <v>37361.06</v>
      </c>
      <c r="K2183" s="105" t="str">
        <f t="shared" si="77"/>
        <v>0011-1008-0037</v>
      </c>
      <c r="L2183" s="105" t="str">
        <f>VLOOKUP(K2183,COA!$A$3:$B$337,2,FALSE)</f>
        <v>P12</v>
      </c>
      <c r="M2183" s="105" t="str">
        <f t="shared" si="78"/>
        <v>P12</v>
      </c>
      <c r="N2183" s="105" t="str">
        <f>VLOOKUP(M2183,CAC!$A$2:$B$198,2,FALSE)</f>
        <v>HMOPERA</v>
      </c>
    </row>
    <row r="2184" spans="5:14" x14ac:dyDescent="0.25">
      <c r="E2184" s="83">
        <v>201601</v>
      </c>
      <c r="F2184" s="82" t="s">
        <v>345</v>
      </c>
      <c r="G2184" s="82" t="s">
        <v>356</v>
      </c>
      <c r="H2184" s="82" t="s">
        <v>344</v>
      </c>
      <c r="I2184" s="95">
        <v>15617.22</v>
      </c>
      <c r="K2184" s="105" t="str">
        <f t="shared" si="77"/>
        <v>0011-1002-0012</v>
      </c>
      <c r="L2184" s="105" t="str">
        <f>VLOOKUP(K2184,COA!$A$3:$B$337,2,FALSE)</f>
        <v>F20</v>
      </c>
      <c r="M2184" s="105" t="str">
        <f t="shared" si="78"/>
        <v>F20</v>
      </c>
      <c r="N2184" s="105" t="str">
        <f>VLOOKUP(M2184,CAC!$A$2:$B$198,2,FALSE)</f>
        <v>HMOPMR</v>
      </c>
    </row>
    <row r="2185" spans="5:14" x14ac:dyDescent="0.25">
      <c r="E2185" s="83">
        <v>201708</v>
      </c>
      <c r="F2185" s="82" t="s">
        <v>345</v>
      </c>
      <c r="G2185" s="82" t="s">
        <v>355</v>
      </c>
      <c r="H2185" s="82" t="s">
        <v>344</v>
      </c>
      <c r="I2185" s="95">
        <v>17240.900000000001</v>
      </c>
      <c r="K2185" s="105" t="str">
        <f t="shared" si="77"/>
        <v>0011-1006-0012</v>
      </c>
      <c r="L2185" s="105" t="str">
        <f>VLOOKUP(K2185,COA!$A$3:$B$337,2,FALSE)</f>
        <v>L13</v>
      </c>
      <c r="M2185" s="105" t="str">
        <f t="shared" si="78"/>
        <v>L13</v>
      </c>
      <c r="N2185" s="105" t="str">
        <f>VLOOKUP(M2185,CAC!$A$2:$B$198,2,FALSE)</f>
        <v>HMOLG</v>
      </c>
    </row>
    <row r="2186" spans="5:14" x14ac:dyDescent="0.25">
      <c r="E2186" s="83">
        <v>201609</v>
      </c>
      <c r="F2186" s="82" t="s">
        <v>746</v>
      </c>
      <c r="G2186" s="82" t="s">
        <v>361</v>
      </c>
      <c r="H2186" s="82" t="s">
        <v>344</v>
      </c>
      <c r="I2186" s="95">
        <v>478</v>
      </c>
      <c r="K2186" s="105" t="str">
        <f t="shared" si="77"/>
        <v>0016-1003-0012</v>
      </c>
      <c r="L2186" s="105" t="str">
        <f>VLOOKUP(K2186,COA!$A$3:$B$337,2,FALSE)</f>
        <v>R18</v>
      </c>
      <c r="M2186" s="105" t="str">
        <f t="shared" si="78"/>
        <v>R18</v>
      </c>
      <c r="N2186" s="105" t="str">
        <f>VLOOKUP(M2186,CAC!$A$2:$B$198,2,FALSE)</f>
        <v>HMOMG</v>
      </c>
    </row>
    <row r="2187" spans="5:14" x14ac:dyDescent="0.25">
      <c r="E2187" s="83">
        <v>201605</v>
      </c>
      <c r="F2187" s="82" t="s">
        <v>563</v>
      </c>
      <c r="G2187" s="82" t="s">
        <v>354</v>
      </c>
      <c r="H2187" s="82" t="s">
        <v>626</v>
      </c>
      <c r="I2187" s="95">
        <v>0</v>
      </c>
      <c r="K2187" s="105" t="str">
        <f t="shared" si="77"/>
        <v>0003-1013-0057</v>
      </c>
      <c r="L2187" s="105" t="str">
        <f>VLOOKUP(K2187,COA!$A$3:$B$337,2,FALSE)</f>
        <v>N55</v>
      </c>
      <c r="M2187" s="105" t="str">
        <f t="shared" si="78"/>
        <v>N55</v>
      </c>
      <c r="N2187" s="105" t="str">
        <f>VLOOKUP(M2187,CAC!$A$2:$B$198,2,FALSE)</f>
        <v>PPOPMR</v>
      </c>
    </row>
    <row r="2188" spans="5:14" x14ac:dyDescent="0.25">
      <c r="E2188" s="83">
        <v>201602</v>
      </c>
      <c r="F2188" s="82" t="s">
        <v>563</v>
      </c>
      <c r="G2188" s="82" t="s">
        <v>359</v>
      </c>
      <c r="H2188" s="82" t="s">
        <v>344</v>
      </c>
      <c r="I2188" s="95">
        <v>0</v>
      </c>
      <c r="K2188" s="105" t="str">
        <f t="shared" si="77"/>
        <v>0003-1005-0012</v>
      </c>
      <c r="L2188" s="105" t="str">
        <f>VLOOKUP(K2188,COA!$A$3:$B$337,2,FALSE)</f>
        <v>N51</v>
      </c>
      <c r="M2188" s="105" t="str">
        <f t="shared" si="78"/>
        <v>N51</v>
      </c>
      <c r="N2188" s="105" t="str">
        <f>VLOOKUP(M2188,CAC!$A$2:$B$198,2,FALSE)</f>
        <v>PPOLG</v>
      </c>
    </row>
    <row r="2189" spans="5:14" x14ac:dyDescent="0.25">
      <c r="E2189" s="83">
        <v>201701</v>
      </c>
      <c r="F2189" s="82" t="s">
        <v>413</v>
      </c>
      <c r="G2189" s="82" t="s">
        <v>365</v>
      </c>
      <c r="H2189" s="82" t="s">
        <v>344</v>
      </c>
      <c r="I2189" s="95">
        <v>0</v>
      </c>
      <c r="K2189" s="105" t="str">
        <f t="shared" si="77"/>
        <v>0008-1001-0012</v>
      </c>
      <c r="L2189" s="105" t="str">
        <f>VLOOKUP(K2189,COA!$A$3:$B$337,2,FALSE)</f>
        <v>C95</v>
      </c>
      <c r="M2189" s="105" t="str">
        <f t="shared" si="78"/>
        <v>C95</v>
      </c>
      <c r="N2189" s="105" t="str">
        <f>VLOOKUP(M2189,CAC!$A$2:$B$198,2,FALSE)</f>
        <v>DOIIFP</v>
      </c>
    </row>
    <row r="2190" spans="5:14" x14ac:dyDescent="0.25">
      <c r="E2190" s="83">
        <v>201506</v>
      </c>
      <c r="F2190" s="82" t="s">
        <v>563</v>
      </c>
      <c r="G2190" s="82" t="s">
        <v>348</v>
      </c>
      <c r="H2190" s="82" t="s">
        <v>349</v>
      </c>
      <c r="I2190" s="95">
        <v>0</v>
      </c>
      <c r="K2190" s="105" t="str">
        <f t="shared" si="77"/>
        <v>0003-1010-0017</v>
      </c>
      <c r="L2190" s="105" t="str">
        <f>VLOOKUP(K2190,COA!$A$3:$B$337,2,FALSE)</f>
        <v>S51</v>
      </c>
      <c r="M2190" s="105" t="str">
        <f t="shared" si="78"/>
        <v>S51</v>
      </c>
      <c r="N2190" s="105" t="str">
        <f>VLOOKUP(M2190,CAC!$A$2:$B$198,2,FALSE)</f>
        <v>PPOSG</v>
      </c>
    </row>
    <row r="2191" spans="5:14" x14ac:dyDescent="0.25">
      <c r="E2191" s="83">
        <v>201608</v>
      </c>
      <c r="F2191" s="82" t="s">
        <v>563</v>
      </c>
      <c r="G2191" s="82" t="s">
        <v>355</v>
      </c>
      <c r="H2191" s="82" t="s">
        <v>344</v>
      </c>
      <c r="I2191" s="95">
        <v>0</v>
      </c>
      <c r="K2191" s="105" t="str">
        <f t="shared" si="77"/>
        <v>0003-1006-0012</v>
      </c>
      <c r="L2191" s="105" t="str">
        <f>VLOOKUP(K2191,COA!$A$3:$B$337,2,FALSE)</f>
        <v>L52</v>
      </c>
      <c r="M2191" s="105" t="str">
        <f t="shared" si="78"/>
        <v>L52</v>
      </c>
      <c r="N2191" s="105" t="str">
        <f>VLOOKUP(M2191,CAC!$A$2:$B$198,2,FALSE)</f>
        <v>PPOLG</v>
      </c>
    </row>
    <row r="2192" spans="5:14" x14ac:dyDescent="0.25">
      <c r="E2192" s="83">
        <v>201605</v>
      </c>
      <c r="F2192" s="82" t="s">
        <v>563</v>
      </c>
      <c r="G2192" s="82" t="s">
        <v>352</v>
      </c>
      <c r="H2192" s="82" t="s">
        <v>653</v>
      </c>
      <c r="I2192" s="95">
        <v>0</v>
      </c>
      <c r="K2192" s="105" t="str">
        <f t="shared" si="77"/>
        <v>0003-1004-0047</v>
      </c>
      <c r="L2192" s="105" t="str">
        <f>VLOOKUP(K2192,COA!$A$3:$B$337,2,FALSE)</f>
        <v>L57</v>
      </c>
      <c r="M2192" s="105" t="str">
        <f t="shared" si="78"/>
        <v>L57</v>
      </c>
      <c r="N2192" s="105" t="str">
        <f>VLOOKUP(M2192,CAC!$A$2:$B$198,2,FALSE)</f>
        <v>PPOLG</v>
      </c>
    </row>
    <row r="2193" spans="5:14" x14ac:dyDescent="0.25">
      <c r="E2193" s="83">
        <v>201601</v>
      </c>
      <c r="F2193" s="82" t="s">
        <v>506</v>
      </c>
      <c r="G2193" s="82" t="s">
        <v>346</v>
      </c>
      <c r="H2193" s="82" t="s">
        <v>592</v>
      </c>
      <c r="I2193" s="95">
        <v>0</v>
      </c>
      <c r="K2193" s="105" t="str">
        <f t="shared" si="77"/>
        <v>0013-1014-0035</v>
      </c>
      <c r="L2193" s="105" t="str">
        <f>VLOOKUP(K2193,COA!$A$3:$B$337,2,FALSE)</f>
        <v>K42</v>
      </c>
      <c r="M2193" s="105" t="str">
        <f t="shared" si="78"/>
        <v>K42</v>
      </c>
      <c r="N2193" s="105" t="str">
        <f>VLOOKUP(M2193,CAC!$A$2:$B$198,2,FALSE)</f>
        <v>HMFLEX</v>
      </c>
    </row>
    <row r="2194" spans="5:14" x14ac:dyDescent="0.25">
      <c r="E2194" s="83">
        <v>201711</v>
      </c>
      <c r="F2194" s="82" t="s">
        <v>746</v>
      </c>
      <c r="G2194" s="82" t="s">
        <v>361</v>
      </c>
      <c r="H2194" s="82" t="s">
        <v>344</v>
      </c>
      <c r="I2194" s="95">
        <v>500</v>
      </c>
      <c r="K2194" s="105" t="str">
        <f t="shared" si="77"/>
        <v>0016-1003-0012</v>
      </c>
      <c r="L2194" s="105" t="str">
        <f>VLOOKUP(K2194,COA!$A$3:$B$337,2,FALSE)</f>
        <v>R18</v>
      </c>
      <c r="M2194" s="105" t="str">
        <f t="shared" si="78"/>
        <v>R18</v>
      </c>
      <c r="N2194" s="105" t="str">
        <f>VLOOKUP(M2194,CAC!$A$2:$B$198,2,FALSE)</f>
        <v>HMOMG</v>
      </c>
    </row>
    <row r="2195" spans="5:14" x14ac:dyDescent="0.25">
      <c r="E2195" s="83">
        <v>201711</v>
      </c>
      <c r="F2195" s="82" t="s">
        <v>746</v>
      </c>
      <c r="G2195" s="82" t="s">
        <v>354</v>
      </c>
      <c r="H2195" s="82" t="s">
        <v>344</v>
      </c>
      <c r="I2195" s="95">
        <v>108</v>
      </c>
      <c r="K2195" s="105" t="str">
        <f t="shared" si="77"/>
        <v>0016-1013-0012</v>
      </c>
      <c r="L2195" s="105" t="str">
        <f>VLOOKUP(K2195,COA!$A$3:$B$337,2,FALSE)</f>
        <v>R19</v>
      </c>
      <c r="M2195" s="105" t="str">
        <f t="shared" si="78"/>
        <v>R19</v>
      </c>
      <c r="N2195" s="105" t="str">
        <f>VLOOKUP(M2195,CAC!$A$2:$B$198,2,FALSE)</f>
        <v>HMOMG</v>
      </c>
    </row>
    <row r="2196" spans="5:14" x14ac:dyDescent="0.25">
      <c r="E2196" s="83">
        <v>201506</v>
      </c>
      <c r="F2196" s="82" t="s">
        <v>563</v>
      </c>
      <c r="G2196" s="82" t="s">
        <v>351</v>
      </c>
      <c r="H2196" s="82" t="s">
        <v>349</v>
      </c>
      <c r="I2196" s="95">
        <v>0</v>
      </c>
      <c r="K2196" s="105" t="str">
        <f t="shared" si="77"/>
        <v>0003-0000-0017</v>
      </c>
      <c r="L2196" s="105" t="e">
        <f>VLOOKUP(K2196,COA!$A$3:$B$337,2,FALSE)</f>
        <v>#N/A</v>
      </c>
      <c r="M2196" s="105" t="str">
        <f t="shared" si="78"/>
        <v>XXX</v>
      </c>
      <c r="N2196" s="105" t="str">
        <f>VLOOKUP(M2196,CAC!$A$2:$B$198,2,FALSE)</f>
        <v>XXX</v>
      </c>
    </row>
    <row r="2197" spans="5:14" x14ac:dyDescent="0.25">
      <c r="E2197" s="83">
        <v>201602</v>
      </c>
      <c r="F2197" s="82" t="s">
        <v>413</v>
      </c>
      <c r="G2197" s="82" t="s">
        <v>348</v>
      </c>
      <c r="H2197" s="82" t="s">
        <v>349</v>
      </c>
      <c r="I2197" s="95">
        <v>0</v>
      </c>
      <c r="K2197" s="105" t="str">
        <f t="shared" si="77"/>
        <v>0008-1010-0017</v>
      </c>
      <c r="L2197" s="105" t="str">
        <f>VLOOKUP(K2197,COA!$A$3:$B$337,2,FALSE)</f>
        <v>C94</v>
      </c>
      <c r="M2197" s="105" t="str">
        <f t="shared" si="78"/>
        <v>C94</v>
      </c>
      <c r="N2197" s="105" t="str">
        <f>VLOOKUP(M2197,CAC!$A$2:$B$198,2,FALSE)</f>
        <v>DOISG</v>
      </c>
    </row>
    <row r="2198" spans="5:14" x14ac:dyDescent="0.25">
      <c r="E2198" s="83">
        <v>201611</v>
      </c>
      <c r="F2198" s="82" t="s">
        <v>345</v>
      </c>
      <c r="G2198" s="82" t="s">
        <v>348</v>
      </c>
      <c r="H2198" s="82" t="s">
        <v>349</v>
      </c>
      <c r="I2198" s="95">
        <v>22468.02</v>
      </c>
      <c r="K2198" s="105" t="str">
        <f t="shared" si="77"/>
        <v>0011-1010-0017</v>
      </c>
      <c r="L2198" s="105" t="str">
        <f>VLOOKUP(K2198,COA!$A$3:$B$337,2,FALSE)</f>
        <v>S11</v>
      </c>
      <c r="M2198" s="105" t="str">
        <f t="shared" si="78"/>
        <v>S11</v>
      </c>
      <c r="N2198" s="105" t="str">
        <f>VLOOKUP(M2198,CAC!$A$2:$B$198,2,FALSE)</f>
        <v>HMOSG</v>
      </c>
    </row>
    <row r="2199" spans="5:14" x14ac:dyDescent="0.25">
      <c r="E2199" s="83">
        <v>201502</v>
      </c>
      <c r="F2199" s="82" t="s">
        <v>349</v>
      </c>
      <c r="G2199" s="82" t="s">
        <v>369</v>
      </c>
      <c r="H2199" s="82" t="s">
        <v>344</v>
      </c>
      <c r="I2199" s="95">
        <v>35567</v>
      </c>
      <c r="K2199" s="105" t="str">
        <f t="shared" si="77"/>
        <v>0017-1009-0012</v>
      </c>
      <c r="L2199" s="105" t="str">
        <f>VLOOKUP(K2199,COA!$A$3:$B$337,2,FALSE)</f>
        <v>R12</v>
      </c>
      <c r="M2199" s="105" t="str">
        <f t="shared" si="78"/>
        <v>R12</v>
      </c>
      <c r="N2199" s="105" t="str">
        <f>VLOOKUP(M2199,CAC!$A$2:$B$198,2,FALSE)</f>
        <v>HMOMM</v>
      </c>
    </row>
    <row r="2200" spans="5:14" x14ac:dyDescent="0.25">
      <c r="E2200" s="83">
        <v>201704</v>
      </c>
      <c r="F2200" s="82" t="s">
        <v>506</v>
      </c>
      <c r="G2200" s="82" t="s">
        <v>354</v>
      </c>
      <c r="H2200" s="82" t="s">
        <v>592</v>
      </c>
      <c r="I2200" s="95">
        <v>0</v>
      </c>
      <c r="K2200" s="105" t="str">
        <f t="shared" si="77"/>
        <v>0013-1013-0035</v>
      </c>
      <c r="L2200" s="105" t="str">
        <f>VLOOKUP(K2200,COA!$A$3:$B$337,2,FALSE)</f>
        <v>N44</v>
      </c>
      <c r="M2200" s="105" t="str">
        <f t="shared" si="78"/>
        <v>N44</v>
      </c>
      <c r="N2200" s="105" t="e">
        <f>VLOOKUP(M2200,CAC!$A$2:$B$198,2,FALSE)</f>
        <v>#N/A</v>
      </c>
    </row>
    <row r="2201" spans="5:14" x14ac:dyDescent="0.25">
      <c r="E2201" s="83">
        <v>201706</v>
      </c>
      <c r="F2201" s="82" t="s">
        <v>563</v>
      </c>
      <c r="G2201" s="82" t="s">
        <v>354</v>
      </c>
      <c r="H2201" s="82" t="s">
        <v>626</v>
      </c>
      <c r="I2201" s="95">
        <v>0</v>
      </c>
      <c r="K2201" s="105" t="str">
        <f t="shared" si="77"/>
        <v>0003-1013-0057</v>
      </c>
      <c r="L2201" s="105" t="str">
        <f>VLOOKUP(K2201,COA!$A$3:$B$337,2,FALSE)</f>
        <v>N55</v>
      </c>
      <c r="M2201" s="105" t="str">
        <f t="shared" si="78"/>
        <v>N55</v>
      </c>
      <c r="N2201" s="105" t="str">
        <f>VLOOKUP(M2201,CAC!$A$2:$B$198,2,FALSE)</f>
        <v>PPOPMR</v>
      </c>
    </row>
    <row r="2202" spans="5:14" x14ac:dyDescent="0.25">
      <c r="E2202" s="83">
        <v>201512</v>
      </c>
      <c r="F2202" s="82" t="s">
        <v>563</v>
      </c>
      <c r="G2202" s="82" t="s">
        <v>365</v>
      </c>
      <c r="H2202" s="82" t="s">
        <v>366</v>
      </c>
      <c r="I2202" s="95">
        <v>0</v>
      </c>
      <c r="K2202" s="105" t="str">
        <f t="shared" si="77"/>
        <v>0003-1001-0021</v>
      </c>
      <c r="L2202" s="105" t="str">
        <f>VLOOKUP(K2202,COA!$A$3:$B$337,2,FALSE)</f>
        <v>V53</v>
      </c>
      <c r="M2202" s="105" t="str">
        <f t="shared" si="78"/>
        <v>V53</v>
      </c>
      <c r="N2202" s="105" t="str">
        <f>VLOOKUP(M2202,CAC!$A$2:$B$198,2,FALSE)</f>
        <v>PPOIFP</v>
      </c>
    </row>
    <row r="2203" spans="5:14" x14ac:dyDescent="0.25">
      <c r="E2203" s="83">
        <v>201602</v>
      </c>
      <c r="F2203" s="82" t="s">
        <v>345</v>
      </c>
      <c r="G2203" s="82" t="s">
        <v>350</v>
      </c>
      <c r="H2203" s="82" t="s">
        <v>344</v>
      </c>
      <c r="I2203" s="95">
        <v>14962.24</v>
      </c>
      <c r="K2203" s="105" t="str">
        <f t="shared" si="77"/>
        <v>0011-1012-0012</v>
      </c>
      <c r="L2203" s="105" t="str">
        <f>VLOOKUP(K2203,COA!$A$3:$B$337,2,FALSE)</f>
        <v>K11</v>
      </c>
      <c r="M2203" s="105" t="str">
        <f t="shared" si="78"/>
        <v>K11</v>
      </c>
      <c r="N2203" s="105" t="str">
        <f>VLOOKUP(M2203,CAC!$A$2:$B$198,2,FALSE)</f>
        <v>HMOPMR</v>
      </c>
    </row>
    <row r="2204" spans="5:14" x14ac:dyDescent="0.25">
      <c r="E2204" s="83">
        <v>201512</v>
      </c>
      <c r="F2204" s="82" t="s">
        <v>345</v>
      </c>
      <c r="G2204" s="82" t="s">
        <v>354</v>
      </c>
      <c r="H2204" s="82" t="s">
        <v>344</v>
      </c>
      <c r="I2204" s="95">
        <v>6577.58</v>
      </c>
      <c r="K2204" s="105" t="str">
        <f t="shared" si="77"/>
        <v>0011-1013-0012</v>
      </c>
      <c r="L2204" s="105" t="str">
        <f>VLOOKUP(K2204,COA!$A$3:$B$337,2,FALSE)</f>
        <v>N20</v>
      </c>
      <c r="M2204" s="105" t="str">
        <f t="shared" si="78"/>
        <v>N20</v>
      </c>
      <c r="N2204" s="105" t="str">
        <f>VLOOKUP(M2204,CAC!$A$2:$B$198,2,FALSE)</f>
        <v>HMOPMR</v>
      </c>
    </row>
    <row r="2205" spans="5:14" x14ac:dyDescent="0.25">
      <c r="E2205" s="83">
        <v>201708</v>
      </c>
      <c r="F2205" s="82" t="s">
        <v>506</v>
      </c>
      <c r="G2205" s="82" t="s">
        <v>352</v>
      </c>
      <c r="H2205" s="82" t="s">
        <v>592</v>
      </c>
      <c r="I2205" s="95">
        <v>0</v>
      </c>
      <c r="K2205" s="105" t="str">
        <f t="shared" si="77"/>
        <v>0013-1004-0035</v>
      </c>
      <c r="L2205" s="105" t="str">
        <f>VLOOKUP(K2205,COA!$A$3:$B$337,2,FALSE)</f>
        <v>L41</v>
      </c>
      <c r="M2205" s="105" t="str">
        <f t="shared" si="78"/>
        <v>L41</v>
      </c>
      <c r="N2205" s="105" t="e">
        <f>VLOOKUP(M2205,CAC!$A$2:$B$198,2,FALSE)</f>
        <v>#N/A</v>
      </c>
    </row>
    <row r="2206" spans="5:14" x14ac:dyDescent="0.25">
      <c r="E2206" s="83">
        <v>201701</v>
      </c>
      <c r="F2206" s="82" t="s">
        <v>549</v>
      </c>
      <c r="G2206" s="82" t="s">
        <v>352</v>
      </c>
      <c r="H2206" s="82" t="s">
        <v>672</v>
      </c>
      <c r="I2206" s="95">
        <v>0</v>
      </c>
      <c r="K2206" s="105" t="str">
        <f t="shared" si="77"/>
        <v>0026-1004-0058</v>
      </c>
      <c r="L2206" s="105" t="str">
        <f>VLOOKUP(K2206,COA!$A$3:$B$337,2,FALSE)</f>
        <v>L44</v>
      </c>
      <c r="M2206" s="105" t="str">
        <f t="shared" si="78"/>
        <v>L44</v>
      </c>
      <c r="N2206" s="105" t="e">
        <f>VLOOKUP(M2206,CAC!$A$2:$B$198,2,FALSE)</f>
        <v>#N/A</v>
      </c>
    </row>
    <row r="2207" spans="5:14" x14ac:dyDescent="0.25">
      <c r="E2207" s="83">
        <v>201612</v>
      </c>
      <c r="F2207" s="82" t="s">
        <v>345</v>
      </c>
      <c r="G2207" s="82" t="s">
        <v>350</v>
      </c>
      <c r="H2207" s="82" t="s">
        <v>357</v>
      </c>
      <c r="I2207" s="95">
        <v>1941.77</v>
      </c>
      <c r="K2207" s="105" t="str">
        <f t="shared" si="77"/>
        <v>0011-1012-0038</v>
      </c>
      <c r="L2207" s="105" t="str">
        <f>VLOOKUP(K2207,COA!$A$3:$B$337,2,FALSE)</f>
        <v>K14</v>
      </c>
      <c r="M2207" s="105" t="str">
        <f t="shared" si="78"/>
        <v>K14</v>
      </c>
      <c r="N2207" s="105" t="str">
        <f>VLOOKUP(M2207,CAC!$A$2:$B$198,2,FALSE)</f>
        <v>HMOPMR</v>
      </c>
    </row>
    <row r="2208" spans="5:14" x14ac:dyDescent="0.25">
      <c r="E2208" s="83">
        <v>201605</v>
      </c>
      <c r="F2208" s="82" t="s">
        <v>563</v>
      </c>
      <c r="G2208" s="82" t="s">
        <v>350</v>
      </c>
      <c r="H2208" s="82" t="s">
        <v>626</v>
      </c>
      <c r="I2208" s="95">
        <v>0</v>
      </c>
      <c r="K2208" s="105" t="str">
        <f t="shared" si="77"/>
        <v>0003-1012-0057</v>
      </c>
      <c r="L2208" s="105" t="str">
        <f>VLOOKUP(K2208,COA!$A$3:$B$337,2,FALSE)</f>
        <v>K51</v>
      </c>
      <c r="M2208" s="105" t="str">
        <f t="shared" si="78"/>
        <v>K51</v>
      </c>
      <c r="N2208" s="105" t="str">
        <f>VLOOKUP(M2208,CAC!$A$2:$B$198,2,FALSE)</f>
        <v>PPOPMR</v>
      </c>
    </row>
    <row r="2209" spans="5:14" x14ac:dyDescent="0.25">
      <c r="E2209" s="83">
        <v>201512</v>
      </c>
      <c r="F2209" s="82" t="s">
        <v>563</v>
      </c>
      <c r="G2209" s="82" t="s">
        <v>355</v>
      </c>
      <c r="H2209" s="82" t="s">
        <v>344</v>
      </c>
      <c r="I2209" s="95">
        <v>0</v>
      </c>
      <c r="K2209" s="105" t="str">
        <f t="shared" si="77"/>
        <v>0003-1006-0012</v>
      </c>
      <c r="L2209" s="105" t="str">
        <f>VLOOKUP(K2209,COA!$A$3:$B$337,2,FALSE)</f>
        <v>L52</v>
      </c>
      <c r="M2209" s="105" t="str">
        <f t="shared" si="78"/>
        <v>L52</v>
      </c>
      <c r="N2209" s="105" t="str">
        <f>VLOOKUP(M2209,CAC!$A$2:$B$198,2,FALSE)</f>
        <v>PPOLG</v>
      </c>
    </row>
    <row r="2210" spans="5:14" x14ac:dyDescent="0.25">
      <c r="E2210" s="83">
        <v>201707</v>
      </c>
      <c r="F2210" s="82" t="s">
        <v>413</v>
      </c>
      <c r="G2210" s="82" t="s">
        <v>365</v>
      </c>
      <c r="H2210" s="82" t="s">
        <v>344</v>
      </c>
      <c r="I2210" s="95">
        <v>0</v>
      </c>
      <c r="K2210" s="105" t="str">
        <f t="shared" si="77"/>
        <v>0008-1001-0012</v>
      </c>
      <c r="L2210" s="105" t="str">
        <f>VLOOKUP(K2210,COA!$A$3:$B$337,2,FALSE)</f>
        <v>C95</v>
      </c>
      <c r="M2210" s="105" t="str">
        <f t="shared" si="78"/>
        <v>C95</v>
      </c>
      <c r="N2210" s="105" t="str">
        <f>VLOOKUP(M2210,CAC!$A$2:$B$198,2,FALSE)</f>
        <v>DOIIFP</v>
      </c>
    </row>
    <row r="2211" spans="5:14" x14ac:dyDescent="0.25">
      <c r="E2211" s="83">
        <v>201709</v>
      </c>
      <c r="F2211" s="82" t="s">
        <v>563</v>
      </c>
      <c r="G2211" s="82" t="s">
        <v>352</v>
      </c>
      <c r="H2211" s="82" t="s">
        <v>653</v>
      </c>
      <c r="I2211" s="95">
        <v>0</v>
      </c>
      <c r="K2211" s="105" t="str">
        <f t="shared" si="77"/>
        <v>0003-1004-0047</v>
      </c>
      <c r="L2211" s="105" t="str">
        <f>VLOOKUP(K2211,COA!$A$3:$B$337,2,FALSE)</f>
        <v>L57</v>
      </c>
      <c r="M2211" s="105" t="str">
        <f t="shared" si="78"/>
        <v>L57</v>
      </c>
      <c r="N2211" s="105" t="str">
        <f>VLOOKUP(M2211,CAC!$A$2:$B$198,2,FALSE)</f>
        <v>PPOLG</v>
      </c>
    </row>
    <row r="2212" spans="5:14" x14ac:dyDescent="0.25">
      <c r="E2212" s="83">
        <v>201703</v>
      </c>
      <c r="F2212" s="82" t="s">
        <v>345</v>
      </c>
      <c r="G2212" s="82" t="s">
        <v>350</v>
      </c>
      <c r="H2212" s="82" t="s">
        <v>357</v>
      </c>
      <c r="I2212" s="95">
        <v>1229.3900000000001</v>
      </c>
      <c r="K2212" s="105" t="str">
        <f t="shared" si="77"/>
        <v>0011-1012-0038</v>
      </c>
      <c r="L2212" s="105" t="str">
        <f>VLOOKUP(K2212,COA!$A$3:$B$337,2,FALSE)</f>
        <v>K14</v>
      </c>
      <c r="M2212" s="105" t="str">
        <f t="shared" si="78"/>
        <v>K14</v>
      </c>
      <c r="N2212" s="105" t="str">
        <f>VLOOKUP(M2212,CAC!$A$2:$B$198,2,FALSE)</f>
        <v>HMOPMR</v>
      </c>
    </row>
    <row r="2213" spans="5:14" x14ac:dyDescent="0.25">
      <c r="E2213" s="83">
        <v>201506</v>
      </c>
      <c r="F2213" s="82" t="s">
        <v>345</v>
      </c>
      <c r="G2213" s="82" t="s">
        <v>348</v>
      </c>
      <c r="H2213" s="82" t="s">
        <v>358</v>
      </c>
      <c r="I2213" s="95">
        <v>55</v>
      </c>
      <c r="K2213" s="105" t="str">
        <f t="shared" si="77"/>
        <v>0011-1010-0024</v>
      </c>
      <c r="L2213" s="105" t="str">
        <f>VLOOKUP(K2213,COA!$A$3:$B$337,2,FALSE)</f>
        <v>S14</v>
      </c>
      <c r="M2213" s="105" t="str">
        <f t="shared" si="78"/>
        <v>S14</v>
      </c>
      <c r="N2213" s="105" t="str">
        <f>VLOOKUP(M2213,CAC!$A$2:$B$198,2,FALSE)</f>
        <v>HMOSG</v>
      </c>
    </row>
    <row r="2214" spans="5:14" x14ac:dyDescent="0.25">
      <c r="E2214" s="83">
        <v>201611</v>
      </c>
      <c r="F2214" s="82" t="s">
        <v>563</v>
      </c>
      <c r="G2214" s="82" t="s">
        <v>348</v>
      </c>
      <c r="H2214" s="82" t="s">
        <v>349</v>
      </c>
      <c r="I2214" s="95">
        <v>0</v>
      </c>
      <c r="K2214" s="105" t="str">
        <f t="shared" si="77"/>
        <v>0003-1010-0017</v>
      </c>
      <c r="L2214" s="105" t="str">
        <f>VLOOKUP(K2214,COA!$A$3:$B$337,2,FALSE)</f>
        <v>S51</v>
      </c>
      <c r="M2214" s="105" t="str">
        <f t="shared" si="78"/>
        <v>S51</v>
      </c>
      <c r="N2214" s="105" t="str">
        <f>VLOOKUP(M2214,CAC!$A$2:$B$198,2,FALSE)</f>
        <v>PPOSG</v>
      </c>
    </row>
    <row r="2215" spans="5:14" x14ac:dyDescent="0.25">
      <c r="E2215" s="83">
        <v>201610</v>
      </c>
      <c r="F2215" s="82" t="s">
        <v>563</v>
      </c>
      <c r="G2215" s="82" t="s">
        <v>359</v>
      </c>
      <c r="H2215" s="82" t="s">
        <v>344</v>
      </c>
      <c r="I2215" s="95">
        <v>0</v>
      </c>
      <c r="K2215" s="105" t="str">
        <f t="shared" si="77"/>
        <v>0003-1005-0012</v>
      </c>
      <c r="L2215" s="105" t="str">
        <f>VLOOKUP(K2215,COA!$A$3:$B$337,2,FALSE)</f>
        <v>N51</v>
      </c>
      <c r="M2215" s="105" t="str">
        <f t="shared" si="78"/>
        <v>N51</v>
      </c>
      <c r="N2215" s="105" t="str">
        <f>VLOOKUP(M2215,CAC!$A$2:$B$198,2,FALSE)</f>
        <v>PPOLG</v>
      </c>
    </row>
    <row r="2216" spans="5:14" x14ac:dyDescent="0.25">
      <c r="E2216" s="83">
        <v>201709</v>
      </c>
      <c r="F2216" s="82" t="s">
        <v>506</v>
      </c>
      <c r="G2216" s="82" t="s">
        <v>352</v>
      </c>
      <c r="H2216" s="82" t="s">
        <v>592</v>
      </c>
      <c r="I2216" s="95">
        <v>0</v>
      </c>
      <c r="K2216" s="105" t="str">
        <f t="shared" si="77"/>
        <v>0013-1004-0035</v>
      </c>
      <c r="L2216" s="105" t="str">
        <f>VLOOKUP(K2216,COA!$A$3:$B$337,2,FALSE)</f>
        <v>L41</v>
      </c>
      <c r="M2216" s="105" t="str">
        <f t="shared" si="78"/>
        <v>L41</v>
      </c>
      <c r="N2216" s="105" t="e">
        <f>VLOOKUP(M2216,CAC!$A$2:$B$198,2,FALSE)</f>
        <v>#N/A</v>
      </c>
    </row>
    <row r="2217" spans="5:14" x14ac:dyDescent="0.25">
      <c r="E2217" s="83">
        <v>201610</v>
      </c>
      <c r="F2217" s="82" t="s">
        <v>563</v>
      </c>
      <c r="G2217" s="82" t="s">
        <v>369</v>
      </c>
      <c r="H2217" s="82" t="s">
        <v>345</v>
      </c>
      <c r="I2217" s="95">
        <v>0</v>
      </c>
      <c r="K2217" s="105" t="str">
        <f t="shared" si="77"/>
        <v>0003-1009-0011</v>
      </c>
      <c r="L2217" s="105" t="str">
        <f>VLOOKUP(K2217,COA!$A$3:$B$337,2,FALSE)</f>
        <v>V91</v>
      </c>
      <c r="M2217" s="105" t="str">
        <f t="shared" si="78"/>
        <v>V91</v>
      </c>
      <c r="N2217" s="105" t="str">
        <f>VLOOKUP(M2217,CAC!$A$2:$B$198,2,FALSE)</f>
        <v>PPOMM</v>
      </c>
    </row>
    <row r="2218" spans="5:14" x14ac:dyDescent="0.25">
      <c r="E2218" s="83">
        <v>201509</v>
      </c>
      <c r="F2218" s="82" t="s">
        <v>563</v>
      </c>
      <c r="G2218" s="82" t="s">
        <v>359</v>
      </c>
      <c r="H2218" s="82" t="s">
        <v>344</v>
      </c>
      <c r="I2218" s="95">
        <v>0</v>
      </c>
      <c r="K2218" s="105" t="str">
        <f t="shared" si="77"/>
        <v>0003-1005-0012</v>
      </c>
      <c r="L2218" s="105" t="str">
        <f>VLOOKUP(K2218,COA!$A$3:$B$337,2,FALSE)</f>
        <v>N51</v>
      </c>
      <c r="M2218" s="105" t="str">
        <f t="shared" si="78"/>
        <v>N51</v>
      </c>
      <c r="N2218" s="105" t="str">
        <f>VLOOKUP(M2218,CAC!$A$2:$B$198,2,FALSE)</f>
        <v>PPOLG</v>
      </c>
    </row>
    <row r="2219" spans="5:14" x14ac:dyDescent="0.25">
      <c r="E2219" s="83">
        <v>201702</v>
      </c>
      <c r="F2219" s="82" t="s">
        <v>345</v>
      </c>
      <c r="G2219" s="82" t="s">
        <v>354</v>
      </c>
      <c r="H2219" s="82" t="s">
        <v>360</v>
      </c>
      <c r="I2219" s="95">
        <v>5092</v>
      </c>
      <c r="K2219" s="105" t="str">
        <f t="shared" si="77"/>
        <v>0011-1013-0048</v>
      </c>
      <c r="L2219" s="105" t="str">
        <f>VLOOKUP(K2219,COA!$A$3:$B$337,2,FALSE)</f>
        <v>N21</v>
      </c>
      <c r="M2219" s="105" t="str">
        <f t="shared" si="78"/>
        <v>N21</v>
      </c>
      <c r="N2219" s="105" t="str">
        <f>VLOOKUP(M2219,CAC!$A$2:$B$198,2,FALSE)</f>
        <v>HMFLEX</v>
      </c>
    </row>
    <row r="2220" spans="5:14" x14ac:dyDescent="0.25">
      <c r="E2220" s="83">
        <v>201612</v>
      </c>
      <c r="F2220" s="82" t="s">
        <v>563</v>
      </c>
      <c r="G2220" s="82" t="s">
        <v>356</v>
      </c>
      <c r="H2220" s="82" t="s">
        <v>344</v>
      </c>
      <c r="I2220" s="95">
        <v>0</v>
      </c>
      <c r="K2220" s="105" t="str">
        <f t="shared" si="77"/>
        <v>0003-1002-0012</v>
      </c>
      <c r="L2220" s="105" t="str">
        <f>VLOOKUP(K2220,COA!$A$3:$B$337,2,FALSE)</f>
        <v>F61</v>
      </c>
      <c r="M2220" s="105" t="str">
        <f t="shared" si="78"/>
        <v>F61</v>
      </c>
      <c r="N2220" s="105" t="str">
        <f>VLOOKUP(M2220,CAC!$A$2:$B$198,2,FALSE)</f>
        <v>PPOPMR</v>
      </c>
    </row>
    <row r="2221" spans="5:14" x14ac:dyDescent="0.25">
      <c r="E2221" s="83">
        <v>201609</v>
      </c>
      <c r="F2221" s="82" t="s">
        <v>344</v>
      </c>
      <c r="G2221" s="82" t="s">
        <v>350</v>
      </c>
      <c r="H2221" s="82" t="s">
        <v>344</v>
      </c>
      <c r="I2221" s="95">
        <v>108</v>
      </c>
      <c r="K2221" s="105" t="str">
        <f t="shared" si="77"/>
        <v>0012-1012-0012</v>
      </c>
      <c r="L2221" s="105" t="str">
        <f>VLOOKUP(K2221,COA!$A$3:$B$337,2,FALSE)</f>
        <v>K12</v>
      </c>
      <c r="M2221" s="105" t="str">
        <f t="shared" si="78"/>
        <v>K12</v>
      </c>
      <c r="N2221" s="105" t="str">
        <f>VLOOKUP(M2221,CAC!$A$2:$B$198,2,FALSE)</f>
        <v>HMOPMR</v>
      </c>
    </row>
    <row r="2222" spans="5:14" x14ac:dyDescent="0.25">
      <c r="E2222" s="83">
        <v>201504</v>
      </c>
      <c r="F2222" s="82" t="s">
        <v>563</v>
      </c>
      <c r="G2222" s="82" t="s">
        <v>351</v>
      </c>
      <c r="H2222" s="82" t="s">
        <v>349</v>
      </c>
      <c r="I2222" s="95">
        <v>0</v>
      </c>
      <c r="K2222" s="105" t="str">
        <f t="shared" si="77"/>
        <v>0003-0000-0017</v>
      </c>
      <c r="L2222" s="105" t="e">
        <f>VLOOKUP(K2222,COA!$A$3:$B$337,2,FALSE)</f>
        <v>#N/A</v>
      </c>
      <c r="M2222" s="105" t="str">
        <f t="shared" si="78"/>
        <v>XXX</v>
      </c>
      <c r="N2222" s="105" t="str">
        <f>VLOOKUP(M2222,CAC!$A$2:$B$198,2,FALSE)</f>
        <v>XXX</v>
      </c>
    </row>
    <row r="2223" spans="5:14" x14ac:dyDescent="0.25">
      <c r="E2223" s="83">
        <v>201511</v>
      </c>
      <c r="F2223" s="82" t="s">
        <v>345</v>
      </c>
      <c r="G2223" s="82" t="s">
        <v>351</v>
      </c>
      <c r="H2223" s="82" t="s">
        <v>349</v>
      </c>
      <c r="I2223" s="95">
        <v>1</v>
      </c>
      <c r="K2223" s="105" t="str">
        <f t="shared" si="77"/>
        <v>0011-0000-0017</v>
      </c>
      <c r="L2223" s="105" t="e">
        <f>VLOOKUP(K2223,COA!$A$3:$B$337,2,FALSE)</f>
        <v>#N/A</v>
      </c>
      <c r="M2223" s="105" t="str">
        <f t="shared" si="78"/>
        <v>XXX</v>
      </c>
      <c r="N2223" s="105" t="str">
        <f>VLOOKUP(M2223,CAC!$A$2:$B$198,2,FALSE)</f>
        <v>XXX</v>
      </c>
    </row>
    <row r="2224" spans="5:14" x14ac:dyDescent="0.25">
      <c r="E2224" s="83">
        <v>201710</v>
      </c>
      <c r="F2224" s="82" t="s">
        <v>344</v>
      </c>
      <c r="G2224" s="82" t="s">
        <v>356</v>
      </c>
      <c r="H2224" s="82" t="s">
        <v>344</v>
      </c>
      <c r="I2224" s="95">
        <v>4311</v>
      </c>
      <c r="K2224" s="105" t="str">
        <f t="shared" si="77"/>
        <v>0012-1002-0012</v>
      </c>
      <c r="L2224" s="105" t="str">
        <f>VLOOKUP(K2224,COA!$A$3:$B$337,2,FALSE)</f>
        <v>F22</v>
      </c>
      <c r="M2224" s="105" t="str">
        <f t="shared" si="78"/>
        <v>F22</v>
      </c>
      <c r="N2224" s="105" t="str">
        <f>VLOOKUP(M2224,CAC!$A$2:$B$198,2,FALSE)</f>
        <v>HMOPMR</v>
      </c>
    </row>
    <row r="2225" spans="5:14" x14ac:dyDescent="0.25">
      <c r="E2225" s="83">
        <v>201510</v>
      </c>
      <c r="F2225" s="82" t="s">
        <v>563</v>
      </c>
      <c r="G2225" s="82" t="s">
        <v>352</v>
      </c>
      <c r="H2225" s="82" t="s">
        <v>344</v>
      </c>
      <c r="I2225" s="95">
        <v>0</v>
      </c>
      <c r="K2225" s="105" t="str">
        <f t="shared" si="77"/>
        <v>0003-1004-0012</v>
      </c>
      <c r="L2225" s="105" t="str">
        <f>VLOOKUP(K2225,COA!$A$3:$B$337,2,FALSE)</f>
        <v>L51</v>
      </c>
      <c r="M2225" s="105" t="str">
        <f t="shared" si="78"/>
        <v>L51</v>
      </c>
      <c r="N2225" s="105" t="str">
        <f>VLOOKUP(M2225,CAC!$A$2:$B$198,2,FALSE)</f>
        <v>PPOLG</v>
      </c>
    </row>
    <row r="2226" spans="5:14" x14ac:dyDescent="0.25">
      <c r="E2226" s="83">
        <v>201708</v>
      </c>
      <c r="F2226" s="82" t="s">
        <v>563</v>
      </c>
      <c r="G2226" s="82" t="s">
        <v>361</v>
      </c>
      <c r="H2226" s="82" t="s">
        <v>344</v>
      </c>
      <c r="I2226" s="95">
        <v>0</v>
      </c>
      <c r="K2226" s="105" t="str">
        <f t="shared" si="77"/>
        <v>0003-1003-0012</v>
      </c>
      <c r="L2226" s="105" t="str">
        <f>VLOOKUP(K2226,COA!$A$3:$B$337,2,FALSE)</f>
        <v>N61</v>
      </c>
      <c r="M2226" s="105" t="str">
        <f t="shared" si="78"/>
        <v>N61</v>
      </c>
      <c r="N2226" s="105" t="str">
        <f>VLOOKUP(M2226,CAC!$A$2:$B$198,2,FALSE)</f>
        <v>PPOPMR</v>
      </c>
    </row>
    <row r="2227" spans="5:14" x14ac:dyDescent="0.25">
      <c r="E2227" s="83">
        <v>201605</v>
      </c>
      <c r="F2227" s="82" t="s">
        <v>413</v>
      </c>
      <c r="G2227" s="82" t="s">
        <v>352</v>
      </c>
      <c r="H2227" s="82" t="s">
        <v>344</v>
      </c>
      <c r="I2227" s="95">
        <v>0</v>
      </c>
      <c r="K2227" s="105" t="str">
        <f t="shared" si="77"/>
        <v>0008-1004-0012</v>
      </c>
      <c r="L2227" s="105" t="str">
        <f>VLOOKUP(K2227,COA!$A$3:$B$337,2,FALSE)</f>
        <v>C93</v>
      </c>
      <c r="M2227" s="105" t="str">
        <f t="shared" si="78"/>
        <v>C93</v>
      </c>
      <c r="N2227" s="105" t="str">
        <f>VLOOKUP(M2227,CAC!$A$2:$B$198,2,FALSE)</f>
        <v>DOILG</v>
      </c>
    </row>
    <row r="2228" spans="5:14" x14ac:dyDescent="0.25">
      <c r="E2228" s="83">
        <v>201503</v>
      </c>
      <c r="F2228" s="82" t="s">
        <v>345</v>
      </c>
      <c r="G2228" s="82" t="s">
        <v>348</v>
      </c>
      <c r="H2228" s="82" t="s">
        <v>353</v>
      </c>
      <c r="I2228" s="95">
        <v>274</v>
      </c>
      <c r="K2228" s="105" t="str">
        <f t="shared" si="77"/>
        <v>0011-1010-0023</v>
      </c>
      <c r="L2228" s="105" t="str">
        <f>VLOOKUP(K2228,COA!$A$3:$B$337,2,FALSE)</f>
        <v>S13</v>
      </c>
      <c r="M2228" s="105" t="str">
        <f t="shared" si="78"/>
        <v>S13</v>
      </c>
      <c r="N2228" s="105" t="str">
        <f>VLOOKUP(M2228,CAC!$A$2:$B$198,2,FALSE)</f>
        <v>HMOSG</v>
      </c>
    </row>
    <row r="2229" spans="5:14" x14ac:dyDescent="0.25">
      <c r="E2229" s="83">
        <v>201508</v>
      </c>
      <c r="F2229" s="82" t="s">
        <v>345</v>
      </c>
      <c r="G2229" s="82" t="s">
        <v>348</v>
      </c>
      <c r="H2229" s="82" t="s">
        <v>358</v>
      </c>
      <c r="I2229" s="95">
        <v>55</v>
      </c>
      <c r="K2229" s="105" t="str">
        <f t="shared" si="77"/>
        <v>0011-1010-0024</v>
      </c>
      <c r="L2229" s="105" t="str">
        <f>VLOOKUP(K2229,COA!$A$3:$B$337,2,FALSE)</f>
        <v>S14</v>
      </c>
      <c r="M2229" s="105" t="str">
        <f t="shared" si="78"/>
        <v>S14</v>
      </c>
      <c r="N2229" s="105" t="str">
        <f>VLOOKUP(M2229,CAC!$A$2:$B$198,2,FALSE)</f>
        <v>HMOSG</v>
      </c>
    </row>
    <row r="2230" spans="5:14" x14ac:dyDescent="0.25">
      <c r="E2230" s="83">
        <v>201705</v>
      </c>
      <c r="F2230" s="82" t="s">
        <v>344</v>
      </c>
      <c r="G2230" s="82" t="s">
        <v>359</v>
      </c>
      <c r="H2230" s="82" t="s">
        <v>344</v>
      </c>
      <c r="I2230" s="95">
        <v>165</v>
      </c>
      <c r="K2230" s="105" t="str">
        <f t="shared" si="77"/>
        <v>0012-1005-0012</v>
      </c>
      <c r="L2230" s="105" t="str">
        <f>VLOOKUP(K2230,COA!$A$3:$B$337,2,FALSE)</f>
        <v>N13</v>
      </c>
      <c r="M2230" s="105" t="str">
        <f t="shared" si="78"/>
        <v>N13</v>
      </c>
      <c r="N2230" s="105" t="str">
        <f>VLOOKUP(M2230,CAC!$A$2:$B$198,2,FALSE)</f>
        <v>HMOLG</v>
      </c>
    </row>
    <row r="2231" spans="5:14" x14ac:dyDescent="0.25">
      <c r="E2231" s="83">
        <v>201708</v>
      </c>
      <c r="F2231" s="82" t="s">
        <v>563</v>
      </c>
      <c r="G2231" s="82" t="s">
        <v>365</v>
      </c>
      <c r="H2231" s="82" t="s">
        <v>798</v>
      </c>
      <c r="I2231" s="95">
        <v>0</v>
      </c>
      <c r="K2231" s="105" t="str">
        <f t="shared" si="77"/>
        <v>0003-1001-0065</v>
      </c>
      <c r="L2231" s="105" t="str">
        <f>VLOOKUP(K2231,COA!$A$3:$B$337,2,FALSE)</f>
        <v>V55</v>
      </c>
      <c r="M2231" s="105" t="str">
        <f t="shared" si="78"/>
        <v>V55</v>
      </c>
      <c r="N2231" s="105" t="e">
        <f>VLOOKUP(M2231,CAC!$A$2:$B$198,2,FALSE)</f>
        <v>#N/A</v>
      </c>
    </row>
    <row r="2232" spans="5:14" x14ac:dyDescent="0.25">
      <c r="E2232" s="83">
        <v>201610</v>
      </c>
      <c r="F2232" s="82" t="s">
        <v>563</v>
      </c>
      <c r="G2232" s="82" t="s">
        <v>354</v>
      </c>
      <c r="H2232" s="82" t="s">
        <v>344</v>
      </c>
      <c r="I2232" s="95">
        <v>0</v>
      </c>
      <c r="K2232" s="105" t="str">
        <f t="shared" si="77"/>
        <v>0003-1013-0012</v>
      </c>
      <c r="L2232" s="105" t="str">
        <f>VLOOKUP(K2232,COA!$A$3:$B$337,2,FALSE)</f>
        <v>N55</v>
      </c>
      <c r="M2232" s="105" t="str">
        <f t="shared" si="78"/>
        <v>N55</v>
      </c>
      <c r="N2232" s="105" t="str">
        <f>VLOOKUP(M2232,CAC!$A$2:$B$198,2,FALSE)</f>
        <v>PPOPMR</v>
      </c>
    </row>
    <row r="2233" spans="5:14" x14ac:dyDescent="0.25">
      <c r="E2233" s="83">
        <v>201509</v>
      </c>
      <c r="F2233" s="82" t="s">
        <v>345</v>
      </c>
      <c r="G2233" s="82" t="s">
        <v>346</v>
      </c>
      <c r="H2233" s="82" t="s">
        <v>360</v>
      </c>
      <c r="I2233" s="95">
        <v>402</v>
      </c>
      <c r="K2233" s="105" t="str">
        <f t="shared" si="77"/>
        <v>0011-1014-0048</v>
      </c>
      <c r="L2233" s="105" t="str">
        <f>VLOOKUP(K2233,COA!$A$3:$B$337,2,FALSE)</f>
        <v>K23</v>
      </c>
      <c r="M2233" s="105" t="str">
        <f t="shared" si="78"/>
        <v>K23</v>
      </c>
      <c r="N2233" s="105" t="str">
        <f>VLOOKUP(M2233,CAC!$A$2:$B$198,2,FALSE)</f>
        <v>HMFLEX</v>
      </c>
    </row>
    <row r="2234" spans="5:14" x14ac:dyDescent="0.25">
      <c r="E2234" s="83">
        <v>201610</v>
      </c>
      <c r="F2234" s="82" t="s">
        <v>344</v>
      </c>
      <c r="G2234" s="82" t="s">
        <v>355</v>
      </c>
      <c r="H2234" s="82" t="s">
        <v>344</v>
      </c>
      <c r="I2234" s="95">
        <v>81</v>
      </c>
      <c r="K2234" s="105" t="str">
        <f t="shared" si="77"/>
        <v>0012-1006-0012</v>
      </c>
      <c r="L2234" s="105" t="str">
        <f>VLOOKUP(K2234,COA!$A$3:$B$337,2,FALSE)</f>
        <v>L16</v>
      </c>
      <c r="M2234" s="105" t="str">
        <f t="shared" si="78"/>
        <v>L16</v>
      </c>
      <c r="N2234" s="105" t="str">
        <f>VLOOKUP(M2234,CAC!$A$2:$B$198,2,FALSE)</f>
        <v>HMOLG</v>
      </c>
    </row>
    <row r="2235" spans="5:14" x14ac:dyDescent="0.25">
      <c r="E2235" s="83">
        <v>201512</v>
      </c>
      <c r="F2235" s="82" t="s">
        <v>405</v>
      </c>
      <c r="G2235" s="82" t="s">
        <v>362</v>
      </c>
      <c r="H2235" s="82" t="s">
        <v>759</v>
      </c>
      <c r="I2235" s="95">
        <v>0</v>
      </c>
      <c r="K2235" s="105" t="str">
        <f t="shared" si="77"/>
        <v>0019-1008-0032</v>
      </c>
      <c r="L2235" s="105" t="str">
        <f>VLOOKUP(K2235,COA!$A$3:$B$337,2,FALSE)</f>
        <v>P58</v>
      </c>
      <c r="M2235" s="105" t="str">
        <f t="shared" si="78"/>
        <v>P58</v>
      </c>
      <c r="N2235" s="105" t="str">
        <f>VLOOKUP(M2235,CAC!$A$2:$B$198,2,FALSE)</f>
        <v>PERMEDA</v>
      </c>
    </row>
    <row r="2236" spans="5:14" x14ac:dyDescent="0.25">
      <c r="E2236" s="83">
        <v>201703</v>
      </c>
      <c r="F2236" s="82" t="s">
        <v>563</v>
      </c>
      <c r="G2236" s="82" t="s">
        <v>365</v>
      </c>
      <c r="H2236" s="82" t="s">
        <v>798</v>
      </c>
      <c r="I2236" s="95">
        <v>0</v>
      </c>
      <c r="K2236" s="105" t="str">
        <f t="shared" si="77"/>
        <v>0003-1001-0065</v>
      </c>
      <c r="L2236" s="105" t="str">
        <f>VLOOKUP(K2236,COA!$A$3:$B$337,2,FALSE)</f>
        <v>V55</v>
      </c>
      <c r="M2236" s="105" t="str">
        <f t="shared" si="78"/>
        <v>V55</v>
      </c>
      <c r="N2236" s="105" t="e">
        <f>VLOOKUP(M2236,CAC!$A$2:$B$198,2,FALSE)</f>
        <v>#N/A</v>
      </c>
    </row>
    <row r="2237" spans="5:14" x14ac:dyDescent="0.25">
      <c r="E2237" s="83">
        <v>201609</v>
      </c>
      <c r="F2237" s="82" t="s">
        <v>345</v>
      </c>
      <c r="G2237" s="82" t="s">
        <v>352</v>
      </c>
      <c r="H2237" s="82" t="s">
        <v>344</v>
      </c>
      <c r="I2237" s="95">
        <v>13108.17</v>
      </c>
      <c r="K2237" s="105" t="str">
        <f t="shared" si="77"/>
        <v>0011-1004-0012</v>
      </c>
      <c r="L2237" s="105" t="str">
        <f>VLOOKUP(K2237,COA!$A$3:$B$337,2,FALSE)</f>
        <v>L11</v>
      </c>
      <c r="M2237" s="105" t="str">
        <f t="shared" si="78"/>
        <v>L11</v>
      </c>
      <c r="N2237" s="105" t="str">
        <f>VLOOKUP(M2237,CAC!$A$2:$B$198,2,FALSE)</f>
        <v>HMOLG</v>
      </c>
    </row>
    <row r="2238" spans="5:14" x14ac:dyDescent="0.25">
      <c r="E2238" s="83">
        <v>201712</v>
      </c>
      <c r="F2238" s="82" t="s">
        <v>563</v>
      </c>
      <c r="G2238" s="82" t="s">
        <v>356</v>
      </c>
      <c r="H2238" s="82" t="s">
        <v>344</v>
      </c>
      <c r="I2238" s="95">
        <v>0</v>
      </c>
      <c r="K2238" s="105" t="str">
        <f t="shared" si="77"/>
        <v>0003-1002-0012</v>
      </c>
      <c r="L2238" s="105" t="str">
        <f>VLOOKUP(K2238,COA!$A$3:$B$337,2,FALSE)</f>
        <v>F61</v>
      </c>
      <c r="M2238" s="105" t="str">
        <f t="shared" si="78"/>
        <v>F61</v>
      </c>
      <c r="N2238" s="105" t="str">
        <f>VLOOKUP(M2238,CAC!$A$2:$B$198,2,FALSE)</f>
        <v>PPOPMR</v>
      </c>
    </row>
    <row r="2239" spans="5:14" x14ac:dyDescent="0.25">
      <c r="E2239" s="83">
        <v>201608</v>
      </c>
      <c r="F2239" s="82" t="s">
        <v>344</v>
      </c>
      <c r="G2239" s="82" t="s">
        <v>354</v>
      </c>
      <c r="H2239" s="82" t="s">
        <v>344</v>
      </c>
      <c r="I2239" s="95">
        <v>290</v>
      </c>
      <c r="K2239" s="105" t="str">
        <f t="shared" si="77"/>
        <v>0012-1013-0012</v>
      </c>
      <c r="L2239" s="105" t="str">
        <f>VLOOKUP(K2239,COA!$A$3:$B$337,2,FALSE)</f>
        <v>N14</v>
      </c>
      <c r="M2239" s="105" t="str">
        <f t="shared" si="78"/>
        <v>N14</v>
      </c>
      <c r="N2239" s="105" t="str">
        <f>VLOOKUP(M2239,CAC!$A$2:$B$198,2,FALSE)</f>
        <v>HMOPMR</v>
      </c>
    </row>
    <row r="2240" spans="5:14" x14ac:dyDescent="0.25">
      <c r="E2240" s="83">
        <v>201703</v>
      </c>
      <c r="F2240" s="82" t="s">
        <v>345</v>
      </c>
      <c r="G2240" s="82" t="s">
        <v>348</v>
      </c>
      <c r="H2240" s="82" t="s">
        <v>349</v>
      </c>
      <c r="I2240" s="95">
        <v>26390.68</v>
      </c>
      <c r="K2240" s="105" t="str">
        <f t="shared" si="77"/>
        <v>0011-1010-0017</v>
      </c>
      <c r="L2240" s="105" t="str">
        <f>VLOOKUP(K2240,COA!$A$3:$B$337,2,FALSE)</f>
        <v>S11</v>
      </c>
      <c r="M2240" s="105" t="str">
        <f t="shared" si="78"/>
        <v>S11</v>
      </c>
      <c r="N2240" s="105" t="str">
        <f>VLOOKUP(M2240,CAC!$A$2:$B$198,2,FALSE)</f>
        <v>HMOSG</v>
      </c>
    </row>
    <row r="2241" spans="5:14" x14ac:dyDescent="0.25">
      <c r="E2241" s="83">
        <v>201503</v>
      </c>
      <c r="F2241" s="82" t="s">
        <v>349</v>
      </c>
      <c r="G2241" s="82" t="s">
        <v>369</v>
      </c>
      <c r="H2241" s="82" t="s">
        <v>344</v>
      </c>
      <c r="I2241" s="95">
        <v>35826</v>
      </c>
      <c r="K2241" s="105" t="str">
        <f t="shared" si="77"/>
        <v>0017-1009-0012</v>
      </c>
      <c r="L2241" s="105" t="str">
        <f>VLOOKUP(K2241,COA!$A$3:$B$337,2,FALSE)</f>
        <v>R12</v>
      </c>
      <c r="M2241" s="105" t="str">
        <f t="shared" si="78"/>
        <v>R12</v>
      </c>
      <c r="N2241" s="105" t="str">
        <f>VLOOKUP(M2241,CAC!$A$2:$B$198,2,FALSE)</f>
        <v>HMOMM</v>
      </c>
    </row>
    <row r="2242" spans="5:14" x14ac:dyDescent="0.25">
      <c r="E2242" s="83">
        <v>201601</v>
      </c>
      <c r="F2242" s="82" t="s">
        <v>563</v>
      </c>
      <c r="G2242" s="82" t="s">
        <v>352</v>
      </c>
      <c r="H2242" s="82" t="s">
        <v>653</v>
      </c>
      <c r="I2242" s="95">
        <v>0</v>
      </c>
      <c r="K2242" s="105" t="str">
        <f t="shared" si="77"/>
        <v>0003-1004-0047</v>
      </c>
      <c r="L2242" s="105" t="str">
        <f>VLOOKUP(K2242,COA!$A$3:$B$337,2,FALSE)</f>
        <v>L57</v>
      </c>
      <c r="M2242" s="105" t="str">
        <f t="shared" si="78"/>
        <v>L57</v>
      </c>
      <c r="N2242" s="105" t="str">
        <f>VLOOKUP(M2242,CAC!$A$2:$B$198,2,FALSE)</f>
        <v>PPOLG</v>
      </c>
    </row>
    <row r="2243" spans="5:14" x14ac:dyDescent="0.25">
      <c r="E2243" s="83">
        <v>201607</v>
      </c>
      <c r="F2243" s="82" t="s">
        <v>746</v>
      </c>
      <c r="G2243" s="82" t="s">
        <v>356</v>
      </c>
      <c r="H2243" s="82" t="s">
        <v>764</v>
      </c>
      <c r="I2243" s="95">
        <v>9</v>
      </c>
      <c r="K2243" s="105" t="str">
        <f t="shared" si="77"/>
        <v>0016-1002-0064</v>
      </c>
      <c r="L2243" s="105" t="str">
        <f>VLOOKUP(K2243,COA!$A$3:$B$337,2,FALSE)</f>
        <v>R25</v>
      </c>
      <c r="M2243" s="105" t="str">
        <f t="shared" si="78"/>
        <v>R25</v>
      </c>
      <c r="N2243" s="105" t="str">
        <f>VLOOKUP(M2243,CAC!$A$2:$B$198,2,FALSE)</f>
        <v>HMOMG</v>
      </c>
    </row>
    <row r="2244" spans="5:14" x14ac:dyDescent="0.25">
      <c r="E2244" s="83">
        <v>201505</v>
      </c>
      <c r="F2244" s="82" t="s">
        <v>563</v>
      </c>
      <c r="G2244" s="82" t="s">
        <v>355</v>
      </c>
      <c r="H2244" s="82" t="s">
        <v>344</v>
      </c>
      <c r="I2244" s="95">
        <v>0</v>
      </c>
      <c r="K2244" s="105" t="str">
        <f t="shared" ref="K2244:K2307" si="79">F2244&amp;"-"&amp;G2244&amp;"-"&amp;H2244</f>
        <v>0003-1006-0012</v>
      </c>
      <c r="L2244" s="105" t="str">
        <f>VLOOKUP(K2244,COA!$A$3:$B$337,2,FALSE)</f>
        <v>L52</v>
      </c>
      <c r="M2244" s="105" t="str">
        <f t="shared" ref="M2244:M2307" si="80">IF(ISNA(L2244),"XXX",L2244)</f>
        <v>L52</v>
      </c>
      <c r="N2244" s="105" t="str">
        <f>VLOOKUP(M2244,CAC!$A$2:$B$198,2,FALSE)</f>
        <v>PPOLG</v>
      </c>
    </row>
    <row r="2245" spans="5:14" x14ac:dyDescent="0.25">
      <c r="E2245" s="83">
        <v>201606</v>
      </c>
      <c r="F2245" s="82" t="s">
        <v>345</v>
      </c>
      <c r="G2245" s="82" t="s">
        <v>354</v>
      </c>
      <c r="H2245" s="82" t="s">
        <v>344</v>
      </c>
      <c r="I2245" s="95">
        <v>6710.06</v>
      </c>
      <c r="K2245" s="105" t="str">
        <f t="shared" si="79"/>
        <v>0011-1013-0012</v>
      </c>
      <c r="L2245" s="105" t="str">
        <f>VLOOKUP(K2245,COA!$A$3:$B$337,2,FALSE)</f>
        <v>N20</v>
      </c>
      <c r="M2245" s="105" t="str">
        <f t="shared" si="80"/>
        <v>N20</v>
      </c>
      <c r="N2245" s="105" t="str">
        <f>VLOOKUP(M2245,CAC!$A$2:$B$198,2,FALSE)</f>
        <v>HMOPMR</v>
      </c>
    </row>
    <row r="2246" spans="5:14" x14ac:dyDescent="0.25">
      <c r="E2246" s="83">
        <v>201608</v>
      </c>
      <c r="F2246" s="82" t="s">
        <v>342</v>
      </c>
      <c r="G2246" s="82" t="s">
        <v>343</v>
      </c>
      <c r="H2246" s="82" t="s">
        <v>344</v>
      </c>
      <c r="I2246" s="95">
        <v>6060.52</v>
      </c>
      <c r="K2246" s="105" t="str">
        <f t="shared" si="79"/>
        <v>0031-1000-0012</v>
      </c>
      <c r="L2246" s="105" t="str">
        <f>VLOOKUP(K2246,COA!$A$3:$B$337,2,FALSE)</f>
        <v>F27</v>
      </c>
      <c r="M2246" s="105" t="str">
        <f t="shared" si="80"/>
        <v>F27</v>
      </c>
      <c r="N2246" s="105" t="str">
        <f>VLOOKUP(M2246,CAC!$A$2:$B$198,2,FALSE)</f>
        <v>HMOFEP</v>
      </c>
    </row>
    <row r="2247" spans="5:14" x14ac:dyDescent="0.25">
      <c r="E2247" s="83">
        <v>201507</v>
      </c>
      <c r="F2247" s="82" t="s">
        <v>345</v>
      </c>
      <c r="G2247" s="82" t="s">
        <v>348</v>
      </c>
      <c r="H2247" s="82" t="s">
        <v>349</v>
      </c>
      <c r="I2247" s="95">
        <v>17596.990000000002</v>
      </c>
      <c r="K2247" s="105" t="str">
        <f t="shared" si="79"/>
        <v>0011-1010-0017</v>
      </c>
      <c r="L2247" s="105" t="str">
        <f>VLOOKUP(K2247,COA!$A$3:$B$337,2,FALSE)</f>
        <v>S11</v>
      </c>
      <c r="M2247" s="105" t="str">
        <f t="shared" si="80"/>
        <v>S11</v>
      </c>
      <c r="N2247" s="105" t="str">
        <f>VLOOKUP(M2247,CAC!$A$2:$B$198,2,FALSE)</f>
        <v>HMOSG</v>
      </c>
    </row>
    <row r="2248" spans="5:14" x14ac:dyDescent="0.25">
      <c r="E2248" s="83">
        <v>201709</v>
      </c>
      <c r="F2248" s="82" t="s">
        <v>413</v>
      </c>
      <c r="G2248" s="82" t="s">
        <v>355</v>
      </c>
      <c r="H2248" s="82" t="s">
        <v>344</v>
      </c>
      <c r="I2248" s="95">
        <v>0</v>
      </c>
      <c r="K2248" s="105" t="str">
        <f t="shared" si="79"/>
        <v>0008-1006-0012</v>
      </c>
      <c r="L2248" s="105" t="str">
        <f>VLOOKUP(K2248,COA!$A$3:$B$337,2,FALSE)</f>
        <v>C96</v>
      </c>
      <c r="M2248" s="105" t="str">
        <f t="shared" si="80"/>
        <v>C96</v>
      </c>
      <c r="N2248" s="105" t="str">
        <f>VLOOKUP(M2248,CAC!$A$2:$B$198,2,FALSE)</f>
        <v>DOILG</v>
      </c>
    </row>
    <row r="2249" spans="5:14" x14ac:dyDescent="0.25">
      <c r="E2249" s="83">
        <v>201701</v>
      </c>
      <c r="F2249" s="82" t="s">
        <v>563</v>
      </c>
      <c r="G2249" s="82" t="s">
        <v>351</v>
      </c>
      <c r="H2249" s="82" t="s">
        <v>349</v>
      </c>
      <c r="I2249" s="95">
        <v>0</v>
      </c>
      <c r="K2249" s="105" t="str">
        <f t="shared" si="79"/>
        <v>0003-0000-0017</v>
      </c>
      <c r="L2249" s="105" t="e">
        <f>VLOOKUP(K2249,COA!$A$3:$B$337,2,FALSE)</f>
        <v>#N/A</v>
      </c>
      <c r="M2249" s="105" t="str">
        <f t="shared" si="80"/>
        <v>XXX</v>
      </c>
      <c r="N2249" s="105" t="str">
        <f>VLOOKUP(M2249,CAC!$A$2:$B$198,2,FALSE)</f>
        <v>XXX</v>
      </c>
    </row>
    <row r="2250" spans="5:14" x14ac:dyDescent="0.25">
      <c r="E2250" s="83">
        <v>201801</v>
      </c>
      <c r="F2250" s="82" t="s">
        <v>405</v>
      </c>
      <c r="G2250" s="82" t="s">
        <v>362</v>
      </c>
      <c r="H2250" s="82" t="s">
        <v>342</v>
      </c>
      <c r="I2250" s="95">
        <v>0</v>
      </c>
      <c r="K2250" s="105" t="str">
        <f t="shared" si="79"/>
        <v>0019-1008-0031</v>
      </c>
      <c r="L2250" s="105" t="str">
        <f>VLOOKUP(K2250,COA!$A$3:$B$337,2,FALSE)</f>
        <v>P53</v>
      </c>
      <c r="M2250" s="105" t="str">
        <f t="shared" si="80"/>
        <v>P53</v>
      </c>
      <c r="N2250" s="105" t="str">
        <f>VLOOKUP(M2250,CAC!$A$2:$B$198,2,FALSE)</f>
        <v>HMOPERA</v>
      </c>
    </row>
    <row r="2251" spans="5:14" x14ac:dyDescent="0.25">
      <c r="E2251" s="83">
        <v>201601</v>
      </c>
      <c r="F2251" s="82" t="s">
        <v>345</v>
      </c>
      <c r="G2251" s="82" t="s">
        <v>350</v>
      </c>
      <c r="H2251" s="82" t="s">
        <v>357</v>
      </c>
      <c r="I2251" s="95">
        <v>665</v>
      </c>
      <c r="K2251" s="105" t="str">
        <f t="shared" si="79"/>
        <v>0011-1012-0038</v>
      </c>
      <c r="L2251" s="105" t="str">
        <f>VLOOKUP(K2251,COA!$A$3:$B$337,2,FALSE)</f>
        <v>K14</v>
      </c>
      <c r="M2251" s="105" t="str">
        <f t="shared" si="80"/>
        <v>K14</v>
      </c>
      <c r="N2251" s="105" t="str">
        <f>VLOOKUP(M2251,CAC!$A$2:$B$198,2,FALSE)</f>
        <v>HMOPMR</v>
      </c>
    </row>
    <row r="2252" spans="5:14" x14ac:dyDescent="0.25">
      <c r="E2252" s="83">
        <v>201603</v>
      </c>
      <c r="F2252" s="82" t="s">
        <v>563</v>
      </c>
      <c r="G2252" s="82" t="s">
        <v>348</v>
      </c>
      <c r="H2252" s="82" t="s">
        <v>353</v>
      </c>
      <c r="I2252" s="95">
        <v>0</v>
      </c>
      <c r="K2252" s="105" t="str">
        <f t="shared" si="79"/>
        <v>0003-1010-0023</v>
      </c>
      <c r="L2252" s="105" t="str">
        <f>VLOOKUP(K2252,COA!$A$3:$B$337,2,FALSE)</f>
        <v>S54</v>
      </c>
      <c r="M2252" s="105" t="str">
        <f t="shared" si="80"/>
        <v>S54</v>
      </c>
      <c r="N2252" s="105" t="str">
        <f>VLOOKUP(M2252,CAC!$A$2:$B$198,2,FALSE)</f>
        <v>PPOSG</v>
      </c>
    </row>
    <row r="2253" spans="5:14" x14ac:dyDescent="0.25">
      <c r="E2253" s="83">
        <v>201801</v>
      </c>
      <c r="F2253" s="82" t="s">
        <v>342</v>
      </c>
      <c r="G2253" s="82" t="s">
        <v>343</v>
      </c>
      <c r="H2253" s="82" t="s">
        <v>344</v>
      </c>
      <c r="I2253" s="95">
        <v>5304.06</v>
      </c>
      <c r="K2253" s="105" t="str">
        <f t="shared" si="79"/>
        <v>0031-1000-0012</v>
      </c>
      <c r="L2253" s="105" t="str">
        <f>VLOOKUP(K2253,COA!$A$3:$B$337,2,FALSE)</f>
        <v>F27</v>
      </c>
      <c r="M2253" s="105" t="str">
        <f t="shared" si="80"/>
        <v>F27</v>
      </c>
      <c r="N2253" s="105" t="str">
        <f>VLOOKUP(M2253,CAC!$A$2:$B$198,2,FALSE)</f>
        <v>HMOFEP</v>
      </c>
    </row>
    <row r="2254" spans="5:14" x14ac:dyDescent="0.25">
      <c r="E2254" s="83">
        <v>201506</v>
      </c>
      <c r="F2254" s="82" t="s">
        <v>345</v>
      </c>
      <c r="G2254" s="82" t="s">
        <v>355</v>
      </c>
      <c r="H2254" s="82" t="s">
        <v>344</v>
      </c>
      <c r="I2254" s="95">
        <v>24641.759999999998</v>
      </c>
      <c r="K2254" s="105" t="str">
        <f t="shared" si="79"/>
        <v>0011-1006-0012</v>
      </c>
      <c r="L2254" s="105" t="str">
        <f>VLOOKUP(K2254,COA!$A$3:$B$337,2,FALSE)</f>
        <v>L13</v>
      </c>
      <c r="M2254" s="105" t="str">
        <f t="shared" si="80"/>
        <v>L13</v>
      </c>
      <c r="N2254" s="105" t="str">
        <f>VLOOKUP(M2254,CAC!$A$2:$B$198,2,FALSE)</f>
        <v>HMOLG</v>
      </c>
    </row>
    <row r="2255" spans="5:14" x14ac:dyDescent="0.25">
      <c r="E2255" s="83">
        <v>201702</v>
      </c>
      <c r="F2255" s="82" t="s">
        <v>344</v>
      </c>
      <c r="G2255" s="82" t="s">
        <v>352</v>
      </c>
      <c r="H2255" s="82" t="s">
        <v>360</v>
      </c>
      <c r="I2255" s="95">
        <v>218</v>
      </c>
      <c r="K2255" s="105" t="str">
        <f t="shared" si="79"/>
        <v>0012-1004-0048</v>
      </c>
      <c r="L2255" s="105" t="str">
        <f>VLOOKUP(K2255,COA!$A$3:$B$337,2,FALSE)</f>
        <v>L22</v>
      </c>
      <c r="M2255" s="105" t="str">
        <f t="shared" si="80"/>
        <v>L22</v>
      </c>
      <c r="N2255" s="105" t="str">
        <f>VLOOKUP(M2255,CAC!$A$2:$B$198,2,FALSE)</f>
        <v>HMFLEX</v>
      </c>
    </row>
    <row r="2256" spans="5:14" x14ac:dyDescent="0.25">
      <c r="E2256" s="83">
        <v>201605</v>
      </c>
      <c r="F2256" s="82" t="s">
        <v>344</v>
      </c>
      <c r="G2256" s="82" t="s">
        <v>350</v>
      </c>
      <c r="H2256" s="82" t="s">
        <v>344</v>
      </c>
      <c r="I2256" s="95">
        <v>108</v>
      </c>
      <c r="K2256" s="105" t="str">
        <f t="shared" si="79"/>
        <v>0012-1012-0012</v>
      </c>
      <c r="L2256" s="105" t="str">
        <f>VLOOKUP(K2256,COA!$A$3:$B$337,2,FALSE)</f>
        <v>K12</v>
      </c>
      <c r="M2256" s="105" t="str">
        <f t="shared" si="80"/>
        <v>K12</v>
      </c>
      <c r="N2256" s="105" t="str">
        <f>VLOOKUP(M2256,CAC!$A$2:$B$198,2,FALSE)</f>
        <v>HMOPMR</v>
      </c>
    </row>
    <row r="2257" spans="5:16" x14ac:dyDescent="0.25">
      <c r="E2257" s="83">
        <v>201604</v>
      </c>
      <c r="F2257" s="82" t="s">
        <v>506</v>
      </c>
      <c r="G2257" s="82" t="s">
        <v>352</v>
      </c>
      <c r="H2257" s="82" t="s">
        <v>592</v>
      </c>
      <c r="I2257" s="95">
        <v>0</v>
      </c>
      <c r="K2257" s="105" t="str">
        <f t="shared" si="79"/>
        <v>0013-1004-0035</v>
      </c>
      <c r="L2257" s="105" t="str">
        <f>VLOOKUP(K2257,COA!$A$3:$B$337,2,FALSE)</f>
        <v>L41</v>
      </c>
      <c r="M2257" s="105" t="str">
        <f t="shared" si="80"/>
        <v>L41</v>
      </c>
      <c r="N2257" s="105" t="e">
        <f>VLOOKUP(M2257,CAC!$A$2:$B$198,2,FALSE)</f>
        <v>#N/A</v>
      </c>
    </row>
    <row r="2258" spans="5:16" x14ac:dyDescent="0.25">
      <c r="E2258" s="83">
        <v>201604</v>
      </c>
      <c r="F2258" s="82" t="s">
        <v>345</v>
      </c>
      <c r="G2258" s="82" t="s">
        <v>348</v>
      </c>
      <c r="H2258" s="82" t="s">
        <v>358</v>
      </c>
      <c r="I2258" s="95">
        <v>87</v>
      </c>
      <c r="K2258" s="105" t="str">
        <f t="shared" si="79"/>
        <v>0011-1010-0024</v>
      </c>
      <c r="L2258" s="105" t="str">
        <f>VLOOKUP(K2258,COA!$A$3:$B$337,2,FALSE)</f>
        <v>S14</v>
      </c>
      <c r="M2258" s="105" t="str">
        <f t="shared" si="80"/>
        <v>S14</v>
      </c>
      <c r="N2258" s="105" t="str">
        <f>VLOOKUP(M2258,CAC!$A$2:$B$198,2,FALSE)</f>
        <v>HMOSG</v>
      </c>
    </row>
    <row r="2259" spans="5:16" x14ac:dyDescent="0.25">
      <c r="E2259" s="83">
        <v>201505</v>
      </c>
      <c r="F2259" s="82" t="s">
        <v>413</v>
      </c>
      <c r="G2259" s="82" t="s">
        <v>348</v>
      </c>
      <c r="H2259" s="82" t="s">
        <v>349</v>
      </c>
      <c r="I2259" s="95">
        <v>0</v>
      </c>
      <c r="K2259" s="105" t="str">
        <f t="shared" si="79"/>
        <v>0008-1010-0017</v>
      </c>
      <c r="L2259" s="105" t="str">
        <f>VLOOKUP(K2259,COA!$A$3:$B$337,2,FALSE)</f>
        <v>C94</v>
      </c>
      <c r="M2259" s="105" t="str">
        <f t="shared" si="80"/>
        <v>C94</v>
      </c>
      <c r="N2259" s="105" t="str">
        <f>VLOOKUP(M2259,CAC!$A$2:$B$198,2,FALSE)</f>
        <v>DOISG</v>
      </c>
      <c r="O2259" s="82"/>
      <c r="P2259" s="82"/>
    </row>
    <row r="2260" spans="5:16" x14ac:dyDescent="0.25">
      <c r="E2260" s="83">
        <v>201611</v>
      </c>
      <c r="F2260" s="82" t="s">
        <v>563</v>
      </c>
      <c r="G2260" s="82" t="s">
        <v>365</v>
      </c>
      <c r="H2260" s="82" t="s">
        <v>344</v>
      </c>
      <c r="I2260" s="95">
        <v>0</v>
      </c>
      <c r="K2260" s="105" t="str">
        <f t="shared" si="79"/>
        <v>0003-1001-0012</v>
      </c>
      <c r="L2260" s="105" t="str">
        <f>VLOOKUP(K2260,COA!$A$3:$B$337,2,FALSE)</f>
        <v>V51</v>
      </c>
      <c r="M2260" s="105" t="str">
        <f t="shared" si="80"/>
        <v>V51</v>
      </c>
      <c r="N2260" s="105" t="str">
        <f>VLOOKUP(M2260,CAC!$A$2:$B$198,2,FALSE)</f>
        <v>PPOIFP</v>
      </c>
    </row>
    <row r="2261" spans="5:16" x14ac:dyDescent="0.25">
      <c r="E2261" s="83">
        <v>201602</v>
      </c>
      <c r="F2261" s="82" t="s">
        <v>506</v>
      </c>
      <c r="G2261" s="82" t="s">
        <v>350</v>
      </c>
      <c r="H2261" s="82" t="s">
        <v>592</v>
      </c>
      <c r="I2261" s="95">
        <v>0</v>
      </c>
      <c r="K2261" s="105" t="str">
        <f t="shared" si="79"/>
        <v>0013-1012-0035</v>
      </c>
      <c r="L2261" s="105" t="str">
        <f>VLOOKUP(K2261,COA!$A$3:$B$337,2,FALSE)</f>
        <v>K41</v>
      </c>
      <c r="M2261" s="105" t="str">
        <f t="shared" si="80"/>
        <v>K41</v>
      </c>
      <c r="N2261" s="105" t="e">
        <f>VLOOKUP(M2261,CAC!$A$2:$B$198,2,FALSE)</f>
        <v>#N/A</v>
      </c>
    </row>
    <row r="2262" spans="5:16" x14ac:dyDescent="0.25">
      <c r="E2262" s="83">
        <v>201608</v>
      </c>
      <c r="F2262" s="82" t="s">
        <v>344</v>
      </c>
      <c r="G2262" s="82" t="s">
        <v>361</v>
      </c>
      <c r="H2262" s="82" t="s">
        <v>344</v>
      </c>
      <c r="I2262" s="95">
        <v>9508.51</v>
      </c>
      <c r="K2262" s="105" t="str">
        <f t="shared" si="79"/>
        <v>0012-1003-0012</v>
      </c>
      <c r="L2262" s="105" t="str">
        <f>VLOOKUP(K2262,COA!$A$3:$B$337,2,FALSE)</f>
        <v>N15</v>
      </c>
      <c r="M2262" s="105" t="str">
        <f t="shared" si="80"/>
        <v>N15</v>
      </c>
      <c r="N2262" s="105" t="str">
        <f>VLOOKUP(M2262,CAC!$A$2:$B$198,2,FALSE)</f>
        <v>HMOPMR</v>
      </c>
    </row>
    <row r="2263" spans="5:16" x14ac:dyDescent="0.25">
      <c r="E2263" s="83">
        <v>201607</v>
      </c>
      <c r="F2263" s="82" t="s">
        <v>563</v>
      </c>
      <c r="G2263" s="82" t="s">
        <v>352</v>
      </c>
      <c r="H2263" s="82" t="s">
        <v>344</v>
      </c>
      <c r="I2263" s="95">
        <v>0</v>
      </c>
      <c r="K2263" s="105" t="str">
        <f t="shared" si="79"/>
        <v>0003-1004-0012</v>
      </c>
      <c r="L2263" s="105" t="str">
        <f>VLOOKUP(K2263,COA!$A$3:$B$337,2,FALSE)</f>
        <v>L51</v>
      </c>
      <c r="M2263" s="105" t="str">
        <f t="shared" si="80"/>
        <v>L51</v>
      </c>
      <c r="N2263" s="105" t="str">
        <f>VLOOKUP(M2263,CAC!$A$2:$B$198,2,FALSE)</f>
        <v>PPOLG</v>
      </c>
    </row>
    <row r="2264" spans="5:16" x14ac:dyDescent="0.25">
      <c r="E2264" s="83">
        <v>201609</v>
      </c>
      <c r="F2264" s="82" t="s">
        <v>563</v>
      </c>
      <c r="G2264" s="82" t="s">
        <v>352</v>
      </c>
      <c r="H2264" s="82" t="s">
        <v>344</v>
      </c>
      <c r="I2264" s="95">
        <v>0</v>
      </c>
      <c r="K2264" s="105" t="str">
        <f t="shared" si="79"/>
        <v>0003-1004-0012</v>
      </c>
      <c r="L2264" s="105" t="str">
        <f>VLOOKUP(K2264,COA!$A$3:$B$337,2,FALSE)</f>
        <v>L51</v>
      </c>
      <c r="M2264" s="105" t="str">
        <f t="shared" si="80"/>
        <v>L51</v>
      </c>
      <c r="N2264" s="105" t="str">
        <f>VLOOKUP(M2264,CAC!$A$2:$B$198,2,FALSE)</f>
        <v>PPOLG</v>
      </c>
    </row>
    <row r="2265" spans="5:16" x14ac:dyDescent="0.25">
      <c r="E2265" s="83">
        <v>201707</v>
      </c>
      <c r="F2265" s="82" t="s">
        <v>345</v>
      </c>
      <c r="G2265" s="82" t="s">
        <v>359</v>
      </c>
      <c r="H2265" s="82" t="s">
        <v>344</v>
      </c>
      <c r="I2265" s="95">
        <v>6608</v>
      </c>
      <c r="K2265" s="105" t="str">
        <f t="shared" si="79"/>
        <v>0011-1005-0012</v>
      </c>
      <c r="L2265" s="105" t="str">
        <f>VLOOKUP(K2265,COA!$A$3:$B$337,2,FALSE)</f>
        <v>N11</v>
      </c>
      <c r="M2265" s="105" t="str">
        <f t="shared" si="80"/>
        <v>N11</v>
      </c>
      <c r="N2265" s="105" t="str">
        <f>VLOOKUP(M2265,CAC!$A$2:$B$198,2,FALSE)</f>
        <v>HMOLG</v>
      </c>
    </row>
    <row r="2266" spans="5:16" x14ac:dyDescent="0.25">
      <c r="E2266" s="83">
        <v>201509</v>
      </c>
      <c r="F2266" s="82" t="s">
        <v>746</v>
      </c>
      <c r="G2266" s="82" t="s">
        <v>362</v>
      </c>
      <c r="H2266" s="82" t="s">
        <v>364</v>
      </c>
      <c r="I2266" s="95">
        <v>5945</v>
      </c>
      <c r="K2266" s="105" t="str">
        <f t="shared" si="79"/>
        <v>0016-1008-0037</v>
      </c>
      <c r="L2266" s="105" t="str">
        <f>VLOOKUP(K2266,COA!$A$3:$B$337,2,FALSE)</f>
        <v>R24</v>
      </c>
      <c r="M2266" s="105" t="str">
        <f t="shared" si="80"/>
        <v>R24</v>
      </c>
      <c r="N2266" s="105" t="str">
        <f>VLOOKUP(M2266,CAC!$A$2:$B$198,2,FALSE)</f>
        <v>PERMAPD</v>
      </c>
    </row>
    <row r="2267" spans="5:16" x14ac:dyDescent="0.25">
      <c r="E2267" s="83">
        <v>201611</v>
      </c>
      <c r="F2267" s="82" t="s">
        <v>413</v>
      </c>
      <c r="G2267" s="82" t="s">
        <v>352</v>
      </c>
      <c r="H2267" s="82" t="s">
        <v>344</v>
      </c>
      <c r="I2267" s="95">
        <v>0</v>
      </c>
      <c r="K2267" s="105" t="str">
        <f t="shared" si="79"/>
        <v>0008-1004-0012</v>
      </c>
      <c r="L2267" s="105" t="str">
        <f>VLOOKUP(K2267,COA!$A$3:$B$337,2,FALSE)</f>
        <v>C93</v>
      </c>
      <c r="M2267" s="105" t="str">
        <f t="shared" si="80"/>
        <v>C93</v>
      </c>
      <c r="N2267" s="105" t="str">
        <f>VLOOKUP(M2267,CAC!$A$2:$B$198,2,FALSE)</f>
        <v>DOILG</v>
      </c>
    </row>
    <row r="2268" spans="5:16" x14ac:dyDescent="0.25">
      <c r="E2268" s="83">
        <v>201711</v>
      </c>
      <c r="F2268" s="82" t="s">
        <v>345</v>
      </c>
      <c r="G2268" s="82" t="s">
        <v>362</v>
      </c>
      <c r="H2268" s="82" t="s">
        <v>364</v>
      </c>
      <c r="I2268" s="95">
        <v>46479.47</v>
      </c>
      <c r="K2268" s="105" t="str">
        <f t="shared" si="79"/>
        <v>0011-1008-0037</v>
      </c>
      <c r="L2268" s="105" t="str">
        <f>VLOOKUP(K2268,COA!$A$3:$B$337,2,FALSE)</f>
        <v>P12</v>
      </c>
      <c r="M2268" s="105" t="str">
        <f t="shared" si="80"/>
        <v>P12</v>
      </c>
      <c r="N2268" s="105" t="str">
        <f>VLOOKUP(M2268,CAC!$A$2:$B$198,2,FALSE)</f>
        <v>HMOPERA</v>
      </c>
    </row>
    <row r="2269" spans="5:16" x14ac:dyDescent="0.25">
      <c r="E2269" s="83">
        <v>201709</v>
      </c>
      <c r="F2269" s="82" t="s">
        <v>345</v>
      </c>
      <c r="G2269" s="82" t="s">
        <v>352</v>
      </c>
      <c r="H2269" s="82" t="s">
        <v>360</v>
      </c>
      <c r="I2269" s="95">
        <v>226</v>
      </c>
      <c r="K2269" s="105" t="str">
        <f t="shared" si="79"/>
        <v>0011-1004-0048</v>
      </c>
      <c r="L2269" s="105" t="str">
        <f>VLOOKUP(K2269,COA!$A$3:$B$337,2,FALSE)</f>
        <v>L21</v>
      </c>
      <c r="M2269" s="105" t="str">
        <f t="shared" si="80"/>
        <v>L21</v>
      </c>
      <c r="N2269" s="105" t="str">
        <f>VLOOKUP(M2269,CAC!$A$2:$B$198,2,FALSE)</f>
        <v>HMFLEX</v>
      </c>
    </row>
    <row r="2270" spans="5:16" x14ac:dyDescent="0.25">
      <c r="E2270" s="83">
        <v>201508</v>
      </c>
      <c r="F2270" s="82" t="s">
        <v>506</v>
      </c>
      <c r="G2270" s="82" t="s">
        <v>352</v>
      </c>
      <c r="H2270" s="82" t="s">
        <v>592</v>
      </c>
      <c r="I2270" s="95">
        <v>0</v>
      </c>
      <c r="K2270" s="105" t="str">
        <f t="shared" si="79"/>
        <v>0013-1004-0035</v>
      </c>
      <c r="L2270" s="105" t="str">
        <f>VLOOKUP(K2270,COA!$A$3:$B$337,2,FALSE)</f>
        <v>L41</v>
      </c>
      <c r="M2270" s="105" t="str">
        <f t="shared" si="80"/>
        <v>L41</v>
      </c>
      <c r="N2270" s="105" t="e">
        <f>VLOOKUP(M2270,CAC!$A$2:$B$198,2,FALSE)</f>
        <v>#N/A</v>
      </c>
    </row>
    <row r="2271" spans="5:16" x14ac:dyDescent="0.25">
      <c r="E2271" s="83">
        <v>201704</v>
      </c>
      <c r="F2271" s="82" t="s">
        <v>563</v>
      </c>
      <c r="G2271" s="82" t="s">
        <v>350</v>
      </c>
      <c r="H2271" s="82" t="s">
        <v>626</v>
      </c>
      <c r="I2271" s="95">
        <v>0</v>
      </c>
      <c r="K2271" s="105" t="str">
        <f t="shared" si="79"/>
        <v>0003-1012-0057</v>
      </c>
      <c r="L2271" s="105" t="str">
        <f>VLOOKUP(K2271,COA!$A$3:$B$337,2,FALSE)</f>
        <v>K51</v>
      </c>
      <c r="M2271" s="105" t="str">
        <f t="shared" si="80"/>
        <v>K51</v>
      </c>
      <c r="N2271" s="105" t="str">
        <f>VLOOKUP(M2271,CAC!$A$2:$B$198,2,FALSE)</f>
        <v>PPOPMR</v>
      </c>
    </row>
    <row r="2272" spans="5:16" x14ac:dyDescent="0.25">
      <c r="E2272" s="83">
        <v>201509</v>
      </c>
      <c r="F2272" s="82" t="s">
        <v>345</v>
      </c>
      <c r="G2272" s="82" t="s">
        <v>352</v>
      </c>
      <c r="H2272" s="82" t="s">
        <v>653</v>
      </c>
      <c r="I2272" s="95">
        <v>0</v>
      </c>
      <c r="K2272" s="105" t="str">
        <f t="shared" si="79"/>
        <v>0011-1004-0047</v>
      </c>
      <c r="L2272" s="105" t="str">
        <f>VLOOKUP(K2272,COA!$A$3:$B$337,2,FALSE)</f>
        <v>L17</v>
      </c>
      <c r="M2272" s="105" t="str">
        <f t="shared" si="80"/>
        <v>L17</v>
      </c>
      <c r="N2272" s="105" t="str">
        <f>VLOOKUP(M2272,CAC!$A$2:$B$198,2,FALSE)</f>
        <v>HMOLG</v>
      </c>
    </row>
    <row r="2273" spans="5:14" x14ac:dyDescent="0.25">
      <c r="E2273" s="83">
        <v>201505</v>
      </c>
      <c r="F2273" s="82" t="s">
        <v>345</v>
      </c>
      <c r="G2273" s="82" t="s">
        <v>348</v>
      </c>
      <c r="H2273" s="82" t="s">
        <v>358</v>
      </c>
      <c r="I2273" s="95">
        <v>57</v>
      </c>
      <c r="K2273" s="105" t="str">
        <f t="shared" si="79"/>
        <v>0011-1010-0024</v>
      </c>
      <c r="L2273" s="105" t="str">
        <f>VLOOKUP(K2273,COA!$A$3:$B$337,2,FALSE)</f>
        <v>S14</v>
      </c>
      <c r="M2273" s="105" t="str">
        <f t="shared" si="80"/>
        <v>S14</v>
      </c>
      <c r="N2273" s="105" t="str">
        <f>VLOOKUP(M2273,CAC!$A$2:$B$198,2,FALSE)</f>
        <v>HMOSG</v>
      </c>
    </row>
    <row r="2274" spans="5:14" x14ac:dyDescent="0.25">
      <c r="E2274" s="83">
        <v>201509</v>
      </c>
      <c r="F2274" s="82" t="s">
        <v>563</v>
      </c>
      <c r="G2274" s="82" t="s">
        <v>351</v>
      </c>
      <c r="H2274" s="82" t="s">
        <v>349</v>
      </c>
      <c r="I2274" s="95">
        <v>0</v>
      </c>
      <c r="K2274" s="105" t="str">
        <f t="shared" si="79"/>
        <v>0003-0000-0017</v>
      </c>
      <c r="L2274" s="105" t="e">
        <f>VLOOKUP(K2274,COA!$A$3:$B$337,2,FALSE)</f>
        <v>#N/A</v>
      </c>
      <c r="M2274" s="105" t="str">
        <f t="shared" si="80"/>
        <v>XXX</v>
      </c>
      <c r="N2274" s="105" t="str">
        <f>VLOOKUP(M2274,CAC!$A$2:$B$198,2,FALSE)</f>
        <v>XXX</v>
      </c>
    </row>
    <row r="2275" spans="5:14" x14ac:dyDescent="0.25">
      <c r="E2275" s="83">
        <v>201601</v>
      </c>
      <c r="F2275" s="82" t="s">
        <v>345</v>
      </c>
      <c r="G2275" s="82" t="s">
        <v>351</v>
      </c>
      <c r="H2275" s="82" t="s">
        <v>353</v>
      </c>
      <c r="I2275" s="95">
        <v>3</v>
      </c>
      <c r="K2275" s="105" t="str">
        <f t="shared" si="79"/>
        <v>0011-0000-0023</v>
      </c>
      <c r="L2275" s="105" t="e">
        <f>VLOOKUP(K2275,COA!$A$3:$B$337,2,FALSE)</f>
        <v>#N/A</v>
      </c>
      <c r="M2275" s="105" t="str">
        <f t="shared" si="80"/>
        <v>XXX</v>
      </c>
      <c r="N2275" s="105" t="str">
        <f>VLOOKUP(M2275,CAC!$A$2:$B$198,2,FALSE)</f>
        <v>XXX</v>
      </c>
    </row>
    <row r="2276" spans="5:14" x14ac:dyDescent="0.25">
      <c r="E2276" s="83">
        <v>201705</v>
      </c>
      <c r="F2276" s="82" t="s">
        <v>345</v>
      </c>
      <c r="G2276" s="82" t="s">
        <v>352</v>
      </c>
      <c r="H2276" s="82" t="s">
        <v>357</v>
      </c>
      <c r="I2276" s="95">
        <v>1952.03</v>
      </c>
      <c r="K2276" s="105" t="str">
        <f t="shared" si="79"/>
        <v>0011-1004-0038</v>
      </c>
      <c r="L2276" s="105" t="str">
        <f>VLOOKUP(K2276,COA!$A$3:$B$337,2,FALSE)</f>
        <v>L14</v>
      </c>
      <c r="M2276" s="105" t="str">
        <f t="shared" si="80"/>
        <v>L14</v>
      </c>
      <c r="N2276" s="105" t="str">
        <f>VLOOKUP(M2276,CAC!$A$2:$B$198,2,FALSE)</f>
        <v>HMOLG</v>
      </c>
    </row>
    <row r="2277" spans="5:14" x14ac:dyDescent="0.25">
      <c r="E2277" s="83">
        <v>201711</v>
      </c>
      <c r="F2277" s="82" t="s">
        <v>506</v>
      </c>
      <c r="G2277" s="82" t="s">
        <v>352</v>
      </c>
      <c r="H2277" s="82" t="s">
        <v>592</v>
      </c>
      <c r="I2277" s="95">
        <v>0</v>
      </c>
      <c r="K2277" s="105" t="str">
        <f t="shared" si="79"/>
        <v>0013-1004-0035</v>
      </c>
      <c r="L2277" s="105" t="str">
        <f>VLOOKUP(K2277,COA!$A$3:$B$337,2,FALSE)</f>
        <v>L41</v>
      </c>
      <c r="M2277" s="105" t="str">
        <f t="shared" si="80"/>
        <v>L41</v>
      </c>
      <c r="N2277" s="105" t="e">
        <f>VLOOKUP(M2277,CAC!$A$2:$B$198,2,FALSE)</f>
        <v>#N/A</v>
      </c>
    </row>
    <row r="2278" spans="5:14" x14ac:dyDescent="0.25">
      <c r="E2278" s="83">
        <v>201605</v>
      </c>
      <c r="F2278" s="82" t="s">
        <v>413</v>
      </c>
      <c r="G2278" s="82" t="s">
        <v>355</v>
      </c>
      <c r="H2278" s="82" t="s">
        <v>344</v>
      </c>
      <c r="I2278" s="95">
        <v>0</v>
      </c>
      <c r="K2278" s="105" t="str">
        <f t="shared" si="79"/>
        <v>0008-1006-0012</v>
      </c>
      <c r="L2278" s="105" t="str">
        <f>VLOOKUP(K2278,COA!$A$3:$B$337,2,FALSE)</f>
        <v>C96</v>
      </c>
      <c r="M2278" s="105" t="str">
        <f t="shared" si="80"/>
        <v>C96</v>
      </c>
      <c r="N2278" s="105" t="str">
        <f>VLOOKUP(M2278,CAC!$A$2:$B$198,2,FALSE)</f>
        <v>DOILG</v>
      </c>
    </row>
    <row r="2279" spans="5:14" x14ac:dyDescent="0.25">
      <c r="E2279" s="83">
        <v>201610</v>
      </c>
      <c r="F2279" s="82" t="s">
        <v>746</v>
      </c>
      <c r="G2279" s="82" t="s">
        <v>352</v>
      </c>
      <c r="H2279" s="82" t="s">
        <v>344</v>
      </c>
      <c r="I2279" s="95">
        <v>0</v>
      </c>
      <c r="K2279" s="105" t="str">
        <f t="shared" si="79"/>
        <v>0016-1004-0012</v>
      </c>
      <c r="L2279" s="105" t="str">
        <f>VLOOKUP(K2279,COA!$A$3:$B$337,2,FALSE)</f>
        <v>R20</v>
      </c>
      <c r="M2279" s="105" t="str">
        <f t="shared" si="80"/>
        <v>R20</v>
      </c>
      <c r="N2279" s="105" t="str">
        <f>VLOOKUP(M2279,CAC!$A$2:$B$198,2,FALSE)</f>
        <v>HMOMG</v>
      </c>
    </row>
    <row r="2280" spans="5:14" x14ac:dyDescent="0.25">
      <c r="E2280" s="83">
        <v>201606</v>
      </c>
      <c r="F2280" s="82" t="s">
        <v>349</v>
      </c>
      <c r="G2280" s="82" t="s">
        <v>369</v>
      </c>
      <c r="H2280" s="82" t="s">
        <v>344</v>
      </c>
      <c r="I2280" s="95">
        <v>39428</v>
      </c>
      <c r="K2280" s="105" t="str">
        <f t="shared" si="79"/>
        <v>0017-1009-0012</v>
      </c>
      <c r="L2280" s="105" t="str">
        <f>VLOOKUP(K2280,COA!$A$3:$B$337,2,FALSE)</f>
        <v>R12</v>
      </c>
      <c r="M2280" s="105" t="str">
        <f t="shared" si="80"/>
        <v>R12</v>
      </c>
      <c r="N2280" s="105" t="str">
        <f>VLOOKUP(M2280,CAC!$A$2:$B$198,2,FALSE)</f>
        <v>HMOMM</v>
      </c>
    </row>
    <row r="2281" spans="5:14" x14ac:dyDescent="0.25">
      <c r="E2281" s="83">
        <v>201606</v>
      </c>
      <c r="F2281" s="82" t="s">
        <v>563</v>
      </c>
      <c r="G2281" s="82" t="s">
        <v>355</v>
      </c>
      <c r="H2281" s="82" t="s">
        <v>344</v>
      </c>
      <c r="I2281" s="95">
        <v>0</v>
      </c>
      <c r="K2281" s="105" t="str">
        <f t="shared" si="79"/>
        <v>0003-1006-0012</v>
      </c>
      <c r="L2281" s="105" t="str">
        <f>VLOOKUP(K2281,COA!$A$3:$B$337,2,FALSE)</f>
        <v>L52</v>
      </c>
      <c r="M2281" s="105" t="str">
        <f t="shared" si="80"/>
        <v>L52</v>
      </c>
      <c r="N2281" s="105" t="str">
        <f>VLOOKUP(M2281,CAC!$A$2:$B$198,2,FALSE)</f>
        <v>PPOLG</v>
      </c>
    </row>
    <row r="2282" spans="5:14" x14ac:dyDescent="0.25">
      <c r="E2282" s="83">
        <v>201605</v>
      </c>
      <c r="F2282" s="82" t="s">
        <v>506</v>
      </c>
      <c r="G2282" s="82" t="s">
        <v>352</v>
      </c>
      <c r="H2282" s="82" t="s">
        <v>592</v>
      </c>
      <c r="I2282" s="95">
        <v>0</v>
      </c>
      <c r="K2282" s="105" t="str">
        <f t="shared" si="79"/>
        <v>0013-1004-0035</v>
      </c>
      <c r="L2282" s="105" t="str">
        <f>VLOOKUP(K2282,COA!$A$3:$B$337,2,FALSE)</f>
        <v>L41</v>
      </c>
      <c r="M2282" s="105" t="str">
        <f t="shared" si="80"/>
        <v>L41</v>
      </c>
      <c r="N2282" s="105" t="e">
        <f>VLOOKUP(M2282,CAC!$A$2:$B$198,2,FALSE)</f>
        <v>#N/A</v>
      </c>
    </row>
    <row r="2283" spans="5:14" x14ac:dyDescent="0.25">
      <c r="E2283" s="83">
        <v>201611</v>
      </c>
      <c r="F2283" s="82" t="s">
        <v>563</v>
      </c>
      <c r="G2283" s="82" t="s">
        <v>350</v>
      </c>
      <c r="H2283" s="82" t="s">
        <v>344</v>
      </c>
      <c r="I2283" s="95">
        <v>0</v>
      </c>
      <c r="K2283" s="105" t="str">
        <f t="shared" si="79"/>
        <v>0003-1012-0012</v>
      </c>
      <c r="L2283" s="105" t="str">
        <f>VLOOKUP(K2283,COA!$A$3:$B$337,2,FALSE)</f>
        <v>K51</v>
      </c>
      <c r="M2283" s="105" t="str">
        <f t="shared" si="80"/>
        <v>K51</v>
      </c>
      <c r="N2283" s="105" t="str">
        <f>VLOOKUP(M2283,CAC!$A$2:$B$198,2,FALSE)</f>
        <v>PPOPMR</v>
      </c>
    </row>
    <row r="2284" spans="5:14" x14ac:dyDescent="0.25">
      <c r="E2284" s="83">
        <v>201709</v>
      </c>
      <c r="F2284" s="82" t="s">
        <v>563</v>
      </c>
      <c r="G2284" s="82" t="s">
        <v>350</v>
      </c>
      <c r="H2284" s="82" t="s">
        <v>344</v>
      </c>
      <c r="I2284" s="95">
        <v>0</v>
      </c>
      <c r="K2284" s="105" t="str">
        <f t="shared" si="79"/>
        <v>0003-1012-0012</v>
      </c>
      <c r="L2284" s="105" t="str">
        <f>VLOOKUP(K2284,COA!$A$3:$B$337,2,FALSE)</f>
        <v>K51</v>
      </c>
      <c r="M2284" s="105" t="str">
        <f t="shared" si="80"/>
        <v>K51</v>
      </c>
      <c r="N2284" s="105" t="str">
        <f>VLOOKUP(M2284,CAC!$A$2:$B$198,2,FALSE)</f>
        <v>PPOPMR</v>
      </c>
    </row>
    <row r="2285" spans="5:14" x14ac:dyDescent="0.25">
      <c r="E2285" s="83">
        <v>201511</v>
      </c>
      <c r="F2285" s="82" t="s">
        <v>344</v>
      </c>
      <c r="G2285" s="82" t="s">
        <v>359</v>
      </c>
      <c r="H2285" s="82" t="s">
        <v>344</v>
      </c>
      <c r="I2285" s="95">
        <v>125</v>
      </c>
      <c r="K2285" s="105" t="str">
        <f t="shared" si="79"/>
        <v>0012-1005-0012</v>
      </c>
      <c r="L2285" s="105" t="str">
        <f>VLOOKUP(K2285,COA!$A$3:$B$337,2,FALSE)</f>
        <v>N13</v>
      </c>
      <c r="M2285" s="105" t="str">
        <f t="shared" si="80"/>
        <v>N13</v>
      </c>
      <c r="N2285" s="105" t="str">
        <f>VLOOKUP(M2285,CAC!$A$2:$B$198,2,FALSE)</f>
        <v>HMOLG</v>
      </c>
    </row>
    <row r="2286" spans="5:14" x14ac:dyDescent="0.25">
      <c r="E2286" s="83">
        <v>201512</v>
      </c>
      <c r="F2286" s="82" t="s">
        <v>524</v>
      </c>
      <c r="G2286" s="82" t="s">
        <v>352</v>
      </c>
      <c r="H2286" s="82" t="s">
        <v>672</v>
      </c>
      <c r="I2286" s="95">
        <v>0</v>
      </c>
      <c r="K2286" s="105" t="str">
        <f t="shared" si="79"/>
        <v>0025-1004-0058</v>
      </c>
      <c r="L2286" s="105" t="str">
        <f>VLOOKUP(K2286,COA!$A$3:$B$337,2,FALSE)</f>
        <v>L44</v>
      </c>
      <c r="M2286" s="105" t="str">
        <f t="shared" si="80"/>
        <v>L44</v>
      </c>
      <c r="N2286" s="105" t="e">
        <f>VLOOKUP(M2286,CAC!$A$2:$B$198,2,FALSE)</f>
        <v>#N/A</v>
      </c>
    </row>
    <row r="2287" spans="5:14" x14ac:dyDescent="0.25">
      <c r="E2287" s="83">
        <v>201602</v>
      </c>
      <c r="F2287" s="82" t="s">
        <v>345</v>
      </c>
      <c r="G2287" s="82" t="s">
        <v>354</v>
      </c>
      <c r="H2287" s="82" t="s">
        <v>344</v>
      </c>
      <c r="I2287" s="95">
        <v>6641</v>
      </c>
      <c r="K2287" s="105" t="str">
        <f t="shared" si="79"/>
        <v>0011-1013-0012</v>
      </c>
      <c r="L2287" s="105" t="str">
        <f>VLOOKUP(K2287,COA!$A$3:$B$337,2,FALSE)</f>
        <v>N20</v>
      </c>
      <c r="M2287" s="105" t="str">
        <f t="shared" si="80"/>
        <v>N20</v>
      </c>
      <c r="N2287" s="105" t="str">
        <f>VLOOKUP(M2287,CAC!$A$2:$B$198,2,FALSE)</f>
        <v>HMOPMR</v>
      </c>
    </row>
    <row r="2288" spans="5:14" x14ac:dyDescent="0.25">
      <c r="E2288" s="83">
        <v>201608</v>
      </c>
      <c r="F2288" s="82" t="s">
        <v>563</v>
      </c>
      <c r="G2288" s="82" t="s">
        <v>350</v>
      </c>
      <c r="H2288" s="82" t="s">
        <v>360</v>
      </c>
      <c r="I2288" s="95">
        <v>0</v>
      </c>
      <c r="K2288" s="105" t="str">
        <f t="shared" si="79"/>
        <v>0003-1012-0048</v>
      </c>
      <c r="L2288" s="105" t="str">
        <f>VLOOKUP(K2288,COA!$A$3:$B$337,2,FALSE)</f>
        <v>K56</v>
      </c>
      <c r="M2288" s="105" t="str">
        <f t="shared" si="80"/>
        <v>K56</v>
      </c>
      <c r="N2288" s="105" t="str">
        <f>VLOOKUP(M2288,CAC!$A$2:$B$198,2,FALSE)</f>
        <v>HMFLEX</v>
      </c>
    </row>
    <row r="2289" spans="5:14" x14ac:dyDescent="0.25">
      <c r="E2289" s="83">
        <v>201510</v>
      </c>
      <c r="F2289" s="82" t="s">
        <v>345</v>
      </c>
      <c r="G2289" s="82" t="s">
        <v>346</v>
      </c>
      <c r="H2289" s="82" t="s">
        <v>347</v>
      </c>
      <c r="I2289" s="95">
        <v>8</v>
      </c>
      <c r="K2289" s="105" t="str">
        <f t="shared" si="79"/>
        <v>0011-1014-0039</v>
      </c>
      <c r="L2289" s="105" t="str">
        <f>VLOOKUP(K2289,COA!$A$3:$B$337,2,FALSE)</f>
        <v>K24</v>
      </c>
      <c r="M2289" s="105" t="str">
        <f t="shared" si="80"/>
        <v>K24</v>
      </c>
      <c r="N2289" s="105" t="str">
        <f>VLOOKUP(M2289,CAC!$A$2:$B$198,2,FALSE)</f>
        <v>HMFLEX</v>
      </c>
    </row>
    <row r="2290" spans="5:14" x14ac:dyDescent="0.25">
      <c r="E2290" s="83">
        <v>201511</v>
      </c>
      <c r="F2290" s="82" t="s">
        <v>563</v>
      </c>
      <c r="G2290" s="82" t="s">
        <v>352</v>
      </c>
      <c r="H2290" s="82" t="s">
        <v>344</v>
      </c>
      <c r="I2290" s="95">
        <v>0</v>
      </c>
      <c r="K2290" s="105" t="str">
        <f t="shared" si="79"/>
        <v>0003-1004-0012</v>
      </c>
      <c r="L2290" s="105" t="str">
        <f>VLOOKUP(K2290,COA!$A$3:$B$337,2,FALSE)</f>
        <v>L51</v>
      </c>
      <c r="M2290" s="105" t="str">
        <f t="shared" si="80"/>
        <v>L51</v>
      </c>
      <c r="N2290" s="105" t="str">
        <f>VLOOKUP(M2290,CAC!$A$2:$B$198,2,FALSE)</f>
        <v>PPOLG</v>
      </c>
    </row>
    <row r="2291" spans="5:14" x14ac:dyDescent="0.25">
      <c r="E2291" s="83">
        <v>201602</v>
      </c>
      <c r="F2291" s="82" t="s">
        <v>563</v>
      </c>
      <c r="G2291" s="82" t="s">
        <v>350</v>
      </c>
      <c r="H2291" s="82" t="s">
        <v>344</v>
      </c>
      <c r="I2291" s="95">
        <v>0</v>
      </c>
      <c r="K2291" s="105" t="str">
        <f t="shared" si="79"/>
        <v>0003-1012-0012</v>
      </c>
      <c r="L2291" s="105" t="str">
        <f>VLOOKUP(K2291,COA!$A$3:$B$337,2,FALSE)</f>
        <v>K51</v>
      </c>
      <c r="M2291" s="105" t="str">
        <f t="shared" si="80"/>
        <v>K51</v>
      </c>
      <c r="N2291" s="105" t="str">
        <f>VLOOKUP(M2291,CAC!$A$2:$B$198,2,FALSE)</f>
        <v>PPOPMR</v>
      </c>
    </row>
    <row r="2292" spans="5:14" x14ac:dyDescent="0.25">
      <c r="E2292" s="83">
        <v>201504</v>
      </c>
      <c r="F2292" s="82" t="s">
        <v>342</v>
      </c>
      <c r="G2292" s="82" t="s">
        <v>343</v>
      </c>
      <c r="H2292" s="82" t="s">
        <v>344</v>
      </c>
      <c r="I2292" s="95">
        <v>6626.95</v>
      </c>
      <c r="K2292" s="105" t="str">
        <f t="shared" si="79"/>
        <v>0031-1000-0012</v>
      </c>
      <c r="L2292" s="105" t="str">
        <f>VLOOKUP(K2292,COA!$A$3:$B$337,2,FALSE)</f>
        <v>F27</v>
      </c>
      <c r="M2292" s="105" t="str">
        <f t="shared" si="80"/>
        <v>F27</v>
      </c>
      <c r="N2292" s="105" t="str">
        <f>VLOOKUP(M2292,CAC!$A$2:$B$198,2,FALSE)</f>
        <v>HMOFEP</v>
      </c>
    </row>
    <row r="2293" spans="5:14" x14ac:dyDescent="0.25">
      <c r="E2293" s="83">
        <v>201509</v>
      </c>
      <c r="F2293" s="82" t="s">
        <v>563</v>
      </c>
      <c r="G2293" s="82" t="s">
        <v>354</v>
      </c>
      <c r="H2293" s="82" t="s">
        <v>344</v>
      </c>
      <c r="I2293" s="95">
        <v>0</v>
      </c>
      <c r="K2293" s="105" t="str">
        <f t="shared" si="79"/>
        <v>0003-1013-0012</v>
      </c>
      <c r="L2293" s="105" t="str">
        <f>VLOOKUP(K2293,COA!$A$3:$B$337,2,FALSE)</f>
        <v>N55</v>
      </c>
      <c r="M2293" s="105" t="str">
        <f t="shared" si="80"/>
        <v>N55</v>
      </c>
      <c r="N2293" s="105" t="str">
        <f>VLOOKUP(M2293,CAC!$A$2:$B$198,2,FALSE)</f>
        <v>PPOPMR</v>
      </c>
    </row>
    <row r="2294" spans="5:14" x14ac:dyDescent="0.25">
      <c r="E2294" s="83">
        <v>201709</v>
      </c>
      <c r="F2294" s="82" t="s">
        <v>413</v>
      </c>
      <c r="G2294" s="82" t="s">
        <v>359</v>
      </c>
      <c r="H2294" s="82" t="s">
        <v>344</v>
      </c>
      <c r="I2294" s="95">
        <v>0</v>
      </c>
      <c r="K2294" s="105" t="str">
        <f t="shared" si="79"/>
        <v>0008-1005-0012</v>
      </c>
      <c r="L2294" s="105" t="str">
        <f>VLOOKUP(K2294,COA!$A$3:$B$337,2,FALSE)</f>
        <v>C73</v>
      </c>
      <c r="M2294" s="105" t="str">
        <f t="shared" si="80"/>
        <v>C73</v>
      </c>
      <c r="N2294" s="105" t="str">
        <f>VLOOKUP(M2294,CAC!$A$2:$B$198,2,FALSE)</f>
        <v>DOILG</v>
      </c>
    </row>
    <row r="2295" spans="5:14" x14ac:dyDescent="0.25">
      <c r="E2295" s="83">
        <v>201509</v>
      </c>
      <c r="F2295" s="82" t="s">
        <v>563</v>
      </c>
      <c r="G2295" s="82" t="s">
        <v>348</v>
      </c>
      <c r="H2295" s="82" t="s">
        <v>353</v>
      </c>
      <c r="I2295" s="95">
        <v>0</v>
      </c>
      <c r="K2295" s="105" t="str">
        <f t="shared" si="79"/>
        <v>0003-1010-0023</v>
      </c>
      <c r="L2295" s="105" t="str">
        <f>VLOOKUP(K2295,COA!$A$3:$B$337,2,FALSE)</f>
        <v>S54</v>
      </c>
      <c r="M2295" s="105" t="str">
        <f t="shared" si="80"/>
        <v>S54</v>
      </c>
      <c r="N2295" s="105" t="str">
        <f>VLOOKUP(M2295,CAC!$A$2:$B$198,2,FALSE)</f>
        <v>PPOSG</v>
      </c>
    </row>
    <row r="2296" spans="5:14" x14ac:dyDescent="0.25">
      <c r="E2296" s="83">
        <v>201704</v>
      </c>
      <c r="F2296" s="82" t="s">
        <v>344</v>
      </c>
      <c r="G2296" s="82" t="s">
        <v>355</v>
      </c>
      <c r="H2296" s="82" t="s">
        <v>344</v>
      </c>
      <c r="I2296" s="95">
        <v>52</v>
      </c>
      <c r="K2296" s="105" t="str">
        <f t="shared" si="79"/>
        <v>0012-1006-0012</v>
      </c>
      <c r="L2296" s="105" t="str">
        <f>VLOOKUP(K2296,COA!$A$3:$B$337,2,FALSE)</f>
        <v>L16</v>
      </c>
      <c r="M2296" s="105" t="str">
        <f t="shared" si="80"/>
        <v>L16</v>
      </c>
      <c r="N2296" s="105" t="str">
        <f>VLOOKUP(M2296,CAC!$A$2:$B$198,2,FALSE)</f>
        <v>HMOLG</v>
      </c>
    </row>
    <row r="2297" spans="5:14" x14ac:dyDescent="0.25">
      <c r="E2297" s="83">
        <v>201702</v>
      </c>
      <c r="F2297" s="82" t="s">
        <v>563</v>
      </c>
      <c r="G2297" s="82" t="s">
        <v>352</v>
      </c>
      <c r="H2297" s="82" t="s">
        <v>344</v>
      </c>
      <c r="I2297" s="95">
        <v>0</v>
      </c>
      <c r="K2297" s="105" t="str">
        <f t="shared" si="79"/>
        <v>0003-1004-0012</v>
      </c>
      <c r="L2297" s="105" t="str">
        <f>VLOOKUP(K2297,COA!$A$3:$B$337,2,FALSE)</f>
        <v>L51</v>
      </c>
      <c r="M2297" s="105" t="str">
        <f t="shared" si="80"/>
        <v>L51</v>
      </c>
      <c r="N2297" s="105" t="str">
        <f>VLOOKUP(M2297,CAC!$A$2:$B$198,2,FALSE)</f>
        <v>PPOLG</v>
      </c>
    </row>
    <row r="2298" spans="5:14" x14ac:dyDescent="0.25">
      <c r="E2298" s="83">
        <v>201605</v>
      </c>
      <c r="F2298" s="82" t="s">
        <v>344</v>
      </c>
      <c r="G2298" s="82" t="s">
        <v>356</v>
      </c>
      <c r="H2298" s="82" t="s">
        <v>344</v>
      </c>
      <c r="I2298" s="95">
        <v>4196.26</v>
      </c>
      <c r="K2298" s="105" t="str">
        <f t="shared" si="79"/>
        <v>0012-1002-0012</v>
      </c>
      <c r="L2298" s="105" t="str">
        <f>VLOOKUP(K2298,COA!$A$3:$B$337,2,FALSE)</f>
        <v>F22</v>
      </c>
      <c r="M2298" s="105" t="str">
        <f t="shared" si="80"/>
        <v>F22</v>
      </c>
      <c r="N2298" s="105" t="str">
        <f>VLOOKUP(M2298,CAC!$A$2:$B$198,2,FALSE)</f>
        <v>HMOPMR</v>
      </c>
    </row>
    <row r="2299" spans="5:14" x14ac:dyDescent="0.25">
      <c r="E2299" s="83">
        <v>201710</v>
      </c>
      <c r="F2299" s="82" t="s">
        <v>506</v>
      </c>
      <c r="G2299" s="82" t="s">
        <v>354</v>
      </c>
      <c r="H2299" s="82" t="s">
        <v>592</v>
      </c>
      <c r="I2299" s="95">
        <v>0</v>
      </c>
      <c r="K2299" s="105" t="str">
        <f t="shared" si="79"/>
        <v>0013-1013-0035</v>
      </c>
      <c r="L2299" s="105" t="str">
        <f>VLOOKUP(K2299,COA!$A$3:$B$337,2,FALSE)</f>
        <v>N44</v>
      </c>
      <c r="M2299" s="105" t="str">
        <f t="shared" si="80"/>
        <v>N44</v>
      </c>
      <c r="N2299" s="105" t="e">
        <f>VLOOKUP(M2299,CAC!$A$2:$B$198,2,FALSE)</f>
        <v>#N/A</v>
      </c>
    </row>
    <row r="2300" spans="5:14" x14ac:dyDescent="0.25">
      <c r="E2300" s="83">
        <v>201509</v>
      </c>
      <c r="F2300" s="82" t="s">
        <v>345</v>
      </c>
      <c r="G2300" s="82" t="s">
        <v>346</v>
      </c>
      <c r="H2300" s="82" t="s">
        <v>347</v>
      </c>
      <c r="I2300" s="95">
        <v>8</v>
      </c>
      <c r="K2300" s="105" t="str">
        <f t="shared" si="79"/>
        <v>0011-1014-0039</v>
      </c>
      <c r="L2300" s="105" t="str">
        <f>VLOOKUP(K2300,COA!$A$3:$B$337,2,FALSE)</f>
        <v>K24</v>
      </c>
      <c r="M2300" s="105" t="str">
        <f t="shared" si="80"/>
        <v>K24</v>
      </c>
      <c r="N2300" s="105" t="str">
        <f>VLOOKUP(M2300,CAC!$A$2:$B$198,2,FALSE)</f>
        <v>HMFLEX</v>
      </c>
    </row>
    <row r="2301" spans="5:14" x14ac:dyDescent="0.25">
      <c r="E2301" s="83">
        <v>201705</v>
      </c>
      <c r="F2301" s="82" t="s">
        <v>405</v>
      </c>
      <c r="G2301" s="82" t="s">
        <v>362</v>
      </c>
      <c r="H2301" s="82" t="s">
        <v>342</v>
      </c>
      <c r="I2301" s="95">
        <v>0</v>
      </c>
      <c r="K2301" s="105" t="str">
        <f t="shared" si="79"/>
        <v>0019-1008-0031</v>
      </c>
      <c r="L2301" s="105" t="str">
        <f>VLOOKUP(K2301,COA!$A$3:$B$337,2,FALSE)</f>
        <v>P53</v>
      </c>
      <c r="M2301" s="105" t="str">
        <f t="shared" si="80"/>
        <v>P53</v>
      </c>
      <c r="N2301" s="105" t="str">
        <f>VLOOKUP(M2301,CAC!$A$2:$B$198,2,FALSE)</f>
        <v>HMOPERA</v>
      </c>
    </row>
    <row r="2302" spans="5:14" x14ac:dyDescent="0.25">
      <c r="E2302" s="83">
        <v>201503</v>
      </c>
      <c r="F2302" s="82" t="s">
        <v>563</v>
      </c>
      <c r="G2302" s="82" t="s">
        <v>354</v>
      </c>
      <c r="H2302" s="82" t="s">
        <v>344</v>
      </c>
      <c r="I2302" s="95">
        <v>0</v>
      </c>
      <c r="K2302" s="105" t="str">
        <f t="shared" si="79"/>
        <v>0003-1013-0012</v>
      </c>
      <c r="L2302" s="105" t="str">
        <f>VLOOKUP(K2302,COA!$A$3:$B$337,2,FALSE)</f>
        <v>N55</v>
      </c>
      <c r="M2302" s="105" t="str">
        <f t="shared" si="80"/>
        <v>N55</v>
      </c>
      <c r="N2302" s="105" t="str">
        <f>VLOOKUP(M2302,CAC!$A$2:$B$198,2,FALSE)</f>
        <v>PPOPMR</v>
      </c>
    </row>
    <row r="2303" spans="5:14" x14ac:dyDescent="0.25">
      <c r="E2303" s="83">
        <v>201505</v>
      </c>
      <c r="F2303" s="82" t="s">
        <v>345</v>
      </c>
      <c r="G2303" s="82" t="s">
        <v>354</v>
      </c>
      <c r="H2303" s="82" t="s">
        <v>344</v>
      </c>
      <c r="I2303" s="95">
        <v>89</v>
      </c>
      <c r="K2303" s="105" t="str">
        <f t="shared" si="79"/>
        <v>0011-1013-0012</v>
      </c>
      <c r="L2303" s="105" t="str">
        <f>VLOOKUP(K2303,COA!$A$3:$B$337,2,FALSE)</f>
        <v>N20</v>
      </c>
      <c r="M2303" s="105" t="str">
        <f t="shared" si="80"/>
        <v>N20</v>
      </c>
      <c r="N2303" s="105" t="str">
        <f>VLOOKUP(M2303,CAC!$A$2:$B$198,2,FALSE)</f>
        <v>HMOPMR</v>
      </c>
    </row>
    <row r="2304" spans="5:14" x14ac:dyDescent="0.25">
      <c r="E2304" s="83">
        <v>201612</v>
      </c>
      <c r="F2304" s="82" t="s">
        <v>563</v>
      </c>
      <c r="G2304" s="82" t="s">
        <v>365</v>
      </c>
      <c r="H2304" s="82" t="s">
        <v>366</v>
      </c>
      <c r="I2304" s="95">
        <v>0</v>
      </c>
      <c r="K2304" s="105" t="str">
        <f t="shared" si="79"/>
        <v>0003-1001-0021</v>
      </c>
      <c r="L2304" s="105" t="str">
        <f>VLOOKUP(K2304,COA!$A$3:$B$337,2,FALSE)</f>
        <v>V53</v>
      </c>
      <c r="M2304" s="105" t="str">
        <f t="shared" si="80"/>
        <v>V53</v>
      </c>
      <c r="N2304" s="105" t="str">
        <f>VLOOKUP(M2304,CAC!$A$2:$B$198,2,FALSE)</f>
        <v>PPOIFP</v>
      </c>
    </row>
    <row r="2305" spans="5:14" x14ac:dyDescent="0.25">
      <c r="E2305" s="83">
        <v>201608</v>
      </c>
      <c r="F2305" s="82" t="s">
        <v>345</v>
      </c>
      <c r="G2305" s="82" t="s">
        <v>346</v>
      </c>
      <c r="H2305" s="82" t="s">
        <v>360</v>
      </c>
      <c r="I2305" s="95">
        <v>374</v>
      </c>
      <c r="K2305" s="105" t="str">
        <f t="shared" si="79"/>
        <v>0011-1014-0048</v>
      </c>
      <c r="L2305" s="105" t="str">
        <f>VLOOKUP(K2305,COA!$A$3:$B$337,2,FALSE)</f>
        <v>K23</v>
      </c>
      <c r="M2305" s="105" t="str">
        <f t="shared" si="80"/>
        <v>K23</v>
      </c>
      <c r="N2305" s="105" t="str">
        <f>VLOOKUP(M2305,CAC!$A$2:$B$198,2,FALSE)</f>
        <v>HMFLEX</v>
      </c>
    </row>
    <row r="2306" spans="5:14" x14ac:dyDescent="0.25">
      <c r="E2306" s="83">
        <v>201702</v>
      </c>
      <c r="F2306" s="82" t="s">
        <v>746</v>
      </c>
      <c r="G2306" s="82" t="s">
        <v>361</v>
      </c>
      <c r="H2306" s="82" t="s">
        <v>344</v>
      </c>
      <c r="I2306" s="95">
        <v>491</v>
      </c>
      <c r="K2306" s="105" t="str">
        <f t="shared" si="79"/>
        <v>0016-1003-0012</v>
      </c>
      <c r="L2306" s="105" t="str">
        <f>VLOOKUP(K2306,COA!$A$3:$B$337,2,FALSE)</f>
        <v>R18</v>
      </c>
      <c r="M2306" s="105" t="str">
        <f t="shared" si="80"/>
        <v>R18</v>
      </c>
      <c r="N2306" s="105" t="str">
        <f>VLOOKUP(M2306,CAC!$A$2:$B$198,2,FALSE)</f>
        <v>HMOMG</v>
      </c>
    </row>
    <row r="2307" spans="5:14" x14ac:dyDescent="0.25">
      <c r="E2307" s="83">
        <v>201609</v>
      </c>
      <c r="F2307" s="82" t="s">
        <v>563</v>
      </c>
      <c r="G2307" s="82" t="s">
        <v>350</v>
      </c>
      <c r="H2307" s="82" t="s">
        <v>626</v>
      </c>
      <c r="I2307" s="95">
        <v>0</v>
      </c>
      <c r="K2307" s="105" t="str">
        <f t="shared" si="79"/>
        <v>0003-1012-0057</v>
      </c>
      <c r="L2307" s="105" t="str">
        <f>VLOOKUP(K2307,COA!$A$3:$B$337,2,FALSE)</f>
        <v>K51</v>
      </c>
      <c r="M2307" s="105" t="str">
        <f t="shared" si="80"/>
        <v>K51</v>
      </c>
      <c r="N2307" s="105" t="str">
        <f>VLOOKUP(M2307,CAC!$A$2:$B$198,2,FALSE)</f>
        <v>PPOPMR</v>
      </c>
    </row>
    <row r="2308" spans="5:14" x14ac:dyDescent="0.25">
      <c r="E2308" s="83">
        <v>201508</v>
      </c>
      <c r="F2308" s="82" t="s">
        <v>405</v>
      </c>
      <c r="G2308" s="82" t="s">
        <v>362</v>
      </c>
      <c r="H2308" s="82" t="s">
        <v>759</v>
      </c>
      <c r="I2308" s="95">
        <v>0</v>
      </c>
      <c r="K2308" s="105" t="str">
        <f t="shared" ref="K2308:K2371" si="81">F2308&amp;"-"&amp;G2308&amp;"-"&amp;H2308</f>
        <v>0019-1008-0032</v>
      </c>
      <c r="L2308" s="105" t="str">
        <f>VLOOKUP(K2308,COA!$A$3:$B$337,2,FALSE)</f>
        <v>P58</v>
      </c>
      <c r="M2308" s="105" t="str">
        <f t="shared" ref="M2308:M2371" si="82">IF(ISNA(L2308),"XXX",L2308)</f>
        <v>P58</v>
      </c>
      <c r="N2308" s="105" t="str">
        <f>VLOOKUP(M2308,CAC!$A$2:$B$198,2,FALSE)</f>
        <v>PERMEDA</v>
      </c>
    </row>
    <row r="2309" spans="5:14" x14ac:dyDescent="0.25">
      <c r="E2309" s="83">
        <v>201706</v>
      </c>
      <c r="F2309" s="82" t="s">
        <v>345</v>
      </c>
      <c r="G2309" s="82" t="s">
        <v>356</v>
      </c>
      <c r="H2309" s="82" t="s">
        <v>344</v>
      </c>
      <c r="I2309" s="95">
        <v>16129</v>
      </c>
      <c r="K2309" s="105" t="str">
        <f t="shared" si="81"/>
        <v>0011-1002-0012</v>
      </c>
      <c r="L2309" s="105" t="str">
        <f>VLOOKUP(K2309,COA!$A$3:$B$337,2,FALSE)</f>
        <v>F20</v>
      </c>
      <c r="M2309" s="105" t="str">
        <f t="shared" si="82"/>
        <v>F20</v>
      </c>
      <c r="N2309" s="105" t="str">
        <f>VLOOKUP(M2309,CAC!$A$2:$B$198,2,FALSE)</f>
        <v>HMOPMR</v>
      </c>
    </row>
    <row r="2310" spans="5:14" x14ac:dyDescent="0.25">
      <c r="E2310" s="83">
        <v>201507</v>
      </c>
      <c r="F2310" s="82" t="s">
        <v>413</v>
      </c>
      <c r="G2310" s="82" t="s">
        <v>348</v>
      </c>
      <c r="H2310" s="82" t="s">
        <v>349</v>
      </c>
      <c r="I2310" s="95">
        <v>0</v>
      </c>
      <c r="K2310" s="105" t="str">
        <f t="shared" si="81"/>
        <v>0008-1010-0017</v>
      </c>
      <c r="L2310" s="105" t="str">
        <f>VLOOKUP(K2310,COA!$A$3:$B$337,2,FALSE)</f>
        <v>C94</v>
      </c>
      <c r="M2310" s="105" t="str">
        <f t="shared" si="82"/>
        <v>C94</v>
      </c>
      <c r="N2310" s="105" t="str">
        <f>VLOOKUP(M2310,CAC!$A$2:$B$198,2,FALSE)</f>
        <v>DOISG</v>
      </c>
    </row>
    <row r="2311" spans="5:14" x14ac:dyDescent="0.25">
      <c r="E2311" s="83">
        <v>201604</v>
      </c>
      <c r="F2311" s="82" t="s">
        <v>413</v>
      </c>
      <c r="G2311" s="82" t="s">
        <v>352</v>
      </c>
      <c r="H2311" s="82" t="s">
        <v>344</v>
      </c>
      <c r="I2311" s="95">
        <v>0</v>
      </c>
      <c r="K2311" s="105" t="str">
        <f t="shared" si="81"/>
        <v>0008-1004-0012</v>
      </c>
      <c r="L2311" s="105" t="str">
        <f>VLOOKUP(K2311,COA!$A$3:$B$337,2,FALSE)</f>
        <v>C93</v>
      </c>
      <c r="M2311" s="105" t="str">
        <f t="shared" si="82"/>
        <v>C93</v>
      </c>
      <c r="N2311" s="105" t="str">
        <f>VLOOKUP(M2311,CAC!$A$2:$B$198,2,FALSE)</f>
        <v>DOILG</v>
      </c>
    </row>
    <row r="2312" spans="5:14" x14ac:dyDescent="0.25">
      <c r="E2312" s="83">
        <v>201601</v>
      </c>
      <c r="F2312" s="82" t="s">
        <v>506</v>
      </c>
      <c r="G2312" s="82" t="s">
        <v>359</v>
      </c>
      <c r="H2312" s="82" t="s">
        <v>592</v>
      </c>
      <c r="I2312" s="95">
        <v>0</v>
      </c>
      <c r="K2312" s="105" t="str">
        <f t="shared" si="81"/>
        <v>0013-1005-0035</v>
      </c>
      <c r="L2312" s="105" t="str">
        <f>VLOOKUP(K2312,COA!$A$3:$B$337,2,FALSE)</f>
        <v>N41</v>
      </c>
      <c r="M2312" s="105" t="str">
        <f t="shared" si="82"/>
        <v>N41</v>
      </c>
      <c r="N2312" s="105" t="e">
        <f>VLOOKUP(M2312,CAC!$A$2:$B$198,2,FALSE)</f>
        <v>#N/A</v>
      </c>
    </row>
    <row r="2313" spans="5:14" x14ac:dyDescent="0.25">
      <c r="E2313" s="83">
        <v>201712</v>
      </c>
      <c r="F2313" s="82" t="s">
        <v>563</v>
      </c>
      <c r="G2313" s="82" t="s">
        <v>361</v>
      </c>
      <c r="H2313" s="82" t="s">
        <v>344</v>
      </c>
      <c r="I2313" s="95">
        <v>0</v>
      </c>
      <c r="K2313" s="105" t="str">
        <f t="shared" si="81"/>
        <v>0003-1003-0012</v>
      </c>
      <c r="L2313" s="105" t="str">
        <f>VLOOKUP(K2313,COA!$A$3:$B$337,2,FALSE)</f>
        <v>N61</v>
      </c>
      <c r="M2313" s="105" t="str">
        <f t="shared" si="82"/>
        <v>N61</v>
      </c>
      <c r="N2313" s="105" t="str">
        <f>VLOOKUP(M2313,CAC!$A$2:$B$198,2,FALSE)</f>
        <v>PPOPMR</v>
      </c>
    </row>
    <row r="2314" spans="5:14" x14ac:dyDescent="0.25">
      <c r="E2314" s="83">
        <v>201708</v>
      </c>
      <c r="F2314" s="82" t="s">
        <v>552</v>
      </c>
      <c r="G2314" s="82" t="s">
        <v>356</v>
      </c>
      <c r="H2314" s="82" t="s">
        <v>672</v>
      </c>
      <c r="I2314" s="95">
        <v>0</v>
      </c>
      <c r="K2314" s="105" t="str">
        <f t="shared" si="81"/>
        <v>0027-1002-0058</v>
      </c>
      <c r="L2314" s="105" t="str">
        <f>VLOOKUP(K2314,COA!$A$3:$B$337,2,FALSE)</f>
        <v>L45</v>
      </c>
      <c r="M2314" s="105" t="str">
        <f t="shared" si="82"/>
        <v>L45</v>
      </c>
      <c r="N2314" s="105" t="e">
        <f>VLOOKUP(M2314,CAC!$A$2:$B$198,2,FALSE)</f>
        <v>#N/A</v>
      </c>
    </row>
    <row r="2315" spans="5:14" x14ac:dyDescent="0.25">
      <c r="E2315" s="83">
        <v>201502</v>
      </c>
      <c r="F2315" s="82" t="s">
        <v>563</v>
      </c>
      <c r="G2315" s="82" t="s">
        <v>365</v>
      </c>
      <c r="H2315" s="82" t="s">
        <v>411</v>
      </c>
      <c r="I2315" s="95">
        <v>0</v>
      </c>
      <c r="K2315" s="105" t="str">
        <f t="shared" si="81"/>
        <v>0003-1001-0007</v>
      </c>
      <c r="L2315" s="105" t="str">
        <f>VLOOKUP(K2315,COA!$A$3:$B$337,2,FALSE)</f>
        <v>V52</v>
      </c>
      <c r="M2315" s="105" t="str">
        <f t="shared" si="82"/>
        <v>V52</v>
      </c>
      <c r="N2315" s="105" t="str">
        <f>VLOOKUP(M2315,CAC!$A$2:$B$198,2,FALSE)</f>
        <v>PPOIFP</v>
      </c>
    </row>
    <row r="2316" spans="5:14" x14ac:dyDescent="0.25">
      <c r="E2316" s="83">
        <v>201601</v>
      </c>
      <c r="F2316" s="82" t="s">
        <v>345</v>
      </c>
      <c r="G2316" s="82" t="s">
        <v>351</v>
      </c>
      <c r="H2316" s="82" t="s">
        <v>349</v>
      </c>
      <c r="I2316" s="95">
        <v>0</v>
      </c>
      <c r="K2316" s="105" t="str">
        <f t="shared" si="81"/>
        <v>0011-0000-0017</v>
      </c>
      <c r="L2316" s="105" t="e">
        <f>VLOOKUP(K2316,COA!$A$3:$B$337,2,FALSE)</f>
        <v>#N/A</v>
      </c>
      <c r="M2316" s="105" t="str">
        <f t="shared" si="82"/>
        <v>XXX</v>
      </c>
      <c r="N2316" s="105" t="str">
        <f>VLOOKUP(M2316,CAC!$A$2:$B$198,2,FALSE)</f>
        <v>XXX</v>
      </c>
    </row>
    <row r="2317" spans="5:14" x14ac:dyDescent="0.25">
      <c r="E2317" s="83">
        <v>201710</v>
      </c>
      <c r="F2317" s="82" t="s">
        <v>345</v>
      </c>
      <c r="G2317" s="82" t="s">
        <v>346</v>
      </c>
      <c r="H2317" s="82" t="s">
        <v>360</v>
      </c>
      <c r="I2317" s="95">
        <v>322</v>
      </c>
      <c r="K2317" s="105" t="str">
        <f t="shared" si="81"/>
        <v>0011-1014-0048</v>
      </c>
      <c r="L2317" s="105" t="str">
        <f>VLOOKUP(K2317,COA!$A$3:$B$337,2,FALSE)</f>
        <v>K23</v>
      </c>
      <c r="M2317" s="105" t="str">
        <f t="shared" si="82"/>
        <v>K23</v>
      </c>
      <c r="N2317" s="105" t="str">
        <f>VLOOKUP(M2317,CAC!$A$2:$B$198,2,FALSE)</f>
        <v>HMFLEX</v>
      </c>
    </row>
    <row r="2318" spans="5:14" x14ac:dyDescent="0.25">
      <c r="E2318" s="83">
        <v>201510</v>
      </c>
      <c r="F2318" s="82" t="s">
        <v>345</v>
      </c>
      <c r="G2318" s="82" t="s">
        <v>354</v>
      </c>
      <c r="H2318" s="82" t="s">
        <v>344</v>
      </c>
      <c r="I2318" s="95">
        <v>2534</v>
      </c>
      <c r="K2318" s="105" t="str">
        <f t="shared" si="81"/>
        <v>0011-1013-0012</v>
      </c>
      <c r="L2318" s="105" t="str">
        <f>VLOOKUP(K2318,COA!$A$3:$B$337,2,FALSE)</f>
        <v>N20</v>
      </c>
      <c r="M2318" s="105" t="str">
        <f t="shared" si="82"/>
        <v>N20</v>
      </c>
      <c r="N2318" s="105" t="str">
        <f>VLOOKUP(M2318,CAC!$A$2:$B$198,2,FALSE)</f>
        <v>HMOPMR</v>
      </c>
    </row>
    <row r="2319" spans="5:14" x14ac:dyDescent="0.25">
      <c r="E2319" s="83">
        <v>201702</v>
      </c>
      <c r="F2319" s="82" t="s">
        <v>563</v>
      </c>
      <c r="G2319" s="82" t="s">
        <v>365</v>
      </c>
      <c r="H2319" s="82" t="s">
        <v>344</v>
      </c>
      <c r="I2319" s="95">
        <v>0</v>
      </c>
      <c r="K2319" s="105" t="str">
        <f t="shared" si="81"/>
        <v>0003-1001-0012</v>
      </c>
      <c r="L2319" s="105" t="str">
        <f>VLOOKUP(K2319,COA!$A$3:$B$337,2,FALSE)</f>
        <v>V51</v>
      </c>
      <c r="M2319" s="105" t="str">
        <f t="shared" si="82"/>
        <v>V51</v>
      </c>
      <c r="N2319" s="105" t="str">
        <f>VLOOKUP(M2319,CAC!$A$2:$B$198,2,FALSE)</f>
        <v>PPOIFP</v>
      </c>
    </row>
    <row r="2320" spans="5:14" x14ac:dyDescent="0.25">
      <c r="E2320" s="83">
        <v>201611</v>
      </c>
      <c r="F2320" s="82" t="s">
        <v>345</v>
      </c>
      <c r="G2320" s="82" t="s">
        <v>352</v>
      </c>
      <c r="H2320" s="82" t="s">
        <v>357</v>
      </c>
      <c r="I2320" s="95">
        <v>2212</v>
      </c>
      <c r="K2320" s="105" t="str">
        <f t="shared" si="81"/>
        <v>0011-1004-0038</v>
      </c>
      <c r="L2320" s="105" t="str">
        <f>VLOOKUP(K2320,COA!$A$3:$B$337,2,FALSE)</f>
        <v>L14</v>
      </c>
      <c r="M2320" s="105" t="str">
        <f t="shared" si="82"/>
        <v>L14</v>
      </c>
      <c r="N2320" s="105" t="str">
        <f>VLOOKUP(M2320,CAC!$A$2:$B$198,2,FALSE)</f>
        <v>HMOLG</v>
      </c>
    </row>
    <row r="2321" spans="5:14" x14ac:dyDescent="0.25">
      <c r="E2321" s="83">
        <v>201503</v>
      </c>
      <c r="F2321" s="82" t="s">
        <v>344</v>
      </c>
      <c r="G2321" s="82" t="s">
        <v>359</v>
      </c>
      <c r="H2321" s="82" t="s">
        <v>344</v>
      </c>
      <c r="I2321" s="95">
        <v>77</v>
      </c>
      <c r="K2321" s="105" t="str">
        <f t="shared" si="81"/>
        <v>0012-1005-0012</v>
      </c>
      <c r="L2321" s="105" t="str">
        <f>VLOOKUP(K2321,COA!$A$3:$B$337,2,FALSE)</f>
        <v>N13</v>
      </c>
      <c r="M2321" s="105" t="str">
        <f t="shared" si="82"/>
        <v>N13</v>
      </c>
      <c r="N2321" s="105" t="str">
        <f>VLOOKUP(M2321,CAC!$A$2:$B$198,2,FALSE)</f>
        <v>HMOLG</v>
      </c>
    </row>
    <row r="2322" spans="5:14" x14ac:dyDescent="0.25">
      <c r="E2322" s="83">
        <v>201702</v>
      </c>
      <c r="F2322" s="82" t="s">
        <v>746</v>
      </c>
      <c r="G2322" s="82" t="s">
        <v>356</v>
      </c>
      <c r="H2322" s="82" t="s">
        <v>764</v>
      </c>
      <c r="I2322" s="95">
        <v>629</v>
      </c>
      <c r="K2322" s="105" t="str">
        <f t="shared" si="81"/>
        <v>0016-1002-0064</v>
      </c>
      <c r="L2322" s="105" t="str">
        <f>VLOOKUP(K2322,COA!$A$3:$B$337,2,FALSE)</f>
        <v>R25</v>
      </c>
      <c r="M2322" s="105" t="str">
        <f t="shared" si="82"/>
        <v>R25</v>
      </c>
      <c r="N2322" s="105" t="str">
        <f>VLOOKUP(M2322,CAC!$A$2:$B$198,2,FALSE)</f>
        <v>HMOMG</v>
      </c>
    </row>
    <row r="2323" spans="5:14" x14ac:dyDescent="0.25">
      <c r="E2323" s="83">
        <v>201711</v>
      </c>
      <c r="F2323" s="82" t="s">
        <v>344</v>
      </c>
      <c r="G2323" s="82" t="s">
        <v>359</v>
      </c>
      <c r="H2323" s="82" t="s">
        <v>344</v>
      </c>
      <c r="I2323" s="95">
        <v>92</v>
      </c>
      <c r="K2323" s="105" t="str">
        <f t="shared" si="81"/>
        <v>0012-1005-0012</v>
      </c>
      <c r="L2323" s="105" t="str">
        <f>VLOOKUP(K2323,COA!$A$3:$B$337,2,FALSE)</f>
        <v>N13</v>
      </c>
      <c r="M2323" s="105" t="str">
        <f t="shared" si="82"/>
        <v>N13</v>
      </c>
      <c r="N2323" s="105" t="str">
        <f>VLOOKUP(M2323,CAC!$A$2:$B$198,2,FALSE)</f>
        <v>HMOLG</v>
      </c>
    </row>
    <row r="2324" spans="5:14" x14ac:dyDescent="0.25">
      <c r="E2324" s="83">
        <v>201605</v>
      </c>
      <c r="F2324" s="82" t="s">
        <v>345</v>
      </c>
      <c r="G2324" s="82" t="s">
        <v>350</v>
      </c>
      <c r="H2324" s="82" t="s">
        <v>344</v>
      </c>
      <c r="I2324" s="95">
        <v>14100.22</v>
      </c>
      <c r="K2324" s="105" t="str">
        <f t="shared" si="81"/>
        <v>0011-1012-0012</v>
      </c>
      <c r="L2324" s="105" t="str">
        <f>VLOOKUP(K2324,COA!$A$3:$B$337,2,FALSE)</f>
        <v>K11</v>
      </c>
      <c r="M2324" s="105" t="str">
        <f t="shared" si="82"/>
        <v>K11</v>
      </c>
      <c r="N2324" s="105" t="str">
        <f>VLOOKUP(M2324,CAC!$A$2:$B$198,2,FALSE)</f>
        <v>HMOPMR</v>
      </c>
    </row>
    <row r="2325" spans="5:14" x14ac:dyDescent="0.25">
      <c r="E2325" s="83">
        <v>201606</v>
      </c>
      <c r="F2325" s="82" t="s">
        <v>345</v>
      </c>
      <c r="G2325" s="82" t="s">
        <v>355</v>
      </c>
      <c r="H2325" s="82" t="s">
        <v>344</v>
      </c>
      <c r="I2325" s="95">
        <v>22968.71</v>
      </c>
      <c r="K2325" s="105" t="str">
        <f t="shared" si="81"/>
        <v>0011-1006-0012</v>
      </c>
      <c r="L2325" s="105" t="str">
        <f>VLOOKUP(K2325,COA!$A$3:$B$337,2,FALSE)</f>
        <v>L13</v>
      </c>
      <c r="M2325" s="105" t="str">
        <f t="shared" si="82"/>
        <v>L13</v>
      </c>
      <c r="N2325" s="105" t="str">
        <f>VLOOKUP(M2325,CAC!$A$2:$B$198,2,FALSE)</f>
        <v>HMOLG</v>
      </c>
    </row>
    <row r="2326" spans="5:14" x14ac:dyDescent="0.25">
      <c r="E2326" s="83">
        <v>201604</v>
      </c>
      <c r="F2326" s="82" t="s">
        <v>345</v>
      </c>
      <c r="G2326" s="82" t="s">
        <v>356</v>
      </c>
      <c r="H2326" s="82" t="s">
        <v>344</v>
      </c>
      <c r="I2326" s="95">
        <v>15713</v>
      </c>
      <c r="K2326" s="105" t="str">
        <f t="shared" si="81"/>
        <v>0011-1002-0012</v>
      </c>
      <c r="L2326" s="105" t="str">
        <f>VLOOKUP(K2326,COA!$A$3:$B$337,2,FALSE)</f>
        <v>F20</v>
      </c>
      <c r="M2326" s="105" t="str">
        <f t="shared" si="82"/>
        <v>F20</v>
      </c>
      <c r="N2326" s="105" t="str">
        <f>VLOOKUP(M2326,CAC!$A$2:$B$198,2,FALSE)</f>
        <v>HMOPMR</v>
      </c>
    </row>
    <row r="2327" spans="5:14" x14ac:dyDescent="0.25">
      <c r="E2327" s="83">
        <v>201609</v>
      </c>
      <c r="F2327" s="82" t="s">
        <v>563</v>
      </c>
      <c r="G2327" s="82" t="s">
        <v>361</v>
      </c>
      <c r="H2327" s="82" t="s">
        <v>344</v>
      </c>
      <c r="I2327" s="95">
        <v>0</v>
      </c>
      <c r="K2327" s="105" t="str">
        <f t="shared" si="81"/>
        <v>0003-1003-0012</v>
      </c>
      <c r="L2327" s="105" t="str">
        <f>VLOOKUP(K2327,COA!$A$3:$B$337,2,FALSE)</f>
        <v>N61</v>
      </c>
      <c r="M2327" s="105" t="str">
        <f t="shared" si="82"/>
        <v>N61</v>
      </c>
      <c r="N2327" s="105" t="str">
        <f>VLOOKUP(M2327,CAC!$A$2:$B$198,2,FALSE)</f>
        <v>PPOPMR</v>
      </c>
    </row>
    <row r="2328" spans="5:14" x14ac:dyDescent="0.25">
      <c r="E2328" s="83">
        <v>201606</v>
      </c>
      <c r="F2328" s="82" t="s">
        <v>413</v>
      </c>
      <c r="G2328" s="82" t="s">
        <v>356</v>
      </c>
      <c r="H2328" s="82" t="s">
        <v>344</v>
      </c>
      <c r="I2328" s="95">
        <v>0</v>
      </c>
      <c r="K2328" s="105" t="str">
        <f t="shared" si="81"/>
        <v>0008-1002-0012</v>
      </c>
      <c r="L2328" s="105" t="str">
        <f>VLOOKUP(K2328,COA!$A$3:$B$337,2,FALSE)</f>
        <v>C74</v>
      </c>
      <c r="M2328" s="105" t="str">
        <f t="shared" si="82"/>
        <v>C74</v>
      </c>
      <c r="N2328" s="105" t="str">
        <f>VLOOKUP(M2328,CAC!$A$2:$B$198,2,FALSE)</f>
        <v>DOILG</v>
      </c>
    </row>
    <row r="2329" spans="5:14" x14ac:dyDescent="0.25">
      <c r="E2329" s="83">
        <v>201712</v>
      </c>
      <c r="F2329" s="82" t="s">
        <v>563</v>
      </c>
      <c r="G2329" s="82" t="s">
        <v>354</v>
      </c>
      <c r="H2329" s="82" t="s">
        <v>626</v>
      </c>
      <c r="I2329" s="95">
        <v>0</v>
      </c>
      <c r="K2329" s="105" t="str">
        <f t="shared" si="81"/>
        <v>0003-1013-0057</v>
      </c>
      <c r="L2329" s="105" t="str">
        <f>VLOOKUP(K2329,COA!$A$3:$B$337,2,FALSE)</f>
        <v>N55</v>
      </c>
      <c r="M2329" s="105" t="str">
        <f t="shared" si="82"/>
        <v>N55</v>
      </c>
      <c r="N2329" s="105" t="str">
        <f>VLOOKUP(M2329,CAC!$A$2:$B$198,2,FALSE)</f>
        <v>PPOPMR</v>
      </c>
    </row>
    <row r="2330" spans="5:14" x14ac:dyDescent="0.25">
      <c r="E2330" s="83">
        <v>201702</v>
      </c>
      <c r="F2330" s="82" t="s">
        <v>563</v>
      </c>
      <c r="G2330" s="82" t="s">
        <v>352</v>
      </c>
      <c r="H2330" s="82" t="s">
        <v>626</v>
      </c>
      <c r="I2330" s="95">
        <v>0</v>
      </c>
      <c r="K2330" s="105" t="str">
        <f t="shared" si="81"/>
        <v>0003-1004-0057</v>
      </c>
      <c r="L2330" s="105" t="e">
        <f>VLOOKUP(K2330,COA!$A$3:$B$337,2,FALSE)</f>
        <v>#N/A</v>
      </c>
      <c r="M2330" s="105" t="str">
        <f t="shared" si="82"/>
        <v>XXX</v>
      </c>
      <c r="N2330" s="105" t="str">
        <f>VLOOKUP(M2330,CAC!$A$2:$B$198,2,FALSE)</f>
        <v>XXX</v>
      </c>
    </row>
    <row r="2331" spans="5:14" x14ac:dyDescent="0.25">
      <c r="E2331" s="83">
        <v>201605</v>
      </c>
      <c r="F2331" s="82" t="s">
        <v>563</v>
      </c>
      <c r="G2331" s="82" t="s">
        <v>365</v>
      </c>
      <c r="H2331" s="82" t="s">
        <v>367</v>
      </c>
      <c r="I2331" s="95">
        <v>0</v>
      </c>
      <c r="K2331" s="105" t="str">
        <f t="shared" si="81"/>
        <v>0003-1001-0022</v>
      </c>
      <c r="L2331" s="105" t="str">
        <f>VLOOKUP(K2331,COA!$A$3:$B$337,2,FALSE)</f>
        <v>V54</v>
      </c>
      <c r="M2331" s="105" t="str">
        <f t="shared" si="82"/>
        <v>V54</v>
      </c>
      <c r="N2331" s="105" t="str">
        <f>VLOOKUP(M2331,CAC!$A$2:$B$198,2,FALSE)</f>
        <v>PPOIFP</v>
      </c>
    </row>
    <row r="2332" spans="5:14" x14ac:dyDescent="0.25">
      <c r="E2332" s="83">
        <v>201511</v>
      </c>
      <c r="F2332" s="82" t="s">
        <v>563</v>
      </c>
      <c r="G2332" s="82" t="s">
        <v>365</v>
      </c>
      <c r="H2332" s="82" t="s">
        <v>344</v>
      </c>
      <c r="I2332" s="95">
        <v>0</v>
      </c>
      <c r="K2332" s="105" t="str">
        <f t="shared" si="81"/>
        <v>0003-1001-0012</v>
      </c>
      <c r="L2332" s="105" t="str">
        <f>VLOOKUP(K2332,COA!$A$3:$B$337,2,FALSE)</f>
        <v>V51</v>
      </c>
      <c r="M2332" s="105" t="str">
        <f t="shared" si="82"/>
        <v>V51</v>
      </c>
      <c r="N2332" s="105" t="str">
        <f>VLOOKUP(M2332,CAC!$A$2:$B$198,2,FALSE)</f>
        <v>PPOIFP</v>
      </c>
    </row>
    <row r="2333" spans="5:14" x14ac:dyDescent="0.25">
      <c r="E2333" s="83">
        <v>201705</v>
      </c>
      <c r="F2333" s="82" t="s">
        <v>345</v>
      </c>
      <c r="G2333" s="82" t="s">
        <v>354</v>
      </c>
      <c r="H2333" s="82" t="s">
        <v>344</v>
      </c>
      <c r="I2333" s="95">
        <v>5509.81</v>
      </c>
      <c r="K2333" s="105" t="str">
        <f t="shared" si="81"/>
        <v>0011-1013-0012</v>
      </c>
      <c r="L2333" s="105" t="str">
        <f>VLOOKUP(K2333,COA!$A$3:$B$337,2,FALSE)</f>
        <v>N20</v>
      </c>
      <c r="M2333" s="105" t="str">
        <f t="shared" si="82"/>
        <v>N20</v>
      </c>
      <c r="N2333" s="105" t="str">
        <f>VLOOKUP(M2333,CAC!$A$2:$B$198,2,FALSE)</f>
        <v>HMOPMR</v>
      </c>
    </row>
    <row r="2334" spans="5:14" x14ac:dyDescent="0.25">
      <c r="E2334" s="83">
        <v>201608</v>
      </c>
      <c r="F2334" s="82" t="s">
        <v>345</v>
      </c>
      <c r="G2334" s="82" t="s">
        <v>348</v>
      </c>
      <c r="H2334" s="82" t="s">
        <v>349</v>
      </c>
      <c r="I2334" s="95">
        <v>21796.91</v>
      </c>
      <c r="K2334" s="105" t="str">
        <f t="shared" si="81"/>
        <v>0011-1010-0017</v>
      </c>
      <c r="L2334" s="105" t="str">
        <f>VLOOKUP(K2334,COA!$A$3:$B$337,2,FALSE)</f>
        <v>S11</v>
      </c>
      <c r="M2334" s="105" t="str">
        <f t="shared" si="82"/>
        <v>S11</v>
      </c>
      <c r="N2334" s="105" t="str">
        <f>VLOOKUP(M2334,CAC!$A$2:$B$198,2,FALSE)</f>
        <v>HMOSG</v>
      </c>
    </row>
    <row r="2335" spans="5:14" x14ac:dyDescent="0.25">
      <c r="E2335" s="83">
        <v>201701</v>
      </c>
      <c r="F2335" s="82" t="s">
        <v>506</v>
      </c>
      <c r="G2335" s="82" t="s">
        <v>350</v>
      </c>
      <c r="H2335" s="82" t="s">
        <v>592</v>
      </c>
      <c r="I2335" s="95">
        <v>0</v>
      </c>
      <c r="K2335" s="105" t="str">
        <f t="shared" si="81"/>
        <v>0013-1012-0035</v>
      </c>
      <c r="L2335" s="105" t="str">
        <f>VLOOKUP(K2335,COA!$A$3:$B$337,2,FALSE)</f>
        <v>K41</v>
      </c>
      <c r="M2335" s="105" t="str">
        <f t="shared" si="82"/>
        <v>K41</v>
      </c>
      <c r="N2335" s="105" t="e">
        <f>VLOOKUP(M2335,CAC!$A$2:$B$198,2,FALSE)</f>
        <v>#N/A</v>
      </c>
    </row>
    <row r="2336" spans="5:14" x14ac:dyDescent="0.25">
      <c r="E2336" s="83">
        <v>201611</v>
      </c>
      <c r="F2336" s="82" t="s">
        <v>344</v>
      </c>
      <c r="G2336" s="82" t="s">
        <v>355</v>
      </c>
      <c r="H2336" s="82" t="s">
        <v>344</v>
      </c>
      <c r="I2336" s="95">
        <v>81</v>
      </c>
      <c r="K2336" s="105" t="str">
        <f t="shared" si="81"/>
        <v>0012-1006-0012</v>
      </c>
      <c r="L2336" s="105" t="str">
        <f>VLOOKUP(K2336,COA!$A$3:$B$337,2,FALSE)</f>
        <v>L16</v>
      </c>
      <c r="M2336" s="105" t="str">
        <f t="shared" si="82"/>
        <v>L16</v>
      </c>
      <c r="N2336" s="105" t="str">
        <f>VLOOKUP(M2336,CAC!$A$2:$B$198,2,FALSE)</f>
        <v>HMOLG</v>
      </c>
    </row>
    <row r="2337" spans="5:14" x14ac:dyDescent="0.25">
      <c r="E2337" s="83">
        <v>201607</v>
      </c>
      <c r="F2337" s="82" t="s">
        <v>746</v>
      </c>
      <c r="G2337" s="82" t="s">
        <v>356</v>
      </c>
      <c r="H2337" s="82" t="s">
        <v>344</v>
      </c>
      <c r="I2337" s="95">
        <v>133</v>
      </c>
      <c r="K2337" s="105" t="str">
        <f t="shared" si="81"/>
        <v>0016-1002-0012</v>
      </c>
      <c r="L2337" s="105" t="str">
        <f>VLOOKUP(K2337,COA!$A$3:$B$337,2,FALSE)</f>
        <v>R18</v>
      </c>
      <c r="M2337" s="105" t="str">
        <f t="shared" si="82"/>
        <v>R18</v>
      </c>
      <c r="N2337" s="105" t="str">
        <f>VLOOKUP(M2337,CAC!$A$2:$B$198,2,FALSE)</f>
        <v>HMOMG</v>
      </c>
    </row>
    <row r="2338" spans="5:14" x14ac:dyDescent="0.25">
      <c r="E2338" s="83">
        <v>201512</v>
      </c>
      <c r="F2338" s="82" t="s">
        <v>345</v>
      </c>
      <c r="G2338" s="82" t="s">
        <v>356</v>
      </c>
      <c r="H2338" s="82" t="s">
        <v>344</v>
      </c>
      <c r="I2338" s="95">
        <v>15328.03</v>
      </c>
      <c r="K2338" s="105" t="str">
        <f t="shared" si="81"/>
        <v>0011-1002-0012</v>
      </c>
      <c r="L2338" s="105" t="str">
        <f>VLOOKUP(K2338,COA!$A$3:$B$337,2,FALSE)</f>
        <v>F20</v>
      </c>
      <c r="M2338" s="105" t="str">
        <f t="shared" si="82"/>
        <v>F20</v>
      </c>
      <c r="N2338" s="105" t="str">
        <f>VLOOKUP(M2338,CAC!$A$2:$B$198,2,FALSE)</f>
        <v>HMOPMR</v>
      </c>
    </row>
    <row r="2339" spans="5:14" x14ac:dyDescent="0.25">
      <c r="E2339" s="83">
        <v>201704</v>
      </c>
      <c r="F2339" s="82" t="s">
        <v>549</v>
      </c>
      <c r="G2339" s="82" t="s">
        <v>352</v>
      </c>
      <c r="H2339" s="82" t="s">
        <v>672</v>
      </c>
      <c r="I2339" s="95">
        <v>0</v>
      </c>
      <c r="K2339" s="105" t="str">
        <f t="shared" si="81"/>
        <v>0026-1004-0058</v>
      </c>
      <c r="L2339" s="105" t="str">
        <f>VLOOKUP(K2339,COA!$A$3:$B$337,2,FALSE)</f>
        <v>L44</v>
      </c>
      <c r="M2339" s="105" t="str">
        <f t="shared" si="82"/>
        <v>L44</v>
      </c>
      <c r="N2339" s="105" t="e">
        <f>VLOOKUP(M2339,CAC!$A$2:$B$198,2,FALSE)</f>
        <v>#N/A</v>
      </c>
    </row>
    <row r="2340" spans="5:14" x14ac:dyDescent="0.25">
      <c r="E2340" s="83">
        <v>201610</v>
      </c>
      <c r="F2340" s="82" t="s">
        <v>563</v>
      </c>
      <c r="G2340" s="82" t="s">
        <v>354</v>
      </c>
      <c r="H2340" s="82" t="s">
        <v>653</v>
      </c>
      <c r="I2340" s="95">
        <v>0</v>
      </c>
      <c r="K2340" s="105" t="str">
        <f t="shared" si="81"/>
        <v>0003-1013-0047</v>
      </c>
      <c r="L2340" s="105" t="str">
        <f>VLOOKUP(K2340,COA!$A$3:$B$337,2,FALSE)</f>
        <v>N57</v>
      </c>
      <c r="M2340" s="105" t="str">
        <f t="shared" si="82"/>
        <v>N57</v>
      </c>
      <c r="N2340" s="105" t="str">
        <f>VLOOKUP(M2340,CAC!$A$2:$B$198,2,FALSE)</f>
        <v>PPOPMR</v>
      </c>
    </row>
    <row r="2341" spans="5:14" x14ac:dyDescent="0.25">
      <c r="E2341" s="83">
        <v>201702</v>
      </c>
      <c r="F2341" s="82" t="s">
        <v>345</v>
      </c>
      <c r="G2341" s="82" t="s">
        <v>352</v>
      </c>
      <c r="H2341" s="82" t="s">
        <v>653</v>
      </c>
      <c r="I2341" s="95">
        <v>0</v>
      </c>
      <c r="K2341" s="105" t="str">
        <f t="shared" si="81"/>
        <v>0011-1004-0047</v>
      </c>
      <c r="L2341" s="105" t="str">
        <f>VLOOKUP(K2341,COA!$A$3:$B$337,2,FALSE)</f>
        <v>L17</v>
      </c>
      <c r="M2341" s="105" t="str">
        <f t="shared" si="82"/>
        <v>L17</v>
      </c>
      <c r="N2341" s="105" t="str">
        <f>VLOOKUP(M2341,CAC!$A$2:$B$198,2,FALSE)</f>
        <v>HMOLG</v>
      </c>
    </row>
    <row r="2342" spans="5:14" x14ac:dyDescent="0.25">
      <c r="E2342" s="83">
        <v>201602</v>
      </c>
      <c r="F2342" s="82" t="s">
        <v>344</v>
      </c>
      <c r="G2342" s="82" t="s">
        <v>356</v>
      </c>
      <c r="H2342" s="82" t="s">
        <v>344</v>
      </c>
      <c r="I2342" s="95">
        <v>4115.6899999999996</v>
      </c>
      <c r="K2342" s="105" t="str">
        <f t="shared" si="81"/>
        <v>0012-1002-0012</v>
      </c>
      <c r="L2342" s="105" t="str">
        <f>VLOOKUP(K2342,COA!$A$3:$B$337,2,FALSE)</f>
        <v>F22</v>
      </c>
      <c r="M2342" s="105" t="str">
        <f t="shared" si="82"/>
        <v>F22</v>
      </c>
      <c r="N2342" s="105" t="str">
        <f>VLOOKUP(M2342,CAC!$A$2:$B$198,2,FALSE)</f>
        <v>HMOPMR</v>
      </c>
    </row>
    <row r="2343" spans="5:14" x14ac:dyDescent="0.25">
      <c r="E2343" s="83">
        <v>201603</v>
      </c>
      <c r="F2343" s="82" t="s">
        <v>746</v>
      </c>
      <c r="G2343" s="82" t="s">
        <v>356</v>
      </c>
      <c r="H2343" s="82" t="s">
        <v>764</v>
      </c>
      <c r="I2343" s="95">
        <v>8</v>
      </c>
      <c r="K2343" s="105" t="str">
        <f t="shared" si="81"/>
        <v>0016-1002-0064</v>
      </c>
      <c r="L2343" s="105" t="str">
        <f>VLOOKUP(K2343,COA!$A$3:$B$337,2,FALSE)</f>
        <v>R25</v>
      </c>
      <c r="M2343" s="105" t="str">
        <f t="shared" si="82"/>
        <v>R25</v>
      </c>
      <c r="N2343" s="105" t="str">
        <f>VLOOKUP(M2343,CAC!$A$2:$B$198,2,FALSE)</f>
        <v>HMOMG</v>
      </c>
    </row>
    <row r="2344" spans="5:14" x14ac:dyDescent="0.25">
      <c r="E2344" s="83">
        <v>201707</v>
      </c>
      <c r="F2344" s="82" t="s">
        <v>563</v>
      </c>
      <c r="G2344" s="82" t="s">
        <v>348</v>
      </c>
      <c r="H2344" s="82" t="s">
        <v>349</v>
      </c>
      <c r="I2344" s="95">
        <v>0</v>
      </c>
      <c r="K2344" s="105" t="str">
        <f t="shared" si="81"/>
        <v>0003-1010-0017</v>
      </c>
      <c r="L2344" s="105" t="str">
        <f>VLOOKUP(K2344,COA!$A$3:$B$337,2,FALSE)</f>
        <v>S51</v>
      </c>
      <c r="M2344" s="105" t="str">
        <f t="shared" si="82"/>
        <v>S51</v>
      </c>
      <c r="N2344" s="105" t="str">
        <f>VLOOKUP(M2344,CAC!$A$2:$B$198,2,FALSE)</f>
        <v>PPOSG</v>
      </c>
    </row>
    <row r="2345" spans="5:14" x14ac:dyDescent="0.25">
      <c r="E2345" s="83">
        <v>201707</v>
      </c>
      <c r="F2345" s="82" t="s">
        <v>506</v>
      </c>
      <c r="G2345" s="82" t="s">
        <v>350</v>
      </c>
      <c r="H2345" s="82" t="s">
        <v>592</v>
      </c>
      <c r="I2345" s="95">
        <v>0</v>
      </c>
      <c r="K2345" s="105" t="str">
        <f t="shared" si="81"/>
        <v>0013-1012-0035</v>
      </c>
      <c r="L2345" s="105" t="str">
        <f>VLOOKUP(K2345,COA!$A$3:$B$337,2,FALSE)</f>
        <v>K41</v>
      </c>
      <c r="M2345" s="105" t="str">
        <f t="shared" si="82"/>
        <v>K41</v>
      </c>
      <c r="N2345" s="105" t="e">
        <f>VLOOKUP(M2345,CAC!$A$2:$B$198,2,FALSE)</f>
        <v>#N/A</v>
      </c>
    </row>
    <row r="2346" spans="5:14" x14ac:dyDescent="0.25">
      <c r="E2346" s="83">
        <v>201506</v>
      </c>
      <c r="F2346" s="82" t="s">
        <v>345</v>
      </c>
      <c r="G2346" s="82" t="s">
        <v>348</v>
      </c>
      <c r="H2346" s="82" t="s">
        <v>349</v>
      </c>
      <c r="I2346" s="95">
        <v>17600.48</v>
      </c>
      <c r="K2346" s="105" t="str">
        <f t="shared" si="81"/>
        <v>0011-1010-0017</v>
      </c>
      <c r="L2346" s="105" t="str">
        <f>VLOOKUP(K2346,COA!$A$3:$B$337,2,FALSE)</f>
        <v>S11</v>
      </c>
      <c r="M2346" s="105" t="str">
        <f t="shared" si="82"/>
        <v>S11</v>
      </c>
      <c r="N2346" s="105" t="str">
        <f>VLOOKUP(M2346,CAC!$A$2:$B$198,2,FALSE)</f>
        <v>HMOSG</v>
      </c>
    </row>
    <row r="2347" spans="5:14" x14ac:dyDescent="0.25">
      <c r="E2347" s="83">
        <v>201511</v>
      </c>
      <c r="F2347" s="82" t="s">
        <v>345</v>
      </c>
      <c r="G2347" s="82" t="s">
        <v>361</v>
      </c>
      <c r="H2347" s="82" t="s">
        <v>344</v>
      </c>
      <c r="I2347" s="95">
        <v>874</v>
      </c>
      <c r="K2347" s="105" t="str">
        <f t="shared" si="81"/>
        <v>0011-1003-0012</v>
      </c>
      <c r="L2347" s="105" t="str">
        <f>VLOOKUP(K2347,COA!$A$3:$B$337,2,FALSE)</f>
        <v>N16</v>
      </c>
      <c r="M2347" s="105" t="str">
        <f t="shared" si="82"/>
        <v>N16</v>
      </c>
      <c r="N2347" s="105" t="str">
        <f>VLOOKUP(M2347,CAC!$A$2:$B$198,2,FALSE)</f>
        <v>HMOPMR</v>
      </c>
    </row>
    <row r="2348" spans="5:14" x14ac:dyDescent="0.25">
      <c r="E2348" s="83">
        <v>201602</v>
      </c>
      <c r="F2348" s="82" t="s">
        <v>549</v>
      </c>
      <c r="G2348" s="82" t="s">
        <v>352</v>
      </c>
      <c r="H2348" s="82" t="s">
        <v>672</v>
      </c>
      <c r="I2348" s="95">
        <v>0</v>
      </c>
      <c r="K2348" s="105" t="str">
        <f t="shared" si="81"/>
        <v>0026-1004-0058</v>
      </c>
      <c r="L2348" s="105" t="str">
        <f>VLOOKUP(K2348,COA!$A$3:$B$337,2,FALSE)</f>
        <v>L44</v>
      </c>
      <c r="M2348" s="105" t="str">
        <f t="shared" si="82"/>
        <v>L44</v>
      </c>
      <c r="N2348" s="105" t="e">
        <f>VLOOKUP(M2348,CAC!$A$2:$B$198,2,FALSE)</f>
        <v>#N/A</v>
      </c>
    </row>
    <row r="2349" spans="5:14" x14ac:dyDescent="0.25">
      <c r="E2349" s="83">
        <v>201510</v>
      </c>
      <c r="F2349" s="82" t="s">
        <v>413</v>
      </c>
      <c r="G2349" s="82" t="s">
        <v>365</v>
      </c>
      <c r="H2349" s="82" t="s">
        <v>411</v>
      </c>
      <c r="I2349" s="95">
        <v>0</v>
      </c>
      <c r="K2349" s="105" t="str">
        <f t="shared" si="81"/>
        <v>0008-1001-0007</v>
      </c>
      <c r="L2349" s="105" t="str">
        <f>VLOOKUP(K2349,COA!$A$3:$B$337,2,FALSE)</f>
        <v>C99</v>
      </c>
      <c r="M2349" s="105" t="str">
        <f t="shared" si="82"/>
        <v>C99</v>
      </c>
      <c r="N2349" s="105" t="str">
        <f>VLOOKUP(M2349,CAC!$A$2:$B$198,2,FALSE)</f>
        <v>DOIIFP</v>
      </c>
    </row>
    <row r="2350" spans="5:14" x14ac:dyDescent="0.25">
      <c r="E2350" s="83">
        <v>201512</v>
      </c>
      <c r="F2350" s="82" t="s">
        <v>345</v>
      </c>
      <c r="G2350" s="82" t="s">
        <v>350</v>
      </c>
      <c r="H2350" s="82" t="s">
        <v>360</v>
      </c>
      <c r="I2350" s="95">
        <v>5945.38</v>
      </c>
      <c r="K2350" s="105" t="str">
        <f t="shared" si="81"/>
        <v>0011-1012-0048</v>
      </c>
      <c r="L2350" s="105" t="str">
        <f>VLOOKUP(K2350,COA!$A$3:$B$337,2,FALSE)</f>
        <v>K21</v>
      </c>
      <c r="M2350" s="105" t="str">
        <f t="shared" si="82"/>
        <v>K21</v>
      </c>
      <c r="N2350" s="105" t="str">
        <f>VLOOKUP(M2350,CAC!$A$2:$B$198,2,FALSE)</f>
        <v>HMFLEX</v>
      </c>
    </row>
    <row r="2351" spans="5:14" x14ac:dyDescent="0.25">
      <c r="E2351" s="83">
        <v>201507</v>
      </c>
      <c r="F2351" s="82" t="s">
        <v>413</v>
      </c>
      <c r="G2351" s="82" t="s">
        <v>365</v>
      </c>
      <c r="H2351" s="82" t="s">
        <v>344</v>
      </c>
      <c r="I2351" s="95">
        <v>0</v>
      </c>
      <c r="K2351" s="105" t="str">
        <f t="shared" si="81"/>
        <v>0008-1001-0012</v>
      </c>
      <c r="L2351" s="105" t="str">
        <f>VLOOKUP(K2351,COA!$A$3:$B$337,2,FALSE)</f>
        <v>C95</v>
      </c>
      <c r="M2351" s="105" t="str">
        <f t="shared" si="82"/>
        <v>C95</v>
      </c>
      <c r="N2351" s="105" t="str">
        <f>VLOOKUP(M2351,CAC!$A$2:$B$198,2,FALSE)</f>
        <v>DOIIFP</v>
      </c>
    </row>
    <row r="2352" spans="5:14" x14ac:dyDescent="0.25">
      <c r="E2352" s="83">
        <v>201509</v>
      </c>
      <c r="F2352" s="82" t="s">
        <v>563</v>
      </c>
      <c r="G2352" s="82" t="s">
        <v>352</v>
      </c>
      <c r="H2352" s="82" t="s">
        <v>653</v>
      </c>
      <c r="I2352" s="95">
        <v>0</v>
      </c>
      <c r="K2352" s="105" t="str">
        <f t="shared" si="81"/>
        <v>0003-1004-0047</v>
      </c>
      <c r="L2352" s="105" t="str">
        <f>VLOOKUP(K2352,COA!$A$3:$B$337,2,FALSE)</f>
        <v>L57</v>
      </c>
      <c r="M2352" s="105" t="str">
        <f t="shared" si="82"/>
        <v>L57</v>
      </c>
      <c r="N2352" s="105" t="str">
        <f>VLOOKUP(M2352,CAC!$A$2:$B$198,2,FALSE)</f>
        <v>PPOLG</v>
      </c>
    </row>
    <row r="2353" spans="5:14" x14ac:dyDescent="0.25">
      <c r="E2353" s="83">
        <v>201511</v>
      </c>
      <c r="F2353" s="82" t="s">
        <v>506</v>
      </c>
      <c r="G2353" s="82" t="s">
        <v>352</v>
      </c>
      <c r="H2353" s="82" t="s">
        <v>592</v>
      </c>
      <c r="I2353" s="95">
        <v>0</v>
      </c>
      <c r="K2353" s="105" t="str">
        <f t="shared" si="81"/>
        <v>0013-1004-0035</v>
      </c>
      <c r="L2353" s="105" t="str">
        <f>VLOOKUP(K2353,COA!$A$3:$B$337,2,FALSE)</f>
        <v>L41</v>
      </c>
      <c r="M2353" s="105" t="str">
        <f t="shared" si="82"/>
        <v>L41</v>
      </c>
      <c r="N2353" s="105" t="e">
        <f>VLOOKUP(M2353,CAC!$A$2:$B$198,2,FALSE)</f>
        <v>#N/A</v>
      </c>
    </row>
    <row r="2354" spans="5:14" x14ac:dyDescent="0.25">
      <c r="E2354" s="83">
        <v>201607</v>
      </c>
      <c r="F2354" s="82" t="s">
        <v>345</v>
      </c>
      <c r="G2354" s="82" t="s">
        <v>350</v>
      </c>
      <c r="H2354" s="82" t="s">
        <v>357</v>
      </c>
      <c r="I2354" s="95">
        <v>1938.96</v>
      </c>
      <c r="K2354" s="105" t="str">
        <f t="shared" si="81"/>
        <v>0011-1012-0038</v>
      </c>
      <c r="L2354" s="105" t="str">
        <f>VLOOKUP(K2354,COA!$A$3:$B$337,2,FALSE)</f>
        <v>K14</v>
      </c>
      <c r="M2354" s="105" t="str">
        <f t="shared" si="82"/>
        <v>K14</v>
      </c>
      <c r="N2354" s="105" t="str">
        <f>VLOOKUP(M2354,CAC!$A$2:$B$198,2,FALSE)</f>
        <v>HMOPMR</v>
      </c>
    </row>
    <row r="2355" spans="5:14" x14ac:dyDescent="0.25">
      <c r="E2355" s="83">
        <v>201704</v>
      </c>
      <c r="F2355" s="82" t="s">
        <v>345</v>
      </c>
      <c r="G2355" s="82" t="s">
        <v>346</v>
      </c>
      <c r="H2355" s="82" t="s">
        <v>360</v>
      </c>
      <c r="I2355" s="95">
        <v>335</v>
      </c>
      <c r="K2355" s="105" t="str">
        <f t="shared" si="81"/>
        <v>0011-1014-0048</v>
      </c>
      <c r="L2355" s="105" t="str">
        <f>VLOOKUP(K2355,COA!$A$3:$B$337,2,FALSE)</f>
        <v>K23</v>
      </c>
      <c r="M2355" s="105" t="str">
        <f t="shared" si="82"/>
        <v>K23</v>
      </c>
      <c r="N2355" s="105" t="str">
        <f>VLOOKUP(M2355,CAC!$A$2:$B$198,2,FALSE)</f>
        <v>HMFLEX</v>
      </c>
    </row>
    <row r="2356" spans="5:14" x14ac:dyDescent="0.25">
      <c r="E2356" s="83">
        <v>201504</v>
      </c>
      <c r="F2356" s="82" t="s">
        <v>413</v>
      </c>
      <c r="G2356" s="82" t="s">
        <v>359</v>
      </c>
      <c r="H2356" s="82" t="s">
        <v>344</v>
      </c>
      <c r="I2356" s="95">
        <v>0</v>
      </c>
      <c r="K2356" s="105" t="str">
        <f t="shared" si="81"/>
        <v>0008-1005-0012</v>
      </c>
      <c r="L2356" s="105" t="str">
        <f>VLOOKUP(K2356,COA!$A$3:$B$337,2,FALSE)</f>
        <v>C73</v>
      </c>
      <c r="M2356" s="105" t="str">
        <f t="shared" si="82"/>
        <v>C73</v>
      </c>
      <c r="N2356" s="105" t="str">
        <f>VLOOKUP(M2356,CAC!$A$2:$B$198,2,FALSE)</f>
        <v>DOILG</v>
      </c>
    </row>
    <row r="2357" spans="5:14" x14ac:dyDescent="0.25">
      <c r="E2357" s="83">
        <v>201602</v>
      </c>
      <c r="F2357" s="82" t="s">
        <v>563</v>
      </c>
      <c r="G2357" s="82" t="s">
        <v>351</v>
      </c>
      <c r="H2357" s="82" t="s">
        <v>349</v>
      </c>
      <c r="I2357" s="95">
        <v>0</v>
      </c>
      <c r="K2357" s="105" t="str">
        <f t="shared" si="81"/>
        <v>0003-0000-0017</v>
      </c>
      <c r="L2357" s="105" t="e">
        <f>VLOOKUP(K2357,COA!$A$3:$B$337,2,FALSE)</f>
        <v>#N/A</v>
      </c>
      <c r="M2357" s="105" t="str">
        <f t="shared" si="82"/>
        <v>XXX</v>
      </c>
      <c r="N2357" s="105" t="str">
        <f>VLOOKUP(M2357,CAC!$A$2:$B$198,2,FALSE)</f>
        <v>XXX</v>
      </c>
    </row>
    <row r="2358" spans="5:14" x14ac:dyDescent="0.25">
      <c r="E2358" s="83">
        <v>201510</v>
      </c>
      <c r="F2358" s="82" t="s">
        <v>345</v>
      </c>
      <c r="G2358" s="82" t="s">
        <v>351</v>
      </c>
      <c r="H2358" s="82" t="s">
        <v>353</v>
      </c>
      <c r="I2358" s="95">
        <v>3</v>
      </c>
      <c r="K2358" s="105" t="str">
        <f t="shared" si="81"/>
        <v>0011-0000-0023</v>
      </c>
      <c r="L2358" s="105" t="e">
        <f>VLOOKUP(K2358,COA!$A$3:$B$337,2,FALSE)</f>
        <v>#N/A</v>
      </c>
      <c r="M2358" s="105" t="str">
        <f t="shared" si="82"/>
        <v>XXX</v>
      </c>
      <c r="N2358" s="105" t="str">
        <f>VLOOKUP(M2358,CAC!$A$2:$B$198,2,FALSE)</f>
        <v>XXX</v>
      </c>
    </row>
    <row r="2359" spans="5:14" x14ac:dyDescent="0.25">
      <c r="E2359" s="83">
        <v>201709</v>
      </c>
      <c r="F2359" s="82" t="s">
        <v>345</v>
      </c>
      <c r="G2359" s="82" t="s">
        <v>350</v>
      </c>
      <c r="H2359" s="82" t="s">
        <v>360</v>
      </c>
      <c r="I2359" s="95">
        <v>9979</v>
      </c>
      <c r="K2359" s="105" t="str">
        <f t="shared" si="81"/>
        <v>0011-1012-0048</v>
      </c>
      <c r="L2359" s="105" t="str">
        <f>VLOOKUP(K2359,COA!$A$3:$B$337,2,FALSE)</f>
        <v>K21</v>
      </c>
      <c r="M2359" s="105" t="str">
        <f t="shared" si="82"/>
        <v>K21</v>
      </c>
      <c r="N2359" s="105" t="str">
        <f>VLOOKUP(M2359,CAC!$A$2:$B$198,2,FALSE)</f>
        <v>HMFLEX</v>
      </c>
    </row>
    <row r="2360" spans="5:14" x14ac:dyDescent="0.25">
      <c r="E2360" s="83">
        <v>201702</v>
      </c>
      <c r="F2360" s="82" t="s">
        <v>345</v>
      </c>
      <c r="G2360" s="82" t="s">
        <v>356</v>
      </c>
      <c r="H2360" s="82" t="s">
        <v>344</v>
      </c>
      <c r="I2360" s="95">
        <v>16141.89</v>
      </c>
      <c r="K2360" s="105" t="str">
        <f t="shared" si="81"/>
        <v>0011-1002-0012</v>
      </c>
      <c r="L2360" s="105" t="str">
        <f>VLOOKUP(K2360,COA!$A$3:$B$337,2,FALSE)</f>
        <v>F20</v>
      </c>
      <c r="M2360" s="105" t="str">
        <f t="shared" si="82"/>
        <v>F20</v>
      </c>
      <c r="N2360" s="105" t="str">
        <f>VLOOKUP(M2360,CAC!$A$2:$B$198,2,FALSE)</f>
        <v>HMOPMR</v>
      </c>
    </row>
    <row r="2361" spans="5:14" x14ac:dyDescent="0.25">
      <c r="E2361" s="83">
        <v>201704</v>
      </c>
      <c r="F2361" s="82" t="s">
        <v>563</v>
      </c>
      <c r="G2361" s="82" t="s">
        <v>365</v>
      </c>
      <c r="H2361" s="82" t="s">
        <v>798</v>
      </c>
      <c r="I2361" s="95">
        <v>0</v>
      </c>
      <c r="K2361" s="105" t="str">
        <f t="shared" si="81"/>
        <v>0003-1001-0065</v>
      </c>
      <c r="L2361" s="105" t="str">
        <f>VLOOKUP(K2361,COA!$A$3:$B$337,2,FALSE)</f>
        <v>V55</v>
      </c>
      <c r="M2361" s="105" t="str">
        <f t="shared" si="82"/>
        <v>V55</v>
      </c>
      <c r="N2361" s="105" t="e">
        <f>VLOOKUP(M2361,CAC!$A$2:$B$198,2,FALSE)</f>
        <v>#N/A</v>
      </c>
    </row>
    <row r="2362" spans="5:14" x14ac:dyDescent="0.25">
      <c r="E2362" s="83">
        <v>201510</v>
      </c>
      <c r="F2362" s="82" t="s">
        <v>345</v>
      </c>
      <c r="G2362" s="82" t="s">
        <v>362</v>
      </c>
      <c r="H2362" s="82" t="s">
        <v>371</v>
      </c>
      <c r="I2362" s="95">
        <v>6316</v>
      </c>
      <c r="K2362" s="105" t="str">
        <f t="shared" si="81"/>
        <v>0011-1008-0033</v>
      </c>
      <c r="L2362" s="105" t="str">
        <f>VLOOKUP(K2362,COA!$A$3:$B$337,2,FALSE)</f>
        <v>P13</v>
      </c>
      <c r="M2362" s="105" t="str">
        <f t="shared" si="82"/>
        <v>P13</v>
      </c>
      <c r="N2362" s="105" t="str">
        <f>VLOOKUP(M2362,CAC!$A$2:$B$198,2,FALSE)</f>
        <v>PERMEDA</v>
      </c>
    </row>
    <row r="2363" spans="5:14" x14ac:dyDescent="0.25">
      <c r="E2363" s="83">
        <v>201710</v>
      </c>
      <c r="F2363" s="82" t="s">
        <v>345</v>
      </c>
      <c r="G2363" s="82" t="s">
        <v>355</v>
      </c>
      <c r="H2363" s="82" t="s">
        <v>344</v>
      </c>
      <c r="I2363" s="95">
        <v>18753.689999999999</v>
      </c>
      <c r="K2363" s="105" t="str">
        <f t="shared" si="81"/>
        <v>0011-1006-0012</v>
      </c>
      <c r="L2363" s="105" t="str">
        <f>VLOOKUP(K2363,COA!$A$3:$B$337,2,FALSE)</f>
        <v>L13</v>
      </c>
      <c r="M2363" s="105" t="str">
        <f t="shared" si="82"/>
        <v>L13</v>
      </c>
      <c r="N2363" s="105" t="str">
        <f>VLOOKUP(M2363,CAC!$A$2:$B$198,2,FALSE)</f>
        <v>HMOLG</v>
      </c>
    </row>
    <row r="2364" spans="5:14" x14ac:dyDescent="0.25">
      <c r="E2364" s="83">
        <v>201506</v>
      </c>
      <c r="F2364" s="82" t="s">
        <v>746</v>
      </c>
      <c r="G2364" s="82" t="s">
        <v>350</v>
      </c>
      <c r="H2364" s="82" t="s">
        <v>344</v>
      </c>
      <c r="I2364" s="95">
        <v>134</v>
      </c>
      <c r="K2364" s="105" t="str">
        <f t="shared" si="81"/>
        <v>0016-1012-0012</v>
      </c>
      <c r="L2364" s="105" t="str">
        <f>VLOOKUP(K2364,COA!$A$3:$B$337,2,FALSE)</f>
        <v>R19</v>
      </c>
      <c r="M2364" s="105" t="str">
        <f t="shared" si="82"/>
        <v>R19</v>
      </c>
      <c r="N2364" s="105" t="str">
        <f>VLOOKUP(M2364,CAC!$A$2:$B$198,2,FALSE)</f>
        <v>HMOMG</v>
      </c>
    </row>
    <row r="2365" spans="5:14" x14ac:dyDescent="0.25">
      <c r="E2365" s="83">
        <v>201701</v>
      </c>
      <c r="F2365" s="82" t="s">
        <v>506</v>
      </c>
      <c r="G2365" s="82" t="s">
        <v>359</v>
      </c>
      <c r="H2365" s="82" t="s">
        <v>592</v>
      </c>
      <c r="I2365" s="95">
        <v>0</v>
      </c>
      <c r="K2365" s="105" t="str">
        <f t="shared" si="81"/>
        <v>0013-1005-0035</v>
      </c>
      <c r="L2365" s="105" t="str">
        <f>VLOOKUP(K2365,COA!$A$3:$B$337,2,FALSE)</f>
        <v>N41</v>
      </c>
      <c r="M2365" s="105" t="str">
        <f t="shared" si="82"/>
        <v>N41</v>
      </c>
      <c r="N2365" s="105" t="e">
        <f>VLOOKUP(M2365,CAC!$A$2:$B$198,2,FALSE)</f>
        <v>#N/A</v>
      </c>
    </row>
    <row r="2366" spans="5:14" x14ac:dyDescent="0.25">
      <c r="E2366" s="83">
        <v>201507</v>
      </c>
      <c r="F2366" s="82" t="s">
        <v>506</v>
      </c>
      <c r="G2366" s="82" t="s">
        <v>359</v>
      </c>
      <c r="H2366" s="82" t="s">
        <v>592</v>
      </c>
      <c r="I2366" s="95">
        <v>0</v>
      </c>
      <c r="K2366" s="105" t="str">
        <f t="shared" si="81"/>
        <v>0013-1005-0035</v>
      </c>
      <c r="L2366" s="105" t="str">
        <f>VLOOKUP(K2366,COA!$A$3:$B$337,2,FALSE)</f>
        <v>N41</v>
      </c>
      <c r="M2366" s="105" t="str">
        <f t="shared" si="82"/>
        <v>N41</v>
      </c>
      <c r="N2366" s="105" t="e">
        <f>VLOOKUP(M2366,CAC!$A$2:$B$198,2,FALSE)</f>
        <v>#N/A</v>
      </c>
    </row>
    <row r="2367" spans="5:14" x14ac:dyDescent="0.25">
      <c r="E2367" s="83">
        <v>201605</v>
      </c>
      <c r="F2367" s="82" t="s">
        <v>413</v>
      </c>
      <c r="G2367" s="82" t="s">
        <v>356</v>
      </c>
      <c r="H2367" s="82" t="s">
        <v>344</v>
      </c>
      <c r="I2367" s="95">
        <v>0</v>
      </c>
      <c r="K2367" s="105" t="str">
        <f t="shared" si="81"/>
        <v>0008-1002-0012</v>
      </c>
      <c r="L2367" s="105" t="str">
        <f>VLOOKUP(K2367,COA!$A$3:$B$337,2,FALSE)</f>
        <v>C74</v>
      </c>
      <c r="M2367" s="105" t="str">
        <f t="shared" si="82"/>
        <v>C74</v>
      </c>
      <c r="N2367" s="105" t="str">
        <f>VLOOKUP(M2367,CAC!$A$2:$B$198,2,FALSE)</f>
        <v>DOILG</v>
      </c>
    </row>
    <row r="2368" spans="5:14" x14ac:dyDescent="0.25">
      <c r="E2368" s="83">
        <v>201609</v>
      </c>
      <c r="F2368" s="82" t="s">
        <v>345</v>
      </c>
      <c r="G2368" s="82" t="s">
        <v>346</v>
      </c>
      <c r="H2368" s="82" t="s">
        <v>344</v>
      </c>
      <c r="I2368" s="95">
        <v>0</v>
      </c>
      <c r="K2368" s="105" t="str">
        <f t="shared" si="81"/>
        <v>0011-1014-0012</v>
      </c>
      <c r="L2368" s="105" t="e">
        <f>VLOOKUP(K2368,COA!$A$3:$B$337,2,FALSE)</f>
        <v>#N/A</v>
      </c>
      <c r="M2368" s="105" t="str">
        <f t="shared" si="82"/>
        <v>XXX</v>
      </c>
      <c r="N2368" s="105" t="str">
        <f>VLOOKUP(M2368,CAC!$A$2:$B$198,2,FALSE)</f>
        <v>XXX</v>
      </c>
    </row>
    <row r="2369" spans="5:14" x14ac:dyDescent="0.25">
      <c r="E2369" s="83">
        <v>201609</v>
      </c>
      <c r="F2369" s="82" t="s">
        <v>506</v>
      </c>
      <c r="G2369" s="82" t="s">
        <v>346</v>
      </c>
      <c r="H2369" s="82" t="s">
        <v>592</v>
      </c>
      <c r="I2369" s="95">
        <v>0</v>
      </c>
      <c r="K2369" s="105" t="str">
        <f t="shared" si="81"/>
        <v>0013-1014-0035</v>
      </c>
      <c r="L2369" s="105" t="str">
        <f>VLOOKUP(K2369,COA!$A$3:$B$337,2,FALSE)</f>
        <v>K42</v>
      </c>
      <c r="M2369" s="105" t="str">
        <f t="shared" si="82"/>
        <v>K42</v>
      </c>
      <c r="N2369" s="105" t="str">
        <f>VLOOKUP(M2369,CAC!$A$2:$B$198,2,FALSE)</f>
        <v>HMFLEX</v>
      </c>
    </row>
    <row r="2370" spans="5:14" x14ac:dyDescent="0.25">
      <c r="E2370" s="83">
        <v>201707</v>
      </c>
      <c r="F2370" s="82" t="s">
        <v>345</v>
      </c>
      <c r="G2370" s="82" t="s">
        <v>356</v>
      </c>
      <c r="H2370" s="82" t="s">
        <v>344</v>
      </c>
      <c r="I2370" s="95">
        <v>16065.51</v>
      </c>
      <c r="K2370" s="105" t="str">
        <f t="shared" si="81"/>
        <v>0011-1002-0012</v>
      </c>
      <c r="L2370" s="105" t="str">
        <f>VLOOKUP(K2370,COA!$A$3:$B$337,2,FALSE)</f>
        <v>F20</v>
      </c>
      <c r="M2370" s="105" t="str">
        <f t="shared" si="82"/>
        <v>F20</v>
      </c>
      <c r="N2370" s="105" t="str">
        <f>VLOOKUP(M2370,CAC!$A$2:$B$198,2,FALSE)</f>
        <v>HMOPMR</v>
      </c>
    </row>
    <row r="2371" spans="5:14" x14ac:dyDescent="0.25">
      <c r="E2371" s="83">
        <v>201608</v>
      </c>
      <c r="F2371" s="82" t="s">
        <v>563</v>
      </c>
      <c r="G2371" s="82" t="s">
        <v>354</v>
      </c>
      <c r="H2371" s="82" t="s">
        <v>344</v>
      </c>
      <c r="I2371" s="95">
        <v>0</v>
      </c>
      <c r="K2371" s="105" t="str">
        <f t="shared" si="81"/>
        <v>0003-1013-0012</v>
      </c>
      <c r="L2371" s="105" t="str">
        <f>VLOOKUP(K2371,COA!$A$3:$B$337,2,FALSE)</f>
        <v>N55</v>
      </c>
      <c r="M2371" s="105" t="str">
        <f t="shared" si="82"/>
        <v>N55</v>
      </c>
      <c r="N2371" s="105" t="str">
        <f>VLOOKUP(M2371,CAC!$A$2:$B$198,2,FALSE)</f>
        <v>PPOPMR</v>
      </c>
    </row>
    <row r="2372" spans="5:14" x14ac:dyDescent="0.25">
      <c r="E2372" s="83">
        <v>201709</v>
      </c>
      <c r="F2372" s="82" t="s">
        <v>506</v>
      </c>
      <c r="G2372" s="82" t="s">
        <v>346</v>
      </c>
      <c r="H2372" s="82" t="s">
        <v>592</v>
      </c>
      <c r="I2372" s="95">
        <v>0</v>
      </c>
      <c r="K2372" s="105" t="str">
        <f t="shared" ref="K2372:K2435" si="83">F2372&amp;"-"&amp;G2372&amp;"-"&amp;H2372</f>
        <v>0013-1014-0035</v>
      </c>
      <c r="L2372" s="105" t="str">
        <f>VLOOKUP(K2372,COA!$A$3:$B$337,2,FALSE)</f>
        <v>K42</v>
      </c>
      <c r="M2372" s="105" t="str">
        <f t="shared" ref="M2372:M2435" si="84">IF(ISNA(L2372),"XXX",L2372)</f>
        <v>K42</v>
      </c>
      <c r="N2372" s="105" t="str">
        <f>VLOOKUP(M2372,CAC!$A$2:$B$198,2,FALSE)</f>
        <v>HMFLEX</v>
      </c>
    </row>
    <row r="2373" spans="5:14" x14ac:dyDescent="0.25">
      <c r="E2373" s="83">
        <v>201704</v>
      </c>
      <c r="F2373" s="82" t="s">
        <v>563</v>
      </c>
      <c r="G2373" s="82" t="s">
        <v>348</v>
      </c>
      <c r="H2373" s="82" t="s">
        <v>358</v>
      </c>
      <c r="I2373" s="95">
        <v>0</v>
      </c>
      <c r="K2373" s="105" t="str">
        <f t="shared" si="83"/>
        <v>0003-1010-0024</v>
      </c>
      <c r="L2373" s="105" t="str">
        <f>VLOOKUP(K2373,COA!$A$3:$B$337,2,FALSE)</f>
        <v>S56</v>
      </c>
      <c r="M2373" s="105" t="str">
        <f t="shared" si="84"/>
        <v>S56</v>
      </c>
      <c r="N2373" s="105" t="str">
        <f>VLOOKUP(M2373,CAC!$A$2:$B$198,2,FALSE)</f>
        <v>PPOSG</v>
      </c>
    </row>
    <row r="2374" spans="5:14" x14ac:dyDescent="0.25">
      <c r="E2374" s="83">
        <v>201511</v>
      </c>
      <c r="F2374" s="82" t="s">
        <v>345</v>
      </c>
      <c r="G2374" s="82" t="s">
        <v>354</v>
      </c>
      <c r="H2374" s="82" t="s">
        <v>344</v>
      </c>
      <c r="I2374" s="95">
        <v>6564.94</v>
      </c>
      <c r="K2374" s="105" t="str">
        <f t="shared" si="83"/>
        <v>0011-1013-0012</v>
      </c>
      <c r="L2374" s="105" t="str">
        <f>VLOOKUP(K2374,COA!$A$3:$B$337,2,FALSE)</f>
        <v>N20</v>
      </c>
      <c r="M2374" s="105" t="str">
        <f t="shared" si="84"/>
        <v>N20</v>
      </c>
      <c r="N2374" s="105" t="str">
        <f>VLOOKUP(M2374,CAC!$A$2:$B$198,2,FALSE)</f>
        <v>HMOPMR</v>
      </c>
    </row>
    <row r="2375" spans="5:14" x14ac:dyDescent="0.25">
      <c r="E2375" s="83">
        <v>201609</v>
      </c>
      <c r="F2375" s="82" t="s">
        <v>506</v>
      </c>
      <c r="G2375" s="82" t="s">
        <v>350</v>
      </c>
      <c r="H2375" s="82" t="s">
        <v>592</v>
      </c>
      <c r="I2375" s="95">
        <v>0</v>
      </c>
      <c r="K2375" s="105" t="str">
        <f t="shared" si="83"/>
        <v>0013-1012-0035</v>
      </c>
      <c r="L2375" s="105" t="str">
        <f>VLOOKUP(K2375,COA!$A$3:$B$337,2,FALSE)</f>
        <v>K41</v>
      </c>
      <c r="M2375" s="105" t="str">
        <f t="shared" si="84"/>
        <v>K41</v>
      </c>
      <c r="N2375" s="105" t="e">
        <f>VLOOKUP(M2375,CAC!$A$2:$B$198,2,FALSE)</f>
        <v>#N/A</v>
      </c>
    </row>
    <row r="2376" spans="5:14" x14ac:dyDescent="0.25">
      <c r="E2376" s="83">
        <v>201611</v>
      </c>
      <c r="F2376" s="82" t="s">
        <v>563</v>
      </c>
      <c r="G2376" s="82" t="s">
        <v>352</v>
      </c>
      <c r="H2376" s="82" t="s">
        <v>344</v>
      </c>
      <c r="I2376" s="95">
        <v>0</v>
      </c>
      <c r="K2376" s="105" t="str">
        <f t="shared" si="83"/>
        <v>0003-1004-0012</v>
      </c>
      <c r="L2376" s="105" t="str">
        <f>VLOOKUP(K2376,COA!$A$3:$B$337,2,FALSE)</f>
        <v>L51</v>
      </c>
      <c r="M2376" s="105" t="str">
        <f t="shared" si="84"/>
        <v>L51</v>
      </c>
      <c r="N2376" s="105" t="str">
        <f>VLOOKUP(M2376,CAC!$A$2:$B$198,2,FALSE)</f>
        <v>PPOLG</v>
      </c>
    </row>
    <row r="2377" spans="5:14" x14ac:dyDescent="0.25">
      <c r="E2377" s="83">
        <v>201604</v>
      </c>
      <c r="F2377" s="82" t="s">
        <v>506</v>
      </c>
      <c r="G2377" s="82" t="s">
        <v>359</v>
      </c>
      <c r="H2377" s="82" t="s">
        <v>592</v>
      </c>
      <c r="I2377" s="95">
        <v>0</v>
      </c>
      <c r="K2377" s="105" t="str">
        <f t="shared" si="83"/>
        <v>0013-1005-0035</v>
      </c>
      <c r="L2377" s="105" t="str">
        <f>VLOOKUP(K2377,COA!$A$3:$B$337,2,FALSE)</f>
        <v>N41</v>
      </c>
      <c r="M2377" s="105" t="str">
        <f t="shared" si="84"/>
        <v>N41</v>
      </c>
      <c r="N2377" s="105" t="e">
        <f>VLOOKUP(M2377,CAC!$A$2:$B$198,2,FALSE)</f>
        <v>#N/A</v>
      </c>
    </row>
    <row r="2378" spans="5:14" x14ac:dyDescent="0.25">
      <c r="E2378" s="83">
        <v>201801</v>
      </c>
      <c r="F2378" s="82" t="s">
        <v>506</v>
      </c>
      <c r="G2378" s="82" t="s">
        <v>350</v>
      </c>
      <c r="H2378" s="82" t="s">
        <v>592</v>
      </c>
      <c r="I2378" s="95">
        <v>0</v>
      </c>
      <c r="K2378" s="105" t="str">
        <f t="shared" si="83"/>
        <v>0013-1012-0035</v>
      </c>
      <c r="L2378" s="105" t="str">
        <f>VLOOKUP(K2378,COA!$A$3:$B$337,2,FALSE)</f>
        <v>K41</v>
      </c>
      <c r="M2378" s="105" t="str">
        <f t="shared" si="84"/>
        <v>K41</v>
      </c>
      <c r="N2378" s="105" t="e">
        <f>VLOOKUP(M2378,CAC!$A$2:$B$198,2,FALSE)</f>
        <v>#N/A</v>
      </c>
    </row>
    <row r="2379" spans="5:14" x14ac:dyDescent="0.25">
      <c r="E2379" s="83">
        <v>201605</v>
      </c>
      <c r="F2379" s="82" t="s">
        <v>549</v>
      </c>
      <c r="G2379" s="82" t="s">
        <v>352</v>
      </c>
      <c r="H2379" s="82" t="s">
        <v>672</v>
      </c>
      <c r="I2379" s="95">
        <v>0</v>
      </c>
      <c r="K2379" s="105" t="str">
        <f t="shared" si="83"/>
        <v>0026-1004-0058</v>
      </c>
      <c r="L2379" s="105" t="str">
        <f>VLOOKUP(K2379,COA!$A$3:$B$337,2,FALSE)</f>
        <v>L44</v>
      </c>
      <c r="M2379" s="105" t="str">
        <f t="shared" si="84"/>
        <v>L44</v>
      </c>
      <c r="N2379" s="105" t="e">
        <f>VLOOKUP(M2379,CAC!$A$2:$B$198,2,FALSE)</f>
        <v>#N/A</v>
      </c>
    </row>
    <row r="2380" spans="5:14" x14ac:dyDescent="0.25">
      <c r="E2380" s="83">
        <v>201801</v>
      </c>
      <c r="F2380" s="82" t="s">
        <v>746</v>
      </c>
      <c r="G2380" s="82" t="s">
        <v>350</v>
      </c>
      <c r="H2380" s="82" t="s">
        <v>344</v>
      </c>
      <c r="I2380" s="95">
        <v>3</v>
      </c>
      <c r="K2380" s="105" t="str">
        <f t="shared" si="83"/>
        <v>0016-1012-0012</v>
      </c>
      <c r="L2380" s="105" t="str">
        <f>VLOOKUP(K2380,COA!$A$3:$B$337,2,FALSE)</f>
        <v>R19</v>
      </c>
      <c r="M2380" s="105" t="str">
        <f t="shared" si="84"/>
        <v>R19</v>
      </c>
      <c r="N2380" s="105" t="str">
        <f>VLOOKUP(M2380,CAC!$A$2:$B$198,2,FALSE)</f>
        <v>HMOMG</v>
      </c>
    </row>
    <row r="2381" spans="5:14" x14ac:dyDescent="0.25">
      <c r="E2381" s="83">
        <v>201603</v>
      </c>
      <c r="F2381" s="82" t="s">
        <v>345</v>
      </c>
      <c r="G2381" s="82" t="s">
        <v>361</v>
      </c>
      <c r="H2381" s="82" t="s">
        <v>344</v>
      </c>
      <c r="I2381" s="95">
        <v>4104.22</v>
      </c>
      <c r="K2381" s="105" t="str">
        <f t="shared" si="83"/>
        <v>0011-1003-0012</v>
      </c>
      <c r="L2381" s="105" t="str">
        <f>VLOOKUP(K2381,COA!$A$3:$B$337,2,FALSE)</f>
        <v>N16</v>
      </c>
      <c r="M2381" s="105" t="str">
        <f t="shared" si="84"/>
        <v>N16</v>
      </c>
      <c r="N2381" s="105" t="str">
        <f>VLOOKUP(M2381,CAC!$A$2:$B$198,2,FALSE)</f>
        <v>HMOPMR</v>
      </c>
    </row>
    <row r="2382" spans="5:14" x14ac:dyDescent="0.25">
      <c r="E2382" s="83">
        <v>201503</v>
      </c>
      <c r="F2382" s="82" t="s">
        <v>563</v>
      </c>
      <c r="G2382" s="82" t="s">
        <v>365</v>
      </c>
      <c r="H2382" s="82" t="s">
        <v>367</v>
      </c>
      <c r="I2382" s="95">
        <v>0</v>
      </c>
      <c r="K2382" s="105" t="str">
        <f t="shared" si="83"/>
        <v>0003-1001-0022</v>
      </c>
      <c r="L2382" s="105" t="str">
        <f>VLOOKUP(K2382,COA!$A$3:$B$337,2,FALSE)</f>
        <v>V54</v>
      </c>
      <c r="M2382" s="105" t="str">
        <f t="shared" si="84"/>
        <v>V54</v>
      </c>
      <c r="N2382" s="105" t="str">
        <f>VLOOKUP(M2382,CAC!$A$2:$B$198,2,FALSE)</f>
        <v>PPOIFP</v>
      </c>
    </row>
    <row r="2383" spans="5:14" x14ac:dyDescent="0.25">
      <c r="E2383" s="83">
        <v>201607</v>
      </c>
      <c r="F2383" s="82" t="s">
        <v>506</v>
      </c>
      <c r="G2383" s="82" t="s">
        <v>359</v>
      </c>
      <c r="H2383" s="82" t="s">
        <v>592</v>
      </c>
      <c r="I2383" s="95">
        <v>0</v>
      </c>
      <c r="K2383" s="105" t="str">
        <f t="shared" si="83"/>
        <v>0013-1005-0035</v>
      </c>
      <c r="L2383" s="105" t="str">
        <f>VLOOKUP(K2383,COA!$A$3:$B$337,2,FALSE)</f>
        <v>N41</v>
      </c>
      <c r="M2383" s="105" t="str">
        <f t="shared" si="84"/>
        <v>N41</v>
      </c>
      <c r="N2383" s="105" t="e">
        <f>VLOOKUP(M2383,CAC!$A$2:$B$198,2,FALSE)</f>
        <v>#N/A</v>
      </c>
    </row>
    <row r="2384" spans="5:14" x14ac:dyDescent="0.25">
      <c r="E2384" s="83">
        <v>201511</v>
      </c>
      <c r="F2384" s="82" t="s">
        <v>344</v>
      </c>
      <c r="G2384" s="82" t="s">
        <v>352</v>
      </c>
      <c r="H2384" s="82" t="s">
        <v>344</v>
      </c>
      <c r="I2384" s="95">
        <v>453</v>
      </c>
      <c r="K2384" s="105" t="str">
        <f t="shared" si="83"/>
        <v>0012-1004-0012</v>
      </c>
      <c r="L2384" s="105" t="str">
        <f>VLOOKUP(K2384,COA!$A$3:$B$337,2,FALSE)</f>
        <v>L12</v>
      </c>
      <c r="M2384" s="105" t="str">
        <f t="shared" si="84"/>
        <v>L12</v>
      </c>
      <c r="N2384" s="105" t="str">
        <f>VLOOKUP(M2384,CAC!$A$2:$B$198,2,FALSE)</f>
        <v>HMOLG</v>
      </c>
    </row>
    <row r="2385" spans="5:14" x14ac:dyDescent="0.25">
      <c r="E2385" s="83">
        <v>201704</v>
      </c>
      <c r="F2385" s="82" t="s">
        <v>563</v>
      </c>
      <c r="G2385" s="82" t="s">
        <v>354</v>
      </c>
      <c r="H2385" s="82" t="s">
        <v>360</v>
      </c>
      <c r="I2385" s="95">
        <v>0</v>
      </c>
      <c r="K2385" s="105" t="str">
        <f t="shared" si="83"/>
        <v>0003-1013-0048</v>
      </c>
      <c r="L2385" s="105" t="str">
        <f>VLOOKUP(K2385,COA!$A$3:$B$337,2,FALSE)</f>
        <v>N56</v>
      </c>
      <c r="M2385" s="105" t="str">
        <f t="shared" si="84"/>
        <v>N56</v>
      </c>
      <c r="N2385" s="105" t="str">
        <f>VLOOKUP(M2385,CAC!$A$2:$B$198,2,FALSE)</f>
        <v>HMFLEX</v>
      </c>
    </row>
    <row r="2386" spans="5:14" x14ac:dyDescent="0.25">
      <c r="E2386" s="83">
        <v>201707</v>
      </c>
      <c r="F2386" s="82" t="s">
        <v>506</v>
      </c>
      <c r="G2386" s="82" t="s">
        <v>359</v>
      </c>
      <c r="H2386" s="82" t="s">
        <v>592</v>
      </c>
      <c r="I2386" s="95">
        <v>0</v>
      </c>
      <c r="K2386" s="105" t="str">
        <f t="shared" si="83"/>
        <v>0013-1005-0035</v>
      </c>
      <c r="L2386" s="105" t="str">
        <f>VLOOKUP(K2386,COA!$A$3:$B$337,2,FALSE)</f>
        <v>N41</v>
      </c>
      <c r="M2386" s="105" t="str">
        <f t="shared" si="84"/>
        <v>N41</v>
      </c>
      <c r="N2386" s="105" t="e">
        <f>VLOOKUP(M2386,CAC!$A$2:$B$198,2,FALSE)</f>
        <v>#N/A</v>
      </c>
    </row>
    <row r="2387" spans="5:14" x14ac:dyDescent="0.25">
      <c r="E2387" s="83">
        <v>201609</v>
      </c>
      <c r="F2387" s="82" t="s">
        <v>405</v>
      </c>
      <c r="G2387" s="82" t="s">
        <v>362</v>
      </c>
      <c r="H2387" s="82" t="s">
        <v>342</v>
      </c>
      <c r="I2387" s="95">
        <v>0</v>
      </c>
      <c r="K2387" s="105" t="str">
        <f t="shared" si="83"/>
        <v>0019-1008-0031</v>
      </c>
      <c r="L2387" s="105" t="str">
        <f>VLOOKUP(K2387,COA!$A$3:$B$337,2,FALSE)</f>
        <v>P53</v>
      </c>
      <c r="M2387" s="105" t="str">
        <f t="shared" si="84"/>
        <v>P53</v>
      </c>
      <c r="N2387" s="105" t="str">
        <f>VLOOKUP(M2387,CAC!$A$2:$B$198,2,FALSE)</f>
        <v>HMOPERA</v>
      </c>
    </row>
    <row r="2388" spans="5:14" x14ac:dyDescent="0.25">
      <c r="E2388" s="83">
        <v>201508</v>
      </c>
      <c r="F2388" s="82" t="s">
        <v>345</v>
      </c>
      <c r="G2388" s="82" t="s">
        <v>354</v>
      </c>
      <c r="H2388" s="82" t="s">
        <v>344</v>
      </c>
      <c r="I2388" s="95">
        <v>404</v>
      </c>
      <c r="K2388" s="105" t="str">
        <f t="shared" si="83"/>
        <v>0011-1013-0012</v>
      </c>
      <c r="L2388" s="105" t="str">
        <f>VLOOKUP(K2388,COA!$A$3:$B$337,2,FALSE)</f>
        <v>N20</v>
      </c>
      <c r="M2388" s="105" t="str">
        <f t="shared" si="84"/>
        <v>N20</v>
      </c>
      <c r="N2388" s="105" t="str">
        <f>VLOOKUP(M2388,CAC!$A$2:$B$198,2,FALSE)</f>
        <v>HMOPMR</v>
      </c>
    </row>
    <row r="2389" spans="5:14" x14ac:dyDescent="0.25">
      <c r="E2389" s="83">
        <v>201504</v>
      </c>
      <c r="F2389" s="82" t="s">
        <v>345</v>
      </c>
      <c r="G2389" s="82" t="s">
        <v>348</v>
      </c>
      <c r="H2389" s="82" t="s">
        <v>358</v>
      </c>
      <c r="I2389" s="95">
        <v>56</v>
      </c>
      <c r="K2389" s="105" t="str">
        <f t="shared" si="83"/>
        <v>0011-1010-0024</v>
      </c>
      <c r="L2389" s="105" t="str">
        <f>VLOOKUP(K2389,COA!$A$3:$B$337,2,FALSE)</f>
        <v>S14</v>
      </c>
      <c r="M2389" s="105" t="str">
        <f t="shared" si="84"/>
        <v>S14</v>
      </c>
      <c r="N2389" s="105" t="str">
        <f>VLOOKUP(M2389,CAC!$A$2:$B$198,2,FALSE)</f>
        <v>HMOSG</v>
      </c>
    </row>
    <row r="2390" spans="5:14" x14ac:dyDescent="0.25">
      <c r="E2390" s="83">
        <v>201604</v>
      </c>
      <c r="F2390" s="82" t="s">
        <v>506</v>
      </c>
      <c r="G2390" s="82" t="s">
        <v>354</v>
      </c>
      <c r="H2390" s="82" t="s">
        <v>592</v>
      </c>
      <c r="I2390" s="95">
        <v>0</v>
      </c>
      <c r="K2390" s="105" t="str">
        <f t="shared" si="83"/>
        <v>0013-1013-0035</v>
      </c>
      <c r="L2390" s="105" t="str">
        <f>VLOOKUP(K2390,COA!$A$3:$B$337,2,FALSE)</f>
        <v>N44</v>
      </c>
      <c r="M2390" s="105" t="str">
        <f t="shared" si="84"/>
        <v>N44</v>
      </c>
      <c r="N2390" s="105" t="e">
        <f>VLOOKUP(M2390,CAC!$A$2:$B$198,2,FALSE)</f>
        <v>#N/A</v>
      </c>
    </row>
    <row r="2391" spans="5:14" x14ac:dyDescent="0.25">
      <c r="E2391" s="83">
        <v>201703</v>
      </c>
      <c r="F2391" s="82" t="s">
        <v>506</v>
      </c>
      <c r="G2391" s="82" t="s">
        <v>354</v>
      </c>
      <c r="H2391" s="82" t="s">
        <v>592</v>
      </c>
      <c r="I2391" s="95">
        <v>0</v>
      </c>
      <c r="K2391" s="105" t="str">
        <f t="shared" si="83"/>
        <v>0013-1013-0035</v>
      </c>
      <c r="L2391" s="105" t="str">
        <f>VLOOKUP(K2391,COA!$A$3:$B$337,2,FALSE)</f>
        <v>N44</v>
      </c>
      <c r="M2391" s="105" t="str">
        <f t="shared" si="84"/>
        <v>N44</v>
      </c>
      <c r="N2391" s="105" t="e">
        <f>VLOOKUP(M2391,CAC!$A$2:$B$198,2,FALSE)</f>
        <v>#N/A</v>
      </c>
    </row>
    <row r="2392" spans="5:14" x14ac:dyDescent="0.25">
      <c r="E2392" s="83">
        <v>201609</v>
      </c>
      <c r="F2392" s="82" t="s">
        <v>563</v>
      </c>
      <c r="G2392" s="82" t="s">
        <v>350</v>
      </c>
      <c r="H2392" s="82" t="s">
        <v>344</v>
      </c>
      <c r="I2392" s="95">
        <v>0</v>
      </c>
      <c r="K2392" s="105" t="str">
        <f t="shared" si="83"/>
        <v>0003-1012-0012</v>
      </c>
      <c r="L2392" s="105" t="str">
        <f>VLOOKUP(K2392,COA!$A$3:$B$337,2,FALSE)</f>
        <v>K51</v>
      </c>
      <c r="M2392" s="105" t="str">
        <f t="shared" si="84"/>
        <v>K51</v>
      </c>
      <c r="N2392" s="105" t="str">
        <f>VLOOKUP(M2392,CAC!$A$2:$B$198,2,FALSE)</f>
        <v>PPOPMR</v>
      </c>
    </row>
    <row r="2393" spans="5:14" x14ac:dyDescent="0.25">
      <c r="E2393" s="83">
        <v>201608</v>
      </c>
      <c r="F2393" s="82" t="s">
        <v>506</v>
      </c>
      <c r="G2393" s="82" t="s">
        <v>346</v>
      </c>
      <c r="H2393" s="82" t="s">
        <v>592</v>
      </c>
      <c r="I2393" s="95">
        <v>0</v>
      </c>
      <c r="K2393" s="105" t="str">
        <f t="shared" si="83"/>
        <v>0013-1014-0035</v>
      </c>
      <c r="L2393" s="105" t="str">
        <f>VLOOKUP(K2393,COA!$A$3:$B$337,2,FALSE)</f>
        <v>K42</v>
      </c>
      <c r="M2393" s="105" t="str">
        <f t="shared" si="84"/>
        <v>K42</v>
      </c>
      <c r="N2393" s="105" t="str">
        <f>VLOOKUP(M2393,CAC!$A$2:$B$198,2,FALSE)</f>
        <v>HMFLEX</v>
      </c>
    </row>
    <row r="2394" spans="5:14" x14ac:dyDescent="0.25">
      <c r="E2394" s="83">
        <v>201710</v>
      </c>
      <c r="F2394" s="82" t="s">
        <v>506</v>
      </c>
      <c r="G2394" s="82" t="s">
        <v>361</v>
      </c>
      <c r="H2394" s="82" t="s">
        <v>592</v>
      </c>
      <c r="I2394" s="95">
        <v>0</v>
      </c>
      <c r="K2394" s="105" t="str">
        <f t="shared" si="83"/>
        <v>0013-1003-0035</v>
      </c>
      <c r="L2394" s="105" t="str">
        <f>VLOOKUP(K2394,COA!$A$3:$B$337,2,FALSE)</f>
        <v>N32</v>
      </c>
      <c r="M2394" s="105" t="str">
        <f t="shared" si="84"/>
        <v>N32</v>
      </c>
      <c r="N2394" s="105" t="e">
        <f>VLOOKUP(M2394,CAC!$A$2:$B$198,2,FALSE)</f>
        <v>#N/A</v>
      </c>
    </row>
    <row r="2395" spans="5:14" x14ac:dyDescent="0.25">
      <c r="E2395" s="83">
        <v>201502</v>
      </c>
      <c r="F2395" s="82" t="s">
        <v>563</v>
      </c>
      <c r="G2395" s="82" t="s">
        <v>365</v>
      </c>
      <c r="H2395" s="82" t="s">
        <v>367</v>
      </c>
      <c r="I2395" s="95">
        <v>0</v>
      </c>
      <c r="K2395" s="105" t="str">
        <f t="shared" si="83"/>
        <v>0003-1001-0022</v>
      </c>
      <c r="L2395" s="105" t="str">
        <f>VLOOKUP(K2395,COA!$A$3:$B$337,2,FALSE)</f>
        <v>V54</v>
      </c>
      <c r="M2395" s="105" t="str">
        <f t="shared" si="84"/>
        <v>V54</v>
      </c>
      <c r="N2395" s="105" t="str">
        <f>VLOOKUP(M2395,CAC!$A$2:$B$198,2,FALSE)</f>
        <v>PPOIFP</v>
      </c>
    </row>
    <row r="2396" spans="5:14" x14ac:dyDescent="0.25">
      <c r="E2396" s="83">
        <v>201508</v>
      </c>
      <c r="F2396" s="82" t="s">
        <v>563</v>
      </c>
      <c r="G2396" s="82" t="s">
        <v>355</v>
      </c>
      <c r="H2396" s="82" t="s">
        <v>344</v>
      </c>
      <c r="I2396" s="95">
        <v>0</v>
      </c>
      <c r="K2396" s="105" t="str">
        <f t="shared" si="83"/>
        <v>0003-1006-0012</v>
      </c>
      <c r="L2396" s="105" t="str">
        <f>VLOOKUP(K2396,COA!$A$3:$B$337,2,FALSE)</f>
        <v>L52</v>
      </c>
      <c r="M2396" s="105" t="str">
        <f t="shared" si="84"/>
        <v>L52</v>
      </c>
      <c r="N2396" s="105" t="str">
        <f>VLOOKUP(M2396,CAC!$A$2:$B$198,2,FALSE)</f>
        <v>PPOLG</v>
      </c>
    </row>
    <row r="2397" spans="5:14" x14ac:dyDescent="0.25">
      <c r="E2397" s="83">
        <v>201603</v>
      </c>
      <c r="F2397" s="82" t="s">
        <v>563</v>
      </c>
      <c r="G2397" s="82" t="s">
        <v>365</v>
      </c>
      <c r="H2397" s="82" t="s">
        <v>367</v>
      </c>
      <c r="I2397" s="95">
        <v>0</v>
      </c>
      <c r="K2397" s="105" t="str">
        <f t="shared" si="83"/>
        <v>0003-1001-0022</v>
      </c>
      <c r="L2397" s="105" t="str">
        <f>VLOOKUP(K2397,COA!$A$3:$B$337,2,FALSE)</f>
        <v>V54</v>
      </c>
      <c r="M2397" s="105" t="str">
        <f t="shared" si="84"/>
        <v>V54</v>
      </c>
      <c r="N2397" s="105" t="str">
        <f>VLOOKUP(M2397,CAC!$A$2:$B$198,2,FALSE)</f>
        <v>PPOIFP</v>
      </c>
    </row>
    <row r="2398" spans="5:14" x14ac:dyDescent="0.25">
      <c r="E2398" s="83">
        <v>201701</v>
      </c>
      <c r="F2398" s="82" t="s">
        <v>506</v>
      </c>
      <c r="G2398" s="82" t="s">
        <v>352</v>
      </c>
      <c r="H2398" s="82" t="s">
        <v>592</v>
      </c>
      <c r="I2398" s="95">
        <v>0</v>
      </c>
      <c r="K2398" s="105" t="str">
        <f t="shared" si="83"/>
        <v>0013-1004-0035</v>
      </c>
      <c r="L2398" s="105" t="str">
        <f>VLOOKUP(K2398,COA!$A$3:$B$337,2,FALSE)</f>
        <v>L41</v>
      </c>
      <c r="M2398" s="105" t="str">
        <f t="shared" si="84"/>
        <v>L41</v>
      </c>
      <c r="N2398" s="105" t="e">
        <f>VLOOKUP(M2398,CAC!$A$2:$B$198,2,FALSE)</f>
        <v>#N/A</v>
      </c>
    </row>
    <row r="2399" spans="5:14" x14ac:dyDescent="0.25">
      <c r="E2399" s="83">
        <v>201502</v>
      </c>
      <c r="F2399" s="82" t="s">
        <v>506</v>
      </c>
      <c r="G2399" s="82" t="s">
        <v>346</v>
      </c>
      <c r="H2399" s="82" t="s">
        <v>592</v>
      </c>
      <c r="I2399" s="95">
        <v>0</v>
      </c>
      <c r="K2399" s="105" t="str">
        <f t="shared" si="83"/>
        <v>0013-1014-0035</v>
      </c>
      <c r="L2399" s="105" t="str">
        <f>VLOOKUP(K2399,COA!$A$3:$B$337,2,FALSE)</f>
        <v>K42</v>
      </c>
      <c r="M2399" s="105" t="str">
        <f t="shared" si="84"/>
        <v>K42</v>
      </c>
      <c r="N2399" s="105" t="str">
        <f>VLOOKUP(M2399,CAC!$A$2:$B$198,2,FALSE)</f>
        <v>HMFLEX</v>
      </c>
    </row>
    <row r="2400" spans="5:14" x14ac:dyDescent="0.25">
      <c r="E2400" s="83">
        <v>201507</v>
      </c>
      <c r="F2400" s="82" t="s">
        <v>413</v>
      </c>
      <c r="G2400" s="82" t="s">
        <v>355</v>
      </c>
      <c r="H2400" s="82" t="s">
        <v>344</v>
      </c>
      <c r="I2400" s="95">
        <v>0</v>
      </c>
      <c r="K2400" s="105" t="str">
        <f t="shared" si="83"/>
        <v>0008-1006-0012</v>
      </c>
      <c r="L2400" s="105" t="str">
        <f>VLOOKUP(K2400,COA!$A$3:$B$337,2,FALSE)</f>
        <v>C96</v>
      </c>
      <c r="M2400" s="105" t="str">
        <f t="shared" si="84"/>
        <v>C96</v>
      </c>
      <c r="N2400" s="105" t="str">
        <f>VLOOKUP(M2400,CAC!$A$2:$B$198,2,FALSE)</f>
        <v>DOILG</v>
      </c>
    </row>
    <row r="2401" spans="5:14" x14ac:dyDescent="0.25">
      <c r="E2401" s="83">
        <v>201506</v>
      </c>
      <c r="F2401" s="82" t="s">
        <v>563</v>
      </c>
      <c r="G2401" s="82" t="s">
        <v>361</v>
      </c>
      <c r="H2401" s="82" t="s">
        <v>344</v>
      </c>
      <c r="I2401" s="95">
        <v>0</v>
      </c>
      <c r="K2401" s="105" t="str">
        <f t="shared" si="83"/>
        <v>0003-1003-0012</v>
      </c>
      <c r="L2401" s="105" t="str">
        <f>VLOOKUP(K2401,COA!$A$3:$B$337,2,FALSE)</f>
        <v>N61</v>
      </c>
      <c r="M2401" s="105" t="str">
        <f t="shared" si="84"/>
        <v>N61</v>
      </c>
      <c r="N2401" s="105" t="str">
        <f>VLOOKUP(M2401,CAC!$A$2:$B$198,2,FALSE)</f>
        <v>PPOPMR</v>
      </c>
    </row>
    <row r="2402" spans="5:14" x14ac:dyDescent="0.25">
      <c r="E2402" s="83">
        <v>201607</v>
      </c>
      <c r="F2402" s="82" t="s">
        <v>563</v>
      </c>
      <c r="G2402" s="82" t="s">
        <v>354</v>
      </c>
      <c r="H2402" s="82" t="s">
        <v>626</v>
      </c>
      <c r="I2402" s="95">
        <v>0</v>
      </c>
      <c r="K2402" s="105" t="str">
        <f t="shared" si="83"/>
        <v>0003-1013-0057</v>
      </c>
      <c r="L2402" s="105" t="str">
        <f>VLOOKUP(K2402,COA!$A$3:$B$337,2,FALSE)</f>
        <v>N55</v>
      </c>
      <c r="M2402" s="105" t="str">
        <f t="shared" si="84"/>
        <v>N55</v>
      </c>
      <c r="N2402" s="105" t="str">
        <f>VLOOKUP(M2402,CAC!$A$2:$B$198,2,FALSE)</f>
        <v>PPOPMR</v>
      </c>
    </row>
    <row r="2403" spans="5:14" x14ac:dyDescent="0.25">
      <c r="E2403" s="83">
        <v>201702</v>
      </c>
      <c r="F2403" s="82" t="s">
        <v>746</v>
      </c>
      <c r="G2403" s="82" t="s">
        <v>352</v>
      </c>
      <c r="H2403" s="82" t="s">
        <v>344</v>
      </c>
      <c r="I2403" s="95">
        <v>3</v>
      </c>
      <c r="K2403" s="105" t="str">
        <f t="shared" si="83"/>
        <v>0016-1004-0012</v>
      </c>
      <c r="L2403" s="105" t="str">
        <f>VLOOKUP(K2403,COA!$A$3:$B$337,2,FALSE)</f>
        <v>R20</v>
      </c>
      <c r="M2403" s="105" t="str">
        <f t="shared" si="84"/>
        <v>R20</v>
      </c>
      <c r="N2403" s="105" t="str">
        <f>VLOOKUP(M2403,CAC!$A$2:$B$198,2,FALSE)</f>
        <v>HMOMG</v>
      </c>
    </row>
    <row r="2404" spans="5:14" x14ac:dyDescent="0.25">
      <c r="E2404" s="83">
        <v>201608</v>
      </c>
      <c r="F2404" s="82" t="s">
        <v>345</v>
      </c>
      <c r="G2404" s="82" t="s">
        <v>359</v>
      </c>
      <c r="H2404" s="82" t="s">
        <v>344</v>
      </c>
      <c r="I2404" s="95">
        <v>4119.8</v>
      </c>
      <c r="K2404" s="105" t="str">
        <f t="shared" si="83"/>
        <v>0011-1005-0012</v>
      </c>
      <c r="L2404" s="105" t="str">
        <f>VLOOKUP(K2404,COA!$A$3:$B$337,2,FALSE)</f>
        <v>N11</v>
      </c>
      <c r="M2404" s="105" t="str">
        <f t="shared" si="84"/>
        <v>N11</v>
      </c>
      <c r="N2404" s="105" t="str">
        <f>VLOOKUP(M2404,CAC!$A$2:$B$198,2,FALSE)</f>
        <v>HMOLG</v>
      </c>
    </row>
    <row r="2405" spans="5:14" x14ac:dyDescent="0.25">
      <c r="E2405" s="83">
        <v>201609</v>
      </c>
      <c r="F2405" s="82" t="s">
        <v>345</v>
      </c>
      <c r="G2405" s="82" t="s">
        <v>359</v>
      </c>
      <c r="H2405" s="82" t="s">
        <v>344</v>
      </c>
      <c r="I2405" s="95">
        <v>4087</v>
      </c>
      <c r="K2405" s="105" t="str">
        <f t="shared" si="83"/>
        <v>0011-1005-0012</v>
      </c>
      <c r="L2405" s="105" t="str">
        <f>VLOOKUP(K2405,COA!$A$3:$B$337,2,FALSE)</f>
        <v>N11</v>
      </c>
      <c r="M2405" s="105" t="str">
        <f t="shared" si="84"/>
        <v>N11</v>
      </c>
      <c r="N2405" s="105" t="str">
        <f>VLOOKUP(M2405,CAC!$A$2:$B$198,2,FALSE)</f>
        <v>HMOLG</v>
      </c>
    </row>
    <row r="2406" spans="5:14" x14ac:dyDescent="0.25">
      <c r="E2406" s="83">
        <v>201603</v>
      </c>
      <c r="F2406" s="82" t="s">
        <v>563</v>
      </c>
      <c r="G2406" s="82" t="s">
        <v>359</v>
      </c>
      <c r="H2406" s="82" t="s">
        <v>344</v>
      </c>
      <c r="I2406" s="95">
        <v>0</v>
      </c>
      <c r="K2406" s="105" t="str">
        <f t="shared" si="83"/>
        <v>0003-1005-0012</v>
      </c>
      <c r="L2406" s="105" t="str">
        <f>VLOOKUP(K2406,COA!$A$3:$B$337,2,FALSE)</f>
        <v>N51</v>
      </c>
      <c r="M2406" s="105" t="str">
        <f t="shared" si="84"/>
        <v>N51</v>
      </c>
      <c r="N2406" s="105" t="str">
        <f>VLOOKUP(M2406,CAC!$A$2:$B$198,2,FALSE)</f>
        <v>PPOLG</v>
      </c>
    </row>
    <row r="2407" spans="5:14" x14ac:dyDescent="0.25">
      <c r="E2407" s="83">
        <v>201702</v>
      </c>
      <c r="F2407" s="82" t="s">
        <v>563</v>
      </c>
      <c r="G2407" s="82" t="s">
        <v>348</v>
      </c>
      <c r="H2407" s="82" t="s">
        <v>358</v>
      </c>
      <c r="I2407" s="95">
        <v>0</v>
      </c>
      <c r="K2407" s="105" t="str">
        <f t="shared" si="83"/>
        <v>0003-1010-0024</v>
      </c>
      <c r="L2407" s="105" t="str">
        <f>VLOOKUP(K2407,COA!$A$3:$B$337,2,FALSE)</f>
        <v>S56</v>
      </c>
      <c r="M2407" s="105" t="str">
        <f t="shared" si="84"/>
        <v>S56</v>
      </c>
      <c r="N2407" s="105" t="str">
        <f>VLOOKUP(M2407,CAC!$A$2:$B$198,2,FALSE)</f>
        <v>PPOSG</v>
      </c>
    </row>
    <row r="2408" spans="5:14" x14ac:dyDescent="0.25">
      <c r="E2408" s="83">
        <v>201507</v>
      </c>
      <c r="F2408" s="82" t="s">
        <v>345</v>
      </c>
      <c r="G2408" s="82" t="s">
        <v>346</v>
      </c>
      <c r="H2408" s="82" t="s">
        <v>360</v>
      </c>
      <c r="I2408" s="95">
        <v>408</v>
      </c>
      <c r="K2408" s="105" t="str">
        <f t="shared" si="83"/>
        <v>0011-1014-0048</v>
      </c>
      <c r="L2408" s="105" t="str">
        <f>VLOOKUP(K2408,COA!$A$3:$B$337,2,FALSE)</f>
        <v>K23</v>
      </c>
      <c r="M2408" s="105" t="str">
        <f t="shared" si="84"/>
        <v>K23</v>
      </c>
      <c r="N2408" s="105" t="str">
        <f>VLOOKUP(M2408,CAC!$A$2:$B$198,2,FALSE)</f>
        <v>HMFLEX</v>
      </c>
    </row>
    <row r="2409" spans="5:14" x14ac:dyDescent="0.25">
      <c r="E2409" s="83">
        <v>201612</v>
      </c>
      <c r="F2409" s="82" t="s">
        <v>746</v>
      </c>
      <c r="G2409" s="82" t="s">
        <v>361</v>
      </c>
      <c r="H2409" s="82" t="s">
        <v>344</v>
      </c>
      <c r="I2409" s="95">
        <v>483</v>
      </c>
      <c r="K2409" s="105" t="str">
        <f t="shared" si="83"/>
        <v>0016-1003-0012</v>
      </c>
      <c r="L2409" s="105" t="str">
        <f>VLOOKUP(K2409,COA!$A$3:$B$337,2,FALSE)</f>
        <v>R18</v>
      </c>
      <c r="M2409" s="105" t="str">
        <f t="shared" si="84"/>
        <v>R18</v>
      </c>
      <c r="N2409" s="105" t="str">
        <f>VLOOKUP(M2409,CAC!$A$2:$B$198,2,FALSE)</f>
        <v>HMOMG</v>
      </c>
    </row>
    <row r="2410" spans="5:14" x14ac:dyDescent="0.25">
      <c r="E2410" s="83">
        <v>201712</v>
      </c>
      <c r="F2410" s="82" t="s">
        <v>746</v>
      </c>
      <c r="G2410" s="82" t="s">
        <v>356</v>
      </c>
      <c r="H2410" s="82" t="s">
        <v>764</v>
      </c>
      <c r="I2410" s="95">
        <v>642</v>
      </c>
      <c r="K2410" s="105" t="str">
        <f t="shared" si="83"/>
        <v>0016-1002-0064</v>
      </c>
      <c r="L2410" s="105" t="str">
        <f>VLOOKUP(K2410,COA!$A$3:$B$337,2,FALSE)</f>
        <v>R25</v>
      </c>
      <c r="M2410" s="105" t="str">
        <f t="shared" si="84"/>
        <v>R25</v>
      </c>
      <c r="N2410" s="105" t="str">
        <f>VLOOKUP(M2410,CAC!$A$2:$B$198,2,FALSE)</f>
        <v>HMOMG</v>
      </c>
    </row>
    <row r="2411" spans="5:14" x14ac:dyDescent="0.25">
      <c r="E2411" s="83">
        <v>201710</v>
      </c>
      <c r="F2411" s="82" t="s">
        <v>563</v>
      </c>
      <c r="G2411" s="82" t="s">
        <v>354</v>
      </c>
      <c r="H2411" s="82" t="s">
        <v>626</v>
      </c>
      <c r="I2411" s="95">
        <v>0</v>
      </c>
      <c r="K2411" s="105" t="str">
        <f t="shared" si="83"/>
        <v>0003-1013-0057</v>
      </c>
      <c r="L2411" s="105" t="str">
        <f>VLOOKUP(K2411,COA!$A$3:$B$337,2,FALSE)</f>
        <v>N55</v>
      </c>
      <c r="M2411" s="105" t="str">
        <f t="shared" si="84"/>
        <v>N55</v>
      </c>
      <c r="N2411" s="105" t="str">
        <f>VLOOKUP(M2411,CAC!$A$2:$B$198,2,FALSE)</f>
        <v>PPOPMR</v>
      </c>
    </row>
    <row r="2412" spans="5:14" x14ac:dyDescent="0.25">
      <c r="E2412" s="83">
        <v>201709</v>
      </c>
      <c r="F2412" s="82" t="s">
        <v>506</v>
      </c>
      <c r="G2412" s="82" t="s">
        <v>359</v>
      </c>
      <c r="H2412" s="82" t="s">
        <v>592</v>
      </c>
      <c r="I2412" s="95">
        <v>0</v>
      </c>
      <c r="K2412" s="105" t="str">
        <f t="shared" si="83"/>
        <v>0013-1005-0035</v>
      </c>
      <c r="L2412" s="105" t="str">
        <f>VLOOKUP(K2412,COA!$A$3:$B$337,2,FALSE)</f>
        <v>N41</v>
      </c>
      <c r="M2412" s="105" t="str">
        <f t="shared" si="84"/>
        <v>N41</v>
      </c>
      <c r="N2412" s="105" t="e">
        <f>VLOOKUP(M2412,CAC!$A$2:$B$198,2,FALSE)</f>
        <v>#N/A</v>
      </c>
    </row>
    <row r="2413" spans="5:14" x14ac:dyDescent="0.25">
      <c r="E2413" s="83">
        <v>201605</v>
      </c>
      <c r="F2413" s="82" t="s">
        <v>342</v>
      </c>
      <c r="G2413" s="82" t="s">
        <v>343</v>
      </c>
      <c r="H2413" s="82" t="s">
        <v>344</v>
      </c>
      <c r="I2413" s="95">
        <v>6085.52</v>
      </c>
      <c r="K2413" s="105" t="str">
        <f t="shared" si="83"/>
        <v>0031-1000-0012</v>
      </c>
      <c r="L2413" s="105" t="str">
        <f>VLOOKUP(K2413,COA!$A$3:$B$337,2,FALSE)</f>
        <v>F27</v>
      </c>
      <c r="M2413" s="105" t="str">
        <f t="shared" si="84"/>
        <v>F27</v>
      </c>
      <c r="N2413" s="105" t="str">
        <f>VLOOKUP(M2413,CAC!$A$2:$B$198,2,FALSE)</f>
        <v>HMOFEP</v>
      </c>
    </row>
    <row r="2414" spans="5:14" x14ac:dyDescent="0.25">
      <c r="E2414" s="83">
        <v>201601</v>
      </c>
      <c r="F2414" s="82" t="s">
        <v>413</v>
      </c>
      <c r="G2414" s="82" t="s">
        <v>354</v>
      </c>
      <c r="H2414" s="82" t="s">
        <v>344</v>
      </c>
      <c r="I2414" s="95">
        <v>0</v>
      </c>
      <c r="K2414" s="105" t="str">
        <f t="shared" si="83"/>
        <v>0008-1013-0012</v>
      </c>
      <c r="L2414" s="105" t="str">
        <f>VLOOKUP(K2414,COA!$A$3:$B$337,2,FALSE)</f>
        <v>C76</v>
      </c>
      <c r="M2414" s="105" t="str">
        <f t="shared" si="84"/>
        <v>C76</v>
      </c>
      <c r="N2414" s="105" t="str">
        <f>VLOOKUP(M2414,CAC!$A$2:$B$198,2,FALSE)</f>
        <v>DOILG</v>
      </c>
    </row>
    <row r="2415" spans="5:14" x14ac:dyDescent="0.25">
      <c r="E2415" s="83">
        <v>201702</v>
      </c>
      <c r="F2415" s="82" t="s">
        <v>345</v>
      </c>
      <c r="G2415" s="82" t="s">
        <v>348</v>
      </c>
      <c r="H2415" s="82" t="s">
        <v>358</v>
      </c>
      <c r="I2415" s="95">
        <v>79</v>
      </c>
      <c r="K2415" s="105" t="str">
        <f t="shared" si="83"/>
        <v>0011-1010-0024</v>
      </c>
      <c r="L2415" s="105" t="str">
        <f>VLOOKUP(K2415,COA!$A$3:$B$337,2,FALSE)</f>
        <v>S14</v>
      </c>
      <c r="M2415" s="105" t="str">
        <f t="shared" si="84"/>
        <v>S14</v>
      </c>
      <c r="N2415" s="105" t="str">
        <f>VLOOKUP(M2415,CAC!$A$2:$B$198,2,FALSE)</f>
        <v>HMOSG</v>
      </c>
    </row>
    <row r="2416" spans="5:14" x14ac:dyDescent="0.25">
      <c r="E2416" s="83">
        <v>201704</v>
      </c>
      <c r="F2416" s="82" t="s">
        <v>746</v>
      </c>
      <c r="G2416" s="82" t="s">
        <v>352</v>
      </c>
      <c r="H2416" s="82" t="s">
        <v>344</v>
      </c>
      <c r="I2416" s="95">
        <v>3</v>
      </c>
      <c r="K2416" s="105" t="str">
        <f t="shared" si="83"/>
        <v>0016-1004-0012</v>
      </c>
      <c r="L2416" s="105" t="str">
        <f>VLOOKUP(K2416,COA!$A$3:$B$337,2,FALSE)</f>
        <v>R20</v>
      </c>
      <c r="M2416" s="105" t="str">
        <f t="shared" si="84"/>
        <v>R20</v>
      </c>
      <c r="N2416" s="105" t="str">
        <f>VLOOKUP(M2416,CAC!$A$2:$B$198,2,FALSE)</f>
        <v>HMOMG</v>
      </c>
    </row>
    <row r="2417" spans="5:14" x14ac:dyDescent="0.25">
      <c r="E2417" s="83">
        <v>201611</v>
      </c>
      <c r="F2417" s="82" t="s">
        <v>563</v>
      </c>
      <c r="G2417" s="82" t="s">
        <v>352</v>
      </c>
      <c r="H2417" s="82" t="s">
        <v>626</v>
      </c>
      <c r="I2417" s="95">
        <v>0</v>
      </c>
      <c r="K2417" s="105" t="str">
        <f t="shared" si="83"/>
        <v>0003-1004-0057</v>
      </c>
      <c r="L2417" s="105" t="e">
        <f>VLOOKUP(K2417,COA!$A$3:$B$337,2,FALSE)</f>
        <v>#N/A</v>
      </c>
      <c r="M2417" s="105" t="str">
        <f t="shared" si="84"/>
        <v>XXX</v>
      </c>
      <c r="N2417" s="105" t="str">
        <f>VLOOKUP(M2417,CAC!$A$2:$B$198,2,FALSE)</f>
        <v>XXX</v>
      </c>
    </row>
    <row r="2418" spans="5:14" x14ac:dyDescent="0.25">
      <c r="E2418" s="83">
        <v>201611</v>
      </c>
      <c r="F2418" s="82" t="s">
        <v>345</v>
      </c>
      <c r="G2418" s="82" t="s">
        <v>361</v>
      </c>
      <c r="H2418" s="82" t="s">
        <v>344</v>
      </c>
      <c r="I2418" s="95">
        <v>4143.45</v>
      </c>
      <c r="K2418" s="105" t="str">
        <f t="shared" si="83"/>
        <v>0011-1003-0012</v>
      </c>
      <c r="L2418" s="105" t="str">
        <f>VLOOKUP(K2418,COA!$A$3:$B$337,2,FALSE)</f>
        <v>N16</v>
      </c>
      <c r="M2418" s="105" t="str">
        <f t="shared" si="84"/>
        <v>N16</v>
      </c>
      <c r="N2418" s="105" t="str">
        <f>VLOOKUP(M2418,CAC!$A$2:$B$198,2,FALSE)</f>
        <v>HMOPMR</v>
      </c>
    </row>
    <row r="2419" spans="5:14" x14ac:dyDescent="0.25">
      <c r="E2419" s="83">
        <v>201604</v>
      </c>
      <c r="F2419" s="82" t="s">
        <v>345</v>
      </c>
      <c r="G2419" s="82" t="s">
        <v>350</v>
      </c>
      <c r="H2419" s="82" t="s">
        <v>360</v>
      </c>
      <c r="I2419" s="95">
        <v>5903.39</v>
      </c>
      <c r="K2419" s="105" t="str">
        <f t="shared" si="83"/>
        <v>0011-1012-0048</v>
      </c>
      <c r="L2419" s="105" t="str">
        <f>VLOOKUP(K2419,COA!$A$3:$B$337,2,FALSE)</f>
        <v>K21</v>
      </c>
      <c r="M2419" s="105" t="str">
        <f t="shared" si="84"/>
        <v>K21</v>
      </c>
      <c r="N2419" s="105" t="str">
        <f>VLOOKUP(M2419,CAC!$A$2:$B$198,2,FALSE)</f>
        <v>HMFLEX</v>
      </c>
    </row>
    <row r="2420" spans="5:14" x14ac:dyDescent="0.25">
      <c r="E2420" s="83">
        <v>201703</v>
      </c>
      <c r="F2420" s="82" t="s">
        <v>506</v>
      </c>
      <c r="G2420" s="82" t="s">
        <v>352</v>
      </c>
      <c r="H2420" s="82" t="s">
        <v>592</v>
      </c>
      <c r="I2420" s="95">
        <v>0</v>
      </c>
      <c r="K2420" s="105" t="str">
        <f t="shared" si="83"/>
        <v>0013-1004-0035</v>
      </c>
      <c r="L2420" s="105" t="str">
        <f>VLOOKUP(K2420,COA!$A$3:$B$337,2,FALSE)</f>
        <v>L41</v>
      </c>
      <c r="M2420" s="105" t="str">
        <f t="shared" si="84"/>
        <v>L41</v>
      </c>
      <c r="N2420" s="105" t="e">
        <f>VLOOKUP(M2420,CAC!$A$2:$B$198,2,FALSE)</f>
        <v>#N/A</v>
      </c>
    </row>
    <row r="2421" spans="5:14" x14ac:dyDescent="0.25">
      <c r="E2421" s="83">
        <v>201712</v>
      </c>
      <c r="F2421" s="82" t="s">
        <v>506</v>
      </c>
      <c r="G2421" s="82" t="s">
        <v>346</v>
      </c>
      <c r="H2421" s="82" t="s">
        <v>592</v>
      </c>
      <c r="I2421" s="95">
        <v>0</v>
      </c>
      <c r="K2421" s="105" t="str">
        <f t="shared" si="83"/>
        <v>0013-1014-0035</v>
      </c>
      <c r="L2421" s="105" t="str">
        <f>VLOOKUP(K2421,COA!$A$3:$B$337,2,FALSE)</f>
        <v>K42</v>
      </c>
      <c r="M2421" s="105" t="str">
        <f t="shared" si="84"/>
        <v>K42</v>
      </c>
      <c r="N2421" s="105" t="str">
        <f>VLOOKUP(M2421,CAC!$A$2:$B$198,2,FALSE)</f>
        <v>HMFLEX</v>
      </c>
    </row>
    <row r="2422" spans="5:14" x14ac:dyDescent="0.25">
      <c r="E2422" s="83">
        <v>201601</v>
      </c>
      <c r="F2422" s="82" t="s">
        <v>345</v>
      </c>
      <c r="G2422" s="82" t="s">
        <v>352</v>
      </c>
      <c r="H2422" s="82" t="s">
        <v>653</v>
      </c>
      <c r="I2422" s="95">
        <v>0</v>
      </c>
      <c r="K2422" s="105" t="str">
        <f t="shared" si="83"/>
        <v>0011-1004-0047</v>
      </c>
      <c r="L2422" s="105" t="str">
        <f>VLOOKUP(K2422,COA!$A$3:$B$337,2,FALSE)</f>
        <v>L17</v>
      </c>
      <c r="M2422" s="105" t="str">
        <f t="shared" si="84"/>
        <v>L17</v>
      </c>
      <c r="N2422" s="105" t="str">
        <f>VLOOKUP(M2422,CAC!$A$2:$B$198,2,FALSE)</f>
        <v>HMOLG</v>
      </c>
    </row>
    <row r="2423" spans="5:14" x14ac:dyDescent="0.25">
      <c r="E2423" s="83">
        <v>201608</v>
      </c>
      <c r="F2423" s="82" t="s">
        <v>746</v>
      </c>
      <c r="G2423" s="82" t="s">
        <v>350</v>
      </c>
      <c r="H2423" s="82" t="s">
        <v>764</v>
      </c>
      <c r="I2423" s="95">
        <v>6</v>
      </c>
      <c r="K2423" s="105" t="str">
        <f t="shared" si="83"/>
        <v>0016-1012-0064</v>
      </c>
      <c r="L2423" s="105" t="str">
        <f>VLOOKUP(K2423,COA!$A$3:$B$337,2,FALSE)</f>
        <v>R25</v>
      </c>
      <c r="M2423" s="105" t="str">
        <f t="shared" si="84"/>
        <v>R25</v>
      </c>
      <c r="N2423" s="105" t="str">
        <f>VLOOKUP(M2423,CAC!$A$2:$B$198,2,FALSE)</f>
        <v>HMOMG</v>
      </c>
    </row>
    <row r="2424" spans="5:14" x14ac:dyDescent="0.25">
      <c r="E2424" s="83">
        <v>201705</v>
      </c>
      <c r="F2424" s="82" t="s">
        <v>563</v>
      </c>
      <c r="G2424" s="82" t="s">
        <v>355</v>
      </c>
      <c r="H2424" s="82" t="s">
        <v>344</v>
      </c>
      <c r="I2424" s="95">
        <v>0</v>
      </c>
      <c r="K2424" s="105" t="str">
        <f t="shared" si="83"/>
        <v>0003-1006-0012</v>
      </c>
      <c r="L2424" s="105" t="str">
        <f>VLOOKUP(K2424,COA!$A$3:$B$337,2,FALSE)</f>
        <v>L52</v>
      </c>
      <c r="M2424" s="105" t="str">
        <f t="shared" si="84"/>
        <v>L52</v>
      </c>
      <c r="N2424" s="105" t="str">
        <f>VLOOKUP(M2424,CAC!$A$2:$B$198,2,FALSE)</f>
        <v>PPOLG</v>
      </c>
    </row>
    <row r="2425" spans="5:14" x14ac:dyDescent="0.25">
      <c r="E2425" s="83">
        <v>201712</v>
      </c>
      <c r="F2425" s="82" t="s">
        <v>563</v>
      </c>
      <c r="G2425" s="82" t="s">
        <v>350</v>
      </c>
      <c r="H2425" s="82" t="s">
        <v>344</v>
      </c>
      <c r="I2425" s="95">
        <v>0</v>
      </c>
      <c r="K2425" s="105" t="str">
        <f t="shared" si="83"/>
        <v>0003-1012-0012</v>
      </c>
      <c r="L2425" s="105" t="str">
        <f>VLOOKUP(K2425,COA!$A$3:$B$337,2,FALSE)</f>
        <v>K51</v>
      </c>
      <c r="M2425" s="105" t="str">
        <f t="shared" si="84"/>
        <v>K51</v>
      </c>
      <c r="N2425" s="105" t="str">
        <f>VLOOKUP(M2425,CAC!$A$2:$B$198,2,FALSE)</f>
        <v>PPOPMR</v>
      </c>
    </row>
    <row r="2426" spans="5:14" x14ac:dyDescent="0.25">
      <c r="E2426" s="83">
        <v>201709</v>
      </c>
      <c r="F2426" s="82" t="s">
        <v>506</v>
      </c>
      <c r="G2426" s="82" t="s">
        <v>350</v>
      </c>
      <c r="H2426" s="82" t="s">
        <v>592</v>
      </c>
      <c r="I2426" s="95">
        <v>0</v>
      </c>
      <c r="K2426" s="105" t="str">
        <f t="shared" si="83"/>
        <v>0013-1012-0035</v>
      </c>
      <c r="L2426" s="105" t="str">
        <f>VLOOKUP(K2426,COA!$A$3:$B$337,2,FALSE)</f>
        <v>K41</v>
      </c>
      <c r="M2426" s="105" t="str">
        <f t="shared" si="84"/>
        <v>K41</v>
      </c>
      <c r="N2426" s="105" t="e">
        <f>VLOOKUP(M2426,CAC!$A$2:$B$198,2,FALSE)</f>
        <v>#N/A</v>
      </c>
    </row>
    <row r="2427" spans="5:14" x14ac:dyDescent="0.25">
      <c r="E2427" s="83">
        <v>201712</v>
      </c>
      <c r="F2427" s="82" t="s">
        <v>563</v>
      </c>
      <c r="G2427" s="82" t="s">
        <v>352</v>
      </c>
      <c r="H2427" s="82" t="s">
        <v>349</v>
      </c>
      <c r="I2427" s="95">
        <v>0</v>
      </c>
      <c r="K2427" s="105" t="str">
        <f t="shared" si="83"/>
        <v>0003-1004-0017</v>
      </c>
      <c r="L2427" s="105" t="e">
        <f>VLOOKUP(K2427,COA!$A$3:$B$337,2,FALSE)</f>
        <v>#N/A</v>
      </c>
      <c r="M2427" s="105" t="str">
        <f t="shared" si="84"/>
        <v>XXX</v>
      </c>
      <c r="N2427" s="105" t="str">
        <f>VLOOKUP(M2427,CAC!$A$2:$B$198,2,FALSE)</f>
        <v>XXX</v>
      </c>
    </row>
    <row r="2428" spans="5:14" x14ac:dyDescent="0.25">
      <c r="E2428" s="83">
        <v>201705</v>
      </c>
      <c r="F2428" s="82" t="s">
        <v>344</v>
      </c>
      <c r="G2428" s="82" t="s">
        <v>352</v>
      </c>
      <c r="H2428" s="82" t="s">
        <v>360</v>
      </c>
      <c r="I2428" s="95">
        <v>219</v>
      </c>
      <c r="K2428" s="105" t="str">
        <f t="shared" si="83"/>
        <v>0012-1004-0048</v>
      </c>
      <c r="L2428" s="105" t="str">
        <f>VLOOKUP(K2428,COA!$A$3:$B$337,2,FALSE)</f>
        <v>L22</v>
      </c>
      <c r="M2428" s="105" t="str">
        <f t="shared" si="84"/>
        <v>L22</v>
      </c>
      <c r="N2428" s="105" t="str">
        <f>VLOOKUP(M2428,CAC!$A$2:$B$198,2,FALSE)</f>
        <v>HMFLEX</v>
      </c>
    </row>
    <row r="2429" spans="5:14" x14ac:dyDescent="0.25">
      <c r="E2429" s="83">
        <v>201603</v>
      </c>
      <c r="F2429" s="82" t="s">
        <v>345</v>
      </c>
      <c r="G2429" s="82" t="s">
        <v>348</v>
      </c>
      <c r="H2429" s="82" t="s">
        <v>353</v>
      </c>
      <c r="I2429" s="95">
        <v>310.23</v>
      </c>
      <c r="K2429" s="105" t="str">
        <f t="shared" si="83"/>
        <v>0011-1010-0023</v>
      </c>
      <c r="L2429" s="105" t="str">
        <f>VLOOKUP(K2429,COA!$A$3:$B$337,2,FALSE)</f>
        <v>S13</v>
      </c>
      <c r="M2429" s="105" t="str">
        <f t="shared" si="84"/>
        <v>S13</v>
      </c>
      <c r="N2429" s="105" t="str">
        <f>VLOOKUP(M2429,CAC!$A$2:$B$198,2,FALSE)</f>
        <v>HMOSG</v>
      </c>
    </row>
    <row r="2430" spans="5:14" x14ac:dyDescent="0.25">
      <c r="E2430" s="83">
        <v>201602</v>
      </c>
      <c r="F2430" s="82" t="s">
        <v>345</v>
      </c>
      <c r="G2430" s="82" t="s">
        <v>362</v>
      </c>
      <c r="H2430" s="82" t="s">
        <v>364</v>
      </c>
      <c r="I2430" s="95">
        <v>38245.4</v>
      </c>
      <c r="K2430" s="105" t="str">
        <f t="shared" si="83"/>
        <v>0011-1008-0037</v>
      </c>
      <c r="L2430" s="105" t="str">
        <f>VLOOKUP(K2430,COA!$A$3:$B$337,2,FALSE)</f>
        <v>P12</v>
      </c>
      <c r="M2430" s="105" t="str">
        <f t="shared" si="84"/>
        <v>P12</v>
      </c>
      <c r="N2430" s="105" t="str">
        <f>VLOOKUP(M2430,CAC!$A$2:$B$198,2,FALSE)</f>
        <v>HMOPERA</v>
      </c>
    </row>
    <row r="2431" spans="5:14" x14ac:dyDescent="0.25">
      <c r="E2431" s="83">
        <v>201610</v>
      </c>
      <c r="F2431" s="82" t="s">
        <v>563</v>
      </c>
      <c r="G2431" s="82" t="s">
        <v>365</v>
      </c>
      <c r="H2431" s="82" t="s">
        <v>366</v>
      </c>
      <c r="I2431" s="95">
        <v>0</v>
      </c>
      <c r="K2431" s="105" t="str">
        <f t="shared" si="83"/>
        <v>0003-1001-0021</v>
      </c>
      <c r="L2431" s="105" t="str">
        <f>VLOOKUP(K2431,COA!$A$3:$B$337,2,FALSE)</f>
        <v>V53</v>
      </c>
      <c r="M2431" s="105" t="str">
        <f t="shared" si="84"/>
        <v>V53</v>
      </c>
      <c r="N2431" s="105" t="str">
        <f>VLOOKUP(M2431,CAC!$A$2:$B$198,2,FALSE)</f>
        <v>PPOIFP</v>
      </c>
    </row>
    <row r="2432" spans="5:14" x14ac:dyDescent="0.25">
      <c r="E2432" s="83">
        <v>201704</v>
      </c>
      <c r="F2432" s="82" t="s">
        <v>345</v>
      </c>
      <c r="G2432" s="82" t="s">
        <v>350</v>
      </c>
      <c r="H2432" s="82" t="s">
        <v>360</v>
      </c>
      <c r="I2432" s="95">
        <v>3969</v>
      </c>
      <c r="K2432" s="105" t="str">
        <f t="shared" si="83"/>
        <v>0011-1012-0048</v>
      </c>
      <c r="L2432" s="105" t="str">
        <f>VLOOKUP(K2432,COA!$A$3:$B$337,2,FALSE)</f>
        <v>K21</v>
      </c>
      <c r="M2432" s="105" t="str">
        <f t="shared" si="84"/>
        <v>K21</v>
      </c>
      <c r="N2432" s="105" t="str">
        <f>VLOOKUP(M2432,CAC!$A$2:$B$198,2,FALSE)</f>
        <v>HMFLEX</v>
      </c>
    </row>
    <row r="2433" spans="5:14" x14ac:dyDescent="0.25">
      <c r="E2433" s="83">
        <v>201509</v>
      </c>
      <c r="F2433" s="82" t="s">
        <v>345</v>
      </c>
      <c r="G2433" s="82" t="s">
        <v>350</v>
      </c>
      <c r="H2433" s="82" t="s">
        <v>360</v>
      </c>
      <c r="I2433" s="95">
        <v>5342.83</v>
      </c>
      <c r="K2433" s="105" t="str">
        <f t="shared" si="83"/>
        <v>0011-1012-0048</v>
      </c>
      <c r="L2433" s="105" t="str">
        <f>VLOOKUP(K2433,COA!$A$3:$B$337,2,FALSE)</f>
        <v>K21</v>
      </c>
      <c r="M2433" s="105" t="str">
        <f t="shared" si="84"/>
        <v>K21</v>
      </c>
      <c r="N2433" s="105" t="str">
        <f>VLOOKUP(M2433,CAC!$A$2:$B$198,2,FALSE)</f>
        <v>HMFLEX</v>
      </c>
    </row>
    <row r="2434" spans="5:14" x14ac:dyDescent="0.25">
      <c r="E2434" s="83">
        <v>201603</v>
      </c>
      <c r="F2434" s="82" t="s">
        <v>746</v>
      </c>
      <c r="G2434" s="82" t="s">
        <v>361</v>
      </c>
      <c r="H2434" s="82" t="s">
        <v>344</v>
      </c>
      <c r="I2434" s="95">
        <v>459</v>
      </c>
      <c r="K2434" s="105" t="str">
        <f t="shared" si="83"/>
        <v>0016-1003-0012</v>
      </c>
      <c r="L2434" s="105" t="str">
        <f>VLOOKUP(K2434,COA!$A$3:$B$337,2,FALSE)</f>
        <v>R18</v>
      </c>
      <c r="M2434" s="105" t="str">
        <f t="shared" si="84"/>
        <v>R18</v>
      </c>
      <c r="N2434" s="105" t="str">
        <f>VLOOKUP(M2434,CAC!$A$2:$B$198,2,FALSE)</f>
        <v>HMOMG</v>
      </c>
    </row>
    <row r="2435" spans="5:14" x14ac:dyDescent="0.25">
      <c r="E2435" s="83">
        <v>201508</v>
      </c>
      <c r="F2435" s="82" t="s">
        <v>563</v>
      </c>
      <c r="G2435" s="82" t="s">
        <v>365</v>
      </c>
      <c r="H2435" s="82" t="s">
        <v>411</v>
      </c>
      <c r="I2435" s="95">
        <v>0</v>
      </c>
      <c r="K2435" s="105" t="str">
        <f t="shared" si="83"/>
        <v>0003-1001-0007</v>
      </c>
      <c r="L2435" s="105" t="str">
        <f>VLOOKUP(K2435,COA!$A$3:$B$337,2,FALSE)</f>
        <v>V52</v>
      </c>
      <c r="M2435" s="105" t="str">
        <f t="shared" si="84"/>
        <v>V52</v>
      </c>
      <c r="N2435" s="105" t="str">
        <f>VLOOKUP(M2435,CAC!$A$2:$B$198,2,FALSE)</f>
        <v>PPOIFP</v>
      </c>
    </row>
    <row r="2436" spans="5:14" x14ac:dyDescent="0.25">
      <c r="E2436" s="83">
        <v>201610</v>
      </c>
      <c r="F2436" s="82" t="s">
        <v>563</v>
      </c>
      <c r="G2436" s="82" t="s">
        <v>365</v>
      </c>
      <c r="H2436" s="82" t="s">
        <v>411</v>
      </c>
      <c r="I2436" s="95">
        <v>0</v>
      </c>
      <c r="K2436" s="105" t="str">
        <f t="shared" ref="K2436:K2496" si="85">F2436&amp;"-"&amp;G2436&amp;"-"&amp;H2436</f>
        <v>0003-1001-0007</v>
      </c>
      <c r="L2436" s="105" t="str">
        <f>VLOOKUP(K2436,COA!$A$3:$B$337,2,FALSE)</f>
        <v>V52</v>
      </c>
      <c r="M2436" s="105" t="str">
        <f t="shared" ref="M2436:M2496" si="86">IF(ISNA(L2436),"XXX",L2436)</f>
        <v>V52</v>
      </c>
      <c r="N2436" s="105" t="str">
        <f>VLOOKUP(M2436,CAC!$A$2:$B$198,2,FALSE)</f>
        <v>PPOIFP</v>
      </c>
    </row>
    <row r="2437" spans="5:14" x14ac:dyDescent="0.25">
      <c r="E2437" s="83">
        <v>201603</v>
      </c>
      <c r="F2437" s="82" t="s">
        <v>746</v>
      </c>
      <c r="G2437" s="82" t="s">
        <v>350</v>
      </c>
      <c r="H2437" s="82" t="s">
        <v>764</v>
      </c>
      <c r="I2437" s="95">
        <v>7</v>
      </c>
      <c r="K2437" s="105" t="str">
        <f t="shared" si="85"/>
        <v>0016-1012-0064</v>
      </c>
      <c r="L2437" s="105" t="str">
        <f>VLOOKUP(K2437,COA!$A$3:$B$337,2,FALSE)</f>
        <v>R25</v>
      </c>
      <c r="M2437" s="105" t="str">
        <f t="shared" si="86"/>
        <v>R25</v>
      </c>
      <c r="N2437" s="105" t="str">
        <f>VLOOKUP(M2437,CAC!$A$2:$B$198,2,FALSE)</f>
        <v>HMOMG</v>
      </c>
    </row>
    <row r="2438" spans="5:14" x14ac:dyDescent="0.25">
      <c r="E2438" s="83">
        <v>201612</v>
      </c>
      <c r="F2438" s="82" t="s">
        <v>345</v>
      </c>
      <c r="G2438" s="82" t="s">
        <v>352</v>
      </c>
      <c r="H2438" s="82" t="s">
        <v>357</v>
      </c>
      <c r="I2438" s="95">
        <v>2215</v>
      </c>
      <c r="K2438" s="105" t="str">
        <f t="shared" si="85"/>
        <v>0011-1004-0038</v>
      </c>
      <c r="L2438" s="105" t="str">
        <f>VLOOKUP(K2438,COA!$A$3:$B$337,2,FALSE)</f>
        <v>L14</v>
      </c>
      <c r="M2438" s="105" t="str">
        <f t="shared" si="86"/>
        <v>L14</v>
      </c>
      <c r="N2438" s="105" t="str">
        <f>VLOOKUP(M2438,CAC!$A$2:$B$198,2,FALSE)</f>
        <v>HMOLG</v>
      </c>
    </row>
    <row r="2439" spans="5:14" x14ac:dyDescent="0.25">
      <c r="E2439" s="83">
        <v>201704</v>
      </c>
      <c r="F2439" s="82" t="s">
        <v>746</v>
      </c>
      <c r="G2439" s="82" t="s">
        <v>354</v>
      </c>
      <c r="H2439" s="82" t="s">
        <v>344</v>
      </c>
      <c r="I2439" s="95">
        <v>83</v>
      </c>
      <c r="K2439" s="105" t="str">
        <f t="shared" si="85"/>
        <v>0016-1013-0012</v>
      </c>
      <c r="L2439" s="105" t="str">
        <f>VLOOKUP(K2439,COA!$A$3:$B$337,2,FALSE)</f>
        <v>R19</v>
      </c>
      <c r="M2439" s="105" t="str">
        <f t="shared" si="86"/>
        <v>R19</v>
      </c>
      <c r="N2439" s="105" t="str">
        <f>VLOOKUP(M2439,CAC!$A$2:$B$198,2,FALSE)</f>
        <v>HMOMG</v>
      </c>
    </row>
    <row r="2440" spans="5:14" x14ac:dyDescent="0.25">
      <c r="E2440" s="83">
        <v>201606</v>
      </c>
      <c r="F2440" s="82" t="s">
        <v>413</v>
      </c>
      <c r="G2440" s="82" t="s">
        <v>355</v>
      </c>
      <c r="H2440" s="82" t="s">
        <v>344</v>
      </c>
      <c r="I2440" s="95">
        <v>0</v>
      </c>
      <c r="K2440" s="105" t="str">
        <f t="shared" si="85"/>
        <v>0008-1006-0012</v>
      </c>
      <c r="L2440" s="105" t="str">
        <f>VLOOKUP(K2440,COA!$A$3:$B$337,2,FALSE)</f>
        <v>C96</v>
      </c>
      <c r="M2440" s="105" t="str">
        <f t="shared" si="86"/>
        <v>C96</v>
      </c>
      <c r="N2440" s="105" t="str">
        <f>VLOOKUP(M2440,CAC!$A$2:$B$198,2,FALSE)</f>
        <v>DOILG</v>
      </c>
    </row>
    <row r="2441" spans="5:14" x14ac:dyDescent="0.25">
      <c r="E2441" s="83">
        <v>201611</v>
      </c>
      <c r="F2441" s="82" t="s">
        <v>345</v>
      </c>
      <c r="G2441" s="82" t="s">
        <v>352</v>
      </c>
      <c r="H2441" s="82" t="s">
        <v>344</v>
      </c>
      <c r="I2441" s="95">
        <v>11551.49</v>
      </c>
      <c r="K2441" s="105" t="str">
        <f t="shared" si="85"/>
        <v>0011-1004-0012</v>
      </c>
      <c r="L2441" s="105" t="str">
        <f>VLOOKUP(K2441,COA!$A$3:$B$337,2,FALSE)</f>
        <v>L11</v>
      </c>
      <c r="M2441" s="105" t="str">
        <f t="shared" si="86"/>
        <v>L11</v>
      </c>
      <c r="N2441" s="105" t="str">
        <f>VLOOKUP(M2441,CAC!$A$2:$B$198,2,FALSE)</f>
        <v>HMOLG</v>
      </c>
    </row>
    <row r="2442" spans="5:14" x14ac:dyDescent="0.25">
      <c r="E2442" s="83">
        <v>201612</v>
      </c>
      <c r="F2442" s="82" t="s">
        <v>563</v>
      </c>
      <c r="G2442" s="82" t="s">
        <v>361</v>
      </c>
      <c r="H2442" s="82" t="s">
        <v>344</v>
      </c>
      <c r="I2442" s="95">
        <v>0</v>
      </c>
      <c r="K2442" s="105" t="str">
        <f t="shared" si="85"/>
        <v>0003-1003-0012</v>
      </c>
      <c r="L2442" s="105" t="str">
        <f>VLOOKUP(K2442,COA!$A$3:$B$337,2,FALSE)</f>
        <v>N61</v>
      </c>
      <c r="M2442" s="105" t="str">
        <f t="shared" si="86"/>
        <v>N61</v>
      </c>
      <c r="N2442" s="105" t="str">
        <f>VLOOKUP(M2442,CAC!$A$2:$B$198,2,FALSE)</f>
        <v>PPOPMR</v>
      </c>
    </row>
    <row r="2443" spans="5:14" x14ac:dyDescent="0.25">
      <c r="E2443" s="83">
        <v>201705</v>
      </c>
      <c r="F2443" s="82" t="s">
        <v>506</v>
      </c>
      <c r="G2443" s="82" t="s">
        <v>346</v>
      </c>
      <c r="H2443" s="82" t="s">
        <v>592</v>
      </c>
      <c r="I2443" s="95">
        <v>0</v>
      </c>
      <c r="K2443" s="105" t="str">
        <f t="shared" si="85"/>
        <v>0013-1014-0035</v>
      </c>
      <c r="L2443" s="105" t="str">
        <f>VLOOKUP(K2443,COA!$A$3:$B$337,2,FALSE)</f>
        <v>K42</v>
      </c>
      <c r="M2443" s="105" t="str">
        <f t="shared" si="86"/>
        <v>K42</v>
      </c>
      <c r="N2443" s="105" t="str">
        <f>VLOOKUP(M2443,CAC!$A$2:$B$198,2,FALSE)</f>
        <v>HMFLEX</v>
      </c>
    </row>
    <row r="2444" spans="5:14" x14ac:dyDescent="0.25">
      <c r="E2444" s="83">
        <v>201801</v>
      </c>
      <c r="F2444" s="82" t="s">
        <v>506</v>
      </c>
      <c r="G2444" s="82" t="s">
        <v>361</v>
      </c>
      <c r="H2444" s="82" t="s">
        <v>592</v>
      </c>
      <c r="I2444" s="95">
        <v>0</v>
      </c>
      <c r="K2444" s="105" t="str">
        <f t="shared" si="85"/>
        <v>0013-1003-0035</v>
      </c>
      <c r="L2444" s="105" t="str">
        <f>VLOOKUP(K2444,COA!$A$3:$B$337,2,FALSE)</f>
        <v>N32</v>
      </c>
      <c r="M2444" s="105" t="str">
        <f t="shared" si="86"/>
        <v>N32</v>
      </c>
      <c r="N2444" s="105" t="e">
        <f>VLOOKUP(M2444,CAC!$A$2:$B$198,2,FALSE)</f>
        <v>#N/A</v>
      </c>
    </row>
    <row r="2445" spans="5:14" x14ac:dyDescent="0.25">
      <c r="E2445" s="83">
        <v>201502</v>
      </c>
      <c r="F2445" s="82" t="s">
        <v>413</v>
      </c>
      <c r="G2445" s="82" t="s">
        <v>348</v>
      </c>
      <c r="H2445" s="82" t="s">
        <v>349</v>
      </c>
      <c r="I2445" s="95">
        <v>0</v>
      </c>
      <c r="K2445" s="105" t="str">
        <f t="shared" si="85"/>
        <v>0008-1010-0017</v>
      </c>
      <c r="L2445" s="105" t="str">
        <f>VLOOKUP(K2445,COA!$A$3:$B$337,2,FALSE)</f>
        <v>C94</v>
      </c>
      <c r="M2445" s="105" t="str">
        <f t="shared" si="86"/>
        <v>C94</v>
      </c>
      <c r="N2445" s="105" t="str">
        <f>VLOOKUP(M2445,CAC!$A$2:$B$198,2,FALSE)</f>
        <v>DOISG</v>
      </c>
    </row>
    <row r="2446" spans="5:14" x14ac:dyDescent="0.25">
      <c r="E2446" s="83">
        <v>201607</v>
      </c>
      <c r="F2446" s="82" t="s">
        <v>506</v>
      </c>
      <c r="G2446" s="82" t="s">
        <v>354</v>
      </c>
      <c r="H2446" s="82" t="s">
        <v>592</v>
      </c>
      <c r="I2446" s="95">
        <v>0</v>
      </c>
      <c r="K2446" s="105" t="str">
        <f t="shared" si="85"/>
        <v>0013-1013-0035</v>
      </c>
      <c r="L2446" s="105" t="str">
        <f>VLOOKUP(K2446,COA!$A$3:$B$337,2,FALSE)</f>
        <v>N44</v>
      </c>
      <c r="M2446" s="105" t="str">
        <f t="shared" si="86"/>
        <v>N44</v>
      </c>
      <c r="N2446" s="105" t="e">
        <f>VLOOKUP(M2446,CAC!$A$2:$B$198,2,FALSE)</f>
        <v>#N/A</v>
      </c>
    </row>
    <row r="2447" spans="5:14" x14ac:dyDescent="0.25">
      <c r="E2447" s="83">
        <v>201511</v>
      </c>
      <c r="F2447" s="82" t="s">
        <v>746</v>
      </c>
      <c r="G2447" s="82" t="s">
        <v>361</v>
      </c>
      <c r="H2447" s="82" t="s">
        <v>344</v>
      </c>
      <c r="I2447" s="95">
        <v>456</v>
      </c>
      <c r="K2447" s="105" t="str">
        <f t="shared" si="85"/>
        <v>0016-1003-0012</v>
      </c>
      <c r="L2447" s="105" t="str">
        <f>VLOOKUP(K2447,COA!$A$3:$B$337,2,FALSE)</f>
        <v>R18</v>
      </c>
      <c r="M2447" s="105" t="str">
        <f t="shared" si="86"/>
        <v>R18</v>
      </c>
      <c r="N2447" s="105" t="str">
        <f>VLOOKUP(M2447,CAC!$A$2:$B$198,2,FALSE)</f>
        <v>HMOMG</v>
      </c>
    </row>
    <row r="2448" spans="5:14" x14ac:dyDescent="0.25">
      <c r="E2448" s="83">
        <v>201603</v>
      </c>
      <c r="F2448" s="82" t="s">
        <v>563</v>
      </c>
      <c r="G2448" s="82" t="s">
        <v>352</v>
      </c>
      <c r="H2448" s="82" t="s">
        <v>653</v>
      </c>
      <c r="I2448" s="95">
        <v>0</v>
      </c>
      <c r="K2448" s="105" t="str">
        <f t="shared" si="85"/>
        <v>0003-1004-0047</v>
      </c>
      <c r="L2448" s="105" t="str">
        <f>VLOOKUP(K2448,COA!$A$3:$B$337,2,FALSE)</f>
        <v>L57</v>
      </c>
      <c r="M2448" s="105" t="str">
        <f t="shared" si="86"/>
        <v>L57</v>
      </c>
      <c r="N2448" s="105" t="str">
        <f>VLOOKUP(M2448,CAC!$A$2:$B$198,2,FALSE)</f>
        <v>PPOLG</v>
      </c>
    </row>
    <row r="2449" spans="5:14" x14ac:dyDescent="0.25">
      <c r="E2449" s="83">
        <v>201704</v>
      </c>
      <c r="F2449" s="82" t="s">
        <v>345</v>
      </c>
      <c r="G2449" s="82" t="s">
        <v>352</v>
      </c>
      <c r="H2449" s="82" t="s">
        <v>357</v>
      </c>
      <c r="I2449" s="95">
        <v>1956</v>
      </c>
      <c r="K2449" s="105" t="str">
        <f t="shared" si="85"/>
        <v>0011-1004-0038</v>
      </c>
      <c r="L2449" s="105" t="str">
        <f>VLOOKUP(K2449,COA!$A$3:$B$337,2,FALSE)</f>
        <v>L14</v>
      </c>
      <c r="M2449" s="105" t="str">
        <f t="shared" si="86"/>
        <v>L14</v>
      </c>
      <c r="N2449" s="105" t="str">
        <f>VLOOKUP(M2449,CAC!$A$2:$B$198,2,FALSE)</f>
        <v>HMOLG</v>
      </c>
    </row>
    <row r="2450" spans="5:14" x14ac:dyDescent="0.25">
      <c r="E2450" s="83">
        <v>201506</v>
      </c>
      <c r="F2450" s="82" t="s">
        <v>563</v>
      </c>
      <c r="G2450" s="82" t="s">
        <v>352</v>
      </c>
      <c r="H2450" s="82" t="s">
        <v>653</v>
      </c>
      <c r="I2450" s="95">
        <v>0</v>
      </c>
      <c r="K2450" s="105" t="str">
        <f t="shared" si="85"/>
        <v>0003-1004-0047</v>
      </c>
      <c r="L2450" s="105" t="str">
        <f>VLOOKUP(K2450,COA!$A$3:$B$337,2,FALSE)</f>
        <v>L57</v>
      </c>
      <c r="M2450" s="105" t="str">
        <f t="shared" si="86"/>
        <v>L57</v>
      </c>
      <c r="N2450" s="105" t="str">
        <f>VLOOKUP(M2450,CAC!$A$2:$B$198,2,FALSE)</f>
        <v>PPOLG</v>
      </c>
    </row>
    <row r="2451" spans="5:14" x14ac:dyDescent="0.25">
      <c r="E2451" s="83">
        <v>201705</v>
      </c>
      <c r="F2451" s="82" t="s">
        <v>746</v>
      </c>
      <c r="G2451" s="82" t="s">
        <v>352</v>
      </c>
      <c r="H2451" s="82" t="s">
        <v>344</v>
      </c>
      <c r="I2451" s="95">
        <v>3</v>
      </c>
      <c r="K2451" s="105" t="str">
        <f t="shared" si="85"/>
        <v>0016-1004-0012</v>
      </c>
      <c r="L2451" s="105" t="str">
        <f>VLOOKUP(K2451,COA!$A$3:$B$337,2,FALSE)</f>
        <v>R20</v>
      </c>
      <c r="M2451" s="105" t="str">
        <f t="shared" si="86"/>
        <v>R20</v>
      </c>
      <c r="N2451" s="105" t="str">
        <f>VLOOKUP(M2451,CAC!$A$2:$B$198,2,FALSE)</f>
        <v>HMOMG</v>
      </c>
    </row>
    <row r="2452" spans="5:14" x14ac:dyDescent="0.25">
      <c r="E2452" s="83">
        <v>201701</v>
      </c>
      <c r="F2452" s="82" t="s">
        <v>563</v>
      </c>
      <c r="G2452" s="82" t="s">
        <v>348</v>
      </c>
      <c r="H2452" s="82" t="s">
        <v>349</v>
      </c>
      <c r="I2452" s="95">
        <v>0</v>
      </c>
      <c r="K2452" s="105" t="str">
        <f t="shared" si="85"/>
        <v>0003-1010-0017</v>
      </c>
      <c r="L2452" s="105" t="str">
        <f>VLOOKUP(K2452,COA!$A$3:$B$337,2,FALSE)</f>
        <v>S51</v>
      </c>
      <c r="M2452" s="105" t="str">
        <f t="shared" si="86"/>
        <v>S51</v>
      </c>
      <c r="N2452" s="105" t="str">
        <f>VLOOKUP(M2452,CAC!$A$2:$B$198,2,FALSE)</f>
        <v>PPOSG</v>
      </c>
    </row>
    <row r="2453" spans="5:14" x14ac:dyDescent="0.25">
      <c r="E2453" s="83">
        <v>201705</v>
      </c>
      <c r="F2453" s="82" t="s">
        <v>413</v>
      </c>
      <c r="G2453" s="82" t="s">
        <v>365</v>
      </c>
      <c r="H2453" s="82" t="s">
        <v>344</v>
      </c>
      <c r="I2453" s="95">
        <v>0</v>
      </c>
      <c r="K2453" s="105" t="str">
        <f t="shared" si="85"/>
        <v>0008-1001-0012</v>
      </c>
      <c r="L2453" s="105" t="str">
        <f>VLOOKUP(K2453,COA!$A$3:$B$337,2,FALSE)</f>
        <v>C95</v>
      </c>
      <c r="M2453" s="105" t="str">
        <f t="shared" si="86"/>
        <v>C95</v>
      </c>
      <c r="N2453" s="105" t="str">
        <f>VLOOKUP(M2453,CAC!$A$2:$B$198,2,FALSE)</f>
        <v>DOIIFP</v>
      </c>
    </row>
    <row r="2454" spans="5:14" x14ac:dyDescent="0.25">
      <c r="E2454" s="83">
        <v>201708</v>
      </c>
      <c r="F2454" s="82" t="s">
        <v>344</v>
      </c>
      <c r="G2454" s="82" t="s">
        <v>356</v>
      </c>
      <c r="H2454" s="82" t="s">
        <v>344</v>
      </c>
      <c r="I2454" s="95">
        <v>4258</v>
      </c>
      <c r="K2454" s="105" t="str">
        <f t="shared" si="85"/>
        <v>0012-1002-0012</v>
      </c>
      <c r="L2454" s="105" t="str">
        <f>VLOOKUP(K2454,COA!$A$3:$B$337,2,FALSE)</f>
        <v>F22</v>
      </c>
      <c r="M2454" s="105" t="str">
        <f t="shared" si="86"/>
        <v>F22</v>
      </c>
      <c r="N2454" s="105" t="str">
        <f>VLOOKUP(M2454,CAC!$A$2:$B$198,2,FALSE)</f>
        <v>HMOPMR</v>
      </c>
    </row>
    <row r="2455" spans="5:14" x14ac:dyDescent="0.25">
      <c r="E2455" s="83">
        <v>201509</v>
      </c>
      <c r="F2455" s="82" t="s">
        <v>524</v>
      </c>
      <c r="G2455" s="82" t="s">
        <v>352</v>
      </c>
      <c r="H2455" s="82" t="s">
        <v>672</v>
      </c>
      <c r="I2455" s="95">
        <v>0</v>
      </c>
      <c r="K2455" s="105" t="str">
        <f t="shared" si="85"/>
        <v>0025-1004-0058</v>
      </c>
      <c r="L2455" s="105" t="str">
        <f>VLOOKUP(K2455,COA!$A$3:$B$337,2,FALSE)</f>
        <v>L44</v>
      </c>
      <c r="M2455" s="105" t="str">
        <f t="shared" si="86"/>
        <v>L44</v>
      </c>
      <c r="N2455" s="105" t="e">
        <f>VLOOKUP(M2455,CAC!$A$2:$B$198,2,FALSE)</f>
        <v>#N/A</v>
      </c>
    </row>
    <row r="2456" spans="5:14" x14ac:dyDescent="0.25">
      <c r="E2456" s="83">
        <v>201505</v>
      </c>
      <c r="F2456" s="82" t="s">
        <v>563</v>
      </c>
      <c r="G2456" s="82" t="s">
        <v>356</v>
      </c>
      <c r="H2456" s="82" t="s">
        <v>344</v>
      </c>
      <c r="I2456" s="95">
        <v>0</v>
      </c>
      <c r="K2456" s="105" t="str">
        <f t="shared" si="85"/>
        <v>0003-1002-0012</v>
      </c>
      <c r="L2456" s="105" t="str">
        <f>VLOOKUP(K2456,COA!$A$3:$B$337,2,FALSE)</f>
        <v>F61</v>
      </c>
      <c r="M2456" s="105" t="str">
        <f t="shared" si="86"/>
        <v>F61</v>
      </c>
      <c r="N2456" s="105" t="str">
        <f>VLOOKUP(M2456,CAC!$A$2:$B$198,2,FALSE)</f>
        <v>PPOPMR</v>
      </c>
    </row>
    <row r="2457" spans="5:14" x14ac:dyDescent="0.25">
      <c r="E2457" s="83">
        <v>201709</v>
      </c>
      <c r="F2457" s="82" t="s">
        <v>746</v>
      </c>
      <c r="G2457" s="82" t="s">
        <v>361</v>
      </c>
      <c r="H2457" s="82" t="s">
        <v>344</v>
      </c>
      <c r="I2457" s="95">
        <v>496</v>
      </c>
      <c r="K2457" s="105" t="str">
        <f t="shared" si="85"/>
        <v>0016-1003-0012</v>
      </c>
      <c r="L2457" s="105" t="str">
        <f>VLOOKUP(K2457,COA!$A$3:$B$337,2,FALSE)</f>
        <v>R18</v>
      </c>
      <c r="M2457" s="105" t="str">
        <f t="shared" si="86"/>
        <v>R18</v>
      </c>
      <c r="N2457" s="105" t="str">
        <f>VLOOKUP(M2457,CAC!$A$2:$B$198,2,FALSE)</f>
        <v>HMOMG</v>
      </c>
    </row>
    <row r="2458" spans="5:14" x14ac:dyDescent="0.25">
      <c r="E2458" s="83">
        <v>201704</v>
      </c>
      <c r="F2458" s="82" t="s">
        <v>563</v>
      </c>
      <c r="G2458" s="82" t="s">
        <v>354</v>
      </c>
      <c r="H2458" s="82" t="s">
        <v>626</v>
      </c>
      <c r="I2458" s="95">
        <v>0</v>
      </c>
      <c r="K2458" s="105" t="str">
        <f t="shared" si="85"/>
        <v>0003-1013-0057</v>
      </c>
      <c r="L2458" s="105" t="str">
        <f>VLOOKUP(K2458,COA!$A$3:$B$337,2,FALSE)</f>
        <v>N55</v>
      </c>
      <c r="M2458" s="105" t="str">
        <f t="shared" si="86"/>
        <v>N55</v>
      </c>
      <c r="N2458" s="105" t="str">
        <f>VLOOKUP(M2458,CAC!$A$2:$B$198,2,FALSE)</f>
        <v>PPOPMR</v>
      </c>
    </row>
    <row r="2459" spans="5:14" x14ac:dyDescent="0.25">
      <c r="E2459" s="83">
        <v>201712</v>
      </c>
      <c r="F2459" s="82" t="s">
        <v>342</v>
      </c>
      <c r="G2459" s="82" t="s">
        <v>343</v>
      </c>
      <c r="H2459" s="82" t="s">
        <v>344</v>
      </c>
      <c r="I2459" s="95">
        <v>5573.43</v>
      </c>
      <c r="K2459" s="105" t="str">
        <f t="shared" si="85"/>
        <v>0031-1000-0012</v>
      </c>
      <c r="L2459" s="105" t="str">
        <f>VLOOKUP(K2459,COA!$A$3:$B$337,2,FALSE)</f>
        <v>F27</v>
      </c>
      <c r="M2459" s="105" t="str">
        <f t="shared" si="86"/>
        <v>F27</v>
      </c>
      <c r="N2459" s="105" t="str">
        <f>VLOOKUP(M2459,CAC!$A$2:$B$198,2,FALSE)</f>
        <v>HMOFEP</v>
      </c>
    </row>
    <row r="2460" spans="5:14" x14ac:dyDescent="0.25">
      <c r="E2460" s="83">
        <v>201704</v>
      </c>
      <c r="F2460" s="82" t="s">
        <v>563</v>
      </c>
      <c r="G2460" s="82" t="s">
        <v>359</v>
      </c>
      <c r="H2460" s="82" t="s">
        <v>344</v>
      </c>
      <c r="I2460" s="95">
        <v>0</v>
      </c>
      <c r="K2460" s="105" t="str">
        <f t="shared" si="85"/>
        <v>0003-1005-0012</v>
      </c>
      <c r="L2460" s="105" t="str">
        <f>VLOOKUP(K2460,COA!$A$3:$B$337,2,FALSE)</f>
        <v>N51</v>
      </c>
      <c r="M2460" s="105" t="str">
        <f t="shared" si="86"/>
        <v>N51</v>
      </c>
      <c r="N2460" s="105" t="str">
        <f>VLOOKUP(M2460,CAC!$A$2:$B$198,2,FALSE)</f>
        <v>PPOLG</v>
      </c>
    </row>
    <row r="2461" spans="5:14" x14ac:dyDescent="0.25">
      <c r="E2461" s="83">
        <v>201708</v>
      </c>
      <c r="F2461" s="82" t="s">
        <v>563</v>
      </c>
      <c r="G2461" s="82" t="s">
        <v>354</v>
      </c>
      <c r="H2461" s="82" t="s">
        <v>360</v>
      </c>
      <c r="I2461" s="95">
        <v>0</v>
      </c>
      <c r="K2461" s="105" t="str">
        <f t="shared" si="85"/>
        <v>0003-1013-0048</v>
      </c>
      <c r="L2461" s="105" t="str">
        <f>VLOOKUP(K2461,COA!$A$3:$B$337,2,FALSE)</f>
        <v>N56</v>
      </c>
      <c r="M2461" s="105" t="str">
        <f t="shared" si="86"/>
        <v>N56</v>
      </c>
      <c r="N2461" s="105" t="str">
        <f>VLOOKUP(M2461,CAC!$A$2:$B$198,2,FALSE)</f>
        <v>HMFLEX</v>
      </c>
    </row>
    <row r="2462" spans="5:14" x14ac:dyDescent="0.25">
      <c r="E2462" s="83">
        <v>201601</v>
      </c>
      <c r="F2462" s="82" t="s">
        <v>563</v>
      </c>
      <c r="G2462" s="82" t="s">
        <v>369</v>
      </c>
      <c r="H2462" s="82" t="s">
        <v>345</v>
      </c>
      <c r="I2462" s="95">
        <v>0</v>
      </c>
      <c r="K2462" s="105" t="str">
        <f t="shared" si="85"/>
        <v>0003-1009-0011</v>
      </c>
      <c r="L2462" s="105" t="str">
        <f>VLOOKUP(K2462,COA!$A$3:$B$337,2,FALSE)</f>
        <v>V91</v>
      </c>
      <c r="M2462" s="105" t="str">
        <f t="shared" si="86"/>
        <v>V91</v>
      </c>
      <c r="N2462" s="105" t="str">
        <f>VLOOKUP(M2462,CAC!$A$2:$B$198,2,FALSE)</f>
        <v>PPOMM</v>
      </c>
    </row>
    <row r="2463" spans="5:14" x14ac:dyDescent="0.25">
      <c r="E2463" s="83">
        <v>201609</v>
      </c>
      <c r="F2463" s="82" t="s">
        <v>506</v>
      </c>
      <c r="G2463" s="82" t="s">
        <v>354</v>
      </c>
      <c r="H2463" s="82" t="s">
        <v>592</v>
      </c>
      <c r="I2463" s="95">
        <v>0</v>
      </c>
      <c r="K2463" s="105" t="str">
        <f t="shared" si="85"/>
        <v>0013-1013-0035</v>
      </c>
      <c r="L2463" s="105" t="str">
        <f>VLOOKUP(K2463,COA!$A$3:$B$337,2,FALSE)</f>
        <v>N44</v>
      </c>
      <c r="M2463" s="105" t="str">
        <f t="shared" si="86"/>
        <v>N44</v>
      </c>
      <c r="N2463" s="105" t="e">
        <f>VLOOKUP(M2463,CAC!$A$2:$B$198,2,FALSE)</f>
        <v>#N/A</v>
      </c>
    </row>
    <row r="2464" spans="5:14" x14ac:dyDescent="0.25">
      <c r="E2464" s="83">
        <v>201604</v>
      </c>
      <c r="F2464" s="82" t="s">
        <v>344</v>
      </c>
      <c r="G2464" s="82" t="s">
        <v>352</v>
      </c>
      <c r="H2464" s="82" t="s">
        <v>360</v>
      </c>
      <c r="I2464" s="95">
        <v>227</v>
      </c>
      <c r="K2464" s="105" t="str">
        <f t="shared" si="85"/>
        <v>0012-1004-0048</v>
      </c>
      <c r="L2464" s="105" t="str">
        <f>VLOOKUP(K2464,COA!$A$3:$B$337,2,FALSE)</f>
        <v>L22</v>
      </c>
      <c r="M2464" s="105" t="str">
        <f t="shared" si="86"/>
        <v>L22</v>
      </c>
      <c r="N2464" s="105" t="str">
        <f>VLOOKUP(M2464,CAC!$A$2:$B$198,2,FALSE)</f>
        <v>HMFLEX</v>
      </c>
    </row>
    <row r="2465" spans="5:14" x14ac:dyDescent="0.25">
      <c r="E2465" s="83">
        <v>201709</v>
      </c>
      <c r="F2465" s="82" t="s">
        <v>563</v>
      </c>
      <c r="G2465" s="82" t="s">
        <v>361</v>
      </c>
      <c r="H2465" s="82" t="s">
        <v>344</v>
      </c>
      <c r="I2465" s="95">
        <v>0</v>
      </c>
      <c r="K2465" s="105" t="str">
        <f t="shared" si="85"/>
        <v>0003-1003-0012</v>
      </c>
      <c r="L2465" s="105" t="str">
        <f>VLOOKUP(K2465,COA!$A$3:$B$337,2,FALSE)</f>
        <v>N61</v>
      </c>
      <c r="M2465" s="105" t="str">
        <f t="shared" si="86"/>
        <v>N61</v>
      </c>
      <c r="N2465" s="105" t="str">
        <f>VLOOKUP(M2465,CAC!$A$2:$B$198,2,FALSE)</f>
        <v>PPOPMR</v>
      </c>
    </row>
    <row r="2466" spans="5:14" x14ac:dyDescent="0.25">
      <c r="E2466" s="83">
        <v>201705</v>
      </c>
      <c r="F2466" s="82" t="s">
        <v>506</v>
      </c>
      <c r="G2466" s="82" t="s">
        <v>359</v>
      </c>
      <c r="H2466" s="82" t="s">
        <v>592</v>
      </c>
      <c r="I2466" s="95">
        <v>0</v>
      </c>
      <c r="K2466" s="105" t="str">
        <f t="shared" si="85"/>
        <v>0013-1005-0035</v>
      </c>
      <c r="L2466" s="105" t="str">
        <f>VLOOKUP(K2466,COA!$A$3:$B$337,2,FALSE)</f>
        <v>N41</v>
      </c>
      <c r="M2466" s="105" t="str">
        <f t="shared" si="86"/>
        <v>N41</v>
      </c>
      <c r="N2466" s="105" t="e">
        <f>VLOOKUP(M2466,CAC!$A$2:$B$198,2,FALSE)</f>
        <v>#N/A</v>
      </c>
    </row>
    <row r="2467" spans="5:14" x14ac:dyDescent="0.25">
      <c r="E2467" s="83">
        <v>201706</v>
      </c>
      <c r="F2467" s="82" t="s">
        <v>345</v>
      </c>
      <c r="G2467" s="82" t="s">
        <v>352</v>
      </c>
      <c r="H2467" s="82" t="s">
        <v>357</v>
      </c>
      <c r="I2467" s="95">
        <v>1958</v>
      </c>
      <c r="K2467" s="105" t="str">
        <f t="shared" si="85"/>
        <v>0011-1004-0038</v>
      </c>
      <c r="L2467" s="105" t="str">
        <f>VLOOKUP(K2467,COA!$A$3:$B$337,2,FALSE)</f>
        <v>L14</v>
      </c>
      <c r="M2467" s="105" t="str">
        <f t="shared" si="86"/>
        <v>L14</v>
      </c>
      <c r="N2467" s="105" t="str">
        <f>VLOOKUP(M2467,CAC!$A$2:$B$198,2,FALSE)</f>
        <v>HMOLG</v>
      </c>
    </row>
    <row r="2468" spans="5:14" x14ac:dyDescent="0.25">
      <c r="E2468" s="83">
        <v>201701</v>
      </c>
      <c r="F2468" s="82" t="s">
        <v>345</v>
      </c>
      <c r="G2468" s="82" t="s">
        <v>350</v>
      </c>
      <c r="H2468" s="82" t="s">
        <v>357</v>
      </c>
      <c r="I2468" s="95">
        <v>1230</v>
      </c>
      <c r="K2468" s="105" t="str">
        <f t="shared" si="85"/>
        <v>0011-1012-0038</v>
      </c>
      <c r="L2468" s="105" t="str">
        <f>VLOOKUP(K2468,COA!$A$3:$B$337,2,FALSE)</f>
        <v>K14</v>
      </c>
      <c r="M2468" s="105" t="str">
        <f t="shared" si="86"/>
        <v>K14</v>
      </c>
      <c r="N2468" s="105" t="str">
        <f>VLOOKUP(M2468,CAC!$A$2:$B$198,2,FALSE)</f>
        <v>HMOPMR</v>
      </c>
    </row>
    <row r="2469" spans="5:14" x14ac:dyDescent="0.25">
      <c r="E2469" s="83">
        <v>201612</v>
      </c>
      <c r="F2469" s="82" t="s">
        <v>345</v>
      </c>
      <c r="G2469" s="82" t="s">
        <v>348</v>
      </c>
      <c r="H2469" s="82" t="s">
        <v>358</v>
      </c>
      <c r="I2469" s="95">
        <v>85</v>
      </c>
      <c r="K2469" s="105" t="str">
        <f t="shared" si="85"/>
        <v>0011-1010-0024</v>
      </c>
      <c r="L2469" s="105" t="str">
        <f>VLOOKUP(K2469,COA!$A$3:$B$337,2,FALSE)</f>
        <v>S14</v>
      </c>
      <c r="M2469" s="105" t="str">
        <f t="shared" si="86"/>
        <v>S14</v>
      </c>
      <c r="N2469" s="105" t="str">
        <f>VLOOKUP(M2469,CAC!$A$2:$B$198,2,FALSE)</f>
        <v>HMOSG</v>
      </c>
    </row>
    <row r="2470" spans="5:14" x14ac:dyDescent="0.25">
      <c r="E2470" s="83">
        <v>201611</v>
      </c>
      <c r="F2470" s="82" t="s">
        <v>563</v>
      </c>
      <c r="G2470" s="82" t="s">
        <v>369</v>
      </c>
      <c r="H2470" s="82" t="s">
        <v>345</v>
      </c>
      <c r="I2470" s="95">
        <v>0</v>
      </c>
      <c r="K2470" s="105" t="str">
        <f t="shared" si="85"/>
        <v>0003-1009-0011</v>
      </c>
      <c r="L2470" s="105" t="str">
        <f>VLOOKUP(K2470,COA!$A$3:$B$337,2,FALSE)</f>
        <v>V91</v>
      </c>
      <c r="M2470" s="105" t="str">
        <f t="shared" si="86"/>
        <v>V91</v>
      </c>
      <c r="N2470" s="105" t="str">
        <f>VLOOKUP(M2470,CAC!$A$2:$B$198,2,FALSE)</f>
        <v>PPOMM</v>
      </c>
    </row>
    <row r="2471" spans="5:14" x14ac:dyDescent="0.25">
      <c r="E2471" s="83">
        <v>201603</v>
      </c>
      <c r="F2471" s="82" t="s">
        <v>563</v>
      </c>
      <c r="G2471" s="82" t="s">
        <v>354</v>
      </c>
      <c r="H2471" s="82" t="s">
        <v>344</v>
      </c>
      <c r="I2471" s="95">
        <v>0</v>
      </c>
      <c r="K2471" s="105" t="str">
        <f t="shared" si="85"/>
        <v>0003-1013-0012</v>
      </c>
      <c r="L2471" s="105" t="str">
        <f>VLOOKUP(K2471,COA!$A$3:$B$337,2,FALSE)</f>
        <v>N55</v>
      </c>
      <c r="M2471" s="105" t="str">
        <f t="shared" si="86"/>
        <v>N55</v>
      </c>
      <c r="N2471" s="105" t="str">
        <f>VLOOKUP(M2471,CAC!$A$2:$B$198,2,FALSE)</f>
        <v>PPOPMR</v>
      </c>
    </row>
    <row r="2472" spans="5:14" x14ac:dyDescent="0.25">
      <c r="E2472" s="83">
        <v>201510</v>
      </c>
      <c r="F2472" s="82" t="s">
        <v>345</v>
      </c>
      <c r="G2472" s="82" t="s">
        <v>352</v>
      </c>
      <c r="H2472" s="82" t="s">
        <v>344</v>
      </c>
      <c r="I2472" s="95">
        <v>10066.450000000001</v>
      </c>
      <c r="K2472" s="105" t="str">
        <f t="shared" si="85"/>
        <v>0011-1004-0012</v>
      </c>
      <c r="L2472" s="105" t="str">
        <f>VLOOKUP(K2472,COA!$A$3:$B$337,2,FALSE)</f>
        <v>L11</v>
      </c>
      <c r="M2472" s="105" t="str">
        <f t="shared" si="86"/>
        <v>L11</v>
      </c>
      <c r="N2472" s="105" t="str">
        <f>VLOOKUP(M2472,CAC!$A$2:$B$198,2,FALSE)</f>
        <v>HMOLG</v>
      </c>
    </row>
    <row r="2473" spans="5:14" x14ac:dyDescent="0.25">
      <c r="E2473" s="83">
        <v>201710</v>
      </c>
      <c r="F2473" s="82" t="s">
        <v>345</v>
      </c>
      <c r="G2473" s="82" t="s">
        <v>354</v>
      </c>
      <c r="H2473" s="82" t="s">
        <v>344</v>
      </c>
      <c r="I2473" s="95">
        <v>4261</v>
      </c>
      <c r="K2473" s="105" t="str">
        <f t="shared" si="85"/>
        <v>0011-1013-0012</v>
      </c>
      <c r="L2473" s="105" t="str">
        <f>VLOOKUP(K2473,COA!$A$3:$B$337,2,FALSE)</f>
        <v>N20</v>
      </c>
      <c r="M2473" s="105" t="str">
        <f t="shared" si="86"/>
        <v>N20</v>
      </c>
      <c r="N2473" s="105" t="str">
        <f>VLOOKUP(M2473,CAC!$A$2:$B$198,2,FALSE)</f>
        <v>HMOPMR</v>
      </c>
    </row>
    <row r="2474" spans="5:14" x14ac:dyDescent="0.25">
      <c r="E2474" s="83">
        <v>201512</v>
      </c>
      <c r="F2474" s="82" t="s">
        <v>563</v>
      </c>
      <c r="G2474" s="82" t="s">
        <v>352</v>
      </c>
      <c r="H2474" s="82" t="s">
        <v>653</v>
      </c>
      <c r="I2474" s="95">
        <v>0</v>
      </c>
      <c r="K2474" s="105" t="str">
        <f t="shared" si="85"/>
        <v>0003-1004-0047</v>
      </c>
      <c r="L2474" s="105" t="str">
        <f>VLOOKUP(K2474,COA!$A$3:$B$337,2,FALSE)</f>
        <v>L57</v>
      </c>
      <c r="M2474" s="105" t="str">
        <f t="shared" si="86"/>
        <v>L57</v>
      </c>
      <c r="N2474" s="105" t="str">
        <f>VLOOKUP(M2474,CAC!$A$2:$B$198,2,FALSE)</f>
        <v>PPOLG</v>
      </c>
    </row>
    <row r="2475" spans="5:14" x14ac:dyDescent="0.25">
      <c r="E2475" s="83">
        <v>201602</v>
      </c>
      <c r="F2475" s="82" t="s">
        <v>413</v>
      </c>
      <c r="G2475" s="82" t="s">
        <v>355</v>
      </c>
      <c r="H2475" s="82" t="s">
        <v>344</v>
      </c>
      <c r="I2475" s="95">
        <v>0</v>
      </c>
      <c r="K2475" s="105" t="str">
        <f t="shared" si="85"/>
        <v>0008-1006-0012</v>
      </c>
      <c r="L2475" s="105" t="str">
        <f>VLOOKUP(K2475,COA!$A$3:$B$337,2,FALSE)</f>
        <v>C96</v>
      </c>
      <c r="M2475" s="105" t="str">
        <f t="shared" si="86"/>
        <v>C96</v>
      </c>
      <c r="N2475" s="105" t="str">
        <f>VLOOKUP(M2475,CAC!$A$2:$B$198,2,FALSE)</f>
        <v>DOILG</v>
      </c>
    </row>
    <row r="2476" spans="5:14" x14ac:dyDescent="0.25">
      <c r="E2476" s="83">
        <v>201705</v>
      </c>
      <c r="F2476" s="82" t="s">
        <v>563</v>
      </c>
      <c r="G2476" s="82" t="s">
        <v>361</v>
      </c>
      <c r="H2476" s="82" t="s">
        <v>344</v>
      </c>
      <c r="I2476" s="95">
        <v>0</v>
      </c>
      <c r="K2476" s="105" t="str">
        <f t="shared" si="85"/>
        <v>0003-1003-0012</v>
      </c>
      <c r="L2476" s="105" t="str">
        <f>VLOOKUP(K2476,COA!$A$3:$B$337,2,FALSE)</f>
        <v>N61</v>
      </c>
      <c r="M2476" s="105" t="str">
        <f t="shared" si="86"/>
        <v>N61</v>
      </c>
      <c r="N2476" s="105" t="str">
        <f>VLOOKUP(M2476,CAC!$A$2:$B$198,2,FALSE)</f>
        <v>PPOPMR</v>
      </c>
    </row>
    <row r="2477" spans="5:14" x14ac:dyDescent="0.25">
      <c r="E2477" s="83">
        <v>201510</v>
      </c>
      <c r="F2477" s="82" t="s">
        <v>563</v>
      </c>
      <c r="G2477" s="82" t="s">
        <v>354</v>
      </c>
      <c r="H2477" s="82" t="s">
        <v>344</v>
      </c>
      <c r="I2477" s="95">
        <v>0</v>
      </c>
      <c r="K2477" s="105" t="str">
        <f t="shared" si="85"/>
        <v>0003-1013-0012</v>
      </c>
      <c r="L2477" s="105" t="str">
        <f>VLOOKUP(K2477,COA!$A$3:$B$337,2,FALSE)</f>
        <v>N55</v>
      </c>
      <c r="M2477" s="105" t="str">
        <f t="shared" si="86"/>
        <v>N55</v>
      </c>
      <c r="N2477" s="105" t="str">
        <f>VLOOKUP(M2477,CAC!$A$2:$B$198,2,FALSE)</f>
        <v>PPOPMR</v>
      </c>
    </row>
    <row r="2478" spans="5:14" x14ac:dyDescent="0.25">
      <c r="E2478" s="83">
        <v>201606</v>
      </c>
      <c r="F2478" s="82" t="s">
        <v>563</v>
      </c>
      <c r="G2478" s="82" t="s">
        <v>354</v>
      </c>
      <c r="H2478" s="82" t="s">
        <v>626</v>
      </c>
      <c r="I2478" s="95">
        <v>0</v>
      </c>
      <c r="K2478" s="105" t="str">
        <f t="shared" si="85"/>
        <v>0003-1013-0057</v>
      </c>
      <c r="L2478" s="105" t="str">
        <f>VLOOKUP(K2478,COA!$A$3:$B$337,2,FALSE)</f>
        <v>N55</v>
      </c>
      <c r="M2478" s="105" t="str">
        <f t="shared" si="86"/>
        <v>N55</v>
      </c>
      <c r="N2478" s="105" t="str">
        <f>VLOOKUP(M2478,CAC!$A$2:$B$198,2,FALSE)</f>
        <v>PPOPMR</v>
      </c>
    </row>
    <row r="2479" spans="5:14" x14ac:dyDescent="0.25">
      <c r="E2479" s="83">
        <v>201512</v>
      </c>
      <c r="F2479" s="82" t="s">
        <v>563</v>
      </c>
      <c r="G2479" s="82" t="s">
        <v>348</v>
      </c>
      <c r="H2479" s="82" t="s">
        <v>349</v>
      </c>
      <c r="I2479" s="95">
        <v>0</v>
      </c>
      <c r="K2479" s="105" t="str">
        <f t="shared" si="85"/>
        <v>0003-1010-0017</v>
      </c>
      <c r="L2479" s="105" t="str">
        <f>VLOOKUP(K2479,COA!$A$3:$B$337,2,FALSE)</f>
        <v>S51</v>
      </c>
      <c r="M2479" s="105" t="str">
        <f t="shared" si="86"/>
        <v>S51</v>
      </c>
      <c r="N2479" s="105" t="str">
        <f>VLOOKUP(M2479,CAC!$A$2:$B$198,2,FALSE)</f>
        <v>PPOSG</v>
      </c>
    </row>
    <row r="2480" spans="5:14" x14ac:dyDescent="0.25">
      <c r="E2480" s="83">
        <v>201605</v>
      </c>
      <c r="F2480" s="82" t="s">
        <v>563</v>
      </c>
      <c r="G2480" s="82" t="s">
        <v>359</v>
      </c>
      <c r="H2480" s="82" t="s">
        <v>344</v>
      </c>
      <c r="I2480" s="95">
        <v>0</v>
      </c>
      <c r="K2480" s="105" t="str">
        <f t="shared" si="85"/>
        <v>0003-1005-0012</v>
      </c>
      <c r="L2480" s="105" t="str">
        <f>VLOOKUP(K2480,COA!$A$3:$B$337,2,FALSE)</f>
        <v>N51</v>
      </c>
      <c r="M2480" s="105" t="str">
        <f t="shared" si="86"/>
        <v>N51</v>
      </c>
      <c r="N2480" s="105" t="str">
        <f>VLOOKUP(M2480,CAC!$A$2:$B$198,2,FALSE)</f>
        <v>PPOLG</v>
      </c>
    </row>
    <row r="2481" spans="5:14" x14ac:dyDescent="0.25">
      <c r="E2481" s="83">
        <v>201511</v>
      </c>
      <c r="F2481" s="82" t="s">
        <v>345</v>
      </c>
      <c r="G2481" s="82" t="s">
        <v>355</v>
      </c>
      <c r="H2481" s="82" t="s">
        <v>344</v>
      </c>
      <c r="I2481" s="95">
        <v>25900.35</v>
      </c>
      <c r="K2481" s="105" t="str">
        <f t="shared" si="85"/>
        <v>0011-1006-0012</v>
      </c>
      <c r="L2481" s="105" t="str">
        <f>VLOOKUP(K2481,COA!$A$3:$B$337,2,FALSE)</f>
        <v>L13</v>
      </c>
      <c r="M2481" s="105" t="str">
        <f t="shared" si="86"/>
        <v>L13</v>
      </c>
      <c r="N2481" s="105" t="str">
        <f>VLOOKUP(M2481,CAC!$A$2:$B$198,2,FALSE)</f>
        <v>HMOLG</v>
      </c>
    </row>
    <row r="2482" spans="5:14" x14ac:dyDescent="0.25">
      <c r="E2482" s="83">
        <v>201702</v>
      </c>
      <c r="F2482" s="82" t="s">
        <v>405</v>
      </c>
      <c r="G2482" s="82" t="s">
        <v>362</v>
      </c>
      <c r="H2482" s="82" t="s">
        <v>342</v>
      </c>
      <c r="I2482" s="95">
        <v>0</v>
      </c>
      <c r="K2482" s="105" t="str">
        <f t="shared" si="85"/>
        <v>0019-1008-0031</v>
      </c>
      <c r="L2482" s="105" t="str">
        <f>VLOOKUP(K2482,COA!$A$3:$B$337,2,FALSE)</f>
        <v>P53</v>
      </c>
      <c r="M2482" s="105" t="str">
        <f t="shared" si="86"/>
        <v>P53</v>
      </c>
      <c r="N2482" s="105" t="str">
        <f>VLOOKUP(M2482,CAC!$A$2:$B$198,2,FALSE)</f>
        <v>HMOPERA</v>
      </c>
    </row>
    <row r="2483" spans="5:14" x14ac:dyDescent="0.25">
      <c r="E2483" s="83">
        <v>201511</v>
      </c>
      <c r="F2483" s="82" t="s">
        <v>506</v>
      </c>
      <c r="G2483" s="82" t="s">
        <v>346</v>
      </c>
      <c r="H2483" s="82" t="s">
        <v>592</v>
      </c>
      <c r="I2483" s="95">
        <v>0</v>
      </c>
      <c r="K2483" s="105" t="str">
        <f t="shared" si="85"/>
        <v>0013-1014-0035</v>
      </c>
      <c r="L2483" s="105" t="str">
        <f>VLOOKUP(K2483,COA!$A$3:$B$337,2,FALSE)</f>
        <v>K42</v>
      </c>
      <c r="M2483" s="105" t="str">
        <f t="shared" si="86"/>
        <v>K42</v>
      </c>
      <c r="N2483" s="105" t="str">
        <f>VLOOKUP(M2483,CAC!$A$2:$B$198,2,FALSE)</f>
        <v>HMFLEX</v>
      </c>
    </row>
    <row r="2484" spans="5:14" x14ac:dyDescent="0.25">
      <c r="E2484" s="83">
        <v>201609</v>
      </c>
      <c r="F2484" s="82" t="s">
        <v>563</v>
      </c>
      <c r="G2484" s="82" t="s">
        <v>352</v>
      </c>
      <c r="H2484" s="82" t="s">
        <v>653</v>
      </c>
      <c r="I2484" s="95">
        <v>0</v>
      </c>
      <c r="K2484" s="105" t="str">
        <f t="shared" si="85"/>
        <v>0003-1004-0047</v>
      </c>
      <c r="L2484" s="105" t="str">
        <f>VLOOKUP(K2484,COA!$A$3:$B$337,2,FALSE)</f>
        <v>L57</v>
      </c>
      <c r="M2484" s="105" t="str">
        <f t="shared" si="86"/>
        <v>L57</v>
      </c>
      <c r="N2484" s="105" t="str">
        <f>VLOOKUP(M2484,CAC!$A$2:$B$198,2,FALSE)</f>
        <v>PPOLG</v>
      </c>
    </row>
    <row r="2485" spans="5:14" x14ac:dyDescent="0.25">
      <c r="E2485" s="83">
        <v>201707</v>
      </c>
      <c r="F2485" s="82" t="s">
        <v>746</v>
      </c>
      <c r="G2485" s="82" t="s">
        <v>361</v>
      </c>
      <c r="H2485" s="82" t="s">
        <v>344</v>
      </c>
      <c r="I2485" s="95">
        <v>494</v>
      </c>
      <c r="K2485" s="105" t="str">
        <f t="shared" si="85"/>
        <v>0016-1003-0012</v>
      </c>
      <c r="L2485" s="105" t="str">
        <f>VLOOKUP(K2485,COA!$A$3:$B$337,2,FALSE)</f>
        <v>R18</v>
      </c>
      <c r="M2485" s="105" t="str">
        <f t="shared" si="86"/>
        <v>R18</v>
      </c>
      <c r="N2485" s="105" t="str">
        <f>VLOOKUP(M2485,CAC!$A$2:$B$198,2,FALSE)</f>
        <v>HMOMG</v>
      </c>
    </row>
    <row r="2486" spans="5:14" x14ac:dyDescent="0.25">
      <c r="E2486" s="83">
        <v>201505</v>
      </c>
      <c r="F2486" s="82" t="s">
        <v>563</v>
      </c>
      <c r="G2486" s="82" t="s">
        <v>354</v>
      </c>
      <c r="H2486" s="82" t="s">
        <v>344</v>
      </c>
      <c r="I2486" s="95">
        <v>0</v>
      </c>
      <c r="K2486" s="105" t="str">
        <f t="shared" si="85"/>
        <v>0003-1013-0012</v>
      </c>
      <c r="L2486" s="105" t="str">
        <f>VLOOKUP(K2486,COA!$A$3:$B$337,2,FALSE)</f>
        <v>N55</v>
      </c>
      <c r="M2486" s="105" t="str">
        <f t="shared" si="86"/>
        <v>N55</v>
      </c>
      <c r="N2486" s="105" t="str">
        <f>VLOOKUP(M2486,CAC!$A$2:$B$198,2,FALSE)</f>
        <v>PPOPMR</v>
      </c>
    </row>
    <row r="2487" spans="5:14" x14ac:dyDescent="0.25">
      <c r="E2487" s="83">
        <v>201604</v>
      </c>
      <c r="F2487" s="82" t="s">
        <v>563</v>
      </c>
      <c r="G2487" s="82" t="s">
        <v>354</v>
      </c>
      <c r="H2487" s="82" t="s">
        <v>626</v>
      </c>
      <c r="I2487" s="95">
        <v>0</v>
      </c>
      <c r="K2487" s="105" t="str">
        <f t="shared" si="85"/>
        <v>0003-1013-0057</v>
      </c>
      <c r="L2487" s="105" t="str">
        <f>VLOOKUP(K2487,COA!$A$3:$B$337,2,FALSE)</f>
        <v>N55</v>
      </c>
      <c r="M2487" s="105" t="str">
        <f t="shared" si="86"/>
        <v>N55</v>
      </c>
      <c r="N2487" s="105" t="str">
        <f>VLOOKUP(M2487,CAC!$A$2:$B$198,2,FALSE)</f>
        <v>PPOPMR</v>
      </c>
    </row>
    <row r="2488" spans="5:14" x14ac:dyDescent="0.25">
      <c r="E2488" s="83">
        <v>201607</v>
      </c>
      <c r="F2488" s="82" t="s">
        <v>345</v>
      </c>
      <c r="G2488" s="82" t="s">
        <v>352</v>
      </c>
      <c r="H2488" s="82" t="s">
        <v>357</v>
      </c>
      <c r="I2488" s="95">
        <v>298</v>
      </c>
      <c r="K2488" s="105" t="str">
        <f t="shared" si="85"/>
        <v>0011-1004-0038</v>
      </c>
      <c r="L2488" s="105" t="str">
        <f>VLOOKUP(K2488,COA!$A$3:$B$337,2,FALSE)</f>
        <v>L14</v>
      </c>
      <c r="M2488" s="105" t="str">
        <f t="shared" si="86"/>
        <v>L14</v>
      </c>
      <c r="N2488" s="105" t="str">
        <f>VLOOKUP(M2488,CAC!$A$2:$B$198,2,FALSE)</f>
        <v>HMOLG</v>
      </c>
    </row>
    <row r="2489" spans="5:14" x14ac:dyDescent="0.25">
      <c r="E2489" s="83">
        <v>201612</v>
      </c>
      <c r="F2489" s="82" t="s">
        <v>563</v>
      </c>
      <c r="G2489" s="82" t="s">
        <v>365</v>
      </c>
      <c r="H2489" s="82" t="s">
        <v>411</v>
      </c>
      <c r="I2489" s="95">
        <v>0</v>
      </c>
      <c r="K2489" s="105" t="str">
        <f t="shared" si="85"/>
        <v>0003-1001-0007</v>
      </c>
      <c r="L2489" s="105" t="str">
        <f>VLOOKUP(K2489,COA!$A$3:$B$337,2,FALSE)</f>
        <v>V52</v>
      </c>
      <c r="M2489" s="105" t="str">
        <f t="shared" si="86"/>
        <v>V52</v>
      </c>
      <c r="N2489" s="105" t="str">
        <f>VLOOKUP(M2489,CAC!$A$2:$B$198,2,FALSE)</f>
        <v>PPOIFP</v>
      </c>
    </row>
    <row r="2490" spans="5:14" x14ac:dyDescent="0.25">
      <c r="E2490" s="83">
        <v>201604</v>
      </c>
      <c r="F2490" s="82" t="s">
        <v>345</v>
      </c>
      <c r="G2490" s="82" t="s">
        <v>351</v>
      </c>
      <c r="H2490" s="82" t="s">
        <v>353</v>
      </c>
      <c r="I2490" s="95">
        <v>3</v>
      </c>
      <c r="K2490" s="105" t="str">
        <f t="shared" si="85"/>
        <v>0011-0000-0023</v>
      </c>
      <c r="L2490" s="105" t="e">
        <f>VLOOKUP(K2490,COA!$A$3:$B$337,2,FALSE)</f>
        <v>#N/A</v>
      </c>
      <c r="M2490" s="105" t="str">
        <f t="shared" si="86"/>
        <v>XXX</v>
      </c>
      <c r="N2490" s="105" t="str">
        <f>VLOOKUP(M2490,CAC!$A$2:$B$198,2,FALSE)</f>
        <v>XXX</v>
      </c>
    </row>
    <row r="2491" spans="5:14" x14ac:dyDescent="0.25">
      <c r="E2491" s="83">
        <v>201705</v>
      </c>
      <c r="F2491" s="82" t="s">
        <v>563</v>
      </c>
      <c r="G2491" s="82" t="s">
        <v>365</v>
      </c>
      <c r="H2491" s="82" t="s">
        <v>366</v>
      </c>
      <c r="I2491" s="95">
        <v>0</v>
      </c>
      <c r="K2491" s="105" t="str">
        <f t="shared" si="85"/>
        <v>0003-1001-0021</v>
      </c>
      <c r="L2491" s="105" t="str">
        <f>VLOOKUP(K2491,COA!$A$3:$B$337,2,FALSE)</f>
        <v>V53</v>
      </c>
      <c r="M2491" s="105" t="str">
        <f t="shared" si="86"/>
        <v>V53</v>
      </c>
      <c r="N2491" s="105" t="str">
        <f>VLOOKUP(M2491,CAC!$A$2:$B$198,2,FALSE)</f>
        <v>PPOIFP</v>
      </c>
    </row>
    <row r="2492" spans="5:14" x14ac:dyDescent="0.25">
      <c r="E2492" s="83">
        <v>201605</v>
      </c>
      <c r="F2492" s="82" t="s">
        <v>349</v>
      </c>
      <c r="G2492" s="82" t="s">
        <v>369</v>
      </c>
      <c r="H2492" s="82" t="s">
        <v>344</v>
      </c>
      <c r="I2492" s="95">
        <v>39342</v>
      </c>
      <c r="K2492" s="105" t="str">
        <f t="shared" si="85"/>
        <v>0017-1009-0012</v>
      </c>
      <c r="L2492" s="105" t="str">
        <f>VLOOKUP(K2492,COA!$A$3:$B$337,2,FALSE)</f>
        <v>R12</v>
      </c>
      <c r="M2492" s="105" t="str">
        <f t="shared" si="86"/>
        <v>R12</v>
      </c>
      <c r="N2492" s="105" t="str">
        <f>VLOOKUP(M2492,CAC!$A$2:$B$198,2,FALSE)</f>
        <v>HMOMM</v>
      </c>
    </row>
    <row r="2493" spans="5:14" x14ac:dyDescent="0.25">
      <c r="E2493" s="83">
        <v>201706</v>
      </c>
      <c r="F2493" s="82" t="s">
        <v>344</v>
      </c>
      <c r="G2493" s="82" t="s">
        <v>356</v>
      </c>
      <c r="H2493" s="82" t="s">
        <v>344</v>
      </c>
      <c r="I2493" s="95">
        <v>4281.97</v>
      </c>
      <c r="K2493" s="105" t="str">
        <f t="shared" si="85"/>
        <v>0012-1002-0012</v>
      </c>
      <c r="L2493" s="105" t="str">
        <f>VLOOKUP(K2493,COA!$A$3:$B$337,2,FALSE)</f>
        <v>F22</v>
      </c>
      <c r="M2493" s="105" t="str">
        <f t="shared" si="86"/>
        <v>F22</v>
      </c>
      <c r="N2493" s="105" t="str">
        <f>VLOOKUP(M2493,CAC!$A$2:$B$198,2,FALSE)</f>
        <v>HMOPMR</v>
      </c>
    </row>
    <row r="2494" spans="5:14" x14ac:dyDescent="0.25">
      <c r="E2494" s="83">
        <v>201503</v>
      </c>
      <c r="F2494" s="82" t="s">
        <v>345</v>
      </c>
      <c r="G2494" s="82" t="s">
        <v>355</v>
      </c>
      <c r="H2494" s="82" t="s">
        <v>344</v>
      </c>
      <c r="I2494" s="95">
        <v>24026.400000000001</v>
      </c>
      <c r="K2494" s="105" t="str">
        <f t="shared" si="85"/>
        <v>0011-1006-0012</v>
      </c>
      <c r="L2494" s="105" t="str">
        <f>VLOOKUP(K2494,COA!$A$3:$B$337,2,FALSE)</f>
        <v>L13</v>
      </c>
      <c r="M2494" s="105" t="str">
        <f t="shared" si="86"/>
        <v>L13</v>
      </c>
      <c r="N2494" s="105" t="str">
        <f>VLOOKUP(M2494,CAC!$A$2:$B$198,2,FALSE)</f>
        <v>HMOLG</v>
      </c>
    </row>
    <row r="2495" spans="5:14" x14ac:dyDescent="0.25">
      <c r="E2495" s="83">
        <v>201512</v>
      </c>
      <c r="F2495" s="82" t="s">
        <v>345</v>
      </c>
      <c r="G2495" s="82" t="s">
        <v>346</v>
      </c>
      <c r="H2495" s="82" t="s">
        <v>360</v>
      </c>
      <c r="I2495" s="95">
        <v>392</v>
      </c>
      <c r="K2495" s="105" t="str">
        <f t="shared" si="85"/>
        <v>0011-1014-0048</v>
      </c>
      <c r="L2495" s="105" t="str">
        <f>VLOOKUP(K2495,COA!$A$3:$B$337,2,FALSE)</f>
        <v>K23</v>
      </c>
      <c r="M2495" s="105" t="str">
        <f t="shared" si="86"/>
        <v>K23</v>
      </c>
      <c r="N2495" s="105" t="str">
        <f>VLOOKUP(M2495,CAC!$A$2:$B$198,2,FALSE)</f>
        <v>HMFLEX</v>
      </c>
    </row>
    <row r="2496" spans="5:14" x14ac:dyDescent="0.25">
      <c r="E2496" s="83">
        <v>201510</v>
      </c>
      <c r="F2496" s="82" t="s">
        <v>746</v>
      </c>
      <c r="G2496" s="82" t="s">
        <v>355</v>
      </c>
      <c r="H2496" s="82" t="s">
        <v>344</v>
      </c>
      <c r="I2496" s="95">
        <v>1</v>
      </c>
      <c r="K2496" s="105" t="str">
        <f t="shared" si="85"/>
        <v>0016-1006-0012</v>
      </c>
      <c r="L2496" s="105" t="str">
        <f>VLOOKUP(K2496,COA!$A$3:$B$337,2,FALSE)</f>
        <v>R21</v>
      </c>
      <c r="M2496" s="105" t="str">
        <f t="shared" si="86"/>
        <v>R21</v>
      </c>
      <c r="N2496" s="105" t="str">
        <f>VLOOKUP(M2496,CAC!$A$2:$B$198,2,FALSE)</f>
        <v>HMOMG</v>
      </c>
    </row>
    <row r="2497" spans="5:10" x14ac:dyDescent="0.25">
      <c r="E2497" s="83"/>
      <c r="F2497" s="82"/>
      <c r="G2497" s="82"/>
      <c r="H2497" s="82"/>
      <c r="I2497" s="95"/>
    </row>
    <row r="2498" spans="5:10" x14ac:dyDescent="0.25">
      <c r="E2498" s="83"/>
      <c r="F2498" s="82"/>
      <c r="G2498" s="82"/>
      <c r="H2498" s="82"/>
      <c r="I2498" s="95"/>
    </row>
    <row r="2499" spans="5:10" x14ac:dyDescent="0.25">
      <c r="E2499" s="83"/>
      <c r="F2499" s="82"/>
      <c r="G2499" s="82"/>
      <c r="H2499" s="82"/>
      <c r="I2499" s="95"/>
      <c r="J2499" s="8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1:N27"/>
  <sheetViews>
    <sheetView showGridLines="0" tabSelected="1" workbookViewId="0"/>
  </sheetViews>
  <sheetFormatPr defaultRowHeight="15" x14ac:dyDescent="0.25"/>
  <cols>
    <col min="1" max="1" width="4" customWidth="1"/>
    <col min="2" max="2" width="10.140625" bestFit="1" customWidth="1"/>
    <col min="3" max="4" width="9" bestFit="1" customWidth="1"/>
    <col min="5" max="5" width="9" style="94" bestFit="1" customWidth="1"/>
    <col min="6" max="6" width="3.28515625" customWidth="1"/>
    <col min="7" max="7" width="7.7109375" bestFit="1" customWidth="1"/>
    <col min="8" max="8" width="4.7109375" customWidth="1"/>
    <col min="9" max="9" width="10.140625" bestFit="1" customWidth="1"/>
    <col min="10" max="12" width="9" bestFit="1" customWidth="1"/>
    <col min="13" max="13" width="7" bestFit="1" customWidth="1"/>
    <col min="14" max="14" width="8.7109375" bestFit="1" customWidth="1"/>
  </cols>
  <sheetData>
    <row r="1" spans="2:14" x14ac:dyDescent="0.25">
      <c r="B1" t="s">
        <v>337</v>
      </c>
      <c r="G1" s="70"/>
      <c r="H1" s="70"/>
      <c r="I1" s="99"/>
      <c r="J1" s="99"/>
      <c r="K1" s="99"/>
      <c r="L1" s="70"/>
      <c r="M1" s="70"/>
    </row>
    <row r="2" spans="2:14" x14ac:dyDescent="0.25">
      <c r="B2" s="4">
        <v>2016</v>
      </c>
      <c r="C2" s="84" t="s">
        <v>298</v>
      </c>
      <c r="D2" s="84" t="s">
        <v>861</v>
      </c>
      <c r="E2" s="84" t="s">
        <v>948</v>
      </c>
      <c r="G2" s="84" t="s">
        <v>949</v>
      </c>
      <c r="H2" s="70"/>
      <c r="I2" s="4">
        <f>2017</f>
        <v>2017</v>
      </c>
      <c r="J2" s="84" t="s">
        <v>298</v>
      </c>
      <c r="K2" s="84" t="s">
        <v>861</v>
      </c>
      <c r="L2" s="84" t="s">
        <v>948</v>
      </c>
      <c r="M2" s="99"/>
      <c r="N2" s="84" t="s">
        <v>949</v>
      </c>
    </row>
    <row r="3" spans="2:14" x14ac:dyDescent="0.25">
      <c r="B3" s="16" t="s">
        <v>10</v>
      </c>
      <c r="C3" s="61">
        <f>MCF!M47</f>
        <v>0</v>
      </c>
      <c r="D3" s="61">
        <f>TMR!M41</f>
        <v>0</v>
      </c>
      <c r="E3" s="97">
        <f>BIS!V42</f>
        <v>0</v>
      </c>
      <c r="G3" s="61">
        <f t="shared" ref="G3:G12" si="0">E3-C3</f>
        <v>0</v>
      </c>
      <c r="H3" s="70"/>
      <c r="I3" s="16" t="s">
        <v>10</v>
      </c>
      <c r="J3" s="61">
        <f>MCF!L47</f>
        <v>20929</v>
      </c>
      <c r="K3" s="61">
        <f>TMR!L41</f>
        <v>23605</v>
      </c>
      <c r="L3" s="97">
        <f>BIS!U42</f>
        <v>23277.25</v>
      </c>
      <c r="M3" s="99"/>
      <c r="N3" s="97">
        <f t="shared" ref="N3:N12" si="1">L3-J3</f>
        <v>2348.25</v>
      </c>
    </row>
    <row r="4" spans="2:14" x14ac:dyDescent="0.25">
      <c r="B4" s="17" t="s">
        <v>9</v>
      </c>
      <c r="C4" s="62">
        <f>MCF!M48</f>
        <v>261200</v>
      </c>
      <c r="D4" s="62">
        <f>TMR!M42</f>
        <v>268587</v>
      </c>
      <c r="E4" s="98">
        <f>BIS!V43</f>
        <v>266258.36</v>
      </c>
      <c r="G4" s="62">
        <f t="shared" si="0"/>
        <v>5058.359999999986</v>
      </c>
      <c r="H4" s="70"/>
      <c r="I4" s="17" t="s">
        <v>9</v>
      </c>
      <c r="J4" s="62">
        <f>MCF!L48</f>
        <v>321114</v>
      </c>
      <c r="K4" s="62">
        <f>TMR!L42</f>
        <v>332118</v>
      </c>
      <c r="L4" s="98">
        <f>BIS!U43</f>
        <v>330515.36</v>
      </c>
      <c r="M4" s="99"/>
      <c r="N4" s="62">
        <f t="shared" si="1"/>
        <v>9401.359999999986</v>
      </c>
    </row>
    <row r="5" spans="2:14" x14ac:dyDescent="0.25">
      <c r="B5" s="17" t="s">
        <v>1</v>
      </c>
      <c r="C5" s="62">
        <f>MCF!M49</f>
        <v>498272</v>
      </c>
      <c r="D5" s="62">
        <f>TMR!M43</f>
        <v>498780</v>
      </c>
      <c r="E5" s="98">
        <f>BIS!V44</f>
        <v>490764.98999999993</v>
      </c>
      <c r="G5" s="62">
        <f t="shared" si="0"/>
        <v>-7507.0100000000675</v>
      </c>
      <c r="H5" s="70"/>
      <c r="I5" s="17" t="s">
        <v>1</v>
      </c>
      <c r="J5" s="62">
        <f>MCF!L49</f>
        <v>425577</v>
      </c>
      <c r="K5" s="62">
        <f>TMR!L43</f>
        <v>437356</v>
      </c>
      <c r="L5" s="98">
        <f>BIS!U44</f>
        <v>435032.86000000004</v>
      </c>
      <c r="M5" s="99"/>
      <c r="N5" s="62">
        <f t="shared" si="1"/>
        <v>9455.8600000000442</v>
      </c>
    </row>
    <row r="6" spans="2:14" x14ac:dyDescent="0.25">
      <c r="B6" s="17" t="s">
        <v>2</v>
      </c>
      <c r="C6" s="62">
        <f>MCF!M50</f>
        <v>677750</v>
      </c>
      <c r="D6" s="62">
        <f>TMR!M44</f>
        <v>692837</v>
      </c>
      <c r="E6" s="98">
        <f>BIS!V45</f>
        <v>675304.72</v>
      </c>
      <c r="G6" s="98">
        <f t="shared" si="0"/>
        <v>-2445.2800000000279</v>
      </c>
      <c r="H6" s="70"/>
      <c r="I6" s="17" t="s">
        <v>2</v>
      </c>
      <c r="J6" s="62">
        <f>MCF!L50</f>
        <v>604829</v>
      </c>
      <c r="K6" s="62">
        <f>TMR!L44</f>
        <v>653821</v>
      </c>
      <c r="L6" s="98">
        <f>BIS!U45</f>
        <v>638074.19999999995</v>
      </c>
      <c r="M6" s="99"/>
      <c r="N6" s="62">
        <f t="shared" si="1"/>
        <v>33245.199999999953</v>
      </c>
    </row>
    <row r="7" spans="2:14" x14ac:dyDescent="0.25">
      <c r="B7" s="17" t="s">
        <v>5</v>
      </c>
      <c r="C7" s="62">
        <f>MCF!M51</f>
        <v>457444</v>
      </c>
      <c r="D7" s="62">
        <f>TMR!M45</f>
        <v>393313</v>
      </c>
      <c r="E7" s="98">
        <f>BIS!V46</f>
        <v>454721.62</v>
      </c>
      <c r="G7" s="62">
        <f t="shared" si="0"/>
        <v>-2722.3800000000047</v>
      </c>
      <c r="H7" s="70"/>
      <c r="I7" s="17" t="s">
        <v>5</v>
      </c>
      <c r="J7" s="62">
        <f>MCF!L51</f>
        <v>588677</v>
      </c>
      <c r="K7" s="62">
        <f>TMR!L45</f>
        <v>428757</v>
      </c>
      <c r="L7" s="98">
        <f>BIS!U46</f>
        <v>567660.99</v>
      </c>
      <c r="M7" s="99"/>
      <c r="N7" s="62">
        <f t="shared" si="1"/>
        <v>-21016.010000000009</v>
      </c>
    </row>
    <row r="8" spans="2:14" x14ac:dyDescent="0.25">
      <c r="B8" s="17" t="s">
        <v>6</v>
      </c>
      <c r="C8" s="62">
        <f>MCF!M52</f>
        <v>453309</v>
      </c>
      <c r="D8" s="62">
        <f>TMR!M46</f>
        <v>304147</v>
      </c>
      <c r="E8" s="98">
        <f>BIS!V47</f>
        <v>444265.08000000007</v>
      </c>
      <c r="G8" s="98">
        <f t="shared" si="0"/>
        <v>-9043.9199999999255</v>
      </c>
      <c r="H8" s="70"/>
      <c r="I8" s="17" t="s">
        <v>6</v>
      </c>
      <c r="J8" s="62">
        <f>MCF!L52</f>
        <v>75</v>
      </c>
      <c r="K8" s="62">
        <f>TMR!L46</f>
        <v>0</v>
      </c>
      <c r="L8" s="98">
        <f>BIS!U47</f>
        <v>0</v>
      </c>
      <c r="M8" s="99"/>
      <c r="N8" s="62">
        <f t="shared" si="1"/>
        <v>-75</v>
      </c>
    </row>
    <row r="9" spans="2:14" x14ac:dyDescent="0.25">
      <c r="B9" s="17" t="s">
        <v>7</v>
      </c>
      <c r="C9" s="62">
        <f>MCF!M53</f>
        <v>0</v>
      </c>
      <c r="D9" s="62">
        <f>TMR!M47</f>
        <v>0</v>
      </c>
      <c r="E9" s="98">
        <f>BIS!V48</f>
        <v>0</v>
      </c>
      <c r="G9" s="62">
        <f t="shared" si="0"/>
        <v>0</v>
      </c>
      <c r="H9" s="70"/>
      <c r="I9" s="17" t="s">
        <v>7</v>
      </c>
      <c r="J9" s="62">
        <f>MCF!L53</f>
        <v>0</v>
      </c>
      <c r="K9" s="62">
        <f>TMR!L47</f>
        <v>0</v>
      </c>
      <c r="L9" s="98">
        <f>BIS!U48</f>
        <v>0</v>
      </c>
      <c r="M9" s="99"/>
      <c r="N9" s="62">
        <f t="shared" si="1"/>
        <v>0</v>
      </c>
    </row>
    <row r="10" spans="2:14" x14ac:dyDescent="0.25">
      <c r="B10" s="17" t="s">
        <v>8</v>
      </c>
      <c r="C10" s="62">
        <f>MCF!M54</f>
        <v>0</v>
      </c>
      <c r="D10" s="62">
        <f>TMR!M48</f>
        <v>0</v>
      </c>
      <c r="E10" s="98">
        <f>BIS!V49</f>
        <v>0</v>
      </c>
      <c r="G10" s="62">
        <f t="shared" si="0"/>
        <v>0</v>
      </c>
      <c r="H10" s="70"/>
      <c r="I10" s="17" t="s">
        <v>8</v>
      </c>
      <c r="J10" s="62">
        <f>MCF!L54</f>
        <v>0</v>
      </c>
      <c r="K10" s="62">
        <f>TMR!L48</f>
        <v>0</v>
      </c>
      <c r="L10" s="98">
        <f>BIS!U49</f>
        <v>0</v>
      </c>
      <c r="M10" s="99"/>
      <c r="N10" s="62">
        <f t="shared" si="1"/>
        <v>0</v>
      </c>
    </row>
    <row r="11" spans="2:14" x14ac:dyDescent="0.25">
      <c r="B11" s="17" t="s">
        <v>4</v>
      </c>
      <c r="C11" s="62">
        <f>MCF!M55</f>
        <v>110426</v>
      </c>
      <c r="D11" s="62">
        <f>TMR!M49</f>
        <v>113595</v>
      </c>
      <c r="E11" s="98">
        <f>BIS!V50</f>
        <v>111724.95000000001</v>
      </c>
      <c r="G11" s="62">
        <f t="shared" si="0"/>
        <v>1298.9500000000116</v>
      </c>
      <c r="H11" s="70"/>
      <c r="I11" s="17" t="s">
        <v>4</v>
      </c>
      <c r="J11" s="62">
        <f>MCF!L55</f>
        <v>151874</v>
      </c>
      <c r="K11" s="62">
        <f>TMR!L49</f>
        <v>154148</v>
      </c>
      <c r="L11" s="98">
        <f>BIS!U50</f>
        <v>153460.79</v>
      </c>
      <c r="M11" s="99"/>
      <c r="N11" s="62">
        <f t="shared" si="1"/>
        <v>1586.7900000000081</v>
      </c>
    </row>
    <row r="12" spans="2:14" x14ac:dyDescent="0.25">
      <c r="B12" s="18" t="s">
        <v>3</v>
      </c>
      <c r="C12" s="63">
        <f>MCF!M56</f>
        <v>67116</v>
      </c>
      <c r="D12" s="63">
        <f>TMR!M50</f>
        <v>72602</v>
      </c>
      <c r="E12" s="100">
        <f>BIS!V51</f>
        <v>72609.599999999991</v>
      </c>
      <c r="G12" s="63">
        <f t="shared" si="0"/>
        <v>5493.5999999999913</v>
      </c>
      <c r="H12" s="70"/>
      <c r="I12" s="18" t="s">
        <v>3</v>
      </c>
      <c r="J12" s="63">
        <f>MCF!L56</f>
        <v>67878</v>
      </c>
      <c r="K12" s="63">
        <f>TMR!L50</f>
        <v>67913</v>
      </c>
      <c r="L12" s="100">
        <f>BIS!U51</f>
        <v>67947.37</v>
      </c>
      <c r="M12" s="99"/>
      <c r="N12" s="63">
        <f t="shared" si="1"/>
        <v>69.369999999995343</v>
      </c>
    </row>
    <row r="13" spans="2:14" x14ac:dyDescent="0.25">
      <c r="G13" s="96"/>
      <c r="H13" s="70"/>
      <c r="I13" s="99"/>
      <c r="J13" s="99"/>
      <c r="K13" s="99"/>
      <c r="L13" s="70"/>
      <c r="M13" s="70"/>
    </row>
    <row r="14" spans="2:14" x14ac:dyDescent="0.25">
      <c r="B14" s="4">
        <v>201801</v>
      </c>
      <c r="C14" s="84" t="s">
        <v>298</v>
      </c>
      <c r="D14" s="84" t="s">
        <v>861</v>
      </c>
      <c r="E14" s="84" t="s">
        <v>948</v>
      </c>
      <c r="G14" s="84" t="s">
        <v>949</v>
      </c>
      <c r="H14" s="70"/>
      <c r="I14" s="99"/>
      <c r="J14" s="99"/>
      <c r="K14" s="99"/>
      <c r="L14" s="70"/>
      <c r="M14" s="70"/>
    </row>
    <row r="15" spans="2:14" x14ac:dyDescent="0.25">
      <c r="B15" s="16" t="s">
        <v>10</v>
      </c>
      <c r="C15" s="21"/>
      <c r="D15" s="21">
        <f>TMR!I41</f>
        <v>18286</v>
      </c>
      <c r="E15" s="101">
        <f>BIS!T42</f>
        <v>15059.83</v>
      </c>
      <c r="G15" s="97">
        <f t="shared" ref="G15:G24" si="2">E15-C15</f>
        <v>15059.83</v>
      </c>
      <c r="H15" s="70"/>
      <c r="I15" s="99"/>
      <c r="J15" s="99"/>
      <c r="K15" s="99"/>
      <c r="L15" s="70"/>
      <c r="M15" s="70"/>
    </row>
    <row r="16" spans="2:14" x14ac:dyDescent="0.25">
      <c r="B16" s="17" t="s">
        <v>9</v>
      </c>
      <c r="C16" s="24"/>
      <c r="D16" s="24">
        <f>TMR!I42</f>
        <v>37187</v>
      </c>
      <c r="E16" s="102">
        <f>BIS!T43</f>
        <v>36660.83</v>
      </c>
      <c r="G16" s="98">
        <f t="shared" si="2"/>
        <v>36660.83</v>
      </c>
      <c r="I16" s="99"/>
      <c r="J16" s="99"/>
      <c r="K16" s="99"/>
    </row>
    <row r="17" spans="2:11" x14ac:dyDescent="0.25">
      <c r="B17" s="17" t="s">
        <v>1</v>
      </c>
      <c r="C17" s="24"/>
      <c r="D17" s="24">
        <f>TMR!I43</f>
        <v>46835</v>
      </c>
      <c r="E17" s="102">
        <f>BIS!T44</f>
        <v>45420.91</v>
      </c>
      <c r="G17" s="62">
        <f t="shared" si="2"/>
        <v>45420.91</v>
      </c>
      <c r="I17" s="99"/>
      <c r="J17" s="99"/>
      <c r="K17" s="99"/>
    </row>
    <row r="18" spans="2:11" x14ac:dyDescent="0.25">
      <c r="B18" s="17" t="s">
        <v>2</v>
      </c>
      <c r="C18" s="24"/>
      <c r="D18" s="24">
        <f>TMR!I44</f>
        <v>76050</v>
      </c>
      <c r="E18" s="102">
        <f>BIS!T45</f>
        <v>74791.670000000013</v>
      </c>
      <c r="G18" s="62">
        <f t="shared" si="2"/>
        <v>74791.670000000013</v>
      </c>
      <c r="I18" s="99"/>
      <c r="J18" s="99"/>
      <c r="K18" s="99"/>
    </row>
    <row r="19" spans="2:11" x14ac:dyDescent="0.25">
      <c r="B19" s="17" t="s">
        <v>5</v>
      </c>
      <c r="C19" s="24"/>
      <c r="D19" s="24">
        <f>TMR!I45</f>
        <v>37162</v>
      </c>
      <c r="E19" s="102">
        <f>BIS!T46</f>
        <v>50005.89</v>
      </c>
      <c r="G19" s="62">
        <f t="shared" si="2"/>
        <v>50005.89</v>
      </c>
      <c r="I19" s="99"/>
      <c r="J19" s="99"/>
      <c r="K19" s="99"/>
    </row>
    <row r="20" spans="2:11" x14ac:dyDescent="0.25">
      <c r="B20" s="17" t="s">
        <v>6</v>
      </c>
      <c r="C20" s="24"/>
      <c r="D20" s="24">
        <f>TMR!I46</f>
        <v>0</v>
      </c>
      <c r="E20" s="102">
        <f>BIS!T47</f>
        <v>0</v>
      </c>
      <c r="G20" s="62">
        <f t="shared" si="2"/>
        <v>0</v>
      </c>
      <c r="I20" s="99"/>
      <c r="J20" s="99"/>
      <c r="K20" s="99"/>
    </row>
    <row r="21" spans="2:11" x14ac:dyDescent="0.25">
      <c r="B21" s="17" t="s">
        <v>7</v>
      </c>
      <c r="C21" s="24"/>
      <c r="D21" s="24">
        <f>TMR!I47</f>
        <v>0</v>
      </c>
      <c r="E21" s="102">
        <f>BIS!T48</f>
        <v>0</v>
      </c>
      <c r="G21" s="62">
        <f t="shared" si="2"/>
        <v>0</v>
      </c>
      <c r="I21" s="99"/>
      <c r="J21" s="99"/>
      <c r="K21" s="99"/>
    </row>
    <row r="22" spans="2:11" x14ac:dyDescent="0.25">
      <c r="B22" s="17" t="s">
        <v>8</v>
      </c>
      <c r="C22" s="24"/>
      <c r="D22" s="24">
        <f>TMR!I48</f>
        <v>0</v>
      </c>
      <c r="E22" s="102">
        <f>BIS!T49</f>
        <v>0</v>
      </c>
      <c r="G22" s="62">
        <f t="shared" si="2"/>
        <v>0</v>
      </c>
      <c r="I22" s="99"/>
      <c r="J22" s="99"/>
      <c r="K22" s="99"/>
    </row>
    <row r="23" spans="2:11" x14ac:dyDescent="0.25">
      <c r="B23" s="17" t="s">
        <v>4</v>
      </c>
      <c r="C23" s="24"/>
      <c r="D23" s="24">
        <f>TMR!I49</f>
        <v>16359</v>
      </c>
      <c r="E23" s="102">
        <f>BIS!T50</f>
        <v>16268</v>
      </c>
      <c r="G23" s="62">
        <f t="shared" si="2"/>
        <v>16268</v>
      </c>
      <c r="I23" s="99"/>
      <c r="J23" s="99"/>
      <c r="K23" s="99"/>
    </row>
    <row r="24" spans="2:11" x14ac:dyDescent="0.25">
      <c r="B24" s="18" t="s">
        <v>3</v>
      </c>
      <c r="C24" s="27"/>
      <c r="D24" s="27">
        <f>TMR!I50</f>
        <v>5330</v>
      </c>
      <c r="E24" s="103">
        <f>BIS!T51</f>
        <v>5304.06</v>
      </c>
      <c r="G24" s="63">
        <f t="shared" si="2"/>
        <v>5304.06</v>
      </c>
      <c r="I24" s="99"/>
      <c r="J24" s="99"/>
      <c r="K24" s="99"/>
    </row>
    <row r="25" spans="2:11" x14ac:dyDescent="0.25">
      <c r="I25" s="99"/>
      <c r="J25" s="99"/>
      <c r="K25" s="99"/>
    </row>
    <row r="26" spans="2:11" x14ac:dyDescent="0.25">
      <c r="I26" s="99"/>
      <c r="J26" s="99"/>
      <c r="K26" s="99"/>
    </row>
    <row r="27" spans="2:11" x14ac:dyDescent="0.25">
      <c r="I27" s="99"/>
      <c r="J27" s="99"/>
      <c r="K27" s="9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41"/>
  <sheetViews>
    <sheetView showGridLines="0" workbookViewId="0"/>
  </sheetViews>
  <sheetFormatPr defaultRowHeight="15" x14ac:dyDescent="0.25"/>
  <cols>
    <col min="1" max="1" width="111.5703125" customWidth="1"/>
    <col min="2" max="2" width="5.7109375" customWidth="1"/>
    <col min="3" max="3" width="43.85546875" customWidth="1"/>
    <col min="4" max="4" width="4.28515625" customWidth="1"/>
    <col min="5" max="5" width="11.5703125" bestFit="1" customWidth="1"/>
    <col min="6" max="6" width="4.140625" customWidth="1"/>
    <col min="7" max="7" width="48.85546875" customWidth="1"/>
  </cols>
  <sheetData>
    <row r="1" spans="1:9" x14ac:dyDescent="0.25">
      <c r="A1" t="s">
        <v>956</v>
      </c>
    </row>
    <row r="2" spans="1:9" x14ac:dyDescent="0.25">
      <c r="A2" s="51" t="s">
        <v>957</v>
      </c>
      <c r="C2" s="28" t="s">
        <v>17</v>
      </c>
      <c r="E2" s="114" t="s">
        <v>973</v>
      </c>
      <c r="G2" s="28" t="s">
        <v>17</v>
      </c>
    </row>
    <row r="3" spans="1:9" x14ac:dyDescent="0.25">
      <c r="C3" s="29" t="s">
        <v>18</v>
      </c>
      <c r="E3" s="82" t="s">
        <v>974</v>
      </c>
      <c r="G3" s="29" t="s">
        <v>18</v>
      </c>
    </row>
    <row r="4" spans="1:9" x14ac:dyDescent="0.25">
      <c r="A4" t="s">
        <v>950</v>
      </c>
      <c r="C4" s="29" t="s">
        <v>19</v>
      </c>
      <c r="E4" s="82" t="s">
        <v>975</v>
      </c>
      <c r="G4" s="29" t="s">
        <v>19</v>
      </c>
    </row>
    <row r="5" spans="1:9" x14ac:dyDescent="0.25">
      <c r="A5" t="s">
        <v>951</v>
      </c>
      <c r="C5" s="29" t="s">
        <v>20</v>
      </c>
      <c r="E5" s="82" t="s">
        <v>976</v>
      </c>
      <c r="G5" s="29" t="s">
        <v>20</v>
      </c>
    </row>
    <row r="6" spans="1:9" x14ac:dyDescent="0.25">
      <c r="A6" t="s">
        <v>952</v>
      </c>
      <c r="C6" s="29" t="s">
        <v>21</v>
      </c>
      <c r="E6" s="82" t="s">
        <v>977</v>
      </c>
      <c r="G6" s="29" t="s">
        <v>21</v>
      </c>
    </row>
    <row r="7" spans="1:9" x14ac:dyDescent="0.25">
      <c r="A7" t="s">
        <v>953</v>
      </c>
      <c r="C7" s="30" t="s">
        <v>22</v>
      </c>
      <c r="E7" s="82" t="s">
        <v>978</v>
      </c>
      <c r="G7" s="30" t="s">
        <v>22</v>
      </c>
    </row>
    <row r="8" spans="1:9" x14ac:dyDescent="0.25">
      <c r="A8" t="s">
        <v>954</v>
      </c>
      <c r="C8" s="30" t="s">
        <v>23</v>
      </c>
      <c r="E8" s="82" t="s">
        <v>979</v>
      </c>
      <c r="G8" s="30" t="s">
        <v>23</v>
      </c>
    </row>
    <row r="9" spans="1:9" x14ac:dyDescent="0.25">
      <c r="A9" t="s">
        <v>955</v>
      </c>
      <c r="C9" s="30" t="s">
        <v>338</v>
      </c>
      <c r="E9" s="82" t="s">
        <v>980</v>
      </c>
      <c r="G9" s="30" t="s">
        <v>338</v>
      </c>
    </row>
    <row r="10" spans="1:9" x14ac:dyDescent="0.25">
      <c r="C10" s="30" t="s">
        <v>24</v>
      </c>
      <c r="E10" s="82" t="s">
        <v>981</v>
      </c>
      <c r="G10" s="30" t="s">
        <v>24</v>
      </c>
    </row>
    <row r="11" spans="1:9" x14ac:dyDescent="0.25">
      <c r="C11" s="30" t="s">
        <v>25</v>
      </c>
      <c r="E11" s="82" t="s">
        <v>982</v>
      </c>
      <c r="G11" s="30" t="s">
        <v>25</v>
      </c>
    </row>
    <row r="12" spans="1:9" x14ac:dyDescent="0.25">
      <c r="C12" s="86" t="s">
        <v>968</v>
      </c>
      <c r="E12" s="82" t="s">
        <v>983</v>
      </c>
      <c r="G12" s="30" t="s">
        <v>968</v>
      </c>
    </row>
    <row r="13" spans="1:9" x14ac:dyDescent="0.25">
      <c r="C13" s="112" t="s">
        <v>972</v>
      </c>
      <c r="E13" s="82" t="s">
        <v>984</v>
      </c>
      <c r="G13" s="30" t="s">
        <v>11473</v>
      </c>
      <c r="I13" s="30" t="s">
        <v>11468</v>
      </c>
    </row>
    <row r="14" spans="1:9" x14ac:dyDescent="0.25">
      <c r="C14" s="86" t="s">
        <v>26</v>
      </c>
      <c r="E14" s="82" t="s">
        <v>985</v>
      </c>
      <c r="G14" s="30" t="s">
        <v>26</v>
      </c>
      <c r="I14" s="113"/>
    </row>
    <row r="15" spans="1:9" x14ac:dyDescent="0.25">
      <c r="A15" s="28" t="s">
        <v>17</v>
      </c>
      <c r="C15" s="86" t="s">
        <v>877</v>
      </c>
      <c r="E15" s="82" t="s">
        <v>986</v>
      </c>
      <c r="G15" s="30" t="s">
        <v>11466</v>
      </c>
    </row>
    <row r="16" spans="1:9" x14ac:dyDescent="0.25">
      <c r="A16" s="29" t="s">
        <v>18</v>
      </c>
      <c r="C16" s="86" t="s">
        <v>883</v>
      </c>
      <c r="E16" s="82" t="s">
        <v>987</v>
      </c>
      <c r="G16" s="30" t="s">
        <v>11469</v>
      </c>
    </row>
    <row r="17" spans="1:9" x14ac:dyDescent="0.25">
      <c r="A17" s="29" t="s">
        <v>19</v>
      </c>
      <c r="C17" s="111" t="s">
        <v>970</v>
      </c>
      <c r="E17" s="82" t="s">
        <v>988</v>
      </c>
      <c r="I17" s="30" t="s">
        <v>11470</v>
      </c>
    </row>
    <row r="18" spans="1:9" x14ac:dyDescent="0.25">
      <c r="A18" s="29" t="s">
        <v>20</v>
      </c>
      <c r="C18" s="86" t="s">
        <v>27</v>
      </c>
      <c r="E18" s="82" t="s">
        <v>989</v>
      </c>
      <c r="I18" s="30" t="s">
        <v>11471</v>
      </c>
    </row>
    <row r="19" spans="1:9" x14ac:dyDescent="0.25">
      <c r="A19" s="29" t="s">
        <v>21</v>
      </c>
      <c r="C19" s="87" t="s">
        <v>965</v>
      </c>
      <c r="E19" s="82" t="s">
        <v>990</v>
      </c>
      <c r="I19" s="30" t="s">
        <v>11472</v>
      </c>
    </row>
    <row r="20" spans="1:9" x14ac:dyDescent="0.25">
      <c r="A20" s="30" t="s">
        <v>22</v>
      </c>
      <c r="C20" s="30" t="s">
        <v>28</v>
      </c>
      <c r="E20" s="82" t="s">
        <v>991</v>
      </c>
      <c r="G20" s="30" t="s">
        <v>11467</v>
      </c>
    </row>
    <row r="21" spans="1:9" x14ac:dyDescent="0.25">
      <c r="A21" s="30" t="s">
        <v>23</v>
      </c>
      <c r="C21" s="30" t="s">
        <v>30</v>
      </c>
      <c r="E21" s="82" t="s">
        <v>992</v>
      </c>
      <c r="G21" s="30" t="s">
        <v>27</v>
      </c>
    </row>
    <row r="22" spans="1:9" x14ac:dyDescent="0.25">
      <c r="A22" s="30" t="s">
        <v>338</v>
      </c>
      <c r="C22" s="30" t="s">
        <v>31</v>
      </c>
      <c r="E22" s="82" t="s">
        <v>993</v>
      </c>
      <c r="G22" s="30" t="s">
        <v>965</v>
      </c>
    </row>
    <row r="23" spans="1:9" x14ac:dyDescent="0.25">
      <c r="A23" s="30" t="s">
        <v>24</v>
      </c>
      <c r="C23" s="31" t="s">
        <v>32</v>
      </c>
      <c r="E23" s="82" t="s">
        <v>994</v>
      </c>
      <c r="G23" s="30" t="s">
        <v>28</v>
      </c>
    </row>
    <row r="24" spans="1:9" x14ac:dyDescent="0.25">
      <c r="A24" s="30" t="s">
        <v>25</v>
      </c>
      <c r="E24" s="82" t="s">
        <v>995</v>
      </c>
      <c r="G24" s="30" t="s">
        <v>30</v>
      </c>
    </row>
    <row r="25" spans="1:9" x14ac:dyDescent="0.25">
      <c r="A25" s="86" t="s">
        <v>33</v>
      </c>
      <c r="C25" s="51" t="s">
        <v>971</v>
      </c>
      <c r="E25" s="82" t="s">
        <v>996</v>
      </c>
      <c r="G25" s="30" t="s">
        <v>31</v>
      </c>
    </row>
    <row r="26" spans="1:9" x14ac:dyDescent="0.25">
      <c r="A26" s="86" t="s">
        <v>866</v>
      </c>
      <c r="C26" s="112" t="s">
        <v>969</v>
      </c>
      <c r="E26" s="82" t="s">
        <v>997</v>
      </c>
      <c r="G26" s="31" t="s">
        <v>32</v>
      </c>
    </row>
    <row r="27" spans="1:9" x14ac:dyDescent="0.25">
      <c r="A27" s="93" t="s">
        <v>939</v>
      </c>
      <c r="C27" s="105"/>
      <c r="E27" s="82" t="s">
        <v>998</v>
      </c>
    </row>
    <row r="28" spans="1:9" x14ac:dyDescent="0.25">
      <c r="A28" s="93" t="s">
        <v>940</v>
      </c>
      <c r="C28" s="105"/>
      <c r="E28" s="82" t="s">
        <v>999</v>
      </c>
    </row>
    <row r="29" spans="1:9" x14ac:dyDescent="0.25">
      <c r="A29" s="93" t="s">
        <v>941</v>
      </c>
      <c r="C29" s="105"/>
      <c r="E29" s="82" t="s">
        <v>1000</v>
      </c>
    </row>
    <row r="30" spans="1:9" x14ac:dyDescent="0.25">
      <c r="A30" s="86" t="s">
        <v>869</v>
      </c>
      <c r="C30" s="105"/>
      <c r="E30" s="82" t="s">
        <v>1001</v>
      </c>
    </row>
    <row r="31" spans="1:9" x14ac:dyDescent="0.25">
      <c r="A31" s="86" t="s">
        <v>865</v>
      </c>
      <c r="C31" s="105"/>
      <c r="E31" s="82" t="s">
        <v>1002</v>
      </c>
    </row>
    <row r="32" spans="1:9" x14ac:dyDescent="0.25">
      <c r="A32" s="86" t="s">
        <v>25</v>
      </c>
      <c r="C32" s="105"/>
      <c r="E32" s="82" t="s">
        <v>1003</v>
      </c>
    </row>
    <row r="33" spans="1:5" x14ac:dyDescent="0.25">
      <c r="A33" s="86" t="s">
        <v>863</v>
      </c>
      <c r="C33" s="105"/>
      <c r="E33" s="82" t="s">
        <v>1004</v>
      </c>
    </row>
    <row r="34" spans="1:5" x14ac:dyDescent="0.25">
      <c r="A34" s="86" t="s">
        <v>870</v>
      </c>
      <c r="C34" s="105"/>
      <c r="E34" s="82" t="s">
        <v>1005</v>
      </c>
    </row>
    <row r="35" spans="1:5" x14ac:dyDescent="0.25">
      <c r="A35" s="86" t="s">
        <v>871</v>
      </c>
      <c r="C35" s="105"/>
      <c r="E35" s="82" t="s">
        <v>1006</v>
      </c>
    </row>
    <row r="36" spans="1:5" x14ac:dyDescent="0.25">
      <c r="A36" s="86" t="s">
        <v>889</v>
      </c>
      <c r="C36" s="105"/>
      <c r="E36" s="82" t="s">
        <v>1007</v>
      </c>
    </row>
    <row r="37" spans="1:5" x14ac:dyDescent="0.25">
      <c r="A37" s="86" t="s">
        <v>872</v>
      </c>
      <c r="C37" s="105"/>
      <c r="E37" s="82" t="s">
        <v>1008</v>
      </c>
    </row>
    <row r="38" spans="1:5" x14ac:dyDescent="0.25">
      <c r="A38" s="86" t="s">
        <v>873</v>
      </c>
      <c r="C38" s="105"/>
      <c r="E38" s="82" t="s">
        <v>1009</v>
      </c>
    </row>
    <row r="39" spans="1:5" x14ac:dyDescent="0.25">
      <c r="A39" s="86" t="s">
        <v>874</v>
      </c>
      <c r="C39" s="105"/>
      <c r="E39" s="82" t="s">
        <v>1010</v>
      </c>
    </row>
    <row r="40" spans="1:5" x14ac:dyDescent="0.25">
      <c r="A40" s="93" t="s">
        <v>936</v>
      </c>
      <c r="C40" s="105"/>
      <c r="E40" s="82" t="s">
        <v>1011</v>
      </c>
    </row>
    <row r="41" spans="1:5" x14ac:dyDescent="0.25">
      <c r="A41" s="93" t="s">
        <v>937</v>
      </c>
      <c r="C41" s="105"/>
      <c r="E41" s="82" t="s">
        <v>1012</v>
      </c>
    </row>
    <row r="42" spans="1:5" x14ac:dyDescent="0.25">
      <c r="A42" s="93" t="s">
        <v>938</v>
      </c>
      <c r="C42" s="105"/>
      <c r="E42" s="82" t="s">
        <v>1013</v>
      </c>
    </row>
    <row r="43" spans="1:5" x14ac:dyDescent="0.25">
      <c r="A43" s="112" t="s">
        <v>967</v>
      </c>
      <c r="C43" s="105"/>
      <c r="E43" s="82" t="s">
        <v>1014</v>
      </c>
    </row>
    <row r="44" spans="1:5" x14ac:dyDescent="0.25">
      <c r="A44" s="86" t="s">
        <v>929</v>
      </c>
      <c r="C44" s="105"/>
      <c r="E44" s="82" t="s">
        <v>1015</v>
      </c>
    </row>
    <row r="45" spans="1:5" x14ac:dyDescent="0.25">
      <c r="A45" s="86" t="s">
        <v>930</v>
      </c>
      <c r="C45" s="105"/>
      <c r="E45" s="82" t="s">
        <v>1016</v>
      </c>
    </row>
    <row r="46" spans="1:5" x14ac:dyDescent="0.25">
      <c r="A46" s="86" t="s">
        <v>875</v>
      </c>
      <c r="C46" s="105"/>
      <c r="E46" s="82" t="s">
        <v>1017</v>
      </c>
    </row>
    <row r="47" spans="1:5" x14ac:dyDescent="0.25">
      <c r="A47" s="86" t="s">
        <v>876</v>
      </c>
      <c r="C47" s="105"/>
      <c r="E47" s="82" t="s">
        <v>1018</v>
      </c>
    </row>
    <row r="48" spans="1:5" x14ac:dyDescent="0.25">
      <c r="A48" s="86" t="s">
        <v>26</v>
      </c>
      <c r="C48" s="105"/>
      <c r="E48" s="82" t="s">
        <v>1019</v>
      </c>
    </row>
    <row r="49" spans="1:5" x14ac:dyDescent="0.25">
      <c r="A49" s="86" t="s">
        <v>877</v>
      </c>
      <c r="C49" s="105"/>
      <c r="E49" s="82" t="s">
        <v>1020</v>
      </c>
    </row>
    <row r="50" spans="1:5" x14ac:dyDescent="0.25">
      <c r="A50" s="86" t="s">
        <v>878</v>
      </c>
      <c r="C50" s="105"/>
      <c r="E50" s="82" t="s">
        <v>1021</v>
      </c>
    </row>
    <row r="51" spans="1:5" x14ac:dyDescent="0.25">
      <c r="A51" s="86" t="s">
        <v>879</v>
      </c>
      <c r="C51" s="105"/>
      <c r="E51" s="82" t="s">
        <v>1022</v>
      </c>
    </row>
    <row r="52" spans="1:5" x14ac:dyDescent="0.25">
      <c r="A52" s="86" t="s">
        <v>880</v>
      </c>
      <c r="C52" s="105"/>
      <c r="E52" s="82" t="s">
        <v>1023</v>
      </c>
    </row>
    <row r="53" spans="1:5" x14ac:dyDescent="0.25">
      <c r="A53" s="86" t="s">
        <v>881</v>
      </c>
      <c r="C53" s="105"/>
      <c r="E53" s="82" t="s">
        <v>1024</v>
      </c>
    </row>
    <row r="54" spans="1:5" x14ac:dyDescent="0.25">
      <c r="A54" s="86" t="s">
        <v>882</v>
      </c>
      <c r="C54" s="105"/>
      <c r="E54" s="82" t="s">
        <v>1025</v>
      </c>
    </row>
    <row r="55" spans="1:5" x14ac:dyDescent="0.25">
      <c r="A55" s="86" t="s">
        <v>883</v>
      </c>
      <c r="C55" s="105"/>
      <c r="E55" s="82" t="s">
        <v>1026</v>
      </c>
    </row>
    <row r="56" spans="1:5" x14ac:dyDescent="0.25">
      <c r="A56" s="86" t="s">
        <v>884</v>
      </c>
      <c r="C56" s="105"/>
      <c r="E56" s="82" t="s">
        <v>1027</v>
      </c>
    </row>
    <row r="57" spans="1:5" x14ac:dyDescent="0.25">
      <c r="A57" s="111" t="s">
        <v>966</v>
      </c>
      <c r="C57" s="105"/>
      <c r="E57" s="82" t="s">
        <v>1028</v>
      </c>
    </row>
    <row r="58" spans="1:5" x14ac:dyDescent="0.25">
      <c r="A58" s="86" t="s">
        <v>27</v>
      </c>
      <c r="C58" s="105"/>
      <c r="E58" s="82" t="s">
        <v>1029</v>
      </c>
    </row>
    <row r="59" spans="1:5" x14ac:dyDescent="0.25">
      <c r="A59" s="87" t="s">
        <v>965</v>
      </c>
      <c r="C59" s="105"/>
      <c r="E59" s="82" t="s">
        <v>1030</v>
      </c>
    </row>
    <row r="60" spans="1:5" x14ac:dyDescent="0.25">
      <c r="A60" s="111" t="s">
        <v>966</v>
      </c>
      <c r="C60" s="105"/>
      <c r="E60" s="82" t="s">
        <v>1031</v>
      </c>
    </row>
    <row r="61" spans="1:5" x14ac:dyDescent="0.25">
      <c r="A61" s="86" t="s">
        <v>892</v>
      </c>
      <c r="C61" s="105"/>
      <c r="E61" s="82" t="s">
        <v>1032</v>
      </c>
    </row>
    <row r="62" spans="1:5" x14ac:dyDescent="0.25">
      <c r="A62" s="86" t="s">
        <v>893</v>
      </c>
      <c r="C62" s="105"/>
      <c r="E62" s="82" t="s">
        <v>1033</v>
      </c>
    </row>
    <row r="63" spans="1:5" x14ac:dyDescent="0.25">
      <c r="A63" s="86" t="s">
        <v>894</v>
      </c>
      <c r="C63" s="105"/>
      <c r="E63" s="82" t="s">
        <v>1034</v>
      </c>
    </row>
    <row r="64" spans="1:5" x14ac:dyDescent="0.25">
      <c r="A64" s="86" t="s">
        <v>895</v>
      </c>
      <c r="C64" s="105"/>
      <c r="E64" s="82" t="s">
        <v>1035</v>
      </c>
    </row>
    <row r="65" spans="1:5" x14ac:dyDescent="0.25">
      <c r="A65" s="86" t="s">
        <v>896</v>
      </c>
      <c r="C65" s="105"/>
      <c r="E65" s="82" t="s">
        <v>1036</v>
      </c>
    </row>
    <row r="66" spans="1:5" x14ac:dyDescent="0.25">
      <c r="A66" s="86" t="s">
        <v>897</v>
      </c>
      <c r="C66" s="105"/>
      <c r="E66" s="82" t="s">
        <v>1037</v>
      </c>
    </row>
    <row r="67" spans="1:5" x14ac:dyDescent="0.25">
      <c r="A67" s="86" t="s">
        <v>898</v>
      </c>
      <c r="C67" s="105"/>
      <c r="E67" s="82" t="s">
        <v>1038</v>
      </c>
    </row>
    <row r="68" spans="1:5" x14ac:dyDescent="0.25">
      <c r="A68" s="86" t="s">
        <v>899</v>
      </c>
      <c r="E68" s="82" t="s">
        <v>1039</v>
      </c>
    </row>
    <row r="69" spans="1:5" x14ac:dyDescent="0.25">
      <c r="A69" s="86" t="s">
        <v>900</v>
      </c>
      <c r="E69" s="82" t="s">
        <v>1040</v>
      </c>
    </row>
    <row r="70" spans="1:5" x14ac:dyDescent="0.25">
      <c r="A70" s="86" t="s">
        <v>901</v>
      </c>
      <c r="E70" s="82" t="s">
        <v>1041</v>
      </c>
    </row>
    <row r="71" spans="1:5" x14ac:dyDescent="0.25">
      <c r="A71" s="86" t="s">
        <v>902</v>
      </c>
      <c r="E71" s="82" t="s">
        <v>1042</v>
      </c>
    </row>
    <row r="72" spans="1:5" x14ac:dyDescent="0.25">
      <c r="A72" s="86" t="s">
        <v>903</v>
      </c>
      <c r="E72" s="82" t="s">
        <v>1043</v>
      </c>
    </row>
    <row r="73" spans="1:5" x14ac:dyDescent="0.25">
      <c r="A73" s="86" t="s">
        <v>904</v>
      </c>
      <c r="E73" s="82" t="s">
        <v>1044</v>
      </c>
    </row>
    <row r="74" spans="1:5" x14ac:dyDescent="0.25">
      <c r="A74" s="86" t="s">
        <v>905</v>
      </c>
      <c r="E74" s="82" t="s">
        <v>1045</v>
      </c>
    </row>
    <row r="75" spans="1:5" x14ac:dyDescent="0.25">
      <c r="A75" s="86" t="s">
        <v>906</v>
      </c>
      <c r="E75" s="82" t="s">
        <v>1046</v>
      </c>
    </row>
    <row r="76" spans="1:5" x14ac:dyDescent="0.25">
      <c r="A76" s="86" t="s">
        <v>907</v>
      </c>
      <c r="E76" s="82" t="s">
        <v>1047</v>
      </c>
    </row>
    <row r="77" spans="1:5" x14ac:dyDescent="0.25">
      <c r="A77" s="86" t="s">
        <v>908</v>
      </c>
      <c r="E77" s="82" t="s">
        <v>1048</v>
      </c>
    </row>
    <row r="78" spans="1:5" x14ac:dyDescent="0.25">
      <c r="A78" s="86" t="s">
        <v>909</v>
      </c>
      <c r="E78" s="82" t="s">
        <v>1049</v>
      </c>
    </row>
    <row r="79" spans="1:5" x14ac:dyDescent="0.25">
      <c r="A79" s="86" t="s">
        <v>910</v>
      </c>
      <c r="E79" s="82" t="s">
        <v>1050</v>
      </c>
    </row>
    <row r="80" spans="1:5" x14ac:dyDescent="0.25">
      <c r="A80" s="86" t="s">
        <v>911</v>
      </c>
      <c r="E80" s="82" t="s">
        <v>1051</v>
      </c>
    </row>
    <row r="81" spans="1:5" x14ac:dyDescent="0.25">
      <c r="A81" s="86" t="s">
        <v>912</v>
      </c>
      <c r="E81" s="82" t="s">
        <v>1052</v>
      </c>
    </row>
    <row r="82" spans="1:5" x14ac:dyDescent="0.25">
      <c r="A82" s="86" t="s">
        <v>913</v>
      </c>
      <c r="E82" s="82" t="s">
        <v>1053</v>
      </c>
    </row>
    <row r="83" spans="1:5" x14ac:dyDescent="0.25">
      <c r="A83" s="86" t="s">
        <v>935</v>
      </c>
      <c r="E83" s="82" t="s">
        <v>1054</v>
      </c>
    </row>
    <row r="84" spans="1:5" x14ac:dyDescent="0.25">
      <c r="A84" s="86" t="s">
        <v>917</v>
      </c>
      <c r="E84" s="82" t="s">
        <v>1055</v>
      </c>
    </row>
    <row r="85" spans="1:5" x14ac:dyDescent="0.25">
      <c r="A85" s="86" t="s">
        <v>918</v>
      </c>
      <c r="E85" s="82" t="s">
        <v>1056</v>
      </c>
    </row>
    <row r="86" spans="1:5" x14ac:dyDescent="0.25">
      <c r="A86" s="87" t="s">
        <v>961</v>
      </c>
      <c r="E86" s="82" t="s">
        <v>1057</v>
      </c>
    </row>
    <row r="87" spans="1:5" x14ac:dyDescent="0.25">
      <c r="A87" s="86" t="s">
        <v>920</v>
      </c>
      <c r="E87" s="82" t="s">
        <v>1058</v>
      </c>
    </row>
    <row r="88" spans="1:5" x14ac:dyDescent="0.25">
      <c r="A88" s="86" t="s">
        <v>931</v>
      </c>
      <c r="E88" s="82" t="s">
        <v>1059</v>
      </c>
    </row>
    <row r="89" spans="1:5" x14ac:dyDescent="0.25">
      <c r="A89" s="86" t="s">
        <v>921</v>
      </c>
      <c r="E89" s="82" t="s">
        <v>1060</v>
      </c>
    </row>
    <row r="90" spans="1:5" x14ac:dyDescent="0.25">
      <c r="A90" s="86" t="s">
        <v>932</v>
      </c>
      <c r="E90" s="82" t="s">
        <v>1061</v>
      </c>
    </row>
    <row r="91" spans="1:5" x14ac:dyDescent="0.25">
      <c r="A91" s="86" t="s">
        <v>922</v>
      </c>
      <c r="E91" s="82" t="s">
        <v>1062</v>
      </c>
    </row>
    <row r="92" spans="1:5" x14ac:dyDescent="0.25">
      <c r="A92" s="86" t="s">
        <v>923</v>
      </c>
      <c r="E92" s="82" t="s">
        <v>1063</v>
      </c>
    </row>
    <row r="93" spans="1:5" x14ac:dyDescent="0.25">
      <c r="A93" s="86" t="s">
        <v>924</v>
      </c>
      <c r="E93" s="82" t="s">
        <v>1064</v>
      </c>
    </row>
    <row r="94" spans="1:5" x14ac:dyDescent="0.25">
      <c r="A94" s="86" t="s">
        <v>933</v>
      </c>
      <c r="E94" s="82" t="s">
        <v>1065</v>
      </c>
    </row>
    <row r="95" spans="1:5" x14ac:dyDescent="0.25">
      <c r="A95" s="86" t="s">
        <v>925</v>
      </c>
      <c r="E95" s="82" t="s">
        <v>1066</v>
      </c>
    </row>
    <row r="96" spans="1:5" x14ac:dyDescent="0.25">
      <c r="A96" s="86" t="s">
        <v>945</v>
      </c>
      <c r="E96" s="82" t="s">
        <v>1067</v>
      </c>
    </row>
    <row r="97" spans="1:5" x14ac:dyDescent="0.25">
      <c r="A97" s="93" t="s">
        <v>942</v>
      </c>
      <c r="E97" s="82" t="s">
        <v>1068</v>
      </c>
    </row>
    <row r="98" spans="1:5" x14ac:dyDescent="0.25">
      <c r="A98" s="93" t="s">
        <v>943</v>
      </c>
      <c r="E98" s="82" t="s">
        <v>1069</v>
      </c>
    </row>
    <row r="99" spans="1:5" x14ac:dyDescent="0.25">
      <c r="A99" s="93" t="s">
        <v>944</v>
      </c>
      <c r="E99" s="82" t="s">
        <v>1070</v>
      </c>
    </row>
    <row r="100" spans="1:5" x14ac:dyDescent="0.25">
      <c r="A100" s="30" t="s">
        <v>28</v>
      </c>
      <c r="E100" s="82" t="s">
        <v>1071</v>
      </c>
    </row>
    <row r="101" spans="1:5" x14ac:dyDescent="0.25">
      <c r="A101" s="30" t="s">
        <v>30</v>
      </c>
      <c r="E101" s="82" t="s">
        <v>1072</v>
      </c>
    </row>
    <row r="102" spans="1:5" x14ac:dyDescent="0.25">
      <c r="A102" s="30" t="s">
        <v>31</v>
      </c>
      <c r="E102" s="82" t="s">
        <v>1073</v>
      </c>
    </row>
    <row r="103" spans="1:5" x14ac:dyDescent="0.25">
      <c r="A103" s="31" t="s">
        <v>32</v>
      </c>
      <c r="E103" s="82" t="s">
        <v>1074</v>
      </c>
    </row>
    <row r="104" spans="1:5" x14ac:dyDescent="0.25">
      <c r="E104" s="82" t="s">
        <v>1075</v>
      </c>
    </row>
    <row r="105" spans="1:5" x14ac:dyDescent="0.25">
      <c r="E105" s="82" t="s">
        <v>1076</v>
      </c>
    </row>
    <row r="106" spans="1:5" x14ac:dyDescent="0.25">
      <c r="E106" s="82" t="s">
        <v>1077</v>
      </c>
    </row>
    <row r="107" spans="1:5" x14ac:dyDescent="0.25">
      <c r="E107" s="82" t="s">
        <v>1078</v>
      </c>
    </row>
    <row r="108" spans="1:5" x14ac:dyDescent="0.25">
      <c r="E108" s="82" t="s">
        <v>1079</v>
      </c>
    </row>
    <row r="109" spans="1:5" x14ac:dyDescent="0.25">
      <c r="E109" s="82" t="s">
        <v>1080</v>
      </c>
    </row>
    <row r="110" spans="1:5" x14ac:dyDescent="0.25">
      <c r="E110" s="82" t="s">
        <v>1081</v>
      </c>
    </row>
    <row r="111" spans="1:5" x14ac:dyDescent="0.25">
      <c r="E111" s="82" t="s">
        <v>1082</v>
      </c>
    </row>
    <row r="112" spans="1:5" x14ac:dyDescent="0.25">
      <c r="E112" s="82" t="s">
        <v>1083</v>
      </c>
    </row>
    <row r="113" spans="5:5" x14ac:dyDescent="0.25">
      <c r="E113" s="82" t="s">
        <v>1084</v>
      </c>
    </row>
    <row r="114" spans="5:5" x14ac:dyDescent="0.25">
      <c r="E114" s="82" t="s">
        <v>1085</v>
      </c>
    </row>
    <row r="115" spans="5:5" x14ac:dyDescent="0.25">
      <c r="E115" s="82" t="s">
        <v>1086</v>
      </c>
    </row>
    <row r="116" spans="5:5" x14ac:dyDescent="0.25">
      <c r="E116" s="82" t="s">
        <v>1087</v>
      </c>
    </row>
    <row r="117" spans="5:5" x14ac:dyDescent="0.25">
      <c r="E117" s="82" t="s">
        <v>1088</v>
      </c>
    </row>
    <row r="118" spans="5:5" x14ac:dyDescent="0.25">
      <c r="E118" s="82" t="s">
        <v>1089</v>
      </c>
    </row>
    <row r="119" spans="5:5" x14ac:dyDescent="0.25">
      <c r="E119" s="82" t="s">
        <v>1090</v>
      </c>
    </row>
    <row r="120" spans="5:5" x14ac:dyDescent="0.25">
      <c r="E120" s="82" t="s">
        <v>1091</v>
      </c>
    </row>
    <row r="121" spans="5:5" x14ac:dyDescent="0.25">
      <c r="E121" s="82" t="s">
        <v>1092</v>
      </c>
    </row>
    <row r="122" spans="5:5" x14ac:dyDescent="0.25">
      <c r="E122" s="82" t="s">
        <v>1093</v>
      </c>
    </row>
    <row r="123" spans="5:5" x14ac:dyDescent="0.25">
      <c r="E123" s="82" t="s">
        <v>1094</v>
      </c>
    </row>
    <row r="124" spans="5:5" x14ac:dyDescent="0.25">
      <c r="E124" s="82" t="s">
        <v>1095</v>
      </c>
    </row>
    <row r="125" spans="5:5" x14ac:dyDescent="0.25">
      <c r="E125" s="82" t="s">
        <v>1096</v>
      </c>
    </row>
    <row r="126" spans="5:5" x14ac:dyDescent="0.25">
      <c r="E126" s="82" t="s">
        <v>1097</v>
      </c>
    </row>
    <row r="127" spans="5:5" x14ac:dyDescent="0.25">
      <c r="E127" s="82" t="s">
        <v>1098</v>
      </c>
    </row>
    <row r="128" spans="5:5" x14ac:dyDescent="0.25">
      <c r="E128" s="82" t="s">
        <v>1099</v>
      </c>
    </row>
    <row r="129" spans="5:5" x14ac:dyDescent="0.25">
      <c r="E129" s="82" t="s">
        <v>1100</v>
      </c>
    </row>
    <row r="130" spans="5:5" x14ac:dyDescent="0.25">
      <c r="E130" s="82" t="s">
        <v>1101</v>
      </c>
    </row>
    <row r="131" spans="5:5" x14ac:dyDescent="0.25">
      <c r="E131" s="82" t="s">
        <v>1102</v>
      </c>
    </row>
    <row r="132" spans="5:5" x14ac:dyDescent="0.25">
      <c r="E132" s="82" t="s">
        <v>1103</v>
      </c>
    </row>
    <row r="133" spans="5:5" x14ac:dyDescent="0.25">
      <c r="E133" s="82" t="s">
        <v>1104</v>
      </c>
    </row>
    <row r="134" spans="5:5" x14ac:dyDescent="0.25">
      <c r="E134" s="82" t="s">
        <v>1105</v>
      </c>
    </row>
    <row r="135" spans="5:5" x14ac:dyDescent="0.25">
      <c r="E135" s="82" t="s">
        <v>1106</v>
      </c>
    </row>
    <row r="136" spans="5:5" x14ac:dyDescent="0.25">
      <c r="E136" s="82" t="s">
        <v>1107</v>
      </c>
    </row>
    <row r="137" spans="5:5" x14ac:dyDescent="0.25">
      <c r="E137" s="82" t="s">
        <v>1108</v>
      </c>
    </row>
    <row r="138" spans="5:5" x14ac:dyDescent="0.25">
      <c r="E138" s="82" t="s">
        <v>1109</v>
      </c>
    </row>
    <row r="139" spans="5:5" x14ac:dyDescent="0.25">
      <c r="E139" s="82" t="s">
        <v>1110</v>
      </c>
    </row>
    <row r="140" spans="5:5" x14ac:dyDescent="0.25">
      <c r="E140" s="82" t="s">
        <v>1111</v>
      </c>
    </row>
    <row r="141" spans="5:5" x14ac:dyDescent="0.25">
      <c r="E141" s="82" t="s">
        <v>1112</v>
      </c>
    </row>
    <row r="142" spans="5:5" x14ac:dyDescent="0.25">
      <c r="E142" s="82" t="s">
        <v>1113</v>
      </c>
    </row>
    <row r="143" spans="5:5" x14ac:dyDescent="0.25">
      <c r="E143" s="82" t="s">
        <v>1114</v>
      </c>
    </row>
    <row r="144" spans="5:5" x14ac:dyDescent="0.25">
      <c r="E144" s="82" t="s">
        <v>1115</v>
      </c>
    </row>
    <row r="145" spans="5:5" x14ac:dyDescent="0.25">
      <c r="E145" s="82" t="s">
        <v>1116</v>
      </c>
    </row>
    <row r="146" spans="5:5" x14ac:dyDescent="0.25">
      <c r="E146" s="82" t="s">
        <v>1117</v>
      </c>
    </row>
    <row r="147" spans="5:5" x14ac:dyDescent="0.25">
      <c r="E147" s="82" t="s">
        <v>1118</v>
      </c>
    </row>
    <row r="148" spans="5:5" x14ac:dyDescent="0.25">
      <c r="E148" s="82" t="s">
        <v>1119</v>
      </c>
    </row>
    <row r="149" spans="5:5" x14ac:dyDescent="0.25">
      <c r="E149" s="82" t="s">
        <v>1120</v>
      </c>
    </row>
    <row r="150" spans="5:5" x14ac:dyDescent="0.25">
      <c r="E150" s="82" t="s">
        <v>1121</v>
      </c>
    </row>
    <row r="151" spans="5:5" x14ac:dyDescent="0.25">
      <c r="E151" s="82" t="s">
        <v>1122</v>
      </c>
    </row>
    <row r="152" spans="5:5" x14ac:dyDescent="0.25">
      <c r="E152" s="82" t="s">
        <v>1123</v>
      </c>
    </row>
    <row r="153" spans="5:5" x14ac:dyDescent="0.25">
      <c r="E153" s="82" t="s">
        <v>1124</v>
      </c>
    </row>
    <row r="154" spans="5:5" x14ac:dyDescent="0.25">
      <c r="E154" s="82" t="s">
        <v>1125</v>
      </c>
    </row>
    <row r="155" spans="5:5" x14ac:dyDescent="0.25">
      <c r="E155" s="82" t="s">
        <v>1126</v>
      </c>
    </row>
    <row r="156" spans="5:5" x14ac:dyDescent="0.25">
      <c r="E156" s="82" t="s">
        <v>1127</v>
      </c>
    </row>
    <row r="157" spans="5:5" x14ac:dyDescent="0.25">
      <c r="E157" s="82" t="s">
        <v>1128</v>
      </c>
    </row>
    <row r="158" spans="5:5" x14ac:dyDescent="0.25">
      <c r="E158" s="82" t="s">
        <v>1129</v>
      </c>
    </row>
    <row r="159" spans="5:5" x14ac:dyDescent="0.25">
      <c r="E159" s="82" t="s">
        <v>1130</v>
      </c>
    </row>
    <row r="160" spans="5:5" x14ac:dyDescent="0.25">
      <c r="E160" s="82" t="s">
        <v>1131</v>
      </c>
    </row>
    <row r="161" spans="5:5" x14ac:dyDescent="0.25">
      <c r="E161" s="82" t="s">
        <v>1132</v>
      </c>
    </row>
    <row r="162" spans="5:5" x14ac:dyDescent="0.25">
      <c r="E162" s="82" t="s">
        <v>1133</v>
      </c>
    </row>
    <row r="163" spans="5:5" x14ac:dyDescent="0.25">
      <c r="E163" s="82" t="s">
        <v>1134</v>
      </c>
    </row>
    <row r="164" spans="5:5" x14ac:dyDescent="0.25">
      <c r="E164" s="82" t="s">
        <v>1135</v>
      </c>
    </row>
    <row r="165" spans="5:5" x14ac:dyDescent="0.25">
      <c r="E165" s="82" t="s">
        <v>1136</v>
      </c>
    </row>
    <row r="166" spans="5:5" x14ac:dyDescent="0.25">
      <c r="E166" s="82" t="s">
        <v>1137</v>
      </c>
    </row>
    <row r="167" spans="5:5" x14ac:dyDescent="0.25">
      <c r="E167" s="82" t="s">
        <v>1138</v>
      </c>
    </row>
    <row r="168" spans="5:5" x14ac:dyDescent="0.25">
      <c r="E168" s="82" t="s">
        <v>1139</v>
      </c>
    </row>
    <row r="169" spans="5:5" x14ac:dyDescent="0.25">
      <c r="E169" s="82" t="s">
        <v>1140</v>
      </c>
    </row>
    <row r="170" spans="5:5" x14ac:dyDescent="0.25">
      <c r="E170" s="82" t="s">
        <v>1141</v>
      </c>
    </row>
    <row r="171" spans="5:5" x14ac:dyDescent="0.25">
      <c r="E171" s="82" t="s">
        <v>1142</v>
      </c>
    </row>
    <row r="172" spans="5:5" x14ac:dyDescent="0.25">
      <c r="E172" s="82" t="s">
        <v>1143</v>
      </c>
    </row>
    <row r="173" spans="5:5" x14ac:dyDescent="0.25">
      <c r="E173" s="82" t="s">
        <v>1144</v>
      </c>
    </row>
    <row r="174" spans="5:5" x14ac:dyDescent="0.25">
      <c r="E174" s="82" t="s">
        <v>1145</v>
      </c>
    </row>
    <row r="175" spans="5:5" x14ac:dyDescent="0.25">
      <c r="E175" s="82" t="s">
        <v>1146</v>
      </c>
    </row>
    <row r="176" spans="5:5" x14ac:dyDescent="0.25">
      <c r="E176" s="82" t="s">
        <v>1147</v>
      </c>
    </row>
    <row r="177" spans="5:5" x14ac:dyDescent="0.25">
      <c r="E177" s="82" t="s">
        <v>1148</v>
      </c>
    </row>
    <row r="178" spans="5:5" x14ac:dyDescent="0.25">
      <c r="E178" s="82" t="s">
        <v>1149</v>
      </c>
    </row>
    <row r="179" spans="5:5" x14ac:dyDescent="0.25">
      <c r="E179" s="82" t="s">
        <v>1150</v>
      </c>
    </row>
    <row r="180" spans="5:5" x14ac:dyDescent="0.25">
      <c r="E180" s="82" t="s">
        <v>1151</v>
      </c>
    </row>
    <row r="181" spans="5:5" x14ac:dyDescent="0.25">
      <c r="E181" s="82" t="s">
        <v>1152</v>
      </c>
    </row>
    <row r="182" spans="5:5" x14ac:dyDescent="0.25">
      <c r="E182" s="82" t="s">
        <v>1153</v>
      </c>
    </row>
    <row r="183" spans="5:5" x14ac:dyDescent="0.25">
      <c r="E183" s="82" t="s">
        <v>1154</v>
      </c>
    </row>
    <row r="184" spans="5:5" x14ac:dyDescent="0.25">
      <c r="E184" s="82" t="s">
        <v>1155</v>
      </c>
    </row>
    <row r="185" spans="5:5" x14ac:dyDescent="0.25">
      <c r="E185" s="82" t="s">
        <v>1156</v>
      </c>
    </row>
    <row r="186" spans="5:5" x14ac:dyDescent="0.25">
      <c r="E186" s="82" t="s">
        <v>1157</v>
      </c>
    </row>
    <row r="187" spans="5:5" x14ac:dyDescent="0.25">
      <c r="E187" s="82" t="s">
        <v>1158</v>
      </c>
    </row>
    <row r="188" spans="5:5" x14ac:dyDescent="0.25">
      <c r="E188" s="82" t="s">
        <v>1159</v>
      </c>
    </row>
    <row r="189" spans="5:5" x14ac:dyDescent="0.25">
      <c r="E189" s="82" t="s">
        <v>1160</v>
      </c>
    </row>
    <row r="190" spans="5:5" x14ac:dyDescent="0.25">
      <c r="E190" s="82" t="s">
        <v>1161</v>
      </c>
    </row>
    <row r="191" spans="5:5" x14ac:dyDescent="0.25">
      <c r="E191" s="82" t="s">
        <v>1162</v>
      </c>
    </row>
    <row r="192" spans="5:5" x14ac:dyDescent="0.25">
      <c r="E192" s="82" t="s">
        <v>1163</v>
      </c>
    </row>
    <row r="193" spans="5:5" x14ac:dyDescent="0.25">
      <c r="E193" s="82" t="s">
        <v>1164</v>
      </c>
    </row>
    <row r="194" spans="5:5" x14ac:dyDescent="0.25">
      <c r="E194" s="82" t="s">
        <v>1165</v>
      </c>
    </row>
    <row r="195" spans="5:5" x14ac:dyDescent="0.25">
      <c r="E195" s="82" t="s">
        <v>1166</v>
      </c>
    </row>
    <row r="196" spans="5:5" x14ac:dyDescent="0.25">
      <c r="E196" s="82" t="s">
        <v>1167</v>
      </c>
    </row>
    <row r="197" spans="5:5" x14ac:dyDescent="0.25">
      <c r="E197" s="82" t="s">
        <v>1168</v>
      </c>
    </row>
    <row r="198" spans="5:5" x14ac:dyDescent="0.25">
      <c r="E198" s="82" t="s">
        <v>1169</v>
      </c>
    </row>
    <row r="199" spans="5:5" x14ac:dyDescent="0.25">
      <c r="E199" s="82" t="s">
        <v>1170</v>
      </c>
    </row>
    <row r="200" spans="5:5" x14ac:dyDescent="0.25">
      <c r="E200" s="82" t="s">
        <v>1171</v>
      </c>
    </row>
    <row r="201" spans="5:5" x14ac:dyDescent="0.25">
      <c r="E201" s="82" t="s">
        <v>1172</v>
      </c>
    </row>
    <row r="202" spans="5:5" x14ac:dyDescent="0.25">
      <c r="E202" s="82" t="s">
        <v>1173</v>
      </c>
    </row>
    <row r="203" spans="5:5" x14ac:dyDescent="0.25">
      <c r="E203" s="82" t="s">
        <v>1174</v>
      </c>
    </row>
    <row r="204" spans="5:5" x14ac:dyDescent="0.25">
      <c r="E204" s="82" t="s">
        <v>1175</v>
      </c>
    </row>
    <row r="205" spans="5:5" x14ac:dyDescent="0.25">
      <c r="E205" s="82" t="s">
        <v>1176</v>
      </c>
    </row>
    <row r="206" spans="5:5" x14ac:dyDescent="0.25">
      <c r="E206" s="82" t="s">
        <v>1177</v>
      </c>
    </row>
    <row r="207" spans="5:5" x14ac:dyDescent="0.25">
      <c r="E207" s="82" t="s">
        <v>1178</v>
      </c>
    </row>
    <row r="208" spans="5:5" x14ac:dyDescent="0.25">
      <c r="E208" s="82" t="s">
        <v>1179</v>
      </c>
    </row>
    <row r="209" spans="5:5" x14ac:dyDescent="0.25">
      <c r="E209" s="82" t="s">
        <v>1180</v>
      </c>
    </row>
    <row r="210" spans="5:5" x14ac:dyDescent="0.25">
      <c r="E210" s="82" t="s">
        <v>1181</v>
      </c>
    </row>
    <row r="211" spans="5:5" x14ac:dyDescent="0.25">
      <c r="E211" s="82" t="s">
        <v>1182</v>
      </c>
    </row>
    <row r="212" spans="5:5" x14ac:dyDescent="0.25">
      <c r="E212" s="82" t="s">
        <v>1183</v>
      </c>
    </row>
    <row r="213" spans="5:5" x14ac:dyDescent="0.25">
      <c r="E213" s="82" t="s">
        <v>1184</v>
      </c>
    </row>
    <row r="214" spans="5:5" x14ac:dyDescent="0.25">
      <c r="E214" s="82" t="s">
        <v>1185</v>
      </c>
    </row>
    <row r="215" spans="5:5" x14ac:dyDescent="0.25">
      <c r="E215" s="82" t="s">
        <v>1186</v>
      </c>
    </row>
    <row r="216" spans="5:5" x14ac:dyDescent="0.25">
      <c r="E216" s="82" t="s">
        <v>1187</v>
      </c>
    </row>
    <row r="217" spans="5:5" x14ac:dyDescent="0.25">
      <c r="E217" s="82" t="s">
        <v>1188</v>
      </c>
    </row>
    <row r="218" spans="5:5" x14ac:dyDescent="0.25">
      <c r="E218" s="82" t="s">
        <v>1189</v>
      </c>
    </row>
    <row r="219" spans="5:5" x14ac:dyDescent="0.25">
      <c r="E219" s="82" t="s">
        <v>1190</v>
      </c>
    </row>
    <row r="220" spans="5:5" x14ac:dyDescent="0.25">
      <c r="E220" s="82" t="s">
        <v>1191</v>
      </c>
    </row>
    <row r="221" spans="5:5" x14ac:dyDescent="0.25">
      <c r="E221" s="82" t="s">
        <v>1192</v>
      </c>
    </row>
    <row r="222" spans="5:5" x14ac:dyDescent="0.25">
      <c r="E222" s="82" t="s">
        <v>1193</v>
      </c>
    </row>
    <row r="223" spans="5:5" x14ac:dyDescent="0.25">
      <c r="E223" s="82" t="s">
        <v>1194</v>
      </c>
    </row>
    <row r="224" spans="5:5" x14ac:dyDescent="0.25">
      <c r="E224" s="82" t="s">
        <v>1195</v>
      </c>
    </row>
    <row r="225" spans="5:5" x14ac:dyDescent="0.25">
      <c r="E225" s="82" t="s">
        <v>1196</v>
      </c>
    </row>
    <row r="226" spans="5:5" x14ac:dyDescent="0.25">
      <c r="E226" s="82" t="s">
        <v>1197</v>
      </c>
    </row>
    <row r="227" spans="5:5" x14ac:dyDescent="0.25">
      <c r="E227" s="82" t="s">
        <v>1198</v>
      </c>
    </row>
    <row r="228" spans="5:5" x14ac:dyDescent="0.25">
      <c r="E228" s="82" t="s">
        <v>1199</v>
      </c>
    </row>
    <row r="229" spans="5:5" x14ac:dyDescent="0.25">
      <c r="E229" s="82" t="s">
        <v>1200</v>
      </c>
    </row>
    <row r="230" spans="5:5" x14ac:dyDescent="0.25">
      <c r="E230" s="82" t="s">
        <v>1201</v>
      </c>
    </row>
    <row r="231" spans="5:5" x14ac:dyDescent="0.25">
      <c r="E231" s="82" t="s">
        <v>1202</v>
      </c>
    </row>
    <row r="232" spans="5:5" x14ac:dyDescent="0.25">
      <c r="E232" s="82" t="s">
        <v>1203</v>
      </c>
    </row>
    <row r="233" spans="5:5" x14ac:dyDescent="0.25">
      <c r="E233" s="82" t="s">
        <v>1204</v>
      </c>
    </row>
    <row r="234" spans="5:5" x14ac:dyDescent="0.25">
      <c r="E234" s="82" t="s">
        <v>1205</v>
      </c>
    </row>
    <row r="235" spans="5:5" x14ac:dyDescent="0.25">
      <c r="E235" s="82" t="s">
        <v>1206</v>
      </c>
    </row>
    <row r="236" spans="5:5" x14ac:dyDescent="0.25">
      <c r="E236" s="82" t="s">
        <v>1207</v>
      </c>
    </row>
    <row r="237" spans="5:5" x14ac:dyDescent="0.25">
      <c r="E237" s="82" t="s">
        <v>1208</v>
      </c>
    </row>
    <row r="238" spans="5:5" x14ac:dyDescent="0.25">
      <c r="E238" s="82" t="s">
        <v>1209</v>
      </c>
    </row>
    <row r="239" spans="5:5" x14ac:dyDescent="0.25">
      <c r="E239" s="82" t="s">
        <v>1210</v>
      </c>
    </row>
    <row r="240" spans="5:5" x14ac:dyDescent="0.25">
      <c r="E240" s="82" t="s">
        <v>1211</v>
      </c>
    </row>
    <row r="241" spans="5:5" x14ac:dyDescent="0.25">
      <c r="E241" s="82" t="s">
        <v>1212</v>
      </c>
    </row>
    <row r="242" spans="5:5" x14ac:dyDescent="0.25">
      <c r="E242" s="82" t="s">
        <v>1213</v>
      </c>
    </row>
    <row r="243" spans="5:5" x14ac:dyDescent="0.25">
      <c r="E243" s="82" t="s">
        <v>1214</v>
      </c>
    </row>
    <row r="244" spans="5:5" x14ac:dyDescent="0.25">
      <c r="E244" s="82" t="s">
        <v>1215</v>
      </c>
    </row>
    <row r="245" spans="5:5" x14ac:dyDescent="0.25">
      <c r="E245" s="82" t="s">
        <v>1216</v>
      </c>
    </row>
    <row r="246" spans="5:5" x14ac:dyDescent="0.25">
      <c r="E246" s="82" t="s">
        <v>1217</v>
      </c>
    </row>
    <row r="247" spans="5:5" x14ac:dyDescent="0.25">
      <c r="E247" s="82" t="s">
        <v>1218</v>
      </c>
    </row>
    <row r="248" spans="5:5" x14ac:dyDescent="0.25">
      <c r="E248" s="82" t="s">
        <v>1219</v>
      </c>
    </row>
    <row r="249" spans="5:5" x14ac:dyDescent="0.25">
      <c r="E249" s="82" t="s">
        <v>1220</v>
      </c>
    </row>
    <row r="250" spans="5:5" x14ac:dyDescent="0.25">
      <c r="E250" s="82" t="s">
        <v>1221</v>
      </c>
    </row>
    <row r="251" spans="5:5" x14ac:dyDescent="0.25">
      <c r="E251" s="82" t="s">
        <v>1222</v>
      </c>
    </row>
    <row r="252" spans="5:5" x14ac:dyDescent="0.25">
      <c r="E252" s="82" t="s">
        <v>1223</v>
      </c>
    </row>
    <row r="253" spans="5:5" x14ac:dyDescent="0.25">
      <c r="E253" s="82" t="s">
        <v>1224</v>
      </c>
    </row>
    <row r="254" spans="5:5" x14ac:dyDescent="0.25">
      <c r="E254" s="82" t="s">
        <v>1225</v>
      </c>
    </row>
    <row r="255" spans="5:5" x14ac:dyDescent="0.25">
      <c r="E255" s="82" t="s">
        <v>1226</v>
      </c>
    </row>
    <row r="256" spans="5:5" x14ac:dyDescent="0.25">
      <c r="E256" s="82" t="s">
        <v>1227</v>
      </c>
    </row>
    <row r="257" spans="5:5" x14ac:dyDescent="0.25">
      <c r="E257" s="82" t="s">
        <v>1228</v>
      </c>
    </row>
    <row r="258" spans="5:5" x14ac:dyDescent="0.25">
      <c r="E258" s="82" t="s">
        <v>1229</v>
      </c>
    </row>
    <row r="259" spans="5:5" x14ac:dyDescent="0.25">
      <c r="E259" s="82" t="s">
        <v>1230</v>
      </c>
    </row>
    <row r="260" spans="5:5" x14ac:dyDescent="0.25">
      <c r="E260" s="82" t="s">
        <v>1231</v>
      </c>
    </row>
    <row r="261" spans="5:5" x14ac:dyDescent="0.25">
      <c r="E261" s="82" t="s">
        <v>1232</v>
      </c>
    </row>
    <row r="262" spans="5:5" x14ac:dyDescent="0.25">
      <c r="E262" s="82" t="s">
        <v>1233</v>
      </c>
    </row>
    <row r="263" spans="5:5" x14ac:dyDescent="0.25">
      <c r="E263" s="82" t="s">
        <v>1234</v>
      </c>
    </row>
    <row r="264" spans="5:5" x14ac:dyDescent="0.25">
      <c r="E264" s="82" t="s">
        <v>1235</v>
      </c>
    </row>
    <row r="265" spans="5:5" x14ac:dyDescent="0.25">
      <c r="E265" s="82" t="s">
        <v>1236</v>
      </c>
    </row>
    <row r="266" spans="5:5" x14ac:dyDescent="0.25">
      <c r="E266" s="82" t="s">
        <v>1237</v>
      </c>
    </row>
    <row r="267" spans="5:5" x14ac:dyDescent="0.25">
      <c r="E267" s="82" t="s">
        <v>1238</v>
      </c>
    </row>
    <row r="268" spans="5:5" x14ac:dyDescent="0.25">
      <c r="E268" s="82" t="s">
        <v>1239</v>
      </c>
    </row>
    <row r="269" spans="5:5" x14ac:dyDescent="0.25">
      <c r="E269" s="82" t="s">
        <v>1240</v>
      </c>
    </row>
    <row r="270" spans="5:5" x14ac:dyDescent="0.25">
      <c r="E270" s="82" t="s">
        <v>1241</v>
      </c>
    </row>
    <row r="271" spans="5:5" x14ac:dyDescent="0.25">
      <c r="E271" s="82" t="s">
        <v>1242</v>
      </c>
    </row>
    <row r="272" spans="5:5" x14ac:dyDescent="0.25">
      <c r="E272" s="82" t="s">
        <v>1243</v>
      </c>
    </row>
    <row r="273" spans="5:5" x14ac:dyDescent="0.25">
      <c r="E273" s="82" t="s">
        <v>1244</v>
      </c>
    </row>
    <row r="274" spans="5:5" x14ac:dyDescent="0.25">
      <c r="E274" s="82" t="s">
        <v>1245</v>
      </c>
    </row>
    <row r="275" spans="5:5" x14ac:dyDescent="0.25">
      <c r="E275" s="82" t="s">
        <v>1246</v>
      </c>
    </row>
    <row r="276" spans="5:5" x14ac:dyDescent="0.25">
      <c r="E276" s="82" t="s">
        <v>1247</v>
      </c>
    </row>
    <row r="277" spans="5:5" x14ac:dyDescent="0.25">
      <c r="E277" s="82" t="s">
        <v>1248</v>
      </c>
    </row>
    <row r="278" spans="5:5" x14ac:dyDescent="0.25">
      <c r="E278" s="82" t="s">
        <v>1249</v>
      </c>
    </row>
    <row r="279" spans="5:5" x14ac:dyDescent="0.25">
      <c r="E279" s="82" t="s">
        <v>1250</v>
      </c>
    </row>
    <row r="280" spans="5:5" x14ac:dyDescent="0.25">
      <c r="E280" s="82" t="s">
        <v>1251</v>
      </c>
    </row>
    <row r="281" spans="5:5" x14ac:dyDescent="0.25">
      <c r="E281" s="82" t="s">
        <v>1252</v>
      </c>
    </row>
    <row r="282" spans="5:5" x14ac:dyDescent="0.25">
      <c r="E282" s="82" t="s">
        <v>1253</v>
      </c>
    </row>
    <row r="283" spans="5:5" x14ac:dyDescent="0.25">
      <c r="E283" s="82" t="s">
        <v>1254</v>
      </c>
    </row>
    <row r="284" spans="5:5" x14ac:dyDescent="0.25">
      <c r="E284" s="82" t="s">
        <v>1255</v>
      </c>
    </row>
    <row r="285" spans="5:5" x14ac:dyDescent="0.25">
      <c r="E285" s="82" t="s">
        <v>1256</v>
      </c>
    </row>
    <row r="286" spans="5:5" x14ac:dyDescent="0.25">
      <c r="E286" s="82" t="s">
        <v>1257</v>
      </c>
    </row>
    <row r="287" spans="5:5" x14ac:dyDescent="0.25">
      <c r="E287" s="82" t="s">
        <v>1258</v>
      </c>
    </row>
    <row r="288" spans="5:5" x14ac:dyDescent="0.25">
      <c r="E288" s="82" t="s">
        <v>1259</v>
      </c>
    </row>
    <row r="289" spans="5:5" x14ac:dyDescent="0.25">
      <c r="E289" s="82" t="s">
        <v>1260</v>
      </c>
    </row>
    <row r="290" spans="5:5" x14ac:dyDescent="0.25">
      <c r="E290" s="82" t="s">
        <v>1261</v>
      </c>
    </row>
    <row r="291" spans="5:5" x14ac:dyDescent="0.25">
      <c r="E291" s="82" t="s">
        <v>1262</v>
      </c>
    </row>
    <row r="292" spans="5:5" x14ac:dyDescent="0.25">
      <c r="E292" s="82" t="s">
        <v>1263</v>
      </c>
    </row>
    <row r="293" spans="5:5" x14ac:dyDescent="0.25">
      <c r="E293" s="82" t="s">
        <v>1264</v>
      </c>
    </row>
    <row r="294" spans="5:5" x14ac:dyDescent="0.25">
      <c r="E294" s="82" t="s">
        <v>1265</v>
      </c>
    </row>
    <row r="295" spans="5:5" x14ac:dyDescent="0.25">
      <c r="E295" s="82" t="s">
        <v>1266</v>
      </c>
    </row>
    <row r="296" spans="5:5" x14ac:dyDescent="0.25">
      <c r="E296" s="82" t="s">
        <v>1267</v>
      </c>
    </row>
    <row r="297" spans="5:5" x14ac:dyDescent="0.25">
      <c r="E297" s="82" t="s">
        <v>1268</v>
      </c>
    </row>
    <row r="298" spans="5:5" x14ac:dyDescent="0.25">
      <c r="E298" s="82" t="s">
        <v>1269</v>
      </c>
    </row>
    <row r="299" spans="5:5" x14ac:dyDescent="0.25">
      <c r="E299" s="82" t="s">
        <v>1270</v>
      </c>
    </row>
    <row r="300" spans="5:5" x14ac:dyDescent="0.25">
      <c r="E300" s="82" t="s">
        <v>1271</v>
      </c>
    </row>
    <row r="301" spans="5:5" x14ac:dyDescent="0.25">
      <c r="E301" s="82" t="s">
        <v>1272</v>
      </c>
    </row>
    <row r="302" spans="5:5" x14ac:dyDescent="0.25">
      <c r="E302" s="82" t="s">
        <v>1273</v>
      </c>
    </row>
    <row r="303" spans="5:5" x14ac:dyDescent="0.25">
      <c r="E303" s="82" t="s">
        <v>1274</v>
      </c>
    </row>
    <row r="304" spans="5:5" x14ac:dyDescent="0.25">
      <c r="E304" s="82" t="s">
        <v>1275</v>
      </c>
    </row>
    <row r="305" spans="5:5" x14ac:dyDescent="0.25">
      <c r="E305" s="82" t="s">
        <v>1276</v>
      </c>
    </row>
    <row r="306" spans="5:5" x14ac:dyDescent="0.25">
      <c r="E306" s="82" t="s">
        <v>1277</v>
      </c>
    </row>
    <row r="307" spans="5:5" x14ac:dyDescent="0.25">
      <c r="E307" s="82" t="s">
        <v>1278</v>
      </c>
    </row>
    <row r="308" spans="5:5" x14ac:dyDescent="0.25">
      <c r="E308" s="82" t="s">
        <v>1279</v>
      </c>
    </row>
    <row r="309" spans="5:5" x14ac:dyDescent="0.25">
      <c r="E309" s="82" t="s">
        <v>1280</v>
      </c>
    </row>
    <row r="310" spans="5:5" x14ac:dyDescent="0.25">
      <c r="E310" s="82" t="s">
        <v>1281</v>
      </c>
    </row>
    <row r="311" spans="5:5" x14ac:dyDescent="0.25">
      <c r="E311" s="82" t="s">
        <v>1282</v>
      </c>
    </row>
    <row r="312" spans="5:5" x14ac:dyDescent="0.25">
      <c r="E312" s="82" t="s">
        <v>1283</v>
      </c>
    </row>
    <row r="313" spans="5:5" x14ac:dyDescent="0.25">
      <c r="E313" s="82" t="s">
        <v>1284</v>
      </c>
    </row>
    <row r="314" spans="5:5" x14ac:dyDescent="0.25">
      <c r="E314" s="82" t="s">
        <v>1285</v>
      </c>
    </row>
    <row r="315" spans="5:5" x14ac:dyDescent="0.25">
      <c r="E315" s="82" t="s">
        <v>1286</v>
      </c>
    </row>
    <row r="316" spans="5:5" x14ac:dyDescent="0.25">
      <c r="E316" s="82" t="s">
        <v>1287</v>
      </c>
    </row>
    <row r="317" spans="5:5" x14ac:dyDescent="0.25">
      <c r="E317" s="82" t="s">
        <v>1288</v>
      </c>
    </row>
    <row r="318" spans="5:5" x14ac:dyDescent="0.25">
      <c r="E318" s="82" t="s">
        <v>1289</v>
      </c>
    </row>
    <row r="319" spans="5:5" x14ac:dyDescent="0.25">
      <c r="E319" s="82" t="s">
        <v>1290</v>
      </c>
    </row>
    <row r="320" spans="5:5" x14ac:dyDescent="0.25">
      <c r="E320" s="82" t="s">
        <v>1291</v>
      </c>
    </row>
    <row r="321" spans="5:5" x14ac:dyDescent="0.25">
      <c r="E321" s="82" t="s">
        <v>1292</v>
      </c>
    </row>
    <row r="322" spans="5:5" x14ac:dyDescent="0.25">
      <c r="E322" s="82" t="s">
        <v>1293</v>
      </c>
    </row>
    <row r="323" spans="5:5" x14ac:dyDescent="0.25">
      <c r="E323" s="82" t="s">
        <v>1294</v>
      </c>
    </row>
    <row r="324" spans="5:5" x14ac:dyDescent="0.25">
      <c r="E324" s="82" t="s">
        <v>1295</v>
      </c>
    </row>
    <row r="325" spans="5:5" x14ac:dyDescent="0.25">
      <c r="E325" s="82" t="s">
        <v>1296</v>
      </c>
    </row>
    <row r="326" spans="5:5" x14ac:dyDescent="0.25">
      <c r="E326" s="82" t="s">
        <v>1297</v>
      </c>
    </row>
    <row r="327" spans="5:5" x14ac:dyDescent="0.25">
      <c r="E327" s="82" t="s">
        <v>1298</v>
      </c>
    </row>
    <row r="328" spans="5:5" x14ac:dyDescent="0.25">
      <c r="E328" s="82" t="s">
        <v>1299</v>
      </c>
    </row>
    <row r="329" spans="5:5" x14ac:dyDescent="0.25">
      <c r="E329" s="82" t="s">
        <v>1300</v>
      </c>
    </row>
    <row r="330" spans="5:5" x14ac:dyDescent="0.25">
      <c r="E330" s="82" t="s">
        <v>1301</v>
      </c>
    </row>
    <row r="331" spans="5:5" x14ac:dyDescent="0.25">
      <c r="E331" s="82" t="s">
        <v>1302</v>
      </c>
    </row>
    <row r="332" spans="5:5" x14ac:dyDescent="0.25">
      <c r="E332" s="82" t="s">
        <v>1303</v>
      </c>
    </row>
    <row r="333" spans="5:5" x14ac:dyDescent="0.25">
      <c r="E333" s="82" t="s">
        <v>1304</v>
      </c>
    </row>
    <row r="334" spans="5:5" x14ac:dyDescent="0.25">
      <c r="E334" s="82" t="s">
        <v>1305</v>
      </c>
    </row>
    <row r="335" spans="5:5" x14ac:dyDescent="0.25">
      <c r="E335" s="82" t="s">
        <v>1306</v>
      </c>
    </row>
    <row r="336" spans="5:5" x14ac:dyDescent="0.25">
      <c r="E336" s="82" t="s">
        <v>1307</v>
      </c>
    </row>
    <row r="337" spans="5:5" x14ac:dyDescent="0.25">
      <c r="E337" s="82" t="s">
        <v>1308</v>
      </c>
    </row>
    <row r="338" spans="5:5" x14ac:dyDescent="0.25">
      <c r="E338" s="82" t="s">
        <v>1309</v>
      </c>
    </row>
    <row r="339" spans="5:5" x14ac:dyDescent="0.25">
      <c r="E339" s="82" t="s">
        <v>1310</v>
      </c>
    </row>
    <row r="340" spans="5:5" x14ac:dyDescent="0.25">
      <c r="E340" s="82" t="s">
        <v>1311</v>
      </c>
    </row>
    <row r="341" spans="5:5" x14ac:dyDescent="0.25">
      <c r="E341" s="82" t="s">
        <v>1312</v>
      </c>
    </row>
    <row r="342" spans="5:5" x14ac:dyDescent="0.25">
      <c r="E342" s="82" t="s">
        <v>1313</v>
      </c>
    </row>
    <row r="343" spans="5:5" x14ac:dyDescent="0.25">
      <c r="E343" s="82" t="s">
        <v>1314</v>
      </c>
    </row>
    <row r="344" spans="5:5" x14ac:dyDescent="0.25">
      <c r="E344" s="82" t="s">
        <v>1315</v>
      </c>
    </row>
    <row r="345" spans="5:5" x14ac:dyDescent="0.25">
      <c r="E345" s="82" t="s">
        <v>1316</v>
      </c>
    </row>
    <row r="346" spans="5:5" x14ac:dyDescent="0.25">
      <c r="E346" s="82" t="s">
        <v>1317</v>
      </c>
    </row>
    <row r="347" spans="5:5" x14ac:dyDescent="0.25">
      <c r="E347" s="82" t="s">
        <v>1318</v>
      </c>
    </row>
    <row r="348" spans="5:5" x14ac:dyDescent="0.25">
      <c r="E348" s="82" t="s">
        <v>1319</v>
      </c>
    </row>
    <row r="349" spans="5:5" x14ac:dyDescent="0.25">
      <c r="E349" s="82" t="s">
        <v>1320</v>
      </c>
    </row>
    <row r="350" spans="5:5" x14ac:dyDescent="0.25">
      <c r="E350" s="82" t="s">
        <v>1321</v>
      </c>
    </row>
    <row r="351" spans="5:5" x14ac:dyDescent="0.25">
      <c r="E351" s="82" t="s">
        <v>1322</v>
      </c>
    </row>
    <row r="352" spans="5:5" x14ac:dyDescent="0.25">
      <c r="E352" s="82" t="s">
        <v>1323</v>
      </c>
    </row>
    <row r="353" spans="5:5" x14ac:dyDescent="0.25">
      <c r="E353" s="82" t="s">
        <v>1324</v>
      </c>
    </row>
    <row r="354" spans="5:5" x14ac:dyDescent="0.25">
      <c r="E354" s="82" t="s">
        <v>1325</v>
      </c>
    </row>
    <row r="355" spans="5:5" x14ac:dyDescent="0.25">
      <c r="E355" s="82" t="s">
        <v>1326</v>
      </c>
    </row>
    <row r="356" spans="5:5" x14ac:dyDescent="0.25">
      <c r="E356" s="82" t="s">
        <v>1327</v>
      </c>
    </row>
    <row r="357" spans="5:5" x14ac:dyDescent="0.25">
      <c r="E357" s="82" t="s">
        <v>1328</v>
      </c>
    </row>
    <row r="358" spans="5:5" x14ac:dyDescent="0.25">
      <c r="E358" s="82" t="s">
        <v>1329</v>
      </c>
    </row>
    <row r="359" spans="5:5" x14ac:dyDescent="0.25">
      <c r="E359" s="82" t="s">
        <v>1330</v>
      </c>
    </row>
    <row r="360" spans="5:5" x14ac:dyDescent="0.25">
      <c r="E360" s="82" t="s">
        <v>1331</v>
      </c>
    </row>
    <row r="361" spans="5:5" x14ac:dyDescent="0.25">
      <c r="E361" s="82" t="s">
        <v>1332</v>
      </c>
    </row>
    <row r="362" spans="5:5" x14ac:dyDescent="0.25">
      <c r="E362" s="82" t="s">
        <v>1333</v>
      </c>
    </row>
    <row r="363" spans="5:5" x14ac:dyDescent="0.25">
      <c r="E363" s="82" t="s">
        <v>1334</v>
      </c>
    </row>
    <row r="364" spans="5:5" x14ac:dyDescent="0.25">
      <c r="E364" s="82" t="s">
        <v>1335</v>
      </c>
    </row>
    <row r="365" spans="5:5" x14ac:dyDescent="0.25">
      <c r="E365" s="82" t="s">
        <v>1336</v>
      </c>
    </row>
    <row r="366" spans="5:5" x14ac:dyDescent="0.25">
      <c r="E366" s="82" t="s">
        <v>1337</v>
      </c>
    </row>
    <row r="367" spans="5:5" x14ac:dyDescent="0.25">
      <c r="E367" s="82" t="s">
        <v>1338</v>
      </c>
    </row>
    <row r="368" spans="5:5" x14ac:dyDescent="0.25">
      <c r="E368" s="82" t="s">
        <v>1339</v>
      </c>
    </row>
    <row r="369" spans="5:5" x14ac:dyDescent="0.25">
      <c r="E369" s="82" t="s">
        <v>1340</v>
      </c>
    </row>
    <row r="370" spans="5:5" x14ac:dyDescent="0.25">
      <c r="E370" s="82" t="s">
        <v>1341</v>
      </c>
    </row>
    <row r="371" spans="5:5" x14ac:dyDescent="0.25">
      <c r="E371" s="82" t="s">
        <v>1342</v>
      </c>
    </row>
    <row r="372" spans="5:5" x14ac:dyDescent="0.25">
      <c r="E372" s="82" t="s">
        <v>1343</v>
      </c>
    </row>
    <row r="373" spans="5:5" x14ac:dyDescent="0.25">
      <c r="E373" s="82" t="s">
        <v>1344</v>
      </c>
    </row>
    <row r="374" spans="5:5" x14ac:dyDescent="0.25">
      <c r="E374" s="82" t="s">
        <v>1345</v>
      </c>
    </row>
    <row r="375" spans="5:5" x14ac:dyDescent="0.25">
      <c r="E375" s="82" t="s">
        <v>1346</v>
      </c>
    </row>
    <row r="376" spans="5:5" x14ac:dyDescent="0.25">
      <c r="E376" s="82" t="s">
        <v>1347</v>
      </c>
    </row>
    <row r="377" spans="5:5" x14ac:dyDescent="0.25">
      <c r="E377" s="82" t="s">
        <v>1348</v>
      </c>
    </row>
    <row r="378" spans="5:5" x14ac:dyDescent="0.25">
      <c r="E378" s="82" t="s">
        <v>1349</v>
      </c>
    </row>
    <row r="379" spans="5:5" x14ac:dyDescent="0.25">
      <c r="E379" s="82" t="s">
        <v>1350</v>
      </c>
    </row>
    <row r="380" spans="5:5" x14ac:dyDescent="0.25">
      <c r="E380" s="82" t="s">
        <v>1351</v>
      </c>
    </row>
    <row r="381" spans="5:5" x14ac:dyDescent="0.25">
      <c r="E381" s="82" t="s">
        <v>1352</v>
      </c>
    </row>
    <row r="382" spans="5:5" x14ac:dyDescent="0.25">
      <c r="E382" s="82" t="s">
        <v>1353</v>
      </c>
    </row>
    <row r="383" spans="5:5" x14ac:dyDescent="0.25">
      <c r="E383" s="82" t="s">
        <v>1354</v>
      </c>
    </row>
    <row r="384" spans="5:5" x14ac:dyDescent="0.25">
      <c r="E384" s="82" t="s">
        <v>1355</v>
      </c>
    </row>
    <row r="385" spans="5:5" x14ac:dyDescent="0.25">
      <c r="E385" s="82" t="s">
        <v>1356</v>
      </c>
    </row>
    <row r="386" spans="5:5" x14ac:dyDescent="0.25">
      <c r="E386" s="82" t="s">
        <v>1357</v>
      </c>
    </row>
    <row r="387" spans="5:5" x14ac:dyDescent="0.25">
      <c r="E387" s="82" t="s">
        <v>1358</v>
      </c>
    </row>
    <row r="388" spans="5:5" x14ac:dyDescent="0.25">
      <c r="E388" s="82" t="s">
        <v>1359</v>
      </c>
    </row>
    <row r="389" spans="5:5" x14ac:dyDescent="0.25">
      <c r="E389" s="82" t="s">
        <v>1360</v>
      </c>
    </row>
    <row r="390" spans="5:5" x14ac:dyDescent="0.25">
      <c r="E390" s="82" t="s">
        <v>1361</v>
      </c>
    </row>
    <row r="391" spans="5:5" x14ac:dyDescent="0.25">
      <c r="E391" s="82" t="s">
        <v>1362</v>
      </c>
    </row>
    <row r="392" spans="5:5" x14ac:dyDescent="0.25">
      <c r="E392" s="82" t="s">
        <v>1363</v>
      </c>
    </row>
    <row r="393" spans="5:5" x14ac:dyDescent="0.25">
      <c r="E393" s="82" t="s">
        <v>1364</v>
      </c>
    </row>
    <row r="394" spans="5:5" x14ac:dyDescent="0.25">
      <c r="E394" s="82" t="s">
        <v>1365</v>
      </c>
    </row>
    <row r="395" spans="5:5" x14ac:dyDescent="0.25">
      <c r="E395" s="82" t="s">
        <v>1366</v>
      </c>
    </row>
    <row r="396" spans="5:5" x14ac:dyDescent="0.25">
      <c r="E396" s="82" t="s">
        <v>1367</v>
      </c>
    </row>
    <row r="397" spans="5:5" x14ac:dyDescent="0.25">
      <c r="E397" s="82" t="s">
        <v>1368</v>
      </c>
    </row>
    <row r="398" spans="5:5" x14ac:dyDescent="0.25">
      <c r="E398" s="82" t="s">
        <v>1369</v>
      </c>
    </row>
    <row r="399" spans="5:5" x14ac:dyDescent="0.25">
      <c r="E399" s="82" t="s">
        <v>1370</v>
      </c>
    </row>
    <row r="400" spans="5:5" x14ac:dyDescent="0.25">
      <c r="E400" s="82" t="s">
        <v>1371</v>
      </c>
    </row>
    <row r="401" spans="5:5" x14ac:dyDescent="0.25">
      <c r="E401" s="82" t="s">
        <v>1372</v>
      </c>
    </row>
    <row r="402" spans="5:5" x14ac:dyDescent="0.25">
      <c r="E402" s="82" t="s">
        <v>1373</v>
      </c>
    </row>
    <row r="403" spans="5:5" x14ac:dyDescent="0.25">
      <c r="E403" s="82" t="s">
        <v>1374</v>
      </c>
    </row>
    <row r="404" spans="5:5" x14ac:dyDescent="0.25">
      <c r="E404" s="82" t="s">
        <v>1375</v>
      </c>
    </row>
    <row r="405" spans="5:5" x14ac:dyDescent="0.25">
      <c r="E405" s="82" t="s">
        <v>1376</v>
      </c>
    </row>
    <row r="406" spans="5:5" x14ac:dyDescent="0.25">
      <c r="E406" s="82" t="s">
        <v>1377</v>
      </c>
    </row>
    <row r="407" spans="5:5" x14ac:dyDescent="0.25">
      <c r="E407" s="82" t="s">
        <v>1378</v>
      </c>
    </row>
    <row r="408" spans="5:5" x14ac:dyDescent="0.25">
      <c r="E408" s="82" t="s">
        <v>1379</v>
      </c>
    </row>
    <row r="409" spans="5:5" x14ac:dyDescent="0.25">
      <c r="E409" s="82" t="s">
        <v>1380</v>
      </c>
    </row>
    <row r="410" spans="5:5" x14ac:dyDescent="0.25">
      <c r="E410" s="82" t="s">
        <v>1381</v>
      </c>
    </row>
    <row r="411" spans="5:5" x14ac:dyDescent="0.25">
      <c r="E411" s="82" t="s">
        <v>1382</v>
      </c>
    </row>
    <row r="412" spans="5:5" x14ac:dyDescent="0.25">
      <c r="E412" s="82" t="s">
        <v>1383</v>
      </c>
    </row>
    <row r="413" spans="5:5" x14ac:dyDescent="0.25">
      <c r="E413" s="82" t="s">
        <v>1384</v>
      </c>
    </row>
    <row r="414" spans="5:5" x14ac:dyDescent="0.25">
      <c r="E414" s="82" t="s">
        <v>1385</v>
      </c>
    </row>
    <row r="415" spans="5:5" x14ac:dyDescent="0.25">
      <c r="E415" s="82" t="s">
        <v>1386</v>
      </c>
    </row>
    <row r="416" spans="5:5" x14ac:dyDescent="0.25">
      <c r="E416" s="82" t="s">
        <v>1387</v>
      </c>
    </row>
    <row r="417" spans="5:5" x14ac:dyDescent="0.25">
      <c r="E417" s="82" t="s">
        <v>1388</v>
      </c>
    </row>
    <row r="418" spans="5:5" x14ac:dyDescent="0.25">
      <c r="E418" s="82" t="s">
        <v>1389</v>
      </c>
    </row>
    <row r="419" spans="5:5" x14ac:dyDescent="0.25">
      <c r="E419" s="82" t="s">
        <v>1390</v>
      </c>
    </row>
    <row r="420" spans="5:5" x14ac:dyDescent="0.25">
      <c r="E420" s="82" t="s">
        <v>1391</v>
      </c>
    </row>
    <row r="421" spans="5:5" x14ac:dyDescent="0.25">
      <c r="E421" s="82" t="s">
        <v>1392</v>
      </c>
    </row>
    <row r="422" spans="5:5" x14ac:dyDescent="0.25">
      <c r="E422" s="82" t="s">
        <v>1393</v>
      </c>
    </row>
    <row r="423" spans="5:5" x14ac:dyDescent="0.25">
      <c r="E423" s="82" t="s">
        <v>1394</v>
      </c>
    </row>
    <row r="424" spans="5:5" x14ac:dyDescent="0.25">
      <c r="E424" s="82" t="s">
        <v>1395</v>
      </c>
    </row>
    <row r="425" spans="5:5" x14ac:dyDescent="0.25">
      <c r="E425" s="82" t="s">
        <v>1396</v>
      </c>
    </row>
    <row r="426" spans="5:5" x14ac:dyDescent="0.25">
      <c r="E426" s="82" t="s">
        <v>1397</v>
      </c>
    </row>
    <row r="427" spans="5:5" x14ac:dyDescent="0.25">
      <c r="E427" s="82" t="s">
        <v>1398</v>
      </c>
    </row>
    <row r="428" spans="5:5" x14ac:dyDescent="0.25">
      <c r="E428" s="82" t="s">
        <v>1399</v>
      </c>
    </row>
    <row r="429" spans="5:5" x14ac:dyDescent="0.25">
      <c r="E429" s="82" t="s">
        <v>1400</v>
      </c>
    </row>
    <row r="430" spans="5:5" x14ac:dyDescent="0.25">
      <c r="E430" s="82" t="s">
        <v>1401</v>
      </c>
    </row>
    <row r="431" spans="5:5" x14ac:dyDescent="0.25">
      <c r="E431" s="82" t="s">
        <v>1402</v>
      </c>
    </row>
    <row r="432" spans="5:5" x14ac:dyDescent="0.25">
      <c r="E432" s="82" t="s">
        <v>1403</v>
      </c>
    </row>
    <row r="433" spans="5:5" x14ac:dyDescent="0.25">
      <c r="E433" s="82" t="s">
        <v>1404</v>
      </c>
    </row>
    <row r="434" spans="5:5" x14ac:dyDescent="0.25">
      <c r="E434" s="82" t="s">
        <v>1405</v>
      </c>
    </row>
    <row r="435" spans="5:5" x14ac:dyDescent="0.25">
      <c r="E435" s="82" t="s">
        <v>1406</v>
      </c>
    </row>
    <row r="436" spans="5:5" x14ac:dyDescent="0.25">
      <c r="E436" s="82" t="s">
        <v>1407</v>
      </c>
    </row>
    <row r="437" spans="5:5" x14ac:dyDescent="0.25">
      <c r="E437" s="82" t="s">
        <v>1408</v>
      </c>
    </row>
    <row r="438" spans="5:5" x14ac:dyDescent="0.25">
      <c r="E438" s="82" t="s">
        <v>1409</v>
      </c>
    </row>
    <row r="439" spans="5:5" x14ac:dyDescent="0.25">
      <c r="E439" s="82" t="s">
        <v>1410</v>
      </c>
    </row>
    <row r="440" spans="5:5" x14ac:dyDescent="0.25">
      <c r="E440" s="82" t="s">
        <v>1411</v>
      </c>
    </row>
    <row r="441" spans="5:5" x14ac:dyDescent="0.25">
      <c r="E441" s="82" t="s">
        <v>1412</v>
      </c>
    </row>
    <row r="442" spans="5:5" x14ac:dyDescent="0.25">
      <c r="E442" s="82" t="s">
        <v>1413</v>
      </c>
    </row>
    <row r="443" spans="5:5" x14ac:dyDescent="0.25">
      <c r="E443" s="82" t="s">
        <v>1414</v>
      </c>
    </row>
    <row r="444" spans="5:5" x14ac:dyDescent="0.25">
      <c r="E444" s="82" t="s">
        <v>1415</v>
      </c>
    </row>
    <row r="445" spans="5:5" x14ac:dyDescent="0.25">
      <c r="E445" s="82" t="s">
        <v>1416</v>
      </c>
    </row>
    <row r="446" spans="5:5" x14ac:dyDescent="0.25">
      <c r="E446" s="82" t="s">
        <v>1417</v>
      </c>
    </row>
    <row r="447" spans="5:5" x14ac:dyDescent="0.25">
      <c r="E447" s="82" t="s">
        <v>1418</v>
      </c>
    </row>
    <row r="448" spans="5:5" x14ac:dyDescent="0.25">
      <c r="E448" s="82" t="s">
        <v>1419</v>
      </c>
    </row>
    <row r="449" spans="5:5" x14ac:dyDescent="0.25">
      <c r="E449" s="82" t="s">
        <v>1420</v>
      </c>
    </row>
    <row r="450" spans="5:5" x14ac:dyDescent="0.25">
      <c r="E450" s="82" t="s">
        <v>1421</v>
      </c>
    </row>
    <row r="451" spans="5:5" x14ac:dyDescent="0.25">
      <c r="E451" s="82" t="s">
        <v>1422</v>
      </c>
    </row>
    <row r="452" spans="5:5" x14ac:dyDescent="0.25">
      <c r="E452" s="82" t="s">
        <v>1423</v>
      </c>
    </row>
    <row r="453" spans="5:5" x14ac:dyDescent="0.25">
      <c r="E453" s="82" t="s">
        <v>1424</v>
      </c>
    </row>
    <row r="454" spans="5:5" x14ac:dyDescent="0.25">
      <c r="E454" s="82" t="s">
        <v>1425</v>
      </c>
    </row>
    <row r="455" spans="5:5" x14ac:dyDescent="0.25">
      <c r="E455" s="82" t="s">
        <v>1426</v>
      </c>
    </row>
    <row r="456" spans="5:5" x14ac:dyDescent="0.25">
      <c r="E456" s="82" t="s">
        <v>1427</v>
      </c>
    </row>
    <row r="457" spans="5:5" x14ac:dyDescent="0.25">
      <c r="E457" s="82" t="s">
        <v>1428</v>
      </c>
    </row>
    <row r="458" spans="5:5" x14ac:dyDescent="0.25">
      <c r="E458" s="82" t="s">
        <v>1429</v>
      </c>
    </row>
    <row r="459" spans="5:5" x14ac:dyDescent="0.25">
      <c r="E459" s="82" t="s">
        <v>1430</v>
      </c>
    </row>
    <row r="460" spans="5:5" x14ac:dyDescent="0.25">
      <c r="E460" s="82" t="s">
        <v>1431</v>
      </c>
    </row>
    <row r="461" spans="5:5" x14ac:dyDescent="0.25">
      <c r="E461" s="82" t="s">
        <v>1432</v>
      </c>
    </row>
    <row r="462" spans="5:5" x14ac:dyDescent="0.25">
      <c r="E462" s="82" t="s">
        <v>1433</v>
      </c>
    </row>
    <row r="463" spans="5:5" x14ac:dyDescent="0.25">
      <c r="E463" s="82" t="s">
        <v>1434</v>
      </c>
    </row>
    <row r="464" spans="5:5" x14ac:dyDescent="0.25">
      <c r="E464" s="82" t="s">
        <v>1435</v>
      </c>
    </row>
    <row r="465" spans="5:5" x14ac:dyDescent="0.25">
      <c r="E465" s="82" t="s">
        <v>1436</v>
      </c>
    </row>
    <row r="466" spans="5:5" x14ac:dyDescent="0.25">
      <c r="E466" s="82" t="s">
        <v>1437</v>
      </c>
    </row>
    <row r="467" spans="5:5" x14ac:dyDescent="0.25">
      <c r="E467" s="82" t="s">
        <v>1438</v>
      </c>
    </row>
    <row r="468" spans="5:5" x14ac:dyDescent="0.25">
      <c r="E468" s="82" t="s">
        <v>1439</v>
      </c>
    </row>
    <row r="469" spans="5:5" x14ac:dyDescent="0.25">
      <c r="E469" s="82" t="s">
        <v>1440</v>
      </c>
    </row>
    <row r="470" spans="5:5" x14ac:dyDescent="0.25">
      <c r="E470" s="82" t="s">
        <v>1441</v>
      </c>
    </row>
    <row r="471" spans="5:5" x14ac:dyDescent="0.25">
      <c r="E471" s="82" t="s">
        <v>1442</v>
      </c>
    </row>
    <row r="472" spans="5:5" x14ac:dyDescent="0.25">
      <c r="E472" s="82" t="s">
        <v>1443</v>
      </c>
    </row>
    <row r="473" spans="5:5" x14ac:dyDescent="0.25">
      <c r="E473" s="82" t="s">
        <v>1444</v>
      </c>
    </row>
    <row r="474" spans="5:5" x14ac:dyDescent="0.25">
      <c r="E474" s="82" t="s">
        <v>1445</v>
      </c>
    </row>
    <row r="475" spans="5:5" x14ac:dyDescent="0.25">
      <c r="E475" s="82" t="s">
        <v>1446</v>
      </c>
    </row>
    <row r="476" spans="5:5" x14ac:dyDescent="0.25">
      <c r="E476" s="82" t="s">
        <v>1447</v>
      </c>
    </row>
    <row r="477" spans="5:5" x14ac:dyDescent="0.25">
      <c r="E477" s="82" t="s">
        <v>1448</v>
      </c>
    </row>
    <row r="478" spans="5:5" x14ac:dyDescent="0.25">
      <c r="E478" s="82" t="s">
        <v>1449</v>
      </c>
    </row>
    <row r="479" spans="5:5" x14ac:dyDescent="0.25">
      <c r="E479" s="82" t="s">
        <v>1450</v>
      </c>
    </row>
    <row r="480" spans="5:5" x14ac:dyDescent="0.25">
      <c r="E480" s="82" t="s">
        <v>1451</v>
      </c>
    </row>
    <row r="481" spans="5:5" x14ac:dyDescent="0.25">
      <c r="E481" s="82" t="s">
        <v>1452</v>
      </c>
    </row>
    <row r="482" spans="5:5" x14ac:dyDescent="0.25">
      <c r="E482" s="82" t="s">
        <v>1453</v>
      </c>
    </row>
    <row r="483" spans="5:5" x14ac:dyDescent="0.25">
      <c r="E483" s="82" t="s">
        <v>1454</v>
      </c>
    </row>
    <row r="484" spans="5:5" x14ac:dyDescent="0.25">
      <c r="E484" s="82" t="s">
        <v>1455</v>
      </c>
    </row>
    <row r="485" spans="5:5" x14ac:dyDescent="0.25">
      <c r="E485" s="82" t="s">
        <v>1456</v>
      </c>
    </row>
    <row r="486" spans="5:5" x14ac:dyDescent="0.25">
      <c r="E486" s="82" t="s">
        <v>1457</v>
      </c>
    </row>
    <row r="487" spans="5:5" x14ac:dyDescent="0.25">
      <c r="E487" s="82" t="s">
        <v>1458</v>
      </c>
    </row>
    <row r="488" spans="5:5" x14ac:dyDescent="0.25">
      <c r="E488" s="82" t="s">
        <v>1459</v>
      </c>
    </row>
    <row r="489" spans="5:5" x14ac:dyDescent="0.25">
      <c r="E489" s="82" t="s">
        <v>1460</v>
      </c>
    </row>
    <row r="490" spans="5:5" x14ac:dyDescent="0.25">
      <c r="E490" s="82" t="s">
        <v>1461</v>
      </c>
    </row>
    <row r="491" spans="5:5" x14ac:dyDescent="0.25">
      <c r="E491" s="82" t="s">
        <v>1462</v>
      </c>
    </row>
    <row r="492" spans="5:5" x14ac:dyDescent="0.25">
      <c r="E492" s="82" t="s">
        <v>1463</v>
      </c>
    </row>
    <row r="493" spans="5:5" x14ac:dyDescent="0.25">
      <c r="E493" s="82" t="s">
        <v>1464</v>
      </c>
    </row>
    <row r="494" spans="5:5" x14ac:dyDescent="0.25">
      <c r="E494" s="82" t="s">
        <v>1465</v>
      </c>
    </row>
    <row r="495" spans="5:5" x14ac:dyDescent="0.25">
      <c r="E495" s="82" t="s">
        <v>1466</v>
      </c>
    </row>
    <row r="496" spans="5:5" x14ac:dyDescent="0.25">
      <c r="E496" s="82" t="s">
        <v>1467</v>
      </c>
    </row>
    <row r="497" spans="5:5" x14ac:dyDescent="0.25">
      <c r="E497" s="82" t="s">
        <v>1468</v>
      </c>
    </row>
    <row r="498" spans="5:5" x14ac:dyDescent="0.25">
      <c r="E498" s="82" t="s">
        <v>1469</v>
      </c>
    </row>
    <row r="499" spans="5:5" x14ac:dyDescent="0.25">
      <c r="E499" s="82" t="s">
        <v>1470</v>
      </c>
    </row>
    <row r="500" spans="5:5" x14ac:dyDescent="0.25">
      <c r="E500" s="82" t="s">
        <v>1471</v>
      </c>
    </row>
    <row r="501" spans="5:5" x14ac:dyDescent="0.25">
      <c r="E501" s="82" t="s">
        <v>1472</v>
      </c>
    </row>
    <row r="502" spans="5:5" x14ac:dyDescent="0.25">
      <c r="E502" s="82" t="s">
        <v>1473</v>
      </c>
    </row>
    <row r="503" spans="5:5" x14ac:dyDescent="0.25">
      <c r="E503" s="82" t="s">
        <v>1474</v>
      </c>
    </row>
    <row r="504" spans="5:5" x14ac:dyDescent="0.25">
      <c r="E504" s="82" t="s">
        <v>1475</v>
      </c>
    </row>
    <row r="505" spans="5:5" x14ac:dyDescent="0.25">
      <c r="E505" s="82" t="s">
        <v>1476</v>
      </c>
    </row>
    <row r="506" spans="5:5" x14ac:dyDescent="0.25">
      <c r="E506" s="82" t="s">
        <v>1477</v>
      </c>
    </row>
    <row r="507" spans="5:5" x14ac:dyDescent="0.25">
      <c r="E507" s="82" t="s">
        <v>1478</v>
      </c>
    </row>
    <row r="508" spans="5:5" x14ac:dyDescent="0.25">
      <c r="E508" s="82" t="s">
        <v>1479</v>
      </c>
    </row>
    <row r="509" spans="5:5" x14ac:dyDescent="0.25">
      <c r="E509" s="82" t="s">
        <v>1480</v>
      </c>
    </row>
    <row r="510" spans="5:5" x14ac:dyDescent="0.25">
      <c r="E510" s="82" t="s">
        <v>1481</v>
      </c>
    </row>
    <row r="511" spans="5:5" x14ac:dyDescent="0.25">
      <c r="E511" s="82" t="s">
        <v>1482</v>
      </c>
    </row>
    <row r="512" spans="5:5" x14ac:dyDescent="0.25">
      <c r="E512" s="82" t="s">
        <v>1483</v>
      </c>
    </row>
    <row r="513" spans="5:5" x14ac:dyDescent="0.25">
      <c r="E513" s="82" t="s">
        <v>1484</v>
      </c>
    </row>
    <row r="514" spans="5:5" x14ac:dyDescent="0.25">
      <c r="E514" s="82" t="s">
        <v>1485</v>
      </c>
    </row>
    <row r="515" spans="5:5" x14ac:dyDescent="0.25">
      <c r="E515" s="82" t="s">
        <v>1486</v>
      </c>
    </row>
    <row r="516" spans="5:5" x14ac:dyDescent="0.25">
      <c r="E516" s="82" t="s">
        <v>1487</v>
      </c>
    </row>
    <row r="517" spans="5:5" x14ac:dyDescent="0.25">
      <c r="E517" s="82" t="s">
        <v>1488</v>
      </c>
    </row>
    <row r="518" spans="5:5" x14ac:dyDescent="0.25">
      <c r="E518" s="82" t="s">
        <v>1489</v>
      </c>
    </row>
    <row r="519" spans="5:5" x14ac:dyDescent="0.25">
      <c r="E519" s="82" t="s">
        <v>1490</v>
      </c>
    </row>
    <row r="520" spans="5:5" x14ac:dyDescent="0.25">
      <c r="E520" s="82" t="s">
        <v>1491</v>
      </c>
    </row>
    <row r="521" spans="5:5" x14ac:dyDescent="0.25">
      <c r="E521" s="82" t="s">
        <v>1492</v>
      </c>
    </row>
    <row r="522" spans="5:5" x14ac:dyDescent="0.25">
      <c r="E522" s="82" t="s">
        <v>1493</v>
      </c>
    </row>
    <row r="523" spans="5:5" x14ac:dyDescent="0.25">
      <c r="E523" s="82" t="s">
        <v>1494</v>
      </c>
    </row>
    <row r="524" spans="5:5" x14ac:dyDescent="0.25">
      <c r="E524" s="82" t="s">
        <v>1495</v>
      </c>
    </row>
    <row r="525" spans="5:5" x14ac:dyDescent="0.25">
      <c r="E525" s="82" t="s">
        <v>1496</v>
      </c>
    </row>
    <row r="526" spans="5:5" x14ac:dyDescent="0.25">
      <c r="E526" s="82" t="s">
        <v>1497</v>
      </c>
    </row>
    <row r="527" spans="5:5" x14ac:dyDescent="0.25">
      <c r="E527" s="82" t="s">
        <v>1498</v>
      </c>
    </row>
    <row r="528" spans="5:5" x14ac:dyDescent="0.25">
      <c r="E528" s="82" t="s">
        <v>1499</v>
      </c>
    </row>
    <row r="529" spans="5:5" x14ac:dyDescent="0.25">
      <c r="E529" s="82" t="s">
        <v>1500</v>
      </c>
    </row>
    <row r="530" spans="5:5" x14ac:dyDescent="0.25">
      <c r="E530" s="82" t="s">
        <v>1501</v>
      </c>
    </row>
    <row r="531" spans="5:5" x14ac:dyDescent="0.25">
      <c r="E531" s="82" t="s">
        <v>1502</v>
      </c>
    </row>
    <row r="532" spans="5:5" x14ac:dyDescent="0.25">
      <c r="E532" s="82" t="s">
        <v>1503</v>
      </c>
    </row>
    <row r="533" spans="5:5" x14ac:dyDescent="0.25">
      <c r="E533" s="82" t="s">
        <v>1504</v>
      </c>
    </row>
    <row r="534" spans="5:5" x14ac:dyDescent="0.25">
      <c r="E534" s="82" t="s">
        <v>1505</v>
      </c>
    </row>
    <row r="535" spans="5:5" x14ac:dyDescent="0.25">
      <c r="E535" s="82" t="s">
        <v>1506</v>
      </c>
    </row>
    <row r="536" spans="5:5" x14ac:dyDescent="0.25">
      <c r="E536" s="82" t="s">
        <v>1507</v>
      </c>
    </row>
    <row r="537" spans="5:5" x14ac:dyDescent="0.25">
      <c r="E537" s="82" t="s">
        <v>1508</v>
      </c>
    </row>
    <row r="538" spans="5:5" x14ac:dyDescent="0.25">
      <c r="E538" s="82" t="s">
        <v>1509</v>
      </c>
    </row>
    <row r="539" spans="5:5" x14ac:dyDescent="0.25">
      <c r="E539" s="82" t="s">
        <v>1510</v>
      </c>
    </row>
    <row r="540" spans="5:5" x14ac:dyDescent="0.25">
      <c r="E540" s="82" t="s">
        <v>1511</v>
      </c>
    </row>
    <row r="541" spans="5:5" x14ac:dyDescent="0.25">
      <c r="E541" s="82" t="s">
        <v>1512</v>
      </c>
    </row>
    <row r="542" spans="5:5" x14ac:dyDescent="0.25">
      <c r="E542" s="82" t="s">
        <v>1513</v>
      </c>
    </row>
    <row r="543" spans="5:5" x14ac:dyDescent="0.25">
      <c r="E543" s="82" t="s">
        <v>1514</v>
      </c>
    </row>
    <row r="544" spans="5:5" x14ac:dyDescent="0.25">
      <c r="E544" s="82" t="s">
        <v>1515</v>
      </c>
    </row>
    <row r="545" spans="5:5" x14ac:dyDescent="0.25">
      <c r="E545" s="82" t="s">
        <v>1516</v>
      </c>
    </row>
    <row r="546" spans="5:5" x14ac:dyDescent="0.25">
      <c r="E546" s="82" t="s">
        <v>1517</v>
      </c>
    </row>
    <row r="547" spans="5:5" x14ac:dyDescent="0.25">
      <c r="E547" s="82" t="s">
        <v>1518</v>
      </c>
    </row>
    <row r="548" spans="5:5" x14ac:dyDescent="0.25">
      <c r="E548" s="82" t="s">
        <v>1519</v>
      </c>
    </row>
    <row r="549" spans="5:5" x14ac:dyDescent="0.25">
      <c r="E549" s="82" t="s">
        <v>1520</v>
      </c>
    </row>
    <row r="550" spans="5:5" x14ac:dyDescent="0.25">
      <c r="E550" s="82" t="s">
        <v>1521</v>
      </c>
    </row>
    <row r="551" spans="5:5" x14ac:dyDescent="0.25">
      <c r="E551" s="82" t="s">
        <v>1522</v>
      </c>
    </row>
    <row r="552" spans="5:5" x14ac:dyDescent="0.25">
      <c r="E552" s="82" t="s">
        <v>1523</v>
      </c>
    </row>
    <row r="553" spans="5:5" x14ac:dyDescent="0.25">
      <c r="E553" s="82" t="s">
        <v>1524</v>
      </c>
    </row>
    <row r="554" spans="5:5" x14ac:dyDescent="0.25">
      <c r="E554" s="82" t="s">
        <v>1525</v>
      </c>
    </row>
    <row r="555" spans="5:5" x14ac:dyDescent="0.25">
      <c r="E555" s="82" t="s">
        <v>1526</v>
      </c>
    </row>
    <row r="556" spans="5:5" x14ac:dyDescent="0.25">
      <c r="E556" s="82" t="s">
        <v>1527</v>
      </c>
    </row>
    <row r="557" spans="5:5" x14ac:dyDescent="0.25">
      <c r="E557" s="82" t="s">
        <v>1528</v>
      </c>
    </row>
    <row r="558" spans="5:5" x14ac:dyDescent="0.25">
      <c r="E558" s="82" t="s">
        <v>1529</v>
      </c>
    </row>
    <row r="559" spans="5:5" x14ac:dyDescent="0.25">
      <c r="E559" s="82" t="s">
        <v>1530</v>
      </c>
    </row>
    <row r="560" spans="5:5" x14ac:dyDescent="0.25">
      <c r="E560" s="82" t="s">
        <v>1531</v>
      </c>
    </row>
    <row r="561" spans="5:5" x14ac:dyDescent="0.25">
      <c r="E561" s="82" t="s">
        <v>1532</v>
      </c>
    </row>
    <row r="562" spans="5:5" x14ac:dyDescent="0.25">
      <c r="E562" s="82" t="s">
        <v>1533</v>
      </c>
    </row>
    <row r="563" spans="5:5" x14ac:dyDescent="0.25">
      <c r="E563" s="82" t="s">
        <v>1534</v>
      </c>
    </row>
    <row r="564" spans="5:5" x14ac:dyDescent="0.25">
      <c r="E564" s="82" t="s">
        <v>1535</v>
      </c>
    </row>
    <row r="565" spans="5:5" x14ac:dyDescent="0.25">
      <c r="E565" s="82" t="s">
        <v>1536</v>
      </c>
    </row>
    <row r="566" spans="5:5" x14ac:dyDescent="0.25">
      <c r="E566" s="82" t="s">
        <v>1537</v>
      </c>
    </row>
    <row r="567" spans="5:5" x14ac:dyDescent="0.25">
      <c r="E567" s="82" t="s">
        <v>1538</v>
      </c>
    </row>
    <row r="568" spans="5:5" x14ac:dyDescent="0.25">
      <c r="E568" s="82" t="s">
        <v>1539</v>
      </c>
    </row>
    <row r="569" spans="5:5" x14ac:dyDescent="0.25">
      <c r="E569" s="82" t="s">
        <v>1540</v>
      </c>
    </row>
    <row r="570" spans="5:5" x14ac:dyDescent="0.25">
      <c r="E570" s="82" t="s">
        <v>1541</v>
      </c>
    </row>
    <row r="571" spans="5:5" x14ac:dyDescent="0.25">
      <c r="E571" s="82" t="s">
        <v>1542</v>
      </c>
    </row>
    <row r="572" spans="5:5" x14ac:dyDescent="0.25">
      <c r="E572" s="82" t="s">
        <v>1543</v>
      </c>
    </row>
    <row r="573" spans="5:5" x14ac:dyDescent="0.25">
      <c r="E573" s="82" t="s">
        <v>1544</v>
      </c>
    </row>
    <row r="574" spans="5:5" x14ac:dyDescent="0.25">
      <c r="E574" s="82" t="s">
        <v>1545</v>
      </c>
    </row>
    <row r="575" spans="5:5" x14ac:dyDescent="0.25">
      <c r="E575" s="82" t="s">
        <v>1546</v>
      </c>
    </row>
    <row r="576" spans="5:5" x14ac:dyDescent="0.25">
      <c r="E576" s="82" t="s">
        <v>1547</v>
      </c>
    </row>
    <row r="577" spans="5:5" x14ac:dyDescent="0.25">
      <c r="E577" s="82" t="s">
        <v>1548</v>
      </c>
    </row>
    <row r="578" spans="5:5" x14ac:dyDescent="0.25">
      <c r="E578" s="82" t="s">
        <v>1549</v>
      </c>
    </row>
    <row r="579" spans="5:5" x14ac:dyDescent="0.25">
      <c r="E579" s="82" t="s">
        <v>1550</v>
      </c>
    </row>
    <row r="580" spans="5:5" x14ac:dyDescent="0.25">
      <c r="E580" s="82" t="s">
        <v>1551</v>
      </c>
    </row>
    <row r="581" spans="5:5" x14ac:dyDescent="0.25">
      <c r="E581" s="82" t="s">
        <v>1552</v>
      </c>
    </row>
    <row r="582" spans="5:5" x14ac:dyDescent="0.25">
      <c r="E582" s="82" t="s">
        <v>1553</v>
      </c>
    </row>
    <row r="583" spans="5:5" x14ac:dyDescent="0.25">
      <c r="E583" s="82" t="s">
        <v>1554</v>
      </c>
    </row>
    <row r="584" spans="5:5" x14ac:dyDescent="0.25">
      <c r="E584" s="82" t="s">
        <v>1555</v>
      </c>
    </row>
    <row r="585" spans="5:5" x14ac:dyDescent="0.25">
      <c r="E585" s="82" t="s">
        <v>1556</v>
      </c>
    </row>
    <row r="586" spans="5:5" x14ac:dyDescent="0.25">
      <c r="E586" s="82" t="s">
        <v>1557</v>
      </c>
    </row>
    <row r="587" spans="5:5" x14ac:dyDescent="0.25">
      <c r="E587" s="82" t="s">
        <v>1558</v>
      </c>
    </row>
    <row r="588" spans="5:5" x14ac:dyDescent="0.25">
      <c r="E588" s="82" t="s">
        <v>1559</v>
      </c>
    </row>
    <row r="589" spans="5:5" x14ac:dyDescent="0.25">
      <c r="E589" s="82" t="s">
        <v>1560</v>
      </c>
    </row>
    <row r="590" spans="5:5" x14ac:dyDescent="0.25">
      <c r="E590" s="82" t="s">
        <v>1561</v>
      </c>
    </row>
    <row r="591" spans="5:5" x14ac:dyDescent="0.25">
      <c r="E591" s="82" t="s">
        <v>1562</v>
      </c>
    </row>
    <row r="592" spans="5:5" x14ac:dyDescent="0.25">
      <c r="E592" s="82" t="s">
        <v>1563</v>
      </c>
    </row>
    <row r="593" spans="5:5" x14ac:dyDescent="0.25">
      <c r="E593" s="82" t="s">
        <v>1564</v>
      </c>
    </row>
    <row r="594" spans="5:5" x14ac:dyDescent="0.25">
      <c r="E594" s="82" t="s">
        <v>1565</v>
      </c>
    </row>
    <row r="595" spans="5:5" x14ac:dyDescent="0.25">
      <c r="E595" s="82" t="s">
        <v>1566</v>
      </c>
    </row>
    <row r="596" spans="5:5" x14ac:dyDescent="0.25">
      <c r="E596" s="82" t="s">
        <v>1567</v>
      </c>
    </row>
    <row r="597" spans="5:5" x14ac:dyDescent="0.25">
      <c r="E597" s="82" t="s">
        <v>1568</v>
      </c>
    </row>
    <row r="598" spans="5:5" x14ac:dyDescent="0.25">
      <c r="E598" s="82" t="s">
        <v>1569</v>
      </c>
    </row>
    <row r="599" spans="5:5" x14ac:dyDescent="0.25">
      <c r="E599" s="82" t="s">
        <v>1570</v>
      </c>
    </row>
    <row r="600" spans="5:5" x14ac:dyDescent="0.25">
      <c r="E600" s="82" t="s">
        <v>1571</v>
      </c>
    </row>
    <row r="601" spans="5:5" x14ac:dyDescent="0.25">
      <c r="E601" s="82" t="s">
        <v>1572</v>
      </c>
    </row>
    <row r="602" spans="5:5" x14ac:dyDescent="0.25">
      <c r="E602" s="82" t="s">
        <v>1573</v>
      </c>
    </row>
    <row r="603" spans="5:5" x14ac:dyDescent="0.25">
      <c r="E603" s="82" t="s">
        <v>1574</v>
      </c>
    </row>
    <row r="604" spans="5:5" x14ac:dyDescent="0.25">
      <c r="E604" s="82" t="s">
        <v>1575</v>
      </c>
    </row>
    <row r="605" spans="5:5" x14ac:dyDescent="0.25">
      <c r="E605" s="82" t="s">
        <v>1576</v>
      </c>
    </row>
    <row r="606" spans="5:5" x14ac:dyDescent="0.25">
      <c r="E606" s="82" t="s">
        <v>1577</v>
      </c>
    </row>
    <row r="607" spans="5:5" x14ac:dyDescent="0.25">
      <c r="E607" s="82" t="s">
        <v>1578</v>
      </c>
    </row>
    <row r="608" spans="5:5" x14ac:dyDescent="0.25">
      <c r="E608" s="82" t="s">
        <v>1579</v>
      </c>
    </row>
    <row r="609" spans="5:5" x14ac:dyDescent="0.25">
      <c r="E609" s="82" t="s">
        <v>1580</v>
      </c>
    </row>
    <row r="610" spans="5:5" x14ac:dyDescent="0.25">
      <c r="E610" s="82" t="s">
        <v>1581</v>
      </c>
    </row>
    <row r="611" spans="5:5" x14ac:dyDescent="0.25">
      <c r="E611" s="82" t="s">
        <v>1582</v>
      </c>
    </row>
    <row r="612" spans="5:5" x14ac:dyDescent="0.25">
      <c r="E612" s="82" t="s">
        <v>1583</v>
      </c>
    </row>
    <row r="613" spans="5:5" x14ac:dyDescent="0.25">
      <c r="E613" s="82" t="s">
        <v>1584</v>
      </c>
    </row>
    <row r="614" spans="5:5" x14ac:dyDescent="0.25">
      <c r="E614" s="82" t="s">
        <v>1585</v>
      </c>
    </row>
    <row r="615" spans="5:5" x14ac:dyDescent="0.25">
      <c r="E615" s="82" t="s">
        <v>1586</v>
      </c>
    </row>
    <row r="616" spans="5:5" x14ac:dyDescent="0.25">
      <c r="E616" s="82" t="s">
        <v>1587</v>
      </c>
    </row>
    <row r="617" spans="5:5" x14ac:dyDescent="0.25">
      <c r="E617" s="82" t="s">
        <v>1588</v>
      </c>
    </row>
    <row r="618" spans="5:5" x14ac:dyDescent="0.25">
      <c r="E618" s="82" t="s">
        <v>1589</v>
      </c>
    </row>
    <row r="619" spans="5:5" x14ac:dyDescent="0.25">
      <c r="E619" s="82" t="s">
        <v>1590</v>
      </c>
    </row>
    <row r="620" spans="5:5" x14ac:dyDescent="0.25">
      <c r="E620" s="82" t="s">
        <v>1591</v>
      </c>
    </row>
    <row r="621" spans="5:5" x14ac:dyDescent="0.25">
      <c r="E621" s="82" t="s">
        <v>1592</v>
      </c>
    </row>
    <row r="622" spans="5:5" x14ac:dyDescent="0.25">
      <c r="E622" s="82" t="s">
        <v>1593</v>
      </c>
    </row>
    <row r="623" spans="5:5" x14ac:dyDescent="0.25">
      <c r="E623" s="82" t="s">
        <v>1594</v>
      </c>
    </row>
    <row r="624" spans="5:5" x14ac:dyDescent="0.25">
      <c r="E624" s="82" t="s">
        <v>1595</v>
      </c>
    </row>
    <row r="625" spans="5:5" x14ac:dyDescent="0.25">
      <c r="E625" s="82" t="s">
        <v>1596</v>
      </c>
    </row>
    <row r="626" spans="5:5" x14ac:dyDescent="0.25">
      <c r="E626" s="82" t="s">
        <v>1597</v>
      </c>
    </row>
    <row r="627" spans="5:5" x14ac:dyDescent="0.25">
      <c r="E627" s="82" t="s">
        <v>1598</v>
      </c>
    </row>
    <row r="628" spans="5:5" x14ac:dyDescent="0.25">
      <c r="E628" s="82" t="s">
        <v>1599</v>
      </c>
    </row>
    <row r="629" spans="5:5" x14ac:dyDescent="0.25">
      <c r="E629" s="82" t="s">
        <v>1600</v>
      </c>
    </row>
    <row r="630" spans="5:5" x14ac:dyDescent="0.25">
      <c r="E630" s="82" t="s">
        <v>1601</v>
      </c>
    </row>
    <row r="631" spans="5:5" x14ac:dyDescent="0.25">
      <c r="E631" s="82" t="s">
        <v>1602</v>
      </c>
    </row>
    <row r="632" spans="5:5" x14ac:dyDescent="0.25">
      <c r="E632" s="82" t="s">
        <v>1603</v>
      </c>
    </row>
    <row r="633" spans="5:5" x14ac:dyDescent="0.25">
      <c r="E633" s="82" t="s">
        <v>1604</v>
      </c>
    </row>
    <row r="634" spans="5:5" x14ac:dyDescent="0.25">
      <c r="E634" s="82" t="s">
        <v>1605</v>
      </c>
    </row>
    <row r="635" spans="5:5" x14ac:dyDescent="0.25">
      <c r="E635" s="82" t="s">
        <v>1606</v>
      </c>
    </row>
    <row r="636" spans="5:5" x14ac:dyDescent="0.25">
      <c r="E636" s="82" t="s">
        <v>1607</v>
      </c>
    </row>
    <row r="637" spans="5:5" x14ac:dyDescent="0.25">
      <c r="E637" s="82" t="s">
        <v>1608</v>
      </c>
    </row>
    <row r="638" spans="5:5" x14ac:dyDescent="0.25">
      <c r="E638" s="82" t="s">
        <v>1609</v>
      </c>
    </row>
    <row r="639" spans="5:5" x14ac:dyDescent="0.25">
      <c r="E639" s="82" t="s">
        <v>1610</v>
      </c>
    </row>
    <row r="640" spans="5:5" x14ac:dyDescent="0.25">
      <c r="E640" s="82" t="s">
        <v>1611</v>
      </c>
    </row>
    <row r="641" spans="5:5" x14ac:dyDescent="0.25">
      <c r="E641" s="82" t="s">
        <v>1612</v>
      </c>
    </row>
    <row r="642" spans="5:5" x14ac:dyDescent="0.25">
      <c r="E642" s="82" t="s">
        <v>1613</v>
      </c>
    </row>
    <row r="643" spans="5:5" x14ac:dyDescent="0.25">
      <c r="E643" s="82" t="s">
        <v>1614</v>
      </c>
    </row>
    <row r="644" spans="5:5" x14ac:dyDescent="0.25">
      <c r="E644" s="82" t="s">
        <v>1615</v>
      </c>
    </row>
    <row r="645" spans="5:5" x14ac:dyDescent="0.25">
      <c r="E645" s="82" t="s">
        <v>1616</v>
      </c>
    </row>
    <row r="646" spans="5:5" x14ac:dyDescent="0.25">
      <c r="E646" s="82" t="s">
        <v>1617</v>
      </c>
    </row>
    <row r="647" spans="5:5" x14ac:dyDescent="0.25">
      <c r="E647" s="82" t="s">
        <v>1618</v>
      </c>
    </row>
    <row r="648" spans="5:5" x14ac:dyDescent="0.25">
      <c r="E648" s="82" t="s">
        <v>1619</v>
      </c>
    </row>
    <row r="649" spans="5:5" x14ac:dyDescent="0.25">
      <c r="E649" s="82" t="s">
        <v>1620</v>
      </c>
    </row>
    <row r="650" spans="5:5" x14ac:dyDescent="0.25">
      <c r="E650" s="82" t="s">
        <v>1621</v>
      </c>
    </row>
    <row r="651" spans="5:5" x14ac:dyDescent="0.25">
      <c r="E651" s="82" t="s">
        <v>1622</v>
      </c>
    </row>
    <row r="652" spans="5:5" x14ac:dyDescent="0.25">
      <c r="E652" s="82" t="s">
        <v>1623</v>
      </c>
    </row>
    <row r="653" spans="5:5" x14ac:dyDescent="0.25">
      <c r="E653" s="82" t="s">
        <v>1624</v>
      </c>
    </row>
    <row r="654" spans="5:5" x14ac:dyDescent="0.25">
      <c r="E654" s="82" t="s">
        <v>1625</v>
      </c>
    </row>
    <row r="655" spans="5:5" x14ac:dyDescent="0.25">
      <c r="E655" s="82" t="s">
        <v>1626</v>
      </c>
    </row>
    <row r="656" spans="5:5" x14ac:dyDescent="0.25">
      <c r="E656" s="82" t="s">
        <v>1627</v>
      </c>
    </row>
    <row r="657" spans="5:5" x14ac:dyDescent="0.25">
      <c r="E657" s="82" t="s">
        <v>1628</v>
      </c>
    </row>
    <row r="658" spans="5:5" x14ac:dyDescent="0.25">
      <c r="E658" s="82" t="s">
        <v>1629</v>
      </c>
    </row>
    <row r="659" spans="5:5" x14ac:dyDescent="0.25">
      <c r="E659" s="82" t="s">
        <v>1630</v>
      </c>
    </row>
    <row r="660" spans="5:5" x14ac:dyDescent="0.25">
      <c r="E660" s="82" t="s">
        <v>1631</v>
      </c>
    </row>
    <row r="661" spans="5:5" x14ac:dyDescent="0.25">
      <c r="E661" s="82" t="s">
        <v>1632</v>
      </c>
    </row>
    <row r="662" spans="5:5" x14ac:dyDescent="0.25">
      <c r="E662" s="82" t="s">
        <v>1633</v>
      </c>
    </row>
    <row r="663" spans="5:5" x14ac:dyDescent="0.25">
      <c r="E663" s="82" t="s">
        <v>1634</v>
      </c>
    </row>
    <row r="664" spans="5:5" x14ac:dyDescent="0.25">
      <c r="E664" s="82" t="s">
        <v>1635</v>
      </c>
    </row>
    <row r="665" spans="5:5" x14ac:dyDescent="0.25">
      <c r="E665" s="82" t="s">
        <v>1636</v>
      </c>
    </row>
    <row r="666" spans="5:5" x14ac:dyDescent="0.25">
      <c r="E666" s="82" t="s">
        <v>1637</v>
      </c>
    </row>
    <row r="667" spans="5:5" x14ac:dyDescent="0.25">
      <c r="E667" s="82" t="s">
        <v>1638</v>
      </c>
    </row>
    <row r="668" spans="5:5" x14ac:dyDescent="0.25">
      <c r="E668" s="82" t="s">
        <v>1639</v>
      </c>
    </row>
    <row r="669" spans="5:5" x14ac:dyDescent="0.25">
      <c r="E669" s="82" t="s">
        <v>1640</v>
      </c>
    </row>
    <row r="670" spans="5:5" x14ac:dyDescent="0.25">
      <c r="E670" s="82" t="s">
        <v>1641</v>
      </c>
    </row>
    <row r="671" spans="5:5" x14ac:dyDescent="0.25">
      <c r="E671" s="82" t="s">
        <v>1642</v>
      </c>
    </row>
    <row r="672" spans="5:5" x14ac:dyDescent="0.25">
      <c r="E672" s="82" t="s">
        <v>1643</v>
      </c>
    </row>
    <row r="673" spans="5:5" x14ac:dyDescent="0.25">
      <c r="E673" s="82" t="s">
        <v>1644</v>
      </c>
    </row>
    <row r="674" spans="5:5" x14ac:dyDescent="0.25">
      <c r="E674" s="82" t="s">
        <v>1645</v>
      </c>
    </row>
    <row r="675" spans="5:5" x14ac:dyDescent="0.25">
      <c r="E675" s="82" t="s">
        <v>1646</v>
      </c>
    </row>
    <row r="676" spans="5:5" x14ac:dyDescent="0.25">
      <c r="E676" s="82" t="s">
        <v>1647</v>
      </c>
    </row>
    <row r="677" spans="5:5" x14ac:dyDescent="0.25">
      <c r="E677" s="82" t="s">
        <v>1648</v>
      </c>
    </row>
    <row r="678" spans="5:5" x14ac:dyDescent="0.25">
      <c r="E678" s="82" t="s">
        <v>1649</v>
      </c>
    </row>
    <row r="679" spans="5:5" x14ac:dyDescent="0.25">
      <c r="E679" s="82" t="s">
        <v>1650</v>
      </c>
    </row>
    <row r="680" spans="5:5" x14ac:dyDescent="0.25">
      <c r="E680" s="82" t="s">
        <v>1651</v>
      </c>
    </row>
    <row r="681" spans="5:5" x14ac:dyDescent="0.25">
      <c r="E681" s="82" t="s">
        <v>1652</v>
      </c>
    </row>
    <row r="682" spans="5:5" x14ac:dyDescent="0.25">
      <c r="E682" s="82" t="s">
        <v>1653</v>
      </c>
    </row>
    <row r="683" spans="5:5" x14ac:dyDescent="0.25">
      <c r="E683" s="82" t="s">
        <v>1654</v>
      </c>
    </row>
    <row r="684" spans="5:5" x14ac:dyDescent="0.25">
      <c r="E684" s="82" t="s">
        <v>1655</v>
      </c>
    </row>
    <row r="685" spans="5:5" x14ac:dyDescent="0.25">
      <c r="E685" s="82" t="s">
        <v>1656</v>
      </c>
    </row>
    <row r="686" spans="5:5" x14ac:dyDescent="0.25">
      <c r="E686" s="82" t="s">
        <v>1657</v>
      </c>
    </row>
    <row r="687" spans="5:5" x14ac:dyDescent="0.25">
      <c r="E687" s="82" t="s">
        <v>1658</v>
      </c>
    </row>
    <row r="688" spans="5:5" x14ac:dyDescent="0.25">
      <c r="E688" s="82" t="s">
        <v>1659</v>
      </c>
    </row>
    <row r="689" spans="5:5" x14ac:dyDescent="0.25">
      <c r="E689" s="82" t="s">
        <v>1660</v>
      </c>
    </row>
    <row r="690" spans="5:5" x14ac:dyDescent="0.25">
      <c r="E690" s="82" t="s">
        <v>1661</v>
      </c>
    </row>
    <row r="691" spans="5:5" x14ac:dyDescent="0.25">
      <c r="E691" s="82" t="s">
        <v>1662</v>
      </c>
    </row>
    <row r="692" spans="5:5" x14ac:dyDescent="0.25">
      <c r="E692" s="82" t="s">
        <v>1663</v>
      </c>
    </row>
    <row r="693" spans="5:5" x14ac:dyDescent="0.25">
      <c r="E693" s="82" t="s">
        <v>1664</v>
      </c>
    </row>
    <row r="694" spans="5:5" x14ac:dyDescent="0.25">
      <c r="E694" s="82" t="s">
        <v>1665</v>
      </c>
    </row>
    <row r="695" spans="5:5" x14ac:dyDescent="0.25">
      <c r="E695" s="82" t="s">
        <v>1666</v>
      </c>
    </row>
    <row r="696" spans="5:5" x14ac:dyDescent="0.25">
      <c r="E696" s="82" t="s">
        <v>1667</v>
      </c>
    </row>
    <row r="697" spans="5:5" x14ac:dyDescent="0.25">
      <c r="E697" s="82" t="s">
        <v>1668</v>
      </c>
    </row>
    <row r="698" spans="5:5" x14ac:dyDescent="0.25">
      <c r="E698" s="82" t="s">
        <v>1669</v>
      </c>
    </row>
    <row r="699" spans="5:5" x14ac:dyDescent="0.25">
      <c r="E699" s="82" t="s">
        <v>1670</v>
      </c>
    </row>
    <row r="700" spans="5:5" x14ac:dyDescent="0.25">
      <c r="E700" s="82" t="s">
        <v>1671</v>
      </c>
    </row>
    <row r="701" spans="5:5" x14ac:dyDescent="0.25">
      <c r="E701" s="82" t="s">
        <v>1672</v>
      </c>
    </row>
    <row r="702" spans="5:5" x14ac:dyDescent="0.25">
      <c r="E702" s="82" t="s">
        <v>1673</v>
      </c>
    </row>
    <row r="703" spans="5:5" x14ac:dyDescent="0.25">
      <c r="E703" s="82" t="s">
        <v>1674</v>
      </c>
    </row>
    <row r="704" spans="5:5" x14ac:dyDescent="0.25">
      <c r="E704" s="82" t="s">
        <v>1675</v>
      </c>
    </row>
    <row r="705" spans="5:5" x14ac:dyDescent="0.25">
      <c r="E705" s="82" t="s">
        <v>1676</v>
      </c>
    </row>
    <row r="706" spans="5:5" x14ac:dyDescent="0.25">
      <c r="E706" s="82" t="s">
        <v>1677</v>
      </c>
    </row>
    <row r="707" spans="5:5" x14ac:dyDescent="0.25">
      <c r="E707" s="82" t="s">
        <v>1678</v>
      </c>
    </row>
    <row r="708" spans="5:5" x14ac:dyDescent="0.25">
      <c r="E708" s="82" t="s">
        <v>1679</v>
      </c>
    </row>
    <row r="709" spans="5:5" x14ac:dyDescent="0.25">
      <c r="E709" s="82" t="s">
        <v>1680</v>
      </c>
    </row>
    <row r="710" spans="5:5" x14ac:dyDescent="0.25">
      <c r="E710" s="82" t="s">
        <v>1681</v>
      </c>
    </row>
    <row r="711" spans="5:5" x14ac:dyDescent="0.25">
      <c r="E711" s="82" t="s">
        <v>1682</v>
      </c>
    </row>
    <row r="712" spans="5:5" x14ac:dyDescent="0.25">
      <c r="E712" s="82" t="s">
        <v>1683</v>
      </c>
    </row>
    <row r="713" spans="5:5" x14ac:dyDescent="0.25">
      <c r="E713" s="82" t="s">
        <v>1684</v>
      </c>
    </row>
    <row r="714" spans="5:5" x14ac:dyDescent="0.25">
      <c r="E714" s="82" t="s">
        <v>1685</v>
      </c>
    </row>
    <row r="715" spans="5:5" x14ac:dyDescent="0.25">
      <c r="E715" s="82" t="s">
        <v>1686</v>
      </c>
    </row>
    <row r="716" spans="5:5" x14ac:dyDescent="0.25">
      <c r="E716" s="82" t="s">
        <v>1687</v>
      </c>
    </row>
    <row r="717" spans="5:5" x14ac:dyDescent="0.25">
      <c r="E717" s="82" t="s">
        <v>1688</v>
      </c>
    </row>
    <row r="718" spans="5:5" x14ac:dyDescent="0.25">
      <c r="E718" s="82" t="s">
        <v>1689</v>
      </c>
    </row>
    <row r="719" spans="5:5" x14ac:dyDescent="0.25">
      <c r="E719" s="82" t="s">
        <v>1690</v>
      </c>
    </row>
    <row r="720" spans="5:5" x14ac:dyDescent="0.25">
      <c r="E720" s="82" t="s">
        <v>1691</v>
      </c>
    </row>
    <row r="721" spans="5:5" x14ac:dyDescent="0.25">
      <c r="E721" s="82" t="s">
        <v>1692</v>
      </c>
    </row>
    <row r="722" spans="5:5" x14ac:dyDescent="0.25">
      <c r="E722" s="82" t="s">
        <v>1693</v>
      </c>
    </row>
    <row r="723" spans="5:5" x14ac:dyDescent="0.25">
      <c r="E723" s="82" t="s">
        <v>1694</v>
      </c>
    </row>
    <row r="724" spans="5:5" x14ac:dyDescent="0.25">
      <c r="E724" s="82" t="s">
        <v>1695</v>
      </c>
    </row>
    <row r="725" spans="5:5" x14ac:dyDescent="0.25">
      <c r="E725" s="82" t="s">
        <v>1696</v>
      </c>
    </row>
    <row r="726" spans="5:5" x14ac:dyDescent="0.25">
      <c r="E726" s="82" t="s">
        <v>1697</v>
      </c>
    </row>
    <row r="727" spans="5:5" x14ac:dyDescent="0.25">
      <c r="E727" s="82" t="s">
        <v>1698</v>
      </c>
    </row>
    <row r="728" spans="5:5" x14ac:dyDescent="0.25">
      <c r="E728" s="82" t="s">
        <v>1699</v>
      </c>
    </row>
    <row r="729" spans="5:5" x14ac:dyDescent="0.25">
      <c r="E729" s="82" t="s">
        <v>1700</v>
      </c>
    </row>
    <row r="730" spans="5:5" x14ac:dyDescent="0.25">
      <c r="E730" s="82" t="s">
        <v>1701</v>
      </c>
    </row>
    <row r="731" spans="5:5" x14ac:dyDescent="0.25">
      <c r="E731" s="82" t="s">
        <v>1702</v>
      </c>
    </row>
    <row r="732" spans="5:5" x14ac:dyDescent="0.25">
      <c r="E732" s="82" t="s">
        <v>1703</v>
      </c>
    </row>
    <row r="733" spans="5:5" x14ac:dyDescent="0.25">
      <c r="E733" s="82" t="s">
        <v>1704</v>
      </c>
    </row>
    <row r="734" spans="5:5" x14ac:dyDescent="0.25">
      <c r="E734" s="82" t="s">
        <v>1705</v>
      </c>
    </row>
    <row r="735" spans="5:5" x14ac:dyDescent="0.25">
      <c r="E735" s="82" t="s">
        <v>1706</v>
      </c>
    </row>
    <row r="736" spans="5:5" x14ac:dyDescent="0.25">
      <c r="E736" s="82" t="s">
        <v>1707</v>
      </c>
    </row>
    <row r="737" spans="5:5" x14ac:dyDescent="0.25">
      <c r="E737" s="82" t="s">
        <v>1708</v>
      </c>
    </row>
    <row r="738" spans="5:5" x14ac:dyDescent="0.25">
      <c r="E738" s="82" t="s">
        <v>1709</v>
      </c>
    </row>
    <row r="739" spans="5:5" x14ac:dyDescent="0.25">
      <c r="E739" s="82" t="s">
        <v>1710</v>
      </c>
    </row>
    <row r="740" spans="5:5" x14ac:dyDescent="0.25">
      <c r="E740" s="82" t="s">
        <v>1711</v>
      </c>
    </row>
    <row r="741" spans="5:5" x14ac:dyDescent="0.25">
      <c r="E741" s="82" t="s">
        <v>1712</v>
      </c>
    </row>
    <row r="742" spans="5:5" x14ac:dyDescent="0.25">
      <c r="E742" s="82" t="s">
        <v>1713</v>
      </c>
    </row>
    <row r="743" spans="5:5" x14ac:dyDescent="0.25">
      <c r="E743" s="82" t="s">
        <v>1714</v>
      </c>
    </row>
    <row r="744" spans="5:5" x14ac:dyDescent="0.25">
      <c r="E744" s="82" t="s">
        <v>1715</v>
      </c>
    </row>
    <row r="745" spans="5:5" x14ac:dyDescent="0.25">
      <c r="E745" s="82" t="s">
        <v>1716</v>
      </c>
    </row>
    <row r="746" spans="5:5" x14ac:dyDescent="0.25">
      <c r="E746" s="82" t="s">
        <v>1717</v>
      </c>
    </row>
    <row r="747" spans="5:5" x14ac:dyDescent="0.25">
      <c r="E747" s="82" t="s">
        <v>1718</v>
      </c>
    </row>
    <row r="748" spans="5:5" x14ac:dyDescent="0.25">
      <c r="E748" s="82" t="s">
        <v>1719</v>
      </c>
    </row>
    <row r="749" spans="5:5" x14ac:dyDescent="0.25">
      <c r="E749" s="82" t="s">
        <v>1720</v>
      </c>
    </row>
    <row r="750" spans="5:5" x14ac:dyDescent="0.25">
      <c r="E750" s="82" t="s">
        <v>1721</v>
      </c>
    </row>
    <row r="751" spans="5:5" x14ac:dyDescent="0.25">
      <c r="E751" s="82" t="s">
        <v>1722</v>
      </c>
    </row>
    <row r="752" spans="5:5" x14ac:dyDescent="0.25">
      <c r="E752" s="82" t="s">
        <v>1723</v>
      </c>
    </row>
    <row r="753" spans="5:5" x14ac:dyDescent="0.25">
      <c r="E753" s="82" t="s">
        <v>1724</v>
      </c>
    </row>
    <row r="754" spans="5:5" x14ac:dyDescent="0.25">
      <c r="E754" s="82" t="s">
        <v>1725</v>
      </c>
    </row>
    <row r="755" spans="5:5" x14ac:dyDescent="0.25">
      <c r="E755" s="82" t="s">
        <v>1726</v>
      </c>
    </row>
    <row r="756" spans="5:5" x14ac:dyDescent="0.25">
      <c r="E756" s="82" t="s">
        <v>1727</v>
      </c>
    </row>
    <row r="757" spans="5:5" x14ac:dyDescent="0.25">
      <c r="E757" s="82" t="s">
        <v>1728</v>
      </c>
    </row>
    <row r="758" spans="5:5" x14ac:dyDescent="0.25">
      <c r="E758" s="82" t="s">
        <v>1729</v>
      </c>
    </row>
    <row r="759" spans="5:5" x14ac:dyDescent="0.25">
      <c r="E759" s="82" t="s">
        <v>1730</v>
      </c>
    </row>
    <row r="760" spans="5:5" x14ac:dyDescent="0.25">
      <c r="E760" s="82" t="s">
        <v>1731</v>
      </c>
    </row>
    <row r="761" spans="5:5" x14ac:dyDescent="0.25">
      <c r="E761" s="82" t="s">
        <v>1732</v>
      </c>
    </row>
    <row r="762" spans="5:5" x14ac:dyDescent="0.25">
      <c r="E762" s="82" t="s">
        <v>1733</v>
      </c>
    </row>
    <row r="763" spans="5:5" x14ac:dyDescent="0.25">
      <c r="E763" s="82" t="s">
        <v>1734</v>
      </c>
    </row>
    <row r="764" spans="5:5" x14ac:dyDescent="0.25">
      <c r="E764" s="82" t="s">
        <v>1735</v>
      </c>
    </row>
    <row r="765" spans="5:5" x14ac:dyDescent="0.25">
      <c r="E765" s="82" t="s">
        <v>1736</v>
      </c>
    </row>
    <row r="766" spans="5:5" x14ac:dyDescent="0.25">
      <c r="E766" s="82" t="s">
        <v>1737</v>
      </c>
    </row>
    <row r="767" spans="5:5" x14ac:dyDescent="0.25">
      <c r="E767" s="82" t="s">
        <v>1738</v>
      </c>
    </row>
    <row r="768" spans="5:5" x14ac:dyDescent="0.25">
      <c r="E768" s="82" t="s">
        <v>1739</v>
      </c>
    </row>
    <row r="769" spans="5:5" x14ac:dyDescent="0.25">
      <c r="E769" s="82" t="s">
        <v>1740</v>
      </c>
    </row>
    <row r="770" spans="5:5" x14ac:dyDescent="0.25">
      <c r="E770" s="82" t="s">
        <v>1741</v>
      </c>
    </row>
    <row r="771" spans="5:5" x14ac:dyDescent="0.25">
      <c r="E771" s="82" t="s">
        <v>1742</v>
      </c>
    </row>
    <row r="772" spans="5:5" x14ac:dyDescent="0.25">
      <c r="E772" s="82" t="s">
        <v>1743</v>
      </c>
    </row>
    <row r="773" spans="5:5" x14ac:dyDescent="0.25">
      <c r="E773" s="82" t="s">
        <v>1744</v>
      </c>
    </row>
    <row r="774" spans="5:5" x14ac:dyDescent="0.25">
      <c r="E774" s="82" t="s">
        <v>1745</v>
      </c>
    </row>
    <row r="775" spans="5:5" x14ac:dyDescent="0.25">
      <c r="E775" s="82" t="s">
        <v>1746</v>
      </c>
    </row>
    <row r="776" spans="5:5" x14ac:dyDescent="0.25">
      <c r="E776" s="82" t="s">
        <v>1747</v>
      </c>
    </row>
    <row r="777" spans="5:5" x14ac:dyDescent="0.25">
      <c r="E777" s="82" t="s">
        <v>1748</v>
      </c>
    </row>
    <row r="778" spans="5:5" x14ac:dyDescent="0.25">
      <c r="E778" s="82" t="s">
        <v>1749</v>
      </c>
    </row>
    <row r="779" spans="5:5" x14ac:dyDescent="0.25">
      <c r="E779" s="82" t="s">
        <v>1750</v>
      </c>
    </row>
    <row r="780" spans="5:5" x14ac:dyDescent="0.25">
      <c r="E780" s="82" t="s">
        <v>1751</v>
      </c>
    </row>
    <row r="781" spans="5:5" x14ac:dyDescent="0.25">
      <c r="E781" s="82" t="s">
        <v>1752</v>
      </c>
    </row>
    <row r="782" spans="5:5" x14ac:dyDescent="0.25">
      <c r="E782" s="82" t="s">
        <v>1753</v>
      </c>
    </row>
    <row r="783" spans="5:5" x14ac:dyDescent="0.25">
      <c r="E783" s="82" t="s">
        <v>1754</v>
      </c>
    </row>
    <row r="784" spans="5:5" x14ac:dyDescent="0.25">
      <c r="E784" s="82" t="s">
        <v>1755</v>
      </c>
    </row>
    <row r="785" spans="5:5" x14ac:dyDescent="0.25">
      <c r="E785" s="82" t="s">
        <v>1756</v>
      </c>
    </row>
    <row r="786" spans="5:5" x14ac:dyDescent="0.25">
      <c r="E786" s="82" t="s">
        <v>1757</v>
      </c>
    </row>
    <row r="787" spans="5:5" x14ac:dyDescent="0.25">
      <c r="E787" s="82" t="s">
        <v>1758</v>
      </c>
    </row>
    <row r="788" spans="5:5" x14ac:dyDescent="0.25">
      <c r="E788" s="82" t="s">
        <v>1759</v>
      </c>
    </row>
    <row r="789" spans="5:5" x14ac:dyDescent="0.25">
      <c r="E789" s="82" t="s">
        <v>1760</v>
      </c>
    </row>
    <row r="790" spans="5:5" x14ac:dyDescent="0.25">
      <c r="E790" s="82" t="s">
        <v>1761</v>
      </c>
    </row>
    <row r="791" spans="5:5" x14ac:dyDescent="0.25">
      <c r="E791" s="82" t="s">
        <v>1762</v>
      </c>
    </row>
    <row r="792" spans="5:5" x14ac:dyDescent="0.25">
      <c r="E792" s="82" t="s">
        <v>1763</v>
      </c>
    </row>
    <row r="793" spans="5:5" x14ac:dyDescent="0.25">
      <c r="E793" s="82" t="s">
        <v>1764</v>
      </c>
    </row>
    <row r="794" spans="5:5" x14ac:dyDescent="0.25">
      <c r="E794" s="82" t="s">
        <v>1765</v>
      </c>
    </row>
    <row r="795" spans="5:5" x14ac:dyDescent="0.25">
      <c r="E795" s="82" t="s">
        <v>1766</v>
      </c>
    </row>
    <row r="796" spans="5:5" x14ac:dyDescent="0.25">
      <c r="E796" s="82" t="s">
        <v>1767</v>
      </c>
    </row>
    <row r="797" spans="5:5" x14ac:dyDescent="0.25">
      <c r="E797" s="82" t="s">
        <v>1768</v>
      </c>
    </row>
    <row r="798" spans="5:5" x14ac:dyDescent="0.25">
      <c r="E798" s="82" t="s">
        <v>1769</v>
      </c>
    </row>
    <row r="799" spans="5:5" x14ac:dyDescent="0.25">
      <c r="E799" s="82" t="s">
        <v>1770</v>
      </c>
    </row>
    <row r="800" spans="5:5" x14ac:dyDescent="0.25">
      <c r="E800" s="82" t="s">
        <v>1771</v>
      </c>
    </row>
    <row r="801" spans="5:5" x14ac:dyDescent="0.25">
      <c r="E801" s="82" t="s">
        <v>1772</v>
      </c>
    </row>
    <row r="802" spans="5:5" x14ac:dyDescent="0.25">
      <c r="E802" s="82" t="s">
        <v>1773</v>
      </c>
    </row>
    <row r="803" spans="5:5" x14ac:dyDescent="0.25">
      <c r="E803" s="82" t="s">
        <v>1774</v>
      </c>
    </row>
    <row r="804" spans="5:5" x14ac:dyDescent="0.25">
      <c r="E804" s="82" t="s">
        <v>1775</v>
      </c>
    </row>
    <row r="805" spans="5:5" x14ac:dyDescent="0.25">
      <c r="E805" s="82" t="s">
        <v>1776</v>
      </c>
    </row>
    <row r="806" spans="5:5" x14ac:dyDescent="0.25">
      <c r="E806" s="82" t="s">
        <v>1777</v>
      </c>
    </row>
    <row r="807" spans="5:5" x14ac:dyDescent="0.25">
      <c r="E807" s="82" t="s">
        <v>1778</v>
      </c>
    </row>
    <row r="808" spans="5:5" x14ac:dyDescent="0.25">
      <c r="E808" s="82" t="s">
        <v>1779</v>
      </c>
    </row>
    <row r="809" spans="5:5" x14ac:dyDescent="0.25">
      <c r="E809" s="82" t="s">
        <v>1780</v>
      </c>
    </row>
    <row r="810" spans="5:5" x14ac:dyDescent="0.25">
      <c r="E810" s="82" t="s">
        <v>1781</v>
      </c>
    </row>
    <row r="811" spans="5:5" x14ac:dyDescent="0.25">
      <c r="E811" s="82" t="s">
        <v>1782</v>
      </c>
    </row>
    <row r="812" spans="5:5" x14ac:dyDescent="0.25">
      <c r="E812" s="82" t="s">
        <v>1783</v>
      </c>
    </row>
    <row r="813" spans="5:5" x14ac:dyDescent="0.25">
      <c r="E813" s="82" t="s">
        <v>1784</v>
      </c>
    </row>
    <row r="814" spans="5:5" x14ac:dyDescent="0.25">
      <c r="E814" s="82" t="s">
        <v>1785</v>
      </c>
    </row>
    <row r="815" spans="5:5" x14ac:dyDescent="0.25">
      <c r="E815" s="82" t="s">
        <v>1786</v>
      </c>
    </row>
    <row r="816" spans="5:5" x14ac:dyDescent="0.25">
      <c r="E816" s="82" t="s">
        <v>1787</v>
      </c>
    </row>
    <row r="817" spans="5:5" x14ac:dyDescent="0.25">
      <c r="E817" s="82" t="s">
        <v>1788</v>
      </c>
    </row>
    <row r="818" spans="5:5" x14ac:dyDescent="0.25">
      <c r="E818" s="82" t="s">
        <v>1789</v>
      </c>
    </row>
    <row r="819" spans="5:5" x14ac:dyDescent="0.25">
      <c r="E819" s="82" t="s">
        <v>1790</v>
      </c>
    </row>
    <row r="820" spans="5:5" x14ac:dyDescent="0.25">
      <c r="E820" s="82" t="s">
        <v>1791</v>
      </c>
    </row>
    <row r="821" spans="5:5" x14ac:dyDescent="0.25">
      <c r="E821" s="82" t="s">
        <v>1792</v>
      </c>
    </row>
    <row r="822" spans="5:5" x14ac:dyDescent="0.25">
      <c r="E822" s="82" t="s">
        <v>1793</v>
      </c>
    </row>
    <row r="823" spans="5:5" x14ac:dyDescent="0.25">
      <c r="E823" s="82" t="s">
        <v>1794</v>
      </c>
    </row>
    <row r="824" spans="5:5" x14ac:dyDescent="0.25">
      <c r="E824" s="82" t="s">
        <v>1795</v>
      </c>
    </row>
    <row r="825" spans="5:5" x14ac:dyDescent="0.25">
      <c r="E825" s="82" t="s">
        <v>1796</v>
      </c>
    </row>
    <row r="826" spans="5:5" x14ac:dyDescent="0.25">
      <c r="E826" s="82" t="s">
        <v>1797</v>
      </c>
    </row>
    <row r="827" spans="5:5" x14ac:dyDescent="0.25">
      <c r="E827" s="82" t="s">
        <v>1798</v>
      </c>
    </row>
    <row r="828" spans="5:5" x14ac:dyDescent="0.25">
      <c r="E828" s="82" t="s">
        <v>1799</v>
      </c>
    </row>
    <row r="829" spans="5:5" x14ac:dyDescent="0.25">
      <c r="E829" s="82" t="s">
        <v>1800</v>
      </c>
    </row>
    <row r="830" spans="5:5" x14ac:dyDescent="0.25">
      <c r="E830" s="82" t="s">
        <v>1801</v>
      </c>
    </row>
    <row r="831" spans="5:5" x14ac:dyDescent="0.25">
      <c r="E831" s="82" t="s">
        <v>1802</v>
      </c>
    </row>
    <row r="832" spans="5:5" x14ac:dyDescent="0.25">
      <c r="E832" s="82" t="s">
        <v>1803</v>
      </c>
    </row>
    <row r="833" spans="5:5" x14ac:dyDescent="0.25">
      <c r="E833" s="82" t="s">
        <v>1804</v>
      </c>
    </row>
    <row r="834" spans="5:5" x14ac:dyDescent="0.25">
      <c r="E834" s="82" t="s">
        <v>1805</v>
      </c>
    </row>
    <row r="835" spans="5:5" x14ac:dyDescent="0.25">
      <c r="E835" s="82" t="s">
        <v>1806</v>
      </c>
    </row>
    <row r="836" spans="5:5" x14ac:dyDescent="0.25">
      <c r="E836" s="82" t="s">
        <v>1807</v>
      </c>
    </row>
    <row r="837" spans="5:5" x14ac:dyDescent="0.25">
      <c r="E837" s="82" t="s">
        <v>1808</v>
      </c>
    </row>
    <row r="838" spans="5:5" x14ac:dyDescent="0.25">
      <c r="E838" s="82" t="s">
        <v>1809</v>
      </c>
    </row>
    <row r="839" spans="5:5" x14ac:dyDescent="0.25">
      <c r="E839" s="82" t="s">
        <v>1810</v>
      </c>
    </row>
    <row r="840" spans="5:5" x14ac:dyDescent="0.25">
      <c r="E840" s="82" t="s">
        <v>1811</v>
      </c>
    </row>
    <row r="841" spans="5:5" x14ac:dyDescent="0.25">
      <c r="E841" s="82" t="s">
        <v>1812</v>
      </c>
    </row>
    <row r="842" spans="5:5" x14ac:dyDescent="0.25">
      <c r="E842" s="82" t="s">
        <v>1813</v>
      </c>
    </row>
    <row r="843" spans="5:5" x14ac:dyDescent="0.25">
      <c r="E843" s="82" t="s">
        <v>1814</v>
      </c>
    </row>
    <row r="844" spans="5:5" x14ac:dyDescent="0.25">
      <c r="E844" s="82" t="s">
        <v>1815</v>
      </c>
    </row>
    <row r="845" spans="5:5" x14ac:dyDescent="0.25">
      <c r="E845" s="82" t="s">
        <v>1816</v>
      </c>
    </row>
    <row r="846" spans="5:5" x14ac:dyDescent="0.25">
      <c r="E846" s="82" t="s">
        <v>1817</v>
      </c>
    </row>
    <row r="847" spans="5:5" x14ac:dyDescent="0.25">
      <c r="E847" s="82" t="s">
        <v>1818</v>
      </c>
    </row>
    <row r="848" spans="5:5" x14ac:dyDescent="0.25">
      <c r="E848" s="82" t="s">
        <v>1819</v>
      </c>
    </row>
    <row r="849" spans="5:5" x14ac:dyDescent="0.25">
      <c r="E849" s="82" t="s">
        <v>1820</v>
      </c>
    </row>
    <row r="850" spans="5:5" x14ac:dyDescent="0.25">
      <c r="E850" s="82" t="s">
        <v>1821</v>
      </c>
    </row>
    <row r="851" spans="5:5" x14ac:dyDescent="0.25">
      <c r="E851" s="82" t="s">
        <v>1822</v>
      </c>
    </row>
    <row r="852" spans="5:5" x14ac:dyDescent="0.25">
      <c r="E852" s="82" t="s">
        <v>1823</v>
      </c>
    </row>
    <row r="853" spans="5:5" x14ac:dyDescent="0.25">
      <c r="E853" s="82" t="s">
        <v>1824</v>
      </c>
    </row>
    <row r="854" spans="5:5" x14ac:dyDescent="0.25">
      <c r="E854" s="82" t="s">
        <v>1825</v>
      </c>
    </row>
    <row r="855" spans="5:5" x14ac:dyDescent="0.25">
      <c r="E855" s="82" t="s">
        <v>1826</v>
      </c>
    </row>
    <row r="856" spans="5:5" x14ac:dyDescent="0.25">
      <c r="E856" s="82" t="s">
        <v>1827</v>
      </c>
    </row>
    <row r="857" spans="5:5" x14ac:dyDescent="0.25">
      <c r="E857" s="82" t="s">
        <v>1828</v>
      </c>
    </row>
    <row r="858" spans="5:5" x14ac:dyDescent="0.25">
      <c r="E858" s="82" t="s">
        <v>1829</v>
      </c>
    </row>
    <row r="859" spans="5:5" x14ac:dyDescent="0.25">
      <c r="E859" s="82" t="s">
        <v>1830</v>
      </c>
    </row>
    <row r="860" spans="5:5" x14ac:dyDescent="0.25">
      <c r="E860" s="82" t="s">
        <v>1831</v>
      </c>
    </row>
    <row r="861" spans="5:5" x14ac:dyDescent="0.25">
      <c r="E861" s="82" t="s">
        <v>1832</v>
      </c>
    </row>
    <row r="862" spans="5:5" x14ac:dyDescent="0.25">
      <c r="E862" s="82" t="s">
        <v>1833</v>
      </c>
    </row>
    <row r="863" spans="5:5" x14ac:dyDescent="0.25">
      <c r="E863" s="82" t="s">
        <v>1834</v>
      </c>
    </row>
    <row r="864" spans="5:5" x14ac:dyDescent="0.25">
      <c r="E864" s="82" t="s">
        <v>1835</v>
      </c>
    </row>
    <row r="865" spans="5:5" x14ac:dyDescent="0.25">
      <c r="E865" s="82" t="s">
        <v>1836</v>
      </c>
    </row>
    <row r="866" spans="5:5" x14ac:dyDescent="0.25">
      <c r="E866" s="82" t="s">
        <v>1837</v>
      </c>
    </row>
    <row r="867" spans="5:5" x14ac:dyDescent="0.25">
      <c r="E867" s="82" t="s">
        <v>1838</v>
      </c>
    </row>
    <row r="868" spans="5:5" x14ac:dyDescent="0.25">
      <c r="E868" s="82" t="s">
        <v>1839</v>
      </c>
    </row>
    <row r="869" spans="5:5" x14ac:dyDescent="0.25">
      <c r="E869" s="82" t="s">
        <v>1840</v>
      </c>
    </row>
    <row r="870" spans="5:5" x14ac:dyDescent="0.25">
      <c r="E870" s="82" t="s">
        <v>1841</v>
      </c>
    </row>
    <row r="871" spans="5:5" x14ac:dyDescent="0.25">
      <c r="E871" s="82" t="s">
        <v>1842</v>
      </c>
    </row>
    <row r="872" spans="5:5" x14ac:dyDescent="0.25">
      <c r="E872" s="82" t="s">
        <v>1843</v>
      </c>
    </row>
    <row r="873" spans="5:5" x14ac:dyDescent="0.25">
      <c r="E873" s="82" t="s">
        <v>1844</v>
      </c>
    </row>
    <row r="874" spans="5:5" x14ac:dyDescent="0.25">
      <c r="E874" s="82" t="s">
        <v>1845</v>
      </c>
    </row>
    <row r="875" spans="5:5" x14ac:dyDescent="0.25">
      <c r="E875" s="82" t="s">
        <v>1846</v>
      </c>
    </row>
    <row r="876" spans="5:5" x14ac:dyDescent="0.25">
      <c r="E876" s="82" t="s">
        <v>1847</v>
      </c>
    </row>
    <row r="877" spans="5:5" x14ac:dyDescent="0.25">
      <c r="E877" s="82" t="s">
        <v>1848</v>
      </c>
    </row>
    <row r="878" spans="5:5" x14ac:dyDescent="0.25">
      <c r="E878" s="82" t="s">
        <v>1849</v>
      </c>
    </row>
    <row r="879" spans="5:5" x14ac:dyDescent="0.25">
      <c r="E879" s="82" t="s">
        <v>1850</v>
      </c>
    </row>
    <row r="880" spans="5:5" x14ac:dyDescent="0.25">
      <c r="E880" s="82" t="s">
        <v>1851</v>
      </c>
    </row>
    <row r="881" spans="5:5" x14ac:dyDescent="0.25">
      <c r="E881" s="82" t="s">
        <v>1852</v>
      </c>
    </row>
    <row r="882" spans="5:5" x14ac:dyDescent="0.25">
      <c r="E882" s="82" t="s">
        <v>1853</v>
      </c>
    </row>
    <row r="883" spans="5:5" x14ac:dyDescent="0.25">
      <c r="E883" s="82" t="s">
        <v>1854</v>
      </c>
    </row>
    <row r="884" spans="5:5" x14ac:dyDescent="0.25">
      <c r="E884" s="82" t="s">
        <v>1855</v>
      </c>
    </row>
    <row r="885" spans="5:5" x14ac:dyDescent="0.25">
      <c r="E885" s="82" t="s">
        <v>1856</v>
      </c>
    </row>
    <row r="886" spans="5:5" x14ac:dyDescent="0.25">
      <c r="E886" s="82" t="s">
        <v>1857</v>
      </c>
    </row>
    <row r="887" spans="5:5" x14ac:dyDescent="0.25">
      <c r="E887" s="82" t="s">
        <v>1858</v>
      </c>
    </row>
    <row r="888" spans="5:5" x14ac:dyDescent="0.25">
      <c r="E888" s="82" t="s">
        <v>1859</v>
      </c>
    </row>
    <row r="889" spans="5:5" x14ac:dyDescent="0.25">
      <c r="E889" s="82" t="s">
        <v>1860</v>
      </c>
    </row>
    <row r="890" spans="5:5" x14ac:dyDescent="0.25">
      <c r="E890" s="82" t="s">
        <v>1861</v>
      </c>
    </row>
    <row r="891" spans="5:5" x14ac:dyDescent="0.25">
      <c r="E891" s="82" t="s">
        <v>1862</v>
      </c>
    </row>
    <row r="892" spans="5:5" x14ac:dyDescent="0.25">
      <c r="E892" s="82" t="s">
        <v>1863</v>
      </c>
    </row>
    <row r="893" spans="5:5" x14ac:dyDescent="0.25">
      <c r="E893" s="82" t="s">
        <v>1864</v>
      </c>
    </row>
    <row r="894" spans="5:5" x14ac:dyDescent="0.25">
      <c r="E894" s="82" t="s">
        <v>1865</v>
      </c>
    </row>
    <row r="895" spans="5:5" x14ac:dyDescent="0.25">
      <c r="E895" s="82" t="s">
        <v>1866</v>
      </c>
    </row>
    <row r="896" spans="5:5" x14ac:dyDescent="0.25">
      <c r="E896" s="82" t="s">
        <v>1867</v>
      </c>
    </row>
    <row r="897" spans="5:5" x14ac:dyDescent="0.25">
      <c r="E897" s="82" t="s">
        <v>1868</v>
      </c>
    </row>
    <row r="898" spans="5:5" x14ac:dyDescent="0.25">
      <c r="E898" s="82" t="s">
        <v>1869</v>
      </c>
    </row>
    <row r="899" spans="5:5" x14ac:dyDescent="0.25">
      <c r="E899" s="82" t="s">
        <v>1870</v>
      </c>
    </row>
    <row r="900" spans="5:5" x14ac:dyDescent="0.25">
      <c r="E900" s="82" t="s">
        <v>1871</v>
      </c>
    </row>
    <row r="901" spans="5:5" x14ac:dyDescent="0.25">
      <c r="E901" s="82" t="s">
        <v>1872</v>
      </c>
    </row>
    <row r="902" spans="5:5" x14ac:dyDescent="0.25">
      <c r="E902" s="82" t="s">
        <v>1873</v>
      </c>
    </row>
    <row r="903" spans="5:5" x14ac:dyDescent="0.25">
      <c r="E903" s="82" t="s">
        <v>1874</v>
      </c>
    </row>
    <row r="904" spans="5:5" x14ac:dyDescent="0.25">
      <c r="E904" s="82" t="s">
        <v>1875</v>
      </c>
    </row>
    <row r="905" spans="5:5" x14ac:dyDescent="0.25">
      <c r="E905" s="82" t="s">
        <v>1876</v>
      </c>
    </row>
    <row r="906" spans="5:5" x14ac:dyDescent="0.25">
      <c r="E906" s="82" t="s">
        <v>1877</v>
      </c>
    </row>
    <row r="907" spans="5:5" x14ac:dyDescent="0.25">
      <c r="E907" s="82" t="s">
        <v>1878</v>
      </c>
    </row>
    <row r="908" spans="5:5" x14ac:dyDescent="0.25">
      <c r="E908" s="82" t="s">
        <v>1879</v>
      </c>
    </row>
    <row r="909" spans="5:5" x14ac:dyDescent="0.25">
      <c r="E909" s="82" t="s">
        <v>1880</v>
      </c>
    </row>
    <row r="910" spans="5:5" x14ac:dyDescent="0.25">
      <c r="E910" s="82" t="s">
        <v>1881</v>
      </c>
    </row>
    <row r="911" spans="5:5" x14ac:dyDescent="0.25">
      <c r="E911" s="82" t="s">
        <v>1882</v>
      </c>
    </row>
    <row r="912" spans="5:5" x14ac:dyDescent="0.25">
      <c r="E912" s="82" t="s">
        <v>1883</v>
      </c>
    </row>
    <row r="913" spans="5:5" x14ac:dyDescent="0.25">
      <c r="E913" s="82" t="s">
        <v>1884</v>
      </c>
    </row>
    <row r="914" spans="5:5" x14ac:dyDescent="0.25">
      <c r="E914" s="82" t="s">
        <v>1885</v>
      </c>
    </row>
    <row r="915" spans="5:5" x14ac:dyDescent="0.25">
      <c r="E915" s="82" t="s">
        <v>1886</v>
      </c>
    </row>
    <row r="916" spans="5:5" x14ac:dyDescent="0.25">
      <c r="E916" s="82" t="s">
        <v>1887</v>
      </c>
    </row>
    <row r="917" spans="5:5" x14ac:dyDescent="0.25">
      <c r="E917" s="82" t="s">
        <v>1888</v>
      </c>
    </row>
    <row r="918" spans="5:5" x14ac:dyDescent="0.25">
      <c r="E918" s="82" t="s">
        <v>1889</v>
      </c>
    </row>
    <row r="919" spans="5:5" x14ac:dyDescent="0.25">
      <c r="E919" s="82" t="s">
        <v>1890</v>
      </c>
    </row>
    <row r="920" spans="5:5" x14ac:dyDescent="0.25">
      <c r="E920" s="82" t="s">
        <v>1891</v>
      </c>
    </row>
    <row r="921" spans="5:5" x14ac:dyDescent="0.25">
      <c r="E921" s="82" t="s">
        <v>1892</v>
      </c>
    </row>
    <row r="922" spans="5:5" x14ac:dyDescent="0.25">
      <c r="E922" s="82" t="s">
        <v>1893</v>
      </c>
    </row>
    <row r="923" spans="5:5" x14ac:dyDescent="0.25">
      <c r="E923" s="82" t="s">
        <v>1894</v>
      </c>
    </row>
    <row r="924" spans="5:5" x14ac:dyDescent="0.25">
      <c r="E924" s="82" t="s">
        <v>1895</v>
      </c>
    </row>
    <row r="925" spans="5:5" x14ac:dyDescent="0.25">
      <c r="E925" s="82" t="s">
        <v>1896</v>
      </c>
    </row>
    <row r="926" spans="5:5" x14ac:dyDescent="0.25">
      <c r="E926" s="82" t="s">
        <v>1897</v>
      </c>
    </row>
    <row r="927" spans="5:5" x14ac:dyDescent="0.25">
      <c r="E927" s="82" t="s">
        <v>1898</v>
      </c>
    </row>
    <row r="928" spans="5:5" x14ac:dyDescent="0.25">
      <c r="E928" s="82" t="s">
        <v>1899</v>
      </c>
    </row>
    <row r="929" spans="5:5" x14ac:dyDescent="0.25">
      <c r="E929" s="82" t="s">
        <v>1900</v>
      </c>
    </row>
    <row r="930" spans="5:5" x14ac:dyDescent="0.25">
      <c r="E930" s="82" t="s">
        <v>1901</v>
      </c>
    </row>
    <row r="931" spans="5:5" x14ac:dyDescent="0.25">
      <c r="E931" s="82" t="s">
        <v>1902</v>
      </c>
    </row>
    <row r="932" spans="5:5" x14ac:dyDescent="0.25">
      <c r="E932" s="82" t="s">
        <v>1903</v>
      </c>
    </row>
    <row r="933" spans="5:5" x14ac:dyDescent="0.25">
      <c r="E933" s="82" t="s">
        <v>1904</v>
      </c>
    </row>
    <row r="934" spans="5:5" x14ac:dyDescent="0.25">
      <c r="E934" s="82" t="s">
        <v>1905</v>
      </c>
    </row>
    <row r="935" spans="5:5" x14ac:dyDescent="0.25">
      <c r="E935" s="82" t="s">
        <v>1906</v>
      </c>
    </row>
    <row r="936" spans="5:5" x14ac:dyDescent="0.25">
      <c r="E936" s="82" t="s">
        <v>1907</v>
      </c>
    </row>
    <row r="937" spans="5:5" x14ac:dyDescent="0.25">
      <c r="E937" s="82" t="s">
        <v>1908</v>
      </c>
    </row>
    <row r="938" spans="5:5" x14ac:dyDescent="0.25">
      <c r="E938" s="82" t="s">
        <v>1909</v>
      </c>
    </row>
    <row r="939" spans="5:5" x14ac:dyDescent="0.25">
      <c r="E939" s="82" t="s">
        <v>1910</v>
      </c>
    </row>
    <row r="940" spans="5:5" x14ac:dyDescent="0.25">
      <c r="E940" s="82" t="s">
        <v>1911</v>
      </c>
    </row>
    <row r="941" spans="5:5" x14ac:dyDescent="0.25">
      <c r="E941" s="82" t="s">
        <v>1912</v>
      </c>
    </row>
    <row r="942" spans="5:5" x14ac:dyDescent="0.25">
      <c r="E942" s="82" t="s">
        <v>1913</v>
      </c>
    </row>
    <row r="943" spans="5:5" x14ac:dyDescent="0.25">
      <c r="E943" s="82" t="s">
        <v>1914</v>
      </c>
    </row>
    <row r="944" spans="5:5" x14ac:dyDescent="0.25">
      <c r="E944" s="82" t="s">
        <v>1915</v>
      </c>
    </row>
    <row r="945" spans="5:5" x14ac:dyDescent="0.25">
      <c r="E945" s="82" t="s">
        <v>1916</v>
      </c>
    </row>
    <row r="946" spans="5:5" x14ac:dyDescent="0.25">
      <c r="E946" s="82" t="s">
        <v>1917</v>
      </c>
    </row>
    <row r="947" spans="5:5" x14ac:dyDescent="0.25">
      <c r="E947" s="82" t="s">
        <v>1918</v>
      </c>
    </row>
    <row r="948" spans="5:5" x14ac:dyDescent="0.25">
      <c r="E948" s="82" t="s">
        <v>1919</v>
      </c>
    </row>
    <row r="949" spans="5:5" x14ac:dyDescent="0.25">
      <c r="E949" s="82" t="s">
        <v>1920</v>
      </c>
    </row>
    <row r="950" spans="5:5" x14ac:dyDescent="0.25">
      <c r="E950" s="82" t="s">
        <v>1921</v>
      </c>
    </row>
    <row r="951" spans="5:5" x14ac:dyDescent="0.25">
      <c r="E951" s="82" t="s">
        <v>1922</v>
      </c>
    </row>
    <row r="952" spans="5:5" x14ac:dyDescent="0.25">
      <c r="E952" s="82" t="s">
        <v>1923</v>
      </c>
    </row>
    <row r="953" spans="5:5" x14ac:dyDescent="0.25">
      <c r="E953" s="82" t="s">
        <v>1924</v>
      </c>
    </row>
    <row r="954" spans="5:5" x14ac:dyDescent="0.25">
      <c r="E954" s="82" t="s">
        <v>1925</v>
      </c>
    </row>
    <row r="955" spans="5:5" x14ac:dyDescent="0.25">
      <c r="E955" s="82" t="s">
        <v>1926</v>
      </c>
    </row>
    <row r="956" spans="5:5" x14ac:dyDescent="0.25">
      <c r="E956" s="82" t="s">
        <v>1927</v>
      </c>
    </row>
    <row r="957" spans="5:5" x14ac:dyDescent="0.25">
      <c r="E957" s="82" t="s">
        <v>1928</v>
      </c>
    </row>
    <row r="958" spans="5:5" x14ac:dyDescent="0.25">
      <c r="E958" s="82" t="s">
        <v>1929</v>
      </c>
    </row>
    <row r="959" spans="5:5" x14ac:dyDescent="0.25">
      <c r="E959" s="82" t="s">
        <v>1930</v>
      </c>
    </row>
    <row r="960" spans="5:5" x14ac:dyDescent="0.25">
      <c r="E960" s="82" t="s">
        <v>1931</v>
      </c>
    </row>
    <row r="961" spans="5:5" x14ac:dyDescent="0.25">
      <c r="E961" s="82" t="s">
        <v>1932</v>
      </c>
    </row>
    <row r="962" spans="5:5" x14ac:dyDescent="0.25">
      <c r="E962" s="82" t="s">
        <v>1933</v>
      </c>
    </row>
    <row r="963" spans="5:5" x14ac:dyDescent="0.25">
      <c r="E963" s="82" t="s">
        <v>1934</v>
      </c>
    </row>
    <row r="964" spans="5:5" x14ac:dyDescent="0.25">
      <c r="E964" s="82" t="s">
        <v>1935</v>
      </c>
    </row>
    <row r="965" spans="5:5" x14ac:dyDescent="0.25">
      <c r="E965" s="82" t="s">
        <v>1936</v>
      </c>
    </row>
    <row r="966" spans="5:5" x14ac:dyDescent="0.25">
      <c r="E966" s="82" t="s">
        <v>1937</v>
      </c>
    </row>
    <row r="967" spans="5:5" x14ac:dyDescent="0.25">
      <c r="E967" s="82" t="s">
        <v>1938</v>
      </c>
    </row>
    <row r="968" spans="5:5" x14ac:dyDescent="0.25">
      <c r="E968" s="82" t="s">
        <v>1939</v>
      </c>
    </row>
    <row r="969" spans="5:5" x14ac:dyDescent="0.25">
      <c r="E969" s="82" t="s">
        <v>1940</v>
      </c>
    </row>
    <row r="970" spans="5:5" x14ac:dyDescent="0.25">
      <c r="E970" s="82" t="s">
        <v>1941</v>
      </c>
    </row>
    <row r="971" spans="5:5" x14ac:dyDescent="0.25">
      <c r="E971" s="82" t="s">
        <v>1942</v>
      </c>
    </row>
    <row r="972" spans="5:5" x14ac:dyDescent="0.25">
      <c r="E972" s="82" t="s">
        <v>1943</v>
      </c>
    </row>
    <row r="973" spans="5:5" x14ac:dyDescent="0.25">
      <c r="E973" s="82" t="s">
        <v>1944</v>
      </c>
    </row>
    <row r="974" spans="5:5" x14ac:dyDescent="0.25">
      <c r="E974" s="82" t="s">
        <v>1945</v>
      </c>
    </row>
    <row r="975" spans="5:5" x14ac:dyDescent="0.25">
      <c r="E975" s="82" t="s">
        <v>1946</v>
      </c>
    </row>
    <row r="976" spans="5:5" x14ac:dyDescent="0.25">
      <c r="E976" s="82" t="s">
        <v>1947</v>
      </c>
    </row>
    <row r="977" spans="5:5" x14ac:dyDescent="0.25">
      <c r="E977" s="82" t="s">
        <v>1948</v>
      </c>
    </row>
    <row r="978" spans="5:5" x14ac:dyDescent="0.25">
      <c r="E978" s="82" t="s">
        <v>1949</v>
      </c>
    </row>
    <row r="979" spans="5:5" x14ac:dyDescent="0.25">
      <c r="E979" s="82" t="s">
        <v>1950</v>
      </c>
    </row>
    <row r="980" spans="5:5" x14ac:dyDescent="0.25">
      <c r="E980" s="82" t="s">
        <v>1951</v>
      </c>
    </row>
    <row r="981" spans="5:5" x14ac:dyDescent="0.25">
      <c r="E981" s="82" t="s">
        <v>1952</v>
      </c>
    </row>
    <row r="982" spans="5:5" x14ac:dyDescent="0.25">
      <c r="E982" s="82" t="s">
        <v>1953</v>
      </c>
    </row>
    <row r="983" spans="5:5" x14ac:dyDescent="0.25">
      <c r="E983" s="82" t="s">
        <v>1954</v>
      </c>
    </row>
    <row r="984" spans="5:5" x14ac:dyDescent="0.25">
      <c r="E984" s="82" t="s">
        <v>1955</v>
      </c>
    </row>
    <row r="985" spans="5:5" x14ac:dyDescent="0.25">
      <c r="E985" s="82" t="s">
        <v>1956</v>
      </c>
    </row>
    <row r="986" spans="5:5" x14ac:dyDescent="0.25">
      <c r="E986" s="82" t="s">
        <v>1957</v>
      </c>
    </row>
    <row r="987" spans="5:5" x14ac:dyDescent="0.25">
      <c r="E987" s="82" t="s">
        <v>1958</v>
      </c>
    </row>
    <row r="988" spans="5:5" x14ac:dyDescent="0.25">
      <c r="E988" s="82" t="s">
        <v>1959</v>
      </c>
    </row>
    <row r="989" spans="5:5" x14ac:dyDescent="0.25">
      <c r="E989" s="82" t="s">
        <v>1960</v>
      </c>
    </row>
    <row r="990" spans="5:5" x14ac:dyDescent="0.25">
      <c r="E990" s="82" t="s">
        <v>1961</v>
      </c>
    </row>
    <row r="991" spans="5:5" x14ac:dyDescent="0.25">
      <c r="E991" s="82" t="s">
        <v>1962</v>
      </c>
    </row>
    <row r="992" spans="5:5" x14ac:dyDescent="0.25">
      <c r="E992" s="82" t="s">
        <v>1963</v>
      </c>
    </row>
    <row r="993" spans="5:5" x14ac:dyDescent="0.25">
      <c r="E993" s="82" t="s">
        <v>1964</v>
      </c>
    </row>
    <row r="994" spans="5:5" x14ac:dyDescent="0.25">
      <c r="E994" s="82" t="s">
        <v>1965</v>
      </c>
    </row>
    <row r="995" spans="5:5" x14ac:dyDescent="0.25">
      <c r="E995" s="82" t="s">
        <v>1966</v>
      </c>
    </row>
    <row r="996" spans="5:5" x14ac:dyDescent="0.25">
      <c r="E996" s="82" t="s">
        <v>1967</v>
      </c>
    </row>
    <row r="997" spans="5:5" x14ac:dyDescent="0.25">
      <c r="E997" s="82" t="s">
        <v>1968</v>
      </c>
    </row>
    <row r="998" spans="5:5" x14ac:dyDescent="0.25">
      <c r="E998" s="82" t="s">
        <v>1969</v>
      </c>
    </row>
    <row r="999" spans="5:5" x14ac:dyDescent="0.25">
      <c r="E999" s="82" t="s">
        <v>1970</v>
      </c>
    </row>
    <row r="1000" spans="5:5" x14ac:dyDescent="0.25">
      <c r="E1000" s="82" t="s">
        <v>1971</v>
      </c>
    </row>
    <row r="1001" spans="5:5" x14ac:dyDescent="0.25">
      <c r="E1001" s="82" t="s">
        <v>1972</v>
      </c>
    </row>
    <row r="1002" spans="5:5" x14ac:dyDescent="0.25">
      <c r="E1002" s="82" t="s">
        <v>1973</v>
      </c>
    </row>
    <row r="1003" spans="5:5" x14ac:dyDescent="0.25">
      <c r="E1003" s="82" t="s">
        <v>1974</v>
      </c>
    </row>
    <row r="1004" spans="5:5" x14ac:dyDescent="0.25">
      <c r="E1004" s="82" t="s">
        <v>1975</v>
      </c>
    </row>
    <row r="1005" spans="5:5" x14ac:dyDescent="0.25">
      <c r="E1005" s="82" t="s">
        <v>1976</v>
      </c>
    </row>
    <row r="1006" spans="5:5" x14ac:dyDescent="0.25">
      <c r="E1006" s="82" t="s">
        <v>1977</v>
      </c>
    </row>
    <row r="1007" spans="5:5" x14ac:dyDescent="0.25">
      <c r="E1007" s="82" t="s">
        <v>1978</v>
      </c>
    </row>
    <row r="1008" spans="5:5" x14ac:dyDescent="0.25">
      <c r="E1008" s="82" t="s">
        <v>1979</v>
      </c>
    </row>
    <row r="1009" spans="5:5" x14ac:dyDescent="0.25">
      <c r="E1009" s="82" t="s">
        <v>1980</v>
      </c>
    </row>
    <row r="1010" spans="5:5" x14ac:dyDescent="0.25">
      <c r="E1010" s="82" t="s">
        <v>1981</v>
      </c>
    </row>
    <row r="1011" spans="5:5" x14ac:dyDescent="0.25">
      <c r="E1011" s="82" t="s">
        <v>1982</v>
      </c>
    </row>
    <row r="1012" spans="5:5" x14ac:dyDescent="0.25">
      <c r="E1012" s="82" t="s">
        <v>1983</v>
      </c>
    </row>
    <row r="1013" spans="5:5" x14ac:dyDescent="0.25">
      <c r="E1013" s="82" t="s">
        <v>1984</v>
      </c>
    </row>
    <row r="1014" spans="5:5" x14ac:dyDescent="0.25">
      <c r="E1014" s="82" t="s">
        <v>1985</v>
      </c>
    </row>
    <row r="1015" spans="5:5" x14ac:dyDescent="0.25">
      <c r="E1015" s="82" t="s">
        <v>1986</v>
      </c>
    </row>
    <row r="1016" spans="5:5" x14ac:dyDescent="0.25">
      <c r="E1016" s="82" t="s">
        <v>1987</v>
      </c>
    </row>
    <row r="1017" spans="5:5" x14ac:dyDescent="0.25">
      <c r="E1017" s="82" t="s">
        <v>1988</v>
      </c>
    </row>
    <row r="1018" spans="5:5" x14ac:dyDescent="0.25">
      <c r="E1018" s="82" t="s">
        <v>1989</v>
      </c>
    </row>
    <row r="1019" spans="5:5" x14ac:dyDescent="0.25">
      <c r="E1019" s="82" t="s">
        <v>1990</v>
      </c>
    </row>
    <row r="1020" spans="5:5" x14ac:dyDescent="0.25">
      <c r="E1020" s="82" t="s">
        <v>1991</v>
      </c>
    </row>
    <row r="1021" spans="5:5" x14ac:dyDescent="0.25">
      <c r="E1021" s="82" t="s">
        <v>1992</v>
      </c>
    </row>
    <row r="1022" spans="5:5" x14ac:dyDescent="0.25">
      <c r="E1022" s="82" t="s">
        <v>1993</v>
      </c>
    </row>
    <row r="1023" spans="5:5" x14ac:dyDescent="0.25">
      <c r="E1023" s="82" t="s">
        <v>1994</v>
      </c>
    </row>
    <row r="1024" spans="5:5" x14ac:dyDescent="0.25">
      <c r="E1024" s="82" t="s">
        <v>1995</v>
      </c>
    </row>
    <row r="1025" spans="5:5" x14ac:dyDescent="0.25">
      <c r="E1025" s="82" t="s">
        <v>1996</v>
      </c>
    </row>
    <row r="1026" spans="5:5" x14ac:dyDescent="0.25">
      <c r="E1026" s="82" t="s">
        <v>1997</v>
      </c>
    </row>
    <row r="1027" spans="5:5" x14ac:dyDescent="0.25">
      <c r="E1027" s="82" t="s">
        <v>1998</v>
      </c>
    </row>
    <row r="1028" spans="5:5" x14ac:dyDescent="0.25">
      <c r="E1028" s="82" t="s">
        <v>1999</v>
      </c>
    </row>
    <row r="1029" spans="5:5" x14ac:dyDescent="0.25">
      <c r="E1029" s="82" t="s">
        <v>2000</v>
      </c>
    </row>
    <row r="1030" spans="5:5" x14ac:dyDescent="0.25">
      <c r="E1030" s="82" t="s">
        <v>2001</v>
      </c>
    </row>
    <row r="1031" spans="5:5" x14ac:dyDescent="0.25">
      <c r="E1031" s="82" t="s">
        <v>2002</v>
      </c>
    </row>
    <row r="1032" spans="5:5" x14ac:dyDescent="0.25">
      <c r="E1032" s="82" t="s">
        <v>2003</v>
      </c>
    </row>
    <row r="1033" spans="5:5" x14ac:dyDescent="0.25">
      <c r="E1033" s="82" t="s">
        <v>2004</v>
      </c>
    </row>
    <row r="1034" spans="5:5" x14ac:dyDescent="0.25">
      <c r="E1034" s="82" t="s">
        <v>2005</v>
      </c>
    </row>
    <row r="1035" spans="5:5" x14ac:dyDescent="0.25">
      <c r="E1035" s="82" t="s">
        <v>2006</v>
      </c>
    </row>
    <row r="1036" spans="5:5" x14ac:dyDescent="0.25">
      <c r="E1036" s="82" t="s">
        <v>2007</v>
      </c>
    </row>
    <row r="1037" spans="5:5" x14ac:dyDescent="0.25">
      <c r="E1037" s="82" t="s">
        <v>2008</v>
      </c>
    </row>
    <row r="1038" spans="5:5" x14ac:dyDescent="0.25">
      <c r="E1038" s="82" t="s">
        <v>2009</v>
      </c>
    </row>
    <row r="1039" spans="5:5" x14ac:dyDescent="0.25">
      <c r="E1039" s="82" t="s">
        <v>2010</v>
      </c>
    </row>
    <row r="1040" spans="5:5" x14ac:dyDescent="0.25">
      <c r="E1040" s="82" t="s">
        <v>2011</v>
      </c>
    </row>
    <row r="1041" spans="5:5" x14ac:dyDescent="0.25">
      <c r="E1041" s="82" t="s">
        <v>2012</v>
      </c>
    </row>
    <row r="1042" spans="5:5" x14ac:dyDescent="0.25">
      <c r="E1042" s="82" t="s">
        <v>2013</v>
      </c>
    </row>
    <row r="1043" spans="5:5" x14ac:dyDescent="0.25">
      <c r="E1043" s="82" t="s">
        <v>2014</v>
      </c>
    </row>
    <row r="1044" spans="5:5" x14ac:dyDescent="0.25">
      <c r="E1044" s="82" t="s">
        <v>2015</v>
      </c>
    </row>
    <row r="1045" spans="5:5" x14ac:dyDescent="0.25">
      <c r="E1045" s="82" t="s">
        <v>2016</v>
      </c>
    </row>
    <row r="1046" spans="5:5" x14ac:dyDescent="0.25">
      <c r="E1046" s="82" t="s">
        <v>2017</v>
      </c>
    </row>
    <row r="1047" spans="5:5" x14ac:dyDescent="0.25">
      <c r="E1047" s="82" t="s">
        <v>2018</v>
      </c>
    </row>
    <row r="1048" spans="5:5" x14ac:dyDescent="0.25">
      <c r="E1048" s="82" t="s">
        <v>2019</v>
      </c>
    </row>
    <row r="1049" spans="5:5" x14ac:dyDescent="0.25">
      <c r="E1049" s="82" t="s">
        <v>2020</v>
      </c>
    </row>
    <row r="1050" spans="5:5" x14ac:dyDescent="0.25">
      <c r="E1050" s="82" t="s">
        <v>2021</v>
      </c>
    </row>
    <row r="1051" spans="5:5" x14ac:dyDescent="0.25">
      <c r="E1051" s="82" t="s">
        <v>2022</v>
      </c>
    </row>
    <row r="1052" spans="5:5" x14ac:dyDescent="0.25">
      <c r="E1052" s="82" t="s">
        <v>2023</v>
      </c>
    </row>
    <row r="1053" spans="5:5" x14ac:dyDescent="0.25">
      <c r="E1053" s="82" t="s">
        <v>2024</v>
      </c>
    </row>
    <row r="1054" spans="5:5" x14ac:dyDescent="0.25">
      <c r="E1054" s="82" t="s">
        <v>2025</v>
      </c>
    </row>
    <row r="1055" spans="5:5" x14ac:dyDescent="0.25">
      <c r="E1055" s="82" t="s">
        <v>2026</v>
      </c>
    </row>
    <row r="1056" spans="5:5" x14ac:dyDescent="0.25">
      <c r="E1056" s="82" t="s">
        <v>2027</v>
      </c>
    </row>
    <row r="1057" spans="5:5" x14ac:dyDescent="0.25">
      <c r="E1057" s="82" t="s">
        <v>2028</v>
      </c>
    </row>
    <row r="1058" spans="5:5" x14ac:dyDescent="0.25">
      <c r="E1058" s="82" t="s">
        <v>2029</v>
      </c>
    </row>
    <row r="1059" spans="5:5" x14ac:dyDescent="0.25">
      <c r="E1059" s="82" t="s">
        <v>2030</v>
      </c>
    </row>
    <row r="1060" spans="5:5" x14ac:dyDescent="0.25">
      <c r="E1060" s="82" t="s">
        <v>2031</v>
      </c>
    </row>
    <row r="1061" spans="5:5" x14ac:dyDescent="0.25">
      <c r="E1061" s="82" t="s">
        <v>2032</v>
      </c>
    </row>
    <row r="1062" spans="5:5" x14ac:dyDescent="0.25">
      <c r="E1062" s="82" t="s">
        <v>2033</v>
      </c>
    </row>
    <row r="1063" spans="5:5" x14ac:dyDescent="0.25">
      <c r="E1063" s="82" t="s">
        <v>2034</v>
      </c>
    </row>
    <row r="1064" spans="5:5" x14ac:dyDescent="0.25">
      <c r="E1064" s="82" t="s">
        <v>2035</v>
      </c>
    </row>
    <row r="1065" spans="5:5" x14ac:dyDescent="0.25">
      <c r="E1065" s="82" t="s">
        <v>2036</v>
      </c>
    </row>
    <row r="1066" spans="5:5" x14ac:dyDescent="0.25">
      <c r="E1066" s="82" t="s">
        <v>2037</v>
      </c>
    </row>
    <row r="1067" spans="5:5" x14ac:dyDescent="0.25">
      <c r="E1067" s="82" t="s">
        <v>2038</v>
      </c>
    </row>
    <row r="1068" spans="5:5" x14ac:dyDescent="0.25">
      <c r="E1068" s="82" t="s">
        <v>2039</v>
      </c>
    </row>
    <row r="1069" spans="5:5" x14ac:dyDescent="0.25">
      <c r="E1069" s="82" t="s">
        <v>2040</v>
      </c>
    </row>
    <row r="1070" spans="5:5" x14ac:dyDescent="0.25">
      <c r="E1070" s="82" t="s">
        <v>2041</v>
      </c>
    </row>
    <row r="1071" spans="5:5" x14ac:dyDescent="0.25">
      <c r="E1071" s="82" t="s">
        <v>2042</v>
      </c>
    </row>
    <row r="1072" spans="5:5" x14ac:dyDescent="0.25">
      <c r="E1072" s="82" t="s">
        <v>2043</v>
      </c>
    </row>
    <row r="1073" spans="5:5" x14ac:dyDescent="0.25">
      <c r="E1073" s="82" t="s">
        <v>2044</v>
      </c>
    </row>
    <row r="1074" spans="5:5" x14ac:dyDescent="0.25">
      <c r="E1074" s="82" t="s">
        <v>2045</v>
      </c>
    </row>
    <row r="1075" spans="5:5" x14ac:dyDescent="0.25">
      <c r="E1075" s="82" t="s">
        <v>2046</v>
      </c>
    </row>
    <row r="1076" spans="5:5" x14ac:dyDescent="0.25">
      <c r="E1076" s="82" t="s">
        <v>2047</v>
      </c>
    </row>
    <row r="1077" spans="5:5" x14ac:dyDescent="0.25">
      <c r="E1077" s="82" t="s">
        <v>2048</v>
      </c>
    </row>
    <row r="1078" spans="5:5" x14ac:dyDescent="0.25">
      <c r="E1078" s="82" t="s">
        <v>2049</v>
      </c>
    </row>
    <row r="1079" spans="5:5" x14ac:dyDescent="0.25">
      <c r="E1079" s="82" t="s">
        <v>2050</v>
      </c>
    </row>
    <row r="1080" spans="5:5" x14ac:dyDescent="0.25">
      <c r="E1080" s="82" t="s">
        <v>2051</v>
      </c>
    </row>
    <row r="1081" spans="5:5" x14ac:dyDescent="0.25">
      <c r="E1081" s="82" t="s">
        <v>2052</v>
      </c>
    </row>
    <row r="1082" spans="5:5" x14ac:dyDescent="0.25">
      <c r="E1082" s="82" t="s">
        <v>2053</v>
      </c>
    </row>
    <row r="1083" spans="5:5" x14ac:dyDescent="0.25">
      <c r="E1083" s="82" t="s">
        <v>2054</v>
      </c>
    </row>
    <row r="1084" spans="5:5" x14ac:dyDescent="0.25">
      <c r="E1084" s="82" t="s">
        <v>2055</v>
      </c>
    </row>
    <row r="1085" spans="5:5" x14ac:dyDescent="0.25">
      <c r="E1085" s="82" t="s">
        <v>2056</v>
      </c>
    </row>
    <row r="1086" spans="5:5" x14ac:dyDescent="0.25">
      <c r="E1086" s="82" t="s">
        <v>2057</v>
      </c>
    </row>
    <row r="1087" spans="5:5" x14ac:dyDescent="0.25">
      <c r="E1087" s="82" t="s">
        <v>2058</v>
      </c>
    </row>
    <row r="1088" spans="5:5" x14ac:dyDescent="0.25">
      <c r="E1088" s="82" t="s">
        <v>2059</v>
      </c>
    </row>
    <row r="1089" spans="5:5" x14ac:dyDescent="0.25">
      <c r="E1089" s="82" t="s">
        <v>2060</v>
      </c>
    </row>
    <row r="1090" spans="5:5" x14ac:dyDescent="0.25">
      <c r="E1090" s="82" t="s">
        <v>2061</v>
      </c>
    </row>
    <row r="1091" spans="5:5" x14ac:dyDescent="0.25">
      <c r="E1091" s="82" t="s">
        <v>2062</v>
      </c>
    </row>
    <row r="1092" spans="5:5" x14ac:dyDescent="0.25">
      <c r="E1092" s="82" t="s">
        <v>2063</v>
      </c>
    </row>
    <row r="1093" spans="5:5" x14ac:dyDescent="0.25">
      <c r="E1093" s="82" t="s">
        <v>2064</v>
      </c>
    </row>
    <row r="1094" spans="5:5" x14ac:dyDescent="0.25">
      <c r="E1094" s="82" t="s">
        <v>2065</v>
      </c>
    </row>
    <row r="1095" spans="5:5" x14ac:dyDescent="0.25">
      <c r="E1095" s="82" t="s">
        <v>2066</v>
      </c>
    </row>
    <row r="1096" spans="5:5" x14ac:dyDescent="0.25">
      <c r="E1096" s="82" t="s">
        <v>2067</v>
      </c>
    </row>
    <row r="1097" spans="5:5" x14ac:dyDescent="0.25">
      <c r="E1097" s="82" t="s">
        <v>2068</v>
      </c>
    </row>
    <row r="1098" spans="5:5" x14ac:dyDescent="0.25">
      <c r="E1098" s="82" t="s">
        <v>2069</v>
      </c>
    </row>
    <row r="1099" spans="5:5" x14ac:dyDescent="0.25">
      <c r="E1099" s="82" t="s">
        <v>2070</v>
      </c>
    </row>
    <row r="1100" spans="5:5" x14ac:dyDescent="0.25">
      <c r="E1100" s="82" t="s">
        <v>2071</v>
      </c>
    </row>
    <row r="1101" spans="5:5" x14ac:dyDescent="0.25">
      <c r="E1101" s="82" t="s">
        <v>2072</v>
      </c>
    </row>
    <row r="1102" spans="5:5" x14ac:dyDescent="0.25">
      <c r="E1102" s="82" t="s">
        <v>2073</v>
      </c>
    </row>
    <row r="1103" spans="5:5" x14ac:dyDescent="0.25">
      <c r="E1103" s="82" t="s">
        <v>2074</v>
      </c>
    </row>
    <row r="1104" spans="5:5" x14ac:dyDescent="0.25">
      <c r="E1104" s="82" t="s">
        <v>2075</v>
      </c>
    </row>
    <row r="1105" spans="5:5" x14ac:dyDescent="0.25">
      <c r="E1105" s="82" t="s">
        <v>2076</v>
      </c>
    </row>
    <row r="1106" spans="5:5" x14ac:dyDescent="0.25">
      <c r="E1106" s="82" t="s">
        <v>2077</v>
      </c>
    </row>
    <row r="1107" spans="5:5" x14ac:dyDescent="0.25">
      <c r="E1107" s="82" t="s">
        <v>2078</v>
      </c>
    </row>
    <row r="1108" spans="5:5" x14ac:dyDescent="0.25">
      <c r="E1108" s="82" t="s">
        <v>2079</v>
      </c>
    </row>
    <row r="1109" spans="5:5" x14ac:dyDescent="0.25">
      <c r="E1109" s="82" t="s">
        <v>2080</v>
      </c>
    </row>
    <row r="1110" spans="5:5" x14ac:dyDescent="0.25">
      <c r="E1110" s="82" t="s">
        <v>2081</v>
      </c>
    </row>
    <row r="1111" spans="5:5" x14ac:dyDescent="0.25">
      <c r="E1111" s="82" t="s">
        <v>2082</v>
      </c>
    </row>
    <row r="1112" spans="5:5" x14ac:dyDescent="0.25">
      <c r="E1112" s="82" t="s">
        <v>2083</v>
      </c>
    </row>
    <row r="1113" spans="5:5" x14ac:dyDescent="0.25">
      <c r="E1113" s="82" t="s">
        <v>2084</v>
      </c>
    </row>
    <row r="1114" spans="5:5" x14ac:dyDescent="0.25">
      <c r="E1114" s="82" t="s">
        <v>2085</v>
      </c>
    </row>
    <row r="1115" spans="5:5" x14ac:dyDescent="0.25">
      <c r="E1115" s="82" t="s">
        <v>2086</v>
      </c>
    </row>
    <row r="1116" spans="5:5" x14ac:dyDescent="0.25">
      <c r="E1116" s="82" t="s">
        <v>2087</v>
      </c>
    </row>
    <row r="1117" spans="5:5" x14ac:dyDescent="0.25">
      <c r="E1117" s="82" t="s">
        <v>2088</v>
      </c>
    </row>
    <row r="1118" spans="5:5" x14ac:dyDescent="0.25">
      <c r="E1118" s="82" t="s">
        <v>2089</v>
      </c>
    </row>
    <row r="1119" spans="5:5" x14ac:dyDescent="0.25">
      <c r="E1119" s="82" t="s">
        <v>2090</v>
      </c>
    </row>
    <row r="1120" spans="5:5" x14ac:dyDescent="0.25">
      <c r="E1120" s="82" t="s">
        <v>2091</v>
      </c>
    </row>
    <row r="1121" spans="5:5" x14ac:dyDescent="0.25">
      <c r="E1121" s="82" t="s">
        <v>2092</v>
      </c>
    </row>
    <row r="1122" spans="5:5" x14ac:dyDescent="0.25">
      <c r="E1122" s="82" t="s">
        <v>2093</v>
      </c>
    </row>
    <row r="1123" spans="5:5" x14ac:dyDescent="0.25">
      <c r="E1123" s="82" t="s">
        <v>2094</v>
      </c>
    </row>
    <row r="1124" spans="5:5" x14ac:dyDescent="0.25">
      <c r="E1124" s="82" t="s">
        <v>2095</v>
      </c>
    </row>
    <row r="1125" spans="5:5" x14ac:dyDescent="0.25">
      <c r="E1125" s="82" t="s">
        <v>2096</v>
      </c>
    </row>
    <row r="1126" spans="5:5" x14ac:dyDescent="0.25">
      <c r="E1126" s="82" t="s">
        <v>2097</v>
      </c>
    </row>
    <row r="1127" spans="5:5" x14ac:dyDescent="0.25">
      <c r="E1127" s="82" t="s">
        <v>2098</v>
      </c>
    </row>
    <row r="1128" spans="5:5" x14ac:dyDescent="0.25">
      <c r="E1128" s="82" t="s">
        <v>2099</v>
      </c>
    </row>
    <row r="1129" spans="5:5" x14ac:dyDescent="0.25">
      <c r="E1129" s="82" t="s">
        <v>2100</v>
      </c>
    </row>
    <row r="1130" spans="5:5" x14ac:dyDescent="0.25">
      <c r="E1130" s="82" t="s">
        <v>2101</v>
      </c>
    </row>
    <row r="1131" spans="5:5" x14ac:dyDescent="0.25">
      <c r="E1131" s="82" t="s">
        <v>2102</v>
      </c>
    </row>
    <row r="1132" spans="5:5" x14ac:dyDescent="0.25">
      <c r="E1132" s="82" t="s">
        <v>2103</v>
      </c>
    </row>
    <row r="1133" spans="5:5" x14ac:dyDescent="0.25">
      <c r="E1133" s="82" t="s">
        <v>2104</v>
      </c>
    </row>
    <row r="1134" spans="5:5" x14ac:dyDescent="0.25">
      <c r="E1134" s="82" t="s">
        <v>2105</v>
      </c>
    </row>
    <row r="1135" spans="5:5" x14ac:dyDescent="0.25">
      <c r="E1135" s="82" t="s">
        <v>2106</v>
      </c>
    </row>
    <row r="1136" spans="5:5" x14ac:dyDescent="0.25">
      <c r="E1136" s="82" t="s">
        <v>2107</v>
      </c>
    </row>
    <row r="1137" spans="5:5" x14ac:dyDescent="0.25">
      <c r="E1137" s="82" t="s">
        <v>2108</v>
      </c>
    </row>
    <row r="1138" spans="5:5" x14ac:dyDescent="0.25">
      <c r="E1138" s="82" t="s">
        <v>2109</v>
      </c>
    </row>
    <row r="1139" spans="5:5" x14ac:dyDescent="0.25">
      <c r="E1139" s="82" t="s">
        <v>2110</v>
      </c>
    </row>
    <row r="1140" spans="5:5" x14ac:dyDescent="0.25">
      <c r="E1140" s="82" t="s">
        <v>2111</v>
      </c>
    </row>
    <row r="1141" spans="5:5" x14ac:dyDescent="0.25">
      <c r="E1141" s="82" t="s">
        <v>2112</v>
      </c>
    </row>
    <row r="1142" spans="5:5" x14ac:dyDescent="0.25">
      <c r="E1142" s="82" t="s">
        <v>2113</v>
      </c>
    </row>
    <row r="1143" spans="5:5" x14ac:dyDescent="0.25">
      <c r="E1143" s="82" t="s">
        <v>2114</v>
      </c>
    </row>
    <row r="1144" spans="5:5" x14ac:dyDescent="0.25">
      <c r="E1144" s="82" t="s">
        <v>2115</v>
      </c>
    </row>
    <row r="1145" spans="5:5" x14ac:dyDescent="0.25">
      <c r="E1145" s="82" t="s">
        <v>2116</v>
      </c>
    </row>
    <row r="1146" spans="5:5" x14ac:dyDescent="0.25">
      <c r="E1146" s="82" t="s">
        <v>2117</v>
      </c>
    </row>
    <row r="1147" spans="5:5" x14ac:dyDescent="0.25">
      <c r="E1147" s="82" t="s">
        <v>2118</v>
      </c>
    </row>
    <row r="1148" spans="5:5" x14ac:dyDescent="0.25">
      <c r="E1148" s="82" t="s">
        <v>2119</v>
      </c>
    </row>
    <row r="1149" spans="5:5" x14ac:dyDescent="0.25">
      <c r="E1149" s="82" t="s">
        <v>2120</v>
      </c>
    </row>
    <row r="1150" spans="5:5" x14ac:dyDescent="0.25">
      <c r="E1150" s="82" t="s">
        <v>2121</v>
      </c>
    </row>
    <row r="1151" spans="5:5" x14ac:dyDescent="0.25">
      <c r="E1151" s="82" t="s">
        <v>2122</v>
      </c>
    </row>
    <row r="1152" spans="5:5" x14ac:dyDescent="0.25">
      <c r="E1152" s="82" t="s">
        <v>2123</v>
      </c>
    </row>
    <row r="1153" spans="5:5" x14ac:dyDescent="0.25">
      <c r="E1153" s="82" t="s">
        <v>2124</v>
      </c>
    </row>
    <row r="1154" spans="5:5" x14ac:dyDescent="0.25">
      <c r="E1154" s="82" t="s">
        <v>2125</v>
      </c>
    </row>
    <row r="1155" spans="5:5" x14ac:dyDescent="0.25">
      <c r="E1155" s="82" t="s">
        <v>2126</v>
      </c>
    </row>
    <row r="1156" spans="5:5" x14ac:dyDescent="0.25">
      <c r="E1156" s="82" t="s">
        <v>2127</v>
      </c>
    </row>
    <row r="1157" spans="5:5" x14ac:dyDescent="0.25">
      <c r="E1157" s="82" t="s">
        <v>2128</v>
      </c>
    </row>
    <row r="1158" spans="5:5" x14ac:dyDescent="0.25">
      <c r="E1158" s="82" t="s">
        <v>2129</v>
      </c>
    </row>
    <row r="1159" spans="5:5" x14ac:dyDescent="0.25">
      <c r="E1159" s="82" t="s">
        <v>2130</v>
      </c>
    </row>
    <row r="1160" spans="5:5" x14ac:dyDescent="0.25">
      <c r="E1160" s="82" t="s">
        <v>2131</v>
      </c>
    </row>
    <row r="1161" spans="5:5" x14ac:dyDescent="0.25">
      <c r="E1161" s="82" t="s">
        <v>2132</v>
      </c>
    </row>
    <row r="1162" spans="5:5" x14ac:dyDescent="0.25">
      <c r="E1162" s="82" t="s">
        <v>2133</v>
      </c>
    </row>
    <row r="1163" spans="5:5" x14ac:dyDescent="0.25">
      <c r="E1163" s="82" t="s">
        <v>2134</v>
      </c>
    </row>
    <row r="1164" spans="5:5" x14ac:dyDescent="0.25">
      <c r="E1164" s="82" t="s">
        <v>2135</v>
      </c>
    </row>
    <row r="1165" spans="5:5" x14ac:dyDescent="0.25">
      <c r="E1165" s="82" t="s">
        <v>2136</v>
      </c>
    </row>
    <row r="1166" spans="5:5" x14ac:dyDescent="0.25">
      <c r="E1166" s="82" t="s">
        <v>2137</v>
      </c>
    </row>
    <row r="1167" spans="5:5" x14ac:dyDescent="0.25">
      <c r="E1167" s="82" t="s">
        <v>2138</v>
      </c>
    </row>
    <row r="1168" spans="5:5" x14ac:dyDescent="0.25">
      <c r="E1168" s="82" t="s">
        <v>2139</v>
      </c>
    </row>
    <row r="1169" spans="5:5" x14ac:dyDescent="0.25">
      <c r="E1169" s="82" t="s">
        <v>2140</v>
      </c>
    </row>
    <row r="1170" spans="5:5" x14ac:dyDescent="0.25">
      <c r="E1170" s="82" t="s">
        <v>2141</v>
      </c>
    </row>
    <row r="1171" spans="5:5" x14ac:dyDescent="0.25">
      <c r="E1171" s="82" t="s">
        <v>2142</v>
      </c>
    </row>
    <row r="1172" spans="5:5" x14ac:dyDescent="0.25">
      <c r="E1172" s="82" t="s">
        <v>2143</v>
      </c>
    </row>
    <row r="1173" spans="5:5" x14ac:dyDescent="0.25">
      <c r="E1173" s="82" t="s">
        <v>2144</v>
      </c>
    </row>
    <row r="1174" spans="5:5" x14ac:dyDescent="0.25">
      <c r="E1174" s="82" t="s">
        <v>2145</v>
      </c>
    </row>
    <row r="1175" spans="5:5" x14ac:dyDescent="0.25">
      <c r="E1175" s="82" t="s">
        <v>2146</v>
      </c>
    </row>
    <row r="1176" spans="5:5" x14ac:dyDescent="0.25">
      <c r="E1176" s="82" t="s">
        <v>2147</v>
      </c>
    </row>
    <row r="1177" spans="5:5" x14ac:dyDescent="0.25">
      <c r="E1177" s="82" t="s">
        <v>2148</v>
      </c>
    </row>
    <row r="1178" spans="5:5" x14ac:dyDescent="0.25">
      <c r="E1178" s="82" t="s">
        <v>2149</v>
      </c>
    </row>
    <row r="1179" spans="5:5" x14ac:dyDescent="0.25">
      <c r="E1179" s="82" t="s">
        <v>2150</v>
      </c>
    </row>
    <row r="1180" spans="5:5" x14ac:dyDescent="0.25">
      <c r="E1180" s="82" t="s">
        <v>2151</v>
      </c>
    </row>
    <row r="1181" spans="5:5" x14ac:dyDescent="0.25">
      <c r="E1181" s="82" t="s">
        <v>2152</v>
      </c>
    </row>
    <row r="1182" spans="5:5" x14ac:dyDescent="0.25">
      <c r="E1182" s="82" t="s">
        <v>2153</v>
      </c>
    </row>
    <row r="1183" spans="5:5" x14ac:dyDescent="0.25">
      <c r="E1183" s="82" t="s">
        <v>2154</v>
      </c>
    </row>
    <row r="1184" spans="5:5" x14ac:dyDescent="0.25">
      <c r="E1184" s="82" t="s">
        <v>2155</v>
      </c>
    </row>
    <row r="1185" spans="5:5" x14ac:dyDescent="0.25">
      <c r="E1185" s="82" t="s">
        <v>2156</v>
      </c>
    </row>
    <row r="1186" spans="5:5" x14ac:dyDescent="0.25">
      <c r="E1186" s="82" t="s">
        <v>2157</v>
      </c>
    </row>
    <row r="1187" spans="5:5" x14ac:dyDescent="0.25">
      <c r="E1187" s="82" t="s">
        <v>2158</v>
      </c>
    </row>
    <row r="1188" spans="5:5" x14ac:dyDescent="0.25">
      <c r="E1188" s="82" t="s">
        <v>2159</v>
      </c>
    </row>
    <row r="1189" spans="5:5" x14ac:dyDescent="0.25">
      <c r="E1189" s="82" t="s">
        <v>2160</v>
      </c>
    </row>
    <row r="1190" spans="5:5" x14ac:dyDescent="0.25">
      <c r="E1190" s="82" t="s">
        <v>2161</v>
      </c>
    </row>
    <row r="1191" spans="5:5" x14ac:dyDescent="0.25">
      <c r="E1191" s="82" t="s">
        <v>2162</v>
      </c>
    </row>
    <row r="1192" spans="5:5" x14ac:dyDescent="0.25">
      <c r="E1192" s="82" t="s">
        <v>2163</v>
      </c>
    </row>
    <row r="1193" spans="5:5" x14ac:dyDescent="0.25">
      <c r="E1193" s="82" t="s">
        <v>2164</v>
      </c>
    </row>
    <row r="1194" spans="5:5" x14ac:dyDescent="0.25">
      <c r="E1194" s="82" t="s">
        <v>2165</v>
      </c>
    </row>
    <row r="1195" spans="5:5" x14ac:dyDescent="0.25">
      <c r="E1195" s="82" t="s">
        <v>2166</v>
      </c>
    </row>
    <row r="1196" spans="5:5" x14ac:dyDescent="0.25">
      <c r="E1196" s="82" t="s">
        <v>2167</v>
      </c>
    </row>
    <row r="1197" spans="5:5" x14ac:dyDescent="0.25">
      <c r="E1197" s="82" t="s">
        <v>2168</v>
      </c>
    </row>
    <row r="1198" spans="5:5" x14ac:dyDescent="0.25">
      <c r="E1198" s="82" t="s">
        <v>2169</v>
      </c>
    </row>
    <row r="1199" spans="5:5" x14ac:dyDescent="0.25">
      <c r="E1199" s="82" t="s">
        <v>2170</v>
      </c>
    </row>
    <row r="1200" spans="5:5" x14ac:dyDescent="0.25">
      <c r="E1200" s="82" t="s">
        <v>2171</v>
      </c>
    </row>
    <row r="1201" spans="5:5" x14ac:dyDescent="0.25">
      <c r="E1201" s="82" t="s">
        <v>2172</v>
      </c>
    </row>
    <row r="1202" spans="5:5" x14ac:dyDescent="0.25">
      <c r="E1202" s="82" t="s">
        <v>2173</v>
      </c>
    </row>
    <row r="1203" spans="5:5" x14ac:dyDescent="0.25">
      <c r="E1203" s="82" t="s">
        <v>2174</v>
      </c>
    </row>
    <row r="1204" spans="5:5" x14ac:dyDescent="0.25">
      <c r="E1204" s="82" t="s">
        <v>2175</v>
      </c>
    </row>
    <row r="1205" spans="5:5" x14ac:dyDescent="0.25">
      <c r="E1205" s="82" t="s">
        <v>2176</v>
      </c>
    </row>
    <row r="1206" spans="5:5" x14ac:dyDescent="0.25">
      <c r="E1206" s="82" t="s">
        <v>2177</v>
      </c>
    </row>
    <row r="1207" spans="5:5" x14ac:dyDescent="0.25">
      <c r="E1207" s="82" t="s">
        <v>2178</v>
      </c>
    </row>
    <row r="1208" spans="5:5" x14ac:dyDescent="0.25">
      <c r="E1208" s="82" t="s">
        <v>2179</v>
      </c>
    </row>
    <row r="1209" spans="5:5" x14ac:dyDescent="0.25">
      <c r="E1209" s="82" t="s">
        <v>2180</v>
      </c>
    </row>
    <row r="1210" spans="5:5" x14ac:dyDescent="0.25">
      <c r="E1210" s="82" t="s">
        <v>2181</v>
      </c>
    </row>
    <row r="1211" spans="5:5" x14ac:dyDescent="0.25">
      <c r="E1211" s="82" t="s">
        <v>2182</v>
      </c>
    </row>
    <row r="1212" spans="5:5" x14ac:dyDescent="0.25">
      <c r="E1212" s="82" t="s">
        <v>2183</v>
      </c>
    </row>
    <row r="1213" spans="5:5" x14ac:dyDescent="0.25">
      <c r="E1213" s="82" t="s">
        <v>2184</v>
      </c>
    </row>
    <row r="1214" spans="5:5" x14ac:dyDescent="0.25">
      <c r="E1214" s="82" t="s">
        <v>2185</v>
      </c>
    </row>
    <row r="1215" spans="5:5" x14ac:dyDescent="0.25">
      <c r="E1215" s="82" t="s">
        <v>2186</v>
      </c>
    </row>
    <row r="1216" spans="5:5" x14ac:dyDescent="0.25">
      <c r="E1216" s="82" t="s">
        <v>2187</v>
      </c>
    </row>
    <row r="1217" spans="5:5" x14ac:dyDescent="0.25">
      <c r="E1217" s="82" t="s">
        <v>2188</v>
      </c>
    </row>
    <row r="1218" spans="5:5" x14ac:dyDescent="0.25">
      <c r="E1218" s="82" t="s">
        <v>2189</v>
      </c>
    </row>
    <row r="1219" spans="5:5" x14ac:dyDescent="0.25">
      <c r="E1219" s="82" t="s">
        <v>2190</v>
      </c>
    </row>
    <row r="1220" spans="5:5" x14ac:dyDescent="0.25">
      <c r="E1220" s="82" t="s">
        <v>2191</v>
      </c>
    </row>
    <row r="1221" spans="5:5" x14ac:dyDescent="0.25">
      <c r="E1221" s="82" t="s">
        <v>2192</v>
      </c>
    </row>
    <row r="1222" spans="5:5" x14ac:dyDescent="0.25">
      <c r="E1222" s="82" t="s">
        <v>2193</v>
      </c>
    </row>
    <row r="1223" spans="5:5" x14ac:dyDescent="0.25">
      <c r="E1223" s="82" t="s">
        <v>2194</v>
      </c>
    </row>
    <row r="1224" spans="5:5" x14ac:dyDescent="0.25">
      <c r="E1224" s="82" t="s">
        <v>2195</v>
      </c>
    </row>
    <row r="1225" spans="5:5" x14ac:dyDescent="0.25">
      <c r="E1225" s="82" t="s">
        <v>2196</v>
      </c>
    </row>
    <row r="1226" spans="5:5" x14ac:dyDescent="0.25">
      <c r="E1226" s="82" t="s">
        <v>2197</v>
      </c>
    </row>
    <row r="1227" spans="5:5" x14ac:dyDescent="0.25">
      <c r="E1227" s="82" t="s">
        <v>2198</v>
      </c>
    </row>
    <row r="1228" spans="5:5" x14ac:dyDescent="0.25">
      <c r="E1228" s="82" t="s">
        <v>2199</v>
      </c>
    </row>
    <row r="1229" spans="5:5" x14ac:dyDescent="0.25">
      <c r="E1229" s="82" t="s">
        <v>2200</v>
      </c>
    </row>
    <row r="1230" spans="5:5" x14ac:dyDescent="0.25">
      <c r="E1230" s="82" t="s">
        <v>2201</v>
      </c>
    </row>
    <row r="1231" spans="5:5" x14ac:dyDescent="0.25">
      <c r="E1231" s="82" t="s">
        <v>2202</v>
      </c>
    </row>
    <row r="1232" spans="5:5" x14ac:dyDescent="0.25">
      <c r="E1232" s="82" t="s">
        <v>2203</v>
      </c>
    </row>
    <row r="1233" spans="5:5" x14ac:dyDescent="0.25">
      <c r="E1233" s="82" t="s">
        <v>2204</v>
      </c>
    </row>
    <row r="1234" spans="5:5" x14ac:dyDescent="0.25">
      <c r="E1234" s="82" t="s">
        <v>2205</v>
      </c>
    </row>
    <row r="1235" spans="5:5" x14ac:dyDescent="0.25">
      <c r="E1235" s="82" t="s">
        <v>2206</v>
      </c>
    </row>
    <row r="1236" spans="5:5" x14ac:dyDescent="0.25">
      <c r="E1236" s="82" t="s">
        <v>2207</v>
      </c>
    </row>
    <row r="1237" spans="5:5" x14ac:dyDescent="0.25">
      <c r="E1237" s="82" t="s">
        <v>2208</v>
      </c>
    </row>
    <row r="1238" spans="5:5" x14ac:dyDescent="0.25">
      <c r="E1238" s="82" t="s">
        <v>2209</v>
      </c>
    </row>
    <row r="1239" spans="5:5" x14ac:dyDescent="0.25">
      <c r="E1239" s="82" t="s">
        <v>2210</v>
      </c>
    </row>
    <row r="1240" spans="5:5" x14ac:dyDescent="0.25">
      <c r="E1240" s="82" t="s">
        <v>2211</v>
      </c>
    </row>
    <row r="1241" spans="5:5" x14ac:dyDescent="0.25">
      <c r="E1241" s="82" t="s">
        <v>2212</v>
      </c>
    </row>
    <row r="1242" spans="5:5" x14ac:dyDescent="0.25">
      <c r="E1242" s="82" t="s">
        <v>2213</v>
      </c>
    </row>
    <row r="1243" spans="5:5" x14ac:dyDescent="0.25">
      <c r="E1243" s="82" t="s">
        <v>2214</v>
      </c>
    </row>
    <row r="1244" spans="5:5" x14ac:dyDescent="0.25">
      <c r="E1244" s="82" t="s">
        <v>2215</v>
      </c>
    </row>
    <row r="1245" spans="5:5" x14ac:dyDescent="0.25">
      <c r="E1245" s="82" t="s">
        <v>2216</v>
      </c>
    </row>
    <row r="1246" spans="5:5" x14ac:dyDescent="0.25">
      <c r="E1246" s="82" t="s">
        <v>2217</v>
      </c>
    </row>
    <row r="1247" spans="5:5" x14ac:dyDescent="0.25">
      <c r="E1247" s="82" t="s">
        <v>2218</v>
      </c>
    </row>
    <row r="1248" spans="5:5" x14ac:dyDescent="0.25">
      <c r="E1248" s="82" t="s">
        <v>2219</v>
      </c>
    </row>
    <row r="1249" spans="5:5" x14ac:dyDescent="0.25">
      <c r="E1249" s="82" t="s">
        <v>2220</v>
      </c>
    </row>
    <row r="1250" spans="5:5" x14ac:dyDescent="0.25">
      <c r="E1250" s="82" t="s">
        <v>2221</v>
      </c>
    </row>
    <row r="1251" spans="5:5" x14ac:dyDescent="0.25">
      <c r="E1251" s="82" t="s">
        <v>2222</v>
      </c>
    </row>
    <row r="1252" spans="5:5" x14ac:dyDescent="0.25">
      <c r="E1252" s="82" t="s">
        <v>2223</v>
      </c>
    </row>
    <row r="1253" spans="5:5" x14ac:dyDescent="0.25">
      <c r="E1253" s="82" t="s">
        <v>2224</v>
      </c>
    </row>
    <row r="1254" spans="5:5" x14ac:dyDescent="0.25">
      <c r="E1254" s="82" t="s">
        <v>2225</v>
      </c>
    </row>
    <row r="1255" spans="5:5" x14ac:dyDescent="0.25">
      <c r="E1255" s="82" t="s">
        <v>2226</v>
      </c>
    </row>
    <row r="1256" spans="5:5" x14ac:dyDescent="0.25">
      <c r="E1256" s="82" t="s">
        <v>2227</v>
      </c>
    </row>
    <row r="1257" spans="5:5" x14ac:dyDescent="0.25">
      <c r="E1257" s="82" t="s">
        <v>2228</v>
      </c>
    </row>
    <row r="1258" spans="5:5" x14ac:dyDescent="0.25">
      <c r="E1258" s="82" t="s">
        <v>2229</v>
      </c>
    </row>
    <row r="1259" spans="5:5" x14ac:dyDescent="0.25">
      <c r="E1259" s="82" t="s">
        <v>2230</v>
      </c>
    </row>
    <row r="1260" spans="5:5" x14ac:dyDescent="0.25">
      <c r="E1260" s="82" t="s">
        <v>2231</v>
      </c>
    </row>
    <row r="1261" spans="5:5" x14ac:dyDescent="0.25">
      <c r="E1261" s="82" t="s">
        <v>2232</v>
      </c>
    </row>
    <row r="1262" spans="5:5" x14ac:dyDescent="0.25">
      <c r="E1262" s="82" t="s">
        <v>2233</v>
      </c>
    </row>
    <row r="1263" spans="5:5" x14ac:dyDescent="0.25">
      <c r="E1263" s="82" t="s">
        <v>2234</v>
      </c>
    </row>
    <row r="1264" spans="5:5" x14ac:dyDescent="0.25">
      <c r="E1264" s="82" t="s">
        <v>2235</v>
      </c>
    </row>
    <row r="1265" spans="5:5" x14ac:dyDescent="0.25">
      <c r="E1265" s="82" t="s">
        <v>2236</v>
      </c>
    </row>
    <row r="1266" spans="5:5" x14ac:dyDescent="0.25">
      <c r="E1266" s="82" t="s">
        <v>2237</v>
      </c>
    </row>
    <row r="1267" spans="5:5" x14ac:dyDescent="0.25">
      <c r="E1267" s="82" t="s">
        <v>2238</v>
      </c>
    </row>
    <row r="1268" spans="5:5" x14ac:dyDescent="0.25">
      <c r="E1268" s="82" t="s">
        <v>2239</v>
      </c>
    </row>
    <row r="1269" spans="5:5" x14ac:dyDescent="0.25">
      <c r="E1269" s="82" t="s">
        <v>2240</v>
      </c>
    </row>
    <row r="1270" spans="5:5" x14ac:dyDescent="0.25">
      <c r="E1270" s="82" t="s">
        <v>2241</v>
      </c>
    </row>
    <row r="1271" spans="5:5" x14ac:dyDescent="0.25">
      <c r="E1271" s="82" t="s">
        <v>2242</v>
      </c>
    </row>
    <row r="1272" spans="5:5" x14ac:dyDescent="0.25">
      <c r="E1272" s="82" t="s">
        <v>2243</v>
      </c>
    </row>
    <row r="1273" spans="5:5" x14ac:dyDescent="0.25">
      <c r="E1273" s="82" t="s">
        <v>2244</v>
      </c>
    </row>
    <row r="1274" spans="5:5" x14ac:dyDescent="0.25">
      <c r="E1274" s="82" t="s">
        <v>2245</v>
      </c>
    </row>
    <row r="1275" spans="5:5" x14ac:dyDescent="0.25">
      <c r="E1275" s="82" t="s">
        <v>2246</v>
      </c>
    </row>
    <row r="1276" spans="5:5" x14ac:dyDescent="0.25">
      <c r="E1276" s="82" t="s">
        <v>2247</v>
      </c>
    </row>
    <row r="1277" spans="5:5" x14ac:dyDescent="0.25">
      <c r="E1277" s="82" t="s">
        <v>2248</v>
      </c>
    </row>
    <row r="1278" spans="5:5" x14ac:dyDescent="0.25">
      <c r="E1278" s="82" t="s">
        <v>2249</v>
      </c>
    </row>
    <row r="1279" spans="5:5" x14ac:dyDescent="0.25">
      <c r="E1279" s="82" t="s">
        <v>2250</v>
      </c>
    </row>
    <row r="1280" spans="5:5" x14ac:dyDescent="0.25">
      <c r="E1280" s="82" t="s">
        <v>2251</v>
      </c>
    </row>
    <row r="1281" spans="5:5" x14ac:dyDescent="0.25">
      <c r="E1281" s="82" t="s">
        <v>2252</v>
      </c>
    </row>
    <row r="1282" spans="5:5" x14ac:dyDescent="0.25">
      <c r="E1282" s="82" t="s">
        <v>2253</v>
      </c>
    </row>
    <row r="1283" spans="5:5" x14ac:dyDescent="0.25">
      <c r="E1283" s="82" t="s">
        <v>2254</v>
      </c>
    </row>
    <row r="1284" spans="5:5" x14ac:dyDescent="0.25">
      <c r="E1284" s="82" t="s">
        <v>2255</v>
      </c>
    </row>
    <row r="1285" spans="5:5" x14ac:dyDescent="0.25">
      <c r="E1285" s="82" t="s">
        <v>2256</v>
      </c>
    </row>
    <row r="1286" spans="5:5" x14ac:dyDescent="0.25">
      <c r="E1286" s="82" t="s">
        <v>2257</v>
      </c>
    </row>
    <row r="1287" spans="5:5" x14ac:dyDescent="0.25">
      <c r="E1287" s="82" t="s">
        <v>2258</v>
      </c>
    </row>
    <row r="1288" spans="5:5" x14ac:dyDescent="0.25">
      <c r="E1288" s="82" t="s">
        <v>2259</v>
      </c>
    </row>
    <row r="1289" spans="5:5" x14ac:dyDescent="0.25">
      <c r="E1289" s="82" t="s">
        <v>2260</v>
      </c>
    </row>
    <row r="1290" spans="5:5" x14ac:dyDescent="0.25">
      <c r="E1290" s="82" t="s">
        <v>2261</v>
      </c>
    </row>
    <row r="1291" spans="5:5" x14ac:dyDescent="0.25">
      <c r="E1291" s="82" t="s">
        <v>2262</v>
      </c>
    </row>
    <row r="1292" spans="5:5" x14ac:dyDescent="0.25">
      <c r="E1292" s="82" t="s">
        <v>2263</v>
      </c>
    </row>
    <row r="1293" spans="5:5" x14ac:dyDescent="0.25">
      <c r="E1293" s="82" t="s">
        <v>2264</v>
      </c>
    </row>
    <row r="1294" spans="5:5" x14ac:dyDescent="0.25">
      <c r="E1294" s="82" t="s">
        <v>2265</v>
      </c>
    </row>
    <row r="1295" spans="5:5" x14ac:dyDescent="0.25">
      <c r="E1295" s="82" t="s">
        <v>2266</v>
      </c>
    </row>
    <row r="1296" spans="5:5" x14ac:dyDescent="0.25">
      <c r="E1296" s="82" t="s">
        <v>2267</v>
      </c>
    </row>
    <row r="1297" spans="5:5" x14ac:dyDescent="0.25">
      <c r="E1297" s="82" t="s">
        <v>2268</v>
      </c>
    </row>
    <row r="1298" spans="5:5" x14ac:dyDescent="0.25">
      <c r="E1298" s="82" t="s">
        <v>2269</v>
      </c>
    </row>
    <row r="1299" spans="5:5" x14ac:dyDescent="0.25">
      <c r="E1299" s="82" t="s">
        <v>2270</v>
      </c>
    </row>
    <row r="1300" spans="5:5" x14ac:dyDescent="0.25">
      <c r="E1300" s="82" t="s">
        <v>2271</v>
      </c>
    </row>
    <row r="1301" spans="5:5" x14ac:dyDescent="0.25">
      <c r="E1301" s="82" t="s">
        <v>2272</v>
      </c>
    </row>
    <row r="1302" spans="5:5" x14ac:dyDescent="0.25">
      <c r="E1302" s="82" t="s">
        <v>2273</v>
      </c>
    </row>
    <row r="1303" spans="5:5" x14ac:dyDescent="0.25">
      <c r="E1303" s="82" t="s">
        <v>2274</v>
      </c>
    </row>
    <row r="1304" spans="5:5" x14ac:dyDescent="0.25">
      <c r="E1304" s="82" t="s">
        <v>2275</v>
      </c>
    </row>
    <row r="1305" spans="5:5" x14ac:dyDescent="0.25">
      <c r="E1305" s="82" t="s">
        <v>2276</v>
      </c>
    </row>
    <row r="1306" spans="5:5" x14ac:dyDescent="0.25">
      <c r="E1306" s="82" t="s">
        <v>2277</v>
      </c>
    </row>
    <row r="1307" spans="5:5" x14ac:dyDescent="0.25">
      <c r="E1307" s="82" t="s">
        <v>2278</v>
      </c>
    </row>
    <row r="1308" spans="5:5" x14ac:dyDescent="0.25">
      <c r="E1308" s="82" t="s">
        <v>2279</v>
      </c>
    </row>
    <row r="1309" spans="5:5" x14ac:dyDescent="0.25">
      <c r="E1309" s="82" t="s">
        <v>2280</v>
      </c>
    </row>
    <row r="1310" spans="5:5" x14ac:dyDescent="0.25">
      <c r="E1310" s="82" t="s">
        <v>2281</v>
      </c>
    </row>
    <row r="1311" spans="5:5" x14ac:dyDescent="0.25">
      <c r="E1311" s="82" t="s">
        <v>2282</v>
      </c>
    </row>
    <row r="1312" spans="5:5" x14ac:dyDescent="0.25">
      <c r="E1312" s="82" t="s">
        <v>2283</v>
      </c>
    </row>
    <row r="1313" spans="5:5" x14ac:dyDescent="0.25">
      <c r="E1313" s="82" t="s">
        <v>2284</v>
      </c>
    </row>
    <row r="1314" spans="5:5" x14ac:dyDescent="0.25">
      <c r="E1314" s="82" t="s">
        <v>2285</v>
      </c>
    </row>
    <row r="1315" spans="5:5" x14ac:dyDescent="0.25">
      <c r="E1315" s="82" t="s">
        <v>2286</v>
      </c>
    </row>
    <row r="1316" spans="5:5" x14ac:dyDescent="0.25">
      <c r="E1316" s="82" t="s">
        <v>2287</v>
      </c>
    </row>
    <row r="1317" spans="5:5" x14ac:dyDescent="0.25">
      <c r="E1317" s="82" t="s">
        <v>2288</v>
      </c>
    </row>
    <row r="1318" spans="5:5" x14ac:dyDescent="0.25">
      <c r="E1318" s="82" t="s">
        <v>2289</v>
      </c>
    </row>
    <row r="1319" spans="5:5" x14ac:dyDescent="0.25">
      <c r="E1319" s="82" t="s">
        <v>2290</v>
      </c>
    </row>
    <row r="1320" spans="5:5" x14ac:dyDescent="0.25">
      <c r="E1320" s="82" t="s">
        <v>2291</v>
      </c>
    </row>
    <row r="1321" spans="5:5" x14ac:dyDescent="0.25">
      <c r="E1321" s="82" t="s">
        <v>2292</v>
      </c>
    </row>
    <row r="1322" spans="5:5" x14ac:dyDescent="0.25">
      <c r="E1322" s="82" t="s">
        <v>2293</v>
      </c>
    </row>
    <row r="1323" spans="5:5" x14ac:dyDescent="0.25">
      <c r="E1323" s="82" t="s">
        <v>2294</v>
      </c>
    </row>
    <row r="1324" spans="5:5" x14ac:dyDescent="0.25">
      <c r="E1324" s="82" t="s">
        <v>2295</v>
      </c>
    </row>
    <row r="1325" spans="5:5" x14ac:dyDescent="0.25">
      <c r="E1325" s="82" t="s">
        <v>2296</v>
      </c>
    </row>
    <row r="1326" spans="5:5" x14ac:dyDescent="0.25">
      <c r="E1326" s="82" t="s">
        <v>2297</v>
      </c>
    </row>
    <row r="1327" spans="5:5" x14ac:dyDescent="0.25">
      <c r="E1327" s="82" t="s">
        <v>2298</v>
      </c>
    </row>
    <row r="1328" spans="5:5" x14ac:dyDescent="0.25">
      <c r="E1328" s="82" t="s">
        <v>2299</v>
      </c>
    </row>
    <row r="1329" spans="5:5" x14ac:dyDescent="0.25">
      <c r="E1329" s="82" t="s">
        <v>2300</v>
      </c>
    </row>
    <row r="1330" spans="5:5" x14ac:dyDescent="0.25">
      <c r="E1330" s="82" t="s">
        <v>2301</v>
      </c>
    </row>
    <row r="1331" spans="5:5" x14ac:dyDescent="0.25">
      <c r="E1331" s="82" t="s">
        <v>2302</v>
      </c>
    </row>
    <row r="1332" spans="5:5" x14ac:dyDescent="0.25">
      <c r="E1332" s="82" t="s">
        <v>2303</v>
      </c>
    </row>
    <row r="1333" spans="5:5" x14ac:dyDescent="0.25">
      <c r="E1333" s="82" t="s">
        <v>2304</v>
      </c>
    </row>
    <row r="1334" spans="5:5" x14ac:dyDescent="0.25">
      <c r="E1334" s="82" t="s">
        <v>2305</v>
      </c>
    </row>
    <row r="1335" spans="5:5" x14ac:dyDescent="0.25">
      <c r="E1335" s="82" t="s">
        <v>2306</v>
      </c>
    </row>
    <row r="1336" spans="5:5" x14ac:dyDescent="0.25">
      <c r="E1336" s="82" t="s">
        <v>2307</v>
      </c>
    </row>
    <row r="1337" spans="5:5" x14ac:dyDescent="0.25">
      <c r="E1337" s="82" t="s">
        <v>2308</v>
      </c>
    </row>
    <row r="1338" spans="5:5" x14ac:dyDescent="0.25">
      <c r="E1338" s="82" t="s">
        <v>2309</v>
      </c>
    </row>
    <row r="1339" spans="5:5" x14ac:dyDescent="0.25">
      <c r="E1339" s="82" t="s">
        <v>2310</v>
      </c>
    </row>
    <row r="1340" spans="5:5" x14ac:dyDescent="0.25">
      <c r="E1340" s="82" t="s">
        <v>2311</v>
      </c>
    </row>
    <row r="1341" spans="5:5" x14ac:dyDescent="0.25">
      <c r="E1341" s="82" t="s">
        <v>2312</v>
      </c>
    </row>
    <row r="1342" spans="5:5" x14ac:dyDescent="0.25">
      <c r="E1342" s="82" t="s">
        <v>2313</v>
      </c>
    </row>
    <row r="1343" spans="5:5" x14ac:dyDescent="0.25">
      <c r="E1343" s="82" t="s">
        <v>2314</v>
      </c>
    </row>
    <row r="1344" spans="5:5" x14ac:dyDescent="0.25">
      <c r="E1344" s="82" t="s">
        <v>2315</v>
      </c>
    </row>
    <row r="1345" spans="5:5" x14ac:dyDescent="0.25">
      <c r="E1345" s="82" t="s">
        <v>2316</v>
      </c>
    </row>
    <row r="1346" spans="5:5" x14ac:dyDescent="0.25">
      <c r="E1346" s="82" t="s">
        <v>2317</v>
      </c>
    </row>
    <row r="1347" spans="5:5" x14ac:dyDescent="0.25">
      <c r="E1347" s="82" t="s">
        <v>2318</v>
      </c>
    </row>
    <row r="1348" spans="5:5" x14ac:dyDescent="0.25">
      <c r="E1348" s="82" t="s">
        <v>2319</v>
      </c>
    </row>
    <row r="1349" spans="5:5" x14ac:dyDescent="0.25">
      <c r="E1349" s="82" t="s">
        <v>2320</v>
      </c>
    </row>
    <row r="1350" spans="5:5" x14ac:dyDescent="0.25">
      <c r="E1350" s="82" t="s">
        <v>2321</v>
      </c>
    </row>
    <row r="1351" spans="5:5" x14ac:dyDescent="0.25">
      <c r="E1351" s="82" t="s">
        <v>2322</v>
      </c>
    </row>
    <row r="1352" spans="5:5" x14ac:dyDescent="0.25">
      <c r="E1352" s="82" t="s">
        <v>2323</v>
      </c>
    </row>
    <row r="1353" spans="5:5" x14ac:dyDescent="0.25">
      <c r="E1353" s="82" t="s">
        <v>2324</v>
      </c>
    </row>
    <row r="1354" spans="5:5" x14ac:dyDescent="0.25">
      <c r="E1354" s="82" t="s">
        <v>2325</v>
      </c>
    </row>
    <row r="1355" spans="5:5" x14ac:dyDescent="0.25">
      <c r="E1355" s="82" t="s">
        <v>2326</v>
      </c>
    </row>
    <row r="1356" spans="5:5" x14ac:dyDescent="0.25">
      <c r="E1356" s="82" t="s">
        <v>2327</v>
      </c>
    </row>
    <row r="1357" spans="5:5" x14ac:dyDescent="0.25">
      <c r="E1357" s="82" t="s">
        <v>2328</v>
      </c>
    </row>
    <row r="1358" spans="5:5" x14ac:dyDescent="0.25">
      <c r="E1358" s="82" t="s">
        <v>2329</v>
      </c>
    </row>
    <row r="1359" spans="5:5" x14ac:dyDescent="0.25">
      <c r="E1359" s="82" t="s">
        <v>2330</v>
      </c>
    </row>
    <row r="1360" spans="5:5" x14ac:dyDescent="0.25">
      <c r="E1360" s="82" t="s">
        <v>2331</v>
      </c>
    </row>
    <row r="1361" spans="5:5" x14ac:dyDescent="0.25">
      <c r="E1361" s="82" t="s">
        <v>2332</v>
      </c>
    </row>
    <row r="1362" spans="5:5" x14ac:dyDescent="0.25">
      <c r="E1362" s="82" t="s">
        <v>2333</v>
      </c>
    </row>
    <row r="1363" spans="5:5" x14ac:dyDescent="0.25">
      <c r="E1363" s="82" t="s">
        <v>2334</v>
      </c>
    </row>
    <row r="1364" spans="5:5" x14ac:dyDescent="0.25">
      <c r="E1364" s="82" t="s">
        <v>2335</v>
      </c>
    </row>
    <row r="1365" spans="5:5" x14ac:dyDescent="0.25">
      <c r="E1365" s="82" t="s">
        <v>2336</v>
      </c>
    </row>
    <row r="1366" spans="5:5" x14ac:dyDescent="0.25">
      <c r="E1366" s="82" t="s">
        <v>2337</v>
      </c>
    </row>
    <row r="1367" spans="5:5" x14ac:dyDescent="0.25">
      <c r="E1367" s="82" t="s">
        <v>2338</v>
      </c>
    </row>
    <row r="1368" spans="5:5" x14ac:dyDescent="0.25">
      <c r="E1368" s="82" t="s">
        <v>2339</v>
      </c>
    </row>
    <row r="1369" spans="5:5" x14ac:dyDescent="0.25">
      <c r="E1369" s="82" t="s">
        <v>2340</v>
      </c>
    </row>
    <row r="1370" spans="5:5" x14ac:dyDescent="0.25">
      <c r="E1370" s="82" t="s">
        <v>2341</v>
      </c>
    </row>
    <row r="1371" spans="5:5" x14ac:dyDescent="0.25">
      <c r="E1371" s="82" t="s">
        <v>2342</v>
      </c>
    </row>
    <row r="1372" spans="5:5" x14ac:dyDescent="0.25">
      <c r="E1372" s="82" t="s">
        <v>2343</v>
      </c>
    </row>
    <row r="1373" spans="5:5" x14ac:dyDescent="0.25">
      <c r="E1373" s="82" t="s">
        <v>2344</v>
      </c>
    </row>
    <row r="1374" spans="5:5" x14ac:dyDescent="0.25">
      <c r="E1374" s="82" t="s">
        <v>2345</v>
      </c>
    </row>
    <row r="1375" spans="5:5" x14ac:dyDescent="0.25">
      <c r="E1375" s="82" t="s">
        <v>2346</v>
      </c>
    </row>
    <row r="1376" spans="5:5" x14ac:dyDescent="0.25">
      <c r="E1376" s="82" t="s">
        <v>2347</v>
      </c>
    </row>
    <row r="1377" spans="5:5" x14ac:dyDescent="0.25">
      <c r="E1377" s="82" t="s">
        <v>2348</v>
      </c>
    </row>
    <row r="1378" spans="5:5" x14ac:dyDescent="0.25">
      <c r="E1378" s="82" t="s">
        <v>2349</v>
      </c>
    </row>
    <row r="1379" spans="5:5" x14ac:dyDescent="0.25">
      <c r="E1379" s="82" t="s">
        <v>2350</v>
      </c>
    </row>
    <row r="1380" spans="5:5" x14ac:dyDescent="0.25">
      <c r="E1380" s="82" t="s">
        <v>2351</v>
      </c>
    </row>
    <row r="1381" spans="5:5" x14ac:dyDescent="0.25">
      <c r="E1381" s="82" t="s">
        <v>2352</v>
      </c>
    </row>
    <row r="1382" spans="5:5" x14ac:dyDescent="0.25">
      <c r="E1382" s="82" t="s">
        <v>2353</v>
      </c>
    </row>
    <row r="1383" spans="5:5" x14ac:dyDescent="0.25">
      <c r="E1383" s="82" t="s">
        <v>2354</v>
      </c>
    </row>
    <row r="1384" spans="5:5" x14ac:dyDescent="0.25">
      <c r="E1384" s="82" t="s">
        <v>2355</v>
      </c>
    </row>
    <row r="1385" spans="5:5" x14ac:dyDescent="0.25">
      <c r="E1385" s="82" t="s">
        <v>2356</v>
      </c>
    </row>
    <row r="1386" spans="5:5" x14ac:dyDescent="0.25">
      <c r="E1386" s="82" t="s">
        <v>2357</v>
      </c>
    </row>
    <row r="1387" spans="5:5" x14ac:dyDescent="0.25">
      <c r="E1387" s="82" t="s">
        <v>2358</v>
      </c>
    </row>
    <row r="1388" spans="5:5" x14ac:dyDescent="0.25">
      <c r="E1388" s="82" t="s">
        <v>2359</v>
      </c>
    </row>
    <row r="1389" spans="5:5" x14ac:dyDescent="0.25">
      <c r="E1389" s="82" t="s">
        <v>2360</v>
      </c>
    </row>
    <row r="1390" spans="5:5" x14ac:dyDescent="0.25">
      <c r="E1390" s="82" t="s">
        <v>2361</v>
      </c>
    </row>
    <row r="1391" spans="5:5" x14ac:dyDescent="0.25">
      <c r="E1391" s="82" t="s">
        <v>2362</v>
      </c>
    </row>
    <row r="1392" spans="5:5" x14ac:dyDescent="0.25">
      <c r="E1392" s="82" t="s">
        <v>2363</v>
      </c>
    </row>
    <row r="1393" spans="5:5" x14ac:dyDescent="0.25">
      <c r="E1393" s="82" t="s">
        <v>2364</v>
      </c>
    </row>
    <row r="1394" spans="5:5" x14ac:dyDescent="0.25">
      <c r="E1394" s="82" t="s">
        <v>2365</v>
      </c>
    </row>
    <row r="1395" spans="5:5" x14ac:dyDescent="0.25">
      <c r="E1395" s="82" t="s">
        <v>2366</v>
      </c>
    </row>
    <row r="1396" spans="5:5" x14ac:dyDescent="0.25">
      <c r="E1396" s="82" t="s">
        <v>2367</v>
      </c>
    </row>
    <row r="1397" spans="5:5" x14ac:dyDescent="0.25">
      <c r="E1397" s="82" t="s">
        <v>2368</v>
      </c>
    </row>
    <row r="1398" spans="5:5" x14ac:dyDescent="0.25">
      <c r="E1398" s="82" t="s">
        <v>2369</v>
      </c>
    </row>
    <row r="1399" spans="5:5" x14ac:dyDescent="0.25">
      <c r="E1399" s="82" t="s">
        <v>2370</v>
      </c>
    </row>
    <row r="1400" spans="5:5" x14ac:dyDescent="0.25">
      <c r="E1400" s="82" t="s">
        <v>2371</v>
      </c>
    </row>
    <row r="1401" spans="5:5" x14ac:dyDescent="0.25">
      <c r="E1401" s="82" t="s">
        <v>2372</v>
      </c>
    </row>
    <row r="1402" spans="5:5" x14ac:dyDescent="0.25">
      <c r="E1402" s="82" t="s">
        <v>2373</v>
      </c>
    </row>
    <row r="1403" spans="5:5" x14ac:dyDescent="0.25">
      <c r="E1403" s="82" t="s">
        <v>2374</v>
      </c>
    </row>
    <row r="1404" spans="5:5" x14ac:dyDescent="0.25">
      <c r="E1404" s="82" t="s">
        <v>2375</v>
      </c>
    </row>
    <row r="1405" spans="5:5" x14ac:dyDescent="0.25">
      <c r="E1405" s="82" t="s">
        <v>2376</v>
      </c>
    </row>
    <row r="1406" spans="5:5" x14ac:dyDescent="0.25">
      <c r="E1406" s="82" t="s">
        <v>2377</v>
      </c>
    </row>
    <row r="1407" spans="5:5" x14ac:dyDescent="0.25">
      <c r="E1407" s="82" t="s">
        <v>2378</v>
      </c>
    </row>
    <row r="1408" spans="5:5" x14ac:dyDescent="0.25">
      <c r="E1408" s="82" t="s">
        <v>2379</v>
      </c>
    </row>
    <row r="1409" spans="5:5" x14ac:dyDescent="0.25">
      <c r="E1409" s="82" t="s">
        <v>2380</v>
      </c>
    </row>
    <row r="1410" spans="5:5" x14ac:dyDescent="0.25">
      <c r="E1410" s="82" t="s">
        <v>2381</v>
      </c>
    </row>
    <row r="1411" spans="5:5" x14ac:dyDescent="0.25">
      <c r="E1411" s="82" t="s">
        <v>2382</v>
      </c>
    </row>
    <row r="1412" spans="5:5" x14ac:dyDescent="0.25">
      <c r="E1412" s="82" t="s">
        <v>2383</v>
      </c>
    </row>
    <row r="1413" spans="5:5" x14ac:dyDescent="0.25">
      <c r="E1413" s="82" t="s">
        <v>2384</v>
      </c>
    </row>
    <row r="1414" spans="5:5" x14ac:dyDescent="0.25">
      <c r="E1414" s="82" t="s">
        <v>2385</v>
      </c>
    </row>
    <row r="1415" spans="5:5" x14ac:dyDescent="0.25">
      <c r="E1415" s="82" t="s">
        <v>2386</v>
      </c>
    </row>
    <row r="1416" spans="5:5" x14ac:dyDescent="0.25">
      <c r="E1416" s="82" t="s">
        <v>2387</v>
      </c>
    </row>
    <row r="1417" spans="5:5" x14ac:dyDescent="0.25">
      <c r="E1417" s="82" t="s">
        <v>2388</v>
      </c>
    </row>
    <row r="1418" spans="5:5" x14ac:dyDescent="0.25">
      <c r="E1418" s="82" t="s">
        <v>2389</v>
      </c>
    </row>
    <row r="1419" spans="5:5" x14ac:dyDescent="0.25">
      <c r="E1419" s="82" t="s">
        <v>2390</v>
      </c>
    </row>
    <row r="1420" spans="5:5" x14ac:dyDescent="0.25">
      <c r="E1420" s="82" t="s">
        <v>2391</v>
      </c>
    </row>
    <row r="1421" spans="5:5" x14ac:dyDescent="0.25">
      <c r="E1421" s="82" t="s">
        <v>2392</v>
      </c>
    </row>
    <row r="1422" spans="5:5" x14ac:dyDescent="0.25">
      <c r="E1422" s="82" t="s">
        <v>2393</v>
      </c>
    </row>
    <row r="1423" spans="5:5" x14ac:dyDescent="0.25">
      <c r="E1423" s="82" t="s">
        <v>2394</v>
      </c>
    </row>
    <row r="1424" spans="5:5" x14ac:dyDescent="0.25">
      <c r="E1424" s="82" t="s">
        <v>2395</v>
      </c>
    </row>
    <row r="1425" spans="5:5" x14ac:dyDescent="0.25">
      <c r="E1425" s="82" t="s">
        <v>2396</v>
      </c>
    </row>
    <row r="1426" spans="5:5" x14ac:dyDescent="0.25">
      <c r="E1426" s="82" t="s">
        <v>2397</v>
      </c>
    </row>
    <row r="1427" spans="5:5" x14ac:dyDescent="0.25">
      <c r="E1427" s="82" t="s">
        <v>2398</v>
      </c>
    </row>
    <row r="1428" spans="5:5" x14ac:dyDescent="0.25">
      <c r="E1428" s="82" t="s">
        <v>2399</v>
      </c>
    </row>
    <row r="1429" spans="5:5" x14ac:dyDescent="0.25">
      <c r="E1429" s="82" t="s">
        <v>2400</v>
      </c>
    </row>
    <row r="1430" spans="5:5" x14ac:dyDescent="0.25">
      <c r="E1430" s="82" t="s">
        <v>2401</v>
      </c>
    </row>
    <row r="1431" spans="5:5" x14ac:dyDescent="0.25">
      <c r="E1431" s="82" t="s">
        <v>2402</v>
      </c>
    </row>
    <row r="1432" spans="5:5" x14ac:dyDescent="0.25">
      <c r="E1432" s="82" t="s">
        <v>2403</v>
      </c>
    </row>
    <row r="1433" spans="5:5" x14ac:dyDescent="0.25">
      <c r="E1433" s="82" t="s">
        <v>2404</v>
      </c>
    </row>
    <row r="1434" spans="5:5" x14ac:dyDescent="0.25">
      <c r="E1434" s="82" t="s">
        <v>2405</v>
      </c>
    </row>
    <row r="1435" spans="5:5" x14ac:dyDescent="0.25">
      <c r="E1435" s="82" t="s">
        <v>2406</v>
      </c>
    </row>
    <row r="1436" spans="5:5" x14ac:dyDescent="0.25">
      <c r="E1436" s="82" t="s">
        <v>2407</v>
      </c>
    </row>
    <row r="1437" spans="5:5" x14ac:dyDescent="0.25">
      <c r="E1437" s="82" t="s">
        <v>2408</v>
      </c>
    </row>
    <row r="1438" spans="5:5" x14ac:dyDescent="0.25">
      <c r="E1438" s="82" t="s">
        <v>2409</v>
      </c>
    </row>
    <row r="1439" spans="5:5" x14ac:dyDescent="0.25">
      <c r="E1439" s="82" t="s">
        <v>2410</v>
      </c>
    </row>
    <row r="1440" spans="5:5" x14ac:dyDescent="0.25">
      <c r="E1440" s="82" t="s">
        <v>2411</v>
      </c>
    </row>
    <row r="1441" spans="5:5" x14ac:dyDescent="0.25">
      <c r="E1441" s="82" t="s">
        <v>2412</v>
      </c>
    </row>
    <row r="1442" spans="5:5" x14ac:dyDescent="0.25">
      <c r="E1442" s="82" t="s">
        <v>2413</v>
      </c>
    </row>
    <row r="1443" spans="5:5" x14ac:dyDescent="0.25">
      <c r="E1443" s="82" t="s">
        <v>2414</v>
      </c>
    </row>
    <row r="1444" spans="5:5" x14ac:dyDescent="0.25">
      <c r="E1444" s="82" t="s">
        <v>2415</v>
      </c>
    </row>
    <row r="1445" spans="5:5" x14ac:dyDescent="0.25">
      <c r="E1445" s="82" t="s">
        <v>2416</v>
      </c>
    </row>
    <row r="1446" spans="5:5" x14ac:dyDescent="0.25">
      <c r="E1446" s="82" t="s">
        <v>2417</v>
      </c>
    </row>
    <row r="1447" spans="5:5" x14ac:dyDescent="0.25">
      <c r="E1447" s="82" t="s">
        <v>2418</v>
      </c>
    </row>
    <row r="1448" spans="5:5" x14ac:dyDescent="0.25">
      <c r="E1448" s="82" t="s">
        <v>2419</v>
      </c>
    </row>
    <row r="1449" spans="5:5" x14ac:dyDescent="0.25">
      <c r="E1449" s="82" t="s">
        <v>2420</v>
      </c>
    </row>
    <row r="1450" spans="5:5" x14ac:dyDescent="0.25">
      <c r="E1450" s="82" t="s">
        <v>2421</v>
      </c>
    </row>
    <row r="1451" spans="5:5" x14ac:dyDescent="0.25">
      <c r="E1451" s="82" t="s">
        <v>2422</v>
      </c>
    </row>
    <row r="1452" spans="5:5" x14ac:dyDescent="0.25">
      <c r="E1452" s="82" t="s">
        <v>2423</v>
      </c>
    </row>
    <row r="1453" spans="5:5" x14ac:dyDescent="0.25">
      <c r="E1453" s="82" t="s">
        <v>2424</v>
      </c>
    </row>
    <row r="1454" spans="5:5" x14ac:dyDescent="0.25">
      <c r="E1454" s="82" t="s">
        <v>2425</v>
      </c>
    </row>
    <row r="1455" spans="5:5" x14ac:dyDescent="0.25">
      <c r="E1455" s="82" t="s">
        <v>2426</v>
      </c>
    </row>
    <row r="1456" spans="5:5" x14ac:dyDescent="0.25">
      <c r="E1456" s="82" t="s">
        <v>2427</v>
      </c>
    </row>
    <row r="1457" spans="5:5" x14ac:dyDescent="0.25">
      <c r="E1457" s="82" t="s">
        <v>2428</v>
      </c>
    </row>
    <row r="1458" spans="5:5" x14ac:dyDescent="0.25">
      <c r="E1458" s="82" t="s">
        <v>2429</v>
      </c>
    </row>
    <row r="1459" spans="5:5" x14ac:dyDescent="0.25">
      <c r="E1459" s="82" t="s">
        <v>2430</v>
      </c>
    </row>
    <row r="1460" spans="5:5" x14ac:dyDescent="0.25">
      <c r="E1460" s="82" t="s">
        <v>2431</v>
      </c>
    </row>
    <row r="1461" spans="5:5" x14ac:dyDescent="0.25">
      <c r="E1461" s="82" t="s">
        <v>2432</v>
      </c>
    </row>
    <row r="1462" spans="5:5" x14ac:dyDescent="0.25">
      <c r="E1462" s="82" t="s">
        <v>2433</v>
      </c>
    </row>
    <row r="1463" spans="5:5" x14ac:dyDescent="0.25">
      <c r="E1463" s="82" t="s">
        <v>2434</v>
      </c>
    </row>
    <row r="1464" spans="5:5" x14ac:dyDescent="0.25">
      <c r="E1464" s="82" t="s">
        <v>2435</v>
      </c>
    </row>
    <row r="1465" spans="5:5" x14ac:dyDescent="0.25">
      <c r="E1465" s="82" t="s">
        <v>2436</v>
      </c>
    </row>
    <row r="1466" spans="5:5" x14ac:dyDescent="0.25">
      <c r="E1466" s="82" t="s">
        <v>2437</v>
      </c>
    </row>
    <row r="1467" spans="5:5" x14ac:dyDescent="0.25">
      <c r="E1467" s="82" t="s">
        <v>2438</v>
      </c>
    </row>
    <row r="1468" spans="5:5" x14ac:dyDescent="0.25">
      <c r="E1468" s="82" t="s">
        <v>2439</v>
      </c>
    </row>
    <row r="1469" spans="5:5" x14ac:dyDescent="0.25">
      <c r="E1469" s="82" t="s">
        <v>2440</v>
      </c>
    </row>
    <row r="1470" spans="5:5" x14ac:dyDescent="0.25">
      <c r="E1470" s="82" t="s">
        <v>2441</v>
      </c>
    </row>
    <row r="1471" spans="5:5" x14ac:dyDescent="0.25">
      <c r="E1471" s="82" t="s">
        <v>2442</v>
      </c>
    </row>
    <row r="1472" spans="5:5" x14ac:dyDescent="0.25">
      <c r="E1472" s="82" t="s">
        <v>2443</v>
      </c>
    </row>
    <row r="1473" spans="5:5" x14ac:dyDescent="0.25">
      <c r="E1473" s="82" t="s">
        <v>2444</v>
      </c>
    </row>
    <row r="1474" spans="5:5" x14ac:dyDescent="0.25">
      <c r="E1474" s="82" t="s">
        <v>2445</v>
      </c>
    </row>
    <row r="1475" spans="5:5" x14ac:dyDescent="0.25">
      <c r="E1475" s="82" t="s">
        <v>2446</v>
      </c>
    </row>
    <row r="1476" spans="5:5" x14ac:dyDescent="0.25">
      <c r="E1476" s="82" t="s">
        <v>2447</v>
      </c>
    </row>
    <row r="1477" spans="5:5" x14ac:dyDescent="0.25">
      <c r="E1477" s="82" t="s">
        <v>2448</v>
      </c>
    </row>
    <row r="1478" spans="5:5" x14ac:dyDescent="0.25">
      <c r="E1478" s="82" t="s">
        <v>2449</v>
      </c>
    </row>
    <row r="1479" spans="5:5" x14ac:dyDescent="0.25">
      <c r="E1479" s="82" t="s">
        <v>2450</v>
      </c>
    </row>
    <row r="1480" spans="5:5" x14ac:dyDescent="0.25">
      <c r="E1480" s="82" t="s">
        <v>2451</v>
      </c>
    </row>
    <row r="1481" spans="5:5" x14ac:dyDescent="0.25">
      <c r="E1481" s="82" t="s">
        <v>2452</v>
      </c>
    </row>
    <row r="1482" spans="5:5" x14ac:dyDescent="0.25">
      <c r="E1482" s="82" t="s">
        <v>2453</v>
      </c>
    </row>
    <row r="1483" spans="5:5" x14ac:dyDescent="0.25">
      <c r="E1483" s="82" t="s">
        <v>2454</v>
      </c>
    </row>
    <row r="1484" spans="5:5" x14ac:dyDescent="0.25">
      <c r="E1484" s="82" t="s">
        <v>2455</v>
      </c>
    </row>
    <row r="1485" spans="5:5" x14ac:dyDescent="0.25">
      <c r="E1485" s="82" t="s">
        <v>2456</v>
      </c>
    </row>
    <row r="1486" spans="5:5" x14ac:dyDescent="0.25">
      <c r="E1486" s="82" t="s">
        <v>2457</v>
      </c>
    </row>
    <row r="1487" spans="5:5" x14ac:dyDescent="0.25">
      <c r="E1487" s="82" t="s">
        <v>2458</v>
      </c>
    </row>
    <row r="1488" spans="5:5" x14ac:dyDescent="0.25">
      <c r="E1488" s="82" t="s">
        <v>2459</v>
      </c>
    </row>
    <row r="1489" spans="5:5" x14ac:dyDescent="0.25">
      <c r="E1489" s="82" t="s">
        <v>2460</v>
      </c>
    </row>
    <row r="1490" spans="5:5" x14ac:dyDescent="0.25">
      <c r="E1490" s="82" t="s">
        <v>2461</v>
      </c>
    </row>
    <row r="1491" spans="5:5" x14ac:dyDescent="0.25">
      <c r="E1491" s="82" t="s">
        <v>2462</v>
      </c>
    </row>
    <row r="1492" spans="5:5" x14ac:dyDescent="0.25">
      <c r="E1492" s="82" t="s">
        <v>2463</v>
      </c>
    </row>
    <row r="1493" spans="5:5" x14ac:dyDescent="0.25">
      <c r="E1493" s="82" t="s">
        <v>2464</v>
      </c>
    </row>
    <row r="1494" spans="5:5" x14ac:dyDescent="0.25">
      <c r="E1494" s="82" t="s">
        <v>2465</v>
      </c>
    </row>
    <row r="1495" spans="5:5" x14ac:dyDescent="0.25">
      <c r="E1495" s="82" t="s">
        <v>2466</v>
      </c>
    </row>
    <row r="1496" spans="5:5" x14ac:dyDescent="0.25">
      <c r="E1496" s="82" t="s">
        <v>2467</v>
      </c>
    </row>
    <row r="1497" spans="5:5" x14ac:dyDescent="0.25">
      <c r="E1497" s="82" t="s">
        <v>2468</v>
      </c>
    </row>
    <row r="1498" spans="5:5" x14ac:dyDescent="0.25">
      <c r="E1498" s="82" t="s">
        <v>2469</v>
      </c>
    </row>
    <row r="1499" spans="5:5" x14ac:dyDescent="0.25">
      <c r="E1499" s="82" t="s">
        <v>2470</v>
      </c>
    </row>
    <row r="1500" spans="5:5" x14ac:dyDescent="0.25">
      <c r="E1500" s="82" t="s">
        <v>2471</v>
      </c>
    </row>
    <row r="1501" spans="5:5" x14ac:dyDescent="0.25">
      <c r="E1501" s="82" t="s">
        <v>2472</v>
      </c>
    </row>
    <row r="1502" spans="5:5" x14ac:dyDescent="0.25">
      <c r="E1502" s="82" t="s">
        <v>2473</v>
      </c>
    </row>
    <row r="1503" spans="5:5" x14ac:dyDescent="0.25">
      <c r="E1503" s="82" t="s">
        <v>2474</v>
      </c>
    </row>
    <row r="1504" spans="5:5" x14ac:dyDescent="0.25">
      <c r="E1504" s="82" t="s">
        <v>2475</v>
      </c>
    </row>
    <row r="1505" spans="5:5" x14ac:dyDescent="0.25">
      <c r="E1505" s="82" t="s">
        <v>2476</v>
      </c>
    </row>
    <row r="1506" spans="5:5" x14ac:dyDescent="0.25">
      <c r="E1506" s="82" t="s">
        <v>2477</v>
      </c>
    </row>
    <row r="1507" spans="5:5" x14ac:dyDescent="0.25">
      <c r="E1507" s="82" t="s">
        <v>2478</v>
      </c>
    </row>
    <row r="1508" spans="5:5" x14ac:dyDescent="0.25">
      <c r="E1508" s="82" t="s">
        <v>2479</v>
      </c>
    </row>
    <row r="1509" spans="5:5" x14ac:dyDescent="0.25">
      <c r="E1509" s="82" t="s">
        <v>2480</v>
      </c>
    </row>
    <row r="1510" spans="5:5" x14ac:dyDescent="0.25">
      <c r="E1510" s="82" t="s">
        <v>2481</v>
      </c>
    </row>
    <row r="1511" spans="5:5" x14ac:dyDescent="0.25">
      <c r="E1511" s="82" t="s">
        <v>2482</v>
      </c>
    </row>
    <row r="1512" spans="5:5" x14ac:dyDescent="0.25">
      <c r="E1512" s="82" t="s">
        <v>2483</v>
      </c>
    </row>
    <row r="1513" spans="5:5" x14ac:dyDescent="0.25">
      <c r="E1513" s="82" t="s">
        <v>2484</v>
      </c>
    </row>
    <row r="1514" spans="5:5" x14ac:dyDescent="0.25">
      <c r="E1514" s="82" t="s">
        <v>2485</v>
      </c>
    </row>
    <row r="1515" spans="5:5" x14ac:dyDescent="0.25">
      <c r="E1515" s="82" t="s">
        <v>2486</v>
      </c>
    </row>
    <row r="1516" spans="5:5" x14ac:dyDescent="0.25">
      <c r="E1516" s="82" t="s">
        <v>2487</v>
      </c>
    </row>
    <row r="1517" spans="5:5" x14ac:dyDescent="0.25">
      <c r="E1517" s="82" t="s">
        <v>2488</v>
      </c>
    </row>
    <row r="1518" spans="5:5" x14ac:dyDescent="0.25">
      <c r="E1518" s="82" t="s">
        <v>2489</v>
      </c>
    </row>
    <row r="1519" spans="5:5" x14ac:dyDescent="0.25">
      <c r="E1519" s="82" t="s">
        <v>2490</v>
      </c>
    </row>
    <row r="1520" spans="5:5" x14ac:dyDescent="0.25">
      <c r="E1520" s="82" t="s">
        <v>2491</v>
      </c>
    </row>
    <row r="1521" spans="5:5" x14ac:dyDescent="0.25">
      <c r="E1521" s="82" t="s">
        <v>2492</v>
      </c>
    </row>
    <row r="1522" spans="5:5" x14ac:dyDescent="0.25">
      <c r="E1522" s="82" t="s">
        <v>2493</v>
      </c>
    </row>
    <row r="1523" spans="5:5" x14ac:dyDescent="0.25">
      <c r="E1523" s="82" t="s">
        <v>2494</v>
      </c>
    </row>
    <row r="1524" spans="5:5" x14ac:dyDescent="0.25">
      <c r="E1524" s="82" t="s">
        <v>2495</v>
      </c>
    </row>
    <row r="1525" spans="5:5" x14ac:dyDescent="0.25">
      <c r="E1525" s="82" t="s">
        <v>2496</v>
      </c>
    </row>
    <row r="1526" spans="5:5" x14ac:dyDescent="0.25">
      <c r="E1526" s="82" t="s">
        <v>2497</v>
      </c>
    </row>
    <row r="1527" spans="5:5" x14ac:dyDescent="0.25">
      <c r="E1527" s="82" t="s">
        <v>2498</v>
      </c>
    </row>
    <row r="1528" spans="5:5" x14ac:dyDescent="0.25">
      <c r="E1528" s="82" t="s">
        <v>2499</v>
      </c>
    </row>
    <row r="1529" spans="5:5" x14ac:dyDescent="0.25">
      <c r="E1529" s="82" t="s">
        <v>2500</v>
      </c>
    </row>
    <row r="1530" spans="5:5" x14ac:dyDescent="0.25">
      <c r="E1530" s="82" t="s">
        <v>2501</v>
      </c>
    </row>
    <row r="1531" spans="5:5" x14ac:dyDescent="0.25">
      <c r="E1531" s="82" t="s">
        <v>2502</v>
      </c>
    </row>
    <row r="1532" spans="5:5" x14ac:dyDescent="0.25">
      <c r="E1532" s="82" t="s">
        <v>2503</v>
      </c>
    </row>
    <row r="1533" spans="5:5" x14ac:dyDescent="0.25">
      <c r="E1533" s="82" t="s">
        <v>2504</v>
      </c>
    </row>
    <row r="1534" spans="5:5" x14ac:dyDescent="0.25">
      <c r="E1534" s="82" t="s">
        <v>2505</v>
      </c>
    </row>
    <row r="1535" spans="5:5" x14ac:dyDescent="0.25">
      <c r="E1535" s="82" t="s">
        <v>2506</v>
      </c>
    </row>
    <row r="1536" spans="5:5" x14ac:dyDescent="0.25">
      <c r="E1536" s="82" t="s">
        <v>2507</v>
      </c>
    </row>
    <row r="1537" spans="5:5" x14ac:dyDescent="0.25">
      <c r="E1537" s="82" t="s">
        <v>2508</v>
      </c>
    </row>
    <row r="1538" spans="5:5" x14ac:dyDescent="0.25">
      <c r="E1538" s="82" t="s">
        <v>2509</v>
      </c>
    </row>
    <row r="1539" spans="5:5" x14ac:dyDescent="0.25">
      <c r="E1539" s="82" t="s">
        <v>2510</v>
      </c>
    </row>
    <row r="1540" spans="5:5" x14ac:dyDescent="0.25">
      <c r="E1540" s="82" t="s">
        <v>2511</v>
      </c>
    </row>
    <row r="1541" spans="5:5" x14ac:dyDescent="0.25">
      <c r="E1541" s="82" t="s">
        <v>2512</v>
      </c>
    </row>
    <row r="1542" spans="5:5" x14ac:dyDescent="0.25">
      <c r="E1542" s="82" t="s">
        <v>2513</v>
      </c>
    </row>
    <row r="1543" spans="5:5" x14ac:dyDescent="0.25">
      <c r="E1543" s="82" t="s">
        <v>2514</v>
      </c>
    </row>
    <row r="1544" spans="5:5" x14ac:dyDescent="0.25">
      <c r="E1544" s="82" t="s">
        <v>2515</v>
      </c>
    </row>
    <row r="1545" spans="5:5" x14ac:dyDescent="0.25">
      <c r="E1545" s="82" t="s">
        <v>2516</v>
      </c>
    </row>
    <row r="1546" spans="5:5" x14ac:dyDescent="0.25">
      <c r="E1546" s="82" t="s">
        <v>2517</v>
      </c>
    </row>
    <row r="1547" spans="5:5" x14ac:dyDescent="0.25">
      <c r="E1547" s="82" t="s">
        <v>2518</v>
      </c>
    </row>
    <row r="1548" spans="5:5" x14ac:dyDescent="0.25">
      <c r="E1548" s="82" t="s">
        <v>2519</v>
      </c>
    </row>
    <row r="1549" spans="5:5" x14ac:dyDescent="0.25">
      <c r="E1549" s="82" t="s">
        <v>2520</v>
      </c>
    </row>
    <row r="1550" spans="5:5" x14ac:dyDescent="0.25">
      <c r="E1550" s="82" t="s">
        <v>2521</v>
      </c>
    </row>
    <row r="1551" spans="5:5" x14ac:dyDescent="0.25">
      <c r="E1551" s="82" t="s">
        <v>2522</v>
      </c>
    </row>
    <row r="1552" spans="5:5" x14ac:dyDescent="0.25">
      <c r="E1552" s="82" t="s">
        <v>2523</v>
      </c>
    </row>
    <row r="1553" spans="5:5" x14ac:dyDescent="0.25">
      <c r="E1553" s="82" t="s">
        <v>2524</v>
      </c>
    </row>
    <row r="1554" spans="5:5" x14ac:dyDescent="0.25">
      <c r="E1554" s="82" t="s">
        <v>2525</v>
      </c>
    </row>
    <row r="1555" spans="5:5" x14ac:dyDescent="0.25">
      <c r="E1555" s="82" t="s">
        <v>2526</v>
      </c>
    </row>
    <row r="1556" spans="5:5" x14ac:dyDescent="0.25">
      <c r="E1556" s="82" t="s">
        <v>2527</v>
      </c>
    </row>
    <row r="1557" spans="5:5" x14ac:dyDescent="0.25">
      <c r="E1557" s="82" t="s">
        <v>2528</v>
      </c>
    </row>
    <row r="1558" spans="5:5" x14ac:dyDescent="0.25">
      <c r="E1558" s="82" t="s">
        <v>2529</v>
      </c>
    </row>
    <row r="1559" spans="5:5" x14ac:dyDescent="0.25">
      <c r="E1559" s="82" t="s">
        <v>2530</v>
      </c>
    </row>
    <row r="1560" spans="5:5" x14ac:dyDescent="0.25">
      <c r="E1560" s="82" t="s">
        <v>2531</v>
      </c>
    </row>
    <row r="1561" spans="5:5" x14ac:dyDescent="0.25">
      <c r="E1561" s="82" t="s">
        <v>2532</v>
      </c>
    </row>
    <row r="1562" spans="5:5" x14ac:dyDescent="0.25">
      <c r="E1562" s="82" t="s">
        <v>2533</v>
      </c>
    </row>
    <row r="1563" spans="5:5" x14ac:dyDescent="0.25">
      <c r="E1563" s="82" t="s">
        <v>2534</v>
      </c>
    </row>
    <row r="1564" spans="5:5" x14ac:dyDescent="0.25">
      <c r="E1564" s="82" t="s">
        <v>2535</v>
      </c>
    </row>
    <row r="1565" spans="5:5" x14ac:dyDescent="0.25">
      <c r="E1565" s="82" t="s">
        <v>2536</v>
      </c>
    </row>
    <row r="1566" spans="5:5" x14ac:dyDescent="0.25">
      <c r="E1566" s="82" t="s">
        <v>2537</v>
      </c>
    </row>
    <row r="1567" spans="5:5" x14ac:dyDescent="0.25">
      <c r="E1567" s="82" t="s">
        <v>2538</v>
      </c>
    </row>
    <row r="1568" spans="5:5" x14ac:dyDescent="0.25">
      <c r="E1568" s="82" t="s">
        <v>2539</v>
      </c>
    </row>
    <row r="1569" spans="5:5" x14ac:dyDescent="0.25">
      <c r="E1569" s="82" t="s">
        <v>2540</v>
      </c>
    </row>
    <row r="1570" spans="5:5" x14ac:dyDescent="0.25">
      <c r="E1570" s="82" t="s">
        <v>2541</v>
      </c>
    </row>
    <row r="1571" spans="5:5" x14ac:dyDescent="0.25">
      <c r="E1571" s="82" t="s">
        <v>2542</v>
      </c>
    </row>
    <row r="1572" spans="5:5" x14ac:dyDescent="0.25">
      <c r="E1572" s="82" t="s">
        <v>2543</v>
      </c>
    </row>
    <row r="1573" spans="5:5" x14ac:dyDescent="0.25">
      <c r="E1573" s="82" t="s">
        <v>2544</v>
      </c>
    </row>
    <row r="1574" spans="5:5" x14ac:dyDescent="0.25">
      <c r="E1574" s="82" t="s">
        <v>2545</v>
      </c>
    </row>
    <row r="1575" spans="5:5" x14ac:dyDescent="0.25">
      <c r="E1575" s="82" t="s">
        <v>2546</v>
      </c>
    </row>
    <row r="1576" spans="5:5" x14ac:dyDescent="0.25">
      <c r="E1576" s="82" t="s">
        <v>2547</v>
      </c>
    </row>
    <row r="1577" spans="5:5" x14ac:dyDescent="0.25">
      <c r="E1577" s="82" t="s">
        <v>2548</v>
      </c>
    </row>
    <row r="1578" spans="5:5" x14ac:dyDescent="0.25">
      <c r="E1578" s="82" t="s">
        <v>2549</v>
      </c>
    </row>
    <row r="1579" spans="5:5" x14ac:dyDescent="0.25">
      <c r="E1579" s="82" t="s">
        <v>2550</v>
      </c>
    </row>
    <row r="1580" spans="5:5" x14ac:dyDescent="0.25">
      <c r="E1580" s="82" t="s">
        <v>2551</v>
      </c>
    </row>
    <row r="1581" spans="5:5" x14ac:dyDescent="0.25">
      <c r="E1581" s="82" t="s">
        <v>2552</v>
      </c>
    </row>
    <row r="1582" spans="5:5" x14ac:dyDescent="0.25">
      <c r="E1582" s="82" t="s">
        <v>2553</v>
      </c>
    </row>
    <row r="1583" spans="5:5" x14ac:dyDescent="0.25">
      <c r="E1583" s="82" t="s">
        <v>2554</v>
      </c>
    </row>
    <row r="1584" spans="5:5" x14ac:dyDescent="0.25">
      <c r="E1584" s="82" t="s">
        <v>2555</v>
      </c>
    </row>
    <row r="1585" spans="5:5" x14ac:dyDescent="0.25">
      <c r="E1585" s="82" t="s">
        <v>2556</v>
      </c>
    </row>
    <row r="1586" spans="5:5" x14ac:dyDescent="0.25">
      <c r="E1586" s="82" t="s">
        <v>2557</v>
      </c>
    </row>
    <row r="1587" spans="5:5" x14ac:dyDescent="0.25">
      <c r="E1587" s="82" t="s">
        <v>2558</v>
      </c>
    </row>
    <row r="1588" spans="5:5" x14ac:dyDescent="0.25">
      <c r="E1588" s="82" t="s">
        <v>2559</v>
      </c>
    </row>
    <row r="1589" spans="5:5" x14ac:dyDescent="0.25">
      <c r="E1589" s="82" t="s">
        <v>2560</v>
      </c>
    </row>
    <row r="1590" spans="5:5" x14ac:dyDescent="0.25">
      <c r="E1590" s="82" t="s">
        <v>2561</v>
      </c>
    </row>
    <row r="1591" spans="5:5" x14ac:dyDescent="0.25">
      <c r="E1591" s="82" t="s">
        <v>2562</v>
      </c>
    </row>
    <row r="1592" spans="5:5" x14ac:dyDescent="0.25">
      <c r="E1592" s="82" t="s">
        <v>2563</v>
      </c>
    </row>
    <row r="1593" spans="5:5" x14ac:dyDescent="0.25">
      <c r="E1593" s="82" t="s">
        <v>2564</v>
      </c>
    </row>
    <row r="1594" spans="5:5" x14ac:dyDescent="0.25">
      <c r="E1594" s="82" t="s">
        <v>2565</v>
      </c>
    </row>
    <row r="1595" spans="5:5" x14ac:dyDescent="0.25">
      <c r="E1595" s="82" t="s">
        <v>2566</v>
      </c>
    </row>
    <row r="1596" spans="5:5" x14ac:dyDescent="0.25">
      <c r="E1596" s="82" t="s">
        <v>2567</v>
      </c>
    </row>
    <row r="1597" spans="5:5" x14ac:dyDescent="0.25">
      <c r="E1597" s="82" t="s">
        <v>2568</v>
      </c>
    </row>
    <row r="1598" spans="5:5" x14ac:dyDescent="0.25">
      <c r="E1598" s="82" t="s">
        <v>2569</v>
      </c>
    </row>
    <row r="1599" spans="5:5" x14ac:dyDescent="0.25">
      <c r="E1599" s="82" t="s">
        <v>2570</v>
      </c>
    </row>
    <row r="1600" spans="5:5" x14ac:dyDescent="0.25">
      <c r="E1600" s="82" t="s">
        <v>2571</v>
      </c>
    </row>
    <row r="1601" spans="5:5" x14ac:dyDescent="0.25">
      <c r="E1601" s="82" t="s">
        <v>2572</v>
      </c>
    </row>
    <row r="1602" spans="5:5" x14ac:dyDescent="0.25">
      <c r="E1602" s="82" t="s">
        <v>2573</v>
      </c>
    </row>
    <row r="1603" spans="5:5" x14ac:dyDescent="0.25">
      <c r="E1603" s="82" t="s">
        <v>2574</v>
      </c>
    </row>
    <row r="1604" spans="5:5" x14ac:dyDescent="0.25">
      <c r="E1604" s="82" t="s">
        <v>2575</v>
      </c>
    </row>
    <row r="1605" spans="5:5" x14ac:dyDescent="0.25">
      <c r="E1605" s="82" t="s">
        <v>2576</v>
      </c>
    </row>
    <row r="1606" spans="5:5" x14ac:dyDescent="0.25">
      <c r="E1606" s="82" t="s">
        <v>2577</v>
      </c>
    </row>
    <row r="1607" spans="5:5" x14ac:dyDescent="0.25">
      <c r="E1607" s="82" t="s">
        <v>2578</v>
      </c>
    </row>
    <row r="1608" spans="5:5" x14ac:dyDescent="0.25">
      <c r="E1608" s="82" t="s">
        <v>2579</v>
      </c>
    </row>
    <row r="1609" spans="5:5" x14ac:dyDescent="0.25">
      <c r="E1609" s="82" t="s">
        <v>2580</v>
      </c>
    </row>
    <row r="1610" spans="5:5" x14ac:dyDescent="0.25">
      <c r="E1610" s="82" t="s">
        <v>2581</v>
      </c>
    </row>
    <row r="1611" spans="5:5" x14ac:dyDescent="0.25">
      <c r="E1611" s="82" t="s">
        <v>2582</v>
      </c>
    </row>
    <row r="1612" spans="5:5" x14ac:dyDescent="0.25">
      <c r="E1612" s="82" t="s">
        <v>2583</v>
      </c>
    </row>
    <row r="1613" spans="5:5" x14ac:dyDescent="0.25">
      <c r="E1613" s="82" t="s">
        <v>2584</v>
      </c>
    </row>
    <row r="1614" spans="5:5" x14ac:dyDescent="0.25">
      <c r="E1614" s="82" t="s">
        <v>2585</v>
      </c>
    </row>
    <row r="1615" spans="5:5" x14ac:dyDescent="0.25">
      <c r="E1615" s="82" t="s">
        <v>2586</v>
      </c>
    </row>
    <row r="1616" spans="5:5" x14ac:dyDescent="0.25">
      <c r="E1616" s="82" t="s">
        <v>2587</v>
      </c>
    </row>
    <row r="1617" spans="5:5" x14ac:dyDescent="0.25">
      <c r="E1617" s="82" t="s">
        <v>2588</v>
      </c>
    </row>
    <row r="1618" spans="5:5" x14ac:dyDescent="0.25">
      <c r="E1618" s="82" t="s">
        <v>2589</v>
      </c>
    </row>
    <row r="1619" spans="5:5" x14ac:dyDescent="0.25">
      <c r="E1619" s="82" t="s">
        <v>2590</v>
      </c>
    </row>
    <row r="1620" spans="5:5" x14ac:dyDescent="0.25">
      <c r="E1620" s="82" t="s">
        <v>2591</v>
      </c>
    </row>
    <row r="1621" spans="5:5" x14ac:dyDescent="0.25">
      <c r="E1621" s="82" t="s">
        <v>2592</v>
      </c>
    </row>
    <row r="1622" spans="5:5" x14ac:dyDescent="0.25">
      <c r="E1622" s="82" t="s">
        <v>2593</v>
      </c>
    </row>
    <row r="1623" spans="5:5" x14ac:dyDescent="0.25">
      <c r="E1623" s="82" t="s">
        <v>2594</v>
      </c>
    </row>
    <row r="1624" spans="5:5" x14ac:dyDescent="0.25">
      <c r="E1624" s="82" t="s">
        <v>2595</v>
      </c>
    </row>
    <row r="1625" spans="5:5" x14ac:dyDescent="0.25">
      <c r="E1625" s="82" t="s">
        <v>2596</v>
      </c>
    </row>
    <row r="1626" spans="5:5" x14ac:dyDescent="0.25">
      <c r="E1626" s="82" t="s">
        <v>2597</v>
      </c>
    </row>
    <row r="1627" spans="5:5" x14ac:dyDescent="0.25">
      <c r="E1627" s="82" t="s">
        <v>2598</v>
      </c>
    </row>
    <row r="1628" spans="5:5" x14ac:dyDescent="0.25">
      <c r="E1628" s="82" t="s">
        <v>2599</v>
      </c>
    </row>
    <row r="1629" spans="5:5" x14ac:dyDescent="0.25">
      <c r="E1629" s="82" t="s">
        <v>2600</v>
      </c>
    </row>
    <row r="1630" spans="5:5" x14ac:dyDescent="0.25">
      <c r="E1630" s="82" t="s">
        <v>2601</v>
      </c>
    </row>
    <row r="1631" spans="5:5" x14ac:dyDescent="0.25">
      <c r="E1631" s="82" t="s">
        <v>2602</v>
      </c>
    </row>
    <row r="1632" spans="5:5" x14ac:dyDescent="0.25">
      <c r="E1632" s="82" t="s">
        <v>2603</v>
      </c>
    </row>
    <row r="1633" spans="5:5" x14ac:dyDescent="0.25">
      <c r="E1633" s="82" t="s">
        <v>2604</v>
      </c>
    </row>
    <row r="1634" spans="5:5" x14ac:dyDescent="0.25">
      <c r="E1634" s="82" t="s">
        <v>2605</v>
      </c>
    </row>
    <row r="1635" spans="5:5" x14ac:dyDescent="0.25">
      <c r="E1635" s="82" t="s">
        <v>2606</v>
      </c>
    </row>
    <row r="1636" spans="5:5" x14ac:dyDescent="0.25">
      <c r="E1636" s="82" t="s">
        <v>2607</v>
      </c>
    </row>
    <row r="1637" spans="5:5" x14ac:dyDescent="0.25">
      <c r="E1637" s="82" t="s">
        <v>2608</v>
      </c>
    </row>
    <row r="1638" spans="5:5" x14ac:dyDescent="0.25">
      <c r="E1638" s="82" t="s">
        <v>2609</v>
      </c>
    </row>
    <row r="1639" spans="5:5" x14ac:dyDescent="0.25">
      <c r="E1639" s="82" t="s">
        <v>2610</v>
      </c>
    </row>
    <row r="1640" spans="5:5" x14ac:dyDescent="0.25">
      <c r="E1640" s="82" t="s">
        <v>2611</v>
      </c>
    </row>
    <row r="1641" spans="5:5" x14ac:dyDescent="0.25">
      <c r="E1641" s="82" t="s">
        <v>2612</v>
      </c>
    </row>
    <row r="1642" spans="5:5" x14ac:dyDescent="0.25">
      <c r="E1642" s="82" t="s">
        <v>2613</v>
      </c>
    </row>
    <row r="1643" spans="5:5" x14ac:dyDescent="0.25">
      <c r="E1643" s="82" t="s">
        <v>2614</v>
      </c>
    </row>
    <row r="1644" spans="5:5" x14ac:dyDescent="0.25">
      <c r="E1644" s="82" t="s">
        <v>2615</v>
      </c>
    </row>
    <row r="1645" spans="5:5" x14ac:dyDescent="0.25">
      <c r="E1645" s="82" t="s">
        <v>2616</v>
      </c>
    </row>
    <row r="1646" spans="5:5" x14ac:dyDescent="0.25">
      <c r="E1646" s="82" t="s">
        <v>2617</v>
      </c>
    </row>
    <row r="1647" spans="5:5" x14ac:dyDescent="0.25">
      <c r="E1647" s="82" t="s">
        <v>2618</v>
      </c>
    </row>
    <row r="1648" spans="5:5" x14ac:dyDescent="0.25">
      <c r="E1648" s="82" t="s">
        <v>2619</v>
      </c>
    </row>
    <row r="1649" spans="5:5" x14ac:dyDescent="0.25">
      <c r="E1649" s="82" t="s">
        <v>2620</v>
      </c>
    </row>
    <row r="1650" spans="5:5" x14ac:dyDescent="0.25">
      <c r="E1650" s="82" t="s">
        <v>2621</v>
      </c>
    </row>
    <row r="1651" spans="5:5" x14ac:dyDescent="0.25">
      <c r="E1651" s="82" t="s">
        <v>2622</v>
      </c>
    </row>
    <row r="1652" spans="5:5" x14ac:dyDescent="0.25">
      <c r="E1652" s="82" t="s">
        <v>2623</v>
      </c>
    </row>
    <row r="1653" spans="5:5" x14ac:dyDescent="0.25">
      <c r="E1653" s="82" t="s">
        <v>2624</v>
      </c>
    </row>
    <row r="1654" spans="5:5" x14ac:dyDescent="0.25">
      <c r="E1654" s="82" t="s">
        <v>2625</v>
      </c>
    </row>
    <row r="1655" spans="5:5" x14ac:dyDescent="0.25">
      <c r="E1655" s="82" t="s">
        <v>2626</v>
      </c>
    </row>
    <row r="1656" spans="5:5" x14ac:dyDescent="0.25">
      <c r="E1656" s="82" t="s">
        <v>2627</v>
      </c>
    </row>
    <row r="1657" spans="5:5" x14ac:dyDescent="0.25">
      <c r="E1657" s="82" t="s">
        <v>2628</v>
      </c>
    </row>
    <row r="1658" spans="5:5" x14ac:dyDescent="0.25">
      <c r="E1658" s="82" t="s">
        <v>2629</v>
      </c>
    </row>
    <row r="1659" spans="5:5" x14ac:dyDescent="0.25">
      <c r="E1659" s="82" t="s">
        <v>2630</v>
      </c>
    </row>
    <row r="1660" spans="5:5" x14ac:dyDescent="0.25">
      <c r="E1660" s="82" t="s">
        <v>2631</v>
      </c>
    </row>
    <row r="1661" spans="5:5" x14ac:dyDescent="0.25">
      <c r="E1661" s="82" t="s">
        <v>2632</v>
      </c>
    </row>
    <row r="1662" spans="5:5" x14ac:dyDescent="0.25">
      <c r="E1662" s="82" t="s">
        <v>2633</v>
      </c>
    </row>
    <row r="1663" spans="5:5" x14ac:dyDescent="0.25">
      <c r="E1663" s="82" t="s">
        <v>2634</v>
      </c>
    </row>
    <row r="1664" spans="5:5" x14ac:dyDescent="0.25">
      <c r="E1664" s="82" t="s">
        <v>2635</v>
      </c>
    </row>
    <row r="1665" spans="5:5" x14ac:dyDescent="0.25">
      <c r="E1665" s="82" t="s">
        <v>2636</v>
      </c>
    </row>
    <row r="1666" spans="5:5" x14ac:dyDescent="0.25">
      <c r="E1666" s="82" t="s">
        <v>2637</v>
      </c>
    </row>
    <row r="1667" spans="5:5" x14ac:dyDescent="0.25">
      <c r="E1667" s="82" t="s">
        <v>2638</v>
      </c>
    </row>
    <row r="1668" spans="5:5" x14ac:dyDescent="0.25">
      <c r="E1668" s="82" t="s">
        <v>2639</v>
      </c>
    </row>
    <row r="1669" spans="5:5" x14ac:dyDescent="0.25">
      <c r="E1669" s="82" t="s">
        <v>2640</v>
      </c>
    </row>
    <row r="1670" spans="5:5" x14ac:dyDescent="0.25">
      <c r="E1670" s="82" t="s">
        <v>2641</v>
      </c>
    </row>
    <row r="1671" spans="5:5" x14ac:dyDescent="0.25">
      <c r="E1671" s="82" t="s">
        <v>2642</v>
      </c>
    </row>
    <row r="1672" spans="5:5" x14ac:dyDescent="0.25">
      <c r="E1672" s="82" t="s">
        <v>2643</v>
      </c>
    </row>
    <row r="1673" spans="5:5" x14ac:dyDescent="0.25">
      <c r="E1673" s="82" t="s">
        <v>2644</v>
      </c>
    </row>
    <row r="1674" spans="5:5" x14ac:dyDescent="0.25">
      <c r="E1674" s="82" t="s">
        <v>2645</v>
      </c>
    </row>
    <row r="1675" spans="5:5" x14ac:dyDescent="0.25">
      <c r="E1675" s="82" t="s">
        <v>2646</v>
      </c>
    </row>
    <row r="1676" spans="5:5" x14ac:dyDescent="0.25">
      <c r="E1676" s="82" t="s">
        <v>2647</v>
      </c>
    </row>
    <row r="1677" spans="5:5" x14ac:dyDescent="0.25">
      <c r="E1677" s="82" t="s">
        <v>2648</v>
      </c>
    </row>
    <row r="1678" spans="5:5" x14ac:dyDescent="0.25">
      <c r="E1678" s="82" t="s">
        <v>2649</v>
      </c>
    </row>
    <row r="1679" spans="5:5" x14ac:dyDescent="0.25">
      <c r="E1679" s="82" t="s">
        <v>2650</v>
      </c>
    </row>
    <row r="1680" spans="5:5" x14ac:dyDescent="0.25">
      <c r="E1680" s="82" t="s">
        <v>2651</v>
      </c>
    </row>
    <row r="1681" spans="5:5" x14ac:dyDescent="0.25">
      <c r="E1681" s="82" t="s">
        <v>2652</v>
      </c>
    </row>
    <row r="1682" spans="5:5" x14ac:dyDescent="0.25">
      <c r="E1682" s="82" t="s">
        <v>2653</v>
      </c>
    </row>
    <row r="1683" spans="5:5" x14ac:dyDescent="0.25">
      <c r="E1683" s="82" t="s">
        <v>2654</v>
      </c>
    </row>
    <row r="1684" spans="5:5" x14ac:dyDescent="0.25">
      <c r="E1684" s="82" t="s">
        <v>2655</v>
      </c>
    </row>
    <row r="1685" spans="5:5" x14ac:dyDescent="0.25">
      <c r="E1685" s="82" t="s">
        <v>2656</v>
      </c>
    </row>
    <row r="1686" spans="5:5" x14ac:dyDescent="0.25">
      <c r="E1686" s="82" t="s">
        <v>2657</v>
      </c>
    </row>
    <row r="1687" spans="5:5" x14ac:dyDescent="0.25">
      <c r="E1687" s="82" t="s">
        <v>2658</v>
      </c>
    </row>
    <row r="1688" spans="5:5" x14ac:dyDescent="0.25">
      <c r="E1688" s="82" t="s">
        <v>2659</v>
      </c>
    </row>
    <row r="1689" spans="5:5" x14ac:dyDescent="0.25">
      <c r="E1689" s="82" t="s">
        <v>2660</v>
      </c>
    </row>
    <row r="1690" spans="5:5" x14ac:dyDescent="0.25">
      <c r="E1690" s="82" t="s">
        <v>2661</v>
      </c>
    </row>
    <row r="1691" spans="5:5" x14ac:dyDescent="0.25">
      <c r="E1691" s="82" t="s">
        <v>2662</v>
      </c>
    </row>
    <row r="1692" spans="5:5" x14ac:dyDescent="0.25">
      <c r="E1692" s="82" t="s">
        <v>2663</v>
      </c>
    </row>
    <row r="1693" spans="5:5" x14ac:dyDescent="0.25">
      <c r="E1693" s="82" t="s">
        <v>2664</v>
      </c>
    </row>
    <row r="1694" spans="5:5" x14ac:dyDescent="0.25">
      <c r="E1694" s="82" t="s">
        <v>2665</v>
      </c>
    </row>
    <row r="1695" spans="5:5" x14ac:dyDescent="0.25">
      <c r="E1695" s="82" t="s">
        <v>2666</v>
      </c>
    </row>
    <row r="1696" spans="5:5" x14ac:dyDescent="0.25">
      <c r="E1696" s="82" t="s">
        <v>2667</v>
      </c>
    </row>
    <row r="1697" spans="5:5" x14ac:dyDescent="0.25">
      <c r="E1697" s="82" t="s">
        <v>2668</v>
      </c>
    </row>
    <row r="1698" spans="5:5" x14ac:dyDescent="0.25">
      <c r="E1698" s="82" t="s">
        <v>2669</v>
      </c>
    </row>
    <row r="1699" spans="5:5" x14ac:dyDescent="0.25">
      <c r="E1699" s="82" t="s">
        <v>2670</v>
      </c>
    </row>
    <row r="1700" spans="5:5" x14ac:dyDescent="0.25">
      <c r="E1700" s="82" t="s">
        <v>2671</v>
      </c>
    </row>
    <row r="1701" spans="5:5" x14ac:dyDescent="0.25">
      <c r="E1701" s="82" t="s">
        <v>2672</v>
      </c>
    </row>
    <row r="1702" spans="5:5" x14ac:dyDescent="0.25">
      <c r="E1702" s="82" t="s">
        <v>2673</v>
      </c>
    </row>
    <row r="1703" spans="5:5" x14ac:dyDescent="0.25">
      <c r="E1703" s="82" t="s">
        <v>2674</v>
      </c>
    </row>
    <row r="1704" spans="5:5" x14ac:dyDescent="0.25">
      <c r="E1704" s="82" t="s">
        <v>2675</v>
      </c>
    </row>
    <row r="1705" spans="5:5" x14ac:dyDescent="0.25">
      <c r="E1705" s="82" t="s">
        <v>2676</v>
      </c>
    </row>
    <row r="1706" spans="5:5" x14ac:dyDescent="0.25">
      <c r="E1706" s="82" t="s">
        <v>2677</v>
      </c>
    </row>
    <row r="1707" spans="5:5" x14ac:dyDescent="0.25">
      <c r="E1707" s="82" t="s">
        <v>2678</v>
      </c>
    </row>
    <row r="1708" spans="5:5" x14ac:dyDescent="0.25">
      <c r="E1708" s="82" t="s">
        <v>2679</v>
      </c>
    </row>
    <row r="1709" spans="5:5" x14ac:dyDescent="0.25">
      <c r="E1709" s="82" t="s">
        <v>2680</v>
      </c>
    </row>
    <row r="1710" spans="5:5" x14ac:dyDescent="0.25">
      <c r="E1710" s="82" t="s">
        <v>2681</v>
      </c>
    </row>
    <row r="1711" spans="5:5" x14ac:dyDescent="0.25">
      <c r="E1711" s="82" t="s">
        <v>2682</v>
      </c>
    </row>
    <row r="1712" spans="5:5" x14ac:dyDescent="0.25">
      <c r="E1712" s="82" t="s">
        <v>2683</v>
      </c>
    </row>
    <row r="1713" spans="5:5" x14ac:dyDescent="0.25">
      <c r="E1713" s="82" t="s">
        <v>2684</v>
      </c>
    </row>
    <row r="1714" spans="5:5" x14ac:dyDescent="0.25">
      <c r="E1714" s="82" t="s">
        <v>2685</v>
      </c>
    </row>
    <row r="1715" spans="5:5" x14ac:dyDescent="0.25">
      <c r="E1715" s="82" t="s">
        <v>2686</v>
      </c>
    </row>
    <row r="1716" spans="5:5" x14ac:dyDescent="0.25">
      <c r="E1716" s="82" t="s">
        <v>2687</v>
      </c>
    </row>
    <row r="1717" spans="5:5" x14ac:dyDescent="0.25">
      <c r="E1717" s="82" t="s">
        <v>2688</v>
      </c>
    </row>
    <row r="1718" spans="5:5" x14ac:dyDescent="0.25">
      <c r="E1718" s="82" t="s">
        <v>2689</v>
      </c>
    </row>
    <row r="1719" spans="5:5" x14ac:dyDescent="0.25">
      <c r="E1719" s="82" t="s">
        <v>2690</v>
      </c>
    </row>
    <row r="1720" spans="5:5" x14ac:dyDescent="0.25">
      <c r="E1720" s="82" t="s">
        <v>2691</v>
      </c>
    </row>
    <row r="1721" spans="5:5" x14ac:dyDescent="0.25">
      <c r="E1721" s="82" t="s">
        <v>2692</v>
      </c>
    </row>
    <row r="1722" spans="5:5" x14ac:dyDescent="0.25">
      <c r="E1722" s="82" t="s">
        <v>2693</v>
      </c>
    </row>
    <row r="1723" spans="5:5" x14ac:dyDescent="0.25">
      <c r="E1723" s="82" t="s">
        <v>2694</v>
      </c>
    </row>
    <row r="1724" spans="5:5" x14ac:dyDescent="0.25">
      <c r="E1724" s="82" t="s">
        <v>2695</v>
      </c>
    </row>
    <row r="1725" spans="5:5" x14ac:dyDescent="0.25">
      <c r="E1725" s="82" t="s">
        <v>2696</v>
      </c>
    </row>
    <row r="1726" spans="5:5" x14ac:dyDescent="0.25">
      <c r="E1726" s="82" t="s">
        <v>2697</v>
      </c>
    </row>
    <row r="1727" spans="5:5" x14ac:dyDescent="0.25">
      <c r="E1727" s="82" t="s">
        <v>2698</v>
      </c>
    </row>
    <row r="1728" spans="5:5" x14ac:dyDescent="0.25">
      <c r="E1728" s="82" t="s">
        <v>2699</v>
      </c>
    </row>
    <row r="1729" spans="5:5" x14ac:dyDescent="0.25">
      <c r="E1729" s="82" t="s">
        <v>2700</v>
      </c>
    </row>
    <row r="1730" spans="5:5" x14ac:dyDescent="0.25">
      <c r="E1730" s="82" t="s">
        <v>2701</v>
      </c>
    </row>
    <row r="1731" spans="5:5" x14ac:dyDescent="0.25">
      <c r="E1731" s="82" t="s">
        <v>2702</v>
      </c>
    </row>
    <row r="1732" spans="5:5" x14ac:dyDescent="0.25">
      <c r="E1732" s="82" t="s">
        <v>2703</v>
      </c>
    </row>
    <row r="1733" spans="5:5" x14ac:dyDescent="0.25">
      <c r="E1733" s="82" t="s">
        <v>2704</v>
      </c>
    </row>
    <row r="1734" spans="5:5" x14ac:dyDescent="0.25">
      <c r="E1734" s="82" t="s">
        <v>2705</v>
      </c>
    </row>
    <row r="1735" spans="5:5" x14ac:dyDescent="0.25">
      <c r="E1735" s="82" t="s">
        <v>2706</v>
      </c>
    </row>
    <row r="1736" spans="5:5" x14ac:dyDescent="0.25">
      <c r="E1736" s="82" t="s">
        <v>2707</v>
      </c>
    </row>
    <row r="1737" spans="5:5" x14ac:dyDescent="0.25">
      <c r="E1737" s="82" t="s">
        <v>2708</v>
      </c>
    </row>
    <row r="1738" spans="5:5" x14ac:dyDescent="0.25">
      <c r="E1738" s="82" t="s">
        <v>2709</v>
      </c>
    </row>
    <row r="1739" spans="5:5" x14ac:dyDescent="0.25">
      <c r="E1739" s="82" t="s">
        <v>2710</v>
      </c>
    </row>
    <row r="1740" spans="5:5" x14ac:dyDescent="0.25">
      <c r="E1740" s="82" t="s">
        <v>2711</v>
      </c>
    </row>
    <row r="1741" spans="5:5" x14ac:dyDescent="0.25">
      <c r="E1741" s="82" t="s">
        <v>2712</v>
      </c>
    </row>
    <row r="1742" spans="5:5" x14ac:dyDescent="0.25">
      <c r="E1742" s="82" t="s">
        <v>2713</v>
      </c>
    </row>
    <row r="1743" spans="5:5" x14ac:dyDescent="0.25">
      <c r="E1743" s="82" t="s">
        <v>2714</v>
      </c>
    </row>
    <row r="1744" spans="5:5" x14ac:dyDescent="0.25">
      <c r="E1744" s="82" t="s">
        <v>2715</v>
      </c>
    </row>
    <row r="1745" spans="5:5" x14ac:dyDescent="0.25">
      <c r="E1745" s="82" t="s">
        <v>2716</v>
      </c>
    </row>
    <row r="1746" spans="5:5" x14ac:dyDescent="0.25">
      <c r="E1746" s="82" t="s">
        <v>2717</v>
      </c>
    </row>
    <row r="1747" spans="5:5" x14ac:dyDescent="0.25">
      <c r="E1747" s="82" t="s">
        <v>2718</v>
      </c>
    </row>
    <row r="1748" spans="5:5" x14ac:dyDescent="0.25">
      <c r="E1748" s="82" t="s">
        <v>2719</v>
      </c>
    </row>
    <row r="1749" spans="5:5" x14ac:dyDescent="0.25">
      <c r="E1749" s="82" t="s">
        <v>2720</v>
      </c>
    </row>
    <row r="1750" spans="5:5" x14ac:dyDescent="0.25">
      <c r="E1750" s="82" t="s">
        <v>2721</v>
      </c>
    </row>
    <row r="1751" spans="5:5" x14ac:dyDescent="0.25">
      <c r="E1751" s="82" t="s">
        <v>2722</v>
      </c>
    </row>
    <row r="1752" spans="5:5" x14ac:dyDescent="0.25">
      <c r="E1752" s="82" t="s">
        <v>2723</v>
      </c>
    </row>
    <row r="1753" spans="5:5" x14ac:dyDescent="0.25">
      <c r="E1753" s="82" t="s">
        <v>2724</v>
      </c>
    </row>
    <row r="1754" spans="5:5" x14ac:dyDescent="0.25">
      <c r="E1754" s="82" t="s">
        <v>2725</v>
      </c>
    </row>
    <row r="1755" spans="5:5" x14ac:dyDescent="0.25">
      <c r="E1755" s="82" t="s">
        <v>2726</v>
      </c>
    </row>
    <row r="1756" spans="5:5" x14ac:dyDescent="0.25">
      <c r="E1756" s="82" t="s">
        <v>2727</v>
      </c>
    </row>
    <row r="1757" spans="5:5" x14ac:dyDescent="0.25">
      <c r="E1757" s="82" t="s">
        <v>2728</v>
      </c>
    </row>
    <row r="1758" spans="5:5" x14ac:dyDescent="0.25">
      <c r="E1758" s="82" t="s">
        <v>2729</v>
      </c>
    </row>
    <row r="1759" spans="5:5" x14ac:dyDescent="0.25">
      <c r="E1759" s="82" t="s">
        <v>2730</v>
      </c>
    </row>
    <row r="1760" spans="5:5" x14ac:dyDescent="0.25">
      <c r="E1760" s="82" t="s">
        <v>2731</v>
      </c>
    </row>
    <row r="1761" spans="5:5" x14ac:dyDescent="0.25">
      <c r="E1761" s="82" t="s">
        <v>2732</v>
      </c>
    </row>
    <row r="1762" spans="5:5" x14ac:dyDescent="0.25">
      <c r="E1762" s="82" t="s">
        <v>2733</v>
      </c>
    </row>
    <row r="1763" spans="5:5" x14ac:dyDescent="0.25">
      <c r="E1763" s="82" t="s">
        <v>2734</v>
      </c>
    </row>
    <row r="1764" spans="5:5" x14ac:dyDescent="0.25">
      <c r="E1764" s="82" t="s">
        <v>2735</v>
      </c>
    </row>
    <row r="1765" spans="5:5" x14ac:dyDescent="0.25">
      <c r="E1765" s="82" t="s">
        <v>2736</v>
      </c>
    </row>
    <row r="1766" spans="5:5" x14ac:dyDescent="0.25">
      <c r="E1766" s="82" t="s">
        <v>2737</v>
      </c>
    </row>
    <row r="1767" spans="5:5" x14ac:dyDescent="0.25">
      <c r="E1767" s="82" t="s">
        <v>2738</v>
      </c>
    </row>
    <row r="1768" spans="5:5" x14ac:dyDescent="0.25">
      <c r="E1768" s="82" t="s">
        <v>2739</v>
      </c>
    </row>
    <row r="1769" spans="5:5" x14ac:dyDescent="0.25">
      <c r="E1769" s="82" t="s">
        <v>2740</v>
      </c>
    </row>
    <row r="1770" spans="5:5" x14ac:dyDescent="0.25">
      <c r="E1770" s="82" t="s">
        <v>2741</v>
      </c>
    </row>
    <row r="1771" spans="5:5" x14ac:dyDescent="0.25">
      <c r="E1771" s="82" t="s">
        <v>2742</v>
      </c>
    </row>
    <row r="1772" spans="5:5" x14ac:dyDescent="0.25">
      <c r="E1772" s="82" t="s">
        <v>2743</v>
      </c>
    </row>
    <row r="1773" spans="5:5" x14ac:dyDescent="0.25">
      <c r="E1773" s="82" t="s">
        <v>2744</v>
      </c>
    </row>
    <row r="1774" spans="5:5" x14ac:dyDescent="0.25">
      <c r="E1774" s="82" t="s">
        <v>2745</v>
      </c>
    </row>
    <row r="1775" spans="5:5" x14ac:dyDescent="0.25">
      <c r="E1775" s="82" t="s">
        <v>2746</v>
      </c>
    </row>
    <row r="1776" spans="5:5" x14ac:dyDescent="0.25">
      <c r="E1776" s="82" t="s">
        <v>2747</v>
      </c>
    </row>
    <row r="1777" spans="5:5" x14ac:dyDescent="0.25">
      <c r="E1777" s="82" t="s">
        <v>2748</v>
      </c>
    </row>
    <row r="1778" spans="5:5" x14ac:dyDescent="0.25">
      <c r="E1778" s="82" t="s">
        <v>2749</v>
      </c>
    </row>
    <row r="1779" spans="5:5" x14ac:dyDescent="0.25">
      <c r="E1779" s="82" t="s">
        <v>2750</v>
      </c>
    </row>
    <row r="1780" spans="5:5" x14ac:dyDescent="0.25">
      <c r="E1780" s="82" t="s">
        <v>2751</v>
      </c>
    </row>
    <row r="1781" spans="5:5" x14ac:dyDescent="0.25">
      <c r="E1781" s="82" t="s">
        <v>2752</v>
      </c>
    </row>
    <row r="1782" spans="5:5" x14ac:dyDescent="0.25">
      <c r="E1782" s="82" t="s">
        <v>2753</v>
      </c>
    </row>
    <row r="1783" spans="5:5" x14ac:dyDescent="0.25">
      <c r="E1783" s="82" t="s">
        <v>2754</v>
      </c>
    </row>
    <row r="1784" spans="5:5" x14ac:dyDescent="0.25">
      <c r="E1784" s="82" t="s">
        <v>2755</v>
      </c>
    </row>
    <row r="1785" spans="5:5" x14ac:dyDescent="0.25">
      <c r="E1785" s="82" t="s">
        <v>2756</v>
      </c>
    </row>
    <row r="1786" spans="5:5" x14ac:dyDescent="0.25">
      <c r="E1786" s="82" t="s">
        <v>2757</v>
      </c>
    </row>
    <row r="1787" spans="5:5" x14ac:dyDescent="0.25">
      <c r="E1787" s="82" t="s">
        <v>2758</v>
      </c>
    </row>
    <row r="1788" spans="5:5" x14ac:dyDescent="0.25">
      <c r="E1788" s="82" t="s">
        <v>2759</v>
      </c>
    </row>
    <row r="1789" spans="5:5" x14ac:dyDescent="0.25">
      <c r="E1789" s="82" t="s">
        <v>2760</v>
      </c>
    </row>
    <row r="1790" spans="5:5" x14ac:dyDescent="0.25">
      <c r="E1790" s="82" t="s">
        <v>2761</v>
      </c>
    </row>
    <row r="1791" spans="5:5" x14ac:dyDescent="0.25">
      <c r="E1791" s="82" t="s">
        <v>2762</v>
      </c>
    </row>
    <row r="1792" spans="5:5" x14ac:dyDescent="0.25">
      <c r="E1792" s="82" t="s">
        <v>2763</v>
      </c>
    </row>
    <row r="1793" spans="5:5" x14ac:dyDescent="0.25">
      <c r="E1793" s="82" t="s">
        <v>2764</v>
      </c>
    </row>
    <row r="1794" spans="5:5" x14ac:dyDescent="0.25">
      <c r="E1794" s="82" t="s">
        <v>2765</v>
      </c>
    </row>
    <row r="1795" spans="5:5" x14ac:dyDescent="0.25">
      <c r="E1795" s="82" t="s">
        <v>2766</v>
      </c>
    </row>
    <row r="1796" spans="5:5" x14ac:dyDescent="0.25">
      <c r="E1796" s="82" t="s">
        <v>2767</v>
      </c>
    </row>
    <row r="1797" spans="5:5" x14ac:dyDescent="0.25">
      <c r="E1797" s="82" t="s">
        <v>2768</v>
      </c>
    </row>
    <row r="1798" spans="5:5" x14ac:dyDescent="0.25">
      <c r="E1798" s="82" t="s">
        <v>2769</v>
      </c>
    </row>
    <row r="1799" spans="5:5" x14ac:dyDescent="0.25">
      <c r="E1799" s="82" t="s">
        <v>2770</v>
      </c>
    </row>
    <row r="1800" spans="5:5" x14ac:dyDescent="0.25">
      <c r="E1800" s="82" t="s">
        <v>2771</v>
      </c>
    </row>
    <row r="1801" spans="5:5" x14ac:dyDescent="0.25">
      <c r="E1801" s="82" t="s">
        <v>2772</v>
      </c>
    </row>
    <row r="1802" spans="5:5" x14ac:dyDescent="0.25">
      <c r="E1802" s="82" t="s">
        <v>2773</v>
      </c>
    </row>
    <row r="1803" spans="5:5" x14ac:dyDescent="0.25">
      <c r="E1803" s="82" t="s">
        <v>2774</v>
      </c>
    </row>
    <row r="1804" spans="5:5" x14ac:dyDescent="0.25">
      <c r="E1804" s="82" t="s">
        <v>2775</v>
      </c>
    </row>
    <row r="1805" spans="5:5" x14ac:dyDescent="0.25">
      <c r="E1805" s="82" t="s">
        <v>2776</v>
      </c>
    </row>
    <row r="1806" spans="5:5" x14ac:dyDescent="0.25">
      <c r="E1806" s="82" t="s">
        <v>2777</v>
      </c>
    </row>
    <row r="1807" spans="5:5" x14ac:dyDescent="0.25">
      <c r="E1807" s="82" t="s">
        <v>2778</v>
      </c>
    </row>
    <row r="1808" spans="5:5" x14ac:dyDescent="0.25">
      <c r="E1808" s="82" t="s">
        <v>2779</v>
      </c>
    </row>
    <row r="1809" spans="5:5" x14ac:dyDescent="0.25">
      <c r="E1809" s="82" t="s">
        <v>2780</v>
      </c>
    </row>
    <row r="1810" spans="5:5" x14ac:dyDescent="0.25">
      <c r="E1810" s="82" t="s">
        <v>2781</v>
      </c>
    </row>
    <row r="1811" spans="5:5" x14ac:dyDescent="0.25">
      <c r="E1811" s="82" t="s">
        <v>2782</v>
      </c>
    </row>
    <row r="1812" spans="5:5" x14ac:dyDescent="0.25">
      <c r="E1812" s="82" t="s">
        <v>2783</v>
      </c>
    </row>
    <row r="1813" spans="5:5" x14ac:dyDescent="0.25">
      <c r="E1813" s="82" t="s">
        <v>2784</v>
      </c>
    </row>
    <row r="1814" spans="5:5" x14ac:dyDescent="0.25">
      <c r="E1814" s="82" t="s">
        <v>2785</v>
      </c>
    </row>
    <row r="1815" spans="5:5" x14ac:dyDescent="0.25">
      <c r="E1815" s="82" t="s">
        <v>2786</v>
      </c>
    </row>
    <row r="1816" spans="5:5" x14ac:dyDescent="0.25">
      <c r="E1816" s="82" t="s">
        <v>2787</v>
      </c>
    </row>
    <row r="1817" spans="5:5" x14ac:dyDescent="0.25">
      <c r="E1817" s="82" t="s">
        <v>2788</v>
      </c>
    </row>
    <row r="1818" spans="5:5" x14ac:dyDescent="0.25">
      <c r="E1818" s="82" t="s">
        <v>2789</v>
      </c>
    </row>
    <row r="1819" spans="5:5" x14ac:dyDescent="0.25">
      <c r="E1819" s="82" t="s">
        <v>2790</v>
      </c>
    </row>
    <row r="1820" spans="5:5" x14ac:dyDescent="0.25">
      <c r="E1820" s="82" t="s">
        <v>2791</v>
      </c>
    </row>
    <row r="1821" spans="5:5" x14ac:dyDescent="0.25">
      <c r="E1821" s="82" t="s">
        <v>2792</v>
      </c>
    </row>
    <row r="1822" spans="5:5" x14ac:dyDescent="0.25">
      <c r="E1822" s="82" t="s">
        <v>2793</v>
      </c>
    </row>
    <row r="1823" spans="5:5" x14ac:dyDescent="0.25">
      <c r="E1823" s="82" t="s">
        <v>2794</v>
      </c>
    </row>
    <row r="1824" spans="5:5" x14ac:dyDescent="0.25">
      <c r="E1824" s="82" t="s">
        <v>2795</v>
      </c>
    </row>
    <row r="1825" spans="5:5" x14ac:dyDescent="0.25">
      <c r="E1825" s="82" t="s">
        <v>2796</v>
      </c>
    </row>
    <row r="1826" spans="5:5" x14ac:dyDescent="0.25">
      <c r="E1826" s="82" t="s">
        <v>2797</v>
      </c>
    </row>
    <row r="1827" spans="5:5" x14ac:dyDescent="0.25">
      <c r="E1827" s="82" t="s">
        <v>2798</v>
      </c>
    </row>
    <row r="1828" spans="5:5" x14ac:dyDescent="0.25">
      <c r="E1828" s="82" t="s">
        <v>2799</v>
      </c>
    </row>
    <row r="1829" spans="5:5" x14ac:dyDescent="0.25">
      <c r="E1829" s="82" t="s">
        <v>2800</v>
      </c>
    </row>
    <row r="1830" spans="5:5" x14ac:dyDescent="0.25">
      <c r="E1830" s="82" t="s">
        <v>2801</v>
      </c>
    </row>
    <row r="1831" spans="5:5" x14ac:dyDescent="0.25">
      <c r="E1831" s="82" t="s">
        <v>2802</v>
      </c>
    </row>
    <row r="1832" spans="5:5" x14ac:dyDescent="0.25">
      <c r="E1832" s="82" t="s">
        <v>2803</v>
      </c>
    </row>
    <row r="1833" spans="5:5" x14ac:dyDescent="0.25">
      <c r="E1833" s="82" t="s">
        <v>2804</v>
      </c>
    </row>
    <row r="1834" spans="5:5" x14ac:dyDescent="0.25">
      <c r="E1834" s="82" t="s">
        <v>2805</v>
      </c>
    </row>
    <row r="1835" spans="5:5" x14ac:dyDescent="0.25">
      <c r="E1835" s="82" t="s">
        <v>2806</v>
      </c>
    </row>
    <row r="1836" spans="5:5" x14ac:dyDescent="0.25">
      <c r="E1836" s="82" t="s">
        <v>2807</v>
      </c>
    </row>
    <row r="1837" spans="5:5" x14ac:dyDescent="0.25">
      <c r="E1837" s="82" t="s">
        <v>2808</v>
      </c>
    </row>
    <row r="1838" spans="5:5" x14ac:dyDescent="0.25">
      <c r="E1838" s="82" t="s">
        <v>2809</v>
      </c>
    </row>
    <row r="1839" spans="5:5" x14ac:dyDescent="0.25">
      <c r="E1839" s="82" t="s">
        <v>2810</v>
      </c>
    </row>
    <row r="1840" spans="5:5" x14ac:dyDescent="0.25">
      <c r="E1840" s="82" t="s">
        <v>2811</v>
      </c>
    </row>
    <row r="1841" spans="5:5" x14ac:dyDescent="0.25">
      <c r="E1841" s="82" t="s">
        <v>2812</v>
      </c>
    </row>
    <row r="1842" spans="5:5" x14ac:dyDescent="0.25">
      <c r="E1842" s="82" t="s">
        <v>2813</v>
      </c>
    </row>
    <row r="1843" spans="5:5" x14ac:dyDescent="0.25">
      <c r="E1843" s="82" t="s">
        <v>2814</v>
      </c>
    </row>
    <row r="1844" spans="5:5" x14ac:dyDescent="0.25">
      <c r="E1844" s="82" t="s">
        <v>2815</v>
      </c>
    </row>
    <row r="1845" spans="5:5" x14ac:dyDescent="0.25">
      <c r="E1845" s="82" t="s">
        <v>2816</v>
      </c>
    </row>
    <row r="1846" spans="5:5" x14ac:dyDescent="0.25">
      <c r="E1846" s="82" t="s">
        <v>2817</v>
      </c>
    </row>
    <row r="1847" spans="5:5" x14ac:dyDescent="0.25">
      <c r="E1847" s="82" t="s">
        <v>2818</v>
      </c>
    </row>
    <row r="1848" spans="5:5" x14ac:dyDescent="0.25">
      <c r="E1848" s="82" t="s">
        <v>2819</v>
      </c>
    </row>
    <row r="1849" spans="5:5" x14ac:dyDescent="0.25">
      <c r="E1849" s="82" t="s">
        <v>2820</v>
      </c>
    </row>
    <row r="1850" spans="5:5" x14ac:dyDescent="0.25">
      <c r="E1850" s="82" t="s">
        <v>2821</v>
      </c>
    </row>
    <row r="1851" spans="5:5" x14ac:dyDescent="0.25">
      <c r="E1851" s="82" t="s">
        <v>2822</v>
      </c>
    </row>
    <row r="1852" spans="5:5" x14ac:dyDescent="0.25">
      <c r="E1852" s="82" t="s">
        <v>2823</v>
      </c>
    </row>
    <row r="1853" spans="5:5" x14ac:dyDescent="0.25">
      <c r="E1853" s="82" t="s">
        <v>2824</v>
      </c>
    </row>
    <row r="1854" spans="5:5" x14ac:dyDescent="0.25">
      <c r="E1854" s="82" t="s">
        <v>2825</v>
      </c>
    </row>
    <row r="1855" spans="5:5" x14ac:dyDescent="0.25">
      <c r="E1855" s="82" t="s">
        <v>2826</v>
      </c>
    </row>
    <row r="1856" spans="5:5" x14ac:dyDescent="0.25">
      <c r="E1856" s="82" t="s">
        <v>2827</v>
      </c>
    </row>
    <row r="1857" spans="5:5" x14ac:dyDescent="0.25">
      <c r="E1857" s="82" t="s">
        <v>2828</v>
      </c>
    </row>
    <row r="1858" spans="5:5" x14ac:dyDescent="0.25">
      <c r="E1858" s="82" t="s">
        <v>2829</v>
      </c>
    </row>
    <row r="1859" spans="5:5" x14ac:dyDescent="0.25">
      <c r="E1859" s="82" t="s">
        <v>2830</v>
      </c>
    </row>
    <row r="1860" spans="5:5" x14ac:dyDescent="0.25">
      <c r="E1860" s="82" t="s">
        <v>2831</v>
      </c>
    </row>
    <row r="1861" spans="5:5" x14ac:dyDescent="0.25">
      <c r="E1861" s="82" t="s">
        <v>2832</v>
      </c>
    </row>
    <row r="1862" spans="5:5" x14ac:dyDescent="0.25">
      <c r="E1862" s="82" t="s">
        <v>2833</v>
      </c>
    </row>
    <row r="1863" spans="5:5" x14ac:dyDescent="0.25">
      <c r="E1863" s="82" t="s">
        <v>2834</v>
      </c>
    </row>
    <row r="1864" spans="5:5" x14ac:dyDescent="0.25">
      <c r="E1864" s="82" t="s">
        <v>2835</v>
      </c>
    </row>
    <row r="1865" spans="5:5" x14ac:dyDescent="0.25">
      <c r="E1865" s="82" t="s">
        <v>2836</v>
      </c>
    </row>
    <row r="1866" spans="5:5" x14ac:dyDescent="0.25">
      <c r="E1866" s="82" t="s">
        <v>2837</v>
      </c>
    </row>
    <row r="1867" spans="5:5" x14ac:dyDescent="0.25">
      <c r="E1867" s="82" t="s">
        <v>2838</v>
      </c>
    </row>
    <row r="1868" spans="5:5" x14ac:dyDescent="0.25">
      <c r="E1868" s="82" t="s">
        <v>2839</v>
      </c>
    </row>
    <row r="1869" spans="5:5" x14ac:dyDescent="0.25">
      <c r="E1869" s="82" t="s">
        <v>2840</v>
      </c>
    </row>
    <row r="1870" spans="5:5" x14ac:dyDescent="0.25">
      <c r="E1870" s="82" t="s">
        <v>2841</v>
      </c>
    </row>
    <row r="1871" spans="5:5" x14ac:dyDescent="0.25">
      <c r="E1871" s="82" t="s">
        <v>2842</v>
      </c>
    </row>
    <row r="1872" spans="5:5" x14ac:dyDescent="0.25">
      <c r="E1872" s="82" t="s">
        <v>2843</v>
      </c>
    </row>
    <row r="1873" spans="5:5" x14ac:dyDescent="0.25">
      <c r="E1873" s="82" t="s">
        <v>2844</v>
      </c>
    </row>
    <row r="1874" spans="5:5" x14ac:dyDescent="0.25">
      <c r="E1874" s="82" t="s">
        <v>2845</v>
      </c>
    </row>
    <row r="1875" spans="5:5" x14ac:dyDescent="0.25">
      <c r="E1875" s="82" t="s">
        <v>2846</v>
      </c>
    </row>
    <row r="1876" spans="5:5" x14ac:dyDescent="0.25">
      <c r="E1876" s="82" t="s">
        <v>2847</v>
      </c>
    </row>
    <row r="1877" spans="5:5" x14ac:dyDescent="0.25">
      <c r="E1877" s="82" t="s">
        <v>2848</v>
      </c>
    </row>
    <row r="1878" spans="5:5" x14ac:dyDescent="0.25">
      <c r="E1878" s="82" t="s">
        <v>2849</v>
      </c>
    </row>
    <row r="1879" spans="5:5" x14ac:dyDescent="0.25">
      <c r="E1879" s="82" t="s">
        <v>2850</v>
      </c>
    </row>
    <row r="1880" spans="5:5" x14ac:dyDescent="0.25">
      <c r="E1880" s="82" t="s">
        <v>2851</v>
      </c>
    </row>
    <row r="1881" spans="5:5" x14ac:dyDescent="0.25">
      <c r="E1881" s="82" t="s">
        <v>2852</v>
      </c>
    </row>
    <row r="1882" spans="5:5" x14ac:dyDescent="0.25">
      <c r="E1882" s="82" t="s">
        <v>2853</v>
      </c>
    </row>
    <row r="1883" spans="5:5" x14ac:dyDescent="0.25">
      <c r="E1883" s="82" t="s">
        <v>2854</v>
      </c>
    </row>
    <row r="1884" spans="5:5" x14ac:dyDescent="0.25">
      <c r="E1884" s="82" t="s">
        <v>2855</v>
      </c>
    </row>
    <row r="1885" spans="5:5" x14ac:dyDescent="0.25">
      <c r="E1885" s="82" t="s">
        <v>2856</v>
      </c>
    </row>
    <row r="1886" spans="5:5" x14ac:dyDescent="0.25">
      <c r="E1886" s="82" t="s">
        <v>2857</v>
      </c>
    </row>
    <row r="1887" spans="5:5" x14ac:dyDescent="0.25">
      <c r="E1887" s="82" t="s">
        <v>2858</v>
      </c>
    </row>
    <row r="1888" spans="5:5" x14ac:dyDescent="0.25">
      <c r="E1888" s="82" t="s">
        <v>2859</v>
      </c>
    </row>
    <row r="1889" spans="5:5" x14ac:dyDescent="0.25">
      <c r="E1889" s="82" t="s">
        <v>2860</v>
      </c>
    </row>
    <row r="1890" spans="5:5" x14ac:dyDescent="0.25">
      <c r="E1890" s="82" t="s">
        <v>2861</v>
      </c>
    </row>
    <row r="1891" spans="5:5" x14ac:dyDescent="0.25">
      <c r="E1891" s="82" t="s">
        <v>2862</v>
      </c>
    </row>
    <row r="1892" spans="5:5" x14ac:dyDescent="0.25">
      <c r="E1892" s="82" t="s">
        <v>2863</v>
      </c>
    </row>
    <row r="1893" spans="5:5" x14ac:dyDescent="0.25">
      <c r="E1893" s="82" t="s">
        <v>2864</v>
      </c>
    </row>
    <row r="1894" spans="5:5" x14ac:dyDescent="0.25">
      <c r="E1894" s="82" t="s">
        <v>2865</v>
      </c>
    </row>
    <row r="1895" spans="5:5" x14ac:dyDescent="0.25">
      <c r="E1895" s="82" t="s">
        <v>2866</v>
      </c>
    </row>
    <row r="1896" spans="5:5" x14ac:dyDescent="0.25">
      <c r="E1896" s="82" t="s">
        <v>2867</v>
      </c>
    </row>
    <row r="1897" spans="5:5" x14ac:dyDescent="0.25">
      <c r="E1897" s="82" t="s">
        <v>2868</v>
      </c>
    </row>
    <row r="1898" spans="5:5" x14ac:dyDescent="0.25">
      <c r="E1898" s="82" t="s">
        <v>2869</v>
      </c>
    </row>
    <row r="1899" spans="5:5" x14ac:dyDescent="0.25">
      <c r="E1899" s="82" t="s">
        <v>2870</v>
      </c>
    </row>
    <row r="1900" spans="5:5" x14ac:dyDescent="0.25">
      <c r="E1900" s="82" t="s">
        <v>2871</v>
      </c>
    </row>
    <row r="1901" spans="5:5" x14ac:dyDescent="0.25">
      <c r="E1901" s="82" t="s">
        <v>2872</v>
      </c>
    </row>
    <row r="1902" spans="5:5" x14ac:dyDescent="0.25">
      <c r="E1902" s="82" t="s">
        <v>2873</v>
      </c>
    </row>
    <row r="1903" spans="5:5" x14ac:dyDescent="0.25">
      <c r="E1903" s="82" t="s">
        <v>2874</v>
      </c>
    </row>
    <row r="1904" spans="5:5" x14ac:dyDescent="0.25">
      <c r="E1904" s="82" t="s">
        <v>2875</v>
      </c>
    </row>
    <row r="1905" spans="5:5" x14ac:dyDescent="0.25">
      <c r="E1905" s="82" t="s">
        <v>2876</v>
      </c>
    </row>
    <row r="1906" spans="5:5" x14ac:dyDescent="0.25">
      <c r="E1906" s="82" t="s">
        <v>2877</v>
      </c>
    </row>
    <row r="1907" spans="5:5" x14ac:dyDescent="0.25">
      <c r="E1907" s="82" t="s">
        <v>2878</v>
      </c>
    </row>
    <row r="1908" spans="5:5" x14ac:dyDescent="0.25">
      <c r="E1908" s="82" t="s">
        <v>2879</v>
      </c>
    </row>
    <row r="1909" spans="5:5" x14ac:dyDescent="0.25">
      <c r="E1909" s="82" t="s">
        <v>2880</v>
      </c>
    </row>
    <row r="1910" spans="5:5" x14ac:dyDescent="0.25">
      <c r="E1910" s="82" t="s">
        <v>2881</v>
      </c>
    </row>
    <row r="1911" spans="5:5" x14ac:dyDescent="0.25">
      <c r="E1911" s="82" t="s">
        <v>2882</v>
      </c>
    </row>
    <row r="1912" spans="5:5" x14ac:dyDescent="0.25">
      <c r="E1912" s="82" t="s">
        <v>2883</v>
      </c>
    </row>
    <row r="1913" spans="5:5" x14ac:dyDescent="0.25">
      <c r="E1913" s="82" t="s">
        <v>2884</v>
      </c>
    </row>
    <row r="1914" spans="5:5" x14ac:dyDescent="0.25">
      <c r="E1914" s="82" t="s">
        <v>2885</v>
      </c>
    </row>
    <row r="1915" spans="5:5" x14ac:dyDescent="0.25">
      <c r="E1915" s="82" t="s">
        <v>2886</v>
      </c>
    </row>
    <row r="1916" spans="5:5" x14ac:dyDescent="0.25">
      <c r="E1916" s="82" t="s">
        <v>2887</v>
      </c>
    </row>
    <row r="1917" spans="5:5" x14ac:dyDescent="0.25">
      <c r="E1917" s="82" t="s">
        <v>2888</v>
      </c>
    </row>
    <row r="1918" spans="5:5" x14ac:dyDescent="0.25">
      <c r="E1918" s="82" t="s">
        <v>2889</v>
      </c>
    </row>
    <row r="1919" spans="5:5" x14ac:dyDescent="0.25">
      <c r="E1919" s="82" t="s">
        <v>2890</v>
      </c>
    </row>
    <row r="1920" spans="5:5" x14ac:dyDescent="0.25">
      <c r="E1920" s="82" t="s">
        <v>2891</v>
      </c>
    </row>
    <row r="1921" spans="5:5" x14ac:dyDescent="0.25">
      <c r="E1921" s="82" t="s">
        <v>2892</v>
      </c>
    </row>
    <row r="1922" spans="5:5" x14ac:dyDescent="0.25">
      <c r="E1922" s="82" t="s">
        <v>2893</v>
      </c>
    </row>
    <row r="1923" spans="5:5" x14ac:dyDescent="0.25">
      <c r="E1923" s="82" t="s">
        <v>2894</v>
      </c>
    </row>
    <row r="1924" spans="5:5" x14ac:dyDescent="0.25">
      <c r="E1924" s="82" t="s">
        <v>2895</v>
      </c>
    </row>
    <row r="1925" spans="5:5" x14ac:dyDescent="0.25">
      <c r="E1925" s="82" t="s">
        <v>2896</v>
      </c>
    </row>
    <row r="1926" spans="5:5" x14ac:dyDescent="0.25">
      <c r="E1926" s="82" t="s">
        <v>2897</v>
      </c>
    </row>
    <row r="1927" spans="5:5" x14ac:dyDescent="0.25">
      <c r="E1927" s="82" t="s">
        <v>2898</v>
      </c>
    </row>
    <row r="1928" spans="5:5" x14ac:dyDescent="0.25">
      <c r="E1928" s="82" t="s">
        <v>2899</v>
      </c>
    </row>
    <row r="1929" spans="5:5" x14ac:dyDescent="0.25">
      <c r="E1929" s="82" t="s">
        <v>2900</v>
      </c>
    </row>
    <row r="1930" spans="5:5" x14ac:dyDescent="0.25">
      <c r="E1930" s="82" t="s">
        <v>2901</v>
      </c>
    </row>
    <row r="1931" spans="5:5" x14ac:dyDescent="0.25">
      <c r="E1931" s="82" t="s">
        <v>2902</v>
      </c>
    </row>
    <row r="1932" spans="5:5" x14ac:dyDescent="0.25">
      <c r="E1932" s="82" t="s">
        <v>2903</v>
      </c>
    </row>
    <row r="1933" spans="5:5" x14ac:dyDescent="0.25">
      <c r="E1933" s="82" t="s">
        <v>2904</v>
      </c>
    </row>
    <row r="1934" spans="5:5" x14ac:dyDescent="0.25">
      <c r="E1934" s="82" t="s">
        <v>2905</v>
      </c>
    </row>
    <row r="1935" spans="5:5" x14ac:dyDescent="0.25">
      <c r="E1935" s="82" t="s">
        <v>2906</v>
      </c>
    </row>
    <row r="1936" spans="5:5" x14ac:dyDescent="0.25">
      <c r="E1936" s="82" t="s">
        <v>2907</v>
      </c>
    </row>
    <row r="1937" spans="5:5" x14ac:dyDescent="0.25">
      <c r="E1937" s="82" t="s">
        <v>2908</v>
      </c>
    </row>
    <row r="1938" spans="5:5" x14ac:dyDescent="0.25">
      <c r="E1938" s="82" t="s">
        <v>2909</v>
      </c>
    </row>
    <row r="1939" spans="5:5" x14ac:dyDescent="0.25">
      <c r="E1939" s="82" t="s">
        <v>2910</v>
      </c>
    </row>
    <row r="1940" spans="5:5" x14ac:dyDescent="0.25">
      <c r="E1940" s="82" t="s">
        <v>2911</v>
      </c>
    </row>
    <row r="1941" spans="5:5" x14ac:dyDescent="0.25">
      <c r="E1941" s="82" t="s">
        <v>2912</v>
      </c>
    </row>
    <row r="1942" spans="5:5" x14ac:dyDescent="0.25">
      <c r="E1942" s="82" t="s">
        <v>2913</v>
      </c>
    </row>
    <row r="1943" spans="5:5" x14ac:dyDescent="0.25">
      <c r="E1943" s="82" t="s">
        <v>2914</v>
      </c>
    </row>
    <row r="1944" spans="5:5" x14ac:dyDescent="0.25">
      <c r="E1944" s="82" t="s">
        <v>2915</v>
      </c>
    </row>
    <row r="1945" spans="5:5" x14ac:dyDescent="0.25">
      <c r="E1945" s="82" t="s">
        <v>2916</v>
      </c>
    </row>
    <row r="1946" spans="5:5" x14ac:dyDescent="0.25">
      <c r="E1946" s="82" t="s">
        <v>2917</v>
      </c>
    </row>
    <row r="1947" spans="5:5" x14ac:dyDescent="0.25">
      <c r="E1947" s="82" t="s">
        <v>2918</v>
      </c>
    </row>
    <row r="1948" spans="5:5" x14ac:dyDescent="0.25">
      <c r="E1948" s="82" t="s">
        <v>2919</v>
      </c>
    </row>
    <row r="1949" spans="5:5" x14ac:dyDescent="0.25">
      <c r="E1949" s="82" t="s">
        <v>2920</v>
      </c>
    </row>
    <row r="1950" spans="5:5" x14ac:dyDescent="0.25">
      <c r="E1950" s="82" t="s">
        <v>2921</v>
      </c>
    </row>
    <row r="1951" spans="5:5" x14ac:dyDescent="0.25">
      <c r="E1951" s="82" t="s">
        <v>2922</v>
      </c>
    </row>
    <row r="1952" spans="5:5" x14ac:dyDescent="0.25">
      <c r="E1952" s="82" t="s">
        <v>2923</v>
      </c>
    </row>
    <row r="1953" spans="5:5" x14ac:dyDescent="0.25">
      <c r="E1953" s="82" t="s">
        <v>2924</v>
      </c>
    </row>
    <row r="1954" spans="5:5" x14ac:dyDescent="0.25">
      <c r="E1954" s="82" t="s">
        <v>2925</v>
      </c>
    </row>
    <row r="1955" spans="5:5" x14ac:dyDescent="0.25">
      <c r="E1955" s="82" t="s">
        <v>2926</v>
      </c>
    </row>
    <row r="1956" spans="5:5" x14ac:dyDescent="0.25">
      <c r="E1956" s="82" t="s">
        <v>2927</v>
      </c>
    </row>
    <row r="1957" spans="5:5" x14ac:dyDescent="0.25">
      <c r="E1957" s="82" t="s">
        <v>2928</v>
      </c>
    </row>
    <row r="1958" spans="5:5" x14ac:dyDescent="0.25">
      <c r="E1958" s="82" t="s">
        <v>2929</v>
      </c>
    </row>
    <row r="1959" spans="5:5" x14ac:dyDescent="0.25">
      <c r="E1959" s="82" t="s">
        <v>2930</v>
      </c>
    </row>
    <row r="1960" spans="5:5" x14ac:dyDescent="0.25">
      <c r="E1960" s="82" t="s">
        <v>2931</v>
      </c>
    </row>
    <row r="1961" spans="5:5" x14ac:dyDescent="0.25">
      <c r="E1961" s="82" t="s">
        <v>2932</v>
      </c>
    </row>
    <row r="1962" spans="5:5" x14ac:dyDescent="0.25">
      <c r="E1962" s="82" t="s">
        <v>2933</v>
      </c>
    </row>
    <row r="1963" spans="5:5" x14ac:dyDescent="0.25">
      <c r="E1963" s="82" t="s">
        <v>2934</v>
      </c>
    </row>
    <row r="1964" spans="5:5" x14ac:dyDescent="0.25">
      <c r="E1964" s="82" t="s">
        <v>2935</v>
      </c>
    </row>
    <row r="1965" spans="5:5" x14ac:dyDescent="0.25">
      <c r="E1965" s="82" t="s">
        <v>2936</v>
      </c>
    </row>
    <row r="1966" spans="5:5" x14ac:dyDescent="0.25">
      <c r="E1966" s="82" t="s">
        <v>2937</v>
      </c>
    </row>
    <row r="1967" spans="5:5" x14ac:dyDescent="0.25">
      <c r="E1967" s="82" t="s">
        <v>2938</v>
      </c>
    </row>
    <row r="1968" spans="5:5" x14ac:dyDescent="0.25">
      <c r="E1968" s="82" t="s">
        <v>2939</v>
      </c>
    </row>
    <row r="1969" spans="5:5" x14ac:dyDescent="0.25">
      <c r="E1969" s="82" t="s">
        <v>2940</v>
      </c>
    </row>
    <row r="1970" spans="5:5" x14ac:dyDescent="0.25">
      <c r="E1970" s="82" t="s">
        <v>2941</v>
      </c>
    </row>
    <row r="1971" spans="5:5" x14ac:dyDescent="0.25">
      <c r="E1971" s="82" t="s">
        <v>2942</v>
      </c>
    </row>
    <row r="1972" spans="5:5" x14ac:dyDescent="0.25">
      <c r="E1972" s="82" t="s">
        <v>2943</v>
      </c>
    </row>
    <row r="1973" spans="5:5" x14ac:dyDescent="0.25">
      <c r="E1973" s="82" t="s">
        <v>2944</v>
      </c>
    </row>
    <row r="1974" spans="5:5" x14ac:dyDescent="0.25">
      <c r="E1974" s="82" t="s">
        <v>2945</v>
      </c>
    </row>
    <row r="1975" spans="5:5" x14ac:dyDescent="0.25">
      <c r="E1975" s="82" t="s">
        <v>2946</v>
      </c>
    </row>
    <row r="1976" spans="5:5" x14ac:dyDescent="0.25">
      <c r="E1976" s="82" t="s">
        <v>2947</v>
      </c>
    </row>
    <row r="1977" spans="5:5" x14ac:dyDescent="0.25">
      <c r="E1977" s="82" t="s">
        <v>2948</v>
      </c>
    </row>
    <row r="1978" spans="5:5" x14ac:dyDescent="0.25">
      <c r="E1978" s="82" t="s">
        <v>2949</v>
      </c>
    </row>
    <row r="1979" spans="5:5" x14ac:dyDescent="0.25">
      <c r="E1979" s="82" t="s">
        <v>2950</v>
      </c>
    </row>
    <row r="1980" spans="5:5" x14ac:dyDescent="0.25">
      <c r="E1980" s="82" t="s">
        <v>2951</v>
      </c>
    </row>
    <row r="1981" spans="5:5" x14ac:dyDescent="0.25">
      <c r="E1981" s="82" t="s">
        <v>2952</v>
      </c>
    </row>
    <row r="1982" spans="5:5" x14ac:dyDescent="0.25">
      <c r="E1982" s="82" t="s">
        <v>2953</v>
      </c>
    </row>
    <row r="1983" spans="5:5" x14ac:dyDescent="0.25">
      <c r="E1983" s="82" t="s">
        <v>2954</v>
      </c>
    </row>
    <row r="1984" spans="5:5" x14ac:dyDescent="0.25">
      <c r="E1984" s="82" t="s">
        <v>2955</v>
      </c>
    </row>
    <row r="1985" spans="5:5" x14ac:dyDescent="0.25">
      <c r="E1985" s="82" t="s">
        <v>2956</v>
      </c>
    </row>
    <row r="1986" spans="5:5" x14ac:dyDescent="0.25">
      <c r="E1986" s="82" t="s">
        <v>2957</v>
      </c>
    </row>
    <row r="1987" spans="5:5" x14ac:dyDescent="0.25">
      <c r="E1987" s="82" t="s">
        <v>2958</v>
      </c>
    </row>
    <row r="1988" spans="5:5" x14ac:dyDescent="0.25">
      <c r="E1988" s="82" t="s">
        <v>2959</v>
      </c>
    </row>
    <row r="1989" spans="5:5" x14ac:dyDescent="0.25">
      <c r="E1989" s="82" t="s">
        <v>2960</v>
      </c>
    </row>
    <row r="1990" spans="5:5" x14ac:dyDescent="0.25">
      <c r="E1990" s="82" t="s">
        <v>2961</v>
      </c>
    </row>
    <row r="1991" spans="5:5" x14ac:dyDescent="0.25">
      <c r="E1991" s="82" t="s">
        <v>2962</v>
      </c>
    </row>
    <row r="1992" spans="5:5" x14ac:dyDescent="0.25">
      <c r="E1992" s="82" t="s">
        <v>2963</v>
      </c>
    </row>
    <row r="1993" spans="5:5" x14ac:dyDescent="0.25">
      <c r="E1993" s="82" t="s">
        <v>2964</v>
      </c>
    </row>
    <row r="1994" spans="5:5" x14ac:dyDescent="0.25">
      <c r="E1994" s="82" t="s">
        <v>2965</v>
      </c>
    </row>
    <row r="1995" spans="5:5" x14ac:dyDescent="0.25">
      <c r="E1995" s="82" t="s">
        <v>2966</v>
      </c>
    </row>
    <row r="1996" spans="5:5" x14ac:dyDescent="0.25">
      <c r="E1996" s="82" t="s">
        <v>2967</v>
      </c>
    </row>
    <row r="1997" spans="5:5" x14ac:dyDescent="0.25">
      <c r="E1997" s="82" t="s">
        <v>2968</v>
      </c>
    </row>
    <row r="1998" spans="5:5" x14ac:dyDescent="0.25">
      <c r="E1998" s="82" t="s">
        <v>2969</v>
      </c>
    </row>
    <row r="1999" spans="5:5" x14ac:dyDescent="0.25">
      <c r="E1999" s="82" t="s">
        <v>2970</v>
      </c>
    </row>
    <row r="2000" spans="5:5" x14ac:dyDescent="0.25">
      <c r="E2000" s="82" t="s">
        <v>2971</v>
      </c>
    </row>
    <row r="2001" spans="5:5" x14ac:dyDescent="0.25">
      <c r="E2001" s="82" t="s">
        <v>2972</v>
      </c>
    </row>
    <row r="2002" spans="5:5" x14ac:dyDescent="0.25">
      <c r="E2002" s="82" t="s">
        <v>2973</v>
      </c>
    </row>
    <row r="2003" spans="5:5" x14ac:dyDescent="0.25">
      <c r="E2003" s="82" t="s">
        <v>2974</v>
      </c>
    </row>
    <row r="2004" spans="5:5" x14ac:dyDescent="0.25">
      <c r="E2004" s="82" t="s">
        <v>2975</v>
      </c>
    </row>
    <row r="2005" spans="5:5" x14ac:dyDescent="0.25">
      <c r="E2005" s="82" t="s">
        <v>2976</v>
      </c>
    </row>
    <row r="2006" spans="5:5" x14ac:dyDescent="0.25">
      <c r="E2006" s="82" t="s">
        <v>2977</v>
      </c>
    </row>
    <row r="2007" spans="5:5" x14ac:dyDescent="0.25">
      <c r="E2007" s="82" t="s">
        <v>2978</v>
      </c>
    </row>
    <row r="2008" spans="5:5" x14ac:dyDescent="0.25">
      <c r="E2008" s="82" t="s">
        <v>2979</v>
      </c>
    </row>
    <row r="2009" spans="5:5" x14ac:dyDescent="0.25">
      <c r="E2009" s="82" t="s">
        <v>2980</v>
      </c>
    </row>
    <row r="2010" spans="5:5" x14ac:dyDescent="0.25">
      <c r="E2010" s="82" t="s">
        <v>2981</v>
      </c>
    </row>
    <row r="2011" spans="5:5" x14ac:dyDescent="0.25">
      <c r="E2011" s="82" t="s">
        <v>2982</v>
      </c>
    </row>
    <row r="2012" spans="5:5" x14ac:dyDescent="0.25">
      <c r="E2012" s="82" t="s">
        <v>2983</v>
      </c>
    </row>
    <row r="2013" spans="5:5" x14ac:dyDescent="0.25">
      <c r="E2013" s="82" t="s">
        <v>2984</v>
      </c>
    </row>
    <row r="2014" spans="5:5" x14ac:dyDescent="0.25">
      <c r="E2014" s="82" t="s">
        <v>2985</v>
      </c>
    </row>
    <row r="2015" spans="5:5" x14ac:dyDescent="0.25">
      <c r="E2015" s="82" t="s">
        <v>2986</v>
      </c>
    </row>
    <row r="2016" spans="5:5" x14ac:dyDescent="0.25">
      <c r="E2016" s="82" t="s">
        <v>2987</v>
      </c>
    </row>
    <row r="2017" spans="5:5" x14ac:dyDescent="0.25">
      <c r="E2017" s="82" t="s">
        <v>2988</v>
      </c>
    </row>
    <row r="2018" spans="5:5" x14ac:dyDescent="0.25">
      <c r="E2018" s="82" t="s">
        <v>2989</v>
      </c>
    </row>
    <row r="2019" spans="5:5" x14ac:dyDescent="0.25">
      <c r="E2019" s="82" t="s">
        <v>2990</v>
      </c>
    </row>
    <row r="2020" spans="5:5" x14ac:dyDescent="0.25">
      <c r="E2020" s="82" t="s">
        <v>2991</v>
      </c>
    </row>
    <row r="2021" spans="5:5" x14ac:dyDescent="0.25">
      <c r="E2021" s="82" t="s">
        <v>2992</v>
      </c>
    </row>
    <row r="2022" spans="5:5" x14ac:dyDescent="0.25">
      <c r="E2022" s="82" t="s">
        <v>2993</v>
      </c>
    </row>
    <row r="2023" spans="5:5" x14ac:dyDescent="0.25">
      <c r="E2023" s="82" t="s">
        <v>2994</v>
      </c>
    </row>
    <row r="2024" spans="5:5" x14ac:dyDescent="0.25">
      <c r="E2024" s="82" t="s">
        <v>2995</v>
      </c>
    </row>
    <row r="2025" spans="5:5" x14ac:dyDescent="0.25">
      <c r="E2025" s="82" t="s">
        <v>2996</v>
      </c>
    </row>
    <row r="2026" spans="5:5" x14ac:dyDescent="0.25">
      <c r="E2026" s="82" t="s">
        <v>2997</v>
      </c>
    </row>
    <row r="2027" spans="5:5" x14ac:dyDescent="0.25">
      <c r="E2027" s="82" t="s">
        <v>2998</v>
      </c>
    </row>
    <row r="2028" spans="5:5" x14ac:dyDescent="0.25">
      <c r="E2028" s="82" t="s">
        <v>2999</v>
      </c>
    </row>
    <row r="2029" spans="5:5" x14ac:dyDescent="0.25">
      <c r="E2029" s="82" t="s">
        <v>3000</v>
      </c>
    </row>
    <row r="2030" spans="5:5" x14ac:dyDescent="0.25">
      <c r="E2030" s="82" t="s">
        <v>3001</v>
      </c>
    </row>
    <row r="2031" spans="5:5" x14ac:dyDescent="0.25">
      <c r="E2031" s="82" t="s">
        <v>3002</v>
      </c>
    </row>
    <row r="2032" spans="5:5" x14ac:dyDescent="0.25">
      <c r="E2032" s="82" t="s">
        <v>3003</v>
      </c>
    </row>
    <row r="2033" spans="5:5" x14ac:dyDescent="0.25">
      <c r="E2033" s="82" t="s">
        <v>3004</v>
      </c>
    </row>
    <row r="2034" spans="5:5" x14ac:dyDescent="0.25">
      <c r="E2034" s="82" t="s">
        <v>3005</v>
      </c>
    </row>
    <row r="2035" spans="5:5" x14ac:dyDescent="0.25">
      <c r="E2035" s="82" t="s">
        <v>3006</v>
      </c>
    </row>
    <row r="2036" spans="5:5" x14ac:dyDescent="0.25">
      <c r="E2036" s="82" t="s">
        <v>3007</v>
      </c>
    </row>
    <row r="2037" spans="5:5" x14ac:dyDescent="0.25">
      <c r="E2037" s="82" t="s">
        <v>3008</v>
      </c>
    </row>
    <row r="2038" spans="5:5" x14ac:dyDescent="0.25">
      <c r="E2038" s="82" t="s">
        <v>3009</v>
      </c>
    </row>
    <row r="2039" spans="5:5" x14ac:dyDescent="0.25">
      <c r="E2039" s="82" t="s">
        <v>3010</v>
      </c>
    </row>
    <row r="2040" spans="5:5" x14ac:dyDescent="0.25">
      <c r="E2040" s="82" t="s">
        <v>3011</v>
      </c>
    </row>
    <row r="2041" spans="5:5" x14ac:dyDescent="0.25">
      <c r="E2041" s="82" t="s">
        <v>3012</v>
      </c>
    </row>
    <row r="2042" spans="5:5" x14ac:dyDescent="0.25">
      <c r="E2042" s="82" t="s">
        <v>3013</v>
      </c>
    </row>
    <row r="2043" spans="5:5" x14ac:dyDescent="0.25">
      <c r="E2043" s="82" t="s">
        <v>3014</v>
      </c>
    </row>
    <row r="2044" spans="5:5" x14ac:dyDescent="0.25">
      <c r="E2044" s="82" t="s">
        <v>3015</v>
      </c>
    </row>
    <row r="2045" spans="5:5" x14ac:dyDescent="0.25">
      <c r="E2045" s="82" t="s">
        <v>3016</v>
      </c>
    </row>
    <row r="2046" spans="5:5" x14ac:dyDescent="0.25">
      <c r="E2046" s="82" t="s">
        <v>3017</v>
      </c>
    </row>
    <row r="2047" spans="5:5" x14ac:dyDescent="0.25">
      <c r="E2047" s="82" t="s">
        <v>3018</v>
      </c>
    </row>
    <row r="2048" spans="5:5" x14ac:dyDescent="0.25">
      <c r="E2048" s="82" t="s">
        <v>3019</v>
      </c>
    </row>
    <row r="2049" spans="5:5" x14ac:dyDescent="0.25">
      <c r="E2049" s="82" t="s">
        <v>3020</v>
      </c>
    </row>
    <row r="2050" spans="5:5" x14ac:dyDescent="0.25">
      <c r="E2050" s="82" t="s">
        <v>3021</v>
      </c>
    </row>
    <row r="2051" spans="5:5" x14ac:dyDescent="0.25">
      <c r="E2051" s="82" t="s">
        <v>3022</v>
      </c>
    </row>
    <row r="2052" spans="5:5" x14ac:dyDescent="0.25">
      <c r="E2052" s="82" t="s">
        <v>3023</v>
      </c>
    </row>
    <row r="2053" spans="5:5" x14ac:dyDescent="0.25">
      <c r="E2053" s="82" t="s">
        <v>3024</v>
      </c>
    </row>
    <row r="2054" spans="5:5" x14ac:dyDescent="0.25">
      <c r="E2054" s="82" t="s">
        <v>3025</v>
      </c>
    </row>
    <row r="2055" spans="5:5" x14ac:dyDescent="0.25">
      <c r="E2055" s="82" t="s">
        <v>3026</v>
      </c>
    </row>
    <row r="2056" spans="5:5" x14ac:dyDescent="0.25">
      <c r="E2056" s="82" t="s">
        <v>3027</v>
      </c>
    </row>
    <row r="2057" spans="5:5" x14ac:dyDescent="0.25">
      <c r="E2057" s="82" t="s">
        <v>3028</v>
      </c>
    </row>
    <row r="2058" spans="5:5" x14ac:dyDescent="0.25">
      <c r="E2058" s="82" t="s">
        <v>3029</v>
      </c>
    </row>
    <row r="2059" spans="5:5" x14ac:dyDescent="0.25">
      <c r="E2059" s="82" t="s">
        <v>3030</v>
      </c>
    </row>
    <row r="2060" spans="5:5" x14ac:dyDescent="0.25">
      <c r="E2060" s="82" t="s">
        <v>3031</v>
      </c>
    </row>
    <row r="2061" spans="5:5" x14ac:dyDescent="0.25">
      <c r="E2061" s="82" t="s">
        <v>3032</v>
      </c>
    </row>
    <row r="2062" spans="5:5" x14ac:dyDescent="0.25">
      <c r="E2062" s="82" t="s">
        <v>3033</v>
      </c>
    </row>
    <row r="2063" spans="5:5" x14ac:dyDescent="0.25">
      <c r="E2063" s="82" t="s">
        <v>3034</v>
      </c>
    </row>
    <row r="2064" spans="5:5" x14ac:dyDescent="0.25">
      <c r="E2064" s="82" t="s">
        <v>3035</v>
      </c>
    </row>
    <row r="2065" spans="5:5" x14ac:dyDescent="0.25">
      <c r="E2065" s="82" t="s">
        <v>3036</v>
      </c>
    </row>
    <row r="2066" spans="5:5" x14ac:dyDescent="0.25">
      <c r="E2066" s="82" t="s">
        <v>3037</v>
      </c>
    </row>
    <row r="2067" spans="5:5" x14ac:dyDescent="0.25">
      <c r="E2067" s="82" t="s">
        <v>3038</v>
      </c>
    </row>
    <row r="2068" spans="5:5" x14ac:dyDescent="0.25">
      <c r="E2068" s="82" t="s">
        <v>3039</v>
      </c>
    </row>
    <row r="2069" spans="5:5" x14ac:dyDescent="0.25">
      <c r="E2069" s="82" t="s">
        <v>3040</v>
      </c>
    </row>
    <row r="2070" spans="5:5" x14ac:dyDescent="0.25">
      <c r="E2070" s="82" t="s">
        <v>3041</v>
      </c>
    </row>
    <row r="2071" spans="5:5" x14ac:dyDescent="0.25">
      <c r="E2071" s="82" t="s">
        <v>3042</v>
      </c>
    </row>
    <row r="2072" spans="5:5" x14ac:dyDescent="0.25">
      <c r="E2072" s="82" t="s">
        <v>3043</v>
      </c>
    </row>
    <row r="2073" spans="5:5" x14ac:dyDescent="0.25">
      <c r="E2073" s="82" t="s">
        <v>3044</v>
      </c>
    </row>
    <row r="2074" spans="5:5" x14ac:dyDescent="0.25">
      <c r="E2074" s="82" t="s">
        <v>3045</v>
      </c>
    </row>
    <row r="2075" spans="5:5" x14ac:dyDescent="0.25">
      <c r="E2075" s="82" t="s">
        <v>3046</v>
      </c>
    </row>
    <row r="2076" spans="5:5" x14ac:dyDescent="0.25">
      <c r="E2076" s="82" t="s">
        <v>3047</v>
      </c>
    </row>
    <row r="2077" spans="5:5" x14ac:dyDescent="0.25">
      <c r="E2077" s="82" t="s">
        <v>3048</v>
      </c>
    </row>
    <row r="2078" spans="5:5" x14ac:dyDescent="0.25">
      <c r="E2078" s="82" t="s">
        <v>3049</v>
      </c>
    </row>
    <row r="2079" spans="5:5" x14ac:dyDescent="0.25">
      <c r="E2079" s="82" t="s">
        <v>3050</v>
      </c>
    </row>
    <row r="2080" spans="5:5" x14ac:dyDescent="0.25">
      <c r="E2080" s="82" t="s">
        <v>3051</v>
      </c>
    </row>
    <row r="2081" spans="5:5" x14ac:dyDescent="0.25">
      <c r="E2081" s="82" t="s">
        <v>3052</v>
      </c>
    </row>
    <row r="2082" spans="5:5" x14ac:dyDescent="0.25">
      <c r="E2082" s="82" t="s">
        <v>3053</v>
      </c>
    </row>
    <row r="2083" spans="5:5" x14ac:dyDescent="0.25">
      <c r="E2083" s="82" t="s">
        <v>3054</v>
      </c>
    </row>
    <row r="2084" spans="5:5" x14ac:dyDescent="0.25">
      <c r="E2084" s="82" t="s">
        <v>3055</v>
      </c>
    </row>
    <row r="2085" spans="5:5" x14ac:dyDescent="0.25">
      <c r="E2085" s="82" t="s">
        <v>3056</v>
      </c>
    </row>
    <row r="2086" spans="5:5" x14ac:dyDescent="0.25">
      <c r="E2086" s="82" t="s">
        <v>3057</v>
      </c>
    </row>
    <row r="2087" spans="5:5" x14ac:dyDescent="0.25">
      <c r="E2087" s="82" t="s">
        <v>3058</v>
      </c>
    </row>
    <row r="2088" spans="5:5" x14ac:dyDescent="0.25">
      <c r="E2088" s="82" t="s">
        <v>3059</v>
      </c>
    </row>
    <row r="2089" spans="5:5" x14ac:dyDescent="0.25">
      <c r="E2089" s="82" t="s">
        <v>3060</v>
      </c>
    </row>
    <row r="2090" spans="5:5" x14ac:dyDescent="0.25">
      <c r="E2090" s="82" t="s">
        <v>3061</v>
      </c>
    </row>
    <row r="2091" spans="5:5" x14ac:dyDescent="0.25">
      <c r="E2091" s="82" t="s">
        <v>3062</v>
      </c>
    </row>
    <row r="2092" spans="5:5" x14ac:dyDescent="0.25">
      <c r="E2092" s="82" t="s">
        <v>3063</v>
      </c>
    </row>
    <row r="2093" spans="5:5" x14ac:dyDescent="0.25">
      <c r="E2093" s="82" t="s">
        <v>3064</v>
      </c>
    </row>
    <row r="2094" spans="5:5" x14ac:dyDescent="0.25">
      <c r="E2094" s="82" t="s">
        <v>3065</v>
      </c>
    </row>
    <row r="2095" spans="5:5" x14ac:dyDescent="0.25">
      <c r="E2095" s="82" t="s">
        <v>3066</v>
      </c>
    </row>
    <row r="2096" spans="5:5" x14ac:dyDescent="0.25">
      <c r="E2096" s="82" t="s">
        <v>3067</v>
      </c>
    </row>
    <row r="2097" spans="5:5" x14ac:dyDescent="0.25">
      <c r="E2097" s="82" t="s">
        <v>3068</v>
      </c>
    </row>
    <row r="2098" spans="5:5" x14ac:dyDescent="0.25">
      <c r="E2098" s="82" t="s">
        <v>3069</v>
      </c>
    </row>
    <row r="2099" spans="5:5" x14ac:dyDescent="0.25">
      <c r="E2099" s="82" t="s">
        <v>3070</v>
      </c>
    </row>
    <row r="2100" spans="5:5" x14ac:dyDescent="0.25">
      <c r="E2100" s="82" t="s">
        <v>3071</v>
      </c>
    </row>
    <row r="2101" spans="5:5" x14ac:dyDescent="0.25">
      <c r="E2101" s="82" t="s">
        <v>3072</v>
      </c>
    </row>
    <row r="2102" spans="5:5" x14ac:dyDescent="0.25">
      <c r="E2102" s="82" t="s">
        <v>3073</v>
      </c>
    </row>
    <row r="2103" spans="5:5" x14ac:dyDescent="0.25">
      <c r="E2103" s="82" t="s">
        <v>3074</v>
      </c>
    </row>
    <row r="2104" spans="5:5" x14ac:dyDescent="0.25">
      <c r="E2104" s="82" t="s">
        <v>3075</v>
      </c>
    </row>
    <row r="2105" spans="5:5" x14ac:dyDescent="0.25">
      <c r="E2105" s="82" t="s">
        <v>3076</v>
      </c>
    </row>
    <row r="2106" spans="5:5" x14ac:dyDescent="0.25">
      <c r="E2106" s="82" t="s">
        <v>3077</v>
      </c>
    </row>
    <row r="2107" spans="5:5" x14ac:dyDescent="0.25">
      <c r="E2107" s="82" t="s">
        <v>3078</v>
      </c>
    </row>
    <row r="2108" spans="5:5" x14ac:dyDescent="0.25">
      <c r="E2108" s="82" t="s">
        <v>3079</v>
      </c>
    </row>
    <row r="2109" spans="5:5" x14ac:dyDescent="0.25">
      <c r="E2109" s="82" t="s">
        <v>3080</v>
      </c>
    </row>
    <row r="2110" spans="5:5" x14ac:dyDescent="0.25">
      <c r="E2110" s="82" t="s">
        <v>3081</v>
      </c>
    </row>
    <row r="2111" spans="5:5" x14ac:dyDescent="0.25">
      <c r="E2111" s="82" t="s">
        <v>3082</v>
      </c>
    </row>
    <row r="2112" spans="5:5" x14ac:dyDescent="0.25">
      <c r="E2112" s="82" t="s">
        <v>3083</v>
      </c>
    </row>
    <row r="2113" spans="5:5" x14ac:dyDescent="0.25">
      <c r="E2113" s="82" t="s">
        <v>3084</v>
      </c>
    </row>
    <row r="2114" spans="5:5" x14ac:dyDescent="0.25">
      <c r="E2114" s="82" t="s">
        <v>3085</v>
      </c>
    </row>
    <row r="2115" spans="5:5" x14ac:dyDescent="0.25">
      <c r="E2115" s="82" t="s">
        <v>3086</v>
      </c>
    </row>
    <row r="2116" spans="5:5" x14ac:dyDescent="0.25">
      <c r="E2116" s="82" t="s">
        <v>3087</v>
      </c>
    </row>
    <row r="2117" spans="5:5" x14ac:dyDescent="0.25">
      <c r="E2117" s="82" t="s">
        <v>3088</v>
      </c>
    </row>
    <row r="2118" spans="5:5" x14ac:dyDescent="0.25">
      <c r="E2118" s="82" t="s">
        <v>3089</v>
      </c>
    </row>
    <row r="2119" spans="5:5" x14ac:dyDescent="0.25">
      <c r="E2119" s="82" t="s">
        <v>3090</v>
      </c>
    </row>
    <row r="2120" spans="5:5" x14ac:dyDescent="0.25">
      <c r="E2120" s="82" t="s">
        <v>3091</v>
      </c>
    </row>
    <row r="2121" spans="5:5" x14ac:dyDescent="0.25">
      <c r="E2121" s="82" t="s">
        <v>3092</v>
      </c>
    </row>
    <row r="2122" spans="5:5" x14ac:dyDescent="0.25">
      <c r="E2122" s="82" t="s">
        <v>3093</v>
      </c>
    </row>
    <row r="2123" spans="5:5" x14ac:dyDescent="0.25">
      <c r="E2123" s="82" t="s">
        <v>3094</v>
      </c>
    </row>
    <row r="2124" spans="5:5" x14ac:dyDescent="0.25">
      <c r="E2124" s="82" t="s">
        <v>3095</v>
      </c>
    </row>
    <row r="2125" spans="5:5" x14ac:dyDescent="0.25">
      <c r="E2125" s="82" t="s">
        <v>3096</v>
      </c>
    </row>
    <row r="2126" spans="5:5" x14ac:dyDescent="0.25">
      <c r="E2126" s="82" t="s">
        <v>3097</v>
      </c>
    </row>
    <row r="2127" spans="5:5" x14ac:dyDescent="0.25">
      <c r="E2127" s="82" t="s">
        <v>3098</v>
      </c>
    </row>
    <row r="2128" spans="5:5" x14ac:dyDescent="0.25">
      <c r="E2128" s="82" t="s">
        <v>3099</v>
      </c>
    </row>
    <row r="2129" spans="5:5" x14ac:dyDescent="0.25">
      <c r="E2129" s="82" t="s">
        <v>3100</v>
      </c>
    </row>
    <row r="2130" spans="5:5" x14ac:dyDescent="0.25">
      <c r="E2130" s="82" t="s">
        <v>3101</v>
      </c>
    </row>
    <row r="2131" spans="5:5" x14ac:dyDescent="0.25">
      <c r="E2131" s="82" t="s">
        <v>3102</v>
      </c>
    </row>
    <row r="2132" spans="5:5" x14ac:dyDescent="0.25">
      <c r="E2132" s="82" t="s">
        <v>3103</v>
      </c>
    </row>
    <row r="2133" spans="5:5" x14ac:dyDescent="0.25">
      <c r="E2133" s="82" t="s">
        <v>3104</v>
      </c>
    </row>
    <row r="2134" spans="5:5" x14ac:dyDescent="0.25">
      <c r="E2134" s="82" t="s">
        <v>3105</v>
      </c>
    </row>
    <row r="2135" spans="5:5" x14ac:dyDescent="0.25">
      <c r="E2135" s="82" t="s">
        <v>3106</v>
      </c>
    </row>
    <row r="2136" spans="5:5" x14ac:dyDescent="0.25">
      <c r="E2136" s="82" t="s">
        <v>3107</v>
      </c>
    </row>
    <row r="2137" spans="5:5" x14ac:dyDescent="0.25">
      <c r="E2137" s="82" t="s">
        <v>3108</v>
      </c>
    </row>
    <row r="2138" spans="5:5" x14ac:dyDescent="0.25">
      <c r="E2138" s="82" t="s">
        <v>3109</v>
      </c>
    </row>
    <row r="2139" spans="5:5" x14ac:dyDescent="0.25">
      <c r="E2139" s="82" t="s">
        <v>3110</v>
      </c>
    </row>
    <row r="2140" spans="5:5" x14ac:dyDescent="0.25">
      <c r="E2140" s="82" t="s">
        <v>3111</v>
      </c>
    </row>
    <row r="2141" spans="5:5" x14ac:dyDescent="0.25">
      <c r="E2141" s="82" t="s">
        <v>3112</v>
      </c>
    </row>
    <row r="2142" spans="5:5" x14ac:dyDescent="0.25">
      <c r="E2142" s="82" t="s">
        <v>3113</v>
      </c>
    </row>
    <row r="2143" spans="5:5" x14ac:dyDescent="0.25">
      <c r="E2143" s="82" t="s">
        <v>3114</v>
      </c>
    </row>
    <row r="2144" spans="5:5" x14ac:dyDescent="0.25">
      <c r="E2144" s="82" t="s">
        <v>3115</v>
      </c>
    </row>
    <row r="2145" spans="5:5" x14ac:dyDescent="0.25">
      <c r="E2145" s="82" t="s">
        <v>3116</v>
      </c>
    </row>
    <row r="2146" spans="5:5" x14ac:dyDescent="0.25">
      <c r="E2146" s="82" t="s">
        <v>3117</v>
      </c>
    </row>
    <row r="2147" spans="5:5" x14ac:dyDescent="0.25">
      <c r="E2147" s="82" t="s">
        <v>3118</v>
      </c>
    </row>
    <row r="2148" spans="5:5" x14ac:dyDescent="0.25">
      <c r="E2148" s="82" t="s">
        <v>3119</v>
      </c>
    </row>
    <row r="2149" spans="5:5" x14ac:dyDescent="0.25">
      <c r="E2149" s="82" t="s">
        <v>3120</v>
      </c>
    </row>
    <row r="2150" spans="5:5" x14ac:dyDescent="0.25">
      <c r="E2150" s="82" t="s">
        <v>3121</v>
      </c>
    </row>
    <row r="2151" spans="5:5" x14ac:dyDescent="0.25">
      <c r="E2151" s="82" t="s">
        <v>3122</v>
      </c>
    </row>
    <row r="2152" spans="5:5" x14ac:dyDescent="0.25">
      <c r="E2152" s="82" t="s">
        <v>3123</v>
      </c>
    </row>
    <row r="2153" spans="5:5" x14ac:dyDescent="0.25">
      <c r="E2153" s="82" t="s">
        <v>3124</v>
      </c>
    </row>
    <row r="2154" spans="5:5" x14ac:dyDescent="0.25">
      <c r="E2154" s="82" t="s">
        <v>3125</v>
      </c>
    </row>
    <row r="2155" spans="5:5" x14ac:dyDescent="0.25">
      <c r="E2155" s="82" t="s">
        <v>3126</v>
      </c>
    </row>
    <row r="2156" spans="5:5" x14ac:dyDescent="0.25">
      <c r="E2156" s="82" t="s">
        <v>3127</v>
      </c>
    </row>
    <row r="2157" spans="5:5" x14ac:dyDescent="0.25">
      <c r="E2157" s="82" t="s">
        <v>3128</v>
      </c>
    </row>
    <row r="2158" spans="5:5" x14ac:dyDescent="0.25">
      <c r="E2158" s="82" t="s">
        <v>3129</v>
      </c>
    </row>
    <row r="2159" spans="5:5" x14ac:dyDescent="0.25">
      <c r="E2159" s="82" t="s">
        <v>3130</v>
      </c>
    </row>
    <row r="2160" spans="5:5" x14ac:dyDescent="0.25">
      <c r="E2160" s="82" t="s">
        <v>3131</v>
      </c>
    </row>
    <row r="2161" spans="5:5" x14ac:dyDescent="0.25">
      <c r="E2161" s="82" t="s">
        <v>3132</v>
      </c>
    </row>
    <row r="2162" spans="5:5" x14ac:dyDescent="0.25">
      <c r="E2162" s="82" t="s">
        <v>3133</v>
      </c>
    </row>
    <row r="2163" spans="5:5" x14ac:dyDescent="0.25">
      <c r="E2163" s="82" t="s">
        <v>3134</v>
      </c>
    </row>
    <row r="2164" spans="5:5" x14ac:dyDescent="0.25">
      <c r="E2164" s="82" t="s">
        <v>3135</v>
      </c>
    </row>
    <row r="2165" spans="5:5" x14ac:dyDescent="0.25">
      <c r="E2165" s="82" t="s">
        <v>3136</v>
      </c>
    </row>
    <row r="2166" spans="5:5" x14ac:dyDescent="0.25">
      <c r="E2166" s="82" t="s">
        <v>3137</v>
      </c>
    </row>
    <row r="2167" spans="5:5" x14ac:dyDescent="0.25">
      <c r="E2167" s="82" t="s">
        <v>3138</v>
      </c>
    </row>
    <row r="2168" spans="5:5" x14ac:dyDescent="0.25">
      <c r="E2168" s="82" t="s">
        <v>3139</v>
      </c>
    </row>
    <row r="2169" spans="5:5" x14ac:dyDescent="0.25">
      <c r="E2169" s="82" t="s">
        <v>3140</v>
      </c>
    </row>
    <row r="2170" spans="5:5" x14ac:dyDescent="0.25">
      <c r="E2170" s="82" t="s">
        <v>3141</v>
      </c>
    </row>
    <row r="2171" spans="5:5" x14ac:dyDescent="0.25">
      <c r="E2171" s="82" t="s">
        <v>3142</v>
      </c>
    </row>
    <row r="2172" spans="5:5" x14ac:dyDescent="0.25">
      <c r="E2172" s="82" t="s">
        <v>3143</v>
      </c>
    </row>
    <row r="2173" spans="5:5" x14ac:dyDescent="0.25">
      <c r="E2173" s="82" t="s">
        <v>3144</v>
      </c>
    </row>
    <row r="2174" spans="5:5" x14ac:dyDescent="0.25">
      <c r="E2174" s="82" t="s">
        <v>3145</v>
      </c>
    </row>
    <row r="2175" spans="5:5" x14ac:dyDescent="0.25">
      <c r="E2175" s="82" t="s">
        <v>3146</v>
      </c>
    </row>
    <row r="2176" spans="5:5" x14ac:dyDescent="0.25">
      <c r="E2176" s="82" t="s">
        <v>3147</v>
      </c>
    </row>
    <row r="2177" spans="5:5" x14ac:dyDescent="0.25">
      <c r="E2177" s="82" t="s">
        <v>3148</v>
      </c>
    </row>
    <row r="2178" spans="5:5" x14ac:dyDescent="0.25">
      <c r="E2178" s="82" t="s">
        <v>3149</v>
      </c>
    </row>
    <row r="2179" spans="5:5" x14ac:dyDescent="0.25">
      <c r="E2179" s="82" t="s">
        <v>3150</v>
      </c>
    </row>
    <row r="2180" spans="5:5" x14ac:dyDescent="0.25">
      <c r="E2180" s="82" t="s">
        <v>3151</v>
      </c>
    </row>
    <row r="2181" spans="5:5" x14ac:dyDescent="0.25">
      <c r="E2181" s="82" t="s">
        <v>3152</v>
      </c>
    </row>
    <row r="2182" spans="5:5" x14ac:dyDescent="0.25">
      <c r="E2182" s="82" t="s">
        <v>3153</v>
      </c>
    </row>
    <row r="2183" spans="5:5" x14ac:dyDescent="0.25">
      <c r="E2183" s="82" t="s">
        <v>3154</v>
      </c>
    </row>
    <row r="2184" spans="5:5" x14ac:dyDescent="0.25">
      <c r="E2184" s="82" t="s">
        <v>3155</v>
      </c>
    </row>
    <row r="2185" spans="5:5" x14ac:dyDescent="0.25">
      <c r="E2185" s="82" t="s">
        <v>3156</v>
      </c>
    </row>
    <row r="2186" spans="5:5" x14ac:dyDescent="0.25">
      <c r="E2186" s="82" t="s">
        <v>3157</v>
      </c>
    </row>
    <row r="2187" spans="5:5" x14ac:dyDescent="0.25">
      <c r="E2187" s="82" t="s">
        <v>3158</v>
      </c>
    </row>
    <row r="2188" spans="5:5" x14ac:dyDescent="0.25">
      <c r="E2188" s="82" t="s">
        <v>3159</v>
      </c>
    </row>
    <row r="2189" spans="5:5" x14ac:dyDescent="0.25">
      <c r="E2189" s="82" t="s">
        <v>3160</v>
      </c>
    </row>
    <row r="2190" spans="5:5" x14ac:dyDescent="0.25">
      <c r="E2190" s="82" t="s">
        <v>3161</v>
      </c>
    </row>
    <row r="2191" spans="5:5" x14ac:dyDescent="0.25">
      <c r="E2191" s="82" t="s">
        <v>3162</v>
      </c>
    </row>
    <row r="2192" spans="5:5" x14ac:dyDescent="0.25">
      <c r="E2192" s="82" t="s">
        <v>3163</v>
      </c>
    </row>
    <row r="2193" spans="5:5" x14ac:dyDescent="0.25">
      <c r="E2193" s="82" t="s">
        <v>3164</v>
      </c>
    </row>
    <row r="2194" spans="5:5" x14ac:dyDescent="0.25">
      <c r="E2194" s="82" t="s">
        <v>3165</v>
      </c>
    </row>
    <row r="2195" spans="5:5" x14ac:dyDescent="0.25">
      <c r="E2195" s="82" t="s">
        <v>3166</v>
      </c>
    </row>
    <row r="2196" spans="5:5" x14ac:dyDescent="0.25">
      <c r="E2196" s="82" t="s">
        <v>3167</v>
      </c>
    </row>
    <row r="2197" spans="5:5" x14ac:dyDescent="0.25">
      <c r="E2197" s="82" t="s">
        <v>3168</v>
      </c>
    </row>
    <row r="2198" spans="5:5" x14ac:dyDescent="0.25">
      <c r="E2198" s="82" t="s">
        <v>3169</v>
      </c>
    </row>
    <row r="2199" spans="5:5" x14ac:dyDescent="0.25">
      <c r="E2199" s="82" t="s">
        <v>3170</v>
      </c>
    </row>
    <row r="2200" spans="5:5" x14ac:dyDescent="0.25">
      <c r="E2200" s="82" t="s">
        <v>3171</v>
      </c>
    </row>
    <row r="2201" spans="5:5" x14ac:dyDescent="0.25">
      <c r="E2201" s="82" t="s">
        <v>3172</v>
      </c>
    </row>
    <row r="2202" spans="5:5" x14ac:dyDescent="0.25">
      <c r="E2202" s="82" t="s">
        <v>3173</v>
      </c>
    </row>
    <row r="2203" spans="5:5" x14ac:dyDescent="0.25">
      <c r="E2203" s="82" t="s">
        <v>3174</v>
      </c>
    </row>
    <row r="2204" spans="5:5" x14ac:dyDescent="0.25">
      <c r="E2204" s="82" t="s">
        <v>3175</v>
      </c>
    </row>
    <row r="2205" spans="5:5" x14ac:dyDescent="0.25">
      <c r="E2205" s="82" t="s">
        <v>3176</v>
      </c>
    </row>
    <row r="2206" spans="5:5" x14ac:dyDescent="0.25">
      <c r="E2206" s="82" t="s">
        <v>3177</v>
      </c>
    </row>
    <row r="2207" spans="5:5" x14ac:dyDescent="0.25">
      <c r="E2207" s="82" t="s">
        <v>3178</v>
      </c>
    </row>
    <row r="2208" spans="5:5" x14ac:dyDescent="0.25">
      <c r="E2208" s="82" t="s">
        <v>3179</v>
      </c>
    </row>
    <row r="2209" spans="5:5" x14ac:dyDescent="0.25">
      <c r="E2209" s="82" t="s">
        <v>3180</v>
      </c>
    </row>
    <row r="2210" spans="5:5" x14ac:dyDescent="0.25">
      <c r="E2210" s="82" t="s">
        <v>3181</v>
      </c>
    </row>
    <row r="2211" spans="5:5" x14ac:dyDescent="0.25">
      <c r="E2211" s="82" t="s">
        <v>3182</v>
      </c>
    </row>
    <row r="2212" spans="5:5" x14ac:dyDescent="0.25">
      <c r="E2212" s="82" t="s">
        <v>3183</v>
      </c>
    </row>
    <row r="2213" spans="5:5" x14ac:dyDescent="0.25">
      <c r="E2213" s="82" t="s">
        <v>3184</v>
      </c>
    </row>
    <row r="2214" spans="5:5" x14ac:dyDescent="0.25">
      <c r="E2214" s="82" t="s">
        <v>3185</v>
      </c>
    </row>
    <row r="2215" spans="5:5" x14ac:dyDescent="0.25">
      <c r="E2215" s="82" t="s">
        <v>3186</v>
      </c>
    </row>
    <row r="2216" spans="5:5" x14ac:dyDescent="0.25">
      <c r="E2216" s="82" t="s">
        <v>3187</v>
      </c>
    </row>
    <row r="2217" spans="5:5" x14ac:dyDescent="0.25">
      <c r="E2217" s="82" t="s">
        <v>3188</v>
      </c>
    </row>
    <row r="2218" spans="5:5" x14ac:dyDescent="0.25">
      <c r="E2218" s="82" t="s">
        <v>3189</v>
      </c>
    </row>
    <row r="2219" spans="5:5" x14ac:dyDescent="0.25">
      <c r="E2219" s="82" t="s">
        <v>3190</v>
      </c>
    </row>
    <row r="2220" spans="5:5" x14ac:dyDescent="0.25">
      <c r="E2220" s="82" t="s">
        <v>3191</v>
      </c>
    </row>
    <row r="2221" spans="5:5" x14ac:dyDescent="0.25">
      <c r="E2221" s="82" t="s">
        <v>3192</v>
      </c>
    </row>
    <row r="2222" spans="5:5" x14ac:dyDescent="0.25">
      <c r="E2222" s="82" t="s">
        <v>3193</v>
      </c>
    </row>
    <row r="2223" spans="5:5" x14ac:dyDescent="0.25">
      <c r="E2223" s="82" t="s">
        <v>3194</v>
      </c>
    </row>
    <row r="2224" spans="5:5" x14ac:dyDescent="0.25">
      <c r="E2224" s="82" t="s">
        <v>3195</v>
      </c>
    </row>
    <row r="2225" spans="5:5" x14ac:dyDescent="0.25">
      <c r="E2225" s="82" t="s">
        <v>3196</v>
      </c>
    </row>
    <row r="2226" spans="5:5" x14ac:dyDescent="0.25">
      <c r="E2226" s="82" t="s">
        <v>3197</v>
      </c>
    </row>
    <row r="2227" spans="5:5" x14ac:dyDescent="0.25">
      <c r="E2227" s="82" t="s">
        <v>3198</v>
      </c>
    </row>
    <row r="2228" spans="5:5" x14ac:dyDescent="0.25">
      <c r="E2228" s="82" t="s">
        <v>3199</v>
      </c>
    </row>
    <row r="2229" spans="5:5" x14ac:dyDescent="0.25">
      <c r="E2229" s="82" t="s">
        <v>3200</v>
      </c>
    </row>
    <row r="2230" spans="5:5" x14ac:dyDescent="0.25">
      <c r="E2230" s="82" t="s">
        <v>3201</v>
      </c>
    </row>
    <row r="2231" spans="5:5" x14ac:dyDescent="0.25">
      <c r="E2231" s="82" t="s">
        <v>3202</v>
      </c>
    </row>
    <row r="2232" spans="5:5" x14ac:dyDescent="0.25">
      <c r="E2232" s="82" t="s">
        <v>3203</v>
      </c>
    </row>
    <row r="2233" spans="5:5" x14ac:dyDescent="0.25">
      <c r="E2233" s="82" t="s">
        <v>3204</v>
      </c>
    </row>
    <row r="2234" spans="5:5" x14ac:dyDescent="0.25">
      <c r="E2234" s="82" t="s">
        <v>3205</v>
      </c>
    </row>
    <row r="2235" spans="5:5" x14ac:dyDescent="0.25">
      <c r="E2235" s="82" t="s">
        <v>3206</v>
      </c>
    </row>
    <row r="2236" spans="5:5" x14ac:dyDescent="0.25">
      <c r="E2236" s="82" t="s">
        <v>3207</v>
      </c>
    </row>
    <row r="2237" spans="5:5" x14ac:dyDescent="0.25">
      <c r="E2237" s="82" t="s">
        <v>3208</v>
      </c>
    </row>
    <row r="2238" spans="5:5" x14ac:dyDescent="0.25">
      <c r="E2238" s="82" t="s">
        <v>3209</v>
      </c>
    </row>
    <row r="2239" spans="5:5" x14ac:dyDescent="0.25">
      <c r="E2239" s="82" t="s">
        <v>3210</v>
      </c>
    </row>
    <row r="2240" spans="5:5" x14ac:dyDescent="0.25">
      <c r="E2240" s="82" t="s">
        <v>3211</v>
      </c>
    </row>
    <row r="2241" spans="5:5" x14ac:dyDescent="0.25">
      <c r="E2241" s="82" t="s">
        <v>3212</v>
      </c>
    </row>
    <row r="2242" spans="5:5" x14ac:dyDescent="0.25">
      <c r="E2242" s="82" t="s">
        <v>3213</v>
      </c>
    </row>
    <row r="2243" spans="5:5" x14ac:dyDescent="0.25">
      <c r="E2243" s="82" t="s">
        <v>3214</v>
      </c>
    </row>
    <row r="2244" spans="5:5" x14ac:dyDescent="0.25">
      <c r="E2244" s="82" t="s">
        <v>3215</v>
      </c>
    </row>
    <row r="2245" spans="5:5" x14ac:dyDescent="0.25">
      <c r="E2245" s="82" t="s">
        <v>3216</v>
      </c>
    </row>
    <row r="2246" spans="5:5" x14ac:dyDescent="0.25">
      <c r="E2246" s="82" t="s">
        <v>3217</v>
      </c>
    </row>
    <row r="2247" spans="5:5" x14ac:dyDescent="0.25">
      <c r="E2247" s="82" t="s">
        <v>3218</v>
      </c>
    </row>
    <row r="2248" spans="5:5" x14ac:dyDescent="0.25">
      <c r="E2248" s="82" t="s">
        <v>3219</v>
      </c>
    </row>
    <row r="2249" spans="5:5" x14ac:dyDescent="0.25">
      <c r="E2249" s="82" t="s">
        <v>3220</v>
      </c>
    </row>
    <row r="2250" spans="5:5" x14ac:dyDescent="0.25">
      <c r="E2250" s="82" t="s">
        <v>3221</v>
      </c>
    </row>
    <row r="2251" spans="5:5" x14ac:dyDescent="0.25">
      <c r="E2251" s="82" t="s">
        <v>3222</v>
      </c>
    </row>
    <row r="2252" spans="5:5" x14ac:dyDescent="0.25">
      <c r="E2252" s="82" t="s">
        <v>3223</v>
      </c>
    </row>
    <row r="2253" spans="5:5" x14ac:dyDescent="0.25">
      <c r="E2253" s="82" t="s">
        <v>3224</v>
      </c>
    </row>
    <row r="2254" spans="5:5" x14ac:dyDescent="0.25">
      <c r="E2254" s="82" t="s">
        <v>3225</v>
      </c>
    </row>
    <row r="2255" spans="5:5" x14ac:dyDescent="0.25">
      <c r="E2255" s="82" t="s">
        <v>3226</v>
      </c>
    </row>
    <row r="2256" spans="5:5" x14ac:dyDescent="0.25">
      <c r="E2256" s="82" t="s">
        <v>3227</v>
      </c>
    </row>
    <row r="2257" spans="5:5" x14ac:dyDescent="0.25">
      <c r="E2257" s="82" t="s">
        <v>3228</v>
      </c>
    </row>
    <row r="2258" spans="5:5" x14ac:dyDescent="0.25">
      <c r="E2258" s="82" t="s">
        <v>3229</v>
      </c>
    </row>
    <row r="2259" spans="5:5" x14ac:dyDescent="0.25">
      <c r="E2259" s="82" t="s">
        <v>3230</v>
      </c>
    </row>
    <row r="2260" spans="5:5" x14ac:dyDescent="0.25">
      <c r="E2260" s="82" t="s">
        <v>3231</v>
      </c>
    </row>
    <row r="2261" spans="5:5" x14ac:dyDescent="0.25">
      <c r="E2261" s="82" t="s">
        <v>3232</v>
      </c>
    </row>
    <row r="2262" spans="5:5" x14ac:dyDescent="0.25">
      <c r="E2262" s="82" t="s">
        <v>3233</v>
      </c>
    </row>
    <row r="2263" spans="5:5" x14ac:dyDescent="0.25">
      <c r="E2263" s="82" t="s">
        <v>3234</v>
      </c>
    </row>
    <row r="2264" spans="5:5" x14ac:dyDescent="0.25">
      <c r="E2264" s="82" t="s">
        <v>3235</v>
      </c>
    </row>
    <row r="2265" spans="5:5" x14ac:dyDescent="0.25">
      <c r="E2265" s="82" t="s">
        <v>3236</v>
      </c>
    </row>
    <row r="2266" spans="5:5" x14ac:dyDescent="0.25">
      <c r="E2266" s="82" t="s">
        <v>3237</v>
      </c>
    </row>
    <row r="2267" spans="5:5" x14ac:dyDescent="0.25">
      <c r="E2267" s="82" t="s">
        <v>3238</v>
      </c>
    </row>
    <row r="2268" spans="5:5" x14ac:dyDescent="0.25">
      <c r="E2268" s="82" t="s">
        <v>3239</v>
      </c>
    </row>
    <row r="2269" spans="5:5" x14ac:dyDescent="0.25">
      <c r="E2269" s="82" t="s">
        <v>3240</v>
      </c>
    </row>
    <row r="2270" spans="5:5" x14ac:dyDescent="0.25">
      <c r="E2270" s="82" t="s">
        <v>3241</v>
      </c>
    </row>
    <row r="2271" spans="5:5" x14ac:dyDescent="0.25">
      <c r="E2271" s="82" t="s">
        <v>3242</v>
      </c>
    </row>
    <row r="2272" spans="5:5" x14ac:dyDescent="0.25">
      <c r="E2272" s="82" t="s">
        <v>3243</v>
      </c>
    </row>
    <row r="2273" spans="5:5" x14ac:dyDescent="0.25">
      <c r="E2273" s="82" t="s">
        <v>3244</v>
      </c>
    </row>
    <row r="2274" spans="5:5" x14ac:dyDescent="0.25">
      <c r="E2274" s="82" t="s">
        <v>3245</v>
      </c>
    </row>
    <row r="2275" spans="5:5" x14ac:dyDescent="0.25">
      <c r="E2275" s="82" t="s">
        <v>3246</v>
      </c>
    </row>
    <row r="2276" spans="5:5" x14ac:dyDescent="0.25">
      <c r="E2276" s="82" t="s">
        <v>3247</v>
      </c>
    </row>
    <row r="2277" spans="5:5" x14ac:dyDescent="0.25">
      <c r="E2277" s="82" t="s">
        <v>3248</v>
      </c>
    </row>
    <row r="2278" spans="5:5" x14ac:dyDescent="0.25">
      <c r="E2278" s="82" t="s">
        <v>3249</v>
      </c>
    </row>
    <row r="2279" spans="5:5" x14ac:dyDescent="0.25">
      <c r="E2279" s="82" t="s">
        <v>3250</v>
      </c>
    </row>
    <row r="2280" spans="5:5" x14ac:dyDescent="0.25">
      <c r="E2280" s="82" t="s">
        <v>3251</v>
      </c>
    </row>
    <row r="2281" spans="5:5" x14ac:dyDescent="0.25">
      <c r="E2281" s="82" t="s">
        <v>3252</v>
      </c>
    </row>
    <row r="2282" spans="5:5" x14ac:dyDescent="0.25">
      <c r="E2282" s="82" t="s">
        <v>3253</v>
      </c>
    </row>
    <row r="2283" spans="5:5" x14ac:dyDescent="0.25">
      <c r="E2283" s="82" t="s">
        <v>3254</v>
      </c>
    </row>
    <row r="2284" spans="5:5" x14ac:dyDescent="0.25">
      <c r="E2284" s="82" t="s">
        <v>3255</v>
      </c>
    </row>
    <row r="2285" spans="5:5" x14ac:dyDescent="0.25">
      <c r="E2285" s="82" t="s">
        <v>3256</v>
      </c>
    </row>
    <row r="2286" spans="5:5" x14ac:dyDescent="0.25">
      <c r="E2286" s="82" t="s">
        <v>3257</v>
      </c>
    </row>
    <row r="2287" spans="5:5" x14ac:dyDescent="0.25">
      <c r="E2287" s="82" t="s">
        <v>3258</v>
      </c>
    </row>
    <row r="2288" spans="5:5" x14ac:dyDescent="0.25">
      <c r="E2288" s="82" t="s">
        <v>3259</v>
      </c>
    </row>
    <row r="2289" spans="5:5" x14ac:dyDescent="0.25">
      <c r="E2289" s="82" t="s">
        <v>3260</v>
      </c>
    </row>
    <row r="2290" spans="5:5" x14ac:dyDescent="0.25">
      <c r="E2290" s="82" t="s">
        <v>3261</v>
      </c>
    </row>
    <row r="2291" spans="5:5" x14ac:dyDescent="0.25">
      <c r="E2291" s="82" t="s">
        <v>3262</v>
      </c>
    </row>
    <row r="2292" spans="5:5" x14ac:dyDescent="0.25">
      <c r="E2292" s="82" t="s">
        <v>3263</v>
      </c>
    </row>
    <row r="2293" spans="5:5" x14ac:dyDescent="0.25">
      <c r="E2293" s="82" t="s">
        <v>3264</v>
      </c>
    </row>
    <row r="2294" spans="5:5" x14ac:dyDescent="0.25">
      <c r="E2294" s="82" t="s">
        <v>3265</v>
      </c>
    </row>
    <row r="2295" spans="5:5" x14ac:dyDescent="0.25">
      <c r="E2295" s="82" t="s">
        <v>3266</v>
      </c>
    </row>
    <row r="2296" spans="5:5" x14ac:dyDescent="0.25">
      <c r="E2296" s="82" t="s">
        <v>3267</v>
      </c>
    </row>
    <row r="2297" spans="5:5" x14ac:dyDescent="0.25">
      <c r="E2297" s="82" t="s">
        <v>3268</v>
      </c>
    </row>
    <row r="2298" spans="5:5" x14ac:dyDescent="0.25">
      <c r="E2298" s="82" t="s">
        <v>3269</v>
      </c>
    </row>
    <row r="2299" spans="5:5" x14ac:dyDescent="0.25">
      <c r="E2299" s="82" t="s">
        <v>3270</v>
      </c>
    </row>
    <row r="2300" spans="5:5" x14ac:dyDescent="0.25">
      <c r="E2300" s="82" t="s">
        <v>3271</v>
      </c>
    </row>
    <row r="2301" spans="5:5" x14ac:dyDescent="0.25">
      <c r="E2301" s="82" t="s">
        <v>3272</v>
      </c>
    </row>
    <row r="2302" spans="5:5" x14ac:dyDescent="0.25">
      <c r="E2302" s="82" t="s">
        <v>3273</v>
      </c>
    </row>
    <row r="2303" spans="5:5" x14ac:dyDescent="0.25">
      <c r="E2303" s="82" t="s">
        <v>3274</v>
      </c>
    </row>
    <row r="2304" spans="5:5" x14ac:dyDescent="0.25">
      <c r="E2304" s="82" t="s">
        <v>3275</v>
      </c>
    </row>
    <row r="2305" spans="5:5" x14ac:dyDescent="0.25">
      <c r="E2305" s="82" t="s">
        <v>3276</v>
      </c>
    </row>
    <row r="2306" spans="5:5" x14ac:dyDescent="0.25">
      <c r="E2306" s="82" t="s">
        <v>3277</v>
      </c>
    </row>
    <row r="2307" spans="5:5" x14ac:dyDescent="0.25">
      <c r="E2307" s="82" t="s">
        <v>3278</v>
      </c>
    </row>
    <row r="2308" spans="5:5" x14ac:dyDescent="0.25">
      <c r="E2308" s="82" t="s">
        <v>3279</v>
      </c>
    </row>
    <row r="2309" spans="5:5" x14ac:dyDescent="0.25">
      <c r="E2309" s="82" t="s">
        <v>3280</v>
      </c>
    </row>
    <row r="2310" spans="5:5" x14ac:dyDescent="0.25">
      <c r="E2310" s="82" t="s">
        <v>3281</v>
      </c>
    </row>
    <row r="2311" spans="5:5" x14ac:dyDescent="0.25">
      <c r="E2311" s="82" t="s">
        <v>3282</v>
      </c>
    </row>
    <row r="2312" spans="5:5" x14ac:dyDescent="0.25">
      <c r="E2312" s="82" t="s">
        <v>3283</v>
      </c>
    </row>
    <row r="2313" spans="5:5" x14ac:dyDescent="0.25">
      <c r="E2313" s="82" t="s">
        <v>3284</v>
      </c>
    </row>
    <row r="2314" spans="5:5" x14ac:dyDescent="0.25">
      <c r="E2314" s="82" t="s">
        <v>3285</v>
      </c>
    </row>
    <row r="2315" spans="5:5" x14ac:dyDescent="0.25">
      <c r="E2315" s="82" t="s">
        <v>3286</v>
      </c>
    </row>
    <row r="2316" spans="5:5" x14ac:dyDescent="0.25">
      <c r="E2316" s="82" t="s">
        <v>3287</v>
      </c>
    </row>
    <row r="2317" spans="5:5" x14ac:dyDescent="0.25">
      <c r="E2317" s="82" t="s">
        <v>3288</v>
      </c>
    </row>
    <row r="2318" spans="5:5" x14ac:dyDescent="0.25">
      <c r="E2318" s="82" t="s">
        <v>3289</v>
      </c>
    </row>
    <row r="2319" spans="5:5" x14ac:dyDescent="0.25">
      <c r="E2319" s="82" t="s">
        <v>3290</v>
      </c>
    </row>
    <row r="2320" spans="5:5" x14ac:dyDescent="0.25">
      <c r="E2320" s="82" t="s">
        <v>3291</v>
      </c>
    </row>
    <row r="2321" spans="5:5" x14ac:dyDescent="0.25">
      <c r="E2321" s="82" t="s">
        <v>3292</v>
      </c>
    </row>
    <row r="2322" spans="5:5" x14ac:dyDescent="0.25">
      <c r="E2322" s="82" t="s">
        <v>3293</v>
      </c>
    </row>
    <row r="2323" spans="5:5" x14ac:dyDescent="0.25">
      <c r="E2323" s="82" t="s">
        <v>3294</v>
      </c>
    </row>
    <row r="2324" spans="5:5" x14ac:dyDescent="0.25">
      <c r="E2324" s="82" t="s">
        <v>3295</v>
      </c>
    </row>
    <row r="2325" spans="5:5" x14ac:dyDescent="0.25">
      <c r="E2325" s="82" t="s">
        <v>3296</v>
      </c>
    </row>
    <row r="2326" spans="5:5" x14ac:dyDescent="0.25">
      <c r="E2326" s="82" t="s">
        <v>3297</v>
      </c>
    </row>
    <row r="2327" spans="5:5" x14ac:dyDescent="0.25">
      <c r="E2327" s="82" t="s">
        <v>3298</v>
      </c>
    </row>
    <row r="2328" spans="5:5" x14ac:dyDescent="0.25">
      <c r="E2328" s="82" t="s">
        <v>3299</v>
      </c>
    </row>
    <row r="2329" spans="5:5" x14ac:dyDescent="0.25">
      <c r="E2329" s="82" t="s">
        <v>3300</v>
      </c>
    </row>
    <row r="2330" spans="5:5" x14ac:dyDescent="0.25">
      <c r="E2330" s="82" t="s">
        <v>3301</v>
      </c>
    </row>
    <row r="2331" spans="5:5" x14ac:dyDescent="0.25">
      <c r="E2331" s="82" t="s">
        <v>3302</v>
      </c>
    </row>
    <row r="2332" spans="5:5" x14ac:dyDescent="0.25">
      <c r="E2332" s="82" t="s">
        <v>3303</v>
      </c>
    </row>
    <row r="2333" spans="5:5" x14ac:dyDescent="0.25">
      <c r="E2333" s="82" t="s">
        <v>3304</v>
      </c>
    </row>
    <row r="2334" spans="5:5" x14ac:dyDescent="0.25">
      <c r="E2334" s="82" t="s">
        <v>3305</v>
      </c>
    </row>
    <row r="2335" spans="5:5" x14ac:dyDescent="0.25">
      <c r="E2335" s="82" t="s">
        <v>3306</v>
      </c>
    </row>
    <row r="2336" spans="5:5" x14ac:dyDescent="0.25">
      <c r="E2336" s="82" t="s">
        <v>3307</v>
      </c>
    </row>
    <row r="2337" spans="5:5" x14ac:dyDescent="0.25">
      <c r="E2337" s="82" t="s">
        <v>3308</v>
      </c>
    </row>
    <row r="2338" spans="5:5" x14ac:dyDescent="0.25">
      <c r="E2338" s="82" t="s">
        <v>3309</v>
      </c>
    </row>
    <row r="2339" spans="5:5" x14ac:dyDescent="0.25">
      <c r="E2339" s="82" t="s">
        <v>3310</v>
      </c>
    </row>
    <row r="2340" spans="5:5" x14ac:dyDescent="0.25">
      <c r="E2340" s="82" t="s">
        <v>3311</v>
      </c>
    </row>
    <row r="2341" spans="5:5" x14ac:dyDescent="0.25">
      <c r="E2341" s="82" t="s">
        <v>3312</v>
      </c>
    </row>
    <row r="2342" spans="5:5" x14ac:dyDescent="0.25">
      <c r="E2342" s="82" t="s">
        <v>3313</v>
      </c>
    </row>
    <row r="2343" spans="5:5" x14ac:dyDescent="0.25">
      <c r="E2343" s="82" t="s">
        <v>3314</v>
      </c>
    </row>
    <row r="2344" spans="5:5" x14ac:dyDescent="0.25">
      <c r="E2344" s="82" t="s">
        <v>3315</v>
      </c>
    </row>
    <row r="2345" spans="5:5" x14ac:dyDescent="0.25">
      <c r="E2345" s="82" t="s">
        <v>3316</v>
      </c>
    </row>
    <row r="2346" spans="5:5" x14ac:dyDescent="0.25">
      <c r="E2346" s="82" t="s">
        <v>3317</v>
      </c>
    </row>
    <row r="2347" spans="5:5" x14ac:dyDescent="0.25">
      <c r="E2347" s="82" t="s">
        <v>3318</v>
      </c>
    </row>
    <row r="2348" spans="5:5" x14ac:dyDescent="0.25">
      <c r="E2348" s="82" t="s">
        <v>3319</v>
      </c>
    </row>
    <row r="2349" spans="5:5" x14ac:dyDescent="0.25">
      <c r="E2349" s="82" t="s">
        <v>3320</v>
      </c>
    </row>
    <row r="2350" spans="5:5" x14ac:dyDescent="0.25">
      <c r="E2350" s="82" t="s">
        <v>3321</v>
      </c>
    </row>
    <row r="2351" spans="5:5" x14ac:dyDescent="0.25">
      <c r="E2351" s="82" t="s">
        <v>3322</v>
      </c>
    </row>
    <row r="2352" spans="5:5" x14ac:dyDescent="0.25">
      <c r="E2352" s="82" t="s">
        <v>3323</v>
      </c>
    </row>
    <row r="2353" spans="5:5" x14ac:dyDescent="0.25">
      <c r="E2353" s="82" t="s">
        <v>3324</v>
      </c>
    </row>
    <row r="2354" spans="5:5" x14ac:dyDescent="0.25">
      <c r="E2354" s="82" t="s">
        <v>3325</v>
      </c>
    </row>
    <row r="2355" spans="5:5" x14ac:dyDescent="0.25">
      <c r="E2355" s="82" t="s">
        <v>3326</v>
      </c>
    </row>
    <row r="2356" spans="5:5" x14ac:dyDescent="0.25">
      <c r="E2356" s="82" t="s">
        <v>3327</v>
      </c>
    </row>
    <row r="2357" spans="5:5" x14ac:dyDescent="0.25">
      <c r="E2357" s="82" t="s">
        <v>3328</v>
      </c>
    </row>
    <row r="2358" spans="5:5" x14ac:dyDescent="0.25">
      <c r="E2358" s="82" t="s">
        <v>3329</v>
      </c>
    </row>
    <row r="2359" spans="5:5" x14ac:dyDescent="0.25">
      <c r="E2359" s="82" t="s">
        <v>3330</v>
      </c>
    </row>
    <row r="2360" spans="5:5" x14ac:dyDescent="0.25">
      <c r="E2360" s="82" t="s">
        <v>3331</v>
      </c>
    </row>
    <row r="2361" spans="5:5" x14ac:dyDescent="0.25">
      <c r="E2361" s="82" t="s">
        <v>3332</v>
      </c>
    </row>
    <row r="2362" spans="5:5" x14ac:dyDescent="0.25">
      <c r="E2362" s="82" t="s">
        <v>3333</v>
      </c>
    </row>
    <row r="2363" spans="5:5" x14ac:dyDescent="0.25">
      <c r="E2363" s="82" t="s">
        <v>3334</v>
      </c>
    </row>
    <row r="2364" spans="5:5" x14ac:dyDescent="0.25">
      <c r="E2364" s="82" t="s">
        <v>3335</v>
      </c>
    </row>
    <row r="2365" spans="5:5" x14ac:dyDescent="0.25">
      <c r="E2365" s="82" t="s">
        <v>3336</v>
      </c>
    </row>
    <row r="2366" spans="5:5" x14ac:dyDescent="0.25">
      <c r="E2366" s="82" t="s">
        <v>3337</v>
      </c>
    </row>
    <row r="2367" spans="5:5" x14ac:dyDescent="0.25">
      <c r="E2367" s="82" t="s">
        <v>3338</v>
      </c>
    </row>
    <row r="2368" spans="5:5" x14ac:dyDescent="0.25">
      <c r="E2368" s="82" t="s">
        <v>3339</v>
      </c>
    </row>
    <row r="2369" spans="5:5" x14ac:dyDescent="0.25">
      <c r="E2369" s="82" t="s">
        <v>3340</v>
      </c>
    </row>
    <row r="2370" spans="5:5" x14ac:dyDescent="0.25">
      <c r="E2370" s="82" t="s">
        <v>3341</v>
      </c>
    </row>
    <row r="2371" spans="5:5" x14ac:dyDescent="0.25">
      <c r="E2371" s="82" t="s">
        <v>3342</v>
      </c>
    </row>
    <row r="2372" spans="5:5" x14ac:dyDescent="0.25">
      <c r="E2372" s="82" t="s">
        <v>3343</v>
      </c>
    </row>
    <row r="2373" spans="5:5" x14ac:dyDescent="0.25">
      <c r="E2373" s="82" t="s">
        <v>3344</v>
      </c>
    </row>
    <row r="2374" spans="5:5" x14ac:dyDescent="0.25">
      <c r="E2374" s="82" t="s">
        <v>3345</v>
      </c>
    </row>
    <row r="2375" spans="5:5" x14ac:dyDescent="0.25">
      <c r="E2375" s="82" t="s">
        <v>3346</v>
      </c>
    </row>
    <row r="2376" spans="5:5" x14ac:dyDescent="0.25">
      <c r="E2376" s="82" t="s">
        <v>3347</v>
      </c>
    </row>
    <row r="2377" spans="5:5" x14ac:dyDescent="0.25">
      <c r="E2377" s="82" t="s">
        <v>3348</v>
      </c>
    </row>
    <row r="2378" spans="5:5" x14ac:dyDescent="0.25">
      <c r="E2378" s="82" t="s">
        <v>3349</v>
      </c>
    </row>
    <row r="2379" spans="5:5" x14ac:dyDescent="0.25">
      <c r="E2379" s="82" t="s">
        <v>3350</v>
      </c>
    </row>
    <row r="2380" spans="5:5" x14ac:dyDescent="0.25">
      <c r="E2380" s="82" t="s">
        <v>3351</v>
      </c>
    </row>
    <row r="2381" spans="5:5" x14ac:dyDescent="0.25">
      <c r="E2381" s="82" t="s">
        <v>3352</v>
      </c>
    </row>
    <row r="2382" spans="5:5" x14ac:dyDescent="0.25">
      <c r="E2382" s="82" t="s">
        <v>3353</v>
      </c>
    </row>
    <row r="2383" spans="5:5" x14ac:dyDescent="0.25">
      <c r="E2383" s="82" t="s">
        <v>3354</v>
      </c>
    </row>
    <row r="2384" spans="5:5" x14ac:dyDescent="0.25">
      <c r="E2384" s="82" t="s">
        <v>3355</v>
      </c>
    </row>
    <row r="2385" spans="5:5" x14ac:dyDescent="0.25">
      <c r="E2385" s="82" t="s">
        <v>3356</v>
      </c>
    </row>
    <row r="2386" spans="5:5" x14ac:dyDescent="0.25">
      <c r="E2386" s="82" t="s">
        <v>3357</v>
      </c>
    </row>
    <row r="2387" spans="5:5" x14ac:dyDescent="0.25">
      <c r="E2387" s="82" t="s">
        <v>3358</v>
      </c>
    </row>
    <row r="2388" spans="5:5" x14ac:dyDescent="0.25">
      <c r="E2388" s="82" t="s">
        <v>3359</v>
      </c>
    </row>
    <row r="2389" spans="5:5" x14ac:dyDescent="0.25">
      <c r="E2389" s="82" t="s">
        <v>3360</v>
      </c>
    </row>
    <row r="2390" spans="5:5" x14ac:dyDescent="0.25">
      <c r="E2390" s="82" t="s">
        <v>3361</v>
      </c>
    </row>
    <row r="2391" spans="5:5" x14ac:dyDescent="0.25">
      <c r="E2391" s="82" t="s">
        <v>3362</v>
      </c>
    </row>
    <row r="2392" spans="5:5" x14ac:dyDescent="0.25">
      <c r="E2392" s="82" t="s">
        <v>3363</v>
      </c>
    </row>
    <row r="2393" spans="5:5" x14ac:dyDescent="0.25">
      <c r="E2393" s="82" t="s">
        <v>3364</v>
      </c>
    </row>
    <row r="2394" spans="5:5" x14ac:dyDescent="0.25">
      <c r="E2394" s="82" t="s">
        <v>3365</v>
      </c>
    </row>
    <row r="2395" spans="5:5" x14ac:dyDescent="0.25">
      <c r="E2395" s="82" t="s">
        <v>3366</v>
      </c>
    </row>
    <row r="2396" spans="5:5" x14ac:dyDescent="0.25">
      <c r="E2396" s="82" t="s">
        <v>3367</v>
      </c>
    </row>
    <row r="2397" spans="5:5" x14ac:dyDescent="0.25">
      <c r="E2397" s="82" t="s">
        <v>3368</v>
      </c>
    </row>
    <row r="2398" spans="5:5" x14ac:dyDescent="0.25">
      <c r="E2398" s="82" t="s">
        <v>3369</v>
      </c>
    </row>
    <row r="2399" spans="5:5" x14ac:dyDescent="0.25">
      <c r="E2399" s="82" t="s">
        <v>3370</v>
      </c>
    </row>
    <row r="2400" spans="5:5" x14ac:dyDescent="0.25">
      <c r="E2400" s="82" t="s">
        <v>3371</v>
      </c>
    </row>
    <row r="2401" spans="5:5" x14ac:dyDescent="0.25">
      <c r="E2401" s="82" t="s">
        <v>3372</v>
      </c>
    </row>
    <row r="2402" spans="5:5" x14ac:dyDescent="0.25">
      <c r="E2402" s="82" t="s">
        <v>3373</v>
      </c>
    </row>
    <row r="2403" spans="5:5" x14ac:dyDescent="0.25">
      <c r="E2403" s="82" t="s">
        <v>3374</v>
      </c>
    </row>
    <row r="2404" spans="5:5" x14ac:dyDescent="0.25">
      <c r="E2404" s="82" t="s">
        <v>3375</v>
      </c>
    </row>
    <row r="2405" spans="5:5" x14ac:dyDescent="0.25">
      <c r="E2405" s="82" t="s">
        <v>3376</v>
      </c>
    </row>
    <row r="2406" spans="5:5" x14ac:dyDescent="0.25">
      <c r="E2406" s="82" t="s">
        <v>3377</v>
      </c>
    </row>
    <row r="2407" spans="5:5" x14ac:dyDescent="0.25">
      <c r="E2407" s="82" t="s">
        <v>3378</v>
      </c>
    </row>
    <row r="2408" spans="5:5" x14ac:dyDescent="0.25">
      <c r="E2408" s="82" t="s">
        <v>3379</v>
      </c>
    </row>
    <row r="2409" spans="5:5" x14ac:dyDescent="0.25">
      <c r="E2409" s="82" t="s">
        <v>3380</v>
      </c>
    </row>
    <row r="2410" spans="5:5" x14ac:dyDescent="0.25">
      <c r="E2410" s="82" t="s">
        <v>3381</v>
      </c>
    </row>
    <row r="2411" spans="5:5" x14ac:dyDescent="0.25">
      <c r="E2411" s="82" t="s">
        <v>3382</v>
      </c>
    </row>
    <row r="2412" spans="5:5" x14ac:dyDescent="0.25">
      <c r="E2412" s="82" t="s">
        <v>3383</v>
      </c>
    </row>
    <row r="2413" spans="5:5" x14ac:dyDescent="0.25">
      <c r="E2413" s="82" t="s">
        <v>3384</v>
      </c>
    </row>
    <row r="2414" spans="5:5" x14ac:dyDescent="0.25">
      <c r="E2414" s="82" t="s">
        <v>3385</v>
      </c>
    </row>
    <row r="2415" spans="5:5" x14ac:dyDescent="0.25">
      <c r="E2415" s="82" t="s">
        <v>3386</v>
      </c>
    </row>
    <row r="2416" spans="5:5" x14ac:dyDescent="0.25">
      <c r="E2416" s="82" t="s">
        <v>3387</v>
      </c>
    </row>
    <row r="2417" spans="5:5" x14ac:dyDescent="0.25">
      <c r="E2417" s="82" t="s">
        <v>3388</v>
      </c>
    </row>
    <row r="2418" spans="5:5" x14ac:dyDescent="0.25">
      <c r="E2418" s="82" t="s">
        <v>3389</v>
      </c>
    </row>
    <row r="2419" spans="5:5" x14ac:dyDescent="0.25">
      <c r="E2419" s="82" t="s">
        <v>3390</v>
      </c>
    </row>
    <row r="2420" spans="5:5" x14ac:dyDescent="0.25">
      <c r="E2420" s="82" t="s">
        <v>3391</v>
      </c>
    </row>
    <row r="2421" spans="5:5" x14ac:dyDescent="0.25">
      <c r="E2421" s="82" t="s">
        <v>3392</v>
      </c>
    </row>
    <row r="2422" spans="5:5" x14ac:dyDescent="0.25">
      <c r="E2422" s="82" t="s">
        <v>3393</v>
      </c>
    </row>
    <row r="2423" spans="5:5" x14ac:dyDescent="0.25">
      <c r="E2423" s="82" t="s">
        <v>3394</v>
      </c>
    </row>
    <row r="2424" spans="5:5" x14ac:dyDescent="0.25">
      <c r="E2424" s="82" t="s">
        <v>3395</v>
      </c>
    </row>
    <row r="2425" spans="5:5" x14ac:dyDescent="0.25">
      <c r="E2425" s="82" t="s">
        <v>3396</v>
      </c>
    </row>
    <row r="2426" spans="5:5" x14ac:dyDescent="0.25">
      <c r="E2426" s="82" t="s">
        <v>3397</v>
      </c>
    </row>
    <row r="2427" spans="5:5" x14ac:dyDescent="0.25">
      <c r="E2427" s="82" t="s">
        <v>3398</v>
      </c>
    </row>
    <row r="2428" spans="5:5" x14ac:dyDescent="0.25">
      <c r="E2428" s="82" t="s">
        <v>3399</v>
      </c>
    </row>
    <row r="2429" spans="5:5" x14ac:dyDescent="0.25">
      <c r="E2429" s="82" t="s">
        <v>3400</v>
      </c>
    </row>
    <row r="2430" spans="5:5" x14ac:dyDescent="0.25">
      <c r="E2430" s="82" t="s">
        <v>3401</v>
      </c>
    </row>
    <row r="2431" spans="5:5" x14ac:dyDescent="0.25">
      <c r="E2431" s="82" t="s">
        <v>3402</v>
      </c>
    </row>
    <row r="2432" spans="5:5" x14ac:dyDescent="0.25">
      <c r="E2432" s="82" t="s">
        <v>3403</v>
      </c>
    </row>
    <row r="2433" spans="5:5" x14ac:dyDescent="0.25">
      <c r="E2433" s="82" t="s">
        <v>3404</v>
      </c>
    </row>
    <row r="2434" spans="5:5" x14ac:dyDescent="0.25">
      <c r="E2434" s="82" t="s">
        <v>3405</v>
      </c>
    </row>
    <row r="2435" spans="5:5" x14ac:dyDescent="0.25">
      <c r="E2435" s="82" t="s">
        <v>3406</v>
      </c>
    </row>
    <row r="2436" spans="5:5" x14ac:dyDescent="0.25">
      <c r="E2436" s="82" t="s">
        <v>3407</v>
      </c>
    </row>
    <row r="2437" spans="5:5" x14ac:dyDescent="0.25">
      <c r="E2437" s="82" t="s">
        <v>3408</v>
      </c>
    </row>
    <row r="2438" spans="5:5" x14ac:dyDescent="0.25">
      <c r="E2438" s="82" t="s">
        <v>3409</v>
      </c>
    </row>
    <row r="2439" spans="5:5" x14ac:dyDescent="0.25">
      <c r="E2439" s="82" t="s">
        <v>3410</v>
      </c>
    </row>
    <row r="2440" spans="5:5" x14ac:dyDescent="0.25">
      <c r="E2440" s="82" t="s">
        <v>3411</v>
      </c>
    </row>
    <row r="2441" spans="5:5" x14ac:dyDescent="0.25">
      <c r="E2441" s="82" t="s">
        <v>3412</v>
      </c>
    </row>
    <row r="2442" spans="5:5" x14ac:dyDescent="0.25">
      <c r="E2442" s="82" t="s">
        <v>3413</v>
      </c>
    </row>
    <row r="2443" spans="5:5" x14ac:dyDescent="0.25">
      <c r="E2443" s="82" t="s">
        <v>3414</v>
      </c>
    </row>
    <row r="2444" spans="5:5" x14ac:dyDescent="0.25">
      <c r="E2444" s="82" t="s">
        <v>3415</v>
      </c>
    </row>
    <row r="2445" spans="5:5" x14ac:dyDescent="0.25">
      <c r="E2445" s="82" t="s">
        <v>3416</v>
      </c>
    </row>
    <row r="2446" spans="5:5" x14ac:dyDescent="0.25">
      <c r="E2446" s="82" t="s">
        <v>3417</v>
      </c>
    </row>
    <row r="2447" spans="5:5" x14ac:dyDescent="0.25">
      <c r="E2447" s="82" t="s">
        <v>3418</v>
      </c>
    </row>
    <row r="2448" spans="5:5" x14ac:dyDescent="0.25">
      <c r="E2448" s="82" t="s">
        <v>3419</v>
      </c>
    </row>
    <row r="2449" spans="5:5" x14ac:dyDescent="0.25">
      <c r="E2449" s="82" t="s">
        <v>3420</v>
      </c>
    </row>
    <row r="2450" spans="5:5" x14ac:dyDescent="0.25">
      <c r="E2450" s="82" t="s">
        <v>3421</v>
      </c>
    </row>
    <row r="2451" spans="5:5" x14ac:dyDescent="0.25">
      <c r="E2451" s="82" t="s">
        <v>3422</v>
      </c>
    </row>
    <row r="2452" spans="5:5" x14ac:dyDescent="0.25">
      <c r="E2452" s="82" t="s">
        <v>3423</v>
      </c>
    </row>
    <row r="2453" spans="5:5" x14ac:dyDescent="0.25">
      <c r="E2453" s="82" t="s">
        <v>3424</v>
      </c>
    </row>
    <row r="2454" spans="5:5" x14ac:dyDescent="0.25">
      <c r="E2454" s="82" t="s">
        <v>3425</v>
      </c>
    </row>
    <row r="2455" spans="5:5" x14ac:dyDescent="0.25">
      <c r="E2455" s="82" t="s">
        <v>3426</v>
      </c>
    </row>
    <row r="2456" spans="5:5" x14ac:dyDescent="0.25">
      <c r="E2456" s="82" t="s">
        <v>3427</v>
      </c>
    </row>
    <row r="2457" spans="5:5" x14ac:dyDescent="0.25">
      <c r="E2457" s="82" t="s">
        <v>3428</v>
      </c>
    </row>
    <row r="2458" spans="5:5" x14ac:dyDescent="0.25">
      <c r="E2458" s="82" t="s">
        <v>3429</v>
      </c>
    </row>
    <row r="2459" spans="5:5" x14ac:dyDescent="0.25">
      <c r="E2459" s="82" t="s">
        <v>3430</v>
      </c>
    </row>
    <row r="2460" spans="5:5" x14ac:dyDescent="0.25">
      <c r="E2460" s="82" t="s">
        <v>3431</v>
      </c>
    </row>
    <row r="2461" spans="5:5" x14ac:dyDescent="0.25">
      <c r="E2461" s="82" t="s">
        <v>3432</v>
      </c>
    </row>
    <row r="2462" spans="5:5" x14ac:dyDescent="0.25">
      <c r="E2462" s="82" t="s">
        <v>3433</v>
      </c>
    </row>
    <row r="2463" spans="5:5" x14ac:dyDescent="0.25">
      <c r="E2463" s="82" t="s">
        <v>3434</v>
      </c>
    </row>
    <row r="2464" spans="5:5" x14ac:dyDescent="0.25">
      <c r="E2464" s="82" t="s">
        <v>3435</v>
      </c>
    </row>
    <row r="2465" spans="5:5" x14ac:dyDescent="0.25">
      <c r="E2465" s="82" t="s">
        <v>3436</v>
      </c>
    </row>
    <row r="2466" spans="5:5" x14ac:dyDescent="0.25">
      <c r="E2466" s="82" t="s">
        <v>3437</v>
      </c>
    </row>
    <row r="2467" spans="5:5" x14ac:dyDescent="0.25">
      <c r="E2467" s="82" t="s">
        <v>3438</v>
      </c>
    </row>
    <row r="2468" spans="5:5" x14ac:dyDescent="0.25">
      <c r="E2468" s="82" t="s">
        <v>3439</v>
      </c>
    </row>
    <row r="2469" spans="5:5" x14ac:dyDescent="0.25">
      <c r="E2469" s="82" t="s">
        <v>3440</v>
      </c>
    </row>
    <row r="2470" spans="5:5" x14ac:dyDescent="0.25">
      <c r="E2470" s="82" t="s">
        <v>3441</v>
      </c>
    </row>
    <row r="2471" spans="5:5" x14ac:dyDescent="0.25">
      <c r="E2471" s="82" t="s">
        <v>3442</v>
      </c>
    </row>
    <row r="2472" spans="5:5" x14ac:dyDescent="0.25">
      <c r="E2472" s="82" t="s">
        <v>3443</v>
      </c>
    </row>
    <row r="2473" spans="5:5" x14ac:dyDescent="0.25">
      <c r="E2473" s="82" t="s">
        <v>3444</v>
      </c>
    </row>
    <row r="2474" spans="5:5" x14ac:dyDescent="0.25">
      <c r="E2474" s="82" t="s">
        <v>3445</v>
      </c>
    </row>
    <row r="2475" spans="5:5" x14ac:dyDescent="0.25">
      <c r="E2475" s="82" t="s">
        <v>3446</v>
      </c>
    </row>
    <row r="2476" spans="5:5" x14ac:dyDescent="0.25">
      <c r="E2476" s="82" t="s">
        <v>3447</v>
      </c>
    </row>
    <row r="2477" spans="5:5" x14ac:dyDescent="0.25">
      <c r="E2477" s="82" t="s">
        <v>3448</v>
      </c>
    </row>
    <row r="2478" spans="5:5" x14ac:dyDescent="0.25">
      <c r="E2478" s="82" t="s">
        <v>3449</v>
      </c>
    </row>
    <row r="2479" spans="5:5" x14ac:dyDescent="0.25">
      <c r="E2479" s="82" t="s">
        <v>3450</v>
      </c>
    </row>
    <row r="2480" spans="5:5" x14ac:dyDescent="0.25">
      <c r="E2480" s="82" t="s">
        <v>3451</v>
      </c>
    </row>
    <row r="2481" spans="5:5" x14ac:dyDescent="0.25">
      <c r="E2481" s="82" t="s">
        <v>3452</v>
      </c>
    </row>
    <row r="2482" spans="5:5" x14ac:dyDescent="0.25">
      <c r="E2482" s="82" t="s">
        <v>3453</v>
      </c>
    </row>
    <row r="2483" spans="5:5" x14ac:dyDescent="0.25">
      <c r="E2483" s="82" t="s">
        <v>3454</v>
      </c>
    </row>
    <row r="2484" spans="5:5" x14ac:dyDescent="0.25">
      <c r="E2484" s="82" t="s">
        <v>3455</v>
      </c>
    </row>
    <row r="2485" spans="5:5" x14ac:dyDescent="0.25">
      <c r="E2485" s="82" t="s">
        <v>3456</v>
      </c>
    </row>
    <row r="2486" spans="5:5" x14ac:dyDescent="0.25">
      <c r="E2486" s="82" t="s">
        <v>3457</v>
      </c>
    </row>
    <row r="2487" spans="5:5" x14ac:dyDescent="0.25">
      <c r="E2487" s="82" t="s">
        <v>3458</v>
      </c>
    </row>
    <row r="2488" spans="5:5" x14ac:dyDescent="0.25">
      <c r="E2488" s="82" t="s">
        <v>3459</v>
      </c>
    </row>
    <row r="2489" spans="5:5" x14ac:dyDescent="0.25">
      <c r="E2489" s="82" t="s">
        <v>3460</v>
      </c>
    </row>
    <row r="2490" spans="5:5" x14ac:dyDescent="0.25">
      <c r="E2490" s="82" t="s">
        <v>3461</v>
      </c>
    </row>
    <row r="2491" spans="5:5" x14ac:dyDescent="0.25">
      <c r="E2491" s="82" t="s">
        <v>3462</v>
      </c>
    </row>
    <row r="2492" spans="5:5" x14ac:dyDescent="0.25">
      <c r="E2492" s="82" t="s">
        <v>3463</v>
      </c>
    </row>
    <row r="2493" spans="5:5" x14ac:dyDescent="0.25">
      <c r="E2493" s="82" t="s">
        <v>3464</v>
      </c>
    </row>
    <row r="2494" spans="5:5" x14ac:dyDescent="0.25">
      <c r="E2494" s="82" t="s">
        <v>3465</v>
      </c>
    </row>
    <row r="2495" spans="5:5" x14ac:dyDescent="0.25">
      <c r="E2495" s="82" t="s">
        <v>3466</v>
      </c>
    </row>
    <row r="2496" spans="5:5" x14ac:dyDescent="0.25">
      <c r="E2496" s="82" t="s">
        <v>3467</v>
      </c>
    </row>
    <row r="2497" spans="5:5" x14ac:dyDescent="0.25">
      <c r="E2497" s="82" t="s">
        <v>3468</v>
      </c>
    </row>
    <row r="2498" spans="5:5" x14ac:dyDescent="0.25">
      <c r="E2498" s="82" t="s">
        <v>3469</v>
      </c>
    </row>
    <row r="2499" spans="5:5" x14ac:dyDescent="0.25">
      <c r="E2499" s="82" t="s">
        <v>3470</v>
      </c>
    </row>
    <row r="2500" spans="5:5" x14ac:dyDescent="0.25">
      <c r="E2500" s="82" t="s">
        <v>3471</v>
      </c>
    </row>
    <row r="2501" spans="5:5" x14ac:dyDescent="0.25">
      <c r="E2501" s="82" t="s">
        <v>3472</v>
      </c>
    </row>
    <row r="2502" spans="5:5" x14ac:dyDescent="0.25">
      <c r="E2502" s="82" t="s">
        <v>3473</v>
      </c>
    </row>
    <row r="2503" spans="5:5" x14ac:dyDescent="0.25">
      <c r="E2503" s="82" t="s">
        <v>3474</v>
      </c>
    </row>
    <row r="2504" spans="5:5" x14ac:dyDescent="0.25">
      <c r="E2504" s="82" t="s">
        <v>3475</v>
      </c>
    </row>
    <row r="2505" spans="5:5" x14ac:dyDescent="0.25">
      <c r="E2505" s="82" t="s">
        <v>3476</v>
      </c>
    </row>
    <row r="2506" spans="5:5" x14ac:dyDescent="0.25">
      <c r="E2506" s="82" t="s">
        <v>3477</v>
      </c>
    </row>
    <row r="2507" spans="5:5" x14ac:dyDescent="0.25">
      <c r="E2507" s="82" t="s">
        <v>3478</v>
      </c>
    </row>
    <row r="2508" spans="5:5" x14ac:dyDescent="0.25">
      <c r="E2508" s="82" t="s">
        <v>3479</v>
      </c>
    </row>
    <row r="2509" spans="5:5" x14ac:dyDescent="0.25">
      <c r="E2509" s="82" t="s">
        <v>3480</v>
      </c>
    </row>
    <row r="2510" spans="5:5" x14ac:dyDescent="0.25">
      <c r="E2510" s="82" t="s">
        <v>3481</v>
      </c>
    </row>
    <row r="2511" spans="5:5" x14ac:dyDescent="0.25">
      <c r="E2511" s="82" t="s">
        <v>3482</v>
      </c>
    </row>
    <row r="2512" spans="5:5" x14ac:dyDescent="0.25">
      <c r="E2512" s="82" t="s">
        <v>3483</v>
      </c>
    </row>
    <row r="2513" spans="5:5" x14ac:dyDescent="0.25">
      <c r="E2513" s="82" t="s">
        <v>3484</v>
      </c>
    </row>
    <row r="2514" spans="5:5" x14ac:dyDescent="0.25">
      <c r="E2514" s="82" t="s">
        <v>3485</v>
      </c>
    </row>
    <row r="2515" spans="5:5" x14ac:dyDescent="0.25">
      <c r="E2515" s="82" t="s">
        <v>3486</v>
      </c>
    </row>
    <row r="2516" spans="5:5" x14ac:dyDescent="0.25">
      <c r="E2516" s="82" t="s">
        <v>3487</v>
      </c>
    </row>
    <row r="2517" spans="5:5" x14ac:dyDescent="0.25">
      <c r="E2517" s="82" t="s">
        <v>3488</v>
      </c>
    </row>
    <row r="2518" spans="5:5" x14ac:dyDescent="0.25">
      <c r="E2518" s="82" t="s">
        <v>3489</v>
      </c>
    </row>
    <row r="2519" spans="5:5" x14ac:dyDescent="0.25">
      <c r="E2519" s="82" t="s">
        <v>3490</v>
      </c>
    </row>
    <row r="2520" spans="5:5" x14ac:dyDescent="0.25">
      <c r="E2520" s="82" t="s">
        <v>3491</v>
      </c>
    </row>
    <row r="2521" spans="5:5" x14ac:dyDescent="0.25">
      <c r="E2521" s="82" t="s">
        <v>3492</v>
      </c>
    </row>
    <row r="2522" spans="5:5" x14ac:dyDescent="0.25">
      <c r="E2522" s="82" t="s">
        <v>3493</v>
      </c>
    </row>
    <row r="2523" spans="5:5" x14ac:dyDescent="0.25">
      <c r="E2523" s="82" t="s">
        <v>3494</v>
      </c>
    </row>
    <row r="2524" spans="5:5" x14ac:dyDescent="0.25">
      <c r="E2524" s="82" t="s">
        <v>3495</v>
      </c>
    </row>
    <row r="2525" spans="5:5" x14ac:dyDescent="0.25">
      <c r="E2525" s="82" t="s">
        <v>3496</v>
      </c>
    </row>
    <row r="2526" spans="5:5" x14ac:dyDescent="0.25">
      <c r="E2526" s="82" t="s">
        <v>3497</v>
      </c>
    </row>
    <row r="2527" spans="5:5" x14ac:dyDescent="0.25">
      <c r="E2527" s="82" t="s">
        <v>3498</v>
      </c>
    </row>
    <row r="2528" spans="5:5" x14ac:dyDescent="0.25">
      <c r="E2528" s="82" t="s">
        <v>3499</v>
      </c>
    </row>
    <row r="2529" spans="5:5" x14ac:dyDescent="0.25">
      <c r="E2529" s="82" t="s">
        <v>3500</v>
      </c>
    </row>
    <row r="2530" spans="5:5" x14ac:dyDescent="0.25">
      <c r="E2530" s="82" t="s">
        <v>3501</v>
      </c>
    </row>
    <row r="2531" spans="5:5" x14ac:dyDescent="0.25">
      <c r="E2531" s="82" t="s">
        <v>3502</v>
      </c>
    </row>
    <row r="2532" spans="5:5" x14ac:dyDescent="0.25">
      <c r="E2532" s="82" t="s">
        <v>3503</v>
      </c>
    </row>
    <row r="2533" spans="5:5" x14ac:dyDescent="0.25">
      <c r="E2533" s="82" t="s">
        <v>3504</v>
      </c>
    </row>
    <row r="2534" spans="5:5" x14ac:dyDescent="0.25">
      <c r="E2534" s="82" t="s">
        <v>3505</v>
      </c>
    </row>
    <row r="2535" spans="5:5" x14ac:dyDescent="0.25">
      <c r="E2535" s="82" t="s">
        <v>3506</v>
      </c>
    </row>
    <row r="2536" spans="5:5" x14ac:dyDescent="0.25">
      <c r="E2536" s="82" t="s">
        <v>3507</v>
      </c>
    </row>
    <row r="2537" spans="5:5" x14ac:dyDescent="0.25">
      <c r="E2537" s="82" t="s">
        <v>3508</v>
      </c>
    </row>
    <row r="2538" spans="5:5" x14ac:dyDescent="0.25">
      <c r="E2538" s="82" t="s">
        <v>3509</v>
      </c>
    </row>
    <row r="2539" spans="5:5" x14ac:dyDescent="0.25">
      <c r="E2539" s="82" t="s">
        <v>3510</v>
      </c>
    </row>
    <row r="2540" spans="5:5" x14ac:dyDescent="0.25">
      <c r="E2540" s="82" t="s">
        <v>3511</v>
      </c>
    </row>
    <row r="2541" spans="5:5" x14ac:dyDescent="0.25">
      <c r="E2541" s="82" t="s">
        <v>3512</v>
      </c>
    </row>
    <row r="2542" spans="5:5" x14ac:dyDescent="0.25">
      <c r="E2542" s="82" t="s">
        <v>3513</v>
      </c>
    </row>
    <row r="2543" spans="5:5" x14ac:dyDescent="0.25">
      <c r="E2543" s="82" t="s">
        <v>3514</v>
      </c>
    </row>
    <row r="2544" spans="5:5" x14ac:dyDescent="0.25">
      <c r="E2544" s="82" t="s">
        <v>3515</v>
      </c>
    </row>
    <row r="2545" spans="5:5" x14ac:dyDescent="0.25">
      <c r="E2545" s="82" t="s">
        <v>3516</v>
      </c>
    </row>
    <row r="2546" spans="5:5" x14ac:dyDescent="0.25">
      <c r="E2546" s="82" t="s">
        <v>3517</v>
      </c>
    </row>
    <row r="2547" spans="5:5" x14ac:dyDescent="0.25">
      <c r="E2547" s="82" t="s">
        <v>3518</v>
      </c>
    </row>
    <row r="2548" spans="5:5" x14ac:dyDescent="0.25">
      <c r="E2548" s="82" t="s">
        <v>3519</v>
      </c>
    </row>
    <row r="2549" spans="5:5" x14ac:dyDescent="0.25">
      <c r="E2549" s="82" t="s">
        <v>3520</v>
      </c>
    </row>
    <row r="2550" spans="5:5" x14ac:dyDescent="0.25">
      <c r="E2550" s="82" t="s">
        <v>3521</v>
      </c>
    </row>
    <row r="2551" spans="5:5" x14ac:dyDescent="0.25">
      <c r="E2551" s="82" t="s">
        <v>3522</v>
      </c>
    </row>
    <row r="2552" spans="5:5" x14ac:dyDescent="0.25">
      <c r="E2552" s="82" t="s">
        <v>3523</v>
      </c>
    </row>
    <row r="2553" spans="5:5" x14ac:dyDescent="0.25">
      <c r="E2553" s="82" t="s">
        <v>3524</v>
      </c>
    </row>
    <row r="2554" spans="5:5" x14ac:dyDescent="0.25">
      <c r="E2554" s="82" t="s">
        <v>3525</v>
      </c>
    </row>
    <row r="2555" spans="5:5" x14ac:dyDescent="0.25">
      <c r="E2555" s="82" t="s">
        <v>3526</v>
      </c>
    </row>
    <row r="2556" spans="5:5" x14ac:dyDescent="0.25">
      <c r="E2556" s="82" t="s">
        <v>3527</v>
      </c>
    </row>
    <row r="2557" spans="5:5" x14ac:dyDescent="0.25">
      <c r="E2557" s="82" t="s">
        <v>3528</v>
      </c>
    </row>
    <row r="2558" spans="5:5" x14ac:dyDescent="0.25">
      <c r="E2558" s="82" t="s">
        <v>3529</v>
      </c>
    </row>
    <row r="2559" spans="5:5" x14ac:dyDescent="0.25">
      <c r="E2559" s="82" t="s">
        <v>3530</v>
      </c>
    </row>
    <row r="2560" spans="5:5" x14ac:dyDescent="0.25">
      <c r="E2560" s="82" t="s">
        <v>3531</v>
      </c>
    </row>
    <row r="2561" spans="5:5" x14ac:dyDescent="0.25">
      <c r="E2561" s="82" t="s">
        <v>3532</v>
      </c>
    </row>
    <row r="2562" spans="5:5" x14ac:dyDescent="0.25">
      <c r="E2562" s="82" t="s">
        <v>3533</v>
      </c>
    </row>
    <row r="2563" spans="5:5" x14ac:dyDescent="0.25">
      <c r="E2563" s="82" t="s">
        <v>3534</v>
      </c>
    </row>
    <row r="2564" spans="5:5" x14ac:dyDescent="0.25">
      <c r="E2564" s="82" t="s">
        <v>3535</v>
      </c>
    </row>
    <row r="2565" spans="5:5" x14ac:dyDescent="0.25">
      <c r="E2565" s="82" t="s">
        <v>3536</v>
      </c>
    </row>
    <row r="2566" spans="5:5" x14ac:dyDescent="0.25">
      <c r="E2566" s="82" t="s">
        <v>3537</v>
      </c>
    </row>
    <row r="2567" spans="5:5" x14ac:dyDescent="0.25">
      <c r="E2567" s="82" t="s">
        <v>3538</v>
      </c>
    </row>
    <row r="2568" spans="5:5" x14ac:dyDescent="0.25">
      <c r="E2568" s="82" t="s">
        <v>3539</v>
      </c>
    </row>
    <row r="2569" spans="5:5" x14ac:dyDescent="0.25">
      <c r="E2569" s="82" t="s">
        <v>3540</v>
      </c>
    </row>
    <row r="2570" spans="5:5" x14ac:dyDescent="0.25">
      <c r="E2570" s="82" t="s">
        <v>3541</v>
      </c>
    </row>
    <row r="2571" spans="5:5" x14ac:dyDescent="0.25">
      <c r="E2571" s="82" t="s">
        <v>3542</v>
      </c>
    </row>
    <row r="2572" spans="5:5" x14ac:dyDescent="0.25">
      <c r="E2572" s="82" t="s">
        <v>3543</v>
      </c>
    </row>
    <row r="2573" spans="5:5" x14ac:dyDescent="0.25">
      <c r="E2573" s="82" t="s">
        <v>3544</v>
      </c>
    </row>
    <row r="2574" spans="5:5" x14ac:dyDescent="0.25">
      <c r="E2574" s="82" t="s">
        <v>3545</v>
      </c>
    </row>
    <row r="2575" spans="5:5" x14ac:dyDescent="0.25">
      <c r="E2575" s="82" t="s">
        <v>3546</v>
      </c>
    </row>
    <row r="2576" spans="5:5" x14ac:dyDescent="0.25">
      <c r="E2576" s="82" t="s">
        <v>3547</v>
      </c>
    </row>
    <row r="2577" spans="5:5" x14ac:dyDescent="0.25">
      <c r="E2577" s="82" t="s">
        <v>3548</v>
      </c>
    </row>
    <row r="2578" spans="5:5" x14ac:dyDescent="0.25">
      <c r="E2578" s="82" t="s">
        <v>3549</v>
      </c>
    </row>
    <row r="2579" spans="5:5" x14ac:dyDescent="0.25">
      <c r="E2579" s="82" t="s">
        <v>3550</v>
      </c>
    </row>
    <row r="2580" spans="5:5" x14ac:dyDescent="0.25">
      <c r="E2580" s="82" t="s">
        <v>3551</v>
      </c>
    </row>
    <row r="2581" spans="5:5" x14ac:dyDescent="0.25">
      <c r="E2581" s="82" t="s">
        <v>3552</v>
      </c>
    </row>
    <row r="2582" spans="5:5" x14ac:dyDescent="0.25">
      <c r="E2582" s="82" t="s">
        <v>3553</v>
      </c>
    </row>
    <row r="2583" spans="5:5" x14ac:dyDescent="0.25">
      <c r="E2583" s="82" t="s">
        <v>3554</v>
      </c>
    </row>
    <row r="2584" spans="5:5" x14ac:dyDescent="0.25">
      <c r="E2584" s="82" t="s">
        <v>3555</v>
      </c>
    </row>
    <row r="2585" spans="5:5" x14ac:dyDescent="0.25">
      <c r="E2585" s="82" t="s">
        <v>3556</v>
      </c>
    </row>
    <row r="2586" spans="5:5" x14ac:dyDescent="0.25">
      <c r="E2586" s="82" t="s">
        <v>3557</v>
      </c>
    </row>
    <row r="2587" spans="5:5" x14ac:dyDescent="0.25">
      <c r="E2587" s="82" t="s">
        <v>3558</v>
      </c>
    </row>
    <row r="2588" spans="5:5" x14ac:dyDescent="0.25">
      <c r="E2588" s="82" t="s">
        <v>3559</v>
      </c>
    </row>
    <row r="2589" spans="5:5" x14ac:dyDescent="0.25">
      <c r="E2589" s="82" t="s">
        <v>3560</v>
      </c>
    </row>
    <row r="2590" spans="5:5" x14ac:dyDescent="0.25">
      <c r="E2590" s="82" t="s">
        <v>3561</v>
      </c>
    </row>
    <row r="2591" spans="5:5" x14ac:dyDescent="0.25">
      <c r="E2591" s="82" t="s">
        <v>3562</v>
      </c>
    </row>
    <row r="2592" spans="5:5" x14ac:dyDescent="0.25">
      <c r="E2592" s="82" t="s">
        <v>3563</v>
      </c>
    </row>
    <row r="2593" spans="5:5" x14ac:dyDescent="0.25">
      <c r="E2593" s="82" t="s">
        <v>3564</v>
      </c>
    </row>
    <row r="2594" spans="5:5" x14ac:dyDescent="0.25">
      <c r="E2594" s="82" t="s">
        <v>3565</v>
      </c>
    </row>
    <row r="2595" spans="5:5" x14ac:dyDescent="0.25">
      <c r="E2595" s="82" t="s">
        <v>3566</v>
      </c>
    </row>
    <row r="2596" spans="5:5" x14ac:dyDescent="0.25">
      <c r="E2596" s="82" t="s">
        <v>3567</v>
      </c>
    </row>
    <row r="2597" spans="5:5" x14ac:dyDescent="0.25">
      <c r="E2597" s="82" t="s">
        <v>3568</v>
      </c>
    </row>
    <row r="2598" spans="5:5" x14ac:dyDescent="0.25">
      <c r="E2598" s="82" t="s">
        <v>3569</v>
      </c>
    </row>
    <row r="2599" spans="5:5" x14ac:dyDescent="0.25">
      <c r="E2599" s="82" t="s">
        <v>3570</v>
      </c>
    </row>
    <row r="2600" spans="5:5" x14ac:dyDescent="0.25">
      <c r="E2600" s="82" t="s">
        <v>3571</v>
      </c>
    </row>
    <row r="2601" spans="5:5" x14ac:dyDescent="0.25">
      <c r="E2601" s="82" t="s">
        <v>3572</v>
      </c>
    </row>
    <row r="2602" spans="5:5" x14ac:dyDescent="0.25">
      <c r="E2602" s="82" t="s">
        <v>3573</v>
      </c>
    </row>
    <row r="2603" spans="5:5" x14ac:dyDescent="0.25">
      <c r="E2603" s="82" t="s">
        <v>3574</v>
      </c>
    </row>
    <row r="2604" spans="5:5" x14ac:dyDescent="0.25">
      <c r="E2604" s="82" t="s">
        <v>3575</v>
      </c>
    </row>
    <row r="2605" spans="5:5" x14ac:dyDescent="0.25">
      <c r="E2605" s="82" t="s">
        <v>3576</v>
      </c>
    </row>
    <row r="2606" spans="5:5" x14ac:dyDescent="0.25">
      <c r="E2606" s="82" t="s">
        <v>3577</v>
      </c>
    </row>
    <row r="2607" spans="5:5" x14ac:dyDescent="0.25">
      <c r="E2607" s="82" t="s">
        <v>3578</v>
      </c>
    </row>
    <row r="2608" spans="5:5" x14ac:dyDescent="0.25">
      <c r="E2608" s="82" t="s">
        <v>3579</v>
      </c>
    </row>
    <row r="2609" spans="5:5" x14ac:dyDescent="0.25">
      <c r="E2609" s="82" t="s">
        <v>3580</v>
      </c>
    </row>
    <row r="2610" spans="5:5" x14ac:dyDescent="0.25">
      <c r="E2610" s="82" t="s">
        <v>3581</v>
      </c>
    </row>
    <row r="2611" spans="5:5" x14ac:dyDescent="0.25">
      <c r="E2611" s="82" t="s">
        <v>3582</v>
      </c>
    </row>
    <row r="2612" spans="5:5" x14ac:dyDescent="0.25">
      <c r="E2612" s="82" t="s">
        <v>3583</v>
      </c>
    </row>
    <row r="2613" spans="5:5" x14ac:dyDescent="0.25">
      <c r="E2613" s="82" t="s">
        <v>3584</v>
      </c>
    </row>
    <row r="2614" spans="5:5" x14ac:dyDescent="0.25">
      <c r="E2614" s="82" t="s">
        <v>3585</v>
      </c>
    </row>
    <row r="2615" spans="5:5" x14ac:dyDescent="0.25">
      <c r="E2615" s="82" t="s">
        <v>3586</v>
      </c>
    </row>
    <row r="2616" spans="5:5" x14ac:dyDescent="0.25">
      <c r="E2616" s="82" t="s">
        <v>3587</v>
      </c>
    </row>
    <row r="2617" spans="5:5" x14ac:dyDescent="0.25">
      <c r="E2617" s="82" t="s">
        <v>3588</v>
      </c>
    </row>
    <row r="2618" spans="5:5" x14ac:dyDescent="0.25">
      <c r="E2618" s="82" t="s">
        <v>3589</v>
      </c>
    </row>
    <row r="2619" spans="5:5" x14ac:dyDescent="0.25">
      <c r="E2619" s="82" t="s">
        <v>3590</v>
      </c>
    </row>
    <row r="2620" spans="5:5" x14ac:dyDescent="0.25">
      <c r="E2620" s="82" t="s">
        <v>3591</v>
      </c>
    </row>
    <row r="2621" spans="5:5" x14ac:dyDescent="0.25">
      <c r="E2621" s="82" t="s">
        <v>3592</v>
      </c>
    </row>
    <row r="2622" spans="5:5" x14ac:dyDescent="0.25">
      <c r="E2622" s="82" t="s">
        <v>3593</v>
      </c>
    </row>
    <row r="2623" spans="5:5" x14ac:dyDescent="0.25">
      <c r="E2623" s="82" t="s">
        <v>3594</v>
      </c>
    </row>
    <row r="2624" spans="5:5" x14ac:dyDescent="0.25">
      <c r="E2624" s="82" t="s">
        <v>3595</v>
      </c>
    </row>
    <row r="2625" spans="5:5" x14ac:dyDescent="0.25">
      <c r="E2625" s="82" t="s">
        <v>3596</v>
      </c>
    </row>
    <row r="2626" spans="5:5" x14ac:dyDescent="0.25">
      <c r="E2626" s="82" t="s">
        <v>3597</v>
      </c>
    </row>
    <row r="2627" spans="5:5" x14ac:dyDescent="0.25">
      <c r="E2627" s="82" t="s">
        <v>3598</v>
      </c>
    </row>
    <row r="2628" spans="5:5" x14ac:dyDescent="0.25">
      <c r="E2628" s="82" t="s">
        <v>3599</v>
      </c>
    </row>
    <row r="2629" spans="5:5" x14ac:dyDescent="0.25">
      <c r="E2629" s="82" t="s">
        <v>3600</v>
      </c>
    </row>
    <row r="2630" spans="5:5" x14ac:dyDescent="0.25">
      <c r="E2630" s="82" t="s">
        <v>3601</v>
      </c>
    </row>
    <row r="2631" spans="5:5" x14ac:dyDescent="0.25">
      <c r="E2631" s="82" t="s">
        <v>3602</v>
      </c>
    </row>
    <row r="2632" spans="5:5" x14ac:dyDescent="0.25">
      <c r="E2632" s="82" t="s">
        <v>3603</v>
      </c>
    </row>
    <row r="2633" spans="5:5" x14ac:dyDescent="0.25">
      <c r="E2633" s="82" t="s">
        <v>3604</v>
      </c>
    </row>
    <row r="2634" spans="5:5" x14ac:dyDescent="0.25">
      <c r="E2634" s="82" t="s">
        <v>3605</v>
      </c>
    </row>
    <row r="2635" spans="5:5" x14ac:dyDescent="0.25">
      <c r="E2635" s="82" t="s">
        <v>3606</v>
      </c>
    </row>
    <row r="2636" spans="5:5" x14ac:dyDescent="0.25">
      <c r="E2636" s="82" t="s">
        <v>3607</v>
      </c>
    </row>
    <row r="2637" spans="5:5" x14ac:dyDescent="0.25">
      <c r="E2637" s="82" t="s">
        <v>3608</v>
      </c>
    </row>
    <row r="2638" spans="5:5" x14ac:dyDescent="0.25">
      <c r="E2638" s="82" t="s">
        <v>3609</v>
      </c>
    </row>
    <row r="2639" spans="5:5" x14ac:dyDescent="0.25">
      <c r="E2639" s="82" t="s">
        <v>3610</v>
      </c>
    </row>
    <row r="2640" spans="5:5" x14ac:dyDescent="0.25">
      <c r="E2640" s="82" t="s">
        <v>3611</v>
      </c>
    </row>
    <row r="2641" spans="5:5" x14ac:dyDescent="0.25">
      <c r="E2641" s="82" t="s">
        <v>3612</v>
      </c>
    </row>
    <row r="2642" spans="5:5" x14ac:dyDescent="0.25">
      <c r="E2642" s="82" t="s">
        <v>3613</v>
      </c>
    </row>
    <row r="2643" spans="5:5" x14ac:dyDescent="0.25">
      <c r="E2643" s="82" t="s">
        <v>3614</v>
      </c>
    </row>
    <row r="2644" spans="5:5" x14ac:dyDescent="0.25">
      <c r="E2644" s="82" t="s">
        <v>3615</v>
      </c>
    </row>
    <row r="2645" spans="5:5" x14ac:dyDescent="0.25">
      <c r="E2645" s="82" t="s">
        <v>3616</v>
      </c>
    </row>
    <row r="2646" spans="5:5" x14ac:dyDescent="0.25">
      <c r="E2646" s="82" t="s">
        <v>3617</v>
      </c>
    </row>
    <row r="2647" spans="5:5" x14ac:dyDescent="0.25">
      <c r="E2647" s="82" t="s">
        <v>3618</v>
      </c>
    </row>
    <row r="2648" spans="5:5" x14ac:dyDescent="0.25">
      <c r="E2648" s="82" t="s">
        <v>3619</v>
      </c>
    </row>
    <row r="2649" spans="5:5" x14ac:dyDescent="0.25">
      <c r="E2649" s="82" t="s">
        <v>3620</v>
      </c>
    </row>
    <row r="2650" spans="5:5" x14ac:dyDescent="0.25">
      <c r="E2650" s="82" t="s">
        <v>3621</v>
      </c>
    </row>
    <row r="2651" spans="5:5" x14ac:dyDescent="0.25">
      <c r="E2651" s="82" t="s">
        <v>3622</v>
      </c>
    </row>
    <row r="2652" spans="5:5" x14ac:dyDescent="0.25">
      <c r="E2652" s="82" t="s">
        <v>3623</v>
      </c>
    </row>
    <row r="2653" spans="5:5" x14ac:dyDescent="0.25">
      <c r="E2653" s="82" t="s">
        <v>3624</v>
      </c>
    </row>
    <row r="2654" spans="5:5" x14ac:dyDescent="0.25">
      <c r="E2654" s="82" t="s">
        <v>3625</v>
      </c>
    </row>
    <row r="2655" spans="5:5" x14ac:dyDescent="0.25">
      <c r="E2655" s="82" t="s">
        <v>3626</v>
      </c>
    </row>
    <row r="2656" spans="5:5" x14ac:dyDescent="0.25">
      <c r="E2656" s="82" t="s">
        <v>3627</v>
      </c>
    </row>
    <row r="2657" spans="5:5" x14ac:dyDescent="0.25">
      <c r="E2657" s="82" t="s">
        <v>3628</v>
      </c>
    </row>
    <row r="2658" spans="5:5" x14ac:dyDescent="0.25">
      <c r="E2658" s="82" t="s">
        <v>3629</v>
      </c>
    </row>
    <row r="2659" spans="5:5" x14ac:dyDescent="0.25">
      <c r="E2659" s="82" t="s">
        <v>3630</v>
      </c>
    </row>
    <row r="2660" spans="5:5" x14ac:dyDescent="0.25">
      <c r="E2660" s="82" t="s">
        <v>3631</v>
      </c>
    </row>
    <row r="2661" spans="5:5" x14ac:dyDescent="0.25">
      <c r="E2661" s="82" t="s">
        <v>3632</v>
      </c>
    </row>
    <row r="2662" spans="5:5" x14ac:dyDescent="0.25">
      <c r="E2662" s="82" t="s">
        <v>3633</v>
      </c>
    </row>
    <row r="2663" spans="5:5" x14ac:dyDescent="0.25">
      <c r="E2663" s="82" t="s">
        <v>3634</v>
      </c>
    </row>
    <row r="2664" spans="5:5" x14ac:dyDescent="0.25">
      <c r="E2664" s="82" t="s">
        <v>3635</v>
      </c>
    </row>
    <row r="2665" spans="5:5" x14ac:dyDescent="0.25">
      <c r="E2665" s="82" t="s">
        <v>3636</v>
      </c>
    </row>
    <row r="2666" spans="5:5" x14ac:dyDescent="0.25">
      <c r="E2666" s="82" t="s">
        <v>3637</v>
      </c>
    </row>
    <row r="2667" spans="5:5" x14ac:dyDescent="0.25">
      <c r="E2667" s="82" t="s">
        <v>3638</v>
      </c>
    </row>
    <row r="2668" spans="5:5" x14ac:dyDescent="0.25">
      <c r="E2668" s="82" t="s">
        <v>3639</v>
      </c>
    </row>
    <row r="2669" spans="5:5" x14ac:dyDescent="0.25">
      <c r="E2669" s="82" t="s">
        <v>3640</v>
      </c>
    </row>
    <row r="2670" spans="5:5" x14ac:dyDescent="0.25">
      <c r="E2670" s="82" t="s">
        <v>3641</v>
      </c>
    </row>
    <row r="2671" spans="5:5" x14ac:dyDescent="0.25">
      <c r="E2671" s="82" t="s">
        <v>3642</v>
      </c>
    </row>
    <row r="2672" spans="5:5" x14ac:dyDescent="0.25">
      <c r="E2672" s="82" t="s">
        <v>3643</v>
      </c>
    </row>
    <row r="2673" spans="5:5" x14ac:dyDescent="0.25">
      <c r="E2673" s="82" t="s">
        <v>3644</v>
      </c>
    </row>
    <row r="2674" spans="5:5" x14ac:dyDescent="0.25">
      <c r="E2674" s="82" t="s">
        <v>3645</v>
      </c>
    </row>
    <row r="2675" spans="5:5" x14ac:dyDescent="0.25">
      <c r="E2675" s="82" t="s">
        <v>3646</v>
      </c>
    </row>
    <row r="2676" spans="5:5" x14ac:dyDescent="0.25">
      <c r="E2676" s="82" t="s">
        <v>3647</v>
      </c>
    </row>
    <row r="2677" spans="5:5" x14ac:dyDescent="0.25">
      <c r="E2677" s="82" t="s">
        <v>3648</v>
      </c>
    </row>
    <row r="2678" spans="5:5" x14ac:dyDescent="0.25">
      <c r="E2678" s="82" t="s">
        <v>3649</v>
      </c>
    </row>
    <row r="2679" spans="5:5" x14ac:dyDescent="0.25">
      <c r="E2679" s="82" t="s">
        <v>3650</v>
      </c>
    </row>
    <row r="2680" spans="5:5" x14ac:dyDescent="0.25">
      <c r="E2680" s="82" t="s">
        <v>3651</v>
      </c>
    </row>
    <row r="2681" spans="5:5" x14ac:dyDescent="0.25">
      <c r="E2681" s="82" t="s">
        <v>3652</v>
      </c>
    </row>
    <row r="2682" spans="5:5" x14ac:dyDescent="0.25">
      <c r="E2682" s="82" t="s">
        <v>3653</v>
      </c>
    </row>
    <row r="2683" spans="5:5" x14ac:dyDescent="0.25">
      <c r="E2683" s="82" t="s">
        <v>3654</v>
      </c>
    </row>
    <row r="2684" spans="5:5" x14ac:dyDescent="0.25">
      <c r="E2684" s="82" t="s">
        <v>3655</v>
      </c>
    </row>
    <row r="2685" spans="5:5" x14ac:dyDescent="0.25">
      <c r="E2685" s="82" t="s">
        <v>3656</v>
      </c>
    </row>
    <row r="2686" spans="5:5" x14ac:dyDescent="0.25">
      <c r="E2686" s="82" t="s">
        <v>3657</v>
      </c>
    </row>
    <row r="2687" spans="5:5" x14ac:dyDescent="0.25">
      <c r="E2687" s="82" t="s">
        <v>3658</v>
      </c>
    </row>
    <row r="2688" spans="5:5" x14ac:dyDescent="0.25">
      <c r="E2688" s="82" t="s">
        <v>3659</v>
      </c>
    </row>
    <row r="2689" spans="5:5" x14ac:dyDescent="0.25">
      <c r="E2689" s="82" t="s">
        <v>3660</v>
      </c>
    </row>
    <row r="2690" spans="5:5" x14ac:dyDescent="0.25">
      <c r="E2690" s="82" t="s">
        <v>3661</v>
      </c>
    </row>
    <row r="2691" spans="5:5" x14ac:dyDescent="0.25">
      <c r="E2691" s="82" t="s">
        <v>3662</v>
      </c>
    </row>
    <row r="2692" spans="5:5" x14ac:dyDescent="0.25">
      <c r="E2692" s="82" t="s">
        <v>3663</v>
      </c>
    </row>
    <row r="2693" spans="5:5" x14ac:dyDescent="0.25">
      <c r="E2693" s="82" t="s">
        <v>3664</v>
      </c>
    </row>
    <row r="2694" spans="5:5" x14ac:dyDescent="0.25">
      <c r="E2694" s="82" t="s">
        <v>3665</v>
      </c>
    </row>
    <row r="2695" spans="5:5" x14ac:dyDescent="0.25">
      <c r="E2695" s="82" t="s">
        <v>3666</v>
      </c>
    </row>
    <row r="2696" spans="5:5" x14ac:dyDescent="0.25">
      <c r="E2696" s="82" t="s">
        <v>3667</v>
      </c>
    </row>
    <row r="2697" spans="5:5" x14ac:dyDescent="0.25">
      <c r="E2697" s="82" t="s">
        <v>3668</v>
      </c>
    </row>
    <row r="2698" spans="5:5" x14ac:dyDescent="0.25">
      <c r="E2698" s="82" t="s">
        <v>3669</v>
      </c>
    </row>
    <row r="2699" spans="5:5" x14ac:dyDescent="0.25">
      <c r="E2699" s="82" t="s">
        <v>3670</v>
      </c>
    </row>
    <row r="2700" spans="5:5" x14ac:dyDescent="0.25">
      <c r="E2700" s="82" t="s">
        <v>3671</v>
      </c>
    </row>
    <row r="2701" spans="5:5" x14ac:dyDescent="0.25">
      <c r="E2701" s="82" t="s">
        <v>3672</v>
      </c>
    </row>
    <row r="2702" spans="5:5" x14ac:dyDescent="0.25">
      <c r="E2702" s="82" t="s">
        <v>3673</v>
      </c>
    </row>
    <row r="2703" spans="5:5" x14ac:dyDescent="0.25">
      <c r="E2703" s="82" t="s">
        <v>3674</v>
      </c>
    </row>
    <row r="2704" spans="5:5" x14ac:dyDescent="0.25">
      <c r="E2704" s="82" t="s">
        <v>3675</v>
      </c>
    </row>
    <row r="2705" spans="5:5" x14ac:dyDescent="0.25">
      <c r="E2705" s="82" t="s">
        <v>3676</v>
      </c>
    </row>
    <row r="2706" spans="5:5" x14ac:dyDescent="0.25">
      <c r="E2706" s="82" t="s">
        <v>3677</v>
      </c>
    </row>
    <row r="2707" spans="5:5" x14ac:dyDescent="0.25">
      <c r="E2707" s="82" t="s">
        <v>3678</v>
      </c>
    </row>
    <row r="2708" spans="5:5" x14ac:dyDescent="0.25">
      <c r="E2708" s="82" t="s">
        <v>3679</v>
      </c>
    </row>
    <row r="2709" spans="5:5" x14ac:dyDescent="0.25">
      <c r="E2709" s="82" t="s">
        <v>3680</v>
      </c>
    </row>
    <row r="2710" spans="5:5" x14ac:dyDescent="0.25">
      <c r="E2710" s="82" t="s">
        <v>3681</v>
      </c>
    </row>
    <row r="2711" spans="5:5" x14ac:dyDescent="0.25">
      <c r="E2711" s="82" t="s">
        <v>3682</v>
      </c>
    </row>
    <row r="2712" spans="5:5" x14ac:dyDescent="0.25">
      <c r="E2712" s="82" t="s">
        <v>3683</v>
      </c>
    </row>
    <row r="2713" spans="5:5" x14ac:dyDescent="0.25">
      <c r="E2713" s="82" t="s">
        <v>3684</v>
      </c>
    </row>
    <row r="2714" spans="5:5" x14ac:dyDescent="0.25">
      <c r="E2714" s="82" t="s">
        <v>3685</v>
      </c>
    </row>
    <row r="2715" spans="5:5" x14ac:dyDescent="0.25">
      <c r="E2715" s="82" t="s">
        <v>3686</v>
      </c>
    </row>
    <row r="2716" spans="5:5" x14ac:dyDescent="0.25">
      <c r="E2716" s="82" t="s">
        <v>3687</v>
      </c>
    </row>
    <row r="2717" spans="5:5" x14ac:dyDescent="0.25">
      <c r="E2717" s="82" t="s">
        <v>3688</v>
      </c>
    </row>
    <row r="2718" spans="5:5" x14ac:dyDescent="0.25">
      <c r="E2718" s="82" t="s">
        <v>3689</v>
      </c>
    </row>
    <row r="2719" spans="5:5" x14ac:dyDescent="0.25">
      <c r="E2719" s="82" t="s">
        <v>3690</v>
      </c>
    </row>
    <row r="2720" spans="5:5" x14ac:dyDescent="0.25">
      <c r="E2720" s="82" t="s">
        <v>3691</v>
      </c>
    </row>
    <row r="2721" spans="5:5" x14ac:dyDescent="0.25">
      <c r="E2721" s="82" t="s">
        <v>3692</v>
      </c>
    </row>
    <row r="2722" spans="5:5" x14ac:dyDescent="0.25">
      <c r="E2722" s="82" t="s">
        <v>3693</v>
      </c>
    </row>
    <row r="2723" spans="5:5" x14ac:dyDescent="0.25">
      <c r="E2723" s="82" t="s">
        <v>3694</v>
      </c>
    </row>
    <row r="2724" spans="5:5" x14ac:dyDescent="0.25">
      <c r="E2724" s="82" t="s">
        <v>3695</v>
      </c>
    </row>
    <row r="2725" spans="5:5" x14ac:dyDescent="0.25">
      <c r="E2725" s="82" t="s">
        <v>3696</v>
      </c>
    </row>
    <row r="2726" spans="5:5" x14ac:dyDescent="0.25">
      <c r="E2726" s="82" t="s">
        <v>3697</v>
      </c>
    </row>
    <row r="2727" spans="5:5" x14ac:dyDescent="0.25">
      <c r="E2727" s="82" t="s">
        <v>3698</v>
      </c>
    </row>
    <row r="2728" spans="5:5" x14ac:dyDescent="0.25">
      <c r="E2728" s="82" t="s">
        <v>3699</v>
      </c>
    </row>
    <row r="2729" spans="5:5" x14ac:dyDescent="0.25">
      <c r="E2729" s="82" t="s">
        <v>3700</v>
      </c>
    </row>
    <row r="2730" spans="5:5" x14ac:dyDescent="0.25">
      <c r="E2730" s="82" t="s">
        <v>3701</v>
      </c>
    </row>
    <row r="2731" spans="5:5" x14ac:dyDescent="0.25">
      <c r="E2731" s="82" t="s">
        <v>3702</v>
      </c>
    </row>
    <row r="2732" spans="5:5" x14ac:dyDescent="0.25">
      <c r="E2732" s="82" t="s">
        <v>3703</v>
      </c>
    </row>
    <row r="2733" spans="5:5" x14ac:dyDescent="0.25">
      <c r="E2733" s="82" t="s">
        <v>3704</v>
      </c>
    </row>
    <row r="2734" spans="5:5" x14ac:dyDescent="0.25">
      <c r="E2734" s="82" t="s">
        <v>3705</v>
      </c>
    </row>
    <row r="2735" spans="5:5" x14ac:dyDescent="0.25">
      <c r="E2735" s="82" t="s">
        <v>3706</v>
      </c>
    </row>
    <row r="2736" spans="5:5" x14ac:dyDescent="0.25">
      <c r="E2736" s="82" t="s">
        <v>3707</v>
      </c>
    </row>
    <row r="2737" spans="5:5" x14ac:dyDescent="0.25">
      <c r="E2737" s="82" t="s">
        <v>3708</v>
      </c>
    </row>
    <row r="2738" spans="5:5" x14ac:dyDescent="0.25">
      <c r="E2738" s="82" t="s">
        <v>3709</v>
      </c>
    </row>
    <row r="2739" spans="5:5" x14ac:dyDescent="0.25">
      <c r="E2739" s="82" t="s">
        <v>3710</v>
      </c>
    </row>
    <row r="2740" spans="5:5" x14ac:dyDescent="0.25">
      <c r="E2740" s="82" t="s">
        <v>3711</v>
      </c>
    </row>
    <row r="2741" spans="5:5" x14ac:dyDescent="0.25">
      <c r="E2741" s="82" t="s">
        <v>3712</v>
      </c>
    </row>
    <row r="2742" spans="5:5" x14ac:dyDescent="0.25">
      <c r="E2742" s="82" t="s">
        <v>3713</v>
      </c>
    </row>
    <row r="2743" spans="5:5" x14ac:dyDescent="0.25">
      <c r="E2743" s="82" t="s">
        <v>3714</v>
      </c>
    </row>
    <row r="2744" spans="5:5" x14ac:dyDescent="0.25">
      <c r="E2744" s="82" t="s">
        <v>3715</v>
      </c>
    </row>
    <row r="2745" spans="5:5" x14ac:dyDescent="0.25">
      <c r="E2745" s="82" t="s">
        <v>3716</v>
      </c>
    </row>
    <row r="2746" spans="5:5" x14ac:dyDescent="0.25">
      <c r="E2746" s="82" t="s">
        <v>3717</v>
      </c>
    </row>
    <row r="2747" spans="5:5" x14ac:dyDescent="0.25">
      <c r="E2747" s="82" t="s">
        <v>3718</v>
      </c>
    </row>
    <row r="2748" spans="5:5" x14ac:dyDescent="0.25">
      <c r="E2748" s="82" t="s">
        <v>3719</v>
      </c>
    </row>
    <row r="2749" spans="5:5" x14ac:dyDescent="0.25">
      <c r="E2749" s="82" t="s">
        <v>3720</v>
      </c>
    </row>
    <row r="2750" spans="5:5" x14ac:dyDescent="0.25">
      <c r="E2750" s="82" t="s">
        <v>3721</v>
      </c>
    </row>
    <row r="2751" spans="5:5" x14ac:dyDescent="0.25">
      <c r="E2751" s="82" t="s">
        <v>3722</v>
      </c>
    </row>
    <row r="2752" spans="5:5" x14ac:dyDescent="0.25">
      <c r="E2752" s="82" t="s">
        <v>3723</v>
      </c>
    </row>
    <row r="2753" spans="5:5" x14ac:dyDescent="0.25">
      <c r="E2753" s="82" t="s">
        <v>3724</v>
      </c>
    </row>
    <row r="2754" spans="5:5" x14ac:dyDescent="0.25">
      <c r="E2754" s="82" t="s">
        <v>3725</v>
      </c>
    </row>
    <row r="2755" spans="5:5" x14ac:dyDescent="0.25">
      <c r="E2755" s="82" t="s">
        <v>3726</v>
      </c>
    </row>
    <row r="2756" spans="5:5" x14ac:dyDescent="0.25">
      <c r="E2756" s="82" t="s">
        <v>3727</v>
      </c>
    </row>
    <row r="2757" spans="5:5" x14ac:dyDescent="0.25">
      <c r="E2757" s="82" t="s">
        <v>3728</v>
      </c>
    </row>
    <row r="2758" spans="5:5" x14ac:dyDescent="0.25">
      <c r="E2758" s="82" t="s">
        <v>3729</v>
      </c>
    </row>
    <row r="2759" spans="5:5" x14ac:dyDescent="0.25">
      <c r="E2759" s="82" t="s">
        <v>3730</v>
      </c>
    </row>
    <row r="2760" spans="5:5" x14ac:dyDescent="0.25">
      <c r="E2760" s="82" t="s">
        <v>3731</v>
      </c>
    </row>
    <row r="2761" spans="5:5" x14ac:dyDescent="0.25">
      <c r="E2761" s="82" t="s">
        <v>3732</v>
      </c>
    </row>
    <row r="2762" spans="5:5" x14ac:dyDescent="0.25">
      <c r="E2762" s="82" t="s">
        <v>3733</v>
      </c>
    </row>
    <row r="2763" spans="5:5" x14ac:dyDescent="0.25">
      <c r="E2763" s="82" t="s">
        <v>3734</v>
      </c>
    </row>
    <row r="2764" spans="5:5" x14ac:dyDescent="0.25">
      <c r="E2764" s="82" t="s">
        <v>3735</v>
      </c>
    </row>
    <row r="2765" spans="5:5" x14ac:dyDescent="0.25">
      <c r="E2765" s="82" t="s">
        <v>3736</v>
      </c>
    </row>
    <row r="2766" spans="5:5" x14ac:dyDescent="0.25">
      <c r="E2766" s="82" t="s">
        <v>3737</v>
      </c>
    </row>
    <row r="2767" spans="5:5" x14ac:dyDescent="0.25">
      <c r="E2767" s="82" t="s">
        <v>3738</v>
      </c>
    </row>
    <row r="2768" spans="5:5" x14ac:dyDescent="0.25">
      <c r="E2768" s="82" t="s">
        <v>3739</v>
      </c>
    </row>
    <row r="2769" spans="5:5" x14ac:dyDescent="0.25">
      <c r="E2769" s="82" t="s">
        <v>3740</v>
      </c>
    </row>
    <row r="2770" spans="5:5" x14ac:dyDescent="0.25">
      <c r="E2770" s="82" t="s">
        <v>3741</v>
      </c>
    </row>
    <row r="2771" spans="5:5" x14ac:dyDescent="0.25">
      <c r="E2771" s="82" t="s">
        <v>3742</v>
      </c>
    </row>
    <row r="2772" spans="5:5" x14ac:dyDescent="0.25">
      <c r="E2772" s="82" t="s">
        <v>3743</v>
      </c>
    </row>
    <row r="2773" spans="5:5" x14ac:dyDescent="0.25">
      <c r="E2773" s="82" t="s">
        <v>3744</v>
      </c>
    </row>
    <row r="2774" spans="5:5" x14ac:dyDescent="0.25">
      <c r="E2774" s="82" t="s">
        <v>3745</v>
      </c>
    </row>
    <row r="2775" spans="5:5" x14ac:dyDescent="0.25">
      <c r="E2775" s="82" t="s">
        <v>3746</v>
      </c>
    </row>
    <row r="2776" spans="5:5" x14ac:dyDescent="0.25">
      <c r="E2776" s="82" t="s">
        <v>3747</v>
      </c>
    </row>
    <row r="2777" spans="5:5" x14ac:dyDescent="0.25">
      <c r="E2777" s="82" t="s">
        <v>3748</v>
      </c>
    </row>
    <row r="2778" spans="5:5" x14ac:dyDescent="0.25">
      <c r="E2778" s="82" t="s">
        <v>3749</v>
      </c>
    </row>
    <row r="2779" spans="5:5" x14ac:dyDescent="0.25">
      <c r="E2779" s="82" t="s">
        <v>3750</v>
      </c>
    </row>
    <row r="2780" spans="5:5" x14ac:dyDescent="0.25">
      <c r="E2780" s="82" t="s">
        <v>3751</v>
      </c>
    </row>
    <row r="2781" spans="5:5" x14ac:dyDescent="0.25">
      <c r="E2781" s="82" t="s">
        <v>3752</v>
      </c>
    </row>
    <row r="2782" spans="5:5" x14ac:dyDescent="0.25">
      <c r="E2782" s="82" t="s">
        <v>3753</v>
      </c>
    </row>
    <row r="2783" spans="5:5" x14ac:dyDescent="0.25">
      <c r="E2783" s="82" t="s">
        <v>3754</v>
      </c>
    </row>
    <row r="2784" spans="5:5" x14ac:dyDescent="0.25">
      <c r="E2784" s="82" t="s">
        <v>3755</v>
      </c>
    </row>
    <row r="2785" spans="5:5" x14ac:dyDescent="0.25">
      <c r="E2785" s="82" t="s">
        <v>3756</v>
      </c>
    </row>
    <row r="2786" spans="5:5" x14ac:dyDescent="0.25">
      <c r="E2786" s="82" t="s">
        <v>3757</v>
      </c>
    </row>
    <row r="2787" spans="5:5" x14ac:dyDescent="0.25">
      <c r="E2787" s="82" t="s">
        <v>3758</v>
      </c>
    </row>
    <row r="2788" spans="5:5" x14ac:dyDescent="0.25">
      <c r="E2788" s="82" t="s">
        <v>3759</v>
      </c>
    </row>
    <row r="2789" spans="5:5" x14ac:dyDescent="0.25">
      <c r="E2789" s="82" t="s">
        <v>3760</v>
      </c>
    </row>
    <row r="2790" spans="5:5" x14ac:dyDescent="0.25">
      <c r="E2790" s="82" t="s">
        <v>3761</v>
      </c>
    </row>
    <row r="2791" spans="5:5" x14ac:dyDescent="0.25">
      <c r="E2791" s="82" t="s">
        <v>3762</v>
      </c>
    </row>
    <row r="2792" spans="5:5" x14ac:dyDescent="0.25">
      <c r="E2792" s="82" t="s">
        <v>3763</v>
      </c>
    </row>
    <row r="2793" spans="5:5" x14ac:dyDescent="0.25">
      <c r="E2793" s="82" t="s">
        <v>3764</v>
      </c>
    </row>
    <row r="2794" spans="5:5" x14ac:dyDescent="0.25">
      <c r="E2794" s="82" t="s">
        <v>3765</v>
      </c>
    </row>
    <row r="2795" spans="5:5" x14ac:dyDescent="0.25">
      <c r="E2795" s="82" t="s">
        <v>3766</v>
      </c>
    </row>
    <row r="2796" spans="5:5" x14ac:dyDescent="0.25">
      <c r="E2796" s="82" t="s">
        <v>3767</v>
      </c>
    </row>
    <row r="2797" spans="5:5" x14ac:dyDescent="0.25">
      <c r="E2797" s="82" t="s">
        <v>3768</v>
      </c>
    </row>
    <row r="2798" spans="5:5" x14ac:dyDescent="0.25">
      <c r="E2798" s="82" t="s">
        <v>3769</v>
      </c>
    </row>
    <row r="2799" spans="5:5" x14ac:dyDescent="0.25">
      <c r="E2799" s="82" t="s">
        <v>3770</v>
      </c>
    </row>
    <row r="2800" spans="5:5" x14ac:dyDescent="0.25">
      <c r="E2800" s="82" t="s">
        <v>3771</v>
      </c>
    </row>
    <row r="2801" spans="5:5" x14ac:dyDescent="0.25">
      <c r="E2801" s="82" t="s">
        <v>3772</v>
      </c>
    </row>
    <row r="2802" spans="5:5" x14ac:dyDescent="0.25">
      <c r="E2802" s="82" t="s">
        <v>3773</v>
      </c>
    </row>
    <row r="2803" spans="5:5" x14ac:dyDescent="0.25">
      <c r="E2803" s="82" t="s">
        <v>3774</v>
      </c>
    </row>
    <row r="2804" spans="5:5" x14ac:dyDescent="0.25">
      <c r="E2804" s="82" t="s">
        <v>3775</v>
      </c>
    </row>
    <row r="2805" spans="5:5" x14ac:dyDescent="0.25">
      <c r="E2805" s="82" t="s">
        <v>3776</v>
      </c>
    </row>
    <row r="2806" spans="5:5" x14ac:dyDescent="0.25">
      <c r="E2806" s="82" t="s">
        <v>3777</v>
      </c>
    </row>
    <row r="2807" spans="5:5" x14ac:dyDescent="0.25">
      <c r="E2807" s="82" t="s">
        <v>3778</v>
      </c>
    </row>
    <row r="2808" spans="5:5" x14ac:dyDescent="0.25">
      <c r="E2808" s="82" t="s">
        <v>3779</v>
      </c>
    </row>
    <row r="2809" spans="5:5" x14ac:dyDescent="0.25">
      <c r="E2809" s="82" t="s">
        <v>3780</v>
      </c>
    </row>
    <row r="2810" spans="5:5" x14ac:dyDescent="0.25">
      <c r="E2810" s="82" t="s">
        <v>3781</v>
      </c>
    </row>
    <row r="2811" spans="5:5" x14ac:dyDescent="0.25">
      <c r="E2811" s="82" t="s">
        <v>3782</v>
      </c>
    </row>
    <row r="2812" spans="5:5" x14ac:dyDescent="0.25">
      <c r="E2812" s="82" t="s">
        <v>3783</v>
      </c>
    </row>
    <row r="2813" spans="5:5" x14ac:dyDescent="0.25">
      <c r="E2813" s="82" t="s">
        <v>3784</v>
      </c>
    </row>
    <row r="2814" spans="5:5" x14ac:dyDescent="0.25">
      <c r="E2814" s="82" t="s">
        <v>3785</v>
      </c>
    </row>
    <row r="2815" spans="5:5" x14ac:dyDescent="0.25">
      <c r="E2815" s="82" t="s">
        <v>3786</v>
      </c>
    </row>
    <row r="2816" spans="5:5" x14ac:dyDescent="0.25">
      <c r="E2816" s="82" t="s">
        <v>3787</v>
      </c>
    </row>
    <row r="2817" spans="5:5" x14ac:dyDescent="0.25">
      <c r="E2817" s="82" t="s">
        <v>3788</v>
      </c>
    </row>
    <row r="2818" spans="5:5" x14ac:dyDescent="0.25">
      <c r="E2818" s="82" t="s">
        <v>3789</v>
      </c>
    </row>
    <row r="2819" spans="5:5" x14ac:dyDescent="0.25">
      <c r="E2819" s="82" t="s">
        <v>3790</v>
      </c>
    </row>
    <row r="2820" spans="5:5" x14ac:dyDescent="0.25">
      <c r="E2820" s="82" t="s">
        <v>3791</v>
      </c>
    </row>
    <row r="2821" spans="5:5" x14ac:dyDescent="0.25">
      <c r="E2821" s="82" t="s">
        <v>3792</v>
      </c>
    </row>
    <row r="2822" spans="5:5" x14ac:dyDescent="0.25">
      <c r="E2822" s="82" t="s">
        <v>3793</v>
      </c>
    </row>
    <row r="2823" spans="5:5" x14ac:dyDescent="0.25">
      <c r="E2823" s="82" t="s">
        <v>3794</v>
      </c>
    </row>
    <row r="2824" spans="5:5" x14ac:dyDescent="0.25">
      <c r="E2824" s="82" t="s">
        <v>3795</v>
      </c>
    </row>
    <row r="2825" spans="5:5" x14ac:dyDescent="0.25">
      <c r="E2825" s="82" t="s">
        <v>3796</v>
      </c>
    </row>
    <row r="2826" spans="5:5" x14ac:dyDescent="0.25">
      <c r="E2826" s="82" t="s">
        <v>3797</v>
      </c>
    </row>
    <row r="2827" spans="5:5" x14ac:dyDescent="0.25">
      <c r="E2827" s="82" t="s">
        <v>3798</v>
      </c>
    </row>
    <row r="2828" spans="5:5" x14ac:dyDescent="0.25">
      <c r="E2828" s="82" t="s">
        <v>3799</v>
      </c>
    </row>
    <row r="2829" spans="5:5" x14ac:dyDescent="0.25">
      <c r="E2829" s="82" t="s">
        <v>3800</v>
      </c>
    </row>
    <row r="2830" spans="5:5" x14ac:dyDescent="0.25">
      <c r="E2830" s="82" t="s">
        <v>3801</v>
      </c>
    </row>
    <row r="2831" spans="5:5" x14ac:dyDescent="0.25">
      <c r="E2831" s="82" t="s">
        <v>3802</v>
      </c>
    </row>
    <row r="2832" spans="5:5" x14ac:dyDescent="0.25">
      <c r="E2832" s="82" t="s">
        <v>3803</v>
      </c>
    </row>
    <row r="2833" spans="5:5" x14ac:dyDescent="0.25">
      <c r="E2833" s="82" t="s">
        <v>3804</v>
      </c>
    </row>
    <row r="2834" spans="5:5" x14ac:dyDescent="0.25">
      <c r="E2834" s="82" t="s">
        <v>3805</v>
      </c>
    </row>
    <row r="2835" spans="5:5" x14ac:dyDescent="0.25">
      <c r="E2835" s="82" t="s">
        <v>3806</v>
      </c>
    </row>
    <row r="2836" spans="5:5" x14ac:dyDescent="0.25">
      <c r="E2836" s="82" t="s">
        <v>3807</v>
      </c>
    </row>
    <row r="2837" spans="5:5" x14ac:dyDescent="0.25">
      <c r="E2837" s="82" t="s">
        <v>3808</v>
      </c>
    </row>
    <row r="2838" spans="5:5" x14ac:dyDescent="0.25">
      <c r="E2838" s="82" t="s">
        <v>3809</v>
      </c>
    </row>
    <row r="2839" spans="5:5" x14ac:dyDescent="0.25">
      <c r="E2839" s="82" t="s">
        <v>3810</v>
      </c>
    </row>
    <row r="2840" spans="5:5" x14ac:dyDescent="0.25">
      <c r="E2840" s="82" t="s">
        <v>3811</v>
      </c>
    </row>
    <row r="2841" spans="5:5" x14ac:dyDescent="0.25">
      <c r="E2841" s="82" t="s">
        <v>3812</v>
      </c>
    </row>
    <row r="2842" spans="5:5" x14ac:dyDescent="0.25">
      <c r="E2842" s="82" t="s">
        <v>3813</v>
      </c>
    </row>
    <row r="2843" spans="5:5" x14ac:dyDescent="0.25">
      <c r="E2843" s="82" t="s">
        <v>3814</v>
      </c>
    </row>
    <row r="2844" spans="5:5" x14ac:dyDescent="0.25">
      <c r="E2844" s="82" t="s">
        <v>3815</v>
      </c>
    </row>
    <row r="2845" spans="5:5" x14ac:dyDescent="0.25">
      <c r="E2845" s="82" t="s">
        <v>3816</v>
      </c>
    </row>
    <row r="2846" spans="5:5" x14ac:dyDescent="0.25">
      <c r="E2846" s="82" t="s">
        <v>3817</v>
      </c>
    </row>
    <row r="2847" spans="5:5" x14ac:dyDescent="0.25">
      <c r="E2847" s="82" t="s">
        <v>3818</v>
      </c>
    </row>
    <row r="2848" spans="5:5" x14ac:dyDescent="0.25">
      <c r="E2848" s="82" t="s">
        <v>3819</v>
      </c>
    </row>
    <row r="2849" spans="5:5" x14ac:dyDescent="0.25">
      <c r="E2849" s="82" t="s">
        <v>3820</v>
      </c>
    </row>
    <row r="2850" spans="5:5" x14ac:dyDescent="0.25">
      <c r="E2850" s="82" t="s">
        <v>3821</v>
      </c>
    </row>
    <row r="2851" spans="5:5" x14ac:dyDescent="0.25">
      <c r="E2851" s="82" t="s">
        <v>3822</v>
      </c>
    </row>
    <row r="2852" spans="5:5" x14ac:dyDescent="0.25">
      <c r="E2852" s="82" t="s">
        <v>3823</v>
      </c>
    </row>
    <row r="2853" spans="5:5" x14ac:dyDescent="0.25">
      <c r="E2853" s="82" t="s">
        <v>3824</v>
      </c>
    </row>
    <row r="2854" spans="5:5" x14ac:dyDescent="0.25">
      <c r="E2854" s="82" t="s">
        <v>3825</v>
      </c>
    </row>
    <row r="2855" spans="5:5" x14ac:dyDescent="0.25">
      <c r="E2855" s="82" t="s">
        <v>3826</v>
      </c>
    </row>
    <row r="2856" spans="5:5" x14ac:dyDescent="0.25">
      <c r="E2856" s="82" t="s">
        <v>3827</v>
      </c>
    </row>
    <row r="2857" spans="5:5" x14ac:dyDescent="0.25">
      <c r="E2857" s="82" t="s">
        <v>3828</v>
      </c>
    </row>
    <row r="2858" spans="5:5" x14ac:dyDescent="0.25">
      <c r="E2858" s="82" t="s">
        <v>3829</v>
      </c>
    </row>
    <row r="2859" spans="5:5" x14ac:dyDescent="0.25">
      <c r="E2859" s="82" t="s">
        <v>3830</v>
      </c>
    </row>
    <row r="2860" spans="5:5" x14ac:dyDescent="0.25">
      <c r="E2860" s="82" t="s">
        <v>3831</v>
      </c>
    </row>
    <row r="2861" spans="5:5" x14ac:dyDescent="0.25">
      <c r="E2861" s="82" t="s">
        <v>3832</v>
      </c>
    </row>
    <row r="2862" spans="5:5" x14ac:dyDescent="0.25">
      <c r="E2862" s="82" t="s">
        <v>3833</v>
      </c>
    </row>
    <row r="2863" spans="5:5" x14ac:dyDescent="0.25">
      <c r="E2863" s="82" t="s">
        <v>3834</v>
      </c>
    </row>
    <row r="2864" spans="5:5" x14ac:dyDescent="0.25">
      <c r="E2864" s="82" t="s">
        <v>3835</v>
      </c>
    </row>
    <row r="2865" spans="5:5" x14ac:dyDescent="0.25">
      <c r="E2865" s="82" t="s">
        <v>3836</v>
      </c>
    </row>
    <row r="2866" spans="5:5" x14ac:dyDescent="0.25">
      <c r="E2866" s="82" t="s">
        <v>3837</v>
      </c>
    </row>
    <row r="2867" spans="5:5" x14ac:dyDescent="0.25">
      <c r="E2867" s="82" t="s">
        <v>3838</v>
      </c>
    </row>
    <row r="2868" spans="5:5" x14ac:dyDescent="0.25">
      <c r="E2868" s="82" t="s">
        <v>3839</v>
      </c>
    </row>
    <row r="2869" spans="5:5" x14ac:dyDescent="0.25">
      <c r="E2869" s="82" t="s">
        <v>3840</v>
      </c>
    </row>
    <row r="2870" spans="5:5" x14ac:dyDescent="0.25">
      <c r="E2870" s="82" t="s">
        <v>3841</v>
      </c>
    </row>
    <row r="2871" spans="5:5" x14ac:dyDescent="0.25">
      <c r="E2871" s="82" t="s">
        <v>3842</v>
      </c>
    </row>
    <row r="2872" spans="5:5" x14ac:dyDescent="0.25">
      <c r="E2872" s="82" t="s">
        <v>3843</v>
      </c>
    </row>
    <row r="2873" spans="5:5" x14ac:dyDescent="0.25">
      <c r="E2873" s="82" t="s">
        <v>3844</v>
      </c>
    </row>
    <row r="2874" spans="5:5" x14ac:dyDescent="0.25">
      <c r="E2874" s="82" t="s">
        <v>3845</v>
      </c>
    </row>
    <row r="2875" spans="5:5" x14ac:dyDescent="0.25">
      <c r="E2875" s="82" t="s">
        <v>3846</v>
      </c>
    </row>
    <row r="2876" spans="5:5" x14ac:dyDescent="0.25">
      <c r="E2876" s="82" t="s">
        <v>3847</v>
      </c>
    </row>
    <row r="2877" spans="5:5" x14ac:dyDescent="0.25">
      <c r="E2877" s="82" t="s">
        <v>3848</v>
      </c>
    </row>
    <row r="2878" spans="5:5" x14ac:dyDescent="0.25">
      <c r="E2878" s="82" t="s">
        <v>3849</v>
      </c>
    </row>
    <row r="2879" spans="5:5" x14ac:dyDescent="0.25">
      <c r="E2879" s="82" t="s">
        <v>3850</v>
      </c>
    </row>
    <row r="2880" spans="5:5" x14ac:dyDescent="0.25">
      <c r="E2880" s="82" t="s">
        <v>3851</v>
      </c>
    </row>
    <row r="2881" spans="5:5" x14ac:dyDescent="0.25">
      <c r="E2881" s="82" t="s">
        <v>3852</v>
      </c>
    </row>
    <row r="2882" spans="5:5" x14ac:dyDescent="0.25">
      <c r="E2882" s="82" t="s">
        <v>3853</v>
      </c>
    </row>
    <row r="2883" spans="5:5" x14ac:dyDescent="0.25">
      <c r="E2883" s="82" t="s">
        <v>3854</v>
      </c>
    </row>
    <row r="2884" spans="5:5" x14ac:dyDescent="0.25">
      <c r="E2884" s="82" t="s">
        <v>3855</v>
      </c>
    </row>
    <row r="2885" spans="5:5" x14ac:dyDescent="0.25">
      <c r="E2885" s="82" t="s">
        <v>3856</v>
      </c>
    </row>
    <row r="2886" spans="5:5" x14ac:dyDescent="0.25">
      <c r="E2886" s="82" t="s">
        <v>3857</v>
      </c>
    </row>
    <row r="2887" spans="5:5" x14ac:dyDescent="0.25">
      <c r="E2887" s="82" t="s">
        <v>3858</v>
      </c>
    </row>
    <row r="2888" spans="5:5" x14ac:dyDescent="0.25">
      <c r="E2888" s="82" t="s">
        <v>3859</v>
      </c>
    </row>
    <row r="2889" spans="5:5" x14ac:dyDescent="0.25">
      <c r="E2889" s="82" t="s">
        <v>3860</v>
      </c>
    </row>
    <row r="2890" spans="5:5" x14ac:dyDescent="0.25">
      <c r="E2890" s="82" t="s">
        <v>3861</v>
      </c>
    </row>
    <row r="2891" spans="5:5" x14ac:dyDescent="0.25">
      <c r="E2891" s="82" t="s">
        <v>3862</v>
      </c>
    </row>
    <row r="2892" spans="5:5" x14ac:dyDescent="0.25">
      <c r="E2892" s="82" t="s">
        <v>3863</v>
      </c>
    </row>
    <row r="2893" spans="5:5" x14ac:dyDescent="0.25">
      <c r="E2893" s="82" t="s">
        <v>3864</v>
      </c>
    </row>
    <row r="2894" spans="5:5" x14ac:dyDescent="0.25">
      <c r="E2894" s="82" t="s">
        <v>3865</v>
      </c>
    </row>
    <row r="2895" spans="5:5" x14ac:dyDescent="0.25">
      <c r="E2895" s="82" t="s">
        <v>3866</v>
      </c>
    </row>
    <row r="2896" spans="5:5" x14ac:dyDescent="0.25">
      <c r="E2896" s="82" t="s">
        <v>3867</v>
      </c>
    </row>
    <row r="2897" spans="5:5" x14ac:dyDescent="0.25">
      <c r="E2897" s="82" t="s">
        <v>3868</v>
      </c>
    </row>
    <row r="2898" spans="5:5" x14ac:dyDescent="0.25">
      <c r="E2898" s="82" t="s">
        <v>3869</v>
      </c>
    </row>
    <row r="2899" spans="5:5" x14ac:dyDescent="0.25">
      <c r="E2899" s="82" t="s">
        <v>3870</v>
      </c>
    </row>
    <row r="2900" spans="5:5" x14ac:dyDescent="0.25">
      <c r="E2900" s="82" t="s">
        <v>3871</v>
      </c>
    </row>
    <row r="2901" spans="5:5" x14ac:dyDescent="0.25">
      <c r="E2901" s="82" t="s">
        <v>3872</v>
      </c>
    </row>
    <row r="2902" spans="5:5" x14ac:dyDescent="0.25">
      <c r="E2902" s="82" t="s">
        <v>3873</v>
      </c>
    </row>
    <row r="2903" spans="5:5" x14ac:dyDescent="0.25">
      <c r="E2903" s="82" t="s">
        <v>3874</v>
      </c>
    </row>
    <row r="2904" spans="5:5" x14ac:dyDescent="0.25">
      <c r="E2904" s="82" t="s">
        <v>3875</v>
      </c>
    </row>
    <row r="2905" spans="5:5" x14ac:dyDescent="0.25">
      <c r="E2905" s="82" t="s">
        <v>3876</v>
      </c>
    </row>
    <row r="2906" spans="5:5" x14ac:dyDescent="0.25">
      <c r="E2906" s="82" t="s">
        <v>3877</v>
      </c>
    </row>
    <row r="2907" spans="5:5" x14ac:dyDescent="0.25">
      <c r="E2907" s="82" t="s">
        <v>3878</v>
      </c>
    </row>
    <row r="2908" spans="5:5" x14ac:dyDescent="0.25">
      <c r="E2908" s="82" t="s">
        <v>3879</v>
      </c>
    </row>
    <row r="2909" spans="5:5" x14ac:dyDescent="0.25">
      <c r="E2909" s="82" t="s">
        <v>3880</v>
      </c>
    </row>
    <row r="2910" spans="5:5" x14ac:dyDescent="0.25">
      <c r="E2910" s="82" t="s">
        <v>3881</v>
      </c>
    </row>
    <row r="2911" spans="5:5" x14ac:dyDescent="0.25">
      <c r="E2911" s="82" t="s">
        <v>3882</v>
      </c>
    </row>
    <row r="2912" spans="5:5" x14ac:dyDescent="0.25">
      <c r="E2912" s="82" t="s">
        <v>3883</v>
      </c>
    </row>
    <row r="2913" spans="5:5" x14ac:dyDescent="0.25">
      <c r="E2913" s="82" t="s">
        <v>3884</v>
      </c>
    </row>
    <row r="2914" spans="5:5" x14ac:dyDescent="0.25">
      <c r="E2914" s="82" t="s">
        <v>3885</v>
      </c>
    </row>
    <row r="2915" spans="5:5" x14ac:dyDescent="0.25">
      <c r="E2915" s="82" t="s">
        <v>3886</v>
      </c>
    </row>
    <row r="2916" spans="5:5" x14ac:dyDescent="0.25">
      <c r="E2916" s="82" t="s">
        <v>3887</v>
      </c>
    </row>
    <row r="2917" spans="5:5" x14ac:dyDescent="0.25">
      <c r="E2917" s="82" t="s">
        <v>3888</v>
      </c>
    </row>
    <row r="2918" spans="5:5" x14ac:dyDescent="0.25">
      <c r="E2918" s="82" t="s">
        <v>3889</v>
      </c>
    </row>
    <row r="2919" spans="5:5" x14ac:dyDescent="0.25">
      <c r="E2919" s="82" t="s">
        <v>3890</v>
      </c>
    </row>
    <row r="2920" spans="5:5" x14ac:dyDescent="0.25">
      <c r="E2920" s="82" t="s">
        <v>3891</v>
      </c>
    </row>
    <row r="2921" spans="5:5" x14ac:dyDescent="0.25">
      <c r="E2921" s="82" t="s">
        <v>3892</v>
      </c>
    </row>
    <row r="2922" spans="5:5" x14ac:dyDescent="0.25">
      <c r="E2922" s="82" t="s">
        <v>3893</v>
      </c>
    </row>
    <row r="2923" spans="5:5" x14ac:dyDescent="0.25">
      <c r="E2923" s="82" t="s">
        <v>3894</v>
      </c>
    </row>
    <row r="2924" spans="5:5" x14ac:dyDescent="0.25">
      <c r="E2924" s="82" t="s">
        <v>3895</v>
      </c>
    </row>
    <row r="2925" spans="5:5" x14ac:dyDescent="0.25">
      <c r="E2925" s="82" t="s">
        <v>3896</v>
      </c>
    </row>
    <row r="2926" spans="5:5" x14ac:dyDescent="0.25">
      <c r="E2926" s="82" t="s">
        <v>3897</v>
      </c>
    </row>
    <row r="2927" spans="5:5" x14ac:dyDescent="0.25">
      <c r="E2927" s="82" t="s">
        <v>3898</v>
      </c>
    </row>
    <row r="2928" spans="5:5" x14ac:dyDescent="0.25">
      <c r="E2928" s="82" t="s">
        <v>3899</v>
      </c>
    </row>
    <row r="2929" spans="5:5" x14ac:dyDescent="0.25">
      <c r="E2929" s="82" t="s">
        <v>3900</v>
      </c>
    </row>
    <row r="2930" spans="5:5" x14ac:dyDescent="0.25">
      <c r="E2930" s="82" t="s">
        <v>3901</v>
      </c>
    </row>
    <row r="2931" spans="5:5" x14ac:dyDescent="0.25">
      <c r="E2931" s="82" t="s">
        <v>3902</v>
      </c>
    </row>
    <row r="2932" spans="5:5" x14ac:dyDescent="0.25">
      <c r="E2932" s="82" t="s">
        <v>3903</v>
      </c>
    </row>
    <row r="2933" spans="5:5" x14ac:dyDescent="0.25">
      <c r="E2933" s="82" t="s">
        <v>3904</v>
      </c>
    </row>
    <row r="2934" spans="5:5" x14ac:dyDescent="0.25">
      <c r="E2934" s="82" t="s">
        <v>3905</v>
      </c>
    </row>
    <row r="2935" spans="5:5" x14ac:dyDescent="0.25">
      <c r="E2935" s="82" t="s">
        <v>3906</v>
      </c>
    </row>
    <row r="2936" spans="5:5" x14ac:dyDescent="0.25">
      <c r="E2936" s="82" t="s">
        <v>3907</v>
      </c>
    </row>
    <row r="2937" spans="5:5" x14ac:dyDescent="0.25">
      <c r="E2937" s="82" t="s">
        <v>3908</v>
      </c>
    </row>
    <row r="2938" spans="5:5" x14ac:dyDescent="0.25">
      <c r="E2938" s="82" t="s">
        <v>3909</v>
      </c>
    </row>
    <row r="2939" spans="5:5" x14ac:dyDescent="0.25">
      <c r="E2939" s="82" t="s">
        <v>3910</v>
      </c>
    </row>
    <row r="2940" spans="5:5" x14ac:dyDescent="0.25">
      <c r="E2940" s="82" t="s">
        <v>3911</v>
      </c>
    </row>
    <row r="2941" spans="5:5" x14ac:dyDescent="0.25">
      <c r="E2941" s="82" t="s">
        <v>3912</v>
      </c>
    </row>
    <row r="2942" spans="5:5" x14ac:dyDescent="0.25">
      <c r="E2942" s="82" t="s">
        <v>3913</v>
      </c>
    </row>
    <row r="2943" spans="5:5" x14ac:dyDescent="0.25">
      <c r="E2943" s="82" t="s">
        <v>3914</v>
      </c>
    </row>
    <row r="2944" spans="5:5" x14ac:dyDescent="0.25">
      <c r="E2944" s="82" t="s">
        <v>3915</v>
      </c>
    </row>
    <row r="2945" spans="5:5" x14ac:dyDescent="0.25">
      <c r="E2945" s="82" t="s">
        <v>3916</v>
      </c>
    </row>
    <row r="2946" spans="5:5" x14ac:dyDescent="0.25">
      <c r="E2946" s="82" t="s">
        <v>3917</v>
      </c>
    </row>
    <row r="2947" spans="5:5" x14ac:dyDescent="0.25">
      <c r="E2947" s="82" t="s">
        <v>3918</v>
      </c>
    </row>
    <row r="2948" spans="5:5" x14ac:dyDescent="0.25">
      <c r="E2948" s="82" t="s">
        <v>3919</v>
      </c>
    </row>
    <row r="2949" spans="5:5" x14ac:dyDescent="0.25">
      <c r="E2949" s="82" t="s">
        <v>3920</v>
      </c>
    </row>
    <row r="2950" spans="5:5" x14ac:dyDescent="0.25">
      <c r="E2950" s="82" t="s">
        <v>3921</v>
      </c>
    </row>
    <row r="2951" spans="5:5" x14ac:dyDescent="0.25">
      <c r="E2951" s="82" t="s">
        <v>3922</v>
      </c>
    </row>
    <row r="2952" spans="5:5" x14ac:dyDescent="0.25">
      <c r="E2952" s="82" t="s">
        <v>3923</v>
      </c>
    </row>
    <row r="2953" spans="5:5" x14ac:dyDescent="0.25">
      <c r="E2953" s="82" t="s">
        <v>3924</v>
      </c>
    </row>
    <row r="2954" spans="5:5" x14ac:dyDescent="0.25">
      <c r="E2954" s="82" t="s">
        <v>3925</v>
      </c>
    </row>
    <row r="2955" spans="5:5" x14ac:dyDescent="0.25">
      <c r="E2955" s="82" t="s">
        <v>3926</v>
      </c>
    </row>
    <row r="2956" spans="5:5" x14ac:dyDescent="0.25">
      <c r="E2956" s="82" t="s">
        <v>3927</v>
      </c>
    </row>
    <row r="2957" spans="5:5" x14ac:dyDescent="0.25">
      <c r="E2957" s="82" t="s">
        <v>3928</v>
      </c>
    </row>
    <row r="2958" spans="5:5" x14ac:dyDescent="0.25">
      <c r="E2958" s="82" t="s">
        <v>3929</v>
      </c>
    </row>
    <row r="2959" spans="5:5" x14ac:dyDescent="0.25">
      <c r="E2959" s="82" t="s">
        <v>3930</v>
      </c>
    </row>
    <row r="2960" spans="5:5" x14ac:dyDescent="0.25">
      <c r="E2960" s="82" t="s">
        <v>3931</v>
      </c>
    </row>
    <row r="2961" spans="5:5" x14ac:dyDescent="0.25">
      <c r="E2961" s="82" t="s">
        <v>3932</v>
      </c>
    </row>
    <row r="2962" spans="5:5" x14ac:dyDescent="0.25">
      <c r="E2962" s="82" t="s">
        <v>3933</v>
      </c>
    </row>
    <row r="2963" spans="5:5" x14ac:dyDescent="0.25">
      <c r="E2963" s="82" t="s">
        <v>3934</v>
      </c>
    </row>
    <row r="2964" spans="5:5" x14ac:dyDescent="0.25">
      <c r="E2964" s="82" t="s">
        <v>3935</v>
      </c>
    </row>
    <row r="2965" spans="5:5" x14ac:dyDescent="0.25">
      <c r="E2965" s="82" t="s">
        <v>3936</v>
      </c>
    </row>
    <row r="2966" spans="5:5" x14ac:dyDescent="0.25">
      <c r="E2966" s="82" t="s">
        <v>3937</v>
      </c>
    </row>
    <row r="2967" spans="5:5" x14ac:dyDescent="0.25">
      <c r="E2967" s="82" t="s">
        <v>3938</v>
      </c>
    </row>
    <row r="2968" spans="5:5" x14ac:dyDescent="0.25">
      <c r="E2968" s="82" t="s">
        <v>3939</v>
      </c>
    </row>
    <row r="2969" spans="5:5" x14ac:dyDescent="0.25">
      <c r="E2969" s="82" t="s">
        <v>3940</v>
      </c>
    </row>
    <row r="2970" spans="5:5" x14ac:dyDescent="0.25">
      <c r="E2970" s="82" t="s">
        <v>3941</v>
      </c>
    </row>
    <row r="2971" spans="5:5" x14ac:dyDescent="0.25">
      <c r="E2971" s="82" t="s">
        <v>3942</v>
      </c>
    </row>
    <row r="2972" spans="5:5" x14ac:dyDescent="0.25">
      <c r="E2972" s="82" t="s">
        <v>3943</v>
      </c>
    </row>
    <row r="2973" spans="5:5" x14ac:dyDescent="0.25">
      <c r="E2973" s="82" t="s">
        <v>3944</v>
      </c>
    </row>
    <row r="2974" spans="5:5" x14ac:dyDescent="0.25">
      <c r="E2974" s="82" t="s">
        <v>3945</v>
      </c>
    </row>
    <row r="2975" spans="5:5" x14ac:dyDescent="0.25">
      <c r="E2975" s="82" t="s">
        <v>3946</v>
      </c>
    </row>
    <row r="2976" spans="5:5" x14ac:dyDescent="0.25">
      <c r="E2976" s="82" t="s">
        <v>3947</v>
      </c>
    </row>
    <row r="2977" spans="5:5" x14ac:dyDescent="0.25">
      <c r="E2977" s="82" t="s">
        <v>3948</v>
      </c>
    </row>
    <row r="2978" spans="5:5" x14ac:dyDescent="0.25">
      <c r="E2978" s="82" t="s">
        <v>3949</v>
      </c>
    </row>
    <row r="2979" spans="5:5" x14ac:dyDescent="0.25">
      <c r="E2979" s="82" t="s">
        <v>3950</v>
      </c>
    </row>
    <row r="2980" spans="5:5" x14ac:dyDescent="0.25">
      <c r="E2980" s="82" t="s">
        <v>3951</v>
      </c>
    </row>
    <row r="2981" spans="5:5" x14ac:dyDescent="0.25">
      <c r="E2981" s="82" t="s">
        <v>3952</v>
      </c>
    </row>
    <row r="2982" spans="5:5" x14ac:dyDescent="0.25">
      <c r="E2982" s="82" t="s">
        <v>3953</v>
      </c>
    </row>
    <row r="2983" spans="5:5" x14ac:dyDescent="0.25">
      <c r="E2983" s="82" t="s">
        <v>3954</v>
      </c>
    </row>
    <row r="2984" spans="5:5" x14ac:dyDescent="0.25">
      <c r="E2984" s="82" t="s">
        <v>3955</v>
      </c>
    </row>
    <row r="2985" spans="5:5" x14ac:dyDescent="0.25">
      <c r="E2985" s="82" t="s">
        <v>3956</v>
      </c>
    </row>
    <row r="2986" spans="5:5" x14ac:dyDescent="0.25">
      <c r="E2986" s="82" t="s">
        <v>3957</v>
      </c>
    </row>
    <row r="2987" spans="5:5" x14ac:dyDescent="0.25">
      <c r="E2987" s="82" t="s">
        <v>3958</v>
      </c>
    </row>
    <row r="2988" spans="5:5" x14ac:dyDescent="0.25">
      <c r="E2988" s="82" t="s">
        <v>3959</v>
      </c>
    </row>
    <row r="2989" spans="5:5" x14ac:dyDescent="0.25">
      <c r="E2989" s="82" t="s">
        <v>3960</v>
      </c>
    </row>
    <row r="2990" spans="5:5" x14ac:dyDescent="0.25">
      <c r="E2990" s="82" t="s">
        <v>3961</v>
      </c>
    </row>
    <row r="2991" spans="5:5" x14ac:dyDescent="0.25">
      <c r="E2991" s="82" t="s">
        <v>3962</v>
      </c>
    </row>
    <row r="2992" spans="5:5" x14ac:dyDescent="0.25">
      <c r="E2992" s="82" t="s">
        <v>3963</v>
      </c>
    </row>
    <row r="2993" spans="5:5" x14ac:dyDescent="0.25">
      <c r="E2993" s="82" t="s">
        <v>3964</v>
      </c>
    </row>
    <row r="2994" spans="5:5" x14ac:dyDescent="0.25">
      <c r="E2994" s="82" t="s">
        <v>3965</v>
      </c>
    </row>
    <row r="2995" spans="5:5" x14ac:dyDescent="0.25">
      <c r="E2995" s="82" t="s">
        <v>3966</v>
      </c>
    </row>
    <row r="2996" spans="5:5" x14ac:dyDescent="0.25">
      <c r="E2996" s="82" t="s">
        <v>3967</v>
      </c>
    </row>
    <row r="2997" spans="5:5" x14ac:dyDescent="0.25">
      <c r="E2997" s="82" t="s">
        <v>3968</v>
      </c>
    </row>
    <row r="2998" spans="5:5" x14ac:dyDescent="0.25">
      <c r="E2998" s="82" t="s">
        <v>3969</v>
      </c>
    </row>
    <row r="2999" spans="5:5" x14ac:dyDescent="0.25">
      <c r="E2999" s="82" t="s">
        <v>3970</v>
      </c>
    </row>
    <row r="3000" spans="5:5" x14ac:dyDescent="0.25">
      <c r="E3000" s="82" t="s">
        <v>3971</v>
      </c>
    </row>
    <row r="3001" spans="5:5" x14ac:dyDescent="0.25">
      <c r="E3001" s="82" t="s">
        <v>3972</v>
      </c>
    </row>
    <row r="3002" spans="5:5" x14ac:dyDescent="0.25">
      <c r="E3002" s="82" t="s">
        <v>3973</v>
      </c>
    </row>
    <row r="3003" spans="5:5" x14ac:dyDescent="0.25">
      <c r="E3003" s="82" t="s">
        <v>3974</v>
      </c>
    </row>
    <row r="3004" spans="5:5" x14ac:dyDescent="0.25">
      <c r="E3004" s="82" t="s">
        <v>3975</v>
      </c>
    </row>
    <row r="3005" spans="5:5" x14ac:dyDescent="0.25">
      <c r="E3005" s="82" t="s">
        <v>3976</v>
      </c>
    </row>
    <row r="3006" spans="5:5" x14ac:dyDescent="0.25">
      <c r="E3006" s="82" t="s">
        <v>3977</v>
      </c>
    </row>
    <row r="3007" spans="5:5" x14ac:dyDescent="0.25">
      <c r="E3007" s="82" t="s">
        <v>3978</v>
      </c>
    </row>
    <row r="3008" spans="5:5" x14ac:dyDescent="0.25">
      <c r="E3008" s="82" t="s">
        <v>3979</v>
      </c>
    </row>
    <row r="3009" spans="5:5" x14ac:dyDescent="0.25">
      <c r="E3009" s="82" t="s">
        <v>3980</v>
      </c>
    </row>
    <row r="3010" spans="5:5" x14ac:dyDescent="0.25">
      <c r="E3010" s="82" t="s">
        <v>3981</v>
      </c>
    </row>
    <row r="3011" spans="5:5" x14ac:dyDescent="0.25">
      <c r="E3011" s="82" t="s">
        <v>3982</v>
      </c>
    </row>
    <row r="3012" spans="5:5" x14ac:dyDescent="0.25">
      <c r="E3012" s="82" t="s">
        <v>3983</v>
      </c>
    </row>
    <row r="3013" spans="5:5" x14ac:dyDescent="0.25">
      <c r="E3013" s="82" t="s">
        <v>3984</v>
      </c>
    </row>
    <row r="3014" spans="5:5" x14ac:dyDescent="0.25">
      <c r="E3014" s="82" t="s">
        <v>3985</v>
      </c>
    </row>
    <row r="3015" spans="5:5" x14ac:dyDescent="0.25">
      <c r="E3015" s="82" t="s">
        <v>3986</v>
      </c>
    </row>
    <row r="3016" spans="5:5" x14ac:dyDescent="0.25">
      <c r="E3016" s="82" t="s">
        <v>3987</v>
      </c>
    </row>
    <row r="3017" spans="5:5" x14ac:dyDescent="0.25">
      <c r="E3017" s="82" t="s">
        <v>3988</v>
      </c>
    </row>
    <row r="3018" spans="5:5" x14ac:dyDescent="0.25">
      <c r="E3018" s="82" t="s">
        <v>3989</v>
      </c>
    </row>
    <row r="3019" spans="5:5" x14ac:dyDescent="0.25">
      <c r="E3019" s="82" t="s">
        <v>3990</v>
      </c>
    </row>
    <row r="3020" spans="5:5" x14ac:dyDescent="0.25">
      <c r="E3020" s="82" t="s">
        <v>3991</v>
      </c>
    </row>
    <row r="3021" spans="5:5" x14ac:dyDescent="0.25">
      <c r="E3021" s="82" t="s">
        <v>3992</v>
      </c>
    </row>
    <row r="3022" spans="5:5" x14ac:dyDescent="0.25">
      <c r="E3022" s="82" t="s">
        <v>3993</v>
      </c>
    </row>
    <row r="3023" spans="5:5" x14ac:dyDescent="0.25">
      <c r="E3023" s="82" t="s">
        <v>3994</v>
      </c>
    </row>
    <row r="3024" spans="5:5" x14ac:dyDescent="0.25">
      <c r="E3024" s="82" t="s">
        <v>3995</v>
      </c>
    </row>
    <row r="3025" spans="5:5" x14ac:dyDescent="0.25">
      <c r="E3025" s="82" t="s">
        <v>3996</v>
      </c>
    </row>
    <row r="3026" spans="5:5" x14ac:dyDescent="0.25">
      <c r="E3026" s="82" t="s">
        <v>3997</v>
      </c>
    </row>
    <row r="3027" spans="5:5" x14ac:dyDescent="0.25">
      <c r="E3027" s="82" t="s">
        <v>3998</v>
      </c>
    </row>
    <row r="3028" spans="5:5" x14ac:dyDescent="0.25">
      <c r="E3028" s="82" t="s">
        <v>3999</v>
      </c>
    </row>
    <row r="3029" spans="5:5" x14ac:dyDescent="0.25">
      <c r="E3029" s="82" t="s">
        <v>4000</v>
      </c>
    </row>
    <row r="3030" spans="5:5" x14ac:dyDescent="0.25">
      <c r="E3030" s="82" t="s">
        <v>4001</v>
      </c>
    </row>
    <row r="3031" spans="5:5" x14ac:dyDescent="0.25">
      <c r="E3031" s="82" t="s">
        <v>4002</v>
      </c>
    </row>
    <row r="3032" spans="5:5" x14ac:dyDescent="0.25">
      <c r="E3032" s="82" t="s">
        <v>4003</v>
      </c>
    </row>
    <row r="3033" spans="5:5" x14ac:dyDescent="0.25">
      <c r="E3033" s="82" t="s">
        <v>4004</v>
      </c>
    </row>
    <row r="3034" spans="5:5" x14ac:dyDescent="0.25">
      <c r="E3034" s="82" t="s">
        <v>4005</v>
      </c>
    </row>
    <row r="3035" spans="5:5" x14ac:dyDescent="0.25">
      <c r="E3035" s="82" t="s">
        <v>4006</v>
      </c>
    </row>
    <row r="3036" spans="5:5" x14ac:dyDescent="0.25">
      <c r="E3036" s="82" t="s">
        <v>4007</v>
      </c>
    </row>
    <row r="3037" spans="5:5" x14ac:dyDescent="0.25">
      <c r="E3037" s="82" t="s">
        <v>4008</v>
      </c>
    </row>
    <row r="3038" spans="5:5" x14ac:dyDescent="0.25">
      <c r="E3038" s="82" t="s">
        <v>4009</v>
      </c>
    </row>
    <row r="3039" spans="5:5" x14ac:dyDescent="0.25">
      <c r="E3039" s="82" t="s">
        <v>4010</v>
      </c>
    </row>
    <row r="3040" spans="5:5" x14ac:dyDescent="0.25">
      <c r="E3040" s="82" t="s">
        <v>4011</v>
      </c>
    </row>
    <row r="3041" spans="5:5" x14ac:dyDescent="0.25">
      <c r="E3041" s="82" t="s">
        <v>4012</v>
      </c>
    </row>
    <row r="3042" spans="5:5" x14ac:dyDescent="0.25">
      <c r="E3042" s="82" t="s">
        <v>4013</v>
      </c>
    </row>
    <row r="3043" spans="5:5" x14ac:dyDescent="0.25">
      <c r="E3043" s="82" t="s">
        <v>4014</v>
      </c>
    </row>
    <row r="3044" spans="5:5" x14ac:dyDescent="0.25">
      <c r="E3044" s="82" t="s">
        <v>4015</v>
      </c>
    </row>
    <row r="3045" spans="5:5" x14ac:dyDescent="0.25">
      <c r="E3045" s="82" t="s">
        <v>4016</v>
      </c>
    </row>
    <row r="3046" spans="5:5" x14ac:dyDescent="0.25">
      <c r="E3046" s="82" t="s">
        <v>4017</v>
      </c>
    </row>
    <row r="3047" spans="5:5" x14ac:dyDescent="0.25">
      <c r="E3047" s="82" t="s">
        <v>4018</v>
      </c>
    </row>
    <row r="3048" spans="5:5" x14ac:dyDescent="0.25">
      <c r="E3048" s="82" t="s">
        <v>4019</v>
      </c>
    </row>
    <row r="3049" spans="5:5" x14ac:dyDescent="0.25">
      <c r="E3049" s="82" t="s">
        <v>4020</v>
      </c>
    </row>
    <row r="3050" spans="5:5" x14ac:dyDescent="0.25">
      <c r="E3050" s="82" t="s">
        <v>4021</v>
      </c>
    </row>
    <row r="3051" spans="5:5" x14ac:dyDescent="0.25">
      <c r="E3051" s="82" t="s">
        <v>4022</v>
      </c>
    </row>
    <row r="3052" spans="5:5" x14ac:dyDescent="0.25">
      <c r="E3052" s="82" t="s">
        <v>4023</v>
      </c>
    </row>
    <row r="3053" spans="5:5" x14ac:dyDescent="0.25">
      <c r="E3053" s="82" t="s">
        <v>4024</v>
      </c>
    </row>
    <row r="3054" spans="5:5" x14ac:dyDescent="0.25">
      <c r="E3054" s="82" t="s">
        <v>4025</v>
      </c>
    </row>
    <row r="3055" spans="5:5" x14ac:dyDescent="0.25">
      <c r="E3055" s="82" t="s">
        <v>4026</v>
      </c>
    </row>
    <row r="3056" spans="5:5" x14ac:dyDescent="0.25">
      <c r="E3056" s="82" t="s">
        <v>4027</v>
      </c>
    </row>
    <row r="3057" spans="5:5" x14ac:dyDescent="0.25">
      <c r="E3057" s="82" t="s">
        <v>4028</v>
      </c>
    </row>
    <row r="3058" spans="5:5" x14ac:dyDescent="0.25">
      <c r="E3058" s="82" t="s">
        <v>4029</v>
      </c>
    </row>
    <row r="3059" spans="5:5" x14ac:dyDescent="0.25">
      <c r="E3059" s="82" t="s">
        <v>4030</v>
      </c>
    </row>
    <row r="3060" spans="5:5" x14ac:dyDescent="0.25">
      <c r="E3060" s="82" t="s">
        <v>4031</v>
      </c>
    </row>
    <row r="3061" spans="5:5" x14ac:dyDescent="0.25">
      <c r="E3061" s="82" t="s">
        <v>4032</v>
      </c>
    </row>
    <row r="3062" spans="5:5" x14ac:dyDescent="0.25">
      <c r="E3062" s="82" t="s">
        <v>4033</v>
      </c>
    </row>
    <row r="3063" spans="5:5" x14ac:dyDescent="0.25">
      <c r="E3063" s="82" t="s">
        <v>4034</v>
      </c>
    </row>
    <row r="3064" spans="5:5" x14ac:dyDescent="0.25">
      <c r="E3064" s="82" t="s">
        <v>4035</v>
      </c>
    </row>
    <row r="3065" spans="5:5" x14ac:dyDescent="0.25">
      <c r="E3065" s="82" t="s">
        <v>4036</v>
      </c>
    </row>
    <row r="3066" spans="5:5" x14ac:dyDescent="0.25">
      <c r="E3066" s="82" t="s">
        <v>4037</v>
      </c>
    </row>
    <row r="3067" spans="5:5" x14ac:dyDescent="0.25">
      <c r="E3067" s="82" t="s">
        <v>4038</v>
      </c>
    </row>
    <row r="3068" spans="5:5" x14ac:dyDescent="0.25">
      <c r="E3068" s="82" t="s">
        <v>4039</v>
      </c>
    </row>
    <row r="3069" spans="5:5" x14ac:dyDescent="0.25">
      <c r="E3069" s="82" t="s">
        <v>4040</v>
      </c>
    </row>
    <row r="3070" spans="5:5" x14ac:dyDescent="0.25">
      <c r="E3070" s="82" t="s">
        <v>4041</v>
      </c>
    </row>
    <row r="3071" spans="5:5" x14ac:dyDescent="0.25">
      <c r="E3071" s="82" t="s">
        <v>4042</v>
      </c>
    </row>
    <row r="3072" spans="5:5" x14ac:dyDescent="0.25">
      <c r="E3072" s="82" t="s">
        <v>4043</v>
      </c>
    </row>
    <row r="3073" spans="5:5" x14ac:dyDescent="0.25">
      <c r="E3073" s="82" t="s">
        <v>4044</v>
      </c>
    </row>
    <row r="3074" spans="5:5" x14ac:dyDescent="0.25">
      <c r="E3074" s="82" t="s">
        <v>4045</v>
      </c>
    </row>
    <row r="3075" spans="5:5" x14ac:dyDescent="0.25">
      <c r="E3075" s="82" t="s">
        <v>4046</v>
      </c>
    </row>
    <row r="3076" spans="5:5" x14ac:dyDescent="0.25">
      <c r="E3076" s="82" t="s">
        <v>4047</v>
      </c>
    </row>
    <row r="3077" spans="5:5" x14ac:dyDescent="0.25">
      <c r="E3077" s="82" t="s">
        <v>4048</v>
      </c>
    </row>
    <row r="3078" spans="5:5" x14ac:dyDescent="0.25">
      <c r="E3078" s="82" t="s">
        <v>4049</v>
      </c>
    </row>
    <row r="3079" spans="5:5" x14ac:dyDescent="0.25">
      <c r="E3079" s="82" t="s">
        <v>4050</v>
      </c>
    </row>
    <row r="3080" spans="5:5" x14ac:dyDescent="0.25">
      <c r="E3080" s="82" t="s">
        <v>4051</v>
      </c>
    </row>
    <row r="3081" spans="5:5" x14ac:dyDescent="0.25">
      <c r="E3081" s="82" t="s">
        <v>4052</v>
      </c>
    </row>
    <row r="3082" spans="5:5" x14ac:dyDescent="0.25">
      <c r="E3082" s="82" t="s">
        <v>4053</v>
      </c>
    </row>
    <row r="3083" spans="5:5" x14ac:dyDescent="0.25">
      <c r="E3083" s="82" t="s">
        <v>4054</v>
      </c>
    </row>
    <row r="3084" spans="5:5" x14ac:dyDescent="0.25">
      <c r="E3084" s="82" t="s">
        <v>4055</v>
      </c>
    </row>
    <row r="3085" spans="5:5" x14ac:dyDescent="0.25">
      <c r="E3085" s="82" t="s">
        <v>4056</v>
      </c>
    </row>
    <row r="3086" spans="5:5" x14ac:dyDescent="0.25">
      <c r="E3086" s="82" t="s">
        <v>4057</v>
      </c>
    </row>
    <row r="3087" spans="5:5" x14ac:dyDescent="0.25">
      <c r="E3087" s="82" t="s">
        <v>4058</v>
      </c>
    </row>
    <row r="3088" spans="5:5" x14ac:dyDescent="0.25">
      <c r="E3088" s="82" t="s">
        <v>4059</v>
      </c>
    </row>
    <row r="3089" spans="5:5" x14ac:dyDescent="0.25">
      <c r="E3089" s="82" t="s">
        <v>4060</v>
      </c>
    </row>
    <row r="3090" spans="5:5" x14ac:dyDescent="0.25">
      <c r="E3090" s="82" t="s">
        <v>4061</v>
      </c>
    </row>
    <row r="3091" spans="5:5" x14ac:dyDescent="0.25">
      <c r="E3091" s="82" t="s">
        <v>4062</v>
      </c>
    </row>
    <row r="3092" spans="5:5" x14ac:dyDescent="0.25">
      <c r="E3092" s="82" t="s">
        <v>4063</v>
      </c>
    </row>
    <row r="3093" spans="5:5" x14ac:dyDescent="0.25">
      <c r="E3093" s="82" t="s">
        <v>4064</v>
      </c>
    </row>
    <row r="3094" spans="5:5" x14ac:dyDescent="0.25">
      <c r="E3094" s="82" t="s">
        <v>4065</v>
      </c>
    </row>
    <row r="3095" spans="5:5" x14ac:dyDescent="0.25">
      <c r="E3095" s="82" t="s">
        <v>4066</v>
      </c>
    </row>
    <row r="3096" spans="5:5" x14ac:dyDescent="0.25">
      <c r="E3096" s="82" t="s">
        <v>4067</v>
      </c>
    </row>
    <row r="3097" spans="5:5" x14ac:dyDescent="0.25">
      <c r="E3097" s="82" t="s">
        <v>4068</v>
      </c>
    </row>
    <row r="3098" spans="5:5" x14ac:dyDescent="0.25">
      <c r="E3098" s="82" t="s">
        <v>4069</v>
      </c>
    </row>
    <row r="3099" spans="5:5" x14ac:dyDescent="0.25">
      <c r="E3099" s="82" t="s">
        <v>4070</v>
      </c>
    </row>
    <row r="3100" spans="5:5" x14ac:dyDescent="0.25">
      <c r="E3100" s="82" t="s">
        <v>4071</v>
      </c>
    </row>
    <row r="3101" spans="5:5" x14ac:dyDescent="0.25">
      <c r="E3101" s="82" t="s">
        <v>4072</v>
      </c>
    </row>
    <row r="3102" spans="5:5" x14ac:dyDescent="0.25">
      <c r="E3102" s="82" t="s">
        <v>4073</v>
      </c>
    </row>
    <row r="3103" spans="5:5" x14ac:dyDescent="0.25">
      <c r="E3103" s="82" t="s">
        <v>4074</v>
      </c>
    </row>
    <row r="3104" spans="5:5" x14ac:dyDescent="0.25">
      <c r="E3104" s="82" t="s">
        <v>4075</v>
      </c>
    </row>
    <row r="3105" spans="5:5" x14ac:dyDescent="0.25">
      <c r="E3105" s="82" t="s">
        <v>4076</v>
      </c>
    </row>
    <row r="3106" spans="5:5" x14ac:dyDescent="0.25">
      <c r="E3106" s="82" t="s">
        <v>4077</v>
      </c>
    </row>
    <row r="3107" spans="5:5" x14ac:dyDescent="0.25">
      <c r="E3107" s="82" t="s">
        <v>4078</v>
      </c>
    </row>
    <row r="3108" spans="5:5" x14ac:dyDescent="0.25">
      <c r="E3108" s="82" t="s">
        <v>4079</v>
      </c>
    </row>
    <row r="3109" spans="5:5" x14ac:dyDescent="0.25">
      <c r="E3109" s="82" t="s">
        <v>4080</v>
      </c>
    </row>
    <row r="3110" spans="5:5" x14ac:dyDescent="0.25">
      <c r="E3110" s="82" t="s">
        <v>4081</v>
      </c>
    </row>
    <row r="3111" spans="5:5" x14ac:dyDescent="0.25">
      <c r="E3111" s="82" t="s">
        <v>4082</v>
      </c>
    </row>
    <row r="3112" spans="5:5" x14ac:dyDescent="0.25">
      <c r="E3112" s="82" t="s">
        <v>4083</v>
      </c>
    </row>
    <row r="3113" spans="5:5" x14ac:dyDescent="0.25">
      <c r="E3113" s="82" t="s">
        <v>4084</v>
      </c>
    </row>
    <row r="3114" spans="5:5" x14ac:dyDescent="0.25">
      <c r="E3114" s="82" t="s">
        <v>4085</v>
      </c>
    </row>
    <row r="3115" spans="5:5" x14ac:dyDescent="0.25">
      <c r="E3115" s="82" t="s">
        <v>4086</v>
      </c>
    </row>
    <row r="3116" spans="5:5" x14ac:dyDescent="0.25">
      <c r="E3116" s="82" t="s">
        <v>4087</v>
      </c>
    </row>
    <row r="3117" spans="5:5" x14ac:dyDescent="0.25">
      <c r="E3117" s="82" t="s">
        <v>4088</v>
      </c>
    </row>
    <row r="3118" spans="5:5" x14ac:dyDescent="0.25">
      <c r="E3118" s="82" t="s">
        <v>4089</v>
      </c>
    </row>
    <row r="3119" spans="5:5" x14ac:dyDescent="0.25">
      <c r="E3119" s="82" t="s">
        <v>4090</v>
      </c>
    </row>
    <row r="3120" spans="5:5" x14ac:dyDescent="0.25">
      <c r="E3120" s="82" t="s">
        <v>4091</v>
      </c>
    </row>
    <row r="3121" spans="5:5" x14ac:dyDescent="0.25">
      <c r="E3121" s="82" t="s">
        <v>4092</v>
      </c>
    </row>
    <row r="3122" spans="5:5" x14ac:dyDescent="0.25">
      <c r="E3122" s="82" t="s">
        <v>4093</v>
      </c>
    </row>
    <row r="3123" spans="5:5" x14ac:dyDescent="0.25">
      <c r="E3123" s="82" t="s">
        <v>4094</v>
      </c>
    </row>
    <row r="3124" spans="5:5" x14ac:dyDescent="0.25">
      <c r="E3124" s="82" t="s">
        <v>4095</v>
      </c>
    </row>
    <row r="3125" spans="5:5" x14ac:dyDescent="0.25">
      <c r="E3125" s="82" t="s">
        <v>4096</v>
      </c>
    </row>
    <row r="3126" spans="5:5" x14ac:dyDescent="0.25">
      <c r="E3126" s="82" t="s">
        <v>4097</v>
      </c>
    </row>
    <row r="3127" spans="5:5" x14ac:dyDescent="0.25">
      <c r="E3127" s="82" t="s">
        <v>4098</v>
      </c>
    </row>
    <row r="3128" spans="5:5" x14ac:dyDescent="0.25">
      <c r="E3128" s="82" t="s">
        <v>4099</v>
      </c>
    </row>
    <row r="3129" spans="5:5" x14ac:dyDescent="0.25">
      <c r="E3129" s="82" t="s">
        <v>4100</v>
      </c>
    </row>
    <row r="3130" spans="5:5" x14ac:dyDescent="0.25">
      <c r="E3130" s="82" t="s">
        <v>4101</v>
      </c>
    </row>
    <row r="3131" spans="5:5" x14ac:dyDescent="0.25">
      <c r="E3131" s="82" t="s">
        <v>4102</v>
      </c>
    </row>
    <row r="3132" spans="5:5" x14ac:dyDescent="0.25">
      <c r="E3132" s="82" t="s">
        <v>4103</v>
      </c>
    </row>
    <row r="3133" spans="5:5" x14ac:dyDescent="0.25">
      <c r="E3133" s="82" t="s">
        <v>4104</v>
      </c>
    </row>
    <row r="3134" spans="5:5" x14ac:dyDescent="0.25">
      <c r="E3134" s="82" t="s">
        <v>4105</v>
      </c>
    </row>
    <row r="3135" spans="5:5" x14ac:dyDescent="0.25">
      <c r="E3135" s="82" t="s">
        <v>4106</v>
      </c>
    </row>
    <row r="3136" spans="5:5" x14ac:dyDescent="0.25">
      <c r="E3136" s="82" t="s">
        <v>4107</v>
      </c>
    </row>
    <row r="3137" spans="5:5" x14ac:dyDescent="0.25">
      <c r="E3137" s="82" t="s">
        <v>4108</v>
      </c>
    </row>
    <row r="3138" spans="5:5" x14ac:dyDescent="0.25">
      <c r="E3138" s="82" t="s">
        <v>4109</v>
      </c>
    </row>
    <row r="3139" spans="5:5" x14ac:dyDescent="0.25">
      <c r="E3139" s="82" t="s">
        <v>4110</v>
      </c>
    </row>
    <row r="3140" spans="5:5" x14ac:dyDescent="0.25">
      <c r="E3140" s="82" t="s">
        <v>4111</v>
      </c>
    </row>
    <row r="3141" spans="5:5" x14ac:dyDescent="0.25">
      <c r="E3141" s="82" t="s">
        <v>4112</v>
      </c>
    </row>
    <row r="3142" spans="5:5" x14ac:dyDescent="0.25">
      <c r="E3142" s="82" t="s">
        <v>4113</v>
      </c>
    </row>
    <row r="3143" spans="5:5" x14ac:dyDescent="0.25">
      <c r="E3143" s="82" t="s">
        <v>4114</v>
      </c>
    </row>
    <row r="3144" spans="5:5" x14ac:dyDescent="0.25">
      <c r="E3144" s="82" t="s">
        <v>4115</v>
      </c>
    </row>
    <row r="3145" spans="5:5" x14ac:dyDescent="0.25">
      <c r="E3145" s="82" t="s">
        <v>4116</v>
      </c>
    </row>
    <row r="3146" spans="5:5" x14ac:dyDescent="0.25">
      <c r="E3146" s="82" t="s">
        <v>4117</v>
      </c>
    </row>
    <row r="3147" spans="5:5" x14ac:dyDescent="0.25">
      <c r="E3147" s="82" t="s">
        <v>4118</v>
      </c>
    </row>
    <row r="3148" spans="5:5" x14ac:dyDescent="0.25">
      <c r="E3148" s="82" t="s">
        <v>4119</v>
      </c>
    </row>
    <row r="3149" spans="5:5" x14ac:dyDescent="0.25">
      <c r="E3149" s="82" t="s">
        <v>4120</v>
      </c>
    </row>
    <row r="3150" spans="5:5" x14ac:dyDescent="0.25">
      <c r="E3150" s="82" t="s">
        <v>4121</v>
      </c>
    </row>
    <row r="3151" spans="5:5" x14ac:dyDescent="0.25">
      <c r="E3151" s="82" t="s">
        <v>4122</v>
      </c>
    </row>
    <row r="3152" spans="5:5" x14ac:dyDescent="0.25">
      <c r="E3152" s="82" t="s">
        <v>4123</v>
      </c>
    </row>
    <row r="3153" spans="5:5" x14ac:dyDescent="0.25">
      <c r="E3153" s="82" t="s">
        <v>4124</v>
      </c>
    </row>
    <row r="3154" spans="5:5" x14ac:dyDescent="0.25">
      <c r="E3154" s="82" t="s">
        <v>4125</v>
      </c>
    </row>
    <row r="3155" spans="5:5" x14ac:dyDescent="0.25">
      <c r="E3155" s="82" t="s">
        <v>4126</v>
      </c>
    </row>
    <row r="3156" spans="5:5" x14ac:dyDescent="0.25">
      <c r="E3156" s="82" t="s">
        <v>4127</v>
      </c>
    </row>
    <row r="3157" spans="5:5" x14ac:dyDescent="0.25">
      <c r="E3157" s="82" t="s">
        <v>4128</v>
      </c>
    </row>
    <row r="3158" spans="5:5" x14ac:dyDescent="0.25">
      <c r="E3158" s="82" t="s">
        <v>4129</v>
      </c>
    </row>
    <row r="3159" spans="5:5" x14ac:dyDescent="0.25">
      <c r="E3159" s="82" t="s">
        <v>4130</v>
      </c>
    </row>
    <row r="3160" spans="5:5" x14ac:dyDescent="0.25">
      <c r="E3160" s="82" t="s">
        <v>4131</v>
      </c>
    </row>
    <row r="3161" spans="5:5" x14ac:dyDescent="0.25">
      <c r="E3161" s="82" t="s">
        <v>4132</v>
      </c>
    </row>
    <row r="3162" spans="5:5" x14ac:dyDescent="0.25">
      <c r="E3162" s="82" t="s">
        <v>4133</v>
      </c>
    </row>
    <row r="3163" spans="5:5" x14ac:dyDescent="0.25">
      <c r="E3163" s="82" t="s">
        <v>4134</v>
      </c>
    </row>
    <row r="3164" spans="5:5" x14ac:dyDescent="0.25">
      <c r="E3164" s="82" t="s">
        <v>4135</v>
      </c>
    </row>
    <row r="3165" spans="5:5" x14ac:dyDescent="0.25">
      <c r="E3165" s="82" t="s">
        <v>4136</v>
      </c>
    </row>
    <row r="3166" spans="5:5" x14ac:dyDescent="0.25">
      <c r="E3166" s="82" t="s">
        <v>4137</v>
      </c>
    </row>
    <row r="3167" spans="5:5" x14ac:dyDescent="0.25">
      <c r="E3167" s="82" t="s">
        <v>4138</v>
      </c>
    </row>
    <row r="3168" spans="5:5" x14ac:dyDescent="0.25">
      <c r="E3168" s="82" t="s">
        <v>4139</v>
      </c>
    </row>
    <row r="3169" spans="5:5" x14ac:dyDescent="0.25">
      <c r="E3169" s="82" t="s">
        <v>4140</v>
      </c>
    </row>
    <row r="3170" spans="5:5" x14ac:dyDescent="0.25">
      <c r="E3170" s="82" t="s">
        <v>4141</v>
      </c>
    </row>
    <row r="3171" spans="5:5" x14ac:dyDescent="0.25">
      <c r="E3171" s="82" t="s">
        <v>4142</v>
      </c>
    </row>
    <row r="3172" spans="5:5" x14ac:dyDescent="0.25">
      <c r="E3172" s="82" t="s">
        <v>4143</v>
      </c>
    </row>
    <row r="3173" spans="5:5" x14ac:dyDescent="0.25">
      <c r="E3173" s="82" t="s">
        <v>4144</v>
      </c>
    </row>
    <row r="3174" spans="5:5" x14ac:dyDescent="0.25">
      <c r="E3174" s="82" t="s">
        <v>4145</v>
      </c>
    </row>
    <row r="3175" spans="5:5" x14ac:dyDescent="0.25">
      <c r="E3175" s="82" t="s">
        <v>4146</v>
      </c>
    </row>
    <row r="3176" spans="5:5" x14ac:dyDescent="0.25">
      <c r="E3176" s="82" t="s">
        <v>4147</v>
      </c>
    </row>
    <row r="3177" spans="5:5" x14ac:dyDescent="0.25">
      <c r="E3177" s="82" t="s">
        <v>4148</v>
      </c>
    </row>
    <row r="3178" spans="5:5" x14ac:dyDescent="0.25">
      <c r="E3178" s="82" t="s">
        <v>4149</v>
      </c>
    </row>
    <row r="3179" spans="5:5" x14ac:dyDescent="0.25">
      <c r="E3179" s="82" t="s">
        <v>4150</v>
      </c>
    </row>
    <row r="3180" spans="5:5" x14ac:dyDescent="0.25">
      <c r="E3180" s="82" t="s">
        <v>4151</v>
      </c>
    </row>
    <row r="3181" spans="5:5" x14ac:dyDescent="0.25">
      <c r="E3181" s="82" t="s">
        <v>4152</v>
      </c>
    </row>
    <row r="3182" spans="5:5" x14ac:dyDescent="0.25">
      <c r="E3182" s="82" t="s">
        <v>4153</v>
      </c>
    </row>
    <row r="3183" spans="5:5" x14ac:dyDescent="0.25">
      <c r="E3183" s="82" t="s">
        <v>4154</v>
      </c>
    </row>
    <row r="3184" spans="5:5" x14ac:dyDescent="0.25">
      <c r="E3184" s="82" t="s">
        <v>4155</v>
      </c>
    </row>
    <row r="3185" spans="5:5" x14ac:dyDescent="0.25">
      <c r="E3185" s="82" t="s">
        <v>4156</v>
      </c>
    </row>
    <row r="3186" spans="5:5" x14ac:dyDescent="0.25">
      <c r="E3186" s="82" t="s">
        <v>4157</v>
      </c>
    </row>
    <row r="3187" spans="5:5" x14ac:dyDescent="0.25">
      <c r="E3187" s="82" t="s">
        <v>4158</v>
      </c>
    </row>
    <row r="3188" spans="5:5" x14ac:dyDescent="0.25">
      <c r="E3188" s="82" t="s">
        <v>4159</v>
      </c>
    </row>
    <row r="3189" spans="5:5" x14ac:dyDescent="0.25">
      <c r="E3189" s="82" t="s">
        <v>4160</v>
      </c>
    </row>
    <row r="3190" spans="5:5" x14ac:dyDescent="0.25">
      <c r="E3190" s="82" t="s">
        <v>4161</v>
      </c>
    </row>
    <row r="3191" spans="5:5" x14ac:dyDescent="0.25">
      <c r="E3191" s="82" t="s">
        <v>4162</v>
      </c>
    </row>
    <row r="3192" spans="5:5" x14ac:dyDescent="0.25">
      <c r="E3192" s="82" t="s">
        <v>4163</v>
      </c>
    </row>
    <row r="3193" spans="5:5" x14ac:dyDescent="0.25">
      <c r="E3193" s="82" t="s">
        <v>4164</v>
      </c>
    </row>
    <row r="3194" spans="5:5" x14ac:dyDescent="0.25">
      <c r="E3194" s="82" t="s">
        <v>4165</v>
      </c>
    </row>
    <row r="3195" spans="5:5" x14ac:dyDescent="0.25">
      <c r="E3195" s="82" t="s">
        <v>4166</v>
      </c>
    </row>
    <row r="3196" spans="5:5" x14ac:dyDescent="0.25">
      <c r="E3196" s="82" t="s">
        <v>4167</v>
      </c>
    </row>
    <row r="3197" spans="5:5" x14ac:dyDescent="0.25">
      <c r="E3197" s="82" t="s">
        <v>4168</v>
      </c>
    </row>
    <row r="3198" spans="5:5" x14ac:dyDescent="0.25">
      <c r="E3198" s="82" t="s">
        <v>4169</v>
      </c>
    </row>
    <row r="3199" spans="5:5" x14ac:dyDescent="0.25">
      <c r="E3199" s="82" t="s">
        <v>4170</v>
      </c>
    </row>
    <row r="3200" spans="5:5" x14ac:dyDescent="0.25">
      <c r="E3200" s="82" t="s">
        <v>4171</v>
      </c>
    </row>
    <row r="3201" spans="5:5" x14ac:dyDescent="0.25">
      <c r="E3201" s="82" t="s">
        <v>4172</v>
      </c>
    </row>
    <row r="3202" spans="5:5" x14ac:dyDescent="0.25">
      <c r="E3202" s="82" t="s">
        <v>4173</v>
      </c>
    </row>
    <row r="3203" spans="5:5" x14ac:dyDescent="0.25">
      <c r="E3203" s="82" t="s">
        <v>4174</v>
      </c>
    </row>
    <row r="3204" spans="5:5" x14ac:dyDescent="0.25">
      <c r="E3204" s="82" t="s">
        <v>4175</v>
      </c>
    </row>
    <row r="3205" spans="5:5" x14ac:dyDescent="0.25">
      <c r="E3205" s="82" t="s">
        <v>4176</v>
      </c>
    </row>
    <row r="3206" spans="5:5" x14ac:dyDescent="0.25">
      <c r="E3206" s="82" t="s">
        <v>4177</v>
      </c>
    </row>
    <row r="3207" spans="5:5" x14ac:dyDescent="0.25">
      <c r="E3207" s="82" t="s">
        <v>4178</v>
      </c>
    </row>
    <row r="3208" spans="5:5" x14ac:dyDescent="0.25">
      <c r="E3208" s="82" t="s">
        <v>4179</v>
      </c>
    </row>
    <row r="3209" spans="5:5" x14ac:dyDescent="0.25">
      <c r="E3209" s="82" t="s">
        <v>4180</v>
      </c>
    </row>
    <row r="3210" spans="5:5" x14ac:dyDescent="0.25">
      <c r="E3210" s="82" t="s">
        <v>4181</v>
      </c>
    </row>
    <row r="3211" spans="5:5" x14ac:dyDescent="0.25">
      <c r="E3211" s="82" t="s">
        <v>4182</v>
      </c>
    </row>
    <row r="3212" spans="5:5" x14ac:dyDescent="0.25">
      <c r="E3212" s="82" t="s">
        <v>4183</v>
      </c>
    </row>
    <row r="3213" spans="5:5" x14ac:dyDescent="0.25">
      <c r="E3213" s="82" t="s">
        <v>4184</v>
      </c>
    </row>
    <row r="3214" spans="5:5" x14ac:dyDescent="0.25">
      <c r="E3214" s="82" t="s">
        <v>4185</v>
      </c>
    </row>
    <row r="3215" spans="5:5" x14ac:dyDescent="0.25">
      <c r="E3215" s="82" t="s">
        <v>4186</v>
      </c>
    </row>
    <row r="3216" spans="5:5" x14ac:dyDescent="0.25">
      <c r="E3216" s="82" t="s">
        <v>4187</v>
      </c>
    </row>
    <row r="3217" spans="5:5" x14ac:dyDescent="0.25">
      <c r="E3217" s="82" t="s">
        <v>4188</v>
      </c>
    </row>
    <row r="3218" spans="5:5" x14ac:dyDescent="0.25">
      <c r="E3218" s="82" t="s">
        <v>4189</v>
      </c>
    </row>
    <row r="3219" spans="5:5" x14ac:dyDescent="0.25">
      <c r="E3219" s="82" t="s">
        <v>4190</v>
      </c>
    </row>
    <row r="3220" spans="5:5" x14ac:dyDescent="0.25">
      <c r="E3220" s="82" t="s">
        <v>4191</v>
      </c>
    </row>
    <row r="3221" spans="5:5" x14ac:dyDescent="0.25">
      <c r="E3221" s="82" t="s">
        <v>4192</v>
      </c>
    </row>
    <row r="3222" spans="5:5" x14ac:dyDescent="0.25">
      <c r="E3222" s="82" t="s">
        <v>4193</v>
      </c>
    </row>
    <row r="3223" spans="5:5" x14ac:dyDescent="0.25">
      <c r="E3223" s="82" t="s">
        <v>4194</v>
      </c>
    </row>
    <row r="3224" spans="5:5" x14ac:dyDescent="0.25">
      <c r="E3224" s="82" t="s">
        <v>4195</v>
      </c>
    </row>
    <row r="3225" spans="5:5" x14ac:dyDescent="0.25">
      <c r="E3225" s="82" t="s">
        <v>4196</v>
      </c>
    </row>
    <row r="3226" spans="5:5" x14ac:dyDescent="0.25">
      <c r="E3226" s="82" t="s">
        <v>4197</v>
      </c>
    </row>
    <row r="3227" spans="5:5" x14ac:dyDescent="0.25">
      <c r="E3227" s="82" t="s">
        <v>4198</v>
      </c>
    </row>
    <row r="3228" spans="5:5" x14ac:dyDescent="0.25">
      <c r="E3228" s="82" t="s">
        <v>4199</v>
      </c>
    </row>
    <row r="3229" spans="5:5" x14ac:dyDescent="0.25">
      <c r="E3229" s="82" t="s">
        <v>4200</v>
      </c>
    </row>
    <row r="3230" spans="5:5" x14ac:dyDescent="0.25">
      <c r="E3230" s="82" t="s">
        <v>4201</v>
      </c>
    </row>
    <row r="3231" spans="5:5" x14ac:dyDescent="0.25">
      <c r="E3231" s="82" t="s">
        <v>4202</v>
      </c>
    </row>
    <row r="3232" spans="5:5" x14ac:dyDescent="0.25">
      <c r="E3232" s="82" t="s">
        <v>4203</v>
      </c>
    </row>
    <row r="3233" spans="5:5" x14ac:dyDescent="0.25">
      <c r="E3233" s="82" t="s">
        <v>4204</v>
      </c>
    </row>
    <row r="3234" spans="5:5" x14ac:dyDescent="0.25">
      <c r="E3234" s="82" t="s">
        <v>4205</v>
      </c>
    </row>
    <row r="3235" spans="5:5" x14ac:dyDescent="0.25">
      <c r="E3235" s="82" t="s">
        <v>4206</v>
      </c>
    </row>
    <row r="3236" spans="5:5" x14ac:dyDescent="0.25">
      <c r="E3236" s="82" t="s">
        <v>4207</v>
      </c>
    </row>
    <row r="3237" spans="5:5" x14ac:dyDescent="0.25">
      <c r="E3237" s="82" t="s">
        <v>4208</v>
      </c>
    </row>
    <row r="3238" spans="5:5" x14ac:dyDescent="0.25">
      <c r="E3238" s="82" t="s">
        <v>4209</v>
      </c>
    </row>
    <row r="3239" spans="5:5" x14ac:dyDescent="0.25">
      <c r="E3239" s="82" t="s">
        <v>4210</v>
      </c>
    </row>
    <row r="3240" spans="5:5" x14ac:dyDescent="0.25">
      <c r="E3240" s="82" t="s">
        <v>4211</v>
      </c>
    </row>
    <row r="3241" spans="5:5" x14ac:dyDescent="0.25">
      <c r="E3241" s="82" t="s">
        <v>4212</v>
      </c>
    </row>
    <row r="3242" spans="5:5" x14ac:dyDescent="0.25">
      <c r="E3242" s="82" t="s">
        <v>4213</v>
      </c>
    </row>
    <row r="3243" spans="5:5" x14ac:dyDescent="0.25">
      <c r="E3243" s="82" t="s">
        <v>4214</v>
      </c>
    </row>
    <row r="3244" spans="5:5" x14ac:dyDescent="0.25">
      <c r="E3244" s="82" t="s">
        <v>4215</v>
      </c>
    </row>
    <row r="3245" spans="5:5" x14ac:dyDescent="0.25">
      <c r="E3245" s="82" t="s">
        <v>4216</v>
      </c>
    </row>
    <row r="3246" spans="5:5" x14ac:dyDescent="0.25">
      <c r="E3246" s="82" t="s">
        <v>4217</v>
      </c>
    </row>
    <row r="3247" spans="5:5" x14ac:dyDescent="0.25">
      <c r="E3247" s="82" t="s">
        <v>4218</v>
      </c>
    </row>
    <row r="3248" spans="5:5" x14ac:dyDescent="0.25">
      <c r="E3248" s="82" t="s">
        <v>4219</v>
      </c>
    </row>
    <row r="3249" spans="5:5" x14ac:dyDescent="0.25">
      <c r="E3249" s="82" t="s">
        <v>4220</v>
      </c>
    </row>
    <row r="3250" spans="5:5" x14ac:dyDescent="0.25">
      <c r="E3250" s="82" t="s">
        <v>4221</v>
      </c>
    </row>
    <row r="3251" spans="5:5" x14ac:dyDescent="0.25">
      <c r="E3251" s="82" t="s">
        <v>4222</v>
      </c>
    </row>
    <row r="3252" spans="5:5" x14ac:dyDescent="0.25">
      <c r="E3252" s="82" t="s">
        <v>4223</v>
      </c>
    </row>
    <row r="3253" spans="5:5" x14ac:dyDescent="0.25">
      <c r="E3253" s="82" t="s">
        <v>4224</v>
      </c>
    </row>
    <row r="3254" spans="5:5" x14ac:dyDescent="0.25">
      <c r="E3254" s="82" t="s">
        <v>4225</v>
      </c>
    </row>
    <row r="3255" spans="5:5" x14ac:dyDescent="0.25">
      <c r="E3255" s="82" t="s">
        <v>4226</v>
      </c>
    </row>
    <row r="3256" spans="5:5" x14ac:dyDescent="0.25">
      <c r="E3256" s="82" t="s">
        <v>4227</v>
      </c>
    </row>
    <row r="3257" spans="5:5" x14ac:dyDescent="0.25">
      <c r="E3257" s="82" t="s">
        <v>4228</v>
      </c>
    </row>
    <row r="3258" spans="5:5" x14ac:dyDescent="0.25">
      <c r="E3258" s="82" t="s">
        <v>4229</v>
      </c>
    </row>
    <row r="3259" spans="5:5" x14ac:dyDescent="0.25">
      <c r="E3259" s="82" t="s">
        <v>4230</v>
      </c>
    </row>
    <row r="3260" spans="5:5" x14ac:dyDescent="0.25">
      <c r="E3260" s="82" t="s">
        <v>4231</v>
      </c>
    </row>
    <row r="3261" spans="5:5" x14ac:dyDescent="0.25">
      <c r="E3261" s="82" t="s">
        <v>4232</v>
      </c>
    </row>
    <row r="3262" spans="5:5" x14ac:dyDescent="0.25">
      <c r="E3262" s="82" t="s">
        <v>4233</v>
      </c>
    </row>
    <row r="3263" spans="5:5" x14ac:dyDescent="0.25">
      <c r="E3263" s="82" t="s">
        <v>4234</v>
      </c>
    </row>
    <row r="3264" spans="5:5" x14ac:dyDescent="0.25">
      <c r="E3264" s="82" t="s">
        <v>4235</v>
      </c>
    </row>
    <row r="3265" spans="5:5" x14ac:dyDescent="0.25">
      <c r="E3265" s="82" t="s">
        <v>4236</v>
      </c>
    </row>
    <row r="3266" spans="5:5" x14ac:dyDescent="0.25">
      <c r="E3266" s="82" t="s">
        <v>4237</v>
      </c>
    </row>
    <row r="3267" spans="5:5" x14ac:dyDescent="0.25">
      <c r="E3267" s="82" t="s">
        <v>4238</v>
      </c>
    </row>
    <row r="3268" spans="5:5" x14ac:dyDescent="0.25">
      <c r="E3268" s="82" t="s">
        <v>4239</v>
      </c>
    </row>
    <row r="3269" spans="5:5" x14ac:dyDescent="0.25">
      <c r="E3269" s="82" t="s">
        <v>4240</v>
      </c>
    </row>
    <row r="3270" spans="5:5" x14ac:dyDescent="0.25">
      <c r="E3270" s="82" t="s">
        <v>4241</v>
      </c>
    </row>
    <row r="3271" spans="5:5" x14ac:dyDescent="0.25">
      <c r="E3271" s="82" t="s">
        <v>4242</v>
      </c>
    </row>
    <row r="3272" spans="5:5" x14ac:dyDescent="0.25">
      <c r="E3272" s="82" t="s">
        <v>4243</v>
      </c>
    </row>
    <row r="3273" spans="5:5" x14ac:dyDescent="0.25">
      <c r="E3273" s="82" t="s">
        <v>4244</v>
      </c>
    </row>
    <row r="3274" spans="5:5" x14ac:dyDescent="0.25">
      <c r="E3274" s="82" t="s">
        <v>4245</v>
      </c>
    </row>
    <row r="3275" spans="5:5" x14ac:dyDescent="0.25">
      <c r="E3275" s="82" t="s">
        <v>4246</v>
      </c>
    </row>
    <row r="3276" spans="5:5" x14ac:dyDescent="0.25">
      <c r="E3276" s="82" t="s">
        <v>4247</v>
      </c>
    </row>
    <row r="3277" spans="5:5" x14ac:dyDescent="0.25">
      <c r="E3277" s="82" t="s">
        <v>4248</v>
      </c>
    </row>
    <row r="3278" spans="5:5" x14ac:dyDescent="0.25">
      <c r="E3278" s="82" t="s">
        <v>4249</v>
      </c>
    </row>
    <row r="3279" spans="5:5" x14ac:dyDescent="0.25">
      <c r="E3279" s="82" t="s">
        <v>4250</v>
      </c>
    </row>
    <row r="3280" spans="5:5" x14ac:dyDescent="0.25">
      <c r="E3280" s="82" t="s">
        <v>4251</v>
      </c>
    </row>
    <row r="3281" spans="5:5" x14ac:dyDescent="0.25">
      <c r="E3281" s="82" t="s">
        <v>4252</v>
      </c>
    </row>
    <row r="3282" spans="5:5" x14ac:dyDescent="0.25">
      <c r="E3282" s="82" t="s">
        <v>4253</v>
      </c>
    </row>
    <row r="3283" spans="5:5" x14ac:dyDescent="0.25">
      <c r="E3283" s="82" t="s">
        <v>4254</v>
      </c>
    </row>
    <row r="3284" spans="5:5" x14ac:dyDescent="0.25">
      <c r="E3284" s="82" t="s">
        <v>4255</v>
      </c>
    </row>
    <row r="3285" spans="5:5" x14ac:dyDescent="0.25">
      <c r="E3285" s="82" t="s">
        <v>4256</v>
      </c>
    </row>
    <row r="3286" spans="5:5" x14ac:dyDescent="0.25">
      <c r="E3286" s="82" t="s">
        <v>4257</v>
      </c>
    </row>
    <row r="3287" spans="5:5" x14ac:dyDescent="0.25">
      <c r="E3287" s="82" t="s">
        <v>4258</v>
      </c>
    </row>
    <row r="3288" spans="5:5" x14ac:dyDescent="0.25">
      <c r="E3288" s="82" t="s">
        <v>4259</v>
      </c>
    </row>
    <row r="3289" spans="5:5" x14ac:dyDescent="0.25">
      <c r="E3289" s="82" t="s">
        <v>4260</v>
      </c>
    </row>
    <row r="3290" spans="5:5" x14ac:dyDescent="0.25">
      <c r="E3290" s="82" t="s">
        <v>4261</v>
      </c>
    </row>
    <row r="3291" spans="5:5" x14ac:dyDescent="0.25">
      <c r="E3291" s="82" t="s">
        <v>4262</v>
      </c>
    </row>
    <row r="3292" spans="5:5" x14ac:dyDescent="0.25">
      <c r="E3292" s="82" t="s">
        <v>4263</v>
      </c>
    </row>
    <row r="3293" spans="5:5" x14ac:dyDescent="0.25">
      <c r="E3293" s="82" t="s">
        <v>4264</v>
      </c>
    </row>
    <row r="3294" spans="5:5" x14ac:dyDescent="0.25">
      <c r="E3294" s="82" t="s">
        <v>4265</v>
      </c>
    </row>
    <row r="3295" spans="5:5" x14ac:dyDescent="0.25">
      <c r="E3295" s="82" t="s">
        <v>4266</v>
      </c>
    </row>
    <row r="3296" spans="5:5" x14ac:dyDescent="0.25">
      <c r="E3296" s="82" t="s">
        <v>4267</v>
      </c>
    </row>
    <row r="3297" spans="5:5" x14ac:dyDescent="0.25">
      <c r="E3297" s="82" t="s">
        <v>4268</v>
      </c>
    </row>
    <row r="3298" spans="5:5" x14ac:dyDescent="0.25">
      <c r="E3298" s="82" t="s">
        <v>4269</v>
      </c>
    </row>
    <row r="3299" spans="5:5" x14ac:dyDescent="0.25">
      <c r="E3299" s="82" t="s">
        <v>4270</v>
      </c>
    </row>
    <row r="3300" spans="5:5" x14ac:dyDescent="0.25">
      <c r="E3300" s="82" t="s">
        <v>4271</v>
      </c>
    </row>
    <row r="3301" spans="5:5" x14ac:dyDescent="0.25">
      <c r="E3301" s="82" t="s">
        <v>4272</v>
      </c>
    </row>
    <row r="3302" spans="5:5" x14ac:dyDescent="0.25">
      <c r="E3302" s="82" t="s">
        <v>4273</v>
      </c>
    </row>
    <row r="3303" spans="5:5" x14ac:dyDescent="0.25">
      <c r="E3303" s="82" t="s">
        <v>4274</v>
      </c>
    </row>
    <row r="3304" spans="5:5" x14ac:dyDescent="0.25">
      <c r="E3304" s="82" t="s">
        <v>4275</v>
      </c>
    </row>
    <row r="3305" spans="5:5" x14ac:dyDescent="0.25">
      <c r="E3305" s="82" t="s">
        <v>4276</v>
      </c>
    </row>
    <row r="3306" spans="5:5" x14ac:dyDescent="0.25">
      <c r="E3306" s="82" t="s">
        <v>4277</v>
      </c>
    </row>
    <row r="3307" spans="5:5" x14ac:dyDescent="0.25">
      <c r="E3307" s="82" t="s">
        <v>4278</v>
      </c>
    </row>
    <row r="3308" spans="5:5" x14ac:dyDescent="0.25">
      <c r="E3308" s="82" t="s">
        <v>4279</v>
      </c>
    </row>
    <row r="3309" spans="5:5" x14ac:dyDescent="0.25">
      <c r="E3309" s="82" t="s">
        <v>4280</v>
      </c>
    </row>
    <row r="3310" spans="5:5" x14ac:dyDescent="0.25">
      <c r="E3310" s="82" t="s">
        <v>4281</v>
      </c>
    </row>
    <row r="3311" spans="5:5" x14ac:dyDescent="0.25">
      <c r="E3311" s="82" t="s">
        <v>4282</v>
      </c>
    </row>
    <row r="3312" spans="5:5" x14ac:dyDescent="0.25">
      <c r="E3312" s="82" t="s">
        <v>4283</v>
      </c>
    </row>
    <row r="3313" spans="5:5" x14ac:dyDescent="0.25">
      <c r="E3313" s="82" t="s">
        <v>4284</v>
      </c>
    </row>
    <row r="3314" spans="5:5" x14ac:dyDescent="0.25">
      <c r="E3314" s="82" t="s">
        <v>4285</v>
      </c>
    </row>
    <row r="3315" spans="5:5" x14ac:dyDescent="0.25">
      <c r="E3315" s="82" t="s">
        <v>4286</v>
      </c>
    </row>
    <row r="3316" spans="5:5" x14ac:dyDescent="0.25">
      <c r="E3316" s="82" t="s">
        <v>4287</v>
      </c>
    </row>
    <row r="3317" spans="5:5" x14ac:dyDescent="0.25">
      <c r="E3317" s="82" t="s">
        <v>4288</v>
      </c>
    </row>
    <row r="3318" spans="5:5" x14ac:dyDescent="0.25">
      <c r="E3318" s="82" t="s">
        <v>4289</v>
      </c>
    </row>
    <row r="3319" spans="5:5" x14ac:dyDescent="0.25">
      <c r="E3319" s="82" t="s">
        <v>4290</v>
      </c>
    </row>
    <row r="3320" spans="5:5" x14ac:dyDescent="0.25">
      <c r="E3320" s="82" t="s">
        <v>4291</v>
      </c>
    </row>
    <row r="3321" spans="5:5" x14ac:dyDescent="0.25">
      <c r="E3321" s="82" t="s">
        <v>4292</v>
      </c>
    </row>
    <row r="3322" spans="5:5" x14ac:dyDescent="0.25">
      <c r="E3322" s="82" t="s">
        <v>4293</v>
      </c>
    </row>
    <row r="3323" spans="5:5" x14ac:dyDescent="0.25">
      <c r="E3323" s="82" t="s">
        <v>4294</v>
      </c>
    </row>
    <row r="3324" spans="5:5" x14ac:dyDescent="0.25">
      <c r="E3324" s="82" t="s">
        <v>4295</v>
      </c>
    </row>
    <row r="3325" spans="5:5" x14ac:dyDescent="0.25">
      <c r="E3325" s="82" t="s">
        <v>4296</v>
      </c>
    </row>
    <row r="3326" spans="5:5" x14ac:dyDescent="0.25">
      <c r="E3326" s="82" t="s">
        <v>4297</v>
      </c>
    </row>
    <row r="3327" spans="5:5" x14ac:dyDescent="0.25">
      <c r="E3327" s="82" t="s">
        <v>4298</v>
      </c>
    </row>
    <row r="3328" spans="5:5" x14ac:dyDescent="0.25">
      <c r="E3328" s="82" t="s">
        <v>4299</v>
      </c>
    </row>
    <row r="3329" spans="5:5" x14ac:dyDescent="0.25">
      <c r="E3329" s="82" t="s">
        <v>4300</v>
      </c>
    </row>
    <row r="3330" spans="5:5" x14ac:dyDescent="0.25">
      <c r="E3330" s="82" t="s">
        <v>4301</v>
      </c>
    </row>
    <row r="3331" spans="5:5" x14ac:dyDescent="0.25">
      <c r="E3331" s="82" t="s">
        <v>4302</v>
      </c>
    </row>
    <row r="3332" spans="5:5" x14ac:dyDescent="0.25">
      <c r="E3332" s="82" t="s">
        <v>4303</v>
      </c>
    </row>
    <row r="3333" spans="5:5" x14ac:dyDescent="0.25">
      <c r="E3333" s="82" t="s">
        <v>4304</v>
      </c>
    </row>
    <row r="3334" spans="5:5" x14ac:dyDescent="0.25">
      <c r="E3334" s="82" t="s">
        <v>4305</v>
      </c>
    </row>
    <row r="3335" spans="5:5" x14ac:dyDescent="0.25">
      <c r="E3335" s="82" t="s">
        <v>4306</v>
      </c>
    </row>
    <row r="3336" spans="5:5" x14ac:dyDescent="0.25">
      <c r="E3336" s="82" t="s">
        <v>4307</v>
      </c>
    </row>
    <row r="3337" spans="5:5" x14ac:dyDescent="0.25">
      <c r="E3337" s="82" t="s">
        <v>4308</v>
      </c>
    </row>
    <row r="3338" spans="5:5" x14ac:dyDescent="0.25">
      <c r="E3338" s="82" t="s">
        <v>4309</v>
      </c>
    </row>
    <row r="3339" spans="5:5" x14ac:dyDescent="0.25">
      <c r="E3339" s="82" t="s">
        <v>4310</v>
      </c>
    </row>
    <row r="3340" spans="5:5" x14ac:dyDescent="0.25">
      <c r="E3340" s="82" t="s">
        <v>4311</v>
      </c>
    </row>
    <row r="3341" spans="5:5" x14ac:dyDescent="0.25">
      <c r="E3341" s="82" t="s">
        <v>4312</v>
      </c>
    </row>
    <row r="3342" spans="5:5" x14ac:dyDescent="0.25">
      <c r="E3342" s="82" t="s">
        <v>4313</v>
      </c>
    </row>
    <row r="3343" spans="5:5" x14ac:dyDescent="0.25">
      <c r="E3343" s="82" t="s">
        <v>4314</v>
      </c>
    </row>
    <row r="3344" spans="5:5" x14ac:dyDescent="0.25">
      <c r="E3344" s="82" t="s">
        <v>4315</v>
      </c>
    </row>
    <row r="3345" spans="5:5" x14ac:dyDescent="0.25">
      <c r="E3345" s="82" t="s">
        <v>4316</v>
      </c>
    </row>
    <row r="3346" spans="5:5" x14ac:dyDescent="0.25">
      <c r="E3346" s="82" t="s">
        <v>4317</v>
      </c>
    </row>
    <row r="3347" spans="5:5" x14ac:dyDescent="0.25">
      <c r="E3347" s="82" t="s">
        <v>4318</v>
      </c>
    </row>
    <row r="3348" spans="5:5" x14ac:dyDescent="0.25">
      <c r="E3348" s="82" t="s">
        <v>4319</v>
      </c>
    </row>
    <row r="3349" spans="5:5" x14ac:dyDescent="0.25">
      <c r="E3349" s="82" t="s">
        <v>4320</v>
      </c>
    </row>
    <row r="3350" spans="5:5" x14ac:dyDescent="0.25">
      <c r="E3350" s="82" t="s">
        <v>4321</v>
      </c>
    </row>
    <row r="3351" spans="5:5" x14ac:dyDescent="0.25">
      <c r="E3351" s="82" t="s">
        <v>4322</v>
      </c>
    </row>
    <row r="3352" spans="5:5" x14ac:dyDescent="0.25">
      <c r="E3352" s="82" t="s">
        <v>4323</v>
      </c>
    </row>
    <row r="3353" spans="5:5" x14ac:dyDescent="0.25">
      <c r="E3353" s="82" t="s">
        <v>4324</v>
      </c>
    </row>
    <row r="3354" spans="5:5" x14ac:dyDescent="0.25">
      <c r="E3354" s="82" t="s">
        <v>4325</v>
      </c>
    </row>
    <row r="3355" spans="5:5" x14ac:dyDescent="0.25">
      <c r="E3355" s="82" t="s">
        <v>4326</v>
      </c>
    </row>
    <row r="3356" spans="5:5" x14ac:dyDescent="0.25">
      <c r="E3356" s="82" t="s">
        <v>4327</v>
      </c>
    </row>
    <row r="3357" spans="5:5" x14ac:dyDescent="0.25">
      <c r="E3357" s="82" t="s">
        <v>4328</v>
      </c>
    </row>
    <row r="3358" spans="5:5" x14ac:dyDescent="0.25">
      <c r="E3358" s="82" t="s">
        <v>4329</v>
      </c>
    </row>
    <row r="3359" spans="5:5" x14ac:dyDescent="0.25">
      <c r="E3359" s="82" t="s">
        <v>4330</v>
      </c>
    </row>
    <row r="3360" spans="5:5" x14ac:dyDescent="0.25">
      <c r="E3360" s="82" t="s">
        <v>4331</v>
      </c>
    </row>
    <row r="3361" spans="5:5" x14ac:dyDescent="0.25">
      <c r="E3361" s="82" t="s">
        <v>4332</v>
      </c>
    </row>
    <row r="3362" spans="5:5" x14ac:dyDescent="0.25">
      <c r="E3362" s="82" t="s">
        <v>4333</v>
      </c>
    </row>
    <row r="3363" spans="5:5" x14ac:dyDescent="0.25">
      <c r="E3363" s="82" t="s">
        <v>4334</v>
      </c>
    </row>
    <row r="3364" spans="5:5" x14ac:dyDescent="0.25">
      <c r="E3364" s="82" t="s">
        <v>4335</v>
      </c>
    </row>
    <row r="3365" spans="5:5" x14ac:dyDescent="0.25">
      <c r="E3365" s="82" t="s">
        <v>4336</v>
      </c>
    </row>
    <row r="3366" spans="5:5" x14ac:dyDescent="0.25">
      <c r="E3366" s="82" t="s">
        <v>4337</v>
      </c>
    </row>
    <row r="3367" spans="5:5" x14ac:dyDescent="0.25">
      <c r="E3367" s="82" t="s">
        <v>4338</v>
      </c>
    </row>
    <row r="3368" spans="5:5" x14ac:dyDescent="0.25">
      <c r="E3368" s="82" t="s">
        <v>4339</v>
      </c>
    </row>
    <row r="3369" spans="5:5" x14ac:dyDescent="0.25">
      <c r="E3369" s="82" t="s">
        <v>4340</v>
      </c>
    </row>
    <row r="3370" spans="5:5" x14ac:dyDescent="0.25">
      <c r="E3370" s="82" t="s">
        <v>4341</v>
      </c>
    </row>
    <row r="3371" spans="5:5" x14ac:dyDescent="0.25">
      <c r="E3371" s="82" t="s">
        <v>4342</v>
      </c>
    </row>
    <row r="3372" spans="5:5" x14ac:dyDescent="0.25">
      <c r="E3372" s="82" t="s">
        <v>4343</v>
      </c>
    </row>
    <row r="3373" spans="5:5" x14ac:dyDescent="0.25">
      <c r="E3373" s="82" t="s">
        <v>4344</v>
      </c>
    </row>
    <row r="3374" spans="5:5" x14ac:dyDescent="0.25">
      <c r="E3374" s="82" t="s">
        <v>4345</v>
      </c>
    </row>
    <row r="3375" spans="5:5" x14ac:dyDescent="0.25">
      <c r="E3375" s="82" t="s">
        <v>4346</v>
      </c>
    </row>
    <row r="3376" spans="5:5" x14ac:dyDescent="0.25">
      <c r="E3376" s="82" t="s">
        <v>4347</v>
      </c>
    </row>
    <row r="3377" spans="5:5" x14ac:dyDescent="0.25">
      <c r="E3377" s="82" t="s">
        <v>4348</v>
      </c>
    </row>
    <row r="3378" spans="5:5" x14ac:dyDescent="0.25">
      <c r="E3378" s="82" t="s">
        <v>4349</v>
      </c>
    </row>
    <row r="3379" spans="5:5" x14ac:dyDescent="0.25">
      <c r="E3379" s="82" t="s">
        <v>4350</v>
      </c>
    </row>
    <row r="3380" spans="5:5" x14ac:dyDescent="0.25">
      <c r="E3380" s="82" t="s">
        <v>4351</v>
      </c>
    </row>
    <row r="3381" spans="5:5" x14ac:dyDescent="0.25">
      <c r="E3381" s="82" t="s">
        <v>4352</v>
      </c>
    </row>
    <row r="3382" spans="5:5" x14ac:dyDescent="0.25">
      <c r="E3382" s="82" t="s">
        <v>4353</v>
      </c>
    </row>
    <row r="3383" spans="5:5" x14ac:dyDescent="0.25">
      <c r="E3383" s="82" t="s">
        <v>4354</v>
      </c>
    </row>
    <row r="3384" spans="5:5" x14ac:dyDescent="0.25">
      <c r="E3384" s="82" t="s">
        <v>4355</v>
      </c>
    </row>
    <row r="3385" spans="5:5" x14ac:dyDescent="0.25">
      <c r="E3385" s="82" t="s">
        <v>4356</v>
      </c>
    </row>
    <row r="3386" spans="5:5" x14ac:dyDescent="0.25">
      <c r="E3386" s="82" t="s">
        <v>4357</v>
      </c>
    </row>
    <row r="3387" spans="5:5" x14ac:dyDescent="0.25">
      <c r="E3387" s="82" t="s">
        <v>4358</v>
      </c>
    </row>
    <row r="3388" spans="5:5" x14ac:dyDescent="0.25">
      <c r="E3388" s="82" t="s">
        <v>4359</v>
      </c>
    </row>
    <row r="3389" spans="5:5" x14ac:dyDescent="0.25">
      <c r="E3389" s="82" t="s">
        <v>4360</v>
      </c>
    </row>
    <row r="3390" spans="5:5" x14ac:dyDescent="0.25">
      <c r="E3390" s="82" t="s">
        <v>4361</v>
      </c>
    </row>
    <row r="3391" spans="5:5" x14ac:dyDescent="0.25">
      <c r="E3391" s="82" t="s">
        <v>4362</v>
      </c>
    </row>
    <row r="3392" spans="5:5" x14ac:dyDescent="0.25">
      <c r="E3392" s="82" t="s">
        <v>4363</v>
      </c>
    </row>
    <row r="3393" spans="5:5" x14ac:dyDescent="0.25">
      <c r="E3393" s="82" t="s">
        <v>4364</v>
      </c>
    </row>
    <row r="3394" spans="5:5" x14ac:dyDescent="0.25">
      <c r="E3394" s="82" t="s">
        <v>4365</v>
      </c>
    </row>
    <row r="3395" spans="5:5" x14ac:dyDescent="0.25">
      <c r="E3395" s="82" t="s">
        <v>4366</v>
      </c>
    </row>
    <row r="3396" spans="5:5" x14ac:dyDescent="0.25">
      <c r="E3396" s="82" t="s">
        <v>4367</v>
      </c>
    </row>
    <row r="3397" spans="5:5" x14ac:dyDescent="0.25">
      <c r="E3397" s="82" t="s">
        <v>4368</v>
      </c>
    </row>
    <row r="3398" spans="5:5" x14ac:dyDescent="0.25">
      <c r="E3398" s="82" t="s">
        <v>4369</v>
      </c>
    </row>
    <row r="3399" spans="5:5" x14ac:dyDescent="0.25">
      <c r="E3399" s="82" t="s">
        <v>4370</v>
      </c>
    </row>
    <row r="3400" spans="5:5" x14ac:dyDescent="0.25">
      <c r="E3400" s="82" t="s">
        <v>4371</v>
      </c>
    </row>
    <row r="3401" spans="5:5" x14ac:dyDescent="0.25">
      <c r="E3401" s="82" t="s">
        <v>4372</v>
      </c>
    </row>
    <row r="3402" spans="5:5" x14ac:dyDescent="0.25">
      <c r="E3402" s="82" t="s">
        <v>4373</v>
      </c>
    </row>
    <row r="3403" spans="5:5" x14ac:dyDescent="0.25">
      <c r="E3403" s="82" t="s">
        <v>4374</v>
      </c>
    </row>
    <row r="3404" spans="5:5" x14ac:dyDescent="0.25">
      <c r="E3404" s="82" t="s">
        <v>4375</v>
      </c>
    </row>
    <row r="3405" spans="5:5" x14ac:dyDescent="0.25">
      <c r="E3405" s="82" t="s">
        <v>4376</v>
      </c>
    </row>
    <row r="3406" spans="5:5" x14ac:dyDescent="0.25">
      <c r="E3406" s="82" t="s">
        <v>4377</v>
      </c>
    </row>
    <row r="3407" spans="5:5" x14ac:dyDescent="0.25">
      <c r="E3407" s="82" t="s">
        <v>4378</v>
      </c>
    </row>
    <row r="3408" spans="5:5" x14ac:dyDescent="0.25">
      <c r="E3408" s="82" t="s">
        <v>4379</v>
      </c>
    </row>
    <row r="3409" spans="5:5" x14ac:dyDescent="0.25">
      <c r="E3409" s="82" t="s">
        <v>4380</v>
      </c>
    </row>
    <row r="3410" spans="5:5" x14ac:dyDescent="0.25">
      <c r="E3410" s="82" t="s">
        <v>4381</v>
      </c>
    </row>
    <row r="3411" spans="5:5" x14ac:dyDescent="0.25">
      <c r="E3411" s="82" t="s">
        <v>4382</v>
      </c>
    </row>
    <row r="3412" spans="5:5" x14ac:dyDescent="0.25">
      <c r="E3412" s="82" t="s">
        <v>4383</v>
      </c>
    </row>
    <row r="3413" spans="5:5" x14ac:dyDescent="0.25">
      <c r="E3413" s="82" t="s">
        <v>4384</v>
      </c>
    </row>
    <row r="3414" spans="5:5" x14ac:dyDescent="0.25">
      <c r="E3414" s="82" t="s">
        <v>4385</v>
      </c>
    </row>
    <row r="3415" spans="5:5" x14ac:dyDescent="0.25">
      <c r="E3415" s="82" t="s">
        <v>4386</v>
      </c>
    </row>
    <row r="3416" spans="5:5" x14ac:dyDescent="0.25">
      <c r="E3416" s="82" t="s">
        <v>4387</v>
      </c>
    </row>
    <row r="3417" spans="5:5" x14ac:dyDescent="0.25">
      <c r="E3417" s="82" t="s">
        <v>4388</v>
      </c>
    </row>
    <row r="3418" spans="5:5" x14ac:dyDescent="0.25">
      <c r="E3418" s="82" t="s">
        <v>4389</v>
      </c>
    </row>
    <row r="3419" spans="5:5" x14ac:dyDescent="0.25">
      <c r="E3419" s="82" t="s">
        <v>4390</v>
      </c>
    </row>
    <row r="3420" spans="5:5" x14ac:dyDescent="0.25">
      <c r="E3420" s="82" t="s">
        <v>4391</v>
      </c>
    </row>
    <row r="3421" spans="5:5" x14ac:dyDescent="0.25">
      <c r="E3421" s="82" t="s">
        <v>4392</v>
      </c>
    </row>
    <row r="3422" spans="5:5" x14ac:dyDescent="0.25">
      <c r="E3422" s="82" t="s">
        <v>4393</v>
      </c>
    </row>
    <row r="3423" spans="5:5" x14ac:dyDescent="0.25">
      <c r="E3423" s="82" t="s">
        <v>4394</v>
      </c>
    </row>
    <row r="3424" spans="5:5" x14ac:dyDescent="0.25">
      <c r="E3424" s="82" t="s">
        <v>4395</v>
      </c>
    </row>
    <row r="3425" spans="5:5" x14ac:dyDescent="0.25">
      <c r="E3425" s="82" t="s">
        <v>4396</v>
      </c>
    </row>
    <row r="3426" spans="5:5" x14ac:dyDescent="0.25">
      <c r="E3426" s="82" t="s">
        <v>4397</v>
      </c>
    </row>
    <row r="3427" spans="5:5" x14ac:dyDescent="0.25">
      <c r="E3427" s="82" t="s">
        <v>4398</v>
      </c>
    </row>
    <row r="3428" spans="5:5" x14ac:dyDescent="0.25">
      <c r="E3428" s="82" t="s">
        <v>4399</v>
      </c>
    </row>
    <row r="3429" spans="5:5" x14ac:dyDescent="0.25">
      <c r="E3429" s="82" t="s">
        <v>4400</v>
      </c>
    </row>
    <row r="3430" spans="5:5" x14ac:dyDescent="0.25">
      <c r="E3430" s="82" t="s">
        <v>4401</v>
      </c>
    </row>
    <row r="3431" spans="5:5" x14ac:dyDescent="0.25">
      <c r="E3431" s="82" t="s">
        <v>4402</v>
      </c>
    </row>
    <row r="3432" spans="5:5" x14ac:dyDescent="0.25">
      <c r="E3432" s="82" t="s">
        <v>4403</v>
      </c>
    </row>
    <row r="3433" spans="5:5" x14ac:dyDescent="0.25">
      <c r="E3433" s="82" t="s">
        <v>4404</v>
      </c>
    </row>
    <row r="3434" spans="5:5" x14ac:dyDescent="0.25">
      <c r="E3434" s="82" t="s">
        <v>4405</v>
      </c>
    </row>
    <row r="3435" spans="5:5" x14ac:dyDescent="0.25">
      <c r="E3435" s="82" t="s">
        <v>4406</v>
      </c>
    </row>
    <row r="3436" spans="5:5" x14ac:dyDescent="0.25">
      <c r="E3436" s="82" t="s">
        <v>4407</v>
      </c>
    </row>
    <row r="3437" spans="5:5" x14ac:dyDescent="0.25">
      <c r="E3437" s="82" t="s">
        <v>4408</v>
      </c>
    </row>
    <row r="3438" spans="5:5" x14ac:dyDescent="0.25">
      <c r="E3438" s="82" t="s">
        <v>4409</v>
      </c>
    </row>
    <row r="3439" spans="5:5" x14ac:dyDescent="0.25">
      <c r="E3439" s="82" t="s">
        <v>4410</v>
      </c>
    </row>
    <row r="3440" spans="5:5" x14ac:dyDescent="0.25">
      <c r="E3440" s="82" t="s">
        <v>4411</v>
      </c>
    </row>
    <row r="3441" spans="5:5" x14ac:dyDescent="0.25">
      <c r="E3441" s="82" t="s">
        <v>4412</v>
      </c>
    </row>
    <row r="3442" spans="5:5" x14ac:dyDescent="0.25">
      <c r="E3442" s="82" t="s">
        <v>4413</v>
      </c>
    </row>
    <row r="3443" spans="5:5" x14ac:dyDescent="0.25">
      <c r="E3443" s="82" t="s">
        <v>4414</v>
      </c>
    </row>
    <row r="3444" spans="5:5" x14ac:dyDescent="0.25">
      <c r="E3444" s="82" t="s">
        <v>4415</v>
      </c>
    </row>
    <row r="3445" spans="5:5" x14ac:dyDescent="0.25">
      <c r="E3445" s="82" t="s">
        <v>4416</v>
      </c>
    </row>
    <row r="3446" spans="5:5" x14ac:dyDescent="0.25">
      <c r="E3446" s="82" t="s">
        <v>4417</v>
      </c>
    </row>
    <row r="3447" spans="5:5" x14ac:dyDescent="0.25">
      <c r="E3447" s="82" t="s">
        <v>4418</v>
      </c>
    </row>
    <row r="3448" spans="5:5" x14ac:dyDescent="0.25">
      <c r="E3448" s="82" t="s">
        <v>4419</v>
      </c>
    </row>
    <row r="3449" spans="5:5" x14ac:dyDescent="0.25">
      <c r="E3449" s="82" t="s">
        <v>4420</v>
      </c>
    </row>
    <row r="3450" spans="5:5" x14ac:dyDescent="0.25">
      <c r="E3450" s="82" t="s">
        <v>4421</v>
      </c>
    </row>
    <row r="3451" spans="5:5" x14ac:dyDescent="0.25">
      <c r="E3451" s="82" t="s">
        <v>4422</v>
      </c>
    </row>
    <row r="3452" spans="5:5" x14ac:dyDescent="0.25">
      <c r="E3452" s="82" t="s">
        <v>4423</v>
      </c>
    </row>
    <row r="3453" spans="5:5" x14ac:dyDescent="0.25">
      <c r="E3453" s="82" t="s">
        <v>4424</v>
      </c>
    </row>
    <row r="3454" spans="5:5" x14ac:dyDescent="0.25">
      <c r="E3454" s="82" t="s">
        <v>4425</v>
      </c>
    </row>
    <row r="3455" spans="5:5" x14ac:dyDescent="0.25">
      <c r="E3455" s="82" t="s">
        <v>4426</v>
      </c>
    </row>
    <row r="3456" spans="5:5" x14ac:dyDescent="0.25">
      <c r="E3456" s="82" t="s">
        <v>4427</v>
      </c>
    </row>
    <row r="3457" spans="5:5" x14ac:dyDescent="0.25">
      <c r="E3457" s="82" t="s">
        <v>4428</v>
      </c>
    </row>
    <row r="3458" spans="5:5" x14ac:dyDescent="0.25">
      <c r="E3458" s="82" t="s">
        <v>4429</v>
      </c>
    </row>
    <row r="3459" spans="5:5" x14ac:dyDescent="0.25">
      <c r="E3459" s="82" t="s">
        <v>4430</v>
      </c>
    </row>
    <row r="3460" spans="5:5" x14ac:dyDescent="0.25">
      <c r="E3460" s="82" t="s">
        <v>4431</v>
      </c>
    </row>
    <row r="3461" spans="5:5" x14ac:dyDescent="0.25">
      <c r="E3461" s="82" t="s">
        <v>4432</v>
      </c>
    </row>
    <row r="3462" spans="5:5" x14ac:dyDescent="0.25">
      <c r="E3462" s="82" t="s">
        <v>4433</v>
      </c>
    </row>
    <row r="3463" spans="5:5" x14ac:dyDescent="0.25">
      <c r="E3463" s="82" t="s">
        <v>4434</v>
      </c>
    </row>
    <row r="3464" spans="5:5" x14ac:dyDescent="0.25">
      <c r="E3464" s="82" t="s">
        <v>4435</v>
      </c>
    </row>
    <row r="3465" spans="5:5" x14ac:dyDescent="0.25">
      <c r="E3465" s="82" t="s">
        <v>4436</v>
      </c>
    </row>
    <row r="3466" spans="5:5" x14ac:dyDescent="0.25">
      <c r="E3466" s="82" t="s">
        <v>4437</v>
      </c>
    </row>
    <row r="3467" spans="5:5" x14ac:dyDescent="0.25">
      <c r="E3467" s="82" t="s">
        <v>4438</v>
      </c>
    </row>
    <row r="3468" spans="5:5" x14ac:dyDescent="0.25">
      <c r="E3468" s="82" t="s">
        <v>4439</v>
      </c>
    </row>
    <row r="3469" spans="5:5" x14ac:dyDescent="0.25">
      <c r="E3469" s="82" t="s">
        <v>4440</v>
      </c>
    </row>
    <row r="3470" spans="5:5" x14ac:dyDescent="0.25">
      <c r="E3470" s="82" t="s">
        <v>4441</v>
      </c>
    </row>
    <row r="3471" spans="5:5" x14ac:dyDescent="0.25">
      <c r="E3471" s="82" t="s">
        <v>4442</v>
      </c>
    </row>
    <row r="3472" spans="5:5" x14ac:dyDescent="0.25">
      <c r="E3472" s="82" t="s">
        <v>4443</v>
      </c>
    </row>
    <row r="3473" spans="5:5" x14ac:dyDescent="0.25">
      <c r="E3473" s="82" t="s">
        <v>4444</v>
      </c>
    </row>
    <row r="3474" spans="5:5" x14ac:dyDescent="0.25">
      <c r="E3474" s="82" t="s">
        <v>4445</v>
      </c>
    </row>
    <row r="3475" spans="5:5" x14ac:dyDescent="0.25">
      <c r="E3475" s="82" t="s">
        <v>4446</v>
      </c>
    </row>
    <row r="3476" spans="5:5" x14ac:dyDescent="0.25">
      <c r="E3476" s="82" t="s">
        <v>4447</v>
      </c>
    </row>
    <row r="3477" spans="5:5" x14ac:dyDescent="0.25">
      <c r="E3477" s="82" t="s">
        <v>4448</v>
      </c>
    </row>
    <row r="3478" spans="5:5" x14ac:dyDescent="0.25">
      <c r="E3478" s="82" t="s">
        <v>4449</v>
      </c>
    </row>
    <row r="3479" spans="5:5" x14ac:dyDescent="0.25">
      <c r="E3479" s="82" t="s">
        <v>4450</v>
      </c>
    </row>
    <row r="3480" spans="5:5" x14ac:dyDescent="0.25">
      <c r="E3480" s="82" t="s">
        <v>4451</v>
      </c>
    </row>
    <row r="3481" spans="5:5" x14ac:dyDescent="0.25">
      <c r="E3481" s="82" t="s">
        <v>4452</v>
      </c>
    </row>
    <row r="3482" spans="5:5" x14ac:dyDescent="0.25">
      <c r="E3482" s="82" t="s">
        <v>4453</v>
      </c>
    </row>
    <row r="3483" spans="5:5" x14ac:dyDescent="0.25">
      <c r="E3483" s="82" t="s">
        <v>4454</v>
      </c>
    </row>
    <row r="3484" spans="5:5" x14ac:dyDescent="0.25">
      <c r="E3484" s="82" t="s">
        <v>4455</v>
      </c>
    </row>
    <row r="3485" spans="5:5" x14ac:dyDescent="0.25">
      <c r="E3485" s="82" t="s">
        <v>4456</v>
      </c>
    </row>
    <row r="3486" spans="5:5" x14ac:dyDescent="0.25">
      <c r="E3486" s="82" t="s">
        <v>4457</v>
      </c>
    </row>
    <row r="3487" spans="5:5" x14ac:dyDescent="0.25">
      <c r="E3487" s="82" t="s">
        <v>4458</v>
      </c>
    </row>
    <row r="3488" spans="5:5" x14ac:dyDescent="0.25">
      <c r="E3488" s="82" t="s">
        <v>4459</v>
      </c>
    </row>
    <row r="3489" spans="5:5" x14ac:dyDescent="0.25">
      <c r="E3489" s="82" t="s">
        <v>4460</v>
      </c>
    </row>
    <row r="3490" spans="5:5" x14ac:dyDescent="0.25">
      <c r="E3490" s="82" t="s">
        <v>4461</v>
      </c>
    </row>
    <row r="3491" spans="5:5" x14ac:dyDescent="0.25">
      <c r="E3491" s="82" t="s">
        <v>4462</v>
      </c>
    </row>
    <row r="3492" spans="5:5" x14ac:dyDescent="0.25">
      <c r="E3492" s="82" t="s">
        <v>4463</v>
      </c>
    </row>
    <row r="3493" spans="5:5" x14ac:dyDescent="0.25">
      <c r="E3493" s="82" t="s">
        <v>4464</v>
      </c>
    </row>
    <row r="3494" spans="5:5" x14ac:dyDescent="0.25">
      <c r="E3494" s="82" t="s">
        <v>4465</v>
      </c>
    </row>
    <row r="3495" spans="5:5" x14ac:dyDescent="0.25">
      <c r="E3495" s="82" t="s">
        <v>4466</v>
      </c>
    </row>
    <row r="3496" spans="5:5" x14ac:dyDescent="0.25">
      <c r="E3496" s="82" t="s">
        <v>4467</v>
      </c>
    </row>
    <row r="3497" spans="5:5" x14ac:dyDescent="0.25">
      <c r="E3497" s="82" t="s">
        <v>4468</v>
      </c>
    </row>
    <row r="3498" spans="5:5" x14ac:dyDescent="0.25">
      <c r="E3498" s="82" t="s">
        <v>4469</v>
      </c>
    </row>
    <row r="3499" spans="5:5" x14ac:dyDescent="0.25">
      <c r="E3499" s="82" t="s">
        <v>4470</v>
      </c>
    </row>
    <row r="3500" spans="5:5" x14ac:dyDescent="0.25">
      <c r="E3500" s="82" t="s">
        <v>4471</v>
      </c>
    </row>
    <row r="3501" spans="5:5" x14ac:dyDescent="0.25">
      <c r="E3501" s="82" t="s">
        <v>4472</v>
      </c>
    </row>
    <row r="3502" spans="5:5" x14ac:dyDescent="0.25">
      <c r="E3502" s="82" t="s">
        <v>4473</v>
      </c>
    </row>
    <row r="3503" spans="5:5" x14ac:dyDescent="0.25">
      <c r="E3503" s="82" t="s">
        <v>4474</v>
      </c>
    </row>
    <row r="3504" spans="5:5" x14ac:dyDescent="0.25">
      <c r="E3504" s="82" t="s">
        <v>4475</v>
      </c>
    </row>
    <row r="3505" spans="5:5" x14ac:dyDescent="0.25">
      <c r="E3505" s="82" t="s">
        <v>4476</v>
      </c>
    </row>
    <row r="3506" spans="5:5" x14ac:dyDescent="0.25">
      <c r="E3506" s="82" t="s">
        <v>4477</v>
      </c>
    </row>
    <row r="3507" spans="5:5" x14ac:dyDescent="0.25">
      <c r="E3507" s="82" t="s">
        <v>4478</v>
      </c>
    </row>
    <row r="3508" spans="5:5" x14ac:dyDescent="0.25">
      <c r="E3508" s="82" t="s">
        <v>4479</v>
      </c>
    </row>
    <row r="3509" spans="5:5" x14ac:dyDescent="0.25">
      <c r="E3509" s="82" t="s">
        <v>4480</v>
      </c>
    </row>
    <row r="3510" spans="5:5" x14ac:dyDescent="0.25">
      <c r="E3510" s="82" t="s">
        <v>4481</v>
      </c>
    </row>
    <row r="3511" spans="5:5" x14ac:dyDescent="0.25">
      <c r="E3511" s="82" t="s">
        <v>4482</v>
      </c>
    </row>
    <row r="3512" spans="5:5" x14ac:dyDescent="0.25">
      <c r="E3512" s="82" t="s">
        <v>4483</v>
      </c>
    </row>
    <row r="3513" spans="5:5" x14ac:dyDescent="0.25">
      <c r="E3513" s="82" t="s">
        <v>4484</v>
      </c>
    </row>
    <row r="3514" spans="5:5" x14ac:dyDescent="0.25">
      <c r="E3514" s="82" t="s">
        <v>4485</v>
      </c>
    </row>
    <row r="3515" spans="5:5" x14ac:dyDescent="0.25">
      <c r="E3515" s="82" t="s">
        <v>4486</v>
      </c>
    </row>
    <row r="3516" spans="5:5" x14ac:dyDescent="0.25">
      <c r="E3516" s="82" t="s">
        <v>4487</v>
      </c>
    </row>
    <row r="3517" spans="5:5" x14ac:dyDescent="0.25">
      <c r="E3517" s="82" t="s">
        <v>4488</v>
      </c>
    </row>
    <row r="3518" spans="5:5" x14ac:dyDescent="0.25">
      <c r="E3518" s="82" t="s">
        <v>4489</v>
      </c>
    </row>
    <row r="3519" spans="5:5" x14ac:dyDescent="0.25">
      <c r="E3519" s="82" t="s">
        <v>4490</v>
      </c>
    </row>
    <row r="3520" spans="5:5" x14ac:dyDescent="0.25">
      <c r="E3520" s="82" t="s">
        <v>4491</v>
      </c>
    </row>
    <row r="3521" spans="5:5" x14ac:dyDescent="0.25">
      <c r="E3521" s="82" t="s">
        <v>4492</v>
      </c>
    </row>
    <row r="3522" spans="5:5" x14ac:dyDescent="0.25">
      <c r="E3522" s="82" t="s">
        <v>4493</v>
      </c>
    </row>
    <row r="3523" spans="5:5" x14ac:dyDescent="0.25">
      <c r="E3523" s="82" t="s">
        <v>4494</v>
      </c>
    </row>
    <row r="3524" spans="5:5" x14ac:dyDescent="0.25">
      <c r="E3524" s="82" t="s">
        <v>4495</v>
      </c>
    </row>
    <row r="3525" spans="5:5" x14ac:dyDescent="0.25">
      <c r="E3525" s="82" t="s">
        <v>4496</v>
      </c>
    </row>
    <row r="3526" spans="5:5" x14ac:dyDescent="0.25">
      <c r="E3526" s="82" t="s">
        <v>4497</v>
      </c>
    </row>
    <row r="3527" spans="5:5" x14ac:dyDescent="0.25">
      <c r="E3527" s="82" t="s">
        <v>4498</v>
      </c>
    </row>
    <row r="3528" spans="5:5" x14ac:dyDescent="0.25">
      <c r="E3528" s="82" t="s">
        <v>4499</v>
      </c>
    </row>
    <row r="3529" spans="5:5" x14ac:dyDescent="0.25">
      <c r="E3529" s="82" t="s">
        <v>4500</v>
      </c>
    </row>
    <row r="3530" spans="5:5" x14ac:dyDescent="0.25">
      <c r="E3530" s="82" t="s">
        <v>4501</v>
      </c>
    </row>
    <row r="3531" spans="5:5" x14ac:dyDescent="0.25">
      <c r="E3531" s="82" t="s">
        <v>4502</v>
      </c>
    </row>
    <row r="3532" spans="5:5" x14ac:dyDescent="0.25">
      <c r="E3532" s="82" t="s">
        <v>4503</v>
      </c>
    </row>
    <row r="3533" spans="5:5" x14ac:dyDescent="0.25">
      <c r="E3533" s="82" t="s">
        <v>4504</v>
      </c>
    </row>
    <row r="3534" spans="5:5" x14ac:dyDescent="0.25">
      <c r="E3534" s="82" t="s">
        <v>4505</v>
      </c>
    </row>
    <row r="3535" spans="5:5" x14ac:dyDescent="0.25">
      <c r="E3535" s="82" t="s">
        <v>4506</v>
      </c>
    </row>
    <row r="3536" spans="5:5" x14ac:dyDescent="0.25">
      <c r="E3536" s="82" t="s">
        <v>4507</v>
      </c>
    </row>
    <row r="3537" spans="5:5" x14ac:dyDescent="0.25">
      <c r="E3537" s="82" t="s">
        <v>4508</v>
      </c>
    </row>
    <row r="3538" spans="5:5" x14ac:dyDescent="0.25">
      <c r="E3538" s="82" t="s">
        <v>4509</v>
      </c>
    </row>
    <row r="3539" spans="5:5" x14ac:dyDescent="0.25">
      <c r="E3539" s="82" t="s">
        <v>4510</v>
      </c>
    </row>
    <row r="3540" spans="5:5" x14ac:dyDescent="0.25">
      <c r="E3540" s="82" t="s">
        <v>4511</v>
      </c>
    </row>
    <row r="3541" spans="5:5" x14ac:dyDescent="0.25">
      <c r="E3541" s="82" t="s">
        <v>4512</v>
      </c>
    </row>
    <row r="3542" spans="5:5" x14ac:dyDescent="0.25">
      <c r="E3542" s="82" t="s">
        <v>4513</v>
      </c>
    </row>
    <row r="3543" spans="5:5" x14ac:dyDescent="0.25">
      <c r="E3543" s="82" t="s">
        <v>4514</v>
      </c>
    </row>
    <row r="3544" spans="5:5" x14ac:dyDescent="0.25">
      <c r="E3544" s="82" t="s">
        <v>4515</v>
      </c>
    </row>
    <row r="3545" spans="5:5" x14ac:dyDescent="0.25">
      <c r="E3545" s="82" t="s">
        <v>4516</v>
      </c>
    </row>
    <row r="3546" spans="5:5" x14ac:dyDescent="0.25">
      <c r="E3546" s="82" t="s">
        <v>4517</v>
      </c>
    </row>
    <row r="3547" spans="5:5" x14ac:dyDescent="0.25">
      <c r="E3547" s="82" t="s">
        <v>4518</v>
      </c>
    </row>
    <row r="3548" spans="5:5" x14ac:dyDescent="0.25">
      <c r="E3548" s="82" t="s">
        <v>4519</v>
      </c>
    </row>
    <row r="3549" spans="5:5" x14ac:dyDescent="0.25">
      <c r="E3549" s="82" t="s">
        <v>4520</v>
      </c>
    </row>
    <row r="3550" spans="5:5" x14ac:dyDescent="0.25">
      <c r="E3550" s="82" t="s">
        <v>4521</v>
      </c>
    </row>
    <row r="3551" spans="5:5" x14ac:dyDescent="0.25">
      <c r="E3551" s="82" t="s">
        <v>4522</v>
      </c>
    </row>
    <row r="3552" spans="5:5" x14ac:dyDescent="0.25">
      <c r="E3552" s="82" t="s">
        <v>4523</v>
      </c>
    </row>
    <row r="3553" spans="5:5" x14ac:dyDescent="0.25">
      <c r="E3553" s="82" t="s">
        <v>4524</v>
      </c>
    </row>
    <row r="3554" spans="5:5" x14ac:dyDescent="0.25">
      <c r="E3554" s="82" t="s">
        <v>4525</v>
      </c>
    </row>
    <row r="3555" spans="5:5" x14ac:dyDescent="0.25">
      <c r="E3555" s="82" t="s">
        <v>4526</v>
      </c>
    </row>
    <row r="3556" spans="5:5" x14ac:dyDescent="0.25">
      <c r="E3556" s="82" t="s">
        <v>4527</v>
      </c>
    </row>
    <row r="3557" spans="5:5" x14ac:dyDescent="0.25">
      <c r="E3557" s="82" t="s">
        <v>4528</v>
      </c>
    </row>
    <row r="3558" spans="5:5" x14ac:dyDescent="0.25">
      <c r="E3558" s="82" t="s">
        <v>4529</v>
      </c>
    </row>
    <row r="3559" spans="5:5" x14ac:dyDescent="0.25">
      <c r="E3559" s="82" t="s">
        <v>4530</v>
      </c>
    </row>
    <row r="3560" spans="5:5" x14ac:dyDescent="0.25">
      <c r="E3560" s="82" t="s">
        <v>4531</v>
      </c>
    </row>
    <row r="3561" spans="5:5" x14ac:dyDescent="0.25">
      <c r="E3561" s="82" t="s">
        <v>4532</v>
      </c>
    </row>
    <row r="3562" spans="5:5" x14ac:dyDescent="0.25">
      <c r="E3562" s="82" t="s">
        <v>4533</v>
      </c>
    </row>
    <row r="3563" spans="5:5" x14ac:dyDescent="0.25">
      <c r="E3563" s="82" t="s">
        <v>4534</v>
      </c>
    </row>
    <row r="3564" spans="5:5" x14ac:dyDescent="0.25">
      <c r="E3564" s="82" t="s">
        <v>4535</v>
      </c>
    </row>
    <row r="3565" spans="5:5" x14ac:dyDescent="0.25">
      <c r="E3565" s="82" t="s">
        <v>4536</v>
      </c>
    </row>
    <row r="3566" spans="5:5" x14ac:dyDescent="0.25">
      <c r="E3566" s="82" t="s">
        <v>4537</v>
      </c>
    </row>
    <row r="3567" spans="5:5" x14ac:dyDescent="0.25">
      <c r="E3567" s="82" t="s">
        <v>4538</v>
      </c>
    </row>
    <row r="3568" spans="5:5" x14ac:dyDescent="0.25">
      <c r="E3568" s="82" t="s">
        <v>4539</v>
      </c>
    </row>
    <row r="3569" spans="5:5" x14ac:dyDescent="0.25">
      <c r="E3569" s="82" t="s">
        <v>4540</v>
      </c>
    </row>
    <row r="3570" spans="5:5" x14ac:dyDescent="0.25">
      <c r="E3570" s="82" t="s">
        <v>4541</v>
      </c>
    </row>
    <row r="3571" spans="5:5" x14ac:dyDescent="0.25">
      <c r="E3571" s="82" t="s">
        <v>4542</v>
      </c>
    </row>
    <row r="3572" spans="5:5" x14ac:dyDescent="0.25">
      <c r="E3572" s="82" t="s">
        <v>4543</v>
      </c>
    </row>
    <row r="3573" spans="5:5" x14ac:dyDescent="0.25">
      <c r="E3573" s="82" t="s">
        <v>4544</v>
      </c>
    </row>
    <row r="3574" spans="5:5" x14ac:dyDescent="0.25">
      <c r="E3574" s="82" t="s">
        <v>4545</v>
      </c>
    </row>
    <row r="3575" spans="5:5" x14ac:dyDescent="0.25">
      <c r="E3575" s="82" t="s">
        <v>4546</v>
      </c>
    </row>
    <row r="3576" spans="5:5" x14ac:dyDescent="0.25">
      <c r="E3576" s="82" t="s">
        <v>4547</v>
      </c>
    </row>
    <row r="3577" spans="5:5" x14ac:dyDescent="0.25">
      <c r="E3577" s="82" t="s">
        <v>4548</v>
      </c>
    </row>
    <row r="3578" spans="5:5" x14ac:dyDescent="0.25">
      <c r="E3578" s="82" t="s">
        <v>4549</v>
      </c>
    </row>
    <row r="3579" spans="5:5" x14ac:dyDescent="0.25">
      <c r="E3579" s="82" t="s">
        <v>4550</v>
      </c>
    </row>
    <row r="3580" spans="5:5" x14ac:dyDescent="0.25">
      <c r="E3580" s="82" t="s">
        <v>4551</v>
      </c>
    </row>
    <row r="3581" spans="5:5" x14ac:dyDescent="0.25">
      <c r="E3581" s="82" t="s">
        <v>4552</v>
      </c>
    </row>
    <row r="3582" spans="5:5" x14ac:dyDescent="0.25">
      <c r="E3582" s="82" t="s">
        <v>4553</v>
      </c>
    </row>
    <row r="3583" spans="5:5" x14ac:dyDescent="0.25">
      <c r="E3583" s="82" t="s">
        <v>4554</v>
      </c>
    </row>
    <row r="3584" spans="5:5" x14ac:dyDescent="0.25">
      <c r="E3584" s="82" t="s">
        <v>4555</v>
      </c>
    </row>
    <row r="3585" spans="5:5" x14ac:dyDescent="0.25">
      <c r="E3585" s="82" t="s">
        <v>4556</v>
      </c>
    </row>
    <row r="3586" spans="5:5" x14ac:dyDescent="0.25">
      <c r="E3586" s="82" t="s">
        <v>4557</v>
      </c>
    </row>
    <row r="3587" spans="5:5" x14ac:dyDescent="0.25">
      <c r="E3587" s="82" t="s">
        <v>4558</v>
      </c>
    </row>
    <row r="3588" spans="5:5" x14ac:dyDescent="0.25">
      <c r="E3588" s="82" t="s">
        <v>4559</v>
      </c>
    </row>
    <row r="3589" spans="5:5" x14ac:dyDescent="0.25">
      <c r="E3589" s="82" t="s">
        <v>4560</v>
      </c>
    </row>
    <row r="3590" spans="5:5" x14ac:dyDescent="0.25">
      <c r="E3590" s="82" t="s">
        <v>4561</v>
      </c>
    </row>
    <row r="3591" spans="5:5" x14ac:dyDescent="0.25">
      <c r="E3591" s="82" t="s">
        <v>4562</v>
      </c>
    </row>
    <row r="3592" spans="5:5" x14ac:dyDescent="0.25">
      <c r="E3592" s="82" t="s">
        <v>4563</v>
      </c>
    </row>
    <row r="3593" spans="5:5" x14ac:dyDescent="0.25">
      <c r="E3593" s="82" t="s">
        <v>4564</v>
      </c>
    </row>
    <row r="3594" spans="5:5" x14ac:dyDescent="0.25">
      <c r="E3594" s="82" t="s">
        <v>4565</v>
      </c>
    </row>
    <row r="3595" spans="5:5" x14ac:dyDescent="0.25">
      <c r="E3595" s="82" t="s">
        <v>4566</v>
      </c>
    </row>
    <row r="3596" spans="5:5" x14ac:dyDescent="0.25">
      <c r="E3596" s="82" t="s">
        <v>4567</v>
      </c>
    </row>
    <row r="3597" spans="5:5" x14ac:dyDescent="0.25">
      <c r="E3597" s="82" t="s">
        <v>4568</v>
      </c>
    </row>
    <row r="3598" spans="5:5" x14ac:dyDescent="0.25">
      <c r="E3598" s="82" t="s">
        <v>4569</v>
      </c>
    </row>
    <row r="3599" spans="5:5" x14ac:dyDescent="0.25">
      <c r="E3599" s="82" t="s">
        <v>4570</v>
      </c>
    </row>
    <row r="3600" spans="5:5" x14ac:dyDescent="0.25">
      <c r="E3600" s="82" t="s">
        <v>4571</v>
      </c>
    </row>
    <row r="3601" spans="5:5" x14ac:dyDescent="0.25">
      <c r="E3601" s="82" t="s">
        <v>4572</v>
      </c>
    </row>
    <row r="3602" spans="5:5" x14ac:dyDescent="0.25">
      <c r="E3602" s="82" t="s">
        <v>4573</v>
      </c>
    </row>
    <row r="3603" spans="5:5" x14ac:dyDescent="0.25">
      <c r="E3603" s="82" t="s">
        <v>4574</v>
      </c>
    </row>
    <row r="3604" spans="5:5" x14ac:dyDescent="0.25">
      <c r="E3604" s="82" t="s">
        <v>4575</v>
      </c>
    </row>
    <row r="3605" spans="5:5" x14ac:dyDescent="0.25">
      <c r="E3605" s="82" t="s">
        <v>4576</v>
      </c>
    </row>
    <row r="3606" spans="5:5" x14ac:dyDescent="0.25">
      <c r="E3606" s="82" t="s">
        <v>4577</v>
      </c>
    </row>
    <row r="3607" spans="5:5" x14ac:dyDescent="0.25">
      <c r="E3607" s="82" t="s">
        <v>4578</v>
      </c>
    </row>
    <row r="3608" spans="5:5" x14ac:dyDescent="0.25">
      <c r="E3608" s="82" t="s">
        <v>4579</v>
      </c>
    </row>
    <row r="3609" spans="5:5" x14ac:dyDescent="0.25">
      <c r="E3609" s="82" t="s">
        <v>4580</v>
      </c>
    </row>
    <row r="3610" spans="5:5" x14ac:dyDescent="0.25">
      <c r="E3610" s="82" t="s">
        <v>4581</v>
      </c>
    </row>
    <row r="3611" spans="5:5" x14ac:dyDescent="0.25">
      <c r="E3611" s="82" t="s">
        <v>4582</v>
      </c>
    </row>
    <row r="3612" spans="5:5" x14ac:dyDescent="0.25">
      <c r="E3612" s="82" t="s">
        <v>4583</v>
      </c>
    </row>
    <row r="3613" spans="5:5" x14ac:dyDescent="0.25">
      <c r="E3613" s="82" t="s">
        <v>4584</v>
      </c>
    </row>
    <row r="3614" spans="5:5" x14ac:dyDescent="0.25">
      <c r="E3614" s="82" t="s">
        <v>4585</v>
      </c>
    </row>
    <row r="3615" spans="5:5" x14ac:dyDescent="0.25">
      <c r="E3615" s="82" t="s">
        <v>4586</v>
      </c>
    </row>
    <row r="3616" spans="5:5" x14ac:dyDescent="0.25">
      <c r="E3616" s="82" t="s">
        <v>4587</v>
      </c>
    </row>
    <row r="3617" spans="5:5" x14ac:dyDescent="0.25">
      <c r="E3617" s="82" t="s">
        <v>4588</v>
      </c>
    </row>
    <row r="3618" spans="5:5" x14ac:dyDescent="0.25">
      <c r="E3618" s="82" t="s">
        <v>4589</v>
      </c>
    </row>
    <row r="3619" spans="5:5" x14ac:dyDescent="0.25">
      <c r="E3619" s="82" t="s">
        <v>4590</v>
      </c>
    </row>
    <row r="3620" spans="5:5" x14ac:dyDescent="0.25">
      <c r="E3620" s="82" t="s">
        <v>4591</v>
      </c>
    </row>
    <row r="3621" spans="5:5" x14ac:dyDescent="0.25">
      <c r="E3621" s="82" t="s">
        <v>4592</v>
      </c>
    </row>
    <row r="3622" spans="5:5" x14ac:dyDescent="0.25">
      <c r="E3622" s="82" t="s">
        <v>4593</v>
      </c>
    </row>
    <row r="3623" spans="5:5" x14ac:dyDescent="0.25">
      <c r="E3623" s="82" t="s">
        <v>4594</v>
      </c>
    </row>
    <row r="3624" spans="5:5" x14ac:dyDescent="0.25">
      <c r="E3624" s="82" t="s">
        <v>4595</v>
      </c>
    </row>
    <row r="3625" spans="5:5" x14ac:dyDescent="0.25">
      <c r="E3625" s="82" t="s">
        <v>4596</v>
      </c>
    </row>
    <row r="3626" spans="5:5" x14ac:dyDescent="0.25">
      <c r="E3626" s="82" t="s">
        <v>4597</v>
      </c>
    </row>
    <row r="3627" spans="5:5" x14ac:dyDescent="0.25">
      <c r="E3627" s="82" t="s">
        <v>4598</v>
      </c>
    </row>
    <row r="3628" spans="5:5" x14ac:dyDescent="0.25">
      <c r="E3628" s="82" t="s">
        <v>4599</v>
      </c>
    </row>
    <row r="3629" spans="5:5" x14ac:dyDescent="0.25">
      <c r="E3629" s="82" t="s">
        <v>4600</v>
      </c>
    </row>
    <row r="3630" spans="5:5" x14ac:dyDescent="0.25">
      <c r="E3630" s="82" t="s">
        <v>4601</v>
      </c>
    </row>
    <row r="3631" spans="5:5" x14ac:dyDescent="0.25">
      <c r="E3631" s="82" t="s">
        <v>4602</v>
      </c>
    </row>
    <row r="3632" spans="5:5" x14ac:dyDescent="0.25">
      <c r="E3632" s="82" t="s">
        <v>4603</v>
      </c>
    </row>
    <row r="3633" spans="5:5" x14ac:dyDescent="0.25">
      <c r="E3633" s="82" t="s">
        <v>4604</v>
      </c>
    </row>
    <row r="3634" spans="5:5" x14ac:dyDescent="0.25">
      <c r="E3634" s="82" t="s">
        <v>4605</v>
      </c>
    </row>
    <row r="3635" spans="5:5" x14ac:dyDescent="0.25">
      <c r="E3635" s="82" t="s">
        <v>4606</v>
      </c>
    </row>
    <row r="3636" spans="5:5" x14ac:dyDescent="0.25">
      <c r="E3636" s="82" t="s">
        <v>4607</v>
      </c>
    </row>
    <row r="3637" spans="5:5" x14ac:dyDescent="0.25">
      <c r="E3637" s="82" t="s">
        <v>4608</v>
      </c>
    </row>
    <row r="3638" spans="5:5" x14ac:dyDescent="0.25">
      <c r="E3638" s="82" t="s">
        <v>4609</v>
      </c>
    </row>
    <row r="3639" spans="5:5" x14ac:dyDescent="0.25">
      <c r="E3639" s="82" t="s">
        <v>4610</v>
      </c>
    </row>
    <row r="3640" spans="5:5" x14ac:dyDescent="0.25">
      <c r="E3640" s="82" t="s">
        <v>4611</v>
      </c>
    </row>
    <row r="3641" spans="5:5" x14ac:dyDescent="0.25">
      <c r="E3641" s="82" t="s">
        <v>4612</v>
      </c>
    </row>
    <row r="3642" spans="5:5" x14ac:dyDescent="0.25">
      <c r="E3642" s="82" t="s">
        <v>4613</v>
      </c>
    </row>
    <row r="3643" spans="5:5" x14ac:dyDescent="0.25">
      <c r="E3643" s="82" t="s">
        <v>4614</v>
      </c>
    </row>
    <row r="3644" spans="5:5" x14ac:dyDescent="0.25">
      <c r="E3644" s="82" t="s">
        <v>4615</v>
      </c>
    </row>
    <row r="3645" spans="5:5" x14ac:dyDescent="0.25">
      <c r="E3645" s="82" t="s">
        <v>4616</v>
      </c>
    </row>
    <row r="3646" spans="5:5" x14ac:dyDescent="0.25">
      <c r="E3646" s="82" t="s">
        <v>4617</v>
      </c>
    </row>
    <row r="3647" spans="5:5" x14ac:dyDescent="0.25">
      <c r="E3647" s="82" t="s">
        <v>4618</v>
      </c>
    </row>
    <row r="3648" spans="5:5" x14ac:dyDescent="0.25">
      <c r="E3648" s="82" t="s">
        <v>4619</v>
      </c>
    </row>
    <row r="3649" spans="5:5" x14ac:dyDescent="0.25">
      <c r="E3649" s="82" t="s">
        <v>4620</v>
      </c>
    </row>
    <row r="3650" spans="5:5" x14ac:dyDescent="0.25">
      <c r="E3650" s="82" t="s">
        <v>4621</v>
      </c>
    </row>
    <row r="3651" spans="5:5" x14ac:dyDescent="0.25">
      <c r="E3651" s="82" t="s">
        <v>4622</v>
      </c>
    </row>
    <row r="3652" spans="5:5" x14ac:dyDescent="0.25">
      <c r="E3652" s="82" t="s">
        <v>4623</v>
      </c>
    </row>
    <row r="3653" spans="5:5" x14ac:dyDescent="0.25">
      <c r="E3653" s="82" t="s">
        <v>4624</v>
      </c>
    </row>
    <row r="3654" spans="5:5" x14ac:dyDescent="0.25">
      <c r="E3654" s="82" t="s">
        <v>4625</v>
      </c>
    </row>
    <row r="3655" spans="5:5" x14ac:dyDescent="0.25">
      <c r="E3655" s="82" t="s">
        <v>4626</v>
      </c>
    </row>
    <row r="3656" spans="5:5" x14ac:dyDescent="0.25">
      <c r="E3656" s="82" t="s">
        <v>4627</v>
      </c>
    </row>
    <row r="3657" spans="5:5" x14ac:dyDescent="0.25">
      <c r="E3657" s="82" t="s">
        <v>4628</v>
      </c>
    </row>
    <row r="3658" spans="5:5" x14ac:dyDescent="0.25">
      <c r="E3658" s="82" t="s">
        <v>4629</v>
      </c>
    </row>
    <row r="3659" spans="5:5" x14ac:dyDescent="0.25">
      <c r="E3659" s="82" t="s">
        <v>4630</v>
      </c>
    </row>
    <row r="3660" spans="5:5" x14ac:dyDescent="0.25">
      <c r="E3660" s="82" t="s">
        <v>4631</v>
      </c>
    </row>
    <row r="3661" spans="5:5" x14ac:dyDescent="0.25">
      <c r="E3661" s="82" t="s">
        <v>4632</v>
      </c>
    </row>
    <row r="3662" spans="5:5" x14ac:dyDescent="0.25">
      <c r="E3662" s="82" t="s">
        <v>4633</v>
      </c>
    </row>
    <row r="3663" spans="5:5" x14ac:dyDescent="0.25">
      <c r="E3663" s="82" t="s">
        <v>4634</v>
      </c>
    </row>
    <row r="3664" spans="5:5" x14ac:dyDescent="0.25">
      <c r="E3664" s="82" t="s">
        <v>4635</v>
      </c>
    </row>
    <row r="3665" spans="5:5" x14ac:dyDescent="0.25">
      <c r="E3665" s="82" t="s">
        <v>4636</v>
      </c>
    </row>
    <row r="3666" spans="5:5" x14ac:dyDescent="0.25">
      <c r="E3666" s="82" t="s">
        <v>4637</v>
      </c>
    </row>
    <row r="3667" spans="5:5" x14ac:dyDescent="0.25">
      <c r="E3667" s="82" t="s">
        <v>4638</v>
      </c>
    </row>
    <row r="3668" spans="5:5" x14ac:dyDescent="0.25">
      <c r="E3668" s="82" t="s">
        <v>4639</v>
      </c>
    </row>
    <row r="3669" spans="5:5" x14ac:dyDescent="0.25">
      <c r="E3669" s="82" t="s">
        <v>4640</v>
      </c>
    </row>
    <row r="3670" spans="5:5" x14ac:dyDescent="0.25">
      <c r="E3670" s="82" t="s">
        <v>4641</v>
      </c>
    </row>
    <row r="3671" spans="5:5" x14ac:dyDescent="0.25">
      <c r="E3671" s="82" t="s">
        <v>4642</v>
      </c>
    </row>
    <row r="3672" spans="5:5" x14ac:dyDescent="0.25">
      <c r="E3672" s="82" t="s">
        <v>4643</v>
      </c>
    </row>
    <row r="3673" spans="5:5" x14ac:dyDescent="0.25">
      <c r="E3673" s="82" t="s">
        <v>4644</v>
      </c>
    </row>
    <row r="3674" spans="5:5" x14ac:dyDescent="0.25">
      <c r="E3674" s="82" t="s">
        <v>4645</v>
      </c>
    </row>
    <row r="3675" spans="5:5" x14ac:dyDescent="0.25">
      <c r="E3675" s="82" t="s">
        <v>4646</v>
      </c>
    </row>
    <row r="3676" spans="5:5" x14ac:dyDescent="0.25">
      <c r="E3676" s="82" t="s">
        <v>4647</v>
      </c>
    </row>
    <row r="3677" spans="5:5" x14ac:dyDescent="0.25">
      <c r="E3677" s="82" t="s">
        <v>4648</v>
      </c>
    </row>
    <row r="3678" spans="5:5" x14ac:dyDescent="0.25">
      <c r="E3678" s="82" t="s">
        <v>4649</v>
      </c>
    </row>
    <row r="3679" spans="5:5" x14ac:dyDescent="0.25">
      <c r="E3679" s="82" t="s">
        <v>4650</v>
      </c>
    </row>
    <row r="3680" spans="5:5" x14ac:dyDescent="0.25">
      <c r="E3680" s="82" t="s">
        <v>4651</v>
      </c>
    </row>
    <row r="3681" spans="5:5" x14ac:dyDescent="0.25">
      <c r="E3681" s="82" t="s">
        <v>4652</v>
      </c>
    </row>
    <row r="3682" spans="5:5" x14ac:dyDescent="0.25">
      <c r="E3682" s="82" t="s">
        <v>4653</v>
      </c>
    </row>
    <row r="3683" spans="5:5" x14ac:dyDescent="0.25">
      <c r="E3683" s="82" t="s">
        <v>4654</v>
      </c>
    </row>
    <row r="3684" spans="5:5" x14ac:dyDescent="0.25">
      <c r="E3684" s="82" t="s">
        <v>4655</v>
      </c>
    </row>
    <row r="3685" spans="5:5" x14ac:dyDescent="0.25">
      <c r="E3685" s="82" t="s">
        <v>4656</v>
      </c>
    </row>
    <row r="3686" spans="5:5" x14ac:dyDescent="0.25">
      <c r="E3686" s="82" t="s">
        <v>4657</v>
      </c>
    </row>
    <row r="3687" spans="5:5" x14ac:dyDescent="0.25">
      <c r="E3687" s="82" t="s">
        <v>4658</v>
      </c>
    </row>
    <row r="3688" spans="5:5" x14ac:dyDescent="0.25">
      <c r="E3688" s="82" t="s">
        <v>4659</v>
      </c>
    </row>
    <row r="3689" spans="5:5" x14ac:dyDescent="0.25">
      <c r="E3689" s="82" t="s">
        <v>4660</v>
      </c>
    </row>
    <row r="3690" spans="5:5" x14ac:dyDescent="0.25">
      <c r="E3690" s="82" t="s">
        <v>4661</v>
      </c>
    </row>
    <row r="3691" spans="5:5" x14ac:dyDescent="0.25">
      <c r="E3691" s="82" t="s">
        <v>4662</v>
      </c>
    </row>
    <row r="3692" spans="5:5" x14ac:dyDescent="0.25">
      <c r="E3692" s="82" t="s">
        <v>4663</v>
      </c>
    </row>
    <row r="3693" spans="5:5" x14ac:dyDescent="0.25">
      <c r="E3693" s="82" t="s">
        <v>4664</v>
      </c>
    </row>
    <row r="3694" spans="5:5" x14ac:dyDescent="0.25">
      <c r="E3694" s="82" t="s">
        <v>4665</v>
      </c>
    </row>
    <row r="3695" spans="5:5" x14ac:dyDescent="0.25">
      <c r="E3695" s="82" t="s">
        <v>4666</v>
      </c>
    </row>
    <row r="3696" spans="5:5" x14ac:dyDescent="0.25">
      <c r="E3696" s="82" t="s">
        <v>4667</v>
      </c>
    </row>
    <row r="3697" spans="5:5" x14ac:dyDescent="0.25">
      <c r="E3697" s="82" t="s">
        <v>4668</v>
      </c>
    </row>
    <row r="3698" spans="5:5" x14ac:dyDescent="0.25">
      <c r="E3698" s="82" t="s">
        <v>4669</v>
      </c>
    </row>
    <row r="3699" spans="5:5" x14ac:dyDescent="0.25">
      <c r="E3699" s="82" t="s">
        <v>4670</v>
      </c>
    </row>
    <row r="3700" spans="5:5" x14ac:dyDescent="0.25">
      <c r="E3700" s="82" t="s">
        <v>4671</v>
      </c>
    </row>
    <row r="3701" spans="5:5" x14ac:dyDescent="0.25">
      <c r="E3701" s="82" t="s">
        <v>4672</v>
      </c>
    </row>
    <row r="3702" spans="5:5" x14ac:dyDescent="0.25">
      <c r="E3702" s="82" t="s">
        <v>4673</v>
      </c>
    </row>
    <row r="3703" spans="5:5" x14ac:dyDescent="0.25">
      <c r="E3703" s="82" t="s">
        <v>4674</v>
      </c>
    </row>
    <row r="3704" spans="5:5" x14ac:dyDescent="0.25">
      <c r="E3704" s="82" t="s">
        <v>4675</v>
      </c>
    </row>
    <row r="3705" spans="5:5" x14ac:dyDescent="0.25">
      <c r="E3705" s="82" t="s">
        <v>4676</v>
      </c>
    </row>
    <row r="3706" spans="5:5" x14ac:dyDescent="0.25">
      <c r="E3706" s="82" t="s">
        <v>4677</v>
      </c>
    </row>
    <row r="3707" spans="5:5" x14ac:dyDescent="0.25">
      <c r="E3707" s="82" t="s">
        <v>4678</v>
      </c>
    </row>
    <row r="3708" spans="5:5" x14ac:dyDescent="0.25">
      <c r="E3708" s="82" t="s">
        <v>4679</v>
      </c>
    </row>
    <row r="3709" spans="5:5" x14ac:dyDescent="0.25">
      <c r="E3709" s="82" t="s">
        <v>4680</v>
      </c>
    </row>
    <row r="3710" spans="5:5" x14ac:dyDescent="0.25">
      <c r="E3710" s="82" t="s">
        <v>4681</v>
      </c>
    </row>
    <row r="3711" spans="5:5" x14ac:dyDescent="0.25">
      <c r="E3711" s="82" t="s">
        <v>4682</v>
      </c>
    </row>
    <row r="3712" spans="5:5" x14ac:dyDescent="0.25">
      <c r="E3712" s="82" t="s">
        <v>4683</v>
      </c>
    </row>
    <row r="3713" spans="5:5" x14ac:dyDescent="0.25">
      <c r="E3713" s="82" t="s">
        <v>4684</v>
      </c>
    </row>
    <row r="3714" spans="5:5" x14ac:dyDescent="0.25">
      <c r="E3714" s="82" t="s">
        <v>4685</v>
      </c>
    </row>
    <row r="3715" spans="5:5" x14ac:dyDescent="0.25">
      <c r="E3715" s="82" t="s">
        <v>4686</v>
      </c>
    </row>
    <row r="3716" spans="5:5" x14ac:dyDescent="0.25">
      <c r="E3716" s="82" t="s">
        <v>4687</v>
      </c>
    </row>
    <row r="3717" spans="5:5" x14ac:dyDescent="0.25">
      <c r="E3717" s="82" t="s">
        <v>4688</v>
      </c>
    </row>
    <row r="3718" spans="5:5" x14ac:dyDescent="0.25">
      <c r="E3718" s="82" t="s">
        <v>4689</v>
      </c>
    </row>
    <row r="3719" spans="5:5" x14ac:dyDescent="0.25">
      <c r="E3719" s="82" t="s">
        <v>4690</v>
      </c>
    </row>
    <row r="3720" spans="5:5" x14ac:dyDescent="0.25">
      <c r="E3720" s="82" t="s">
        <v>4691</v>
      </c>
    </row>
    <row r="3721" spans="5:5" x14ac:dyDescent="0.25">
      <c r="E3721" s="82" t="s">
        <v>4692</v>
      </c>
    </row>
    <row r="3722" spans="5:5" x14ac:dyDescent="0.25">
      <c r="E3722" s="82" t="s">
        <v>4693</v>
      </c>
    </row>
    <row r="3723" spans="5:5" x14ac:dyDescent="0.25">
      <c r="E3723" s="82" t="s">
        <v>4694</v>
      </c>
    </row>
    <row r="3724" spans="5:5" x14ac:dyDescent="0.25">
      <c r="E3724" s="82" t="s">
        <v>4695</v>
      </c>
    </row>
    <row r="3725" spans="5:5" x14ac:dyDescent="0.25">
      <c r="E3725" s="82" t="s">
        <v>4696</v>
      </c>
    </row>
    <row r="3726" spans="5:5" x14ac:dyDescent="0.25">
      <c r="E3726" s="82" t="s">
        <v>4697</v>
      </c>
    </row>
    <row r="3727" spans="5:5" x14ac:dyDescent="0.25">
      <c r="E3727" s="82" t="s">
        <v>4698</v>
      </c>
    </row>
    <row r="3728" spans="5:5" x14ac:dyDescent="0.25">
      <c r="E3728" s="82" t="s">
        <v>4699</v>
      </c>
    </row>
    <row r="3729" spans="5:5" x14ac:dyDescent="0.25">
      <c r="E3729" s="82" t="s">
        <v>4700</v>
      </c>
    </row>
    <row r="3730" spans="5:5" x14ac:dyDescent="0.25">
      <c r="E3730" s="82" t="s">
        <v>4701</v>
      </c>
    </row>
    <row r="3731" spans="5:5" x14ac:dyDescent="0.25">
      <c r="E3731" s="82" t="s">
        <v>4702</v>
      </c>
    </row>
    <row r="3732" spans="5:5" x14ac:dyDescent="0.25">
      <c r="E3732" s="82" t="s">
        <v>4703</v>
      </c>
    </row>
    <row r="3733" spans="5:5" x14ac:dyDescent="0.25">
      <c r="E3733" s="82" t="s">
        <v>4704</v>
      </c>
    </row>
    <row r="3734" spans="5:5" x14ac:dyDescent="0.25">
      <c r="E3734" s="82" t="s">
        <v>4705</v>
      </c>
    </row>
    <row r="3735" spans="5:5" x14ac:dyDescent="0.25">
      <c r="E3735" s="82" t="s">
        <v>4706</v>
      </c>
    </row>
    <row r="3736" spans="5:5" x14ac:dyDescent="0.25">
      <c r="E3736" s="82" t="s">
        <v>4707</v>
      </c>
    </row>
    <row r="3737" spans="5:5" x14ac:dyDescent="0.25">
      <c r="E3737" s="82" t="s">
        <v>4708</v>
      </c>
    </row>
    <row r="3738" spans="5:5" x14ac:dyDescent="0.25">
      <c r="E3738" s="82" t="s">
        <v>4709</v>
      </c>
    </row>
    <row r="3739" spans="5:5" x14ac:dyDescent="0.25">
      <c r="E3739" s="82" t="s">
        <v>4710</v>
      </c>
    </row>
    <row r="3740" spans="5:5" x14ac:dyDescent="0.25">
      <c r="E3740" s="82" t="s">
        <v>4711</v>
      </c>
    </row>
    <row r="3741" spans="5:5" x14ac:dyDescent="0.25">
      <c r="E3741" s="82" t="s">
        <v>4712</v>
      </c>
    </row>
    <row r="3742" spans="5:5" x14ac:dyDescent="0.25">
      <c r="E3742" s="82" t="s">
        <v>4713</v>
      </c>
    </row>
    <row r="3743" spans="5:5" x14ac:dyDescent="0.25">
      <c r="E3743" s="82" t="s">
        <v>4714</v>
      </c>
    </row>
    <row r="3744" spans="5:5" x14ac:dyDescent="0.25">
      <c r="E3744" s="82" t="s">
        <v>4715</v>
      </c>
    </row>
    <row r="3745" spans="5:5" x14ac:dyDescent="0.25">
      <c r="E3745" s="82" t="s">
        <v>4716</v>
      </c>
    </row>
    <row r="3746" spans="5:5" x14ac:dyDescent="0.25">
      <c r="E3746" s="82" t="s">
        <v>4717</v>
      </c>
    </row>
    <row r="3747" spans="5:5" x14ac:dyDescent="0.25">
      <c r="E3747" s="82" t="s">
        <v>4718</v>
      </c>
    </row>
    <row r="3748" spans="5:5" x14ac:dyDescent="0.25">
      <c r="E3748" s="82" t="s">
        <v>4719</v>
      </c>
    </row>
    <row r="3749" spans="5:5" x14ac:dyDescent="0.25">
      <c r="E3749" s="82" t="s">
        <v>4720</v>
      </c>
    </row>
    <row r="3750" spans="5:5" x14ac:dyDescent="0.25">
      <c r="E3750" s="82" t="s">
        <v>4721</v>
      </c>
    </row>
    <row r="3751" spans="5:5" x14ac:dyDescent="0.25">
      <c r="E3751" s="82" t="s">
        <v>4722</v>
      </c>
    </row>
    <row r="3752" spans="5:5" x14ac:dyDescent="0.25">
      <c r="E3752" s="82" t="s">
        <v>4723</v>
      </c>
    </row>
    <row r="3753" spans="5:5" x14ac:dyDescent="0.25">
      <c r="E3753" s="82" t="s">
        <v>4724</v>
      </c>
    </row>
    <row r="3754" spans="5:5" x14ac:dyDescent="0.25">
      <c r="E3754" s="82" t="s">
        <v>4725</v>
      </c>
    </row>
    <row r="3755" spans="5:5" x14ac:dyDescent="0.25">
      <c r="E3755" s="82" t="s">
        <v>4726</v>
      </c>
    </row>
    <row r="3756" spans="5:5" x14ac:dyDescent="0.25">
      <c r="E3756" s="82" t="s">
        <v>4727</v>
      </c>
    </row>
    <row r="3757" spans="5:5" x14ac:dyDescent="0.25">
      <c r="E3757" s="82" t="s">
        <v>4728</v>
      </c>
    </row>
    <row r="3758" spans="5:5" x14ac:dyDescent="0.25">
      <c r="E3758" s="82" t="s">
        <v>4729</v>
      </c>
    </row>
    <row r="3759" spans="5:5" x14ac:dyDescent="0.25">
      <c r="E3759" s="82" t="s">
        <v>4730</v>
      </c>
    </row>
    <row r="3760" spans="5:5" x14ac:dyDescent="0.25">
      <c r="E3760" s="82" t="s">
        <v>4731</v>
      </c>
    </row>
    <row r="3761" spans="5:5" x14ac:dyDescent="0.25">
      <c r="E3761" s="82" t="s">
        <v>4732</v>
      </c>
    </row>
    <row r="3762" spans="5:5" x14ac:dyDescent="0.25">
      <c r="E3762" s="82" t="s">
        <v>4733</v>
      </c>
    </row>
    <row r="3763" spans="5:5" x14ac:dyDescent="0.25">
      <c r="E3763" s="82" t="s">
        <v>4734</v>
      </c>
    </row>
    <row r="3764" spans="5:5" x14ac:dyDescent="0.25">
      <c r="E3764" s="82" t="s">
        <v>4735</v>
      </c>
    </row>
    <row r="3765" spans="5:5" x14ac:dyDescent="0.25">
      <c r="E3765" s="82" t="s">
        <v>4736</v>
      </c>
    </row>
    <row r="3766" spans="5:5" x14ac:dyDescent="0.25">
      <c r="E3766" s="82" t="s">
        <v>4737</v>
      </c>
    </row>
    <row r="3767" spans="5:5" x14ac:dyDescent="0.25">
      <c r="E3767" s="82" t="s">
        <v>4738</v>
      </c>
    </row>
    <row r="3768" spans="5:5" x14ac:dyDescent="0.25">
      <c r="E3768" s="82" t="s">
        <v>4739</v>
      </c>
    </row>
    <row r="3769" spans="5:5" x14ac:dyDescent="0.25">
      <c r="E3769" s="82" t="s">
        <v>4740</v>
      </c>
    </row>
    <row r="3770" spans="5:5" x14ac:dyDescent="0.25">
      <c r="E3770" s="82" t="s">
        <v>4741</v>
      </c>
    </row>
    <row r="3771" spans="5:5" x14ac:dyDescent="0.25">
      <c r="E3771" s="82" t="s">
        <v>4742</v>
      </c>
    </row>
    <row r="3772" spans="5:5" x14ac:dyDescent="0.25">
      <c r="E3772" s="82" t="s">
        <v>4743</v>
      </c>
    </row>
    <row r="3773" spans="5:5" x14ac:dyDescent="0.25">
      <c r="E3773" s="82" t="s">
        <v>4744</v>
      </c>
    </row>
    <row r="3774" spans="5:5" x14ac:dyDescent="0.25">
      <c r="E3774" s="82" t="s">
        <v>4745</v>
      </c>
    </row>
    <row r="3775" spans="5:5" x14ac:dyDescent="0.25">
      <c r="E3775" s="82" t="s">
        <v>4746</v>
      </c>
    </row>
    <row r="3776" spans="5:5" x14ac:dyDescent="0.25">
      <c r="E3776" s="82" t="s">
        <v>4747</v>
      </c>
    </row>
    <row r="3777" spans="5:5" x14ac:dyDescent="0.25">
      <c r="E3777" s="82" t="s">
        <v>4748</v>
      </c>
    </row>
    <row r="3778" spans="5:5" x14ac:dyDescent="0.25">
      <c r="E3778" s="82" t="s">
        <v>4749</v>
      </c>
    </row>
    <row r="3779" spans="5:5" x14ac:dyDescent="0.25">
      <c r="E3779" s="82" t="s">
        <v>4750</v>
      </c>
    </row>
    <row r="3780" spans="5:5" x14ac:dyDescent="0.25">
      <c r="E3780" s="82" t="s">
        <v>4751</v>
      </c>
    </row>
    <row r="3781" spans="5:5" x14ac:dyDescent="0.25">
      <c r="E3781" s="82" t="s">
        <v>4752</v>
      </c>
    </row>
    <row r="3782" spans="5:5" x14ac:dyDescent="0.25">
      <c r="E3782" s="82" t="s">
        <v>4753</v>
      </c>
    </row>
    <row r="3783" spans="5:5" x14ac:dyDescent="0.25">
      <c r="E3783" s="82" t="s">
        <v>4754</v>
      </c>
    </row>
    <row r="3784" spans="5:5" x14ac:dyDescent="0.25">
      <c r="E3784" s="82" t="s">
        <v>4755</v>
      </c>
    </row>
    <row r="3785" spans="5:5" x14ac:dyDescent="0.25">
      <c r="E3785" s="82" t="s">
        <v>4756</v>
      </c>
    </row>
    <row r="3786" spans="5:5" x14ac:dyDescent="0.25">
      <c r="E3786" s="82" t="s">
        <v>4757</v>
      </c>
    </row>
    <row r="3787" spans="5:5" x14ac:dyDescent="0.25">
      <c r="E3787" s="82" t="s">
        <v>4758</v>
      </c>
    </row>
    <row r="3788" spans="5:5" x14ac:dyDescent="0.25">
      <c r="E3788" s="82" t="s">
        <v>4759</v>
      </c>
    </row>
    <row r="3789" spans="5:5" x14ac:dyDescent="0.25">
      <c r="E3789" s="82" t="s">
        <v>4760</v>
      </c>
    </row>
    <row r="3790" spans="5:5" x14ac:dyDescent="0.25">
      <c r="E3790" s="82" t="s">
        <v>4761</v>
      </c>
    </row>
    <row r="3791" spans="5:5" x14ac:dyDescent="0.25">
      <c r="E3791" s="82" t="s">
        <v>4762</v>
      </c>
    </row>
    <row r="3792" spans="5:5" x14ac:dyDescent="0.25">
      <c r="E3792" s="82" t="s">
        <v>4763</v>
      </c>
    </row>
    <row r="3793" spans="5:5" x14ac:dyDescent="0.25">
      <c r="E3793" s="82" t="s">
        <v>4764</v>
      </c>
    </row>
    <row r="3794" spans="5:5" x14ac:dyDescent="0.25">
      <c r="E3794" s="82" t="s">
        <v>4765</v>
      </c>
    </row>
    <row r="3795" spans="5:5" x14ac:dyDescent="0.25">
      <c r="E3795" s="82" t="s">
        <v>4766</v>
      </c>
    </row>
    <row r="3796" spans="5:5" x14ac:dyDescent="0.25">
      <c r="E3796" s="82" t="s">
        <v>4767</v>
      </c>
    </row>
    <row r="3797" spans="5:5" x14ac:dyDescent="0.25">
      <c r="E3797" s="82" t="s">
        <v>4768</v>
      </c>
    </row>
    <row r="3798" spans="5:5" x14ac:dyDescent="0.25">
      <c r="E3798" s="82" t="s">
        <v>4769</v>
      </c>
    </row>
    <row r="3799" spans="5:5" x14ac:dyDescent="0.25">
      <c r="E3799" s="82" t="s">
        <v>4770</v>
      </c>
    </row>
    <row r="3800" spans="5:5" x14ac:dyDescent="0.25">
      <c r="E3800" s="82" t="s">
        <v>4771</v>
      </c>
    </row>
    <row r="3801" spans="5:5" x14ac:dyDescent="0.25">
      <c r="E3801" s="82" t="s">
        <v>4772</v>
      </c>
    </row>
    <row r="3802" spans="5:5" x14ac:dyDescent="0.25">
      <c r="E3802" s="82" t="s">
        <v>4773</v>
      </c>
    </row>
    <row r="3803" spans="5:5" x14ac:dyDescent="0.25">
      <c r="E3803" s="82" t="s">
        <v>4774</v>
      </c>
    </row>
    <row r="3804" spans="5:5" x14ac:dyDescent="0.25">
      <c r="E3804" s="82" t="s">
        <v>4775</v>
      </c>
    </row>
    <row r="3805" spans="5:5" x14ac:dyDescent="0.25">
      <c r="E3805" s="82" t="s">
        <v>4776</v>
      </c>
    </row>
    <row r="3806" spans="5:5" x14ac:dyDescent="0.25">
      <c r="E3806" s="82" t="s">
        <v>4777</v>
      </c>
    </row>
    <row r="3807" spans="5:5" x14ac:dyDescent="0.25">
      <c r="E3807" s="82" t="s">
        <v>4778</v>
      </c>
    </row>
    <row r="3808" spans="5:5" x14ac:dyDescent="0.25">
      <c r="E3808" s="82" t="s">
        <v>4779</v>
      </c>
    </row>
    <row r="3809" spans="5:5" x14ac:dyDescent="0.25">
      <c r="E3809" s="82" t="s">
        <v>4780</v>
      </c>
    </row>
    <row r="3810" spans="5:5" x14ac:dyDescent="0.25">
      <c r="E3810" s="82" t="s">
        <v>4781</v>
      </c>
    </row>
    <row r="3811" spans="5:5" x14ac:dyDescent="0.25">
      <c r="E3811" s="82" t="s">
        <v>4782</v>
      </c>
    </row>
    <row r="3812" spans="5:5" x14ac:dyDescent="0.25">
      <c r="E3812" s="82" t="s">
        <v>4783</v>
      </c>
    </row>
    <row r="3813" spans="5:5" x14ac:dyDescent="0.25">
      <c r="E3813" s="82" t="s">
        <v>4784</v>
      </c>
    </row>
    <row r="3814" spans="5:5" x14ac:dyDescent="0.25">
      <c r="E3814" s="82" t="s">
        <v>4785</v>
      </c>
    </row>
    <row r="3815" spans="5:5" x14ac:dyDescent="0.25">
      <c r="E3815" s="82" t="s">
        <v>4786</v>
      </c>
    </row>
    <row r="3816" spans="5:5" x14ac:dyDescent="0.25">
      <c r="E3816" s="82" t="s">
        <v>4787</v>
      </c>
    </row>
    <row r="3817" spans="5:5" x14ac:dyDescent="0.25">
      <c r="E3817" s="82" t="s">
        <v>4788</v>
      </c>
    </row>
    <row r="3818" spans="5:5" x14ac:dyDescent="0.25">
      <c r="E3818" s="82" t="s">
        <v>4789</v>
      </c>
    </row>
    <row r="3819" spans="5:5" x14ac:dyDescent="0.25">
      <c r="E3819" s="82" t="s">
        <v>4790</v>
      </c>
    </row>
    <row r="3820" spans="5:5" x14ac:dyDescent="0.25">
      <c r="E3820" s="82" t="s">
        <v>4791</v>
      </c>
    </row>
    <row r="3821" spans="5:5" x14ac:dyDescent="0.25">
      <c r="E3821" s="82" t="s">
        <v>4792</v>
      </c>
    </row>
    <row r="3822" spans="5:5" x14ac:dyDescent="0.25">
      <c r="E3822" s="82" t="s">
        <v>4793</v>
      </c>
    </row>
    <row r="3823" spans="5:5" x14ac:dyDescent="0.25">
      <c r="E3823" s="82" t="s">
        <v>4794</v>
      </c>
    </row>
    <row r="3824" spans="5:5" x14ac:dyDescent="0.25">
      <c r="E3824" s="82" t="s">
        <v>4795</v>
      </c>
    </row>
    <row r="3825" spans="5:5" x14ac:dyDescent="0.25">
      <c r="E3825" s="82" t="s">
        <v>4796</v>
      </c>
    </row>
    <row r="3826" spans="5:5" x14ac:dyDescent="0.25">
      <c r="E3826" s="82" t="s">
        <v>4797</v>
      </c>
    </row>
    <row r="3827" spans="5:5" x14ac:dyDescent="0.25">
      <c r="E3827" s="82" t="s">
        <v>4798</v>
      </c>
    </row>
    <row r="3828" spans="5:5" x14ac:dyDescent="0.25">
      <c r="E3828" s="82" t="s">
        <v>4799</v>
      </c>
    </row>
    <row r="3829" spans="5:5" x14ac:dyDescent="0.25">
      <c r="E3829" s="82" t="s">
        <v>4800</v>
      </c>
    </row>
    <row r="3830" spans="5:5" x14ac:dyDescent="0.25">
      <c r="E3830" s="82" t="s">
        <v>4801</v>
      </c>
    </row>
    <row r="3831" spans="5:5" x14ac:dyDescent="0.25">
      <c r="E3831" s="82" t="s">
        <v>4802</v>
      </c>
    </row>
    <row r="3832" spans="5:5" x14ac:dyDescent="0.25">
      <c r="E3832" s="82" t="s">
        <v>4803</v>
      </c>
    </row>
    <row r="3833" spans="5:5" x14ac:dyDescent="0.25">
      <c r="E3833" s="82" t="s">
        <v>4804</v>
      </c>
    </row>
    <row r="3834" spans="5:5" x14ac:dyDescent="0.25">
      <c r="E3834" s="82" t="s">
        <v>4805</v>
      </c>
    </row>
    <row r="3835" spans="5:5" x14ac:dyDescent="0.25">
      <c r="E3835" s="82" t="s">
        <v>4806</v>
      </c>
    </row>
    <row r="3836" spans="5:5" x14ac:dyDescent="0.25">
      <c r="E3836" s="82" t="s">
        <v>4807</v>
      </c>
    </row>
    <row r="3837" spans="5:5" x14ac:dyDescent="0.25">
      <c r="E3837" s="82" t="s">
        <v>4808</v>
      </c>
    </row>
    <row r="3838" spans="5:5" x14ac:dyDescent="0.25">
      <c r="E3838" s="82" t="s">
        <v>4809</v>
      </c>
    </row>
    <row r="3839" spans="5:5" x14ac:dyDescent="0.25">
      <c r="E3839" s="82" t="s">
        <v>4810</v>
      </c>
    </row>
    <row r="3840" spans="5:5" x14ac:dyDescent="0.25">
      <c r="E3840" s="82" t="s">
        <v>4811</v>
      </c>
    </row>
    <row r="3841" spans="5:5" x14ac:dyDescent="0.25">
      <c r="E3841" s="82" t="s">
        <v>4812</v>
      </c>
    </row>
    <row r="3842" spans="5:5" x14ac:dyDescent="0.25">
      <c r="E3842" s="82" t="s">
        <v>4813</v>
      </c>
    </row>
    <row r="3843" spans="5:5" x14ac:dyDescent="0.25">
      <c r="E3843" s="82" t="s">
        <v>4814</v>
      </c>
    </row>
    <row r="3844" spans="5:5" x14ac:dyDescent="0.25">
      <c r="E3844" s="82" t="s">
        <v>4815</v>
      </c>
    </row>
    <row r="3845" spans="5:5" x14ac:dyDescent="0.25">
      <c r="E3845" s="82" t="s">
        <v>4816</v>
      </c>
    </row>
    <row r="3846" spans="5:5" x14ac:dyDescent="0.25">
      <c r="E3846" s="82" t="s">
        <v>4817</v>
      </c>
    </row>
    <row r="3847" spans="5:5" x14ac:dyDescent="0.25">
      <c r="E3847" s="82" t="s">
        <v>4818</v>
      </c>
    </row>
    <row r="3848" spans="5:5" x14ac:dyDescent="0.25">
      <c r="E3848" s="82" t="s">
        <v>4819</v>
      </c>
    </row>
    <row r="3849" spans="5:5" x14ac:dyDescent="0.25">
      <c r="E3849" s="82" t="s">
        <v>4820</v>
      </c>
    </row>
    <row r="3850" spans="5:5" x14ac:dyDescent="0.25">
      <c r="E3850" s="82" t="s">
        <v>4821</v>
      </c>
    </row>
    <row r="3851" spans="5:5" x14ac:dyDescent="0.25">
      <c r="E3851" s="82" t="s">
        <v>4822</v>
      </c>
    </row>
    <row r="3852" spans="5:5" x14ac:dyDescent="0.25">
      <c r="E3852" s="82" t="s">
        <v>4823</v>
      </c>
    </row>
    <row r="3853" spans="5:5" x14ac:dyDescent="0.25">
      <c r="E3853" s="82" t="s">
        <v>4824</v>
      </c>
    </row>
    <row r="3854" spans="5:5" x14ac:dyDescent="0.25">
      <c r="E3854" s="82" t="s">
        <v>4825</v>
      </c>
    </row>
    <row r="3855" spans="5:5" x14ac:dyDescent="0.25">
      <c r="E3855" s="82" t="s">
        <v>4826</v>
      </c>
    </row>
    <row r="3856" spans="5:5" x14ac:dyDescent="0.25">
      <c r="E3856" s="82" t="s">
        <v>4827</v>
      </c>
    </row>
    <row r="3857" spans="5:5" x14ac:dyDescent="0.25">
      <c r="E3857" s="82" t="s">
        <v>4828</v>
      </c>
    </row>
    <row r="3858" spans="5:5" x14ac:dyDescent="0.25">
      <c r="E3858" s="82" t="s">
        <v>4829</v>
      </c>
    </row>
    <row r="3859" spans="5:5" x14ac:dyDescent="0.25">
      <c r="E3859" s="82" t="s">
        <v>4830</v>
      </c>
    </row>
    <row r="3860" spans="5:5" x14ac:dyDescent="0.25">
      <c r="E3860" s="82" t="s">
        <v>4831</v>
      </c>
    </row>
    <row r="3861" spans="5:5" x14ac:dyDescent="0.25">
      <c r="E3861" s="82" t="s">
        <v>4832</v>
      </c>
    </row>
    <row r="3862" spans="5:5" x14ac:dyDescent="0.25">
      <c r="E3862" s="82" t="s">
        <v>4833</v>
      </c>
    </row>
    <row r="3863" spans="5:5" x14ac:dyDescent="0.25">
      <c r="E3863" s="82" t="s">
        <v>4834</v>
      </c>
    </row>
    <row r="3864" spans="5:5" x14ac:dyDescent="0.25">
      <c r="E3864" s="82" t="s">
        <v>4835</v>
      </c>
    </row>
    <row r="3865" spans="5:5" x14ac:dyDescent="0.25">
      <c r="E3865" s="82" t="s">
        <v>4836</v>
      </c>
    </row>
    <row r="3866" spans="5:5" x14ac:dyDescent="0.25">
      <c r="E3866" s="82" t="s">
        <v>4837</v>
      </c>
    </row>
    <row r="3867" spans="5:5" x14ac:dyDescent="0.25">
      <c r="E3867" s="82" t="s">
        <v>4838</v>
      </c>
    </row>
    <row r="3868" spans="5:5" x14ac:dyDescent="0.25">
      <c r="E3868" s="82" t="s">
        <v>4839</v>
      </c>
    </row>
    <row r="3869" spans="5:5" x14ac:dyDescent="0.25">
      <c r="E3869" s="82" t="s">
        <v>4840</v>
      </c>
    </row>
    <row r="3870" spans="5:5" x14ac:dyDescent="0.25">
      <c r="E3870" s="82" t="s">
        <v>4841</v>
      </c>
    </row>
    <row r="3871" spans="5:5" x14ac:dyDescent="0.25">
      <c r="E3871" s="82" t="s">
        <v>4842</v>
      </c>
    </row>
    <row r="3872" spans="5:5" x14ac:dyDescent="0.25">
      <c r="E3872" s="82" t="s">
        <v>4843</v>
      </c>
    </row>
    <row r="3873" spans="5:5" x14ac:dyDescent="0.25">
      <c r="E3873" s="82" t="s">
        <v>4844</v>
      </c>
    </row>
    <row r="3874" spans="5:5" x14ac:dyDescent="0.25">
      <c r="E3874" s="82" t="s">
        <v>4845</v>
      </c>
    </row>
    <row r="3875" spans="5:5" x14ac:dyDescent="0.25">
      <c r="E3875" s="82" t="s">
        <v>4846</v>
      </c>
    </row>
    <row r="3876" spans="5:5" x14ac:dyDescent="0.25">
      <c r="E3876" s="82" t="s">
        <v>4847</v>
      </c>
    </row>
    <row r="3877" spans="5:5" x14ac:dyDescent="0.25">
      <c r="E3877" s="82" t="s">
        <v>4848</v>
      </c>
    </row>
    <row r="3878" spans="5:5" x14ac:dyDescent="0.25">
      <c r="E3878" s="82" t="s">
        <v>4849</v>
      </c>
    </row>
    <row r="3879" spans="5:5" x14ac:dyDescent="0.25">
      <c r="E3879" s="82" t="s">
        <v>4850</v>
      </c>
    </row>
    <row r="3880" spans="5:5" x14ac:dyDescent="0.25">
      <c r="E3880" s="82" t="s">
        <v>4851</v>
      </c>
    </row>
    <row r="3881" spans="5:5" x14ac:dyDescent="0.25">
      <c r="E3881" s="82" t="s">
        <v>4852</v>
      </c>
    </row>
    <row r="3882" spans="5:5" x14ac:dyDescent="0.25">
      <c r="E3882" s="82" t="s">
        <v>4853</v>
      </c>
    </row>
    <row r="3883" spans="5:5" x14ac:dyDescent="0.25">
      <c r="E3883" s="82" t="s">
        <v>4854</v>
      </c>
    </row>
    <row r="3884" spans="5:5" x14ac:dyDescent="0.25">
      <c r="E3884" s="82" t="s">
        <v>4855</v>
      </c>
    </row>
    <row r="3885" spans="5:5" x14ac:dyDescent="0.25">
      <c r="E3885" s="82" t="s">
        <v>4856</v>
      </c>
    </row>
    <row r="3886" spans="5:5" x14ac:dyDescent="0.25">
      <c r="E3886" s="82" t="s">
        <v>4857</v>
      </c>
    </row>
    <row r="3887" spans="5:5" x14ac:dyDescent="0.25">
      <c r="E3887" s="82" t="s">
        <v>4858</v>
      </c>
    </row>
    <row r="3888" spans="5:5" x14ac:dyDescent="0.25">
      <c r="E3888" s="82" t="s">
        <v>4859</v>
      </c>
    </row>
    <row r="3889" spans="5:5" x14ac:dyDescent="0.25">
      <c r="E3889" s="82" t="s">
        <v>4860</v>
      </c>
    </row>
    <row r="3890" spans="5:5" x14ac:dyDescent="0.25">
      <c r="E3890" s="82" t="s">
        <v>4861</v>
      </c>
    </row>
    <row r="3891" spans="5:5" x14ac:dyDescent="0.25">
      <c r="E3891" s="82" t="s">
        <v>4862</v>
      </c>
    </row>
    <row r="3892" spans="5:5" x14ac:dyDescent="0.25">
      <c r="E3892" s="82" t="s">
        <v>4863</v>
      </c>
    </row>
    <row r="3893" spans="5:5" x14ac:dyDescent="0.25">
      <c r="E3893" s="82" t="s">
        <v>4864</v>
      </c>
    </row>
    <row r="3894" spans="5:5" x14ac:dyDescent="0.25">
      <c r="E3894" s="82" t="s">
        <v>4865</v>
      </c>
    </row>
    <row r="3895" spans="5:5" x14ac:dyDescent="0.25">
      <c r="E3895" s="82" t="s">
        <v>4866</v>
      </c>
    </row>
    <row r="3896" spans="5:5" x14ac:dyDescent="0.25">
      <c r="E3896" s="82" t="s">
        <v>4867</v>
      </c>
    </row>
    <row r="3897" spans="5:5" x14ac:dyDescent="0.25">
      <c r="E3897" s="82" t="s">
        <v>4868</v>
      </c>
    </row>
    <row r="3898" spans="5:5" x14ac:dyDescent="0.25">
      <c r="E3898" s="82" t="s">
        <v>4869</v>
      </c>
    </row>
    <row r="3899" spans="5:5" x14ac:dyDescent="0.25">
      <c r="E3899" s="82" t="s">
        <v>4870</v>
      </c>
    </row>
    <row r="3900" spans="5:5" x14ac:dyDescent="0.25">
      <c r="E3900" s="82" t="s">
        <v>4871</v>
      </c>
    </row>
    <row r="3901" spans="5:5" x14ac:dyDescent="0.25">
      <c r="E3901" s="82" t="s">
        <v>4872</v>
      </c>
    </row>
    <row r="3902" spans="5:5" x14ac:dyDescent="0.25">
      <c r="E3902" s="82" t="s">
        <v>4873</v>
      </c>
    </row>
    <row r="3903" spans="5:5" x14ac:dyDescent="0.25">
      <c r="E3903" s="82" t="s">
        <v>4874</v>
      </c>
    </row>
    <row r="3904" spans="5:5" x14ac:dyDescent="0.25">
      <c r="E3904" s="82" t="s">
        <v>4875</v>
      </c>
    </row>
    <row r="3905" spans="5:5" x14ac:dyDescent="0.25">
      <c r="E3905" s="82" t="s">
        <v>4876</v>
      </c>
    </row>
    <row r="3906" spans="5:5" x14ac:dyDescent="0.25">
      <c r="E3906" s="82" t="s">
        <v>4877</v>
      </c>
    </row>
    <row r="3907" spans="5:5" x14ac:dyDescent="0.25">
      <c r="E3907" s="82" t="s">
        <v>4878</v>
      </c>
    </row>
    <row r="3908" spans="5:5" x14ac:dyDescent="0.25">
      <c r="E3908" s="82" t="s">
        <v>4879</v>
      </c>
    </row>
    <row r="3909" spans="5:5" x14ac:dyDescent="0.25">
      <c r="E3909" s="82" t="s">
        <v>4880</v>
      </c>
    </row>
    <row r="3910" spans="5:5" x14ac:dyDescent="0.25">
      <c r="E3910" s="82" t="s">
        <v>4881</v>
      </c>
    </row>
    <row r="3911" spans="5:5" x14ac:dyDescent="0.25">
      <c r="E3911" s="82" t="s">
        <v>4882</v>
      </c>
    </row>
    <row r="3912" spans="5:5" x14ac:dyDescent="0.25">
      <c r="E3912" s="82" t="s">
        <v>4883</v>
      </c>
    </row>
    <row r="3913" spans="5:5" x14ac:dyDescent="0.25">
      <c r="E3913" s="82" t="s">
        <v>4884</v>
      </c>
    </row>
    <row r="3914" spans="5:5" x14ac:dyDescent="0.25">
      <c r="E3914" s="82" t="s">
        <v>4885</v>
      </c>
    </row>
    <row r="3915" spans="5:5" x14ac:dyDescent="0.25">
      <c r="E3915" s="82" t="s">
        <v>4886</v>
      </c>
    </row>
    <row r="3916" spans="5:5" x14ac:dyDescent="0.25">
      <c r="E3916" s="82" t="s">
        <v>4887</v>
      </c>
    </row>
    <row r="3917" spans="5:5" x14ac:dyDescent="0.25">
      <c r="E3917" s="82" t="s">
        <v>4888</v>
      </c>
    </row>
    <row r="3918" spans="5:5" x14ac:dyDescent="0.25">
      <c r="E3918" s="82" t="s">
        <v>4889</v>
      </c>
    </row>
    <row r="3919" spans="5:5" x14ac:dyDescent="0.25">
      <c r="E3919" s="82" t="s">
        <v>4890</v>
      </c>
    </row>
    <row r="3920" spans="5:5" x14ac:dyDescent="0.25">
      <c r="E3920" s="82" t="s">
        <v>4891</v>
      </c>
    </row>
    <row r="3921" spans="5:5" x14ac:dyDescent="0.25">
      <c r="E3921" s="82" t="s">
        <v>4892</v>
      </c>
    </row>
    <row r="3922" spans="5:5" x14ac:dyDescent="0.25">
      <c r="E3922" s="82" t="s">
        <v>4893</v>
      </c>
    </row>
    <row r="3923" spans="5:5" x14ac:dyDescent="0.25">
      <c r="E3923" s="82" t="s">
        <v>4894</v>
      </c>
    </row>
    <row r="3924" spans="5:5" x14ac:dyDescent="0.25">
      <c r="E3924" s="82" t="s">
        <v>4895</v>
      </c>
    </row>
    <row r="3925" spans="5:5" x14ac:dyDescent="0.25">
      <c r="E3925" s="82" t="s">
        <v>4896</v>
      </c>
    </row>
    <row r="3926" spans="5:5" x14ac:dyDescent="0.25">
      <c r="E3926" s="82" t="s">
        <v>4897</v>
      </c>
    </row>
    <row r="3927" spans="5:5" x14ac:dyDescent="0.25">
      <c r="E3927" s="82" t="s">
        <v>4898</v>
      </c>
    </row>
    <row r="3928" spans="5:5" x14ac:dyDescent="0.25">
      <c r="E3928" s="82" t="s">
        <v>4899</v>
      </c>
    </row>
    <row r="3929" spans="5:5" x14ac:dyDescent="0.25">
      <c r="E3929" s="82" t="s">
        <v>4900</v>
      </c>
    </row>
    <row r="3930" spans="5:5" x14ac:dyDescent="0.25">
      <c r="E3930" s="82" t="s">
        <v>4901</v>
      </c>
    </row>
    <row r="3931" spans="5:5" x14ac:dyDescent="0.25">
      <c r="E3931" s="82" t="s">
        <v>4902</v>
      </c>
    </row>
    <row r="3932" spans="5:5" x14ac:dyDescent="0.25">
      <c r="E3932" s="82" t="s">
        <v>4903</v>
      </c>
    </row>
    <row r="3933" spans="5:5" x14ac:dyDescent="0.25">
      <c r="E3933" s="82" t="s">
        <v>4904</v>
      </c>
    </row>
    <row r="3934" spans="5:5" x14ac:dyDescent="0.25">
      <c r="E3934" s="82" t="s">
        <v>4905</v>
      </c>
    </row>
    <row r="3935" spans="5:5" x14ac:dyDescent="0.25">
      <c r="E3935" s="82" t="s">
        <v>4906</v>
      </c>
    </row>
    <row r="3936" spans="5:5" x14ac:dyDescent="0.25">
      <c r="E3936" s="82" t="s">
        <v>4907</v>
      </c>
    </row>
    <row r="3937" spans="5:5" x14ac:dyDescent="0.25">
      <c r="E3937" s="82" t="s">
        <v>4908</v>
      </c>
    </row>
    <row r="3938" spans="5:5" x14ac:dyDescent="0.25">
      <c r="E3938" s="82" t="s">
        <v>4909</v>
      </c>
    </row>
    <row r="3939" spans="5:5" x14ac:dyDescent="0.25">
      <c r="E3939" s="82" t="s">
        <v>4910</v>
      </c>
    </row>
    <row r="3940" spans="5:5" x14ac:dyDescent="0.25">
      <c r="E3940" s="82" t="s">
        <v>4911</v>
      </c>
    </row>
    <row r="3941" spans="5:5" x14ac:dyDescent="0.25">
      <c r="E3941" s="82" t="s">
        <v>4912</v>
      </c>
    </row>
    <row r="3942" spans="5:5" x14ac:dyDescent="0.25">
      <c r="E3942" s="82" t="s">
        <v>4913</v>
      </c>
    </row>
    <row r="3943" spans="5:5" x14ac:dyDescent="0.25">
      <c r="E3943" s="82" t="s">
        <v>4914</v>
      </c>
    </row>
    <row r="3944" spans="5:5" x14ac:dyDescent="0.25">
      <c r="E3944" s="82" t="s">
        <v>4915</v>
      </c>
    </row>
    <row r="3945" spans="5:5" x14ac:dyDescent="0.25">
      <c r="E3945" s="82" t="s">
        <v>4916</v>
      </c>
    </row>
    <row r="3946" spans="5:5" x14ac:dyDescent="0.25">
      <c r="E3946" s="82" t="s">
        <v>4917</v>
      </c>
    </row>
    <row r="3947" spans="5:5" x14ac:dyDescent="0.25">
      <c r="E3947" s="82" t="s">
        <v>4918</v>
      </c>
    </row>
    <row r="3948" spans="5:5" x14ac:dyDescent="0.25">
      <c r="E3948" s="82" t="s">
        <v>4919</v>
      </c>
    </row>
    <row r="3949" spans="5:5" x14ac:dyDescent="0.25">
      <c r="E3949" s="82" t="s">
        <v>4920</v>
      </c>
    </row>
    <row r="3950" spans="5:5" x14ac:dyDescent="0.25">
      <c r="E3950" s="82" t="s">
        <v>4921</v>
      </c>
    </row>
    <row r="3951" spans="5:5" x14ac:dyDescent="0.25">
      <c r="E3951" s="82" t="s">
        <v>4922</v>
      </c>
    </row>
    <row r="3952" spans="5:5" x14ac:dyDescent="0.25">
      <c r="E3952" s="82" t="s">
        <v>4923</v>
      </c>
    </row>
    <row r="3953" spans="5:5" x14ac:dyDescent="0.25">
      <c r="E3953" s="82" t="s">
        <v>4924</v>
      </c>
    </row>
    <row r="3954" spans="5:5" x14ac:dyDescent="0.25">
      <c r="E3954" s="82" t="s">
        <v>4925</v>
      </c>
    </row>
    <row r="3955" spans="5:5" x14ac:dyDescent="0.25">
      <c r="E3955" s="82" t="s">
        <v>4926</v>
      </c>
    </row>
    <row r="3956" spans="5:5" x14ac:dyDescent="0.25">
      <c r="E3956" s="82" t="s">
        <v>4927</v>
      </c>
    </row>
    <row r="3957" spans="5:5" x14ac:dyDescent="0.25">
      <c r="E3957" s="82" t="s">
        <v>4928</v>
      </c>
    </row>
    <row r="3958" spans="5:5" x14ac:dyDescent="0.25">
      <c r="E3958" s="82" t="s">
        <v>4929</v>
      </c>
    </row>
    <row r="3959" spans="5:5" x14ac:dyDescent="0.25">
      <c r="E3959" s="82" t="s">
        <v>4930</v>
      </c>
    </row>
    <row r="3960" spans="5:5" x14ac:dyDescent="0.25">
      <c r="E3960" s="82" t="s">
        <v>4931</v>
      </c>
    </row>
    <row r="3961" spans="5:5" x14ac:dyDescent="0.25">
      <c r="E3961" s="82" t="s">
        <v>4932</v>
      </c>
    </row>
    <row r="3962" spans="5:5" x14ac:dyDescent="0.25">
      <c r="E3962" s="82" t="s">
        <v>4933</v>
      </c>
    </row>
    <row r="3963" spans="5:5" x14ac:dyDescent="0.25">
      <c r="E3963" s="82" t="s">
        <v>4934</v>
      </c>
    </row>
    <row r="3964" spans="5:5" x14ac:dyDescent="0.25">
      <c r="E3964" s="82" t="s">
        <v>4935</v>
      </c>
    </row>
    <row r="3965" spans="5:5" x14ac:dyDescent="0.25">
      <c r="E3965" s="82" t="s">
        <v>4936</v>
      </c>
    </row>
    <row r="3966" spans="5:5" x14ac:dyDescent="0.25">
      <c r="E3966" s="82" t="s">
        <v>4937</v>
      </c>
    </row>
    <row r="3967" spans="5:5" x14ac:dyDescent="0.25">
      <c r="E3967" s="82" t="s">
        <v>4938</v>
      </c>
    </row>
    <row r="3968" spans="5:5" x14ac:dyDescent="0.25">
      <c r="E3968" s="82" t="s">
        <v>4939</v>
      </c>
    </row>
    <row r="3969" spans="5:5" x14ac:dyDescent="0.25">
      <c r="E3969" s="82" t="s">
        <v>4940</v>
      </c>
    </row>
    <row r="3970" spans="5:5" x14ac:dyDescent="0.25">
      <c r="E3970" s="82" t="s">
        <v>4941</v>
      </c>
    </row>
    <row r="3971" spans="5:5" x14ac:dyDescent="0.25">
      <c r="E3971" s="82" t="s">
        <v>4942</v>
      </c>
    </row>
    <row r="3972" spans="5:5" x14ac:dyDescent="0.25">
      <c r="E3972" s="82" t="s">
        <v>4943</v>
      </c>
    </row>
    <row r="3973" spans="5:5" x14ac:dyDescent="0.25">
      <c r="E3973" s="82" t="s">
        <v>4944</v>
      </c>
    </row>
    <row r="3974" spans="5:5" x14ac:dyDescent="0.25">
      <c r="E3974" s="82" t="s">
        <v>4945</v>
      </c>
    </row>
    <row r="3975" spans="5:5" x14ac:dyDescent="0.25">
      <c r="E3975" s="82" t="s">
        <v>4946</v>
      </c>
    </row>
    <row r="3976" spans="5:5" x14ac:dyDescent="0.25">
      <c r="E3976" s="82" t="s">
        <v>4947</v>
      </c>
    </row>
    <row r="3977" spans="5:5" x14ac:dyDescent="0.25">
      <c r="E3977" s="82" t="s">
        <v>4948</v>
      </c>
    </row>
    <row r="3978" spans="5:5" x14ac:dyDescent="0.25">
      <c r="E3978" s="82" t="s">
        <v>4949</v>
      </c>
    </row>
    <row r="3979" spans="5:5" x14ac:dyDescent="0.25">
      <c r="E3979" s="82" t="s">
        <v>4950</v>
      </c>
    </row>
    <row r="3980" spans="5:5" x14ac:dyDescent="0.25">
      <c r="E3980" s="82" t="s">
        <v>4951</v>
      </c>
    </row>
    <row r="3981" spans="5:5" x14ac:dyDescent="0.25">
      <c r="E3981" s="82" t="s">
        <v>4952</v>
      </c>
    </row>
    <row r="3982" spans="5:5" x14ac:dyDescent="0.25">
      <c r="E3982" s="82" t="s">
        <v>4953</v>
      </c>
    </row>
    <row r="3983" spans="5:5" x14ac:dyDescent="0.25">
      <c r="E3983" s="82" t="s">
        <v>4954</v>
      </c>
    </row>
    <row r="3984" spans="5:5" x14ac:dyDescent="0.25">
      <c r="E3984" s="82" t="s">
        <v>4955</v>
      </c>
    </row>
    <row r="3985" spans="5:5" x14ac:dyDescent="0.25">
      <c r="E3985" s="82" t="s">
        <v>4956</v>
      </c>
    </row>
    <row r="3986" spans="5:5" x14ac:dyDescent="0.25">
      <c r="E3986" s="82" t="s">
        <v>4957</v>
      </c>
    </row>
    <row r="3987" spans="5:5" x14ac:dyDescent="0.25">
      <c r="E3987" s="82" t="s">
        <v>4958</v>
      </c>
    </row>
    <row r="3988" spans="5:5" x14ac:dyDescent="0.25">
      <c r="E3988" s="82" t="s">
        <v>4959</v>
      </c>
    </row>
    <row r="3989" spans="5:5" x14ac:dyDescent="0.25">
      <c r="E3989" s="82" t="s">
        <v>4960</v>
      </c>
    </row>
    <row r="3990" spans="5:5" x14ac:dyDescent="0.25">
      <c r="E3990" s="82" t="s">
        <v>4961</v>
      </c>
    </row>
    <row r="3991" spans="5:5" x14ac:dyDescent="0.25">
      <c r="E3991" s="82" t="s">
        <v>4962</v>
      </c>
    </row>
    <row r="3992" spans="5:5" x14ac:dyDescent="0.25">
      <c r="E3992" s="82" t="s">
        <v>4963</v>
      </c>
    </row>
    <row r="3993" spans="5:5" x14ac:dyDescent="0.25">
      <c r="E3993" s="82" t="s">
        <v>4964</v>
      </c>
    </row>
    <row r="3994" spans="5:5" x14ac:dyDescent="0.25">
      <c r="E3994" s="82" t="s">
        <v>4965</v>
      </c>
    </row>
    <row r="3995" spans="5:5" x14ac:dyDescent="0.25">
      <c r="E3995" s="82" t="s">
        <v>4966</v>
      </c>
    </row>
    <row r="3996" spans="5:5" x14ac:dyDescent="0.25">
      <c r="E3996" s="82" t="s">
        <v>4967</v>
      </c>
    </row>
    <row r="3997" spans="5:5" x14ac:dyDescent="0.25">
      <c r="E3997" s="82" t="s">
        <v>4968</v>
      </c>
    </row>
    <row r="3998" spans="5:5" x14ac:dyDescent="0.25">
      <c r="E3998" s="82" t="s">
        <v>4969</v>
      </c>
    </row>
    <row r="3999" spans="5:5" x14ac:dyDescent="0.25">
      <c r="E3999" s="82" t="s">
        <v>4970</v>
      </c>
    </row>
    <row r="4000" spans="5:5" x14ac:dyDescent="0.25">
      <c r="E4000" s="82" t="s">
        <v>4971</v>
      </c>
    </row>
    <row r="4001" spans="5:5" x14ac:dyDescent="0.25">
      <c r="E4001" s="82" t="s">
        <v>4972</v>
      </c>
    </row>
    <row r="4002" spans="5:5" x14ac:dyDescent="0.25">
      <c r="E4002" s="82" t="s">
        <v>4973</v>
      </c>
    </row>
    <row r="4003" spans="5:5" x14ac:dyDescent="0.25">
      <c r="E4003" s="82" t="s">
        <v>4974</v>
      </c>
    </row>
    <row r="4004" spans="5:5" x14ac:dyDescent="0.25">
      <c r="E4004" s="82" t="s">
        <v>4975</v>
      </c>
    </row>
    <row r="4005" spans="5:5" x14ac:dyDescent="0.25">
      <c r="E4005" s="82" t="s">
        <v>4976</v>
      </c>
    </row>
    <row r="4006" spans="5:5" x14ac:dyDescent="0.25">
      <c r="E4006" s="82" t="s">
        <v>4977</v>
      </c>
    </row>
    <row r="4007" spans="5:5" x14ac:dyDescent="0.25">
      <c r="E4007" s="82" t="s">
        <v>4978</v>
      </c>
    </row>
    <row r="4008" spans="5:5" x14ac:dyDescent="0.25">
      <c r="E4008" s="82" t="s">
        <v>4979</v>
      </c>
    </row>
    <row r="4009" spans="5:5" x14ac:dyDescent="0.25">
      <c r="E4009" s="82" t="s">
        <v>4980</v>
      </c>
    </row>
    <row r="4010" spans="5:5" x14ac:dyDescent="0.25">
      <c r="E4010" s="82" t="s">
        <v>4981</v>
      </c>
    </row>
    <row r="4011" spans="5:5" x14ac:dyDescent="0.25">
      <c r="E4011" s="82" t="s">
        <v>4982</v>
      </c>
    </row>
    <row r="4012" spans="5:5" x14ac:dyDescent="0.25">
      <c r="E4012" s="82" t="s">
        <v>4983</v>
      </c>
    </row>
    <row r="4013" spans="5:5" x14ac:dyDescent="0.25">
      <c r="E4013" s="82" t="s">
        <v>4984</v>
      </c>
    </row>
    <row r="4014" spans="5:5" x14ac:dyDescent="0.25">
      <c r="E4014" s="82" t="s">
        <v>4985</v>
      </c>
    </row>
    <row r="4015" spans="5:5" x14ac:dyDescent="0.25">
      <c r="E4015" s="82" t="s">
        <v>4986</v>
      </c>
    </row>
    <row r="4016" spans="5:5" x14ac:dyDescent="0.25">
      <c r="E4016" s="82" t="s">
        <v>4987</v>
      </c>
    </row>
    <row r="4017" spans="5:5" x14ac:dyDescent="0.25">
      <c r="E4017" s="82" t="s">
        <v>4988</v>
      </c>
    </row>
    <row r="4018" spans="5:5" x14ac:dyDescent="0.25">
      <c r="E4018" s="82" t="s">
        <v>4989</v>
      </c>
    </row>
    <row r="4019" spans="5:5" x14ac:dyDescent="0.25">
      <c r="E4019" s="82" t="s">
        <v>4990</v>
      </c>
    </row>
    <row r="4020" spans="5:5" x14ac:dyDescent="0.25">
      <c r="E4020" s="82" t="s">
        <v>4991</v>
      </c>
    </row>
    <row r="4021" spans="5:5" x14ac:dyDescent="0.25">
      <c r="E4021" s="82" t="s">
        <v>4992</v>
      </c>
    </row>
    <row r="4022" spans="5:5" x14ac:dyDescent="0.25">
      <c r="E4022" s="82" t="s">
        <v>4993</v>
      </c>
    </row>
    <row r="4023" spans="5:5" x14ac:dyDescent="0.25">
      <c r="E4023" s="82" t="s">
        <v>4994</v>
      </c>
    </row>
    <row r="4024" spans="5:5" x14ac:dyDescent="0.25">
      <c r="E4024" s="82" t="s">
        <v>4995</v>
      </c>
    </row>
    <row r="4025" spans="5:5" x14ac:dyDescent="0.25">
      <c r="E4025" s="82" t="s">
        <v>4996</v>
      </c>
    </row>
    <row r="4026" spans="5:5" x14ac:dyDescent="0.25">
      <c r="E4026" s="82" t="s">
        <v>4997</v>
      </c>
    </row>
    <row r="4027" spans="5:5" x14ac:dyDescent="0.25">
      <c r="E4027" s="82" t="s">
        <v>4998</v>
      </c>
    </row>
    <row r="4028" spans="5:5" x14ac:dyDescent="0.25">
      <c r="E4028" s="82" t="s">
        <v>4999</v>
      </c>
    </row>
    <row r="4029" spans="5:5" x14ac:dyDescent="0.25">
      <c r="E4029" s="82" t="s">
        <v>5000</v>
      </c>
    </row>
    <row r="4030" spans="5:5" x14ac:dyDescent="0.25">
      <c r="E4030" s="82" t="s">
        <v>5001</v>
      </c>
    </row>
    <row r="4031" spans="5:5" x14ac:dyDescent="0.25">
      <c r="E4031" s="82" t="s">
        <v>5002</v>
      </c>
    </row>
    <row r="4032" spans="5:5" x14ac:dyDescent="0.25">
      <c r="E4032" s="82" t="s">
        <v>5003</v>
      </c>
    </row>
    <row r="4033" spans="5:5" x14ac:dyDescent="0.25">
      <c r="E4033" s="82" t="s">
        <v>5004</v>
      </c>
    </row>
    <row r="4034" spans="5:5" x14ac:dyDescent="0.25">
      <c r="E4034" s="82" t="s">
        <v>5005</v>
      </c>
    </row>
    <row r="4035" spans="5:5" x14ac:dyDescent="0.25">
      <c r="E4035" s="82" t="s">
        <v>5006</v>
      </c>
    </row>
    <row r="4036" spans="5:5" x14ac:dyDescent="0.25">
      <c r="E4036" s="82" t="s">
        <v>5007</v>
      </c>
    </row>
    <row r="4037" spans="5:5" x14ac:dyDescent="0.25">
      <c r="E4037" s="82" t="s">
        <v>5008</v>
      </c>
    </row>
    <row r="4038" spans="5:5" x14ac:dyDescent="0.25">
      <c r="E4038" s="82" t="s">
        <v>5009</v>
      </c>
    </row>
    <row r="4039" spans="5:5" x14ac:dyDescent="0.25">
      <c r="E4039" s="82" t="s">
        <v>5010</v>
      </c>
    </row>
    <row r="4040" spans="5:5" x14ac:dyDescent="0.25">
      <c r="E4040" s="82" t="s">
        <v>5011</v>
      </c>
    </row>
    <row r="4041" spans="5:5" x14ac:dyDescent="0.25">
      <c r="E4041" s="82" t="s">
        <v>5012</v>
      </c>
    </row>
    <row r="4042" spans="5:5" x14ac:dyDescent="0.25">
      <c r="E4042" s="82" t="s">
        <v>5013</v>
      </c>
    </row>
    <row r="4043" spans="5:5" x14ac:dyDescent="0.25">
      <c r="E4043" s="82" t="s">
        <v>5014</v>
      </c>
    </row>
    <row r="4044" spans="5:5" x14ac:dyDescent="0.25">
      <c r="E4044" s="82" t="s">
        <v>5015</v>
      </c>
    </row>
    <row r="4045" spans="5:5" x14ac:dyDescent="0.25">
      <c r="E4045" s="82" t="s">
        <v>5016</v>
      </c>
    </row>
    <row r="4046" spans="5:5" x14ac:dyDescent="0.25">
      <c r="E4046" s="82" t="s">
        <v>5017</v>
      </c>
    </row>
    <row r="4047" spans="5:5" x14ac:dyDescent="0.25">
      <c r="E4047" s="82" t="s">
        <v>5018</v>
      </c>
    </row>
    <row r="4048" spans="5:5" x14ac:dyDescent="0.25">
      <c r="E4048" s="82" t="s">
        <v>5019</v>
      </c>
    </row>
    <row r="4049" spans="5:5" x14ac:dyDescent="0.25">
      <c r="E4049" s="82" t="s">
        <v>5020</v>
      </c>
    </row>
    <row r="4050" spans="5:5" x14ac:dyDescent="0.25">
      <c r="E4050" s="82" t="s">
        <v>5021</v>
      </c>
    </row>
    <row r="4051" spans="5:5" x14ac:dyDescent="0.25">
      <c r="E4051" s="82" t="s">
        <v>5022</v>
      </c>
    </row>
    <row r="4052" spans="5:5" x14ac:dyDescent="0.25">
      <c r="E4052" s="82" t="s">
        <v>5023</v>
      </c>
    </row>
    <row r="4053" spans="5:5" x14ac:dyDescent="0.25">
      <c r="E4053" s="82" t="s">
        <v>5024</v>
      </c>
    </row>
    <row r="4054" spans="5:5" x14ac:dyDescent="0.25">
      <c r="E4054" s="82" t="s">
        <v>5025</v>
      </c>
    </row>
    <row r="4055" spans="5:5" x14ac:dyDescent="0.25">
      <c r="E4055" s="82" t="s">
        <v>5026</v>
      </c>
    </row>
    <row r="4056" spans="5:5" x14ac:dyDescent="0.25">
      <c r="E4056" s="82" t="s">
        <v>5027</v>
      </c>
    </row>
    <row r="4057" spans="5:5" x14ac:dyDescent="0.25">
      <c r="E4057" s="82" t="s">
        <v>5028</v>
      </c>
    </row>
    <row r="4058" spans="5:5" x14ac:dyDescent="0.25">
      <c r="E4058" s="82" t="s">
        <v>5029</v>
      </c>
    </row>
    <row r="4059" spans="5:5" x14ac:dyDescent="0.25">
      <c r="E4059" s="82" t="s">
        <v>5030</v>
      </c>
    </row>
    <row r="4060" spans="5:5" x14ac:dyDescent="0.25">
      <c r="E4060" s="82" t="s">
        <v>5031</v>
      </c>
    </row>
    <row r="4061" spans="5:5" x14ac:dyDescent="0.25">
      <c r="E4061" s="82" t="s">
        <v>5032</v>
      </c>
    </row>
    <row r="4062" spans="5:5" x14ac:dyDescent="0.25">
      <c r="E4062" s="82" t="s">
        <v>5033</v>
      </c>
    </row>
    <row r="4063" spans="5:5" x14ac:dyDescent="0.25">
      <c r="E4063" s="82" t="s">
        <v>5034</v>
      </c>
    </row>
    <row r="4064" spans="5:5" x14ac:dyDescent="0.25">
      <c r="E4064" s="82" t="s">
        <v>5035</v>
      </c>
    </row>
    <row r="4065" spans="5:5" x14ac:dyDescent="0.25">
      <c r="E4065" s="82" t="s">
        <v>5036</v>
      </c>
    </row>
    <row r="4066" spans="5:5" x14ac:dyDescent="0.25">
      <c r="E4066" s="82" t="s">
        <v>5037</v>
      </c>
    </row>
    <row r="4067" spans="5:5" x14ac:dyDescent="0.25">
      <c r="E4067" s="82" t="s">
        <v>5038</v>
      </c>
    </row>
    <row r="4068" spans="5:5" x14ac:dyDescent="0.25">
      <c r="E4068" s="82" t="s">
        <v>5039</v>
      </c>
    </row>
    <row r="4069" spans="5:5" x14ac:dyDescent="0.25">
      <c r="E4069" s="82" t="s">
        <v>5040</v>
      </c>
    </row>
    <row r="4070" spans="5:5" x14ac:dyDescent="0.25">
      <c r="E4070" s="82" t="s">
        <v>5041</v>
      </c>
    </row>
    <row r="4071" spans="5:5" x14ac:dyDescent="0.25">
      <c r="E4071" s="82" t="s">
        <v>5042</v>
      </c>
    </row>
    <row r="4072" spans="5:5" x14ac:dyDescent="0.25">
      <c r="E4072" s="82" t="s">
        <v>5043</v>
      </c>
    </row>
    <row r="4073" spans="5:5" x14ac:dyDescent="0.25">
      <c r="E4073" s="82" t="s">
        <v>5044</v>
      </c>
    </row>
    <row r="4074" spans="5:5" x14ac:dyDescent="0.25">
      <c r="E4074" s="82" t="s">
        <v>5045</v>
      </c>
    </row>
    <row r="4075" spans="5:5" x14ac:dyDescent="0.25">
      <c r="E4075" s="82" t="s">
        <v>5046</v>
      </c>
    </row>
    <row r="4076" spans="5:5" x14ac:dyDescent="0.25">
      <c r="E4076" s="82" t="s">
        <v>5047</v>
      </c>
    </row>
    <row r="4077" spans="5:5" x14ac:dyDescent="0.25">
      <c r="E4077" s="82" t="s">
        <v>5048</v>
      </c>
    </row>
    <row r="4078" spans="5:5" x14ac:dyDescent="0.25">
      <c r="E4078" s="82" t="s">
        <v>5049</v>
      </c>
    </row>
    <row r="4079" spans="5:5" x14ac:dyDescent="0.25">
      <c r="E4079" s="82" t="s">
        <v>5050</v>
      </c>
    </row>
    <row r="4080" spans="5:5" x14ac:dyDescent="0.25">
      <c r="E4080" s="82" t="s">
        <v>5051</v>
      </c>
    </row>
    <row r="4081" spans="5:5" x14ac:dyDescent="0.25">
      <c r="E4081" s="82" t="s">
        <v>5052</v>
      </c>
    </row>
    <row r="4082" spans="5:5" x14ac:dyDescent="0.25">
      <c r="E4082" s="82" t="s">
        <v>5053</v>
      </c>
    </row>
    <row r="4083" spans="5:5" x14ac:dyDescent="0.25">
      <c r="E4083" s="82" t="s">
        <v>5054</v>
      </c>
    </row>
    <row r="4084" spans="5:5" x14ac:dyDescent="0.25">
      <c r="E4084" s="82" t="s">
        <v>5055</v>
      </c>
    </row>
    <row r="4085" spans="5:5" x14ac:dyDescent="0.25">
      <c r="E4085" s="82" t="s">
        <v>5056</v>
      </c>
    </row>
    <row r="4086" spans="5:5" x14ac:dyDescent="0.25">
      <c r="E4086" s="82" t="s">
        <v>5057</v>
      </c>
    </row>
    <row r="4087" spans="5:5" x14ac:dyDescent="0.25">
      <c r="E4087" s="82" t="s">
        <v>5058</v>
      </c>
    </row>
    <row r="4088" spans="5:5" x14ac:dyDescent="0.25">
      <c r="E4088" s="82" t="s">
        <v>5059</v>
      </c>
    </row>
    <row r="4089" spans="5:5" x14ac:dyDescent="0.25">
      <c r="E4089" s="82" t="s">
        <v>5060</v>
      </c>
    </row>
    <row r="4090" spans="5:5" x14ac:dyDescent="0.25">
      <c r="E4090" s="82" t="s">
        <v>5061</v>
      </c>
    </row>
    <row r="4091" spans="5:5" x14ac:dyDescent="0.25">
      <c r="E4091" s="82" t="s">
        <v>5062</v>
      </c>
    </row>
    <row r="4092" spans="5:5" x14ac:dyDescent="0.25">
      <c r="E4092" s="82" t="s">
        <v>5063</v>
      </c>
    </row>
    <row r="4093" spans="5:5" x14ac:dyDescent="0.25">
      <c r="E4093" s="82" t="s">
        <v>5064</v>
      </c>
    </row>
    <row r="4094" spans="5:5" x14ac:dyDescent="0.25">
      <c r="E4094" s="82" t="s">
        <v>5065</v>
      </c>
    </row>
    <row r="4095" spans="5:5" x14ac:dyDescent="0.25">
      <c r="E4095" s="82" t="s">
        <v>5066</v>
      </c>
    </row>
    <row r="4096" spans="5:5" x14ac:dyDescent="0.25">
      <c r="E4096" s="82" t="s">
        <v>5067</v>
      </c>
    </row>
    <row r="4097" spans="5:5" x14ac:dyDescent="0.25">
      <c r="E4097" s="82" t="s">
        <v>5068</v>
      </c>
    </row>
    <row r="4098" spans="5:5" x14ac:dyDescent="0.25">
      <c r="E4098" s="82" t="s">
        <v>5069</v>
      </c>
    </row>
    <row r="4099" spans="5:5" x14ac:dyDescent="0.25">
      <c r="E4099" s="82" t="s">
        <v>5070</v>
      </c>
    </row>
    <row r="4100" spans="5:5" x14ac:dyDescent="0.25">
      <c r="E4100" s="82" t="s">
        <v>5071</v>
      </c>
    </row>
    <row r="4101" spans="5:5" x14ac:dyDescent="0.25">
      <c r="E4101" s="82" t="s">
        <v>5072</v>
      </c>
    </row>
    <row r="4102" spans="5:5" x14ac:dyDescent="0.25">
      <c r="E4102" s="82" t="s">
        <v>5073</v>
      </c>
    </row>
    <row r="4103" spans="5:5" x14ac:dyDescent="0.25">
      <c r="E4103" s="82" t="s">
        <v>5074</v>
      </c>
    </row>
    <row r="4104" spans="5:5" x14ac:dyDescent="0.25">
      <c r="E4104" s="82" t="s">
        <v>5075</v>
      </c>
    </row>
    <row r="4105" spans="5:5" x14ac:dyDescent="0.25">
      <c r="E4105" s="82" t="s">
        <v>5076</v>
      </c>
    </row>
    <row r="4106" spans="5:5" x14ac:dyDescent="0.25">
      <c r="E4106" s="82" t="s">
        <v>5077</v>
      </c>
    </row>
    <row r="4107" spans="5:5" x14ac:dyDescent="0.25">
      <c r="E4107" s="82" t="s">
        <v>5078</v>
      </c>
    </row>
    <row r="4108" spans="5:5" x14ac:dyDescent="0.25">
      <c r="E4108" s="82" t="s">
        <v>5079</v>
      </c>
    </row>
    <row r="4109" spans="5:5" x14ac:dyDescent="0.25">
      <c r="E4109" s="82" t="s">
        <v>5080</v>
      </c>
    </row>
    <row r="4110" spans="5:5" x14ac:dyDescent="0.25">
      <c r="E4110" s="82" t="s">
        <v>5081</v>
      </c>
    </row>
    <row r="4111" spans="5:5" x14ac:dyDescent="0.25">
      <c r="E4111" s="82" t="s">
        <v>5082</v>
      </c>
    </row>
    <row r="4112" spans="5:5" x14ac:dyDescent="0.25">
      <c r="E4112" s="82" t="s">
        <v>5083</v>
      </c>
    </row>
    <row r="4113" spans="5:5" x14ac:dyDescent="0.25">
      <c r="E4113" s="82" t="s">
        <v>5084</v>
      </c>
    </row>
    <row r="4114" spans="5:5" x14ac:dyDescent="0.25">
      <c r="E4114" s="82" t="s">
        <v>5085</v>
      </c>
    </row>
    <row r="4115" spans="5:5" x14ac:dyDescent="0.25">
      <c r="E4115" s="82" t="s">
        <v>5086</v>
      </c>
    </row>
    <row r="4116" spans="5:5" x14ac:dyDescent="0.25">
      <c r="E4116" s="82" t="s">
        <v>5087</v>
      </c>
    </row>
    <row r="4117" spans="5:5" x14ac:dyDescent="0.25">
      <c r="E4117" s="82" t="s">
        <v>5088</v>
      </c>
    </row>
    <row r="4118" spans="5:5" x14ac:dyDescent="0.25">
      <c r="E4118" s="82" t="s">
        <v>5089</v>
      </c>
    </row>
    <row r="4119" spans="5:5" x14ac:dyDescent="0.25">
      <c r="E4119" s="82" t="s">
        <v>5090</v>
      </c>
    </row>
    <row r="4120" spans="5:5" x14ac:dyDescent="0.25">
      <c r="E4120" s="82" t="s">
        <v>5091</v>
      </c>
    </row>
    <row r="4121" spans="5:5" x14ac:dyDescent="0.25">
      <c r="E4121" s="82" t="s">
        <v>5092</v>
      </c>
    </row>
    <row r="4122" spans="5:5" x14ac:dyDescent="0.25">
      <c r="E4122" s="82" t="s">
        <v>5093</v>
      </c>
    </row>
    <row r="4123" spans="5:5" x14ac:dyDescent="0.25">
      <c r="E4123" s="82" t="s">
        <v>5094</v>
      </c>
    </row>
    <row r="4124" spans="5:5" x14ac:dyDescent="0.25">
      <c r="E4124" s="82" t="s">
        <v>5095</v>
      </c>
    </row>
    <row r="4125" spans="5:5" x14ac:dyDescent="0.25">
      <c r="E4125" s="82" t="s">
        <v>5096</v>
      </c>
    </row>
    <row r="4126" spans="5:5" x14ac:dyDescent="0.25">
      <c r="E4126" s="82" t="s">
        <v>5097</v>
      </c>
    </row>
    <row r="4127" spans="5:5" x14ac:dyDescent="0.25">
      <c r="E4127" s="82" t="s">
        <v>5098</v>
      </c>
    </row>
    <row r="4128" spans="5:5" x14ac:dyDescent="0.25">
      <c r="E4128" s="82" t="s">
        <v>5099</v>
      </c>
    </row>
    <row r="4129" spans="5:5" x14ac:dyDescent="0.25">
      <c r="E4129" s="82" t="s">
        <v>5100</v>
      </c>
    </row>
    <row r="4130" spans="5:5" x14ac:dyDescent="0.25">
      <c r="E4130" s="82" t="s">
        <v>5101</v>
      </c>
    </row>
    <row r="4131" spans="5:5" x14ac:dyDescent="0.25">
      <c r="E4131" s="82" t="s">
        <v>5102</v>
      </c>
    </row>
    <row r="4132" spans="5:5" x14ac:dyDescent="0.25">
      <c r="E4132" s="82" t="s">
        <v>5103</v>
      </c>
    </row>
    <row r="4133" spans="5:5" x14ac:dyDescent="0.25">
      <c r="E4133" s="82" t="s">
        <v>5104</v>
      </c>
    </row>
    <row r="4134" spans="5:5" x14ac:dyDescent="0.25">
      <c r="E4134" s="82" t="s">
        <v>5105</v>
      </c>
    </row>
    <row r="4135" spans="5:5" x14ac:dyDescent="0.25">
      <c r="E4135" s="82" t="s">
        <v>5106</v>
      </c>
    </row>
    <row r="4136" spans="5:5" x14ac:dyDescent="0.25">
      <c r="E4136" s="82" t="s">
        <v>5107</v>
      </c>
    </row>
    <row r="4137" spans="5:5" x14ac:dyDescent="0.25">
      <c r="E4137" s="82" t="s">
        <v>5108</v>
      </c>
    </row>
    <row r="4138" spans="5:5" x14ac:dyDescent="0.25">
      <c r="E4138" s="82" t="s">
        <v>5109</v>
      </c>
    </row>
    <row r="4139" spans="5:5" x14ac:dyDescent="0.25">
      <c r="E4139" s="82" t="s">
        <v>5110</v>
      </c>
    </row>
    <row r="4140" spans="5:5" x14ac:dyDescent="0.25">
      <c r="E4140" s="82" t="s">
        <v>5111</v>
      </c>
    </row>
    <row r="4141" spans="5:5" x14ac:dyDescent="0.25">
      <c r="E4141" s="82" t="s">
        <v>5112</v>
      </c>
    </row>
    <row r="4142" spans="5:5" x14ac:dyDescent="0.25">
      <c r="E4142" s="82" t="s">
        <v>5113</v>
      </c>
    </row>
    <row r="4143" spans="5:5" x14ac:dyDescent="0.25">
      <c r="E4143" s="82" t="s">
        <v>5114</v>
      </c>
    </row>
    <row r="4144" spans="5:5" x14ac:dyDescent="0.25">
      <c r="E4144" s="82" t="s">
        <v>5115</v>
      </c>
    </row>
    <row r="4145" spans="5:5" x14ac:dyDescent="0.25">
      <c r="E4145" s="82" t="s">
        <v>5116</v>
      </c>
    </row>
    <row r="4146" spans="5:5" x14ac:dyDescent="0.25">
      <c r="E4146" s="82" t="s">
        <v>5117</v>
      </c>
    </row>
    <row r="4147" spans="5:5" x14ac:dyDescent="0.25">
      <c r="E4147" s="82" t="s">
        <v>5118</v>
      </c>
    </row>
    <row r="4148" spans="5:5" x14ac:dyDescent="0.25">
      <c r="E4148" s="82" t="s">
        <v>5119</v>
      </c>
    </row>
    <row r="4149" spans="5:5" x14ac:dyDescent="0.25">
      <c r="E4149" s="82" t="s">
        <v>5120</v>
      </c>
    </row>
    <row r="4150" spans="5:5" x14ac:dyDescent="0.25">
      <c r="E4150" s="82" t="s">
        <v>5121</v>
      </c>
    </row>
    <row r="4151" spans="5:5" x14ac:dyDescent="0.25">
      <c r="E4151" s="82" t="s">
        <v>5122</v>
      </c>
    </row>
    <row r="4152" spans="5:5" x14ac:dyDescent="0.25">
      <c r="E4152" s="82" t="s">
        <v>5123</v>
      </c>
    </row>
    <row r="4153" spans="5:5" x14ac:dyDescent="0.25">
      <c r="E4153" s="82" t="s">
        <v>5124</v>
      </c>
    </row>
    <row r="4154" spans="5:5" x14ac:dyDescent="0.25">
      <c r="E4154" s="82" t="s">
        <v>5125</v>
      </c>
    </row>
    <row r="4155" spans="5:5" x14ac:dyDescent="0.25">
      <c r="E4155" s="82" t="s">
        <v>5126</v>
      </c>
    </row>
    <row r="4156" spans="5:5" x14ac:dyDescent="0.25">
      <c r="E4156" s="82" t="s">
        <v>5127</v>
      </c>
    </row>
    <row r="4157" spans="5:5" x14ac:dyDescent="0.25">
      <c r="E4157" s="82" t="s">
        <v>5128</v>
      </c>
    </row>
    <row r="4158" spans="5:5" x14ac:dyDescent="0.25">
      <c r="E4158" s="82" t="s">
        <v>5129</v>
      </c>
    </row>
    <row r="4159" spans="5:5" x14ac:dyDescent="0.25">
      <c r="E4159" s="82" t="s">
        <v>5130</v>
      </c>
    </row>
    <row r="4160" spans="5:5" x14ac:dyDescent="0.25">
      <c r="E4160" s="82" t="s">
        <v>5131</v>
      </c>
    </row>
    <row r="4161" spans="5:5" x14ac:dyDescent="0.25">
      <c r="E4161" s="82" t="s">
        <v>5132</v>
      </c>
    </row>
    <row r="4162" spans="5:5" x14ac:dyDescent="0.25">
      <c r="E4162" s="82" t="s">
        <v>5133</v>
      </c>
    </row>
    <row r="4163" spans="5:5" x14ac:dyDescent="0.25">
      <c r="E4163" s="82" t="s">
        <v>5134</v>
      </c>
    </row>
    <row r="4164" spans="5:5" x14ac:dyDescent="0.25">
      <c r="E4164" s="82" t="s">
        <v>5135</v>
      </c>
    </row>
    <row r="4165" spans="5:5" x14ac:dyDescent="0.25">
      <c r="E4165" s="82" t="s">
        <v>5136</v>
      </c>
    </row>
    <row r="4166" spans="5:5" x14ac:dyDescent="0.25">
      <c r="E4166" s="82" t="s">
        <v>5137</v>
      </c>
    </row>
    <row r="4167" spans="5:5" x14ac:dyDescent="0.25">
      <c r="E4167" s="82" t="s">
        <v>5138</v>
      </c>
    </row>
    <row r="4168" spans="5:5" x14ac:dyDescent="0.25">
      <c r="E4168" s="82" t="s">
        <v>5139</v>
      </c>
    </row>
    <row r="4169" spans="5:5" x14ac:dyDescent="0.25">
      <c r="E4169" s="82" t="s">
        <v>5140</v>
      </c>
    </row>
    <row r="4170" spans="5:5" x14ac:dyDescent="0.25">
      <c r="E4170" s="82" t="s">
        <v>5141</v>
      </c>
    </row>
    <row r="4171" spans="5:5" x14ac:dyDescent="0.25">
      <c r="E4171" s="82" t="s">
        <v>5142</v>
      </c>
    </row>
    <row r="4172" spans="5:5" x14ac:dyDescent="0.25">
      <c r="E4172" s="82" t="s">
        <v>5143</v>
      </c>
    </row>
    <row r="4173" spans="5:5" x14ac:dyDescent="0.25">
      <c r="E4173" s="82" t="s">
        <v>5144</v>
      </c>
    </row>
    <row r="4174" spans="5:5" x14ac:dyDescent="0.25">
      <c r="E4174" s="82" t="s">
        <v>5145</v>
      </c>
    </row>
    <row r="4175" spans="5:5" x14ac:dyDescent="0.25">
      <c r="E4175" s="82" t="s">
        <v>5146</v>
      </c>
    </row>
    <row r="4176" spans="5:5" x14ac:dyDescent="0.25">
      <c r="E4176" s="82" t="s">
        <v>5147</v>
      </c>
    </row>
    <row r="4177" spans="5:5" x14ac:dyDescent="0.25">
      <c r="E4177" s="82" t="s">
        <v>5148</v>
      </c>
    </row>
    <row r="4178" spans="5:5" x14ac:dyDescent="0.25">
      <c r="E4178" s="82" t="s">
        <v>5149</v>
      </c>
    </row>
    <row r="4179" spans="5:5" x14ac:dyDescent="0.25">
      <c r="E4179" s="82" t="s">
        <v>5150</v>
      </c>
    </row>
    <row r="4180" spans="5:5" x14ac:dyDescent="0.25">
      <c r="E4180" s="82" t="s">
        <v>5151</v>
      </c>
    </row>
    <row r="4181" spans="5:5" x14ac:dyDescent="0.25">
      <c r="E4181" s="82" t="s">
        <v>5152</v>
      </c>
    </row>
    <row r="4182" spans="5:5" x14ac:dyDescent="0.25">
      <c r="E4182" s="82" t="s">
        <v>5153</v>
      </c>
    </row>
    <row r="4183" spans="5:5" x14ac:dyDescent="0.25">
      <c r="E4183" s="82" t="s">
        <v>5154</v>
      </c>
    </row>
    <row r="4184" spans="5:5" x14ac:dyDescent="0.25">
      <c r="E4184" s="82" t="s">
        <v>5155</v>
      </c>
    </row>
    <row r="4185" spans="5:5" x14ac:dyDescent="0.25">
      <c r="E4185" s="82" t="s">
        <v>5156</v>
      </c>
    </row>
    <row r="4186" spans="5:5" x14ac:dyDescent="0.25">
      <c r="E4186" s="82" t="s">
        <v>5157</v>
      </c>
    </row>
    <row r="4187" spans="5:5" x14ac:dyDescent="0.25">
      <c r="E4187" s="82" t="s">
        <v>5158</v>
      </c>
    </row>
    <row r="4188" spans="5:5" x14ac:dyDescent="0.25">
      <c r="E4188" s="82" t="s">
        <v>5159</v>
      </c>
    </row>
    <row r="4189" spans="5:5" x14ac:dyDescent="0.25">
      <c r="E4189" s="82" t="s">
        <v>5160</v>
      </c>
    </row>
    <row r="4190" spans="5:5" x14ac:dyDescent="0.25">
      <c r="E4190" s="82" t="s">
        <v>5161</v>
      </c>
    </row>
    <row r="4191" spans="5:5" x14ac:dyDescent="0.25">
      <c r="E4191" s="82" t="s">
        <v>5162</v>
      </c>
    </row>
    <row r="4192" spans="5:5" x14ac:dyDescent="0.25">
      <c r="E4192" s="82" t="s">
        <v>5163</v>
      </c>
    </row>
    <row r="4193" spans="5:5" x14ac:dyDescent="0.25">
      <c r="E4193" s="82" t="s">
        <v>5164</v>
      </c>
    </row>
    <row r="4194" spans="5:5" x14ac:dyDescent="0.25">
      <c r="E4194" s="82" t="s">
        <v>5165</v>
      </c>
    </row>
    <row r="4195" spans="5:5" x14ac:dyDescent="0.25">
      <c r="E4195" s="82" t="s">
        <v>5166</v>
      </c>
    </row>
    <row r="4196" spans="5:5" x14ac:dyDescent="0.25">
      <c r="E4196" s="82" t="s">
        <v>5167</v>
      </c>
    </row>
    <row r="4197" spans="5:5" x14ac:dyDescent="0.25">
      <c r="E4197" s="82" t="s">
        <v>5168</v>
      </c>
    </row>
    <row r="4198" spans="5:5" x14ac:dyDescent="0.25">
      <c r="E4198" s="82" t="s">
        <v>5169</v>
      </c>
    </row>
    <row r="4199" spans="5:5" x14ac:dyDescent="0.25">
      <c r="E4199" s="82" t="s">
        <v>5170</v>
      </c>
    </row>
    <row r="4200" spans="5:5" x14ac:dyDescent="0.25">
      <c r="E4200" s="82" t="s">
        <v>5171</v>
      </c>
    </row>
    <row r="4201" spans="5:5" x14ac:dyDescent="0.25">
      <c r="E4201" s="82" t="s">
        <v>5172</v>
      </c>
    </row>
    <row r="4202" spans="5:5" x14ac:dyDescent="0.25">
      <c r="E4202" s="82" t="s">
        <v>5173</v>
      </c>
    </row>
    <row r="4203" spans="5:5" x14ac:dyDescent="0.25">
      <c r="E4203" s="82" t="s">
        <v>5174</v>
      </c>
    </row>
    <row r="4204" spans="5:5" x14ac:dyDescent="0.25">
      <c r="E4204" s="82" t="s">
        <v>5175</v>
      </c>
    </row>
    <row r="4205" spans="5:5" x14ac:dyDescent="0.25">
      <c r="E4205" s="82" t="s">
        <v>5176</v>
      </c>
    </row>
    <row r="4206" spans="5:5" x14ac:dyDescent="0.25">
      <c r="E4206" s="82" t="s">
        <v>5177</v>
      </c>
    </row>
    <row r="4207" spans="5:5" x14ac:dyDescent="0.25">
      <c r="E4207" s="82" t="s">
        <v>5178</v>
      </c>
    </row>
    <row r="4208" spans="5:5" x14ac:dyDescent="0.25">
      <c r="E4208" s="82" t="s">
        <v>5179</v>
      </c>
    </row>
    <row r="4209" spans="5:5" x14ac:dyDescent="0.25">
      <c r="E4209" s="82" t="s">
        <v>5180</v>
      </c>
    </row>
    <row r="4210" spans="5:5" x14ac:dyDescent="0.25">
      <c r="E4210" s="82" t="s">
        <v>5181</v>
      </c>
    </row>
    <row r="4211" spans="5:5" x14ac:dyDescent="0.25">
      <c r="E4211" s="82" t="s">
        <v>5182</v>
      </c>
    </row>
    <row r="4212" spans="5:5" x14ac:dyDescent="0.25">
      <c r="E4212" s="82" t="s">
        <v>5183</v>
      </c>
    </row>
    <row r="4213" spans="5:5" x14ac:dyDescent="0.25">
      <c r="E4213" s="82" t="s">
        <v>5184</v>
      </c>
    </row>
    <row r="4214" spans="5:5" x14ac:dyDescent="0.25">
      <c r="E4214" s="82" t="s">
        <v>5185</v>
      </c>
    </row>
    <row r="4215" spans="5:5" x14ac:dyDescent="0.25">
      <c r="E4215" s="82" t="s">
        <v>5186</v>
      </c>
    </row>
    <row r="4216" spans="5:5" x14ac:dyDescent="0.25">
      <c r="E4216" s="82" t="s">
        <v>5187</v>
      </c>
    </row>
    <row r="4217" spans="5:5" x14ac:dyDescent="0.25">
      <c r="E4217" s="82" t="s">
        <v>5188</v>
      </c>
    </row>
    <row r="4218" spans="5:5" x14ac:dyDescent="0.25">
      <c r="E4218" s="82" t="s">
        <v>5189</v>
      </c>
    </row>
    <row r="4219" spans="5:5" x14ac:dyDescent="0.25">
      <c r="E4219" s="82" t="s">
        <v>5190</v>
      </c>
    </row>
    <row r="4220" spans="5:5" x14ac:dyDescent="0.25">
      <c r="E4220" s="82" t="s">
        <v>5191</v>
      </c>
    </row>
    <row r="4221" spans="5:5" x14ac:dyDescent="0.25">
      <c r="E4221" s="82" t="s">
        <v>5192</v>
      </c>
    </row>
    <row r="4222" spans="5:5" x14ac:dyDescent="0.25">
      <c r="E4222" s="82" t="s">
        <v>5193</v>
      </c>
    </row>
    <row r="4223" spans="5:5" x14ac:dyDescent="0.25">
      <c r="E4223" s="82" t="s">
        <v>5194</v>
      </c>
    </row>
    <row r="4224" spans="5:5" x14ac:dyDescent="0.25">
      <c r="E4224" s="82" t="s">
        <v>5195</v>
      </c>
    </row>
    <row r="4225" spans="5:5" x14ac:dyDescent="0.25">
      <c r="E4225" s="82" t="s">
        <v>5196</v>
      </c>
    </row>
    <row r="4226" spans="5:5" x14ac:dyDescent="0.25">
      <c r="E4226" s="82" t="s">
        <v>5197</v>
      </c>
    </row>
    <row r="4227" spans="5:5" x14ac:dyDescent="0.25">
      <c r="E4227" s="82" t="s">
        <v>5198</v>
      </c>
    </row>
    <row r="4228" spans="5:5" x14ac:dyDescent="0.25">
      <c r="E4228" s="82" t="s">
        <v>5199</v>
      </c>
    </row>
    <row r="4229" spans="5:5" x14ac:dyDescent="0.25">
      <c r="E4229" s="82" t="s">
        <v>5200</v>
      </c>
    </row>
    <row r="4230" spans="5:5" x14ac:dyDescent="0.25">
      <c r="E4230" s="82" t="s">
        <v>5201</v>
      </c>
    </row>
    <row r="4231" spans="5:5" x14ac:dyDescent="0.25">
      <c r="E4231" s="82" t="s">
        <v>5202</v>
      </c>
    </row>
    <row r="4232" spans="5:5" x14ac:dyDescent="0.25">
      <c r="E4232" s="82" t="s">
        <v>5203</v>
      </c>
    </row>
    <row r="4233" spans="5:5" x14ac:dyDescent="0.25">
      <c r="E4233" s="82" t="s">
        <v>5204</v>
      </c>
    </row>
    <row r="4234" spans="5:5" x14ac:dyDescent="0.25">
      <c r="E4234" s="82" t="s">
        <v>5205</v>
      </c>
    </row>
    <row r="4235" spans="5:5" x14ac:dyDescent="0.25">
      <c r="E4235" s="82" t="s">
        <v>5206</v>
      </c>
    </row>
    <row r="4236" spans="5:5" x14ac:dyDescent="0.25">
      <c r="E4236" s="82" t="s">
        <v>5207</v>
      </c>
    </row>
    <row r="4237" spans="5:5" x14ac:dyDescent="0.25">
      <c r="E4237" s="82" t="s">
        <v>5208</v>
      </c>
    </row>
    <row r="4238" spans="5:5" x14ac:dyDescent="0.25">
      <c r="E4238" s="82" t="s">
        <v>5209</v>
      </c>
    </row>
    <row r="4239" spans="5:5" x14ac:dyDescent="0.25">
      <c r="E4239" s="82" t="s">
        <v>5210</v>
      </c>
    </row>
    <row r="4240" spans="5:5" x14ac:dyDescent="0.25">
      <c r="E4240" s="82" t="s">
        <v>5211</v>
      </c>
    </row>
    <row r="4241" spans="5:5" x14ac:dyDescent="0.25">
      <c r="E4241" s="82" t="s">
        <v>5212</v>
      </c>
    </row>
    <row r="4242" spans="5:5" x14ac:dyDescent="0.25">
      <c r="E4242" s="82" t="s">
        <v>5213</v>
      </c>
    </row>
    <row r="4243" spans="5:5" x14ac:dyDescent="0.25">
      <c r="E4243" s="82" t="s">
        <v>5214</v>
      </c>
    </row>
    <row r="4244" spans="5:5" x14ac:dyDescent="0.25">
      <c r="E4244" s="82" t="s">
        <v>5215</v>
      </c>
    </row>
    <row r="4245" spans="5:5" x14ac:dyDescent="0.25">
      <c r="E4245" s="82" t="s">
        <v>5216</v>
      </c>
    </row>
    <row r="4246" spans="5:5" x14ac:dyDescent="0.25">
      <c r="E4246" s="82" t="s">
        <v>5217</v>
      </c>
    </row>
    <row r="4247" spans="5:5" x14ac:dyDescent="0.25">
      <c r="E4247" s="82" t="s">
        <v>5218</v>
      </c>
    </row>
    <row r="4248" spans="5:5" x14ac:dyDescent="0.25">
      <c r="E4248" s="82" t="s">
        <v>5219</v>
      </c>
    </row>
    <row r="4249" spans="5:5" x14ac:dyDescent="0.25">
      <c r="E4249" s="82" t="s">
        <v>5220</v>
      </c>
    </row>
    <row r="4250" spans="5:5" x14ac:dyDescent="0.25">
      <c r="E4250" s="82" t="s">
        <v>5221</v>
      </c>
    </row>
    <row r="4251" spans="5:5" x14ac:dyDescent="0.25">
      <c r="E4251" s="82" t="s">
        <v>5222</v>
      </c>
    </row>
    <row r="4252" spans="5:5" x14ac:dyDescent="0.25">
      <c r="E4252" s="82" t="s">
        <v>5223</v>
      </c>
    </row>
    <row r="4253" spans="5:5" x14ac:dyDescent="0.25">
      <c r="E4253" s="82" t="s">
        <v>5224</v>
      </c>
    </row>
    <row r="4254" spans="5:5" x14ac:dyDescent="0.25">
      <c r="E4254" s="82" t="s">
        <v>5225</v>
      </c>
    </row>
    <row r="4255" spans="5:5" x14ac:dyDescent="0.25">
      <c r="E4255" s="82" t="s">
        <v>5226</v>
      </c>
    </row>
    <row r="4256" spans="5:5" x14ac:dyDescent="0.25">
      <c r="E4256" s="82" t="s">
        <v>5227</v>
      </c>
    </row>
    <row r="4257" spans="5:5" x14ac:dyDescent="0.25">
      <c r="E4257" s="82" t="s">
        <v>5228</v>
      </c>
    </row>
    <row r="4258" spans="5:5" x14ac:dyDescent="0.25">
      <c r="E4258" s="82" t="s">
        <v>5229</v>
      </c>
    </row>
    <row r="4259" spans="5:5" x14ac:dyDescent="0.25">
      <c r="E4259" s="82" t="s">
        <v>5230</v>
      </c>
    </row>
    <row r="4260" spans="5:5" x14ac:dyDescent="0.25">
      <c r="E4260" s="82" t="s">
        <v>5231</v>
      </c>
    </row>
    <row r="4261" spans="5:5" x14ac:dyDescent="0.25">
      <c r="E4261" s="82" t="s">
        <v>5232</v>
      </c>
    </row>
    <row r="4262" spans="5:5" x14ac:dyDescent="0.25">
      <c r="E4262" s="82" t="s">
        <v>5233</v>
      </c>
    </row>
    <row r="4263" spans="5:5" x14ac:dyDescent="0.25">
      <c r="E4263" s="82" t="s">
        <v>5234</v>
      </c>
    </row>
    <row r="4264" spans="5:5" x14ac:dyDescent="0.25">
      <c r="E4264" s="82" t="s">
        <v>5235</v>
      </c>
    </row>
    <row r="4265" spans="5:5" x14ac:dyDescent="0.25">
      <c r="E4265" s="82" t="s">
        <v>5236</v>
      </c>
    </row>
    <row r="4266" spans="5:5" x14ac:dyDescent="0.25">
      <c r="E4266" s="82" t="s">
        <v>5237</v>
      </c>
    </row>
    <row r="4267" spans="5:5" x14ac:dyDescent="0.25">
      <c r="E4267" s="82" t="s">
        <v>5238</v>
      </c>
    </row>
    <row r="4268" spans="5:5" x14ac:dyDescent="0.25">
      <c r="E4268" s="82" t="s">
        <v>5239</v>
      </c>
    </row>
    <row r="4269" spans="5:5" x14ac:dyDescent="0.25">
      <c r="E4269" s="82" t="s">
        <v>5240</v>
      </c>
    </row>
    <row r="4270" spans="5:5" x14ac:dyDescent="0.25">
      <c r="E4270" s="82" t="s">
        <v>5241</v>
      </c>
    </row>
    <row r="4271" spans="5:5" x14ac:dyDescent="0.25">
      <c r="E4271" s="82" t="s">
        <v>5242</v>
      </c>
    </row>
    <row r="4272" spans="5:5" x14ac:dyDescent="0.25">
      <c r="E4272" s="82" t="s">
        <v>5243</v>
      </c>
    </row>
    <row r="4273" spans="5:5" x14ac:dyDescent="0.25">
      <c r="E4273" s="82" t="s">
        <v>5244</v>
      </c>
    </row>
    <row r="4274" spans="5:5" x14ac:dyDescent="0.25">
      <c r="E4274" s="82" t="s">
        <v>5245</v>
      </c>
    </row>
    <row r="4275" spans="5:5" x14ac:dyDescent="0.25">
      <c r="E4275" s="82" t="s">
        <v>5246</v>
      </c>
    </row>
    <row r="4276" spans="5:5" x14ac:dyDescent="0.25">
      <c r="E4276" s="82" t="s">
        <v>5247</v>
      </c>
    </row>
    <row r="4277" spans="5:5" x14ac:dyDescent="0.25">
      <c r="E4277" s="82" t="s">
        <v>5248</v>
      </c>
    </row>
    <row r="4278" spans="5:5" x14ac:dyDescent="0.25">
      <c r="E4278" s="82" t="s">
        <v>5249</v>
      </c>
    </row>
    <row r="4279" spans="5:5" x14ac:dyDescent="0.25">
      <c r="E4279" s="82" t="s">
        <v>5250</v>
      </c>
    </row>
    <row r="4280" spans="5:5" x14ac:dyDescent="0.25">
      <c r="E4280" s="82" t="s">
        <v>5251</v>
      </c>
    </row>
    <row r="4281" spans="5:5" x14ac:dyDescent="0.25">
      <c r="E4281" s="82" t="s">
        <v>5252</v>
      </c>
    </row>
    <row r="4282" spans="5:5" x14ac:dyDescent="0.25">
      <c r="E4282" s="82" t="s">
        <v>5253</v>
      </c>
    </row>
    <row r="4283" spans="5:5" x14ac:dyDescent="0.25">
      <c r="E4283" s="82" t="s">
        <v>5254</v>
      </c>
    </row>
    <row r="4284" spans="5:5" x14ac:dyDescent="0.25">
      <c r="E4284" s="82" t="s">
        <v>5255</v>
      </c>
    </row>
    <row r="4285" spans="5:5" x14ac:dyDescent="0.25">
      <c r="E4285" s="82" t="s">
        <v>5256</v>
      </c>
    </row>
    <row r="4286" spans="5:5" x14ac:dyDescent="0.25">
      <c r="E4286" s="82" t="s">
        <v>5257</v>
      </c>
    </row>
    <row r="4287" spans="5:5" x14ac:dyDescent="0.25">
      <c r="E4287" s="82" t="s">
        <v>5258</v>
      </c>
    </row>
    <row r="4288" spans="5:5" x14ac:dyDescent="0.25">
      <c r="E4288" s="82" t="s">
        <v>5259</v>
      </c>
    </row>
    <row r="4289" spans="5:5" x14ac:dyDescent="0.25">
      <c r="E4289" s="82" t="s">
        <v>5260</v>
      </c>
    </row>
    <row r="4290" spans="5:5" x14ac:dyDescent="0.25">
      <c r="E4290" s="82" t="s">
        <v>5261</v>
      </c>
    </row>
    <row r="4291" spans="5:5" x14ac:dyDescent="0.25">
      <c r="E4291" s="82" t="s">
        <v>5262</v>
      </c>
    </row>
    <row r="4292" spans="5:5" x14ac:dyDescent="0.25">
      <c r="E4292" s="82" t="s">
        <v>5263</v>
      </c>
    </row>
    <row r="4293" spans="5:5" x14ac:dyDescent="0.25">
      <c r="E4293" s="82" t="s">
        <v>5264</v>
      </c>
    </row>
    <row r="4294" spans="5:5" x14ac:dyDescent="0.25">
      <c r="E4294" s="82" t="s">
        <v>5265</v>
      </c>
    </row>
    <row r="4295" spans="5:5" x14ac:dyDescent="0.25">
      <c r="E4295" s="82" t="s">
        <v>5266</v>
      </c>
    </row>
    <row r="4296" spans="5:5" x14ac:dyDescent="0.25">
      <c r="E4296" s="82" t="s">
        <v>5267</v>
      </c>
    </row>
    <row r="4297" spans="5:5" x14ac:dyDescent="0.25">
      <c r="E4297" s="82" t="s">
        <v>5268</v>
      </c>
    </row>
    <row r="4298" spans="5:5" x14ac:dyDescent="0.25">
      <c r="E4298" s="82" t="s">
        <v>5269</v>
      </c>
    </row>
    <row r="4299" spans="5:5" x14ac:dyDescent="0.25">
      <c r="E4299" s="82" t="s">
        <v>5270</v>
      </c>
    </row>
    <row r="4300" spans="5:5" x14ac:dyDescent="0.25">
      <c r="E4300" s="82" t="s">
        <v>5271</v>
      </c>
    </row>
    <row r="4301" spans="5:5" x14ac:dyDescent="0.25">
      <c r="E4301" s="82" t="s">
        <v>5272</v>
      </c>
    </row>
    <row r="4302" spans="5:5" x14ac:dyDescent="0.25">
      <c r="E4302" s="82" t="s">
        <v>5273</v>
      </c>
    </row>
    <row r="4303" spans="5:5" x14ac:dyDescent="0.25">
      <c r="E4303" s="82" t="s">
        <v>5274</v>
      </c>
    </row>
    <row r="4304" spans="5:5" x14ac:dyDescent="0.25">
      <c r="E4304" s="82" t="s">
        <v>5275</v>
      </c>
    </row>
    <row r="4305" spans="5:5" x14ac:dyDescent="0.25">
      <c r="E4305" s="82" t="s">
        <v>5276</v>
      </c>
    </row>
    <row r="4306" spans="5:5" x14ac:dyDescent="0.25">
      <c r="E4306" s="82" t="s">
        <v>5277</v>
      </c>
    </row>
    <row r="4307" spans="5:5" x14ac:dyDescent="0.25">
      <c r="E4307" s="82" t="s">
        <v>5278</v>
      </c>
    </row>
    <row r="4308" spans="5:5" x14ac:dyDescent="0.25">
      <c r="E4308" s="82" t="s">
        <v>5279</v>
      </c>
    </row>
    <row r="4309" spans="5:5" x14ac:dyDescent="0.25">
      <c r="E4309" s="82" t="s">
        <v>5280</v>
      </c>
    </row>
    <row r="4310" spans="5:5" x14ac:dyDescent="0.25">
      <c r="E4310" s="82" t="s">
        <v>5281</v>
      </c>
    </row>
    <row r="4311" spans="5:5" x14ac:dyDescent="0.25">
      <c r="E4311" s="82" t="s">
        <v>5282</v>
      </c>
    </row>
    <row r="4312" spans="5:5" x14ac:dyDescent="0.25">
      <c r="E4312" s="82" t="s">
        <v>5283</v>
      </c>
    </row>
    <row r="4313" spans="5:5" x14ac:dyDescent="0.25">
      <c r="E4313" s="82" t="s">
        <v>5284</v>
      </c>
    </row>
    <row r="4314" spans="5:5" x14ac:dyDescent="0.25">
      <c r="E4314" s="82" t="s">
        <v>5285</v>
      </c>
    </row>
    <row r="4315" spans="5:5" x14ac:dyDescent="0.25">
      <c r="E4315" s="82" t="s">
        <v>5286</v>
      </c>
    </row>
    <row r="4316" spans="5:5" x14ac:dyDescent="0.25">
      <c r="E4316" s="82" t="s">
        <v>5287</v>
      </c>
    </row>
    <row r="4317" spans="5:5" x14ac:dyDescent="0.25">
      <c r="E4317" s="82" t="s">
        <v>5288</v>
      </c>
    </row>
    <row r="4318" spans="5:5" x14ac:dyDescent="0.25">
      <c r="E4318" s="82" t="s">
        <v>5289</v>
      </c>
    </row>
    <row r="4319" spans="5:5" x14ac:dyDescent="0.25">
      <c r="E4319" s="82" t="s">
        <v>5290</v>
      </c>
    </row>
    <row r="4320" spans="5:5" x14ac:dyDescent="0.25">
      <c r="E4320" s="82" t="s">
        <v>5291</v>
      </c>
    </row>
    <row r="4321" spans="5:5" x14ac:dyDescent="0.25">
      <c r="E4321" s="82" t="s">
        <v>5292</v>
      </c>
    </row>
    <row r="4322" spans="5:5" x14ac:dyDescent="0.25">
      <c r="E4322" s="82" t="s">
        <v>5293</v>
      </c>
    </row>
    <row r="4323" spans="5:5" x14ac:dyDescent="0.25">
      <c r="E4323" s="82" t="s">
        <v>5294</v>
      </c>
    </row>
    <row r="4324" spans="5:5" x14ac:dyDescent="0.25">
      <c r="E4324" s="82" t="s">
        <v>5295</v>
      </c>
    </row>
    <row r="4325" spans="5:5" x14ac:dyDescent="0.25">
      <c r="E4325" s="82" t="s">
        <v>5296</v>
      </c>
    </row>
    <row r="4326" spans="5:5" x14ac:dyDescent="0.25">
      <c r="E4326" s="82" t="s">
        <v>5297</v>
      </c>
    </row>
    <row r="4327" spans="5:5" x14ac:dyDescent="0.25">
      <c r="E4327" s="82" t="s">
        <v>5298</v>
      </c>
    </row>
    <row r="4328" spans="5:5" x14ac:dyDescent="0.25">
      <c r="E4328" s="82" t="s">
        <v>5299</v>
      </c>
    </row>
    <row r="4329" spans="5:5" x14ac:dyDescent="0.25">
      <c r="E4329" s="82" t="s">
        <v>5300</v>
      </c>
    </row>
    <row r="4330" spans="5:5" x14ac:dyDescent="0.25">
      <c r="E4330" s="82" t="s">
        <v>5301</v>
      </c>
    </row>
    <row r="4331" spans="5:5" x14ac:dyDescent="0.25">
      <c r="E4331" s="82" t="s">
        <v>5302</v>
      </c>
    </row>
    <row r="4332" spans="5:5" x14ac:dyDescent="0.25">
      <c r="E4332" s="82" t="s">
        <v>5303</v>
      </c>
    </row>
    <row r="4333" spans="5:5" x14ac:dyDescent="0.25">
      <c r="E4333" s="82" t="s">
        <v>5304</v>
      </c>
    </row>
    <row r="4334" spans="5:5" x14ac:dyDescent="0.25">
      <c r="E4334" s="82" t="s">
        <v>5305</v>
      </c>
    </row>
    <row r="4335" spans="5:5" x14ac:dyDescent="0.25">
      <c r="E4335" s="82" t="s">
        <v>5306</v>
      </c>
    </row>
    <row r="4336" spans="5:5" x14ac:dyDescent="0.25">
      <c r="E4336" s="82" t="s">
        <v>5307</v>
      </c>
    </row>
    <row r="4337" spans="5:5" x14ac:dyDescent="0.25">
      <c r="E4337" s="82" t="s">
        <v>5308</v>
      </c>
    </row>
    <row r="4338" spans="5:5" x14ac:dyDescent="0.25">
      <c r="E4338" s="82" t="s">
        <v>5309</v>
      </c>
    </row>
    <row r="4339" spans="5:5" x14ac:dyDescent="0.25">
      <c r="E4339" s="82" t="s">
        <v>5310</v>
      </c>
    </row>
    <row r="4340" spans="5:5" x14ac:dyDescent="0.25">
      <c r="E4340" s="82" t="s">
        <v>5311</v>
      </c>
    </row>
    <row r="4341" spans="5:5" x14ac:dyDescent="0.25">
      <c r="E4341" s="82" t="s">
        <v>5312</v>
      </c>
    </row>
    <row r="4342" spans="5:5" x14ac:dyDescent="0.25">
      <c r="E4342" s="82" t="s">
        <v>5313</v>
      </c>
    </row>
    <row r="4343" spans="5:5" x14ac:dyDescent="0.25">
      <c r="E4343" s="82" t="s">
        <v>5314</v>
      </c>
    </row>
    <row r="4344" spans="5:5" x14ac:dyDescent="0.25">
      <c r="E4344" s="82" t="s">
        <v>5315</v>
      </c>
    </row>
    <row r="4345" spans="5:5" x14ac:dyDescent="0.25">
      <c r="E4345" s="82" t="s">
        <v>5316</v>
      </c>
    </row>
    <row r="4346" spans="5:5" x14ac:dyDescent="0.25">
      <c r="E4346" s="82" t="s">
        <v>5317</v>
      </c>
    </row>
    <row r="4347" spans="5:5" x14ac:dyDescent="0.25">
      <c r="E4347" s="82" t="s">
        <v>5318</v>
      </c>
    </row>
    <row r="4348" spans="5:5" x14ac:dyDescent="0.25">
      <c r="E4348" s="82" t="s">
        <v>5319</v>
      </c>
    </row>
    <row r="4349" spans="5:5" x14ac:dyDescent="0.25">
      <c r="E4349" s="82" t="s">
        <v>5320</v>
      </c>
    </row>
    <row r="4350" spans="5:5" x14ac:dyDescent="0.25">
      <c r="E4350" s="82" t="s">
        <v>5321</v>
      </c>
    </row>
    <row r="4351" spans="5:5" x14ac:dyDescent="0.25">
      <c r="E4351" s="82" t="s">
        <v>5322</v>
      </c>
    </row>
    <row r="4352" spans="5:5" x14ac:dyDescent="0.25">
      <c r="E4352" s="82" t="s">
        <v>5323</v>
      </c>
    </row>
    <row r="4353" spans="5:5" x14ac:dyDescent="0.25">
      <c r="E4353" s="82" t="s">
        <v>5324</v>
      </c>
    </row>
    <row r="4354" spans="5:5" x14ac:dyDescent="0.25">
      <c r="E4354" s="82" t="s">
        <v>5325</v>
      </c>
    </row>
    <row r="4355" spans="5:5" x14ac:dyDescent="0.25">
      <c r="E4355" s="82" t="s">
        <v>5326</v>
      </c>
    </row>
    <row r="4356" spans="5:5" x14ac:dyDescent="0.25">
      <c r="E4356" s="82" t="s">
        <v>5327</v>
      </c>
    </row>
    <row r="4357" spans="5:5" x14ac:dyDescent="0.25">
      <c r="E4357" s="82" t="s">
        <v>5328</v>
      </c>
    </row>
    <row r="4358" spans="5:5" x14ac:dyDescent="0.25">
      <c r="E4358" s="82" t="s">
        <v>5329</v>
      </c>
    </row>
    <row r="4359" spans="5:5" x14ac:dyDescent="0.25">
      <c r="E4359" s="82" t="s">
        <v>5330</v>
      </c>
    </row>
    <row r="4360" spans="5:5" x14ac:dyDescent="0.25">
      <c r="E4360" s="82" t="s">
        <v>5331</v>
      </c>
    </row>
    <row r="4361" spans="5:5" x14ac:dyDescent="0.25">
      <c r="E4361" s="82" t="s">
        <v>5332</v>
      </c>
    </row>
    <row r="4362" spans="5:5" x14ac:dyDescent="0.25">
      <c r="E4362" s="82" t="s">
        <v>5333</v>
      </c>
    </row>
    <row r="4363" spans="5:5" x14ac:dyDescent="0.25">
      <c r="E4363" s="82" t="s">
        <v>5334</v>
      </c>
    </row>
    <row r="4364" spans="5:5" x14ac:dyDescent="0.25">
      <c r="E4364" s="82" t="s">
        <v>5335</v>
      </c>
    </row>
    <row r="4365" spans="5:5" x14ac:dyDescent="0.25">
      <c r="E4365" s="82" t="s">
        <v>5336</v>
      </c>
    </row>
    <row r="4366" spans="5:5" x14ac:dyDescent="0.25">
      <c r="E4366" s="82" t="s">
        <v>5337</v>
      </c>
    </row>
    <row r="4367" spans="5:5" x14ac:dyDescent="0.25">
      <c r="E4367" s="82" t="s">
        <v>5338</v>
      </c>
    </row>
    <row r="4368" spans="5:5" x14ac:dyDescent="0.25">
      <c r="E4368" s="82" t="s">
        <v>5339</v>
      </c>
    </row>
    <row r="4369" spans="5:5" x14ac:dyDescent="0.25">
      <c r="E4369" s="82" t="s">
        <v>5340</v>
      </c>
    </row>
    <row r="4370" spans="5:5" x14ac:dyDescent="0.25">
      <c r="E4370" s="82" t="s">
        <v>5341</v>
      </c>
    </row>
    <row r="4371" spans="5:5" x14ac:dyDescent="0.25">
      <c r="E4371" s="82" t="s">
        <v>5342</v>
      </c>
    </row>
    <row r="4372" spans="5:5" x14ac:dyDescent="0.25">
      <c r="E4372" s="82" t="s">
        <v>5343</v>
      </c>
    </row>
    <row r="4373" spans="5:5" x14ac:dyDescent="0.25">
      <c r="E4373" s="82" t="s">
        <v>5344</v>
      </c>
    </row>
    <row r="4374" spans="5:5" x14ac:dyDescent="0.25">
      <c r="E4374" s="82" t="s">
        <v>5345</v>
      </c>
    </row>
    <row r="4375" spans="5:5" x14ac:dyDescent="0.25">
      <c r="E4375" s="82" t="s">
        <v>5346</v>
      </c>
    </row>
    <row r="4376" spans="5:5" x14ac:dyDescent="0.25">
      <c r="E4376" s="82" t="s">
        <v>5347</v>
      </c>
    </row>
    <row r="4377" spans="5:5" x14ac:dyDescent="0.25">
      <c r="E4377" s="82" t="s">
        <v>5348</v>
      </c>
    </row>
    <row r="4378" spans="5:5" x14ac:dyDescent="0.25">
      <c r="E4378" s="82" t="s">
        <v>5349</v>
      </c>
    </row>
    <row r="4379" spans="5:5" x14ac:dyDescent="0.25">
      <c r="E4379" s="82" t="s">
        <v>5350</v>
      </c>
    </row>
    <row r="4380" spans="5:5" x14ac:dyDescent="0.25">
      <c r="E4380" s="82" t="s">
        <v>5351</v>
      </c>
    </row>
    <row r="4381" spans="5:5" x14ac:dyDescent="0.25">
      <c r="E4381" s="82" t="s">
        <v>5352</v>
      </c>
    </row>
    <row r="4382" spans="5:5" x14ac:dyDescent="0.25">
      <c r="E4382" s="82" t="s">
        <v>5353</v>
      </c>
    </row>
    <row r="4383" spans="5:5" x14ac:dyDescent="0.25">
      <c r="E4383" s="82" t="s">
        <v>5354</v>
      </c>
    </row>
    <row r="4384" spans="5:5" x14ac:dyDescent="0.25">
      <c r="E4384" s="82" t="s">
        <v>5355</v>
      </c>
    </row>
    <row r="4385" spans="5:5" x14ac:dyDescent="0.25">
      <c r="E4385" s="82" t="s">
        <v>5356</v>
      </c>
    </row>
    <row r="4386" spans="5:5" x14ac:dyDescent="0.25">
      <c r="E4386" s="82" t="s">
        <v>5357</v>
      </c>
    </row>
    <row r="4387" spans="5:5" x14ac:dyDescent="0.25">
      <c r="E4387" s="82" t="s">
        <v>5358</v>
      </c>
    </row>
    <row r="4388" spans="5:5" x14ac:dyDescent="0.25">
      <c r="E4388" s="82" t="s">
        <v>5359</v>
      </c>
    </row>
    <row r="4389" spans="5:5" x14ac:dyDescent="0.25">
      <c r="E4389" s="82" t="s">
        <v>5360</v>
      </c>
    </row>
    <row r="4390" spans="5:5" x14ac:dyDescent="0.25">
      <c r="E4390" s="82" t="s">
        <v>5361</v>
      </c>
    </row>
    <row r="4391" spans="5:5" x14ac:dyDescent="0.25">
      <c r="E4391" s="82" t="s">
        <v>5362</v>
      </c>
    </row>
    <row r="4392" spans="5:5" x14ac:dyDescent="0.25">
      <c r="E4392" s="82" t="s">
        <v>5363</v>
      </c>
    </row>
    <row r="4393" spans="5:5" x14ac:dyDescent="0.25">
      <c r="E4393" s="82" t="s">
        <v>5364</v>
      </c>
    </row>
    <row r="4394" spans="5:5" x14ac:dyDescent="0.25">
      <c r="E4394" s="82" t="s">
        <v>5365</v>
      </c>
    </row>
    <row r="4395" spans="5:5" x14ac:dyDescent="0.25">
      <c r="E4395" s="82" t="s">
        <v>5366</v>
      </c>
    </row>
    <row r="4396" spans="5:5" x14ac:dyDescent="0.25">
      <c r="E4396" s="82" t="s">
        <v>5367</v>
      </c>
    </row>
    <row r="4397" spans="5:5" x14ac:dyDescent="0.25">
      <c r="E4397" s="82" t="s">
        <v>5368</v>
      </c>
    </row>
    <row r="4398" spans="5:5" x14ac:dyDescent="0.25">
      <c r="E4398" s="82" t="s">
        <v>5369</v>
      </c>
    </row>
    <row r="4399" spans="5:5" x14ac:dyDescent="0.25">
      <c r="E4399" s="82" t="s">
        <v>5370</v>
      </c>
    </row>
    <row r="4400" spans="5:5" x14ac:dyDescent="0.25">
      <c r="E4400" s="82" t="s">
        <v>5371</v>
      </c>
    </row>
    <row r="4401" spans="5:5" x14ac:dyDescent="0.25">
      <c r="E4401" s="82" t="s">
        <v>5372</v>
      </c>
    </row>
    <row r="4402" spans="5:5" x14ac:dyDescent="0.25">
      <c r="E4402" s="82" t="s">
        <v>5373</v>
      </c>
    </row>
    <row r="4403" spans="5:5" x14ac:dyDescent="0.25">
      <c r="E4403" s="82" t="s">
        <v>5374</v>
      </c>
    </row>
    <row r="4404" spans="5:5" x14ac:dyDescent="0.25">
      <c r="E4404" s="82" t="s">
        <v>5375</v>
      </c>
    </row>
    <row r="4405" spans="5:5" x14ac:dyDescent="0.25">
      <c r="E4405" s="82" t="s">
        <v>5376</v>
      </c>
    </row>
    <row r="4406" spans="5:5" x14ac:dyDescent="0.25">
      <c r="E4406" s="82" t="s">
        <v>5377</v>
      </c>
    </row>
    <row r="4407" spans="5:5" x14ac:dyDescent="0.25">
      <c r="E4407" s="82" t="s">
        <v>5378</v>
      </c>
    </row>
    <row r="4408" spans="5:5" x14ac:dyDescent="0.25">
      <c r="E4408" s="82" t="s">
        <v>5379</v>
      </c>
    </row>
    <row r="4409" spans="5:5" x14ac:dyDescent="0.25">
      <c r="E4409" s="82" t="s">
        <v>5380</v>
      </c>
    </row>
    <row r="4410" spans="5:5" x14ac:dyDescent="0.25">
      <c r="E4410" s="82" t="s">
        <v>5381</v>
      </c>
    </row>
    <row r="4411" spans="5:5" x14ac:dyDescent="0.25">
      <c r="E4411" s="82" t="s">
        <v>5382</v>
      </c>
    </row>
    <row r="4412" spans="5:5" x14ac:dyDescent="0.25">
      <c r="E4412" s="82" t="s">
        <v>5383</v>
      </c>
    </row>
    <row r="4413" spans="5:5" x14ac:dyDescent="0.25">
      <c r="E4413" s="82" t="s">
        <v>5384</v>
      </c>
    </row>
    <row r="4414" spans="5:5" x14ac:dyDescent="0.25">
      <c r="E4414" s="82" t="s">
        <v>5385</v>
      </c>
    </row>
    <row r="4415" spans="5:5" x14ac:dyDescent="0.25">
      <c r="E4415" s="82" t="s">
        <v>5386</v>
      </c>
    </row>
    <row r="4416" spans="5:5" x14ac:dyDescent="0.25">
      <c r="E4416" s="82" t="s">
        <v>5387</v>
      </c>
    </row>
    <row r="4417" spans="5:5" x14ac:dyDescent="0.25">
      <c r="E4417" s="82" t="s">
        <v>5388</v>
      </c>
    </row>
    <row r="4418" spans="5:5" x14ac:dyDescent="0.25">
      <c r="E4418" s="82" t="s">
        <v>5389</v>
      </c>
    </row>
    <row r="4419" spans="5:5" x14ac:dyDescent="0.25">
      <c r="E4419" s="82" t="s">
        <v>5390</v>
      </c>
    </row>
    <row r="4420" spans="5:5" x14ac:dyDescent="0.25">
      <c r="E4420" s="82" t="s">
        <v>5391</v>
      </c>
    </row>
    <row r="4421" spans="5:5" x14ac:dyDescent="0.25">
      <c r="E4421" s="82" t="s">
        <v>5392</v>
      </c>
    </row>
    <row r="4422" spans="5:5" x14ac:dyDescent="0.25">
      <c r="E4422" s="82" t="s">
        <v>5393</v>
      </c>
    </row>
    <row r="4423" spans="5:5" x14ac:dyDescent="0.25">
      <c r="E4423" s="82" t="s">
        <v>5394</v>
      </c>
    </row>
    <row r="4424" spans="5:5" x14ac:dyDescent="0.25">
      <c r="E4424" s="82" t="s">
        <v>5395</v>
      </c>
    </row>
    <row r="4425" spans="5:5" x14ac:dyDescent="0.25">
      <c r="E4425" s="82" t="s">
        <v>5396</v>
      </c>
    </row>
    <row r="4426" spans="5:5" x14ac:dyDescent="0.25">
      <c r="E4426" s="82" t="s">
        <v>5397</v>
      </c>
    </row>
    <row r="4427" spans="5:5" x14ac:dyDescent="0.25">
      <c r="E4427" s="82" t="s">
        <v>5398</v>
      </c>
    </row>
    <row r="4428" spans="5:5" x14ac:dyDescent="0.25">
      <c r="E4428" s="82" t="s">
        <v>5399</v>
      </c>
    </row>
    <row r="4429" spans="5:5" x14ac:dyDescent="0.25">
      <c r="E4429" s="82" t="s">
        <v>5400</v>
      </c>
    </row>
    <row r="4430" spans="5:5" x14ac:dyDescent="0.25">
      <c r="E4430" s="82" t="s">
        <v>5401</v>
      </c>
    </row>
    <row r="4431" spans="5:5" x14ac:dyDescent="0.25">
      <c r="E4431" s="82" t="s">
        <v>5402</v>
      </c>
    </row>
    <row r="4432" spans="5:5" x14ac:dyDescent="0.25">
      <c r="E4432" s="82" t="s">
        <v>5403</v>
      </c>
    </row>
    <row r="4433" spans="5:5" x14ac:dyDescent="0.25">
      <c r="E4433" s="82" t="s">
        <v>5404</v>
      </c>
    </row>
    <row r="4434" spans="5:5" x14ac:dyDescent="0.25">
      <c r="E4434" s="82" t="s">
        <v>5405</v>
      </c>
    </row>
    <row r="4435" spans="5:5" x14ac:dyDescent="0.25">
      <c r="E4435" s="82" t="s">
        <v>5406</v>
      </c>
    </row>
    <row r="4436" spans="5:5" x14ac:dyDescent="0.25">
      <c r="E4436" s="82" t="s">
        <v>5407</v>
      </c>
    </row>
    <row r="4437" spans="5:5" x14ac:dyDescent="0.25">
      <c r="E4437" s="82" t="s">
        <v>5408</v>
      </c>
    </row>
    <row r="4438" spans="5:5" x14ac:dyDescent="0.25">
      <c r="E4438" s="82" t="s">
        <v>5409</v>
      </c>
    </row>
    <row r="4439" spans="5:5" x14ac:dyDescent="0.25">
      <c r="E4439" s="82" t="s">
        <v>5410</v>
      </c>
    </row>
    <row r="4440" spans="5:5" x14ac:dyDescent="0.25">
      <c r="E4440" s="82" t="s">
        <v>5411</v>
      </c>
    </row>
    <row r="4441" spans="5:5" x14ac:dyDescent="0.25">
      <c r="E4441" s="82" t="s">
        <v>5412</v>
      </c>
    </row>
    <row r="4442" spans="5:5" x14ac:dyDescent="0.25">
      <c r="E4442" s="82" t="s">
        <v>5413</v>
      </c>
    </row>
    <row r="4443" spans="5:5" x14ac:dyDescent="0.25">
      <c r="E4443" s="82" t="s">
        <v>5414</v>
      </c>
    </row>
    <row r="4444" spans="5:5" x14ac:dyDescent="0.25">
      <c r="E4444" s="82" t="s">
        <v>5415</v>
      </c>
    </row>
    <row r="4445" spans="5:5" x14ac:dyDescent="0.25">
      <c r="E4445" s="82" t="s">
        <v>5416</v>
      </c>
    </row>
    <row r="4446" spans="5:5" x14ac:dyDescent="0.25">
      <c r="E4446" s="82" t="s">
        <v>5417</v>
      </c>
    </row>
    <row r="4447" spans="5:5" x14ac:dyDescent="0.25">
      <c r="E4447" s="82" t="s">
        <v>5418</v>
      </c>
    </row>
    <row r="4448" spans="5:5" x14ac:dyDescent="0.25">
      <c r="E4448" s="82" t="s">
        <v>5419</v>
      </c>
    </row>
    <row r="4449" spans="5:5" x14ac:dyDescent="0.25">
      <c r="E4449" s="82" t="s">
        <v>5420</v>
      </c>
    </row>
    <row r="4450" spans="5:5" x14ac:dyDescent="0.25">
      <c r="E4450" s="82" t="s">
        <v>5421</v>
      </c>
    </row>
    <row r="4451" spans="5:5" x14ac:dyDescent="0.25">
      <c r="E4451" s="82" t="s">
        <v>5422</v>
      </c>
    </row>
    <row r="4452" spans="5:5" x14ac:dyDescent="0.25">
      <c r="E4452" s="82" t="s">
        <v>5423</v>
      </c>
    </row>
    <row r="4453" spans="5:5" x14ac:dyDescent="0.25">
      <c r="E4453" s="82" t="s">
        <v>5424</v>
      </c>
    </row>
    <row r="4454" spans="5:5" x14ac:dyDescent="0.25">
      <c r="E4454" s="82" t="s">
        <v>5425</v>
      </c>
    </row>
    <row r="4455" spans="5:5" x14ac:dyDescent="0.25">
      <c r="E4455" s="82" t="s">
        <v>5426</v>
      </c>
    </row>
    <row r="4456" spans="5:5" x14ac:dyDescent="0.25">
      <c r="E4456" s="82" t="s">
        <v>5427</v>
      </c>
    </row>
    <row r="4457" spans="5:5" x14ac:dyDescent="0.25">
      <c r="E4457" s="82" t="s">
        <v>5428</v>
      </c>
    </row>
    <row r="4458" spans="5:5" x14ac:dyDescent="0.25">
      <c r="E4458" s="82" t="s">
        <v>5429</v>
      </c>
    </row>
    <row r="4459" spans="5:5" x14ac:dyDescent="0.25">
      <c r="E4459" s="82" t="s">
        <v>5430</v>
      </c>
    </row>
    <row r="4460" spans="5:5" x14ac:dyDescent="0.25">
      <c r="E4460" s="82" t="s">
        <v>5431</v>
      </c>
    </row>
    <row r="4461" spans="5:5" x14ac:dyDescent="0.25">
      <c r="E4461" s="82" t="s">
        <v>5432</v>
      </c>
    </row>
    <row r="4462" spans="5:5" x14ac:dyDescent="0.25">
      <c r="E4462" s="82" t="s">
        <v>5433</v>
      </c>
    </row>
    <row r="4463" spans="5:5" x14ac:dyDescent="0.25">
      <c r="E4463" s="82" t="s">
        <v>5434</v>
      </c>
    </row>
    <row r="4464" spans="5:5" x14ac:dyDescent="0.25">
      <c r="E4464" s="82" t="s">
        <v>5435</v>
      </c>
    </row>
    <row r="4465" spans="5:5" x14ac:dyDescent="0.25">
      <c r="E4465" s="82" t="s">
        <v>5436</v>
      </c>
    </row>
    <row r="4466" spans="5:5" x14ac:dyDescent="0.25">
      <c r="E4466" s="82" t="s">
        <v>5437</v>
      </c>
    </row>
    <row r="4467" spans="5:5" x14ac:dyDescent="0.25">
      <c r="E4467" s="82" t="s">
        <v>5438</v>
      </c>
    </row>
    <row r="4468" spans="5:5" x14ac:dyDescent="0.25">
      <c r="E4468" s="82" t="s">
        <v>5439</v>
      </c>
    </row>
    <row r="4469" spans="5:5" x14ac:dyDescent="0.25">
      <c r="E4469" s="82" t="s">
        <v>5440</v>
      </c>
    </row>
    <row r="4470" spans="5:5" x14ac:dyDescent="0.25">
      <c r="E4470" s="82" t="s">
        <v>5441</v>
      </c>
    </row>
    <row r="4471" spans="5:5" x14ac:dyDescent="0.25">
      <c r="E4471" s="82" t="s">
        <v>5442</v>
      </c>
    </row>
    <row r="4472" spans="5:5" x14ac:dyDescent="0.25">
      <c r="E4472" s="82" t="s">
        <v>5443</v>
      </c>
    </row>
    <row r="4473" spans="5:5" x14ac:dyDescent="0.25">
      <c r="E4473" s="82" t="s">
        <v>5444</v>
      </c>
    </row>
    <row r="4474" spans="5:5" x14ac:dyDescent="0.25">
      <c r="E4474" s="82" t="s">
        <v>5445</v>
      </c>
    </row>
    <row r="4475" spans="5:5" x14ac:dyDescent="0.25">
      <c r="E4475" s="82" t="s">
        <v>5446</v>
      </c>
    </row>
    <row r="4476" spans="5:5" x14ac:dyDescent="0.25">
      <c r="E4476" s="82" t="s">
        <v>5447</v>
      </c>
    </row>
    <row r="4477" spans="5:5" x14ac:dyDescent="0.25">
      <c r="E4477" s="82" t="s">
        <v>5448</v>
      </c>
    </row>
    <row r="4478" spans="5:5" x14ac:dyDescent="0.25">
      <c r="E4478" s="82" t="s">
        <v>5449</v>
      </c>
    </row>
    <row r="4479" spans="5:5" x14ac:dyDescent="0.25">
      <c r="E4479" s="82" t="s">
        <v>5450</v>
      </c>
    </row>
    <row r="4480" spans="5:5" x14ac:dyDescent="0.25">
      <c r="E4480" s="82" t="s">
        <v>5451</v>
      </c>
    </row>
    <row r="4481" spans="5:5" x14ac:dyDescent="0.25">
      <c r="E4481" s="82" t="s">
        <v>5452</v>
      </c>
    </row>
    <row r="4482" spans="5:5" x14ac:dyDescent="0.25">
      <c r="E4482" s="82" t="s">
        <v>5453</v>
      </c>
    </row>
    <row r="4483" spans="5:5" x14ac:dyDescent="0.25">
      <c r="E4483" s="82" t="s">
        <v>5454</v>
      </c>
    </row>
    <row r="4484" spans="5:5" x14ac:dyDescent="0.25">
      <c r="E4484" s="82" t="s">
        <v>5455</v>
      </c>
    </row>
    <row r="4485" spans="5:5" x14ac:dyDescent="0.25">
      <c r="E4485" s="82" t="s">
        <v>5456</v>
      </c>
    </row>
    <row r="4486" spans="5:5" x14ac:dyDescent="0.25">
      <c r="E4486" s="82" t="s">
        <v>5457</v>
      </c>
    </row>
    <row r="4487" spans="5:5" x14ac:dyDescent="0.25">
      <c r="E4487" s="82" t="s">
        <v>5458</v>
      </c>
    </row>
    <row r="4488" spans="5:5" x14ac:dyDescent="0.25">
      <c r="E4488" s="82" t="s">
        <v>5459</v>
      </c>
    </row>
    <row r="4489" spans="5:5" x14ac:dyDescent="0.25">
      <c r="E4489" s="82" t="s">
        <v>5460</v>
      </c>
    </row>
    <row r="4490" spans="5:5" x14ac:dyDescent="0.25">
      <c r="E4490" s="82" t="s">
        <v>5461</v>
      </c>
    </row>
    <row r="4491" spans="5:5" x14ac:dyDescent="0.25">
      <c r="E4491" s="82" t="s">
        <v>5462</v>
      </c>
    </row>
    <row r="4492" spans="5:5" x14ac:dyDescent="0.25">
      <c r="E4492" s="82" t="s">
        <v>5463</v>
      </c>
    </row>
    <row r="4493" spans="5:5" x14ac:dyDescent="0.25">
      <c r="E4493" s="82" t="s">
        <v>5464</v>
      </c>
    </row>
    <row r="4494" spans="5:5" x14ac:dyDescent="0.25">
      <c r="E4494" s="82" t="s">
        <v>5465</v>
      </c>
    </row>
    <row r="4495" spans="5:5" x14ac:dyDescent="0.25">
      <c r="E4495" s="82" t="s">
        <v>5466</v>
      </c>
    </row>
    <row r="4496" spans="5:5" x14ac:dyDescent="0.25">
      <c r="E4496" s="82" t="s">
        <v>5467</v>
      </c>
    </row>
    <row r="4497" spans="5:5" x14ac:dyDescent="0.25">
      <c r="E4497" s="82" t="s">
        <v>5468</v>
      </c>
    </row>
    <row r="4498" spans="5:5" x14ac:dyDescent="0.25">
      <c r="E4498" s="82" t="s">
        <v>5469</v>
      </c>
    </row>
    <row r="4499" spans="5:5" x14ac:dyDescent="0.25">
      <c r="E4499" s="82" t="s">
        <v>5470</v>
      </c>
    </row>
    <row r="4500" spans="5:5" x14ac:dyDescent="0.25">
      <c r="E4500" s="82" t="s">
        <v>5471</v>
      </c>
    </row>
    <row r="4501" spans="5:5" x14ac:dyDescent="0.25">
      <c r="E4501" s="82" t="s">
        <v>5472</v>
      </c>
    </row>
    <row r="4502" spans="5:5" x14ac:dyDescent="0.25">
      <c r="E4502" s="82" t="s">
        <v>5473</v>
      </c>
    </row>
    <row r="4503" spans="5:5" x14ac:dyDescent="0.25">
      <c r="E4503" s="82" t="s">
        <v>5474</v>
      </c>
    </row>
    <row r="4504" spans="5:5" x14ac:dyDescent="0.25">
      <c r="E4504" s="82" t="s">
        <v>5475</v>
      </c>
    </row>
    <row r="4505" spans="5:5" x14ac:dyDescent="0.25">
      <c r="E4505" s="82" t="s">
        <v>5476</v>
      </c>
    </row>
    <row r="4506" spans="5:5" x14ac:dyDescent="0.25">
      <c r="E4506" s="82" t="s">
        <v>5477</v>
      </c>
    </row>
    <row r="4507" spans="5:5" x14ac:dyDescent="0.25">
      <c r="E4507" s="82" t="s">
        <v>5478</v>
      </c>
    </row>
    <row r="4508" spans="5:5" x14ac:dyDescent="0.25">
      <c r="E4508" s="82" t="s">
        <v>5479</v>
      </c>
    </row>
    <row r="4509" spans="5:5" x14ac:dyDescent="0.25">
      <c r="E4509" s="82" t="s">
        <v>5480</v>
      </c>
    </row>
    <row r="4510" spans="5:5" x14ac:dyDescent="0.25">
      <c r="E4510" s="82" t="s">
        <v>5481</v>
      </c>
    </row>
    <row r="4511" spans="5:5" x14ac:dyDescent="0.25">
      <c r="E4511" s="82" t="s">
        <v>5482</v>
      </c>
    </row>
    <row r="4512" spans="5:5" x14ac:dyDescent="0.25">
      <c r="E4512" s="82" t="s">
        <v>5483</v>
      </c>
    </row>
    <row r="4513" spans="5:5" x14ac:dyDescent="0.25">
      <c r="E4513" s="82" t="s">
        <v>5484</v>
      </c>
    </row>
    <row r="4514" spans="5:5" x14ac:dyDescent="0.25">
      <c r="E4514" s="82" t="s">
        <v>5485</v>
      </c>
    </row>
    <row r="4515" spans="5:5" x14ac:dyDescent="0.25">
      <c r="E4515" s="82" t="s">
        <v>5486</v>
      </c>
    </row>
    <row r="4516" spans="5:5" x14ac:dyDescent="0.25">
      <c r="E4516" s="82" t="s">
        <v>5487</v>
      </c>
    </row>
    <row r="4517" spans="5:5" x14ac:dyDescent="0.25">
      <c r="E4517" s="82" t="s">
        <v>5488</v>
      </c>
    </row>
    <row r="4518" spans="5:5" x14ac:dyDescent="0.25">
      <c r="E4518" s="82" t="s">
        <v>5489</v>
      </c>
    </row>
    <row r="4519" spans="5:5" x14ac:dyDescent="0.25">
      <c r="E4519" s="82" t="s">
        <v>5490</v>
      </c>
    </row>
    <row r="4520" spans="5:5" x14ac:dyDescent="0.25">
      <c r="E4520" s="82" t="s">
        <v>5491</v>
      </c>
    </row>
    <row r="4521" spans="5:5" x14ac:dyDescent="0.25">
      <c r="E4521" s="82" t="s">
        <v>5492</v>
      </c>
    </row>
    <row r="4522" spans="5:5" x14ac:dyDescent="0.25">
      <c r="E4522" s="82" t="s">
        <v>5493</v>
      </c>
    </row>
    <row r="4523" spans="5:5" x14ac:dyDescent="0.25">
      <c r="E4523" s="82" t="s">
        <v>5494</v>
      </c>
    </row>
    <row r="4524" spans="5:5" x14ac:dyDescent="0.25">
      <c r="E4524" s="82" t="s">
        <v>5495</v>
      </c>
    </row>
    <row r="4525" spans="5:5" x14ac:dyDescent="0.25">
      <c r="E4525" s="82" t="s">
        <v>5496</v>
      </c>
    </row>
    <row r="4526" spans="5:5" x14ac:dyDescent="0.25">
      <c r="E4526" s="82" t="s">
        <v>5497</v>
      </c>
    </row>
    <row r="4527" spans="5:5" x14ac:dyDescent="0.25">
      <c r="E4527" s="82" t="s">
        <v>5498</v>
      </c>
    </row>
    <row r="4528" spans="5:5" x14ac:dyDescent="0.25">
      <c r="E4528" s="82" t="s">
        <v>5499</v>
      </c>
    </row>
    <row r="4529" spans="5:5" x14ac:dyDescent="0.25">
      <c r="E4529" s="82" t="s">
        <v>5500</v>
      </c>
    </row>
    <row r="4530" spans="5:5" x14ac:dyDescent="0.25">
      <c r="E4530" s="82" t="s">
        <v>5501</v>
      </c>
    </row>
    <row r="4531" spans="5:5" x14ac:dyDescent="0.25">
      <c r="E4531" s="82" t="s">
        <v>5502</v>
      </c>
    </row>
    <row r="4532" spans="5:5" x14ac:dyDescent="0.25">
      <c r="E4532" s="82" t="s">
        <v>5503</v>
      </c>
    </row>
    <row r="4533" spans="5:5" x14ac:dyDescent="0.25">
      <c r="E4533" s="82" t="s">
        <v>5504</v>
      </c>
    </row>
    <row r="4534" spans="5:5" x14ac:dyDescent="0.25">
      <c r="E4534" s="82" t="s">
        <v>5505</v>
      </c>
    </row>
    <row r="4535" spans="5:5" x14ac:dyDescent="0.25">
      <c r="E4535" s="82" t="s">
        <v>5506</v>
      </c>
    </row>
    <row r="4536" spans="5:5" x14ac:dyDescent="0.25">
      <c r="E4536" s="82" t="s">
        <v>5507</v>
      </c>
    </row>
    <row r="4537" spans="5:5" x14ac:dyDescent="0.25">
      <c r="E4537" s="82" t="s">
        <v>5508</v>
      </c>
    </row>
    <row r="4538" spans="5:5" x14ac:dyDescent="0.25">
      <c r="E4538" s="82" t="s">
        <v>5509</v>
      </c>
    </row>
    <row r="4539" spans="5:5" x14ac:dyDescent="0.25">
      <c r="E4539" s="82" t="s">
        <v>5510</v>
      </c>
    </row>
    <row r="4540" spans="5:5" x14ac:dyDescent="0.25">
      <c r="E4540" s="82" t="s">
        <v>5511</v>
      </c>
    </row>
    <row r="4541" spans="5:5" x14ac:dyDescent="0.25">
      <c r="E4541" s="82" t="s">
        <v>5512</v>
      </c>
    </row>
    <row r="4542" spans="5:5" x14ac:dyDescent="0.25">
      <c r="E4542" s="82" t="s">
        <v>5513</v>
      </c>
    </row>
    <row r="4543" spans="5:5" x14ac:dyDescent="0.25">
      <c r="E4543" s="82" t="s">
        <v>5514</v>
      </c>
    </row>
    <row r="4544" spans="5:5" x14ac:dyDescent="0.25">
      <c r="E4544" s="82" t="s">
        <v>5515</v>
      </c>
    </row>
    <row r="4545" spans="5:5" x14ac:dyDescent="0.25">
      <c r="E4545" s="82" t="s">
        <v>5516</v>
      </c>
    </row>
    <row r="4546" spans="5:5" x14ac:dyDescent="0.25">
      <c r="E4546" s="82" t="s">
        <v>5517</v>
      </c>
    </row>
    <row r="4547" spans="5:5" x14ac:dyDescent="0.25">
      <c r="E4547" s="82" t="s">
        <v>5518</v>
      </c>
    </row>
    <row r="4548" spans="5:5" x14ac:dyDescent="0.25">
      <c r="E4548" s="82" t="s">
        <v>5519</v>
      </c>
    </row>
    <row r="4549" spans="5:5" x14ac:dyDescent="0.25">
      <c r="E4549" s="82" t="s">
        <v>5520</v>
      </c>
    </row>
    <row r="4550" spans="5:5" x14ac:dyDescent="0.25">
      <c r="E4550" s="82" t="s">
        <v>5521</v>
      </c>
    </row>
    <row r="4551" spans="5:5" x14ac:dyDescent="0.25">
      <c r="E4551" s="82" t="s">
        <v>5522</v>
      </c>
    </row>
    <row r="4552" spans="5:5" x14ac:dyDescent="0.25">
      <c r="E4552" s="82" t="s">
        <v>5523</v>
      </c>
    </row>
    <row r="4553" spans="5:5" x14ac:dyDescent="0.25">
      <c r="E4553" s="82" t="s">
        <v>5524</v>
      </c>
    </row>
    <row r="4554" spans="5:5" x14ac:dyDescent="0.25">
      <c r="E4554" s="82" t="s">
        <v>5525</v>
      </c>
    </row>
    <row r="4555" spans="5:5" x14ac:dyDescent="0.25">
      <c r="E4555" s="82" t="s">
        <v>5526</v>
      </c>
    </row>
    <row r="4556" spans="5:5" x14ac:dyDescent="0.25">
      <c r="E4556" s="82" t="s">
        <v>5527</v>
      </c>
    </row>
    <row r="4557" spans="5:5" x14ac:dyDescent="0.25">
      <c r="E4557" s="82" t="s">
        <v>5528</v>
      </c>
    </row>
    <row r="4558" spans="5:5" x14ac:dyDescent="0.25">
      <c r="E4558" s="82" t="s">
        <v>5529</v>
      </c>
    </row>
    <row r="4559" spans="5:5" x14ac:dyDescent="0.25">
      <c r="E4559" s="82" t="s">
        <v>5530</v>
      </c>
    </row>
    <row r="4560" spans="5:5" x14ac:dyDescent="0.25">
      <c r="E4560" s="82" t="s">
        <v>5531</v>
      </c>
    </row>
    <row r="4561" spans="5:5" x14ac:dyDescent="0.25">
      <c r="E4561" s="82" t="s">
        <v>5532</v>
      </c>
    </row>
    <row r="4562" spans="5:5" x14ac:dyDescent="0.25">
      <c r="E4562" s="82" t="s">
        <v>5533</v>
      </c>
    </row>
    <row r="4563" spans="5:5" x14ac:dyDescent="0.25">
      <c r="E4563" s="82" t="s">
        <v>5534</v>
      </c>
    </row>
    <row r="4564" spans="5:5" x14ac:dyDescent="0.25">
      <c r="E4564" s="82" t="s">
        <v>5535</v>
      </c>
    </row>
    <row r="4565" spans="5:5" x14ac:dyDescent="0.25">
      <c r="E4565" s="82" t="s">
        <v>5536</v>
      </c>
    </row>
    <row r="4566" spans="5:5" x14ac:dyDescent="0.25">
      <c r="E4566" s="82" t="s">
        <v>5537</v>
      </c>
    </row>
    <row r="4567" spans="5:5" x14ac:dyDescent="0.25">
      <c r="E4567" s="82" t="s">
        <v>5538</v>
      </c>
    </row>
    <row r="4568" spans="5:5" x14ac:dyDescent="0.25">
      <c r="E4568" s="82" t="s">
        <v>5539</v>
      </c>
    </row>
    <row r="4569" spans="5:5" x14ac:dyDescent="0.25">
      <c r="E4569" s="82" t="s">
        <v>5540</v>
      </c>
    </row>
    <row r="4570" spans="5:5" x14ac:dyDescent="0.25">
      <c r="E4570" s="82" t="s">
        <v>5541</v>
      </c>
    </row>
    <row r="4571" spans="5:5" x14ac:dyDescent="0.25">
      <c r="E4571" s="82" t="s">
        <v>5542</v>
      </c>
    </row>
    <row r="4572" spans="5:5" x14ac:dyDescent="0.25">
      <c r="E4572" s="82" t="s">
        <v>5543</v>
      </c>
    </row>
    <row r="4573" spans="5:5" x14ac:dyDescent="0.25">
      <c r="E4573" s="82" t="s">
        <v>5544</v>
      </c>
    </row>
    <row r="4574" spans="5:5" x14ac:dyDescent="0.25">
      <c r="E4574" s="82" t="s">
        <v>5545</v>
      </c>
    </row>
    <row r="4575" spans="5:5" x14ac:dyDescent="0.25">
      <c r="E4575" s="82" t="s">
        <v>5546</v>
      </c>
    </row>
    <row r="4576" spans="5:5" x14ac:dyDescent="0.25">
      <c r="E4576" s="82" t="s">
        <v>5547</v>
      </c>
    </row>
    <row r="4577" spans="5:5" x14ac:dyDescent="0.25">
      <c r="E4577" s="82" t="s">
        <v>5548</v>
      </c>
    </row>
    <row r="4578" spans="5:5" x14ac:dyDescent="0.25">
      <c r="E4578" s="82" t="s">
        <v>5549</v>
      </c>
    </row>
    <row r="4579" spans="5:5" x14ac:dyDescent="0.25">
      <c r="E4579" s="82" t="s">
        <v>5550</v>
      </c>
    </row>
    <row r="4580" spans="5:5" x14ac:dyDescent="0.25">
      <c r="E4580" s="82" t="s">
        <v>5551</v>
      </c>
    </row>
    <row r="4581" spans="5:5" x14ac:dyDescent="0.25">
      <c r="E4581" s="82" t="s">
        <v>5552</v>
      </c>
    </row>
    <row r="4582" spans="5:5" x14ac:dyDescent="0.25">
      <c r="E4582" s="82" t="s">
        <v>5553</v>
      </c>
    </row>
    <row r="4583" spans="5:5" x14ac:dyDescent="0.25">
      <c r="E4583" s="82" t="s">
        <v>5554</v>
      </c>
    </row>
    <row r="4584" spans="5:5" x14ac:dyDescent="0.25">
      <c r="E4584" s="82" t="s">
        <v>5555</v>
      </c>
    </row>
    <row r="4585" spans="5:5" x14ac:dyDescent="0.25">
      <c r="E4585" s="82" t="s">
        <v>5556</v>
      </c>
    </row>
    <row r="4586" spans="5:5" x14ac:dyDescent="0.25">
      <c r="E4586" s="82" t="s">
        <v>5557</v>
      </c>
    </row>
    <row r="4587" spans="5:5" x14ac:dyDescent="0.25">
      <c r="E4587" s="82" t="s">
        <v>5558</v>
      </c>
    </row>
    <row r="4588" spans="5:5" x14ac:dyDescent="0.25">
      <c r="E4588" s="82" t="s">
        <v>5559</v>
      </c>
    </row>
    <row r="4589" spans="5:5" x14ac:dyDescent="0.25">
      <c r="E4589" s="82" t="s">
        <v>5560</v>
      </c>
    </row>
    <row r="4590" spans="5:5" x14ac:dyDescent="0.25">
      <c r="E4590" s="82" t="s">
        <v>5561</v>
      </c>
    </row>
    <row r="4591" spans="5:5" x14ac:dyDescent="0.25">
      <c r="E4591" s="82" t="s">
        <v>5562</v>
      </c>
    </row>
    <row r="4592" spans="5:5" x14ac:dyDescent="0.25">
      <c r="E4592" s="82" t="s">
        <v>5563</v>
      </c>
    </row>
    <row r="4593" spans="5:5" x14ac:dyDescent="0.25">
      <c r="E4593" s="82" t="s">
        <v>5564</v>
      </c>
    </row>
    <row r="4594" spans="5:5" x14ac:dyDescent="0.25">
      <c r="E4594" s="82" t="s">
        <v>5565</v>
      </c>
    </row>
    <row r="4595" spans="5:5" x14ac:dyDescent="0.25">
      <c r="E4595" s="82" t="s">
        <v>5566</v>
      </c>
    </row>
    <row r="4596" spans="5:5" x14ac:dyDescent="0.25">
      <c r="E4596" s="82" t="s">
        <v>5567</v>
      </c>
    </row>
    <row r="4597" spans="5:5" x14ac:dyDescent="0.25">
      <c r="E4597" s="82" t="s">
        <v>5568</v>
      </c>
    </row>
    <row r="4598" spans="5:5" x14ac:dyDescent="0.25">
      <c r="E4598" s="82" t="s">
        <v>5569</v>
      </c>
    </row>
    <row r="4599" spans="5:5" x14ac:dyDescent="0.25">
      <c r="E4599" s="82" t="s">
        <v>5570</v>
      </c>
    </row>
    <row r="4600" spans="5:5" x14ac:dyDescent="0.25">
      <c r="E4600" s="82" t="s">
        <v>5571</v>
      </c>
    </row>
    <row r="4601" spans="5:5" x14ac:dyDescent="0.25">
      <c r="E4601" s="82" t="s">
        <v>5572</v>
      </c>
    </row>
    <row r="4602" spans="5:5" x14ac:dyDescent="0.25">
      <c r="E4602" s="82" t="s">
        <v>5573</v>
      </c>
    </row>
    <row r="4603" spans="5:5" x14ac:dyDescent="0.25">
      <c r="E4603" s="82" t="s">
        <v>5574</v>
      </c>
    </row>
    <row r="4604" spans="5:5" x14ac:dyDescent="0.25">
      <c r="E4604" s="82" t="s">
        <v>5575</v>
      </c>
    </row>
    <row r="4605" spans="5:5" x14ac:dyDescent="0.25">
      <c r="E4605" s="82" t="s">
        <v>5576</v>
      </c>
    </row>
    <row r="4606" spans="5:5" x14ac:dyDescent="0.25">
      <c r="E4606" s="82" t="s">
        <v>5577</v>
      </c>
    </row>
    <row r="4607" spans="5:5" x14ac:dyDescent="0.25">
      <c r="E4607" s="82" t="s">
        <v>5578</v>
      </c>
    </row>
    <row r="4608" spans="5:5" x14ac:dyDescent="0.25">
      <c r="E4608" s="82" t="s">
        <v>5579</v>
      </c>
    </row>
    <row r="4609" spans="5:5" x14ac:dyDescent="0.25">
      <c r="E4609" s="82" t="s">
        <v>5580</v>
      </c>
    </row>
    <row r="4610" spans="5:5" x14ac:dyDescent="0.25">
      <c r="E4610" s="82" t="s">
        <v>5581</v>
      </c>
    </row>
    <row r="4611" spans="5:5" x14ac:dyDescent="0.25">
      <c r="E4611" s="82" t="s">
        <v>5582</v>
      </c>
    </row>
    <row r="4612" spans="5:5" x14ac:dyDescent="0.25">
      <c r="E4612" s="82" t="s">
        <v>5583</v>
      </c>
    </row>
    <row r="4613" spans="5:5" x14ac:dyDescent="0.25">
      <c r="E4613" s="82" t="s">
        <v>5584</v>
      </c>
    </row>
    <row r="4614" spans="5:5" x14ac:dyDescent="0.25">
      <c r="E4614" s="82" t="s">
        <v>5585</v>
      </c>
    </row>
    <row r="4615" spans="5:5" x14ac:dyDescent="0.25">
      <c r="E4615" s="82" t="s">
        <v>5586</v>
      </c>
    </row>
    <row r="4616" spans="5:5" x14ac:dyDescent="0.25">
      <c r="E4616" s="82" t="s">
        <v>5587</v>
      </c>
    </row>
    <row r="4617" spans="5:5" x14ac:dyDescent="0.25">
      <c r="E4617" s="82" t="s">
        <v>5588</v>
      </c>
    </row>
    <row r="4618" spans="5:5" x14ac:dyDescent="0.25">
      <c r="E4618" s="82" t="s">
        <v>5589</v>
      </c>
    </row>
    <row r="4619" spans="5:5" x14ac:dyDescent="0.25">
      <c r="E4619" s="82" t="s">
        <v>5590</v>
      </c>
    </row>
    <row r="4620" spans="5:5" x14ac:dyDescent="0.25">
      <c r="E4620" s="82" t="s">
        <v>5591</v>
      </c>
    </row>
    <row r="4621" spans="5:5" x14ac:dyDescent="0.25">
      <c r="E4621" s="82" t="s">
        <v>5592</v>
      </c>
    </row>
    <row r="4622" spans="5:5" x14ac:dyDescent="0.25">
      <c r="E4622" s="82" t="s">
        <v>5593</v>
      </c>
    </row>
    <row r="4623" spans="5:5" x14ac:dyDescent="0.25">
      <c r="E4623" s="82" t="s">
        <v>5594</v>
      </c>
    </row>
    <row r="4624" spans="5:5" x14ac:dyDescent="0.25">
      <c r="E4624" s="82" t="s">
        <v>5595</v>
      </c>
    </row>
    <row r="4625" spans="5:5" x14ac:dyDescent="0.25">
      <c r="E4625" s="82" t="s">
        <v>5596</v>
      </c>
    </row>
    <row r="4626" spans="5:5" x14ac:dyDescent="0.25">
      <c r="E4626" s="82" t="s">
        <v>5597</v>
      </c>
    </row>
    <row r="4627" spans="5:5" x14ac:dyDescent="0.25">
      <c r="E4627" s="82" t="s">
        <v>5598</v>
      </c>
    </row>
    <row r="4628" spans="5:5" x14ac:dyDescent="0.25">
      <c r="E4628" s="82" t="s">
        <v>5599</v>
      </c>
    </row>
    <row r="4629" spans="5:5" x14ac:dyDescent="0.25">
      <c r="E4629" s="82" t="s">
        <v>5600</v>
      </c>
    </row>
    <row r="4630" spans="5:5" x14ac:dyDescent="0.25">
      <c r="E4630" s="82" t="s">
        <v>5601</v>
      </c>
    </row>
    <row r="4631" spans="5:5" x14ac:dyDescent="0.25">
      <c r="E4631" s="82" t="s">
        <v>5602</v>
      </c>
    </row>
    <row r="4632" spans="5:5" x14ac:dyDescent="0.25">
      <c r="E4632" s="82" t="s">
        <v>5603</v>
      </c>
    </row>
    <row r="4633" spans="5:5" x14ac:dyDescent="0.25">
      <c r="E4633" s="82" t="s">
        <v>5604</v>
      </c>
    </row>
    <row r="4634" spans="5:5" x14ac:dyDescent="0.25">
      <c r="E4634" s="82" t="s">
        <v>5605</v>
      </c>
    </row>
    <row r="4635" spans="5:5" x14ac:dyDescent="0.25">
      <c r="E4635" s="82" t="s">
        <v>5606</v>
      </c>
    </row>
    <row r="4636" spans="5:5" x14ac:dyDescent="0.25">
      <c r="E4636" s="82" t="s">
        <v>5607</v>
      </c>
    </row>
    <row r="4637" spans="5:5" x14ac:dyDescent="0.25">
      <c r="E4637" s="82" t="s">
        <v>5608</v>
      </c>
    </row>
    <row r="4638" spans="5:5" x14ac:dyDescent="0.25">
      <c r="E4638" s="82" t="s">
        <v>5609</v>
      </c>
    </row>
    <row r="4639" spans="5:5" x14ac:dyDescent="0.25">
      <c r="E4639" s="82" t="s">
        <v>5610</v>
      </c>
    </row>
    <row r="4640" spans="5:5" x14ac:dyDescent="0.25">
      <c r="E4640" s="82" t="s">
        <v>5611</v>
      </c>
    </row>
    <row r="4641" spans="5:5" x14ac:dyDescent="0.25">
      <c r="E4641" s="82" t="s">
        <v>5612</v>
      </c>
    </row>
    <row r="4642" spans="5:5" x14ac:dyDescent="0.25">
      <c r="E4642" s="82" t="s">
        <v>5613</v>
      </c>
    </row>
    <row r="4643" spans="5:5" x14ac:dyDescent="0.25">
      <c r="E4643" s="82" t="s">
        <v>5614</v>
      </c>
    </row>
    <row r="4644" spans="5:5" x14ac:dyDescent="0.25">
      <c r="E4644" s="82" t="s">
        <v>5615</v>
      </c>
    </row>
    <row r="4645" spans="5:5" x14ac:dyDescent="0.25">
      <c r="E4645" s="82" t="s">
        <v>5616</v>
      </c>
    </row>
    <row r="4646" spans="5:5" x14ac:dyDescent="0.25">
      <c r="E4646" s="82" t="s">
        <v>5617</v>
      </c>
    </row>
    <row r="4647" spans="5:5" x14ac:dyDescent="0.25">
      <c r="E4647" s="82" t="s">
        <v>5618</v>
      </c>
    </row>
    <row r="4648" spans="5:5" x14ac:dyDescent="0.25">
      <c r="E4648" s="82" t="s">
        <v>5619</v>
      </c>
    </row>
    <row r="4649" spans="5:5" x14ac:dyDescent="0.25">
      <c r="E4649" s="82" t="s">
        <v>5620</v>
      </c>
    </row>
    <row r="4650" spans="5:5" x14ac:dyDescent="0.25">
      <c r="E4650" s="82" t="s">
        <v>5621</v>
      </c>
    </row>
    <row r="4651" spans="5:5" x14ac:dyDescent="0.25">
      <c r="E4651" s="82" t="s">
        <v>5622</v>
      </c>
    </row>
    <row r="4652" spans="5:5" x14ac:dyDescent="0.25">
      <c r="E4652" s="82" t="s">
        <v>5623</v>
      </c>
    </row>
    <row r="4653" spans="5:5" x14ac:dyDescent="0.25">
      <c r="E4653" s="82" t="s">
        <v>5624</v>
      </c>
    </row>
    <row r="4654" spans="5:5" x14ac:dyDescent="0.25">
      <c r="E4654" s="82" t="s">
        <v>5625</v>
      </c>
    </row>
    <row r="4655" spans="5:5" x14ac:dyDescent="0.25">
      <c r="E4655" s="82" t="s">
        <v>5626</v>
      </c>
    </row>
    <row r="4656" spans="5:5" x14ac:dyDescent="0.25">
      <c r="E4656" s="82" t="s">
        <v>5627</v>
      </c>
    </row>
    <row r="4657" spans="5:5" x14ac:dyDescent="0.25">
      <c r="E4657" s="82" t="s">
        <v>5628</v>
      </c>
    </row>
    <row r="4658" spans="5:5" x14ac:dyDescent="0.25">
      <c r="E4658" s="82" t="s">
        <v>5629</v>
      </c>
    </row>
    <row r="4659" spans="5:5" x14ac:dyDescent="0.25">
      <c r="E4659" s="82" t="s">
        <v>5630</v>
      </c>
    </row>
    <row r="4660" spans="5:5" x14ac:dyDescent="0.25">
      <c r="E4660" s="82" t="s">
        <v>5631</v>
      </c>
    </row>
    <row r="4661" spans="5:5" x14ac:dyDescent="0.25">
      <c r="E4661" s="82" t="s">
        <v>5632</v>
      </c>
    </row>
    <row r="4662" spans="5:5" x14ac:dyDescent="0.25">
      <c r="E4662" s="82" t="s">
        <v>5633</v>
      </c>
    </row>
    <row r="4663" spans="5:5" x14ac:dyDescent="0.25">
      <c r="E4663" s="82" t="s">
        <v>5634</v>
      </c>
    </row>
    <row r="4664" spans="5:5" x14ac:dyDescent="0.25">
      <c r="E4664" s="82" t="s">
        <v>5635</v>
      </c>
    </row>
    <row r="4665" spans="5:5" x14ac:dyDescent="0.25">
      <c r="E4665" s="82" t="s">
        <v>5636</v>
      </c>
    </row>
    <row r="4666" spans="5:5" x14ac:dyDescent="0.25">
      <c r="E4666" s="82" t="s">
        <v>5637</v>
      </c>
    </row>
    <row r="4667" spans="5:5" x14ac:dyDescent="0.25">
      <c r="E4667" s="82" t="s">
        <v>5638</v>
      </c>
    </row>
    <row r="4668" spans="5:5" x14ac:dyDescent="0.25">
      <c r="E4668" s="82" t="s">
        <v>5639</v>
      </c>
    </row>
    <row r="4669" spans="5:5" x14ac:dyDescent="0.25">
      <c r="E4669" s="82" t="s">
        <v>5640</v>
      </c>
    </row>
    <row r="4670" spans="5:5" x14ac:dyDescent="0.25">
      <c r="E4670" s="82" t="s">
        <v>5641</v>
      </c>
    </row>
    <row r="4671" spans="5:5" x14ac:dyDescent="0.25">
      <c r="E4671" s="82" t="s">
        <v>5642</v>
      </c>
    </row>
    <row r="4672" spans="5:5" x14ac:dyDescent="0.25">
      <c r="E4672" s="82" t="s">
        <v>5643</v>
      </c>
    </row>
    <row r="4673" spans="5:5" x14ac:dyDescent="0.25">
      <c r="E4673" s="82" t="s">
        <v>5644</v>
      </c>
    </row>
    <row r="4674" spans="5:5" x14ac:dyDescent="0.25">
      <c r="E4674" s="82" t="s">
        <v>5645</v>
      </c>
    </row>
    <row r="4675" spans="5:5" x14ac:dyDescent="0.25">
      <c r="E4675" s="82" t="s">
        <v>5646</v>
      </c>
    </row>
    <row r="4676" spans="5:5" x14ac:dyDescent="0.25">
      <c r="E4676" s="82" t="s">
        <v>5647</v>
      </c>
    </row>
    <row r="4677" spans="5:5" x14ac:dyDescent="0.25">
      <c r="E4677" s="82" t="s">
        <v>5648</v>
      </c>
    </row>
    <row r="4678" spans="5:5" x14ac:dyDescent="0.25">
      <c r="E4678" s="82" t="s">
        <v>5649</v>
      </c>
    </row>
    <row r="4679" spans="5:5" x14ac:dyDescent="0.25">
      <c r="E4679" s="82" t="s">
        <v>5650</v>
      </c>
    </row>
    <row r="4680" spans="5:5" x14ac:dyDescent="0.25">
      <c r="E4680" s="82" t="s">
        <v>5651</v>
      </c>
    </row>
    <row r="4681" spans="5:5" x14ac:dyDescent="0.25">
      <c r="E4681" s="82" t="s">
        <v>5652</v>
      </c>
    </row>
    <row r="4682" spans="5:5" x14ac:dyDescent="0.25">
      <c r="E4682" s="82" t="s">
        <v>5653</v>
      </c>
    </row>
    <row r="4683" spans="5:5" x14ac:dyDescent="0.25">
      <c r="E4683" s="82" t="s">
        <v>5654</v>
      </c>
    </row>
    <row r="4684" spans="5:5" x14ac:dyDescent="0.25">
      <c r="E4684" s="82" t="s">
        <v>5655</v>
      </c>
    </row>
    <row r="4685" spans="5:5" x14ac:dyDescent="0.25">
      <c r="E4685" s="82" t="s">
        <v>5656</v>
      </c>
    </row>
    <row r="4686" spans="5:5" x14ac:dyDescent="0.25">
      <c r="E4686" s="82" t="s">
        <v>5657</v>
      </c>
    </row>
    <row r="4687" spans="5:5" x14ac:dyDescent="0.25">
      <c r="E4687" s="82" t="s">
        <v>5658</v>
      </c>
    </row>
    <row r="4688" spans="5:5" x14ac:dyDescent="0.25">
      <c r="E4688" s="82" t="s">
        <v>5659</v>
      </c>
    </row>
    <row r="4689" spans="5:5" x14ac:dyDescent="0.25">
      <c r="E4689" s="82" t="s">
        <v>5660</v>
      </c>
    </row>
    <row r="4690" spans="5:5" x14ac:dyDescent="0.25">
      <c r="E4690" s="82" t="s">
        <v>5661</v>
      </c>
    </row>
    <row r="4691" spans="5:5" x14ac:dyDescent="0.25">
      <c r="E4691" s="82" t="s">
        <v>5662</v>
      </c>
    </row>
    <row r="4692" spans="5:5" x14ac:dyDescent="0.25">
      <c r="E4692" s="82" t="s">
        <v>5663</v>
      </c>
    </row>
    <row r="4693" spans="5:5" x14ac:dyDescent="0.25">
      <c r="E4693" s="82" t="s">
        <v>5664</v>
      </c>
    </row>
    <row r="4694" spans="5:5" x14ac:dyDescent="0.25">
      <c r="E4694" s="82" t="s">
        <v>5665</v>
      </c>
    </row>
    <row r="4695" spans="5:5" x14ac:dyDescent="0.25">
      <c r="E4695" s="82" t="s">
        <v>5666</v>
      </c>
    </row>
    <row r="4696" spans="5:5" x14ac:dyDescent="0.25">
      <c r="E4696" s="82" t="s">
        <v>5667</v>
      </c>
    </row>
    <row r="4697" spans="5:5" x14ac:dyDescent="0.25">
      <c r="E4697" s="82" t="s">
        <v>5668</v>
      </c>
    </row>
    <row r="4698" spans="5:5" x14ac:dyDescent="0.25">
      <c r="E4698" s="82" t="s">
        <v>5669</v>
      </c>
    </row>
    <row r="4699" spans="5:5" x14ac:dyDescent="0.25">
      <c r="E4699" s="82" t="s">
        <v>5670</v>
      </c>
    </row>
    <row r="4700" spans="5:5" x14ac:dyDescent="0.25">
      <c r="E4700" s="82" t="s">
        <v>5671</v>
      </c>
    </row>
    <row r="4701" spans="5:5" x14ac:dyDescent="0.25">
      <c r="E4701" s="82" t="s">
        <v>5672</v>
      </c>
    </row>
    <row r="4702" spans="5:5" x14ac:dyDescent="0.25">
      <c r="E4702" s="82" t="s">
        <v>5673</v>
      </c>
    </row>
    <row r="4703" spans="5:5" x14ac:dyDescent="0.25">
      <c r="E4703" s="82" t="s">
        <v>5674</v>
      </c>
    </row>
    <row r="4704" spans="5:5" x14ac:dyDescent="0.25">
      <c r="E4704" s="82" t="s">
        <v>5675</v>
      </c>
    </row>
    <row r="4705" spans="5:5" x14ac:dyDescent="0.25">
      <c r="E4705" s="82" t="s">
        <v>5676</v>
      </c>
    </row>
    <row r="4706" spans="5:5" x14ac:dyDescent="0.25">
      <c r="E4706" s="82" t="s">
        <v>5677</v>
      </c>
    </row>
    <row r="4707" spans="5:5" x14ac:dyDescent="0.25">
      <c r="E4707" s="82" t="s">
        <v>5678</v>
      </c>
    </row>
    <row r="4708" spans="5:5" x14ac:dyDescent="0.25">
      <c r="E4708" s="82" t="s">
        <v>5679</v>
      </c>
    </row>
    <row r="4709" spans="5:5" x14ac:dyDescent="0.25">
      <c r="E4709" s="82" t="s">
        <v>5680</v>
      </c>
    </row>
    <row r="4710" spans="5:5" x14ac:dyDescent="0.25">
      <c r="E4710" s="82" t="s">
        <v>5681</v>
      </c>
    </row>
    <row r="4711" spans="5:5" x14ac:dyDescent="0.25">
      <c r="E4711" s="82" t="s">
        <v>5682</v>
      </c>
    </row>
    <row r="4712" spans="5:5" x14ac:dyDescent="0.25">
      <c r="E4712" s="82" t="s">
        <v>5683</v>
      </c>
    </row>
    <row r="4713" spans="5:5" x14ac:dyDescent="0.25">
      <c r="E4713" s="82" t="s">
        <v>5684</v>
      </c>
    </row>
    <row r="4714" spans="5:5" x14ac:dyDescent="0.25">
      <c r="E4714" s="82" t="s">
        <v>5685</v>
      </c>
    </row>
    <row r="4715" spans="5:5" x14ac:dyDescent="0.25">
      <c r="E4715" s="82" t="s">
        <v>5686</v>
      </c>
    </row>
    <row r="4716" spans="5:5" x14ac:dyDescent="0.25">
      <c r="E4716" s="82" t="s">
        <v>5687</v>
      </c>
    </row>
    <row r="4717" spans="5:5" x14ac:dyDescent="0.25">
      <c r="E4717" s="82" t="s">
        <v>5688</v>
      </c>
    </row>
    <row r="4718" spans="5:5" x14ac:dyDescent="0.25">
      <c r="E4718" s="82" t="s">
        <v>5689</v>
      </c>
    </row>
    <row r="4719" spans="5:5" x14ac:dyDescent="0.25">
      <c r="E4719" s="82" t="s">
        <v>5690</v>
      </c>
    </row>
    <row r="4720" spans="5:5" x14ac:dyDescent="0.25">
      <c r="E4720" s="82" t="s">
        <v>5691</v>
      </c>
    </row>
    <row r="4721" spans="5:5" x14ac:dyDescent="0.25">
      <c r="E4721" s="82" t="s">
        <v>5692</v>
      </c>
    </row>
    <row r="4722" spans="5:5" x14ac:dyDescent="0.25">
      <c r="E4722" s="82" t="s">
        <v>5693</v>
      </c>
    </row>
    <row r="4723" spans="5:5" x14ac:dyDescent="0.25">
      <c r="E4723" s="82" t="s">
        <v>5694</v>
      </c>
    </row>
    <row r="4724" spans="5:5" x14ac:dyDescent="0.25">
      <c r="E4724" s="82" t="s">
        <v>5695</v>
      </c>
    </row>
    <row r="4725" spans="5:5" x14ac:dyDescent="0.25">
      <c r="E4725" s="82" t="s">
        <v>5696</v>
      </c>
    </row>
    <row r="4726" spans="5:5" x14ac:dyDescent="0.25">
      <c r="E4726" s="82" t="s">
        <v>5697</v>
      </c>
    </row>
    <row r="4727" spans="5:5" x14ac:dyDescent="0.25">
      <c r="E4727" s="82" t="s">
        <v>5698</v>
      </c>
    </row>
    <row r="4728" spans="5:5" x14ac:dyDescent="0.25">
      <c r="E4728" s="82" t="s">
        <v>5699</v>
      </c>
    </row>
    <row r="4729" spans="5:5" x14ac:dyDescent="0.25">
      <c r="E4729" s="82" t="s">
        <v>5700</v>
      </c>
    </row>
    <row r="4730" spans="5:5" x14ac:dyDescent="0.25">
      <c r="E4730" s="82" t="s">
        <v>5701</v>
      </c>
    </row>
    <row r="4731" spans="5:5" x14ac:dyDescent="0.25">
      <c r="E4731" s="82" t="s">
        <v>5702</v>
      </c>
    </row>
    <row r="4732" spans="5:5" x14ac:dyDescent="0.25">
      <c r="E4732" s="82" t="s">
        <v>5703</v>
      </c>
    </row>
    <row r="4733" spans="5:5" x14ac:dyDescent="0.25">
      <c r="E4733" s="82" t="s">
        <v>5704</v>
      </c>
    </row>
    <row r="4734" spans="5:5" x14ac:dyDescent="0.25">
      <c r="E4734" s="82" t="s">
        <v>5705</v>
      </c>
    </row>
    <row r="4735" spans="5:5" x14ac:dyDescent="0.25">
      <c r="E4735" s="82" t="s">
        <v>5706</v>
      </c>
    </row>
    <row r="4736" spans="5:5" x14ac:dyDescent="0.25">
      <c r="E4736" s="82" t="s">
        <v>5707</v>
      </c>
    </row>
    <row r="4737" spans="5:5" x14ac:dyDescent="0.25">
      <c r="E4737" s="82" t="s">
        <v>5708</v>
      </c>
    </row>
    <row r="4738" spans="5:5" x14ac:dyDescent="0.25">
      <c r="E4738" s="82" t="s">
        <v>5709</v>
      </c>
    </row>
    <row r="4739" spans="5:5" x14ac:dyDescent="0.25">
      <c r="E4739" s="82" t="s">
        <v>5710</v>
      </c>
    </row>
    <row r="4740" spans="5:5" x14ac:dyDescent="0.25">
      <c r="E4740" s="82" t="s">
        <v>5711</v>
      </c>
    </row>
    <row r="4741" spans="5:5" x14ac:dyDescent="0.25">
      <c r="E4741" s="82" t="s">
        <v>5712</v>
      </c>
    </row>
    <row r="4742" spans="5:5" x14ac:dyDescent="0.25">
      <c r="E4742" s="82" t="s">
        <v>5713</v>
      </c>
    </row>
    <row r="4743" spans="5:5" x14ac:dyDescent="0.25">
      <c r="E4743" s="82" t="s">
        <v>5714</v>
      </c>
    </row>
    <row r="4744" spans="5:5" x14ac:dyDescent="0.25">
      <c r="E4744" s="82" t="s">
        <v>5715</v>
      </c>
    </row>
    <row r="4745" spans="5:5" x14ac:dyDescent="0.25">
      <c r="E4745" s="82" t="s">
        <v>5716</v>
      </c>
    </row>
    <row r="4746" spans="5:5" x14ac:dyDescent="0.25">
      <c r="E4746" s="82" t="s">
        <v>5717</v>
      </c>
    </row>
    <row r="4747" spans="5:5" x14ac:dyDescent="0.25">
      <c r="E4747" s="82" t="s">
        <v>5718</v>
      </c>
    </row>
    <row r="4748" spans="5:5" x14ac:dyDescent="0.25">
      <c r="E4748" s="82" t="s">
        <v>5719</v>
      </c>
    </row>
    <row r="4749" spans="5:5" x14ac:dyDescent="0.25">
      <c r="E4749" s="82" t="s">
        <v>5720</v>
      </c>
    </row>
    <row r="4750" spans="5:5" x14ac:dyDescent="0.25">
      <c r="E4750" s="82" t="s">
        <v>5721</v>
      </c>
    </row>
    <row r="4751" spans="5:5" x14ac:dyDescent="0.25">
      <c r="E4751" s="82" t="s">
        <v>5722</v>
      </c>
    </row>
    <row r="4752" spans="5:5" x14ac:dyDescent="0.25">
      <c r="E4752" s="82" t="s">
        <v>5723</v>
      </c>
    </row>
    <row r="4753" spans="5:5" x14ac:dyDescent="0.25">
      <c r="E4753" s="82" t="s">
        <v>5724</v>
      </c>
    </row>
    <row r="4754" spans="5:5" x14ac:dyDescent="0.25">
      <c r="E4754" s="82" t="s">
        <v>5725</v>
      </c>
    </row>
    <row r="4755" spans="5:5" x14ac:dyDescent="0.25">
      <c r="E4755" s="82" t="s">
        <v>5726</v>
      </c>
    </row>
    <row r="4756" spans="5:5" x14ac:dyDescent="0.25">
      <c r="E4756" s="82" t="s">
        <v>5727</v>
      </c>
    </row>
    <row r="4757" spans="5:5" x14ac:dyDescent="0.25">
      <c r="E4757" s="82" t="s">
        <v>5728</v>
      </c>
    </row>
    <row r="4758" spans="5:5" x14ac:dyDescent="0.25">
      <c r="E4758" s="82" t="s">
        <v>5729</v>
      </c>
    </row>
    <row r="4759" spans="5:5" x14ac:dyDescent="0.25">
      <c r="E4759" s="82" t="s">
        <v>5730</v>
      </c>
    </row>
    <row r="4760" spans="5:5" x14ac:dyDescent="0.25">
      <c r="E4760" s="82" t="s">
        <v>5731</v>
      </c>
    </row>
    <row r="4761" spans="5:5" x14ac:dyDescent="0.25">
      <c r="E4761" s="82" t="s">
        <v>5732</v>
      </c>
    </row>
    <row r="4762" spans="5:5" x14ac:dyDescent="0.25">
      <c r="E4762" s="82" t="s">
        <v>5733</v>
      </c>
    </row>
    <row r="4763" spans="5:5" x14ac:dyDescent="0.25">
      <c r="E4763" s="82" t="s">
        <v>5734</v>
      </c>
    </row>
    <row r="4764" spans="5:5" x14ac:dyDescent="0.25">
      <c r="E4764" s="82" t="s">
        <v>5735</v>
      </c>
    </row>
    <row r="4765" spans="5:5" x14ac:dyDescent="0.25">
      <c r="E4765" s="82" t="s">
        <v>5736</v>
      </c>
    </row>
    <row r="4766" spans="5:5" x14ac:dyDescent="0.25">
      <c r="E4766" s="82" t="s">
        <v>5737</v>
      </c>
    </row>
    <row r="4767" spans="5:5" x14ac:dyDescent="0.25">
      <c r="E4767" s="82" t="s">
        <v>5738</v>
      </c>
    </row>
    <row r="4768" spans="5:5" x14ac:dyDescent="0.25">
      <c r="E4768" s="82" t="s">
        <v>5739</v>
      </c>
    </row>
    <row r="4769" spans="5:5" x14ac:dyDescent="0.25">
      <c r="E4769" s="82" t="s">
        <v>5740</v>
      </c>
    </row>
    <row r="4770" spans="5:5" x14ac:dyDescent="0.25">
      <c r="E4770" s="82" t="s">
        <v>5741</v>
      </c>
    </row>
    <row r="4771" spans="5:5" x14ac:dyDescent="0.25">
      <c r="E4771" s="82" t="s">
        <v>5742</v>
      </c>
    </row>
    <row r="4772" spans="5:5" x14ac:dyDescent="0.25">
      <c r="E4772" s="82" t="s">
        <v>5743</v>
      </c>
    </row>
    <row r="4773" spans="5:5" x14ac:dyDescent="0.25">
      <c r="E4773" s="82" t="s">
        <v>5744</v>
      </c>
    </row>
    <row r="4774" spans="5:5" x14ac:dyDescent="0.25">
      <c r="E4774" s="82" t="s">
        <v>5745</v>
      </c>
    </row>
    <row r="4775" spans="5:5" x14ac:dyDescent="0.25">
      <c r="E4775" s="82" t="s">
        <v>5746</v>
      </c>
    </row>
    <row r="4776" spans="5:5" x14ac:dyDescent="0.25">
      <c r="E4776" s="82" t="s">
        <v>5747</v>
      </c>
    </row>
    <row r="4777" spans="5:5" x14ac:dyDescent="0.25">
      <c r="E4777" s="82" t="s">
        <v>5748</v>
      </c>
    </row>
    <row r="4778" spans="5:5" x14ac:dyDescent="0.25">
      <c r="E4778" s="82" t="s">
        <v>5749</v>
      </c>
    </row>
    <row r="4779" spans="5:5" x14ac:dyDescent="0.25">
      <c r="E4779" s="82" t="s">
        <v>5750</v>
      </c>
    </row>
    <row r="4780" spans="5:5" x14ac:dyDescent="0.25">
      <c r="E4780" s="82" t="s">
        <v>5751</v>
      </c>
    </row>
    <row r="4781" spans="5:5" x14ac:dyDescent="0.25">
      <c r="E4781" s="82" t="s">
        <v>5752</v>
      </c>
    </row>
    <row r="4782" spans="5:5" x14ac:dyDescent="0.25">
      <c r="E4782" s="82" t="s">
        <v>5753</v>
      </c>
    </row>
    <row r="4783" spans="5:5" x14ac:dyDescent="0.25">
      <c r="E4783" s="82" t="s">
        <v>5754</v>
      </c>
    </row>
    <row r="4784" spans="5:5" x14ac:dyDescent="0.25">
      <c r="E4784" s="82" t="s">
        <v>5755</v>
      </c>
    </row>
    <row r="4785" spans="5:5" x14ac:dyDescent="0.25">
      <c r="E4785" s="82" t="s">
        <v>5756</v>
      </c>
    </row>
    <row r="4786" spans="5:5" x14ac:dyDescent="0.25">
      <c r="E4786" s="82" t="s">
        <v>5757</v>
      </c>
    </row>
    <row r="4787" spans="5:5" x14ac:dyDescent="0.25">
      <c r="E4787" s="82" t="s">
        <v>5758</v>
      </c>
    </row>
    <row r="4788" spans="5:5" x14ac:dyDescent="0.25">
      <c r="E4788" s="82" t="s">
        <v>5759</v>
      </c>
    </row>
    <row r="4789" spans="5:5" x14ac:dyDescent="0.25">
      <c r="E4789" s="82" t="s">
        <v>5760</v>
      </c>
    </row>
    <row r="4790" spans="5:5" x14ac:dyDescent="0.25">
      <c r="E4790" s="82" t="s">
        <v>5761</v>
      </c>
    </row>
    <row r="4791" spans="5:5" x14ac:dyDescent="0.25">
      <c r="E4791" s="82" t="s">
        <v>5762</v>
      </c>
    </row>
    <row r="4792" spans="5:5" x14ac:dyDescent="0.25">
      <c r="E4792" s="82" t="s">
        <v>5763</v>
      </c>
    </row>
    <row r="4793" spans="5:5" x14ac:dyDescent="0.25">
      <c r="E4793" s="82" t="s">
        <v>5764</v>
      </c>
    </row>
    <row r="4794" spans="5:5" x14ac:dyDescent="0.25">
      <c r="E4794" s="82" t="s">
        <v>5765</v>
      </c>
    </row>
    <row r="4795" spans="5:5" x14ac:dyDescent="0.25">
      <c r="E4795" s="82" t="s">
        <v>5766</v>
      </c>
    </row>
    <row r="4796" spans="5:5" x14ac:dyDescent="0.25">
      <c r="E4796" s="82" t="s">
        <v>5767</v>
      </c>
    </row>
    <row r="4797" spans="5:5" x14ac:dyDescent="0.25">
      <c r="E4797" s="82" t="s">
        <v>5768</v>
      </c>
    </row>
    <row r="4798" spans="5:5" x14ac:dyDescent="0.25">
      <c r="E4798" s="82" t="s">
        <v>5769</v>
      </c>
    </row>
    <row r="4799" spans="5:5" x14ac:dyDescent="0.25">
      <c r="E4799" s="82" t="s">
        <v>5770</v>
      </c>
    </row>
    <row r="4800" spans="5:5" x14ac:dyDescent="0.25">
      <c r="E4800" s="82" t="s">
        <v>5771</v>
      </c>
    </row>
    <row r="4801" spans="5:5" x14ac:dyDescent="0.25">
      <c r="E4801" s="82" t="s">
        <v>5772</v>
      </c>
    </row>
    <row r="4802" spans="5:5" x14ac:dyDescent="0.25">
      <c r="E4802" s="82" t="s">
        <v>5773</v>
      </c>
    </row>
    <row r="4803" spans="5:5" x14ac:dyDescent="0.25">
      <c r="E4803" s="82" t="s">
        <v>5774</v>
      </c>
    </row>
    <row r="4804" spans="5:5" x14ac:dyDescent="0.25">
      <c r="E4804" s="82" t="s">
        <v>5775</v>
      </c>
    </row>
    <row r="4805" spans="5:5" x14ac:dyDescent="0.25">
      <c r="E4805" s="82" t="s">
        <v>5776</v>
      </c>
    </row>
    <row r="4806" spans="5:5" x14ac:dyDescent="0.25">
      <c r="E4806" s="82" t="s">
        <v>5777</v>
      </c>
    </row>
    <row r="4807" spans="5:5" x14ac:dyDescent="0.25">
      <c r="E4807" s="82" t="s">
        <v>5778</v>
      </c>
    </row>
    <row r="4808" spans="5:5" x14ac:dyDescent="0.25">
      <c r="E4808" s="82" t="s">
        <v>5779</v>
      </c>
    </row>
    <row r="4809" spans="5:5" x14ac:dyDescent="0.25">
      <c r="E4809" s="82" t="s">
        <v>5780</v>
      </c>
    </row>
    <row r="4810" spans="5:5" x14ac:dyDescent="0.25">
      <c r="E4810" s="82" t="s">
        <v>5781</v>
      </c>
    </row>
    <row r="4811" spans="5:5" x14ac:dyDescent="0.25">
      <c r="E4811" s="82" t="s">
        <v>5782</v>
      </c>
    </row>
    <row r="4812" spans="5:5" x14ac:dyDescent="0.25">
      <c r="E4812" s="82" t="s">
        <v>5783</v>
      </c>
    </row>
    <row r="4813" spans="5:5" x14ac:dyDescent="0.25">
      <c r="E4813" s="82" t="s">
        <v>5784</v>
      </c>
    </row>
    <row r="4814" spans="5:5" x14ac:dyDescent="0.25">
      <c r="E4814" s="82" t="s">
        <v>5785</v>
      </c>
    </row>
    <row r="4815" spans="5:5" x14ac:dyDescent="0.25">
      <c r="E4815" s="82" t="s">
        <v>5786</v>
      </c>
    </row>
    <row r="4816" spans="5:5" x14ac:dyDescent="0.25">
      <c r="E4816" s="82" t="s">
        <v>5787</v>
      </c>
    </row>
    <row r="4817" spans="5:5" x14ac:dyDescent="0.25">
      <c r="E4817" s="82" t="s">
        <v>5788</v>
      </c>
    </row>
    <row r="4818" spans="5:5" x14ac:dyDescent="0.25">
      <c r="E4818" s="82" t="s">
        <v>5789</v>
      </c>
    </row>
    <row r="4819" spans="5:5" x14ac:dyDescent="0.25">
      <c r="E4819" s="82" t="s">
        <v>5790</v>
      </c>
    </row>
    <row r="4820" spans="5:5" x14ac:dyDescent="0.25">
      <c r="E4820" s="82" t="s">
        <v>5791</v>
      </c>
    </row>
    <row r="4821" spans="5:5" x14ac:dyDescent="0.25">
      <c r="E4821" s="82" t="s">
        <v>5792</v>
      </c>
    </row>
    <row r="4822" spans="5:5" x14ac:dyDescent="0.25">
      <c r="E4822" s="82" t="s">
        <v>5793</v>
      </c>
    </row>
    <row r="4823" spans="5:5" x14ac:dyDescent="0.25">
      <c r="E4823" s="82" t="s">
        <v>5794</v>
      </c>
    </row>
    <row r="4824" spans="5:5" x14ac:dyDescent="0.25">
      <c r="E4824" s="82" t="s">
        <v>5795</v>
      </c>
    </row>
    <row r="4825" spans="5:5" x14ac:dyDescent="0.25">
      <c r="E4825" s="82" t="s">
        <v>5796</v>
      </c>
    </row>
    <row r="4826" spans="5:5" x14ac:dyDescent="0.25">
      <c r="E4826" s="82" t="s">
        <v>5797</v>
      </c>
    </row>
    <row r="4827" spans="5:5" x14ac:dyDescent="0.25">
      <c r="E4827" s="82" t="s">
        <v>5798</v>
      </c>
    </row>
    <row r="4828" spans="5:5" x14ac:dyDescent="0.25">
      <c r="E4828" s="82" t="s">
        <v>5799</v>
      </c>
    </row>
    <row r="4829" spans="5:5" x14ac:dyDescent="0.25">
      <c r="E4829" s="82" t="s">
        <v>5800</v>
      </c>
    </row>
    <row r="4830" spans="5:5" x14ac:dyDescent="0.25">
      <c r="E4830" s="82" t="s">
        <v>5801</v>
      </c>
    </row>
    <row r="4831" spans="5:5" x14ac:dyDescent="0.25">
      <c r="E4831" s="82" t="s">
        <v>5802</v>
      </c>
    </row>
    <row r="4832" spans="5:5" x14ac:dyDescent="0.25">
      <c r="E4832" s="82" t="s">
        <v>5803</v>
      </c>
    </row>
    <row r="4833" spans="5:5" x14ac:dyDescent="0.25">
      <c r="E4833" s="82" t="s">
        <v>5804</v>
      </c>
    </row>
    <row r="4834" spans="5:5" x14ac:dyDescent="0.25">
      <c r="E4834" s="82" t="s">
        <v>5805</v>
      </c>
    </row>
    <row r="4835" spans="5:5" x14ac:dyDescent="0.25">
      <c r="E4835" s="82" t="s">
        <v>5806</v>
      </c>
    </row>
    <row r="4836" spans="5:5" x14ac:dyDescent="0.25">
      <c r="E4836" s="82" t="s">
        <v>5807</v>
      </c>
    </row>
    <row r="4837" spans="5:5" x14ac:dyDescent="0.25">
      <c r="E4837" s="82" t="s">
        <v>5808</v>
      </c>
    </row>
    <row r="4838" spans="5:5" x14ac:dyDescent="0.25">
      <c r="E4838" s="82" t="s">
        <v>5809</v>
      </c>
    </row>
    <row r="4839" spans="5:5" x14ac:dyDescent="0.25">
      <c r="E4839" s="82" t="s">
        <v>5810</v>
      </c>
    </row>
    <row r="4840" spans="5:5" x14ac:dyDescent="0.25">
      <c r="E4840" s="82" t="s">
        <v>5811</v>
      </c>
    </row>
    <row r="4841" spans="5:5" x14ac:dyDescent="0.25">
      <c r="E4841" s="82" t="s">
        <v>5812</v>
      </c>
    </row>
    <row r="4842" spans="5:5" x14ac:dyDescent="0.25">
      <c r="E4842" s="82" t="s">
        <v>5813</v>
      </c>
    </row>
    <row r="4843" spans="5:5" x14ac:dyDescent="0.25">
      <c r="E4843" s="82" t="s">
        <v>5814</v>
      </c>
    </row>
    <row r="4844" spans="5:5" x14ac:dyDescent="0.25">
      <c r="E4844" s="82" t="s">
        <v>5815</v>
      </c>
    </row>
    <row r="4845" spans="5:5" x14ac:dyDescent="0.25">
      <c r="E4845" s="82" t="s">
        <v>5816</v>
      </c>
    </row>
    <row r="4846" spans="5:5" x14ac:dyDescent="0.25">
      <c r="E4846" s="82" t="s">
        <v>5817</v>
      </c>
    </row>
    <row r="4847" spans="5:5" x14ac:dyDescent="0.25">
      <c r="E4847" s="82" t="s">
        <v>5818</v>
      </c>
    </row>
    <row r="4848" spans="5:5" x14ac:dyDescent="0.25">
      <c r="E4848" s="82" t="s">
        <v>5819</v>
      </c>
    </row>
    <row r="4849" spans="5:5" x14ac:dyDescent="0.25">
      <c r="E4849" s="82" t="s">
        <v>5820</v>
      </c>
    </row>
    <row r="4850" spans="5:5" x14ac:dyDescent="0.25">
      <c r="E4850" s="82" t="s">
        <v>5821</v>
      </c>
    </row>
    <row r="4851" spans="5:5" x14ac:dyDescent="0.25">
      <c r="E4851" s="82" t="s">
        <v>5822</v>
      </c>
    </row>
    <row r="4852" spans="5:5" x14ac:dyDescent="0.25">
      <c r="E4852" s="82" t="s">
        <v>5823</v>
      </c>
    </row>
    <row r="4853" spans="5:5" x14ac:dyDescent="0.25">
      <c r="E4853" s="82" t="s">
        <v>5824</v>
      </c>
    </row>
    <row r="4854" spans="5:5" x14ac:dyDescent="0.25">
      <c r="E4854" s="82" t="s">
        <v>5825</v>
      </c>
    </row>
    <row r="4855" spans="5:5" x14ac:dyDescent="0.25">
      <c r="E4855" s="82" t="s">
        <v>5826</v>
      </c>
    </row>
    <row r="4856" spans="5:5" x14ac:dyDescent="0.25">
      <c r="E4856" s="82" t="s">
        <v>5827</v>
      </c>
    </row>
    <row r="4857" spans="5:5" x14ac:dyDescent="0.25">
      <c r="E4857" s="82" t="s">
        <v>5828</v>
      </c>
    </row>
    <row r="4858" spans="5:5" x14ac:dyDescent="0.25">
      <c r="E4858" s="82" t="s">
        <v>5829</v>
      </c>
    </row>
    <row r="4859" spans="5:5" x14ac:dyDescent="0.25">
      <c r="E4859" s="82" t="s">
        <v>5830</v>
      </c>
    </row>
    <row r="4860" spans="5:5" x14ac:dyDescent="0.25">
      <c r="E4860" s="82" t="s">
        <v>5831</v>
      </c>
    </row>
    <row r="4861" spans="5:5" x14ac:dyDescent="0.25">
      <c r="E4861" s="82" t="s">
        <v>5832</v>
      </c>
    </row>
    <row r="4862" spans="5:5" x14ac:dyDescent="0.25">
      <c r="E4862" s="82" t="s">
        <v>5833</v>
      </c>
    </row>
    <row r="4863" spans="5:5" x14ac:dyDescent="0.25">
      <c r="E4863" s="82" t="s">
        <v>5834</v>
      </c>
    </row>
    <row r="4864" spans="5:5" x14ac:dyDescent="0.25">
      <c r="E4864" s="82" t="s">
        <v>5835</v>
      </c>
    </row>
    <row r="4865" spans="5:5" x14ac:dyDescent="0.25">
      <c r="E4865" s="82" t="s">
        <v>5836</v>
      </c>
    </row>
    <row r="4866" spans="5:5" x14ac:dyDescent="0.25">
      <c r="E4866" s="82" t="s">
        <v>5837</v>
      </c>
    </row>
    <row r="4867" spans="5:5" x14ac:dyDescent="0.25">
      <c r="E4867" s="82" t="s">
        <v>5838</v>
      </c>
    </row>
    <row r="4868" spans="5:5" x14ac:dyDescent="0.25">
      <c r="E4868" s="82" t="s">
        <v>5839</v>
      </c>
    </row>
    <row r="4869" spans="5:5" x14ac:dyDescent="0.25">
      <c r="E4869" s="82" t="s">
        <v>5840</v>
      </c>
    </row>
    <row r="4870" spans="5:5" x14ac:dyDescent="0.25">
      <c r="E4870" s="82" t="s">
        <v>5841</v>
      </c>
    </row>
    <row r="4871" spans="5:5" x14ac:dyDescent="0.25">
      <c r="E4871" s="82" t="s">
        <v>5842</v>
      </c>
    </row>
    <row r="4872" spans="5:5" x14ac:dyDescent="0.25">
      <c r="E4872" s="82" t="s">
        <v>5843</v>
      </c>
    </row>
    <row r="4873" spans="5:5" x14ac:dyDescent="0.25">
      <c r="E4873" s="82" t="s">
        <v>5844</v>
      </c>
    </row>
    <row r="4874" spans="5:5" x14ac:dyDescent="0.25">
      <c r="E4874" s="82" t="s">
        <v>5845</v>
      </c>
    </row>
    <row r="4875" spans="5:5" x14ac:dyDescent="0.25">
      <c r="E4875" s="82" t="s">
        <v>5846</v>
      </c>
    </row>
    <row r="4876" spans="5:5" x14ac:dyDescent="0.25">
      <c r="E4876" s="82" t="s">
        <v>5847</v>
      </c>
    </row>
    <row r="4877" spans="5:5" x14ac:dyDescent="0.25">
      <c r="E4877" s="82" t="s">
        <v>5848</v>
      </c>
    </row>
    <row r="4878" spans="5:5" x14ac:dyDescent="0.25">
      <c r="E4878" s="82" t="s">
        <v>5849</v>
      </c>
    </row>
    <row r="4879" spans="5:5" x14ac:dyDescent="0.25">
      <c r="E4879" s="82" t="s">
        <v>5850</v>
      </c>
    </row>
    <row r="4880" spans="5:5" x14ac:dyDescent="0.25">
      <c r="E4880" s="82" t="s">
        <v>5851</v>
      </c>
    </row>
    <row r="4881" spans="5:5" x14ac:dyDescent="0.25">
      <c r="E4881" s="82" t="s">
        <v>5852</v>
      </c>
    </row>
    <row r="4882" spans="5:5" x14ac:dyDescent="0.25">
      <c r="E4882" s="82" t="s">
        <v>5853</v>
      </c>
    </row>
    <row r="4883" spans="5:5" x14ac:dyDescent="0.25">
      <c r="E4883" s="82" t="s">
        <v>5854</v>
      </c>
    </row>
    <row r="4884" spans="5:5" x14ac:dyDescent="0.25">
      <c r="E4884" s="82" t="s">
        <v>5855</v>
      </c>
    </row>
    <row r="4885" spans="5:5" x14ac:dyDescent="0.25">
      <c r="E4885" s="82" t="s">
        <v>5856</v>
      </c>
    </row>
    <row r="4886" spans="5:5" x14ac:dyDescent="0.25">
      <c r="E4886" s="82" t="s">
        <v>5857</v>
      </c>
    </row>
    <row r="4887" spans="5:5" x14ac:dyDescent="0.25">
      <c r="E4887" s="82" t="s">
        <v>5858</v>
      </c>
    </row>
    <row r="4888" spans="5:5" x14ac:dyDescent="0.25">
      <c r="E4888" s="82" t="s">
        <v>5859</v>
      </c>
    </row>
    <row r="4889" spans="5:5" x14ac:dyDescent="0.25">
      <c r="E4889" s="82" t="s">
        <v>5860</v>
      </c>
    </row>
    <row r="4890" spans="5:5" x14ac:dyDescent="0.25">
      <c r="E4890" s="82" t="s">
        <v>5861</v>
      </c>
    </row>
    <row r="4891" spans="5:5" x14ac:dyDescent="0.25">
      <c r="E4891" s="82" t="s">
        <v>5862</v>
      </c>
    </row>
    <row r="4892" spans="5:5" x14ac:dyDescent="0.25">
      <c r="E4892" s="82" t="s">
        <v>5863</v>
      </c>
    </row>
    <row r="4893" spans="5:5" x14ac:dyDescent="0.25">
      <c r="E4893" s="82" t="s">
        <v>5864</v>
      </c>
    </row>
    <row r="4894" spans="5:5" x14ac:dyDescent="0.25">
      <c r="E4894" s="82" t="s">
        <v>5865</v>
      </c>
    </row>
    <row r="4895" spans="5:5" x14ac:dyDescent="0.25">
      <c r="E4895" s="82" t="s">
        <v>5866</v>
      </c>
    </row>
    <row r="4896" spans="5:5" x14ac:dyDescent="0.25">
      <c r="E4896" s="82" t="s">
        <v>5867</v>
      </c>
    </row>
    <row r="4897" spans="5:5" x14ac:dyDescent="0.25">
      <c r="E4897" s="82" t="s">
        <v>5868</v>
      </c>
    </row>
    <row r="4898" spans="5:5" x14ac:dyDescent="0.25">
      <c r="E4898" s="82" t="s">
        <v>5869</v>
      </c>
    </row>
    <row r="4899" spans="5:5" x14ac:dyDescent="0.25">
      <c r="E4899" s="82" t="s">
        <v>5870</v>
      </c>
    </row>
    <row r="4900" spans="5:5" x14ac:dyDescent="0.25">
      <c r="E4900" s="82" t="s">
        <v>5871</v>
      </c>
    </row>
    <row r="4901" spans="5:5" x14ac:dyDescent="0.25">
      <c r="E4901" s="82" t="s">
        <v>5872</v>
      </c>
    </row>
    <row r="4902" spans="5:5" x14ac:dyDescent="0.25">
      <c r="E4902" s="82" t="s">
        <v>5873</v>
      </c>
    </row>
    <row r="4903" spans="5:5" x14ac:dyDescent="0.25">
      <c r="E4903" s="82" t="s">
        <v>5874</v>
      </c>
    </row>
    <row r="4904" spans="5:5" x14ac:dyDescent="0.25">
      <c r="E4904" s="82" t="s">
        <v>5875</v>
      </c>
    </row>
    <row r="4905" spans="5:5" x14ac:dyDescent="0.25">
      <c r="E4905" s="82" t="s">
        <v>5876</v>
      </c>
    </row>
    <row r="4906" spans="5:5" x14ac:dyDescent="0.25">
      <c r="E4906" s="82" t="s">
        <v>5877</v>
      </c>
    </row>
    <row r="4907" spans="5:5" x14ac:dyDescent="0.25">
      <c r="E4907" s="82" t="s">
        <v>5878</v>
      </c>
    </row>
    <row r="4908" spans="5:5" x14ac:dyDescent="0.25">
      <c r="E4908" s="82" t="s">
        <v>5879</v>
      </c>
    </row>
    <row r="4909" spans="5:5" x14ac:dyDescent="0.25">
      <c r="E4909" s="82" t="s">
        <v>5880</v>
      </c>
    </row>
    <row r="4910" spans="5:5" x14ac:dyDescent="0.25">
      <c r="E4910" s="82" t="s">
        <v>5881</v>
      </c>
    </row>
    <row r="4911" spans="5:5" x14ac:dyDescent="0.25">
      <c r="E4911" s="82" t="s">
        <v>5882</v>
      </c>
    </row>
    <row r="4912" spans="5:5" x14ac:dyDescent="0.25">
      <c r="E4912" s="82" t="s">
        <v>5883</v>
      </c>
    </row>
    <row r="4913" spans="5:5" x14ac:dyDescent="0.25">
      <c r="E4913" s="82" t="s">
        <v>5884</v>
      </c>
    </row>
    <row r="4914" spans="5:5" x14ac:dyDescent="0.25">
      <c r="E4914" s="82" t="s">
        <v>5885</v>
      </c>
    </row>
    <row r="4915" spans="5:5" x14ac:dyDescent="0.25">
      <c r="E4915" s="82" t="s">
        <v>5886</v>
      </c>
    </row>
    <row r="4916" spans="5:5" x14ac:dyDescent="0.25">
      <c r="E4916" s="82" t="s">
        <v>5887</v>
      </c>
    </row>
    <row r="4917" spans="5:5" x14ac:dyDescent="0.25">
      <c r="E4917" s="82" t="s">
        <v>5888</v>
      </c>
    </row>
    <row r="4918" spans="5:5" x14ac:dyDescent="0.25">
      <c r="E4918" s="82" t="s">
        <v>5889</v>
      </c>
    </row>
    <row r="4919" spans="5:5" x14ac:dyDescent="0.25">
      <c r="E4919" s="82" t="s">
        <v>5890</v>
      </c>
    </row>
    <row r="4920" spans="5:5" x14ac:dyDescent="0.25">
      <c r="E4920" s="82" t="s">
        <v>5891</v>
      </c>
    </row>
    <row r="4921" spans="5:5" x14ac:dyDescent="0.25">
      <c r="E4921" s="82" t="s">
        <v>5892</v>
      </c>
    </row>
    <row r="4922" spans="5:5" x14ac:dyDescent="0.25">
      <c r="E4922" s="82" t="s">
        <v>5893</v>
      </c>
    </row>
    <row r="4923" spans="5:5" x14ac:dyDescent="0.25">
      <c r="E4923" s="82" t="s">
        <v>5894</v>
      </c>
    </row>
    <row r="4924" spans="5:5" x14ac:dyDescent="0.25">
      <c r="E4924" s="82" t="s">
        <v>5895</v>
      </c>
    </row>
    <row r="4925" spans="5:5" x14ac:dyDescent="0.25">
      <c r="E4925" s="82" t="s">
        <v>5896</v>
      </c>
    </row>
    <row r="4926" spans="5:5" x14ac:dyDescent="0.25">
      <c r="E4926" s="82" t="s">
        <v>5897</v>
      </c>
    </row>
    <row r="4927" spans="5:5" x14ac:dyDescent="0.25">
      <c r="E4927" s="82" t="s">
        <v>5898</v>
      </c>
    </row>
    <row r="4928" spans="5:5" x14ac:dyDescent="0.25">
      <c r="E4928" s="82" t="s">
        <v>5899</v>
      </c>
    </row>
    <row r="4929" spans="5:5" x14ac:dyDescent="0.25">
      <c r="E4929" s="82" t="s">
        <v>5900</v>
      </c>
    </row>
    <row r="4930" spans="5:5" x14ac:dyDescent="0.25">
      <c r="E4930" s="82" t="s">
        <v>5901</v>
      </c>
    </row>
    <row r="4931" spans="5:5" x14ac:dyDescent="0.25">
      <c r="E4931" s="82" t="s">
        <v>5902</v>
      </c>
    </row>
    <row r="4932" spans="5:5" x14ac:dyDescent="0.25">
      <c r="E4932" s="82" t="s">
        <v>5903</v>
      </c>
    </row>
    <row r="4933" spans="5:5" x14ac:dyDescent="0.25">
      <c r="E4933" s="82" t="s">
        <v>5904</v>
      </c>
    </row>
    <row r="4934" spans="5:5" x14ac:dyDescent="0.25">
      <c r="E4934" s="82" t="s">
        <v>5905</v>
      </c>
    </row>
    <row r="4935" spans="5:5" x14ac:dyDescent="0.25">
      <c r="E4935" s="82" t="s">
        <v>5906</v>
      </c>
    </row>
    <row r="4936" spans="5:5" x14ac:dyDescent="0.25">
      <c r="E4936" s="82" t="s">
        <v>5907</v>
      </c>
    </row>
    <row r="4937" spans="5:5" x14ac:dyDescent="0.25">
      <c r="E4937" s="82" t="s">
        <v>5908</v>
      </c>
    </row>
    <row r="4938" spans="5:5" x14ac:dyDescent="0.25">
      <c r="E4938" s="82" t="s">
        <v>5909</v>
      </c>
    </row>
    <row r="4939" spans="5:5" x14ac:dyDescent="0.25">
      <c r="E4939" s="82" t="s">
        <v>5910</v>
      </c>
    </row>
    <row r="4940" spans="5:5" x14ac:dyDescent="0.25">
      <c r="E4940" s="82" t="s">
        <v>5911</v>
      </c>
    </row>
    <row r="4941" spans="5:5" x14ac:dyDescent="0.25">
      <c r="E4941" s="82" t="s">
        <v>5912</v>
      </c>
    </row>
    <row r="4942" spans="5:5" x14ac:dyDescent="0.25">
      <c r="E4942" s="82" t="s">
        <v>5913</v>
      </c>
    </row>
    <row r="4943" spans="5:5" x14ac:dyDescent="0.25">
      <c r="E4943" s="82" t="s">
        <v>5914</v>
      </c>
    </row>
    <row r="4944" spans="5:5" x14ac:dyDescent="0.25">
      <c r="E4944" s="82" t="s">
        <v>5915</v>
      </c>
    </row>
    <row r="4945" spans="5:5" x14ac:dyDescent="0.25">
      <c r="E4945" s="82" t="s">
        <v>5916</v>
      </c>
    </row>
    <row r="4946" spans="5:5" x14ac:dyDescent="0.25">
      <c r="E4946" s="82" t="s">
        <v>5917</v>
      </c>
    </row>
    <row r="4947" spans="5:5" x14ac:dyDescent="0.25">
      <c r="E4947" s="82" t="s">
        <v>5918</v>
      </c>
    </row>
    <row r="4948" spans="5:5" x14ac:dyDescent="0.25">
      <c r="E4948" s="82" t="s">
        <v>5919</v>
      </c>
    </row>
    <row r="4949" spans="5:5" x14ac:dyDescent="0.25">
      <c r="E4949" s="82" t="s">
        <v>5920</v>
      </c>
    </row>
    <row r="4950" spans="5:5" x14ac:dyDescent="0.25">
      <c r="E4950" s="82" t="s">
        <v>5921</v>
      </c>
    </row>
    <row r="4951" spans="5:5" x14ac:dyDescent="0.25">
      <c r="E4951" s="82" t="s">
        <v>5922</v>
      </c>
    </row>
    <row r="4952" spans="5:5" x14ac:dyDescent="0.25">
      <c r="E4952" s="82" t="s">
        <v>5923</v>
      </c>
    </row>
    <row r="4953" spans="5:5" x14ac:dyDescent="0.25">
      <c r="E4953" s="82" t="s">
        <v>5924</v>
      </c>
    </row>
    <row r="4954" spans="5:5" x14ac:dyDescent="0.25">
      <c r="E4954" s="82" t="s">
        <v>5925</v>
      </c>
    </row>
    <row r="4955" spans="5:5" x14ac:dyDescent="0.25">
      <c r="E4955" s="82" t="s">
        <v>5926</v>
      </c>
    </row>
    <row r="4956" spans="5:5" x14ac:dyDescent="0.25">
      <c r="E4956" s="82" t="s">
        <v>5927</v>
      </c>
    </row>
    <row r="4957" spans="5:5" x14ac:dyDescent="0.25">
      <c r="E4957" s="82" t="s">
        <v>5928</v>
      </c>
    </row>
    <row r="4958" spans="5:5" x14ac:dyDescent="0.25">
      <c r="E4958" s="82" t="s">
        <v>5929</v>
      </c>
    </row>
    <row r="4959" spans="5:5" x14ac:dyDescent="0.25">
      <c r="E4959" s="82" t="s">
        <v>5930</v>
      </c>
    </row>
    <row r="4960" spans="5:5" x14ac:dyDescent="0.25">
      <c r="E4960" s="82" t="s">
        <v>5931</v>
      </c>
    </row>
    <row r="4961" spans="5:5" x14ac:dyDescent="0.25">
      <c r="E4961" s="82" t="s">
        <v>5932</v>
      </c>
    </row>
    <row r="4962" spans="5:5" x14ac:dyDescent="0.25">
      <c r="E4962" s="82" t="s">
        <v>5933</v>
      </c>
    </row>
    <row r="4963" spans="5:5" x14ac:dyDescent="0.25">
      <c r="E4963" s="82" t="s">
        <v>5934</v>
      </c>
    </row>
    <row r="4964" spans="5:5" x14ac:dyDescent="0.25">
      <c r="E4964" s="82" t="s">
        <v>5935</v>
      </c>
    </row>
    <row r="4965" spans="5:5" x14ac:dyDescent="0.25">
      <c r="E4965" s="82" t="s">
        <v>5936</v>
      </c>
    </row>
    <row r="4966" spans="5:5" x14ac:dyDescent="0.25">
      <c r="E4966" s="82" t="s">
        <v>5937</v>
      </c>
    </row>
    <row r="4967" spans="5:5" x14ac:dyDescent="0.25">
      <c r="E4967" s="82" t="s">
        <v>5938</v>
      </c>
    </row>
    <row r="4968" spans="5:5" x14ac:dyDescent="0.25">
      <c r="E4968" s="82" t="s">
        <v>5939</v>
      </c>
    </row>
    <row r="4969" spans="5:5" x14ac:dyDescent="0.25">
      <c r="E4969" s="82" t="s">
        <v>5940</v>
      </c>
    </row>
    <row r="4970" spans="5:5" x14ac:dyDescent="0.25">
      <c r="E4970" s="82" t="s">
        <v>5941</v>
      </c>
    </row>
    <row r="4971" spans="5:5" x14ac:dyDescent="0.25">
      <c r="E4971" s="82" t="s">
        <v>5942</v>
      </c>
    </row>
    <row r="4972" spans="5:5" x14ac:dyDescent="0.25">
      <c r="E4972" s="82" t="s">
        <v>5943</v>
      </c>
    </row>
    <row r="4973" spans="5:5" x14ac:dyDescent="0.25">
      <c r="E4973" s="82" t="s">
        <v>5944</v>
      </c>
    </row>
    <row r="4974" spans="5:5" x14ac:dyDescent="0.25">
      <c r="E4974" s="82" t="s">
        <v>5945</v>
      </c>
    </row>
    <row r="4975" spans="5:5" x14ac:dyDescent="0.25">
      <c r="E4975" s="82" t="s">
        <v>5946</v>
      </c>
    </row>
    <row r="4976" spans="5:5" x14ac:dyDescent="0.25">
      <c r="E4976" s="82" t="s">
        <v>5947</v>
      </c>
    </row>
    <row r="4977" spans="5:5" x14ac:dyDescent="0.25">
      <c r="E4977" s="82" t="s">
        <v>5948</v>
      </c>
    </row>
    <row r="4978" spans="5:5" x14ac:dyDescent="0.25">
      <c r="E4978" s="82" t="s">
        <v>5949</v>
      </c>
    </row>
    <row r="4979" spans="5:5" x14ac:dyDescent="0.25">
      <c r="E4979" s="82" t="s">
        <v>5950</v>
      </c>
    </row>
    <row r="4980" spans="5:5" x14ac:dyDescent="0.25">
      <c r="E4980" s="82" t="s">
        <v>5951</v>
      </c>
    </row>
    <row r="4981" spans="5:5" x14ac:dyDescent="0.25">
      <c r="E4981" s="82" t="s">
        <v>5952</v>
      </c>
    </row>
    <row r="4982" spans="5:5" x14ac:dyDescent="0.25">
      <c r="E4982" s="82" t="s">
        <v>5953</v>
      </c>
    </row>
    <row r="4983" spans="5:5" x14ac:dyDescent="0.25">
      <c r="E4983" s="82" t="s">
        <v>5954</v>
      </c>
    </row>
    <row r="4984" spans="5:5" x14ac:dyDescent="0.25">
      <c r="E4984" s="82" t="s">
        <v>5955</v>
      </c>
    </row>
    <row r="4985" spans="5:5" x14ac:dyDescent="0.25">
      <c r="E4985" s="82" t="s">
        <v>5956</v>
      </c>
    </row>
    <row r="4986" spans="5:5" x14ac:dyDescent="0.25">
      <c r="E4986" s="82" t="s">
        <v>5957</v>
      </c>
    </row>
    <row r="4987" spans="5:5" x14ac:dyDescent="0.25">
      <c r="E4987" s="82" t="s">
        <v>5958</v>
      </c>
    </row>
    <row r="4988" spans="5:5" x14ac:dyDescent="0.25">
      <c r="E4988" s="82" t="s">
        <v>5959</v>
      </c>
    </row>
    <row r="4989" spans="5:5" x14ac:dyDescent="0.25">
      <c r="E4989" s="82" t="s">
        <v>5960</v>
      </c>
    </row>
    <row r="4990" spans="5:5" x14ac:dyDescent="0.25">
      <c r="E4990" s="82" t="s">
        <v>5961</v>
      </c>
    </row>
    <row r="4991" spans="5:5" x14ac:dyDescent="0.25">
      <c r="E4991" s="82" t="s">
        <v>5962</v>
      </c>
    </row>
    <row r="4992" spans="5:5" x14ac:dyDescent="0.25">
      <c r="E4992" s="82" t="s">
        <v>5963</v>
      </c>
    </row>
    <row r="4993" spans="5:5" x14ac:dyDescent="0.25">
      <c r="E4993" s="82" t="s">
        <v>5964</v>
      </c>
    </row>
    <row r="4994" spans="5:5" x14ac:dyDescent="0.25">
      <c r="E4994" s="82" t="s">
        <v>5965</v>
      </c>
    </row>
    <row r="4995" spans="5:5" x14ac:dyDescent="0.25">
      <c r="E4995" s="82" t="s">
        <v>5966</v>
      </c>
    </row>
    <row r="4996" spans="5:5" x14ac:dyDescent="0.25">
      <c r="E4996" s="82" t="s">
        <v>5967</v>
      </c>
    </row>
    <row r="4997" spans="5:5" x14ac:dyDescent="0.25">
      <c r="E4997" s="82" t="s">
        <v>5968</v>
      </c>
    </row>
    <row r="4998" spans="5:5" x14ac:dyDescent="0.25">
      <c r="E4998" s="82" t="s">
        <v>5969</v>
      </c>
    </row>
    <row r="4999" spans="5:5" x14ac:dyDescent="0.25">
      <c r="E4999" s="82" t="s">
        <v>5970</v>
      </c>
    </row>
    <row r="5000" spans="5:5" x14ac:dyDescent="0.25">
      <c r="E5000" s="82" t="s">
        <v>5971</v>
      </c>
    </row>
    <row r="5001" spans="5:5" x14ac:dyDescent="0.25">
      <c r="E5001" s="82" t="s">
        <v>5972</v>
      </c>
    </row>
    <row r="5002" spans="5:5" x14ac:dyDescent="0.25">
      <c r="E5002" s="82" t="s">
        <v>5973</v>
      </c>
    </row>
    <row r="5003" spans="5:5" x14ac:dyDescent="0.25">
      <c r="E5003" s="82" t="s">
        <v>5974</v>
      </c>
    </row>
    <row r="5004" spans="5:5" x14ac:dyDescent="0.25">
      <c r="E5004" s="82" t="s">
        <v>5975</v>
      </c>
    </row>
    <row r="5005" spans="5:5" x14ac:dyDescent="0.25">
      <c r="E5005" s="82" t="s">
        <v>5976</v>
      </c>
    </row>
    <row r="5006" spans="5:5" x14ac:dyDescent="0.25">
      <c r="E5006" s="82" t="s">
        <v>5977</v>
      </c>
    </row>
    <row r="5007" spans="5:5" x14ac:dyDescent="0.25">
      <c r="E5007" s="82" t="s">
        <v>5978</v>
      </c>
    </row>
    <row r="5008" spans="5:5" x14ac:dyDescent="0.25">
      <c r="E5008" s="82" t="s">
        <v>5979</v>
      </c>
    </row>
    <row r="5009" spans="5:5" x14ac:dyDescent="0.25">
      <c r="E5009" s="82" t="s">
        <v>5980</v>
      </c>
    </row>
    <row r="5010" spans="5:5" x14ac:dyDescent="0.25">
      <c r="E5010" s="82" t="s">
        <v>5981</v>
      </c>
    </row>
    <row r="5011" spans="5:5" x14ac:dyDescent="0.25">
      <c r="E5011" s="82" t="s">
        <v>5982</v>
      </c>
    </row>
    <row r="5012" spans="5:5" x14ac:dyDescent="0.25">
      <c r="E5012" s="82" t="s">
        <v>5983</v>
      </c>
    </row>
    <row r="5013" spans="5:5" x14ac:dyDescent="0.25">
      <c r="E5013" s="82" t="s">
        <v>5984</v>
      </c>
    </row>
    <row r="5014" spans="5:5" x14ac:dyDescent="0.25">
      <c r="E5014" s="82" t="s">
        <v>5985</v>
      </c>
    </row>
    <row r="5015" spans="5:5" x14ac:dyDescent="0.25">
      <c r="E5015" s="82" t="s">
        <v>5986</v>
      </c>
    </row>
    <row r="5016" spans="5:5" x14ac:dyDescent="0.25">
      <c r="E5016" s="82" t="s">
        <v>5987</v>
      </c>
    </row>
    <row r="5017" spans="5:5" x14ac:dyDescent="0.25">
      <c r="E5017" s="82" t="s">
        <v>5988</v>
      </c>
    </row>
    <row r="5018" spans="5:5" x14ac:dyDescent="0.25">
      <c r="E5018" s="82" t="s">
        <v>5989</v>
      </c>
    </row>
    <row r="5019" spans="5:5" x14ac:dyDescent="0.25">
      <c r="E5019" s="82" t="s">
        <v>5990</v>
      </c>
    </row>
    <row r="5020" spans="5:5" x14ac:dyDescent="0.25">
      <c r="E5020" s="82" t="s">
        <v>5991</v>
      </c>
    </row>
    <row r="5021" spans="5:5" x14ac:dyDescent="0.25">
      <c r="E5021" s="82" t="s">
        <v>5992</v>
      </c>
    </row>
    <row r="5022" spans="5:5" x14ac:dyDescent="0.25">
      <c r="E5022" s="82" t="s">
        <v>5993</v>
      </c>
    </row>
    <row r="5023" spans="5:5" x14ac:dyDescent="0.25">
      <c r="E5023" s="82" t="s">
        <v>5994</v>
      </c>
    </row>
    <row r="5024" spans="5:5" x14ac:dyDescent="0.25">
      <c r="E5024" s="82" t="s">
        <v>5995</v>
      </c>
    </row>
    <row r="5025" spans="5:5" x14ac:dyDescent="0.25">
      <c r="E5025" s="82" t="s">
        <v>5996</v>
      </c>
    </row>
    <row r="5026" spans="5:5" x14ac:dyDescent="0.25">
      <c r="E5026" s="82" t="s">
        <v>5997</v>
      </c>
    </row>
    <row r="5027" spans="5:5" x14ac:dyDescent="0.25">
      <c r="E5027" s="82" t="s">
        <v>5998</v>
      </c>
    </row>
    <row r="5028" spans="5:5" x14ac:dyDescent="0.25">
      <c r="E5028" s="82" t="s">
        <v>5999</v>
      </c>
    </row>
    <row r="5029" spans="5:5" x14ac:dyDescent="0.25">
      <c r="E5029" s="82" t="s">
        <v>6000</v>
      </c>
    </row>
    <row r="5030" spans="5:5" x14ac:dyDescent="0.25">
      <c r="E5030" s="82" t="s">
        <v>6001</v>
      </c>
    </row>
    <row r="5031" spans="5:5" x14ac:dyDescent="0.25">
      <c r="E5031" s="82" t="s">
        <v>6002</v>
      </c>
    </row>
    <row r="5032" spans="5:5" x14ac:dyDescent="0.25">
      <c r="E5032" s="82" t="s">
        <v>6003</v>
      </c>
    </row>
    <row r="5033" spans="5:5" x14ac:dyDescent="0.25">
      <c r="E5033" s="82" t="s">
        <v>6004</v>
      </c>
    </row>
    <row r="5034" spans="5:5" x14ac:dyDescent="0.25">
      <c r="E5034" s="82" t="s">
        <v>6005</v>
      </c>
    </row>
    <row r="5035" spans="5:5" x14ac:dyDescent="0.25">
      <c r="E5035" s="82" t="s">
        <v>6006</v>
      </c>
    </row>
    <row r="5036" spans="5:5" x14ac:dyDescent="0.25">
      <c r="E5036" s="82" t="s">
        <v>6007</v>
      </c>
    </row>
    <row r="5037" spans="5:5" x14ac:dyDescent="0.25">
      <c r="E5037" s="82" t="s">
        <v>6008</v>
      </c>
    </row>
    <row r="5038" spans="5:5" x14ac:dyDescent="0.25">
      <c r="E5038" s="82" t="s">
        <v>6009</v>
      </c>
    </row>
    <row r="5039" spans="5:5" x14ac:dyDescent="0.25">
      <c r="E5039" s="82" t="s">
        <v>6010</v>
      </c>
    </row>
    <row r="5040" spans="5:5" x14ac:dyDescent="0.25">
      <c r="E5040" s="82" t="s">
        <v>6011</v>
      </c>
    </row>
    <row r="5041" spans="5:5" x14ac:dyDescent="0.25">
      <c r="E5041" s="82" t="s">
        <v>6012</v>
      </c>
    </row>
    <row r="5042" spans="5:5" x14ac:dyDescent="0.25">
      <c r="E5042" s="82" t="s">
        <v>6013</v>
      </c>
    </row>
    <row r="5043" spans="5:5" x14ac:dyDescent="0.25">
      <c r="E5043" s="82" t="s">
        <v>6014</v>
      </c>
    </row>
    <row r="5044" spans="5:5" x14ac:dyDescent="0.25">
      <c r="E5044" s="82" t="s">
        <v>6015</v>
      </c>
    </row>
    <row r="5045" spans="5:5" x14ac:dyDescent="0.25">
      <c r="E5045" s="82" t="s">
        <v>6016</v>
      </c>
    </row>
    <row r="5046" spans="5:5" x14ac:dyDescent="0.25">
      <c r="E5046" s="82" t="s">
        <v>6017</v>
      </c>
    </row>
    <row r="5047" spans="5:5" x14ac:dyDescent="0.25">
      <c r="E5047" s="82" t="s">
        <v>6018</v>
      </c>
    </row>
    <row r="5048" spans="5:5" x14ac:dyDescent="0.25">
      <c r="E5048" s="82" t="s">
        <v>6019</v>
      </c>
    </row>
    <row r="5049" spans="5:5" x14ac:dyDescent="0.25">
      <c r="E5049" s="82" t="s">
        <v>6020</v>
      </c>
    </row>
    <row r="5050" spans="5:5" x14ac:dyDescent="0.25">
      <c r="E5050" s="82" t="s">
        <v>6021</v>
      </c>
    </row>
    <row r="5051" spans="5:5" x14ac:dyDescent="0.25">
      <c r="E5051" s="82" t="s">
        <v>6022</v>
      </c>
    </row>
    <row r="5052" spans="5:5" x14ac:dyDescent="0.25">
      <c r="E5052" s="82" t="s">
        <v>6023</v>
      </c>
    </row>
    <row r="5053" spans="5:5" x14ac:dyDescent="0.25">
      <c r="E5053" s="82" t="s">
        <v>6024</v>
      </c>
    </row>
    <row r="5054" spans="5:5" x14ac:dyDescent="0.25">
      <c r="E5054" s="82" t="s">
        <v>6025</v>
      </c>
    </row>
    <row r="5055" spans="5:5" x14ac:dyDescent="0.25">
      <c r="E5055" s="82" t="s">
        <v>6026</v>
      </c>
    </row>
    <row r="5056" spans="5:5" x14ac:dyDescent="0.25">
      <c r="E5056" s="82" t="s">
        <v>6027</v>
      </c>
    </row>
    <row r="5057" spans="5:5" x14ac:dyDescent="0.25">
      <c r="E5057" s="82" t="s">
        <v>6028</v>
      </c>
    </row>
    <row r="5058" spans="5:5" x14ac:dyDescent="0.25">
      <c r="E5058" s="82" t="s">
        <v>6029</v>
      </c>
    </row>
    <row r="5059" spans="5:5" x14ac:dyDescent="0.25">
      <c r="E5059" s="82" t="s">
        <v>6030</v>
      </c>
    </row>
    <row r="5060" spans="5:5" x14ac:dyDescent="0.25">
      <c r="E5060" s="82" t="s">
        <v>6031</v>
      </c>
    </row>
    <row r="5061" spans="5:5" x14ac:dyDescent="0.25">
      <c r="E5061" s="82" t="s">
        <v>6032</v>
      </c>
    </row>
    <row r="5062" spans="5:5" x14ac:dyDescent="0.25">
      <c r="E5062" s="82" t="s">
        <v>6033</v>
      </c>
    </row>
    <row r="5063" spans="5:5" x14ac:dyDescent="0.25">
      <c r="E5063" s="82" t="s">
        <v>6034</v>
      </c>
    </row>
    <row r="5064" spans="5:5" x14ac:dyDescent="0.25">
      <c r="E5064" s="82" t="s">
        <v>6035</v>
      </c>
    </row>
    <row r="5065" spans="5:5" x14ac:dyDescent="0.25">
      <c r="E5065" s="82" t="s">
        <v>6036</v>
      </c>
    </row>
    <row r="5066" spans="5:5" x14ac:dyDescent="0.25">
      <c r="E5066" s="82" t="s">
        <v>6037</v>
      </c>
    </row>
    <row r="5067" spans="5:5" x14ac:dyDescent="0.25">
      <c r="E5067" s="82" t="s">
        <v>6038</v>
      </c>
    </row>
    <row r="5068" spans="5:5" x14ac:dyDescent="0.25">
      <c r="E5068" s="82" t="s">
        <v>6039</v>
      </c>
    </row>
    <row r="5069" spans="5:5" x14ac:dyDescent="0.25">
      <c r="E5069" s="82" t="s">
        <v>6040</v>
      </c>
    </row>
    <row r="5070" spans="5:5" x14ac:dyDescent="0.25">
      <c r="E5070" s="82" t="s">
        <v>6041</v>
      </c>
    </row>
    <row r="5071" spans="5:5" x14ac:dyDescent="0.25">
      <c r="E5071" s="82" t="s">
        <v>6042</v>
      </c>
    </row>
    <row r="5072" spans="5:5" x14ac:dyDescent="0.25">
      <c r="E5072" s="82" t="s">
        <v>6043</v>
      </c>
    </row>
    <row r="5073" spans="5:5" x14ac:dyDescent="0.25">
      <c r="E5073" s="82" t="s">
        <v>6044</v>
      </c>
    </row>
    <row r="5074" spans="5:5" x14ac:dyDescent="0.25">
      <c r="E5074" s="82" t="s">
        <v>6045</v>
      </c>
    </row>
    <row r="5075" spans="5:5" x14ac:dyDescent="0.25">
      <c r="E5075" s="82" t="s">
        <v>6046</v>
      </c>
    </row>
    <row r="5076" spans="5:5" x14ac:dyDescent="0.25">
      <c r="E5076" s="82" t="s">
        <v>6047</v>
      </c>
    </row>
    <row r="5077" spans="5:5" x14ac:dyDescent="0.25">
      <c r="E5077" s="82" t="s">
        <v>6048</v>
      </c>
    </row>
    <row r="5078" spans="5:5" x14ac:dyDescent="0.25">
      <c r="E5078" s="82" t="s">
        <v>6049</v>
      </c>
    </row>
    <row r="5079" spans="5:5" x14ac:dyDescent="0.25">
      <c r="E5079" s="82" t="s">
        <v>6050</v>
      </c>
    </row>
    <row r="5080" spans="5:5" x14ac:dyDescent="0.25">
      <c r="E5080" s="82" t="s">
        <v>6051</v>
      </c>
    </row>
    <row r="5081" spans="5:5" x14ac:dyDescent="0.25">
      <c r="E5081" s="82" t="s">
        <v>6052</v>
      </c>
    </row>
    <row r="5082" spans="5:5" x14ac:dyDescent="0.25">
      <c r="E5082" s="82" t="s">
        <v>6053</v>
      </c>
    </row>
    <row r="5083" spans="5:5" x14ac:dyDescent="0.25">
      <c r="E5083" s="82" t="s">
        <v>6054</v>
      </c>
    </row>
    <row r="5084" spans="5:5" x14ac:dyDescent="0.25">
      <c r="E5084" s="82" t="s">
        <v>6055</v>
      </c>
    </row>
    <row r="5085" spans="5:5" x14ac:dyDescent="0.25">
      <c r="E5085" s="82" t="s">
        <v>6056</v>
      </c>
    </row>
    <row r="5086" spans="5:5" x14ac:dyDescent="0.25">
      <c r="E5086" s="82" t="s">
        <v>6057</v>
      </c>
    </row>
    <row r="5087" spans="5:5" x14ac:dyDescent="0.25">
      <c r="E5087" s="82" t="s">
        <v>6058</v>
      </c>
    </row>
    <row r="5088" spans="5:5" x14ac:dyDescent="0.25">
      <c r="E5088" s="82" t="s">
        <v>6059</v>
      </c>
    </row>
    <row r="5089" spans="5:5" x14ac:dyDescent="0.25">
      <c r="E5089" s="82" t="s">
        <v>6060</v>
      </c>
    </row>
    <row r="5090" spans="5:5" x14ac:dyDescent="0.25">
      <c r="E5090" s="82" t="s">
        <v>6061</v>
      </c>
    </row>
    <row r="5091" spans="5:5" x14ac:dyDescent="0.25">
      <c r="E5091" s="82" t="s">
        <v>6062</v>
      </c>
    </row>
    <row r="5092" spans="5:5" x14ac:dyDescent="0.25">
      <c r="E5092" s="82" t="s">
        <v>6063</v>
      </c>
    </row>
    <row r="5093" spans="5:5" x14ac:dyDescent="0.25">
      <c r="E5093" s="82" t="s">
        <v>6064</v>
      </c>
    </row>
    <row r="5094" spans="5:5" x14ac:dyDescent="0.25">
      <c r="E5094" s="82" t="s">
        <v>6065</v>
      </c>
    </row>
    <row r="5095" spans="5:5" x14ac:dyDescent="0.25">
      <c r="E5095" s="82" t="s">
        <v>6066</v>
      </c>
    </row>
    <row r="5096" spans="5:5" x14ac:dyDescent="0.25">
      <c r="E5096" s="82" t="s">
        <v>6067</v>
      </c>
    </row>
    <row r="5097" spans="5:5" x14ac:dyDescent="0.25">
      <c r="E5097" s="82" t="s">
        <v>6068</v>
      </c>
    </row>
    <row r="5098" spans="5:5" x14ac:dyDescent="0.25">
      <c r="E5098" s="82" t="s">
        <v>6069</v>
      </c>
    </row>
    <row r="5099" spans="5:5" x14ac:dyDescent="0.25">
      <c r="E5099" s="82" t="s">
        <v>6070</v>
      </c>
    </row>
    <row r="5100" spans="5:5" x14ac:dyDescent="0.25">
      <c r="E5100" s="82" t="s">
        <v>6071</v>
      </c>
    </row>
    <row r="5101" spans="5:5" x14ac:dyDescent="0.25">
      <c r="E5101" s="82" t="s">
        <v>6072</v>
      </c>
    </row>
    <row r="5102" spans="5:5" x14ac:dyDescent="0.25">
      <c r="E5102" s="82" t="s">
        <v>6073</v>
      </c>
    </row>
    <row r="5103" spans="5:5" x14ac:dyDescent="0.25">
      <c r="E5103" s="82" t="s">
        <v>6074</v>
      </c>
    </row>
    <row r="5104" spans="5:5" x14ac:dyDescent="0.25">
      <c r="E5104" s="82" t="s">
        <v>6075</v>
      </c>
    </row>
    <row r="5105" spans="5:5" x14ac:dyDescent="0.25">
      <c r="E5105" s="82" t="s">
        <v>6076</v>
      </c>
    </row>
    <row r="5106" spans="5:5" x14ac:dyDescent="0.25">
      <c r="E5106" s="82" t="s">
        <v>6077</v>
      </c>
    </row>
    <row r="5107" spans="5:5" x14ac:dyDescent="0.25">
      <c r="E5107" s="82" t="s">
        <v>6078</v>
      </c>
    </row>
    <row r="5108" spans="5:5" x14ac:dyDescent="0.25">
      <c r="E5108" s="82" t="s">
        <v>6079</v>
      </c>
    </row>
    <row r="5109" spans="5:5" x14ac:dyDescent="0.25">
      <c r="E5109" s="82" t="s">
        <v>6080</v>
      </c>
    </row>
    <row r="5110" spans="5:5" x14ac:dyDescent="0.25">
      <c r="E5110" s="82" t="s">
        <v>6081</v>
      </c>
    </row>
    <row r="5111" spans="5:5" x14ac:dyDescent="0.25">
      <c r="E5111" s="82" t="s">
        <v>6082</v>
      </c>
    </row>
    <row r="5112" spans="5:5" x14ac:dyDescent="0.25">
      <c r="E5112" s="82" t="s">
        <v>6083</v>
      </c>
    </row>
    <row r="5113" spans="5:5" x14ac:dyDescent="0.25">
      <c r="E5113" s="82" t="s">
        <v>6084</v>
      </c>
    </row>
    <row r="5114" spans="5:5" x14ac:dyDescent="0.25">
      <c r="E5114" s="82" t="s">
        <v>6085</v>
      </c>
    </row>
    <row r="5115" spans="5:5" x14ac:dyDescent="0.25">
      <c r="E5115" s="82" t="s">
        <v>6086</v>
      </c>
    </row>
    <row r="5116" spans="5:5" x14ac:dyDescent="0.25">
      <c r="E5116" s="82" t="s">
        <v>6087</v>
      </c>
    </row>
    <row r="5117" spans="5:5" x14ac:dyDescent="0.25">
      <c r="E5117" s="82" t="s">
        <v>6088</v>
      </c>
    </row>
    <row r="5118" spans="5:5" x14ac:dyDescent="0.25">
      <c r="E5118" s="82" t="s">
        <v>6089</v>
      </c>
    </row>
    <row r="5119" spans="5:5" x14ac:dyDescent="0.25">
      <c r="E5119" s="82" t="s">
        <v>6090</v>
      </c>
    </row>
    <row r="5120" spans="5:5" x14ac:dyDescent="0.25">
      <c r="E5120" s="82" t="s">
        <v>6091</v>
      </c>
    </row>
    <row r="5121" spans="5:5" x14ac:dyDescent="0.25">
      <c r="E5121" s="82" t="s">
        <v>6092</v>
      </c>
    </row>
    <row r="5122" spans="5:5" x14ac:dyDescent="0.25">
      <c r="E5122" s="82" t="s">
        <v>6093</v>
      </c>
    </row>
    <row r="5123" spans="5:5" x14ac:dyDescent="0.25">
      <c r="E5123" s="82" t="s">
        <v>6094</v>
      </c>
    </row>
    <row r="5124" spans="5:5" x14ac:dyDescent="0.25">
      <c r="E5124" s="82" t="s">
        <v>6095</v>
      </c>
    </row>
    <row r="5125" spans="5:5" x14ac:dyDescent="0.25">
      <c r="E5125" s="82" t="s">
        <v>6096</v>
      </c>
    </row>
    <row r="5126" spans="5:5" x14ac:dyDescent="0.25">
      <c r="E5126" s="82" t="s">
        <v>6097</v>
      </c>
    </row>
    <row r="5127" spans="5:5" x14ac:dyDescent="0.25">
      <c r="E5127" s="82" t="s">
        <v>6098</v>
      </c>
    </row>
    <row r="5128" spans="5:5" x14ac:dyDescent="0.25">
      <c r="E5128" s="82" t="s">
        <v>6099</v>
      </c>
    </row>
    <row r="5129" spans="5:5" x14ac:dyDescent="0.25">
      <c r="E5129" s="82" t="s">
        <v>6100</v>
      </c>
    </row>
    <row r="5130" spans="5:5" x14ac:dyDescent="0.25">
      <c r="E5130" s="82" t="s">
        <v>6101</v>
      </c>
    </row>
    <row r="5131" spans="5:5" x14ac:dyDescent="0.25">
      <c r="E5131" s="82" t="s">
        <v>6102</v>
      </c>
    </row>
    <row r="5132" spans="5:5" x14ac:dyDescent="0.25">
      <c r="E5132" s="82" t="s">
        <v>6103</v>
      </c>
    </row>
    <row r="5133" spans="5:5" x14ac:dyDescent="0.25">
      <c r="E5133" s="82" t="s">
        <v>6104</v>
      </c>
    </row>
    <row r="5134" spans="5:5" x14ac:dyDescent="0.25">
      <c r="E5134" s="82" t="s">
        <v>6105</v>
      </c>
    </row>
    <row r="5135" spans="5:5" x14ac:dyDescent="0.25">
      <c r="E5135" s="82" t="s">
        <v>6106</v>
      </c>
    </row>
    <row r="5136" spans="5:5" x14ac:dyDescent="0.25">
      <c r="E5136" s="82" t="s">
        <v>6107</v>
      </c>
    </row>
    <row r="5137" spans="5:5" x14ac:dyDescent="0.25">
      <c r="E5137" s="82" t="s">
        <v>6108</v>
      </c>
    </row>
    <row r="5138" spans="5:5" x14ac:dyDescent="0.25">
      <c r="E5138" s="82" t="s">
        <v>6109</v>
      </c>
    </row>
    <row r="5139" spans="5:5" x14ac:dyDescent="0.25">
      <c r="E5139" s="82" t="s">
        <v>6110</v>
      </c>
    </row>
    <row r="5140" spans="5:5" x14ac:dyDescent="0.25">
      <c r="E5140" s="82" t="s">
        <v>6111</v>
      </c>
    </row>
    <row r="5141" spans="5:5" x14ac:dyDescent="0.25">
      <c r="E5141" s="82" t="s">
        <v>6112</v>
      </c>
    </row>
    <row r="5142" spans="5:5" x14ac:dyDescent="0.25">
      <c r="E5142" s="82" t="s">
        <v>6113</v>
      </c>
    </row>
    <row r="5143" spans="5:5" x14ac:dyDescent="0.25">
      <c r="E5143" s="82" t="s">
        <v>6114</v>
      </c>
    </row>
    <row r="5144" spans="5:5" x14ac:dyDescent="0.25">
      <c r="E5144" s="82" t="s">
        <v>6115</v>
      </c>
    </row>
    <row r="5145" spans="5:5" x14ac:dyDescent="0.25">
      <c r="E5145" s="82" t="s">
        <v>6116</v>
      </c>
    </row>
    <row r="5146" spans="5:5" x14ac:dyDescent="0.25">
      <c r="E5146" s="82" t="s">
        <v>6117</v>
      </c>
    </row>
    <row r="5147" spans="5:5" x14ac:dyDescent="0.25">
      <c r="E5147" s="82" t="s">
        <v>6118</v>
      </c>
    </row>
    <row r="5148" spans="5:5" x14ac:dyDescent="0.25">
      <c r="E5148" s="82" t="s">
        <v>6119</v>
      </c>
    </row>
    <row r="5149" spans="5:5" x14ac:dyDescent="0.25">
      <c r="E5149" s="82" t="s">
        <v>6120</v>
      </c>
    </row>
    <row r="5150" spans="5:5" x14ac:dyDescent="0.25">
      <c r="E5150" s="82" t="s">
        <v>6121</v>
      </c>
    </row>
    <row r="5151" spans="5:5" x14ac:dyDescent="0.25">
      <c r="E5151" s="82" t="s">
        <v>6122</v>
      </c>
    </row>
    <row r="5152" spans="5:5" x14ac:dyDescent="0.25">
      <c r="E5152" s="82" t="s">
        <v>6123</v>
      </c>
    </row>
    <row r="5153" spans="5:5" x14ac:dyDescent="0.25">
      <c r="E5153" s="82" t="s">
        <v>6124</v>
      </c>
    </row>
    <row r="5154" spans="5:5" x14ac:dyDescent="0.25">
      <c r="E5154" s="82" t="s">
        <v>6125</v>
      </c>
    </row>
    <row r="5155" spans="5:5" x14ac:dyDescent="0.25">
      <c r="E5155" s="82" t="s">
        <v>6126</v>
      </c>
    </row>
    <row r="5156" spans="5:5" x14ac:dyDescent="0.25">
      <c r="E5156" s="82" t="s">
        <v>6127</v>
      </c>
    </row>
    <row r="5157" spans="5:5" x14ac:dyDescent="0.25">
      <c r="E5157" s="82" t="s">
        <v>6128</v>
      </c>
    </row>
    <row r="5158" spans="5:5" x14ac:dyDescent="0.25">
      <c r="E5158" s="82" t="s">
        <v>6129</v>
      </c>
    </row>
    <row r="5159" spans="5:5" x14ac:dyDescent="0.25">
      <c r="E5159" s="82" t="s">
        <v>6130</v>
      </c>
    </row>
    <row r="5160" spans="5:5" x14ac:dyDescent="0.25">
      <c r="E5160" s="82" t="s">
        <v>6131</v>
      </c>
    </row>
    <row r="5161" spans="5:5" x14ac:dyDescent="0.25">
      <c r="E5161" s="82" t="s">
        <v>6132</v>
      </c>
    </row>
    <row r="5162" spans="5:5" x14ac:dyDescent="0.25">
      <c r="E5162" s="82" t="s">
        <v>6133</v>
      </c>
    </row>
    <row r="5163" spans="5:5" x14ac:dyDescent="0.25">
      <c r="E5163" s="82" t="s">
        <v>6134</v>
      </c>
    </row>
    <row r="5164" spans="5:5" x14ac:dyDescent="0.25">
      <c r="E5164" s="82" t="s">
        <v>6135</v>
      </c>
    </row>
    <row r="5165" spans="5:5" x14ac:dyDescent="0.25">
      <c r="E5165" s="82" t="s">
        <v>6136</v>
      </c>
    </row>
    <row r="5166" spans="5:5" x14ac:dyDescent="0.25">
      <c r="E5166" s="82" t="s">
        <v>6137</v>
      </c>
    </row>
    <row r="5167" spans="5:5" x14ac:dyDescent="0.25">
      <c r="E5167" s="82" t="s">
        <v>6138</v>
      </c>
    </row>
    <row r="5168" spans="5:5" x14ac:dyDescent="0.25">
      <c r="E5168" s="82" t="s">
        <v>6139</v>
      </c>
    </row>
    <row r="5169" spans="5:5" x14ac:dyDescent="0.25">
      <c r="E5169" s="82" t="s">
        <v>6140</v>
      </c>
    </row>
    <row r="5170" spans="5:5" x14ac:dyDescent="0.25">
      <c r="E5170" s="82" t="s">
        <v>6141</v>
      </c>
    </row>
    <row r="5171" spans="5:5" x14ac:dyDescent="0.25">
      <c r="E5171" s="82" t="s">
        <v>6142</v>
      </c>
    </row>
    <row r="5172" spans="5:5" x14ac:dyDescent="0.25">
      <c r="E5172" s="82" t="s">
        <v>6143</v>
      </c>
    </row>
    <row r="5173" spans="5:5" x14ac:dyDescent="0.25">
      <c r="E5173" s="82" t="s">
        <v>6144</v>
      </c>
    </row>
    <row r="5174" spans="5:5" x14ac:dyDescent="0.25">
      <c r="E5174" s="82" t="s">
        <v>6145</v>
      </c>
    </row>
    <row r="5175" spans="5:5" x14ac:dyDescent="0.25">
      <c r="E5175" s="82" t="s">
        <v>6146</v>
      </c>
    </row>
    <row r="5176" spans="5:5" x14ac:dyDescent="0.25">
      <c r="E5176" s="82" t="s">
        <v>6147</v>
      </c>
    </row>
    <row r="5177" spans="5:5" x14ac:dyDescent="0.25">
      <c r="E5177" s="82" t="s">
        <v>6148</v>
      </c>
    </row>
    <row r="5178" spans="5:5" x14ac:dyDescent="0.25">
      <c r="E5178" s="82" t="s">
        <v>6149</v>
      </c>
    </row>
    <row r="5179" spans="5:5" x14ac:dyDescent="0.25">
      <c r="E5179" s="82" t="s">
        <v>6150</v>
      </c>
    </row>
    <row r="5180" spans="5:5" x14ac:dyDescent="0.25">
      <c r="E5180" s="82" t="s">
        <v>6151</v>
      </c>
    </row>
    <row r="5181" spans="5:5" x14ac:dyDescent="0.25">
      <c r="E5181" s="82" t="s">
        <v>6152</v>
      </c>
    </row>
    <row r="5182" spans="5:5" x14ac:dyDescent="0.25">
      <c r="E5182" s="82" t="s">
        <v>6153</v>
      </c>
    </row>
    <row r="5183" spans="5:5" x14ac:dyDescent="0.25">
      <c r="E5183" s="82" t="s">
        <v>6154</v>
      </c>
    </row>
    <row r="5184" spans="5:5" x14ac:dyDescent="0.25">
      <c r="E5184" s="82" t="s">
        <v>6155</v>
      </c>
    </row>
    <row r="5185" spans="5:5" x14ac:dyDescent="0.25">
      <c r="E5185" s="82" t="s">
        <v>6156</v>
      </c>
    </row>
    <row r="5186" spans="5:5" x14ac:dyDescent="0.25">
      <c r="E5186" s="82" t="s">
        <v>6157</v>
      </c>
    </row>
    <row r="5187" spans="5:5" x14ac:dyDescent="0.25">
      <c r="E5187" s="82" t="s">
        <v>6158</v>
      </c>
    </row>
    <row r="5188" spans="5:5" x14ac:dyDescent="0.25">
      <c r="E5188" s="82" t="s">
        <v>6159</v>
      </c>
    </row>
    <row r="5189" spans="5:5" x14ac:dyDescent="0.25">
      <c r="E5189" s="82" t="s">
        <v>6160</v>
      </c>
    </row>
    <row r="5190" spans="5:5" x14ac:dyDescent="0.25">
      <c r="E5190" s="82" t="s">
        <v>6161</v>
      </c>
    </row>
    <row r="5191" spans="5:5" x14ac:dyDescent="0.25">
      <c r="E5191" s="82" t="s">
        <v>6162</v>
      </c>
    </row>
    <row r="5192" spans="5:5" x14ac:dyDescent="0.25">
      <c r="E5192" s="82" t="s">
        <v>6163</v>
      </c>
    </row>
    <row r="5193" spans="5:5" x14ac:dyDescent="0.25">
      <c r="E5193" s="82" t="s">
        <v>6164</v>
      </c>
    </row>
    <row r="5194" spans="5:5" x14ac:dyDescent="0.25">
      <c r="E5194" s="82" t="s">
        <v>6165</v>
      </c>
    </row>
    <row r="5195" spans="5:5" x14ac:dyDescent="0.25">
      <c r="E5195" s="82" t="s">
        <v>6166</v>
      </c>
    </row>
    <row r="5196" spans="5:5" x14ac:dyDescent="0.25">
      <c r="E5196" s="82" t="s">
        <v>6167</v>
      </c>
    </row>
    <row r="5197" spans="5:5" x14ac:dyDescent="0.25">
      <c r="E5197" s="82" t="s">
        <v>6168</v>
      </c>
    </row>
    <row r="5198" spans="5:5" x14ac:dyDescent="0.25">
      <c r="E5198" s="82" t="s">
        <v>6169</v>
      </c>
    </row>
    <row r="5199" spans="5:5" x14ac:dyDescent="0.25">
      <c r="E5199" s="82" t="s">
        <v>6170</v>
      </c>
    </row>
    <row r="5200" spans="5:5" x14ac:dyDescent="0.25">
      <c r="E5200" s="82" t="s">
        <v>6171</v>
      </c>
    </row>
    <row r="5201" spans="5:5" x14ac:dyDescent="0.25">
      <c r="E5201" s="82" t="s">
        <v>6172</v>
      </c>
    </row>
    <row r="5202" spans="5:5" x14ac:dyDescent="0.25">
      <c r="E5202" s="82" t="s">
        <v>6173</v>
      </c>
    </row>
    <row r="5203" spans="5:5" x14ac:dyDescent="0.25">
      <c r="E5203" s="82" t="s">
        <v>6174</v>
      </c>
    </row>
    <row r="5204" spans="5:5" x14ac:dyDescent="0.25">
      <c r="E5204" s="82" t="s">
        <v>6175</v>
      </c>
    </row>
    <row r="5205" spans="5:5" x14ac:dyDescent="0.25">
      <c r="E5205" s="82" t="s">
        <v>6176</v>
      </c>
    </row>
    <row r="5206" spans="5:5" x14ac:dyDescent="0.25">
      <c r="E5206" s="82" t="s">
        <v>6177</v>
      </c>
    </row>
    <row r="5207" spans="5:5" x14ac:dyDescent="0.25">
      <c r="E5207" s="82" t="s">
        <v>6178</v>
      </c>
    </row>
    <row r="5208" spans="5:5" x14ac:dyDescent="0.25">
      <c r="E5208" s="82" t="s">
        <v>6179</v>
      </c>
    </row>
    <row r="5209" spans="5:5" x14ac:dyDescent="0.25">
      <c r="E5209" s="82" t="s">
        <v>6180</v>
      </c>
    </row>
    <row r="5210" spans="5:5" x14ac:dyDescent="0.25">
      <c r="E5210" s="82" t="s">
        <v>6181</v>
      </c>
    </row>
    <row r="5211" spans="5:5" x14ac:dyDescent="0.25">
      <c r="E5211" s="82" t="s">
        <v>6182</v>
      </c>
    </row>
    <row r="5212" spans="5:5" x14ac:dyDescent="0.25">
      <c r="E5212" s="82" t="s">
        <v>6183</v>
      </c>
    </row>
    <row r="5213" spans="5:5" x14ac:dyDescent="0.25">
      <c r="E5213" s="82" t="s">
        <v>6184</v>
      </c>
    </row>
    <row r="5214" spans="5:5" x14ac:dyDescent="0.25">
      <c r="E5214" s="82" t="s">
        <v>6185</v>
      </c>
    </row>
    <row r="5215" spans="5:5" x14ac:dyDescent="0.25">
      <c r="E5215" s="82" t="s">
        <v>6186</v>
      </c>
    </row>
    <row r="5216" spans="5:5" x14ac:dyDescent="0.25">
      <c r="E5216" s="82" t="s">
        <v>6187</v>
      </c>
    </row>
    <row r="5217" spans="5:5" x14ac:dyDescent="0.25">
      <c r="E5217" s="82" t="s">
        <v>6188</v>
      </c>
    </row>
    <row r="5218" spans="5:5" x14ac:dyDescent="0.25">
      <c r="E5218" s="82" t="s">
        <v>6189</v>
      </c>
    </row>
    <row r="5219" spans="5:5" x14ac:dyDescent="0.25">
      <c r="E5219" s="82" t="s">
        <v>6190</v>
      </c>
    </row>
    <row r="5220" spans="5:5" x14ac:dyDescent="0.25">
      <c r="E5220" s="82" t="s">
        <v>6191</v>
      </c>
    </row>
    <row r="5221" spans="5:5" x14ac:dyDescent="0.25">
      <c r="E5221" s="82" t="s">
        <v>6192</v>
      </c>
    </row>
    <row r="5222" spans="5:5" x14ac:dyDescent="0.25">
      <c r="E5222" s="82" t="s">
        <v>6193</v>
      </c>
    </row>
    <row r="5223" spans="5:5" x14ac:dyDescent="0.25">
      <c r="E5223" s="82" t="s">
        <v>6194</v>
      </c>
    </row>
    <row r="5224" spans="5:5" x14ac:dyDescent="0.25">
      <c r="E5224" s="82" t="s">
        <v>6195</v>
      </c>
    </row>
    <row r="5225" spans="5:5" x14ac:dyDescent="0.25">
      <c r="E5225" s="82" t="s">
        <v>6196</v>
      </c>
    </row>
    <row r="5226" spans="5:5" x14ac:dyDescent="0.25">
      <c r="E5226" s="82" t="s">
        <v>6197</v>
      </c>
    </row>
    <row r="5227" spans="5:5" x14ac:dyDescent="0.25">
      <c r="E5227" s="82" t="s">
        <v>6198</v>
      </c>
    </row>
    <row r="5228" spans="5:5" x14ac:dyDescent="0.25">
      <c r="E5228" s="82" t="s">
        <v>6199</v>
      </c>
    </row>
    <row r="5229" spans="5:5" x14ac:dyDescent="0.25">
      <c r="E5229" s="82" t="s">
        <v>6200</v>
      </c>
    </row>
    <row r="5230" spans="5:5" x14ac:dyDescent="0.25">
      <c r="E5230" s="82" t="s">
        <v>6201</v>
      </c>
    </row>
    <row r="5231" spans="5:5" x14ac:dyDescent="0.25">
      <c r="E5231" s="82" t="s">
        <v>6202</v>
      </c>
    </row>
    <row r="5232" spans="5:5" x14ac:dyDescent="0.25">
      <c r="E5232" s="82" t="s">
        <v>6203</v>
      </c>
    </row>
    <row r="5233" spans="5:5" x14ac:dyDescent="0.25">
      <c r="E5233" s="82" t="s">
        <v>6204</v>
      </c>
    </row>
    <row r="5234" spans="5:5" x14ac:dyDescent="0.25">
      <c r="E5234" s="82" t="s">
        <v>6205</v>
      </c>
    </row>
    <row r="5235" spans="5:5" x14ac:dyDescent="0.25">
      <c r="E5235" s="82" t="s">
        <v>6206</v>
      </c>
    </row>
    <row r="5236" spans="5:5" x14ac:dyDescent="0.25">
      <c r="E5236" s="82" t="s">
        <v>6207</v>
      </c>
    </row>
    <row r="5237" spans="5:5" x14ac:dyDescent="0.25">
      <c r="E5237" s="82" t="s">
        <v>6208</v>
      </c>
    </row>
    <row r="5238" spans="5:5" x14ac:dyDescent="0.25">
      <c r="E5238" s="82" t="s">
        <v>6209</v>
      </c>
    </row>
    <row r="5239" spans="5:5" x14ac:dyDescent="0.25">
      <c r="E5239" s="82" t="s">
        <v>6210</v>
      </c>
    </row>
    <row r="5240" spans="5:5" x14ac:dyDescent="0.25">
      <c r="E5240" s="82" t="s">
        <v>6211</v>
      </c>
    </row>
    <row r="5241" spans="5:5" x14ac:dyDescent="0.25">
      <c r="E5241" s="82" t="s">
        <v>6212</v>
      </c>
    </row>
    <row r="5242" spans="5:5" x14ac:dyDescent="0.25">
      <c r="E5242" s="82" t="s">
        <v>6213</v>
      </c>
    </row>
    <row r="5243" spans="5:5" x14ac:dyDescent="0.25">
      <c r="E5243" s="82" t="s">
        <v>6214</v>
      </c>
    </row>
    <row r="5244" spans="5:5" x14ac:dyDescent="0.25">
      <c r="E5244" s="82" t="s">
        <v>6215</v>
      </c>
    </row>
    <row r="5245" spans="5:5" x14ac:dyDescent="0.25">
      <c r="E5245" s="82" t="s">
        <v>6216</v>
      </c>
    </row>
    <row r="5246" spans="5:5" x14ac:dyDescent="0.25">
      <c r="E5246" s="82" t="s">
        <v>6217</v>
      </c>
    </row>
    <row r="5247" spans="5:5" x14ac:dyDescent="0.25">
      <c r="E5247" s="82" t="s">
        <v>6218</v>
      </c>
    </row>
    <row r="5248" spans="5:5" x14ac:dyDescent="0.25">
      <c r="E5248" s="82" t="s">
        <v>6219</v>
      </c>
    </row>
    <row r="5249" spans="5:5" x14ac:dyDescent="0.25">
      <c r="E5249" s="82" t="s">
        <v>6220</v>
      </c>
    </row>
    <row r="5250" spans="5:5" x14ac:dyDescent="0.25">
      <c r="E5250" s="82" t="s">
        <v>6221</v>
      </c>
    </row>
    <row r="5251" spans="5:5" x14ac:dyDescent="0.25">
      <c r="E5251" s="82" t="s">
        <v>6222</v>
      </c>
    </row>
    <row r="5252" spans="5:5" x14ac:dyDescent="0.25">
      <c r="E5252" s="82" t="s">
        <v>6223</v>
      </c>
    </row>
    <row r="5253" spans="5:5" x14ac:dyDescent="0.25">
      <c r="E5253" s="82" t="s">
        <v>6224</v>
      </c>
    </row>
    <row r="5254" spans="5:5" x14ac:dyDescent="0.25">
      <c r="E5254" s="82" t="s">
        <v>6225</v>
      </c>
    </row>
    <row r="5255" spans="5:5" x14ac:dyDescent="0.25">
      <c r="E5255" s="82" t="s">
        <v>6226</v>
      </c>
    </row>
    <row r="5256" spans="5:5" x14ac:dyDescent="0.25">
      <c r="E5256" s="82" t="s">
        <v>6227</v>
      </c>
    </row>
    <row r="5257" spans="5:5" x14ac:dyDescent="0.25">
      <c r="E5257" s="82" t="s">
        <v>6228</v>
      </c>
    </row>
    <row r="5258" spans="5:5" x14ac:dyDescent="0.25">
      <c r="E5258" s="82" t="s">
        <v>6229</v>
      </c>
    </row>
    <row r="5259" spans="5:5" x14ac:dyDescent="0.25">
      <c r="E5259" s="82" t="s">
        <v>6230</v>
      </c>
    </row>
    <row r="5260" spans="5:5" x14ac:dyDescent="0.25">
      <c r="E5260" s="82" t="s">
        <v>6231</v>
      </c>
    </row>
    <row r="5261" spans="5:5" x14ac:dyDescent="0.25">
      <c r="E5261" s="82" t="s">
        <v>6232</v>
      </c>
    </row>
    <row r="5262" spans="5:5" x14ac:dyDescent="0.25">
      <c r="E5262" s="82" t="s">
        <v>6233</v>
      </c>
    </row>
    <row r="5263" spans="5:5" x14ac:dyDescent="0.25">
      <c r="E5263" s="82" t="s">
        <v>6234</v>
      </c>
    </row>
    <row r="5264" spans="5:5" x14ac:dyDescent="0.25">
      <c r="E5264" s="82" t="s">
        <v>6235</v>
      </c>
    </row>
    <row r="5265" spans="5:5" x14ac:dyDescent="0.25">
      <c r="E5265" s="82" t="s">
        <v>6236</v>
      </c>
    </row>
    <row r="5266" spans="5:5" x14ac:dyDescent="0.25">
      <c r="E5266" s="82" t="s">
        <v>6237</v>
      </c>
    </row>
    <row r="5267" spans="5:5" x14ac:dyDescent="0.25">
      <c r="E5267" s="82" t="s">
        <v>6238</v>
      </c>
    </row>
    <row r="5268" spans="5:5" x14ac:dyDescent="0.25">
      <c r="E5268" s="82" t="s">
        <v>6239</v>
      </c>
    </row>
    <row r="5269" spans="5:5" x14ac:dyDescent="0.25">
      <c r="E5269" s="82" t="s">
        <v>6240</v>
      </c>
    </row>
    <row r="5270" spans="5:5" x14ac:dyDescent="0.25">
      <c r="E5270" s="82" t="s">
        <v>6241</v>
      </c>
    </row>
    <row r="5271" spans="5:5" x14ac:dyDescent="0.25">
      <c r="E5271" s="82" t="s">
        <v>6242</v>
      </c>
    </row>
    <row r="5272" spans="5:5" x14ac:dyDescent="0.25">
      <c r="E5272" s="82" t="s">
        <v>6243</v>
      </c>
    </row>
    <row r="5273" spans="5:5" x14ac:dyDescent="0.25">
      <c r="E5273" s="82" t="s">
        <v>6244</v>
      </c>
    </row>
    <row r="5274" spans="5:5" x14ac:dyDescent="0.25">
      <c r="E5274" s="82" t="s">
        <v>6245</v>
      </c>
    </row>
    <row r="5275" spans="5:5" x14ac:dyDescent="0.25">
      <c r="E5275" s="82" t="s">
        <v>6246</v>
      </c>
    </row>
    <row r="5276" spans="5:5" x14ac:dyDescent="0.25">
      <c r="E5276" s="82" t="s">
        <v>6247</v>
      </c>
    </row>
    <row r="5277" spans="5:5" x14ac:dyDescent="0.25">
      <c r="E5277" s="82" t="s">
        <v>6248</v>
      </c>
    </row>
    <row r="5278" spans="5:5" x14ac:dyDescent="0.25">
      <c r="E5278" s="82" t="s">
        <v>6249</v>
      </c>
    </row>
    <row r="5279" spans="5:5" x14ac:dyDescent="0.25">
      <c r="E5279" s="82" t="s">
        <v>6250</v>
      </c>
    </row>
    <row r="5280" spans="5:5" x14ac:dyDescent="0.25">
      <c r="E5280" s="82" t="s">
        <v>6251</v>
      </c>
    </row>
    <row r="5281" spans="5:5" x14ac:dyDescent="0.25">
      <c r="E5281" s="82" t="s">
        <v>6252</v>
      </c>
    </row>
    <row r="5282" spans="5:5" x14ac:dyDescent="0.25">
      <c r="E5282" s="82" t="s">
        <v>6253</v>
      </c>
    </row>
    <row r="5283" spans="5:5" x14ac:dyDescent="0.25">
      <c r="E5283" s="82" t="s">
        <v>6254</v>
      </c>
    </row>
    <row r="5284" spans="5:5" x14ac:dyDescent="0.25">
      <c r="E5284" s="82" t="s">
        <v>6255</v>
      </c>
    </row>
    <row r="5285" spans="5:5" x14ac:dyDescent="0.25">
      <c r="E5285" s="82" t="s">
        <v>6256</v>
      </c>
    </row>
    <row r="5286" spans="5:5" x14ac:dyDescent="0.25">
      <c r="E5286" s="82" t="s">
        <v>6257</v>
      </c>
    </row>
    <row r="5287" spans="5:5" x14ac:dyDescent="0.25">
      <c r="E5287" s="82" t="s">
        <v>6258</v>
      </c>
    </row>
    <row r="5288" spans="5:5" x14ac:dyDescent="0.25">
      <c r="E5288" s="82" t="s">
        <v>6259</v>
      </c>
    </row>
    <row r="5289" spans="5:5" x14ac:dyDescent="0.25">
      <c r="E5289" s="82" t="s">
        <v>6260</v>
      </c>
    </row>
    <row r="5290" spans="5:5" x14ac:dyDescent="0.25">
      <c r="E5290" s="82" t="s">
        <v>6261</v>
      </c>
    </row>
    <row r="5291" spans="5:5" x14ac:dyDescent="0.25">
      <c r="E5291" s="82" t="s">
        <v>6262</v>
      </c>
    </row>
    <row r="5292" spans="5:5" x14ac:dyDescent="0.25">
      <c r="E5292" s="82" t="s">
        <v>6263</v>
      </c>
    </row>
    <row r="5293" spans="5:5" x14ac:dyDescent="0.25">
      <c r="E5293" s="82" t="s">
        <v>6264</v>
      </c>
    </row>
    <row r="5294" spans="5:5" x14ac:dyDescent="0.25">
      <c r="E5294" s="82" t="s">
        <v>6265</v>
      </c>
    </row>
    <row r="5295" spans="5:5" x14ac:dyDescent="0.25">
      <c r="E5295" s="82" t="s">
        <v>6266</v>
      </c>
    </row>
    <row r="5296" spans="5:5" x14ac:dyDescent="0.25">
      <c r="E5296" s="82" t="s">
        <v>6267</v>
      </c>
    </row>
    <row r="5297" spans="5:5" x14ac:dyDescent="0.25">
      <c r="E5297" s="82" t="s">
        <v>6268</v>
      </c>
    </row>
    <row r="5298" spans="5:5" x14ac:dyDescent="0.25">
      <c r="E5298" s="82" t="s">
        <v>6269</v>
      </c>
    </row>
    <row r="5299" spans="5:5" x14ac:dyDescent="0.25">
      <c r="E5299" s="82" t="s">
        <v>6270</v>
      </c>
    </row>
    <row r="5300" spans="5:5" x14ac:dyDescent="0.25">
      <c r="E5300" s="82" t="s">
        <v>6271</v>
      </c>
    </row>
    <row r="5301" spans="5:5" x14ac:dyDescent="0.25">
      <c r="E5301" s="82" t="s">
        <v>6272</v>
      </c>
    </row>
    <row r="5302" spans="5:5" x14ac:dyDescent="0.25">
      <c r="E5302" s="82" t="s">
        <v>6273</v>
      </c>
    </row>
    <row r="5303" spans="5:5" x14ac:dyDescent="0.25">
      <c r="E5303" s="82" t="s">
        <v>6274</v>
      </c>
    </row>
    <row r="5304" spans="5:5" x14ac:dyDescent="0.25">
      <c r="E5304" s="82" t="s">
        <v>6275</v>
      </c>
    </row>
    <row r="5305" spans="5:5" x14ac:dyDescent="0.25">
      <c r="E5305" s="82" t="s">
        <v>6276</v>
      </c>
    </row>
    <row r="5306" spans="5:5" x14ac:dyDescent="0.25">
      <c r="E5306" s="82" t="s">
        <v>6277</v>
      </c>
    </row>
    <row r="5307" spans="5:5" x14ac:dyDescent="0.25">
      <c r="E5307" s="82" t="s">
        <v>6278</v>
      </c>
    </row>
    <row r="5308" spans="5:5" x14ac:dyDescent="0.25">
      <c r="E5308" s="82" t="s">
        <v>6279</v>
      </c>
    </row>
    <row r="5309" spans="5:5" x14ac:dyDescent="0.25">
      <c r="E5309" s="82" t="s">
        <v>6280</v>
      </c>
    </row>
    <row r="5310" spans="5:5" x14ac:dyDescent="0.25">
      <c r="E5310" s="82" t="s">
        <v>6281</v>
      </c>
    </row>
    <row r="5311" spans="5:5" x14ac:dyDescent="0.25">
      <c r="E5311" s="82" t="s">
        <v>6282</v>
      </c>
    </row>
    <row r="5312" spans="5:5" x14ac:dyDescent="0.25">
      <c r="E5312" s="82" t="s">
        <v>6283</v>
      </c>
    </row>
    <row r="5313" spans="5:5" x14ac:dyDescent="0.25">
      <c r="E5313" s="82" t="s">
        <v>6284</v>
      </c>
    </row>
    <row r="5314" spans="5:5" x14ac:dyDescent="0.25">
      <c r="E5314" s="82" t="s">
        <v>6285</v>
      </c>
    </row>
    <row r="5315" spans="5:5" x14ac:dyDescent="0.25">
      <c r="E5315" s="82" t="s">
        <v>6286</v>
      </c>
    </row>
    <row r="5316" spans="5:5" x14ac:dyDescent="0.25">
      <c r="E5316" s="82" t="s">
        <v>6287</v>
      </c>
    </row>
    <row r="5317" spans="5:5" x14ac:dyDescent="0.25">
      <c r="E5317" s="82" t="s">
        <v>6288</v>
      </c>
    </row>
    <row r="5318" spans="5:5" x14ac:dyDescent="0.25">
      <c r="E5318" s="82" t="s">
        <v>6289</v>
      </c>
    </row>
    <row r="5319" spans="5:5" x14ac:dyDescent="0.25">
      <c r="E5319" s="82" t="s">
        <v>6290</v>
      </c>
    </row>
    <row r="5320" spans="5:5" x14ac:dyDescent="0.25">
      <c r="E5320" s="82" t="s">
        <v>6291</v>
      </c>
    </row>
    <row r="5321" spans="5:5" x14ac:dyDescent="0.25">
      <c r="E5321" s="82" t="s">
        <v>6292</v>
      </c>
    </row>
    <row r="5322" spans="5:5" x14ac:dyDescent="0.25">
      <c r="E5322" s="82" t="s">
        <v>6293</v>
      </c>
    </row>
    <row r="5323" spans="5:5" x14ac:dyDescent="0.25">
      <c r="E5323" s="82" t="s">
        <v>6294</v>
      </c>
    </row>
    <row r="5324" spans="5:5" x14ac:dyDescent="0.25">
      <c r="E5324" s="82" t="s">
        <v>6295</v>
      </c>
    </row>
    <row r="5325" spans="5:5" x14ac:dyDescent="0.25">
      <c r="E5325" s="82" t="s">
        <v>6296</v>
      </c>
    </row>
    <row r="5326" spans="5:5" x14ac:dyDescent="0.25">
      <c r="E5326" s="82" t="s">
        <v>6297</v>
      </c>
    </row>
    <row r="5327" spans="5:5" x14ac:dyDescent="0.25">
      <c r="E5327" s="82" t="s">
        <v>6298</v>
      </c>
    </row>
    <row r="5328" spans="5:5" x14ac:dyDescent="0.25">
      <c r="E5328" s="82" t="s">
        <v>6299</v>
      </c>
    </row>
    <row r="5329" spans="5:5" x14ac:dyDescent="0.25">
      <c r="E5329" s="82" t="s">
        <v>6300</v>
      </c>
    </row>
    <row r="5330" spans="5:5" x14ac:dyDescent="0.25">
      <c r="E5330" s="82" t="s">
        <v>6301</v>
      </c>
    </row>
    <row r="5331" spans="5:5" x14ac:dyDescent="0.25">
      <c r="E5331" s="82" t="s">
        <v>6302</v>
      </c>
    </row>
    <row r="5332" spans="5:5" x14ac:dyDescent="0.25">
      <c r="E5332" s="82" t="s">
        <v>6303</v>
      </c>
    </row>
    <row r="5333" spans="5:5" x14ac:dyDescent="0.25">
      <c r="E5333" s="82" t="s">
        <v>6304</v>
      </c>
    </row>
    <row r="5334" spans="5:5" x14ac:dyDescent="0.25">
      <c r="E5334" s="82" t="s">
        <v>6305</v>
      </c>
    </row>
    <row r="5335" spans="5:5" x14ac:dyDescent="0.25">
      <c r="E5335" s="82" t="s">
        <v>6306</v>
      </c>
    </row>
    <row r="5336" spans="5:5" x14ac:dyDescent="0.25">
      <c r="E5336" s="82" t="s">
        <v>6307</v>
      </c>
    </row>
    <row r="5337" spans="5:5" x14ac:dyDescent="0.25">
      <c r="E5337" s="82" t="s">
        <v>6308</v>
      </c>
    </row>
    <row r="5338" spans="5:5" x14ac:dyDescent="0.25">
      <c r="E5338" s="82" t="s">
        <v>6309</v>
      </c>
    </row>
    <row r="5339" spans="5:5" x14ac:dyDescent="0.25">
      <c r="E5339" s="82" t="s">
        <v>6310</v>
      </c>
    </row>
    <row r="5340" spans="5:5" x14ac:dyDescent="0.25">
      <c r="E5340" s="82" t="s">
        <v>6311</v>
      </c>
    </row>
    <row r="5341" spans="5:5" x14ac:dyDescent="0.25">
      <c r="E5341" s="82" t="s">
        <v>6312</v>
      </c>
    </row>
    <row r="5342" spans="5:5" x14ac:dyDescent="0.25">
      <c r="E5342" s="82" t="s">
        <v>6313</v>
      </c>
    </row>
    <row r="5343" spans="5:5" x14ac:dyDescent="0.25">
      <c r="E5343" s="82" t="s">
        <v>6314</v>
      </c>
    </row>
    <row r="5344" spans="5:5" x14ac:dyDescent="0.25">
      <c r="E5344" s="82" t="s">
        <v>6315</v>
      </c>
    </row>
    <row r="5345" spans="5:5" x14ac:dyDescent="0.25">
      <c r="E5345" s="82" t="s">
        <v>6316</v>
      </c>
    </row>
    <row r="5346" spans="5:5" x14ac:dyDescent="0.25">
      <c r="E5346" s="82" t="s">
        <v>6317</v>
      </c>
    </row>
    <row r="5347" spans="5:5" x14ac:dyDescent="0.25">
      <c r="E5347" s="82" t="s">
        <v>6318</v>
      </c>
    </row>
    <row r="5348" spans="5:5" x14ac:dyDescent="0.25">
      <c r="E5348" s="82" t="s">
        <v>6319</v>
      </c>
    </row>
    <row r="5349" spans="5:5" x14ac:dyDescent="0.25">
      <c r="E5349" s="82" t="s">
        <v>6320</v>
      </c>
    </row>
    <row r="5350" spans="5:5" x14ac:dyDescent="0.25">
      <c r="E5350" s="82" t="s">
        <v>6321</v>
      </c>
    </row>
    <row r="5351" spans="5:5" x14ac:dyDescent="0.25">
      <c r="E5351" s="82" t="s">
        <v>6322</v>
      </c>
    </row>
    <row r="5352" spans="5:5" x14ac:dyDescent="0.25">
      <c r="E5352" s="82" t="s">
        <v>6323</v>
      </c>
    </row>
    <row r="5353" spans="5:5" x14ac:dyDescent="0.25">
      <c r="E5353" s="82" t="s">
        <v>6324</v>
      </c>
    </row>
    <row r="5354" spans="5:5" x14ac:dyDescent="0.25">
      <c r="E5354" s="82" t="s">
        <v>6325</v>
      </c>
    </row>
    <row r="5355" spans="5:5" x14ac:dyDescent="0.25">
      <c r="E5355" s="82" t="s">
        <v>6326</v>
      </c>
    </row>
    <row r="5356" spans="5:5" x14ac:dyDescent="0.25">
      <c r="E5356" s="82" t="s">
        <v>6327</v>
      </c>
    </row>
    <row r="5357" spans="5:5" x14ac:dyDescent="0.25">
      <c r="E5357" s="82" t="s">
        <v>6328</v>
      </c>
    </row>
    <row r="5358" spans="5:5" x14ac:dyDescent="0.25">
      <c r="E5358" s="82" t="s">
        <v>6329</v>
      </c>
    </row>
    <row r="5359" spans="5:5" x14ac:dyDescent="0.25">
      <c r="E5359" s="82" t="s">
        <v>6330</v>
      </c>
    </row>
    <row r="5360" spans="5:5" x14ac:dyDescent="0.25">
      <c r="E5360" s="82" t="s">
        <v>6331</v>
      </c>
    </row>
    <row r="5361" spans="5:5" x14ac:dyDescent="0.25">
      <c r="E5361" s="82" t="s">
        <v>6332</v>
      </c>
    </row>
    <row r="5362" spans="5:5" x14ac:dyDescent="0.25">
      <c r="E5362" s="82" t="s">
        <v>6333</v>
      </c>
    </row>
    <row r="5363" spans="5:5" x14ac:dyDescent="0.25">
      <c r="E5363" s="82" t="s">
        <v>6334</v>
      </c>
    </row>
    <row r="5364" spans="5:5" x14ac:dyDescent="0.25">
      <c r="E5364" s="82" t="s">
        <v>6335</v>
      </c>
    </row>
    <row r="5365" spans="5:5" x14ac:dyDescent="0.25">
      <c r="E5365" s="82" t="s">
        <v>6336</v>
      </c>
    </row>
    <row r="5366" spans="5:5" x14ac:dyDescent="0.25">
      <c r="E5366" s="82" t="s">
        <v>6337</v>
      </c>
    </row>
    <row r="5367" spans="5:5" x14ac:dyDescent="0.25">
      <c r="E5367" s="82" t="s">
        <v>6338</v>
      </c>
    </row>
    <row r="5368" spans="5:5" x14ac:dyDescent="0.25">
      <c r="E5368" s="82" t="s">
        <v>6339</v>
      </c>
    </row>
    <row r="5369" spans="5:5" x14ac:dyDescent="0.25">
      <c r="E5369" s="82" t="s">
        <v>6340</v>
      </c>
    </row>
    <row r="5370" spans="5:5" x14ac:dyDescent="0.25">
      <c r="E5370" s="82" t="s">
        <v>6341</v>
      </c>
    </row>
    <row r="5371" spans="5:5" x14ac:dyDescent="0.25">
      <c r="E5371" s="82" t="s">
        <v>6342</v>
      </c>
    </row>
    <row r="5372" spans="5:5" x14ac:dyDescent="0.25">
      <c r="E5372" s="82" t="s">
        <v>6343</v>
      </c>
    </row>
    <row r="5373" spans="5:5" x14ac:dyDescent="0.25">
      <c r="E5373" s="82" t="s">
        <v>6344</v>
      </c>
    </row>
    <row r="5374" spans="5:5" x14ac:dyDescent="0.25">
      <c r="E5374" s="82" t="s">
        <v>6345</v>
      </c>
    </row>
    <row r="5375" spans="5:5" x14ac:dyDescent="0.25">
      <c r="E5375" s="82" t="s">
        <v>6346</v>
      </c>
    </row>
    <row r="5376" spans="5:5" x14ac:dyDescent="0.25">
      <c r="E5376" s="82" t="s">
        <v>6347</v>
      </c>
    </row>
    <row r="5377" spans="5:5" x14ac:dyDescent="0.25">
      <c r="E5377" s="82" t="s">
        <v>6348</v>
      </c>
    </row>
    <row r="5378" spans="5:5" x14ac:dyDescent="0.25">
      <c r="E5378" s="82" t="s">
        <v>6349</v>
      </c>
    </row>
    <row r="5379" spans="5:5" x14ac:dyDescent="0.25">
      <c r="E5379" s="82" t="s">
        <v>6350</v>
      </c>
    </row>
    <row r="5380" spans="5:5" x14ac:dyDescent="0.25">
      <c r="E5380" s="82" t="s">
        <v>6351</v>
      </c>
    </row>
    <row r="5381" spans="5:5" x14ac:dyDescent="0.25">
      <c r="E5381" s="82" t="s">
        <v>6352</v>
      </c>
    </row>
    <row r="5382" spans="5:5" x14ac:dyDescent="0.25">
      <c r="E5382" s="82" t="s">
        <v>6353</v>
      </c>
    </row>
    <row r="5383" spans="5:5" x14ac:dyDescent="0.25">
      <c r="E5383" s="82" t="s">
        <v>6354</v>
      </c>
    </row>
    <row r="5384" spans="5:5" x14ac:dyDescent="0.25">
      <c r="E5384" s="82" t="s">
        <v>6355</v>
      </c>
    </row>
    <row r="5385" spans="5:5" x14ac:dyDescent="0.25">
      <c r="E5385" s="82" t="s">
        <v>6356</v>
      </c>
    </row>
    <row r="5386" spans="5:5" x14ac:dyDescent="0.25">
      <c r="E5386" s="82" t="s">
        <v>6357</v>
      </c>
    </row>
    <row r="5387" spans="5:5" x14ac:dyDescent="0.25">
      <c r="E5387" s="82" t="s">
        <v>6358</v>
      </c>
    </row>
    <row r="5388" spans="5:5" x14ac:dyDescent="0.25">
      <c r="E5388" s="82" t="s">
        <v>6359</v>
      </c>
    </row>
    <row r="5389" spans="5:5" x14ac:dyDescent="0.25">
      <c r="E5389" s="82" t="s">
        <v>6360</v>
      </c>
    </row>
    <row r="5390" spans="5:5" x14ac:dyDescent="0.25">
      <c r="E5390" s="82" t="s">
        <v>6361</v>
      </c>
    </row>
    <row r="5391" spans="5:5" x14ac:dyDescent="0.25">
      <c r="E5391" s="82" t="s">
        <v>6362</v>
      </c>
    </row>
    <row r="5392" spans="5:5" x14ac:dyDescent="0.25">
      <c r="E5392" s="82" t="s">
        <v>6363</v>
      </c>
    </row>
    <row r="5393" spans="5:5" x14ac:dyDescent="0.25">
      <c r="E5393" s="82" t="s">
        <v>6364</v>
      </c>
    </row>
    <row r="5394" spans="5:5" x14ac:dyDescent="0.25">
      <c r="E5394" s="82" t="s">
        <v>6365</v>
      </c>
    </row>
    <row r="5395" spans="5:5" x14ac:dyDescent="0.25">
      <c r="E5395" s="82" t="s">
        <v>6366</v>
      </c>
    </row>
    <row r="5396" spans="5:5" x14ac:dyDescent="0.25">
      <c r="E5396" s="82" t="s">
        <v>6367</v>
      </c>
    </row>
    <row r="5397" spans="5:5" x14ac:dyDescent="0.25">
      <c r="E5397" s="82" t="s">
        <v>6368</v>
      </c>
    </row>
    <row r="5398" spans="5:5" x14ac:dyDescent="0.25">
      <c r="E5398" s="82" t="s">
        <v>6369</v>
      </c>
    </row>
    <row r="5399" spans="5:5" x14ac:dyDescent="0.25">
      <c r="E5399" s="82" t="s">
        <v>6370</v>
      </c>
    </row>
    <row r="5400" spans="5:5" x14ac:dyDescent="0.25">
      <c r="E5400" s="82" t="s">
        <v>6371</v>
      </c>
    </row>
    <row r="5401" spans="5:5" x14ac:dyDescent="0.25">
      <c r="E5401" s="82" t="s">
        <v>6372</v>
      </c>
    </row>
    <row r="5402" spans="5:5" x14ac:dyDescent="0.25">
      <c r="E5402" s="82" t="s">
        <v>6373</v>
      </c>
    </row>
    <row r="5403" spans="5:5" x14ac:dyDescent="0.25">
      <c r="E5403" s="82" t="s">
        <v>6374</v>
      </c>
    </row>
    <row r="5404" spans="5:5" x14ac:dyDescent="0.25">
      <c r="E5404" s="82" t="s">
        <v>6375</v>
      </c>
    </row>
    <row r="5405" spans="5:5" x14ac:dyDescent="0.25">
      <c r="E5405" s="82" t="s">
        <v>6376</v>
      </c>
    </row>
    <row r="5406" spans="5:5" x14ac:dyDescent="0.25">
      <c r="E5406" s="82" t="s">
        <v>6377</v>
      </c>
    </row>
    <row r="5407" spans="5:5" x14ac:dyDescent="0.25">
      <c r="E5407" s="82" t="s">
        <v>6378</v>
      </c>
    </row>
    <row r="5408" spans="5:5" x14ac:dyDescent="0.25">
      <c r="E5408" s="82" t="s">
        <v>6379</v>
      </c>
    </row>
    <row r="5409" spans="5:5" x14ac:dyDescent="0.25">
      <c r="E5409" s="82" t="s">
        <v>6380</v>
      </c>
    </row>
    <row r="5410" spans="5:5" x14ac:dyDescent="0.25">
      <c r="E5410" s="82" t="s">
        <v>6381</v>
      </c>
    </row>
    <row r="5411" spans="5:5" x14ac:dyDescent="0.25">
      <c r="E5411" s="82" t="s">
        <v>6382</v>
      </c>
    </row>
    <row r="5412" spans="5:5" x14ac:dyDescent="0.25">
      <c r="E5412" s="82" t="s">
        <v>6383</v>
      </c>
    </row>
    <row r="5413" spans="5:5" x14ac:dyDescent="0.25">
      <c r="E5413" s="82" t="s">
        <v>6384</v>
      </c>
    </row>
    <row r="5414" spans="5:5" x14ac:dyDescent="0.25">
      <c r="E5414" s="82" t="s">
        <v>6385</v>
      </c>
    </row>
    <row r="5415" spans="5:5" x14ac:dyDescent="0.25">
      <c r="E5415" s="82" t="s">
        <v>6386</v>
      </c>
    </row>
    <row r="5416" spans="5:5" x14ac:dyDescent="0.25">
      <c r="E5416" s="82" t="s">
        <v>6387</v>
      </c>
    </row>
    <row r="5417" spans="5:5" x14ac:dyDescent="0.25">
      <c r="E5417" s="82" t="s">
        <v>6388</v>
      </c>
    </row>
    <row r="5418" spans="5:5" x14ac:dyDescent="0.25">
      <c r="E5418" s="82" t="s">
        <v>6389</v>
      </c>
    </row>
    <row r="5419" spans="5:5" x14ac:dyDescent="0.25">
      <c r="E5419" s="82" t="s">
        <v>6390</v>
      </c>
    </row>
    <row r="5420" spans="5:5" x14ac:dyDescent="0.25">
      <c r="E5420" s="82" t="s">
        <v>6391</v>
      </c>
    </row>
    <row r="5421" spans="5:5" x14ac:dyDescent="0.25">
      <c r="E5421" s="82" t="s">
        <v>6392</v>
      </c>
    </row>
    <row r="5422" spans="5:5" x14ac:dyDescent="0.25">
      <c r="E5422" s="82" t="s">
        <v>6393</v>
      </c>
    </row>
    <row r="5423" spans="5:5" x14ac:dyDescent="0.25">
      <c r="E5423" s="82" t="s">
        <v>6394</v>
      </c>
    </row>
    <row r="5424" spans="5:5" x14ac:dyDescent="0.25">
      <c r="E5424" s="82" t="s">
        <v>6395</v>
      </c>
    </row>
    <row r="5425" spans="5:5" x14ac:dyDescent="0.25">
      <c r="E5425" s="82" t="s">
        <v>6396</v>
      </c>
    </row>
    <row r="5426" spans="5:5" x14ac:dyDescent="0.25">
      <c r="E5426" s="82" t="s">
        <v>6397</v>
      </c>
    </row>
    <row r="5427" spans="5:5" x14ac:dyDescent="0.25">
      <c r="E5427" s="82" t="s">
        <v>6398</v>
      </c>
    </row>
    <row r="5428" spans="5:5" x14ac:dyDescent="0.25">
      <c r="E5428" s="82" t="s">
        <v>6399</v>
      </c>
    </row>
    <row r="5429" spans="5:5" x14ac:dyDescent="0.25">
      <c r="E5429" s="82" t="s">
        <v>6400</v>
      </c>
    </row>
    <row r="5430" spans="5:5" x14ac:dyDescent="0.25">
      <c r="E5430" s="82" t="s">
        <v>6401</v>
      </c>
    </row>
    <row r="5431" spans="5:5" x14ac:dyDescent="0.25">
      <c r="E5431" s="82" t="s">
        <v>6402</v>
      </c>
    </row>
    <row r="5432" spans="5:5" x14ac:dyDescent="0.25">
      <c r="E5432" s="82" t="s">
        <v>6403</v>
      </c>
    </row>
    <row r="5433" spans="5:5" x14ac:dyDescent="0.25">
      <c r="E5433" s="82" t="s">
        <v>6404</v>
      </c>
    </row>
    <row r="5434" spans="5:5" x14ac:dyDescent="0.25">
      <c r="E5434" s="82" t="s">
        <v>6405</v>
      </c>
    </row>
    <row r="5435" spans="5:5" x14ac:dyDescent="0.25">
      <c r="E5435" s="82" t="s">
        <v>6406</v>
      </c>
    </row>
    <row r="5436" spans="5:5" x14ac:dyDescent="0.25">
      <c r="E5436" s="82" t="s">
        <v>6407</v>
      </c>
    </row>
    <row r="5437" spans="5:5" x14ac:dyDescent="0.25">
      <c r="E5437" s="82" t="s">
        <v>6408</v>
      </c>
    </row>
    <row r="5438" spans="5:5" x14ac:dyDescent="0.25">
      <c r="E5438" s="82" t="s">
        <v>6409</v>
      </c>
    </row>
    <row r="5439" spans="5:5" x14ac:dyDescent="0.25">
      <c r="E5439" s="82" t="s">
        <v>6410</v>
      </c>
    </row>
    <row r="5440" spans="5:5" x14ac:dyDescent="0.25">
      <c r="E5440" s="82" t="s">
        <v>6411</v>
      </c>
    </row>
    <row r="5441" spans="5:5" x14ac:dyDescent="0.25">
      <c r="E5441" s="82" t="s">
        <v>6412</v>
      </c>
    </row>
    <row r="5442" spans="5:5" x14ac:dyDescent="0.25">
      <c r="E5442" s="82" t="s">
        <v>6413</v>
      </c>
    </row>
    <row r="5443" spans="5:5" x14ac:dyDescent="0.25">
      <c r="E5443" s="82" t="s">
        <v>6414</v>
      </c>
    </row>
    <row r="5444" spans="5:5" x14ac:dyDescent="0.25">
      <c r="E5444" s="82" t="s">
        <v>6415</v>
      </c>
    </row>
    <row r="5445" spans="5:5" x14ac:dyDescent="0.25">
      <c r="E5445" s="82" t="s">
        <v>6416</v>
      </c>
    </row>
    <row r="5446" spans="5:5" x14ac:dyDescent="0.25">
      <c r="E5446" s="82" t="s">
        <v>6417</v>
      </c>
    </row>
    <row r="5447" spans="5:5" x14ac:dyDescent="0.25">
      <c r="E5447" s="82" t="s">
        <v>6418</v>
      </c>
    </row>
    <row r="5448" spans="5:5" x14ac:dyDescent="0.25">
      <c r="E5448" s="82" t="s">
        <v>6419</v>
      </c>
    </row>
    <row r="5449" spans="5:5" x14ac:dyDescent="0.25">
      <c r="E5449" s="82" t="s">
        <v>6420</v>
      </c>
    </row>
    <row r="5450" spans="5:5" x14ac:dyDescent="0.25">
      <c r="E5450" s="82" t="s">
        <v>6421</v>
      </c>
    </row>
    <row r="5451" spans="5:5" x14ac:dyDescent="0.25">
      <c r="E5451" s="82" t="s">
        <v>6422</v>
      </c>
    </row>
    <row r="5452" spans="5:5" x14ac:dyDescent="0.25">
      <c r="E5452" s="82" t="s">
        <v>6423</v>
      </c>
    </row>
    <row r="5453" spans="5:5" x14ac:dyDescent="0.25">
      <c r="E5453" s="82" t="s">
        <v>6424</v>
      </c>
    </row>
    <row r="5454" spans="5:5" x14ac:dyDescent="0.25">
      <c r="E5454" s="82" t="s">
        <v>6425</v>
      </c>
    </row>
    <row r="5455" spans="5:5" x14ac:dyDescent="0.25">
      <c r="E5455" s="82" t="s">
        <v>6426</v>
      </c>
    </row>
    <row r="5456" spans="5:5" x14ac:dyDescent="0.25">
      <c r="E5456" s="82" t="s">
        <v>6427</v>
      </c>
    </row>
    <row r="5457" spans="5:5" x14ac:dyDescent="0.25">
      <c r="E5457" s="82" t="s">
        <v>6428</v>
      </c>
    </row>
    <row r="5458" spans="5:5" x14ac:dyDescent="0.25">
      <c r="E5458" s="82" t="s">
        <v>6429</v>
      </c>
    </row>
    <row r="5459" spans="5:5" x14ac:dyDescent="0.25">
      <c r="E5459" s="82" t="s">
        <v>6430</v>
      </c>
    </row>
    <row r="5460" spans="5:5" x14ac:dyDescent="0.25">
      <c r="E5460" s="82" t="s">
        <v>6431</v>
      </c>
    </row>
    <row r="5461" spans="5:5" x14ac:dyDescent="0.25">
      <c r="E5461" s="82" t="s">
        <v>6432</v>
      </c>
    </row>
    <row r="5462" spans="5:5" x14ac:dyDescent="0.25">
      <c r="E5462" s="82" t="s">
        <v>6433</v>
      </c>
    </row>
    <row r="5463" spans="5:5" x14ac:dyDescent="0.25">
      <c r="E5463" s="82" t="s">
        <v>6434</v>
      </c>
    </row>
    <row r="5464" spans="5:5" x14ac:dyDescent="0.25">
      <c r="E5464" s="82" t="s">
        <v>6435</v>
      </c>
    </row>
    <row r="5465" spans="5:5" x14ac:dyDescent="0.25">
      <c r="E5465" s="82" t="s">
        <v>6436</v>
      </c>
    </row>
    <row r="5466" spans="5:5" x14ac:dyDescent="0.25">
      <c r="E5466" s="82" t="s">
        <v>6437</v>
      </c>
    </row>
    <row r="5467" spans="5:5" x14ac:dyDescent="0.25">
      <c r="E5467" s="82" t="s">
        <v>6438</v>
      </c>
    </row>
    <row r="5468" spans="5:5" x14ac:dyDescent="0.25">
      <c r="E5468" s="82" t="s">
        <v>6439</v>
      </c>
    </row>
    <row r="5469" spans="5:5" x14ac:dyDescent="0.25">
      <c r="E5469" s="82" t="s">
        <v>6440</v>
      </c>
    </row>
    <row r="5470" spans="5:5" x14ac:dyDescent="0.25">
      <c r="E5470" s="82" t="s">
        <v>6441</v>
      </c>
    </row>
    <row r="5471" spans="5:5" x14ac:dyDescent="0.25">
      <c r="E5471" s="82" t="s">
        <v>6442</v>
      </c>
    </row>
    <row r="5472" spans="5:5" x14ac:dyDescent="0.25">
      <c r="E5472" s="82" t="s">
        <v>6443</v>
      </c>
    </row>
    <row r="5473" spans="5:5" x14ac:dyDescent="0.25">
      <c r="E5473" s="82" t="s">
        <v>6444</v>
      </c>
    </row>
    <row r="5474" spans="5:5" x14ac:dyDescent="0.25">
      <c r="E5474" s="82" t="s">
        <v>6445</v>
      </c>
    </row>
    <row r="5475" spans="5:5" x14ac:dyDescent="0.25">
      <c r="E5475" s="82" t="s">
        <v>6446</v>
      </c>
    </row>
    <row r="5476" spans="5:5" x14ac:dyDescent="0.25">
      <c r="E5476" s="82" t="s">
        <v>6447</v>
      </c>
    </row>
    <row r="5477" spans="5:5" x14ac:dyDescent="0.25">
      <c r="E5477" s="82" t="s">
        <v>6448</v>
      </c>
    </row>
    <row r="5478" spans="5:5" x14ac:dyDescent="0.25">
      <c r="E5478" s="82" t="s">
        <v>6449</v>
      </c>
    </row>
    <row r="5479" spans="5:5" x14ac:dyDescent="0.25">
      <c r="E5479" s="82" t="s">
        <v>6450</v>
      </c>
    </row>
    <row r="5480" spans="5:5" x14ac:dyDescent="0.25">
      <c r="E5480" s="82" t="s">
        <v>6451</v>
      </c>
    </row>
    <row r="5481" spans="5:5" x14ac:dyDescent="0.25">
      <c r="E5481" s="82" t="s">
        <v>6452</v>
      </c>
    </row>
    <row r="5482" spans="5:5" x14ac:dyDescent="0.25">
      <c r="E5482" s="82" t="s">
        <v>6453</v>
      </c>
    </row>
    <row r="5483" spans="5:5" x14ac:dyDescent="0.25">
      <c r="E5483" s="82" t="s">
        <v>6454</v>
      </c>
    </row>
    <row r="5484" spans="5:5" x14ac:dyDescent="0.25">
      <c r="E5484" s="82" t="s">
        <v>6455</v>
      </c>
    </row>
    <row r="5485" spans="5:5" x14ac:dyDescent="0.25">
      <c r="E5485" s="82" t="s">
        <v>6456</v>
      </c>
    </row>
    <row r="5486" spans="5:5" x14ac:dyDescent="0.25">
      <c r="E5486" s="82" t="s">
        <v>6457</v>
      </c>
    </row>
    <row r="5487" spans="5:5" x14ac:dyDescent="0.25">
      <c r="E5487" s="82" t="s">
        <v>6458</v>
      </c>
    </row>
    <row r="5488" spans="5:5" x14ac:dyDescent="0.25">
      <c r="E5488" s="82" t="s">
        <v>6459</v>
      </c>
    </row>
    <row r="5489" spans="5:5" x14ac:dyDescent="0.25">
      <c r="E5489" s="82" t="s">
        <v>6460</v>
      </c>
    </row>
    <row r="5490" spans="5:5" x14ac:dyDescent="0.25">
      <c r="E5490" s="82" t="s">
        <v>6461</v>
      </c>
    </row>
    <row r="5491" spans="5:5" x14ac:dyDescent="0.25">
      <c r="E5491" s="82" t="s">
        <v>6462</v>
      </c>
    </row>
    <row r="5492" spans="5:5" x14ac:dyDescent="0.25">
      <c r="E5492" s="82" t="s">
        <v>6463</v>
      </c>
    </row>
    <row r="5493" spans="5:5" x14ac:dyDescent="0.25">
      <c r="E5493" s="82" t="s">
        <v>6464</v>
      </c>
    </row>
    <row r="5494" spans="5:5" x14ac:dyDescent="0.25">
      <c r="E5494" s="82" t="s">
        <v>6465</v>
      </c>
    </row>
    <row r="5495" spans="5:5" x14ac:dyDescent="0.25">
      <c r="E5495" s="82" t="s">
        <v>6466</v>
      </c>
    </row>
    <row r="5496" spans="5:5" x14ac:dyDescent="0.25">
      <c r="E5496" s="82" t="s">
        <v>6467</v>
      </c>
    </row>
    <row r="5497" spans="5:5" x14ac:dyDescent="0.25">
      <c r="E5497" s="82" t="s">
        <v>6468</v>
      </c>
    </row>
    <row r="5498" spans="5:5" x14ac:dyDescent="0.25">
      <c r="E5498" s="82" t="s">
        <v>6469</v>
      </c>
    </row>
    <row r="5499" spans="5:5" x14ac:dyDescent="0.25">
      <c r="E5499" s="82" t="s">
        <v>6470</v>
      </c>
    </row>
    <row r="5500" spans="5:5" x14ac:dyDescent="0.25">
      <c r="E5500" s="82" t="s">
        <v>6471</v>
      </c>
    </row>
    <row r="5501" spans="5:5" x14ac:dyDescent="0.25">
      <c r="E5501" s="82" t="s">
        <v>6472</v>
      </c>
    </row>
    <row r="5502" spans="5:5" x14ac:dyDescent="0.25">
      <c r="E5502" s="82" t="s">
        <v>6473</v>
      </c>
    </row>
    <row r="5503" spans="5:5" x14ac:dyDescent="0.25">
      <c r="E5503" s="82" t="s">
        <v>6474</v>
      </c>
    </row>
    <row r="5504" spans="5:5" x14ac:dyDescent="0.25">
      <c r="E5504" s="82" t="s">
        <v>6475</v>
      </c>
    </row>
    <row r="5505" spans="5:5" x14ac:dyDescent="0.25">
      <c r="E5505" s="82" t="s">
        <v>6476</v>
      </c>
    </row>
    <row r="5506" spans="5:5" x14ac:dyDescent="0.25">
      <c r="E5506" s="82" t="s">
        <v>6477</v>
      </c>
    </row>
    <row r="5507" spans="5:5" x14ac:dyDescent="0.25">
      <c r="E5507" s="82" t="s">
        <v>6478</v>
      </c>
    </row>
    <row r="5508" spans="5:5" x14ac:dyDescent="0.25">
      <c r="E5508" s="82" t="s">
        <v>6479</v>
      </c>
    </row>
    <row r="5509" spans="5:5" x14ac:dyDescent="0.25">
      <c r="E5509" s="82" t="s">
        <v>6480</v>
      </c>
    </row>
    <row r="5510" spans="5:5" x14ac:dyDescent="0.25">
      <c r="E5510" s="82" t="s">
        <v>6481</v>
      </c>
    </row>
    <row r="5511" spans="5:5" x14ac:dyDescent="0.25">
      <c r="E5511" s="82" t="s">
        <v>6482</v>
      </c>
    </row>
    <row r="5512" spans="5:5" x14ac:dyDescent="0.25">
      <c r="E5512" s="82" t="s">
        <v>6483</v>
      </c>
    </row>
    <row r="5513" spans="5:5" x14ac:dyDescent="0.25">
      <c r="E5513" s="82" t="s">
        <v>6484</v>
      </c>
    </row>
    <row r="5514" spans="5:5" x14ac:dyDescent="0.25">
      <c r="E5514" s="82" t="s">
        <v>6485</v>
      </c>
    </row>
    <row r="5515" spans="5:5" x14ac:dyDescent="0.25">
      <c r="E5515" s="82" t="s">
        <v>6486</v>
      </c>
    </row>
    <row r="5516" spans="5:5" x14ac:dyDescent="0.25">
      <c r="E5516" s="82" t="s">
        <v>6487</v>
      </c>
    </row>
    <row r="5517" spans="5:5" x14ac:dyDescent="0.25">
      <c r="E5517" s="82" t="s">
        <v>6488</v>
      </c>
    </row>
    <row r="5518" spans="5:5" x14ac:dyDescent="0.25">
      <c r="E5518" s="82" t="s">
        <v>6489</v>
      </c>
    </row>
    <row r="5519" spans="5:5" x14ac:dyDescent="0.25">
      <c r="E5519" s="82" t="s">
        <v>6490</v>
      </c>
    </row>
    <row r="5520" spans="5:5" x14ac:dyDescent="0.25">
      <c r="E5520" s="82" t="s">
        <v>6491</v>
      </c>
    </row>
    <row r="5521" spans="5:5" x14ac:dyDescent="0.25">
      <c r="E5521" s="82" t="s">
        <v>6492</v>
      </c>
    </row>
    <row r="5522" spans="5:5" x14ac:dyDescent="0.25">
      <c r="E5522" s="82" t="s">
        <v>6493</v>
      </c>
    </row>
    <row r="5523" spans="5:5" x14ac:dyDescent="0.25">
      <c r="E5523" s="82" t="s">
        <v>6494</v>
      </c>
    </row>
    <row r="5524" spans="5:5" x14ac:dyDescent="0.25">
      <c r="E5524" s="82" t="s">
        <v>6495</v>
      </c>
    </row>
    <row r="5525" spans="5:5" x14ac:dyDescent="0.25">
      <c r="E5525" s="82" t="s">
        <v>6496</v>
      </c>
    </row>
    <row r="5526" spans="5:5" x14ac:dyDescent="0.25">
      <c r="E5526" s="82" t="s">
        <v>6497</v>
      </c>
    </row>
    <row r="5527" spans="5:5" x14ac:dyDescent="0.25">
      <c r="E5527" s="82" t="s">
        <v>6498</v>
      </c>
    </row>
    <row r="5528" spans="5:5" x14ac:dyDescent="0.25">
      <c r="E5528" s="82" t="s">
        <v>6499</v>
      </c>
    </row>
    <row r="5529" spans="5:5" x14ac:dyDescent="0.25">
      <c r="E5529" s="82" t="s">
        <v>6500</v>
      </c>
    </row>
    <row r="5530" spans="5:5" x14ac:dyDescent="0.25">
      <c r="E5530" s="82" t="s">
        <v>6501</v>
      </c>
    </row>
    <row r="5531" spans="5:5" x14ac:dyDescent="0.25">
      <c r="E5531" s="82" t="s">
        <v>6502</v>
      </c>
    </row>
    <row r="5532" spans="5:5" x14ac:dyDescent="0.25">
      <c r="E5532" s="82" t="s">
        <v>6503</v>
      </c>
    </row>
    <row r="5533" spans="5:5" x14ac:dyDescent="0.25">
      <c r="E5533" s="82" t="s">
        <v>6504</v>
      </c>
    </row>
    <row r="5534" spans="5:5" x14ac:dyDescent="0.25">
      <c r="E5534" s="82" t="s">
        <v>6505</v>
      </c>
    </row>
    <row r="5535" spans="5:5" x14ac:dyDescent="0.25">
      <c r="E5535" s="82" t="s">
        <v>6506</v>
      </c>
    </row>
    <row r="5536" spans="5:5" x14ac:dyDescent="0.25">
      <c r="E5536" s="82" t="s">
        <v>6507</v>
      </c>
    </row>
    <row r="5537" spans="5:5" x14ac:dyDescent="0.25">
      <c r="E5537" s="82" t="s">
        <v>6508</v>
      </c>
    </row>
    <row r="5538" spans="5:5" x14ac:dyDescent="0.25">
      <c r="E5538" s="82" t="s">
        <v>6509</v>
      </c>
    </row>
    <row r="5539" spans="5:5" x14ac:dyDescent="0.25">
      <c r="E5539" s="82" t="s">
        <v>6510</v>
      </c>
    </row>
    <row r="5540" spans="5:5" x14ac:dyDescent="0.25">
      <c r="E5540" s="82" t="s">
        <v>6511</v>
      </c>
    </row>
    <row r="5541" spans="5:5" x14ac:dyDescent="0.25">
      <c r="E5541" s="82" t="s">
        <v>6512</v>
      </c>
    </row>
    <row r="5542" spans="5:5" x14ac:dyDescent="0.25">
      <c r="E5542" s="82" t="s">
        <v>6513</v>
      </c>
    </row>
    <row r="5543" spans="5:5" x14ac:dyDescent="0.25">
      <c r="E5543" s="82" t="s">
        <v>6514</v>
      </c>
    </row>
    <row r="5544" spans="5:5" x14ac:dyDescent="0.25">
      <c r="E5544" s="82" t="s">
        <v>6515</v>
      </c>
    </row>
    <row r="5545" spans="5:5" x14ac:dyDescent="0.25">
      <c r="E5545" s="82" t="s">
        <v>6516</v>
      </c>
    </row>
    <row r="5546" spans="5:5" x14ac:dyDescent="0.25">
      <c r="E5546" s="82" t="s">
        <v>6517</v>
      </c>
    </row>
    <row r="5547" spans="5:5" x14ac:dyDescent="0.25">
      <c r="E5547" s="82" t="s">
        <v>6518</v>
      </c>
    </row>
    <row r="5548" spans="5:5" x14ac:dyDescent="0.25">
      <c r="E5548" s="82" t="s">
        <v>6519</v>
      </c>
    </row>
    <row r="5549" spans="5:5" x14ac:dyDescent="0.25">
      <c r="E5549" s="82" t="s">
        <v>6520</v>
      </c>
    </row>
    <row r="5550" spans="5:5" x14ac:dyDescent="0.25">
      <c r="E5550" s="82" t="s">
        <v>6521</v>
      </c>
    </row>
    <row r="5551" spans="5:5" x14ac:dyDescent="0.25">
      <c r="E5551" s="82" t="s">
        <v>6522</v>
      </c>
    </row>
    <row r="5552" spans="5:5" x14ac:dyDescent="0.25">
      <c r="E5552" s="82" t="s">
        <v>6523</v>
      </c>
    </row>
    <row r="5553" spans="5:5" x14ac:dyDescent="0.25">
      <c r="E5553" s="82" t="s">
        <v>6524</v>
      </c>
    </row>
    <row r="5554" spans="5:5" x14ac:dyDescent="0.25">
      <c r="E5554" s="82" t="s">
        <v>6525</v>
      </c>
    </row>
    <row r="5555" spans="5:5" x14ac:dyDescent="0.25">
      <c r="E5555" s="82" t="s">
        <v>6526</v>
      </c>
    </row>
    <row r="5556" spans="5:5" x14ac:dyDescent="0.25">
      <c r="E5556" s="82" t="s">
        <v>6527</v>
      </c>
    </row>
    <row r="5557" spans="5:5" x14ac:dyDescent="0.25">
      <c r="E5557" s="82" t="s">
        <v>6528</v>
      </c>
    </row>
    <row r="5558" spans="5:5" x14ac:dyDescent="0.25">
      <c r="E5558" s="82" t="s">
        <v>6529</v>
      </c>
    </row>
    <row r="5559" spans="5:5" x14ac:dyDescent="0.25">
      <c r="E5559" s="82" t="s">
        <v>6530</v>
      </c>
    </row>
    <row r="5560" spans="5:5" x14ac:dyDescent="0.25">
      <c r="E5560" s="82" t="s">
        <v>6531</v>
      </c>
    </row>
    <row r="5561" spans="5:5" x14ac:dyDescent="0.25">
      <c r="E5561" s="82" t="s">
        <v>6532</v>
      </c>
    </row>
    <row r="5562" spans="5:5" x14ac:dyDescent="0.25">
      <c r="E5562" s="82" t="s">
        <v>6533</v>
      </c>
    </row>
    <row r="5563" spans="5:5" x14ac:dyDescent="0.25">
      <c r="E5563" s="82" t="s">
        <v>6534</v>
      </c>
    </row>
    <row r="5564" spans="5:5" x14ac:dyDescent="0.25">
      <c r="E5564" s="82" t="s">
        <v>6535</v>
      </c>
    </row>
    <row r="5565" spans="5:5" x14ac:dyDescent="0.25">
      <c r="E5565" s="82" t="s">
        <v>6536</v>
      </c>
    </row>
    <row r="5566" spans="5:5" x14ac:dyDescent="0.25">
      <c r="E5566" s="82" t="s">
        <v>6537</v>
      </c>
    </row>
    <row r="5567" spans="5:5" x14ac:dyDescent="0.25">
      <c r="E5567" s="82" t="s">
        <v>6538</v>
      </c>
    </row>
    <row r="5568" spans="5:5" x14ac:dyDescent="0.25">
      <c r="E5568" s="82" t="s">
        <v>6539</v>
      </c>
    </row>
    <row r="5569" spans="5:5" x14ac:dyDescent="0.25">
      <c r="E5569" s="82" t="s">
        <v>6540</v>
      </c>
    </row>
    <row r="5570" spans="5:5" x14ac:dyDescent="0.25">
      <c r="E5570" s="82" t="s">
        <v>6541</v>
      </c>
    </row>
    <row r="5571" spans="5:5" x14ac:dyDescent="0.25">
      <c r="E5571" s="82" t="s">
        <v>6542</v>
      </c>
    </row>
    <row r="5572" spans="5:5" x14ac:dyDescent="0.25">
      <c r="E5572" s="82" t="s">
        <v>6543</v>
      </c>
    </row>
    <row r="5573" spans="5:5" x14ac:dyDescent="0.25">
      <c r="E5573" s="82" t="s">
        <v>6544</v>
      </c>
    </row>
    <row r="5574" spans="5:5" x14ac:dyDescent="0.25">
      <c r="E5574" s="82" t="s">
        <v>6545</v>
      </c>
    </row>
    <row r="5575" spans="5:5" x14ac:dyDescent="0.25">
      <c r="E5575" s="82" t="s">
        <v>6546</v>
      </c>
    </row>
    <row r="5576" spans="5:5" x14ac:dyDescent="0.25">
      <c r="E5576" s="82" t="s">
        <v>6547</v>
      </c>
    </row>
    <row r="5577" spans="5:5" x14ac:dyDescent="0.25">
      <c r="E5577" s="82" t="s">
        <v>6548</v>
      </c>
    </row>
    <row r="5578" spans="5:5" x14ac:dyDescent="0.25">
      <c r="E5578" s="82" t="s">
        <v>6549</v>
      </c>
    </row>
    <row r="5579" spans="5:5" x14ac:dyDescent="0.25">
      <c r="E5579" s="82" t="s">
        <v>6550</v>
      </c>
    </row>
    <row r="5580" spans="5:5" x14ac:dyDescent="0.25">
      <c r="E5580" s="82" t="s">
        <v>6551</v>
      </c>
    </row>
    <row r="5581" spans="5:5" x14ac:dyDescent="0.25">
      <c r="E5581" s="82" t="s">
        <v>6552</v>
      </c>
    </row>
    <row r="5582" spans="5:5" x14ac:dyDescent="0.25">
      <c r="E5582" s="82" t="s">
        <v>6553</v>
      </c>
    </row>
    <row r="5583" spans="5:5" x14ac:dyDescent="0.25">
      <c r="E5583" s="82" t="s">
        <v>6554</v>
      </c>
    </row>
    <row r="5584" spans="5:5" x14ac:dyDescent="0.25">
      <c r="E5584" s="82" t="s">
        <v>6555</v>
      </c>
    </row>
    <row r="5585" spans="5:5" x14ac:dyDescent="0.25">
      <c r="E5585" s="82" t="s">
        <v>6556</v>
      </c>
    </row>
    <row r="5586" spans="5:5" x14ac:dyDescent="0.25">
      <c r="E5586" s="82" t="s">
        <v>6557</v>
      </c>
    </row>
    <row r="5587" spans="5:5" x14ac:dyDescent="0.25">
      <c r="E5587" s="82" t="s">
        <v>6558</v>
      </c>
    </row>
    <row r="5588" spans="5:5" x14ac:dyDescent="0.25">
      <c r="E5588" s="82" t="s">
        <v>6559</v>
      </c>
    </row>
    <row r="5589" spans="5:5" x14ac:dyDescent="0.25">
      <c r="E5589" s="82" t="s">
        <v>6560</v>
      </c>
    </row>
    <row r="5590" spans="5:5" x14ac:dyDescent="0.25">
      <c r="E5590" s="82" t="s">
        <v>6561</v>
      </c>
    </row>
    <row r="5591" spans="5:5" x14ac:dyDescent="0.25">
      <c r="E5591" s="82" t="s">
        <v>6562</v>
      </c>
    </row>
    <row r="5592" spans="5:5" x14ac:dyDescent="0.25">
      <c r="E5592" s="82" t="s">
        <v>6563</v>
      </c>
    </row>
    <row r="5593" spans="5:5" x14ac:dyDescent="0.25">
      <c r="E5593" s="82" t="s">
        <v>6564</v>
      </c>
    </row>
    <row r="5594" spans="5:5" x14ac:dyDescent="0.25">
      <c r="E5594" s="82" t="s">
        <v>6565</v>
      </c>
    </row>
    <row r="5595" spans="5:5" x14ac:dyDescent="0.25">
      <c r="E5595" s="82" t="s">
        <v>6566</v>
      </c>
    </row>
    <row r="5596" spans="5:5" x14ac:dyDescent="0.25">
      <c r="E5596" s="82" t="s">
        <v>6567</v>
      </c>
    </row>
    <row r="5597" spans="5:5" x14ac:dyDescent="0.25">
      <c r="E5597" s="82" t="s">
        <v>6568</v>
      </c>
    </row>
    <row r="5598" spans="5:5" x14ac:dyDescent="0.25">
      <c r="E5598" s="82" t="s">
        <v>6569</v>
      </c>
    </row>
    <row r="5599" spans="5:5" x14ac:dyDescent="0.25">
      <c r="E5599" s="82" t="s">
        <v>6570</v>
      </c>
    </row>
    <row r="5600" spans="5:5" x14ac:dyDescent="0.25">
      <c r="E5600" s="82" t="s">
        <v>6571</v>
      </c>
    </row>
    <row r="5601" spans="5:5" x14ac:dyDescent="0.25">
      <c r="E5601" s="82" t="s">
        <v>6572</v>
      </c>
    </row>
    <row r="5602" spans="5:5" x14ac:dyDescent="0.25">
      <c r="E5602" s="82" t="s">
        <v>6573</v>
      </c>
    </row>
    <row r="5603" spans="5:5" x14ac:dyDescent="0.25">
      <c r="E5603" s="82" t="s">
        <v>6574</v>
      </c>
    </row>
    <row r="5604" spans="5:5" x14ac:dyDescent="0.25">
      <c r="E5604" s="82" t="s">
        <v>6575</v>
      </c>
    </row>
    <row r="5605" spans="5:5" x14ac:dyDescent="0.25">
      <c r="E5605" s="82" t="s">
        <v>6576</v>
      </c>
    </row>
    <row r="5606" spans="5:5" x14ac:dyDescent="0.25">
      <c r="E5606" s="82" t="s">
        <v>6577</v>
      </c>
    </row>
    <row r="5607" spans="5:5" x14ac:dyDescent="0.25">
      <c r="E5607" s="82" t="s">
        <v>6578</v>
      </c>
    </row>
    <row r="5608" spans="5:5" x14ac:dyDescent="0.25">
      <c r="E5608" s="82" t="s">
        <v>6579</v>
      </c>
    </row>
    <row r="5609" spans="5:5" x14ac:dyDescent="0.25">
      <c r="E5609" s="82" t="s">
        <v>6580</v>
      </c>
    </row>
    <row r="5610" spans="5:5" x14ac:dyDescent="0.25">
      <c r="E5610" s="82" t="s">
        <v>6581</v>
      </c>
    </row>
    <row r="5611" spans="5:5" x14ac:dyDescent="0.25">
      <c r="E5611" s="82" t="s">
        <v>6582</v>
      </c>
    </row>
    <row r="5612" spans="5:5" x14ac:dyDescent="0.25">
      <c r="E5612" s="82" t="s">
        <v>6583</v>
      </c>
    </row>
    <row r="5613" spans="5:5" x14ac:dyDescent="0.25">
      <c r="E5613" s="82" t="s">
        <v>6584</v>
      </c>
    </row>
    <row r="5614" spans="5:5" x14ac:dyDescent="0.25">
      <c r="E5614" s="82" t="s">
        <v>6585</v>
      </c>
    </row>
    <row r="5615" spans="5:5" x14ac:dyDescent="0.25">
      <c r="E5615" s="82" t="s">
        <v>6586</v>
      </c>
    </row>
    <row r="5616" spans="5:5" x14ac:dyDescent="0.25">
      <c r="E5616" s="82" t="s">
        <v>6587</v>
      </c>
    </row>
    <row r="5617" spans="5:5" x14ac:dyDescent="0.25">
      <c r="E5617" s="82" t="s">
        <v>6588</v>
      </c>
    </row>
    <row r="5618" spans="5:5" x14ac:dyDescent="0.25">
      <c r="E5618" s="82" t="s">
        <v>6589</v>
      </c>
    </row>
    <row r="5619" spans="5:5" x14ac:dyDescent="0.25">
      <c r="E5619" s="82" t="s">
        <v>6590</v>
      </c>
    </row>
    <row r="5620" spans="5:5" x14ac:dyDescent="0.25">
      <c r="E5620" s="82" t="s">
        <v>6591</v>
      </c>
    </row>
    <row r="5621" spans="5:5" x14ac:dyDescent="0.25">
      <c r="E5621" s="82" t="s">
        <v>6592</v>
      </c>
    </row>
    <row r="5622" spans="5:5" x14ac:dyDescent="0.25">
      <c r="E5622" s="82" t="s">
        <v>6593</v>
      </c>
    </row>
    <row r="5623" spans="5:5" x14ac:dyDescent="0.25">
      <c r="E5623" s="82" t="s">
        <v>6594</v>
      </c>
    </row>
    <row r="5624" spans="5:5" x14ac:dyDescent="0.25">
      <c r="E5624" s="82" t="s">
        <v>6595</v>
      </c>
    </row>
    <row r="5625" spans="5:5" x14ac:dyDescent="0.25">
      <c r="E5625" s="82" t="s">
        <v>6596</v>
      </c>
    </row>
    <row r="5626" spans="5:5" x14ac:dyDescent="0.25">
      <c r="E5626" s="82" t="s">
        <v>6597</v>
      </c>
    </row>
    <row r="5627" spans="5:5" x14ac:dyDescent="0.25">
      <c r="E5627" s="82" t="s">
        <v>6598</v>
      </c>
    </row>
    <row r="5628" spans="5:5" x14ac:dyDescent="0.25">
      <c r="E5628" s="82" t="s">
        <v>6599</v>
      </c>
    </row>
    <row r="5629" spans="5:5" x14ac:dyDescent="0.25">
      <c r="E5629" s="82" t="s">
        <v>6600</v>
      </c>
    </row>
    <row r="5630" spans="5:5" x14ac:dyDescent="0.25">
      <c r="E5630" s="82" t="s">
        <v>6601</v>
      </c>
    </row>
    <row r="5631" spans="5:5" x14ac:dyDescent="0.25">
      <c r="E5631" s="82" t="s">
        <v>6602</v>
      </c>
    </row>
    <row r="5632" spans="5:5" x14ac:dyDescent="0.25">
      <c r="E5632" s="82" t="s">
        <v>6603</v>
      </c>
    </row>
    <row r="5633" spans="5:5" x14ac:dyDescent="0.25">
      <c r="E5633" s="82" t="s">
        <v>6604</v>
      </c>
    </row>
    <row r="5634" spans="5:5" x14ac:dyDescent="0.25">
      <c r="E5634" s="82" t="s">
        <v>6605</v>
      </c>
    </row>
    <row r="5635" spans="5:5" x14ac:dyDescent="0.25">
      <c r="E5635" s="82" t="s">
        <v>6606</v>
      </c>
    </row>
    <row r="5636" spans="5:5" x14ac:dyDescent="0.25">
      <c r="E5636" s="82" t="s">
        <v>6607</v>
      </c>
    </row>
    <row r="5637" spans="5:5" x14ac:dyDescent="0.25">
      <c r="E5637" s="82" t="s">
        <v>6608</v>
      </c>
    </row>
    <row r="5638" spans="5:5" x14ac:dyDescent="0.25">
      <c r="E5638" s="82" t="s">
        <v>6609</v>
      </c>
    </row>
    <row r="5639" spans="5:5" x14ac:dyDescent="0.25">
      <c r="E5639" s="82" t="s">
        <v>6610</v>
      </c>
    </row>
    <row r="5640" spans="5:5" x14ac:dyDescent="0.25">
      <c r="E5640" s="82" t="s">
        <v>6611</v>
      </c>
    </row>
    <row r="5641" spans="5:5" x14ac:dyDescent="0.25">
      <c r="E5641" s="82" t="s">
        <v>6612</v>
      </c>
    </row>
    <row r="5642" spans="5:5" x14ac:dyDescent="0.25">
      <c r="E5642" s="82" t="s">
        <v>6613</v>
      </c>
    </row>
    <row r="5643" spans="5:5" x14ac:dyDescent="0.25">
      <c r="E5643" s="82" t="s">
        <v>6614</v>
      </c>
    </row>
    <row r="5644" spans="5:5" x14ac:dyDescent="0.25">
      <c r="E5644" s="82" t="s">
        <v>6615</v>
      </c>
    </row>
    <row r="5645" spans="5:5" x14ac:dyDescent="0.25">
      <c r="E5645" s="82" t="s">
        <v>6616</v>
      </c>
    </row>
    <row r="5646" spans="5:5" x14ac:dyDescent="0.25">
      <c r="E5646" s="82" t="s">
        <v>6617</v>
      </c>
    </row>
    <row r="5647" spans="5:5" x14ac:dyDescent="0.25">
      <c r="E5647" s="82" t="s">
        <v>6618</v>
      </c>
    </row>
    <row r="5648" spans="5:5" x14ac:dyDescent="0.25">
      <c r="E5648" s="82" t="s">
        <v>6619</v>
      </c>
    </row>
    <row r="5649" spans="5:5" x14ac:dyDescent="0.25">
      <c r="E5649" s="82" t="s">
        <v>6620</v>
      </c>
    </row>
    <row r="5650" spans="5:5" x14ac:dyDescent="0.25">
      <c r="E5650" s="82" t="s">
        <v>6621</v>
      </c>
    </row>
    <row r="5651" spans="5:5" x14ac:dyDescent="0.25">
      <c r="E5651" s="82" t="s">
        <v>6622</v>
      </c>
    </row>
    <row r="5652" spans="5:5" x14ac:dyDescent="0.25">
      <c r="E5652" s="82" t="s">
        <v>6623</v>
      </c>
    </row>
    <row r="5653" spans="5:5" x14ac:dyDescent="0.25">
      <c r="E5653" s="82" t="s">
        <v>6624</v>
      </c>
    </row>
    <row r="5654" spans="5:5" x14ac:dyDescent="0.25">
      <c r="E5654" s="82" t="s">
        <v>6625</v>
      </c>
    </row>
    <row r="5655" spans="5:5" x14ac:dyDescent="0.25">
      <c r="E5655" s="82" t="s">
        <v>6626</v>
      </c>
    </row>
    <row r="5656" spans="5:5" x14ac:dyDescent="0.25">
      <c r="E5656" s="82" t="s">
        <v>6627</v>
      </c>
    </row>
    <row r="5657" spans="5:5" x14ac:dyDescent="0.25">
      <c r="E5657" s="82" t="s">
        <v>6628</v>
      </c>
    </row>
    <row r="5658" spans="5:5" x14ac:dyDescent="0.25">
      <c r="E5658" s="82" t="s">
        <v>6629</v>
      </c>
    </row>
    <row r="5659" spans="5:5" x14ac:dyDescent="0.25">
      <c r="E5659" s="82" t="s">
        <v>6630</v>
      </c>
    </row>
    <row r="5660" spans="5:5" x14ac:dyDescent="0.25">
      <c r="E5660" s="82" t="s">
        <v>6631</v>
      </c>
    </row>
    <row r="5661" spans="5:5" x14ac:dyDescent="0.25">
      <c r="E5661" s="82" t="s">
        <v>6632</v>
      </c>
    </row>
    <row r="5662" spans="5:5" x14ac:dyDescent="0.25">
      <c r="E5662" s="82" t="s">
        <v>6633</v>
      </c>
    </row>
    <row r="5663" spans="5:5" x14ac:dyDescent="0.25">
      <c r="E5663" s="82" t="s">
        <v>6634</v>
      </c>
    </row>
    <row r="5664" spans="5:5" x14ac:dyDescent="0.25">
      <c r="E5664" s="82" t="s">
        <v>6635</v>
      </c>
    </row>
    <row r="5665" spans="5:5" x14ac:dyDescent="0.25">
      <c r="E5665" s="82" t="s">
        <v>6636</v>
      </c>
    </row>
    <row r="5666" spans="5:5" x14ac:dyDescent="0.25">
      <c r="E5666" s="82" t="s">
        <v>6637</v>
      </c>
    </row>
    <row r="5667" spans="5:5" x14ac:dyDescent="0.25">
      <c r="E5667" s="82" t="s">
        <v>6638</v>
      </c>
    </row>
    <row r="5668" spans="5:5" x14ac:dyDescent="0.25">
      <c r="E5668" s="82" t="s">
        <v>6639</v>
      </c>
    </row>
    <row r="5669" spans="5:5" x14ac:dyDescent="0.25">
      <c r="E5669" s="82" t="s">
        <v>6640</v>
      </c>
    </row>
    <row r="5670" spans="5:5" x14ac:dyDescent="0.25">
      <c r="E5670" s="82" t="s">
        <v>6641</v>
      </c>
    </row>
    <row r="5671" spans="5:5" x14ac:dyDescent="0.25">
      <c r="E5671" s="82" t="s">
        <v>6642</v>
      </c>
    </row>
    <row r="5672" spans="5:5" x14ac:dyDescent="0.25">
      <c r="E5672" s="82" t="s">
        <v>6643</v>
      </c>
    </row>
    <row r="5673" spans="5:5" x14ac:dyDescent="0.25">
      <c r="E5673" s="82" t="s">
        <v>6644</v>
      </c>
    </row>
    <row r="5674" spans="5:5" x14ac:dyDescent="0.25">
      <c r="E5674" s="82" t="s">
        <v>6645</v>
      </c>
    </row>
    <row r="5675" spans="5:5" x14ac:dyDescent="0.25">
      <c r="E5675" s="82" t="s">
        <v>6646</v>
      </c>
    </row>
    <row r="5676" spans="5:5" x14ac:dyDescent="0.25">
      <c r="E5676" s="82" t="s">
        <v>6647</v>
      </c>
    </row>
    <row r="5677" spans="5:5" x14ac:dyDescent="0.25">
      <c r="E5677" s="82" t="s">
        <v>6648</v>
      </c>
    </row>
    <row r="5678" spans="5:5" x14ac:dyDescent="0.25">
      <c r="E5678" s="82" t="s">
        <v>6649</v>
      </c>
    </row>
    <row r="5679" spans="5:5" x14ac:dyDescent="0.25">
      <c r="E5679" s="82" t="s">
        <v>6650</v>
      </c>
    </row>
    <row r="5680" spans="5:5" x14ac:dyDescent="0.25">
      <c r="E5680" s="82" t="s">
        <v>6651</v>
      </c>
    </row>
    <row r="5681" spans="5:5" x14ac:dyDescent="0.25">
      <c r="E5681" s="82" t="s">
        <v>6652</v>
      </c>
    </row>
    <row r="5682" spans="5:5" x14ac:dyDescent="0.25">
      <c r="E5682" s="82" t="s">
        <v>6653</v>
      </c>
    </row>
    <row r="5683" spans="5:5" x14ac:dyDescent="0.25">
      <c r="E5683" s="82" t="s">
        <v>6654</v>
      </c>
    </row>
    <row r="5684" spans="5:5" x14ac:dyDescent="0.25">
      <c r="E5684" s="82" t="s">
        <v>6655</v>
      </c>
    </row>
    <row r="5685" spans="5:5" x14ac:dyDescent="0.25">
      <c r="E5685" s="82" t="s">
        <v>6656</v>
      </c>
    </row>
    <row r="5686" spans="5:5" x14ac:dyDescent="0.25">
      <c r="E5686" s="82" t="s">
        <v>6657</v>
      </c>
    </row>
    <row r="5687" spans="5:5" x14ac:dyDescent="0.25">
      <c r="E5687" s="82" t="s">
        <v>6658</v>
      </c>
    </row>
    <row r="5688" spans="5:5" x14ac:dyDescent="0.25">
      <c r="E5688" s="82" t="s">
        <v>6659</v>
      </c>
    </row>
    <row r="5689" spans="5:5" x14ac:dyDescent="0.25">
      <c r="E5689" s="82" t="s">
        <v>6660</v>
      </c>
    </row>
    <row r="5690" spans="5:5" x14ac:dyDescent="0.25">
      <c r="E5690" s="82" t="s">
        <v>6661</v>
      </c>
    </row>
    <row r="5691" spans="5:5" x14ac:dyDescent="0.25">
      <c r="E5691" s="82" t="s">
        <v>6662</v>
      </c>
    </row>
    <row r="5692" spans="5:5" x14ac:dyDescent="0.25">
      <c r="E5692" s="82" t="s">
        <v>6663</v>
      </c>
    </row>
    <row r="5693" spans="5:5" x14ac:dyDescent="0.25">
      <c r="E5693" s="82" t="s">
        <v>6664</v>
      </c>
    </row>
    <row r="5694" spans="5:5" x14ac:dyDescent="0.25">
      <c r="E5694" s="82" t="s">
        <v>6665</v>
      </c>
    </row>
    <row r="5695" spans="5:5" x14ac:dyDescent="0.25">
      <c r="E5695" s="82" t="s">
        <v>6666</v>
      </c>
    </row>
    <row r="5696" spans="5:5" x14ac:dyDescent="0.25">
      <c r="E5696" s="82" t="s">
        <v>6667</v>
      </c>
    </row>
    <row r="5697" spans="5:5" x14ac:dyDescent="0.25">
      <c r="E5697" s="82" t="s">
        <v>6668</v>
      </c>
    </row>
    <row r="5698" spans="5:5" x14ac:dyDescent="0.25">
      <c r="E5698" s="82" t="s">
        <v>6669</v>
      </c>
    </row>
    <row r="5699" spans="5:5" x14ac:dyDescent="0.25">
      <c r="E5699" s="82" t="s">
        <v>6670</v>
      </c>
    </row>
    <row r="5700" spans="5:5" x14ac:dyDescent="0.25">
      <c r="E5700" s="82" t="s">
        <v>6671</v>
      </c>
    </row>
    <row r="5701" spans="5:5" x14ac:dyDescent="0.25">
      <c r="E5701" s="82" t="s">
        <v>6672</v>
      </c>
    </row>
    <row r="5702" spans="5:5" x14ac:dyDescent="0.25">
      <c r="E5702" s="82" t="s">
        <v>6673</v>
      </c>
    </row>
    <row r="5703" spans="5:5" x14ac:dyDescent="0.25">
      <c r="E5703" s="82" t="s">
        <v>6674</v>
      </c>
    </row>
    <row r="5704" spans="5:5" x14ac:dyDescent="0.25">
      <c r="E5704" s="82" t="s">
        <v>6675</v>
      </c>
    </row>
    <row r="5705" spans="5:5" x14ac:dyDescent="0.25">
      <c r="E5705" s="82" t="s">
        <v>6676</v>
      </c>
    </row>
    <row r="5706" spans="5:5" x14ac:dyDescent="0.25">
      <c r="E5706" s="82" t="s">
        <v>6677</v>
      </c>
    </row>
    <row r="5707" spans="5:5" x14ac:dyDescent="0.25">
      <c r="E5707" s="82" t="s">
        <v>6678</v>
      </c>
    </row>
    <row r="5708" spans="5:5" x14ac:dyDescent="0.25">
      <c r="E5708" s="82" t="s">
        <v>6679</v>
      </c>
    </row>
    <row r="5709" spans="5:5" x14ac:dyDescent="0.25">
      <c r="E5709" s="82" t="s">
        <v>6680</v>
      </c>
    </row>
    <row r="5710" spans="5:5" x14ac:dyDescent="0.25">
      <c r="E5710" s="82" t="s">
        <v>6681</v>
      </c>
    </row>
    <row r="5711" spans="5:5" x14ac:dyDescent="0.25">
      <c r="E5711" s="82" t="s">
        <v>6682</v>
      </c>
    </row>
    <row r="5712" spans="5:5" x14ac:dyDescent="0.25">
      <c r="E5712" s="82" t="s">
        <v>6683</v>
      </c>
    </row>
    <row r="5713" spans="5:5" x14ac:dyDescent="0.25">
      <c r="E5713" s="82" t="s">
        <v>6684</v>
      </c>
    </row>
    <row r="5714" spans="5:5" x14ac:dyDescent="0.25">
      <c r="E5714" s="82" t="s">
        <v>6685</v>
      </c>
    </row>
    <row r="5715" spans="5:5" x14ac:dyDescent="0.25">
      <c r="E5715" s="82" t="s">
        <v>6686</v>
      </c>
    </row>
    <row r="5716" spans="5:5" x14ac:dyDescent="0.25">
      <c r="E5716" s="82" t="s">
        <v>6687</v>
      </c>
    </row>
    <row r="5717" spans="5:5" x14ac:dyDescent="0.25">
      <c r="E5717" s="82" t="s">
        <v>6688</v>
      </c>
    </row>
    <row r="5718" spans="5:5" x14ac:dyDescent="0.25">
      <c r="E5718" s="82" t="s">
        <v>6689</v>
      </c>
    </row>
    <row r="5719" spans="5:5" x14ac:dyDescent="0.25">
      <c r="E5719" s="82" t="s">
        <v>6690</v>
      </c>
    </row>
    <row r="5720" spans="5:5" x14ac:dyDescent="0.25">
      <c r="E5720" s="82" t="s">
        <v>6691</v>
      </c>
    </row>
    <row r="5721" spans="5:5" x14ac:dyDescent="0.25">
      <c r="E5721" s="82" t="s">
        <v>6692</v>
      </c>
    </row>
    <row r="5722" spans="5:5" x14ac:dyDescent="0.25">
      <c r="E5722" s="82" t="s">
        <v>6693</v>
      </c>
    </row>
    <row r="5723" spans="5:5" x14ac:dyDescent="0.25">
      <c r="E5723" s="82" t="s">
        <v>6694</v>
      </c>
    </row>
    <row r="5724" spans="5:5" x14ac:dyDescent="0.25">
      <c r="E5724" s="82" t="s">
        <v>6695</v>
      </c>
    </row>
    <row r="5725" spans="5:5" x14ac:dyDescent="0.25">
      <c r="E5725" s="82" t="s">
        <v>6696</v>
      </c>
    </row>
    <row r="5726" spans="5:5" x14ac:dyDescent="0.25">
      <c r="E5726" s="82" t="s">
        <v>6697</v>
      </c>
    </row>
    <row r="5727" spans="5:5" x14ac:dyDescent="0.25">
      <c r="E5727" s="82" t="s">
        <v>6698</v>
      </c>
    </row>
    <row r="5728" spans="5:5" x14ac:dyDescent="0.25">
      <c r="E5728" s="82" t="s">
        <v>6699</v>
      </c>
    </row>
    <row r="5729" spans="5:5" x14ac:dyDescent="0.25">
      <c r="E5729" s="82" t="s">
        <v>6700</v>
      </c>
    </row>
    <row r="5730" spans="5:5" x14ac:dyDescent="0.25">
      <c r="E5730" s="82" t="s">
        <v>6701</v>
      </c>
    </row>
    <row r="5731" spans="5:5" x14ac:dyDescent="0.25">
      <c r="E5731" s="82" t="s">
        <v>6702</v>
      </c>
    </row>
    <row r="5732" spans="5:5" x14ac:dyDescent="0.25">
      <c r="E5732" s="82" t="s">
        <v>6703</v>
      </c>
    </row>
    <row r="5733" spans="5:5" x14ac:dyDescent="0.25">
      <c r="E5733" s="82" t="s">
        <v>6704</v>
      </c>
    </row>
    <row r="5734" spans="5:5" x14ac:dyDescent="0.25">
      <c r="E5734" s="82" t="s">
        <v>6705</v>
      </c>
    </row>
    <row r="5735" spans="5:5" x14ac:dyDescent="0.25">
      <c r="E5735" s="82" t="s">
        <v>6706</v>
      </c>
    </row>
    <row r="5736" spans="5:5" x14ac:dyDescent="0.25">
      <c r="E5736" s="82" t="s">
        <v>6707</v>
      </c>
    </row>
    <row r="5737" spans="5:5" x14ac:dyDescent="0.25">
      <c r="E5737" s="82" t="s">
        <v>6708</v>
      </c>
    </row>
    <row r="5738" spans="5:5" x14ac:dyDescent="0.25">
      <c r="E5738" s="82" t="s">
        <v>6709</v>
      </c>
    </row>
    <row r="5739" spans="5:5" x14ac:dyDescent="0.25">
      <c r="E5739" s="82" t="s">
        <v>6710</v>
      </c>
    </row>
    <row r="5740" spans="5:5" x14ac:dyDescent="0.25">
      <c r="E5740" s="82" t="s">
        <v>6711</v>
      </c>
    </row>
    <row r="5741" spans="5:5" x14ac:dyDescent="0.25">
      <c r="E5741" s="82" t="s">
        <v>6712</v>
      </c>
    </row>
    <row r="5742" spans="5:5" x14ac:dyDescent="0.25">
      <c r="E5742" s="82" t="s">
        <v>6713</v>
      </c>
    </row>
    <row r="5743" spans="5:5" x14ac:dyDescent="0.25">
      <c r="E5743" s="82" t="s">
        <v>6714</v>
      </c>
    </row>
    <row r="5744" spans="5:5" x14ac:dyDescent="0.25">
      <c r="E5744" s="82" t="s">
        <v>6715</v>
      </c>
    </row>
    <row r="5745" spans="5:5" x14ac:dyDescent="0.25">
      <c r="E5745" s="82" t="s">
        <v>6716</v>
      </c>
    </row>
    <row r="5746" spans="5:5" x14ac:dyDescent="0.25">
      <c r="E5746" s="82" t="s">
        <v>6717</v>
      </c>
    </row>
    <row r="5747" spans="5:5" x14ac:dyDescent="0.25">
      <c r="E5747" s="82" t="s">
        <v>6718</v>
      </c>
    </row>
    <row r="5748" spans="5:5" x14ac:dyDescent="0.25">
      <c r="E5748" s="82" t="s">
        <v>6719</v>
      </c>
    </row>
    <row r="5749" spans="5:5" x14ac:dyDescent="0.25">
      <c r="E5749" s="82" t="s">
        <v>6720</v>
      </c>
    </row>
    <row r="5750" spans="5:5" x14ac:dyDescent="0.25">
      <c r="E5750" s="82" t="s">
        <v>6721</v>
      </c>
    </row>
    <row r="5751" spans="5:5" x14ac:dyDescent="0.25">
      <c r="E5751" s="82" t="s">
        <v>6722</v>
      </c>
    </row>
    <row r="5752" spans="5:5" x14ac:dyDescent="0.25">
      <c r="E5752" s="82" t="s">
        <v>6723</v>
      </c>
    </row>
    <row r="5753" spans="5:5" x14ac:dyDescent="0.25">
      <c r="E5753" s="82" t="s">
        <v>6724</v>
      </c>
    </row>
    <row r="5754" spans="5:5" x14ac:dyDescent="0.25">
      <c r="E5754" s="82" t="s">
        <v>6725</v>
      </c>
    </row>
    <row r="5755" spans="5:5" x14ac:dyDescent="0.25">
      <c r="E5755" s="82" t="s">
        <v>6726</v>
      </c>
    </row>
    <row r="5756" spans="5:5" x14ac:dyDescent="0.25">
      <c r="E5756" s="82" t="s">
        <v>6727</v>
      </c>
    </row>
    <row r="5757" spans="5:5" x14ac:dyDescent="0.25">
      <c r="E5757" s="82" t="s">
        <v>6728</v>
      </c>
    </row>
    <row r="5758" spans="5:5" x14ac:dyDescent="0.25">
      <c r="E5758" s="82" t="s">
        <v>6729</v>
      </c>
    </row>
    <row r="5759" spans="5:5" x14ac:dyDescent="0.25">
      <c r="E5759" s="82" t="s">
        <v>6730</v>
      </c>
    </row>
    <row r="5760" spans="5:5" x14ac:dyDescent="0.25">
      <c r="E5760" s="82" t="s">
        <v>6731</v>
      </c>
    </row>
    <row r="5761" spans="5:5" x14ac:dyDescent="0.25">
      <c r="E5761" s="82" t="s">
        <v>6732</v>
      </c>
    </row>
    <row r="5762" spans="5:5" x14ac:dyDescent="0.25">
      <c r="E5762" s="82" t="s">
        <v>6733</v>
      </c>
    </row>
    <row r="5763" spans="5:5" x14ac:dyDescent="0.25">
      <c r="E5763" s="82" t="s">
        <v>6734</v>
      </c>
    </row>
    <row r="5764" spans="5:5" x14ac:dyDescent="0.25">
      <c r="E5764" s="82" t="s">
        <v>6735</v>
      </c>
    </row>
    <row r="5765" spans="5:5" x14ac:dyDescent="0.25">
      <c r="E5765" s="82" t="s">
        <v>6736</v>
      </c>
    </row>
    <row r="5766" spans="5:5" x14ac:dyDescent="0.25">
      <c r="E5766" s="82" t="s">
        <v>6737</v>
      </c>
    </row>
    <row r="5767" spans="5:5" x14ac:dyDescent="0.25">
      <c r="E5767" s="82" t="s">
        <v>6738</v>
      </c>
    </row>
    <row r="5768" spans="5:5" x14ac:dyDescent="0.25">
      <c r="E5768" s="82" t="s">
        <v>6739</v>
      </c>
    </row>
    <row r="5769" spans="5:5" x14ac:dyDescent="0.25">
      <c r="E5769" s="82" t="s">
        <v>6740</v>
      </c>
    </row>
    <row r="5770" spans="5:5" x14ac:dyDescent="0.25">
      <c r="E5770" s="82" t="s">
        <v>6741</v>
      </c>
    </row>
    <row r="5771" spans="5:5" x14ac:dyDescent="0.25">
      <c r="E5771" s="82" t="s">
        <v>6742</v>
      </c>
    </row>
    <row r="5772" spans="5:5" x14ac:dyDescent="0.25">
      <c r="E5772" s="82" t="s">
        <v>6743</v>
      </c>
    </row>
    <row r="5773" spans="5:5" x14ac:dyDescent="0.25">
      <c r="E5773" s="82" t="s">
        <v>6744</v>
      </c>
    </row>
    <row r="5774" spans="5:5" x14ac:dyDescent="0.25">
      <c r="E5774" s="82" t="s">
        <v>6745</v>
      </c>
    </row>
    <row r="5775" spans="5:5" x14ac:dyDescent="0.25">
      <c r="E5775" s="82" t="s">
        <v>6746</v>
      </c>
    </row>
    <row r="5776" spans="5:5" x14ac:dyDescent="0.25">
      <c r="E5776" s="82" t="s">
        <v>6747</v>
      </c>
    </row>
    <row r="5777" spans="5:5" x14ac:dyDescent="0.25">
      <c r="E5777" s="82" t="s">
        <v>6748</v>
      </c>
    </row>
    <row r="5778" spans="5:5" x14ac:dyDescent="0.25">
      <c r="E5778" s="82" t="s">
        <v>6749</v>
      </c>
    </row>
    <row r="5779" spans="5:5" x14ac:dyDescent="0.25">
      <c r="E5779" s="82" t="s">
        <v>6750</v>
      </c>
    </row>
    <row r="5780" spans="5:5" x14ac:dyDescent="0.25">
      <c r="E5780" s="82" t="s">
        <v>6751</v>
      </c>
    </row>
    <row r="5781" spans="5:5" x14ac:dyDescent="0.25">
      <c r="E5781" s="82" t="s">
        <v>6752</v>
      </c>
    </row>
    <row r="5782" spans="5:5" x14ac:dyDescent="0.25">
      <c r="E5782" s="82" t="s">
        <v>6753</v>
      </c>
    </row>
    <row r="5783" spans="5:5" x14ac:dyDescent="0.25">
      <c r="E5783" s="82" t="s">
        <v>6754</v>
      </c>
    </row>
    <row r="5784" spans="5:5" x14ac:dyDescent="0.25">
      <c r="E5784" s="82" t="s">
        <v>6755</v>
      </c>
    </row>
    <row r="5785" spans="5:5" x14ac:dyDescent="0.25">
      <c r="E5785" s="82" t="s">
        <v>6756</v>
      </c>
    </row>
    <row r="5786" spans="5:5" x14ac:dyDescent="0.25">
      <c r="E5786" s="82" t="s">
        <v>6757</v>
      </c>
    </row>
    <row r="5787" spans="5:5" x14ac:dyDescent="0.25">
      <c r="E5787" s="82" t="s">
        <v>6758</v>
      </c>
    </row>
    <row r="5788" spans="5:5" x14ac:dyDescent="0.25">
      <c r="E5788" s="82" t="s">
        <v>6759</v>
      </c>
    </row>
    <row r="5789" spans="5:5" x14ac:dyDescent="0.25">
      <c r="E5789" s="82" t="s">
        <v>6760</v>
      </c>
    </row>
    <row r="5790" spans="5:5" x14ac:dyDescent="0.25">
      <c r="E5790" s="82" t="s">
        <v>6761</v>
      </c>
    </row>
    <row r="5791" spans="5:5" x14ac:dyDescent="0.25">
      <c r="E5791" s="82" t="s">
        <v>6762</v>
      </c>
    </row>
    <row r="5792" spans="5:5" x14ac:dyDescent="0.25">
      <c r="E5792" s="82" t="s">
        <v>6763</v>
      </c>
    </row>
    <row r="5793" spans="5:5" x14ac:dyDescent="0.25">
      <c r="E5793" s="82" t="s">
        <v>6764</v>
      </c>
    </row>
    <row r="5794" spans="5:5" x14ac:dyDescent="0.25">
      <c r="E5794" s="82" t="s">
        <v>6765</v>
      </c>
    </row>
    <row r="5795" spans="5:5" x14ac:dyDescent="0.25">
      <c r="E5795" s="82" t="s">
        <v>6766</v>
      </c>
    </row>
    <row r="5796" spans="5:5" x14ac:dyDescent="0.25">
      <c r="E5796" s="82" t="s">
        <v>6767</v>
      </c>
    </row>
    <row r="5797" spans="5:5" x14ac:dyDescent="0.25">
      <c r="E5797" s="82" t="s">
        <v>6768</v>
      </c>
    </row>
    <row r="5798" spans="5:5" x14ac:dyDescent="0.25">
      <c r="E5798" s="82" t="s">
        <v>6769</v>
      </c>
    </row>
    <row r="5799" spans="5:5" x14ac:dyDescent="0.25">
      <c r="E5799" s="82" t="s">
        <v>6770</v>
      </c>
    </row>
    <row r="5800" spans="5:5" x14ac:dyDescent="0.25">
      <c r="E5800" s="82" t="s">
        <v>6771</v>
      </c>
    </row>
    <row r="5801" spans="5:5" x14ac:dyDescent="0.25">
      <c r="E5801" s="82" t="s">
        <v>6772</v>
      </c>
    </row>
    <row r="5802" spans="5:5" x14ac:dyDescent="0.25">
      <c r="E5802" s="82" t="s">
        <v>6773</v>
      </c>
    </row>
    <row r="5803" spans="5:5" x14ac:dyDescent="0.25">
      <c r="E5803" s="82" t="s">
        <v>6774</v>
      </c>
    </row>
    <row r="5804" spans="5:5" x14ac:dyDescent="0.25">
      <c r="E5804" s="82" t="s">
        <v>6775</v>
      </c>
    </row>
    <row r="5805" spans="5:5" x14ac:dyDescent="0.25">
      <c r="E5805" s="82" t="s">
        <v>6776</v>
      </c>
    </row>
    <row r="5806" spans="5:5" x14ac:dyDescent="0.25">
      <c r="E5806" s="82" t="s">
        <v>6777</v>
      </c>
    </row>
    <row r="5807" spans="5:5" x14ac:dyDescent="0.25">
      <c r="E5807" s="82" t="s">
        <v>6778</v>
      </c>
    </row>
    <row r="5808" spans="5:5" x14ac:dyDescent="0.25">
      <c r="E5808" s="82" t="s">
        <v>6779</v>
      </c>
    </row>
    <row r="5809" spans="5:5" x14ac:dyDescent="0.25">
      <c r="E5809" s="82" t="s">
        <v>6780</v>
      </c>
    </row>
    <row r="5810" spans="5:5" x14ac:dyDescent="0.25">
      <c r="E5810" s="82" t="s">
        <v>6781</v>
      </c>
    </row>
    <row r="5811" spans="5:5" x14ac:dyDescent="0.25">
      <c r="E5811" s="82" t="s">
        <v>6782</v>
      </c>
    </row>
    <row r="5812" spans="5:5" x14ac:dyDescent="0.25">
      <c r="E5812" s="82" t="s">
        <v>6783</v>
      </c>
    </row>
    <row r="5813" spans="5:5" x14ac:dyDescent="0.25">
      <c r="E5813" s="82" t="s">
        <v>6784</v>
      </c>
    </row>
    <row r="5814" spans="5:5" x14ac:dyDescent="0.25">
      <c r="E5814" s="82" t="s">
        <v>6785</v>
      </c>
    </row>
    <row r="5815" spans="5:5" x14ac:dyDescent="0.25">
      <c r="E5815" s="82" t="s">
        <v>6786</v>
      </c>
    </row>
    <row r="5816" spans="5:5" x14ac:dyDescent="0.25">
      <c r="E5816" s="82" t="s">
        <v>6787</v>
      </c>
    </row>
    <row r="5817" spans="5:5" x14ac:dyDescent="0.25">
      <c r="E5817" s="82" t="s">
        <v>6788</v>
      </c>
    </row>
    <row r="5818" spans="5:5" x14ac:dyDescent="0.25">
      <c r="E5818" s="82" t="s">
        <v>6789</v>
      </c>
    </row>
    <row r="5819" spans="5:5" x14ac:dyDescent="0.25">
      <c r="E5819" s="82" t="s">
        <v>6790</v>
      </c>
    </row>
    <row r="5820" spans="5:5" x14ac:dyDescent="0.25">
      <c r="E5820" s="82" t="s">
        <v>6791</v>
      </c>
    </row>
    <row r="5821" spans="5:5" x14ac:dyDescent="0.25">
      <c r="E5821" s="82" t="s">
        <v>6792</v>
      </c>
    </row>
    <row r="5822" spans="5:5" x14ac:dyDescent="0.25">
      <c r="E5822" s="82" t="s">
        <v>6793</v>
      </c>
    </row>
    <row r="5823" spans="5:5" x14ac:dyDescent="0.25">
      <c r="E5823" s="82" t="s">
        <v>6794</v>
      </c>
    </row>
    <row r="5824" spans="5:5" x14ac:dyDescent="0.25">
      <c r="E5824" s="82" t="s">
        <v>6795</v>
      </c>
    </row>
    <row r="5825" spans="5:5" x14ac:dyDescent="0.25">
      <c r="E5825" s="82" t="s">
        <v>6796</v>
      </c>
    </row>
    <row r="5826" spans="5:5" x14ac:dyDescent="0.25">
      <c r="E5826" s="82" t="s">
        <v>6797</v>
      </c>
    </row>
    <row r="5827" spans="5:5" x14ac:dyDescent="0.25">
      <c r="E5827" s="82" t="s">
        <v>6798</v>
      </c>
    </row>
    <row r="5828" spans="5:5" x14ac:dyDescent="0.25">
      <c r="E5828" s="82" t="s">
        <v>6799</v>
      </c>
    </row>
    <row r="5829" spans="5:5" x14ac:dyDescent="0.25">
      <c r="E5829" s="82" t="s">
        <v>6800</v>
      </c>
    </row>
    <row r="5830" spans="5:5" x14ac:dyDescent="0.25">
      <c r="E5830" s="82" t="s">
        <v>6801</v>
      </c>
    </row>
    <row r="5831" spans="5:5" x14ac:dyDescent="0.25">
      <c r="E5831" s="82" t="s">
        <v>6802</v>
      </c>
    </row>
    <row r="5832" spans="5:5" x14ac:dyDescent="0.25">
      <c r="E5832" s="82" t="s">
        <v>6803</v>
      </c>
    </row>
    <row r="5833" spans="5:5" x14ac:dyDescent="0.25">
      <c r="E5833" s="82" t="s">
        <v>6804</v>
      </c>
    </row>
    <row r="5834" spans="5:5" x14ac:dyDescent="0.25">
      <c r="E5834" s="82" t="s">
        <v>6805</v>
      </c>
    </row>
    <row r="5835" spans="5:5" x14ac:dyDescent="0.25">
      <c r="E5835" s="82" t="s">
        <v>6806</v>
      </c>
    </row>
    <row r="5836" spans="5:5" x14ac:dyDescent="0.25">
      <c r="E5836" s="82" t="s">
        <v>6807</v>
      </c>
    </row>
    <row r="5837" spans="5:5" x14ac:dyDescent="0.25">
      <c r="E5837" s="82" t="s">
        <v>6808</v>
      </c>
    </row>
    <row r="5838" spans="5:5" x14ac:dyDescent="0.25">
      <c r="E5838" s="82" t="s">
        <v>6809</v>
      </c>
    </row>
    <row r="5839" spans="5:5" x14ac:dyDescent="0.25">
      <c r="E5839" s="82" t="s">
        <v>6810</v>
      </c>
    </row>
    <row r="5840" spans="5:5" x14ac:dyDescent="0.25">
      <c r="E5840" s="82" t="s">
        <v>6811</v>
      </c>
    </row>
    <row r="5841" spans="5:5" x14ac:dyDescent="0.25">
      <c r="E5841" s="82" t="s">
        <v>6812</v>
      </c>
    </row>
    <row r="5842" spans="5:5" x14ac:dyDescent="0.25">
      <c r="E5842" s="82" t="s">
        <v>6813</v>
      </c>
    </row>
    <row r="5843" spans="5:5" x14ac:dyDescent="0.25">
      <c r="E5843" s="82" t="s">
        <v>6814</v>
      </c>
    </row>
    <row r="5844" spans="5:5" x14ac:dyDescent="0.25">
      <c r="E5844" s="82" t="s">
        <v>6815</v>
      </c>
    </row>
    <row r="5845" spans="5:5" x14ac:dyDescent="0.25">
      <c r="E5845" s="82" t="s">
        <v>6816</v>
      </c>
    </row>
    <row r="5846" spans="5:5" x14ac:dyDescent="0.25">
      <c r="E5846" s="82" t="s">
        <v>6817</v>
      </c>
    </row>
    <row r="5847" spans="5:5" x14ac:dyDescent="0.25">
      <c r="E5847" s="82" t="s">
        <v>6818</v>
      </c>
    </row>
    <row r="5848" spans="5:5" x14ac:dyDescent="0.25">
      <c r="E5848" s="82" t="s">
        <v>6819</v>
      </c>
    </row>
    <row r="5849" spans="5:5" x14ac:dyDescent="0.25">
      <c r="E5849" s="82" t="s">
        <v>6820</v>
      </c>
    </row>
    <row r="5850" spans="5:5" x14ac:dyDescent="0.25">
      <c r="E5850" s="82" t="s">
        <v>6821</v>
      </c>
    </row>
    <row r="5851" spans="5:5" x14ac:dyDescent="0.25">
      <c r="E5851" s="82" t="s">
        <v>6822</v>
      </c>
    </row>
    <row r="5852" spans="5:5" x14ac:dyDescent="0.25">
      <c r="E5852" s="82" t="s">
        <v>6823</v>
      </c>
    </row>
    <row r="5853" spans="5:5" x14ac:dyDescent="0.25">
      <c r="E5853" s="82" t="s">
        <v>6824</v>
      </c>
    </row>
    <row r="5854" spans="5:5" x14ac:dyDescent="0.25">
      <c r="E5854" s="82" t="s">
        <v>6825</v>
      </c>
    </row>
    <row r="5855" spans="5:5" x14ac:dyDescent="0.25">
      <c r="E5855" s="82" t="s">
        <v>6826</v>
      </c>
    </row>
    <row r="5856" spans="5:5" x14ac:dyDescent="0.25">
      <c r="E5856" s="82" t="s">
        <v>6827</v>
      </c>
    </row>
    <row r="5857" spans="5:5" x14ac:dyDescent="0.25">
      <c r="E5857" s="82" t="s">
        <v>6828</v>
      </c>
    </row>
    <row r="5858" spans="5:5" x14ac:dyDescent="0.25">
      <c r="E5858" s="82" t="s">
        <v>6829</v>
      </c>
    </row>
    <row r="5859" spans="5:5" x14ac:dyDescent="0.25">
      <c r="E5859" s="82" t="s">
        <v>6830</v>
      </c>
    </row>
    <row r="5860" spans="5:5" x14ac:dyDescent="0.25">
      <c r="E5860" s="82" t="s">
        <v>6831</v>
      </c>
    </row>
    <row r="5861" spans="5:5" x14ac:dyDescent="0.25">
      <c r="E5861" s="82" t="s">
        <v>6832</v>
      </c>
    </row>
    <row r="5862" spans="5:5" x14ac:dyDescent="0.25">
      <c r="E5862" s="82" t="s">
        <v>6833</v>
      </c>
    </row>
    <row r="5863" spans="5:5" x14ac:dyDescent="0.25">
      <c r="E5863" s="82" t="s">
        <v>6834</v>
      </c>
    </row>
    <row r="5864" spans="5:5" x14ac:dyDescent="0.25">
      <c r="E5864" s="82" t="s">
        <v>6835</v>
      </c>
    </row>
    <row r="5865" spans="5:5" x14ac:dyDescent="0.25">
      <c r="E5865" s="82" t="s">
        <v>6836</v>
      </c>
    </row>
    <row r="5866" spans="5:5" x14ac:dyDescent="0.25">
      <c r="E5866" s="82" t="s">
        <v>6837</v>
      </c>
    </row>
    <row r="5867" spans="5:5" x14ac:dyDescent="0.25">
      <c r="E5867" s="82" t="s">
        <v>6838</v>
      </c>
    </row>
    <row r="5868" spans="5:5" x14ac:dyDescent="0.25">
      <c r="E5868" s="82" t="s">
        <v>6839</v>
      </c>
    </row>
    <row r="5869" spans="5:5" x14ac:dyDescent="0.25">
      <c r="E5869" s="82" t="s">
        <v>6840</v>
      </c>
    </row>
    <row r="5870" spans="5:5" x14ac:dyDescent="0.25">
      <c r="E5870" s="82" t="s">
        <v>6841</v>
      </c>
    </row>
    <row r="5871" spans="5:5" x14ac:dyDescent="0.25">
      <c r="E5871" s="82" t="s">
        <v>6842</v>
      </c>
    </row>
    <row r="5872" spans="5:5" x14ac:dyDescent="0.25">
      <c r="E5872" s="82" t="s">
        <v>6843</v>
      </c>
    </row>
    <row r="5873" spans="5:5" x14ac:dyDescent="0.25">
      <c r="E5873" s="82" t="s">
        <v>6844</v>
      </c>
    </row>
    <row r="5874" spans="5:5" x14ac:dyDescent="0.25">
      <c r="E5874" s="82" t="s">
        <v>6845</v>
      </c>
    </row>
    <row r="5875" spans="5:5" x14ac:dyDescent="0.25">
      <c r="E5875" s="82" t="s">
        <v>6846</v>
      </c>
    </row>
    <row r="5876" spans="5:5" x14ac:dyDescent="0.25">
      <c r="E5876" s="82" t="s">
        <v>6847</v>
      </c>
    </row>
    <row r="5877" spans="5:5" x14ac:dyDescent="0.25">
      <c r="E5877" s="82" t="s">
        <v>6848</v>
      </c>
    </row>
    <row r="5878" spans="5:5" x14ac:dyDescent="0.25">
      <c r="E5878" s="82" t="s">
        <v>6849</v>
      </c>
    </row>
    <row r="5879" spans="5:5" x14ac:dyDescent="0.25">
      <c r="E5879" s="82" t="s">
        <v>6850</v>
      </c>
    </row>
    <row r="5880" spans="5:5" x14ac:dyDescent="0.25">
      <c r="E5880" s="82" t="s">
        <v>6851</v>
      </c>
    </row>
    <row r="5881" spans="5:5" x14ac:dyDescent="0.25">
      <c r="E5881" s="82" t="s">
        <v>6852</v>
      </c>
    </row>
    <row r="5882" spans="5:5" x14ac:dyDescent="0.25">
      <c r="E5882" s="82" t="s">
        <v>6853</v>
      </c>
    </row>
    <row r="5883" spans="5:5" x14ac:dyDescent="0.25">
      <c r="E5883" s="82" t="s">
        <v>6854</v>
      </c>
    </row>
    <row r="5884" spans="5:5" x14ac:dyDescent="0.25">
      <c r="E5884" s="82" t="s">
        <v>6855</v>
      </c>
    </row>
    <row r="5885" spans="5:5" x14ac:dyDescent="0.25">
      <c r="E5885" s="82" t="s">
        <v>6856</v>
      </c>
    </row>
    <row r="5886" spans="5:5" x14ac:dyDescent="0.25">
      <c r="E5886" s="82" t="s">
        <v>6857</v>
      </c>
    </row>
    <row r="5887" spans="5:5" x14ac:dyDescent="0.25">
      <c r="E5887" s="82" t="s">
        <v>6858</v>
      </c>
    </row>
    <row r="5888" spans="5:5" x14ac:dyDescent="0.25">
      <c r="E5888" s="82" t="s">
        <v>6859</v>
      </c>
    </row>
    <row r="5889" spans="5:5" x14ac:dyDescent="0.25">
      <c r="E5889" s="82" t="s">
        <v>6860</v>
      </c>
    </row>
    <row r="5890" spans="5:5" x14ac:dyDescent="0.25">
      <c r="E5890" s="82" t="s">
        <v>6861</v>
      </c>
    </row>
    <row r="5891" spans="5:5" x14ac:dyDescent="0.25">
      <c r="E5891" s="82" t="s">
        <v>6862</v>
      </c>
    </row>
    <row r="5892" spans="5:5" x14ac:dyDescent="0.25">
      <c r="E5892" s="82" t="s">
        <v>6863</v>
      </c>
    </row>
    <row r="5893" spans="5:5" x14ac:dyDescent="0.25">
      <c r="E5893" s="82" t="s">
        <v>6864</v>
      </c>
    </row>
    <row r="5894" spans="5:5" x14ac:dyDescent="0.25">
      <c r="E5894" s="82" t="s">
        <v>6865</v>
      </c>
    </row>
    <row r="5895" spans="5:5" x14ac:dyDescent="0.25">
      <c r="E5895" s="82" t="s">
        <v>6866</v>
      </c>
    </row>
    <row r="5896" spans="5:5" x14ac:dyDescent="0.25">
      <c r="E5896" s="82" t="s">
        <v>6867</v>
      </c>
    </row>
    <row r="5897" spans="5:5" x14ac:dyDescent="0.25">
      <c r="E5897" s="82" t="s">
        <v>6868</v>
      </c>
    </row>
    <row r="5898" spans="5:5" x14ac:dyDescent="0.25">
      <c r="E5898" s="82" t="s">
        <v>6869</v>
      </c>
    </row>
    <row r="5899" spans="5:5" x14ac:dyDescent="0.25">
      <c r="E5899" s="82" t="s">
        <v>6870</v>
      </c>
    </row>
    <row r="5900" spans="5:5" x14ac:dyDescent="0.25">
      <c r="E5900" s="82" t="s">
        <v>6871</v>
      </c>
    </row>
    <row r="5901" spans="5:5" x14ac:dyDescent="0.25">
      <c r="E5901" s="82" t="s">
        <v>6872</v>
      </c>
    </row>
    <row r="5902" spans="5:5" x14ac:dyDescent="0.25">
      <c r="E5902" s="82" t="s">
        <v>6873</v>
      </c>
    </row>
    <row r="5903" spans="5:5" x14ac:dyDescent="0.25">
      <c r="E5903" s="82" t="s">
        <v>6874</v>
      </c>
    </row>
    <row r="5904" spans="5:5" x14ac:dyDescent="0.25">
      <c r="E5904" s="82" t="s">
        <v>6875</v>
      </c>
    </row>
    <row r="5905" spans="5:5" x14ac:dyDescent="0.25">
      <c r="E5905" s="82" t="s">
        <v>6876</v>
      </c>
    </row>
    <row r="5906" spans="5:5" x14ac:dyDescent="0.25">
      <c r="E5906" s="82" t="s">
        <v>6877</v>
      </c>
    </row>
    <row r="5907" spans="5:5" x14ac:dyDescent="0.25">
      <c r="E5907" s="82" t="s">
        <v>6878</v>
      </c>
    </row>
    <row r="5908" spans="5:5" x14ac:dyDescent="0.25">
      <c r="E5908" s="82" t="s">
        <v>6879</v>
      </c>
    </row>
    <row r="5909" spans="5:5" x14ac:dyDescent="0.25">
      <c r="E5909" s="82" t="s">
        <v>6880</v>
      </c>
    </row>
    <row r="5910" spans="5:5" x14ac:dyDescent="0.25">
      <c r="E5910" s="82" t="s">
        <v>6881</v>
      </c>
    </row>
    <row r="5911" spans="5:5" x14ac:dyDescent="0.25">
      <c r="E5911" s="82" t="s">
        <v>6882</v>
      </c>
    </row>
    <row r="5912" spans="5:5" x14ac:dyDescent="0.25">
      <c r="E5912" s="82" t="s">
        <v>6883</v>
      </c>
    </row>
    <row r="5913" spans="5:5" x14ac:dyDescent="0.25">
      <c r="E5913" s="82" t="s">
        <v>6884</v>
      </c>
    </row>
    <row r="5914" spans="5:5" x14ac:dyDescent="0.25">
      <c r="E5914" s="82" t="s">
        <v>6885</v>
      </c>
    </row>
    <row r="5915" spans="5:5" x14ac:dyDescent="0.25">
      <c r="E5915" s="82" t="s">
        <v>6886</v>
      </c>
    </row>
    <row r="5916" spans="5:5" x14ac:dyDescent="0.25">
      <c r="E5916" s="82" t="s">
        <v>6887</v>
      </c>
    </row>
    <row r="5917" spans="5:5" x14ac:dyDescent="0.25">
      <c r="E5917" s="82" t="s">
        <v>6888</v>
      </c>
    </row>
    <row r="5918" spans="5:5" x14ac:dyDescent="0.25">
      <c r="E5918" s="82" t="s">
        <v>6889</v>
      </c>
    </row>
    <row r="5919" spans="5:5" x14ac:dyDescent="0.25">
      <c r="E5919" s="82" t="s">
        <v>6890</v>
      </c>
    </row>
    <row r="5920" spans="5:5" x14ac:dyDescent="0.25">
      <c r="E5920" s="82" t="s">
        <v>6891</v>
      </c>
    </row>
    <row r="5921" spans="5:5" x14ac:dyDescent="0.25">
      <c r="E5921" s="82" t="s">
        <v>6892</v>
      </c>
    </row>
    <row r="5922" spans="5:5" x14ac:dyDescent="0.25">
      <c r="E5922" s="82" t="s">
        <v>6893</v>
      </c>
    </row>
    <row r="5923" spans="5:5" x14ac:dyDescent="0.25">
      <c r="E5923" s="82" t="s">
        <v>6894</v>
      </c>
    </row>
    <row r="5924" spans="5:5" x14ac:dyDescent="0.25">
      <c r="E5924" s="82" t="s">
        <v>6895</v>
      </c>
    </row>
    <row r="5925" spans="5:5" x14ac:dyDescent="0.25">
      <c r="E5925" s="82" t="s">
        <v>6896</v>
      </c>
    </row>
    <row r="5926" spans="5:5" x14ac:dyDescent="0.25">
      <c r="E5926" s="82" t="s">
        <v>6897</v>
      </c>
    </row>
    <row r="5927" spans="5:5" x14ac:dyDescent="0.25">
      <c r="E5927" s="82" t="s">
        <v>6898</v>
      </c>
    </row>
    <row r="5928" spans="5:5" x14ac:dyDescent="0.25">
      <c r="E5928" s="82" t="s">
        <v>6899</v>
      </c>
    </row>
    <row r="5929" spans="5:5" x14ac:dyDescent="0.25">
      <c r="E5929" s="82" t="s">
        <v>6900</v>
      </c>
    </row>
    <row r="5930" spans="5:5" x14ac:dyDescent="0.25">
      <c r="E5930" s="82" t="s">
        <v>6901</v>
      </c>
    </row>
    <row r="5931" spans="5:5" x14ac:dyDescent="0.25">
      <c r="E5931" s="82" t="s">
        <v>6902</v>
      </c>
    </row>
    <row r="5932" spans="5:5" x14ac:dyDescent="0.25">
      <c r="E5932" s="82" t="s">
        <v>6903</v>
      </c>
    </row>
    <row r="5933" spans="5:5" x14ac:dyDescent="0.25">
      <c r="E5933" s="82" t="s">
        <v>6904</v>
      </c>
    </row>
    <row r="5934" spans="5:5" x14ac:dyDescent="0.25">
      <c r="E5934" s="82" t="s">
        <v>6905</v>
      </c>
    </row>
    <row r="5935" spans="5:5" x14ac:dyDescent="0.25">
      <c r="E5935" s="82" t="s">
        <v>6906</v>
      </c>
    </row>
    <row r="5936" spans="5:5" x14ac:dyDescent="0.25">
      <c r="E5936" s="82" t="s">
        <v>6907</v>
      </c>
    </row>
    <row r="5937" spans="5:5" x14ac:dyDescent="0.25">
      <c r="E5937" s="82" t="s">
        <v>6908</v>
      </c>
    </row>
    <row r="5938" spans="5:5" x14ac:dyDescent="0.25">
      <c r="E5938" s="82" t="s">
        <v>6909</v>
      </c>
    </row>
    <row r="5939" spans="5:5" x14ac:dyDescent="0.25">
      <c r="E5939" s="82" t="s">
        <v>6910</v>
      </c>
    </row>
    <row r="5940" spans="5:5" x14ac:dyDescent="0.25">
      <c r="E5940" s="82" t="s">
        <v>6911</v>
      </c>
    </row>
    <row r="5941" spans="5:5" x14ac:dyDescent="0.25">
      <c r="E5941" s="82" t="s">
        <v>6912</v>
      </c>
    </row>
    <row r="5942" spans="5:5" x14ac:dyDescent="0.25">
      <c r="E5942" s="82" t="s">
        <v>6913</v>
      </c>
    </row>
    <row r="5943" spans="5:5" x14ac:dyDescent="0.25">
      <c r="E5943" s="82" t="s">
        <v>6914</v>
      </c>
    </row>
    <row r="5944" spans="5:5" x14ac:dyDescent="0.25">
      <c r="E5944" s="82" t="s">
        <v>6915</v>
      </c>
    </row>
    <row r="5945" spans="5:5" x14ac:dyDescent="0.25">
      <c r="E5945" s="82" t="s">
        <v>6916</v>
      </c>
    </row>
    <row r="5946" spans="5:5" x14ac:dyDescent="0.25">
      <c r="E5946" s="82" t="s">
        <v>6917</v>
      </c>
    </row>
    <row r="5947" spans="5:5" x14ac:dyDescent="0.25">
      <c r="E5947" s="82" t="s">
        <v>6918</v>
      </c>
    </row>
    <row r="5948" spans="5:5" x14ac:dyDescent="0.25">
      <c r="E5948" s="82" t="s">
        <v>6919</v>
      </c>
    </row>
    <row r="5949" spans="5:5" x14ac:dyDescent="0.25">
      <c r="E5949" s="82" t="s">
        <v>6920</v>
      </c>
    </row>
    <row r="5950" spans="5:5" x14ac:dyDescent="0.25">
      <c r="E5950" s="82" t="s">
        <v>6921</v>
      </c>
    </row>
    <row r="5951" spans="5:5" x14ac:dyDescent="0.25">
      <c r="E5951" s="82" t="s">
        <v>6922</v>
      </c>
    </row>
    <row r="5952" spans="5:5" x14ac:dyDescent="0.25">
      <c r="E5952" s="82" t="s">
        <v>6923</v>
      </c>
    </row>
    <row r="5953" spans="5:5" x14ac:dyDescent="0.25">
      <c r="E5953" s="82" t="s">
        <v>6924</v>
      </c>
    </row>
    <row r="5954" spans="5:5" x14ac:dyDescent="0.25">
      <c r="E5954" s="82" t="s">
        <v>6925</v>
      </c>
    </row>
    <row r="5955" spans="5:5" x14ac:dyDescent="0.25">
      <c r="E5955" s="82" t="s">
        <v>6926</v>
      </c>
    </row>
    <row r="5956" spans="5:5" x14ac:dyDescent="0.25">
      <c r="E5956" s="82" t="s">
        <v>6927</v>
      </c>
    </row>
    <row r="5957" spans="5:5" x14ac:dyDescent="0.25">
      <c r="E5957" s="82" t="s">
        <v>6928</v>
      </c>
    </row>
    <row r="5958" spans="5:5" x14ac:dyDescent="0.25">
      <c r="E5958" s="82" t="s">
        <v>6929</v>
      </c>
    </row>
    <row r="5959" spans="5:5" x14ac:dyDescent="0.25">
      <c r="E5959" s="82" t="s">
        <v>6930</v>
      </c>
    </row>
    <row r="5960" spans="5:5" x14ac:dyDescent="0.25">
      <c r="E5960" s="82" t="s">
        <v>6931</v>
      </c>
    </row>
    <row r="5961" spans="5:5" x14ac:dyDescent="0.25">
      <c r="E5961" s="82" t="s">
        <v>6932</v>
      </c>
    </row>
    <row r="5962" spans="5:5" x14ac:dyDescent="0.25">
      <c r="E5962" s="82" t="s">
        <v>6933</v>
      </c>
    </row>
    <row r="5963" spans="5:5" x14ac:dyDescent="0.25">
      <c r="E5963" s="82" t="s">
        <v>6934</v>
      </c>
    </row>
    <row r="5964" spans="5:5" x14ac:dyDescent="0.25">
      <c r="E5964" s="82" t="s">
        <v>6935</v>
      </c>
    </row>
    <row r="5965" spans="5:5" x14ac:dyDescent="0.25">
      <c r="E5965" s="82" t="s">
        <v>6936</v>
      </c>
    </row>
    <row r="5966" spans="5:5" x14ac:dyDescent="0.25">
      <c r="E5966" s="82" t="s">
        <v>6937</v>
      </c>
    </row>
    <row r="5967" spans="5:5" x14ac:dyDescent="0.25">
      <c r="E5967" s="82" t="s">
        <v>6938</v>
      </c>
    </row>
    <row r="5968" spans="5:5" x14ac:dyDescent="0.25">
      <c r="E5968" s="82" t="s">
        <v>6939</v>
      </c>
    </row>
    <row r="5969" spans="5:5" x14ac:dyDescent="0.25">
      <c r="E5969" s="82" t="s">
        <v>6940</v>
      </c>
    </row>
    <row r="5970" spans="5:5" x14ac:dyDescent="0.25">
      <c r="E5970" s="82" t="s">
        <v>6941</v>
      </c>
    </row>
    <row r="5971" spans="5:5" x14ac:dyDescent="0.25">
      <c r="E5971" s="82" t="s">
        <v>6942</v>
      </c>
    </row>
    <row r="5972" spans="5:5" x14ac:dyDescent="0.25">
      <c r="E5972" s="82" t="s">
        <v>6943</v>
      </c>
    </row>
    <row r="5973" spans="5:5" x14ac:dyDescent="0.25">
      <c r="E5973" s="82" t="s">
        <v>6944</v>
      </c>
    </row>
    <row r="5974" spans="5:5" x14ac:dyDescent="0.25">
      <c r="E5974" s="82" t="s">
        <v>6945</v>
      </c>
    </row>
    <row r="5975" spans="5:5" x14ac:dyDescent="0.25">
      <c r="E5975" s="82" t="s">
        <v>6946</v>
      </c>
    </row>
    <row r="5976" spans="5:5" x14ac:dyDescent="0.25">
      <c r="E5976" s="82" t="s">
        <v>6947</v>
      </c>
    </row>
    <row r="5977" spans="5:5" x14ac:dyDescent="0.25">
      <c r="E5977" s="82" t="s">
        <v>6948</v>
      </c>
    </row>
    <row r="5978" spans="5:5" x14ac:dyDescent="0.25">
      <c r="E5978" s="82" t="s">
        <v>6949</v>
      </c>
    </row>
    <row r="5979" spans="5:5" x14ac:dyDescent="0.25">
      <c r="E5979" s="82" t="s">
        <v>6950</v>
      </c>
    </row>
    <row r="5980" spans="5:5" x14ac:dyDescent="0.25">
      <c r="E5980" s="82" t="s">
        <v>6951</v>
      </c>
    </row>
    <row r="5981" spans="5:5" x14ac:dyDescent="0.25">
      <c r="E5981" s="82" t="s">
        <v>6952</v>
      </c>
    </row>
    <row r="5982" spans="5:5" x14ac:dyDescent="0.25">
      <c r="E5982" s="82" t="s">
        <v>6953</v>
      </c>
    </row>
    <row r="5983" spans="5:5" x14ac:dyDescent="0.25">
      <c r="E5983" s="82" t="s">
        <v>6954</v>
      </c>
    </row>
    <row r="5984" spans="5:5" x14ac:dyDescent="0.25">
      <c r="E5984" s="82" t="s">
        <v>6955</v>
      </c>
    </row>
    <row r="5985" spans="5:5" x14ac:dyDescent="0.25">
      <c r="E5985" s="82" t="s">
        <v>6956</v>
      </c>
    </row>
    <row r="5986" spans="5:5" x14ac:dyDescent="0.25">
      <c r="E5986" s="82" t="s">
        <v>6957</v>
      </c>
    </row>
    <row r="5987" spans="5:5" x14ac:dyDescent="0.25">
      <c r="E5987" s="82" t="s">
        <v>6958</v>
      </c>
    </row>
    <row r="5988" spans="5:5" x14ac:dyDescent="0.25">
      <c r="E5988" s="82" t="s">
        <v>6959</v>
      </c>
    </row>
    <row r="5989" spans="5:5" x14ac:dyDescent="0.25">
      <c r="E5989" s="82" t="s">
        <v>6960</v>
      </c>
    </row>
    <row r="5990" spans="5:5" x14ac:dyDescent="0.25">
      <c r="E5990" s="82" t="s">
        <v>6961</v>
      </c>
    </row>
    <row r="5991" spans="5:5" x14ac:dyDescent="0.25">
      <c r="E5991" s="82" t="s">
        <v>6962</v>
      </c>
    </row>
    <row r="5992" spans="5:5" x14ac:dyDescent="0.25">
      <c r="E5992" s="82" t="s">
        <v>6963</v>
      </c>
    </row>
    <row r="5993" spans="5:5" x14ac:dyDescent="0.25">
      <c r="E5993" s="82" t="s">
        <v>6964</v>
      </c>
    </row>
    <row r="5994" spans="5:5" x14ac:dyDescent="0.25">
      <c r="E5994" s="82" t="s">
        <v>6965</v>
      </c>
    </row>
    <row r="5995" spans="5:5" x14ac:dyDescent="0.25">
      <c r="E5995" s="82" t="s">
        <v>6966</v>
      </c>
    </row>
    <row r="5996" spans="5:5" x14ac:dyDescent="0.25">
      <c r="E5996" s="82" t="s">
        <v>6967</v>
      </c>
    </row>
    <row r="5997" spans="5:5" x14ac:dyDescent="0.25">
      <c r="E5997" s="82" t="s">
        <v>6968</v>
      </c>
    </row>
    <row r="5998" spans="5:5" x14ac:dyDescent="0.25">
      <c r="E5998" s="82" t="s">
        <v>6969</v>
      </c>
    </row>
    <row r="5999" spans="5:5" x14ac:dyDescent="0.25">
      <c r="E5999" s="82" t="s">
        <v>6970</v>
      </c>
    </row>
    <row r="6000" spans="5:5" x14ac:dyDescent="0.25">
      <c r="E6000" s="82" t="s">
        <v>6971</v>
      </c>
    </row>
    <row r="6001" spans="5:5" x14ac:dyDescent="0.25">
      <c r="E6001" s="82" t="s">
        <v>6972</v>
      </c>
    </row>
    <row r="6002" spans="5:5" x14ac:dyDescent="0.25">
      <c r="E6002" s="82" t="s">
        <v>6973</v>
      </c>
    </row>
    <row r="6003" spans="5:5" x14ac:dyDescent="0.25">
      <c r="E6003" s="82" t="s">
        <v>6974</v>
      </c>
    </row>
    <row r="6004" spans="5:5" x14ac:dyDescent="0.25">
      <c r="E6004" s="82" t="s">
        <v>6975</v>
      </c>
    </row>
    <row r="6005" spans="5:5" x14ac:dyDescent="0.25">
      <c r="E6005" s="82" t="s">
        <v>6976</v>
      </c>
    </row>
    <row r="6006" spans="5:5" x14ac:dyDescent="0.25">
      <c r="E6006" s="82" t="s">
        <v>6977</v>
      </c>
    </row>
    <row r="6007" spans="5:5" x14ac:dyDescent="0.25">
      <c r="E6007" s="82" t="s">
        <v>6978</v>
      </c>
    </row>
    <row r="6008" spans="5:5" x14ac:dyDescent="0.25">
      <c r="E6008" s="82" t="s">
        <v>6979</v>
      </c>
    </row>
    <row r="6009" spans="5:5" x14ac:dyDescent="0.25">
      <c r="E6009" s="82" t="s">
        <v>6980</v>
      </c>
    </row>
    <row r="6010" spans="5:5" x14ac:dyDescent="0.25">
      <c r="E6010" s="82" t="s">
        <v>6981</v>
      </c>
    </row>
    <row r="6011" spans="5:5" x14ac:dyDescent="0.25">
      <c r="E6011" s="82" t="s">
        <v>6982</v>
      </c>
    </row>
    <row r="6012" spans="5:5" x14ac:dyDescent="0.25">
      <c r="E6012" s="82" t="s">
        <v>6983</v>
      </c>
    </row>
    <row r="6013" spans="5:5" x14ac:dyDescent="0.25">
      <c r="E6013" s="82" t="s">
        <v>6984</v>
      </c>
    </row>
    <row r="6014" spans="5:5" x14ac:dyDescent="0.25">
      <c r="E6014" s="82" t="s">
        <v>6985</v>
      </c>
    </row>
    <row r="6015" spans="5:5" x14ac:dyDescent="0.25">
      <c r="E6015" s="82" t="s">
        <v>6986</v>
      </c>
    </row>
    <row r="6016" spans="5:5" x14ac:dyDescent="0.25">
      <c r="E6016" s="82" t="s">
        <v>6987</v>
      </c>
    </row>
    <row r="6017" spans="5:5" x14ac:dyDescent="0.25">
      <c r="E6017" s="82" t="s">
        <v>6988</v>
      </c>
    </row>
    <row r="6018" spans="5:5" x14ac:dyDescent="0.25">
      <c r="E6018" s="82" t="s">
        <v>6989</v>
      </c>
    </row>
    <row r="6019" spans="5:5" x14ac:dyDescent="0.25">
      <c r="E6019" s="82" t="s">
        <v>6990</v>
      </c>
    </row>
    <row r="6020" spans="5:5" x14ac:dyDescent="0.25">
      <c r="E6020" s="82" t="s">
        <v>6991</v>
      </c>
    </row>
    <row r="6021" spans="5:5" x14ac:dyDescent="0.25">
      <c r="E6021" s="82" t="s">
        <v>6992</v>
      </c>
    </row>
    <row r="6022" spans="5:5" x14ac:dyDescent="0.25">
      <c r="E6022" s="82" t="s">
        <v>6993</v>
      </c>
    </row>
    <row r="6023" spans="5:5" x14ac:dyDescent="0.25">
      <c r="E6023" s="82" t="s">
        <v>6994</v>
      </c>
    </row>
    <row r="6024" spans="5:5" x14ac:dyDescent="0.25">
      <c r="E6024" s="82" t="s">
        <v>6995</v>
      </c>
    </row>
    <row r="6025" spans="5:5" x14ac:dyDescent="0.25">
      <c r="E6025" s="82" t="s">
        <v>6996</v>
      </c>
    </row>
    <row r="6026" spans="5:5" x14ac:dyDescent="0.25">
      <c r="E6026" s="82" t="s">
        <v>6997</v>
      </c>
    </row>
    <row r="6027" spans="5:5" x14ac:dyDescent="0.25">
      <c r="E6027" s="82" t="s">
        <v>6998</v>
      </c>
    </row>
    <row r="6028" spans="5:5" x14ac:dyDescent="0.25">
      <c r="E6028" s="82" t="s">
        <v>6999</v>
      </c>
    </row>
    <row r="6029" spans="5:5" x14ac:dyDescent="0.25">
      <c r="E6029" s="82" t="s">
        <v>7000</v>
      </c>
    </row>
    <row r="6030" spans="5:5" x14ac:dyDescent="0.25">
      <c r="E6030" s="82" t="s">
        <v>7001</v>
      </c>
    </row>
    <row r="6031" spans="5:5" x14ac:dyDescent="0.25">
      <c r="E6031" s="82" t="s">
        <v>7002</v>
      </c>
    </row>
    <row r="6032" spans="5:5" x14ac:dyDescent="0.25">
      <c r="E6032" s="82" t="s">
        <v>7003</v>
      </c>
    </row>
    <row r="6033" spans="5:5" x14ac:dyDescent="0.25">
      <c r="E6033" s="82" t="s">
        <v>7004</v>
      </c>
    </row>
    <row r="6034" spans="5:5" x14ac:dyDescent="0.25">
      <c r="E6034" s="82" t="s">
        <v>7005</v>
      </c>
    </row>
    <row r="6035" spans="5:5" x14ac:dyDescent="0.25">
      <c r="E6035" s="82" t="s">
        <v>7006</v>
      </c>
    </row>
    <row r="6036" spans="5:5" x14ac:dyDescent="0.25">
      <c r="E6036" s="82" t="s">
        <v>7007</v>
      </c>
    </row>
    <row r="6037" spans="5:5" x14ac:dyDescent="0.25">
      <c r="E6037" s="82" t="s">
        <v>7008</v>
      </c>
    </row>
    <row r="6038" spans="5:5" x14ac:dyDescent="0.25">
      <c r="E6038" s="82" t="s">
        <v>7009</v>
      </c>
    </row>
    <row r="6039" spans="5:5" x14ac:dyDescent="0.25">
      <c r="E6039" s="82" t="s">
        <v>7010</v>
      </c>
    </row>
    <row r="6040" spans="5:5" x14ac:dyDescent="0.25">
      <c r="E6040" s="82" t="s">
        <v>7011</v>
      </c>
    </row>
    <row r="6041" spans="5:5" x14ac:dyDescent="0.25">
      <c r="E6041" s="82" t="s">
        <v>7012</v>
      </c>
    </row>
    <row r="6042" spans="5:5" x14ac:dyDescent="0.25">
      <c r="E6042" s="82" t="s">
        <v>7013</v>
      </c>
    </row>
    <row r="6043" spans="5:5" x14ac:dyDescent="0.25">
      <c r="E6043" s="82" t="s">
        <v>7014</v>
      </c>
    </row>
    <row r="6044" spans="5:5" x14ac:dyDescent="0.25">
      <c r="E6044" s="82" t="s">
        <v>7015</v>
      </c>
    </row>
    <row r="6045" spans="5:5" x14ac:dyDescent="0.25">
      <c r="E6045" s="82" t="s">
        <v>7016</v>
      </c>
    </row>
    <row r="6046" spans="5:5" x14ac:dyDescent="0.25">
      <c r="E6046" s="82" t="s">
        <v>7017</v>
      </c>
    </row>
    <row r="6047" spans="5:5" x14ac:dyDescent="0.25">
      <c r="E6047" s="82" t="s">
        <v>7018</v>
      </c>
    </row>
    <row r="6048" spans="5:5" x14ac:dyDescent="0.25">
      <c r="E6048" s="82" t="s">
        <v>7019</v>
      </c>
    </row>
    <row r="6049" spans="5:5" x14ac:dyDescent="0.25">
      <c r="E6049" s="82" t="s">
        <v>7020</v>
      </c>
    </row>
    <row r="6050" spans="5:5" x14ac:dyDescent="0.25">
      <c r="E6050" s="82" t="s">
        <v>7021</v>
      </c>
    </row>
    <row r="6051" spans="5:5" x14ac:dyDescent="0.25">
      <c r="E6051" s="82" t="s">
        <v>7022</v>
      </c>
    </row>
    <row r="6052" spans="5:5" x14ac:dyDescent="0.25">
      <c r="E6052" s="82" t="s">
        <v>7023</v>
      </c>
    </row>
    <row r="6053" spans="5:5" x14ac:dyDescent="0.25">
      <c r="E6053" s="82" t="s">
        <v>7024</v>
      </c>
    </row>
    <row r="6054" spans="5:5" x14ac:dyDescent="0.25">
      <c r="E6054" s="82" t="s">
        <v>7025</v>
      </c>
    </row>
    <row r="6055" spans="5:5" x14ac:dyDescent="0.25">
      <c r="E6055" s="82" t="s">
        <v>7026</v>
      </c>
    </row>
    <row r="6056" spans="5:5" x14ac:dyDescent="0.25">
      <c r="E6056" s="82" t="s">
        <v>7027</v>
      </c>
    </row>
    <row r="6057" spans="5:5" x14ac:dyDescent="0.25">
      <c r="E6057" s="82" t="s">
        <v>7028</v>
      </c>
    </row>
    <row r="6058" spans="5:5" x14ac:dyDescent="0.25">
      <c r="E6058" s="82" t="s">
        <v>7029</v>
      </c>
    </row>
    <row r="6059" spans="5:5" x14ac:dyDescent="0.25">
      <c r="E6059" s="82" t="s">
        <v>7030</v>
      </c>
    </row>
    <row r="6060" spans="5:5" x14ac:dyDescent="0.25">
      <c r="E6060" s="82" t="s">
        <v>7031</v>
      </c>
    </row>
    <row r="6061" spans="5:5" x14ac:dyDescent="0.25">
      <c r="E6061" s="82" t="s">
        <v>7032</v>
      </c>
    </row>
    <row r="6062" spans="5:5" x14ac:dyDescent="0.25">
      <c r="E6062" s="82" t="s">
        <v>7033</v>
      </c>
    </row>
    <row r="6063" spans="5:5" x14ac:dyDescent="0.25">
      <c r="E6063" s="82" t="s">
        <v>7034</v>
      </c>
    </row>
    <row r="6064" spans="5:5" x14ac:dyDescent="0.25">
      <c r="E6064" s="82" t="s">
        <v>7035</v>
      </c>
    </row>
    <row r="6065" spans="5:5" x14ac:dyDescent="0.25">
      <c r="E6065" s="82" t="s">
        <v>7036</v>
      </c>
    </row>
    <row r="6066" spans="5:5" x14ac:dyDescent="0.25">
      <c r="E6066" s="82" t="s">
        <v>7037</v>
      </c>
    </row>
    <row r="6067" spans="5:5" x14ac:dyDescent="0.25">
      <c r="E6067" s="82" t="s">
        <v>7038</v>
      </c>
    </row>
    <row r="6068" spans="5:5" x14ac:dyDescent="0.25">
      <c r="E6068" s="82" t="s">
        <v>7039</v>
      </c>
    </row>
    <row r="6069" spans="5:5" x14ac:dyDescent="0.25">
      <c r="E6069" s="82" t="s">
        <v>7040</v>
      </c>
    </row>
    <row r="6070" spans="5:5" x14ac:dyDescent="0.25">
      <c r="E6070" s="82" t="s">
        <v>7041</v>
      </c>
    </row>
    <row r="6071" spans="5:5" x14ac:dyDescent="0.25">
      <c r="E6071" s="82" t="s">
        <v>7042</v>
      </c>
    </row>
    <row r="6072" spans="5:5" x14ac:dyDescent="0.25">
      <c r="E6072" s="82" t="s">
        <v>7043</v>
      </c>
    </row>
    <row r="6073" spans="5:5" x14ac:dyDescent="0.25">
      <c r="E6073" s="82" t="s">
        <v>7044</v>
      </c>
    </row>
    <row r="6074" spans="5:5" x14ac:dyDescent="0.25">
      <c r="E6074" s="82" t="s">
        <v>7045</v>
      </c>
    </row>
    <row r="6075" spans="5:5" x14ac:dyDescent="0.25">
      <c r="E6075" s="82" t="s">
        <v>7046</v>
      </c>
    </row>
    <row r="6076" spans="5:5" x14ac:dyDescent="0.25">
      <c r="E6076" s="82" t="s">
        <v>7047</v>
      </c>
    </row>
    <row r="6077" spans="5:5" x14ac:dyDescent="0.25">
      <c r="E6077" s="82" t="s">
        <v>7048</v>
      </c>
    </row>
    <row r="6078" spans="5:5" x14ac:dyDescent="0.25">
      <c r="E6078" s="82" t="s">
        <v>7049</v>
      </c>
    </row>
    <row r="6079" spans="5:5" x14ac:dyDescent="0.25">
      <c r="E6079" s="82" t="s">
        <v>7050</v>
      </c>
    </row>
    <row r="6080" spans="5:5" x14ac:dyDescent="0.25">
      <c r="E6080" s="82" t="s">
        <v>7051</v>
      </c>
    </row>
    <row r="6081" spans="5:5" x14ac:dyDescent="0.25">
      <c r="E6081" s="82" t="s">
        <v>7052</v>
      </c>
    </row>
    <row r="6082" spans="5:5" x14ac:dyDescent="0.25">
      <c r="E6082" s="82" t="s">
        <v>7053</v>
      </c>
    </row>
    <row r="6083" spans="5:5" x14ac:dyDescent="0.25">
      <c r="E6083" s="82" t="s">
        <v>7054</v>
      </c>
    </row>
    <row r="6084" spans="5:5" x14ac:dyDescent="0.25">
      <c r="E6084" s="82" t="s">
        <v>7055</v>
      </c>
    </row>
    <row r="6085" spans="5:5" x14ac:dyDescent="0.25">
      <c r="E6085" s="82" t="s">
        <v>7056</v>
      </c>
    </row>
    <row r="6086" spans="5:5" x14ac:dyDescent="0.25">
      <c r="E6086" s="82" t="s">
        <v>7057</v>
      </c>
    </row>
    <row r="6087" spans="5:5" x14ac:dyDescent="0.25">
      <c r="E6087" s="82" t="s">
        <v>7058</v>
      </c>
    </row>
    <row r="6088" spans="5:5" x14ac:dyDescent="0.25">
      <c r="E6088" s="82" t="s">
        <v>7059</v>
      </c>
    </row>
    <row r="6089" spans="5:5" x14ac:dyDescent="0.25">
      <c r="E6089" s="82" t="s">
        <v>7060</v>
      </c>
    </row>
    <row r="6090" spans="5:5" x14ac:dyDescent="0.25">
      <c r="E6090" s="82" t="s">
        <v>7061</v>
      </c>
    </row>
    <row r="6091" spans="5:5" x14ac:dyDescent="0.25">
      <c r="E6091" s="82" t="s">
        <v>7062</v>
      </c>
    </row>
    <row r="6092" spans="5:5" x14ac:dyDescent="0.25">
      <c r="E6092" s="82" t="s">
        <v>7063</v>
      </c>
    </row>
    <row r="6093" spans="5:5" x14ac:dyDescent="0.25">
      <c r="E6093" s="82" t="s">
        <v>7064</v>
      </c>
    </row>
    <row r="6094" spans="5:5" x14ac:dyDescent="0.25">
      <c r="E6094" s="82" t="s">
        <v>7065</v>
      </c>
    </row>
    <row r="6095" spans="5:5" x14ac:dyDescent="0.25">
      <c r="E6095" s="82" t="s">
        <v>7066</v>
      </c>
    </row>
    <row r="6096" spans="5:5" x14ac:dyDescent="0.25">
      <c r="E6096" s="82" t="s">
        <v>7067</v>
      </c>
    </row>
    <row r="6097" spans="5:5" x14ac:dyDescent="0.25">
      <c r="E6097" s="82" t="s">
        <v>7068</v>
      </c>
    </row>
    <row r="6098" spans="5:5" x14ac:dyDescent="0.25">
      <c r="E6098" s="82" t="s">
        <v>7069</v>
      </c>
    </row>
    <row r="6099" spans="5:5" x14ac:dyDescent="0.25">
      <c r="E6099" s="82" t="s">
        <v>7070</v>
      </c>
    </row>
    <row r="6100" spans="5:5" x14ac:dyDescent="0.25">
      <c r="E6100" s="82" t="s">
        <v>7071</v>
      </c>
    </row>
    <row r="6101" spans="5:5" x14ac:dyDescent="0.25">
      <c r="E6101" s="82" t="s">
        <v>7072</v>
      </c>
    </row>
    <row r="6102" spans="5:5" x14ac:dyDescent="0.25">
      <c r="E6102" s="82" t="s">
        <v>7073</v>
      </c>
    </row>
    <row r="6103" spans="5:5" x14ac:dyDescent="0.25">
      <c r="E6103" s="82" t="s">
        <v>7074</v>
      </c>
    </row>
    <row r="6104" spans="5:5" x14ac:dyDescent="0.25">
      <c r="E6104" s="82" t="s">
        <v>7075</v>
      </c>
    </row>
    <row r="6105" spans="5:5" x14ac:dyDescent="0.25">
      <c r="E6105" s="82" t="s">
        <v>7076</v>
      </c>
    </row>
    <row r="6106" spans="5:5" x14ac:dyDescent="0.25">
      <c r="E6106" s="82" t="s">
        <v>7077</v>
      </c>
    </row>
    <row r="6107" spans="5:5" x14ac:dyDescent="0.25">
      <c r="E6107" s="82" t="s">
        <v>7078</v>
      </c>
    </row>
    <row r="6108" spans="5:5" x14ac:dyDescent="0.25">
      <c r="E6108" s="82" t="s">
        <v>7079</v>
      </c>
    </row>
    <row r="6109" spans="5:5" x14ac:dyDescent="0.25">
      <c r="E6109" s="82" t="s">
        <v>7080</v>
      </c>
    </row>
    <row r="6110" spans="5:5" x14ac:dyDescent="0.25">
      <c r="E6110" s="82" t="s">
        <v>7081</v>
      </c>
    </row>
    <row r="6111" spans="5:5" x14ac:dyDescent="0.25">
      <c r="E6111" s="82" t="s">
        <v>7082</v>
      </c>
    </row>
    <row r="6112" spans="5:5" x14ac:dyDescent="0.25">
      <c r="E6112" s="82" t="s">
        <v>7083</v>
      </c>
    </row>
    <row r="6113" spans="5:5" x14ac:dyDescent="0.25">
      <c r="E6113" s="82" t="s">
        <v>7084</v>
      </c>
    </row>
    <row r="6114" spans="5:5" x14ac:dyDescent="0.25">
      <c r="E6114" s="82" t="s">
        <v>7085</v>
      </c>
    </row>
    <row r="6115" spans="5:5" x14ac:dyDescent="0.25">
      <c r="E6115" s="82" t="s">
        <v>7086</v>
      </c>
    </row>
    <row r="6116" spans="5:5" x14ac:dyDescent="0.25">
      <c r="E6116" s="82" t="s">
        <v>7087</v>
      </c>
    </row>
    <row r="6117" spans="5:5" x14ac:dyDescent="0.25">
      <c r="E6117" s="82" t="s">
        <v>7088</v>
      </c>
    </row>
    <row r="6118" spans="5:5" x14ac:dyDescent="0.25">
      <c r="E6118" s="82" t="s">
        <v>7089</v>
      </c>
    </row>
    <row r="6119" spans="5:5" x14ac:dyDescent="0.25">
      <c r="E6119" s="82" t="s">
        <v>7090</v>
      </c>
    </row>
    <row r="6120" spans="5:5" x14ac:dyDescent="0.25">
      <c r="E6120" s="82" t="s">
        <v>7091</v>
      </c>
    </row>
    <row r="6121" spans="5:5" x14ac:dyDescent="0.25">
      <c r="E6121" s="82" t="s">
        <v>7092</v>
      </c>
    </row>
    <row r="6122" spans="5:5" x14ac:dyDescent="0.25">
      <c r="E6122" s="82" t="s">
        <v>7093</v>
      </c>
    </row>
    <row r="6123" spans="5:5" x14ac:dyDescent="0.25">
      <c r="E6123" s="82" t="s">
        <v>7094</v>
      </c>
    </row>
    <row r="6124" spans="5:5" x14ac:dyDescent="0.25">
      <c r="E6124" s="82" t="s">
        <v>7095</v>
      </c>
    </row>
    <row r="6125" spans="5:5" x14ac:dyDescent="0.25">
      <c r="E6125" s="82" t="s">
        <v>7096</v>
      </c>
    </row>
    <row r="6126" spans="5:5" x14ac:dyDescent="0.25">
      <c r="E6126" s="82" t="s">
        <v>7097</v>
      </c>
    </row>
    <row r="6127" spans="5:5" x14ac:dyDescent="0.25">
      <c r="E6127" s="82" t="s">
        <v>7098</v>
      </c>
    </row>
    <row r="6128" spans="5:5" x14ac:dyDescent="0.25">
      <c r="E6128" s="82" t="s">
        <v>7099</v>
      </c>
    </row>
    <row r="6129" spans="5:5" x14ac:dyDescent="0.25">
      <c r="E6129" s="82" t="s">
        <v>7100</v>
      </c>
    </row>
    <row r="6130" spans="5:5" x14ac:dyDescent="0.25">
      <c r="E6130" s="82" t="s">
        <v>7101</v>
      </c>
    </row>
    <row r="6131" spans="5:5" x14ac:dyDescent="0.25">
      <c r="E6131" s="82" t="s">
        <v>7102</v>
      </c>
    </row>
    <row r="6132" spans="5:5" x14ac:dyDescent="0.25">
      <c r="E6132" s="82" t="s">
        <v>7103</v>
      </c>
    </row>
    <row r="6133" spans="5:5" x14ac:dyDescent="0.25">
      <c r="E6133" s="82" t="s">
        <v>7104</v>
      </c>
    </row>
    <row r="6134" spans="5:5" x14ac:dyDescent="0.25">
      <c r="E6134" s="82" t="s">
        <v>7105</v>
      </c>
    </row>
    <row r="6135" spans="5:5" x14ac:dyDescent="0.25">
      <c r="E6135" s="82" t="s">
        <v>7106</v>
      </c>
    </row>
    <row r="6136" spans="5:5" x14ac:dyDescent="0.25">
      <c r="E6136" s="82" t="s">
        <v>7107</v>
      </c>
    </row>
    <row r="6137" spans="5:5" x14ac:dyDescent="0.25">
      <c r="E6137" s="82" t="s">
        <v>7108</v>
      </c>
    </row>
    <row r="6138" spans="5:5" x14ac:dyDescent="0.25">
      <c r="E6138" s="82" t="s">
        <v>7109</v>
      </c>
    </row>
    <row r="6139" spans="5:5" x14ac:dyDescent="0.25">
      <c r="E6139" s="82" t="s">
        <v>7110</v>
      </c>
    </row>
    <row r="6140" spans="5:5" x14ac:dyDescent="0.25">
      <c r="E6140" s="82" t="s">
        <v>7111</v>
      </c>
    </row>
    <row r="6141" spans="5:5" x14ac:dyDescent="0.25">
      <c r="E6141" s="82" t="s">
        <v>7112</v>
      </c>
    </row>
    <row r="6142" spans="5:5" x14ac:dyDescent="0.25">
      <c r="E6142" s="82" t="s">
        <v>7113</v>
      </c>
    </row>
    <row r="6143" spans="5:5" x14ac:dyDescent="0.25">
      <c r="E6143" s="82" t="s">
        <v>7114</v>
      </c>
    </row>
    <row r="6144" spans="5:5" x14ac:dyDescent="0.25">
      <c r="E6144" s="82" t="s">
        <v>7115</v>
      </c>
    </row>
    <row r="6145" spans="5:5" x14ac:dyDescent="0.25">
      <c r="E6145" s="82" t="s">
        <v>7116</v>
      </c>
    </row>
    <row r="6146" spans="5:5" x14ac:dyDescent="0.25">
      <c r="E6146" s="82" t="s">
        <v>7117</v>
      </c>
    </row>
    <row r="6147" spans="5:5" x14ac:dyDescent="0.25">
      <c r="E6147" s="82" t="s">
        <v>7118</v>
      </c>
    </row>
    <row r="6148" spans="5:5" x14ac:dyDescent="0.25">
      <c r="E6148" s="82" t="s">
        <v>7119</v>
      </c>
    </row>
    <row r="6149" spans="5:5" x14ac:dyDescent="0.25">
      <c r="E6149" s="82" t="s">
        <v>7120</v>
      </c>
    </row>
    <row r="6150" spans="5:5" x14ac:dyDescent="0.25">
      <c r="E6150" s="82" t="s">
        <v>7121</v>
      </c>
    </row>
    <row r="6151" spans="5:5" x14ac:dyDescent="0.25">
      <c r="E6151" s="82" t="s">
        <v>7122</v>
      </c>
    </row>
    <row r="6152" spans="5:5" x14ac:dyDescent="0.25">
      <c r="E6152" s="82" t="s">
        <v>7123</v>
      </c>
    </row>
    <row r="6153" spans="5:5" x14ac:dyDescent="0.25">
      <c r="E6153" s="82" t="s">
        <v>7124</v>
      </c>
    </row>
    <row r="6154" spans="5:5" x14ac:dyDescent="0.25">
      <c r="E6154" s="82" t="s">
        <v>7125</v>
      </c>
    </row>
    <row r="6155" spans="5:5" x14ac:dyDescent="0.25">
      <c r="E6155" s="82" t="s">
        <v>7126</v>
      </c>
    </row>
    <row r="6156" spans="5:5" x14ac:dyDescent="0.25">
      <c r="E6156" s="82" t="s">
        <v>7127</v>
      </c>
    </row>
    <row r="6157" spans="5:5" x14ac:dyDescent="0.25">
      <c r="E6157" s="82" t="s">
        <v>7128</v>
      </c>
    </row>
    <row r="6158" spans="5:5" x14ac:dyDescent="0.25">
      <c r="E6158" s="82" t="s">
        <v>7129</v>
      </c>
    </row>
    <row r="6159" spans="5:5" x14ac:dyDescent="0.25">
      <c r="E6159" s="82" t="s">
        <v>7130</v>
      </c>
    </row>
    <row r="6160" spans="5:5" x14ac:dyDescent="0.25">
      <c r="E6160" s="82" t="s">
        <v>7131</v>
      </c>
    </row>
    <row r="6161" spans="5:5" x14ac:dyDescent="0.25">
      <c r="E6161" s="82" t="s">
        <v>7132</v>
      </c>
    </row>
    <row r="6162" spans="5:5" x14ac:dyDescent="0.25">
      <c r="E6162" s="82" t="s">
        <v>7133</v>
      </c>
    </row>
    <row r="6163" spans="5:5" x14ac:dyDescent="0.25">
      <c r="E6163" s="82" t="s">
        <v>7134</v>
      </c>
    </row>
    <row r="6164" spans="5:5" x14ac:dyDescent="0.25">
      <c r="E6164" s="82" t="s">
        <v>7135</v>
      </c>
    </row>
    <row r="6165" spans="5:5" x14ac:dyDescent="0.25">
      <c r="E6165" s="82" t="s">
        <v>7136</v>
      </c>
    </row>
    <row r="6166" spans="5:5" x14ac:dyDescent="0.25">
      <c r="E6166" s="82" t="s">
        <v>7137</v>
      </c>
    </row>
    <row r="6167" spans="5:5" x14ac:dyDescent="0.25">
      <c r="E6167" s="82" t="s">
        <v>7138</v>
      </c>
    </row>
    <row r="6168" spans="5:5" x14ac:dyDescent="0.25">
      <c r="E6168" s="82" t="s">
        <v>7139</v>
      </c>
    </row>
    <row r="6169" spans="5:5" x14ac:dyDescent="0.25">
      <c r="E6169" s="82" t="s">
        <v>7140</v>
      </c>
    </row>
    <row r="6170" spans="5:5" x14ac:dyDescent="0.25">
      <c r="E6170" s="82" t="s">
        <v>7141</v>
      </c>
    </row>
    <row r="6171" spans="5:5" x14ac:dyDescent="0.25">
      <c r="E6171" s="82" t="s">
        <v>7142</v>
      </c>
    </row>
    <row r="6172" spans="5:5" x14ac:dyDescent="0.25">
      <c r="E6172" s="82" t="s">
        <v>7143</v>
      </c>
    </row>
    <row r="6173" spans="5:5" x14ac:dyDescent="0.25">
      <c r="E6173" s="82" t="s">
        <v>7144</v>
      </c>
    </row>
    <row r="6174" spans="5:5" x14ac:dyDescent="0.25">
      <c r="E6174" s="82" t="s">
        <v>7145</v>
      </c>
    </row>
    <row r="6175" spans="5:5" x14ac:dyDescent="0.25">
      <c r="E6175" s="82" t="s">
        <v>7146</v>
      </c>
    </row>
    <row r="6176" spans="5:5" x14ac:dyDescent="0.25">
      <c r="E6176" s="82" t="s">
        <v>7147</v>
      </c>
    </row>
    <row r="6177" spans="5:5" x14ac:dyDescent="0.25">
      <c r="E6177" s="82" t="s">
        <v>7148</v>
      </c>
    </row>
    <row r="6178" spans="5:5" x14ac:dyDescent="0.25">
      <c r="E6178" s="82" t="s">
        <v>7149</v>
      </c>
    </row>
    <row r="6179" spans="5:5" x14ac:dyDescent="0.25">
      <c r="E6179" s="82" t="s">
        <v>7150</v>
      </c>
    </row>
    <row r="6180" spans="5:5" x14ac:dyDescent="0.25">
      <c r="E6180" s="82" t="s">
        <v>7151</v>
      </c>
    </row>
    <row r="6181" spans="5:5" x14ac:dyDescent="0.25">
      <c r="E6181" s="82" t="s">
        <v>7152</v>
      </c>
    </row>
    <row r="6182" spans="5:5" x14ac:dyDescent="0.25">
      <c r="E6182" s="82" t="s">
        <v>7153</v>
      </c>
    </row>
    <row r="6183" spans="5:5" x14ac:dyDescent="0.25">
      <c r="E6183" s="82" t="s">
        <v>7154</v>
      </c>
    </row>
    <row r="6184" spans="5:5" x14ac:dyDescent="0.25">
      <c r="E6184" s="82" t="s">
        <v>7155</v>
      </c>
    </row>
    <row r="6185" spans="5:5" x14ac:dyDescent="0.25">
      <c r="E6185" s="82" t="s">
        <v>7156</v>
      </c>
    </row>
    <row r="6186" spans="5:5" x14ac:dyDescent="0.25">
      <c r="E6186" s="82" t="s">
        <v>7157</v>
      </c>
    </row>
    <row r="6187" spans="5:5" x14ac:dyDescent="0.25">
      <c r="E6187" s="82" t="s">
        <v>7158</v>
      </c>
    </row>
    <row r="6188" spans="5:5" x14ac:dyDescent="0.25">
      <c r="E6188" s="82" t="s">
        <v>7159</v>
      </c>
    </row>
    <row r="6189" spans="5:5" x14ac:dyDescent="0.25">
      <c r="E6189" s="82" t="s">
        <v>7160</v>
      </c>
    </row>
    <row r="6190" spans="5:5" x14ac:dyDescent="0.25">
      <c r="E6190" s="82" t="s">
        <v>7161</v>
      </c>
    </row>
    <row r="6191" spans="5:5" x14ac:dyDescent="0.25">
      <c r="E6191" s="82" t="s">
        <v>7162</v>
      </c>
    </row>
    <row r="6192" spans="5:5" x14ac:dyDescent="0.25">
      <c r="E6192" s="82" t="s">
        <v>7163</v>
      </c>
    </row>
    <row r="6193" spans="5:5" x14ac:dyDescent="0.25">
      <c r="E6193" s="82" t="s">
        <v>7164</v>
      </c>
    </row>
    <row r="6194" spans="5:5" x14ac:dyDescent="0.25">
      <c r="E6194" s="82" t="s">
        <v>7165</v>
      </c>
    </row>
    <row r="6195" spans="5:5" x14ac:dyDescent="0.25">
      <c r="E6195" s="82" t="s">
        <v>7166</v>
      </c>
    </row>
    <row r="6196" spans="5:5" x14ac:dyDescent="0.25">
      <c r="E6196" s="82" t="s">
        <v>7167</v>
      </c>
    </row>
    <row r="6197" spans="5:5" x14ac:dyDescent="0.25">
      <c r="E6197" s="82" t="s">
        <v>7168</v>
      </c>
    </row>
    <row r="6198" spans="5:5" x14ac:dyDescent="0.25">
      <c r="E6198" s="82" t="s">
        <v>7169</v>
      </c>
    </row>
    <row r="6199" spans="5:5" x14ac:dyDescent="0.25">
      <c r="E6199" s="82" t="s">
        <v>7170</v>
      </c>
    </row>
    <row r="6200" spans="5:5" x14ac:dyDescent="0.25">
      <c r="E6200" s="82" t="s">
        <v>7171</v>
      </c>
    </row>
    <row r="6201" spans="5:5" x14ac:dyDescent="0.25">
      <c r="E6201" s="82" t="s">
        <v>7172</v>
      </c>
    </row>
    <row r="6202" spans="5:5" x14ac:dyDescent="0.25">
      <c r="E6202" s="82" t="s">
        <v>7173</v>
      </c>
    </row>
    <row r="6203" spans="5:5" x14ac:dyDescent="0.25">
      <c r="E6203" s="82" t="s">
        <v>7174</v>
      </c>
    </row>
    <row r="6204" spans="5:5" x14ac:dyDescent="0.25">
      <c r="E6204" s="82" t="s">
        <v>7175</v>
      </c>
    </row>
    <row r="6205" spans="5:5" x14ac:dyDescent="0.25">
      <c r="E6205" s="82" t="s">
        <v>7176</v>
      </c>
    </row>
    <row r="6206" spans="5:5" x14ac:dyDescent="0.25">
      <c r="E6206" s="82" t="s">
        <v>7177</v>
      </c>
    </row>
    <row r="6207" spans="5:5" x14ac:dyDescent="0.25">
      <c r="E6207" s="82" t="s">
        <v>7178</v>
      </c>
    </row>
    <row r="6208" spans="5:5" x14ac:dyDescent="0.25">
      <c r="E6208" s="82" t="s">
        <v>7179</v>
      </c>
    </row>
    <row r="6209" spans="5:5" x14ac:dyDescent="0.25">
      <c r="E6209" s="82" t="s">
        <v>7180</v>
      </c>
    </row>
    <row r="6210" spans="5:5" x14ac:dyDescent="0.25">
      <c r="E6210" s="82" t="s">
        <v>7181</v>
      </c>
    </row>
    <row r="6211" spans="5:5" x14ac:dyDescent="0.25">
      <c r="E6211" s="82" t="s">
        <v>7182</v>
      </c>
    </row>
    <row r="6212" spans="5:5" x14ac:dyDescent="0.25">
      <c r="E6212" s="82" t="s">
        <v>7183</v>
      </c>
    </row>
    <row r="6213" spans="5:5" x14ac:dyDescent="0.25">
      <c r="E6213" s="82" t="s">
        <v>7184</v>
      </c>
    </row>
    <row r="6214" spans="5:5" x14ac:dyDescent="0.25">
      <c r="E6214" s="82" t="s">
        <v>7185</v>
      </c>
    </row>
    <row r="6215" spans="5:5" x14ac:dyDescent="0.25">
      <c r="E6215" s="82" t="s">
        <v>7186</v>
      </c>
    </row>
    <row r="6216" spans="5:5" x14ac:dyDescent="0.25">
      <c r="E6216" s="82" t="s">
        <v>7187</v>
      </c>
    </row>
    <row r="6217" spans="5:5" x14ac:dyDescent="0.25">
      <c r="E6217" s="82" t="s">
        <v>7188</v>
      </c>
    </row>
    <row r="6218" spans="5:5" x14ac:dyDescent="0.25">
      <c r="E6218" s="82" t="s">
        <v>7189</v>
      </c>
    </row>
    <row r="6219" spans="5:5" x14ac:dyDescent="0.25">
      <c r="E6219" s="82" t="s">
        <v>7190</v>
      </c>
    </row>
    <row r="6220" spans="5:5" x14ac:dyDescent="0.25">
      <c r="E6220" s="82" t="s">
        <v>7191</v>
      </c>
    </row>
    <row r="6221" spans="5:5" x14ac:dyDescent="0.25">
      <c r="E6221" s="82" t="s">
        <v>7192</v>
      </c>
    </row>
    <row r="6222" spans="5:5" x14ac:dyDescent="0.25">
      <c r="E6222" s="82" t="s">
        <v>7193</v>
      </c>
    </row>
    <row r="6223" spans="5:5" x14ac:dyDescent="0.25">
      <c r="E6223" s="82" t="s">
        <v>7194</v>
      </c>
    </row>
    <row r="6224" spans="5:5" x14ac:dyDescent="0.25">
      <c r="E6224" s="82" t="s">
        <v>7195</v>
      </c>
    </row>
    <row r="6225" spans="5:5" x14ac:dyDescent="0.25">
      <c r="E6225" s="82" t="s">
        <v>7196</v>
      </c>
    </row>
    <row r="6226" spans="5:5" x14ac:dyDescent="0.25">
      <c r="E6226" s="82" t="s">
        <v>7197</v>
      </c>
    </row>
    <row r="6227" spans="5:5" x14ac:dyDescent="0.25">
      <c r="E6227" s="82" t="s">
        <v>7198</v>
      </c>
    </row>
    <row r="6228" spans="5:5" x14ac:dyDescent="0.25">
      <c r="E6228" s="82" t="s">
        <v>7199</v>
      </c>
    </row>
    <row r="6229" spans="5:5" x14ac:dyDescent="0.25">
      <c r="E6229" s="82" t="s">
        <v>7200</v>
      </c>
    </row>
    <row r="6230" spans="5:5" x14ac:dyDescent="0.25">
      <c r="E6230" s="82" t="s">
        <v>7201</v>
      </c>
    </row>
    <row r="6231" spans="5:5" x14ac:dyDescent="0.25">
      <c r="E6231" s="82" t="s">
        <v>7202</v>
      </c>
    </row>
    <row r="6232" spans="5:5" x14ac:dyDescent="0.25">
      <c r="E6232" s="82" t="s">
        <v>7203</v>
      </c>
    </row>
    <row r="6233" spans="5:5" x14ac:dyDescent="0.25">
      <c r="E6233" s="82" t="s">
        <v>7204</v>
      </c>
    </row>
    <row r="6234" spans="5:5" x14ac:dyDescent="0.25">
      <c r="E6234" s="82" t="s">
        <v>7205</v>
      </c>
    </row>
    <row r="6235" spans="5:5" x14ac:dyDescent="0.25">
      <c r="E6235" s="82" t="s">
        <v>7206</v>
      </c>
    </row>
    <row r="6236" spans="5:5" x14ac:dyDescent="0.25">
      <c r="E6236" s="82" t="s">
        <v>7207</v>
      </c>
    </row>
    <row r="6237" spans="5:5" x14ac:dyDescent="0.25">
      <c r="E6237" s="82" t="s">
        <v>7208</v>
      </c>
    </row>
    <row r="6238" spans="5:5" x14ac:dyDescent="0.25">
      <c r="E6238" s="82" t="s">
        <v>7209</v>
      </c>
    </row>
    <row r="6239" spans="5:5" x14ac:dyDescent="0.25">
      <c r="E6239" s="82" t="s">
        <v>7210</v>
      </c>
    </row>
    <row r="6240" spans="5:5" x14ac:dyDescent="0.25">
      <c r="E6240" s="82" t="s">
        <v>7211</v>
      </c>
    </row>
    <row r="6241" spans="5:5" x14ac:dyDescent="0.25">
      <c r="E6241" s="82" t="s">
        <v>7212</v>
      </c>
    </row>
    <row r="6242" spans="5:5" x14ac:dyDescent="0.25">
      <c r="E6242" s="82" t="s">
        <v>7213</v>
      </c>
    </row>
    <row r="6243" spans="5:5" x14ac:dyDescent="0.25">
      <c r="E6243" s="82" t="s">
        <v>7214</v>
      </c>
    </row>
    <row r="6244" spans="5:5" x14ac:dyDescent="0.25">
      <c r="E6244" s="82" t="s">
        <v>7215</v>
      </c>
    </row>
    <row r="6245" spans="5:5" x14ac:dyDescent="0.25">
      <c r="E6245" s="82" t="s">
        <v>7216</v>
      </c>
    </row>
    <row r="6246" spans="5:5" x14ac:dyDescent="0.25">
      <c r="E6246" s="82" t="s">
        <v>7217</v>
      </c>
    </row>
    <row r="6247" spans="5:5" x14ac:dyDescent="0.25">
      <c r="E6247" s="82" t="s">
        <v>7218</v>
      </c>
    </row>
    <row r="6248" spans="5:5" x14ac:dyDescent="0.25">
      <c r="E6248" s="82" t="s">
        <v>7219</v>
      </c>
    </row>
    <row r="6249" spans="5:5" x14ac:dyDescent="0.25">
      <c r="E6249" s="82" t="s">
        <v>7220</v>
      </c>
    </row>
    <row r="6250" spans="5:5" x14ac:dyDescent="0.25">
      <c r="E6250" s="82" t="s">
        <v>7221</v>
      </c>
    </row>
    <row r="6251" spans="5:5" x14ac:dyDescent="0.25">
      <c r="E6251" s="82" t="s">
        <v>7222</v>
      </c>
    </row>
    <row r="6252" spans="5:5" x14ac:dyDescent="0.25">
      <c r="E6252" s="82" t="s">
        <v>7223</v>
      </c>
    </row>
    <row r="6253" spans="5:5" x14ac:dyDescent="0.25">
      <c r="E6253" s="82" t="s">
        <v>7224</v>
      </c>
    </row>
    <row r="6254" spans="5:5" x14ac:dyDescent="0.25">
      <c r="E6254" s="82" t="s">
        <v>7225</v>
      </c>
    </row>
    <row r="6255" spans="5:5" x14ac:dyDescent="0.25">
      <c r="E6255" s="82" t="s">
        <v>7226</v>
      </c>
    </row>
    <row r="6256" spans="5:5" x14ac:dyDescent="0.25">
      <c r="E6256" s="82" t="s">
        <v>7227</v>
      </c>
    </row>
    <row r="6257" spans="5:5" x14ac:dyDescent="0.25">
      <c r="E6257" s="82" t="s">
        <v>7228</v>
      </c>
    </row>
    <row r="6258" spans="5:5" x14ac:dyDescent="0.25">
      <c r="E6258" s="82" t="s">
        <v>7229</v>
      </c>
    </row>
    <row r="6259" spans="5:5" x14ac:dyDescent="0.25">
      <c r="E6259" s="82" t="s">
        <v>7230</v>
      </c>
    </row>
    <row r="6260" spans="5:5" x14ac:dyDescent="0.25">
      <c r="E6260" s="82" t="s">
        <v>7231</v>
      </c>
    </row>
    <row r="6261" spans="5:5" x14ac:dyDescent="0.25">
      <c r="E6261" s="82" t="s">
        <v>7232</v>
      </c>
    </row>
    <row r="6262" spans="5:5" x14ac:dyDescent="0.25">
      <c r="E6262" s="82" t="s">
        <v>7233</v>
      </c>
    </row>
    <row r="6263" spans="5:5" x14ac:dyDescent="0.25">
      <c r="E6263" s="82" t="s">
        <v>7234</v>
      </c>
    </row>
    <row r="6264" spans="5:5" x14ac:dyDescent="0.25">
      <c r="E6264" s="82" t="s">
        <v>7235</v>
      </c>
    </row>
    <row r="6265" spans="5:5" x14ac:dyDescent="0.25">
      <c r="E6265" s="82" t="s">
        <v>7236</v>
      </c>
    </row>
    <row r="6266" spans="5:5" x14ac:dyDescent="0.25">
      <c r="E6266" s="82" t="s">
        <v>7237</v>
      </c>
    </row>
    <row r="6267" spans="5:5" x14ac:dyDescent="0.25">
      <c r="E6267" s="82" t="s">
        <v>7238</v>
      </c>
    </row>
    <row r="6268" spans="5:5" x14ac:dyDescent="0.25">
      <c r="E6268" s="82" t="s">
        <v>7239</v>
      </c>
    </row>
    <row r="6269" spans="5:5" x14ac:dyDescent="0.25">
      <c r="E6269" s="82" t="s">
        <v>7240</v>
      </c>
    </row>
    <row r="6270" spans="5:5" x14ac:dyDescent="0.25">
      <c r="E6270" s="82" t="s">
        <v>7241</v>
      </c>
    </row>
    <row r="6271" spans="5:5" x14ac:dyDescent="0.25">
      <c r="E6271" s="82" t="s">
        <v>7242</v>
      </c>
    </row>
    <row r="6272" spans="5:5" x14ac:dyDescent="0.25">
      <c r="E6272" s="82" t="s">
        <v>7243</v>
      </c>
    </row>
    <row r="6273" spans="5:5" x14ac:dyDescent="0.25">
      <c r="E6273" s="82" t="s">
        <v>7244</v>
      </c>
    </row>
    <row r="6274" spans="5:5" x14ac:dyDescent="0.25">
      <c r="E6274" s="82" t="s">
        <v>7245</v>
      </c>
    </row>
    <row r="6275" spans="5:5" x14ac:dyDescent="0.25">
      <c r="E6275" s="82" t="s">
        <v>7246</v>
      </c>
    </row>
    <row r="6276" spans="5:5" x14ac:dyDescent="0.25">
      <c r="E6276" s="82" t="s">
        <v>7247</v>
      </c>
    </row>
    <row r="6277" spans="5:5" x14ac:dyDescent="0.25">
      <c r="E6277" s="82" t="s">
        <v>7248</v>
      </c>
    </row>
    <row r="6278" spans="5:5" x14ac:dyDescent="0.25">
      <c r="E6278" s="82" t="s">
        <v>7249</v>
      </c>
    </row>
    <row r="6279" spans="5:5" x14ac:dyDescent="0.25">
      <c r="E6279" s="82" t="s">
        <v>7250</v>
      </c>
    </row>
    <row r="6280" spans="5:5" x14ac:dyDescent="0.25">
      <c r="E6280" s="82" t="s">
        <v>7251</v>
      </c>
    </row>
    <row r="6281" spans="5:5" x14ac:dyDescent="0.25">
      <c r="E6281" s="82" t="s">
        <v>7252</v>
      </c>
    </row>
    <row r="6282" spans="5:5" x14ac:dyDescent="0.25">
      <c r="E6282" s="82" t="s">
        <v>7253</v>
      </c>
    </row>
    <row r="6283" spans="5:5" x14ac:dyDescent="0.25">
      <c r="E6283" s="82" t="s">
        <v>7254</v>
      </c>
    </row>
    <row r="6284" spans="5:5" x14ac:dyDescent="0.25">
      <c r="E6284" s="82" t="s">
        <v>7255</v>
      </c>
    </row>
    <row r="6285" spans="5:5" x14ac:dyDescent="0.25">
      <c r="E6285" s="82" t="s">
        <v>7256</v>
      </c>
    </row>
    <row r="6286" spans="5:5" x14ac:dyDescent="0.25">
      <c r="E6286" s="82" t="s">
        <v>7257</v>
      </c>
    </row>
    <row r="6287" spans="5:5" x14ac:dyDescent="0.25">
      <c r="E6287" s="82" t="s">
        <v>7258</v>
      </c>
    </row>
    <row r="6288" spans="5:5" x14ac:dyDescent="0.25">
      <c r="E6288" s="82" t="s">
        <v>7259</v>
      </c>
    </row>
    <row r="6289" spans="5:5" x14ac:dyDescent="0.25">
      <c r="E6289" s="82" t="s">
        <v>7260</v>
      </c>
    </row>
    <row r="6290" spans="5:5" x14ac:dyDescent="0.25">
      <c r="E6290" s="82" t="s">
        <v>7261</v>
      </c>
    </row>
    <row r="6291" spans="5:5" x14ac:dyDescent="0.25">
      <c r="E6291" s="82" t="s">
        <v>7262</v>
      </c>
    </row>
    <row r="6292" spans="5:5" x14ac:dyDescent="0.25">
      <c r="E6292" s="82" t="s">
        <v>7263</v>
      </c>
    </row>
    <row r="6293" spans="5:5" x14ac:dyDescent="0.25">
      <c r="E6293" s="82" t="s">
        <v>7264</v>
      </c>
    </row>
    <row r="6294" spans="5:5" x14ac:dyDescent="0.25">
      <c r="E6294" s="82" t="s">
        <v>7265</v>
      </c>
    </row>
    <row r="6295" spans="5:5" x14ac:dyDescent="0.25">
      <c r="E6295" s="82" t="s">
        <v>7266</v>
      </c>
    </row>
    <row r="6296" spans="5:5" x14ac:dyDescent="0.25">
      <c r="E6296" s="82" t="s">
        <v>7267</v>
      </c>
    </row>
    <row r="6297" spans="5:5" x14ac:dyDescent="0.25">
      <c r="E6297" s="82" t="s">
        <v>7268</v>
      </c>
    </row>
    <row r="6298" spans="5:5" x14ac:dyDescent="0.25">
      <c r="E6298" s="82" t="s">
        <v>7269</v>
      </c>
    </row>
    <row r="6299" spans="5:5" x14ac:dyDescent="0.25">
      <c r="E6299" s="82" t="s">
        <v>7270</v>
      </c>
    </row>
    <row r="6300" spans="5:5" x14ac:dyDescent="0.25">
      <c r="E6300" s="82" t="s">
        <v>7271</v>
      </c>
    </row>
    <row r="6301" spans="5:5" x14ac:dyDescent="0.25">
      <c r="E6301" s="82" t="s">
        <v>7272</v>
      </c>
    </row>
    <row r="6302" spans="5:5" x14ac:dyDescent="0.25">
      <c r="E6302" s="82" t="s">
        <v>7273</v>
      </c>
    </row>
    <row r="6303" spans="5:5" x14ac:dyDescent="0.25">
      <c r="E6303" s="82" t="s">
        <v>7274</v>
      </c>
    </row>
    <row r="6304" spans="5:5" x14ac:dyDescent="0.25">
      <c r="E6304" s="82" t="s">
        <v>7275</v>
      </c>
    </row>
    <row r="6305" spans="5:5" x14ac:dyDescent="0.25">
      <c r="E6305" s="82" t="s">
        <v>7276</v>
      </c>
    </row>
    <row r="6306" spans="5:5" x14ac:dyDescent="0.25">
      <c r="E6306" s="82" t="s">
        <v>7277</v>
      </c>
    </row>
    <row r="6307" spans="5:5" x14ac:dyDescent="0.25">
      <c r="E6307" s="82" t="s">
        <v>7278</v>
      </c>
    </row>
    <row r="6308" spans="5:5" x14ac:dyDescent="0.25">
      <c r="E6308" s="82" t="s">
        <v>7279</v>
      </c>
    </row>
    <row r="6309" spans="5:5" x14ac:dyDescent="0.25">
      <c r="E6309" s="82" t="s">
        <v>7280</v>
      </c>
    </row>
    <row r="6310" spans="5:5" x14ac:dyDescent="0.25">
      <c r="E6310" s="82" t="s">
        <v>7281</v>
      </c>
    </row>
    <row r="6311" spans="5:5" x14ac:dyDescent="0.25">
      <c r="E6311" s="82" t="s">
        <v>7282</v>
      </c>
    </row>
    <row r="6312" spans="5:5" x14ac:dyDescent="0.25">
      <c r="E6312" s="82" t="s">
        <v>7283</v>
      </c>
    </row>
    <row r="6313" spans="5:5" x14ac:dyDescent="0.25">
      <c r="E6313" s="82" t="s">
        <v>7284</v>
      </c>
    </row>
    <row r="6314" spans="5:5" x14ac:dyDescent="0.25">
      <c r="E6314" s="82" t="s">
        <v>7285</v>
      </c>
    </row>
    <row r="6315" spans="5:5" x14ac:dyDescent="0.25">
      <c r="E6315" s="82" t="s">
        <v>7286</v>
      </c>
    </row>
    <row r="6316" spans="5:5" x14ac:dyDescent="0.25">
      <c r="E6316" s="82" t="s">
        <v>7287</v>
      </c>
    </row>
    <row r="6317" spans="5:5" x14ac:dyDescent="0.25">
      <c r="E6317" s="82" t="s">
        <v>7288</v>
      </c>
    </row>
    <row r="6318" spans="5:5" x14ac:dyDescent="0.25">
      <c r="E6318" s="82" t="s">
        <v>7289</v>
      </c>
    </row>
    <row r="6319" spans="5:5" x14ac:dyDescent="0.25">
      <c r="E6319" s="82" t="s">
        <v>7290</v>
      </c>
    </row>
    <row r="6320" spans="5:5" x14ac:dyDescent="0.25">
      <c r="E6320" s="82" t="s">
        <v>7291</v>
      </c>
    </row>
    <row r="6321" spans="5:5" x14ac:dyDescent="0.25">
      <c r="E6321" s="82" t="s">
        <v>7292</v>
      </c>
    </row>
    <row r="6322" spans="5:5" x14ac:dyDescent="0.25">
      <c r="E6322" s="82" t="s">
        <v>7293</v>
      </c>
    </row>
    <row r="6323" spans="5:5" x14ac:dyDescent="0.25">
      <c r="E6323" s="82" t="s">
        <v>7294</v>
      </c>
    </row>
    <row r="6324" spans="5:5" x14ac:dyDescent="0.25">
      <c r="E6324" s="82" t="s">
        <v>7295</v>
      </c>
    </row>
    <row r="6325" spans="5:5" x14ac:dyDescent="0.25">
      <c r="E6325" s="82" t="s">
        <v>7296</v>
      </c>
    </row>
    <row r="6326" spans="5:5" x14ac:dyDescent="0.25">
      <c r="E6326" s="82" t="s">
        <v>7297</v>
      </c>
    </row>
    <row r="6327" spans="5:5" x14ac:dyDescent="0.25">
      <c r="E6327" s="82" t="s">
        <v>7298</v>
      </c>
    </row>
    <row r="6328" spans="5:5" x14ac:dyDescent="0.25">
      <c r="E6328" s="82" t="s">
        <v>7299</v>
      </c>
    </row>
    <row r="6329" spans="5:5" x14ac:dyDescent="0.25">
      <c r="E6329" s="82" t="s">
        <v>7300</v>
      </c>
    </row>
    <row r="6330" spans="5:5" x14ac:dyDescent="0.25">
      <c r="E6330" s="82" t="s">
        <v>7301</v>
      </c>
    </row>
    <row r="6331" spans="5:5" x14ac:dyDescent="0.25">
      <c r="E6331" s="82" t="s">
        <v>7302</v>
      </c>
    </row>
    <row r="6332" spans="5:5" x14ac:dyDescent="0.25">
      <c r="E6332" s="82" t="s">
        <v>7303</v>
      </c>
    </row>
    <row r="6333" spans="5:5" x14ac:dyDescent="0.25">
      <c r="E6333" s="82" t="s">
        <v>7304</v>
      </c>
    </row>
    <row r="6334" spans="5:5" x14ac:dyDescent="0.25">
      <c r="E6334" s="82" t="s">
        <v>7305</v>
      </c>
    </row>
    <row r="6335" spans="5:5" x14ac:dyDescent="0.25">
      <c r="E6335" s="82" t="s">
        <v>7306</v>
      </c>
    </row>
    <row r="6336" spans="5:5" x14ac:dyDescent="0.25">
      <c r="E6336" s="82" t="s">
        <v>7307</v>
      </c>
    </row>
    <row r="6337" spans="5:5" x14ac:dyDescent="0.25">
      <c r="E6337" s="82" t="s">
        <v>7308</v>
      </c>
    </row>
    <row r="6338" spans="5:5" x14ac:dyDescent="0.25">
      <c r="E6338" s="82" t="s">
        <v>7309</v>
      </c>
    </row>
    <row r="6339" spans="5:5" x14ac:dyDescent="0.25">
      <c r="E6339" s="82" t="s">
        <v>7310</v>
      </c>
    </row>
    <row r="6340" spans="5:5" x14ac:dyDescent="0.25">
      <c r="E6340" s="82" t="s">
        <v>7311</v>
      </c>
    </row>
    <row r="6341" spans="5:5" x14ac:dyDescent="0.25">
      <c r="E6341" s="82" t="s">
        <v>7312</v>
      </c>
    </row>
    <row r="6342" spans="5:5" x14ac:dyDescent="0.25">
      <c r="E6342" s="82" t="s">
        <v>7313</v>
      </c>
    </row>
    <row r="6343" spans="5:5" x14ac:dyDescent="0.25">
      <c r="E6343" s="82" t="s">
        <v>7314</v>
      </c>
    </row>
    <row r="6344" spans="5:5" x14ac:dyDescent="0.25">
      <c r="E6344" s="82" t="s">
        <v>7315</v>
      </c>
    </row>
    <row r="6345" spans="5:5" x14ac:dyDescent="0.25">
      <c r="E6345" s="82" t="s">
        <v>7316</v>
      </c>
    </row>
    <row r="6346" spans="5:5" x14ac:dyDescent="0.25">
      <c r="E6346" s="82" t="s">
        <v>7317</v>
      </c>
    </row>
    <row r="6347" spans="5:5" x14ac:dyDescent="0.25">
      <c r="E6347" s="82" t="s">
        <v>7318</v>
      </c>
    </row>
    <row r="6348" spans="5:5" x14ac:dyDescent="0.25">
      <c r="E6348" s="82" t="s">
        <v>7319</v>
      </c>
    </row>
    <row r="6349" spans="5:5" x14ac:dyDescent="0.25">
      <c r="E6349" s="82" t="s">
        <v>7320</v>
      </c>
    </row>
    <row r="6350" spans="5:5" x14ac:dyDescent="0.25">
      <c r="E6350" s="82" t="s">
        <v>7321</v>
      </c>
    </row>
    <row r="6351" spans="5:5" x14ac:dyDescent="0.25">
      <c r="E6351" s="82" t="s">
        <v>7322</v>
      </c>
    </row>
    <row r="6352" spans="5:5" x14ac:dyDescent="0.25">
      <c r="E6352" s="82" t="s">
        <v>7323</v>
      </c>
    </row>
    <row r="6353" spans="5:5" x14ac:dyDescent="0.25">
      <c r="E6353" s="82" t="s">
        <v>7324</v>
      </c>
    </row>
    <row r="6354" spans="5:5" x14ac:dyDescent="0.25">
      <c r="E6354" s="82" t="s">
        <v>7325</v>
      </c>
    </row>
    <row r="6355" spans="5:5" x14ac:dyDescent="0.25">
      <c r="E6355" s="82" t="s">
        <v>7326</v>
      </c>
    </row>
    <row r="6356" spans="5:5" x14ac:dyDescent="0.25">
      <c r="E6356" s="82" t="s">
        <v>7327</v>
      </c>
    </row>
    <row r="6357" spans="5:5" x14ac:dyDescent="0.25">
      <c r="E6357" s="82" t="s">
        <v>7328</v>
      </c>
    </row>
    <row r="6358" spans="5:5" x14ac:dyDescent="0.25">
      <c r="E6358" s="82" t="s">
        <v>7329</v>
      </c>
    </row>
    <row r="6359" spans="5:5" x14ac:dyDescent="0.25">
      <c r="E6359" s="82" t="s">
        <v>7330</v>
      </c>
    </row>
    <row r="6360" spans="5:5" x14ac:dyDescent="0.25">
      <c r="E6360" s="82" t="s">
        <v>7331</v>
      </c>
    </row>
    <row r="6361" spans="5:5" x14ac:dyDescent="0.25">
      <c r="E6361" s="82" t="s">
        <v>7332</v>
      </c>
    </row>
    <row r="6362" spans="5:5" x14ac:dyDescent="0.25">
      <c r="E6362" s="82" t="s">
        <v>7333</v>
      </c>
    </row>
    <row r="6363" spans="5:5" x14ac:dyDescent="0.25">
      <c r="E6363" s="82" t="s">
        <v>7334</v>
      </c>
    </row>
    <row r="6364" spans="5:5" x14ac:dyDescent="0.25">
      <c r="E6364" s="82" t="s">
        <v>7335</v>
      </c>
    </row>
    <row r="6365" spans="5:5" x14ac:dyDescent="0.25">
      <c r="E6365" s="82" t="s">
        <v>7336</v>
      </c>
    </row>
    <row r="6366" spans="5:5" x14ac:dyDescent="0.25">
      <c r="E6366" s="82" t="s">
        <v>7337</v>
      </c>
    </row>
    <row r="6367" spans="5:5" x14ac:dyDescent="0.25">
      <c r="E6367" s="82" t="s">
        <v>7338</v>
      </c>
    </row>
    <row r="6368" spans="5:5" x14ac:dyDescent="0.25">
      <c r="E6368" s="82" t="s">
        <v>7339</v>
      </c>
    </row>
    <row r="6369" spans="5:5" x14ac:dyDescent="0.25">
      <c r="E6369" s="82" t="s">
        <v>7340</v>
      </c>
    </row>
    <row r="6370" spans="5:5" x14ac:dyDescent="0.25">
      <c r="E6370" s="82" t="s">
        <v>7341</v>
      </c>
    </row>
    <row r="6371" spans="5:5" x14ac:dyDescent="0.25">
      <c r="E6371" s="82" t="s">
        <v>7342</v>
      </c>
    </row>
    <row r="6372" spans="5:5" x14ac:dyDescent="0.25">
      <c r="E6372" s="82" t="s">
        <v>7343</v>
      </c>
    </row>
    <row r="6373" spans="5:5" x14ac:dyDescent="0.25">
      <c r="E6373" s="82" t="s">
        <v>7344</v>
      </c>
    </row>
    <row r="6374" spans="5:5" x14ac:dyDescent="0.25">
      <c r="E6374" s="82" t="s">
        <v>7345</v>
      </c>
    </row>
    <row r="6375" spans="5:5" x14ac:dyDescent="0.25">
      <c r="E6375" s="82" t="s">
        <v>7346</v>
      </c>
    </row>
    <row r="6376" spans="5:5" x14ac:dyDescent="0.25">
      <c r="E6376" s="82" t="s">
        <v>7347</v>
      </c>
    </row>
    <row r="6377" spans="5:5" x14ac:dyDescent="0.25">
      <c r="E6377" s="82" t="s">
        <v>7348</v>
      </c>
    </row>
    <row r="6378" spans="5:5" x14ac:dyDescent="0.25">
      <c r="E6378" s="82" t="s">
        <v>7349</v>
      </c>
    </row>
    <row r="6379" spans="5:5" x14ac:dyDescent="0.25">
      <c r="E6379" s="82" t="s">
        <v>7350</v>
      </c>
    </row>
    <row r="6380" spans="5:5" x14ac:dyDescent="0.25">
      <c r="E6380" s="82" t="s">
        <v>7351</v>
      </c>
    </row>
    <row r="6381" spans="5:5" x14ac:dyDescent="0.25">
      <c r="E6381" s="82" t="s">
        <v>7352</v>
      </c>
    </row>
    <row r="6382" spans="5:5" x14ac:dyDescent="0.25">
      <c r="E6382" s="82" t="s">
        <v>7353</v>
      </c>
    </row>
    <row r="6383" spans="5:5" x14ac:dyDescent="0.25">
      <c r="E6383" s="82" t="s">
        <v>7354</v>
      </c>
    </row>
    <row r="6384" spans="5:5" x14ac:dyDescent="0.25">
      <c r="E6384" s="82" t="s">
        <v>7355</v>
      </c>
    </row>
    <row r="6385" spans="5:5" x14ac:dyDescent="0.25">
      <c r="E6385" s="82" t="s">
        <v>7356</v>
      </c>
    </row>
    <row r="6386" spans="5:5" x14ac:dyDescent="0.25">
      <c r="E6386" s="82" t="s">
        <v>7357</v>
      </c>
    </row>
    <row r="6387" spans="5:5" x14ac:dyDescent="0.25">
      <c r="E6387" s="82" t="s">
        <v>7358</v>
      </c>
    </row>
    <row r="6388" spans="5:5" x14ac:dyDescent="0.25">
      <c r="E6388" s="82" t="s">
        <v>7359</v>
      </c>
    </row>
    <row r="6389" spans="5:5" x14ac:dyDescent="0.25">
      <c r="E6389" s="82" t="s">
        <v>7360</v>
      </c>
    </row>
    <row r="6390" spans="5:5" x14ac:dyDescent="0.25">
      <c r="E6390" s="82" t="s">
        <v>7361</v>
      </c>
    </row>
    <row r="6391" spans="5:5" x14ac:dyDescent="0.25">
      <c r="E6391" s="82" t="s">
        <v>7362</v>
      </c>
    </row>
    <row r="6392" spans="5:5" x14ac:dyDescent="0.25">
      <c r="E6392" s="82" t="s">
        <v>7363</v>
      </c>
    </row>
    <row r="6393" spans="5:5" x14ac:dyDescent="0.25">
      <c r="E6393" s="82" t="s">
        <v>7364</v>
      </c>
    </row>
    <row r="6394" spans="5:5" x14ac:dyDescent="0.25">
      <c r="E6394" s="82" t="s">
        <v>7365</v>
      </c>
    </row>
    <row r="6395" spans="5:5" x14ac:dyDescent="0.25">
      <c r="E6395" s="82" t="s">
        <v>7366</v>
      </c>
    </row>
    <row r="6396" spans="5:5" x14ac:dyDescent="0.25">
      <c r="E6396" s="82" t="s">
        <v>7367</v>
      </c>
    </row>
    <row r="6397" spans="5:5" x14ac:dyDescent="0.25">
      <c r="E6397" s="82" t="s">
        <v>7368</v>
      </c>
    </row>
    <row r="6398" spans="5:5" x14ac:dyDescent="0.25">
      <c r="E6398" s="82" t="s">
        <v>7369</v>
      </c>
    </row>
    <row r="6399" spans="5:5" x14ac:dyDescent="0.25">
      <c r="E6399" s="82" t="s">
        <v>7370</v>
      </c>
    </row>
    <row r="6400" spans="5:5" x14ac:dyDescent="0.25">
      <c r="E6400" s="82" t="s">
        <v>7371</v>
      </c>
    </row>
    <row r="6401" spans="5:5" x14ac:dyDescent="0.25">
      <c r="E6401" s="82" t="s">
        <v>7372</v>
      </c>
    </row>
    <row r="6402" spans="5:5" x14ac:dyDescent="0.25">
      <c r="E6402" s="82" t="s">
        <v>7373</v>
      </c>
    </row>
    <row r="6403" spans="5:5" x14ac:dyDescent="0.25">
      <c r="E6403" s="82" t="s">
        <v>7374</v>
      </c>
    </row>
    <row r="6404" spans="5:5" x14ac:dyDescent="0.25">
      <c r="E6404" s="82" t="s">
        <v>7375</v>
      </c>
    </row>
    <row r="6405" spans="5:5" x14ac:dyDescent="0.25">
      <c r="E6405" s="82" t="s">
        <v>7376</v>
      </c>
    </row>
    <row r="6406" spans="5:5" x14ac:dyDescent="0.25">
      <c r="E6406" s="82" t="s">
        <v>7377</v>
      </c>
    </row>
    <row r="6407" spans="5:5" x14ac:dyDescent="0.25">
      <c r="E6407" s="82" t="s">
        <v>7378</v>
      </c>
    </row>
    <row r="6408" spans="5:5" x14ac:dyDescent="0.25">
      <c r="E6408" s="82" t="s">
        <v>7379</v>
      </c>
    </row>
    <row r="6409" spans="5:5" x14ac:dyDescent="0.25">
      <c r="E6409" s="82" t="s">
        <v>7380</v>
      </c>
    </row>
    <row r="6410" spans="5:5" x14ac:dyDescent="0.25">
      <c r="E6410" s="82" t="s">
        <v>7381</v>
      </c>
    </row>
    <row r="6411" spans="5:5" x14ac:dyDescent="0.25">
      <c r="E6411" s="82" t="s">
        <v>7382</v>
      </c>
    </row>
    <row r="6412" spans="5:5" x14ac:dyDescent="0.25">
      <c r="E6412" s="82" t="s">
        <v>7383</v>
      </c>
    </row>
    <row r="6413" spans="5:5" x14ac:dyDescent="0.25">
      <c r="E6413" s="82" t="s">
        <v>7384</v>
      </c>
    </row>
    <row r="6414" spans="5:5" x14ac:dyDescent="0.25">
      <c r="E6414" s="82" t="s">
        <v>7385</v>
      </c>
    </row>
    <row r="6415" spans="5:5" x14ac:dyDescent="0.25">
      <c r="E6415" s="82" t="s">
        <v>7386</v>
      </c>
    </row>
    <row r="6416" spans="5:5" x14ac:dyDescent="0.25">
      <c r="E6416" s="82" t="s">
        <v>7387</v>
      </c>
    </row>
    <row r="6417" spans="5:5" x14ac:dyDescent="0.25">
      <c r="E6417" s="82" t="s">
        <v>7388</v>
      </c>
    </row>
    <row r="6418" spans="5:5" x14ac:dyDescent="0.25">
      <c r="E6418" s="82" t="s">
        <v>7389</v>
      </c>
    </row>
    <row r="6419" spans="5:5" x14ac:dyDescent="0.25">
      <c r="E6419" s="82" t="s">
        <v>7390</v>
      </c>
    </row>
    <row r="6420" spans="5:5" x14ac:dyDescent="0.25">
      <c r="E6420" s="82" t="s">
        <v>7391</v>
      </c>
    </row>
    <row r="6421" spans="5:5" x14ac:dyDescent="0.25">
      <c r="E6421" s="82" t="s">
        <v>7392</v>
      </c>
    </row>
    <row r="6422" spans="5:5" x14ac:dyDescent="0.25">
      <c r="E6422" s="82" t="s">
        <v>7393</v>
      </c>
    </row>
    <row r="6423" spans="5:5" x14ac:dyDescent="0.25">
      <c r="E6423" s="82" t="s">
        <v>7394</v>
      </c>
    </row>
    <row r="6424" spans="5:5" x14ac:dyDescent="0.25">
      <c r="E6424" s="82" t="s">
        <v>7395</v>
      </c>
    </row>
    <row r="6425" spans="5:5" x14ac:dyDescent="0.25">
      <c r="E6425" s="82" t="s">
        <v>7396</v>
      </c>
    </row>
    <row r="6426" spans="5:5" x14ac:dyDescent="0.25">
      <c r="E6426" s="82" t="s">
        <v>7397</v>
      </c>
    </row>
    <row r="6427" spans="5:5" x14ac:dyDescent="0.25">
      <c r="E6427" s="82" t="s">
        <v>7398</v>
      </c>
    </row>
    <row r="6428" spans="5:5" x14ac:dyDescent="0.25">
      <c r="E6428" s="82" t="s">
        <v>7399</v>
      </c>
    </row>
    <row r="6429" spans="5:5" x14ac:dyDescent="0.25">
      <c r="E6429" s="82" t="s">
        <v>7400</v>
      </c>
    </row>
    <row r="6430" spans="5:5" x14ac:dyDescent="0.25">
      <c r="E6430" s="82" t="s">
        <v>7401</v>
      </c>
    </row>
    <row r="6431" spans="5:5" x14ac:dyDescent="0.25">
      <c r="E6431" s="82" t="s">
        <v>7402</v>
      </c>
    </row>
    <row r="6432" spans="5:5" x14ac:dyDescent="0.25">
      <c r="E6432" s="82" t="s">
        <v>7403</v>
      </c>
    </row>
    <row r="6433" spans="5:5" x14ac:dyDescent="0.25">
      <c r="E6433" s="82" t="s">
        <v>7404</v>
      </c>
    </row>
    <row r="6434" spans="5:5" x14ac:dyDescent="0.25">
      <c r="E6434" s="82" t="s">
        <v>7405</v>
      </c>
    </row>
    <row r="6435" spans="5:5" x14ac:dyDescent="0.25">
      <c r="E6435" s="82" t="s">
        <v>7406</v>
      </c>
    </row>
    <row r="6436" spans="5:5" x14ac:dyDescent="0.25">
      <c r="E6436" s="82" t="s">
        <v>7407</v>
      </c>
    </row>
    <row r="6437" spans="5:5" x14ac:dyDescent="0.25">
      <c r="E6437" s="82" t="s">
        <v>7408</v>
      </c>
    </row>
    <row r="6438" spans="5:5" x14ac:dyDescent="0.25">
      <c r="E6438" s="82" t="s">
        <v>7409</v>
      </c>
    </row>
    <row r="6439" spans="5:5" x14ac:dyDescent="0.25">
      <c r="E6439" s="82" t="s">
        <v>7410</v>
      </c>
    </row>
    <row r="6440" spans="5:5" x14ac:dyDescent="0.25">
      <c r="E6440" s="82" t="s">
        <v>7411</v>
      </c>
    </row>
    <row r="6441" spans="5:5" x14ac:dyDescent="0.25">
      <c r="E6441" s="82" t="s">
        <v>7412</v>
      </c>
    </row>
    <row r="6442" spans="5:5" x14ac:dyDescent="0.25">
      <c r="E6442" s="82" t="s">
        <v>7413</v>
      </c>
    </row>
    <row r="6443" spans="5:5" x14ac:dyDescent="0.25">
      <c r="E6443" s="82" t="s">
        <v>7414</v>
      </c>
    </row>
    <row r="6444" spans="5:5" x14ac:dyDescent="0.25">
      <c r="E6444" s="82" t="s">
        <v>7415</v>
      </c>
    </row>
    <row r="6445" spans="5:5" x14ac:dyDescent="0.25">
      <c r="E6445" s="82" t="s">
        <v>7416</v>
      </c>
    </row>
    <row r="6446" spans="5:5" x14ac:dyDescent="0.25">
      <c r="E6446" s="82" t="s">
        <v>7417</v>
      </c>
    </row>
    <row r="6447" spans="5:5" x14ac:dyDescent="0.25">
      <c r="E6447" s="82" t="s">
        <v>7418</v>
      </c>
    </row>
    <row r="6448" spans="5:5" x14ac:dyDescent="0.25">
      <c r="E6448" s="82" t="s">
        <v>7419</v>
      </c>
    </row>
    <row r="6449" spans="5:5" x14ac:dyDescent="0.25">
      <c r="E6449" s="82" t="s">
        <v>7420</v>
      </c>
    </row>
    <row r="6450" spans="5:5" x14ac:dyDescent="0.25">
      <c r="E6450" s="82" t="s">
        <v>7421</v>
      </c>
    </row>
    <row r="6451" spans="5:5" x14ac:dyDescent="0.25">
      <c r="E6451" s="82" t="s">
        <v>7422</v>
      </c>
    </row>
    <row r="6452" spans="5:5" x14ac:dyDescent="0.25">
      <c r="E6452" s="82" t="s">
        <v>7423</v>
      </c>
    </row>
    <row r="6453" spans="5:5" x14ac:dyDescent="0.25">
      <c r="E6453" s="82" t="s">
        <v>7424</v>
      </c>
    </row>
    <row r="6454" spans="5:5" x14ac:dyDescent="0.25">
      <c r="E6454" s="82" t="s">
        <v>7425</v>
      </c>
    </row>
    <row r="6455" spans="5:5" x14ac:dyDescent="0.25">
      <c r="E6455" s="82" t="s">
        <v>7426</v>
      </c>
    </row>
    <row r="6456" spans="5:5" x14ac:dyDescent="0.25">
      <c r="E6456" s="82" t="s">
        <v>7427</v>
      </c>
    </row>
    <row r="6457" spans="5:5" x14ac:dyDescent="0.25">
      <c r="E6457" s="82" t="s">
        <v>7428</v>
      </c>
    </row>
    <row r="6458" spans="5:5" x14ac:dyDescent="0.25">
      <c r="E6458" s="82" t="s">
        <v>7429</v>
      </c>
    </row>
    <row r="6459" spans="5:5" x14ac:dyDescent="0.25">
      <c r="E6459" s="82" t="s">
        <v>7430</v>
      </c>
    </row>
    <row r="6460" spans="5:5" x14ac:dyDescent="0.25">
      <c r="E6460" s="82" t="s">
        <v>7431</v>
      </c>
    </row>
    <row r="6461" spans="5:5" x14ac:dyDescent="0.25">
      <c r="E6461" s="82" t="s">
        <v>7432</v>
      </c>
    </row>
    <row r="6462" spans="5:5" x14ac:dyDescent="0.25">
      <c r="E6462" s="82" t="s">
        <v>7433</v>
      </c>
    </row>
    <row r="6463" spans="5:5" x14ac:dyDescent="0.25">
      <c r="E6463" s="82" t="s">
        <v>7434</v>
      </c>
    </row>
    <row r="6464" spans="5:5" x14ac:dyDescent="0.25">
      <c r="E6464" s="82" t="s">
        <v>7435</v>
      </c>
    </row>
    <row r="6465" spans="5:5" x14ac:dyDescent="0.25">
      <c r="E6465" s="82" t="s">
        <v>7436</v>
      </c>
    </row>
    <row r="6466" spans="5:5" x14ac:dyDescent="0.25">
      <c r="E6466" s="82" t="s">
        <v>7437</v>
      </c>
    </row>
    <row r="6467" spans="5:5" x14ac:dyDescent="0.25">
      <c r="E6467" s="82" t="s">
        <v>7438</v>
      </c>
    </row>
    <row r="6468" spans="5:5" x14ac:dyDescent="0.25">
      <c r="E6468" s="82" t="s">
        <v>7439</v>
      </c>
    </row>
    <row r="6469" spans="5:5" x14ac:dyDescent="0.25">
      <c r="E6469" s="82" t="s">
        <v>7440</v>
      </c>
    </row>
    <row r="6470" spans="5:5" x14ac:dyDescent="0.25">
      <c r="E6470" s="82" t="s">
        <v>7441</v>
      </c>
    </row>
    <row r="6471" spans="5:5" x14ac:dyDescent="0.25">
      <c r="E6471" s="82" t="s">
        <v>7442</v>
      </c>
    </row>
    <row r="6472" spans="5:5" x14ac:dyDescent="0.25">
      <c r="E6472" s="82" t="s">
        <v>7443</v>
      </c>
    </row>
    <row r="6473" spans="5:5" x14ac:dyDescent="0.25">
      <c r="E6473" s="82" t="s">
        <v>7444</v>
      </c>
    </row>
    <row r="6474" spans="5:5" x14ac:dyDescent="0.25">
      <c r="E6474" s="82" t="s">
        <v>7445</v>
      </c>
    </row>
    <row r="6475" spans="5:5" x14ac:dyDescent="0.25">
      <c r="E6475" s="82" t="s">
        <v>7446</v>
      </c>
    </row>
    <row r="6476" spans="5:5" x14ac:dyDescent="0.25">
      <c r="E6476" s="82" t="s">
        <v>7447</v>
      </c>
    </row>
    <row r="6477" spans="5:5" x14ac:dyDescent="0.25">
      <c r="E6477" s="82" t="s">
        <v>7448</v>
      </c>
    </row>
    <row r="6478" spans="5:5" x14ac:dyDescent="0.25">
      <c r="E6478" s="82" t="s">
        <v>7449</v>
      </c>
    </row>
    <row r="6479" spans="5:5" x14ac:dyDescent="0.25">
      <c r="E6479" s="82" t="s">
        <v>7450</v>
      </c>
    </row>
    <row r="6480" spans="5:5" x14ac:dyDescent="0.25">
      <c r="E6480" s="82" t="s">
        <v>7451</v>
      </c>
    </row>
    <row r="6481" spans="5:5" x14ac:dyDescent="0.25">
      <c r="E6481" s="82" t="s">
        <v>7452</v>
      </c>
    </row>
    <row r="6482" spans="5:5" x14ac:dyDescent="0.25">
      <c r="E6482" s="82" t="s">
        <v>7453</v>
      </c>
    </row>
    <row r="6483" spans="5:5" x14ac:dyDescent="0.25">
      <c r="E6483" s="82" t="s">
        <v>7454</v>
      </c>
    </row>
    <row r="6484" spans="5:5" x14ac:dyDescent="0.25">
      <c r="E6484" s="82" t="s">
        <v>7455</v>
      </c>
    </row>
    <row r="6485" spans="5:5" x14ac:dyDescent="0.25">
      <c r="E6485" s="82" t="s">
        <v>7456</v>
      </c>
    </row>
    <row r="6486" spans="5:5" x14ac:dyDescent="0.25">
      <c r="E6486" s="82" t="s">
        <v>7457</v>
      </c>
    </row>
    <row r="6487" spans="5:5" x14ac:dyDescent="0.25">
      <c r="E6487" s="82" t="s">
        <v>7458</v>
      </c>
    </row>
    <row r="6488" spans="5:5" x14ac:dyDescent="0.25">
      <c r="E6488" s="82" t="s">
        <v>7459</v>
      </c>
    </row>
    <row r="6489" spans="5:5" x14ac:dyDescent="0.25">
      <c r="E6489" s="82" t="s">
        <v>7460</v>
      </c>
    </row>
    <row r="6490" spans="5:5" x14ac:dyDescent="0.25">
      <c r="E6490" s="82" t="s">
        <v>7461</v>
      </c>
    </row>
    <row r="6491" spans="5:5" x14ac:dyDescent="0.25">
      <c r="E6491" s="82" t="s">
        <v>7462</v>
      </c>
    </row>
    <row r="6492" spans="5:5" x14ac:dyDescent="0.25">
      <c r="E6492" s="82" t="s">
        <v>7463</v>
      </c>
    </row>
    <row r="6493" spans="5:5" x14ac:dyDescent="0.25">
      <c r="E6493" s="82" t="s">
        <v>7464</v>
      </c>
    </row>
    <row r="6494" spans="5:5" x14ac:dyDescent="0.25">
      <c r="E6494" s="82" t="s">
        <v>7465</v>
      </c>
    </row>
    <row r="6495" spans="5:5" x14ac:dyDescent="0.25">
      <c r="E6495" s="82" t="s">
        <v>7466</v>
      </c>
    </row>
    <row r="6496" spans="5:5" x14ac:dyDescent="0.25">
      <c r="E6496" s="82" t="s">
        <v>7467</v>
      </c>
    </row>
    <row r="6497" spans="5:5" x14ac:dyDescent="0.25">
      <c r="E6497" s="82" t="s">
        <v>7468</v>
      </c>
    </row>
    <row r="6498" spans="5:5" x14ac:dyDescent="0.25">
      <c r="E6498" s="82" t="s">
        <v>7469</v>
      </c>
    </row>
    <row r="6499" spans="5:5" x14ac:dyDescent="0.25">
      <c r="E6499" s="82" t="s">
        <v>7470</v>
      </c>
    </row>
    <row r="6500" spans="5:5" x14ac:dyDescent="0.25">
      <c r="E6500" s="82" t="s">
        <v>7471</v>
      </c>
    </row>
    <row r="6501" spans="5:5" x14ac:dyDescent="0.25">
      <c r="E6501" s="82" t="s">
        <v>7472</v>
      </c>
    </row>
    <row r="6502" spans="5:5" x14ac:dyDescent="0.25">
      <c r="E6502" s="82" t="s">
        <v>7473</v>
      </c>
    </row>
    <row r="6503" spans="5:5" x14ac:dyDescent="0.25">
      <c r="E6503" s="82" t="s">
        <v>7474</v>
      </c>
    </row>
    <row r="6504" spans="5:5" x14ac:dyDescent="0.25">
      <c r="E6504" s="82" t="s">
        <v>7475</v>
      </c>
    </row>
    <row r="6505" spans="5:5" x14ac:dyDescent="0.25">
      <c r="E6505" s="82" t="s">
        <v>7476</v>
      </c>
    </row>
    <row r="6506" spans="5:5" x14ac:dyDescent="0.25">
      <c r="E6506" s="82" t="s">
        <v>7477</v>
      </c>
    </row>
    <row r="6507" spans="5:5" x14ac:dyDescent="0.25">
      <c r="E6507" s="82" t="s">
        <v>7478</v>
      </c>
    </row>
    <row r="6508" spans="5:5" x14ac:dyDescent="0.25">
      <c r="E6508" s="82" t="s">
        <v>7479</v>
      </c>
    </row>
    <row r="6509" spans="5:5" x14ac:dyDescent="0.25">
      <c r="E6509" s="82" t="s">
        <v>7480</v>
      </c>
    </row>
    <row r="6510" spans="5:5" x14ac:dyDescent="0.25">
      <c r="E6510" s="82" t="s">
        <v>7481</v>
      </c>
    </row>
    <row r="6511" spans="5:5" x14ac:dyDescent="0.25">
      <c r="E6511" s="82" t="s">
        <v>7482</v>
      </c>
    </row>
    <row r="6512" spans="5:5" x14ac:dyDescent="0.25">
      <c r="E6512" s="82" t="s">
        <v>7483</v>
      </c>
    </row>
    <row r="6513" spans="5:5" x14ac:dyDescent="0.25">
      <c r="E6513" s="82" t="s">
        <v>7484</v>
      </c>
    </row>
    <row r="6514" spans="5:5" x14ac:dyDescent="0.25">
      <c r="E6514" s="82" t="s">
        <v>7485</v>
      </c>
    </row>
    <row r="6515" spans="5:5" x14ac:dyDescent="0.25">
      <c r="E6515" s="82" t="s">
        <v>7486</v>
      </c>
    </row>
    <row r="6516" spans="5:5" x14ac:dyDescent="0.25">
      <c r="E6516" s="82" t="s">
        <v>7487</v>
      </c>
    </row>
    <row r="6517" spans="5:5" x14ac:dyDescent="0.25">
      <c r="E6517" s="82" t="s">
        <v>7488</v>
      </c>
    </row>
    <row r="6518" spans="5:5" x14ac:dyDescent="0.25">
      <c r="E6518" s="82" t="s">
        <v>7489</v>
      </c>
    </row>
    <row r="6519" spans="5:5" x14ac:dyDescent="0.25">
      <c r="E6519" s="82" t="s">
        <v>7490</v>
      </c>
    </row>
    <row r="6520" spans="5:5" x14ac:dyDescent="0.25">
      <c r="E6520" s="82" t="s">
        <v>7491</v>
      </c>
    </row>
    <row r="6521" spans="5:5" x14ac:dyDescent="0.25">
      <c r="E6521" s="82" t="s">
        <v>7492</v>
      </c>
    </row>
    <row r="6522" spans="5:5" x14ac:dyDescent="0.25">
      <c r="E6522" s="82" t="s">
        <v>7493</v>
      </c>
    </row>
    <row r="6523" spans="5:5" x14ac:dyDescent="0.25">
      <c r="E6523" s="82" t="s">
        <v>7494</v>
      </c>
    </row>
    <row r="6524" spans="5:5" x14ac:dyDescent="0.25">
      <c r="E6524" s="82" t="s">
        <v>7495</v>
      </c>
    </row>
    <row r="6525" spans="5:5" x14ac:dyDescent="0.25">
      <c r="E6525" s="82" t="s">
        <v>7496</v>
      </c>
    </row>
    <row r="6526" spans="5:5" x14ac:dyDescent="0.25">
      <c r="E6526" s="82" t="s">
        <v>7497</v>
      </c>
    </row>
    <row r="6527" spans="5:5" x14ac:dyDescent="0.25">
      <c r="E6527" s="82" t="s">
        <v>7498</v>
      </c>
    </row>
    <row r="6528" spans="5:5" x14ac:dyDescent="0.25">
      <c r="E6528" s="82" t="s">
        <v>7499</v>
      </c>
    </row>
    <row r="6529" spans="5:5" x14ac:dyDescent="0.25">
      <c r="E6529" s="82" t="s">
        <v>7500</v>
      </c>
    </row>
    <row r="6530" spans="5:5" x14ac:dyDescent="0.25">
      <c r="E6530" s="82" t="s">
        <v>7501</v>
      </c>
    </row>
    <row r="6531" spans="5:5" x14ac:dyDescent="0.25">
      <c r="E6531" s="82" t="s">
        <v>7502</v>
      </c>
    </row>
    <row r="6532" spans="5:5" x14ac:dyDescent="0.25">
      <c r="E6532" s="82" t="s">
        <v>7503</v>
      </c>
    </row>
    <row r="6533" spans="5:5" x14ac:dyDescent="0.25">
      <c r="E6533" s="82" t="s">
        <v>7504</v>
      </c>
    </row>
    <row r="6534" spans="5:5" x14ac:dyDescent="0.25">
      <c r="E6534" s="82" t="s">
        <v>7505</v>
      </c>
    </row>
    <row r="6535" spans="5:5" x14ac:dyDescent="0.25">
      <c r="E6535" s="82" t="s">
        <v>7506</v>
      </c>
    </row>
    <row r="6536" spans="5:5" x14ac:dyDescent="0.25">
      <c r="E6536" s="82" t="s">
        <v>7507</v>
      </c>
    </row>
    <row r="6537" spans="5:5" x14ac:dyDescent="0.25">
      <c r="E6537" s="82" t="s">
        <v>7508</v>
      </c>
    </row>
    <row r="6538" spans="5:5" x14ac:dyDescent="0.25">
      <c r="E6538" s="82" t="s">
        <v>7509</v>
      </c>
    </row>
    <row r="6539" spans="5:5" x14ac:dyDescent="0.25">
      <c r="E6539" s="82" t="s">
        <v>7510</v>
      </c>
    </row>
    <row r="6540" spans="5:5" x14ac:dyDescent="0.25">
      <c r="E6540" s="82" t="s">
        <v>7511</v>
      </c>
    </row>
    <row r="6541" spans="5:5" x14ac:dyDescent="0.25">
      <c r="E6541" s="82" t="s">
        <v>7512</v>
      </c>
    </row>
    <row r="6542" spans="5:5" x14ac:dyDescent="0.25">
      <c r="E6542" s="82" t="s">
        <v>7513</v>
      </c>
    </row>
    <row r="6543" spans="5:5" x14ac:dyDescent="0.25">
      <c r="E6543" s="82" t="s">
        <v>7514</v>
      </c>
    </row>
    <row r="6544" spans="5:5" x14ac:dyDescent="0.25">
      <c r="E6544" s="82" t="s">
        <v>7515</v>
      </c>
    </row>
    <row r="6545" spans="5:5" x14ac:dyDescent="0.25">
      <c r="E6545" s="82" t="s">
        <v>7516</v>
      </c>
    </row>
    <row r="6546" spans="5:5" x14ac:dyDescent="0.25">
      <c r="E6546" s="82" t="s">
        <v>7517</v>
      </c>
    </row>
    <row r="6547" spans="5:5" x14ac:dyDescent="0.25">
      <c r="E6547" s="82" t="s">
        <v>7518</v>
      </c>
    </row>
    <row r="6548" spans="5:5" x14ac:dyDescent="0.25">
      <c r="E6548" s="82" t="s">
        <v>7519</v>
      </c>
    </row>
    <row r="6549" spans="5:5" x14ac:dyDescent="0.25">
      <c r="E6549" s="82" t="s">
        <v>7520</v>
      </c>
    </row>
    <row r="6550" spans="5:5" x14ac:dyDescent="0.25">
      <c r="E6550" s="82" t="s">
        <v>7521</v>
      </c>
    </row>
    <row r="6551" spans="5:5" x14ac:dyDescent="0.25">
      <c r="E6551" s="82" t="s">
        <v>7522</v>
      </c>
    </row>
    <row r="6552" spans="5:5" x14ac:dyDescent="0.25">
      <c r="E6552" s="82" t="s">
        <v>7523</v>
      </c>
    </row>
    <row r="6553" spans="5:5" x14ac:dyDescent="0.25">
      <c r="E6553" s="82" t="s">
        <v>7524</v>
      </c>
    </row>
    <row r="6554" spans="5:5" x14ac:dyDescent="0.25">
      <c r="E6554" s="82" t="s">
        <v>7525</v>
      </c>
    </row>
    <row r="6555" spans="5:5" x14ac:dyDescent="0.25">
      <c r="E6555" s="82" t="s">
        <v>7526</v>
      </c>
    </row>
    <row r="6556" spans="5:5" x14ac:dyDescent="0.25">
      <c r="E6556" s="82" t="s">
        <v>7527</v>
      </c>
    </row>
    <row r="6557" spans="5:5" x14ac:dyDescent="0.25">
      <c r="E6557" s="82" t="s">
        <v>7528</v>
      </c>
    </row>
    <row r="6558" spans="5:5" x14ac:dyDescent="0.25">
      <c r="E6558" s="82" t="s">
        <v>7529</v>
      </c>
    </row>
    <row r="6559" spans="5:5" x14ac:dyDescent="0.25">
      <c r="E6559" s="82" t="s">
        <v>7530</v>
      </c>
    </row>
    <row r="6560" spans="5:5" x14ac:dyDescent="0.25">
      <c r="E6560" s="82" t="s">
        <v>7531</v>
      </c>
    </row>
    <row r="6561" spans="5:5" x14ac:dyDescent="0.25">
      <c r="E6561" s="82" t="s">
        <v>7532</v>
      </c>
    </row>
    <row r="6562" spans="5:5" x14ac:dyDescent="0.25">
      <c r="E6562" s="82" t="s">
        <v>7533</v>
      </c>
    </row>
    <row r="6563" spans="5:5" x14ac:dyDescent="0.25">
      <c r="E6563" s="82" t="s">
        <v>7534</v>
      </c>
    </row>
    <row r="6564" spans="5:5" x14ac:dyDescent="0.25">
      <c r="E6564" s="82" t="s">
        <v>7535</v>
      </c>
    </row>
    <row r="6565" spans="5:5" x14ac:dyDescent="0.25">
      <c r="E6565" s="82" t="s">
        <v>7536</v>
      </c>
    </row>
    <row r="6566" spans="5:5" x14ac:dyDescent="0.25">
      <c r="E6566" s="82" t="s">
        <v>7537</v>
      </c>
    </row>
    <row r="6567" spans="5:5" x14ac:dyDescent="0.25">
      <c r="E6567" s="82" t="s">
        <v>7538</v>
      </c>
    </row>
    <row r="6568" spans="5:5" x14ac:dyDescent="0.25">
      <c r="E6568" s="82" t="s">
        <v>7539</v>
      </c>
    </row>
    <row r="6569" spans="5:5" x14ac:dyDescent="0.25">
      <c r="E6569" s="82" t="s">
        <v>7540</v>
      </c>
    </row>
    <row r="6570" spans="5:5" x14ac:dyDescent="0.25">
      <c r="E6570" s="82" t="s">
        <v>7541</v>
      </c>
    </row>
    <row r="6571" spans="5:5" x14ac:dyDescent="0.25">
      <c r="E6571" s="82" t="s">
        <v>7542</v>
      </c>
    </row>
    <row r="6572" spans="5:5" x14ac:dyDescent="0.25">
      <c r="E6572" s="82" t="s">
        <v>7543</v>
      </c>
    </row>
    <row r="6573" spans="5:5" x14ac:dyDescent="0.25">
      <c r="E6573" s="82" t="s">
        <v>7544</v>
      </c>
    </row>
    <row r="6574" spans="5:5" x14ac:dyDescent="0.25">
      <c r="E6574" s="82" t="s">
        <v>7545</v>
      </c>
    </row>
    <row r="6575" spans="5:5" x14ac:dyDescent="0.25">
      <c r="E6575" s="82" t="s">
        <v>7546</v>
      </c>
    </row>
    <row r="6576" spans="5:5" x14ac:dyDescent="0.25">
      <c r="E6576" s="82" t="s">
        <v>7547</v>
      </c>
    </row>
    <row r="6577" spans="5:5" x14ac:dyDescent="0.25">
      <c r="E6577" s="82" t="s">
        <v>7548</v>
      </c>
    </row>
    <row r="6578" spans="5:5" x14ac:dyDescent="0.25">
      <c r="E6578" s="82" t="s">
        <v>7549</v>
      </c>
    </row>
    <row r="6579" spans="5:5" x14ac:dyDescent="0.25">
      <c r="E6579" s="82" t="s">
        <v>7550</v>
      </c>
    </row>
    <row r="6580" spans="5:5" x14ac:dyDescent="0.25">
      <c r="E6580" s="82" t="s">
        <v>7551</v>
      </c>
    </row>
    <row r="6581" spans="5:5" x14ac:dyDescent="0.25">
      <c r="E6581" s="82" t="s">
        <v>7552</v>
      </c>
    </row>
    <row r="6582" spans="5:5" x14ac:dyDescent="0.25">
      <c r="E6582" s="82" t="s">
        <v>7553</v>
      </c>
    </row>
    <row r="6583" spans="5:5" x14ac:dyDescent="0.25">
      <c r="E6583" s="82" t="s">
        <v>7554</v>
      </c>
    </row>
    <row r="6584" spans="5:5" x14ac:dyDescent="0.25">
      <c r="E6584" s="82" t="s">
        <v>7555</v>
      </c>
    </row>
    <row r="6585" spans="5:5" x14ac:dyDescent="0.25">
      <c r="E6585" s="82" t="s">
        <v>7556</v>
      </c>
    </row>
    <row r="6586" spans="5:5" x14ac:dyDescent="0.25">
      <c r="E6586" s="82" t="s">
        <v>7557</v>
      </c>
    </row>
    <row r="6587" spans="5:5" x14ac:dyDescent="0.25">
      <c r="E6587" s="82" t="s">
        <v>7558</v>
      </c>
    </row>
    <row r="6588" spans="5:5" x14ac:dyDescent="0.25">
      <c r="E6588" s="82" t="s">
        <v>7559</v>
      </c>
    </row>
    <row r="6589" spans="5:5" x14ac:dyDescent="0.25">
      <c r="E6589" s="82" t="s">
        <v>7560</v>
      </c>
    </row>
    <row r="6590" spans="5:5" x14ac:dyDescent="0.25">
      <c r="E6590" s="82" t="s">
        <v>7561</v>
      </c>
    </row>
    <row r="6591" spans="5:5" x14ac:dyDescent="0.25">
      <c r="E6591" s="82" t="s">
        <v>7562</v>
      </c>
    </row>
    <row r="6592" spans="5:5" x14ac:dyDescent="0.25">
      <c r="E6592" s="82" t="s">
        <v>7563</v>
      </c>
    </row>
    <row r="6593" spans="5:5" x14ac:dyDescent="0.25">
      <c r="E6593" s="82" t="s">
        <v>7564</v>
      </c>
    </row>
    <row r="6594" spans="5:5" x14ac:dyDescent="0.25">
      <c r="E6594" s="82" t="s">
        <v>7565</v>
      </c>
    </row>
    <row r="6595" spans="5:5" x14ac:dyDescent="0.25">
      <c r="E6595" s="82" t="s">
        <v>7566</v>
      </c>
    </row>
    <row r="6596" spans="5:5" x14ac:dyDescent="0.25">
      <c r="E6596" s="82" t="s">
        <v>7567</v>
      </c>
    </row>
    <row r="6597" spans="5:5" x14ac:dyDescent="0.25">
      <c r="E6597" s="82" t="s">
        <v>7568</v>
      </c>
    </row>
    <row r="6598" spans="5:5" x14ac:dyDescent="0.25">
      <c r="E6598" s="82" t="s">
        <v>7569</v>
      </c>
    </row>
    <row r="6599" spans="5:5" x14ac:dyDescent="0.25">
      <c r="E6599" s="82" t="s">
        <v>7570</v>
      </c>
    </row>
    <row r="6600" spans="5:5" x14ac:dyDescent="0.25">
      <c r="E6600" s="82" t="s">
        <v>7571</v>
      </c>
    </row>
    <row r="6601" spans="5:5" x14ac:dyDescent="0.25">
      <c r="E6601" s="82" t="s">
        <v>7572</v>
      </c>
    </row>
    <row r="6602" spans="5:5" x14ac:dyDescent="0.25">
      <c r="E6602" s="82" t="s">
        <v>7573</v>
      </c>
    </row>
    <row r="6603" spans="5:5" x14ac:dyDescent="0.25">
      <c r="E6603" s="82" t="s">
        <v>7574</v>
      </c>
    </row>
    <row r="6604" spans="5:5" x14ac:dyDescent="0.25">
      <c r="E6604" s="82" t="s">
        <v>7575</v>
      </c>
    </row>
    <row r="6605" spans="5:5" x14ac:dyDescent="0.25">
      <c r="E6605" s="82" t="s">
        <v>7576</v>
      </c>
    </row>
    <row r="6606" spans="5:5" x14ac:dyDescent="0.25">
      <c r="E6606" s="82" t="s">
        <v>7577</v>
      </c>
    </row>
    <row r="6607" spans="5:5" x14ac:dyDescent="0.25">
      <c r="E6607" s="82" t="s">
        <v>7578</v>
      </c>
    </row>
    <row r="6608" spans="5:5" x14ac:dyDescent="0.25">
      <c r="E6608" s="82" t="s">
        <v>7579</v>
      </c>
    </row>
    <row r="6609" spans="5:5" x14ac:dyDescent="0.25">
      <c r="E6609" s="82" t="s">
        <v>7580</v>
      </c>
    </row>
    <row r="6610" spans="5:5" x14ac:dyDescent="0.25">
      <c r="E6610" s="82" t="s">
        <v>7581</v>
      </c>
    </row>
    <row r="6611" spans="5:5" x14ac:dyDescent="0.25">
      <c r="E6611" s="82" t="s">
        <v>7582</v>
      </c>
    </row>
    <row r="6612" spans="5:5" x14ac:dyDescent="0.25">
      <c r="E6612" s="82" t="s">
        <v>7583</v>
      </c>
    </row>
    <row r="6613" spans="5:5" x14ac:dyDescent="0.25">
      <c r="E6613" s="82" t="s">
        <v>7584</v>
      </c>
    </row>
    <row r="6614" spans="5:5" x14ac:dyDescent="0.25">
      <c r="E6614" s="82" t="s">
        <v>7585</v>
      </c>
    </row>
    <row r="6615" spans="5:5" x14ac:dyDescent="0.25">
      <c r="E6615" s="82" t="s">
        <v>7586</v>
      </c>
    </row>
    <row r="6616" spans="5:5" x14ac:dyDescent="0.25">
      <c r="E6616" s="82" t="s">
        <v>7587</v>
      </c>
    </row>
    <row r="6617" spans="5:5" x14ac:dyDescent="0.25">
      <c r="E6617" s="82" t="s">
        <v>7588</v>
      </c>
    </row>
    <row r="6618" spans="5:5" x14ac:dyDescent="0.25">
      <c r="E6618" s="82" t="s">
        <v>7589</v>
      </c>
    </row>
    <row r="6619" spans="5:5" x14ac:dyDescent="0.25">
      <c r="E6619" s="82" t="s">
        <v>7590</v>
      </c>
    </row>
    <row r="6620" spans="5:5" x14ac:dyDescent="0.25">
      <c r="E6620" s="82" t="s">
        <v>7591</v>
      </c>
    </row>
    <row r="6621" spans="5:5" x14ac:dyDescent="0.25">
      <c r="E6621" s="82" t="s">
        <v>7592</v>
      </c>
    </row>
    <row r="6622" spans="5:5" x14ac:dyDescent="0.25">
      <c r="E6622" s="82" t="s">
        <v>7593</v>
      </c>
    </row>
    <row r="6623" spans="5:5" x14ac:dyDescent="0.25">
      <c r="E6623" s="82" t="s">
        <v>7594</v>
      </c>
    </row>
    <row r="6624" spans="5:5" x14ac:dyDescent="0.25">
      <c r="E6624" s="82" t="s">
        <v>7595</v>
      </c>
    </row>
    <row r="6625" spans="5:5" x14ac:dyDescent="0.25">
      <c r="E6625" s="82" t="s">
        <v>7596</v>
      </c>
    </row>
    <row r="6626" spans="5:5" x14ac:dyDescent="0.25">
      <c r="E6626" s="82" t="s">
        <v>7597</v>
      </c>
    </row>
    <row r="6627" spans="5:5" x14ac:dyDescent="0.25">
      <c r="E6627" s="82" t="s">
        <v>7598</v>
      </c>
    </row>
    <row r="6628" spans="5:5" x14ac:dyDescent="0.25">
      <c r="E6628" s="82" t="s">
        <v>7599</v>
      </c>
    </row>
    <row r="6629" spans="5:5" x14ac:dyDescent="0.25">
      <c r="E6629" s="82" t="s">
        <v>7600</v>
      </c>
    </row>
    <row r="6630" spans="5:5" x14ac:dyDescent="0.25">
      <c r="E6630" s="82" t="s">
        <v>7601</v>
      </c>
    </row>
    <row r="6631" spans="5:5" x14ac:dyDescent="0.25">
      <c r="E6631" s="82" t="s">
        <v>7602</v>
      </c>
    </row>
    <row r="6632" spans="5:5" x14ac:dyDescent="0.25">
      <c r="E6632" s="82" t="s">
        <v>7603</v>
      </c>
    </row>
    <row r="6633" spans="5:5" x14ac:dyDescent="0.25">
      <c r="E6633" s="82" t="s">
        <v>7604</v>
      </c>
    </row>
    <row r="6634" spans="5:5" x14ac:dyDescent="0.25">
      <c r="E6634" s="82" t="s">
        <v>7605</v>
      </c>
    </row>
    <row r="6635" spans="5:5" x14ac:dyDescent="0.25">
      <c r="E6635" s="82" t="s">
        <v>7606</v>
      </c>
    </row>
    <row r="6636" spans="5:5" x14ac:dyDescent="0.25">
      <c r="E6636" s="82" t="s">
        <v>7607</v>
      </c>
    </row>
    <row r="6637" spans="5:5" x14ac:dyDescent="0.25">
      <c r="E6637" s="82" t="s">
        <v>7608</v>
      </c>
    </row>
    <row r="6638" spans="5:5" x14ac:dyDescent="0.25">
      <c r="E6638" s="82" t="s">
        <v>7609</v>
      </c>
    </row>
    <row r="6639" spans="5:5" x14ac:dyDescent="0.25">
      <c r="E6639" s="82" t="s">
        <v>7610</v>
      </c>
    </row>
    <row r="6640" spans="5:5" x14ac:dyDescent="0.25">
      <c r="E6640" s="82" t="s">
        <v>7611</v>
      </c>
    </row>
    <row r="6641" spans="5:5" x14ac:dyDescent="0.25">
      <c r="E6641" s="82" t="s">
        <v>7612</v>
      </c>
    </row>
    <row r="6642" spans="5:5" x14ac:dyDescent="0.25">
      <c r="E6642" s="82" t="s">
        <v>7613</v>
      </c>
    </row>
    <row r="6643" spans="5:5" x14ac:dyDescent="0.25">
      <c r="E6643" s="82" t="s">
        <v>7614</v>
      </c>
    </row>
    <row r="6644" spans="5:5" x14ac:dyDescent="0.25">
      <c r="E6644" s="82" t="s">
        <v>7615</v>
      </c>
    </row>
    <row r="6645" spans="5:5" x14ac:dyDescent="0.25">
      <c r="E6645" s="82" t="s">
        <v>7616</v>
      </c>
    </row>
    <row r="6646" spans="5:5" x14ac:dyDescent="0.25">
      <c r="E6646" s="82" t="s">
        <v>7617</v>
      </c>
    </row>
    <row r="6647" spans="5:5" x14ac:dyDescent="0.25">
      <c r="E6647" s="82" t="s">
        <v>7618</v>
      </c>
    </row>
    <row r="6648" spans="5:5" x14ac:dyDescent="0.25">
      <c r="E6648" s="82" t="s">
        <v>7619</v>
      </c>
    </row>
    <row r="6649" spans="5:5" x14ac:dyDescent="0.25">
      <c r="E6649" s="82" t="s">
        <v>7620</v>
      </c>
    </row>
    <row r="6650" spans="5:5" x14ac:dyDescent="0.25">
      <c r="E6650" s="82" t="s">
        <v>7621</v>
      </c>
    </row>
    <row r="6651" spans="5:5" x14ac:dyDescent="0.25">
      <c r="E6651" s="82" t="s">
        <v>7622</v>
      </c>
    </row>
    <row r="6652" spans="5:5" x14ac:dyDescent="0.25">
      <c r="E6652" s="82" t="s">
        <v>7623</v>
      </c>
    </row>
    <row r="6653" spans="5:5" x14ac:dyDescent="0.25">
      <c r="E6653" s="82" t="s">
        <v>7624</v>
      </c>
    </row>
    <row r="6654" spans="5:5" x14ac:dyDescent="0.25">
      <c r="E6654" s="82" t="s">
        <v>7625</v>
      </c>
    </row>
    <row r="6655" spans="5:5" x14ac:dyDescent="0.25">
      <c r="E6655" s="82" t="s">
        <v>7626</v>
      </c>
    </row>
    <row r="6656" spans="5:5" x14ac:dyDescent="0.25">
      <c r="E6656" s="82" t="s">
        <v>7627</v>
      </c>
    </row>
    <row r="6657" spans="5:5" x14ac:dyDescent="0.25">
      <c r="E6657" s="82" t="s">
        <v>7628</v>
      </c>
    </row>
    <row r="6658" spans="5:5" x14ac:dyDescent="0.25">
      <c r="E6658" s="82" t="s">
        <v>7629</v>
      </c>
    </row>
    <row r="6659" spans="5:5" x14ac:dyDescent="0.25">
      <c r="E6659" s="82" t="s">
        <v>7630</v>
      </c>
    </row>
    <row r="6660" spans="5:5" x14ac:dyDescent="0.25">
      <c r="E6660" s="82" t="s">
        <v>7631</v>
      </c>
    </row>
    <row r="6661" spans="5:5" x14ac:dyDescent="0.25">
      <c r="E6661" s="82" t="s">
        <v>7632</v>
      </c>
    </row>
    <row r="6662" spans="5:5" x14ac:dyDescent="0.25">
      <c r="E6662" s="82" t="s">
        <v>7633</v>
      </c>
    </row>
    <row r="6663" spans="5:5" x14ac:dyDescent="0.25">
      <c r="E6663" s="82" t="s">
        <v>7634</v>
      </c>
    </row>
    <row r="6664" spans="5:5" x14ac:dyDescent="0.25">
      <c r="E6664" s="82" t="s">
        <v>7635</v>
      </c>
    </row>
    <row r="6665" spans="5:5" x14ac:dyDescent="0.25">
      <c r="E6665" s="82" t="s">
        <v>7636</v>
      </c>
    </row>
    <row r="6666" spans="5:5" x14ac:dyDescent="0.25">
      <c r="E6666" s="82" t="s">
        <v>7637</v>
      </c>
    </row>
    <row r="6667" spans="5:5" x14ac:dyDescent="0.25">
      <c r="E6667" s="82" t="s">
        <v>7638</v>
      </c>
    </row>
    <row r="6668" spans="5:5" x14ac:dyDescent="0.25">
      <c r="E6668" s="82" t="s">
        <v>7639</v>
      </c>
    </row>
    <row r="6669" spans="5:5" x14ac:dyDescent="0.25">
      <c r="E6669" s="82" t="s">
        <v>7640</v>
      </c>
    </row>
    <row r="6670" spans="5:5" x14ac:dyDescent="0.25">
      <c r="E6670" s="82" t="s">
        <v>7641</v>
      </c>
    </row>
    <row r="6671" spans="5:5" x14ac:dyDescent="0.25">
      <c r="E6671" s="82" t="s">
        <v>7642</v>
      </c>
    </row>
    <row r="6672" spans="5:5" x14ac:dyDescent="0.25">
      <c r="E6672" s="82" t="s">
        <v>7643</v>
      </c>
    </row>
    <row r="6673" spans="5:5" x14ac:dyDescent="0.25">
      <c r="E6673" s="82" t="s">
        <v>7644</v>
      </c>
    </row>
    <row r="6674" spans="5:5" x14ac:dyDescent="0.25">
      <c r="E6674" s="82" t="s">
        <v>7645</v>
      </c>
    </row>
    <row r="6675" spans="5:5" x14ac:dyDescent="0.25">
      <c r="E6675" s="82" t="s">
        <v>7646</v>
      </c>
    </row>
    <row r="6676" spans="5:5" x14ac:dyDescent="0.25">
      <c r="E6676" s="82" t="s">
        <v>7647</v>
      </c>
    </row>
    <row r="6677" spans="5:5" x14ac:dyDescent="0.25">
      <c r="E6677" s="82" t="s">
        <v>7648</v>
      </c>
    </row>
    <row r="6678" spans="5:5" x14ac:dyDescent="0.25">
      <c r="E6678" s="82" t="s">
        <v>7649</v>
      </c>
    </row>
    <row r="6679" spans="5:5" x14ac:dyDescent="0.25">
      <c r="E6679" s="82" t="s">
        <v>7650</v>
      </c>
    </row>
    <row r="6680" spans="5:5" x14ac:dyDescent="0.25">
      <c r="E6680" s="82" t="s">
        <v>7651</v>
      </c>
    </row>
    <row r="6681" spans="5:5" x14ac:dyDescent="0.25">
      <c r="E6681" s="82" t="s">
        <v>7652</v>
      </c>
    </row>
    <row r="6682" spans="5:5" x14ac:dyDescent="0.25">
      <c r="E6682" s="82" t="s">
        <v>7653</v>
      </c>
    </row>
    <row r="6683" spans="5:5" x14ac:dyDescent="0.25">
      <c r="E6683" s="82" t="s">
        <v>7654</v>
      </c>
    </row>
    <row r="6684" spans="5:5" x14ac:dyDescent="0.25">
      <c r="E6684" s="82" t="s">
        <v>7655</v>
      </c>
    </row>
    <row r="6685" spans="5:5" x14ac:dyDescent="0.25">
      <c r="E6685" s="82" t="s">
        <v>7656</v>
      </c>
    </row>
    <row r="6686" spans="5:5" x14ac:dyDescent="0.25">
      <c r="E6686" s="82" t="s">
        <v>7657</v>
      </c>
    </row>
    <row r="6687" spans="5:5" x14ac:dyDescent="0.25">
      <c r="E6687" s="82" t="s">
        <v>7658</v>
      </c>
    </row>
    <row r="6688" spans="5:5" x14ac:dyDescent="0.25">
      <c r="E6688" s="82" t="s">
        <v>7659</v>
      </c>
    </row>
    <row r="6689" spans="5:5" x14ac:dyDescent="0.25">
      <c r="E6689" s="82" t="s">
        <v>7660</v>
      </c>
    </row>
    <row r="6690" spans="5:5" x14ac:dyDescent="0.25">
      <c r="E6690" s="82" t="s">
        <v>7661</v>
      </c>
    </row>
    <row r="6691" spans="5:5" x14ac:dyDescent="0.25">
      <c r="E6691" s="82" t="s">
        <v>7662</v>
      </c>
    </row>
    <row r="6692" spans="5:5" x14ac:dyDescent="0.25">
      <c r="E6692" s="82" t="s">
        <v>7663</v>
      </c>
    </row>
    <row r="6693" spans="5:5" x14ac:dyDescent="0.25">
      <c r="E6693" s="82" t="s">
        <v>7664</v>
      </c>
    </row>
    <row r="6694" spans="5:5" x14ac:dyDescent="0.25">
      <c r="E6694" s="82" t="s">
        <v>7665</v>
      </c>
    </row>
    <row r="6695" spans="5:5" x14ac:dyDescent="0.25">
      <c r="E6695" s="82" t="s">
        <v>7666</v>
      </c>
    </row>
    <row r="6696" spans="5:5" x14ac:dyDescent="0.25">
      <c r="E6696" s="82" t="s">
        <v>7667</v>
      </c>
    </row>
    <row r="6697" spans="5:5" x14ac:dyDescent="0.25">
      <c r="E6697" s="82" t="s">
        <v>7668</v>
      </c>
    </row>
    <row r="6698" spans="5:5" x14ac:dyDescent="0.25">
      <c r="E6698" s="82" t="s">
        <v>7669</v>
      </c>
    </row>
    <row r="6699" spans="5:5" x14ac:dyDescent="0.25">
      <c r="E6699" s="82" t="s">
        <v>7670</v>
      </c>
    </row>
    <row r="6700" spans="5:5" x14ac:dyDescent="0.25">
      <c r="E6700" s="82" t="s">
        <v>7671</v>
      </c>
    </row>
    <row r="6701" spans="5:5" x14ac:dyDescent="0.25">
      <c r="E6701" s="82" t="s">
        <v>7672</v>
      </c>
    </row>
    <row r="6702" spans="5:5" x14ac:dyDescent="0.25">
      <c r="E6702" s="82" t="s">
        <v>7673</v>
      </c>
    </row>
    <row r="6703" spans="5:5" x14ac:dyDescent="0.25">
      <c r="E6703" s="82" t="s">
        <v>7674</v>
      </c>
    </row>
    <row r="6704" spans="5:5" x14ac:dyDescent="0.25">
      <c r="E6704" s="82" t="s">
        <v>7675</v>
      </c>
    </row>
    <row r="6705" spans="5:5" x14ac:dyDescent="0.25">
      <c r="E6705" s="82" t="s">
        <v>7676</v>
      </c>
    </row>
    <row r="6706" spans="5:5" x14ac:dyDescent="0.25">
      <c r="E6706" s="82" t="s">
        <v>7677</v>
      </c>
    </row>
    <row r="6707" spans="5:5" x14ac:dyDescent="0.25">
      <c r="E6707" s="82" t="s">
        <v>7678</v>
      </c>
    </row>
    <row r="6708" spans="5:5" x14ac:dyDescent="0.25">
      <c r="E6708" s="82" t="s">
        <v>7679</v>
      </c>
    </row>
    <row r="6709" spans="5:5" x14ac:dyDescent="0.25">
      <c r="E6709" s="82" t="s">
        <v>7680</v>
      </c>
    </row>
    <row r="6710" spans="5:5" x14ac:dyDescent="0.25">
      <c r="E6710" s="82" t="s">
        <v>7681</v>
      </c>
    </row>
    <row r="6711" spans="5:5" x14ac:dyDescent="0.25">
      <c r="E6711" s="82" t="s">
        <v>7682</v>
      </c>
    </row>
    <row r="6712" spans="5:5" x14ac:dyDescent="0.25">
      <c r="E6712" s="82" t="s">
        <v>7683</v>
      </c>
    </row>
    <row r="6713" spans="5:5" x14ac:dyDescent="0.25">
      <c r="E6713" s="82" t="s">
        <v>7684</v>
      </c>
    </row>
    <row r="6714" spans="5:5" x14ac:dyDescent="0.25">
      <c r="E6714" s="82" t="s">
        <v>7685</v>
      </c>
    </row>
    <row r="6715" spans="5:5" x14ac:dyDescent="0.25">
      <c r="E6715" s="82" t="s">
        <v>7686</v>
      </c>
    </row>
    <row r="6716" spans="5:5" x14ac:dyDescent="0.25">
      <c r="E6716" s="82" t="s">
        <v>7687</v>
      </c>
    </row>
    <row r="6717" spans="5:5" x14ac:dyDescent="0.25">
      <c r="E6717" s="82" t="s">
        <v>7688</v>
      </c>
    </row>
    <row r="6718" spans="5:5" x14ac:dyDescent="0.25">
      <c r="E6718" s="82" t="s">
        <v>7689</v>
      </c>
    </row>
    <row r="6719" spans="5:5" x14ac:dyDescent="0.25">
      <c r="E6719" s="82" t="s">
        <v>7690</v>
      </c>
    </row>
    <row r="6720" spans="5:5" x14ac:dyDescent="0.25">
      <c r="E6720" s="82" t="s">
        <v>7691</v>
      </c>
    </row>
    <row r="6721" spans="5:5" x14ac:dyDescent="0.25">
      <c r="E6721" s="82" t="s">
        <v>7692</v>
      </c>
    </row>
    <row r="6722" spans="5:5" x14ac:dyDescent="0.25">
      <c r="E6722" s="82" t="s">
        <v>7693</v>
      </c>
    </row>
    <row r="6723" spans="5:5" x14ac:dyDescent="0.25">
      <c r="E6723" s="82" t="s">
        <v>7694</v>
      </c>
    </row>
    <row r="6724" spans="5:5" x14ac:dyDescent="0.25">
      <c r="E6724" s="82" t="s">
        <v>7695</v>
      </c>
    </row>
    <row r="6725" spans="5:5" x14ac:dyDescent="0.25">
      <c r="E6725" s="82" t="s">
        <v>7696</v>
      </c>
    </row>
    <row r="6726" spans="5:5" x14ac:dyDescent="0.25">
      <c r="E6726" s="82" t="s">
        <v>7697</v>
      </c>
    </row>
    <row r="6727" spans="5:5" x14ac:dyDescent="0.25">
      <c r="E6727" s="82" t="s">
        <v>7698</v>
      </c>
    </row>
    <row r="6728" spans="5:5" x14ac:dyDescent="0.25">
      <c r="E6728" s="82" t="s">
        <v>7699</v>
      </c>
    </row>
    <row r="6729" spans="5:5" x14ac:dyDescent="0.25">
      <c r="E6729" s="82" t="s">
        <v>7700</v>
      </c>
    </row>
    <row r="6730" spans="5:5" x14ac:dyDescent="0.25">
      <c r="E6730" s="82" t="s">
        <v>7701</v>
      </c>
    </row>
    <row r="6731" spans="5:5" x14ac:dyDescent="0.25">
      <c r="E6731" s="82" t="s">
        <v>7702</v>
      </c>
    </row>
    <row r="6732" spans="5:5" x14ac:dyDescent="0.25">
      <c r="E6732" s="82" t="s">
        <v>7703</v>
      </c>
    </row>
    <row r="6733" spans="5:5" x14ac:dyDescent="0.25">
      <c r="E6733" s="82" t="s">
        <v>7704</v>
      </c>
    </row>
    <row r="6734" spans="5:5" x14ac:dyDescent="0.25">
      <c r="E6734" s="82" t="s">
        <v>7705</v>
      </c>
    </row>
    <row r="6735" spans="5:5" x14ac:dyDescent="0.25">
      <c r="E6735" s="82" t="s">
        <v>7706</v>
      </c>
    </row>
    <row r="6736" spans="5:5" x14ac:dyDescent="0.25">
      <c r="E6736" s="82" t="s">
        <v>7707</v>
      </c>
    </row>
    <row r="6737" spans="5:5" x14ac:dyDescent="0.25">
      <c r="E6737" s="82" t="s">
        <v>7708</v>
      </c>
    </row>
    <row r="6738" spans="5:5" x14ac:dyDescent="0.25">
      <c r="E6738" s="82" t="s">
        <v>7709</v>
      </c>
    </row>
    <row r="6739" spans="5:5" x14ac:dyDescent="0.25">
      <c r="E6739" s="82" t="s">
        <v>7710</v>
      </c>
    </row>
    <row r="6740" spans="5:5" x14ac:dyDescent="0.25">
      <c r="E6740" s="82" t="s">
        <v>7711</v>
      </c>
    </row>
    <row r="6741" spans="5:5" x14ac:dyDescent="0.25">
      <c r="E6741" s="82" t="s">
        <v>7712</v>
      </c>
    </row>
    <row r="6742" spans="5:5" x14ac:dyDescent="0.25">
      <c r="E6742" s="82" t="s">
        <v>7713</v>
      </c>
    </row>
    <row r="6743" spans="5:5" x14ac:dyDescent="0.25">
      <c r="E6743" s="82" t="s">
        <v>7714</v>
      </c>
    </row>
    <row r="6744" spans="5:5" x14ac:dyDescent="0.25">
      <c r="E6744" s="82" t="s">
        <v>7715</v>
      </c>
    </row>
    <row r="6745" spans="5:5" x14ac:dyDescent="0.25">
      <c r="E6745" s="82" t="s">
        <v>7716</v>
      </c>
    </row>
    <row r="6746" spans="5:5" x14ac:dyDescent="0.25">
      <c r="E6746" s="82" t="s">
        <v>7717</v>
      </c>
    </row>
    <row r="6747" spans="5:5" x14ac:dyDescent="0.25">
      <c r="E6747" s="82" t="s">
        <v>7718</v>
      </c>
    </row>
    <row r="6748" spans="5:5" x14ac:dyDescent="0.25">
      <c r="E6748" s="82" t="s">
        <v>7719</v>
      </c>
    </row>
    <row r="6749" spans="5:5" x14ac:dyDescent="0.25">
      <c r="E6749" s="82" t="s">
        <v>7720</v>
      </c>
    </row>
    <row r="6750" spans="5:5" x14ac:dyDescent="0.25">
      <c r="E6750" s="82" t="s">
        <v>7721</v>
      </c>
    </row>
    <row r="6751" spans="5:5" x14ac:dyDescent="0.25">
      <c r="E6751" s="82" t="s">
        <v>7722</v>
      </c>
    </row>
    <row r="6752" spans="5:5" x14ac:dyDescent="0.25">
      <c r="E6752" s="82" t="s">
        <v>7723</v>
      </c>
    </row>
    <row r="6753" spans="5:5" x14ac:dyDescent="0.25">
      <c r="E6753" s="82" t="s">
        <v>7724</v>
      </c>
    </row>
    <row r="6754" spans="5:5" x14ac:dyDescent="0.25">
      <c r="E6754" s="82" t="s">
        <v>7725</v>
      </c>
    </row>
    <row r="6755" spans="5:5" x14ac:dyDescent="0.25">
      <c r="E6755" s="82" t="s">
        <v>7726</v>
      </c>
    </row>
    <row r="6756" spans="5:5" x14ac:dyDescent="0.25">
      <c r="E6756" s="82" t="s">
        <v>7727</v>
      </c>
    </row>
    <row r="6757" spans="5:5" x14ac:dyDescent="0.25">
      <c r="E6757" s="82" t="s">
        <v>7728</v>
      </c>
    </row>
    <row r="6758" spans="5:5" x14ac:dyDescent="0.25">
      <c r="E6758" s="82" t="s">
        <v>7729</v>
      </c>
    </row>
    <row r="6759" spans="5:5" x14ac:dyDescent="0.25">
      <c r="E6759" s="82" t="s">
        <v>7730</v>
      </c>
    </row>
    <row r="6760" spans="5:5" x14ac:dyDescent="0.25">
      <c r="E6760" s="82" t="s">
        <v>7731</v>
      </c>
    </row>
    <row r="6761" spans="5:5" x14ac:dyDescent="0.25">
      <c r="E6761" s="82" t="s">
        <v>7732</v>
      </c>
    </row>
    <row r="6762" spans="5:5" x14ac:dyDescent="0.25">
      <c r="E6762" s="82" t="s">
        <v>7733</v>
      </c>
    </row>
    <row r="6763" spans="5:5" x14ac:dyDescent="0.25">
      <c r="E6763" s="82" t="s">
        <v>7734</v>
      </c>
    </row>
    <row r="6764" spans="5:5" x14ac:dyDescent="0.25">
      <c r="E6764" s="82" t="s">
        <v>7735</v>
      </c>
    </row>
    <row r="6765" spans="5:5" x14ac:dyDescent="0.25">
      <c r="E6765" s="82" t="s">
        <v>7736</v>
      </c>
    </row>
    <row r="6766" spans="5:5" x14ac:dyDescent="0.25">
      <c r="E6766" s="82" t="s">
        <v>7737</v>
      </c>
    </row>
    <row r="6767" spans="5:5" x14ac:dyDescent="0.25">
      <c r="E6767" s="82" t="s">
        <v>7738</v>
      </c>
    </row>
    <row r="6768" spans="5:5" x14ac:dyDescent="0.25">
      <c r="E6768" s="82" t="s">
        <v>7739</v>
      </c>
    </row>
    <row r="6769" spans="5:5" x14ac:dyDescent="0.25">
      <c r="E6769" s="82" t="s">
        <v>7740</v>
      </c>
    </row>
    <row r="6770" spans="5:5" x14ac:dyDescent="0.25">
      <c r="E6770" s="82" t="s">
        <v>7741</v>
      </c>
    </row>
    <row r="6771" spans="5:5" x14ac:dyDescent="0.25">
      <c r="E6771" s="82" t="s">
        <v>7742</v>
      </c>
    </row>
    <row r="6772" spans="5:5" x14ac:dyDescent="0.25">
      <c r="E6772" s="82" t="s">
        <v>7743</v>
      </c>
    </row>
    <row r="6773" spans="5:5" x14ac:dyDescent="0.25">
      <c r="E6773" s="82" t="s">
        <v>7744</v>
      </c>
    </row>
    <row r="6774" spans="5:5" x14ac:dyDescent="0.25">
      <c r="E6774" s="82" t="s">
        <v>7745</v>
      </c>
    </row>
    <row r="6775" spans="5:5" x14ac:dyDescent="0.25">
      <c r="E6775" s="82" t="s">
        <v>7746</v>
      </c>
    </row>
    <row r="6776" spans="5:5" x14ac:dyDescent="0.25">
      <c r="E6776" s="82" t="s">
        <v>7747</v>
      </c>
    </row>
    <row r="6777" spans="5:5" x14ac:dyDescent="0.25">
      <c r="E6777" s="82" t="s">
        <v>7748</v>
      </c>
    </row>
    <row r="6778" spans="5:5" x14ac:dyDescent="0.25">
      <c r="E6778" s="82" t="s">
        <v>7749</v>
      </c>
    </row>
    <row r="6779" spans="5:5" x14ac:dyDescent="0.25">
      <c r="E6779" s="82" t="s">
        <v>7750</v>
      </c>
    </row>
    <row r="6780" spans="5:5" x14ac:dyDescent="0.25">
      <c r="E6780" s="82" t="s">
        <v>7751</v>
      </c>
    </row>
    <row r="6781" spans="5:5" x14ac:dyDescent="0.25">
      <c r="E6781" s="82" t="s">
        <v>7752</v>
      </c>
    </row>
    <row r="6782" spans="5:5" x14ac:dyDescent="0.25">
      <c r="E6782" s="82" t="s">
        <v>7753</v>
      </c>
    </row>
    <row r="6783" spans="5:5" x14ac:dyDescent="0.25">
      <c r="E6783" s="82" t="s">
        <v>7754</v>
      </c>
    </row>
    <row r="6784" spans="5:5" x14ac:dyDescent="0.25">
      <c r="E6784" s="82" t="s">
        <v>7755</v>
      </c>
    </row>
    <row r="6785" spans="5:5" x14ac:dyDescent="0.25">
      <c r="E6785" s="82" t="s">
        <v>7756</v>
      </c>
    </row>
    <row r="6786" spans="5:5" x14ac:dyDescent="0.25">
      <c r="E6786" s="82" t="s">
        <v>7757</v>
      </c>
    </row>
    <row r="6787" spans="5:5" x14ac:dyDescent="0.25">
      <c r="E6787" s="82" t="s">
        <v>7758</v>
      </c>
    </row>
    <row r="6788" spans="5:5" x14ac:dyDescent="0.25">
      <c r="E6788" s="82" t="s">
        <v>7759</v>
      </c>
    </row>
    <row r="6789" spans="5:5" x14ac:dyDescent="0.25">
      <c r="E6789" s="82" t="s">
        <v>7760</v>
      </c>
    </row>
    <row r="6790" spans="5:5" x14ac:dyDescent="0.25">
      <c r="E6790" s="82" t="s">
        <v>7761</v>
      </c>
    </row>
    <row r="6791" spans="5:5" x14ac:dyDescent="0.25">
      <c r="E6791" s="82" t="s">
        <v>7762</v>
      </c>
    </row>
    <row r="6792" spans="5:5" x14ac:dyDescent="0.25">
      <c r="E6792" s="82" t="s">
        <v>7763</v>
      </c>
    </row>
    <row r="6793" spans="5:5" x14ac:dyDescent="0.25">
      <c r="E6793" s="82" t="s">
        <v>7764</v>
      </c>
    </row>
    <row r="6794" spans="5:5" x14ac:dyDescent="0.25">
      <c r="E6794" s="82" t="s">
        <v>7765</v>
      </c>
    </row>
    <row r="6795" spans="5:5" x14ac:dyDescent="0.25">
      <c r="E6795" s="82" t="s">
        <v>7766</v>
      </c>
    </row>
    <row r="6796" spans="5:5" x14ac:dyDescent="0.25">
      <c r="E6796" s="82" t="s">
        <v>7767</v>
      </c>
    </row>
    <row r="6797" spans="5:5" x14ac:dyDescent="0.25">
      <c r="E6797" s="82" t="s">
        <v>7768</v>
      </c>
    </row>
    <row r="6798" spans="5:5" x14ac:dyDescent="0.25">
      <c r="E6798" s="82" t="s">
        <v>7769</v>
      </c>
    </row>
    <row r="6799" spans="5:5" x14ac:dyDescent="0.25">
      <c r="E6799" s="82" t="s">
        <v>7770</v>
      </c>
    </row>
    <row r="6800" spans="5:5" x14ac:dyDescent="0.25">
      <c r="E6800" s="82" t="s">
        <v>7771</v>
      </c>
    </row>
    <row r="6801" spans="5:5" x14ac:dyDescent="0.25">
      <c r="E6801" s="82" t="s">
        <v>7772</v>
      </c>
    </row>
    <row r="6802" spans="5:5" x14ac:dyDescent="0.25">
      <c r="E6802" s="82" t="s">
        <v>7773</v>
      </c>
    </row>
    <row r="6803" spans="5:5" x14ac:dyDescent="0.25">
      <c r="E6803" s="82" t="s">
        <v>7774</v>
      </c>
    </row>
    <row r="6804" spans="5:5" x14ac:dyDescent="0.25">
      <c r="E6804" s="82" t="s">
        <v>7775</v>
      </c>
    </row>
    <row r="6805" spans="5:5" x14ac:dyDescent="0.25">
      <c r="E6805" s="82" t="s">
        <v>7776</v>
      </c>
    </row>
    <row r="6806" spans="5:5" x14ac:dyDescent="0.25">
      <c r="E6806" s="82" t="s">
        <v>7777</v>
      </c>
    </row>
    <row r="6807" spans="5:5" x14ac:dyDescent="0.25">
      <c r="E6807" s="82" t="s">
        <v>7778</v>
      </c>
    </row>
    <row r="6808" spans="5:5" x14ac:dyDescent="0.25">
      <c r="E6808" s="82" t="s">
        <v>7779</v>
      </c>
    </row>
    <row r="6809" spans="5:5" x14ac:dyDescent="0.25">
      <c r="E6809" s="82" t="s">
        <v>7780</v>
      </c>
    </row>
    <row r="6810" spans="5:5" x14ac:dyDescent="0.25">
      <c r="E6810" s="82" t="s">
        <v>7781</v>
      </c>
    </row>
    <row r="6811" spans="5:5" x14ac:dyDescent="0.25">
      <c r="E6811" s="82" t="s">
        <v>7782</v>
      </c>
    </row>
    <row r="6812" spans="5:5" x14ac:dyDescent="0.25">
      <c r="E6812" s="82" t="s">
        <v>7783</v>
      </c>
    </row>
    <row r="6813" spans="5:5" x14ac:dyDescent="0.25">
      <c r="E6813" s="82" t="s">
        <v>7784</v>
      </c>
    </row>
    <row r="6814" spans="5:5" x14ac:dyDescent="0.25">
      <c r="E6814" s="82" t="s">
        <v>7785</v>
      </c>
    </row>
    <row r="6815" spans="5:5" x14ac:dyDescent="0.25">
      <c r="E6815" s="82" t="s">
        <v>7786</v>
      </c>
    </row>
    <row r="6816" spans="5:5" x14ac:dyDescent="0.25">
      <c r="E6816" s="82" t="s">
        <v>7787</v>
      </c>
    </row>
    <row r="6817" spans="5:5" x14ac:dyDescent="0.25">
      <c r="E6817" s="82" t="s">
        <v>7788</v>
      </c>
    </row>
    <row r="6818" spans="5:5" x14ac:dyDescent="0.25">
      <c r="E6818" s="82" t="s">
        <v>7789</v>
      </c>
    </row>
    <row r="6819" spans="5:5" x14ac:dyDescent="0.25">
      <c r="E6819" s="82" t="s">
        <v>7790</v>
      </c>
    </row>
    <row r="6820" spans="5:5" x14ac:dyDescent="0.25">
      <c r="E6820" s="82" t="s">
        <v>7791</v>
      </c>
    </row>
    <row r="6821" spans="5:5" x14ac:dyDescent="0.25">
      <c r="E6821" s="82" t="s">
        <v>7792</v>
      </c>
    </row>
    <row r="6822" spans="5:5" x14ac:dyDescent="0.25">
      <c r="E6822" s="82" t="s">
        <v>7793</v>
      </c>
    </row>
    <row r="6823" spans="5:5" x14ac:dyDescent="0.25">
      <c r="E6823" s="82" t="s">
        <v>7794</v>
      </c>
    </row>
    <row r="6824" spans="5:5" x14ac:dyDescent="0.25">
      <c r="E6824" s="82" t="s">
        <v>7795</v>
      </c>
    </row>
    <row r="6825" spans="5:5" x14ac:dyDescent="0.25">
      <c r="E6825" s="82" t="s">
        <v>7796</v>
      </c>
    </row>
    <row r="6826" spans="5:5" x14ac:dyDescent="0.25">
      <c r="E6826" s="82" t="s">
        <v>7797</v>
      </c>
    </row>
    <row r="6827" spans="5:5" x14ac:dyDescent="0.25">
      <c r="E6827" s="82" t="s">
        <v>7798</v>
      </c>
    </row>
    <row r="6828" spans="5:5" x14ac:dyDescent="0.25">
      <c r="E6828" s="82" t="s">
        <v>7799</v>
      </c>
    </row>
    <row r="6829" spans="5:5" x14ac:dyDescent="0.25">
      <c r="E6829" s="82" t="s">
        <v>7800</v>
      </c>
    </row>
    <row r="6830" spans="5:5" x14ac:dyDescent="0.25">
      <c r="E6830" s="82" t="s">
        <v>7801</v>
      </c>
    </row>
    <row r="6831" spans="5:5" x14ac:dyDescent="0.25">
      <c r="E6831" s="82" t="s">
        <v>7802</v>
      </c>
    </row>
    <row r="6832" spans="5:5" x14ac:dyDescent="0.25">
      <c r="E6832" s="82" t="s">
        <v>7803</v>
      </c>
    </row>
    <row r="6833" spans="5:5" x14ac:dyDescent="0.25">
      <c r="E6833" s="82" t="s">
        <v>7804</v>
      </c>
    </row>
    <row r="6834" spans="5:5" x14ac:dyDescent="0.25">
      <c r="E6834" s="82" t="s">
        <v>7805</v>
      </c>
    </row>
    <row r="6835" spans="5:5" x14ac:dyDescent="0.25">
      <c r="E6835" s="82" t="s">
        <v>7806</v>
      </c>
    </row>
    <row r="6836" spans="5:5" x14ac:dyDescent="0.25">
      <c r="E6836" s="82" t="s">
        <v>7807</v>
      </c>
    </row>
    <row r="6837" spans="5:5" x14ac:dyDescent="0.25">
      <c r="E6837" s="82" t="s">
        <v>7808</v>
      </c>
    </row>
    <row r="6838" spans="5:5" x14ac:dyDescent="0.25">
      <c r="E6838" s="82" t="s">
        <v>7809</v>
      </c>
    </row>
    <row r="6839" spans="5:5" x14ac:dyDescent="0.25">
      <c r="E6839" s="82" t="s">
        <v>7810</v>
      </c>
    </row>
    <row r="6840" spans="5:5" x14ac:dyDescent="0.25">
      <c r="E6840" s="82" t="s">
        <v>7811</v>
      </c>
    </row>
    <row r="6841" spans="5:5" x14ac:dyDescent="0.25">
      <c r="E6841" s="82" t="s">
        <v>7812</v>
      </c>
    </row>
    <row r="6842" spans="5:5" x14ac:dyDescent="0.25">
      <c r="E6842" s="82" t="s">
        <v>7813</v>
      </c>
    </row>
    <row r="6843" spans="5:5" x14ac:dyDescent="0.25">
      <c r="E6843" s="82" t="s">
        <v>7814</v>
      </c>
    </row>
    <row r="6844" spans="5:5" x14ac:dyDescent="0.25">
      <c r="E6844" s="82" t="s">
        <v>7815</v>
      </c>
    </row>
    <row r="6845" spans="5:5" x14ac:dyDescent="0.25">
      <c r="E6845" s="82" t="s">
        <v>7816</v>
      </c>
    </row>
    <row r="6846" spans="5:5" x14ac:dyDescent="0.25">
      <c r="E6846" s="82" t="s">
        <v>7817</v>
      </c>
    </row>
    <row r="6847" spans="5:5" x14ac:dyDescent="0.25">
      <c r="E6847" s="82" t="s">
        <v>7818</v>
      </c>
    </row>
    <row r="6848" spans="5:5" x14ac:dyDescent="0.25">
      <c r="E6848" s="82" t="s">
        <v>7819</v>
      </c>
    </row>
    <row r="6849" spans="5:5" x14ac:dyDescent="0.25">
      <c r="E6849" s="82" t="s">
        <v>7820</v>
      </c>
    </row>
    <row r="6850" spans="5:5" x14ac:dyDescent="0.25">
      <c r="E6850" s="82" t="s">
        <v>7821</v>
      </c>
    </row>
    <row r="6851" spans="5:5" x14ac:dyDescent="0.25">
      <c r="E6851" s="82" t="s">
        <v>7822</v>
      </c>
    </row>
    <row r="6852" spans="5:5" x14ac:dyDescent="0.25">
      <c r="E6852" s="82" t="s">
        <v>7823</v>
      </c>
    </row>
    <row r="6853" spans="5:5" x14ac:dyDescent="0.25">
      <c r="E6853" s="82" t="s">
        <v>7824</v>
      </c>
    </row>
    <row r="6854" spans="5:5" x14ac:dyDescent="0.25">
      <c r="E6854" s="82" t="s">
        <v>7825</v>
      </c>
    </row>
    <row r="6855" spans="5:5" x14ac:dyDescent="0.25">
      <c r="E6855" s="82" t="s">
        <v>7826</v>
      </c>
    </row>
    <row r="6856" spans="5:5" x14ac:dyDescent="0.25">
      <c r="E6856" s="82" t="s">
        <v>7827</v>
      </c>
    </row>
    <row r="6857" spans="5:5" x14ac:dyDescent="0.25">
      <c r="E6857" s="82" t="s">
        <v>7828</v>
      </c>
    </row>
    <row r="6858" spans="5:5" x14ac:dyDescent="0.25">
      <c r="E6858" s="82" t="s">
        <v>7829</v>
      </c>
    </row>
    <row r="6859" spans="5:5" x14ac:dyDescent="0.25">
      <c r="E6859" s="82" t="s">
        <v>7830</v>
      </c>
    </row>
    <row r="6860" spans="5:5" x14ac:dyDescent="0.25">
      <c r="E6860" s="82" t="s">
        <v>7831</v>
      </c>
    </row>
    <row r="6861" spans="5:5" x14ac:dyDescent="0.25">
      <c r="E6861" s="82" t="s">
        <v>7832</v>
      </c>
    </row>
    <row r="6862" spans="5:5" x14ac:dyDescent="0.25">
      <c r="E6862" s="82" t="s">
        <v>7833</v>
      </c>
    </row>
    <row r="6863" spans="5:5" x14ac:dyDescent="0.25">
      <c r="E6863" s="82" t="s">
        <v>7834</v>
      </c>
    </row>
    <row r="6864" spans="5:5" x14ac:dyDescent="0.25">
      <c r="E6864" s="82" t="s">
        <v>7835</v>
      </c>
    </row>
    <row r="6865" spans="5:5" x14ac:dyDescent="0.25">
      <c r="E6865" s="82" t="s">
        <v>7836</v>
      </c>
    </row>
    <row r="6866" spans="5:5" x14ac:dyDescent="0.25">
      <c r="E6866" s="82" t="s">
        <v>7837</v>
      </c>
    </row>
    <row r="6867" spans="5:5" x14ac:dyDescent="0.25">
      <c r="E6867" s="82" t="s">
        <v>7838</v>
      </c>
    </row>
    <row r="6868" spans="5:5" x14ac:dyDescent="0.25">
      <c r="E6868" s="82" t="s">
        <v>7839</v>
      </c>
    </row>
    <row r="6869" spans="5:5" x14ac:dyDescent="0.25">
      <c r="E6869" s="82" t="s">
        <v>7840</v>
      </c>
    </row>
    <row r="6870" spans="5:5" x14ac:dyDescent="0.25">
      <c r="E6870" s="82" t="s">
        <v>7841</v>
      </c>
    </row>
    <row r="6871" spans="5:5" x14ac:dyDescent="0.25">
      <c r="E6871" s="82" t="s">
        <v>7842</v>
      </c>
    </row>
    <row r="6872" spans="5:5" x14ac:dyDescent="0.25">
      <c r="E6872" s="82" t="s">
        <v>7843</v>
      </c>
    </row>
    <row r="6873" spans="5:5" x14ac:dyDescent="0.25">
      <c r="E6873" s="82" t="s">
        <v>7844</v>
      </c>
    </row>
    <row r="6874" spans="5:5" x14ac:dyDescent="0.25">
      <c r="E6874" s="82" t="s">
        <v>7845</v>
      </c>
    </row>
    <row r="6875" spans="5:5" x14ac:dyDescent="0.25">
      <c r="E6875" s="82" t="s">
        <v>7846</v>
      </c>
    </row>
    <row r="6876" spans="5:5" x14ac:dyDescent="0.25">
      <c r="E6876" s="82" t="s">
        <v>7847</v>
      </c>
    </row>
    <row r="6877" spans="5:5" x14ac:dyDescent="0.25">
      <c r="E6877" s="82" t="s">
        <v>7848</v>
      </c>
    </row>
    <row r="6878" spans="5:5" x14ac:dyDescent="0.25">
      <c r="E6878" s="82" t="s">
        <v>7849</v>
      </c>
    </row>
    <row r="6879" spans="5:5" x14ac:dyDescent="0.25">
      <c r="E6879" s="82" t="s">
        <v>7850</v>
      </c>
    </row>
    <row r="6880" spans="5:5" x14ac:dyDescent="0.25">
      <c r="E6880" s="82" t="s">
        <v>7851</v>
      </c>
    </row>
    <row r="6881" spans="5:5" x14ac:dyDescent="0.25">
      <c r="E6881" s="82" t="s">
        <v>7852</v>
      </c>
    </row>
    <row r="6882" spans="5:5" x14ac:dyDescent="0.25">
      <c r="E6882" s="82" t="s">
        <v>7853</v>
      </c>
    </row>
    <row r="6883" spans="5:5" x14ac:dyDescent="0.25">
      <c r="E6883" s="82" t="s">
        <v>7854</v>
      </c>
    </row>
    <row r="6884" spans="5:5" x14ac:dyDescent="0.25">
      <c r="E6884" s="82" t="s">
        <v>7855</v>
      </c>
    </row>
    <row r="6885" spans="5:5" x14ac:dyDescent="0.25">
      <c r="E6885" s="82" t="s">
        <v>7856</v>
      </c>
    </row>
    <row r="6886" spans="5:5" x14ac:dyDescent="0.25">
      <c r="E6886" s="82" t="s">
        <v>7857</v>
      </c>
    </row>
    <row r="6887" spans="5:5" x14ac:dyDescent="0.25">
      <c r="E6887" s="82" t="s">
        <v>7858</v>
      </c>
    </row>
    <row r="6888" spans="5:5" x14ac:dyDescent="0.25">
      <c r="E6888" s="82" t="s">
        <v>7859</v>
      </c>
    </row>
    <row r="6889" spans="5:5" x14ac:dyDescent="0.25">
      <c r="E6889" s="82" t="s">
        <v>7860</v>
      </c>
    </row>
    <row r="6890" spans="5:5" x14ac:dyDescent="0.25">
      <c r="E6890" s="82" t="s">
        <v>7861</v>
      </c>
    </row>
    <row r="6891" spans="5:5" x14ac:dyDescent="0.25">
      <c r="E6891" s="82" t="s">
        <v>7862</v>
      </c>
    </row>
    <row r="6892" spans="5:5" x14ac:dyDescent="0.25">
      <c r="E6892" s="82" t="s">
        <v>7863</v>
      </c>
    </row>
    <row r="6893" spans="5:5" x14ac:dyDescent="0.25">
      <c r="E6893" s="82" t="s">
        <v>7864</v>
      </c>
    </row>
    <row r="6894" spans="5:5" x14ac:dyDescent="0.25">
      <c r="E6894" s="82" t="s">
        <v>7865</v>
      </c>
    </row>
    <row r="6895" spans="5:5" x14ac:dyDescent="0.25">
      <c r="E6895" s="82" t="s">
        <v>7866</v>
      </c>
    </row>
    <row r="6896" spans="5:5" x14ac:dyDescent="0.25">
      <c r="E6896" s="82" t="s">
        <v>7867</v>
      </c>
    </row>
    <row r="6897" spans="5:5" x14ac:dyDescent="0.25">
      <c r="E6897" s="82" t="s">
        <v>7868</v>
      </c>
    </row>
    <row r="6898" spans="5:5" x14ac:dyDescent="0.25">
      <c r="E6898" s="82" t="s">
        <v>7869</v>
      </c>
    </row>
    <row r="6899" spans="5:5" x14ac:dyDescent="0.25">
      <c r="E6899" s="82" t="s">
        <v>7870</v>
      </c>
    </row>
    <row r="6900" spans="5:5" x14ac:dyDescent="0.25">
      <c r="E6900" s="82" t="s">
        <v>7871</v>
      </c>
    </row>
    <row r="6901" spans="5:5" x14ac:dyDescent="0.25">
      <c r="E6901" s="82" t="s">
        <v>7872</v>
      </c>
    </row>
    <row r="6902" spans="5:5" x14ac:dyDescent="0.25">
      <c r="E6902" s="82" t="s">
        <v>7873</v>
      </c>
    </row>
    <row r="6903" spans="5:5" x14ac:dyDescent="0.25">
      <c r="E6903" s="82" t="s">
        <v>7874</v>
      </c>
    </row>
    <row r="6904" spans="5:5" x14ac:dyDescent="0.25">
      <c r="E6904" s="82" t="s">
        <v>7875</v>
      </c>
    </row>
    <row r="6905" spans="5:5" x14ac:dyDescent="0.25">
      <c r="E6905" s="82" t="s">
        <v>7876</v>
      </c>
    </row>
    <row r="6906" spans="5:5" x14ac:dyDescent="0.25">
      <c r="E6906" s="82" t="s">
        <v>7877</v>
      </c>
    </row>
    <row r="6907" spans="5:5" x14ac:dyDescent="0.25">
      <c r="E6907" s="82" t="s">
        <v>7878</v>
      </c>
    </row>
    <row r="6908" spans="5:5" x14ac:dyDescent="0.25">
      <c r="E6908" s="82" t="s">
        <v>7879</v>
      </c>
    </row>
    <row r="6909" spans="5:5" x14ac:dyDescent="0.25">
      <c r="E6909" s="82" t="s">
        <v>7880</v>
      </c>
    </row>
    <row r="6910" spans="5:5" x14ac:dyDescent="0.25">
      <c r="E6910" s="82" t="s">
        <v>7881</v>
      </c>
    </row>
    <row r="6911" spans="5:5" x14ac:dyDescent="0.25">
      <c r="E6911" s="82" t="s">
        <v>7882</v>
      </c>
    </row>
    <row r="6912" spans="5:5" x14ac:dyDescent="0.25">
      <c r="E6912" s="82" t="s">
        <v>7883</v>
      </c>
    </row>
    <row r="6913" spans="5:5" x14ac:dyDescent="0.25">
      <c r="E6913" s="82" t="s">
        <v>7884</v>
      </c>
    </row>
    <row r="6914" spans="5:5" x14ac:dyDescent="0.25">
      <c r="E6914" s="82" t="s">
        <v>7885</v>
      </c>
    </row>
    <row r="6915" spans="5:5" x14ac:dyDescent="0.25">
      <c r="E6915" s="82" t="s">
        <v>7886</v>
      </c>
    </row>
    <row r="6916" spans="5:5" x14ac:dyDescent="0.25">
      <c r="E6916" s="82" t="s">
        <v>7887</v>
      </c>
    </row>
    <row r="6917" spans="5:5" x14ac:dyDescent="0.25">
      <c r="E6917" s="82" t="s">
        <v>7888</v>
      </c>
    </row>
    <row r="6918" spans="5:5" x14ac:dyDescent="0.25">
      <c r="E6918" s="82" t="s">
        <v>7889</v>
      </c>
    </row>
    <row r="6919" spans="5:5" x14ac:dyDescent="0.25">
      <c r="E6919" s="82" t="s">
        <v>7890</v>
      </c>
    </row>
    <row r="6920" spans="5:5" x14ac:dyDescent="0.25">
      <c r="E6920" s="82" t="s">
        <v>7891</v>
      </c>
    </row>
    <row r="6921" spans="5:5" x14ac:dyDescent="0.25">
      <c r="E6921" s="82" t="s">
        <v>7892</v>
      </c>
    </row>
    <row r="6922" spans="5:5" x14ac:dyDescent="0.25">
      <c r="E6922" s="82" t="s">
        <v>7893</v>
      </c>
    </row>
    <row r="6923" spans="5:5" x14ac:dyDescent="0.25">
      <c r="E6923" s="82" t="s">
        <v>7894</v>
      </c>
    </row>
    <row r="6924" spans="5:5" x14ac:dyDescent="0.25">
      <c r="E6924" s="82" t="s">
        <v>7895</v>
      </c>
    </row>
    <row r="6925" spans="5:5" x14ac:dyDescent="0.25">
      <c r="E6925" s="82" t="s">
        <v>7896</v>
      </c>
    </row>
    <row r="6926" spans="5:5" x14ac:dyDescent="0.25">
      <c r="E6926" s="82" t="s">
        <v>7897</v>
      </c>
    </row>
    <row r="6927" spans="5:5" x14ac:dyDescent="0.25">
      <c r="E6927" s="82" t="s">
        <v>7898</v>
      </c>
    </row>
    <row r="6928" spans="5:5" x14ac:dyDescent="0.25">
      <c r="E6928" s="82" t="s">
        <v>7899</v>
      </c>
    </row>
    <row r="6929" spans="5:5" x14ac:dyDescent="0.25">
      <c r="E6929" s="82" t="s">
        <v>7900</v>
      </c>
    </row>
    <row r="6930" spans="5:5" x14ac:dyDescent="0.25">
      <c r="E6930" s="82" t="s">
        <v>7901</v>
      </c>
    </row>
    <row r="6931" spans="5:5" x14ac:dyDescent="0.25">
      <c r="E6931" s="82" t="s">
        <v>7902</v>
      </c>
    </row>
    <row r="6932" spans="5:5" x14ac:dyDescent="0.25">
      <c r="E6932" s="82" t="s">
        <v>7903</v>
      </c>
    </row>
    <row r="6933" spans="5:5" x14ac:dyDescent="0.25">
      <c r="E6933" s="82" t="s">
        <v>7904</v>
      </c>
    </row>
    <row r="6934" spans="5:5" x14ac:dyDescent="0.25">
      <c r="E6934" s="82" t="s">
        <v>7905</v>
      </c>
    </row>
    <row r="6935" spans="5:5" x14ac:dyDescent="0.25">
      <c r="E6935" s="82" t="s">
        <v>7906</v>
      </c>
    </row>
    <row r="6936" spans="5:5" x14ac:dyDescent="0.25">
      <c r="E6936" s="82" t="s">
        <v>7907</v>
      </c>
    </row>
    <row r="6937" spans="5:5" x14ac:dyDescent="0.25">
      <c r="E6937" s="82" t="s">
        <v>7908</v>
      </c>
    </row>
    <row r="6938" spans="5:5" x14ac:dyDescent="0.25">
      <c r="E6938" s="82" t="s">
        <v>7909</v>
      </c>
    </row>
    <row r="6939" spans="5:5" x14ac:dyDescent="0.25">
      <c r="E6939" s="82" t="s">
        <v>7910</v>
      </c>
    </row>
    <row r="6940" spans="5:5" x14ac:dyDescent="0.25">
      <c r="E6940" s="82" t="s">
        <v>7911</v>
      </c>
    </row>
    <row r="6941" spans="5:5" x14ac:dyDescent="0.25">
      <c r="E6941" s="82" t="s">
        <v>7912</v>
      </c>
    </row>
    <row r="6942" spans="5:5" x14ac:dyDescent="0.25">
      <c r="E6942" s="82" t="s">
        <v>7913</v>
      </c>
    </row>
    <row r="6943" spans="5:5" x14ac:dyDescent="0.25">
      <c r="E6943" s="82" t="s">
        <v>7914</v>
      </c>
    </row>
    <row r="6944" spans="5:5" x14ac:dyDescent="0.25">
      <c r="E6944" s="82" t="s">
        <v>7915</v>
      </c>
    </row>
    <row r="6945" spans="5:5" x14ac:dyDescent="0.25">
      <c r="E6945" s="82" t="s">
        <v>7916</v>
      </c>
    </row>
    <row r="6946" spans="5:5" x14ac:dyDescent="0.25">
      <c r="E6946" s="82" t="s">
        <v>7917</v>
      </c>
    </row>
    <row r="6947" spans="5:5" x14ac:dyDescent="0.25">
      <c r="E6947" s="82" t="s">
        <v>7918</v>
      </c>
    </row>
    <row r="6948" spans="5:5" x14ac:dyDescent="0.25">
      <c r="E6948" s="82" t="s">
        <v>7919</v>
      </c>
    </row>
    <row r="6949" spans="5:5" x14ac:dyDescent="0.25">
      <c r="E6949" s="82" t="s">
        <v>7920</v>
      </c>
    </row>
    <row r="6950" spans="5:5" x14ac:dyDescent="0.25">
      <c r="E6950" s="82" t="s">
        <v>7921</v>
      </c>
    </row>
    <row r="6951" spans="5:5" x14ac:dyDescent="0.25">
      <c r="E6951" s="82" t="s">
        <v>7922</v>
      </c>
    </row>
    <row r="6952" spans="5:5" x14ac:dyDescent="0.25">
      <c r="E6952" s="82" t="s">
        <v>7923</v>
      </c>
    </row>
    <row r="6953" spans="5:5" x14ac:dyDescent="0.25">
      <c r="E6953" s="82" t="s">
        <v>7924</v>
      </c>
    </row>
    <row r="6954" spans="5:5" x14ac:dyDescent="0.25">
      <c r="E6954" s="82" t="s">
        <v>7925</v>
      </c>
    </row>
    <row r="6955" spans="5:5" x14ac:dyDescent="0.25">
      <c r="E6955" s="82" t="s">
        <v>7926</v>
      </c>
    </row>
    <row r="6956" spans="5:5" x14ac:dyDescent="0.25">
      <c r="E6956" s="82" t="s">
        <v>7927</v>
      </c>
    </row>
    <row r="6957" spans="5:5" x14ac:dyDescent="0.25">
      <c r="E6957" s="82" t="s">
        <v>7928</v>
      </c>
    </row>
    <row r="6958" spans="5:5" x14ac:dyDescent="0.25">
      <c r="E6958" s="82" t="s">
        <v>7929</v>
      </c>
    </row>
    <row r="6959" spans="5:5" x14ac:dyDescent="0.25">
      <c r="E6959" s="82" t="s">
        <v>7930</v>
      </c>
    </row>
    <row r="6960" spans="5:5" x14ac:dyDescent="0.25">
      <c r="E6960" s="82" t="s">
        <v>7931</v>
      </c>
    </row>
    <row r="6961" spans="5:5" x14ac:dyDescent="0.25">
      <c r="E6961" s="82" t="s">
        <v>7932</v>
      </c>
    </row>
    <row r="6962" spans="5:5" x14ac:dyDescent="0.25">
      <c r="E6962" s="82" t="s">
        <v>7933</v>
      </c>
    </row>
    <row r="6963" spans="5:5" x14ac:dyDescent="0.25">
      <c r="E6963" s="82" t="s">
        <v>7934</v>
      </c>
    </row>
    <row r="6964" spans="5:5" x14ac:dyDescent="0.25">
      <c r="E6964" s="82" t="s">
        <v>7935</v>
      </c>
    </row>
    <row r="6965" spans="5:5" x14ac:dyDescent="0.25">
      <c r="E6965" s="82" t="s">
        <v>7936</v>
      </c>
    </row>
    <row r="6966" spans="5:5" x14ac:dyDescent="0.25">
      <c r="E6966" s="82" t="s">
        <v>7937</v>
      </c>
    </row>
    <row r="6967" spans="5:5" x14ac:dyDescent="0.25">
      <c r="E6967" s="82" t="s">
        <v>7938</v>
      </c>
    </row>
    <row r="6968" spans="5:5" x14ac:dyDescent="0.25">
      <c r="E6968" s="82" t="s">
        <v>7939</v>
      </c>
    </row>
    <row r="6969" spans="5:5" x14ac:dyDescent="0.25">
      <c r="E6969" s="82" t="s">
        <v>7940</v>
      </c>
    </row>
    <row r="6970" spans="5:5" x14ac:dyDescent="0.25">
      <c r="E6970" s="82" t="s">
        <v>7941</v>
      </c>
    </row>
    <row r="6971" spans="5:5" x14ac:dyDescent="0.25">
      <c r="E6971" s="82" t="s">
        <v>7942</v>
      </c>
    </row>
    <row r="6972" spans="5:5" x14ac:dyDescent="0.25">
      <c r="E6972" s="82" t="s">
        <v>7943</v>
      </c>
    </row>
    <row r="6973" spans="5:5" x14ac:dyDescent="0.25">
      <c r="E6973" s="82" t="s">
        <v>7944</v>
      </c>
    </row>
    <row r="6974" spans="5:5" x14ac:dyDescent="0.25">
      <c r="E6974" s="82" t="s">
        <v>7945</v>
      </c>
    </row>
    <row r="6975" spans="5:5" x14ac:dyDescent="0.25">
      <c r="E6975" s="82" t="s">
        <v>7946</v>
      </c>
    </row>
    <row r="6976" spans="5:5" x14ac:dyDescent="0.25">
      <c r="E6976" s="82" t="s">
        <v>7947</v>
      </c>
    </row>
    <row r="6977" spans="5:5" x14ac:dyDescent="0.25">
      <c r="E6977" s="82" t="s">
        <v>7948</v>
      </c>
    </row>
    <row r="6978" spans="5:5" x14ac:dyDescent="0.25">
      <c r="E6978" s="82" t="s">
        <v>7949</v>
      </c>
    </row>
    <row r="6979" spans="5:5" x14ac:dyDescent="0.25">
      <c r="E6979" s="82" t="s">
        <v>7950</v>
      </c>
    </row>
    <row r="6980" spans="5:5" x14ac:dyDescent="0.25">
      <c r="E6980" s="82" t="s">
        <v>7951</v>
      </c>
    </row>
    <row r="6981" spans="5:5" x14ac:dyDescent="0.25">
      <c r="E6981" s="82" t="s">
        <v>7952</v>
      </c>
    </row>
    <row r="6982" spans="5:5" x14ac:dyDescent="0.25">
      <c r="E6982" s="82" t="s">
        <v>7953</v>
      </c>
    </row>
    <row r="6983" spans="5:5" x14ac:dyDescent="0.25">
      <c r="E6983" s="82" t="s">
        <v>7954</v>
      </c>
    </row>
    <row r="6984" spans="5:5" x14ac:dyDescent="0.25">
      <c r="E6984" s="82" t="s">
        <v>7955</v>
      </c>
    </row>
    <row r="6985" spans="5:5" x14ac:dyDescent="0.25">
      <c r="E6985" s="82" t="s">
        <v>7956</v>
      </c>
    </row>
    <row r="6986" spans="5:5" x14ac:dyDescent="0.25">
      <c r="E6986" s="82" t="s">
        <v>7957</v>
      </c>
    </row>
    <row r="6987" spans="5:5" x14ac:dyDescent="0.25">
      <c r="E6987" s="82" t="s">
        <v>7958</v>
      </c>
    </row>
    <row r="6988" spans="5:5" x14ac:dyDescent="0.25">
      <c r="E6988" s="82" t="s">
        <v>7959</v>
      </c>
    </row>
    <row r="6989" spans="5:5" x14ac:dyDescent="0.25">
      <c r="E6989" s="82" t="s">
        <v>7960</v>
      </c>
    </row>
    <row r="6990" spans="5:5" x14ac:dyDescent="0.25">
      <c r="E6990" s="82" t="s">
        <v>7961</v>
      </c>
    </row>
    <row r="6991" spans="5:5" x14ac:dyDescent="0.25">
      <c r="E6991" s="82" t="s">
        <v>7962</v>
      </c>
    </row>
    <row r="6992" spans="5:5" x14ac:dyDescent="0.25">
      <c r="E6992" s="82" t="s">
        <v>7963</v>
      </c>
    </row>
    <row r="6993" spans="5:5" x14ac:dyDescent="0.25">
      <c r="E6993" s="82" t="s">
        <v>7964</v>
      </c>
    </row>
    <row r="6994" spans="5:5" x14ac:dyDescent="0.25">
      <c r="E6994" s="82" t="s">
        <v>7965</v>
      </c>
    </row>
    <row r="6995" spans="5:5" x14ac:dyDescent="0.25">
      <c r="E6995" s="82" t="s">
        <v>7966</v>
      </c>
    </row>
    <row r="6996" spans="5:5" x14ac:dyDescent="0.25">
      <c r="E6996" s="82" t="s">
        <v>7967</v>
      </c>
    </row>
    <row r="6997" spans="5:5" x14ac:dyDescent="0.25">
      <c r="E6997" s="82" t="s">
        <v>7968</v>
      </c>
    </row>
    <row r="6998" spans="5:5" x14ac:dyDescent="0.25">
      <c r="E6998" s="82" t="s">
        <v>7969</v>
      </c>
    </row>
    <row r="6999" spans="5:5" x14ac:dyDescent="0.25">
      <c r="E6999" s="82" t="s">
        <v>7970</v>
      </c>
    </row>
    <row r="7000" spans="5:5" x14ac:dyDescent="0.25">
      <c r="E7000" s="82" t="s">
        <v>7971</v>
      </c>
    </row>
    <row r="7001" spans="5:5" x14ac:dyDescent="0.25">
      <c r="E7001" s="82" t="s">
        <v>7972</v>
      </c>
    </row>
    <row r="7002" spans="5:5" x14ac:dyDescent="0.25">
      <c r="E7002" s="82" t="s">
        <v>7973</v>
      </c>
    </row>
    <row r="7003" spans="5:5" x14ac:dyDescent="0.25">
      <c r="E7003" s="82" t="s">
        <v>7974</v>
      </c>
    </row>
    <row r="7004" spans="5:5" x14ac:dyDescent="0.25">
      <c r="E7004" s="82" t="s">
        <v>7975</v>
      </c>
    </row>
    <row r="7005" spans="5:5" x14ac:dyDescent="0.25">
      <c r="E7005" s="82" t="s">
        <v>7976</v>
      </c>
    </row>
    <row r="7006" spans="5:5" x14ac:dyDescent="0.25">
      <c r="E7006" s="82" t="s">
        <v>7977</v>
      </c>
    </row>
    <row r="7007" spans="5:5" x14ac:dyDescent="0.25">
      <c r="E7007" s="82" t="s">
        <v>7978</v>
      </c>
    </row>
    <row r="7008" spans="5:5" x14ac:dyDescent="0.25">
      <c r="E7008" s="82" t="s">
        <v>7979</v>
      </c>
    </row>
    <row r="7009" spans="5:5" x14ac:dyDescent="0.25">
      <c r="E7009" s="82" t="s">
        <v>7980</v>
      </c>
    </row>
    <row r="7010" spans="5:5" x14ac:dyDescent="0.25">
      <c r="E7010" s="82" t="s">
        <v>7981</v>
      </c>
    </row>
    <row r="7011" spans="5:5" x14ac:dyDescent="0.25">
      <c r="E7011" s="82" t="s">
        <v>7982</v>
      </c>
    </row>
    <row r="7012" spans="5:5" x14ac:dyDescent="0.25">
      <c r="E7012" s="82" t="s">
        <v>7983</v>
      </c>
    </row>
    <row r="7013" spans="5:5" x14ac:dyDescent="0.25">
      <c r="E7013" s="82" t="s">
        <v>7984</v>
      </c>
    </row>
    <row r="7014" spans="5:5" x14ac:dyDescent="0.25">
      <c r="E7014" s="82" t="s">
        <v>7985</v>
      </c>
    </row>
    <row r="7015" spans="5:5" x14ac:dyDescent="0.25">
      <c r="E7015" s="82" t="s">
        <v>7986</v>
      </c>
    </row>
    <row r="7016" spans="5:5" x14ac:dyDescent="0.25">
      <c r="E7016" s="82" t="s">
        <v>7987</v>
      </c>
    </row>
    <row r="7017" spans="5:5" x14ac:dyDescent="0.25">
      <c r="E7017" s="82" t="s">
        <v>7988</v>
      </c>
    </row>
    <row r="7018" spans="5:5" x14ac:dyDescent="0.25">
      <c r="E7018" s="82" t="s">
        <v>7989</v>
      </c>
    </row>
    <row r="7019" spans="5:5" x14ac:dyDescent="0.25">
      <c r="E7019" s="82" t="s">
        <v>7990</v>
      </c>
    </row>
    <row r="7020" spans="5:5" x14ac:dyDescent="0.25">
      <c r="E7020" s="82" t="s">
        <v>7991</v>
      </c>
    </row>
    <row r="7021" spans="5:5" x14ac:dyDescent="0.25">
      <c r="E7021" s="82" t="s">
        <v>7992</v>
      </c>
    </row>
    <row r="7022" spans="5:5" x14ac:dyDescent="0.25">
      <c r="E7022" s="82" t="s">
        <v>7993</v>
      </c>
    </row>
    <row r="7023" spans="5:5" x14ac:dyDescent="0.25">
      <c r="E7023" s="82" t="s">
        <v>7994</v>
      </c>
    </row>
    <row r="7024" spans="5:5" x14ac:dyDescent="0.25">
      <c r="E7024" s="82" t="s">
        <v>7995</v>
      </c>
    </row>
    <row r="7025" spans="5:5" x14ac:dyDescent="0.25">
      <c r="E7025" s="82" t="s">
        <v>7996</v>
      </c>
    </row>
    <row r="7026" spans="5:5" x14ac:dyDescent="0.25">
      <c r="E7026" s="82" t="s">
        <v>7997</v>
      </c>
    </row>
    <row r="7027" spans="5:5" x14ac:dyDescent="0.25">
      <c r="E7027" s="82" t="s">
        <v>7998</v>
      </c>
    </row>
    <row r="7028" spans="5:5" x14ac:dyDescent="0.25">
      <c r="E7028" s="82" t="s">
        <v>7999</v>
      </c>
    </row>
    <row r="7029" spans="5:5" x14ac:dyDescent="0.25">
      <c r="E7029" s="82" t="s">
        <v>8000</v>
      </c>
    </row>
    <row r="7030" spans="5:5" x14ac:dyDescent="0.25">
      <c r="E7030" s="82" t="s">
        <v>8001</v>
      </c>
    </row>
    <row r="7031" spans="5:5" x14ac:dyDescent="0.25">
      <c r="E7031" s="82" t="s">
        <v>8002</v>
      </c>
    </row>
    <row r="7032" spans="5:5" x14ac:dyDescent="0.25">
      <c r="E7032" s="82" t="s">
        <v>8003</v>
      </c>
    </row>
    <row r="7033" spans="5:5" x14ac:dyDescent="0.25">
      <c r="E7033" s="82" t="s">
        <v>8004</v>
      </c>
    </row>
    <row r="7034" spans="5:5" x14ac:dyDescent="0.25">
      <c r="E7034" s="82" t="s">
        <v>8005</v>
      </c>
    </row>
    <row r="7035" spans="5:5" x14ac:dyDescent="0.25">
      <c r="E7035" s="82" t="s">
        <v>8006</v>
      </c>
    </row>
    <row r="7036" spans="5:5" x14ac:dyDescent="0.25">
      <c r="E7036" s="82" t="s">
        <v>8007</v>
      </c>
    </row>
    <row r="7037" spans="5:5" x14ac:dyDescent="0.25">
      <c r="E7037" s="82" t="s">
        <v>8008</v>
      </c>
    </row>
    <row r="7038" spans="5:5" x14ac:dyDescent="0.25">
      <c r="E7038" s="82" t="s">
        <v>8009</v>
      </c>
    </row>
    <row r="7039" spans="5:5" x14ac:dyDescent="0.25">
      <c r="E7039" s="82" t="s">
        <v>8010</v>
      </c>
    </row>
    <row r="7040" spans="5:5" x14ac:dyDescent="0.25">
      <c r="E7040" s="82" t="s">
        <v>8011</v>
      </c>
    </row>
    <row r="7041" spans="5:5" x14ac:dyDescent="0.25">
      <c r="E7041" s="82" t="s">
        <v>8012</v>
      </c>
    </row>
    <row r="7042" spans="5:5" x14ac:dyDescent="0.25">
      <c r="E7042" s="82" t="s">
        <v>8013</v>
      </c>
    </row>
    <row r="7043" spans="5:5" x14ac:dyDescent="0.25">
      <c r="E7043" s="82" t="s">
        <v>8014</v>
      </c>
    </row>
    <row r="7044" spans="5:5" x14ac:dyDescent="0.25">
      <c r="E7044" s="82" t="s">
        <v>8015</v>
      </c>
    </row>
    <row r="7045" spans="5:5" x14ac:dyDescent="0.25">
      <c r="E7045" s="82" t="s">
        <v>8016</v>
      </c>
    </row>
    <row r="7046" spans="5:5" x14ac:dyDescent="0.25">
      <c r="E7046" s="82" t="s">
        <v>8017</v>
      </c>
    </row>
    <row r="7047" spans="5:5" x14ac:dyDescent="0.25">
      <c r="E7047" s="82" t="s">
        <v>8018</v>
      </c>
    </row>
    <row r="7048" spans="5:5" x14ac:dyDescent="0.25">
      <c r="E7048" s="82" t="s">
        <v>8019</v>
      </c>
    </row>
    <row r="7049" spans="5:5" x14ac:dyDescent="0.25">
      <c r="E7049" s="82" t="s">
        <v>8020</v>
      </c>
    </row>
    <row r="7050" spans="5:5" x14ac:dyDescent="0.25">
      <c r="E7050" s="82" t="s">
        <v>8021</v>
      </c>
    </row>
    <row r="7051" spans="5:5" x14ac:dyDescent="0.25">
      <c r="E7051" s="82" t="s">
        <v>8022</v>
      </c>
    </row>
    <row r="7052" spans="5:5" x14ac:dyDescent="0.25">
      <c r="E7052" s="82" t="s">
        <v>8023</v>
      </c>
    </row>
    <row r="7053" spans="5:5" x14ac:dyDescent="0.25">
      <c r="E7053" s="82" t="s">
        <v>8024</v>
      </c>
    </row>
    <row r="7054" spans="5:5" x14ac:dyDescent="0.25">
      <c r="E7054" s="82" t="s">
        <v>8025</v>
      </c>
    </row>
    <row r="7055" spans="5:5" x14ac:dyDescent="0.25">
      <c r="E7055" s="82" t="s">
        <v>8026</v>
      </c>
    </row>
    <row r="7056" spans="5:5" x14ac:dyDescent="0.25">
      <c r="E7056" s="82" t="s">
        <v>8027</v>
      </c>
    </row>
    <row r="7057" spans="5:5" x14ac:dyDescent="0.25">
      <c r="E7057" s="82" t="s">
        <v>8028</v>
      </c>
    </row>
    <row r="7058" spans="5:5" x14ac:dyDescent="0.25">
      <c r="E7058" s="82" t="s">
        <v>8029</v>
      </c>
    </row>
    <row r="7059" spans="5:5" x14ac:dyDescent="0.25">
      <c r="E7059" s="82" t="s">
        <v>8030</v>
      </c>
    </row>
    <row r="7060" spans="5:5" x14ac:dyDescent="0.25">
      <c r="E7060" s="82" t="s">
        <v>8031</v>
      </c>
    </row>
    <row r="7061" spans="5:5" x14ac:dyDescent="0.25">
      <c r="E7061" s="82" t="s">
        <v>8032</v>
      </c>
    </row>
    <row r="7062" spans="5:5" x14ac:dyDescent="0.25">
      <c r="E7062" s="82" t="s">
        <v>8033</v>
      </c>
    </row>
    <row r="7063" spans="5:5" x14ac:dyDescent="0.25">
      <c r="E7063" s="82" t="s">
        <v>8034</v>
      </c>
    </row>
    <row r="7064" spans="5:5" x14ac:dyDescent="0.25">
      <c r="E7064" s="82" t="s">
        <v>8035</v>
      </c>
    </row>
    <row r="7065" spans="5:5" x14ac:dyDescent="0.25">
      <c r="E7065" s="82" t="s">
        <v>8036</v>
      </c>
    </row>
    <row r="7066" spans="5:5" x14ac:dyDescent="0.25">
      <c r="E7066" s="82" t="s">
        <v>8037</v>
      </c>
    </row>
    <row r="7067" spans="5:5" x14ac:dyDescent="0.25">
      <c r="E7067" s="82" t="s">
        <v>8038</v>
      </c>
    </row>
    <row r="7068" spans="5:5" x14ac:dyDescent="0.25">
      <c r="E7068" s="82" t="s">
        <v>8039</v>
      </c>
    </row>
    <row r="7069" spans="5:5" x14ac:dyDescent="0.25">
      <c r="E7069" s="82" t="s">
        <v>8040</v>
      </c>
    </row>
    <row r="7070" spans="5:5" x14ac:dyDescent="0.25">
      <c r="E7070" s="82" t="s">
        <v>8041</v>
      </c>
    </row>
    <row r="7071" spans="5:5" x14ac:dyDescent="0.25">
      <c r="E7071" s="82" t="s">
        <v>8042</v>
      </c>
    </row>
    <row r="7072" spans="5:5" x14ac:dyDescent="0.25">
      <c r="E7072" s="82" t="s">
        <v>8043</v>
      </c>
    </row>
    <row r="7073" spans="5:5" x14ac:dyDescent="0.25">
      <c r="E7073" s="82" t="s">
        <v>8044</v>
      </c>
    </row>
    <row r="7074" spans="5:5" x14ac:dyDescent="0.25">
      <c r="E7074" s="82" t="s">
        <v>8045</v>
      </c>
    </row>
    <row r="7075" spans="5:5" x14ac:dyDescent="0.25">
      <c r="E7075" s="82" t="s">
        <v>8046</v>
      </c>
    </row>
    <row r="7076" spans="5:5" x14ac:dyDescent="0.25">
      <c r="E7076" s="82" t="s">
        <v>8047</v>
      </c>
    </row>
    <row r="7077" spans="5:5" x14ac:dyDescent="0.25">
      <c r="E7077" s="82" t="s">
        <v>8048</v>
      </c>
    </row>
    <row r="7078" spans="5:5" x14ac:dyDescent="0.25">
      <c r="E7078" s="82" t="s">
        <v>8049</v>
      </c>
    </row>
    <row r="7079" spans="5:5" x14ac:dyDescent="0.25">
      <c r="E7079" s="82" t="s">
        <v>8050</v>
      </c>
    </row>
    <row r="7080" spans="5:5" x14ac:dyDescent="0.25">
      <c r="E7080" s="82" t="s">
        <v>8051</v>
      </c>
    </row>
    <row r="7081" spans="5:5" x14ac:dyDescent="0.25">
      <c r="E7081" s="82" t="s">
        <v>8052</v>
      </c>
    </row>
    <row r="7082" spans="5:5" x14ac:dyDescent="0.25">
      <c r="E7082" s="82" t="s">
        <v>8053</v>
      </c>
    </row>
    <row r="7083" spans="5:5" x14ac:dyDescent="0.25">
      <c r="E7083" s="82" t="s">
        <v>8054</v>
      </c>
    </row>
    <row r="7084" spans="5:5" x14ac:dyDescent="0.25">
      <c r="E7084" s="82" t="s">
        <v>8055</v>
      </c>
    </row>
    <row r="7085" spans="5:5" x14ac:dyDescent="0.25">
      <c r="E7085" s="82" t="s">
        <v>8056</v>
      </c>
    </row>
    <row r="7086" spans="5:5" x14ac:dyDescent="0.25">
      <c r="E7086" s="82" t="s">
        <v>8057</v>
      </c>
    </row>
    <row r="7087" spans="5:5" x14ac:dyDescent="0.25">
      <c r="E7087" s="82" t="s">
        <v>8058</v>
      </c>
    </row>
    <row r="7088" spans="5:5" x14ac:dyDescent="0.25">
      <c r="E7088" s="82" t="s">
        <v>8059</v>
      </c>
    </row>
    <row r="7089" spans="5:5" x14ac:dyDescent="0.25">
      <c r="E7089" s="82" t="s">
        <v>8060</v>
      </c>
    </row>
    <row r="7090" spans="5:5" x14ac:dyDescent="0.25">
      <c r="E7090" s="82" t="s">
        <v>8061</v>
      </c>
    </row>
    <row r="7091" spans="5:5" x14ac:dyDescent="0.25">
      <c r="E7091" s="82" t="s">
        <v>8062</v>
      </c>
    </row>
    <row r="7092" spans="5:5" x14ac:dyDescent="0.25">
      <c r="E7092" s="82" t="s">
        <v>8063</v>
      </c>
    </row>
    <row r="7093" spans="5:5" x14ac:dyDescent="0.25">
      <c r="E7093" s="82" t="s">
        <v>8064</v>
      </c>
    </row>
    <row r="7094" spans="5:5" x14ac:dyDescent="0.25">
      <c r="E7094" s="82" t="s">
        <v>8065</v>
      </c>
    </row>
    <row r="7095" spans="5:5" x14ac:dyDescent="0.25">
      <c r="E7095" s="82" t="s">
        <v>8066</v>
      </c>
    </row>
    <row r="7096" spans="5:5" x14ac:dyDescent="0.25">
      <c r="E7096" s="82" t="s">
        <v>8067</v>
      </c>
    </row>
    <row r="7097" spans="5:5" x14ac:dyDescent="0.25">
      <c r="E7097" s="82" t="s">
        <v>8068</v>
      </c>
    </row>
    <row r="7098" spans="5:5" x14ac:dyDescent="0.25">
      <c r="E7098" s="82" t="s">
        <v>8069</v>
      </c>
    </row>
    <row r="7099" spans="5:5" x14ac:dyDescent="0.25">
      <c r="E7099" s="82" t="s">
        <v>8070</v>
      </c>
    </row>
    <row r="7100" spans="5:5" x14ac:dyDescent="0.25">
      <c r="E7100" s="82" t="s">
        <v>8071</v>
      </c>
    </row>
    <row r="7101" spans="5:5" x14ac:dyDescent="0.25">
      <c r="E7101" s="82" t="s">
        <v>8072</v>
      </c>
    </row>
    <row r="7102" spans="5:5" x14ac:dyDescent="0.25">
      <c r="E7102" s="82" t="s">
        <v>8073</v>
      </c>
    </row>
    <row r="7103" spans="5:5" x14ac:dyDescent="0.25">
      <c r="E7103" s="82" t="s">
        <v>8074</v>
      </c>
    </row>
    <row r="7104" spans="5:5" x14ac:dyDescent="0.25">
      <c r="E7104" s="82" t="s">
        <v>8075</v>
      </c>
    </row>
    <row r="7105" spans="5:5" x14ac:dyDescent="0.25">
      <c r="E7105" s="82" t="s">
        <v>8076</v>
      </c>
    </row>
    <row r="7106" spans="5:5" x14ac:dyDescent="0.25">
      <c r="E7106" s="82" t="s">
        <v>8077</v>
      </c>
    </row>
    <row r="7107" spans="5:5" x14ac:dyDescent="0.25">
      <c r="E7107" s="82" t="s">
        <v>8078</v>
      </c>
    </row>
    <row r="7108" spans="5:5" x14ac:dyDescent="0.25">
      <c r="E7108" s="82" t="s">
        <v>8079</v>
      </c>
    </row>
    <row r="7109" spans="5:5" x14ac:dyDescent="0.25">
      <c r="E7109" s="82" t="s">
        <v>8080</v>
      </c>
    </row>
    <row r="7110" spans="5:5" x14ac:dyDescent="0.25">
      <c r="E7110" s="82" t="s">
        <v>8081</v>
      </c>
    </row>
    <row r="7111" spans="5:5" x14ac:dyDescent="0.25">
      <c r="E7111" s="82" t="s">
        <v>8082</v>
      </c>
    </row>
    <row r="7112" spans="5:5" x14ac:dyDescent="0.25">
      <c r="E7112" s="82" t="s">
        <v>8083</v>
      </c>
    </row>
    <row r="7113" spans="5:5" x14ac:dyDescent="0.25">
      <c r="E7113" s="82" t="s">
        <v>8084</v>
      </c>
    </row>
    <row r="7114" spans="5:5" x14ac:dyDescent="0.25">
      <c r="E7114" s="82" t="s">
        <v>8085</v>
      </c>
    </row>
    <row r="7115" spans="5:5" x14ac:dyDescent="0.25">
      <c r="E7115" s="82" t="s">
        <v>8086</v>
      </c>
    </row>
    <row r="7116" spans="5:5" x14ac:dyDescent="0.25">
      <c r="E7116" s="82" t="s">
        <v>8087</v>
      </c>
    </row>
    <row r="7117" spans="5:5" x14ac:dyDescent="0.25">
      <c r="E7117" s="82" t="s">
        <v>8088</v>
      </c>
    </row>
    <row r="7118" spans="5:5" x14ac:dyDescent="0.25">
      <c r="E7118" s="82" t="s">
        <v>8089</v>
      </c>
    </row>
    <row r="7119" spans="5:5" x14ac:dyDescent="0.25">
      <c r="E7119" s="82" t="s">
        <v>8090</v>
      </c>
    </row>
    <row r="7120" spans="5:5" x14ac:dyDescent="0.25">
      <c r="E7120" s="82" t="s">
        <v>8091</v>
      </c>
    </row>
    <row r="7121" spans="5:5" x14ac:dyDescent="0.25">
      <c r="E7121" s="82" t="s">
        <v>8092</v>
      </c>
    </row>
    <row r="7122" spans="5:5" x14ac:dyDescent="0.25">
      <c r="E7122" s="82" t="s">
        <v>8093</v>
      </c>
    </row>
    <row r="7123" spans="5:5" x14ac:dyDescent="0.25">
      <c r="E7123" s="82" t="s">
        <v>8094</v>
      </c>
    </row>
    <row r="7124" spans="5:5" x14ac:dyDescent="0.25">
      <c r="E7124" s="82" t="s">
        <v>8095</v>
      </c>
    </row>
    <row r="7125" spans="5:5" x14ac:dyDescent="0.25">
      <c r="E7125" s="82" t="s">
        <v>8096</v>
      </c>
    </row>
    <row r="7126" spans="5:5" x14ac:dyDescent="0.25">
      <c r="E7126" s="82" t="s">
        <v>8097</v>
      </c>
    </row>
    <row r="7127" spans="5:5" x14ac:dyDescent="0.25">
      <c r="E7127" s="82" t="s">
        <v>8098</v>
      </c>
    </row>
    <row r="7128" spans="5:5" x14ac:dyDescent="0.25">
      <c r="E7128" s="82" t="s">
        <v>8099</v>
      </c>
    </row>
    <row r="7129" spans="5:5" x14ac:dyDescent="0.25">
      <c r="E7129" s="82" t="s">
        <v>8100</v>
      </c>
    </row>
    <row r="7130" spans="5:5" x14ac:dyDescent="0.25">
      <c r="E7130" s="82" t="s">
        <v>8101</v>
      </c>
    </row>
    <row r="7131" spans="5:5" x14ac:dyDescent="0.25">
      <c r="E7131" s="82" t="s">
        <v>8102</v>
      </c>
    </row>
    <row r="7132" spans="5:5" x14ac:dyDescent="0.25">
      <c r="E7132" s="82" t="s">
        <v>8103</v>
      </c>
    </row>
    <row r="7133" spans="5:5" x14ac:dyDescent="0.25">
      <c r="E7133" s="82" t="s">
        <v>8104</v>
      </c>
    </row>
    <row r="7134" spans="5:5" x14ac:dyDescent="0.25">
      <c r="E7134" s="82" t="s">
        <v>8105</v>
      </c>
    </row>
    <row r="7135" spans="5:5" x14ac:dyDescent="0.25">
      <c r="E7135" s="82" t="s">
        <v>8106</v>
      </c>
    </row>
    <row r="7136" spans="5:5" x14ac:dyDescent="0.25">
      <c r="E7136" s="82" t="s">
        <v>8107</v>
      </c>
    </row>
    <row r="7137" spans="5:5" x14ac:dyDescent="0.25">
      <c r="E7137" s="82" t="s">
        <v>8108</v>
      </c>
    </row>
    <row r="7138" spans="5:5" x14ac:dyDescent="0.25">
      <c r="E7138" s="82" t="s">
        <v>8109</v>
      </c>
    </row>
    <row r="7139" spans="5:5" x14ac:dyDescent="0.25">
      <c r="E7139" s="82" t="s">
        <v>8110</v>
      </c>
    </row>
    <row r="7140" spans="5:5" x14ac:dyDescent="0.25">
      <c r="E7140" s="82" t="s">
        <v>8111</v>
      </c>
    </row>
    <row r="7141" spans="5:5" x14ac:dyDescent="0.25">
      <c r="E7141" s="82" t="s">
        <v>8112</v>
      </c>
    </row>
    <row r="7142" spans="5:5" x14ac:dyDescent="0.25">
      <c r="E7142" s="82" t="s">
        <v>8113</v>
      </c>
    </row>
    <row r="7143" spans="5:5" x14ac:dyDescent="0.25">
      <c r="E7143" s="82" t="s">
        <v>8114</v>
      </c>
    </row>
    <row r="7144" spans="5:5" x14ac:dyDescent="0.25">
      <c r="E7144" s="82" t="s">
        <v>8115</v>
      </c>
    </row>
    <row r="7145" spans="5:5" x14ac:dyDescent="0.25">
      <c r="E7145" s="82" t="s">
        <v>8116</v>
      </c>
    </row>
    <row r="7146" spans="5:5" x14ac:dyDescent="0.25">
      <c r="E7146" s="82" t="s">
        <v>8117</v>
      </c>
    </row>
    <row r="7147" spans="5:5" x14ac:dyDescent="0.25">
      <c r="E7147" s="82" t="s">
        <v>8118</v>
      </c>
    </row>
    <row r="7148" spans="5:5" x14ac:dyDescent="0.25">
      <c r="E7148" s="82" t="s">
        <v>8119</v>
      </c>
    </row>
    <row r="7149" spans="5:5" x14ac:dyDescent="0.25">
      <c r="E7149" s="82" t="s">
        <v>8120</v>
      </c>
    </row>
    <row r="7150" spans="5:5" x14ac:dyDescent="0.25">
      <c r="E7150" s="82" t="s">
        <v>8121</v>
      </c>
    </row>
    <row r="7151" spans="5:5" x14ac:dyDescent="0.25">
      <c r="E7151" s="82" t="s">
        <v>8122</v>
      </c>
    </row>
    <row r="7152" spans="5:5" x14ac:dyDescent="0.25">
      <c r="E7152" s="82" t="s">
        <v>8123</v>
      </c>
    </row>
    <row r="7153" spans="5:5" x14ac:dyDescent="0.25">
      <c r="E7153" s="82" t="s">
        <v>8124</v>
      </c>
    </row>
    <row r="7154" spans="5:5" x14ac:dyDescent="0.25">
      <c r="E7154" s="82" t="s">
        <v>8125</v>
      </c>
    </row>
    <row r="7155" spans="5:5" x14ac:dyDescent="0.25">
      <c r="E7155" s="82" t="s">
        <v>8126</v>
      </c>
    </row>
    <row r="7156" spans="5:5" x14ac:dyDescent="0.25">
      <c r="E7156" s="82" t="s">
        <v>8127</v>
      </c>
    </row>
    <row r="7157" spans="5:5" x14ac:dyDescent="0.25">
      <c r="E7157" s="82" t="s">
        <v>8128</v>
      </c>
    </row>
    <row r="7158" spans="5:5" x14ac:dyDescent="0.25">
      <c r="E7158" s="82" t="s">
        <v>8129</v>
      </c>
    </row>
    <row r="7159" spans="5:5" x14ac:dyDescent="0.25">
      <c r="E7159" s="82" t="s">
        <v>8130</v>
      </c>
    </row>
    <row r="7160" spans="5:5" x14ac:dyDescent="0.25">
      <c r="E7160" s="82" t="s">
        <v>8131</v>
      </c>
    </row>
    <row r="7161" spans="5:5" x14ac:dyDescent="0.25">
      <c r="E7161" s="82" t="s">
        <v>8132</v>
      </c>
    </row>
    <row r="7162" spans="5:5" x14ac:dyDescent="0.25">
      <c r="E7162" s="82" t="s">
        <v>8133</v>
      </c>
    </row>
    <row r="7163" spans="5:5" x14ac:dyDescent="0.25">
      <c r="E7163" s="82" t="s">
        <v>8134</v>
      </c>
    </row>
    <row r="7164" spans="5:5" x14ac:dyDescent="0.25">
      <c r="E7164" s="82" t="s">
        <v>8135</v>
      </c>
    </row>
    <row r="7165" spans="5:5" x14ac:dyDescent="0.25">
      <c r="E7165" s="82" t="s">
        <v>8136</v>
      </c>
    </row>
    <row r="7166" spans="5:5" x14ac:dyDescent="0.25">
      <c r="E7166" s="82" t="s">
        <v>8137</v>
      </c>
    </row>
    <row r="7167" spans="5:5" x14ac:dyDescent="0.25">
      <c r="E7167" s="82" t="s">
        <v>8138</v>
      </c>
    </row>
    <row r="7168" spans="5:5" x14ac:dyDescent="0.25">
      <c r="E7168" s="82" t="s">
        <v>8139</v>
      </c>
    </row>
    <row r="7169" spans="5:5" x14ac:dyDescent="0.25">
      <c r="E7169" s="82" t="s">
        <v>8140</v>
      </c>
    </row>
    <row r="7170" spans="5:5" x14ac:dyDescent="0.25">
      <c r="E7170" s="82" t="s">
        <v>8141</v>
      </c>
    </row>
    <row r="7171" spans="5:5" x14ac:dyDescent="0.25">
      <c r="E7171" s="82" t="s">
        <v>8142</v>
      </c>
    </row>
    <row r="7172" spans="5:5" x14ac:dyDescent="0.25">
      <c r="E7172" s="82" t="s">
        <v>8143</v>
      </c>
    </row>
    <row r="7173" spans="5:5" x14ac:dyDescent="0.25">
      <c r="E7173" s="82" t="s">
        <v>8144</v>
      </c>
    </row>
    <row r="7174" spans="5:5" x14ac:dyDescent="0.25">
      <c r="E7174" s="82" t="s">
        <v>8145</v>
      </c>
    </row>
    <row r="7175" spans="5:5" x14ac:dyDescent="0.25">
      <c r="E7175" s="82" t="s">
        <v>8146</v>
      </c>
    </row>
    <row r="7176" spans="5:5" x14ac:dyDescent="0.25">
      <c r="E7176" s="82" t="s">
        <v>8147</v>
      </c>
    </row>
    <row r="7177" spans="5:5" x14ac:dyDescent="0.25">
      <c r="E7177" s="82" t="s">
        <v>8148</v>
      </c>
    </row>
    <row r="7178" spans="5:5" x14ac:dyDescent="0.25">
      <c r="E7178" s="82" t="s">
        <v>8149</v>
      </c>
    </row>
    <row r="7179" spans="5:5" x14ac:dyDescent="0.25">
      <c r="E7179" s="82" t="s">
        <v>8150</v>
      </c>
    </row>
    <row r="7180" spans="5:5" x14ac:dyDescent="0.25">
      <c r="E7180" s="82" t="s">
        <v>8151</v>
      </c>
    </row>
    <row r="7181" spans="5:5" x14ac:dyDescent="0.25">
      <c r="E7181" s="82" t="s">
        <v>8152</v>
      </c>
    </row>
    <row r="7182" spans="5:5" x14ac:dyDescent="0.25">
      <c r="E7182" s="82" t="s">
        <v>8153</v>
      </c>
    </row>
    <row r="7183" spans="5:5" x14ac:dyDescent="0.25">
      <c r="E7183" s="82" t="s">
        <v>8154</v>
      </c>
    </row>
    <row r="7184" spans="5:5" x14ac:dyDescent="0.25">
      <c r="E7184" s="82" t="s">
        <v>8155</v>
      </c>
    </row>
    <row r="7185" spans="5:5" x14ac:dyDescent="0.25">
      <c r="E7185" s="82" t="s">
        <v>8156</v>
      </c>
    </row>
    <row r="7186" spans="5:5" x14ac:dyDescent="0.25">
      <c r="E7186" s="82" t="s">
        <v>8157</v>
      </c>
    </row>
    <row r="7187" spans="5:5" x14ac:dyDescent="0.25">
      <c r="E7187" s="82" t="s">
        <v>8158</v>
      </c>
    </row>
    <row r="7188" spans="5:5" x14ac:dyDescent="0.25">
      <c r="E7188" s="82" t="s">
        <v>8159</v>
      </c>
    </row>
    <row r="7189" spans="5:5" x14ac:dyDescent="0.25">
      <c r="E7189" s="82" t="s">
        <v>8160</v>
      </c>
    </row>
    <row r="7190" spans="5:5" x14ac:dyDescent="0.25">
      <c r="E7190" s="82" t="s">
        <v>8161</v>
      </c>
    </row>
    <row r="7191" spans="5:5" x14ac:dyDescent="0.25">
      <c r="E7191" s="82" t="s">
        <v>8162</v>
      </c>
    </row>
    <row r="7192" spans="5:5" x14ac:dyDescent="0.25">
      <c r="E7192" s="82" t="s">
        <v>8163</v>
      </c>
    </row>
    <row r="7193" spans="5:5" x14ac:dyDescent="0.25">
      <c r="E7193" s="82" t="s">
        <v>8164</v>
      </c>
    </row>
    <row r="7194" spans="5:5" x14ac:dyDescent="0.25">
      <c r="E7194" s="82" t="s">
        <v>8165</v>
      </c>
    </row>
    <row r="7195" spans="5:5" x14ac:dyDescent="0.25">
      <c r="E7195" s="82" t="s">
        <v>8166</v>
      </c>
    </row>
    <row r="7196" spans="5:5" x14ac:dyDescent="0.25">
      <c r="E7196" s="82" t="s">
        <v>8167</v>
      </c>
    </row>
    <row r="7197" spans="5:5" x14ac:dyDescent="0.25">
      <c r="E7197" s="82" t="s">
        <v>8168</v>
      </c>
    </row>
    <row r="7198" spans="5:5" x14ac:dyDescent="0.25">
      <c r="E7198" s="82" t="s">
        <v>8169</v>
      </c>
    </row>
    <row r="7199" spans="5:5" x14ac:dyDescent="0.25">
      <c r="E7199" s="82" t="s">
        <v>8170</v>
      </c>
    </row>
    <row r="7200" spans="5:5" x14ac:dyDescent="0.25">
      <c r="E7200" s="82" t="s">
        <v>8171</v>
      </c>
    </row>
    <row r="7201" spans="5:5" x14ac:dyDescent="0.25">
      <c r="E7201" s="82" t="s">
        <v>8172</v>
      </c>
    </row>
    <row r="7202" spans="5:5" x14ac:dyDescent="0.25">
      <c r="E7202" s="82" t="s">
        <v>8173</v>
      </c>
    </row>
    <row r="7203" spans="5:5" x14ac:dyDescent="0.25">
      <c r="E7203" s="82" t="s">
        <v>8174</v>
      </c>
    </row>
    <row r="7204" spans="5:5" x14ac:dyDescent="0.25">
      <c r="E7204" s="82" t="s">
        <v>8175</v>
      </c>
    </row>
    <row r="7205" spans="5:5" x14ac:dyDescent="0.25">
      <c r="E7205" s="82" t="s">
        <v>8176</v>
      </c>
    </row>
    <row r="7206" spans="5:5" x14ac:dyDescent="0.25">
      <c r="E7206" s="82" t="s">
        <v>8177</v>
      </c>
    </row>
    <row r="7207" spans="5:5" x14ac:dyDescent="0.25">
      <c r="E7207" s="82" t="s">
        <v>8178</v>
      </c>
    </row>
    <row r="7208" spans="5:5" x14ac:dyDescent="0.25">
      <c r="E7208" s="82" t="s">
        <v>8179</v>
      </c>
    </row>
    <row r="7209" spans="5:5" x14ac:dyDescent="0.25">
      <c r="E7209" s="82" t="s">
        <v>8180</v>
      </c>
    </row>
    <row r="7210" spans="5:5" x14ac:dyDescent="0.25">
      <c r="E7210" s="82" t="s">
        <v>8181</v>
      </c>
    </row>
    <row r="7211" spans="5:5" x14ac:dyDescent="0.25">
      <c r="E7211" s="82" t="s">
        <v>8182</v>
      </c>
    </row>
    <row r="7212" spans="5:5" x14ac:dyDescent="0.25">
      <c r="E7212" s="82" t="s">
        <v>8183</v>
      </c>
    </row>
    <row r="7213" spans="5:5" x14ac:dyDescent="0.25">
      <c r="E7213" s="82" t="s">
        <v>8184</v>
      </c>
    </row>
    <row r="7214" spans="5:5" x14ac:dyDescent="0.25">
      <c r="E7214" s="82" t="s">
        <v>8185</v>
      </c>
    </row>
    <row r="7215" spans="5:5" x14ac:dyDescent="0.25">
      <c r="E7215" s="82" t="s">
        <v>8186</v>
      </c>
    </row>
    <row r="7216" spans="5:5" x14ac:dyDescent="0.25">
      <c r="E7216" s="82" t="s">
        <v>8187</v>
      </c>
    </row>
    <row r="7217" spans="5:5" x14ac:dyDescent="0.25">
      <c r="E7217" s="82" t="s">
        <v>8188</v>
      </c>
    </row>
    <row r="7218" spans="5:5" x14ac:dyDescent="0.25">
      <c r="E7218" s="82" t="s">
        <v>8189</v>
      </c>
    </row>
    <row r="7219" spans="5:5" x14ac:dyDescent="0.25">
      <c r="E7219" s="82" t="s">
        <v>8190</v>
      </c>
    </row>
    <row r="7220" spans="5:5" x14ac:dyDescent="0.25">
      <c r="E7220" s="82" t="s">
        <v>8191</v>
      </c>
    </row>
    <row r="7221" spans="5:5" x14ac:dyDescent="0.25">
      <c r="E7221" s="82" t="s">
        <v>8192</v>
      </c>
    </row>
    <row r="7222" spans="5:5" x14ac:dyDescent="0.25">
      <c r="E7222" s="82" t="s">
        <v>8193</v>
      </c>
    </row>
    <row r="7223" spans="5:5" x14ac:dyDescent="0.25">
      <c r="E7223" s="82" t="s">
        <v>8194</v>
      </c>
    </row>
    <row r="7224" spans="5:5" x14ac:dyDescent="0.25">
      <c r="E7224" s="82" t="s">
        <v>8195</v>
      </c>
    </row>
    <row r="7225" spans="5:5" x14ac:dyDescent="0.25">
      <c r="E7225" s="82" t="s">
        <v>8196</v>
      </c>
    </row>
    <row r="7226" spans="5:5" x14ac:dyDescent="0.25">
      <c r="E7226" s="82" t="s">
        <v>8197</v>
      </c>
    </row>
    <row r="7227" spans="5:5" x14ac:dyDescent="0.25">
      <c r="E7227" s="82" t="s">
        <v>8198</v>
      </c>
    </row>
    <row r="7228" spans="5:5" x14ac:dyDescent="0.25">
      <c r="E7228" s="82" t="s">
        <v>8199</v>
      </c>
    </row>
    <row r="7229" spans="5:5" x14ac:dyDescent="0.25">
      <c r="E7229" s="82" t="s">
        <v>8200</v>
      </c>
    </row>
    <row r="7230" spans="5:5" x14ac:dyDescent="0.25">
      <c r="E7230" s="82" t="s">
        <v>8201</v>
      </c>
    </row>
    <row r="7231" spans="5:5" x14ac:dyDescent="0.25">
      <c r="E7231" s="82" t="s">
        <v>8202</v>
      </c>
    </row>
    <row r="7232" spans="5:5" x14ac:dyDescent="0.25">
      <c r="E7232" s="82" t="s">
        <v>8203</v>
      </c>
    </row>
    <row r="7233" spans="5:5" x14ac:dyDescent="0.25">
      <c r="E7233" s="82" t="s">
        <v>8204</v>
      </c>
    </row>
    <row r="7234" spans="5:5" x14ac:dyDescent="0.25">
      <c r="E7234" s="82" t="s">
        <v>8205</v>
      </c>
    </row>
    <row r="7235" spans="5:5" x14ac:dyDescent="0.25">
      <c r="E7235" s="82" t="s">
        <v>8206</v>
      </c>
    </row>
    <row r="7236" spans="5:5" x14ac:dyDescent="0.25">
      <c r="E7236" s="82" t="s">
        <v>8207</v>
      </c>
    </row>
    <row r="7237" spans="5:5" x14ac:dyDescent="0.25">
      <c r="E7237" s="82" t="s">
        <v>8208</v>
      </c>
    </row>
    <row r="7238" spans="5:5" x14ac:dyDescent="0.25">
      <c r="E7238" s="82" t="s">
        <v>8209</v>
      </c>
    </row>
    <row r="7239" spans="5:5" x14ac:dyDescent="0.25">
      <c r="E7239" s="82" t="s">
        <v>8210</v>
      </c>
    </row>
    <row r="7240" spans="5:5" x14ac:dyDescent="0.25">
      <c r="E7240" s="82" t="s">
        <v>8211</v>
      </c>
    </row>
    <row r="7241" spans="5:5" x14ac:dyDescent="0.25">
      <c r="E7241" s="82" t="s">
        <v>8212</v>
      </c>
    </row>
    <row r="7242" spans="5:5" x14ac:dyDescent="0.25">
      <c r="E7242" s="82" t="s">
        <v>8213</v>
      </c>
    </row>
    <row r="7243" spans="5:5" x14ac:dyDescent="0.25">
      <c r="E7243" s="82" t="s">
        <v>8214</v>
      </c>
    </row>
    <row r="7244" spans="5:5" x14ac:dyDescent="0.25">
      <c r="E7244" s="82" t="s">
        <v>8215</v>
      </c>
    </row>
    <row r="7245" spans="5:5" x14ac:dyDescent="0.25">
      <c r="E7245" s="82" t="s">
        <v>8216</v>
      </c>
    </row>
    <row r="7246" spans="5:5" x14ac:dyDescent="0.25">
      <c r="E7246" s="82" t="s">
        <v>8217</v>
      </c>
    </row>
    <row r="7247" spans="5:5" x14ac:dyDescent="0.25">
      <c r="E7247" s="82" t="s">
        <v>8218</v>
      </c>
    </row>
    <row r="7248" spans="5:5" x14ac:dyDescent="0.25">
      <c r="E7248" s="82" t="s">
        <v>8219</v>
      </c>
    </row>
    <row r="7249" spans="5:5" x14ac:dyDescent="0.25">
      <c r="E7249" s="82" t="s">
        <v>8220</v>
      </c>
    </row>
    <row r="7250" spans="5:5" x14ac:dyDescent="0.25">
      <c r="E7250" s="82" t="s">
        <v>8221</v>
      </c>
    </row>
    <row r="7251" spans="5:5" x14ac:dyDescent="0.25">
      <c r="E7251" s="82" t="s">
        <v>8222</v>
      </c>
    </row>
    <row r="7252" spans="5:5" x14ac:dyDescent="0.25">
      <c r="E7252" s="82" t="s">
        <v>8223</v>
      </c>
    </row>
    <row r="7253" spans="5:5" x14ac:dyDescent="0.25">
      <c r="E7253" s="82" t="s">
        <v>8224</v>
      </c>
    </row>
    <row r="7254" spans="5:5" x14ac:dyDescent="0.25">
      <c r="E7254" s="82" t="s">
        <v>8225</v>
      </c>
    </row>
    <row r="7255" spans="5:5" x14ac:dyDescent="0.25">
      <c r="E7255" s="82" t="s">
        <v>8226</v>
      </c>
    </row>
    <row r="7256" spans="5:5" x14ac:dyDescent="0.25">
      <c r="E7256" s="82" t="s">
        <v>8227</v>
      </c>
    </row>
    <row r="7257" spans="5:5" x14ac:dyDescent="0.25">
      <c r="E7257" s="82" t="s">
        <v>8228</v>
      </c>
    </row>
    <row r="7258" spans="5:5" x14ac:dyDescent="0.25">
      <c r="E7258" s="82" t="s">
        <v>8229</v>
      </c>
    </row>
    <row r="7259" spans="5:5" x14ac:dyDescent="0.25">
      <c r="E7259" s="82" t="s">
        <v>8230</v>
      </c>
    </row>
    <row r="7260" spans="5:5" x14ac:dyDescent="0.25">
      <c r="E7260" s="82" t="s">
        <v>8231</v>
      </c>
    </row>
    <row r="7261" spans="5:5" x14ac:dyDescent="0.25">
      <c r="E7261" s="82" t="s">
        <v>8232</v>
      </c>
    </row>
    <row r="7262" spans="5:5" x14ac:dyDescent="0.25">
      <c r="E7262" s="82" t="s">
        <v>8233</v>
      </c>
    </row>
    <row r="7263" spans="5:5" x14ac:dyDescent="0.25">
      <c r="E7263" s="82" t="s">
        <v>8234</v>
      </c>
    </row>
    <row r="7264" spans="5:5" x14ac:dyDescent="0.25">
      <c r="E7264" s="82" t="s">
        <v>8235</v>
      </c>
    </row>
    <row r="7265" spans="5:5" x14ac:dyDescent="0.25">
      <c r="E7265" s="82" t="s">
        <v>8236</v>
      </c>
    </row>
    <row r="7266" spans="5:5" x14ac:dyDescent="0.25">
      <c r="E7266" s="82" t="s">
        <v>8237</v>
      </c>
    </row>
    <row r="7267" spans="5:5" x14ac:dyDescent="0.25">
      <c r="E7267" s="82" t="s">
        <v>8238</v>
      </c>
    </row>
    <row r="7268" spans="5:5" x14ac:dyDescent="0.25">
      <c r="E7268" s="82" t="s">
        <v>8239</v>
      </c>
    </row>
    <row r="7269" spans="5:5" x14ac:dyDescent="0.25">
      <c r="E7269" s="82" t="s">
        <v>8240</v>
      </c>
    </row>
    <row r="7270" spans="5:5" x14ac:dyDescent="0.25">
      <c r="E7270" s="82" t="s">
        <v>8241</v>
      </c>
    </row>
    <row r="7271" spans="5:5" x14ac:dyDescent="0.25">
      <c r="E7271" s="82" t="s">
        <v>8242</v>
      </c>
    </row>
    <row r="7272" spans="5:5" x14ac:dyDescent="0.25">
      <c r="E7272" s="82" t="s">
        <v>8243</v>
      </c>
    </row>
    <row r="7273" spans="5:5" x14ac:dyDescent="0.25">
      <c r="E7273" s="82" t="s">
        <v>8244</v>
      </c>
    </row>
    <row r="7274" spans="5:5" x14ac:dyDescent="0.25">
      <c r="E7274" s="82" t="s">
        <v>8245</v>
      </c>
    </row>
    <row r="7275" spans="5:5" x14ac:dyDescent="0.25">
      <c r="E7275" s="82" t="s">
        <v>8246</v>
      </c>
    </row>
    <row r="7276" spans="5:5" x14ac:dyDescent="0.25">
      <c r="E7276" s="82" t="s">
        <v>8247</v>
      </c>
    </row>
    <row r="7277" spans="5:5" x14ac:dyDescent="0.25">
      <c r="E7277" s="82" t="s">
        <v>8248</v>
      </c>
    </row>
    <row r="7278" spans="5:5" x14ac:dyDescent="0.25">
      <c r="E7278" s="82" t="s">
        <v>8249</v>
      </c>
    </row>
    <row r="7279" spans="5:5" x14ac:dyDescent="0.25">
      <c r="E7279" s="82" t="s">
        <v>8250</v>
      </c>
    </row>
    <row r="7280" spans="5:5" x14ac:dyDescent="0.25">
      <c r="E7280" s="82" t="s">
        <v>8251</v>
      </c>
    </row>
    <row r="7281" spans="5:5" x14ac:dyDescent="0.25">
      <c r="E7281" s="82" t="s">
        <v>8252</v>
      </c>
    </row>
    <row r="7282" spans="5:5" x14ac:dyDescent="0.25">
      <c r="E7282" s="82" t="s">
        <v>8253</v>
      </c>
    </row>
    <row r="7283" spans="5:5" x14ac:dyDescent="0.25">
      <c r="E7283" s="82" t="s">
        <v>8254</v>
      </c>
    </row>
    <row r="7284" spans="5:5" x14ac:dyDescent="0.25">
      <c r="E7284" s="82" t="s">
        <v>8255</v>
      </c>
    </row>
    <row r="7285" spans="5:5" x14ac:dyDescent="0.25">
      <c r="E7285" s="82" t="s">
        <v>8256</v>
      </c>
    </row>
    <row r="7286" spans="5:5" x14ac:dyDescent="0.25">
      <c r="E7286" s="82" t="s">
        <v>8257</v>
      </c>
    </row>
    <row r="7287" spans="5:5" x14ac:dyDescent="0.25">
      <c r="E7287" s="82" t="s">
        <v>8258</v>
      </c>
    </row>
    <row r="7288" spans="5:5" x14ac:dyDescent="0.25">
      <c r="E7288" s="82" t="s">
        <v>8259</v>
      </c>
    </row>
    <row r="7289" spans="5:5" x14ac:dyDescent="0.25">
      <c r="E7289" s="82" t="s">
        <v>8260</v>
      </c>
    </row>
    <row r="7290" spans="5:5" x14ac:dyDescent="0.25">
      <c r="E7290" s="82" t="s">
        <v>8261</v>
      </c>
    </row>
    <row r="7291" spans="5:5" x14ac:dyDescent="0.25">
      <c r="E7291" s="82" t="s">
        <v>8262</v>
      </c>
    </row>
    <row r="7292" spans="5:5" x14ac:dyDescent="0.25">
      <c r="E7292" s="82" t="s">
        <v>8263</v>
      </c>
    </row>
    <row r="7293" spans="5:5" x14ac:dyDescent="0.25">
      <c r="E7293" s="82" t="s">
        <v>8264</v>
      </c>
    </row>
    <row r="7294" spans="5:5" x14ac:dyDescent="0.25">
      <c r="E7294" s="82" t="s">
        <v>8265</v>
      </c>
    </row>
    <row r="7295" spans="5:5" x14ac:dyDescent="0.25">
      <c r="E7295" s="82" t="s">
        <v>8266</v>
      </c>
    </row>
    <row r="7296" spans="5:5" x14ac:dyDescent="0.25">
      <c r="E7296" s="82" t="s">
        <v>8267</v>
      </c>
    </row>
    <row r="7297" spans="5:5" x14ac:dyDescent="0.25">
      <c r="E7297" s="82" t="s">
        <v>8268</v>
      </c>
    </row>
    <row r="7298" spans="5:5" x14ac:dyDescent="0.25">
      <c r="E7298" s="82" t="s">
        <v>8269</v>
      </c>
    </row>
    <row r="7299" spans="5:5" x14ac:dyDescent="0.25">
      <c r="E7299" s="82" t="s">
        <v>8270</v>
      </c>
    </row>
    <row r="7300" spans="5:5" x14ac:dyDescent="0.25">
      <c r="E7300" s="82" t="s">
        <v>8271</v>
      </c>
    </row>
    <row r="7301" spans="5:5" x14ac:dyDescent="0.25">
      <c r="E7301" s="82" t="s">
        <v>8272</v>
      </c>
    </row>
    <row r="7302" spans="5:5" x14ac:dyDescent="0.25">
      <c r="E7302" s="82" t="s">
        <v>8273</v>
      </c>
    </row>
    <row r="7303" spans="5:5" x14ac:dyDescent="0.25">
      <c r="E7303" s="82" t="s">
        <v>8274</v>
      </c>
    </row>
    <row r="7304" spans="5:5" x14ac:dyDescent="0.25">
      <c r="E7304" s="82" t="s">
        <v>8275</v>
      </c>
    </row>
    <row r="7305" spans="5:5" x14ac:dyDescent="0.25">
      <c r="E7305" s="82" t="s">
        <v>8276</v>
      </c>
    </row>
    <row r="7306" spans="5:5" x14ac:dyDescent="0.25">
      <c r="E7306" s="82" t="s">
        <v>8277</v>
      </c>
    </row>
    <row r="7307" spans="5:5" x14ac:dyDescent="0.25">
      <c r="E7307" s="82" t="s">
        <v>8278</v>
      </c>
    </row>
    <row r="7308" spans="5:5" x14ac:dyDescent="0.25">
      <c r="E7308" s="82" t="s">
        <v>8279</v>
      </c>
    </row>
    <row r="7309" spans="5:5" x14ac:dyDescent="0.25">
      <c r="E7309" s="82" t="s">
        <v>8280</v>
      </c>
    </row>
    <row r="7310" spans="5:5" x14ac:dyDescent="0.25">
      <c r="E7310" s="82" t="s">
        <v>8281</v>
      </c>
    </row>
    <row r="7311" spans="5:5" x14ac:dyDescent="0.25">
      <c r="E7311" s="82" t="s">
        <v>8282</v>
      </c>
    </row>
    <row r="7312" spans="5:5" x14ac:dyDescent="0.25">
      <c r="E7312" s="82" t="s">
        <v>8283</v>
      </c>
    </row>
    <row r="7313" spans="5:5" x14ac:dyDescent="0.25">
      <c r="E7313" s="82" t="s">
        <v>8284</v>
      </c>
    </row>
    <row r="7314" spans="5:5" x14ac:dyDescent="0.25">
      <c r="E7314" s="82" t="s">
        <v>8285</v>
      </c>
    </row>
    <row r="7315" spans="5:5" x14ac:dyDescent="0.25">
      <c r="E7315" s="82" t="s">
        <v>8286</v>
      </c>
    </row>
    <row r="7316" spans="5:5" x14ac:dyDescent="0.25">
      <c r="E7316" s="82" t="s">
        <v>8287</v>
      </c>
    </row>
    <row r="7317" spans="5:5" x14ac:dyDescent="0.25">
      <c r="E7317" s="82" t="s">
        <v>8288</v>
      </c>
    </row>
    <row r="7318" spans="5:5" x14ac:dyDescent="0.25">
      <c r="E7318" s="82" t="s">
        <v>8289</v>
      </c>
    </row>
    <row r="7319" spans="5:5" x14ac:dyDescent="0.25">
      <c r="E7319" s="82" t="s">
        <v>8290</v>
      </c>
    </row>
    <row r="7320" spans="5:5" x14ac:dyDescent="0.25">
      <c r="E7320" s="82" t="s">
        <v>8291</v>
      </c>
    </row>
    <row r="7321" spans="5:5" x14ac:dyDescent="0.25">
      <c r="E7321" s="82" t="s">
        <v>8292</v>
      </c>
    </row>
    <row r="7322" spans="5:5" x14ac:dyDescent="0.25">
      <c r="E7322" s="82" t="s">
        <v>8293</v>
      </c>
    </row>
    <row r="7323" spans="5:5" x14ac:dyDescent="0.25">
      <c r="E7323" s="82" t="s">
        <v>8294</v>
      </c>
    </row>
    <row r="7324" spans="5:5" x14ac:dyDescent="0.25">
      <c r="E7324" s="82" t="s">
        <v>8295</v>
      </c>
    </row>
    <row r="7325" spans="5:5" x14ac:dyDescent="0.25">
      <c r="E7325" s="82" t="s">
        <v>8296</v>
      </c>
    </row>
    <row r="7326" spans="5:5" x14ac:dyDescent="0.25">
      <c r="E7326" s="82" t="s">
        <v>8297</v>
      </c>
    </row>
    <row r="7327" spans="5:5" x14ac:dyDescent="0.25">
      <c r="E7327" s="82" t="s">
        <v>8298</v>
      </c>
    </row>
    <row r="7328" spans="5:5" x14ac:dyDescent="0.25">
      <c r="E7328" s="82" t="s">
        <v>8299</v>
      </c>
    </row>
    <row r="7329" spans="5:5" x14ac:dyDescent="0.25">
      <c r="E7329" s="82" t="s">
        <v>8300</v>
      </c>
    </row>
    <row r="7330" spans="5:5" x14ac:dyDescent="0.25">
      <c r="E7330" s="82" t="s">
        <v>8301</v>
      </c>
    </row>
    <row r="7331" spans="5:5" x14ac:dyDescent="0.25">
      <c r="E7331" s="82" t="s">
        <v>8302</v>
      </c>
    </row>
    <row r="7332" spans="5:5" x14ac:dyDescent="0.25">
      <c r="E7332" s="82" t="s">
        <v>8303</v>
      </c>
    </row>
    <row r="7333" spans="5:5" x14ac:dyDescent="0.25">
      <c r="E7333" s="82" t="s">
        <v>8304</v>
      </c>
    </row>
    <row r="7334" spans="5:5" x14ac:dyDescent="0.25">
      <c r="E7334" s="82" t="s">
        <v>8305</v>
      </c>
    </row>
    <row r="7335" spans="5:5" x14ac:dyDescent="0.25">
      <c r="E7335" s="82" t="s">
        <v>8306</v>
      </c>
    </row>
    <row r="7336" spans="5:5" x14ac:dyDescent="0.25">
      <c r="E7336" s="82" t="s">
        <v>8307</v>
      </c>
    </row>
    <row r="7337" spans="5:5" x14ac:dyDescent="0.25">
      <c r="E7337" s="82" t="s">
        <v>8308</v>
      </c>
    </row>
    <row r="7338" spans="5:5" x14ac:dyDescent="0.25">
      <c r="E7338" s="82" t="s">
        <v>8309</v>
      </c>
    </row>
    <row r="7339" spans="5:5" x14ac:dyDescent="0.25">
      <c r="E7339" s="82" t="s">
        <v>8310</v>
      </c>
    </row>
    <row r="7340" spans="5:5" x14ac:dyDescent="0.25">
      <c r="E7340" s="82" t="s">
        <v>8311</v>
      </c>
    </row>
    <row r="7341" spans="5:5" x14ac:dyDescent="0.25">
      <c r="E7341" s="82" t="s">
        <v>8312</v>
      </c>
    </row>
    <row r="7342" spans="5:5" x14ac:dyDescent="0.25">
      <c r="E7342" s="82" t="s">
        <v>8313</v>
      </c>
    </row>
    <row r="7343" spans="5:5" x14ac:dyDescent="0.25">
      <c r="E7343" s="82" t="s">
        <v>8314</v>
      </c>
    </row>
    <row r="7344" spans="5:5" x14ac:dyDescent="0.25">
      <c r="E7344" s="82" t="s">
        <v>8315</v>
      </c>
    </row>
    <row r="7345" spans="5:5" x14ac:dyDescent="0.25">
      <c r="E7345" s="82" t="s">
        <v>8316</v>
      </c>
    </row>
    <row r="7346" spans="5:5" x14ac:dyDescent="0.25">
      <c r="E7346" s="82" t="s">
        <v>8317</v>
      </c>
    </row>
    <row r="7347" spans="5:5" x14ac:dyDescent="0.25">
      <c r="E7347" s="82" t="s">
        <v>8318</v>
      </c>
    </row>
    <row r="7348" spans="5:5" x14ac:dyDescent="0.25">
      <c r="E7348" s="82" t="s">
        <v>8319</v>
      </c>
    </row>
    <row r="7349" spans="5:5" x14ac:dyDescent="0.25">
      <c r="E7349" s="82" t="s">
        <v>8320</v>
      </c>
    </row>
    <row r="7350" spans="5:5" x14ac:dyDescent="0.25">
      <c r="E7350" s="82" t="s">
        <v>8321</v>
      </c>
    </row>
    <row r="7351" spans="5:5" x14ac:dyDescent="0.25">
      <c r="E7351" s="82" t="s">
        <v>8322</v>
      </c>
    </row>
    <row r="7352" spans="5:5" x14ac:dyDescent="0.25">
      <c r="E7352" s="82" t="s">
        <v>8323</v>
      </c>
    </row>
    <row r="7353" spans="5:5" x14ac:dyDescent="0.25">
      <c r="E7353" s="82" t="s">
        <v>8324</v>
      </c>
    </row>
    <row r="7354" spans="5:5" x14ac:dyDescent="0.25">
      <c r="E7354" s="82" t="s">
        <v>8325</v>
      </c>
    </row>
    <row r="7355" spans="5:5" x14ac:dyDescent="0.25">
      <c r="E7355" s="82" t="s">
        <v>8326</v>
      </c>
    </row>
    <row r="7356" spans="5:5" x14ac:dyDescent="0.25">
      <c r="E7356" s="82" t="s">
        <v>8327</v>
      </c>
    </row>
    <row r="7357" spans="5:5" x14ac:dyDescent="0.25">
      <c r="E7357" s="82" t="s">
        <v>8328</v>
      </c>
    </row>
    <row r="7358" spans="5:5" x14ac:dyDescent="0.25">
      <c r="E7358" s="82" t="s">
        <v>8329</v>
      </c>
    </row>
    <row r="7359" spans="5:5" x14ac:dyDescent="0.25">
      <c r="E7359" s="82" t="s">
        <v>8330</v>
      </c>
    </row>
    <row r="7360" spans="5:5" x14ac:dyDescent="0.25">
      <c r="E7360" s="82" t="s">
        <v>8331</v>
      </c>
    </row>
    <row r="7361" spans="5:5" x14ac:dyDescent="0.25">
      <c r="E7361" s="82" t="s">
        <v>8332</v>
      </c>
    </row>
    <row r="7362" spans="5:5" x14ac:dyDescent="0.25">
      <c r="E7362" s="82" t="s">
        <v>8333</v>
      </c>
    </row>
    <row r="7363" spans="5:5" x14ac:dyDescent="0.25">
      <c r="E7363" s="82" t="s">
        <v>8334</v>
      </c>
    </row>
    <row r="7364" spans="5:5" x14ac:dyDescent="0.25">
      <c r="E7364" s="82" t="s">
        <v>8335</v>
      </c>
    </row>
    <row r="7365" spans="5:5" x14ac:dyDescent="0.25">
      <c r="E7365" s="82" t="s">
        <v>8336</v>
      </c>
    </row>
    <row r="7366" spans="5:5" x14ac:dyDescent="0.25">
      <c r="E7366" s="82" t="s">
        <v>8337</v>
      </c>
    </row>
    <row r="7367" spans="5:5" x14ac:dyDescent="0.25">
      <c r="E7367" s="82" t="s">
        <v>8338</v>
      </c>
    </row>
    <row r="7368" spans="5:5" x14ac:dyDescent="0.25">
      <c r="E7368" s="82" t="s">
        <v>8339</v>
      </c>
    </row>
    <row r="7369" spans="5:5" x14ac:dyDescent="0.25">
      <c r="E7369" s="82" t="s">
        <v>8340</v>
      </c>
    </row>
    <row r="7370" spans="5:5" x14ac:dyDescent="0.25">
      <c r="E7370" s="82" t="s">
        <v>8341</v>
      </c>
    </row>
    <row r="7371" spans="5:5" x14ac:dyDescent="0.25">
      <c r="E7371" s="82" t="s">
        <v>8342</v>
      </c>
    </row>
    <row r="7372" spans="5:5" x14ac:dyDescent="0.25">
      <c r="E7372" s="82" t="s">
        <v>8343</v>
      </c>
    </row>
    <row r="7373" spans="5:5" x14ac:dyDescent="0.25">
      <c r="E7373" s="82" t="s">
        <v>8344</v>
      </c>
    </row>
    <row r="7374" spans="5:5" x14ac:dyDescent="0.25">
      <c r="E7374" s="82" t="s">
        <v>8345</v>
      </c>
    </row>
    <row r="7375" spans="5:5" x14ac:dyDescent="0.25">
      <c r="E7375" s="82" t="s">
        <v>8346</v>
      </c>
    </row>
    <row r="7376" spans="5:5" x14ac:dyDescent="0.25">
      <c r="E7376" s="82" t="s">
        <v>8347</v>
      </c>
    </row>
    <row r="7377" spans="5:5" x14ac:dyDescent="0.25">
      <c r="E7377" s="82" t="s">
        <v>8348</v>
      </c>
    </row>
    <row r="7378" spans="5:5" x14ac:dyDescent="0.25">
      <c r="E7378" s="82" t="s">
        <v>8349</v>
      </c>
    </row>
    <row r="7379" spans="5:5" x14ac:dyDescent="0.25">
      <c r="E7379" s="82" t="s">
        <v>8350</v>
      </c>
    </row>
    <row r="7380" spans="5:5" x14ac:dyDescent="0.25">
      <c r="E7380" s="82" t="s">
        <v>8351</v>
      </c>
    </row>
    <row r="7381" spans="5:5" x14ac:dyDescent="0.25">
      <c r="E7381" s="82" t="s">
        <v>8352</v>
      </c>
    </row>
    <row r="7382" spans="5:5" x14ac:dyDescent="0.25">
      <c r="E7382" s="82" t="s">
        <v>8353</v>
      </c>
    </row>
    <row r="7383" spans="5:5" x14ac:dyDescent="0.25">
      <c r="E7383" s="82" t="s">
        <v>8354</v>
      </c>
    </row>
    <row r="7384" spans="5:5" x14ac:dyDescent="0.25">
      <c r="E7384" s="82" t="s">
        <v>8355</v>
      </c>
    </row>
    <row r="7385" spans="5:5" x14ac:dyDescent="0.25">
      <c r="E7385" s="82" t="s">
        <v>8356</v>
      </c>
    </row>
    <row r="7386" spans="5:5" x14ac:dyDescent="0.25">
      <c r="E7386" s="82" t="s">
        <v>8357</v>
      </c>
    </row>
    <row r="7387" spans="5:5" x14ac:dyDescent="0.25">
      <c r="E7387" s="82" t="s">
        <v>8358</v>
      </c>
    </row>
    <row r="7388" spans="5:5" x14ac:dyDescent="0.25">
      <c r="E7388" s="82" t="s">
        <v>8359</v>
      </c>
    </row>
    <row r="7389" spans="5:5" x14ac:dyDescent="0.25">
      <c r="E7389" s="82" t="s">
        <v>8360</v>
      </c>
    </row>
    <row r="7390" spans="5:5" x14ac:dyDescent="0.25">
      <c r="E7390" s="82" t="s">
        <v>8361</v>
      </c>
    </row>
    <row r="7391" spans="5:5" x14ac:dyDescent="0.25">
      <c r="E7391" s="82" t="s">
        <v>8362</v>
      </c>
    </row>
    <row r="7392" spans="5:5" x14ac:dyDescent="0.25">
      <c r="E7392" s="82" t="s">
        <v>8363</v>
      </c>
    </row>
    <row r="7393" spans="5:5" x14ac:dyDescent="0.25">
      <c r="E7393" s="82" t="s">
        <v>8364</v>
      </c>
    </row>
    <row r="7394" spans="5:5" x14ac:dyDescent="0.25">
      <c r="E7394" s="82" t="s">
        <v>8365</v>
      </c>
    </row>
    <row r="7395" spans="5:5" x14ac:dyDescent="0.25">
      <c r="E7395" s="82" t="s">
        <v>8366</v>
      </c>
    </row>
    <row r="7396" spans="5:5" x14ac:dyDescent="0.25">
      <c r="E7396" s="82" t="s">
        <v>8367</v>
      </c>
    </row>
    <row r="7397" spans="5:5" x14ac:dyDescent="0.25">
      <c r="E7397" s="82" t="s">
        <v>8368</v>
      </c>
    </row>
    <row r="7398" spans="5:5" x14ac:dyDescent="0.25">
      <c r="E7398" s="82" t="s">
        <v>8369</v>
      </c>
    </row>
    <row r="7399" spans="5:5" x14ac:dyDescent="0.25">
      <c r="E7399" s="82" t="s">
        <v>8370</v>
      </c>
    </row>
    <row r="7400" spans="5:5" x14ac:dyDescent="0.25">
      <c r="E7400" s="82" t="s">
        <v>8371</v>
      </c>
    </row>
    <row r="7401" spans="5:5" x14ac:dyDescent="0.25">
      <c r="E7401" s="82" t="s">
        <v>8372</v>
      </c>
    </row>
    <row r="7402" spans="5:5" x14ac:dyDescent="0.25">
      <c r="E7402" s="82" t="s">
        <v>8373</v>
      </c>
    </row>
    <row r="7403" spans="5:5" x14ac:dyDescent="0.25">
      <c r="E7403" s="82" t="s">
        <v>8374</v>
      </c>
    </row>
    <row r="7404" spans="5:5" x14ac:dyDescent="0.25">
      <c r="E7404" s="82" t="s">
        <v>8375</v>
      </c>
    </row>
    <row r="7405" spans="5:5" x14ac:dyDescent="0.25">
      <c r="E7405" s="82" t="s">
        <v>8376</v>
      </c>
    </row>
    <row r="7406" spans="5:5" x14ac:dyDescent="0.25">
      <c r="E7406" s="82" t="s">
        <v>8377</v>
      </c>
    </row>
    <row r="7407" spans="5:5" x14ac:dyDescent="0.25">
      <c r="E7407" s="82" t="s">
        <v>8378</v>
      </c>
    </row>
    <row r="7408" spans="5:5" x14ac:dyDescent="0.25">
      <c r="E7408" s="82" t="s">
        <v>8379</v>
      </c>
    </row>
    <row r="7409" spans="5:5" x14ac:dyDescent="0.25">
      <c r="E7409" s="82" t="s">
        <v>8380</v>
      </c>
    </row>
    <row r="7410" spans="5:5" x14ac:dyDescent="0.25">
      <c r="E7410" s="82" t="s">
        <v>8381</v>
      </c>
    </row>
    <row r="7411" spans="5:5" x14ac:dyDescent="0.25">
      <c r="E7411" s="82" t="s">
        <v>8382</v>
      </c>
    </row>
    <row r="7412" spans="5:5" x14ac:dyDescent="0.25">
      <c r="E7412" s="82" t="s">
        <v>8383</v>
      </c>
    </row>
    <row r="7413" spans="5:5" x14ac:dyDescent="0.25">
      <c r="E7413" s="82" t="s">
        <v>8384</v>
      </c>
    </row>
    <row r="7414" spans="5:5" x14ac:dyDescent="0.25">
      <c r="E7414" s="82" t="s">
        <v>8385</v>
      </c>
    </row>
    <row r="7415" spans="5:5" x14ac:dyDescent="0.25">
      <c r="E7415" s="82" t="s">
        <v>8386</v>
      </c>
    </row>
    <row r="7416" spans="5:5" x14ac:dyDescent="0.25">
      <c r="E7416" s="82" t="s">
        <v>8387</v>
      </c>
    </row>
    <row r="7417" spans="5:5" x14ac:dyDescent="0.25">
      <c r="E7417" s="82" t="s">
        <v>8388</v>
      </c>
    </row>
    <row r="7418" spans="5:5" x14ac:dyDescent="0.25">
      <c r="E7418" s="82" t="s">
        <v>8389</v>
      </c>
    </row>
    <row r="7419" spans="5:5" x14ac:dyDescent="0.25">
      <c r="E7419" s="82" t="s">
        <v>8390</v>
      </c>
    </row>
    <row r="7420" spans="5:5" x14ac:dyDescent="0.25">
      <c r="E7420" s="82" t="s">
        <v>8391</v>
      </c>
    </row>
    <row r="7421" spans="5:5" x14ac:dyDescent="0.25">
      <c r="E7421" s="82" t="s">
        <v>8392</v>
      </c>
    </row>
    <row r="7422" spans="5:5" x14ac:dyDescent="0.25">
      <c r="E7422" s="82" t="s">
        <v>8393</v>
      </c>
    </row>
    <row r="7423" spans="5:5" x14ac:dyDescent="0.25">
      <c r="E7423" s="82" t="s">
        <v>8394</v>
      </c>
    </row>
    <row r="7424" spans="5:5" x14ac:dyDescent="0.25">
      <c r="E7424" s="82" t="s">
        <v>8395</v>
      </c>
    </row>
    <row r="7425" spans="5:5" x14ac:dyDescent="0.25">
      <c r="E7425" s="82" t="s">
        <v>8396</v>
      </c>
    </row>
    <row r="7426" spans="5:5" x14ac:dyDescent="0.25">
      <c r="E7426" s="82" t="s">
        <v>8397</v>
      </c>
    </row>
    <row r="7427" spans="5:5" x14ac:dyDescent="0.25">
      <c r="E7427" s="82" t="s">
        <v>8398</v>
      </c>
    </row>
    <row r="7428" spans="5:5" x14ac:dyDescent="0.25">
      <c r="E7428" s="82" t="s">
        <v>8399</v>
      </c>
    </row>
    <row r="7429" spans="5:5" x14ac:dyDescent="0.25">
      <c r="E7429" s="82" t="s">
        <v>8400</v>
      </c>
    </row>
    <row r="7430" spans="5:5" x14ac:dyDescent="0.25">
      <c r="E7430" s="82" t="s">
        <v>8401</v>
      </c>
    </row>
    <row r="7431" spans="5:5" x14ac:dyDescent="0.25">
      <c r="E7431" s="82" t="s">
        <v>8402</v>
      </c>
    </row>
    <row r="7432" spans="5:5" x14ac:dyDescent="0.25">
      <c r="E7432" s="82" t="s">
        <v>8403</v>
      </c>
    </row>
    <row r="7433" spans="5:5" x14ac:dyDescent="0.25">
      <c r="E7433" s="82" t="s">
        <v>8404</v>
      </c>
    </row>
    <row r="7434" spans="5:5" x14ac:dyDescent="0.25">
      <c r="E7434" s="82" t="s">
        <v>8405</v>
      </c>
    </row>
    <row r="7435" spans="5:5" x14ac:dyDescent="0.25">
      <c r="E7435" s="82" t="s">
        <v>8406</v>
      </c>
    </row>
    <row r="7436" spans="5:5" x14ac:dyDescent="0.25">
      <c r="E7436" s="82" t="s">
        <v>8407</v>
      </c>
    </row>
    <row r="7437" spans="5:5" x14ac:dyDescent="0.25">
      <c r="E7437" s="82" t="s">
        <v>8408</v>
      </c>
    </row>
    <row r="7438" spans="5:5" x14ac:dyDescent="0.25">
      <c r="E7438" s="82" t="s">
        <v>8409</v>
      </c>
    </row>
    <row r="7439" spans="5:5" x14ac:dyDescent="0.25">
      <c r="E7439" s="82" t="s">
        <v>8410</v>
      </c>
    </row>
    <row r="7440" spans="5:5" x14ac:dyDescent="0.25">
      <c r="E7440" s="82" t="s">
        <v>8411</v>
      </c>
    </row>
    <row r="7441" spans="5:5" x14ac:dyDescent="0.25">
      <c r="E7441" s="82" t="s">
        <v>8412</v>
      </c>
    </row>
    <row r="7442" spans="5:5" x14ac:dyDescent="0.25">
      <c r="E7442" s="82" t="s">
        <v>8413</v>
      </c>
    </row>
    <row r="7443" spans="5:5" x14ac:dyDescent="0.25">
      <c r="E7443" s="82" t="s">
        <v>8414</v>
      </c>
    </row>
    <row r="7444" spans="5:5" x14ac:dyDescent="0.25">
      <c r="E7444" s="82" t="s">
        <v>8415</v>
      </c>
    </row>
    <row r="7445" spans="5:5" x14ac:dyDescent="0.25">
      <c r="E7445" s="82" t="s">
        <v>8416</v>
      </c>
    </row>
    <row r="7446" spans="5:5" x14ac:dyDescent="0.25">
      <c r="E7446" s="82" t="s">
        <v>8417</v>
      </c>
    </row>
    <row r="7447" spans="5:5" x14ac:dyDescent="0.25">
      <c r="E7447" s="82" t="s">
        <v>8418</v>
      </c>
    </row>
    <row r="7448" spans="5:5" x14ac:dyDescent="0.25">
      <c r="E7448" s="82" t="s">
        <v>8419</v>
      </c>
    </row>
    <row r="7449" spans="5:5" x14ac:dyDescent="0.25">
      <c r="E7449" s="82" t="s">
        <v>8420</v>
      </c>
    </row>
    <row r="7450" spans="5:5" x14ac:dyDescent="0.25">
      <c r="E7450" s="82" t="s">
        <v>8421</v>
      </c>
    </row>
    <row r="7451" spans="5:5" x14ac:dyDescent="0.25">
      <c r="E7451" s="82" t="s">
        <v>8422</v>
      </c>
    </row>
    <row r="7452" spans="5:5" x14ac:dyDescent="0.25">
      <c r="E7452" s="82" t="s">
        <v>8423</v>
      </c>
    </row>
    <row r="7453" spans="5:5" x14ac:dyDescent="0.25">
      <c r="E7453" s="82" t="s">
        <v>8424</v>
      </c>
    </row>
    <row r="7454" spans="5:5" x14ac:dyDescent="0.25">
      <c r="E7454" s="82" t="s">
        <v>8425</v>
      </c>
    </row>
    <row r="7455" spans="5:5" x14ac:dyDescent="0.25">
      <c r="E7455" s="82" t="s">
        <v>8426</v>
      </c>
    </row>
    <row r="7456" spans="5:5" x14ac:dyDescent="0.25">
      <c r="E7456" s="82" t="s">
        <v>8427</v>
      </c>
    </row>
    <row r="7457" spans="5:5" x14ac:dyDescent="0.25">
      <c r="E7457" s="82" t="s">
        <v>8428</v>
      </c>
    </row>
    <row r="7458" spans="5:5" x14ac:dyDescent="0.25">
      <c r="E7458" s="82" t="s">
        <v>8429</v>
      </c>
    </row>
    <row r="7459" spans="5:5" x14ac:dyDescent="0.25">
      <c r="E7459" s="82" t="s">
        <v>8430</v>
      </c>
    </row>
    <row r="7460" spans="5:5" x14ac:dyDescent="0.25">
      <c r="E7460" s="82" t="s">
        <v>8431</v>
      </c>
    </row>
    <row r="7461" spans="5:5" x14ac:dyDescent="0.25">
      <c r="E7461" s="82" t="s">
        <v>8432</v>
      </c>
    </row>
    <row r="7462" spans="5:5" x14ac:dyDescent="0.25">
      <c r="E7462" s="82" t="s">
        <v>8433</v>
      </c>
    </row>
    <row r="7463" spans="5:5" x14ac:dyDescent="0.25">
      <c r="E7463" s="82" t="s">
        <v>8434</v>
      </c>
    </row>
    <row r="7464" spans="5:5" x14ac:dyDescent="0.25">
      <c r="E7464" s="82" t="s">
        <v>8435</v>
      </c>
    </row>
    <row r="7465" spans="5:5" x14ac:dyDescent="0.25">
      <c r="E7465" s="82" t="s">
        <v>8436</v>
      </c>
    </row>
    <row r="7466" spans="5:5" x14ac:dyDescent="0.25">
      <c r="E7466" s="82" t="s">
        <v>8437</v>
      </c>
    </row>
    <row r="7467" spans="5:5" x14ac:dyDescent="0.25">
      <c r="E7467" s="82" t="s">
        <v>8438</v>
      </c>
    </row>
    <row r="7468" spans="5:5" x14ac:dyDescent="0.25">
      <c r="E7468" s="82" t="s">
        <v>8439</v>
      </c>
    </row>
    <row r="7469" spans="5:5" x14ac:dyDescent="0.25">
      <c r="E7469" s="82" t="s">
        <v>8440</v>
      </c>
    </row>
    <row r="7470" spans="5:5" x14ac:dyDescent="0.25">
      <c r="E7470" s="82" t="s">
        <v>8441</v>
      </c>
    </row>
    <row r="7471" spans="5:5" x14ac:dyDescent="0.25">
      <c r="E7471" s="82" t="s">
        <v>8442</v>
      </c>
    </row>
    <row r="7472" spans="5:5" x14ac:dyDescent="0.25">
      <c r="E7472" s="82" t="s">
        <v>8443</v>
      </c>
    </row>
    <row r="7473" spans="5:5" x14ac:dyDescent="0.25">
      <c r="E7473" s="82" t="s">
        <v>8444</v>
      </c>
    </row>
    <row r="7474" spans="5:5" x14ac:dyDescent="0.25">
      <c r="E7474" s="82" t="s">
        <v>8445</v>
      </c>
    </row>
    <row r="7475" spans="5:5" x14ac:dyDescent="0.25">
      <c r="E7475" s="82" t="s">
        <v>8446</v>
      </c>
    </row>
    <row r="7476" spans="5:5" x14ac:dyDescent="0.25">
      <c r="E7476" s="82" t="s">
        <v>8447</v>
      </c>
    </row>
    <row r="7477" spans="5:5" x14ac:dyDescent="0.25">
      <c r="E7477" s="82" t="s">
        <v>8448</v>
      </c>
    </row>
    <row r="7478" spans="5:5" x14ac:dyDescent="0.25">
      <c r="E7478" s="82" t="s">
        <v>8449</v>
      </c>
    </row>
    <row r="7479" spans="5:5" x14ac:dyDescent="0.25">
      <c r="E7479" s="82" t="s">
        <v>8450</v>
      </c>
    </row>
    <row r="7480" spans="5:5" x14ac:dyDescent="0.25">
      <c r="E7480" s="82" t="s">
        <v>8451</v>
      </c>
    </row>
    <row r="7481" spans="5:5" x14ac:dyDescent="0.25">
      <c r="E7481" s="82" t="s">
        <v>8452</v>
      </c>
    </row>
    <row r="7482" spans="5:5" x14ac:dyDescent="0.25">
      <c r="E7482" s="82" t="s">
        <v>8453</v>
      </c>
    </row>
    <row r="7483" spans="5:5" x14ac:dyDescent="0.25">
      <c r="E7483" s="82" t="s">
        <v>8454</v>
      </c>
    </row>
    <row r="7484" spans="5:5" x14ac:dyDescent="0.25">
      <c r="E7484" s="82" t="s">
        <v>8455</v>
      </c>
    </row>
    <row r="7485" spans="5:5" x14ac:dyDescent="0.25">
      <c r="E7485" s="82" t="s">
        <v>8456</v>
      </c>
    </row>
    <row r="7486" spans="5:5" x14ac:dyDescent="0.25">
      <c r="E7486" s="82" t="s">
        <v>8457</v>
      </c>
    </row>
    <row r="7487" spans="5:5" x14ac:dyDescent="0.25">
      <c r="E7487" s="82" t="s">
        <v>8458</v>
      </c>
    </row>
    <row r="7488" spans="5:5" x14ac:dyDescent="0.25">
      <c r="E7488" s="82" t="s">
        <v>8459</v>
      </c>
    </row>
    <row r="7489" spans="5:5" x14ac:dyDescent="0.25">
      <c r="E7489" s="82" t="s">
        <v>8460</v>
      </c>
    </row>
    <row r="7490" spans="5:5" x14ac:dyDescent="0.25">
      <c r="E7490" s="82" t="s">
        <v>8461</v>
      </c>
    </row>
    <row r="7491" spans="5:5" x14ac:dyDescent="0.25">
      <c r="E7491" s="82" t="s">
        <v>8462</v>
      </c>
    </row>
    <row r="7492" spans="5:5" x14ac:dyDescent="0.25">
      <c r="E7492" s="82" t="s">
        <v>8463</v>
      </c>
    </row>
    <row r="7493" spans="5:5" x14ac:dyDescent="0.25">
      <c r="E7493" s="82" t="s">
        <v>8464</v>
      </c>
    </row>
    <row r="7494" spans="5:5" x14ac:dyDescent="0.25">
      <c r="E7494" s="82" t="s">
        <v>8465</v>
      </c>
    </row>
    <row r="7495" spans="5:5" x14ac:dyDescent="0.25">
      <c r="E7495" s="82" t="s">
        <v>8466</v>
      </c>
    </row>
    <row r="7496" spans="5:5" x14ac:dyDescent="0.25">
      <c r="E7496" s="82" t="s">
        <v>8467</v>
      </c>
    </row>
    <row r="7497" spans="5:5" x14ac:dyDescent="0.25">
      <c r="E7497" s="82" t="s">
        <v>8468</v>
      </c>
    </row>
    <row r="7498" spans="5:5" x14ac:dyDescent="0.25">
      <c r="E7498" s="82" t="s">
        <v>8469</v>
      </c>
    </row>
    <row r="7499" spans="5:5" x14ac:dyDescent="0.25">
      <c r="E7499" s="82" t="s">
        <v>8470</v>
      </c>
    </row>
    <row r="7500" spans="5:5" x14ac:dyDescent="0.25">
      <c r="E7500" s="82" t="s">
        <v>8471</v>
      </c>
    </row>
    <row r="7501" spans="5:5" x14ac:dyDescent="0.25">
      <c r="E7501" s="82" t="s">
        <v>8472</v>
      </c>
    </row>
    <row r="7502" spans="5:5" x14ac:dyDescent="0.25">
      <c r="E7502" s="82" t="s">
        <v>8473</v>
      </c>
    </row>
    <row r="7503" spans="5:5" x14ac:dyDescent="0.25">
      <c r="E7503" s="82" t="s">
        <v>8474</v>
      </c>
    </row>
    <row r="7504" spans="5:5" x14ac:dyDescent="0.25">
      <c r="E7504" s="82" t="s">
        <v>8475</v>
      </c>
    </row>
    <row r="7505" spans="5:5" x14ac:dyDescent="0.25">
      <c r="E7505" s="82" t="s">
        <v>8476</v>
      </c>
    </row>
    <row r="7506" spans="5:5" x14ac:dyDescent="0.25">
      <c r="E7506" s="82" t="s">
        <v>8477</v>
      </c>
    </row>
    <row r="7507" spans="5:5" x14ac:dyDescent="0.25">
      <c r="E7507" s="82" t="s">
        <v>8478</v>
      </c>
    </row>
    <row r="7508" spans="5:5" x14ac:dyDescent="0.25">
      <c r="E7508" s="82" t="s">
        <v>8479</v>
      </c>
    </row>
    <row r="7509" spans="5:5" x14ac:dyDescent="0.25">
      <c r="E7509" s="82" t="s">
        <v>8480</v>
      </c>
    </row>
    <row r="7510" spans="5:5" x14ac:dyDescent="0.25">
      <c r="E7510" s="82" t="s">
        <v>8481</v>
      </c>
    </row>
    <row r="7511" spans="5:5" x14ac:dyDescent="0.25">
      <c r="E7511" s="82" t="s">
        <v>8482</v>
      </c>
    </row>
    <row r="7512" spans="5:5" x14ac:dyDescent="0.25">
      <c r="E7512" s="82" t="s">
        <v>8483</v>
      </c>
    </row>
    <row r="7513" spans="5:5" x14ac:dyDescent="0.25">
      <c r="E7513" s="82" t="s">
        <v>8484</v>
      </c>
    </row>
    <row r="7514" spans="5:5" x14ac:dyDescent="0.25">
      <c r="E7514" s="82" t="s">
        <v>8485</v>
      </c>
    </row>
    <row r="7515" spans="5:5" x14ac:dyDescent="0.25">
      <c r="E7515" s="82" t="s">
        <v>8486</v>
      </c>
    </row>
    <row r="7516" spans="5:5" x14ac:dyDescent="0.25">
      <c r="E7516" s="82" t="s">
        <v>8487</v>
      </c>
    </row>
    <row r="7517" spans="5:5" x14ac:dyDescent="0.25">
      <c r="E7517" s="82" t="s">
        <v>8488</v>
      </c>
    </row>
    <row r="7518" spans="5:5" x14ac:dyDescent="0.25">
      <c r="E7518" s="82" t="s">
        <v>8489</v>
      </c>
    </row>
    <row r="7519" spans="5:5" x14ac:dyDescent="0.25">
      <c r="E7519" s="82" t="s">
        <v>8490</v>
      </c>
    </row>
    <row r="7520" spans="5:5" x14ac:dyDescent="0.25">
      <c r="E7520" s="82" t="s">
        <v>8491</v>
      </c>
    </row>
    <row r="7521" spans="5:5" x14ac:dyDescent="0.25">
      <c r="E7521" s="82" t="s">
        <v>8492</v>
      </c>
    </row>
    <row r="7522" spans="5:5" x14ac:dyDescent="0.25">
      <c r="E7522" s="82" t="s">
        <v>8493</v>
      </c>
    </row>
    <row r="7523" spans="5:5" x14ac:dyDescent="0.25">
      <c r="E7523" s="82" t="s">
        <v>8494</v>
      </c>
    </row>
    <row r="7524" spans="5:5" x14ac:dyDescent="0.25">
      <c r="E7524" s="82" t="s">
        <v>8495</v>
      </c>
    </row>
    <row r="7525" spans="5:5" x14ac:dyDescent="0.25">
      <c r="E7525" s="82" t="s">
        <v>8496</v>
      </c>
    </row>
    <row r="7526" spans="5:5" x14ac:dyDescent="0.25">
      <c r="E7526" s="82" t="s">
        <v>8497</v>
      </c>
    </row>
    <row r="7527" spans="5:5" x14ac:dyDescent="0.25">
      <c r="E7527" s="82" t="s">
        <v>8498</v>
      </c>
    </row>
    <row r="7528" spans="5:5" x14ac:dyDescent="0.25">
      <c r="E7528" s="82" t="s">
        <v>8499</v>
      </c>
    </row>
    <row r="7529" spans="5:5" x14ac:dyDescent="0.25">
      <c r="E7529" s="82" t="s">
        <v>8500</v>
      </c>
    </row>
    <row r="7530" spans="5:5" x14ac:dyDescent="0.25">
      <c r="E7530" s="82" t="s">
        <v>8501</v>
      </c>
    </row>
    <row r="7531" spans="5:5" x14ac:dyDescent="0.25">
      <c r="E7531" s="82" t="s">
        <v>8502</v>
      </c>
    </row>
    <row r="7532" spans="5:5" x14ac:dyDescent="0.25">
      <c r="E7532" s="82" t="s">
        <v>8503</v>
      </c>
    </row>
    <row r="7533" spans="5:5" x14ac:dyDescent="0.25">
      <c r="E7533" s="82" t="s">
        <v>8504</v>
      </c>
    </row>
    <row r="7534" spans="5:5" x14ac:dyDescent="0.25">
      <c r="E7534" s="82" t="s">
        <v>8505</v>
      </c>
    </row>
    <row r="7535" spans="5:5" x14ac:dyDescent="0.25">
      <c r="E7535" s="82" t="s">
        <v>8506</v>
      </c>
    </row>
    <row r="7536" spans="5:5" x14ac:dyDescent="0.25">
      <c r="E7536" s="82" t="s">
        <v>8507</v>
      </c>
    </row>
    <row r="7537" spans="5:5" x14ac:dyDescent="0.25">
      <c r="E7537" s="82" t="s">
        <v>8508</v>
      </c>
    </row>
    <row r="7538" spans="5:5" x14ac:dyDescent="0.25">
      <c r="E7538" s="82" t="s">
        <v>8509</v>
      </c>
    </row>
    <row r="7539" spans="5:5" x14ac:dyDescent="0.25">
      <c r="E7539" s="82" t="s">
        <v>8510</v>
      </c>
    </row>
    <row r="7540" spans="5:5" x14ac:dyDescent="0.25">
      <c r="E7540" s="82" t="s">
        <v>8511</v>
      </c>
    </row>
    <row r="7541" spans="5:5" x14ac:dyDescent="0.25">
      <c r="E7541" s="82" t="s">
        <v>8512</v>
      </c>
    </row>
    <row r="7542" spans="5:5" x14ac:dyDescent="0.25">
      <c r="E7542" s="82" t="s">
        <v>8513</v>
      </c>
    </row>
    <row r="7543" spans="5:5" x14ac:dyDescent="0.25">
      <c r="E7543" s="82" t="s">
        <v>8514</v>
      </c>
    </row>
    <row r="7544" spans="5:5" x14ac:dyDescent="0.25">
      <c r="E7544" s="82" t="s">
        <v>8515</v>
      </c>
    </row>
    <row r="7545" spans="5:5" x14ac:dyDescent="0.25">
      <c r="E7545" s="82" t="s">
        <v>8516</v>
      </c>
    </row>
    <row r="7546" spans="5:5" x14ac:dyDescent="0.25">
      <c r="E7546" s="82" t="s">
        <v>8517</v>
      </c>
    </row>
    <row r="7547" spans="5:5" x14ac:dyDescent="0.25">
      <c r="E7547" s="82" t="s">
        <v>8518</v>
      </c>
    </row>
    <row r="7548" spans="5:5" x14ac:dyDescent="0.25">
      <c r="E7548" s="82" t="s">
        <v>8519</v>
      </c>
    </row>
    <row r="7549" spans="5:5" x14ac:dyDescent="0.25">
      <c r="E7549" s="82" t="s">
        <v>8520</v>
      </c>
    </row>
    <row r="7550" spans="5:5" x14ac:dyDescent="0.25">
      <c r="E7550" s="82" t="s">
        <v>8521</v>
      </c>
    </row>
    <row r="7551" spans="5:5" x14ac:dyDescent="0.25">
      <c r="E7551" s="82" t="s">
        <v>8522</v>
      </c>
    </row>
    <row r="7552" spans="5:5" x14ac:dyDescent="0.25">
      <c r="E7552" s="82" t="s">
        <v>8523</v>
      </c>
    </row>
    <row r="7553" spans="5:5" x14ac:dyDescent="0.25">
      <c r="E7553" s="82" t="s">
        <v>8524</v>
      </c>
    </row>
    <row r="7554" spans="5:5" x14ac:dyDescent="0.25">
      <c r="E7554" s="82" t="s">
        <v>8525</v>
      </c>
    </row>
    <row r="7555" spans="5:5" x14ac:dyDescent="0.25">
      <c r="E7555" s="82" t="s">
        <v>8526</v>
      </c>
    </row>
    <row r="7556" spans="5:5" x14ac:dyDescent="0.25">
      <c r="E7556" s="82" t="s">
        <v>8527</v>
      </c>
    </row>
    <row r="7557" spans="5:5" x14ac:dyDescent="0.25">
      <c r="E7557" s="82" t="s">
        <v>8528</v>
      </c>
    </row>
    <row r="7558" spans="5:5" x14ac:dyDescent="0.25">
      <c r="E7558" s="82" t="s">
        <v>8529</v>
      </c>
    </row>
    <row r="7559" spans="5:5" x14ac:dyDescent="0.25">
      <c r="E7559" s="82" t="s">
        <v>8530</v>
      </c>
    </row>
    <row r="7560" spans="5:5" x14ac:dyDescent="0.25">
      <c r="E7560" s="82" t="s">
        <v>8531</v>
      </c>
    </row>
    <row r="7561" spans="5:5" x14ac:dyDescent="0.25">
      <c r="E7561" s="82" t="s">
        <v>8532</v>
      </c>
    </row>
    <row r="7562" spans="5:5" x14ac:dyDescent="0.25">
      <c r="E7562" s="82" t="s">
        <v>8533</v>
      </c>
    </row>
    <row r="7563" spans="5:5" x14ac:dyDescent="0.25">
      <c r="E7563" s="82" t="s">
        <v>8534</v>
      </c>
    </row>
    <row r="7564" spans="5:5" x14ac:dyDescent="0.25">
      <c r="E7564" s="82" t="s">
        <v>8535</v>
      </c>
    </row>
    <row r="7565" spans="5:5" x14ac:dyDescent="0.25">
      <c r="E7565" s="82" t="s">
        <v>8536</v>
      </c>
    </row>
    <row r="7566" spans="5:5" x14ac:dyDescent="0.25">
      <c r="E7566" s="82" t="s">
        <v>8537</v>
      </c>
    </row>
    <row r="7567" spans="5:5" x14ac:dyDescent="0.25">
      <c r="E7567" s="82" t="s">
        <v>8538</v>
      </c>
    </row>
    <row r="7568" spans="5:5" x14ac:dyDescent="0.25">
      <c r="E7568" s="82" t="s">
        <v>8539</v>
      </c>
    </row>
    <row r="7569" spans="5:5" x14ac:dyDescent="0.25">
      <c r="E7569" s="82" t="s">
        <v>8540</v>
      </c>
    </row>
    <row r="7570" spans="5:5" x14ac:dyDescent="0.25">
      <c r="E7570" s="82" t="s">
        <v>8541</v>
      </c>
    </row>
    <row r="7571" spans="5:5" x14ac:dyDescent="0.25">
      <c r="E7571" s="82" t="s">
        <v>8542</v>
      </c>
    </row>
    <row r="7572" spans="5:5" x14ac:dyDescent="0.25">
      <c r="E7572" s="82" t="s">
        <v>8543</v>
      </c>
    </row>
    <row r="7573" spans="5:5" x14ac:dyDescent="0.25">
      <c r="E7573" s="82" t="s">
        <v>8544</v>
      </c>
    </row>
    <row r="7574" spans="5:5" x14ac:dyDescent="0.25">
      <c r="E7574" s="82" t="s">
        <v>8545</v>
      </c>
    </row>
    <row r="7575" spans="5:5" x14ac:dyDescent="0.25">
      <c r="E7575" s="82" t="s">
        <v>8546</v>
      </c>
    </row>
    <row r="7576" spans="5:5" x14ac:dyDescent="0.25">
      <c r="E7576" s="82" t="s">
        <v>8547</v>
      </c>
    </row>
    <row r="7577" spans="5:5" x14ac:dyDescent="0.25">
      <c r="E7577" s="82" t="s">
        <v>8548</v>
      </c>
    </row>
    <row r="7578" spans="5:5" x14ac:dyDescent="0.25">
      <c r="E7578" s="82" t="s">
        <v>8549</v>
      </c>
    </row>
    <row r="7579" spans="5:5" x14ac:dyDescent="0.25">
      <c r="E7579" s="82" t="s">
        <v>8550</v>
      </c>
    </row>
    <row r="7580" spans="5:5" x14ac:dyDescent="0.25">
      <c r="E7580" s="82" t="s">
        <v>8551</v>
      </c>
    </row>
    <row r="7581" spans="5:5" x14ac:dyDescent="0.25">
      <c r="E7581" s="82" t="s">
        <v>8552</v>
      </c>
    </row>
    <row r="7582" spans="5:5" x14ac:dyDescent="0.25">
      <c r="E7582" s="82" t="s">
        <v>8553</v>
      </c>
    </row>
    <row r="7583" spans="5:5" x14ac:dyDescent="0.25">
      <c r="E7583" s="82" t="s">
        <v>8554</v>
      </c>
    </row>
    <row r="7584" spans="5:5" x14ac:dyDescent="0.25">
      <c r="E7584" s="82" t="s">
        <v>8555</v>
      </c>
    </row>
    <row r="7585" spans="5:5" x14ac:dyDescent="0.25">
      <c r="E7585" s="82" t="s">
        <v>8556</v>
      </c>
    </row>
    <row r="7586" spans="5:5" x14ac:dyDescent="0.25">
      <c r="E7586" s="82" t="s">
        <v>8557</v>
      </c>
    </row>
    <row r="7587" spans="5:5" x14ac:dyDescent="0.25">
      <c r="E7587" s="82" t="s">
        <v>8558</v>
      </c>
    </row>
    <row r="7588" spans="5:5" x14ac:dyDescent="0.25">
      <c r="E7588" s="82" t="s">
        <v>8559</v>
      </c>
    </row>
    <row r="7589" spans="5:5" x14ac:dyDescent="0.25">
      <c r="E7589" s="82" t="s">
        <v>8560</v>
      </c>
    </row>
    <row r="7590" spans="5:5" x14ac:dyDescent="0.25">
      <c r="E7590" s="82" t="s">
        <v>8561</v>
      </c>
    </row>
    <row r="7591" spans="5:5" x14ac:dyDescent="0.25">
      <c r="E7591" s="82" t="s">
        <v>8562</v>
      </c>
    </row>
    <row r="7592" spans="5:5" x14ac:dyDescent="0.25">
      <c r="E7592" s="82" t="s">
        <v>8563</v>
      </c>
    </row>
    <row r="7593" spans="5:5" x14ac:dyDescent="0.25">
      <c r="E7593" s="82" t="s">
        <v>8564</v>
      </c>
    </row>
    <row r="7594" spans="5:5" x14ac:dyDescent="0.25">
      <c r="E7594" s="82" t="s">
        <v>8565</v>
      </c>
    </row>
    <row r="7595" spans="5:5" x14ac:dyDescent="0.25">
      <c r="E7595" s="82" t="s">
        <v>8566</v>
      </c>
    </row>
    <row r="7596" spans="5:5" x14ac:dyDescent="0.25">
      <c r="E7596" s="82" t="s">
        <v>8567</v>
      </c>
    </row>
    <row r="7597" spans="5:5" x14ac:dyDescent="0.25">
      <c r="E7597" s="82" t="s">
        <v>8568</v>
      </c>
    </row>
    <row r="7598" spans="5:5" x14ac:dyDescent="0.25">
      <c r="E7598" s="82" t="s">
        <v>8569</v>
      </c>
    </row>
    <row r="7599" spans="5:5" x14ac:dyDescent="0.25">
      <c r="E7599" s="82" t="s">
        <v>8570</v>
      </c>
    </row>
    <row r="7600" spans="5:5" x14ac:dyDescent="0.25">
      <c r="E7600" s="82" t="s">
        <v>8571</v>
      </c>
    </row>
    <row r="7601" spans="5:5" x14ac:dyDescent="0.25">
      <c r="E7601" s="82" t="s">
        <v>8572</v>
      </c>
    </row>
    <row r="7602" spans="5:5" x14ac:dyDescent="0.25">
      <c r="E7602" s="82" t="s">
        <v>8573</v>
      </c>
    </row>
    <row r="7603" spans="5:5" x14ac:dyDescent="0.25">
      <c r="E7603" s="82" t="s">
        <v>8574</v>
      </c>
    </row>
    <row r="7604" spans="5:5" x14ac:dyDescent="0.25">
      <c r="E7604" s="82" t="s">
        <v>8575</v>
      </c>
    </row>
    <row r="7605" spans="5:5" x14ac:dyDescent="0.25">
      <c r="E7605" s="82" t="s">
        <v>8576</v>
      </c>
    </row>
    <row r="7606" spans="5:5" x14ac:dyDescent="0.25">
      <c r="E7606" s="82" t="s">
        <v>8577</v>
      </c>
    </row>
    <row r="7607" spans="5:5" x14ac:dyDescent="0.25">
      <c r="E7607" s="82" t="s">
        <v>8578</v>
      </c>
    </row>
    <row r="7608" spans="5:5" x14ac:dyDescent="0.25">
      <c r="E7608" s="82" t="s">
        <v>8579</v>
      </c>
    </row>
    <row r="7609" spans="5:5" x14ac:dyDescent="0.25">
      <c r="E7609" s="82" t="s">
        <v>8580</v>
      </c>
    </row>
    <row r="7610" spans="5:5" x14ac:dyDescent="0.25">
      <c r="E7610" s="82" t="s">
        <v>8581</v>
      </c>
    </row>
    <row r="7611" spans="5:5" x14ac:dyDescent="0.25">
      <c r="E7611" s="82" t="s">
        <v>8582</v>
      </c>
    </row>
    <row r="7612" spans="5:5" x14ac:dyDescent="0.25">
      <c r="E7612" s="82" t="s">
        <v>8583</v>
      </c>
    </row>
    <row r="7613" spans="5:5" x14ac:dyDescent="0.25">
      <c r="E7613" s="82" t="s">
        <v>8584</v>
      </c>
    </row>
    <row r="7614" spans="5:5" x14ac:dyDescent="0.25">
      <c r="E7614" s="82" t="s">
        <v>8585</v>
      </c>
    </row>
    <row r="7615" spans="5:5" x14ac:dyDescent="0.25">
      <c r="E7615" s="82" t="s">
        <v>8586</v>
      </c>
    </row>
    <row r="7616" spans="5:5" x14ac:dyDescent="0.25">
      <c r="E7616" s="82" t="s">
        <v>8587</v>
      </c>
    </row>
    <row r="7617" spans="5:5" x14ac:dyDescent="0.25">
      <c r="E7617" s="82" t="s">
        <v>8588</v>
      </c>
    </row>
    <row r="7618" spans="5:5" x14ac:dyDescent="0.25">
      <c r="E7618" s="82" t="s">
        <v>8589</v>
      </c>
    </row>
    <row r="7619" spans="5:5" x14ac:dyDescent="0.25">
      <c r="E7619" s="82" t="s">
        <v>8590</v>
      </c>
    </row>
    <row r="7620" spans="5:5" x14ac:dyDescent="0.25">
      <c r="E7620" s="82" t="s">
        <v>8591</v>
      </c>
    </row>
    <row r="7621" spans="5:5" x14ac:dyDescent="0.25">
      <c r="E7621" s="82" t="s">
        <v>8592</v>
      </c>
    </row>
    <row r="7622" spans="5:5" x14ac:dyDescent="0.25">
      <c r="E7622" s="82" t="s">
        <v>8593</v>
      </c>
    </row>
    <row r="7623" spans="5:5" x14ac:dyDescent="0.25">
      <c r="E7623" s="82" t="s">
        <v>8594</v>
      </c>
    </row>
    <row r="7624" spans="5:5" x14ac:dyDescent="0.25">
      <c r="E7624" s="82" t="s">
        <v>8595</v>
      </c>
    </row>
    <row r="7625" spans="5:5" x14ac:dyDescent="0.25">
      <c r="E7625" s="82" t="s">
        <v>8596</v>
      </c>
    </row>
    <row r="7626" spans="5:5" x14ac:dyDescent="0.25">
      <c r="E7626" s="82" t="s">
        <v>8597</v>
      </c>
    </row>
    <row r="7627" spans="5:5" x14ac:dyDescent="0.25">
      <c r="E7627" s="82" t="s">
        <v>8598</v>
      </c>
    </row>
    <row r="7628" spans="5:5" x14ac:dyDescent="0.25">
      <c r="E7628" s="82" t="s">
        <v>8599</v>
      </c>
    </row>
    <row r="7629" spans="5:5" x14ac:dyDescent="0.25">
      <c r="E7629" s="82" t="s">
        <v>8600</v>
      </c>
    </row>
    <row r="7630" spans="5:5" x14ac:dyDescent="0.25">
      <c r="E7630" s="82" t="s">
        <v>8601</v>
      </c>
    </row>
    <row r="7631" spans="5:5" x14ac:dyDescent="0.25">
      <c r="E7631" s="82" t="s">
        <v>8602</v>
      </c>
    </row>
    <row r="7632" spans="5:5" x14ac:dyDescent="0.25">
      <c r="E7632" s="82" t="s">
        <v>8603</v>
      </c>
    </row>
    <row r="7633" spans="5:5" x14ac:dyDescent="0.25">
      <c r="E7633" s="82" t="s">
        <v>8604</v>
      </c>
    </row>
    <row r="7634" spans="5:5" x14ac:dyDescent="0.25">
      <c r="E7634" s="82" t="s">
        <v>8605</v>
      </c>
    </row>
    <row r="7635" spans="5:5" x14ac:dyDescent="0.25">
      <c r="E7635" s="82" t="s">
        <v>8606</v>
      </c>
    </row>
    <row r="7636" spans="5:5" x14ac:dyDescent="0.25">
      <c r="E7636" s="82" t="s">
        <v>8607</v>
      </c>
    </row>
    <row r="7637" spans="5:5" x14ac:dyDescent="0.25">
      <c r="E7637" s="82" t="s">
        <v>8608</v>
      </c>
    </row>
    <row r="7638" spans="5:5" x14ac:dyDescent="0.25">
      <c r="E7638" s="82" t="s">
        <v>8609</v>
      </c>
    </row>
    <row r="7639" spans="5:5" x14ac:dyDescent="0.25">
      <c r="E7639" s="82" t="s">
        <v>8610</v>
      </c>
    </row>
    <row r="7640" spans="5:5" x14ac:dyDescent="0.25">
      <c r="E7640" s="82" t="s">
        <v>8611</v>
      </c>
    </row>
    <row r="7641" spans="5:5" x14ac:dyDescent="0.25">
      <c r="E7641" s="82" t="s">
        <v>8612</v>
      </c>
    </row>
    <row r="7642" spans="5:5" x14ac:dyDescent="0.25">
      <c r="E7642" s="82" t="s">
        <v>8613</v>
      </c>
    </row>
    <row r="7643" spans="5:5" x14ac:dyDescent="0.25">
      <c r="E7643" s="82" t="s">
        <v>8614</v>
      </c>
    </row>
    <row r="7644" spans="5:5" x14ac:dyDescent="0.25">
      <c r="E7644" s="82" t="s">
        <v>8615</v>
      </c>
    </row>
    <row r="7645" spans="5:5" x14ac:dyDescent="0.25">
      <c r="E7645" s="82" t="s">
        <v>8616</v>
      </c>
    </row>
    <row r="7646" spans="5:5" x14ac:dyDescent="0.25">
      <c r="E7646" s="82" t="s">
        <v>8617</v>
      </c>
    </row>
    <row r="7647" spans="5:5" x14ac:dyDescent="0.25">
      <c r="E7647" s="82" t="s">
        <v>8618</v>
      </c>
    </row>
    <row r="7648" spans="5:5" x14ac:dyDescent="0.25">
      <c r="E7648" s="82" t="s">
        <v>8619</v>
      </c>
    </row>
    <row r="7649" spans="5:5" x14ac:dyDescent="0.25">
      <c r="E7649" s="82" t="s">
        <v>8620</v>
      </c>
    </row>
    <row r="7650" spans="5:5" x14ac:dyDescent="0.25">
      <c r="E7650" s="82" t="s">
        <v>8621</v>
      </c>
    </row>
    <row r="7651" spans="5:5" x14ac:dyDescent="0.25">
      <c r="E7651" s="82" t="s">
        <v>8622</v>
      </c>
    </row>
    <row r="7652" spans="5:5" x14ac:dyDescent="0.25">
      <c r="E7652" s="82" t="s">
        <v>8623</v>
      </c>
    </row>
    <row r="7653" spans="5:5" x14ac:dyDescent="0.25">
      <c r="E7653" s="82" t="s">
        <v>8624</v>
      </c>
    </row>
    <row r="7654" spans="5:5" x14ac:dyDescent="0.25">
      <c r="E7654" s="82" t="s">
        <v>8625</v>
      </c>
    </row>
    <row r="7655" spans="5:5" x14ac:dyDescent="0.25">
      <c r="E7655" s="82" t="s">
        <v>8626</v>
      </c>
    </row>
    <row r="7656" spans="5:5" x14ac:dyDescent="0.25">
      <c r="E7656" s="82" t="s">
        <v>8627</v>
      </c>
    </row>
    <row r="7657" spans="5:5" x14ac:dyDescent="0.25">
      <c r="E7657" s="82" t="s">
        <v>8628</v>
      </c>
    </row>
    <row r="7658" spans="5:5" x14ac:dyDescent="0.25">
      <c r="E7658" s="82" t="s">
        <v>8629</v>
      </c>
    </row>
    <row r="7659" spans="5:5" x14ac:dyDescent="0.25">
      <c r="E7659" s="82" t="s">
        <v>8630</v>
      </c>
    </row>
    <row r="7660" spans="5:5" x14ac:dyDescent="0.25">
      <c r="E7660" s="82" t="s">
        <v>8631</v>
      </c>
    </row>
    <row r="7661" spans="5:5" x14ac:dyDescent="0.25">
      <c r="E7661" s="82" t="s">
        <v>8632</v>
      </c>
    </row>
    <row r="7662" spans="5:5" x14ac:dyDescent="0.25">
      <c r="E7662" s="82" t="s">
        <v>8633</v>
      </c>
    </row>
    <row r="7663" spans="5:5" x14ac:dyDescent="0.25">
      <c r="E7663" s="82" t="s">
        <v>8634</v>
      </c>
    </row>
    <row r="7664" spans="5:5" x14ac:dyDescent="0.25">
      <c r="E7664" s="82" t="s">
        <v>8635</v>
      </c>
    </row>
    <row r="7665" spans="5:5" x14ac:dyDescent="0.25">
      <c r="E7665" s="82" t="s">
        <v>8636</v>
      </c>
    </row>
    <row r="7666" spans="5:5" x14ac:dyDescent="0.25">
      <c r="E7666" s="82" t="s">
        <v>8637</v>
      </c>
    </row>
    <row r="7667" spans="5:5" x14ac:dyDescent="0.25">
      <c r="E7667" s="82" t="s">
        <v>8638</v>
      </c>
    </row>
    <row r="7668" spans="5:5" x14ac:dyDescent="0.25">
      <c r="E7668" s="82" t="s">
        <v>8639</v>
      </c>
    </row>
    <row r="7669" spans="5:5" x14ac:dyDescent="0.25">
      <c r="E7669" s="82" t="s">
        <v>8640</v>
      </c>
    </row>
    <row r="7670" spans="5:5" x14ac:dyDescent="0.25">
      <c r="E7670" s="82" t="s">
        <v>8641</v>
      </c>
    </row>
    <row r="7671" spans="5:5" x14ac:dyDescent="0.25">
      <c r="E7671" s="82" t="s">
        <v>8642</v>
      </c>
    </row>
    <row r="7672" spans="5:5" x14ac:dyDescent="0.25">
      <c r="E7672" s="82" t="s">
        <v>8643</v>
      </c>
    </row>
    <row r="7673" spans="5:5" x14ac:dyDescent="0.25">
      <c r="E7673" s="82" t="s">
        <v>8644</v>
      </c>
    </row>
    <row r="7674" spans="5:5" x14ac:dyDescent="0.25">
      <c r="E7674" s="82" t="s">
        <v>8645</v>
      </c>
    </row>
    <row r="7675" spans="5:5" x14ac:dyDescent="0.25">
      <c r="E7675" s="82" t="s">
        <v>8646</v>
      </c>
    </row>
    <row r="7676" spans="5:5" x14ac:dyDescent="0.25">
      <c r="E7676" s="82" t="s">
        <v>8647</v>
      </c>
    </row>
    <row r="7677" spans="5:5" x14ac:dyDescent="0.25">
      <c r="E7677" s="82" t="s">
        <v>8648</v>
      </c>
    </row>
    <row r="7678" spans="5:5" x14ac:dyDescent="0.25">
      <c r="E7678" s="82" t="s">
        <v>8649</v>
      </c>
    </row>
    <row r="7679" spans="5:5" x14ac:dyDescent="0.25">
      <c r="E7679" s="82" t="s">
        <v>8650</v>
      </c>
    </row>
    <row r="7680" spans="5:5" x14ac:dyDescent="0.25">
      <c r="E7680" s="82" t="s">
        <v>8651</v>
      </c>
    </row>
    <row r="7681" spans="5:5" x14ac:dyDescent="0.25">
      <c r="E7681" s="82" t="s">
        <v>8652</v>
      </c>
    </row>
    <row r="7682" spans="5:5" x14ac:dyDescent="0.25">
      <c r="E7682" s="82" t="s">
        <v>8653</v>
      </c>
    </row>
    <row r="7683" spans="5:5" x14ac:dyDescent="0.25">
      <c r="E7683" s="82" t="s">
        <v>8654</v>
      </c>
    </row>
    <row r="7684" spans="5:5" x14ac:dyDescent="0.25">
      <c r="E7684" s="82" t="s">
        <v>8655</v>
      </c>
    </row>
    <row r="7685" spans="5:5" x14ac:dyDescent="0.25">
      <c r="E7685" s="82" t="s">
        <v>8656</v>
      </c>
    </row>
    <row r="7686" spans="5:5" x14ac:dyDescent="0.25">
      <c r="E7686" s="82" t="s">
        <v>8657</v>
      </c>
    </row>
    <row r="7687" spans="5:5" x14ac:dyDescent="0.25">
      <c r="E7687" s="82" t="s">
        <v>8658</v>
      </c>
    </row>
    <row r="7688" spans="5:5" x14ac:dyDescent="0.25">
      <c r="E7688" s="82" t="s">
        <v>8659</v>
      </c>
    </row>
    <row r="7689" spans="5:5" x14ac:dyDescent="0.25">
      <c r="E7689" s="82" t="s">
        <v>8660</v>
      </c>
    </row>
    <row r="7690" spans="5:5" x14ac:dyDescent="0.25">
      <c r="E7690" s="82" t="s">
        <v>8661</v>
      </c>
    </row>
    <row r="7691" spans="5:5" x14ac:dyDescent="0.25">
      <c r="E7691" s="82" t="s">
        <v>8662</v>
      </c>
    </row>
    <row r="7692" spans="5:5" x14ac:dyDescent="0.25">
      <c r="E7692" s="82" t="s">
        <v>8663</v>
      </c>
    </row>
    <row r="7693" spans="5:5" x14ac:dyDescent="0.25">
      <c r="E7693" s="82" t="s">
        <v>8664</v>
      </c>
    </row>
    <row r="7694" spans="5:5" x14ac:dyDescent="0.25">
      <c r="E7694" s="82" t="s">
        <v>8665</v>
      </c>
    </row>
    <row r="7695" spans="5:5" x14ac:dyDescent="0.25">
      <c r="E7695" s="82" t="s">
        <v>8666</v>
      </c>
    </row>
    <row r="7696" spans="5:5" x14ac:dyDescent="0.25">
      <c r="E7696" s="82" t="s">
        <v>8667</v>
      </c>
    </row>
    <row r="7697" spans="5:5" x14ac:dyDescent="0.25">
      <c r="E7697" s="82" t="s">
        <v>8668</v>
      </c>
    </row>
    <row r="7698" spans="5:5" x14ac:dyDescent="0.25">
      <c r="E7698" s="82" t="s">
        <v>8669</v>
      </c>
    </row>
    <row r="7699" spans="5:5" x14ac:dyDescent="0.25">
      <c r="E7699" s="82" t="s">
        <v>8670</v>
      </c>
    </row>
    <row r="7700" spans="5:5" x14ac:dyDescent="0.25">
      <c r="E7700" s="82" t="s">
        <v>8671</v>
      </c>
    </row>
    <row r="7701" spans="5:5" x14ac:dyDescent="0.25">
      <c r="E7701" s="82" t="s">
        <v>8672</v>
      </c>
    </row>
    <row r="7702" spans="5:5" x14ac:dyDescent="0.25">
      <c r="E7702" s="82" t="s">
        <v>8673</v>
      </c>
    </row>
    <row r="7703" spans="5:5" x14ac:dyDescent="0.25">
      <c r="E7703" s="82" t="s">
        <v>8674</v>
      </c>
    </row>
    <row r="7704" spans="5:5" x14ac:dyDescent="0.25">
      <c r="E7704" s="82" t="s">
        <v>8675</v>
      </c>
    </row>
    <row r="7705" spans="5:5" x14ac:dyDescent="0.25">
      <c r="E7705" s="82" t="s">
        <v>8676</v>
      </c>
    </row>
    <row r="7706" spans="5:5" x14ac:dyDescent="0.25">
      <c r="E7706" s="82" t="s">
        <v>8677</v>
      </c>
    </row>
    <row r="7707" spans="5:5" x14ac:dyDescent="0.25">
      <c r="E7707" s="82" t="s">
        <v>8678</v>
      </c>
    </row>
    <row r="7708" spans="5:5" x14ac:dyDescent="0.25">
      <c r="E7708" s="82" t="s">
        <v>8679</v>
      </c>
    </row>
    <row r="7709" spans="5:5" x14ac:dyDescent="0.25">
      <c r="E7709" s="82" t="s">
        <v>8680</v>
      </c>
    </row>
    <row r="7710" spans="5:5" x14ac:dyDescent="0.25">
      <c r="E7710" s="82" t="s">
        <v>8681</v>
      </c>
    </row>
    <row r="7711" spans="5:5" x14ac:dyDescent="0.25">
      <c r="E7711" s="82" t="s">
        <v>8682</v>
      </c>
    </row>
    <row r="7712" spans="5:5" x14ac:dyDescent="0.25">
      <c r="E7712" s="82" t="s">
        <v>8683</v>
      </c>
    </row>
    <row r="7713" spans="5:5" x14ac:dyDescent="0.25">
      <c r="E7713" s="82" t="s">
        <v>8684</v>
      </c>
    </row>
    <row r="7714" spans="5:5" x14ac:dyDescent="0.25">
      <c r="E7714" s="82" t="s">
        <v>8685</v>
      </c>
    </row>
    <row r="7715" spans="5:5" x14ac:dyDescent="0.25">
      <c r="E7715" s="82" t="s">
        <v>8686</v>
      </c>
    </row>
    <row r="7716" spans="5:5" x14ac:dyDescent="0.25">
      <c r="E7716" s="82" t="s">
        <v>8687</v>
      </c>
    </row>
    <row r="7717" spans="5:5" x14ac:dyDescent="0.25">
      <c r="E7717" s="82" t="s">
        <v>8688</v>
      </c>
    </row>
    <row r="7718" spans="5:5" x14ac:dyDescent="0.25">
      <c r="E7718" s="82" t="s">
        <v>8689</v>
      </c>
    </row>
    <row r="7719" spans="5:5" x14ac:dyDescent="0.25">
      <c r="E7719" s="82" t="s">
        <v>8690</v>
      </c>
    </row>
    <row r="7720" spans="5:5" x14ac:dyDescent="0.25">
      <c r="E7720" s="82" t="s">
        <v>8691</v>
      </c>
    </row>
    <row r="7721" spans="5:5" x14ac:dyDescent="0.25">
      <c r="E7721" s="82" t="s">
        <v>8692</v>
      </c>
    </row>
    <row r="7722" spans="5:5" x14ac:dyDescent="0.25">
      <c r="E7722" s="82" t="s">
        <v>8693</v>
      </c>
    </row>
    <row r="7723" spans="5:5" x14ac:dyDescent="0.25">
      <c r="E7723" s="82" t="s">
        <v>8694</v>
      </c>
    </row>
    <row r="7724" spans="5:5" x14ac:dyDescent="0.25">
      <c r="E7724" s="82" t="s">
        <v>8695</v>
      </c>
    </row>
    <row r="7725" spans="5:5" x14ac:dyDescent="0.25">
      <c r="E7725" s="82" t="s">
        <v>8696</v>
      </c>
    </row>
    <row r="7726" spans="5:5" x14ac:dyDescent="0.25">
      <c r="E7726" s="82" t="s">
        <v>8697</v>
      </c>
    </row>
    <row r="7727" spans="5:5" x14ac:dyDescent="0.25">
      <c r="E7727" s="82" t="s">
        <v>8698</v>
      </c>
    </row>
    <row r="7728" spans="5:5" x14ac:dyDescent="0.25">
      <c r="E7728" s="82" t="s">
        <v>8699</v>
      </c>
    </row>
    <row r="7729" spans="5:5" x14ac:dyDescent="0.25">
      <c r="E7729" s="82" t="s">
        <v>8700</v>
      </c>
    </row>
    <row r="7730" spans="5:5" x14ac:dyDescent="0.25">
      <c r="E7730" s="82" t="s">
        <v>8701</v>
      </c>
    </row>
    <row r="7731" spans="5:5" x14ac:dyDescent="0.25">
      <c r="E7731" s="82" t="s">
        <v>8702</v>
      </c>
    </row>
    <row r="7732" spans="5:5" x14ac:dyDescent="0.25">
      <c r="E7732" s="82" t="s">
        <v>8703</v>
      </c>
    </row>
    <row r="7733" spans="5:5" x14ac:dyDescent="0.25">
      <c r="E7733" s="82" t="s">
        <v>8704</v>
      </c>
    </row>
    <row r="7734" spans="5:5" x14ac:dyDescent="0.25">
      <c r="E7734" s="82" t="s">
        <v>8705</v>
      </c>
    </row>
    <row r="7735" spans="5:5" x14ac:dyDescent="0.25">
      <c r="E7735" s="82" t="s">
        <v>8706</v>
      </c>
    </row>
    <row r="7736" spans="5:5" x14ac:dyDescent="0.25">
      <c r="E7736" s="82" t="s">
        <v>8707</v>
      </c>
    </row>
    <row r="7737" spans="5:5" x14ac:dyDescent="0.25">
      <c r="E7737" s="82" t="s">
        <v>8708</v>
      </c>
    </row>
    <row r="7738" spans="5:5" x14ac:dyDescent="0.25">
      <c r="E7738" s="82" t="s">
        <v>8709</v>
      </c>
    </row>
    <row r="7739" spans="5:5" x14ac:dyDescent="0.25">
      <c r="E7739" s="82" t="s">
        <v>8710</v>
      </c>
    </row>
    <row r="7740" spans="5:5" x14ac:dyDescent="0.25">
      <c r="E7740" s="82" t="s">
        <v>8711</v>
      </c>
    </row>
    <row r="7741" spans="5:5" x14ac:dyDescent="0.25">
      <c r="E7741" s="82" t="s">
        <v>8712</v>
      </c>
    </row>
    <row r="7742" spans="5:5" x14ac:dyDescent="0.25">
      <c r="E7742" s="82" t="s">
        <v>8713</v>
      </c>
    </row>
    <row r="7743" spans="5:5" x14ac:dyDescent="0.25">
      <c r="E7743" s="82" t="s">
        <v>8714</v>
      </c>
    </row>
    <row r="7744" spans="5:5" x14ac:dyDescent="0.25">
      <c r="E7744" s="82" t="s">
        <v>8715</v>
      </c>
    </row>
    <row r="7745" spans="5:5" x14ac:dyDescent="0.25">
      <c r="E7745" s="82" t="s">
        <v>8716</v>
      </c>
    </row>
    <row r="7746" spans="5:5" x14ac:dyDescent="0.25">
      <c r="E7746" s="82" t="s">
        <v>8717</v>
      </c>
    </row>
    <row r="7747" spans="5:5" x14ac:dyDescent="0.25">
      <c r="E7747" s="82" t="s">
        <v>8718</v>
      </c>
    </row>
    <row r="7748" spans="5:5" x14ac:dyDescent="0.25">
      <c r="E7748" s="82" t="s">
        <v>8719</v>
      </c>
    </row>
    <row r="7749" spans="5:5" x14ac:dyDescent="0.25">
      <c r="E7749" s="82" t="s">
        <v>8720</v>
      </c>
    </row>
    <row r="7750" spans="5:5" x14ac:dyDescent="0.25">
      <c r="E7750" s="82" t="s">
        <v>8721</v>
      </c>
    </row>
    <row r="7751" spans="5:5" x14ac:dyDescent="0.25">
      <c r="E7751" s="82" t="s">
        <v>8722</v>
      </c>
    </row>
    <row r="7752" spans="5:5" x14ac:dyDescent="0.25">
      <c r="E7752" s="82" t="s">
        <v>8723</v>
      </c>
    </row>
    <row r="7753" spans="5:5" x14ac:dyDescent="0.25">
      <c r="E7753" s="82" t="s">
        <v>8724</v>
      </c>
    </row>
    <row r="7754" spans="5:5" x14ac:dyDescent="0.25">
      <c r="E7754" s="82" t="s">
        <v>8725</v>
      </c>
    </row>
    <row r="7755" spans="5:5" x14ac:dyDescent="0.25">
      <c r="E7755" s="82" t="s">
        <v>8726</v>
      </c>
    </row>
    <row r="7756" spans="5:5" x14ac:dyDescent="0.25">
      <c r="E7756" s="82" t="s">
        <v>8727</v>
      </c>
    </row>
    <row r="7757" spans="5:5" x14ac:dyDescent="0.25">
      <c r="E7757" s="82" t="s">
        <v>8728</v>
      </c>
    </row>
    <row r="7758" spans="5:5" x14ac:dyDescent="0.25">
      <c r="E7758" s="82" t="s">
        <v>8729</v>
      </c>
    </row>
    <row r="7759" spans="5:5" x14ac:dyDescent="0.25">
      <c r="E7759" s="82" t="s">
        <v>8730</v>
      </c>
    </row>
    <row r="7760" spans="5:5" x14ac:dyDescent="0.25">
      <c r="E7760" s="82" t="s">
        <v>8731</v>
      </c>
    </row>
    <row r="7761" spans="5:5" x14ac:dyDescent="0.25">
      <c r="E7761" s="82" t="s">
        <v>8732</v>
      </c>
    </row>
    <row r="7762" spans="5:5" x14ac:dyDescent="0.25">
      <c r="E7762" s="82" t="s">
        <v>8733</v>
      </c>
    </row>
    <row r="7763" spans="5:5" x14ac:dyDescent="0.25">
      <c r="E7763" s="82" t="s">
        <v>8734</v>
      </c>
    </row>
    <row r="7764" spans="5:5" x14ac:dyDescent="0.25">
      <c r="E7764" s="82" t="s">
        <v>8735</v>
      </c>
    </row>
    <row r="7765" spans="5:5" x14ac:dyDescent="0.25">
      <c r="E7765" s="82" t="s">
        <v>8736</v>
      </c>
    </row>
    <row r="7766" spans="5:5" x14ac:dyDescent="0.25">
      <c r="E7766" s="82" t="s">
        <v>8737</v>
      </c>
    </row>
    <row r="7767" spans="5:5" x14ac:dyDescent="0.25">
      <c r="E7767" s="82" t="s">
        <v>8738</v>
      </c>
    </row>
    <row r="7768" spans="5:5" x14ac:dyDescent="0.25">
      <c r="E7768" s="82" t="s">
        <v>8739</v>
      </c>
    </row>
    <row r="7769" spans="5:5" x14ac:dyDescent="0.25">
      <c r="E7769" s="82" t="s">
        <v>8740</v>
      </c>
    </row>
    <row r="7770" spans="5:5" x14ac:dyDescent="0.25">
      <c r="E7770" s="82" t="s">
        <v>8741</v>
      </c>
    </row>
    <row r="7771" spans="5:5" x14ac:dyDescent="0.25">
      <c r="E7771" s="82" t="s">
        <v>8742</v>
      </c>
    </row>
    <row r="7772" spans="5:5" x14ac:dyDescent="0.25">
      <c r="E7772" s="82" t="s">
        <v>8743</v>
      </c>
    </row>
    <row r="7773" spans="5:5" x14ac:dyDescent="0.25">
      <c r="E7773" s="82" t="s">
        <v>8744</v>
      </c>
    </row>
    <row r="7774" spans="5:5" x14ac:dyDescent="0.25">
      <c r="E7774" s="82" t="s">
        <v>8745</v>
      </c>
    </row>
    <row r="7775" spans="5:5" x14ac:dyDescent="0.25">
      <c r="E7775" s="82" t="s">
        <v>8746</v>
      </c>
    </row>
    <row r="7776" spans="5:5" x14ac:dyDescent="0.25">
      <c r="E7776" s="82" t="s">
        <v>8747</v>
      </c>
    </row>
    <row r="7777" spans="5:5" x14ac:dyDescent="0.25">
      <c r="E7777" s="82" t="s">
        <v>8748</v>
      </c>
    </row>
    <row r="7778" spans="5:5" x14ac:dyDescent="0.25">
      <c r="E7778" s="82" t="s">
        <v>8749</v>
      </c>
    </row>
    <row r="7779" spans="5:5" x14ac:dyDescent="0.25">
      <c r="E7779" s="82" t="s">
        <v>8750</v>
      </c>
    </row>
    <row r="7780" spans="5:5" x14ac:dyDescent="0.25">
      <c r="E7780" s="82" t="s">
        <v>8751</v>
      </c>
    </row>
    <row r="7781" spans="5:5" x14ac:dyDescent="0.25">
      <c r="E7781" s="82" t="s">
        <v>8752</v>
      </c>
    </row>
    <row r="7782" spans="5:5" x14ac:dyDescent="0.25">
      <c r="E7782" s="82" t="s">
        <v>8753</v>
      </c>
    </row>
    <row r="7783" spans="5:5" x14ac:dyDescent="0.25">
      <c r="E7783" s="82" t="s">
        <v>8754</v>
      </c>
    </row>
    <row r="7784" spans="5:5" x14ac:dyDescent="0.25">
      <c r="E7784" s="82" t="s">
        <v>8755</v>
      </c>
    </row>
    <row r="7785" spans="5:5" x14ac:dyDescent="0.25">
      <c r="E7785" s="82" t="s">
        <v>8756</v>
      </c>
    </row>
    <row r="7786" spans="5:5" x14ac:dyDescent="0.25">
      <c r="E7786" s="82" t="s">
        <v>8757</v>
      </c>
    </row>
    <row r="7787" spans="5:5" x14ac:dyDescent="0.25">
      <c r="E7787" s="82" t="s">
        <v>8758</v>
      </c>
    </row>
    <row r="7788" spans="5:5" x14ac:dyDescent="0.25">
      <c r="E7788" s="82" t="s">
        <v>8759</v>
      </c>
    </row>
    <row r="7789" spans="5:5" x14ac:dyDescent="0.25">
      <c r="E7789" s="82" t="s">
        <v>8760</v>
      </c>
    </row>
    <row r="7790" spans="5:5" x14ac:dyDescent="0.25">
      <c r="E7790" s="82" t="s">
        <v>8761</v>
      </c>
    </row>
    <row r="7791" spans="5:5" x14ac:dyDescent="0.25">
      <c r="E7791" s="82" t="s">
        <v>8762</v>
      </c>
    </row>
    <row r="7792" spans="5:5" x14ac:dyDescent="0.25">
      <c r="E7792" s="82" t="s">
        <v>8763</v>
      </c>
    </row>
    <row r="7793" spans="5:5" x14ac:dyDescent="0.25">
      <c r="E7793" s="82" t="s">
        <v>8764</v>
      </c>
    </row>
    <row r="7794" spans="5:5" x14ac:dyDescent="0.25">
      <c r="E7794" s="82" t="s">
        <v>8765</v>
      </c>
    </row>
    <row r="7795" spans="5:5" x14ac:dyDescent="0.25">
      <c r="E7795" s="82" t="s">
        <v>8766</v>
      </c>
    </row>
    <row r="7796" spans="5:5" x14ac:dyDescent="0.25">
      <c r="E7796" s="82" t="s">
        <v>8767</v>
      </c>
    </row>
    <row r="7797" spans="5:5" x14ac:dyDescent="0.25">
      <c r="E7797" s="82" t="s">
        <v>8768</v>
      </c>
    </row>
    <row r="7798" spans="5:5" x14ac:dyDescent="0.25">
      <c r="E7798" s="82" t="s">
        <v>8769</v>
      </c>
    </row>
    <row r="7799" spans="5:5" x14ac:dyDescent="0.25">
      <c r="E7799" s="82" t="s">
        <v>8770</v>
      </c>
    </row>
    <row r="7800" spans="5:5" x14ac:dyDescent="0.25">
      <c r="E7800" s="82" t="s">
        <v>8771</v>
      </c>
    </row>
    <row r="7801" spans="5:5" x14ac:dyDescent="0.25">
      <c r="E7801" s="82" t="s">
        <v>8772</v>
      </c>
    </row>
    <row r="7802" spans="5:5" x14ac:dyDescent="0.25">
      <c r="E7802" s="82" t="s">
        <v>8773</v>
      </c>
    </row>
    <row r="7803" spans="5:5" x14ac:dyDescent="0.25">
      <c r="E7803" s="82" t="s">
        <v>8774</v>
      </c>
    </row>
    <row r="7804" spans="5:5" x14ac:dyDescent="0.25">
      <c r="E7804" s="82" t="s">
        <v>8775</v>
      </c>
    </row>
    <row r="7805" spans="5:5" x14ac:dyDescent="0.25">
      <c r="E7805" s="82" t="s">
        <v>8776</v>
      </c>
    </row>
    <row r="7806" spans="5:5" x14ac:dyDescent="0.25">
      <c r="E7806" s="82" t="s">
        <v>8777</v>
      </c>
    </row>
    <row r="7807" spans="5:5" x14ac:dyDescent="0.25">
      <c r="E7807" s="82" t="s">
        <v>8778</v>
      </c>
    </row>
    <row r="7808" spans="5:5" x14ac:dyDescent="0.25">
      <c r="E7808" s="82" t="s">
        <v>8779</v>
      </c>
    </row>
    <row r="7809" spans="5:5" x14ac:dyDescent="0.25">
      <c r="E7809" s="82" t="s">
        <v>8780</v>
      </c>
    </row>
    <row r="7810" spans="5:5" x14ac:dyDescent="0.25">
      <c r="E7810" s="82" t="s">
        <v>8781</v>
      </c>
    </row>
    <row r="7811" spans="5:5" x14ac:dyDescent="0.25">
      <c r="E7811" s="82" t="s">
        <v>8782</v>
      </c>
    </row>
    <row r="7812" spans="5:5" x14ac:dyDescent="0.25">
      <c r="E7812" s="82" t="s">
        <v>8783</v>
      </c>
    </row>
    <row r="7813" spans="5:5" x14ac:dyDescent="0.25">
      <c r="E7813" s="82" t="s">
        <v>8784</v>
      </c>
    </row>
    <row r="7814" spans="5:5" x14ac:dyDescent="0.25">
      <c r="E7814" s="82" t="s">
        <v>8785</v>
      </c>
    </row>
    <row r="7815" spans="5:5" x14ac:dyDescent="0.25">
      <c r="E7815" s="82" t="s">
        <v>8786</v>
      </c>
    </row>
    <row r="7816" spans="5:5" x14ac:dyDescent="0.25">
      <c r="E7816" s="82" t="s">
        <v>8787</v>
      </c>
    </row>
    <row r="7817" spans="5:5" x14ac:dyDescent="0.25">
      <c r="E7817" s="82" t="s">
        <v>8788</v>
      </c>
    </row>
    <row r="7818" spans="5:5" x14ac:dyDescent="0.25">
      <c r="E7818" s="82" t="s">
        <v>8789</v>
      </c>
    </row>
    <row r="7819" spans="5:5" x14ac:dyDescent="0.25">
      <c r="E7819" s="82" t="s">
        <v>8790</v>
      </c>
    </row>
    <row r="7820" spans="5:5" x14ac:dyDescent="0.25">
      <c r="E7820" s="82" t="s">
        <v>8791</v>
      </c>
    </row>
    <row r="7821" spans="5:5" x14ac:dyDescent="0.25">
      <c r="E7821" s="82" t="s">
        <v>8792</v>
      </c>
    </row>
    <row r="7822" spans="5:5" x14ac:dyDescent="0.25">
      <c r="E7822" s="82" t="s">
        <v>8793</v>
      </c>
    </row>
    <row r="7823" spans="5:5" x14ac:dyDescent="0.25">
      <c r="E7823" s="82" t="s">
        <v>8794</v>
      </c>
    </row>
    <row r="7824" spans="5:5" x14ac:dyDescent="0.25">
      <c r="E7824" s="82" t="s">
        <v>8795</v>
      </c>
    </row>
    <row r="7825" spans="5:5" x14ac:dyDescent="0.25">
      <c r="E7825" s="82" t="s">
        <v>8796</v>
      </c>
    </row>
    <row r="7826" spans="5:5" x14ac:dyDescent="0.25">
      <c r="E7826" s="82" t="s">
        <v>8797</v>
      </c>
    </row>
    <row r="7827" spans="5:5" x14ac:dyDescent="0.25">
      <c r="E7827" s="82" t="s">
        <v>8798</v>
      </c>
    </row>
    <row r="7828" spans="5:5" x14ac:dyDescent="0.25">
      <c r="E7828" s="82" t="s">
        <v>8799</v>
      </c>
    </row>
    <row r="7829" spans="5:5" x14ac:dyDescent="0.25">
      <c r="E7829" s="82" t="s">
        <v>8800</v>
      </c>
    </row>
    <row r="7830" spans="5:5" x14ac:dyDescent="0.25">
      <c r="E7830" s="82" t="s">
        <v>8801</v>
      </c>
    </row>
    <row r="7831" spans="5:5" x14ac:dyDescent="0.25">
      <c r="E7831" s="82" t="s">
        <v>8802</v>
      </c>
    </row>
    <row r="7832" spans="5:5" x14ac:dyDescent="0.25">
      <c r="E7832" s="82" t="s">
        <v>8803</v>
      </c>
    </row>
    <row r="7833" spans="5:5" x14ac:dyDescent="0.25">
      <c r="E7833" s="82" t="s">
        <v>8804</v>
      </c>
    </row>
    <row r="7834" spans="5:5" x14ac:dyDescent="0.25">
      <c r="E7834" s="82" t="s">
        <v>8805</v>
      </c>
    </row>
    <row r="7835" spans="5:5" x14ac:dyDescent="0.25">
      <c r="E7835" s="82" t="s">
        <v>8806</v>
      </c>
    </row>
    <row r="7836" spans="5:5" x14ac:dyDescent="0.25">
      <c r="E7836" s="82" t="s">
        <v>8807</v>
      </c>
    </row>
    <row r="7837" spans="5:5" x14ac:dyDescent="0.25">
      <c r="E7837" s="82" t="s">
        <v>8808</v>
      </c>
    </row>
    <row r="7838" spans="5:5" x14ac:dyDescent="0.25">
      <c r="E7838" s="82" t="s">
        <v>8809</v>
      </c>
    </row>
    <row r="7839" spans="5:5" x14ac:dyDescent="0.25">
      <c r="E7839" s="82" t="s">
        <v>8810</v>
      </c>
    </row>
    <row r="7840" spans="5:5" x14ac:dyDescent="0.25">
      <c r="E7840" s="82" t="s">
        <v>8811</v>
      </c>
    </row>
    <row r="7841" spans="5:5" x14ac:dyDescent="0.25">
      <c r="E7841" s="82" t="s">
        <v>8812</v>
      </c>
    </row>
    <row r="7842" spans="5:5" x14ac:dyDescent="0.25">
      <c r="E7842" s="82" t="s">
        <v>8813</v>
      </c>
    </row>
    <row r="7843" spans="5:5" x14ac:dyDescent="0.25">
      <c r="E7843" s="82" t="s">
        <v>8814</v>
      </c>
    </row>
    <row r="7844" spans="5:5" x14ac:dyDescent="0.25">
      <c r="E7844" s="82" t="s">
        <v>8815</v>
      </c>
    </row>
    <row r="7845" spans="5:5" x14ac:dyDescent="0.25">
      <c r="E7845" s="82" t="s">
        <v>8816</v>
      </c>
    </row>
    <row r="7846" spans="5:5" x14ac:dyDescent="0.25">
      <c r="E7846" s="82" t="s">
        <v>8817</v>
      </c>
    </row>
    <row r="7847" spans="5:5" x14ac:dyDescent="0.25">
      <c r="E7847" s="82" t="s">
        <v>8818</v>
      </c>
    </row>
    <row r="7848" spans="5:5" x14ac:dyDescent="0.25">
      <c r="E7848" s="82" t="s">
        <v>8819</v>
      </c>
    </row>
    <row r="7849" spans="5:5" x14ac:dyDescent="0.25">
      <c r="E7849" s="82" t="s">
        <v>8820</v>
      </c>
    </row>
    <row r="7850" spans="5:5" x14ac:dyDescent="0.25">
      <c r="E7850" s="82" t="s">
        <v>8821</v>
      </c>
    </row>
    <row r="7851" spans="5:5" x14ac:dyDescent="0.25">
      <c r="E7851" s="82" t="s">
        <v>8822</v>
      </c>
    </row>
    <row r="7852" spans="5:5" x14ac:dyDescent="0.25">
      <c r="E7852" s="82" t="s">
        <v>8823</v>
      </c>
    </row>
    <row r="7853" spans="5:5" x14ac:dyDescent="0.25">
      <c r="E7853" s="82" t="s">
        <v>8824</v>
      </c>
    </row>
    <row r="7854" spans="5:5" x14ac:dyDescent="0.25">
      <c r="E7854" s="82" t="s">
        <v>8825</v>
      </c>
    </row>
    <row r="7855" spans="5:5" x14ac:dyDescent="0.25">
      <c r="E7855" s="82" t="s">
        <v>8826</v>
      </c>
    </row>
    <row r="7856" spans="5:5" x14ac:dyDescent="0.25">
      <c r="E7856" s="82" t="s">
        <v>8827</v>
      </c>
    </row>
    <row r="7857" spans="5:5" x14ac:dyDescent="0.25">
      <c r="E7857" s="82" t="s">
        <v>8828</v>
      </c>
    </row>
    <row r="7858" spans="5:5" x14ac:dyDescent="0.25">
      <c r="E7858" s="82" t="s">
        <v>8829</v>
      </c>
    </row>
    <row r="7859" spans="5:5" x14ac:dyDescent="0.25">
      <c r="E7859" s="82" t="s">
        <v>8830</v>
      </c>
    </row>
    <row r="7860" spans="5:5" x14ac:dyDescent="0.25">
      <c r="E7860" s="82" t="s">
        <v>8831</v>
      </c>
    </row>
    <row r="7861" spans="5:5" x14ac:dyDescent="0.25">
      <c r="E7861" s="82" t="s">
        <v>8832</v>
      </c>
    </row>
    <row r="7862" spans="5:5" x14ac:dyDescent="0.25">
      <c r="E7862" s="82" t="s">
        <v>8833</v>
      </c>
    </row>
    <row r="7863" spans="5:5" x14ac:dyDescent="0.25">
      <c r="E7863" s="82" t="s">
        <v>8834</v>
      </c>
    </row>
    <row r="7864" spans="5:5" x14ac:dyDescent="0.25">
      <c r="E7864" s="82" t="s">
        <v>8835</v>
      </c>
    </row>
    <row r="7865" spans="5:5" x14ac:dyDescent="0.25">
      <c r="E7865" s="82" t="s">
        <v>8836</v>
      </c>
    </row>
    <row r="7866" spans="5:5" x14ac:dyDescent="0.25">
      <c r="E7866" s="82" t="s">
        <v>8837</v>
      </c>
    </row>
    <row r="7867" spans="5:5" x14ac:dyDescent="0.25">
      <c r="E7867" s="82" t="s">
        <v>8838</v>
      </c>
    </row>
    <row r="7868" spans="5:5" x14ac:dyDescent="0.25">
      <c r="E7868" s="82" t="s">
        <v>8839</v>
      </c>
    </row>
    <row r="7869" spans="5:5" x14ac:dyDescent="0.25">
      <c r="E7869" s="82" t="s">
        <v>8840</v>
      </c>
    </row>
    <row r="7870" spans="5:5" x14ac:dyDescent="0.25">
      <c r="E7870" s="82" t="s">
        <v>8841</v>
      </c>
    </row>
    <row r="7871" spans="5:5" x14ac:dyDescent="0.25">
      <c r="E7871" s="82" t="s">
        <v>8842</v>
      </c>
    </row>
    <row r="7872" spans="5:5" x14ac:dyDescent="0.25">
      <c r="E7872" s="82" t="s">
        <v>8843</v>
      </c>
    </row>
    <row r="7873" spans="5:5" x14ac:dyDescent="0.25">
      <c r="E7873" s="82" t="s">
        <v>8844</v>
      </c>
    </row>
    <row r="7874" spans="5:5" x14ac:dyDescent="0.25">
      <c r="E7874" s="82" t="s">
        <v>8845</v>
      </c>
    </row>
    <row r="7875" spans="5:5" x14ac:dyDescent="0.25">
      <c r="E7875" s="82" t="s">
        <v>8846</v>
      </c>
    </row>
    <row r="7876" spans="5:5" x14ac:dyDescent="0.25">
      <c r="E7876" s="82" t="s">
        <v>8847</v>
      </c>
    </row>
    <row r="7877" spans="5:5" x14ac:dyDescent="0.25">
      <c r="E7877" s="82" t="s">
        <v>8848</v>
      </c>
    </row>
    <row r="7878" spans="5:5" x14ac:dyDescent="0.25">
      <c r="E7878" s="82" t="s">
        <v>8849</v>
      </c>
    </row>
    <row r="7879" spans="5:5" x14ac:dyDescent="0.25">
      <c r="E7879" s="82" t="s">
        <v>8850</v>
      </c>
    </row>
    <row r="7880" spans="5:5" x14ac:dyDescent="0.25">
      <c r="E7880" s="82" t="s">
        <v>8851</v>
      </c>
    </row>
    <row r="7881" spans="5:5" x14ac:dyDescent="0.25">
      <c r="E7881" s="82" t="s">
        <v>8852</v>
      </c>
    </row>
    <row r="7882" spans="5:5" x14ac:dyDescent="0.25">
      <c r="E7882" s="82" t="s">
        <v>8853</v>
      </c>
    </row>
    <row r="7883" spans="5:5" x14ac:dyDescent="0.25">
      <c r="E7883" s="82" t="s">
        <v>8854</v>
      </c>
    </row>
    <row r="7884" spans="5:5" x14ac:dyDescent="0.25">
      <c r="E7884" s="82" t="s">
        <v>8855</v>
      </c>
    </row>
    <row r="7885" spans="5:5" x14ac:dyDescent="0.25">
      <c r="E7885" s="82" t="s">
        <v>8856</v>
      </c>
    </row>
    <row r="7886" spans="5:5" x14ac:dyDescent="0.25">
      <c r="E7886" s="82" t="s">
        <v>8857</v>
      </c>
    </row>
    <row r="7887" spans="5:5" x14ac:dyDescent="0.25">
      <c r="E7887" s="82" t="s">
        <v>8858</v>
      </c>
    </row>
    <row r="7888" spans="5:5" x14ac:dyDescent="0.25">
      <c r="E7888" s="82" t="s">
        <v>8859</v>
      </c>
    </row>
    <row r="7889" spans="5:5" x14ac:dyDescent="0.25">
      <c r="E7889" s="82" t="s">
        <v>8860</v>
      </c>
    </row>
    <row r="7890" spans="5:5" x14ac:dyDescent="0.25">
      <c r="E7890" s="82" t="s">
        <v>8861</v>
      </c>
    </row>
    <row r="7891" spans="5:5" x14ac:dyDescent="0.25">
      <c r="E7891" s="82" t="s">
        <v>8862</v>
      </c>
    </row>
    <row r="7892" spans="5:5" x14ac:dyDescent="0.25">
      <c r="E7892" s="82" t="s">
        <v>8863</v>
      </c>
    </row>
    <row r="7893" spans="5:5" x14ac:dyDescent="0.25">
      <c r="E7893" s="82" t="s">
        <v>8864</v>
      </c>
    </row>
    <row r="7894" spans="5:5" x14ac:dyDescent="0.25">
      <c r="E7894" s="82" t="s">
        <v>8865</v>
      </c>
    </row>
    <row r="7895" spans="5:5" x14ac:dyDescent="0.25">
      <c r="E7895" s="82" t="s">
        <v>8866</v>
      </c>
    </row>
    <row r="7896" spans="5:5" x14ac:dyDescent="0.25">
      <c r="E7896" s="82" t="s">
        <v>8867</v>
      </c>
    </row>
    <row r="7897" spans="5:5" x14ac:dyDescent="0.25">
      <c r="E7897" s="82" t="s">
        <v>8868</v>
      </c>
    </row>
    <row r="7898" spans="5:5" x14ac:dyDescent="0.25">
      <c r="E7898" s="82" t="s">
        <v>8869</v>
      </c>
    </row>
    <row r="7899" spans="5:5" x14ac:dyDescent="0.25">
      <c r="E7899" s="82" t="s">
        <v>8870</v>
      </c>
    </row>
    <row r="7900" spans="5:5" x14ac:dyDescent="0.25">
      <c r="E7900" s="82" t="s">
        <v>8871</v>
      </c>
    </row>
    <row r="7901" spans="5:5" x14ac:dyDescent="0.25">
      <c r="E7901" s="82" t="s">
        <v>8872</v>
      </c>
    </row>
    <row r="7902" spans="5:5" x14ac:dyDescent="0.25">
      <c r="E7902" s="82" t="s">
        <v>8873</v>
      </c>
    </row>
    <row r="7903" spans="5:5" x14ac:dyDescent="0.25">
      <c r="E7903" s="82" t="s">
        <v>8874</v>
      </c>
    </row>
    <row r="7904" spans="5:5" x14ac:dyDescent="0.25">
      <c r="E7904" s="82" t="s">
        <v>8875</v>
      </c>
    </row>
    <row r="7905" spans="5:5" x14ac:dyDescent="0.25">
      <c r="E7905" s="82" t="s">
        <v>8876</v>
      </c>
    </row>
    <row r="7906" spans="5:5" x14ac:dyDescent="0.25">
      <c r="E7906" s="82" t="s">
        <v>8877</v>
      </c>
    </row>
    <row r="7907" spans="5:5" x14ac:dyDescent="0.25">
      <c r="E7907" s="82" t="s">
        <v>8878</v>
      </c>
    </row>
    <row r="7908" spans="5:5" x14ac:dyDescent="0.25">
      <c r="E7908" s="82" t="s">
        <v>8879</v>
      </c>
    </row>
    <row r="7909" spans="5:5" x14ac:dyDescent="0.25">
      <c r="E7909" s="82" t="s">
        <v>8880</v>
      </c>
    </row>
    <row r="7910" spans="5:5" x14ac:dyDescent="0.25">
      <c r="E7910" s="82" t="s">
        <v>8881</v>
      </c>
    </row>
    <row r="7911" spans="5:5" x14ac:dyDescent="0.25">
      <c r="E7911" s="82" t="s">
        <v>8882</v>
      </c>
    </row>
    <row r="7912" spans="5:5" x14ac:dyDescent="0.25">
      <c r="E7912" s="82" t="s">
        <v>8883</v>
      </c>
    </row>
    <row r="7913" spans="5:5" x14ac:dyDescent="0.25">
      <c r="E7913" s="82" t="s">
        <v>8884</v>
      </c>
    </row>
    <row r="7914" spans="5:5" x14ac:dyDescent="0.25">
      <c r="E7914" s="82" t="s">
        <v>8885</v>
      </c>
    </row>
    <row r="7915" spans="5:5" x14ac:dyDescent="0.25">
      <c r="E7915" s="82" t="s">
        <v>8886</v>
      </c>
    </row>
    <row r="7916" spans="5:5" x14ac:dyDescent="0.25">
      <c r="E7916" s="82" t="s">
        <v>8887</v>
      </c>
    </row>
    <row r="7917" spans="5:5" x14ac:dyDescent="0.25">
      <c r="E7917" s="82" t="s">
        <v>8888</v>
      </c>
    </row>
    <row r="7918" spans="5:5" x14ac:dyDescent="0.25">
      <c r="E7918" s="82" t="s">
        <v>8889</v>
      </c>
    </row>
    <row r="7919" spans="5:5" x14ac:dyDescent="0.25">
      <c r="E7919" s="82" t="s">
        <v>8890</v>
      </c>
    </row>
    <row r="7920" spans="5:5" x14ac:dyDescent="0.25">
      <c r="E7920" s="82" t="s">
        <v>8891</v>
      </c>
    </row>
    <row r="7921" spans="5:5" x14ac:dyDescent="0.25">
      <c r="E7921" s="82" t="s">
        <v>8892</v>
      </c>
    </row>
    <row r="7922" spans="5:5" x14ac:dyDescent="0.25">
      <c r="E7922" s="82" t="s">
        <v>8893</v>
      </c>
    </row>
    <row r="7923" spans="5:5" x14ac:dyDescent="0.25">
      <c r="E7923" s="82" t="s">
        <v>8894</v>
      </c>
    </row>
    <row r="7924" spans="5:5" x14ac:dyDescent="0.25">
      <c r="E7924" s="82" t="s">
        <v>8895</v>
      </c>
    </row>
    <row r="7925" spans="5:5" x14ac:dyDescent="0.25">
      <c r="E7925" s="82" t="s">
        <v>8896</v>
      </c>
    </row>
    <row r="7926" spans="5:5" x14ac:dyDescent="0.25">
      <c r="E7926" s="82" t="s">
        <v>8897</v>
      </c>
    </row>
    <row r="7927" spans="5:5" x14ac:dyDescent="0.25">
      <c r="E7927" s="82" t="s">
        <v>8898</v>
      </c>
    </row>
    <row r="7928" spans="5:5" x14ac:dyDescent="0.25">
      <c r="E7928" s="82" t="s">
        <v>8899</v>
      </c>
    </row>
    <row r="7929" spans="5:5" x14ac:dyDescent="0.25">
      <c r="E7929" s="82" t="s">
        <v>8900</v>
      </c>
    </row>
    <row r="7930" spans="5:5" x14ac:dyDescent="0.25">
      <c r="E7930" s="82" t="s">
        <v>8901</v>
      </c>
    </row>
    <row r="7931" spans="5:5" x14ac:dyDescent="0.25">
      <c r="E7931" s="82" t="s">
        <v>8902</v>
      </c>
    </row>
    <row r="7932" spans="5:5" x14ac:dyDescent="0.25">
      <c r="E7932" s="82" t="s">
        <v>8903</v>
      </c>
    </row>
    <row r="7933" spans="5:5" x14ac:dyDescent="0.25">
      <c r="E7933" s="82" t="s">
        <v>8904</v>
      </c>
    </row>
    <row r="7934" spans="5:5" x14ac:dyDescent="0.25">
      <c r="E7934" s="82" t="s">
        <v>8905</v>
      </c>
    </row>
    <row r="7935" spans="5:5" x14ac:dyDescent="0.25">
      <c r="E7935" s="82" t="s">
        <v>8906</v>
      </c>
    </row>
    <row r="7936" spans="5:5" x14ac:dyDescent="0.25">
      <c r="E7936" s="82" t="s">
        <v>8907</v>
      </c>
    </row>
    <row r="7937" spans="5:5" x14ac:dyDescent="0.25">
      <c r="E7937" s="82" t="s">
        <v>8908</v>
      </c>
    </row>
    <row r="7938" spans="5:5" x14ac:dyDescent="0.25">
      <c r="E7938" s="82" t="s">
        <v>8909</v>
      </c>
    </row>
    <row r="7939" spans="5:5" x14ac:dyDescent="0.25">
      <c r="E7939" s="82" t="s">
        <v>8910</v>
      </c>
    </row>
    <row r="7940" spans="5:5" x14ac:dyDescent="0.25">
      <c r="E7940" s="82" t="s">
        <v>8911</v>
      </c>
    </row>
    <row r="7941" spans="5:5" x14ac:dyDescent="0.25">
      <c r="E7941" s="82" t="s">
        <v>8912</v>
      </c>
    </row>
    <row r="7942" spans="5:5" x14ac:dyDescent="0.25">
      <c r="E7942" s="82" t="s">
        <v>8913</v>
      </c>
    </row>
    <row r="7943" spans="5:5" x14ac:dyDescent="0.25">
      <c r="E7943" s="82" t="s">
        <v>8914</v>
      </c>
    </row>
    <row r="7944" spans="5:5" x14ac:dyDescent="0.25">
      <c r="E7944" s="82" t="s">
        <v>8915</v>
      </c>
    </row>
    <row r="7945" spans="5:5" x14ac:dyDescent="0.25">
      <c r="E7945" s="82" t="s">
        <v>8916</v>
      </c>
    </row>
    <row r="7946" spans="5:5" x14ac:dyDescent="0.25">
      <c r="E7946" s="82" t="s">
        <v>8917</v>
      </c>
    </row>
    <row r="7947" spans="5:5" x14ac:dyDescent="0.25">
      <c r="E7947" s="82" t="s">
        <v>8918</v>
      </c>
    </row>
    <row r="7948" spans="5:5" x14ac:dyDescent="0.25">
      <c r="E7948" s="82" t="s">
        <v>8919</v>
      </c>
    </row>
    <row r="7949" spans="5:5" x14ac:dyDescent="0.25">
      <c r="E7949" s="82" t="s">
        <v>8920</v>
      </c>
    </row>
    <row r="7950" spans="5:5" x14ac:dyDescent="0.25">
      <c r="E7950" s="82" t="s">
        <v>8921</v>
      </c>
    </row>
    <row r="7951" spans="5:5" x14ac:dyDescent="0.25">
      <c r="E7951" s="82" t="s">
        <v>8922</v>
      </c>
    </row>
    <row r="7952" spans="5:5" x14ac:dyDescent="0.25">
      <c r="E7952" s="82" t="s">
        <v>8923</v>
      </c>
    </row>
    <row r="7953" spans="5:5" x14ac:dyDescent="0.25">
      <c r="E7953" s="82" t="s">
        <v>8924</v>
      </c>
    </row>
    <row r="7954" spans="5:5" x14ac:dyDescent="0.25">
      <c r="E7954" s="82" t="s">
        <v>8925</v>
      </c>
    </row>
    <row r="7955" spans="5:5" x14ac:dyDescent="0.25">
      <c r="E7955" s="82" t="s">
        <v>8926</v>
      </c>
    </row>
    <row r="7956" spans="5:5" x14ac:dyDescent="0.25">
      <c r="E7956" s="82" t="s">
        <v>8927</v>
      </c>
    </row>
    <row r="7957" spans="5:5" x14ac:dyDescent="0.25">
      <c r="E7957" s="82" t="s">
        <v>8928</v>
      </c>
    </row>
    <row r="7958" spans="5:5" x14ac:dyDescent="0.25">
      <c r="E7958" s="82" t="s">
        <v>8929</v>
      </c>
    </row>
    <row r="7959" spans="5:5" x14ac:dyDescent="0.25">
      <c r="E7959" s="82" t="s">
        <v>8930</v>
      </c>
    </row>
    <row r="7960" spans="5:5" x14ac:dyDescent="0.25">
      <c r="E7960" s="82" t="s">
        <v>8931</v>
      </c>
    </row>
    <row r="7961" spans="5:5" x14ac:dyDescent="0.25">
      <c r="E7961" s="82" t="s">
        <v>8932</v>
      </c>
    </row>
    <row r="7962" spans="5:5" x14ac:dyDescent="0.25">
      <c r="E7962" s="82" t="s">
        <v>8933</v>
      </c>
    </row>
    <row r="7963" spans="5:5" x14ac:dyDescent="0.25">
      <c r="E7963" s="82" t="s">
        <v>8934</v>
      </c>
    </row>
    <row r="7964" spans="5:5" x14ac:dyDescent="0.25">
      <c r="E7964" s="82" t="s">
        <v>8935</v>
      </c>
    </row>
    <row r="7965" spans="5:5" x14ac:dyDescent="0.25">
      <c r="E7965" s="82" t="s">
        <v>8936</v>
      </c>
    </row>
    <row r="7966" spans="5:5" x14ac:dyDescent="0.25">
      <c r="E7966" s="82" t="s">
        <v>8937</v>
      </c>
    </row>
    <row r="7967" spans="5:5" x14ac:dyDescent="0.25">
      <c r="E7967" s="82" t="s">
        <v>8938</v>
      </c>
    </row>
    <row r="7968" spans="5:5" x14ac:dyDescent="0.25">
      <c r="E7968" s="82" t="s">
        <v>8939</v>
      </c>
    </row>
    <row r="7969" spans="5:5" x14ac:dyDescent="0.25">
      <c r="E7969" s="82" t="s">
        <v>8940</v>
      </c>
    </row>
    <row r="7970" spans="5:5" x14ac:dyDescent="0.25">
      <c r="E7970" s="82" t="s">
        <v>8941</v>
      </c>
    </row>
    <row r="7971" spans="5:5" x14ac:dyDescent="0.25">
      <c r="E7971" s="82" t="s">
        <v>8942</v>
      </c>
    </row>
    <row r="7972" spans="5:5" x14ac:dyDescent="0.25">
      <c r="E7972" s="82" t="s">
        <v>8943</v>
      </c>
    </row>
    <row r="7973" spans="5:5" x14ac:dyDescent="0.25">
      <c r="E7973" s="82" t="s">
        <v>8944</v>
      </c>
    </row>
    <row r="7974" spans="5:5" x14ac:dyDescent="0.25">
      <c r="E7974" s="82" t="s">
        <v>8945</v>
      </c>
    </row>
    <row r="7975" spans="5:5" x14ac:dyDescent="0.25">
      <c r="E7975" s="82" t="s">
        <v>8946</v>
      </c>
    </row>
    <row r="7976" spans="5:5" x14ac:dyDescent="0.25">
      <c r="E7976" s="82" t="s">
        <v>8947</v>
      </c>
    </row>
    <row r="7977" spans="5:5" x14ac:dyDescent="0.25">
      <c r="E7977" s="82" t="s">
        <v>8948</v>
      </c>
    </row>
    <row r="7978" spans="5:5" x14ac:dyDescent="0.25">
      <c r="E7978" s="82" t="s">
        <v>8949</v>
      </c>
    </row>
    <row r="7979" spans="5:5" x14ac:dyDescent="0.25">
      <c r="E7979" s="82" t="s">
        <v>8950</v>
      </c>
    </row>
    <row r="7980" spans="5:5" x14ac:dyDescent="0.25">
      <c r="E7980" s="82" t="s">
        <v>8951</v>
      </c>
    </row>
    <row r="7981" spans="5:5" x14ac:dyDescent="0.25">
      <c r="E7981" s="82" t="s">
        <v>8952</v>
      </c>
    </row>
    <row r="7982" spans="5:5" x14ac:dyDescent="0.25">
      <c r="E7982" s="82" t="s">
        <v>8953</v>
      </c>
    </row>
    <row r="7983" spans="5:5" x14ac:dyDescent="0.25">
      <c r="E7983" s="82" t="s">
        <v>8954</v>
      </c>
    </row>
    <row r="7984" spans="5:5" x14ac:dyDescent="0.25">
      <c r="E7984" s="82" t="s">
        <v>8955</v>
      </c>
    </row>
    <row r="7985" spans="5:5" x14ac:dyDescent="0.25">
      <c r="E7985" s="82" t="s">
        <v>8956</v>
      </c>
    </row>
    <row r="7986" spans="5:5" x14ac:dyDescent="0.25">
      <c r="E7986" s="82" t="s">
        <v>8957</v>
      </c>
    </row>
    <row r="7987" spans="5:5" x14ac:dyDescent="0.25">
      <c r="E7987" s="82" t="s">
        <v>8958</v>
      </c>
    </row>
    <row r="7988" spans="5:5" x14ac:dyDescent="0.25">
      <c r="E7988" s="82" t="s">
        <v>8959</v>
      </c>
    </row>
    <row r="7989" spans="5:5" x14ac:dyDescent="0.25">
      <c r="E7989" s="82" t="s">
        <v>8960</v>
      </c>
    </row>
    <row r="7990" spans="5:5" x14ac:dyDescent="0.25">
      <c r="E7990" s="82" t="s">
        <v>8961</v>
      </c>
    </row>
    <row r="7991" spans="5:5" x14ac:dyDescent="0.25">
      <c r="E7991" s="82" t="s">
        <v>8962</v>
      </c>
    </row>
    <row r="7992" spans="5:5" x14ac:dyDescent="0.25">
      <c r="E7992" s="82" t="s">
        <v>8963</v>
      </c>
    </row>
    <row r="7993" spans="5:5" x14ac:dyDescent="0.25">
      <c r="E7993" s="82" t="s">
        <v>8964</v>
      </c>
    </row>
    <row r="7994" spans="5:5" x14ac:dyDescent="0.25">
      <c r="E7994" s="82" t="s">
        <v>8965</v>
      </c>
    </row>
    <row r="7995" spans="5:5" x14ac:dyDescent="0.25">
      <c r="E7995" s="82" t="s">
        <v>8966</v>
      </c>
    </row>
    <row r="7996" spans="5:5" x14ac:dyDescent="0.25">
      <c r="E7996" s="82" t="s">
        <v>8967</v>
      </c>
    </row>
    <row r="7997" spans="5:5" x14ac:dyDescent="0.25">
      <c r="E7997" s="82" t="s">
        <v>8968</v>
      </c>
    </row>
    <row r="7998" spans="5:5" x14ac:dyDescent="0.25">
      <c r="E7998" s="82" t="s">
        <v>8969</v>
      </c>
    </row>
    <row r="7999" spans="5:5" x14ac:dyDescent="0.25">
      <c r="E7999" s="82" t="s">
        <v>8970</v>
      </c>
    </row>
    <row r="8000" spans="5:5" x14ac:dyDescent="0.25">
      <c r="E8000" s="82" t="s">
        <v>8971</v>
      </c>
    </row>
    <row r="8001" spans="5:5" x14ac:dyDescent="0.25">
      <c r="E8001" s="82" t="s">
        <v>8972</v>
      </c>
    </row>
    <row r="8002" spans="5:5" x14ac:dyDescent="0.25">
      <c r="E8002" s="82" t="s">
        <v>8973</v>
      </c>
    </row>
    <row r="8003" spans="5:5" x14ac:dyDescent="0.25">
      <c r="E8003" s="82" t="s">
        <v>8974</v>
      </c>
    </row>
    <row r="8004" spans="5:5" x14ac:dyDescent="0.25">
      <c r="E8004" s="82" t="s">
        <v>8975</v>
      </c>
    </row>
    <row r="8005" spans="5:5" x14ac:dyDescent="0.25">
      <c r="E8005" s="82" t="s">
        <v>8976</v>
      </c>
    </row>
    <row r="8006" spans="5:5" x14ac:dyDescent="0.25">
      <c r="E8006" s="82" t="s">
        <v>8977</v>
      </c>
    </row>
    <row r="8007" spans="5:5" x14ac:dyDescent="0.25">
      <c r="E8007" s="82" t="s">
        <v>8978</v>
      </c>
    </row>
    <row r="8008" spans="5:5" x14ac:dyDescent="0.25">
      <c r="E8008" s="82" t="s">
        <v>8979</v>
      </c>
    </row>
    <row r="8009" spans="5:5" x14ac:dyDescent="0.25">
      <c r="E8009" s="82" t="s">
        <v>8980</v>
      </c>
    </row>
    <row r="8010" spans="5:5" x14ac:dyDescent="0.25">
      <c r="E8010" s="82" t="s">
        <v>8981</v>
      </c>
    </row>
    <row r="8011" spans="5:5" x14ac:dyDescent="0.25">
      <c r="E8011" s="82" t="s">
        <v>8982</v>
      </c>
    </row>
    <row r="8012" spans="5:5" x14ac:dyDescent="0.25">
      <c r="E8012" s="82" t="s">
        <v>8983</v>
      </c>
    </row>
    <row r="8013" spans="5:5" x14ac:dyDescent="0.25">
      <c r="E8013" s="82" t="s">
        <v>8984</v>
      </c>
    </row>
    <row r="8014" spans="5:5" x14ac:dyDescent="0.25">
      <c r="E8014" s="82" t="s">
        <v>8985</v>
      </c>
    </row>
    <row r="8015" spans="5:5" x14ac:dyDescent="0.25">
      <c r="E8015" s="82" t="s">
        <v>8986</v>
      </c>
    </row>
    <row r="8016" spans="5:5" x14ac:dyDescent="0.25">
      <c r="E8016" s="82" t="s">
        <v>8987</v>
      </c>
    </row>
    <row r="8017" spans="5:5" x14ac:dyDescent="0.25">
      <c r="E8017" s="82" t="s">
        <v>8988</v>
      </c>
    </row>
    <row r="8018" spans="5:5" x14ac:dyDescent="0.25">
      <c r="E8018" s="82" t="s">
        <v>8989</v>
      </c>
    </row>
    <row r="8019" spans="5:5" x14ac:dyDescent="0.25">
      <c r="E8019" s="82" t="s">
        <v>8990</v>
      </c>
    </row>
    <row r="8020" spans="5:5" x14ac:dyDescent="0.25">
      <c r="E8020" s="82" t="s">
        <v>8991</v>
      </c>
    </row>
    <row r="8021" spans="5:5" x14ac:dyDescent="0.25">
      <c r="E8021" s="82" t="s">
        <v>8992</v>
      </c>
    </row>
    <row r="8022" spans="5:5" x14ac:dyDescent="0.25">
      <c r="E8022" s="82" t="s">
        <v>8993</v>
      </c>
    </row>
    <row r="8023" spans="5:5" x14ac:dyDescent="0.25">
      <c r="E8023" s="82" t="s">
        <v>8994</v>
      </c>
    </row>
    <row r="8024" spans="5:5" x14ac:dyDescent="0.25">
      <c r="E8024" s="82" t="s">
        <v>8995</v>
      </c>
    </row>
    <row r="8025" spans="5:5" x14ac:dyDescent="0.25">
      <c r="E8025" s="82" t="s">
        <v>8996</v>
      </c>
    </row>
    <row r="8026" spans="5:5" x14ac:dyDescent="0.25">
      <c r="E8026" s="82" t="s">
        <v>8997</v>
      </c>
    </row>
    <row r="8027" spans="5:5" x14ac:dyDescent="0.25">
      <c r="E8027" s="82" t="s">
        <v>8998</v>
      </c>
    </row>
    <row r="8028" spans="5:5" x14ac:dyDescent="0.25">
      <c r="E8028" s="82" t="s">
        <v>8999</v>
      </c>
    </row>
    <row r="8029" spans="5:5" x14ac:dyDescent="0.25">
      <c r="E8029" s="82" t="s">
        <v>9000</v>
      </c>
    </row>
    <row r="8030" spans="5:5" x14ac:dyDescent="0.25">
      <c r="E8030" s="82" t="s">
        <v>9001</v>
      </c>
    </row>
    <row r="8031" spans="5:5" x14ac:dyDescent="0.25">
      <c r="E8031" s="82" t="s">
        <v>9002</v>
      </c>
    </row>
    <row r="8032" spans="5:5" x14ac:dyDescent="0.25">
      <c r="E8032" s="82" t="s">
        <v>9003</v>
      </c>
    </row>
    <row r="8033" spans="5:5" x14ac:dyDescent="0.25">
      <c r="E8033" s="82" t="s">
        <v>9004</v>
      </c>
    </row>
    <row r="8034" spans="5:5" x14ac:dyDescent="0.25">
      <c r="E8034" s="82" t="s">
        <v>9005</v>
      </c>
    </row>
    <row r="8035" spans="5:5" x14ac:dyDescent="0.25">
      <c r="E8035" s="82" t="s">
        <v>9006</v>
      </c>
    </row>
    <row r="8036" spans="5:5" x14ac:dyDescent="0.25">
      <c r="E8036" s="82" t="s">
        <v>9007</v>
      </c>
    </row>
    <row r="8037" spans="5:5" x14ac:dyDescent="0.25">
      <c r="E8037" s="82" t="s">
        <v>9008</v>
      </c>
    </row>
    <row r="8038" spans="5:5" x14ac:dyDescent="0.25">
      <c r="E8038" s="82" t="s">
        <v>9009</v>
      </c>
    </row>
    <row r="8039" spans="5:5" x14ac:dyDescent="0.25">
      <c r="E8039" s="82" t="s">
        <v>9010</v>
      </c>
    </row>
    <row r="8040" spans="5:5" x14ac:dyDescent="0.25">
      <c r="E8040" s="82" t="s">
        <v>9011</v>
      </c>
    </row>
    <row r="8041" spans="5:5" x14ac:dyDescent="0.25">
      <c r="E8041" s="82" t="s">
        <v>9012</v>
      </c>
    </row>
    <row r="8042" spans="5:5" x14ac:dyDescent="0.25">
      <c r="E8042" s="82" t="s">
        <v>9013</v>
      </c>
    </row>
    <row r="8043" spans="5:5" x14ac:dyDescent="0.25">
      <c r="E8043" s="82" t="s">
        <v>9014</v>
      </c>
    </row>
    <row r="8044" spans="5:5" x14ac:dyDescent="0.25">
      <c r="E8044" s="82" t="s">
        <v>9015</v>
      </c>
    </row>
    <row r="8045" spans="5:5" x14ac:dyDescent="0.25">
      <c r="E8045" s="82" t="s">
        <v>9016</v>
      </c>
    </row>
    <row r="8046" spans="5:5" x14ac:dyDescent="0.25">
      <c r="E8046" s="82" t="s">
        <v>9017</v>
      </c>
    </row>
    <row r="8047" spans="5:5" x14ac:dyDescent="0.25">
      <c r="E8047" s="82" t="s">
        <v>9018</v>
      </c>
    </row>
    <row r="8048" spans="5:5" x14ac:dyDescent="0.25">
      <c r="E8048" s="82" t="s">
        <v>9019</v>
      </c>
    </row>
    <row r="8049" spans="5:5" x14ac:dyDescent="0.25">
      <c r="E8049" s="82" t="s">
        <v>9020</v>
      </c>
    </row>
    <row r="8050" spans="5:5" x14ac:dyDescent="0.25">
      <c r="E8050" s="82" t="s">
        <v>9021</v>
      </c>
    </row>
    <row r="8051" spans="5:5" x14ac:dyDescent="0.25">
      <c r="E8051" s="82" t="s">
        <v>9022</v>
      </c>
    </row>
    <row r="8052" spans="5:5" x14ac:dyDescent="0.25">
      <c r="E8052" s="82" t="s">
        <v>9023</v>
      </c>
    </row>
    <row r="8053" spans="5:5" x14ac:dyDescent="0.25">
      <c r="E8053" s="82" t="s">
        <v>9024</v>
      </c>
    </row>
    <row r="8054" spans="5:5" x14ac:dyDescent="0.25">
      <c r="E8054" s="82" t="s">
        <v>9025</v>
      </c>
    </row>
    <row r="8055" spans="5:5" x14ac:dyDescent="0.25">
      <c r="E8055" s="82" t="s">
        <v>9026</v>
      </c>
    </row>
    <row r="8056" spans="5:5" x14ac:dyDescent="0.25">
      <c r="E8056" s="82" t="s">
        <v>9027</v>
      </c>
    </row>
    <row r="8057" spans="5:5" x14ac:dyDescent="0.25">
      <c r="E8057" s="82" t="s">
        <v>9028</v>
      </c>
    </row>
    <row r="8058" spans="5:5" x14ac:dyDescent="0.25">
      <c r="E8058" s="82" t="s">
        <v>9029</v>
      </c>
    </row>
    <row r="8059" spans="5:5" x14ac:dyDescent="0.25">
      <c r="E8059" s="82" t="s">
        <v>9030</v>
      </c>
    </row>
    <row r="8060" spans="5:5" x14ac:dyDescent="0.25">
      <c r="E8060" s="82" t="s">
        <v>9031</v>
      </c>
    </row>
    <row r="8061" spans="5:5" x14ac:dyDescent="0.25">
      <c r="E8061" s="82" t="s">
        <v>9032</v>
      </c>
    </row>
    <row r="8062" spans="5:5" x14ac:dyDescent="0.25">
      <c r="E8062" s="82" t="s">
        <v>9033</v>
      </c>
    </row>
    <row r="8063" spans="5:5" x14ac:dyDescent="0.25">
      <c r="E8063" s="82" t="s">
        <v>9034</v>
      </c>
    </row>
    <row r="8064" spans="5:5" x14ac:dyDescent="0.25">
      <c r="E8064" s="82" t="s">
        <v>9035</v>
      </c>
    </row>
    <row r="8065" spans="5:5" x14ac:dyDescent="0.25">
      <c r="E8065" s="82" t="s">
        <v>9036</v>
      </c>
    </row>
    <row r="8066" spans="5:5" x14ac:dyDescent="0.25">
      <c r="E8066" s="82" t="s">
        <v>9037</v>
      </c>
    </row>
    <row r="8067" spans="5:5" x14ac:dyDescent="0.25">
      <c r="E8067" s="82" t="s">
        <v>9038</v>
      </c>
    </row>
    <row r="8068" spans="5:5" x14ac:dyDescent="0.25">
      <c r="E8068" s="82" t="s">
        <v>9039</v>
      </c>
    </row>
    <row r="8069" spans="5:5" x14ac:dyDescent="0.25">
      <c r="E8069" s="82" t="s">
        <v>9040</v>
      </c>
    </row>
    <row r="8070" spans="5:5" x14ac:dyDescent="0.25">
      <c r="E8070" s="82" t="s">
        <v>9041</v>
      </c>
    </row>
    <row r="8071" spans="5:5" x14ac:dyDescent="0.25">
      <c r="E8071" s="82" t="s">
        <v>9042</v>
      </c>
    </row>
    <row r="8072" spans="5:5" x14ac:dyDescent="0.25">
      <c r="E8072" s="82" t="s">
        <v>9043</v>
      </c>
    </row>
    <row r="8073" spans="5:5" x14ac:dyDescent="0.25">
      <c r="E8073" s="82" t="s">
        <v>9044</v>
      </c>
    </row>
    <row r="8074" spans="5:5" x14ac:dyDescent="0.25">
      <c r="E8074" s="82" t="s">
        <v>9045</v>
      </c>
    </row>
    <row r="8075" spans="5:5" x14ac:dyDescent="0.25">
      <c r="E8075" s="82" t="s">
        <v>9046</v>
      </c>
    </row>
    <row r="8076" spans="5:5" x14ac:dyDescent="0.25">
      <c r="E8076" s="82" t="s">
        <v>9047</v>
      </c>
    </row>
    <row r="8077" spans="5:5" x14ac:dyDescent="0.25">
      <c r="E8077" s="82" t="s">
        <v>9048</v>
      </c>
    </row>
    <row r="8078" spans="5:5" x14ac:dyDescent="0.25">
      <c r="E8078" s="82" t="s">
        <v>9049</v>
      </c>
    </row>
    <row r="8079" spans="5:5" x14ac:dyDescent="0.25">
      <c r="E8079" s="82" t="s">
        <v>9050</v>
      </c>
    </row>
    <row r="8080" spans="5:5" x14ac:dyDescent="0.25">
      <c r="E8080" s="82" t="s">
        <v>9051</v>
      </c>
    </row>
    <row r="8081" spans="5:5" x14ac:dyDescent="0.25">
      <c r="E8081" s="82" t="s">
        <v>9052</v>
      </c>
    </row>
    <row r="8082" spans="5:5" x14ac:dyDescent="0.25">
      <c r="E8082" s="82" t="s">
        <v>9053</v>
      </c>
    </row>
    <row r="8083" spans="5:5" x14ac:dyDescent="0.25">
      <c r="E8083" s="82" t="s">
        <v>9054</v>
      </c>
    </row>
    <row r="8084" spans="5:5" x14ac:dyDescent="0.25">
      <c r="E8084" s="82" t="s">
        <v>9055</v>
      </c>
    </row>
    <row r="8085" spans="5:5" x14ac:dyDescent="0.25">
      <c r="E8085" s="82" t="s">
        <v>9056</v>
      </c>
    </row>
    <row r="8086" spans="5:5" x14ac:dyDescent="0.25">
      <c r="E8086" s="82" t="s">
        <v>9057</v>
      </c>
    </row>
    <row r="8087" spans="5:5" x14ac:dyDescent="0.25">
      <c r="E8087" s="82" t="s">
        <v>9058</v>
      </c>
    </row>
    <row r="8088" spans="5:5" x14ac:dyDescent="0.25">
      <c r="E8088" s="82" t="s">
        <v>9059</v>
      </c>
    </row>
    <row r="8089" spans="5:5" x14ac:dyDescent="0.25">
      <c r="E8089" s="82" t="s">
        <v>9060</v>
      </c>
    </row>
    <row r="8090" spans="5:5" x14ac:dyDescent="0.25">
      <c r="E8090" s="82" t="s">
        <v>9061</v>
      </c>
    </row>
    <row r="8091" spans="5:5" x14ac:dyDescent="0.25">
      <c r="E8091" s="82" t="s">
        <v>9062</v>
      </c>
    </row>
    <row r="8092" spans="5:5" x14ac:dyDescent="0.25">
      <c r="E8092" s="82" t="s">
        <v>9063</v>
      </c>
    </row>
    <row r="8093" spans="5:5" x14ac:dyDescent="0.25">
      <c r="E8093" s="82" t="s">
        <v>9064</v>
      </c>
    </row>
    <row r="8094" spans="5:5" x14ac:dyDescent="0.25">
      <c r="E8094" s="82" t="s">
        <v>9065</v>
      </c>
    </row>
    <row r="8095" spans="5:5" x14ac:dyDescent="0.25">
      <c r="E8095" s="82" t="s">
        <v>9066</v>
      </c>
    </row>
    <row r="8096" spans="5:5" x14ac:dyDescent="0.25">
      <c r="E8096" s="82" t="s">
        <v>9067</v>
      </c>
    </row>
    <row r="8097" spans="5:5" x14ac:dyDescent="0.25">
      <c r="E8097" s="82" t="s">
        <v>9068</v>
      </c>
    </row>
    <row r="8098" spans="5:5" x14ac:dyDescent="0.25">
      <c r="E8098" s="82" t="s">
        <v>9069</v>
      </c>
    </row>
    <row r="8099" spans="5:5" x14ac:dyDescent="0.25">
      <c r="E8099" s="82" t="s">
        <v>9070</v>
      </c>
    </row>
    <row r="8100" spans="5:5" x14ac:dyDescent="0.25">
      <c r="E8100" s="82" t="s">
        <v>9071</v>
      </c>
    </row>
    <row r="8101" spans="5:5" x14ac:dyDescent="0.25">
      <c r="E8101" s="82" t="s">
        <v>9072</v>
      </c>
    </row>
    <row r="8102" spans="5:5" x14ac:dyDescent="0.25">
      <c r="E8102" s="82" t="s">
        <v>9073</v>
      </c>
    </row>
    <row r="8103" spans="5:5" x14ac:dyDescent="0.25">
      <c r="E8103" s="82" t="s">
        <v>9074</v>
      </c>
    </row>
    <row r="8104" spans="5:5" x14ac:dyDescent="0.25">
      <c r="E8104" s="82" t="s">
        <v>9075</v>
      </c>
    </row>
    <row r="8105" spans="5:5" x14ac:dyDescent="0.25">
      <c r="E8105" s="82" t="s">
        <v>9076</v>
      </c>
    </row>
    <row r="8106" spans="5:5" x14ac:dyDescent="0.25">
      <c r="E8106" s="82" t="s">
        <v>9077</v>
      </c>
    </row>
    <row r="8107" spans="5:5" x14ac:dyDescent="0.25">
      <c r="E8107" s="82" t="s">
        <v>9078</v>
      </c>
    </row>
    <row r="8108" spans="5:5" x14ac:dyDescent="0.25">
      <c r="E8108" s="82" t="s">
        <v>9079</v>
      </c>
    </row>
    <row r="8109" spans="5:5" x14ac:dyDescent="0.25">
      <c r="E8109" s="82" t="s">
        <v>9080</v>
      </c>
    </row>
    <row r="8110" spans="5:5" x14ac:dyDescent="0.25">
      <c r="E8110" s="82" t="s">
        <v>9081</v>
      </c>
    </row>
    <row r="8111" spans="5:5" x14ac:dyDescent="0.25">
      <c r="E8111" s="82" t="s">
        <v>9082</v>
      </c>
    </row>
    <row r="8112" spans="5:5" x14ac:dyDescent="0.25">
      <c r="E8112" s="82" t="s">
        <v>9083</v>
      </c>
    </row>
    <row r="8113" spans="5:5" x14ac:dyDescent="0.25">
      <c r="E8113" s="82" t="s">
        <v>9084</v>
      </c>
    </row>
    <row r="8114" spans="5:5" x14ac:dyDescent="0.25">
      <c r="E8114" s="82" t="s">
        <v>9085</v>
      </c>
    </row>
    <row r="8115" spans="5:5" x14ac:dyDescent="0.25">
      <c r="E8115" s="82" t="s">
        <v>9086</v>
      </c>
    </row>
    <row r="8116" spans="5:5" x14ac:dyDescent="0.25">
      <c r="E8116" s="82" t="s">
        <v>9087</v>
      </c>
    </row>
    <row r="8117" spans="5:5" x14ac:dyDescent="0.25">
      <c r="E8117" s="82" t="s">
        <v>9088</v>
      </c>
    </row>
    <row r="8118" spans="5:5" x14ac:dyDescent="0.25">
      <c r="E8118" s="82" t="s">
        <v>9089</v>
      </c>
    </row>
    <row r="8119" spans="5:5" x14ac:dyDescent="0.25">
      <c r="E8119" s="82" t="s">
        <v>9090</v>
      </c>
    </row>
    <row r="8120" spans="5:5" x14ac:dyDescent="0.25">
      <c r="E8120" s="82" t="s">
        <v>9091</v>
      </c>
    </row>
    <row r="8121" spans="5:5" x14ac:dyDescent="0.25">
      <c r="E8121" s="82" t="s">
        <v>9092</v>
      </c>
    </row>
    <row r="8122" spans="5:5" x14ac:dyDescent="0.25">
      <c r="E8122" s="82" t="s">
        <v>9093</v>
      </c>
    </row>
    <row r="8123" spans="5:5" x14ac:dyDescent="0.25">
      <c r="E8123" s="82" t="s">
        <v>9094</v>
      </c>
    </row>
    <row r="8124" spans="5:5" x14ac:dyDescent="0.25">
      <c r="E8124" s="82" t="s">
        <v>9095</v>
      </c>
    </row>
    <row r="8125" spans="5:5" x14ac:dyDescent="0.25">
      <c r="E8125" s="82" t="s">
        <v>9096</v>
      </c>
    </row>
    <row r="8126" spans="5:5" x14ac:dyDescent="0.25">
      <c r="E8126" s="82" t="s">
        <v>9097</v>
      </c>
    </row>
    <row r="8127" spans="5:5" x14ac:dyDescent="0.25">
      <c r="E8127" s="82" t="s">
        <v>9098</v>
      </c>
    </row>
    <row r="8128" spans="5:5" x14ac:dyDescent="0.25">
      <c r="E8128" s="82" t="s">
        <v>9099</v>
      </c>
    </row>
    <row r="8129" spans="5:5" x14ac:dyDescent="0.25">
      <c r="E8129" s="82" t="s">
        <v>9100</v>
      </c>
    </row>
    <row r="8130" spans="5:5" x14ac:dyDescent="0.25">
      <c r="E8130" s="82" t="s">
        <v>9101</v>
      </c>
    </row>
    <row r="8131" spans="5:5" x14ac:dyDescent="0.25">
      <c r="E8131" s="82" t="s">
        <v>9102</v>
      </c>
    </row>
    <row r="8132" spans="5:5" x14ac:dyDescent="0.25">
      <c r="E8132" s="82" t="s">
        <v>9103</v>
      </c>
    </row>
    <row r="8133" spans="5:5" x14ac:dyDescent="0.25">
      <c r="E8133" s="82" t="s">
        <v>9104</v>
      </c>
    </row>
    <row r="8134" spans="5:5" x14ac:dyDescent="0.25">
      <c r="E8134" s="82" t="s">
        <v>9105</v>
      </c>
    </row>
    <row r="8135" spans="5:5" x14ac:dyDescent="0.25">
      <c r="E8135" s="82" t="s">
        <v>9106</v>
      </c>
    </row>
    <row r="8136" spans="5:5" x14ac:dyDescent="0.25">
      <c r="E8136" s="82" t="s">
        <v>9107</v>
      </c>
    </row>
    <row r="8137" spans="5:5" x14ac:dyDescent="0.25">
      <c r="E8137" s="82" t="s">
        <v>9108</v>
      </c>
    </row>
    <row r="8138" spans="5:5" x14ac:dyDescent="0.25">
      <c r="E8138" s="82" t="s">
        <v>9109</v>
      </c>
    </row>
    <row r="8139" spans="5:5" x14ac:dyDescent="0.25">
      <c r="E8139" s="82" t="s">
        <v>9110</v>
      </c>
    </row>
    <row r="8140" spans="5:5" x14ac:dyDescent="0.25">
      <c r="E8140" s="82" t="s">
        <v>9111</v>
      </c>
    </row>
    <row r="8141" spans="5:5" x14ac:dyDescent="0.25">
      <c r="E8141" s="82" t="s">
        <v>9112</v>
      </c>
    </row>
    <row r="8142" spans="5:5" x14ac:dyDescent="0.25">
      <c r="E8142" s="82" t="s">
        <v>9113</v>
      </c>
    </row>
    <row r="8143" spans="5:5" x14ac:dyDescent="0.25">
      <c r="E8143" s="82" t="s">
        <v>9114</v>
      </c>
    </row>
    <row r="8144" spans="5:5" x14ac:dyDescent="0.25">
      <c r="E8144" s="82" t="s">
        <v>9115</v>
      </c>
    </row>
    <row r="8145" spans="5:5" x14ac:dyDescent="0.25">
      <c r="E8145" s="82" t="s">
        <v>9116</v>
      </c>
    </row>
    <row r="8146" spans="5:5" x14ac:dyDescent="0.25">
      <c r="E8146" s="82" t="s">
        <v>9117</v>
      </c>
    </row>
    <row r="8147" spans="5:5" x14ac:dyDescent="0.25">
      <c r="E8147" s="82" t="s">
        <v>9118</v>
      </c>
    </row>
    <row r="8148" spans="5:5" x14ac:dyDescent="0.25">
      <c r="E8148" s="82" t="s">
        <v>9119</v>
      </c>
    </row>
    <row r="8149" spans="5:5" x14ac:dyDescent="0.25">
      <c r="E8149" s="82" t="s">
        <v>9120</v>
      </c>
    </row>
    <row r="8150" spans="5:5" x14ac:dyDescent="0.25">
      <c r="E8150" s="82" t="s">
        <v>9121</v>
      </c>
    </row>
    <row r="8151" spans="5:5" x14ac:dyDescent="0.25">
      <c r="E8151" s="82" t="s">
        <v>9122</v>
      </c>
    </row>
    <row r="8152" spans="5:5" x14ac:dyDescent="0.25">
      <c r="E8152" s="82" t="s">
        <v>9123</v>
      </c>
    </row>
    <row r="8153" spans="5:5" x14ac:dyDescent="0.25">
      <c r="E8153" s="82" t="s">
        <v>9124</v>
      </c>
    </row>
    <row r="8154" spans="5:5" x14ac:dyDescent="0.25">
      <c r="E8154" s="82" t="s">
        <v>9125</v>
      </c>
    </row>
    <row r="8155" spans="5:5" x14ac:dyDescent="0.25">
      <c r="E8155" s="82" t="s">
        <v>9126</v>
      </c>
    </row>
    <row r="8156" spans="5:5" x14ac:dyDescent="0.25">
      <c r="E8156" s="82" t="s">
        <v>9127</v>
      </c>
    </row>
    <row r="8157" spans="5:5" x14ac:dyDescent="0.25">
      <c r="E8157" s="82" t="s">
        <v>9128</v>
      </c>
    </row>
    <row r="8158" spans="5:5" x14ac:dyDescent="0.25">
      <c r="E8158" s="82" t="s">
        <v>9129</v>
      </c>
    </row>
    <row r="8159" spans="5:5" x14ac:dyDescent="0.25">
      <c r="E8159" s="82" t="s">
        <v>9130</v>
      </c>
    </row>
    <row r="8160" spans="5:5" x14ac:dyDescent="0.25">
      <c r="E8160" s="82" t="s">
        <v>9131</v>
      </c>
    </row>
    <row r="8161" spans="5:5" x14ac:dyDescent="0.25">
      <c r="E8161" s="82" t="s">
        <v>9132</v>
      </c>
    </row>
    <row r="8162" spans="5:5" x14ac:dyDescent="0.25">
      <c r="E8162" s="82" t="s">
        <v>9133</v>
      </c>
    </row>
    <row r="8163" spans="5:5" x14ac:dyDescent="0.25">
      <c r="E8163" s="82" t="s">
        <v>9134</v>
      </c>
    </row>
    <row r="8164" spans="5:5" x14ac:dyDescent="0.25">
      <c r="E8164" s="82" t="s">
        <v>9135</v>
      </c>
    </row>
    <row r="8165" spans="5:5" x14ac:dyDescent="0.25">
      <c r="E8165" s="82" t="s">
        <v>9136</v>
      </c>
    </row>
    <row r="8166" spans="5:5" x14ac:dyDescent="0.25">
      <c r="E8166" s="82" t="s">
        <v>9137</v>
      </c>
    </row>
    <row r="8167" spans="5:5" x14ac:dyDescent="0.25">
      <c r="E8167" s="82" t="s">
        <v>9138</v>
      </c>
    </row>
    <row r="8168" spans="5:5" x14ac:dyDescent="0.25">
      <c r="E8168" s="82" t="s">
        <v>9139</v>
      </c>
    </row>
    <row r="8169" spans="5:5" x14ac:dyDescent="0.25">
      <c r="E8169" s="82" t="s">
        <v>9140</v>
      </c>
    </row>
    <row r="8170" spans="5:5" x14ac:dyDescent="0.25">
      <c r="E8170" s="82" t="s">
        <v>9141</v>
      </c>
    </row>
    <row r="8171" spans="5:5" x14ac:dyDescent="0.25">
      <c r="E8171" s="82" t="s">
        <v>9142</v>
      </c>
    </row>
    <row r="8172" spans="5:5" x14ac:dyDescent="0.25">
      <c r="E8172" s="82" t="s">
        <v>9143</v>
      </c>
    </row>
    <row r="8173" spans="5:5" x14ac:dyDescent="0.25">
      <c r="E8173" s="82" t="s">
        <v>9144</v>
      </c>
    </row>
    <row r="8174" spans="5:5" x14ac:dyDescent="0.25">
      <c r="E8174" s="82" t="s">
        <v>9145</v>
      </c>
    </row>
    <row r="8175" spans="5:5" x14ac:dyDescent="0.25">
      <c r="E8175" s="82" t="s">
        <v>9146</v>
      </c>
    </row>
    <row r="8176" spans="5:5" x14ac:dyDescent="0.25">
      <c r="E8176" s="82" t="s">
        <v>9147</v>
      </c>
    </row>
    <row r="8177" spans="5:5" x14ac:dyDescent="0.25">
      <c r="E8177" s="82" t="s">
        <v>9148</v>
      </c>
    </row>
    <row r="8178" spans="5:5" x14ac:dyDescent="0.25">
      <c r="E8178" s="82" t="s">
        <v>9149</v>
      </c>
    </row>
    <row r="8179" spans="5:5" x14ac:dyDescent="0.25">
      <c r="E8179" s="82" t="s">
        <v>9150</v>
      </c>
    </row>
    <row r="8180" spans="5:5" x14ac:dyDescent="0.25">
      <c r="E8180" s="82" t="s">
        <v>9151</v>
      </c>
    </row>
    <row r="8181" spans="5:5" x14ac:dyDescent="0.25">
      <c r="E8181" s="82" t="s">
        <v>9152</v>
      </c>
    </row>
    <row r="8182" spans="5:5" x14ac:dyDescent="0.25">
      <c r="E8182" s="82" t="s">
        <v>9153</v>
      </c>
    </row>
    <row r="8183" spans="5:5" x14ac:dyDescent="0.25">
      <c r="E8183" s="82" t="s">
        <v>9154</v>
      </c>
    </row>
    <row r="8184" spans="5:5" x14ac:dyDescent="0.25">
      <c r="E8184" s="82" t="s">
        <v>9155</v>
      </c>
    </row>
    <row r="8185" spans="5:5" x14ac:dyDescent="0.25">
      <c r="E8185" s="82" t="s">
        <v>9156</v>
      </c>
    </row>
    <row r="8186" spans="5:5" x14ac:dyDescent="0.25">
      <c r="E8186" s="82" t="s">
        <v>9157</v>
      </c>
    </row>
    <row r="8187" spans="5:5" x14ac:dyDescent="0.25">
      <c r="E8187" s="82" t="s">
        <v>9158</v>
      </c>
    </row>
    <row r="8188" spans="5:5" x14ac:dyDescent="0.25">
      <c r="E8188" s="82" t="s">
        <v>9159</v>
      </c>
    </row>
    <row r="8189" spans="5:5" x14ac:dyDescent="0.25">
      <c r="E8189" s="82" t="s">
        <v>9160</v>
      </c>
    </row>
    <row r="8190" spans="5:5" x14ac:dyDescent="0.25">
      <c r="E8190" s="82" t="s">
        <v>9161</v>
      </c>
    </row>
    <row r="8191" spans="5:5" x14ac:dyDescent="0.25">
      <c r="E8191" s="82" t="s">
        <v>9162</v>
      </c>
    </row>
    <row r="8192" spans="5:5" x14ac:dyDescent="0.25">
      <c r="E8192" s="82" t="s">
        <v>9163</v>
      </c>
    </row>
    <row r="8193" spans="5:5" x14ac:dyDescent="0.25">
      <c r="E8193" s="82" t="s">
        <v>9164</v>
      </c>
    </row>
    <row r="8194" spans="5:5" x14ac:dyDescent="0.25">
      <c r="E8194" s="82" t="s">
        <v>9165</v>
      </c>
    </row>
    <row r="8195" spans="5:5" x14ac:dyDescent="0.25">
      <c r="E8195" s="82" t="s">
        <v>9166</v>
      </c>
    </row>
    <row r="8196" spans="5:5" x14ac:dyDescent="0.25">
      <c r="E8196" s="82" t="s">
        <v>9167</v>
      </c>
    </row>
    <row r="8197" spans="5:5" x14ac:dyDescent="0.25">
      <c r="E8197" s="82" t="s">
        <v>9168</v>
      </c>
    </row>
    <row r="8198" spans="5:5" x14ac:dyDescent="0.25">
      <c r="E8198" s="82" t="s">
        <v>9169</v>
      </c>
    </row>
    <row r="8199" spans="5:5" x14ac:dyDescent="0.25">
      <c r="E8199" s="82" t="s">
        <v>9170</v>
      </c>
    </row>
    <row r="8200" spans="5:5" x14ac:dyDescent="0.25">
      <c r="E8200" s="82" t="s">
        <v>9171</v>
      </c>
    </row>
    <row r="8201" spans="5:5" x14ac:dyDescent="0.25">
      <c r="E8201" s="82" t="s">
        <v>9172</v>
      </c>
    </row>
    <row r="8202" spans="5:5" x14ac:dyDescent="0.25">
      <c r="E8202" s="82" t="s">
        <v>9173</v>
      </c>
    </row>
    <row r="8203" spans="5:5" x14ac:dyDescent="0.25">
      <c r="E8203" s="82" t="s">
        <v>9174</v>
      </c>
    </row>
    <row r="8204" spans="5:5" x14ac:dyDescent="0.25">
      <c r="E8204" s="82" t="s">
        <v>9175</v>
      </c>
    </row>
    <row r="8205" spans="5:5" x14ac:dyDescent="0.25">
      <c r="E8205" s="82" t="s">
        <v>9176</v>
      </c>
    </row>
    <row r="8206" spans="5:5" x14ac:dyDescent="0.25">
      <c r="E8206" s="82" t="s">
        <v>9177</v>
      </c>
    </row>
    <row r="8207" spans="5:5" x14ac:dyDescent="0.25">
      <c r="E8207" s="82" t="s">
        <v>9178</v>
      </c>
    </row>
    <row r="8208" spans="5:5" x14ac:dyDescent="0.25">
      <c r="E8208" s="82" t="s">
        <v>9179</v>
      </c>
    </row>
    <row r="8209" spans="5:5" x14ac:dyDescent="0.25">
      <c r="E8209" s="82" t="s">
        <v>9180</v>
      </c>
    </row>
    <row r="8210" spans="5:5" x14ac:dyDescent="0.25">
      <c r="E8210" s="82" t="s">
        <v>9181</v>
      </c>
    </row>
    <row r="8211" spans="5:5" x14ac:dyDescent="0.25">
      <c r="E8211" s="82" t="s">
        <v>9182</v>
      </c>
    </row>
    <row r="8212" spans="5:5" x14ac:dyDescent="0.25">
      <c r="E8212" s="82" t="s">
        <v>9183</v>
      </c>
    </row>
    <row r="8213" spans="5:5" x14ac:dyDescent="0.25">
      <c r="E8213" s="82" t="s">
        <v>9184</v>
      </c>
    </row>
    <row r="8214" spans="5:5" x14ac:dyDescent="0.25">
      <c r="E8214" s="82" t="s">
        <v>9185</v>
      </c>
    </row>
    <row r="8215" spans="5:5" x14ac:dyDescent="0.25">
      <c r="E8215" s="82" t="s">
        <v>9186</v>
      </c>
    </row>
    <row r="8216" spans="5:5" x14ac:dyDescent="0.25">
      <c r="E8216" s="82" t="s">
        <v>9187</v>
      </c>
    </row>
    <row r="8217" spans="5:5" x14ac:dyDescent="0.25">
      <c r="E8217" s="82" t="s">
        <v>9188</v>
      </c>
    </row>
    <row r="8218" spans="5:5" x14ac:dyDescent="0.25">
      <c r="E8218" s="82" t="s">
        <v>9189</v>
      </c>
    </row>
    <row r="8219" spans="5:5" x14ac:dyDescent="0.25">
      <c r="E8219" s="82" t="s">
        <v>9190</v>
      </c>
    </row>
    <row r="8220" spans="5:5" x14ac:dyDescent="0.25">
      <c r="E8220" s="82" t="s">
        <v>9191</v>
      </c>
    </row>
    <row r="8221" spans="5:5" x14ac:dyDescent="0.25">
      <c r="E8221" s="82" t="s">
        <v>9192</v>
      </c>
    </row>
    <row r="8222" spans="5:5" x14ac:dyDescent="0.25">
      <c r="E8222" s="82" t="s">
        <v>9193</v>
      </c>
    </row>
    <row r="8223" spans="5:5" x14ac:dyDescent="0.25">
      <c r="E8223" s="82" t="s">
        <v>9194</v>
      </c>
    </row>
    <row r="8224" spans="5:5" x14ac:dyDescent="0.25">
      <c r="E8224" s="82" t="s">
        <v>9195</v>
      </c>
    </row>
    <row r="8225" spans="5:5" x14ac:dyDescent="0.25">
      <c r="E8225" s="82" t="s">
        <v>9196</v>
      </c>
    </row>
    <row r="8226" spans="5:5" x14ac:dyDescent="0.25">
      <c r="E8226" s="82" t="s">
        <v>9197</v>
      </c>
    </row>
    <row r="8227" spans="5:5" x14ac:dyDescent="0.25">
      <c r="E8227" s="82" t="s">
        <v>9198</v>
      </c>
    </row>
    <row r="8228" spans="5:5" x14ac:dyDescent="0.25">
      <c r="E8228" s="82" t="s">
        <v>9199</v>
      </c>
    </row>
    <row r="8229" spans="5:5" x14ac:dyDescent="0.25">
      <c r="E8229" s="82" t="s">
        <v>9200</v>
      </c>
    </row>
    <row r="8230" spans="5:5" x14ac:dyDescent="0.25">
      <c r="E8230" s="82" t="s">
        <v>9201</v>
      </c>
    </row>
    <row r="8231" spans="5:5" x14ac:dyDescent="0.25">
      <c r="E8231" s="82" t="s">
        <v>9202</v>
      </c>
    </row>
    <row r="8232" spans="5:5" x14ac:dyDescent="0.25">
      <c r="E8232" s="82" t="s">
        <v>9203</v>
      </c>
    </row>
    <row r="8233" spans="5:5" x14ac:dyDescent="0.25">
      <c r="E8233" s="82" t="s">
        <v>9204</v>
      </c>
    </row>
    <row r="8234" spans="5:5" x14ac:dyDescent="0.25">
      <c r="E8234" s="82" t="s">
        <v>9205</v>
      </c>
    </row>
    <row r="8235" spans="5:5" x14ac:dyDescent="0.25">
      <c r="E8235" s="82" t="s">
        <v>9206</v>
      </c>
    </row>
    <row r="8236" spans="5:5" x14ac:dyDescent="0.25">
      <c r="E8236" s="82" t="s">
        <v>9207</v>
      </c>
    </row>
    <row r="8237" spans="5:5" x14ac:dyDescent="0.25">
      <c r="E8237" s="82" t="s">
        <v>9208</v>
      </c>
    </row>
    <row r="8238" spans="5:5" x14ac:dyDescent="0.25">
      <c r="E8238" s="82" t="s">
        <v>9209</v>
      </c>
    </row>
    <row r="8239" spans="5:5" x14ac:dyDescent="0.25">
      <c r="E8239" s="82" t="s">
        <v>9210</v>
      </c>
    </row>
    <row r="8240" spans="5:5" x14ac:dyDescent="0.25">
      <c r="E8240" s="82" t="s">
        <v>9211</v>
      </c>
    </row>
    <row r="8241" spans="5:5" x14ac:dyDescent="0.25">
      <c r="E8241" s="82" t="s">
        <v>9212</v>
      </c>
    </row>
    <row r="8242" spans="5:5" x14ac:dyDescent="0.25">
      <c r="E8242" s="82" t="s">
        <v>9213</v>
      </c>
    </row>
    <row r="8243" spans="5:5" x14ac:dyDescent="0.25">
      <c r="E8243" s="82" t="s">
        <v>9214</v>
      </c>
    </row>
    <row r="8244" spans="5:5" x14ac:dyDescent="0.25">
      <c r="E8244" s="82" t="s">
        <v>9215</v>
      </c>
    </row>
    <row r="8245" spans="5:5" x14ac:dyDescent="0.25">
      <c r="E8245" s="82" t="s">
        <v>9216</v>
      </c>
    </row>
    <row r="8246" spans="5:5" x14ac:dyDescent="0.25">
      <c r="E8246" s="82" t="s">
        <v>9217</v>
      </c>
    </row>
    <row r="8247" spans="5:5" x14ac:dyDescent="0.25">
      <c r="E8247" s="82" t="s">
        <v>9218</v>
      </c>
    </row>
    <row r="8248" spans="5:5" x14ac:dyDescent="0.25">
      <c r="E8248" s="82" t="s">
        <v>9219</v>
      </c>
    </row>
    <row r="8249" spans="5:5" x14ac:dyDescent="0.25">
      <c r="E8249" s="82" t="s">
        <v>9220</v>
      </c>
    </row>
    <row r="8250" spans="5:5" x14ac:dyDescent="0.25">
      <c r="E8250" s="82" t="s">
        <v>9221</v>
      </c>
    </row>
    <row r="8251" spans="5:5" x14ac:dyDescent="0.25">
      <c r="E8251" s="82" t="s">
        <v>9222</v>
      </c>
    </row>
    <row r="8252" spans="5:5" x14ac:dyDescent="0.25">
      <c r="E8252" s="82" t="s">
        <v>9223</v>
      </c>
    </row>
    <row r="8253" spans="5:5" x14ac:dyDescent="0.25">
      <c r="E8253" s="82" t="s">
        <v>9224</v>
      </c>
    </row>
    <row r="8254" spans="5:5" x14ac:dyDescent="0.25">
      <c r="E8254" s="82" t="s">
        <v>9225</v>
      </c>
    </row>
    <row r="8255" spans="5:5" x14ac:dyDescent="0.25">
      <c r="E8255" s="82" t="s">
        <v>9226</v>
      </c>
    </row>
    <row r="8256" spans="5:5" x14ac:dyDescent="0.25">
      <c r="E8256" s="82" t="s">
        <v>9227</v>
      </c>
    </row>
    <row r="8257" spans="5:5" x14ac:dyDescent="0.25">
      <c r="E8257" s="82" t="s">
        <v>9228</v>
      </c>
    </row>
    <row r="8258" spans="5:5" x14ac:dyDescent="0.25">
      <c r="E8258" s="82" t="s">
        <v>9229</v>
      </c>
    </row>
    <row r="8259" spans="5:5" x14ac:dyDescent="0.25">
      <c r="E8259" s="82" t="s">
        <v>9230</v>
      </c>
    </row>
    <row r="8260" spans="5:5" x14ac:dyDescent="0.25">
      <c r="E8260" s="82" t="s">
        <v>9231</v>
      </c>
    </row>
    <row r="8261" spans="5:5" x14ac:dyDescent="0.25">
      <c r="E8261" s="82" t="s">
        <v>9232</v>
      </c>
    </row>
    <row r="8262" spans="5:5" x14ac:dyDescent="0.25">
      <c r="E8262" s="82" t="s">
        <v>9233</v>
      </c>
    </row>
    <row r="8263" spans="5:5" x14ac:dyDescent="0.25">
      <c r="E8263" s="82" t="s">
        <v>9234</v>
      </c>
    </row>
    <row r="8264" spans="5:5" x14ac:dyDescent="0.25">
      <c r="E8264" s="82" t="s">
        <v>9235</v>
      </c>
    </row>
    <row r="8265" spans="5:5" x14ac:dyDescent="0.25">
      <c r="E8265" s="82" t="s">
        <v>9236</v>
      </c>
    </row>
    <row r="8266" spans="5:5" x14ac:dyDescent="0.25">
      <c r="E8266" s="82" t="s">
        <v>9237</v>
      </c>
    </row>
    <row r="8267" spans="5:5" x14ac:dyDescent="0.25">
      <c r="E8267" s="82" t="s">
        <v>9238</v>
      </c>
    </row>
    <row r="8268" spans="5:5" x14ac:dyDescent="0.25">
      <c r="E8268" s="82" t="s">
        <v>9239</v>
      </c>
    </row>
    <row r="8269" spans="5:5" x14ac:dyDescent="0.25">
      <c r="E8269" s="82" t="s">
        <v>9240</v>
      </c>
    </row>
    <row r="8270" spans="5:5" x14ac:dyDescent="0.25">
      <c r="E8270" s="82" t="s">
        <v>9241</v>
      </c>
    </row>
    <row r="8271" spans="5:5" x14ac:dyDescent="0.25">
      <c r="E8271" s="82" t="s">
        <v>9242</v>
      </c>
    </row>
    <row r="8272" spans="5:5" x14ac:dyDescent="0.25">
      <c r="E8272" s="82" t="s">
        <v>9243</v>
      </c>
    </row>
    <row r="8273" spans="5:5" x14ac:dyDescent="0.25">
      <c r="E8273" s="82" t="s">
        <v>9244</v>
      </c>
    </row>
    <row r="8274" spans="5:5" x14ac:dyDescent="0.25">
      <c r="E8274" s="82" t="s">
        <v>9245</v>
      </c>
    </row>
    <row r="8275" spans="5:5" x14ac:dyDescent="0.25">
      <c r="E8275" s="82" t="s">
        <v>9246</v>
      </c>
    </row>
    <row r="8276" spans="5:5" x14ac:dyDescent="0.25">
      <c r="E8276" s="82" t="s">
        <v>9247</v>
      </c>
    </row>
    <row r="8277" spans="5:5" x14ac:dyDescent="0.25">
      <c r="E8277" s="82" t="s">
        <v>9248</v>
      </c>
    </row>
    <row r="8278" spans="5:5" x14ac:dyDescent="0.25">
      <c r="E8278" s="82" t="s">
        <v>9249</v>
      </c>
    </row>
    <row r="8279" spans="5:5" x14ac:dyDescent="0.25">
      <c r="E8279" s="82" t="s">
        <v>9250</v>
      </c>
    </row>
    <row r="8280" spans="5:5" x14ac:dyDescent="0.25">
      <c r="E8280" s="82" t="s">
        <v>9251</v>
      </c>
    </row>
    <row r="8281" spans="5:5" x14ac:dyDescent="0.25">
      <c r="E8281" s="82" t="s">
        <v>9252</v>
      </c>
    </row>
    <row r="8282" spans="5:5" x14ac:dyDescent="0.25">
      <c r="E8282" s="82" t="s">
        <v>9253</v>
      </c>
    </row>
    <row r="8283" spans="5:5" x14ac:dyDescent="0.25">
      <c r="E8283" s="82" t="s">
        <v>9254</v>
      </c>
    </row>
    <row r="8284" spans="5:5" x14ac:dyDescent="0.25">
      <c r="E8284" s="82" t="s">
        <v>9255</v>
      </c>
    </row>
    <row r="8285" spans="5:5" x14ac:dyDescent="0.25">
      <c r="E8285" s="82" t="s">
        <v>9256</v>
      </c>
    </row>
    <row r="8286" spans="5:5" x14ac:dyDescent="0.25">
      <c r="E8286" s="82" t="s">
        <v>9257</v>
      </c>
    </row>
    <row r="8287" spans="5:5" x14ac:dyDescent="0.25">
      <c r="E8287" s="82" t="s">
        <v>9258</v>
      </c>
    </row>
    <row r="8288" spans="5:5" x14ac:dyDescent="0.25">
      <c r="E8288" s="82" t="s">
        <v>9259</v>
      </c>
    </row>
    <row r="8289" spans="5:5" x14ac:dyDescent="0.25">
      <c r="E8289" s="82" t="s">
        <v>9260</v>
      </c>
    </row>
    <row r="8290" spans="5:5" x14ac:dyDescent="0.25">
      <c r="E8290" s="82" t="s">
        <v>9261</v>
      </c>
    </row>
    <row r="8291" spans="5:5" x14ac:dyDescent="0.25">
      <c r="E8291" s="82" t="s">
        <v>9262</v>
      </c>
    </row>
    <row r="8292" spans="5:5" x14ac:dyDescent="0.25">
      <c r="E8292" s="82" t="s">
        <v>9263</v>
      </c>
    </row>
    <row r="8293" spans="5:5" x14ac:dyDescent="0.25">
      <c r="E8293" s="82" t="s">
        <v>9264</v>
      </c>
    </row>
    <row r="8294" spans="5:5" x14ac:dyDescent="0.25">
      <c r="E8294" s="82" t="s">
        <v>9265</v>
      </c>
    </row>
    <row r="8295" spans="5:5" x14ac:dyDescent="0.25">
      <c r="E8295" s="82" t="s">
        <v>9266</v>
      </c>
    </row>
    <row r="8296" spans="5:5" x14ac:dyDescent="0.25">
      <c r="E8296" s="82" t="s">
        <v>9267</v>
      </c>
    </row>
    <row r="8297" spans="5:5" x14ac:dyDescent="0.25">
      <c r="E8297" s="82" t="s">
        <v>9268</v>
      </c>
    </row>
    <row r="8298" spans="5:5" x14ac:dyDescent="0.25">
      <c r="E8298" s="82" t="s">
        <v>9269</v>
      </c>
    </row>
    <row r="8299" spans="5:5" x14ac:dyDescent="0.25">
      <c r="E8299" s="82" t="s">
        <v>9270</v>
      </c>
    </row>
    <row r="8300" spans="5:5" x14ac:dyDescent="0.25">
      <c r="E8300" s="82" t="s">
        <v>9271</v>
      </c>
    </row>
    <row r="8301" spans="5:5" x14ac:dyDescent="0.25">
      <c r="E8301" s="82" t="s">
        <v>9272</v>
      </c>
    </row>
    <row r="8302" spans="5:5" x14ac:dyDescent="0.25">
      <c r="E8302" s="82" t="s">
        <v>9273</v>
      </c>
    </row>
    <row r="8303" spans="5:5" x14ac:dyDescent="0.25">
      <c r="E8303" s="82" t="s">
        <v>9274</v>
      </c>
    </row>
    <row r="8304" spans="5:5" x14ac:dyDescent="0.25">
      <c r="E8304" s="82" t="s">
        <v>9275</v>
      </c>
    </row>
    <row r="8305" spans="5:5" x14ac:dyDescent="0.25">
      <c r="E8305" s="82" t="s">
        <v>9276</v>
      </c>
    </row>
    <row r="8306" spans="5:5" x14ac:dyDescent="0.25">
      <c r="E8306" s="82" t="s">
        <v>9277</v>
      </c>
    </row>
    <row r="8307" spans="5:5" x14ac:dyDescent="0.25">
      <c r="E8307" s="82" t="s">
        <v>9278</v>
      </c>
    </row>
    <row r="8308" spans="5:5" x14ac:dyDescent="0.25">
      <c r="E8308" s="82" t="s">
        <v>9279</v>
      </c>
    </row>
    <row r="8309" spans="5:5" x14ac:dyDescent="0.25">
      <c r="E8309" s="82" t="s">
        <v>9280</v>
      </c>
    </row>
    <row r="8310" spans="5:5" x14ac:dyDescent="0.25">
      <c r="E8310" s="82" t="s">
        <v>9281</v>
      </c>
    </row>
    <row r="8311" spans="5:5" x14ac:dyDescent="0.25">
      <c r="E8311" s="82" t="s">
        <v>9282</v>
      </c>
    </row>
    <row r="8312" spans="5:5" x14ac:dyDescent="0.25">
      <c r="E8312" s="82" t="s">
        <v>9283</v>
      </c>
    </row>
    <row r="8313" spans="5:5" x14ac:dyDescent="0.25">
      <c r="E8313" s="82" t="s">
        <v>9284</v>
      </c>
    </row>
    <row r="8314" spans="5:5" x14ac:dyDescent="0.25">
      <c r="E8314" s="82" t="s">
        <v>9285</v>
      </c>
    </row>
    <row r="8315" spans="5:5" x14ac:dyDescent="0.25">
      <c r="E8315" s="82" t="s">
        <v>9286</v>
      </c>
    </row>
    <row r="8316" spans="5:5" x14ac:dyDescent="0.25">
      <c r="E8316" s="82" t="s">
        <v>9287</v>
      </c>
    </row>
    <row r="8317" spans="5:5" x14ac:dyDescent="0.25">
      <c r="E8317" s="82" t="s">
        <v>9288</v>
      </c>
    </row>
    <row r="8318" spans="5:5" x14ac:dyDescent="0.25">
      <c r="E8318" s="82" t="s">
        <v>9289</v>
      </c>
    </row>
    <row r="8319" spans="5:5" x14ac:dyDescent="0.25">
      <c r="E8319" s="82" t="s">
        <v>9290</v>
      </c>
    </row>
    <row r="8320" spans="5:5" x14ac:dyDescent="0.25">
      <c r="E8320" s="82" t="s">
        <v>9291</v>
      </c>
    </row>
    <row r="8321" spans="5:5" x14ac:dyDescent="0.25">
      <c r="E8321" s="82" t="s">
        <v>9292</v>
      </c>
    </row>
    <row r="8322" spans="5:5" x14ac:dyDescent="0.25">
      <c r="E8322" s="82" t="s">
        <v>9293</v>
      </c>
    </row>
    <row r="8323" spans="5:5" x14ac:dyDescent="0.25">
      <c r="E8323" s="82" t="s">
        <v>9294</v>
      </c>
    </row>
    <row r="8324" spans="5:5" x14ac:dyDescent="0.25">
      <c r="E8324" s="82" t="s">
        <v>9295</v>
      </c>
    </row>
    <row r="8325" spans="5:5" x14ac:dyDescent="0.25">
      <c r="E8325" s="82" t="s">
        <v>9296</v>
      </c>
    </row>
    <row r="8326" spans="5:5" x14ac:dyDescent="0.25">
      <c r="E8326" s="82" t="s">
        <v>9297</v>
      </c>
    </row>
    <row r="8327" spans="5:5" x14ac:dyDescent="0.25">
      <c r="E8327" s="82" t="s">
        <v>9298</v>
      </c>
    </row>
    <row r="8328" spans="5:5" x14ac:dyDescent="0.25">
      <c r="E8328" s="82" t="s">
        <v>9299</v>
      </c>
    </row>
    <row r="8329" spans="5:5" x14ac:dyDescent="0.25">
      <c r="E8329" s="82" t="s">
        <v>9300</v>
      </c>
    </row>
    <row r="8330" spans="5:5" x14ac:dyDescent="0.25">
      <c r="E8330" s="82" t="s">
        <v>9301</v>
      </c>
    </row>
    <row r="8331" spans="5:5" x14ac:dyDescent="0.25">
      <c r="E8331" s="82" t="s">
        <v>9302</v>
      </c>
    </row>
    <row r="8332" spans="5:5" x14ac:dyDescent="0.25">
      <c r="E8332" s="82" t="s">
        <v>9303</v>
      </c>
    </row>
    <row r="8333" spans="5:5" x14ac:dyDescent="0.25">
      <c r="E8333" s="82" t="s">
        <v>9304</v>
      </c>
    </row>
    <row r="8334" spans="5:5" x14ac:dyDescent="0.25">
      <c r="E8334" s="82" t="s">
        <v>9305</v>
      </c>
    </row>
    <row r="8335" spans="5:5" x14ac:dyDescent="0.25">
      <c r="E8335" s="82" t="s">
        <v>9306</v>
      </c>
    </row>
    <row r="8336" spans="5:5" x14ac:dyDescent="0.25">
      <c r="E8336" s="82" t="s">
        <v>9307</v>
      </c>
    </row>
    <row r="8337" spans="5:5" x14ac:dyDescent="0.25">
      <c r="E8337" s="82" t="s">
        <v>9308</v>
      </c>
    </row>
    <row r="8338" spans="5:5" x14ac:dyDescent="0.25">
      <c r="E8338" s="82" t="s">
        <v>9309</v>
      </c>
    </row>
    <row r="8339" spans="5:5" x14ac:dyDescent="0.25">
      <c r="E8339" s="82" t="s">
        <v>9310</v>
      </c>
    </row>
    <row r="8340" spans="5:5" x14ac:dyDescent="0.25">
      <c r="E8340" s="82" t="s">
        <v>9311</v>
      </c>
    </row>
    <row r="8341" spans="5:5" x14ac:dyDescent="0.25">
      <c r="E8341" s="82" t="s">
        <v>9312</v>
      </c>
    </row>
    <row r="8342" spans="5:5" x14ac:dyDescent="0.25">
      <c r="E8342" s="82" t="s">
        <v>9313</v>
      </c>
    </row>
    <row r="8343" spans="5:5" x14ac:dyDescent="0.25">
      <c r="E8343" s="82" t="s">
        <v>9314</v>
      </c>
    </row>
    <row r="8344" spans="5:5" x14ac:dyDescent="0.25">
      <c r="E8344" s="82" t="s">
        <v>9315</v>
      </c>
    </row>
    <row r="8345" spans="5:5" x14ac:dyDescent="0.25">
      <c r="E8345" s="82" t="s">
        <v>9316</v>
      </c>
    </row>
    <row r="8346" spans="5:5" x14ac:dyDescent="0.25">
      <c r="E8346" s="82" t="s">
        <v>9317</v>
      </c>
    </row>
    <row r="8347" spans="5:5" x14ac:dyDescent="0.25">
      <c r="E8347" s="82" t="s">
        <v>9318</v>
      </c>
    </row>
    <row r="8348" spans="5:5" x14ac:dyDescent="0.25">
      <c r="E8348" s="82" t="s">
        <v>9319</v>
      </c>
    </row>
    <row r="8349" spans="5:5" x14ac:dyDescent="0.25">
      <c r="E8349" s="82" t="s">
        <v>9320</v>
      </c>
    </row>
    <row r="8350" spans="5:5" x14ac:dyDescent="0.25">
      <c r="E8350" s="82" t="s">
        <v>9321</v>
      </c>
    </row>
    <row r="8351" spans="5:5" x14ac:dyDescent="0.25">
      <c r="E8351" s="82" t="s">
        <v>9322</v>
      </c>
    </row>
    <row r="8352" spans="5:5" x14ac:dyDescent="0.25">
      <c r="E8352" s="82" t="s">
        <v>9323</v>
      </c>
    </row>
    <row r="8353" spans="5:5" x14ac:dyDescent="0.25">
      <c r="E8353" s="82" t="s">
        <v>9324</v>
      </c>
    </row>
    <row r="8354" spans="5:5" x14ac:dyDescent="0.25">
      <c r="E8354" s="82" t="s">
        <v>9325</v>
      </c>
    </row>
    <row r="8355" spans="5:5" x14ac:dyDescent="0.25">
      <c r="E8355" s="82" t="s">
        <v>9326</v>
      </c>
    </row>
    <row r="8356" spans="5:5" x14ac:dyDescent="0.25">
      <c r="E8356" s="82" t="s">
        <v>9327</v>
      </c>
    </row>
    <row r="8357" spans="5:5" x14ac:dyDescent="0.25">
      <c r="E8357" s="82" t="s">
        <v>9328</v>
      </c>
    </row>
    <row r="8358" spans="5:5" x14ac:dyDescent="0.25">
      <c r="E8358" s="82" t="s">
        <v>9329</v>
      </c>
    </row>
    <row r="8359" spans="5:5" x14ac:dyDescent="0.25">
      <c r="E8359" s="82" t="s">
        <v>9330</v>
      </c>
    </row>
    <row r="8360" spans="5:5" x14ac:dyDescent="0.25">
      <c r="E8360" s="82" t="s">
        <v>9331</v>
      </c>
    </row>
    <row r="8361" spans="5:5" x14ac:dyDescent="0.25">
      <c r="E8361" s="82" t="s">
        <v>9332</v>
      </c>
    </row>
    <row r="8362" spans="5:5" x14ac:dyDescent="0.25">
      <c r="E8362" s="82" t="s">
        <v>9333</v>
      </c>
    </row>
    <row r="8363" spans="5:5" x14ac:dyDescent="0.25">
      <c r="E8363" s="82" t="s">
        <v>9334</v>
      </c>
    </row>
    <row r="8364" spans="5:5" x14ac:dyDescent="0.25">
      <c r="E8364" s="82" t="s">
        <v>9335</v>
      </c>
    </row>
    <row r="8365" spans="5:5" x14ac:dyDescent="0.25">
      <c r="E8365" s="82" t="s">
        <v>9336</v>
      </c>
    </row>
    <row r="8366" spans="5:5" x14ac:dyDescent="0.25">
      <c r="E8366" s="82" t="s">
        <v>9337</v>
      </c>
    </row>
    <row r="8367" spans="5:5" x14ac:dyDescent="0.25">
      <c r="E8367" s="82" t="s">
        <v>9338</v>
      </c>
    </row>
    <row r="8368" spans="5:5" x14ac:dyDescent="0.25">
      <c r="E8368" s="82" t="s">
        <v>9339</v>
      </c>
    </row>
    <row r="8369" spans="5:5" x14ac:dyDescent="0.25">
      <c r="E8369" s="82" t="s">
        <v>9340</v>
      </c>
    </row>
    <row r="8370" spans="5:5" x14ac:dyDescent="0.25">
      <c r="E8370" s="82" t="s">
        <v>9341</v>
      </c>
    </row>
    <row r="8371" spans="5:5" x14ac:dyDescent="0.25">
      <c r="E8371" s="82" t="s">
        <v>9342</v>
      </c>
    </row>
    <row r="8372" spans="5:5" x14ac:dyDescent="0.25">
      <c r="E8372" s="82" t="s">
        <v>9343</v>
      </c>
    </row>
    <row r="8373" spans="5:5" x14ac:dyDescent="0.25">
      <c r="E8373" s="82" t="s">
        <v>9344</v>
      </c>
    </row>
    <row r="8374" spans="5:5" x14ac:dyDescent="0.25">
      <c r="E8374" s="82" t="s">
        <v>9345</v>
      </c>
    </row>
    <row r="8375" spans="5:5" x14ac:dyDescent="0.25">
      <c r="E8375" s="82" t="s">
        <v>9346</v>
      </c>
    </row>
    <row r="8376" spans="5:5" x14ac:dyDescent="0.25">
      <c r="E8376" s="82" t="s">
        <v>9347</v>
      </c>
    </row>
    <row r="8377" spans="5:5" x14ac:dyDescent="0.25">
      <c r="E8377" s="82" t="s">
        <v>9348</v>
      </c>
    </row>
    <row r="8378" spans="5:5" x14ac:dyDescent="0.25">
      <c r="E8378" s="82" t="s">
        <v>9349</v>
      </c>
    </row>
    <row r="8379" spans="5:5" x14ac:dyDescent="0.25">
      <c r="E8379" s="82" t="s">
        <v>9350</v>
      </c>
    </row>
    <row r="8380" spans="5:5" x14ac:dyDescent="0.25">
      <c r="E8380" s="82" t="s">
        <v>9351</v>
      </c>
    </row>
    <row r="8381" spans="5:5" x14ac:dyDescent="0.25">
      <c r="E8381" s="82" t="s">
        <v>9352</v>
      </c>
    </row>
    <row r="8382" spans="5:5" x14ac:dyDescent="0.25">
      <c r="E8382" s="82" t="s">
        <v>9353</v>
      </c>
    </row>
    <row r="8383" spans="5:5" x14ac:dyDescent="0.25">
      <c r="E8383" s="82" t="s">
        <v>9354</v>
      </c>
    </row>
    <row r="8384" spans="5:5" x14ac:dyDescent="0.25">
      <c r="E8384" s="82" t="s">
        <v>9355</v>
      </c>
    </row>
    <row r="8385" spans="5:5" x14ac:dyDescent="0.25">
      <c r="E8385" s="82" t="s">
        <v>9356</v>
      </c>
    </row>
    <row r="8386" spans="5:5" x14ac:dyDescent="0.25">
      <c r="E8386" s="82" t="s">
        <v>9357</v>
      </c>
    </row>
    <row r="8387" spans="5:5" x14ac:dyDescent="0.25">
      <c r="E8387" s="82" t="s">
        <v>9358</v>
      </c>
    </row>
    <row r="8388" spans="5:5" x14ac:dyDescent="0.25">
      <c r="E8388" s="82" t="s">
        <v>9359</v>
      </c>
    </row>
    <row r="8389" spans="5:5" x14ac:dyDescent="0.25">
      <c r="E8389" s="82" t="s">
        <v>9360</v>
      </c>
    </row>
    <row r="8390" spans="5:5" x14ac:dyDescent="0.25">
      <c r="E8390" s="82" t="s">
        <v>9361</v>
      </c>
    </row>
    <row r="8391" spans="5:5" x14ac:dyDescent="0.25">
      <c r="E8391" s="82" t="s">
        <v>9362</v>
      </c>
    </row>
    <row r="8392" spans="5:5" x14ac:dyDescent="0.25">
      <c r="E8392" s="82" t="s">
        <v>9363</v>
      </c>
    </row>
    <row r="8393" spans="5:5" x14ac:dyDescent="0.25">
      <c r="E8393" s="82" t="s">
        <v>9364</v>
      </c>
    </row>
    <row r="8394" spans="5:5" x14ac:dyDescent="0.25">
      <c r="E8394" s="82" t="s">
        <v>9365</v>
      </c>
    </row>
    <row r="8395" spans="5:5" x14ac:dyDescent="0.25">
      <c r="E8395" s="82" t="s">
        <v>9366</v>
      </c>
    </row>
    <row r="8396" spans="5:5" x14ac:dyDescent="0.25">
      <c r="E8396" s="82" t="s">
        <v>9367</v>
      </c>
    </row>
    <row r="8397" spans="5:5" x14ac:dyDescent="0.25">
      <c r="E8397" s="82" t="s">
        <v>9368</v>
      </c>
    </row>
    <row r="8398" spans="5:5" x14ac:dyDescent="0.25">
      <c r="E8398" s="82" t="s">
        <v>9369</v>
      </c>
    </row>
    <row r="8399" spans="5:5" x14ac:dyDescent="0.25">
      <c r="E8399" s="82" t="s">
        <v>9370</v>
      </c>
    </row>
    <row r="8400" spans="5:5" x14ac:dyDescent="0.25">
      <c r="E8400" s="82" t="s">
        <v>9371</v>
      </c>
    </row>
    <row r="8401" spans="5:5" x14ac:dyDescent="0.25">
      <c r="E8401" s="82" t="s">
        <v>9372</v>
      </c>
    </row>
    <row r="8402" spans="5:5" x14ac:dyDescent="0.25">
      <c r="E8402" s="82" t="s">
        <v>9373</v>
      </c>
    </row>
    <row r="8403" spans="5:5" x14ac:dyDescent="0.25">
      <c r="E8403" s="82" t="s">
        <v>9374</v>
      </c>
    </row>
    <row r="8404" spans="5:5" x14ac:dyDescent="0.25">
      <c r="E8404" s="82" t="s">
        <v>9375</v>
      </c>
    </row>
    <row r="8405" spans="5:5" x14ac:dyDescent="0.25">
      <c r="E8405" s="82" t="s">
        <v>9376</v>
      </c>
    </row>
    <row r="8406" spans="5:5" x14ac:dyDescent="0.25">
      <c r="E8406" s="82" t="s">
        <v>9377</v>
      </c>
    </row>
    <row r="8407" spans="5:5" x14ac:dyDescent="0.25">
      <c r="E8407" s="82" t="s">
        <v>9378</v>
      </c>
    </row>
    <row r="8408" spans="5:5" x14ac:dyDescent="0.25">
      <c r="E8408" s="82" t="s">
        <v>9379</v>
      </c>
    </row>
    <row r="8409" spans="5:5" x14ac:dyDescent="0.25">
      <c r="E8409" s="82" t="s">
        <v>9380</v>
      </c>
    </row>
    <row r="8410" spans="5:5" x14ac:dyDescent="0.25">
      <c r="E8410" s="82" t="s">
        <v>9381</v>
      </c>
    </row>
    <row r="8411" spans="5:5" x14ac:dyDescent="0.25">
      <c r="E8411" s="82" t="s">
        <v>9382</v>
      </c>
    </row>
    <row r="8412" spans="5:5" x14ac:dyDescent="0.25">
      <c r="E8412" s="82" t="s">
        <v>9383</v>
      </c>
    </row>
    <row r="8413" spans="5:5" x14ac:dyDescent="0.25">
      <c r="E8413" s="82" t="s">
        <v>9384</v>
      </c>
    </row>
    <row r="8414" spans="5:5" x14ac:dyDescent="0.25">
      <c r="E8414" s="82" t="s">
        <v>9385</v>
      </c>
    </row>
    <row r="8415" spans="5:5" x14ac:dyDescent="0.25">
      <c r="E8415" s="82" t="s">
        <v>9386</v>
      </c>
    </row>
    <row r="8416" spans="5:5" x14ac:dyDescent="0.25">
      <c r="E8416" s="82" t="s">
        <v>9387</v>
      </c>
    </row>
    <row r="8417" spans="5:5" x14ac:dyDescent="0.25">
      <c r="E8417" s="82" t="s">
        <v>9388</v>
      </c>
    </row>
    <row r="8418" spans="5:5" x14ac:dyDescent="0.25">
      <c r="E8418" s="82" t="s">
        <v>9389</v>
      </c>
    </row>
    <row r="8419" spans="5:5" x14ac:dyDescent="0.25">
      <c r="E8419" s="82" t="s">
        <v>9390</v>
      </c>
    </row>
    <row r="8420" spans="5:5" x14ac:dyDescent="0.25">
      <c r="E8420" s="82" t="s">
        <v>9391</v>
      </c>
    </row>
    <row r="8421" spans="5:5" x14ac:dyDescent="0.25">
      <c r="E8421" s="82" t="s">
        <v>9392</v>
      </c>
    </row>
    <row r="8422" spans="5:5" x14ac:dyDescent="0.25">
      <c r="E8422" s="82" t="s">
        <v>9393</v>
      </c>
    </row>
    <row r="8423" spans="5:5" x14ac:dyDescent="0.25">
      <c r="E8423" s="82" t="s">
        <v>9394</v>
      </c>
    </row>
    <row r="8424" spans="5:5" x14ac:dyDescent="0.25">
      <c r="E8424" s="82" t="s">
        <v>9395</v>
      </c>
    </row>
    <row r="8425" spans="5:5" x14ac:dyDescent="0.25">
      <c r="E8425" s="82" t="s">
        <v>9396</v>
      </c>
    </row>
    <row r="8426" spans="5:5" x14ac:dyDescent="0.25">
      <c r="E8426" s="82" t="s">
        <v>9397</v>
      </c>
    </row>
    <row r="8427" spans="5:5" x14ac:dyDescent="0.25">
      <c r="E8427" s="82" t="s">
        <v>9398</v>
      </c>
    </row>
    <row r="8428" spans="5:5" x14ac:dyDescent="0.25">
      <c r="E8428" s="82" t="s">
        <v>9399</v>
      </c>
    </row>
    <row r="8429" spans="5:5" x14ac:dyDescent="0.25">
      <c r="E8429" s="82" t="s">
        <v>9400</v>
      </c>
    </row>
    <row r="8430" spans="5:5" x14ac:dyDescent="0.25">
      <c r="E8430" s="82" t="s">
        <v>9401</v>
      </c>
    </row>
    <row r="8431" spans="5:5" x14ac:dyDescent="0.25">
      <c r="E8431" s="82" t="s">
        <v>9402</v>
      </c>
    </row>
    <row r="8432" spans="5:5" x14ac:dyDescent="0.25">
      <c r="E8432" s="82" t="s">
        <v>9403</v>
      </c>
    </row>
    <row r="8433" spans="5:5" x14ac:dyDescent="0.25">
      <c r="E8433" s="82" t="s">
        <v>9404</v>
      </c>
    </row>
    <row r="8434" spans="5:5" x14ac:dyDescent="0.25">
      <c r="E8434" s="82" t="s">
        <v>9405</v>
      </c>
    </row>
    <row r="8435" spans="5:5" x14ac:dyDescent="0.25">
      <c r="E8435" s="82" t="s">
        <v>9406</v>
      </c>
    </row>
    <row r="8436" spans="5:5" x14ac:dyDescent="0.25">
      <c r="E8436" s="82" t="s">
        <v>9407</v>
      </c>
    </row>
    <row r="8437" spans="5:5" x14ac:dyDescent="0.25">
      <c r="E8437" s="82" t="s">
        <v>9408</v>
      </c>
    </row>
    <row r="8438" spans="5:5" x14ac:dyDescent="0.25">
      <c r="E8438" s="82" t="s">
        <v>9409</v>
      </c>
    </row>
    <row r="8439" spans="5:5" x14ac:dyDescent="0.25">
      <c r="E8439" s="82" t="s">
        <v>9410</v>
      </c>
    </row>
    <row r="8440" spans="5:5" x14ac:dyDescent="0.25">
      <c r="E8440" s="82" t="s">
        <v>9411</v>
      </c>
    </row>
    <row r="8441" spans="5:5" x14ac:dyDescent="0.25">
      <c r="E8441" s="82" t="s">
        <v>9412</v>
      </c>
    </row>
    <row r="8442" spans="5:5" x14ac:dyDescent="0.25">
      <c r="E8442" s="82" t="s">
        <v>9413</v>
      </c>
    </row>
    <row r="8443" spans="5:5" x14ac:dyDescent="0.25">
      <c r="E8443" s="82" t="s">
        <v>9414</v>
      </c>
    </row>
    <row r="8444" spans="5:5" x14ac:dyDescent="0.25">
      <c r="E8444" s="82" t="s">
        <v>9415</v>
      </c>
    </row>
    <row r="8445" spans="5:5" x14ac:dyDescent="0.25">
      <c r="E8445" s="82" t="s">
        <v>9416</v>
      </c>
    </row>
    <row r="8446" spans="5:5" x14ac:dyDescent="0.25">
      <c r="E8446" s="82" t="s">
        <v>9417</v>
      </c>
    </row>
    <row r="8447" spans="5:5" x14ac:dyDescent="0.25">
      <c r="E8447" s="82" t="s">
        <v>9418</v>
      </c>
    </row>
    <row r="8448" spans="5:5" x14ac:dyDescent="0.25">
      <c r="E8448" s="82" t="s">
        <v>9419</v>
      </c>
    </row>
    <row r="8449" spans="5:5" x14ac:dyDescent="0.25">
      <c r="E8449" s="82" t="s">
        <v>9420</v>
      </c>
    </row>
    <row r="8450" spans="5:5" x14ac:dyDescent="0.25">
      <c r="E8450" s="82" t="s">
        <v>9421</v>
      </c>
    </row>
    <row r="8451" spans="5:5" x14ac:dyDescent="0.25">
      <c r="E8451" s="82" t="s">
        <v>9422</v>
      </c>
    </row>
    <row r="8452" spans="5:5" x14ac:dyDescent="0.25">
      <c r="E8452" s="82" t="s">
        <v>9423</v>
      </c>
    </row>
    <row r="8453" spans="5:5" x14ac:dyDescent="0.25">
      <c r="E8453" s="82" t="s">
        <v>9424</v>
      </c>
    </row>
    <row r="8454" spans="5:5" x14ac:dyDescent="0.25">
      <c r="E8454" s="82" t="s">
        <v>9425</v>
      </c>
    </row>
    <row r="8455" spans="5:5" x14ac:dyDescent="0.25">
      <c r="E8455" s="82" t="s">
        <v>9426</v>
      </c>
    </row>
    <row r="8456" spans="5:5" x14ac:dyDescent="0.25">
      <c r="E8456" s="82" t="s">
        <v>9427</v>
      </c>
    </row>
    <row r="8457" spans="5:5" x14ac:dyDescent="0.25">
      <c r="E8457" s="82" t="s">
        <v>9428</v>
      </c>
    </row>
    <row r="8458" spans="5:5" x14ac:dyDescent="0.25">
      <c r="E8458" s="82" t="s">
        <v>9429</v>
      </c>
    </row>
    <row r="8459" spans="5:5" x14ac:dyDescent="0.25">
      <c r="E8459" s="82" t="s">
        <v>9430</v>
      </c>
    </row>
    <row r="8460" spans="5:5" x14ac:dyDescent="0.25">
      <c r="E8460" s="82" t="s">
        <v>9431</v>
      </c>
    </row>
    <row r="8461" spans="5:5" x14ac:dyDescent="0.25">
      <c r="E8461" s="82" t="s">
        <v>9432</v>
      </c>
    </row>
    <row r="8462" spans="5:5" x14ac:dyDescent="0.25">
      <c r="E8462" s="82" t="s">
        <v>9433</v>
      </c>
    </row>
    <row r="8463" spans="5:5" x14ac:dyDescent="0.25">
      <c r="E8463" s="82" t="s">
        <v>9434</v>
      </c>
    </row>
    <row r="8464" spans="5:5" x14ac:dyDescent="0.25">
      <c r="E8464" s="82" t="s">
        <v>9435</v>
      </c>
    </row>
    <row r="8465" spans="5:5" x14ac:dyDescent="0.25">
      <c r="E8465" s="82" t="s">
        <v>9436</v>
      </c>
    </row>
    <row r="8466" spans="5:5" x14ac:dyDescent="0.25">
      <c r="E8466" s="82" t="s">
        <v>9437</v>
      </c>
    </row>
    <row r="8467" spans="5:5" x14ac:dyDescent="0.25">
      <c r="E8467" s="82" t="s">
        <v>9438</v>
      </c>
    </row>
    <row r="8468" spans="5:5" x14ac:dyDescent="0.25">
      <c r="E8468" s="82" t="s">
        <v>9439</v>
      </c>
    </row>
    <row r="8469" spans="5:5" x14ac:dyDescent="0.25">
      <c r="E8469" s="82" t="s">
        <v>9440</v>
      </c>
    </row>
    <row r="8470" spans="5:5" x14ac:dyDescent="0.25">
      <c r="E8470" s="82" t="s">
        <v>9441</v>
      </c>
    </row>
    <row r="8471" spans="5:5" x14ac:dyDescent="0.25">
      <c r="E8471" s="82" t="s">
        <v>9442</v>
      </c>
    </row>
    <row r="8472" spans="5:5" x14ac:dyDescent="0.25">
      <c r="E8472" s="82" t="s">
        <v>9443</v>
      </c>
    </row>
    <row r="8473" spans="5:5" x14ac:dyDescent="0.25">
      <c r="E8473" s="82" t="s">
        <v>9444</v>
      </c>
    </row>
    <row r="8474" spans="5:5" x14ac:dyDescent="0.25">
      <c r="E8474" s="82" t="s">
        <v>9445</v>
      </c>
    </row>
    <row r="8475" spans="5:5" x14ac:dyDescent="0.25">
      <c r="E8475" s="82" t="s">
        <v>9446</v>
      </c>
    </row>
    <row r="8476" spans="5:5" x14ac:dyDescent="0.25">
      <c r="E8476" s="82" t="s">
        <v>9447</v>
      </c>
    </row>
    <row r="8477" spans="5:5" x14ac:dyDescent="0.25">
      <c r="E8477" s="82" t="s">
        <v>9448</v>
      </c>
    </row>
    <row r="8478" spans="5:5" x14ac:dyDescent="0.25">
      <c r="E8478" s="82" t="s">
        <v>9449</v>
      </c>
    </row>
    <row r="8479" spans="5:5" x14ac:dyDescent="0.25">
      <c r="E8479" s="82" t="s">
        <v>9450</v>
      </c>
    </row>
    <row r="8480" spans="5:5" x14ac:dyDescent="0.25">
      <c r="E8480" s="82" t="s">
        <v>9451</v>
      </c>
    </row>
    <row r="8481" spans="5:5" x14ac:dyDescent="0.25">
      <c r="E8481" s="82" t="s">
        <v>9452</v>
      </c>
    </row>
    <row r="8482" spans="5:5" x14ac:dyDescent="0.25">
      <c r="E8482" s="82" t="s">
        <v>9453</v>
      </c>
    </row>
    <row r="8483" spans="5:5" x14ac:dyDescent="0.25">
      <c r="E8483" s="82" t="s">
        <v>9454</v>
      </c>
    </row>
    <row r="8484" spans="5:5" x14ac:dyDescent="0.25">
      <c r="E8484" s="82" t="s">
        <v>9455</v>
      </c>
    </row>
    <row r="8485" spans="5:5" x14ac:dyDescent="0.25">
      <c r="E8485" s="82" t="s">
        <v>9456</v>
      </c>
    </row>
    <row r="8486" spans="5:5" x14ac:dyDescent="0.25">
      <c r="E8486" s="82" t="s">
        <v>9457</v>
      </c>
    </row>
    <row r="8487" spans="5:5" x14ac:dyDescent="0.25">
      <c r="E8487" s="82" t="s">
        <v>9458</v>
      </c>
    </row>
    <row r="8488" spans="5:5" x14ac:dyDescent="0.25">
      <c r="E8488" s="82" t="s">
        <v>9459</v>
      </c>
    </row>
    <row r="8489" spans="5:5" x14ac:dyDescent="0.25">
      <c r="E8489" s="82" t="s">
        <v>9460</v>
      </c>
    </row>
    <row r="8490" spans="5:5" x14ac:dyDescent="0.25">
      <c r="E8490" s="82" t="s">
        <v>9461</v>
      </c>
    </row>
    <row r="8491" spans="5:5" x14ac:dyDescent="0.25">
      <c r="E8491" s="82" t="s">
        <v>9462</v>
      </c>
    </row>
    <row r="8492" spans="5:5" x14ac:dyDescent="0.25">
      <c r="E8492" s="82" t="s">
        <v>9463</v>
      </c>
    </row>
    <row r="8493" spans="5:5" x14ac:dyDescent="0.25">
      <c r="E8493" s="82" t="s">
        <v>9464</v>
      </c>
    </row>
    <row r="8494" spans="5:5" x14ac:dyDescent="0.25">
      <c r="E8494" s="82" t="s">
        <v>9465</v>
      </c>
    </row>
    <row r="8495" spans="5:5" x14ac:dyDescent="0.25">
      <c r="E8495" s="82" t="s">
        <v>9466</v>
      </c>
    </row>
    <row r="8496" spans="5:5" x14ac:dyDescent="0.25">
      <c r="E8496" s="82" t="s">
        <v>9467</v>
      </c>
    </row>
    <row r="8497" spans="5:5" x14ac:dyDescent="0.25">
      <c r="E8497" s="82" t="s">
        <v>9468</v>
      </c>
    </row>
    <row r="8498" spans="5:5" x14ac:dyDescent="0.25">
      <c r="E8498" s="82" t="s">
        <v>9469</v>
      </c>
    </row>
    <row r="8499" spans="5:5" x14ac:dyDescent="0.25">
      <c r="E8499" s="82" t="s">
        <v>9470</v>
      </c>
    </row>
    <row r="8500" spans="5:5" x14ac:dyDescent="0.25">
      <c r="E8500" s="82" t="s">
        <v>9471</v>
      </c>
    </row>
    <row r="8501" spans="5:5" x14ac:dyDescent="0.25">
      <c r="E8501" s="82" t="s">
        <v>9472</v>
      </c>
    </row>
    <row r="8502" spans="5:5" x14ac:dyDescent="0.25">
      <c r="E8502" s="82" t="s">
        <v>9473</v>
      </c>
    </row>
    <row r="8503" spans="5:5" x14ac:dyDescent="0.25">
      <c r="E8503" s="82" t="s">
        <v>9474</v>
      </c>
    </row>
    <row r="8504" spans="5:5" x14ac:dyDescent="0.25">
      <c r="E8504" s="82" t="s">
        <v>9475</v>
      </c>
    </row>
    <row r="8505" spans="5:5" x14ac:dyDescent="0.25">
      <c r="E8505" s="82" t="s">
        <v>9476</v>
      </c>
    </row>
    <row r="8506" spans="5:5" x14ac:dyDescent="0.25">
      <c r="E8506" s="82" t="s">
        <v>9477</v>
      </c>
    </row>
    <row r="8507" spans="5:5" x14ac:dyDescent="0.25">
      <c r="E8507" s="82" t="s">
        <v>9478</v>
      </c>
    </row>
    <row r="8508" spans="5:5" x14ac:dyDescent="0.25">
      <c r="E8508" s="82" t="s">
        <v>9479</v>
      </c>
    </row>
    <row r="8509" spans="5:5" x14ac:dyDescent="0.25">
      <c r="E8509" s="82" t="s">
        <v>9480</v>
      </c>
    </row>
    <row r="8510" spans="5:5" x14ac:dyDescent="0.25">
      <c r="E8510" s="82" t="s">
        <v>9481</v>
      </c>
    </row>
    <row r="8511" spans="5:5" x14ac:dyDescent="0.25">
      <c r="E8511" s="82" t="s">
        <v>9482</v>
      </c>
    </row>
    <row r="8512" spans="5:5" x14ac:dyDescent="0.25">
      <c r="E8512" s="82" t="s">
        <v>9483</v>
      </c>
    </row>
    <row r="8513" spans="5:5" x14ac:dyDescent="0.25">
      <c r="E8513" s="82" t="s">
        <v>9484</v>
      </c>
    </row>
    <row r="8514" spans="5:5" x14ac:dyDescent="0.25">
      <c r="E8514" s="82" t="s">
        <v>9485</v>
      </c>
    </row>
    <row r="8515" spans="5:5" x14ac:dyDescent="0.25">
      <c r="E8515" s="82" t="s">
        <v>9486</v>
      </c>
    </row>
    <row r="8516" spans="5:5" x14ac:dyDescent="0.25">
      <c r="E8516" s="82" t="s">
        <v>9487</v>
      </c>
    </row>
    <row r="8517" spans="5:5" x14ac:dyDescent="0.25">
      <c r="E8517" s="82" t="s">
        <v>9488</v>
      </c>
    </row>
    <row r="8518" spans="5:5" x14ac:dyDescent="0.25">
      <c r="E8518" s="82" t="s">
        <v>9489</v>
      </c>
    </row>
    <row r="8519" spans="5:5" x14ac:dyDescent="0.25">
      <c r="E8519" s="82" t="s">
        <v>9490</v>
      </c>
    </row>
    <row r="8520" spans="5:5" x14ac:dyDescent="0.25">
      <c r="E8520" s="82" t="s">
        <v>9491</v>
      </c>
    </row>
    <row r="8521" spans="5:5" x14ac:dyDescent="0.25">
      <c r="E8521" s="82" t="s">
        <v>9492</v>
      </c>
    </row>
    <row r="8522" spans="5:5" x14ac:dyDescent="0.25">
      <c r="E8522" s="82" t="s">
        <v>9493</v>
      </c>
    </row>
    <row r="8523" spans="5:5" x14ac:dyDescent="0.25">
      <c r="E8523" s="82" t="s">
        <v>9494</v>
      </c>
    </row>
    <row r="8524" spans="5:5" x14ac:dyDescent="0.25">
      <c r="E8524" s="82" t="s">
        <v>9495</v>
      </c>
    </row>
    <row r="8525" spans="5:5" x14ac:dyDescent="0.25">
      <c r="E8525" s="82" t="s">
        <v>9496</v>
      </c>
    </row>
    <row r="8526" spans="5:5" x14ac:dyDescent="0.25">
      <c r="E8526" s="82" t="s">
        <v>9497</v>
      </c>
    </row>
    <row r="8527" spans="5:5" x14ac:dyDescent="0.25">
      <c r="E8527" s="82" t="s">
        <v>9498</v>
      </c>
    </row>
    <row r="8528" spans="5:5" x14ac:dyDescent="0.25">
      <c r="E8528" s="82" t="s">
        <v>9499</v>
      </c>
    </row>
    <row r="8529" spans="5:5" x14ac:dyDescent="0.25">
      <c r="E8529" s="82" t="s">
        <v>9500</v>
      </c>
    </row>
    <row r="8530" spans="5:5" x14ac:dyDescent="0.25">
      <c r="E8530" s="82" t="s">
        <v>9501</v>
      </c>
    </row>
    <row r="8531" spans="5:5" x14ac:dyDescent="0.25">
      <c r="E8531" s="82" t="s">
        <v>9502</v>
      </c>
    </row>
    <row r="8532" spans="5:5" x14ac:dyDescent="0.25">
      <c r="E8532" s="82" t="s">
        <v>9503</v>
      </c>
    </row>
    <row r="8533" spans="5:5" x14ac:dyDescent="0.25">
      <c r="E8533" s="82" t="s">
        <v>9504</v>
      </c>
    </row>
    <row r="8534" spans="5:5" x14ac:dyDescent="0.25">
      <c r="E8534" s="82" t="s">
        <v>9505</v>
      </c>
    </row>
    <row r="8535" spans="5:5" x14ac:dyDescent="0.25">
      <c r="E8535" s="82" t="s">
        <v>9506</v>
      </c>
    </row>
    <row r="8536" spans="5:5" x14ac:dyDescent="0.25">
      <c r="E8536" s="82" t="s">
        <v>9507</v>
      </c>
    </row>
    <row r="8537" spans="5:5" x14ac:dyDescent="0.25">
      <c r="E8537" s="82" t="s">
        <v>9508</v>
      </c>
    </row>
    <row r="8538" spans="5:5" x14ac:dyDescent="0.25">
      <c r="E8538" s="82" t="s">
        <v>9509</v>
      </c>
    </row>
    <row r="8539" spans="5:5" x14ac:dyDescent="0.25">
      <c r="E8539" s="82" t="s">
        <v>9510</v>
      </c>
    </row>
    <row r="8540" spans="5:5" x14ac:dyDescent="0.25">
      <c r="E8540" s="82" t="s">
        <v>9511</v>
      </c>
    </row>
    <row r="8541" spans="5:5" x14ac:dyDescent="0.25">
      <c r="E8541" s="82" t="s">
        <v>9512</v>
      </c>
    </row>
    <row r="8542" spans="5:5" x14ac:dyDescent="0.25">
      <c r="E8542" s="82" t="s">
        <v>9513</v>
      </c>
    </row>
    <row r="8543" spans="5:5" x14ac:dyDescent="0.25">
      <c r="E8543" s="82" t="s">
        <v>9514</v>
      </c>
    </row>
    <row r="8544" spans="5:5" x14ac:dyDescent="0.25">
      <c r="E8544" s="82" t="s">
        <v>9515</v>
      </c>
    </row>
    <row r="8545" spans="5:5" x14ac:dyDescent="0.25">
      <c r="E8545" s="82" t="s">
        <v>9516</v>
      </c>
    </row>
    <row r="8546" spans="5:5" x14ac:dyDescent="0.25">
      <c r="E8546" s="82" t="s">
        <v>9517</v>
      </c>
    </row>
    <row r="8547" spans="5:5" x14ac:dyDescent="0.25">
      <c r="E8547" s="82" t="s">
        <v>9518</v>
      </c>
    </row>
    <row r="8548" spans="5:5" x14ac:dyDescent="0.25">
      <c r="E8548" s="82" t="s">
        <v>9519</v>
      </c>
    </row>
    <row r="8549" spans="5:5" x14ac:dyDescent="0.25">
      <c r="E8549" s="82" t="s">
        <v>9520</v>
      </c>
    </row>
    <row r="8550" spans="5:5" x14ac:dyDescent="0.25">
      <c r="E8550" s="82" t="s">
        <v>9521</v>
      </c>
    </row>
    <row r="8551" spans="5:5" x14ac:dyDescent="0.25">
      <c r="E8551" s="82" t="s">
        <v>9522</v>
      </c>
    </row>
    <row r="8552" spans="5:5" x14ac:dyDescent="0.25">
      <c r="E8552" s="82" t="s">
        <v>9523</v>
      </c>
    </row>
    <row r="8553" spans="5:5" x14ac:dyDescent="0.25">
      <c r="E8553" s="82" t="s">
        <v>9524</v>
      </c>
    </row>
    <row r="8554" spans="5:5" x14ac:dyDescent="0.25">
      <c r="E8554" s="82" t="s">
        <v>9525</v>
      </c>
    </row>
    <row r="8555" spans="5:5" x14ac:dyDescent="0.25">
      <c r="E8555" s="82" t="s">
        <v>9526</v>
      </c>
    </row>
    <row r="8556" spans="5:5" x14ac:dyDescent="0.25">
      <c r="E8556" s="82" t="s">
        <v>9527</v>
      </c>
    </row>
    <row r="8557" spans="5:5" x14ac:dyDescent="0.25">
      <c r="E8557" s="82" t="s">
        <v>9528</v>
      </c>
    </row>
    <row r="8558" spans="5:5" x14ac:dyDescent="0.25">
      <c r="E8558" s="82" t="s">
        <v>9529</v>
      </c>
    </row>
    <row r="8559" spans="5:5" x14ac:dyDescent="0.25">
      <c r="E8559" s="82" t="s">
        <v>9530</v>
      </c>
    </row>
    <row r="8560" spans="5:5" x14ac:dyDescent="0.25">
      <c r="E8560" s="82" t="s">
        <v>9531</v>
      </c>
    </row>
    <row r="8561" spans="5:5" x14ac:dyDescent="0.25">
      <c r="E8561" s="82" t="s">
        <v>9532</v>
      </c>
    </row>
    <row r="8562" spans="5:5" x14ac:dyDescent="0.25">
      <c r="E8562" s="82" t="s">
        <v>9533</v>
      </c>
    </row>
    <row r="8563" spans="5:5" x14ac:dyDescent="0.25">
      <c r="E8563" s="82" t="s">
        <v>9534</v>
      </c>
    </row>
    <row r="8564" spans="5:5" x14ac:dyDescent="0.25">
      <c r="E8564" s="82" t="s">
        <v>9535</v>
      </c>
    </row>
    <row r="8565" spans="5:5" x14ac:dyDescent="0.25">
      <c r="E8565" s="82" t="s">
        <v>9536</v>
      </c>
    </row>
    <row r="8566" spans="5:5" x14ac:dyDescent="0.25">
      <c r="E8566" s="82" t="s">
        <v>9537</v>
      </c>
    </row>
    <row r="8567" spans="5:5" x14ac:dyDescent="0.25">
      <c r="E8567" s="82" t="s">
        <v>9538</v>
      </c>
    </row>
    <row r="8568" spans="5:5" x14ac:dyDescent="0.25">
      <c r="E8568" s="82" t="s">
        <v>9539</v>
      </c>
    </row>
    <row r="8569" spans="5:5" x14ac:dyDescent="0.25">
      <c r="E8569" s="82" t="s">
        <v>9540</v>
      </c>
    </row>
    <row r="8570" spans="5:5" x14ac:dyDescent="0.25">
      <c r="E8570" s="82" t="s">
        <v>9541</v>
      </c>
    </row>
    <row r="8571" spans="5:5" x14ac:dyDescent="0.25">
      <c r="E8571" s="82" t="s">
        <v>9542</v>
      </c>
    </row>
    <row r="8572" spans="5:5" x14ac:dyDescent="0.25">
      <c r="E8572" s="82" t="s">
        <v>9543</v>
      </c>
    </row>
    <row r="8573" spans="5:5" x14ac:dyDescent="0.25">
      <c r="E8573" s="82" t="s">
        <v>9544</v>
      </c>
    </row>
    <row r="8574" spans="5:5" x14ac:dyDescent="0.25">
      <c r="E8574" s="82" t="s">
        <v>9545</v>
      </c>
    </row>
    <row r="8575" spans="5:5" x14ac:dyDescent="0.25">
      <c r="E8575" s="82" t="s">
        <v>9546</v>
      </c>
    </row>
    <row r="8576" spans="5:5" x14ac:dyDescent="0.25">
      <c r="E8576" s="82" t="s">
        <v>9547</v>
      </c>
    </row>
    <row r="8577" spans="5:5" x14ac:dyDescent="0.25">
      <c r="E8577" s="82" t="s">
        <v>9548</v>
      </c>
    </row>
    <row r="8578" spans="5:5" x14ac:dyDescent="0.25">
      <c r="E8578" s="82" t="s">
        <v>9549</v>
      </c>
    </row>
    <row r="8579" spans="5:5" x14ac:dyDescent="0.25">
      <c r="E8579" s="82" t="s">
        <v>9550</v>
      </c>
    </row>
    <row r="8580" spans="5:5" x14ac:dyDescent="0.25">
      <c r="E8580" s="82" t="s">
        <v>9551</v>
      </c>
    </row>
    <row r="8581" spans="5:5" x14ac:dyDescent="0.25">
      <c r="E8581" s="82" t="s">
        <v>9552</v>
      </c>
    </row>
    <row r="8582" spans="5:5" x14ac:dyDescent="0.25">
      <c r="E8582" s="82" t="s">
        <v>9553</v>
      </c>
    </row>
    <row r="8583" spans="5:5" x14ac:dyDescent="0.25">
      <c r="E8583" s="82" t="s">
        <v>9554</v>
      </c>
    </row>
    <row r="8584" spans="5:5" x14ac:dyDescent="0.25">
      <c r="E8584" s="82" t="s">
        <v>9555</v>
      </c>
    </row>
    <row r="8585" spans="5:5" x14ac:dyDescent="0.25">
      <c r="E8585" s="82" t="s">
        <v>9556</v>
      </c>
    </row>
    <row r="8586" spans="5:5" x14ac:dyDescent="0.25">
      <c r="E8586" s="82" t="s">
        <v>9557</v>
      </c>
    </row>
    <row r="8587" spans="5:5" x14ac:dyDescent="0.25">
      <c r="E8587" s="82" t="s">
        <v>9558</v>
      </c>
    </row>
    <row r="8588" spans="5:5" x14ac:dyDescent="0.25">
      <c r="E8588" s="82" t="s">
        <v>9559</v>
      </c>
    </row>
    <row r="8589" spans="5:5" x14ac:dyDescent="0.25">
      <c r="E8589" s="82" t="s">
        <v>9560</v>
      </c>
    </row>
    <row r="8590" spans="5:5" x14ac:dyDescent="0.25">
      <c r="E8590" s="82" t="s">
        <v>9561</v>
      </c>
    </row>
    <row r="8591" spans="5:5" x14ac:dyDescent="0.25">
      <c r="E8591" s="82" t="s">
        <v>9562</v>
      </c>
    </row>
    <row r="8592" spans="5:5" x14ac:dyDescent="0.25">
      <c r="E8592" s="82" t="s">
        <v>9563</v>
      </c>
    </row>
    <row r="8593" spans="5:5" x14ac:dyDescent="0.25">
      <c r="E8593" s="82" t="s">
        <v>9564</v>
      </c>
    </row>
    <row r="8594" spans="5:5" x14ac:dyDescent="0.25">
      <c r="E8594" s="82" t="s">
        <v>9565</v>
      </c>
    </row>
    <row r="8595" spans="5:5" x14ac:dyDescent="0.25">
      <c r="E8595" s="82" t="s">
        <v>9566</v>
      </c>
    </row>
    <row r="8596" spans="5:5" x14ac:dyDescent="0.25">
      <c r="E8596" s="82" t="s">
        <v>9567</v>
      </c>
    </row>
    <row r="8597" spans="5:5" x14ac:dyDescent="0.25">
      <c r="E8597" s="82" t="s">
        <v>9568</v>
      </c>
    </row>
    <row r="8598" spans="5:5" x14ac:dyDescent="0.25">
      <c r="E8598" s="82" t="s">
        <v>9569</v>
      </c>
    </row>
    <row r="8599" spans="5:5" x14ac:dyDescent="0.25">
      <c r="E8599" s="82" t="s">
        <v>9570</v>
      </c>
    </row>
    <row r="8600" spans="5:5" x14ac:dyDescent="0.25">
      <c r="E8600" s="82" t="s">
        <v>9571</v>
      </c>
    </row>
    <row r="8601" spans="5:5" x14ac:dyDescent="0.25">
      <c r="E8601" s="82" t="s">
        <v>9572</v>
      </c>
    </row>
    <row r="8602" spans="5:5" x14ac:dyDescent="0.25">
      <c r="E8602" s="82" t="s">
        <v>9573</v>
      </c>
    </row>
    <row r="8603" spans="5:5" x14ac:dyDescent="0.25">
      <c r="E8603" s="82" t="s">
        <v>9574</v>
      </c>
    </row>
    <row r="8604" spans="5:5" x14ac:dyDescent="0.25">
      <c r="E8604" s="82" t="s">
        <v>9575</v>
      </c>
    </row>
    <row r="8605" spans="5:5" x14ac:dyDescent="0.25">
      <c r="E8605" s="82" t="s">
        <v>9576</v>
      </c>
    </row>
    <row r="8606" spans="5:5" x14ac:dyDescent="0.25">
      <c r="E8606" s="82" t="s">
        <v>9577</v>
      </c>
    </row>
    <row r="8607" spans="5:5" x14ac:dyDescent="0.25">
      <c r="E8607" s="82" t="s">
        <v>9578</v>
      </c>
    </row>
    <row r="8608" spans="5:5" x14ac:dyDescent="0.25">
      <c r="E8608" s="82" t="s">
        <v>9579</v>
      </c>
    </row>
    <row r="8609" spans="5:5" x14ac:dyDescent="0.25">
      <c r="E8609" s="82" t="s">
        <v>9580</v>
      </c>
    </row>
    <row r="8610" spans="5:5" x14ac:dyDescent="0.25">
      <c r="E8610" s="82" t="s">
        <v>9581</v>
      </c>
    </row>
    <row r="8611" spans="5:5" x14ac:dyDescent="0.25">
      <c r="E8611" s="82" t="s">
        <v>9582</v>
      </c>
    </row>
    <row r="8612" spans="5:5" x14ac:dyDescent="0.25">
      <c r="E8612" s="82" t="s">
        <v>9583</v>
      </c>
    </row>
    <row r="8613" spans="5:5" x14ac:dyDescent="0.25">
      <c r="E8613" s="82" t="s">
        <v>9584</v>
      </c>
    </row>
    <row r="8614" spans="5:5" x14ac:dyDescent="0.25">
      <c r="E8614" s="82" t="s">
        <v>9585</v>
      </c>
    </row>
    <row r="8615" spans="5:5" x14ac:dyDescent="0.25">
      <c r="E8615" s="82" t="s">
        <v>9586</v>
      </c>
    </row>
    <row r="8616" spans="5:5" x14ac:dyDescent="0.25">
      <c r="E8616" s="82" t="s">
        <v>9587</v>
      </c>
    </row>
    <row r="8617" spans="5:5" x14ac:dyDescent="0.25">
      <c r="E8617" s="82" t="s">
        <v>9588</v>
      </c>
    </row>
    <row r="8618" spans="5:5" x14ac:dyDescent="0.25">
      <c r="E8618" s="82" t="s">
        <v>9589</v>
      </c>
    </row>
    <row r="8619" spans="5:5" x14ac:dyDescent="0.25">
      <c r="E8619" s="82" t="s">
        <v>9590</v>
      </c>
    </row>
    <row r="8620" spans="5:5" x14ac:dyDescent="0.25">
      <c r="E8620" s="82" t="s">
        <v>9591</v>
      </c>
    </row>
    <row r="8621" spans="5:5" x14ac:dyDescent="0.25">
      <c r="E8621" s="82" t="s">
        <v>9592</v>
      </c>
    </row>
    <row r="8622" spans="5:5" x14ac:dyDescent="0.25">
      <c r="E8622" s="82" t="s">
        <v>9593</v>
      </c>
    </row>
    <row r="8623" spans="5:5" x14ac:dyDescent="0.25">
      <c r="E8623" s="82" t="s">
        <v>9594</v>
      </c>
    </row>
    <row r="8624" spans="5:5" x14ac:dyDescent="0.25">
      <c r="E8624" s="82" t="s">
        <v>9595</v>
      </c>
    </row>
    <row r="8625" spans="5:5" x14ac:dyDescent="0.25">
      <c r="E8625" s="82" t="s">
        <v>9596</v>
      </c>
    </row>
    <row r="8626" spans="5:5" x14ac:dyDescent="0.25">
      <c r="E8626" s="82" t="s">
        <v>9597</v>
      </c>
    </row>
    <row r="8627" spans="5:5" x14ac:dyDescent="0.25">
      <c r="E8627" s="82" t="s">
        <v>9598</v>
      </c>
    </row>
    <row r="8628" spans="5:5" x14ac:dyDescent="0.25">
      <c r="E8628" s="82" t="s">
        <v>9599</v>
      </c>
    </row>
    <row r="8629" spans="5:5" x14ac:dyDescent="0.25">
      <c r="E8629" s="82" t="s">
        <v>9600</v>
      </c>
    </row>
    <row r="8630" spans="5:5" x14ac:dyDescent="0.25">
      <c r="E8630" s="82" t="s">
        <v>9601</v>
      </c>
    </row>
    <row r="8631" spans="5:5" x14ac:dyDescent="0.25">
      <c r="E8631" s="82" t="s">
        <v>9602</v>
      </c>
    </row>
    <row r="8632" spans="5:5" x14ac:dyDescent="0.25">
      <c r="E8632" s="82" t="s">
        <v>9603</v>
      </c>
    </row>
    <row r="8633" spans="5:5" x14ac:dyDescent="0.25">
      <c r="E8633" s="82" t="s">
        <v>9604</v>
      </c>
    </row>
    <row r="8634" spans="5:5" x14ac:dyDescent="0.25">
      <c r="E8634" s="82" t="s">
        <v>9605</v>
      </c>
    </row>
    <row r="8635" spans="5:5" x14ac:dyDescent="0.25">
      <c r="E8635" s="82" t="s">
        <v>9606</v>
      </c>
    </row>
    <row r="8636" spans="5:5" x14ac:dyDescent="0.25">
      <c r="E8636" s="82" t="s">
        <v>9607</v>
      </c>
    </row>
    <row r="8637" spans="5:5" x14ac:dyDescent="0.25">
      <c r="E8637" s="82" t="s">
        <v>9608</v>
      </c>
    </row>
    <row r="8638" spans="5:5" x14ac:dyDescent="0.25">
      <c r="E8638" s="82" t="s">
        <v>9609</v>
      </c>
    </row>
    <row r="8639" spans="5:5" x14ac:dyDescent="0.25">
      <c r="E8639" s="82" t="s">
        <v>9610</v>
      </c>
    </row>
    <row r="8640" spans="5:5" x14ac:dyDescent="0.25">
      <c r="E8640" s="82" t="s">
        <v>9611</v>
      </c>
    </row>
    <row r="8641" spans="5:5" x14ac:dyDescent="0.25">
      <c r="E8641" s="82" t="s">
        <v>9612</v>
      </c>
    </row>
    <row r="8642" spans="5:5" x14ac:dyDescent="0.25">
      <c r="E8642" s="82" t="s">
        <v>9613</v>
      </c>
    </row>
    <row r="8643" spans="5:5" x14ac:dyDescent="0.25">
      <c r="E8643" s="82" t="s">
        <v>9614</v>
      </c>
    </row>
    <row r="8644" spans="5:5" x14ac:dyDescent="0.25">
      <c r="E8644" s="82" t="s">
        <v>9615</v>
      </c>
    </row>
    <row r="8645" spans="5:5" x14ac:dyDescent="0.25">
      <c r="E8645" s="82" t="s">
        <v>9616</v>
      </c>
    </row>
    <row r="8646" spans="5:5" x14ac:dyDescent="0.25">
      <c r="E8646" s="82" t="s">
        <v>9617</v>
      </c>
    </row>
    <row r="8647" spans="5:5" x14ac:dyDescent="0.25">
      <c r="E8647" s="82" t="s">
        <v>9618</v>
      </c>
    </row>
    <row r="8648" spans="5:5" x14ac:dyDescent="0.25">
      <c r="E8648" s="82" t="s">
        <v>9619</v>
      </c>
    </row>
    <row r="8649" spans="5:5" x14ac:dyDescent="0.25">
      <c r="E8649" s="82" t="s">
        <v>9620</v>
      </c>
    </row>
    <row r="8650" spans="5:5" x14ac:dyDescent="0.25">
      <c r="E8650" s="82" t="s">
        <v>9621</v>
      </c>
    </row>
    <row r="8651" spans="5:5" x14ac:dyDescent="0.25">
      <c r="E8651" s="82" t="s">
        <v>9622</v>
      </c>
    </row>
    <row r="8652" spans="5:5" x14ac:dyDescent="0.25">
      <c r="E8652" s="82" t="s">
        <v>9623</v>
      </c>
    </row>
    <row r="8653" spans="5:5" x14ac:dyDescent="0.25">
      <c r="E8653" s="82" t="s">
        <v>9624</v>
      </c>
    </row>
    <row r="8654" spans="5:5" x14ac:dyDescent="0.25">
      <c r="E8654" s="82" t="s">
        <v>9625</v>
      </c>
    </row>
    <row r="8655" spans="5:5" x14ac:dyDescent="0.25">
      <c r="E8655" s="82" t="s">
        <v>9626</v>
      </c>
    </row>
    <row r="8656" spans="5:5" x14ac:dyDescent="0.25">
      <c r="E8656" s="82" t="s">
        <v>9627</v>
      </c>
    </row>
    <row r="8657" spans="5:5" x14ac:dyDescent="0.25">
      <c r="E8657" s="82" t="s">
        <v>9628</v>
      </c>
    </row>
    <row r="8658" spans="5:5" x14ac:dyDescent="0.25">
      <c r="E8658" s="82" t="s">
        <v>9629</v>
      </c>
    </row>
    <row r="8659" spans="5:5" x14ac:dyDescent="0.25">
      <c r="E8659" s="82" t="s">
        <v>9630</v>
      </c>
    </row>
    <row r="8660" spans="5:5" x14ac:dyDescent="0.25">
      <c r="E8660" s="82" t="s">
        <v>9631</v>
      </c>
    </row>
    <row r="8661" spans="5:5" x14ac:dyDescent="0.25">
      <c r="E8661" s="82" t="s">
        <v>9632</v>
      </c>
    </row>
    <row r="8662" spans="5:5" x14ac:dyDescent="0.25">
      <c r="E8662" s="82" t="s">
        <v>9633</v>
      </c>
    </row>
    <row r="8663" spans="5:5" x14ac:dyDescent="0.25">
      <c r="E8663" s="82" t="s">
        <v>9634</v>
      </c>
    </row>
    <row r="8664" spans="5:5" x14ac:dyDescent="0.25">
      <c r="E8664" s="82" t="s">
        <v>9635</v>
      </c>
    </row>
    <row r="8665" spans="5:5" x14ac:dyDescent="0.25">
      <c r="E8665" s="82" t="s">
        <v>9636</v>
      </c>
    </row>
    <row r="8666" spans="5:5" x14ac:dyDescent="0.25">
      <c r="E8666" s="82" t="s">
        <v>9637</v>
      </c>
    </row>
    <row r="8667" spans="5:5" x14ac:dyDescent="0.25">
      <c r="E8667" s="82" t="s">
        <v>9638</v>
      </c>
    </row>
    <row r="8668" spans="5:5" x14ac:dyDescent="0.25">
      <c r="E8668" s="82" t="s">
        <v>9639</v>
      </c>
    </row>
    <row r="8669" spans="5:5" x14ac:dyDescent="0.25">
      <c r="E8669" s="82" t="s">
        <v>9640</v>
      </c>
    </row>
    <row r="8670" spans="5:5" x14ac:dyDescent="0.25">
      <c r="E8670" s="82" t="s">
        <v>9641</v>
      </c>
    </row>
    <row r="8671" spans="5:5" x14ac:dyDescent="0.25">
      <c r="E8671" s="82" t="s">
        <v>9642</v>
      </c>
    </row>
    <row r="8672" spans="5:5" x14ac:dyDescent="0.25">
      <c r="E8672" s="82" t="s">
        <v>9643</v>
      </c>
    </row>
    <row r="8673" spans="5:5" x14ac:dyDescent="0.25">
      <c r="E8673" s="82" t="s">
        <v>9644</v>
      </c>
    </row>
    <row r="8674" spans="5:5" x14ac:dyDescent="0.25">
      <c r="E8674" s="82" t="s">
        <v>9645</v>
      </c>
    </row>
    <row r="8675" spans="5:5" x14ac:dyDescent="0.25">
      <c r="E8675" s="82" t="s">
        <v>9646</v>
      </c>
    </row>
    <row r="8676" spans="5:5" x14ac:dyDescent="0.25">
      <c r="E8676" s="82" t="s">
        <v>9647</v>
      </c>
    </row>
    <row r="8677" spans="5:5" x14ac:dyDescent="0.25">
      <c r="E8677" s="82" t="s">
        <v>9648</v>
      </c>
    </row>
    <row r="8678" spans="5:5" x14ac:dyDescent="0.25">
      <c r="E8678" s="82" t="s">
        <v>9649</v>
      </c>
    </row>
    <row r="8679" spans="5:5" x14ac:dyDescent="0.25">
      <c r="E8679" s="82" t="s">
        <v>9650</v>
      </c>
    </row>
    <row r="8680" spans="5:5" x14ac:dyDescent="0.25">
      <c r="E8680" s="82" t="s">
        <v>9651</v>
      </c>
    </row>
    <row r="8681" spans="5:5" x14ac:dyDescent="0.25">
      <c r="E8681" s="82" t="s">
        <v>9652</v>
      </c>
    </row>
    <row r="8682" spans="5:5" x14ac:dyDescent="0.25">
      <c r="E8682" s="82" t="s">
        <v>9653</v>
      </c>
    </row>
    <row r="8683" spans="5:5" x14ac:dyDescent="0.25">
      <c r="E8683" s="82" t="s">
        <v>9654</v>
      </c>
    </row>
    <row r="8684" spans="5:5" x14ac:dyDescent="0.25">
      <c r="E8684" s="82" t="s">
        <v>9655</v>
      </c>
    </row>
    <row r="8685" spans="5:5" x14ac:dyDescent="0.25">
      <c r="E8685" s="82" t="s">
        <v>9656</v>
      </c>
    </row>
    <row r="8686" spans="5:5" x14ac:dyDescent="0.25">
      <c r="E8686" s="82" t="s">
        <v>9657</v>
      </c>
    </row>
    <row r="8687" spans="5:5" x14ac:dyDescent="0.25">
      <c r="E8687" s="82" t="s">
        <v>9658</v>
      </c>
    </row>
    <row r="8688" spans="5:5" x14ac:dyDescent="0.25">
      <c r="E8688" s="82" t="s">
        <v>9659</v>
      </c>
    </row>
    <row r="8689" spans="5:5" x14ac:dyDescent="0.25">
      <c r="E8689" s="82" t="s">
        <v>9660</v>
      </c>
    </row>
    <row r="8690" spans="5:5" x14ac:dyDescent="0.25">
      <c r="E8690" s="82" t="s">
        <v>9661</v>
      </c>
    </row>
    <row r="8691" spans="5:5" x14ac:dyDescent="0.25">
      <c r="E8691" s="82" t="s">
        <v>9662</v>
      </c>
    </row>
    <row r="8692" spans="5:5" x14ac:dyDescent="0.25">
      <c r="E8692" s="82" t="s">
        <v>9663</v>
      </c>
    </row>
    <row r="8693" spans="5:5" x14ac:dyDescent="0.25">
      <c r="E8693" s="82" t="s">
        <v>9664</v>
      </c>
    </row>
    <row r="8694" spans="5:5" x14ac:dyDescent="0.25">
      <c r="E8694" s="82" t="s">
        <v>9665</v>
      </c>
    </row>
    <row r="8695" spans="5:5" x14ac:dyDescent="0.25">
      <c r="E8695" s="82" t="s">
        <v>9666</v>
      </c>
    </row>
    <row r="8696" spans="5:5" x14ac:dyDescent="0.25">
      <c r="E8696" s="82" t="s">
        <v>9667</v>
      </c>
    </row>
    <row r="8697" spans="5:5" x14ac:dyDescent="0.25">
      <c r="E8697" s="82" t="s">
        <v>9668</v>
      </c>
    </row>
    <row r="8698" spans="5:5" x14ac:dyDescent="0.25">
      <c r="E8698" s="82" t="s">
        <v>9669</v>
      </c>
    </row>
    <row r="8699" spans="5:5" x14ac:dyDescent="0.25">
      <c r="E8699" s="82" t="s">
        <v>9670</v>
      </c>
    </row>
    <row r="8700" spans="5:5" x14ac:dyDescent="0.25">
      <c r="E8700" s="82" t="s">
        <v>9671</v>
      </c>
    </row>
    <row r="8701" spans="5:5" x14ac:dyDescent="0.25">
      <c r="E8701" s="82" t="s">
        <v>9672</v>
      </c>
    </row>
    <row r="8702" spans="5:5" x14ac:dyDescent="0.25">
      <c r="E8702" s="82" t="s">
        <v>9673</v>
      </c>
    </row>
    <row r="8703" spans="5:5" x14ac:dyDescent="0.25">
      <c r="E8703" s="82" t="s">
        <v>9674</v>
      </c>
    </row>
    <row r="8704" spans="5:5" x14ac:dyDescent="0.25">
      <c r="E8704" s="82" t="s">
        <v>9675</v>
      </c>
    </row>
    <row r="8705" spans="5:5" x14ac:dyDescent="0.25">
      <c r="E8705" s="82" t="s">
        <v>9676</v>
      </c>
    </row>
    <row r="8706" spans="5:5" x14ac:dyDescent="0.25">
      <c r="E8706" s="82" t="s">
        <v>9677</v>
      </c>
    </row>
    <row r="8707" spans="5:5" x14ac:dyDescent="0.25">
      <c r="E8707" s="82" t="s">
        <v>9678</v>
      </c>
    </row>
    <row r="8708" spans="5:5" x14ac:dyDescent="0.25">
      <c r="E8708" s="82" t="s">
        <v>9679</v>
      </c>
    </row>
    <row r="8709" spans="5:5" x14ac:dyDescent="0.25">
      <c r="E8709" s="82" t="s">
        <v>9680</v>
      </c>
    </row>
    <row r="8710" spans="5:5" x14ac:dyDescent="0.25">
      <c r="E8710" s="82" t="s">
        <v>9681</v>
      </c>
    </row>
    <row r="8711" spans="5:5" x14ac:dyDescent="0.25">
      <c r="E8711" s="82" t="s">
        <v>9682</v>
      </c>
    </row>
    <row r="8712" spans="5:5" x14ac:dyDescent="0.25">
      <c r="E8712" s="82" t="s">
        <v>9683</v>
      </c>
    </row>
    <row r="8713" spans="5:5" x14ac:dyDescent="0.25">
      <c r="E8713" s="82" t="s">
        <v>9684</v>
      </c>
    </row>
    <row r="8714" spans="5:5" x14ac:dyDescent="0.25">
      <c r="E8714" s="82" t="s">
        <v>9685</v>
      </c>
    </row>
    <row r="8715" spans="5:5" x14ac:dyDescent="0.25">
      <c r="E8715" s="82" t="s">
        <v>9686</v>
      </c>
    </row>
    <row r="8716" spans="5:5" x14ac:dyDescent="0.25">
      <c r="E8716" s="82" t="s">
        <v>9687</v>
      </c>
    </row>
    <row r="8717" spans="5:5" x14ac:dyDescent="0.25">
      <c r="E8717" s="82" t="s">
        <v>9688</v>
      </c>
    </row>
    <row r="8718" spans="5:5" x14ac:dyDescent="0.25">
      <c r="E8718" s="82" t="s">
        <v>9689</v>
      </c>
    </row>
    <row r="8719" spans="5:5" x14ac:dyDescent="0.25">
      <c r="E8719" s="82" t="s">
        <v>9690</v>
      </c>
    </row>
    <row r="8720" spans="5:5" x14ac:dyDescent="0.25">
      <c r="E8720" s="82" t="s">
        <v>9691</v>
      </c>
    </row>
    <row r="8721" spans="5:5" x14ac:dyDescent="0.25">
      <c r="E8721" s="82" t="s">
        <v>9692</v>
      </c>
    </row>
    <row r="8722" spans="5:5" x14ac:dyDescent="0.25">
      <c r="E8722" s="82" t="s">
        <v>9693</v>
      </c>
    </row>
    <row r="8723" spans="5:5" x14ac:dyDescent="0.25">
      <c r="E8723" s="82" t="s">
        <v>9694</v>
      </c>
    </row>
    <row r="8724" spans="5:5" x14ac:dyDescent="0.25">
      <c r="E8724" s="82" t="s">
        <v>9695</v>
      </c>
    </row>
    <row r="8725" spans="5:5" x14ac:dyDescent="0.25">
      <c r="E8725" s="82" t="s">
        <v>9696</v>
      </c>
    </row>
    <row r="8726" spans="5:5" x14ac:dyDescent="0.25">
      <c r="E8726" s="82" t="s">
        <v>9697</v>
      </c>
    </row>
    <row r="8727" spans="5:5" x14ac:dyDescent="0.25">
      <c r="E8727" s="82" t="s">
        <v>9698</v>
      </c>
    </row>
    <row r="8728" spans="5:5" x14ac:dyDescent="0.25">
      <c r="E8728" s="82" t="s">
        <v>9699</v>
      </c>
    </row>
    <row r="8729" spans="5:5" x14ac:dyDescent="0.25">
      <c r="E8729" s="82" t="s">
        <v>9700</v>
      </c>
    </row>
    <row r="8730" spans="5:5" x14ac:dyDescent="0.25">
      <c r="E8730" s="82" t="s">
        <v>9701</v>
      </c>
    </row>
    <row r="8731" spans="5:5" x14ac:dyDescent="0.25">
      <c r="E8731" s="82" t="s">
        <v>9702</v>
      </c>
    </row>
    <row r="8732" spans="5:5" x14ac:dyDescent="0.25">
      <c r="E8732" s="82" t="s">
        <v>9703</v>
      </c>
    </row>
    <row r="8733" spans="5:5" x14ac:dyDescent="0.25">
      <c r="E8733" s="82" t="s">
        <v>9704</v>
      </c>
    </row>
    <row r="8734" spans="5:5" x14ac:dyDescent="0.25">
      <c r="E8734" s="82" t="s">
        <v>9705</v>
      </c>
    </row>
    <row r="8735" spans="5:5" x14ac:dyDescent="0.25">
      <c r="E8735" s="82" t="s">
        <v>9706</v>
      </c>
    </row>
    <row r="8736" spans="5:5" x14ac:dyDescent="0.25">
      <c r="E8736" s="82" t="s">
        <v>9707</v>
      </c>
    </row>
    <row r="8737" spans="5:5" x14ac:dyDescent="0.25">
      <c r="E8737" s="82" t="s">
        <v>9708</v>
      </c>
    </row>
    <row r="8738" spans="5:5" x14ac:dyDescent="0.25">
      <c r="E8738" s="82" t="s">
        <v>9709</v>
      </c>
    </row>
    <row r="8739" spans="5:5" x14ac:dyDescent="0.25">
      <c r="E8739" s="82" t="s">
        <v>9710</v>
      </c>
    </row>
    <row r="8740" spans="5:5" x14ac:dyDescent="0.25">
      <c r="E8740" s="82" t="s">
        <v>9711</v>
      </c>
    </row>
    <row r="8741" spans="5:5" x14ac:dyDescent="0.25">
      <c r="E8741" s="82" t="s">
        <v>9712</v>
      </c>
    </row>
    <row r="8742" spans="5:5" x14ac:dyDescent="0.25">
      <c r="E8742" s="82" t="s">
        <v>9713</v>
      </c>
    </row>
    <row r="8743" spans="5:5" x14ac:dyDescent="0.25">
      <c r="E8743" s="82" t="s">
        <v>9714</v>
      </c>
    </row>
    <row r="8744" spans="5:5" x14ac:dyDescent="0.25">
      <c r="E8744" s="82" t="s">
        <v>9715</v>
      </c>
    </row>
    <row r="8745" spans="5:5" x14ac:dyDescent="0.25">
      <c r="E8745" s="82" t="s">
        <v>9716</v>
      </c>
    </row>
    <row r="8746" spans="5:5" x14ac:dyDescent="0.25">
      <c r="E8746" s="82" t="s">
        <v>9717</v>
      </c>
    </row>
    <row r="8747" spans="5:5" x14ac:dyDescent="0.25">
      <c r="E8747" s="82" t="s">
        <v>9718</v>
      </c>
    </row>
    <row r="8748" spans="5:5" x14ac:dyDescent="0.25">
      <c r="E8748" s="82" t="s">
        <v>9719</v>
      </c>
    </row>
    <row r="8749" spans="5:5" x14ac:dyDescent="0.25">
      <c r="E8749" s="82" t="s">
        <v>9720</v>
      </c>
    </row>
    <row r="8750" spans="5:5" x14ac:dyDescent="0.25">
      <c r="E8750" s="82" t="s">
        <v>9721</v>
      </c>
    </row>
    <row r="8751" spans="5:5" x14ac:dyDescent="0.25">
      <c r="E8751" s="82" t="s">
        <v>9722</v>
      </c>
    </row>
    <row r="8752" spans="5:5" x14ac:dyDescent="0.25">
      <c r="E8752" s="82" t="s">
        <v>9723</v>
      </c>
    </row>
    <row r="8753" spans="5:5" x14ac:dyDescent="0.25">
      <c r="E8753" s="82" t="s">
        <v>9724</v>
      </c>
    </row>
    <row r="8754" spans="5:5" x14ac:dyDescent="0.25">
      <c r="E8754" s="82" t="s">
        <v>9725</v>
      </c>
    </row>
    <row r="8755" spans="5:5" x14ac:dyDescent="0.25">
      <c r="E8755" s="82" t="s">
        <v>9726</v>
      </c>
    </row>
    <row r="8756" spans="5:5" x14ac:dyDescent="0.25">
      <c r="E8756" s="82" t="s">
        <v>9727</v>
      </c>
    </row>
    <row r="8757" spans="5:5" x14ac:dyDescent="0.25">
      <c r="E8757" s="82" t="s">
        <v>9728</v>
      </c>
    </row>
    <row r="8758" spans="5:5" x14ac:dyDescent="0.25">
      <c r="E8758" s="82" t="s">
        <v>9729</v>
      </c>
    </row>
    <row r="8759" spans="5:5" x14ac:dyDescent="0.25">
      <c r="E8759" s="82" t="s">
        <v>9730</v>
      </c>
    </row>
    <row r="8760" spans="5:5" x14ac:dyDescent="0.25">
      <c r="E8760" s="82" t="s">
        <v>9731</v>
      </c>
    </row>
    <row r="8761" spans="5:5" x14ac:dyDescent="0.25">
      <c r="E8761" s="82" t="s">
        <v>9732</v>
      </c>
    </row>
    <row r="8762" spans="5:5" x14ac:dyDescent="0.25">
      <c r="E8762" s="82" t="s">
        <v>9733</v>
      </c>
    </row>
    <row r="8763" spans="5:5" x14ac:dyDescent="0.25">
      <c r="E8763" s="82" t="s">
        <v>9734</v>
      </c>
    </row>
    <row r="8764" spans="5:5" x14ac:dyDescent="0.25">
      <c r="E8764" s="82" t="s">
        <v>9735</v>
      </c>
    </row>
    <row r="8765" spans="5:5" x14ac:dyDescent="0.25">
      <c r="E8765" s="82" t="s">
        <v>9736</v>
      </c>
    </row>
    <row r="8766" spans="5:5" x14ac:dyDescent="0.25">
      <c r="E8766" s="82" t="s">
        <v>9737</v>
      </c>
    </row>
    <row r="8767" spans="5:5" x14ac:dyDescent="0.25">
      <c r="E8767" s="82" t="s">
        <v>9738</v>
      </c>
    </row>
    <row r="8768" spans="5:5" x14ac:dyDescent="0.25">
      <c r="E8768" s="82" t="s">
        <v>9739</v>
      </c>
    </row>
    <row r="8769" spans="5:5" x14ac:dyDescent="0.25">
      <c r="E8769" s="82" t="s">
        <v>9740</v>
      </c>
    </row>
    <row r="8770" spans="5:5" x14ac:dyDescent="0.25">
      <c r="E8770" s="82" t="s">
        <v>9741</v>
      </c>
    </row>
    <row r="8771" spans="5:5" x14ac:dyDescent="0.25">
      <c r="E8771" s="82" t="s">
        <v>9742</v>
      </c>
    </row>
    <row r="8772" spans="5:5" x14ac:dyDescent="0.25">
      <c r="E8772" s="82" t="s">
        <v>9743</v>
      </c>
    </row>
    <row r="8773" spans="5:5" x14ac:dyDescent="0.25">
      <c r="E8773" s="82" t="s">
        <v>9744</v>
      </c>
    </row>
    <row r="8774" spans="5:5" x14ac:dyDescent="0.25">
      <c r="E8774" s="82" t="s">
        <v>9745</v>
      </c>
    </row>
    <row r="8775" spans="5:5" x14ac:dyDescent="0.25">
      <c r="E8775" s="82" t="s">
        <v>9746</v>
      </c>
    </row>
    <row r="8776" spans="5:5" x14ac:dyDescent="0.25">
      <c r="E8776" s="82" t="s">
        <v>9747</v>
      </c>
    </row>
    <row r="8777" spans="5:5" x14ac:dyDescent="0.25">
      <c r="E8777" s="82" t="s">
        <v>9748</v>
      </c>
    </row>
    <row r="8778" spans="5:5" x14ac:dyDescent="0.25">
      <c r="E8778" s="82" t="s">
        <v>9749</v>
      </c>
    </row>
    <row r="8779" spans="5:5" x14ac:dyDescent="0.25">
      <c r="E8779" s="82" t="s">
        <v>9750</v>
      </c>
    </row>
    <row r="8780" spans="5:5" x14ac:dyDescent="0.25">
      <c r="E8780" s="82" t="s">
        <v>9751</v>
      </c>
    </row>
    <row r="8781" spans="5:5" x14ac:dyDescent="0.25">
      <c r="E8781" s="82" t="s">
        <v>9752</v>
      </c>
    </row>
    <row r="8782" spans="5:5" x14ac:dyDescent="0.25">
      <c r="E8782" s="82" t="s">
        <v>9753</v>
      </c>
    </row>
    <row r="8783" spans="5:5" x14ac:dyDescent="0.25">
      <c r="E8783" s="82" t="s">
        <v>9754</v>
      </c>
    </row>
    <row r="8784" spans="5:5" x14ac:dyDescent="0.25">
      <c r="E8784" s="82" t="s">
        <v>9755</v>
      </c>
    </row>
    <row r="8785" spans="5:5" x14ac:dyDescent="0.25">
      <c r="E8785" s="82" t="s">
        <v>9756</v>
      </c>
    </row>
    <row r="8786" spans="5:5" x14ac:dyDescent="0.25">
      <c r="E8786" s="82" t="s">
        <v>9757</v>
      </c>
    </row>
    <row r="8787" spans="5:5" x14ac:dyDescent="0.25">
      <c r="E8787" s="82" t="s">
        <v>9758</v>
      </c>
    </row>
    <row r="8788" spans="5:5" x14ac:dyDescent="0.25">
      <c r="E8788" s="82" t="s">
        <v>9759</v>
      </c>
    </row>
    <row r="8789" spans="5:5" x14ac:dyDescent="0.25">
      <c r="E8789" s="82" t="s">
        <v>9760</v>
      </c>
    </row>
    <row r="8790" spans="5:5" x14ac:dyDescent="0.25">
      <c r="E8790" s="82" t="s">
        <v>9761</v>
      </c>
    </row>
    <row r="8791" spans="5:5" x14ac:dyDescent="0.25">
      <c r="E8791" s="82" t="s">
        <v>9762</v>
      </c>
    </row>
    <row r="8792" spans="5:5" x14ac:dyDescent="0.25">
      <c r="E8792" s="82" t="s">
        <v>9763</v>
      </c>
    </row>
    <row r="8793" spans="5:5" x14ac:dyDescent="0.25">
      <c r="E8793" s="82" t="s">
        <v>9764</v>
      </c>
    </row>
    <row r="8794" spans="5:5" x14ac:dyDescent="0.25">
      <c r="E8794" s="82" t="s">
        <v>9765</v>
      </c>
    </row>
    <row r="8795" spans="5:5" x14ac:dyDescent="0.25">
      <c r="E8795" s="82" t="s">
        <v>9766</v>
      </c>
    </row>
    <row r="8796" spans="5:5" x14ac:dyDescent="0.25">
      <c r="E8796" s="82" t="s">
        <v>9767</v>
      </c>
    </row>
    <row r="8797" spans="5:5" x14ac:dyDescent="0.25">
      <c r="E8797" s="82" t="s">
        <v>9768</v>
      </c>
    </row>
    <row r="8798" spans="5:5" x14ac:dyDescent="0.25">
      <c r="E8798" s="82" t="s">
        <v>9769</v>
      </c>
    </row>
    <row r="8799" spans="5:5" x14ac:dyDescent="0.25">
      <c r="E8799" s="82" t="s">
        <v>9770</v>
      </c>
    </row>
    <row r="8800" spans="5:5" x14ac:dyDescent="0.25">
      <c r="E8800" s="82" t="s">
        <v>9771</v>
      </c>
    </row>
    <row r="8801" spans="5:5" x14ac:dyDescent="0.25">
      <c r="E8801" s="82" t="s">
        <v>9772</v>
      </c>
    </row>
    <row r="8802" spans="5:5" x14ac:dyDescent="0.25">
      <c r="E8802" s="82" t="s">
        <v>9773</v>
      </c>
    </row>
    <row r="8803" spans="5:5" x14ac:dyDescent="0.25">
      <c r="E8803" s="82" t="s">
        <v>9774</v>
      </c>
    </row>
    <row r="8804" spans="5:5" x14ac:dyDescent="0.25">
      <c r="E8804" s="82" t="s">
        <v>9775</v>
      </c>
    </row>
    <row r="8805" spans="5:5" x14ac:dyDescent="0.25">
      <c r="E8805" s="82" t="s">
        <v>9776</v>
      </c>
    </row>
    <row r="8806" spans="5:5" x14ac:dyDescent="0.25">
      <c r="E8806" s="82" t="s">
        <v>9777</v>
      </c>
    </row>
    <row r="8807" spans="5:5" x14ac:dyDescent="0.25">
      <c r="E8807" s="82" t="s">
        <v>9778</v>
      </c>
    </row>
    <row r="8808" spans="5:5" x14ac:dyDescent="0.25">
      <c r="E8808" s="82" t="s">
        <v>9779</v>
      </c>
    </row>
    <row r="8809" spans="5:5" x14ac:dyDescent="0.25">
      <c r="E8809" s="82" t="s">
        <v>9780</v>
      </c>
    </row>
    <row r="8810" spans="5:5" x14ac:dyDescent="0.25">
      <c r="E8810" s="82" t="s">
        <v>9781</v>
      </c>
    </row>
    <row r="8811" spans="5:5" x14ac:dyDescent="0.25">
      <c r="E8811" s="82" t="s">
        <v>9782</v>
      </c>
    </row>
    <row r="8812" spans="5:5" x14ac:dyDescent="0.25">
      <c r="E8812" s="82" t="s">
        <v>9783</v>
      </c>
    </row>
    <row r="8813" spans="5:5" x14ac:dyDescent="0.25">
      <c r="E8813" s="82" t="s">
        <v>9784</v>
      </c>
    </row>
    <row r="8814" spans="5:5" x14ac:dyDescent="0.25">
      <c r="E8814" s="82" t="s">
        <v>9785</v>
      </c>
    </row>
    <row r="8815" spans="5:5" x14ac:dyDescent="0.25">
      <c r="E8815" s="82" t="s">
        <v>9786</v>
      </c>
    </row>
    <row r="8816" spans="5:5" x14ac:dyDescent="0.25">
      <c r="E8816" s="82" t="s">
        <v>9787</v>
      </c>
    </row>
    <row r="8817" spans="5:5" x14ac:dyDescent="0.25">
      <c r="E8817" s="82" t="s">
        <v>9788</v>
      </c>
    </row>
    <row r="8818" spans="5:5" x14ac:dyDescent="0.25">
      <c r="E8818" s="82" t="s">
        <v>9789</v>
      </c>
    </row>
    <row r="8819" spans="5:5" x14ac:dyDescent="0.25">
      <c r="E8819" s="82" t="s">
        <v>9790</v>
      </c>
    </row>
    <row r="8820" spans="5:5" x14ac:dyDescent="0.25">
      <c r="E8820" s="82" t="s">
        <v>9791</v>
      </c>
    </row>
    <row r="8821" spans="5:5" x14ac:dyDescent="0.25">
      <c r="E8821" s="82" t="s">
        <v>9792</v>
      </c>
    </row>
    <row r="8822" spans="5:5" x14ac:dyDescent="0.25">
      <c r="E8822" s="82" t="s">
        <v>9793</v>
      </c>
    </row>
    <row r="8823" spans="5:5" x14ac:dyDescent="0.25">
      <c r="E8823" s="82" t="s">
        <v>9794</v>
      </c>
    </row>
    <row r="8824" spans="5:5" x14ac:dyDescent="0.25">
      <c r="E8824" s="82" t="s">
        <v>9795</v>
      </c>
    </row>
    <row r="8825" spans="5:5" x14ac:dyDescent="0.25">
      <c r="E8825" s="82" t="s">
        <v>9796</v>
      </c>
    </row>
    <row r="8826" spans="5:5" x14ac:dyDescent="0.25">
      <c r="E8826" s="82" t="s">
        <v>9797</v>
      </c>
    </row>
    <row r="8827" spans="5:5" x14ac:dyDescent="0.25">
      <c r="E8827" s="82" t="s">
        <v>9798</v>
      </c>
    </row>
    <row r="8828" spans="5:5" x14ac:dyDescent="0.25">
      <c r="E8828" s="82" t="s">
        <v>9799</v>
      </c>
    </row>
    <row r="8829" spans="5:5" x14ac:dyDescent="0.25">
      <c r="E8829" s="82" t="s">
        <v>9800</v>
      </c>
    </row>
    <row r="8830" spans="5:5" x14ac:dyDescent="0.25">
      <c r="E8830" s="82" t="s">
        <v>9801</v>
      </c>
    </row>
    <row r="8831" spans="5:5" x14ac:dyDescent="0.25">
      <c r="E8831" s="82" t="s">
        <v>9802</v>
      </c>
    </row>
    <row r="8832" spans="5:5" x14ac:dyDescent="0.25">
      <c r="E8832" s="82" t="s">
        <v>9803</v>
      </c>
    </row>
    <row r="8833" spans="5:5" x14ac:dyDescent="0.25">
      <c r="E8833" s="82" t="s">
        <v>9804</v>
      </c>
    </row>
    <row r="8834" spans="5:5" x14ac:dyDescent="0.25">
      <c r="E8834" s="82" t="s">
        <v>9805</v>
      </c>
    </row>
    <row r="8835" spans="5:5" x14ac:dyDescent="0.25">
      <c r="E8835" s="82" t="s">
        <v>9806</v>
      </c>
    </row>
    <row r="8836" spans="5:5" x14ac:dyDescent="0.25">
      <c r="E8836" s="82" t="s">
        <v>9807</v>
      </c>
    </row>
    <row r="8837" spans="5:5" x14ac:dyDescent="0.25">
      <c r="E8837" s="82" t="s">
        <v>9808</v>
      </c>
    </row>
    <row r="8838" spans="5:5" x14ac:dyDescent="0.25">
      <c r="E8838" s="82" t="s">
        <v>9809</v>
      </c>
    </row>
    <row r="8839" spans="5:5" x14ac:dyDescent="0.25">
      <c r="E8839" s="82" t="s">
        <v>9810</v>
      </c>
    </row>
    <row r="8840" spans="5:5" x14ac:dyDescent="0.25">
      <c r="E8840" s="82" t="s">
        <v>9811</v>
      </c>
    </row>
    <row r="8841" spans="5:5" x14ac:dyDescent="0.25">
      <c r="E8841" s="82" t="s">
        <v>9812</v>
      </c>
    </row>
    <row r="8842" spans="5:5" x14ac:dyDescent="0.25">
      <c r="E8842" s="82" t="s">
        <v>9813</v>
      </c>
    </row>
    <row r="8843" spans="5:5" x14ac:dyDescent="0.25">
      <c r="E8843" s="82" t="s">
        <v>9814</v>
      </c>
    </row>
    <row r="8844" spans="5:5" x14ac:dyDescent="0.25">
      <c r="E8844" s="82" t="s">
        <v>9815</v>
      </c>
    </row>
    <row r="8845" spans="5:5" x14ac:dyDescent="0.25">
      <c r="E8845" s="82" t="s">
        <v>9816</v>
      </c>
    </row>
    <row r="8846" spans="5:5" x14ac:dyDescent="0.25">
      <c r="E8846" s="82" t="s">
        <v>9817</v>
      </c>
    </row>
    <row r="8847" spans="5:5" x14ac:dyDescent="0.25">
      <c r="E8847" s="82" t="s">
        <v>9818</v>
      </c>
    </row>
    <row r="8848" spans="5:5" x14ac:dyDescent="0.25">
      <c r="E8848" s="82" t="s">
        <v>9819</v>
      </c>
    </row>
    <row r="8849" spans="5:5" x14ac:dyDescent="0.25">
      <c r="E8849" s="82" t="s">
        <v>9820</v>
      </c>
    </row>
    <row r="8850" spans="5:5" x14ac:dyDescent="0.25">
      <c r="E8850" s="82" t="s">
        <v>9821</v>
      </c>
    </row>
    <row r="8851" spans="5:5" x14ac:dyDescent="0.25">
      <c r="E8851" s="82" t="s">
        <v>9822</v>
      </c>
    </row>
    <row r="8852" spans="5:5" x14ac:dyDescent="0.25">
      <c r="E8852" s="82" t="s">
        <v>9823</v>
      </c>
    </row>
    <row r="8853" spans="5:5" x14ac:dyDescent="0.25">
      <c r="E8853" s="82" t="s">
        <v>9824</v>
      </c>
    </row>
    <row r="8854" spans="5:5" x14ac:dyDescent="0.25">
      <c r="E8854" s="82" t="s">
        <v>9825</v>
      </c>
    </row>
    <row r="8855" spans="5:5" x14ac:dyDescent="0.25">
      <c r="E8855" s="82" t="s">
        <v>9826</v>
      </c>
    </row>
    <row r="8856" spans="5:5" x14ac:dyDescent="0.25">
      <c r="E8856" s="82" t="s">
        <v>9827</v>
      </c>
    </row>
    <row r="8857" spans="5:5" x14ac:dyDescent="0.25">
      <c r="E8857" s="82" t="s">
        <v>9828</v>
      </c>
    </row>
    <row r="8858" spans="5:5" x14ac:dyDescent="0.25">
      <c r="E8858" s="82" t="s">
        <v>9829</v>
      </c>
    </row>
    <row r="8859" spans="5:5" x14ac:dyDescent="0.25">
      <c r="E8859" s="82" t="s">
        <v>9830</v>
      </c>
    </row>
    <row r="8860" spans="5:5" x14ac:dyDescent="0.25">
      <c r="E8860" s="82" t="s">
        <v>9831</v>
      </c>
    </row>
    <row r="8861" spans="5:5" x14ac:dyDescent="0.25">
      <c r="E8861" s="82" t="s">
        <v>9832</v>
      </c>
    </row>
    <row r="8862" spans="5:5" x14ac:dyDescent="0.25">
      <c r="E8862" s="82" t="s">
        <v>9833</v>
      </c>
    </row>
    <row r="8863" spans="5:5" x14ac:dyDescent="0.25">
      <c r="E8863" s="82" t="s">
        <v>9834</v>
      </c>
    </row>
    <row r="8864" spans="5:5" x14ac:dyDescent="0.25">
      <c r="E8864" s="82" t="s">
        <v>9835</v>
      </c>
    </row>
    <row r="8865" spans="5:5" x14ac:dyDescent="0.25">
      <c r="E8865" s="82" t="s">
        <v>9836</v>
      </c>
    </row>
    <row r="8866" spans="5:5" x14ac:dyDescent="0.25">
      <c r="E8866" s="82" t="s">
        <v>9837</v>
      </c>
    </row>
    <row r="8867" spans="5:5" x14ac:dyDescent="0.25">
      <c r="E8867" s="82" t="s">
        <v>9838</v>
      </c>
    </row>
    <row r="8868" spans="5:5" x14ac:dyDescent="0.25">
      <c r="E8868" s="82" t="s">
        <v>9839</v>
      </c>
    </row>
    <row r="8869" spans="5:5" x14ac:dyDescent="0.25">
      <c r="E8869" s="82" t="s">
        <v>9840</v>
      </c>
    </row>
    <row r="8870" spans="5:5" x14ac:dyDescent="0.25">
      <c r="E8870" s="82" t="s">
        <v>9841</v>
      </c>
    </row>
    <row r="8871" spans="5:5" x14ac:dyDescent="0.25">
      <c r="E8871" s="82" t="s">
        <v>9842</v>
      </c>
    </row>
    <row r="8872" spans="5:5" x14ac:dyDescent="0.25">
      <c r="E8872" s="82" t="s">
        <v>9843</v>
      </c>
    </row>
    <row r="8873" spans="5:5" x14ac:dyDescent="0.25">
      <c r="E8873" s="82" t="s">
        <v>9844</v>
      </c>
    </row>
    <row r="8874" spans="5:5" x14ac:dyDescent="0.25">
      <c r="E8874" s="82" t="s">
        <v>9845</v>
      </c>
    </row>
    <row r="8875" spans="5:5" x14ac:dyDescent="0.25">
      <c r="E8875" s="82" t="s">
        <v>9846</v>
      </c>
    </row>
    <row r="8876" spans="5:5" x14ac:dyDescent="0.25">
      <c r="E8876" s="82" t="s">
        <v>9847</v>
      </c>
    </row>
    <row r="8877" spans="5:5" x14ac:dyDescent="0.25">
      <c r="E8877" s="82" t="s">
        <v>9848</v>
      </c>
    </row>
    <row r="8878" spans="5:5" x14ac:dyDescent="0.25">
      <c r="E8878" s="82" t="s">
        <v>9849</v>
      </c>
    </row>
    <row r="8879" spans="5:5" x14ac:dyDescent="0.25">
      <c r="E8879" s="82" t="s">
        <v>9850</v>
      </c>
    </row>
    <row r="8880" spans="5:5" x14ac:dyDescent="0.25">
      <c r="E8880" s="82" t="s">
        <v>9851</v>
      </c>
    </row>
    <row r="8881" spans="5:5" x14ac:dyDescent="0.25">
      <c r="E8881" s="82" t="s">
        <v>9852</v>
      </c>
    </row>
    <row r="8882" spans="5:5" x14ac:dyDescent="0.25">
      <c r="E8882" s="82" t="s">
        <v>9853</v>
      </c>
    </row>
    <row r="8883" spans="5:5" x14ac:dyDescent="0.25">
      <c r="E8883" s="82" t="s">
        <v>9854</v>
      </c>
    </row>
    <row r="8884" spans="5:5" x14ac:dyDescent="0.25">
      <c r="E8884" s="82" t="s">
        <v>9855</v>
      </c>
    </row>
    <row r="8885" spans="5:5" x14ac:dyDescent="0.25">
      <c r="E8885" s="82" t="s">
        <v>9856</v>
      </c>
    </row>
    <row r="8886" spans="5:5" x14ac:dyDescent="0.25">
      <c r="E8886" s="82" t="s">
        <v>9857</v>
      </c>
    </row>
    <row r="8887" spans="5:5" x14ac:dyDescent="0.25">
      <c r="E8887" s="82" t="s">
        <v>9858</v>
      </c>
    </row>
    <row r="8888" spans="5:5" x14ac:dyDescent="0.25">
      <c r="E8888" s="82" t="s">
        <v>9859</v>
      </c>
    </row>
    <row r="8889" spans="5:5" x14ac:dyDescent="0.25">
      <c r="E8889" s="82" t="s">
        <v>9860</v>
      </c>
    </row>
    <row r="8890" spans="5:5" x14ac:dyDescent="0.25">
      <c r="E8890" s="82" t="s">
        <v>9861</v>
      </c>
    </row>
    <row r="8891" spans="5:5" x14ac:dyDescent="0.25">
      <c r="E8891" s="82" t="s">
        <v>9862</v>
      </c>
    </row>
    <row r="8892" spans="5:5" x14ac:dyDescent="0.25">
      <c r="E8892" s="82" t="s">
        <v>9863</v>
      </c>
    </row>
    <row r="8893" spans="5:5" x14ac:dyDescent="0.25">
      <c r="E8893" s="82" t="s">
        <v>9864</v>
      </c>
    </row>
    <row r="8894" spans="5:5" x14ac:dyDescent="0.25">
      <c r="E8894" s="82" t="s">
        <v>9865</v>
      </c>
    </row>
    <row r="8895" spans="5:5" x14ac:dyDescent="0.25">
      <c r="E8895" s="82" t="s">
        <v>9866</v>
      </c>
    </row>
    <row r="8896" spans="5:5" x14ac:dyDescent="0.25">
      <c r="E8896" s="82" t="s">
        <v>9867</v>
      </c>
    </row>
    <row r="8897" spans="5:5" x14ac:dyDescent="0.25">
      <c r="E8897" s="82" t="s">
        <v>9868</v>
      </c>
    </row>
    <row r="8898" spans="5:5" x14ac:dyDescent="0.25">
      <c r="E8898" s="82" t="s">
        <v>9869</v>
      </c>
    </row>
    <row r="8899" spans="5:5" x14ac:dyDescent="0.25">
      <c r="E8899" s="82" t="s">
        <v>9870</v>
      </c>
    </row>
    <row r="8900" spans="5:5" x14ac:dyDescent="0.25">
      <c r="E8900" s="82" t="s">
        <v>9871</v>
      </c>
    </row>
    <row r="8901" spans="5:5" x14ac:dyDescent="0.25">
      <c r="E8901" s="82" t="s">
        <v>9872</v>
      </c>
    </row>
    <row r="8902" spans="5:5" x14ac:dyDescent="0.25">
      <c r="E8902" s="82" t="s">
        <v>9873</v>
      </c>
    </row>
    <row r="8903" spans="5:5" x14ac:dyDescent="0.25">
      <c r="E8903" s="82" t="s">
        <v>9874</v>
      </c>
    </row>
    <row r="8904" spans="5:5" x14ac:dyDescent="0.25">
      <c r="E8904" s="82" t="s">
        <v>9875</v>
      </c>
    </row>
    <row r="8905" spans="5:5" x14ac:dyDescent="0.25">
      <c r="E8905" s="82" t="s">
        <v>9876</v>
      </c>
    </row>
    <row r="8906" spans="5:5" x14ac:dyDescent="0.25">
      <c r="E8906" s="82" t="s">
        <v>9877</v>
      </c>
    </row>
    <row r="8907" spans="5:5" x14ac:dyDescent="0.25">
      <c r="E8907" s="82" t="s">
        <v>9878</v>
      </c>
    </row>
    <row r="8908" spans="5:5" x14ac:dyDescent="0.25">
      <c r="E8908" s="82" t="s">
        <v>9879</v>
      </c>
    </row>
    <row r="8909" spans="5:5" x14ac:dyDescent="0.25">
      <c r="E8909" s="82" t="s">
        <v>9880</v>
      </c>
    </row>
    <row r="8910" spans="5:5" x14ac:dyDescent="0.25">
      <c r="E8910" s="82" t="s">
        <v>9881</v>
      </c>
    </row>
    <row r="8911" spans="5:5" x14ac:dyDescent="0.25">
      <c r="E8911" s="82" t="s">
        <v>9882</v>
      </c>
    </row>
    <row r="8912" spans="5:5" x14ac:dyDescent="0.25">
      <c r="E8912" s="82" t="s">
        <v>9883</v>
      </c>
    </row>
    <row r="8913" spans="5:5" x14ac:dyDescent="0.25">
      <c r="E8913" s="82" t="s">
        <v>9884</v>
      </c>
    </row>
    <row r="8914" spans="5:5" x14ac:dyDescent="0.25">
      <c r="E8914" s="82" t="s">
        <v>9885</v>
      </c>
    </row>
    <row r="8915" spans="5:5" x14ac:dyDescent="0.25">
      <c r="E8915" s="82" t="s">
        <v>9886</v>
      </c>
    </row>
    <row r="8916" spans="5:5" x14ac:dyDescent="0.25">
      <c r="E8916" s="82" t="s">
        <v>9887</v>
      </c>
    </row>
    <row r="8917" spans="5:5" x14ac:dyDescent="0.25">
      <c r="E8917" s="82" t="s">
        <v>9888</v>
      </c>
    </row>
    <row r="8918" spans="5:5" x14ac:dyDescent="0.25">
      <c r="E8918" s="82" t="s">
        <v>9889</v>
      </c>
    </row>
    <row r="8919" spans="5:5" x14ac:dyDescent="0.25">
      <c r="E8919" s="82" t="s">
        <v>9890</v>
      </c>
    </row>
    <row r="8920" spans="5:5" x14ac:dyDescent="0.25">
      <c r="E8920" s="82" t="s">
        <v>9891</v>
      </c>
    </row>
    <row r="8921" spans="5:5" x14ac:dyDescent="0.25">
      <c r="E8921" s="82" t="s">
        <v>9892</v>
      </c>
    </row>
    <row r="8922" spans="5:5" x14ac:dyDescent="0.25">
      <c r="E8922" s="82" t="s">
        <v>9893</v>
      </c>
    </row>
    <row r="8923" spans="5:5" x14ac:dyDescent="0.25">
      <c r="E8923" s="82" t="s">
        <v>9894</v>
      </c>
    </row>
    <row r="8924" spans="5:5" x14ac:dyDescent="0.25">
      <c r="E8924" s="82" t="s">
        <v>9895</v>
      </c>
    </row>
    <row r="8925" spans="5:5" x14ac:dyDescent="0.25">
      <c r="E8925" s="82" t="s">
        <v>9896</v>
      </c>
    </row>
    <row r="8926" spans="5:5" x14ac:dyDescent="0.25">
      <c r="E8926" s="82" t="s">
        <v>9897</v>
      </c>
    </row>
    <row r="8927" spans="5:5" x14ac:dyDescent="0.25">
      <c r="E8927" s="82" t="s">
        <v>9898</v>
      </c>
    </row>
    <row r="8928" spans="5:5" x14ac:dyDescent="0.25">
      <c r="E8928" s="82" t="s">
        <v>9899</v>
      </c>
    </row>
    <row r="8929" spans="5:5" x14ac:dyDescent="0.25">
      <c r="E8929" s="82" t="s">
        <v>9900</v>
      </c>
    </row>
    <row r="8930" spans="5:5" x14ac:dyDescent="0.25">
      <c r="E8930" s="82" t="s">
        <v>9901</v>
      </c>
    </row>
    <row r="8931" spans="5:5" x14ac:dyDescent="0.25">
      <c r="E8931" s="82" t="s">
        <v>9902</v>
      </c>
    </row>
    <row r="8932" spans="5:5" x14ac:dyDescent="0.25">
      <c r="E8932" s="82" t="s">
        <v>9903</v>
      </c>
    </row>
    <row r="8933" spans="5:5" x14ac:dyDescent="0.25">
      <c r="E8933" s="82" t="s">
        <v>9904</v>
      </c>
    </row>
    <row r="8934" spans="5:5" x14ac:dyDescent="0.25">
      <c r="E8934" s="82" t="s">
        <v>9905</v>
      </c>
    </row>
    <row r="8935" spans="5:5" x14ac:dyDescent="0.25">
      <c r="E8935" s="82" t="s">
        <v>9906</v>
      </c>
    </row>
    <row r="8936" spans="5:5" x14ac:dyDescent="0.25">
      <c r="E8936" s="82" t="s">
        <v>9907</v>
      </c>
    </row>
    <row r="8937" spans="5:5" x14ac:dyDescent="0.25">
      <c r="E8937" s="82" t="s">
        <v>9908</v>
      </c>
    </row>
    <row r="8938" spans="5:5" x14ac:dyDescent="0.25">
      <c r="E8938" s="82" t="s">
        <v>9909</v>
      </c>
    </row>
    <row r="8939" spans="5:5" x14ac:dyDescent="0.25">
      <c r="E8939" s="82" t="s">
        <v>9910</v>
      </c>
    </row>
    <row r="8940" spans="5:5" x14ac:dyDescent="0.25">
      <c r="E8940" s="82" t="s">
        <v>9911</v>
      </c>
    </row>
    <row r="8941" spans="5:5" x14ac:dyDescent="0.25">
      <c r="E8941" s="82" t="s">
        <v>9912</v>
      </c>
    </row>
    <row r="8942" spans="5:5" x14ac:dyDescent="0.25">
      <c r="E8942" s="82" t="s">
        <v>9913</v>
      </c>
    </row>
    <row r="8943" spans="5:5" x14ac:dyDescent="0.25">
      <c r="E8943" s="82" t="s">
        <v>9914</v>
      </c>
    </row>
    <row r="8944" spans="5:5" x14ac:dyDescent="0.25">
      <c r="E8944" s="82" t="s">
        <v>9915</v>
      </c>
    </row>
    <row r="8945" spans="5:5" x14ac:dyDescent="0.25">
      <c r="E8945" s="82" t="s">
        <v>9916</v>
      </c>
    </row>
    <row r="8946" spans="5:5" x14ac:dyDescent="0.25">
      <c r="E8946" s="82" t="s">
        <v>9917</v>
      </c>
    </row>
    <row r="8947" spans="5:5" x14ac:dyDescent="0.25">
      <c r="E8947" s="82" t="s">
        <v>9918</v>
      </c>
    </row>
    <row r="8948" spans="5:5" x14ac:dyDescent="0.25">
      <c r="E8948" s="82" t="s">
        <v>9919</v>
      </c>
    </row>
    <row r="8949" spans="5:5" x14ac:dyDescent="0.25">
      <c r="E8949" s="82" t="s">
        <v>9920</v>
      </c>
    </row>
    <row r="8950" spans="5:5" x14ac:dyDescent="0.25">
      <c r="E8950" s="82" t="s">
        <v>9921</v>
      </c>
    </row>
    <row r="8951" spans="5:5" x14ac:dyDescent="0.25">
      <c r="E8951" s="82" t="s">
        <v>9922</v>
      </c>
    </row>
    <row r="8952" spans="5:5" x14ac:dyDescent="0.25">
      <c r="E8952" s="82" t="s">
        <v>9923</v>
      </c>
    </row>
    <row r="8953" spans="5:5" x14ac:dyDescent="0.25">
      <c r="E8953" s="82" t="s">
        <v>9924</v>
      </c>
    </row>
    <row r="8954" spans="5:5" x14ac:dyDescent="0.25">
      <c r="E8954" s="82" t="s">
        <v>9925</v>
      </c>
    </row>
    <row r="8955" spans="5:5" x14ac:dyDescent="0.25">
      <c r="E8955" s="82" t="s">
        <v>9926</v>
      </c>
    </row>
    <row r="8956" spans="5:5" x14ac:dyDescent="0.25">
      <c r="E8956" s="82" t="s">
        <v>9927</v>
      </c>
    </row>
    <row r="8957" spans="5:5" x14ac:dyDescent="0.25">
      <c r="E8957" s="82" t="s">
        <v>9928</v>
      </c>
    </row>
    <row r="8958" spans="5:5" x14ac:dyDescent="0.25">
      <c r="E8958" s="82" t="s">
        <v>9929</v>
      </c>
    </row>
    <row r="8959" spans="5:5" x14ac:dyDescent="0.25">
      <c r="E8959" s="82" t="s">
        <v>9930</v>
      </c>
    </row>
    <row r="8960" spans="5:5" x14ac:dyDescent="0.25">
      <c r="E8960" s="82" t="s">
        <v>9931</v>
      </c>
    </row>
    <row r="8961" spans="5:5" x14ac:dyDescent="0.25">
      <c r="E8961" s="82" t="s">
        <v>9932</v>
      </c>
    </row>
    <row r="8962" spans="5:5" x14ac:dyDescent="0.25">
      <c r="E8962" s="82" t="s">
        <v>9933</v>
      </c>
    </row>
    <row r="8963" spans="5:5" x14ac:dyDescent="0.25">
      <c r="E8963" s="82" t="s">
        <v>9934</v>
      </c>
    </row>
    <row r="8964" spans="5:5" x14ac:dyDescent="0.25">
      <c r="E8964" s="82" t="s">
        <v>9935</v>
      </c>
    </row>
    <row r="8965" spans="5:5" x14ac:dyDescent="0.25">
      <c r="E8965" s="82" t="s">
        <v>9936</v>
      </c>
    </row>
    <row r="8966" spans="5:5" x14ac:dyDescent="0.25">
      <c r="E8966" s="82" t="s">
        <v>9937</v>
      </c>
    </row>
    <row r="8967" spans="5:5" x14ac:dyDescent="0.25">
      <c r="E8967" s="82" t="s">
        <v>9938</v>
      </c>
    </row>
    <row r="8968" spans="5:5" x14ac:dyDescent="0.25">
      <c r="E8968" s="82" t="s">
        <v>9939</v>
      </c>
    </row>
    <row r="8969" spans="5:5" x14ac:dyDescent="0.25">
      <c r="E8969" s="82" t="s">
        <v>9940</v>
      </c>
    </row>
    <row r="8970" spans="5:5" x14ac:dyDescent="0.25">
      <c r="E8970" s="82" t="s">
        <v>9941</v>
      </c>
    </row>
    <row r="8971" spans="5:5" x14ac:dyDescent="0.25">
      <c r="E8971" s="82" t="s">
        <v>9942</v>
      </c>
    </row>
    <row r="8972" spans="5:5" x14ac:dyDescent="0.25">
      <c r="E8972" s="82" t="s">
        <v>9943</v>
      </c>
    </row>
    <row r="8973" spans="5:5" x14ac:dyDescent="0.25">
      <c r="E8973" s="82" t="s">
        <v>9944</v>
      </c>
    </row>
    <row r="8974" spans="5:5" x14ac:dyDescent="0.25">
      <c r="E8974" s="82" t="s">
        <v>9945</v>
      </c>
    </row>
    <row r="8975" spans="5:5" x14ac:dyDescent="0.25">
      <c r="E8975" s="82" t="s">
        <v>9946</v>
      </c>
    </row>
    <row r="8976" spans="5:5" x14ac:dyDescent="0.25">
      <c r="E8976" s="82" t="s">
        <v>9947</v>
      </c>
    </row>
    <row r="8977" spans="5:5" x14ac:dyDescent="0.25">
      <c r="E8977" s="82" t="s">
        <v>9948</v>
      </c>
    </row>
    <row r="8978" spans="5:5" x14ac:dyDescent="0.25">
      <c r="E8978" s="82" t="s">
        <v>9949</v>
      </c>
    </row>
    <row r="8979" spans="5:5" x14ac:dyDescent="0.25">
      <c r="E8979" s="82" t="s">
        <v>9950</v>
      </c>
    </row>
    <row r="8980" spans="5:5" x14ac:dyDescent="0.25">
      <c r="E8980" s="82" t="s">
        <v>9951</v>
      </c>
    </row>
    <row r="8981" spans="5:5" x14ac:dyDescent="0.25">
      <c r="E8981" s="82" t="s">
        <v>9952</v>
      </c>
    </row>
    <row r="8982" spans="5:5" x14ac:dyDescent="0.25">
      <c r="E8982" s="82" t="s">
        <v>9953</v>
      </c>
    </row>
    <row r="8983" spans="5:5" x14ac:dyDescent="0.25">
      <c r="E8983" s="82" t="s">
        <v>9954</v>
      </c>
    </row>
    <row r="8984" spans="5:5" x14ac:dyDescent="0.25">
      <c r="E8984" s="82" t="s">
        <v>9955</v>
      </c>
    </row>
    <row r="8985" spans="5:5" x14ac:dyDescent="0.25">
      <c r="E8985" s="82" t="s">
        <v>9956</v>
      </c>
    </row>
    <row r="8986" spans="5:5" x14ac:dyDescent="0.25">
      <c r="E8986" s="82" t="s">
        <v>9957</v>
      </c>
    </row>
    <row r="8987" spans="5:5" x14ac:dyDescent="0.25">
      <c r="E8987" s="82" t="s">
        <v>9958</v>
      </c>
    </row>
    <row r="8988" spans="5:5" x14ac:dyDescent="0.25">
      <c r="E8988" s="82" t="s">
        <v>9959</v>
      </c>
    </row>
    <row r="8989" spans="5:5" x14ac:dyDescent="0.25">
      <c r="E8989" s="82" t="s">
        <v>9960</v>
      </c>
    </row>
    <row r="8990" spans="5:5" x14ac:dyDescent="0.25">
      <c r="E8990" s="82" t="s">
        <v>9961</v>
      </c>
    </row>
    <row r="8991" spans="5:5" x14ac:dyDescent="0.25">
      <c r="E8991" s="82" t="s">
        <v>9962</v>
      </c>
    </row>
    <row r="8992" spans="5:5" x14ac:dyDescent="0.25">
      <c r="E8992" s="82" t="s">
        <v>9963</v>
      </c>
    </row>
    <row r="8993" spans="5:5" x14ac:dyDescent="0.25">
      <c r="E8993" s="82" t="s">
        <v>9964</v>
      </c>
    </row>
    <row r="8994" spans="5:5" x14ac:dyDescent="0.25">
      <c r="E8994" s="82" t="s">
        <v>9965</v>
      </c>
    </row>
    <row r="8995" spans="5:5" x14ac:dyDescent="0.25">
      <c r="E8995" s="82" t="s">
        <v>9966</v>
      </c>
    </row>
    <row r="8996" spans="5:5" x14ac:dyDescent="0.25">
      <c r="E8996" s="82" t="s">
        <v>9967</v>
      </c>
    </row>
    <row r="8997" spans="5:5" x14ac:dyDescent="0.25">
      <c r="E8997" s="82" t="s">
        <v>9968</v>
      </c>
    </row>
    <row r="8998" spans="5:5" x14ac:dyDescent="0.25">
      <c r="E8998" s="82" t="s">
        <v>9969</v>
      </c>
    </row>
    <row r="8999" spans="5:5" x14ac:dyDescent="0.25">
      <c r="E8999" s="82" t="s">
        <v>9970</v>
      </c>
    </row>
    <row r="9000" spans="5:5" x14ac:dyDescent="0.25">
      <c r="E9000" s="82" t="s">
        <v>9971</v>
      </c>
    </row>
    <row r="9001" spans="5:5" x14ac:dyDescent="0.25">
      <c r="E9001" s="82" t="s">
        <v>9972</v>
      </c>
    </row>
    <row r="9002" spans="5:5" x14ac:dyDescent="0.25">
      <c r="E9002" s="82" t="s">
        <v>9973</v>
      </c>
    </row>
    <row r="9003" spans="5:5" x14ac:dyDescent="0.25">
      <c r="E9003" s="82" t="s">
        <v>9974</v>
      </c>
    </row>
    <row r="9004" spans="5:5" x14ac:dyDescent="0.25">
      <c r="E9004" s="82" t="s">
        <v>9975</v>
      </c>
    </row>
    <row r="9005" spans="5:5" x14ac:dyDescent="0.25">
      <c r="E9005" s="82" t="s">
        <v>9976</v>
      </c>
    </row>
    <row r="9006" spans="5:5" x14ac:dyDescent="0.25">
      <c r="E9006" s="82" t="s">
        <v>9977</v>
      </c>
    </row>
    <row r="9007" spans="5:5" x14ac:dyDescent="0.25">
      <c r="E9007" s="82" t="s">
        <v>9978</v>
      </c>
    </row>
    <row r="9008" spans="5:5" x14ac:dyDescent="0.25">
      <c r="E9008" s="82" t="s">
        <v>9979</v>
      </c>
    </row>
    <row r="9009" spans="5:5" x14ac:dyDescent="0.25">
      <c r="E9009" s="82" t="s">
        <v>9980</v>
      </c>
    </row>
    <row r="9010" spans="5:5" x14ac:dyDescent="0.25">
      <c r="E9010" s="82" t="s">
        <v>9981</v>
      </c>
    </row>
    <row r="9011" spans="5:5" x14ac:dyDescent="0.25">
      <c r="E9011" s="82" t="s">
        <v>9982</v>
      </c>
    </row>
    <row r="9012" spans="5:5" x14ac:dyDescent="0.25">
      <c r="E9012" s="82" t="s">
        <v>9983</v>
      </c>
    </row>
    <row r="9013" spans="5:5" x14ac:dyDescent="0.25">
      <c r="E9013" s="82" t="s">
        <v>9984</v>
      </c>
    </row>
    <row r="9014" spans="5:5" x14ac:dyDescent="0.25">
      <c r="E9014" s="82" t="s">
        <v>9985</v>
      </c>
    </row>
    <row r="9015" spans="5:5" x14ac:dyDescent="0.25">
      <c r="E9015" s="82" t="s">
        <v>9986</v>
      </c>
    </row>
    <row r="9016" spans="5:5" x14ac:dyDescent="0.25">
      <c r="E9016" s="82" t="s">
        <v>9987</v>
      </c>
    </row>
    <row r="9017" spans="5:5" x14ac:dyDescent="0.25">
      <c r="E9017" s="82" t="s">
        <v>9988</v>
      </c>
    </row>
    <row r="9018" spans="5:5" x14ac:dyDescent="0.25">
      <c r="E9018" s="82" t="s">
        <v>9989</v>
      </c>
    </row>
    <row r="9019" spans="5:5" x14ac:dyDescent="0.25">
      <c r="E9019" s="82" t="s">
        <v>9990</v>
      </c>
    </row>
    <row r="9020" spans="5:5" x14ac:dyDescent="0.25">
      <c r="E9020" s="82" t="s">
        <v>9991</v>
      </c>
    </row>
    <row r="9021" spans="5:5" x14ac:dyDescent="0.25">
      <c r="E9021" s="82" t="s">
        <v>9992</v>
      </c>
    </row>
    <row r="9022" spans="5:5" x14ac:dyDescent="0.25">
      <c r="E9022" s="82" t="s">
        <v>9993</v>
      </c>
    </row>
    <row r="9023" spans="5:5" x14ac:dyDescent="0.25">
      <c r="E9023" s="82" t="s">
        <v>9994</v>
      </c>
    </row>
    <row r="9024" spans="5:5" x14ac:dyDescent="0.25">
      <c r="E9024" s="82" t="s">
        <v>9995</v>
      </c>
    </row>
    <row r="9025" spans="5:5" x14ac:dyDescent="0.25">
      <c r="E9025" s="82" t="s">
        <v>9996</v>
      </c>
    </row>
    <row r="9026" spans="5:5" x14ac:dyDescent="0.25">
      <c r="E9026" s="82" t="s">
        <v>9997</v>
      </c>
    </row>
    <row r="9027" spans="5:5" x14ac:dyDescent="0.25">
      <c r="E9027" s="82" t="s">
        <v>9998</v>
      </c>
    </row>
    <row r="9028" spans="5:5" x14ac:dyDescent="0.25">
      <c r="E9028" s="82" t="s">
        <v>9999</v>
      </c>
    </row>
    <row r="9029" spans="5:5" x14ac:dyDescent="0.25">
      <c r="E9029" s="82" t="s">
        <v>10000</v>
      </c>
    </row>
    <row r="9030" spans="5:5" x14ac:dyDescent="0.25">
      <c r="E9030" s="82" t="s">
        <v>10001</v>
      </c>
    </row>
    <row r="9031" spans="5:5" x14ac:dyDescent="0.25">
      <c r="E9031" s="82" t="s">
        <v>10002</v>
      </c>
    </row>
    <row r="9032" spans="5:5" x14ac:dyDescent="0.25">
      <c r="E9032" s="82" t="s">
        <v>10003</v>
      </c>
    </row>
    <row r="9033" spans="5:5" x14ac:dyDescent="0.25">
      <c r="E9033" s="82" t="s">
        <v>10004</v>
      </c>
    </row>
    <row r="9034" spans="5:5" x14ac:dyDescent="0.25">
      <c r="E9034" s="82" t="s">
        <v>10005</v>
      </c>
    </row>
    <row r="9035" spans="5:5" x14ac:dyDescent="0.25">
      <c r="E9035" s="82" t="s">
        <v>10006</v>
      </c>
    </row>
    <row r="9036" spans="5:5" x14ac:dyDescent="0.25">
      <c r="E9036" s="82" t="s">
        <v>10007</v>
      </c>
    </row>
    <row r="9037" spans="5:5" x14ac:dyDescent="0.25">
      <c r="E9037" s="82" t="s">
        <v>10008</v>
      </c>
    </row>
    <row r="9038" spans="5:5" x14ac:dyDescent="0.25">
      <c r="E9038" s="82" t="s">
        <v>10009</v>
      </c>
    </row>
    <row r="9039" spans="5:5" x14ac:dyDescent="0.25">
      <c r="E9039" s="82" t="s">
        <v>10010</v>
      </c>
    </row>
    <row r="9040" spans="5:5" x14ac:dyDescent="0.25">
      <c r="E9040" s="82" t="s">
        <v>10011</v>
      </c>
    </row>
    <row r="9041" spans="5:5" x14ac:dyDescent="0.25">
      <c r="E9041" s="82" t="s">
        <v>10012</v>
      </c>
    </row>
    <row r="9042" spans="5:5" x14ac:dyDescent="0.25">
      <c r="E9042" s="82" t="s">
        <v>10013</v>
      </c>
    </row>
    <row r="9043" spans="5:5" x14ac:dyDescent="0.25">
      <c r="E9043" s="82" t="s">
        <v>10014</v>
      </c>
    </row>
    <row r="9044" spans="5:5" x14ac:dyDescent="0.25">
      <c r="E9044" s="82" t="s">
        <v>10015</v>
      </c>
    </row>
    <row r="9045" spans="5:5" x14ac:dyDescent="0.25">
      <c r="E9045" s="82" t="s">
        <v>10016</v>
      </c>
    </row>
    <row r="9046" spans="5:5" x14ac:dyDescent="0.25">
      <c r="E9046" s="82" t="s">
        <v>10017</v>
      </c>
    </row>
    <row r="9047" spans="5:5" x14ac:dyDescent="0.25">
      <c r="E9047" s="82" t="s">
        <v>10018</v>
      </c>
    </row>
    <row r="9048" spans="5:5" x14ac:dyDescent="0.25">
      <c r="E9048" s="82" t="s">
        <v>10019</v>
      </c>
    </row>
    <row r="9049" spans="5:5" x14ac:dyDescent="0.25">
      <c r="E9049" s="82" t="s">
        <v>10020</v>
      </c>
    </row>
    <row r="9050" spans="5:5" x14ac:dyDescent="0.25">
      <c r="E9050" s="82" t="s">
        <v>10021</v>
      </c>
    </row>
    <row r="9051" spans="5:5" x14ac:dyDescent="0.25">
      <c r="E9051" s="82" t="s">
        <v>10022</v>
      </c>
    </row>
    <row r="9052" spans="5:5" x14ac:dyDescent="0.25">
      <c r="E9052" s="82" t="s">
        <v>10023</v>
      </c>
    </row>
    <row r="9053" spans="5:5" x14ac:dyDescent="0.25">
      <c r="E9053" s="82" t="s">
        <v>10024</v>
      </c>
    </row>
    <row r="9054" spans="5:5" x14ac:dyDescent="0.25">
      <c r="E9054" s="82" t="s">
        <v>10025</v>
      </c>
    </row>
    <row r="9055" spans="5:5" x14ac:dyDescent="0.25">
      <c r="E9055" s="82" t="s">
        <v>10026</v>
      </c>
    </row>
    <row r="9056" spans="5:5" x14ac:dyDescent="0.25">
      <c r="E9056" s="82" t="s">
        <v>10027</v>
      </c>
    </row>
    <row r="9057" spans="5:5" x14ac:dyDescent="0.25">
      <c r="E9057" s="82" t="s">
        <v>10028</v>
      </c>
    </row>
    <row r="9058" spans="5:5" x14ac:dyDescent="0.25">
      <c r="E9058" s="82" t="s">
        <v>10029</v>
      </c>
    </row>
    <row r="9059" spans="5:5" x14ac:dyDescent="0.25">
      <c r="E9059" s="82" t="s">
        <v>10030</v>
      </c>
    </row>
    <row r="9060" spans="5:5" x14ac:dyDescent="0.25">
      <c r="E9060" s="82" t="s">
        <v>10031</v>
      </c>
    </row>
    <row r="9061" spans="5:5" x14ac:dyDescent="0.25">
      <c r="E9061" s="82" t="s">
        <v>10032</v>
      </c>
    </row>
    <row r="9062" spans="5:5" x14ac:dyDescent="0.25">
      <c r="E9062" s="82" t="s">
        <v>10033</v>
      </c>
    </row>
    <row r="9063" spans="5:5" x14ac:dyDescent="0.25">
      <c r="E9063" s="82" t="s">
        <v>10034</v>
      </c>
    </row>
    <row r="9064" spans="5:5" x14ac:dyDescent="0.25">
      <c r="E9064" s="82" t="s">
        <v>10035</v>
      </c>
    </row>
    <row r="9065" spans="5:5" x14ac:dyDescent="0.25">
      <c r="E9065" s="82" t="s">
        <v>10036</v>
      </c>
    </row>
    <row r="9066" spans="5:5" x14ac:dyDescent="0.25">
      <c r="E9066" s="82" t="s">
        <v>10037</v>
      </c>
    </row>
    <row r="9067" spans="5:5" x14ac:dyDescent="0.25">
      <c r="E9067" s="82" t="s">
        <v>10038</v>
      </c>
    </row>
    <row r="9068" spans="5:5" x14ac:dyDescent="0.25">
      <c r="E9068" s="82" t="s">
        <v>10039</v>
      </c>
    </row>
    <row r="9069" spans="5:5" x14ac:dyDescent="0.25">
      <c r="E9069" s="82" t="s">
        <v>10040</v>
      </c>
    </row>
    <row r="9070" spans="5:5" x14ac:dyDescent="0.25">
      <c r="E9070" s="82" t="s">
        <v>10041</v>
      </c>
    </row>
    <row r="9071" spans="5:5" x14ac:dyDescent="0.25">
      <c r="E9071" s="82" t="s">
        <v>10042</v>
      </c>
    </row>
    <row r="9072" spans="5:5" x14ac:dyDescent="0.25">
      <c r="E9072" s="82" t="s">
        <v>10043</v>
      </c>
    </row>
    <row r="9073" spans="5:5" x14ac:dyDescent="0.25">
      <c r="E9073" s="82" t="s">
        <v>10044</v>
      </c>
    </row>
    <row r="9074" spans="5:5" x14ac:dyDescent="0.25">
      <c r="E9074" s="82" t="s">
        <v>10045</v>
      </c>
    </row>
    <row r="9075" spans="5:5" x14ac:dyDescent="0.25">
      <c r="E9075" s="82" t="s">
        <v>10046</v>
      </c>
    </row>
    <row r="9076" spans="5:5" x14ac:dyDescent="0.25">
      <c r="E9076" s="82" t="s">
        <v>10047</v>
      </c>
    </row>
    <row r="9077" spans="5:5" x14ac:dyDescent="0.25">
      <c r="E9077" s="82" t="s">
        <v>10048</v>
      </c>
    </row>
    <row r="9078" spans="5:5" x14ac:dyDescent="0.25">
      <c r="E9078" s="82" t="s">
        <v>10049</v>
      </c>
    </row>
    <row r="9079" spans="5:5" x14ac:dyDescent="0.25">
      <c r="E9079" s="82" t="s">
        <v>10050</v>
      </c>
    </row>
    <row r="9080" spans="5:5" x14ac:dyDescent="0.25">
      <c r="E9080" s="82" t="s">
        <v>10051</v>
      </c>
    </row>
    <row r="9081" spans="5:5" x14ac:dyDescent="0.25">
      <c r="E9081" s="82" t="s">
        <v>10052</v>
      </c>
    </row>
    <row r="9082" spans="5:5" x14ac:dyDescent="0.25">
      <c r="E9082" s="82" t="s">
        <v>10053</v>
      </c>
    </row>
    <row r="9083" spans="5:5" x14ac:dyDescent="0.25">
      <c r="E9083" s="82" t="s">
        <v>10054</v>
      </c>
    </row>
    <row r="9084" spans="5:5" x14ac:dyDescent="0.25">
      <c r="E9084" s="82" t="s">
        <v>10055</v>
      </c>
    </row>
    <row r="9085" spans="5:5" x14ac:dyDescent="0.25">
      <c r="E9085" s="82" t="s">
        <v>10056</v>
      </c>
    </row>
    <row r="9086" spans="5:5" x14ac:dyDescent="0.25">
      <c r="E9086" s="82" t="s">
        <v>10057</v>
      </c>
    </row>
    <row r="9087" spans="5:5" x14ac:dyDescent="0.25">
      <c r="E9087" s="82" t="s">
        <v>10058</v>
      </c>
    </row>
    <row r="9088" spans="5:5" x14ac:dyDescent="0.25">
      <c r="E9088" s="82" t="s">
        <v>10059</v>
      </c>
    </row>
    <row r="9089" spans="5:5" x14ac:dyDescent="0.25">
      <c r="E9089" s="82" t="s">
        <v>10060</v>
      </c>
    </row>
    <row r="9090" spans="5:5" x14ac:dyDescent="0.25">
      <c r="E9090" s="82" t="s">
        <v>10061</v>
      </c>
    </row>
    <row r="9091" spans="5:5" x14ac:dyDescent="0.25">
      <c r="E9091" s="82" t="s">
        <v>10062</v>
      </c>
    </row>
    <row r="9092" spans="5:5" x14ac:dyDescent="0.25">
      <c r="E9092" s="82" t="s">
        <v>10063</v>
      </c>
    </row>
    <row r="9093" spans="5:5" x14ac:dyDescent="0.25">
      <c r="E9093" s="82" t="s">
        <v>10064</v>
      </c>
    </row>
    <row r="9094" spans="5:5" x14ac:dyDescent="0.25">
      <c r="E9094" s="82" t="s">
        <v>10065</v>
      </c>
    </row>
    <row r="9095" spans="5:5" x14ac:dyDescent="0.25">
      <c r="E9095" s="82" t="s">
        <v>10066</v>
      </c>
    </row>
    <row r="9096" spans="5:5" x14ac:dyDescent="0.25">
      <c r="E9096" s="82" t="s">
        <v>10067</v>
      </c>
    </row>
    <row r="9097" spans="5:5" x14ac:dyDescent="0.25">
      <c r="E9097" s="82" t="s">
        <v>10068</v>
      </c>
    </row>
    <row r="9098" spans="5:5" x14ac:dyDescent="0.25">
      <c r="E9098" s="82" t="s">
        <v>10069</v>
      </c>
    </row>
    <row r="9099" spans="5:5" x14ac:dyDescent="0.25">
      <c r="E9099" s="82" t="s">
        <v>10070</v>
      </c>
    </row>
    <row r="9100" spans="5:5" x14ac:dyDescent="0.25">
      <c r="E9100" s="82" t="s">
        <v>10071</v>
      </c>
    </row>
    <row r="9101" spans="5:5" x14ac:dyDescent="0.25">
      <c r="E9101" s="82" t="s">
        <v>10072</v>
      </c>
    </row>
    <row r="9102" spans="5:5" x14ac:dyDescent="0.25">
      <c r="E9102" s="82" t="s">
        <v>10073</v>
      </c>
    </row>
    <row r="9103" spans="5:5" x14ac:dyDescent="0.25">
      <c r="E9103" s="82" t="s">
        <v>10074</v>
      </c>
    </row>
    <row r="9104" spans="5:5" x14ac:dyDescent="0.25">
      <c r="E9104" s="82" t="s">
        <v>10075</v>
      </c>
    </row>
    <row r="9105" spans="5:5" x14ac:dyDescent="0.25">
      <c r="E9105" s="82" t="s">
        <v>10076</v>
      </c>
    </row>
    <row r="9106" spans="5:5" x14ac:dyDescent="0.25">
      <c r="E9106" s="82" t="s">
        <v>10077</v>
      </c>
    </row>
    <row r="9107" spans="5:5" x14ac:dyDescent="0.25">
      <c r="E9107" s="82" t="s">
        <v>10078</v>
      </c>
    </row>
    <row r="9108" spans="5:5" x14ac:dyDescent="0.25">
      <c r="E9108" s="82" t="s">
        <v>10079</v>
      </c>
    </row>
    <row r="9109" spans="5:5" x14ac:dyDescent="0.25">
      <c r="E9109" s="82" t="s">
        <v>10080</v>
      </c>
    </row>
    <row r="9110" spans="5:5" x14ac:dyDescent="0.25">
      <c r="E9110" s="82" t="s">
        <v>10081</v>
      </c>
    </row>
    <row r="9111" spans="5:5" x14ac:dyDescent="0.25">
      <c r="E9111" s="82" t="s">
        <v>10082</v>
      </c>
    </row>
    <row r="9112" spans="5:5" x14ac:dyDescent="0.25">
      <c r="E9112" s="82" t="s">
        <v>10083</v>
      </c>
    </row>
    <row r="9113" spans="5:5" x14ac:dyDescent="0.25">
      <c r="E9113" s="82" t="s">
        <v>10084</v>
      </c>
    </row>
    <row r="9114" spans="5:5" x14ac:dyDescent="0.25">
      <c r="E9114" s="82" t="s">
        <v>10085</v>
      </c>
    </row>
    <row r="9115" spans="5:5" x14ac:dyDescent="0.25">
      <c r="E9115" s="82" t="s">
        <v>10086</v>
      </c>
    </row>
    <row r="9116" spans="5:5" x14ac:dyDescent="0.25">
      <c r="E9116" s="82" t="s">
        <v>10087</v>
      </c>
    </row>
    <row r="9117" spans="5:5" x14ac:dyDescent="0.25">
      <c r="E9117" s="82" t="s">
        <v>10088</v>
      </c>
    </row>
    <row r="9118" spans="5:5" x14ac:dyDescent="0.25">
      <c r="E9118" s="82" t="s">
        <v>10089</v>
      </c>
    </row>
    <row r="9119" spans="5:5" x14ac:dyDescent="0.25">
      <c r="E9119" s="82" t="s">
        <v>10090</v>
      </c>
    </row>
    <row r="9120" spans="5:5" x14ac:dyDescent="0.25">
      <c r="E9120" s="82" t="s">
        <v>10091</v>
      </c>
    </row>
    <row r="9121" spans="5:5" x14ac:dyDescent="0.25">
      <c r="E9121" s="82" t="s">
        <v>10092</v>
      </c>
    </row>
    <row r="9122" spans="5:5" x14ac:dyDescent="0.25">
      <c r="E9122" s="82" t="s">
        <v>10093</v>
      </c>
    </row>
    <row r="9123" spans="5:5" x14ac:dyDescent="0.25">
      <c r="E9123" s="82" t="s">
        <v>10094</v>
      </c>
    </row>
    <row r="9124" spans="5:5" x14ac:dyDescent="0.25">
      <c r="E9124" s="82" t="s">
        <v>10095</v>
      </c>
    </row>
    <row r="9125" spans="5:5" x14ac:dyDescent="0.25">
      <c r="E9125" s="82" t="s">
        <v>10096</v>
      </c>
    </row>
    <row r="9126" spans="5:5" x14ac:dyDescent="0.25">
      <c r="E9126" s="82" t="s">
        <v>10097</v>
      </c>
    </row>
    <row r="9127" spans="5:5" x14ac:dyDescent="0.25">
      <c r="E9127" s="82" t="s">
        <v>10098</v>
      </c>
    </row>
    <row r="9128" spans="5:5" x14ac:dyDescent="0.25">
      <c r="E9128" s="82" t="s">
        <v>10099</v>
      </c>
    </row>
    <row r="9129" spans="5:5" x14ac:dyDescent="0.25">
      <c r="E9129" s="82" t="s">
        <v>10100</v>
      </c>
    </row>
    <row r="9130" spans="5:5" x14ac:dyDescent="0.25">
      <c r="E9130" s="82" t="s">
        <v>10101</v>
      </c>
    </row>
    <row r="9131" spans="5:5" x14ac:dyDescent="0.25">
      <c r="E9131" s="82" t="s">
        <v>10102</v>
      </c>
    </row>
    <row r="9132" spans="5:5" x14ac:dyDescent="0.25">
      <c r="E9132" s="82" t="s">
        <v>10103</v>
      </c>
    </row>
    <row r="9133" spans="5:5" x14ac:dyDescent="0.25">
      <c r="E9133" s="82" t="s">
        <v>10104</v>
      </c>
    </row>
    <row r="9134" spans="5:5" x14ac:dyDescent="0.25">
      <c r="E9134" s="82" t="s">
        <v>10105</v>
      </c>
    </row>
    <row r="9135" spans="5:5" x14ac:dyDescent="0.25">
      <c r="E9135" s="82" t="s">
        <v>10106</v>
      </c>
    </row>
    <row r="9136" spans="5:5" x14ac:dyDescent="0.25">
      <c r="E9136" s="82" t="s">
        <v>10107</v>
      </c>
    </row>
    <row r="9137" spans="5:5" x14ac:dyDescent="0.25">
      <c r="E9137" s="82" t="s">
        <v>10108</v>
      </c>
    </row>
    <row r="9138" spans="5:5" x14ac:dyDescent="0.25">
      <c r="E9138" s="82" t="s">
        <v>10109</v>
      </c>
    </row>
    <row r="9139" spans="5:5" x14ac:dyDescent="0.25">
      <c r="E9139" s="82" t="s">
        <v>10110</v>
      </c>
    </row>
    <row r="9140" spans="5:5" x14ac:dyDescent="0.25">
      <c r="E9140" s="82" t="s">
        <v>10111</v>
      </c>
    </row>
    <row r="9141" spans="5:5" x14ac:dyDescent="0.25">
      <c r="E9141" s="82" t="s">
        <v>10112</v>
      </c>
    </row>
    <row r="9142" spans="5:5" x14ac:dyDescent="0.25">
      <c r="E9142" s="82" t="s">
        <v>10113</v>
      </c>
    </row>
    <row r="9143" spans="5:5" x14ac:dyDescent="0.25">
      <c r="E9143" s="82" t="s">
        <v>10114</v>
      </c>
    </row>
    <row r="9144" spans="5:5" x14ac:dyDescent="0.25">
      <c r="E9144" s="82" t="s">
        <v>10115</v>
      </c>
    </row>
    <row r="9145" spans="5:5" x14ac:dyDescent="0.25">
      <c r="E9145" s="82" t="s">
        <v>10116</v>
      </c>
    </row>
    <row r="9146" spans="5:5" x14ac:dyDescent="0.25">
      <c r="E9146" s="82" t="s">
        <v>10117</v>
      </c>
    </row>
    <row r="9147" spans="5:5" x14ac:dyDescent="0.25">
      <c r="E9147" s="82" t="s">
        <v>10118</v>
      </c>
    </row>
    <row r="9148" spans="5:5" x14ac:dyDescent="0.25">
      <c r="E9148" s="82" t="s">
        <v>10119</v>
      </c>
    </row>
    <row r="9149" spans="5:5" x14ac:dyDescent="0.25">
      <c r="E9149" s="82" t="s">
        <v>10120</v>
      </c>
    </row>
    <row r="9150" spans="5:5" x14ac:dyDescent="0.25">
      <c r="E9150" s="82" t="s">
        <v>10121</v>
      </c>
    </row>
    <row r="9151" spans="5:5" x14ac:dyDescent="0.25">
      <c r="E9151" s="82" t="s">
        <v>10122</v>
      </c>
    </row>
    <row r="9152" spans="5:5" x14ac:dyDescent="0.25">
      <c r="E9152" s="82" t="s">
        <v>10123</v>
      </c>
    </row>
    <row r="9153" spans="5:5" x14ac:dyDescent="0.25">
      <c r="E9153" s="82" t="s">
        <v>10124</v>
      </c>
    </row>
    <row r="9154" spans="5:5" x14ac:dyDescent="0.25">
      <c r="E9154" s="82" t="s">
        <v>10125</v>
      </c>
    </row>
    <row r="9155" spans="5:5" x14ac:dyDescent="0.25">
      <c r="E9155" s="82" t="s">
        <v>10126</v>
      </c>
    </row>
    <row r="9156" spans="5:5" x14ac:dyDescent="0.25">
      <c r="E9156" s="82" t="s">
        <v>10127</v>
      </c>
    </row>
    <row r="9157" spans="5:5" x14ac:dyDescent="0.25">
      <c r="E9157" s="82" t="s">
        <v>10128</v>
      </c>
    </row>
    <row r="9158" spans="5:5" x14ac:dyDescent="0.25">
      <c r="E9158" s="82" t="s">
        <v>10129</v>
      </c>
    </row>
    <row r="9159" spans="5:5" x14ac:dyDescent="0.25">
      <c r="E9159" s="82" t="s">
        <v>10130</v>
      </c>
    </row>
    <row r="9160" spans="5:5" x14ac:dyDescent="0.25">
      <c r="E9160" s="82" t="s">
        <v>10131</v>
      </c>
    </row>
    <row r="9161" spans="5:5" x14ac:dyDescent="0.25">
      <c r="E9161" s="82" t="s">
        <v>10132</v>
      </c>
    </row>
    <row r="9162" spans="5:5" x14ac:dyDescent="0.25">
      <c r="E9162" s="82" t="s">
        <v>10133</v>
      </c>
    </row>
    <row r="9163" spans="5:5" x14ac:dyDescent="0.25">
      <c r="E9163" s="82" t="s">
        <v>10134</v>
      </c>
    </row>
    <row r="9164" spans="5:5" x14ac:dyDescent="0.25">
      <c r="E9164" s="82" t="s">
        <v>10135</v>
      </c>
    </row>
    <row r="9165" spans="5:5" x14ac:dyDescent="0.25">
      <c r="E9165" s="82" t="s">
        <v>10136</v>
      </c>
    </row>
    <row r="9166" spans="5:5" x14ac:dyDescent="0.25">
      <c r="E9166" s="82" t="s">
        <v>10137</v>
      </c>
    </row>
    <row r="9167" spans="5:5" x14ac:dyDescent="0.25">
      <c r="E9167" s="82" t="s">
        <v>10138</v>
      </c>
    </row>
    <row r="9168" spans="5:5" x14ac:dyDescent="0.25">
      <c r="E9168" s="82" t="s">
        <v>10139</v>
      </c>
    </row>
    <row r="9169" spans="5:5" x14ac:dyDescent="0.25">
      <c r="E9169" s="82" t="s">
        <v>10140</v>
      </c>
    </row>
    <row r="9170" spans="5:5" x14ac:dyDescent="0.25">
      <c r="E9170" s="82" t="s">
        <v>10141</v>
      </c>
    </row>
    <row r="9171" spans="5:5" x14ac:dyDescent="0.25">
      <c r="E9171" s="82" t="s">
        <v>10142</v>
      </c>
    </row>
    <row r="9172" spans="5:5" x14ac:dyDescent="0.25">
      <c r="E9172" s="82" t="s">
        <v>10143</v>
      </c>
    </row>
    <row r="9173" spans="5:5" x14ac:dyDescent="0.25">
      <c r="E9173" s="82" t="s">
        <v>10144</v>
      </c>
    </row>
    <row r="9174" spans="5:5" x14ac:dyDescent="0.25">
      <c r="E9174" s="82" t="s">
        <v>10145</v>
      </c>
    </row>
    <row r="9175" spans="5:5" x14ac:dyDescent="0.25">
      <c r="E9175" s="82" t="s">
        <v>10146</v>
      </c>
    </row>
    <row r="9176" spans="5:5" x14ac:dyDescent="0.25">
      <c r="E9176" s="82" t="s">
        <v>10147</v>
      </c>
    </row>
    <row r="9177" spans="5:5" x14ac:dyDescent="0.25">
      <c r="E9177" s="82" t="s">
        <v>10148</v>
      </c>
    </row>
    <row r="9178" spans="5:5" x14ac:dyDescent="0.25">
      <c r="E9178" s="82" t="s">
        <v>10149</v>
      </c>
    </row>
    <row r="9179" spans="5:5" x14ac:dyDescent="0.25">
      <c r="E9179" s="82" t="s">
        <v>10150</v>
      </c>
    </row>
    <row r="9180" spans="5:5" x14ac:dyDescent="0.25">
      <c r="E9180" s="82" t="s">
        <v>10151</v>
      </c>
    </row>
    <row r="9181" spans="5:5" x14ac:dyDescent="0.25">
      <c r="E9181" s="82" t="s">
        <v>10152</v>
      </c>
    </row>
    <row r="9182" spans="5:5" x14ac:dyDescent="0.25">
      <c r="E9182" s="82" t="s">
        <v>10153</v>
      </c>
    </row>
    <row r="9183" spans="5:5" x14ac:dyDescent="0.25">
      <c r="E9183" s="82" t="s">
        <v>10154</v>
      </c>
    </row>
    <row r="9184" spans="5:5" x14ac:dyDescent="0.25">
      <c r="E9184" s="82" t="s">
        <v>10155</v>
      </c>
    </row>
    <row r="9185" spans="5:5" x14ac:dyDescent="0.25">
      <c r="E9185" s="82" t="s">
        <v>10156</v>
      </c>
    </row>
    <row r="9186" spans="5:5" x14ac:dyDescent="0.25">
      <c r="E9186" s="82" t="s">
        <v>10157</v>
      </c>
    </row>
    <row r="9187" spans="5:5" x14ac:dyDescent="0.25">
      <c r="E9187" s="82" t="s">
        <v>10158</v>
      </c>
    </row>
    <row r="9188" spans="5:5" x14ac:dyDescent="0.25">
      <c r="E9188" s="82" t="s">
        <v>10159</v>
      </c>
    </row>
    <row r="9189" spans="5:5" x14ac:dyDescent="0.25">
      <c r="E9189" s="82" t="s">
        <v>10160</v>
      </c>
    </row>
    <row r="9190" spans="5:5" x14ac:dyDescent="0.25">
      <c r="E9190" s="82" t="s">
        <v>10161</v>
      </c>
    </row>
    <row r="9191" spans="5:5" x14ac:dyDescent="0.25">
      <c r="E9191" s="82" t="s">
        <v>10162</v>
      </c>
    </row>
    <row r="9192" spans="5:5" x14ac:dyDescent="0.25">
      <c r="E9192" s="82" t="s">
        <v>10163</v>
      </c>
    </row>
    <row r="9193" spans="5:5" x14ac:dyDescent="0.25">
      <c r="E9193" s="82" t="s">
        <v>10164</v>
      </c>
    </row>
    <row r="9194" spans="5:5" x14ac:dyDescent="0.25">
      <c r="E9194" s="82" t="s">
        <v>10165</v>
      </c>
    </row>
    <row r="9195" spans="5:5" x14ac:dyDescent="0.25">
      <c r="E9195" s="82" t="s">
        <v>10166</v>
      </c>
    </row>
    <row r="9196" spans="5:5" x14ac:dyDescent="0.25">
      <c r="E9196" s="82" t="s">
        <v>10167</v>
      </c>
    </row>
    <row r="9197" spans="5:5" x14ac:dyDescent="0.25">
      <c r="E9197" s="82" t="s">
        <v>10168</v>
      </c>
    </row>
    <row r="9198" spans="5:5" x14ac:dyDescent="0.25">
      <c r="E9198" s="82" t="s">
        <v>10169</v>
      </c>
    </row>
    <row r="9199" spans="5:5" x14ac:dyDescent="0.25">
      <c r="E9199" s="82" t="s">
        <v>10170</v>
      </c>
    </row>
    <row r="9200" spans="5:5" x14ac:dyDescent="0.25">
      <c r="E9200" s="82" t="s">
        <v>10171</v>
      </c>
    </row>
    <row r="9201" spans="5:5" x14ac:dyDescent="0.25">
      <c r="E9201" s="82" t="s">
        <v>10172</v>
      </c>
    </row>
    <row r="9202" spans="5:5" x14ac:dyDescent="0.25">
      <c r="E9202" s="82" t="s">
        <v>10173</v>
      </c>
    </row>
    <row r="9203" spans="5:5" x14ac:dyDescent="0.25">
      <c r="E9203" s="82" t="s">
        <v>10174</v>
      </c>
    </row>
    <row r="9204" spans="5:5" x14ac:dyDescent="0.25">
      <c r="E9204" s="82" t="s">
        <v>10175</v>
      </c>
    </row>
    <row r="9205" spans="5:5" x14ac:dyDescent="0.25">
      <c r="E9205" s="82" t="s">
        <v>10176</v>
      </c>
    </row>
    <row r="9206" spans="5:5" x14ac:dyDescent="0.25">
      <c r="E9206" s="82" t="s">
        <v>10177</v>
      </c>
    </row>
    <row r="9207" spans="5:5" x14ac:dyDescent="0.25">
      <c r="E9207" s="82" t="s">
        <v>10178</v>
      </c>
    </row>
    <row r="9208" spans="5:5" x14ac:dyDescent="0.25">
      <c r="E9208" s="82" t="s">
        <v>10179</v>
      </c>
    </row>
    <row r="9209" spans="5:5" x14ac:dyDescent="0.25">
      <c r="E9209" s="82" t="s">
        <v>10180</v>
      </c>
    </row>
    <row r="9210" spans="5:5" x14ac:dyDescent="0.25">
      <c r="E9210" s="82" t="s">
        <v>10181</v>
      </c>
    </row>
    <row r="9211" spans="5:5" x14ac:dyDescent="0.25">
      <c r="E9211" s="82" t="s">
        <v>10182</v>
      </c>
    </row>
    <row r="9212" spans="5:5" x14ac:dyDescent="0.25">
      <c r="E9212" s="82" t="s">
        <v>10183</v>
      </c>
    </row>
    <row r="9213" spans="5:5" x14ac:dyDescent="0.25">
      <c r="E9213" s="82" t="s">
        <v>10184</v>
      </c>
    </row>
    <row r="9214" spans="5:5" x14ac:dyDescent="0.25">
      <c r="E9214" s="82" t="s">
        <v>10185</v>
      </c>
    </row>
    <row r="9215" spans="5:5" x14ac:dyDescent="0.25">
      <c r="E9215" s="82" t="s">
        <v>10186</v>
      </c>
    </row>
    <row r="9216" spans="5:5" x14ac:dyDescent="0.25">
      <c r="E9216" s="82" t="s">
        <v>10187</v>
      </c>
    </row>
    <row r="9217" spans="5:5" x14ac:dyDescent="0.25">
      <c r="E9217" s="82" t="s">
        <v>10188</v>
      </c>
    </row>
    <row r="9218" spans="5:5" x14ac:dyDescent="0.25">
      <c r="E9218" s="82" t="s">
        <v>10189</v>
      </c>
    </row>
    <row r="9219" spans="5:5" x14ac:dyDescent="0.25">
      <c r="E9219" s="82" t="s">
        <v>10190</v>
      </c>
    </row>
    <row r="9220" spans="5:5" x14ac:dyDescent="0.25">
      <c r="E9220" s="82" t="s">
        <v>10191</v>
      </c>
    </row>
    <row r="9221" spans="5:5" x14ac:dyDescent="0.25">
      <c r="E9221" s="82" t="s">
        <v>10192</v>
      </c>
    </row>
    <row r="9222" spans="5:5" x14ac:dyDescent="0.25">
      <c r="E9222" s="82" t="s">
        <v>10193</v>
      </c>
    </row>
    <row r="9223" spans="5:5" x14ac:dyDescent="0.25">
      <c r="E9223" s="82" t="s">
        <v>10194</v>
      </c>
    </row>
    <row r="9224" spans="5:5" x14ac:dyDescent="0.25">
      <c r="E9224" s="82" t="s">
        <v>10195</v>
      </c>
    </row>
    <row r="9225" spans="5:5" x14ac:dyDescent="0.25">
      <c r="E9225" s="82" t="s">
        <v>10196</v>
      </c>
    </row>
    <row r="9226" spans="5:5" x14ac:dyDescent="0.25">
      <c r="E9226" s="82" t="s">
        <v>10197</v>
      </c>
    </row>
    <row r="9227" spans="5:5" x14ac:dyDescent="0.25">
      <c r="E9227" s="82" t="s">
        <v>10198</v>
      </c>
    </row>
    <row r="9228" spans="5:5" x14ac:dyDescent="0.25">
      <c r="E9228" s="82" t="s">
        <v>10199</v>
      </c>
    </row>
    <row r="9229" spans="5:5" x14ac:dyDescent="0.25">
      <c r="E9229" s="82" t="s">
        <v>10200</v>
      </c>
    </row>
    <row r="9230" spans="5:5" x14ac:dyDescent="0.25">
      <c r="E9230" s="82" t="s">
        <v>10201</v>
      </c>
    </row>
    <row r="9231" spans="5:5" x14ac:dyDescent="0.25">
      <c r="E9231" s="82" t="s">
        <v>10202</v>
      </c>
    </row>
    <row r="9232" spans="5:5" x14ac:dyDescent="0.25">
      <c r="E9232" s="82" t="s">
        <v>10203</v>
      </c>
    </row>
    <row r="9233" spans="5:5" x14ac:dyDescent="0.25">
      <c r="E9233" s="82" t="s">
        <v>10204</v>
      </c>
    </row>
    <row r="9234" spans="5:5" x14ac:dyDescent="0.25">
      <c r="E9234" s="82" t="s">
        <v>10205</v>
      </c>
    </row>
    <row r="9235" spans="5:5" x14ac:dyDescent="0.25">
      <c r="E9235" s="82" t="s">
        <v>10206</v>
      </c>
    </row>
    <row r="9236" spans="5:5" x14ac:dyDescent="0.25">
      <c r="E9236" s="82" t="s">
        <v>10207</v>
      </c>
    </row>
    <row r="9237" spans="5:5" x14ac:dyDescent="0.25">
      <c r="E9237" s="82" t="s">
        <v>10208</v>
      </c>
    </row>
    <row r="9238" spans="5:5" x14ac:dyDescent="0.25">
      <c r="E9238" s="82" t="s">
        <v>10209</v>
      </c>
    </row>
    <row r="9239" spans="5:5" x14ac:dyDescent="0.25">
      <c r="E9239" s="82" t="s">
        <v>10210</v>
      </c>
    </row>
    <row r="9240" spans="5:5" x14ac:dyDescent="0.25">
      <c r="E9240" s="82" t="s">
        <v>10211</v>
      </c>
    </row>
    <row r="9241" spans="5:5" x14ac:dyDescent="0.25">
      <c r="E9241" s="82" t="s">
        <v>10212</v>
      </c>
    </row>
    <row r="9242" spans="5:5" x14ac:dyDescent="0.25">
      <c r="E9242" s="82" t="s">
        <v>10213</v>
      </c>
    </row>
    <row r="9243" spans="5:5" x14ac:dyDescent="0.25">
      <c r="E9243" s="82" t="s">
        <v>10214</v>
      </c>
    </row>
    <row r="9244" spans="5:5" x14ac:dyDescent="0.25">
      <c r="E9244" s="82" t="s">
        <v>10215</v>
      </c>
    </row>
    <row r="9245" spans="5:5" x14ac:dyDescent="0.25">
      <c r="E9245" s="82" t="s">
        <v>10216</v>
      </c>
    </row>
    <row r="9246" spans="5:5" x14ac:dyDescent="0.25">
      <c r="E9246" s="82" t="s">
        <v>10217</v>
      </c>
    </row>
    <row r="9247" spans="5:5" x14ac:dyDescent="0.25">
      <c r="E9247" s="82" t="s">
        <v>10218</v>
      </c>
    </row>
    <row r="9248" spans="5:5" x14ac:dyDescent="0.25">
      <c r="E9248" s="82" t="s">
        <v>10219</v>
      </c>
    </row>
    <row r="9249" spans="5:5" x14ac:dyDescent="0.25">
      <c r="E9249" s="82" t="s">
        <v>10220</v>
      </c>
    </row>
    <row r="9250" spans="5:5" x14ac:dyDescent="0.25">
      <c r="E9250" s="82" t="s">
        <v>10221</v>
      </c>
    </row>
    <row r="9251" spans="5:5" x14ac:dyDescent="0.25">
      <c r="E9251" s="82" t="s">
        <v>10222</v>
      </c>
    </row>
    <row r="9252" spans="5:5" x14ac:dyDescent="0.25">
      <c r="E9252" s="82" t="s">
        <v>10223</v>
      </c>
    </row>
    <row r="9253" spans="5:5" x14ac:dyDescent="0.25">
      <c r="E9253" s="82" t="s">
        <v>10224</v>
      </c>
    </row>
    <row r="9254" spans="5:5" x14ac:dyDescent="0.25">
      <c r="E9254" s="82" t="s">
        <v>10225</v>
      </c>
    </row>
    <row r="9255" spans="5:5" x14ac:dyDescent="0.25">
      <c r="E9255" s="82" t="s">
        <v>10226</v>
      </c>
    </row>
    <row r="9256" spans="5:5" x14ac:dyDescent="0.25">
      <c r="E9256" s="82" t="s">
        <v>10227</v>
      </c>
    </row>
    <row r="9257" spans="5:5" x14ac:dyDescent="0.25">
      <c r="E9257" s="82" t="s">
        <v>10228</v>
      </c>
    </row>
    <row r="9258" spans="5:5" x14ac:dyDescent="0.25">
      <c r="E9258" s="82" t="s">
        <v>10229</v>
      </c>
    </row>
    <row r="9259" spans="5:5" x14ac:dyDescent="0.25">
      <c r="E9259" s="82" t="s">
        <v>10230</v>
      </c>
    </row>
    <row r="9260" spans="5:5" x14ac:dyDescent="0.25">
      <c r="E9260" s="82" t="s">
        <v>10231</v>
      </c>
    </row>
    <row r="9261" spans="5:5" x14ac:dyDescent="0.25">
      <c r="E9261" s="82" t="s">
        <v>10232</v>
      </c>
    </row>
    <row r="9262" spans="5:5" x14ac:dyDescent="0.25">
      <c r="E9262" s="82" t="s">
        <v>10233</v>
      </c>
    </row>
    <row r="9263" spans="5:5" x14ac:dyDescent="0.25">
      <c r="E9263" s="82" t="s">
        <v>10234</v>
      </c>
    </row>
    <row r="9264" spans="5:5" x14ac:dyDescent="0.25">
      <c r="E9264" s="82" t="s">
        <v>10235</v>
      </c>
    </row>
    <row r="9265" spans="5:5" x14ac:dyDescent="0.25">
      <c r="E9265" s="82" t="s">
        <v>10236</v>
      </c>
    </row>
    <row r="9266" spans="5:5" x14ac:dyDescent="0.25">
      <c r="E9266" s="82" t="s">
        <v>10237</v>
      </c>
    </row>
    <row r="9267" spans="5:5" x14ac:dyDescent="0.25">
      <c r="E9267" s="82" t="s">
        <v>10238</v>
      </c>
    </row>
    <row r="9268" spans="5:5" x14ac:dyDescent="0.25">
      <c r="E9268" s="82" t="s">
        <v>10239</v>
      </c>
    </row>
    <row r="9269" spans="5:5" x14ac:dyDescent="0.25">
      <c r="E9269" s="82" t="s">
        <v>10240</v>
      </c>
    </row>
    <row r="9270" spans="5:5" x14ac:dyDescent="0.25">
      <c r="E9270" s="82" t="s">
        <v>10241</v>
      </c>
    </row>
    <row r="9271" spans="5:5" x14ac:dyDescent="0.25">
      <c r="E9271" s="82" t="s">
        <v>10242</v>
      </c>
    </row>
    <row r="9272" spans="5:5" x14ac:dyDescent="0.25">
      <c r="E9272" s="82" t="s">
        <v>10243</v>
      </c>
    </row>
    <row r="9273" spans="5:5" x14ac:dyDescent="0.25">
      <c r="E9273" s="82" t="s">
        <v>10244</v>
      </c>
    </row>
    <row r="9274" spans="5:5" x14ac:dyDescent="0.25">
      <c r="E9274" s="82" t="s">
        <v>10245</v>
      </c>
    </row>
    <row r="9275" spans="5:5" x14ac:dyDescent="0.25">
      <c r="E9275" s="82" t="s">
        <v>10246</v>
      </c>
    </row>
    <row r="9276" spans="5:5" x14ac:dyDescent="0.25">
      <c r="E9276" s="82" t="s">
        <v>10247</v>
      </c>
    </row>
    <row r="9277" spans="5:5" x14ac:dyDescent="0.25">
      <c r="E9277" s="82" t="s">
        <v>10248</v>
      </c>
    </row>
    <row r="9278" spans="5:5" x14ac:dyDescent="0.25">
      <c r="E9278" s="82" t="s">
        <v>10249</v>
      </c>
    </row>
    <row r="9279" spans="5:5" x14ac:dyDescent="0.25">
      <c r="E9279" s="82" t="s">
        <v>10250</v>
      </c>
    </row>
    <row r="9280" spans="5:5" x14ac:dyDescent="0.25">
      <c r="E9280" s="82" t="s">
        <v>10251</v>
      </c>
    </row>
    <row r="9281" spans="5:5" x14ac:dyDescent="0.25">
      <c r="E9281" s="82" t="s">
        <v>10252</v>
      </c>
    </row>
    <row r="9282" spans="5:5" x14ac:dyDescent="0.25">
      <c r="E9282" s="82" t="s">
        <v>10253</v>
      </c>
    </row>
    <row r="9283" spans="5:5" x14ac:dyDescent="0.25">
      <c r="E9283" s="82" t="s">
        <v>10254</v>
      </c>
    </row>
    <row r="9284" spans="5:5" x14ac:dyDescent="0.25">
      <c r="E9284" s="82" t="s">
        <v>10255</v>
      </c>
    </row>
    <row r="9285" spans="5:5" x14ac:dyDescent="0.25">
      <c r="E9285" s="82" t="s">
        <v>10256</v>
      </c>
    </row>
    <row r="9286" spans="5:5" x14ac:dyDescent="0.25">
      <c r="E9286" s="82" t="s">
        <v>10257</v>
      </c>
    </row>
    <row r="9287" spans="5:5" x14ac:dyDescent="0.25">
      <c r="E9287" s="82" t="s">
        <v>10258</v>
      </c>
    </row>
    <row r="9288" spans="5:5" x14ac:dyDescent="0.25">
      <c r="E9288" s="82" t="s">
        <v>10259</v>
      </c>
    </row>
    <row r="9289" spans="5:5" x14ac:dyDescent="0.25">
      <c r="E9289" s="82" t="s">
        <v>10260</v>
      </c>
    </row>
    <row r="9290" spans="5:5" x14ac:dyDescent="0.25">
      <c r="E9290" s="82" t="s">
        <v>10261</v>
      </c>
    </row>
    <row r="9291" spans="5:5" x14ac:dyDescent="0.25">
      <c r="E9291" s="82" t="s">
        <v>10262</v>
      </c>
    </row>
    <row r="9292" spans="5:5" x14ac:dyDescent="0.25">
      <c r="E9292" s="82" t="s">
        <v>10263</v>
      </c>
    </row>
    <row r="9293" spans="5:5" x14ac:dyDescent="0.25">
      <c r="E9293" s="82" t="s">
        <v>10264</v>
      </c>
    </row>
    <row r="9294" spans="5:5" x14ac:dyDescent="0.25">
      <c r="E9294" s="82" t="s">
        <v>10265</v>
      </c>
    </row>
    <row r="9295" spans="5:5" x14ac:dyDescent="0.25">
      <c r="E9295" s="82" t="s">
        <v>10266</v>
      </c>
    </row>
    <row r="9296" spans="5:5" x14ac:dyDescent="0.25">
      <c r="E9296" s="82" t="s">
        <v>10267</v>
      </c>
    </row>
    <row r="9297" spans="5:5" x14ac:dyDescent="0.25">
      <c r="E9297" s="82" t="s">
        <v>10268</v>
      </c>
    </row>
    <row r="9298" spans="5:5" x14ac:dyDescent="0.25">
      <c r="E9298" s="82" t="s">
        <v>10269</v>
      </c>
    </row>
    <row r="9299" spans="5:5" x14ac:dyDescent="0.25">
      <c r="E9299" s="82" t="s">
        <v>10270</v>
      </c>
    </row>
    <row r="9300" spans="5:5" x14ac:dyDescent="0.25">
      <c r="E9300" s="82" t="s">
        <v>10271</v>
      </c>
    </row>
    <row r="9301" spans="5:5" x14ac:dyDescent="0.25">
      <c r="E9301" s="82" t="s">
        <v>10272</v>
      </c>
    </row>
    <row r="9302" spans="5:5" x14ac:dyDescent="0.25">
      <c r="E9302" s="82" t="s">
        <v>10273</v>
      </c>
    </row>
    <row r="9303" spans="5:5" x14ac:dyDescent="0.25">
      <c r="E9303" s="82" t="s">
        <v>10274</v>
      </c>
    </row>
    <row r="9304" spans="5:5" x14ac:dyDescent="0.25">
      <c r="E9304" s="82" t="s">
        <v>10275</v>
      </c>
    </row>
    <row r="9305" spans="5:5" x14ac:dyDescent="0.25">
      <c r="E9305" s="82" t="s">
        <v>10276</v>
      </c>
    </row>
    <row r="9306" spans="5:5" x14ac:dyDescent="0.25">
      <c r="E9306" s="82" t="s">
        <v>10277</v>
      </c>
    </row>
    <row r="9307" spans="5:5" x14ac:dyDescent="0.25">
      <c r="E9307" s="82" t="s">
        <v>10278</v>
      </c>
    </row>
    <row r="9308" spans="5:5" x14ac:dyDescent="0.25">
      <c r="E9308" s="82" t="s">
        <v>10279</v>
      </c>
    </row>
    <row r="9309" spans="5:5" x14ac:dyDescent="0.25">
      <c r="E9309" s="82" t="s">
        <v>10280</v>
      </c>
    </row>
    <row r="9310" spans="5:5" x14ac:dyDescent="0.25">
      <c r="E9310" s="82" t="s">
        <v>10281</v>
      </c>
    </row>
    <row r="9311" spans="5:5" x14ac:dyDescent="0.25">
      <c r="E9311" s="82" t="s">
        <v>10282</v>
      </c>
    </row>
    <row r="9312" spans="5:5" x14ac:dyDescent="0.25">
      <c r="E9312" s="82" t="s">
        <v>10283</v>
      </c>
    </row>
    <row r="9313" spans="5:5" x14ac:dyDescent="0.25">
      <c r="E9313" s="82" t="s">
        <v>10284</v>
      </c>
    </row>
    <row r="9314" spans="5:5" x14ac:dyDescent="0.25">
      <c r="E9314" s="82" t="s">
        <v>10285</v>
      </c>
    </row>
    <row r="9315" spans="5:5" x14ac:dyDescent="0.25">
      <c r="E9315" s="82" t="s">
        <v>10286</v>
      </c>
    </row>
    <row r="9316" spans="5:5" x14ac:dyDescent="0.25">
      <c r="E9316" s="82" t="s">
        <v>10287</v>
      </c>
    </row>
    <row r="9317" spans="5:5" x14ac:dyDescent="0.25">
      <c r="E9317" s="82" t="s">
        <v>10288</v>
      </c>
    </row>
    <row r="9318" spans="5:5" x14ac:dyDescent="0.25">
      <c r="E9318" s="82" t="s">
        <v>10289</v>
      </c>
    </row>
    <row r="9319" spans="5:5" x14ac:dyDescent="0.25">
      <c r="E9319" s="82" t="s">
        <v>10290</v>
      </c>
    </row>
    <row r="9320" spans="5:5" x14ac:dyDescent="0.25">
      <c r="E9320" s="82" t="s">
        <v>10291</v>
      </c>
    </row>
    <row r="9321" spans="5:5" x14ac:dyDescent="0.25">
      <c r="E9321" s="82" t="s">
        <v>10292</v>
      </c>
    </row>
    <row r="9322" spans="5:5" x14ac:dyDescent="0.25">
      <c r="E9322" s="82" t="s">
        <v>10293</v>
      </c>
    </row>
    <row r="9323" spans="5:5" x14ac:dyDescent="0.25">
      <c r="E9323" s="82" t="s">
        <v>10294</v>
      </c>
    </row>
    <row r="9324" spans="5:5" x14ac:dyDescent="0.25">
      <c r="E9324" s="82" t="s">
        <v>10295</v>
      </c>
    </row>
    <row r="9325" spans="5:5" x14ac:dyDescent="0.25">
      <c r="E9325" s="82" t="s">
        <v>10296</v>
      </c>
    </row>
    <row r="9326" spans="5:5" x14ac:dyDescent="0.25">
      <c r="E9326" s="82" t="s">
        <v>10297</v>
      </c>
    </row>
    <row r="9327" spans="5:5" x14ac:dyDescent="0.25">
      <c r="E9327" s="82" t="s">
        <v>10298</v>
      </c>
    </row>
    <row r="9328" spans="5:5" x14ac:dyDescent="0.25">
      <c r="E9328" s="82" t="s">
        <v>10299</v>
      </c>
    </row>
    <row r="9329" spans="5:5" x14ac:dyDescent="0.25">
      <c r="E9329" s="82" t="s">
        <v>10300</v>
      </c>
    </row>
    <row r="9330" spans="5:5" x14ac:dyDescent="0.25">
      <c r="E9330" s="82" t="s">
        <v>10301</v>
      </c>
    </row>
    <row r="9331" spans="5:5" x14ac:dyDescent="0.25">
      <c r="E9331" s="82" t="s">
        <v>10302</v>
      </c>
    </row>
    <row r="9332" spans="5:5" x14ac:dyDescent="0.25">
      <c r="E9332" s="82" t="s">
        <v>10303</v>
      </c>
    </row>
    <row r="9333" spans="5:5" x14ac:dyDescent="0.25">
      <c r="E9333" s="82" t="s">
        <v>10304</v>
      </c>
    </row>
    <row r="9334" spans="5:5" x14ac:dyDescent="0.25">
      <c r="E9334" s="82" t="s">
        <v>10305</v>
      </c>
    </row>
    <row r="9335" spans="5:5" x14ac:dyDescent="0.25">
      <c r="E9335" s="82" t="s">
        <v>10306</v>
      </c>
    </row>
    <row r="9336" spans="5:5" x14ac:dyDescent="0.25">
      <c r="E9336" s="82" t="s">
        <v>10307</v>
      </c>
    </row>
    <row r="9337" spans="5:5" x14ac:dyDescent="0.25">
      <c r="E9337" s="82" t="s">
        <v>10308</v>
      </c>
    </row>
    <row r="9338" spans="5:5" x14ac:dyDescent="0.25">
      <c r="E9338" s="82" t="s">
        <v>10309</v>
      </c>
    </row>
    <row r="9339" spans="5:5" x14ac:dyDescent="0.25">
      <c r="E9339" s="82" t="s">
        <v>10310</v>
      </c>
    </row>
    <row r="9340" spans="5:5" x14ac:dyDescent="0.25">
      <c r="E9340" s="82" t="s">
        <v>10311</v>
      </c>
    </row>
    <row r="9341" spans="5:5" x14ac:dyDescent="0.25">
      <c r="E9341" s="82" t="s">
        <v>10312</v>
      </c>
    </row>
    <row r="9342" spans="5:5" x14ac:dyDescent="0.25">
      <c r="E9342" s="82" t="s">
        <v>10313</v>
      </c>
    </row>
    <row r="9343" spans="5:5" x14ac:dyDescent="0.25">
      <c r="E9343" s="82" t="s">
        <v>10314</v>
      </c>
    </row>
    <row r="9344" spans="5:5" x14ac:dyDescent="0.25">
      <c r="E9344" s="82" t="s">
        <v>10315</v>
      </c>
    </row>
    <row r="9345" spans="5:5" x14ac:dyDescent="0.25">
      <c r="E9345" s="82" t="s">
        <v>10316</v>
      </c>
    </row>
    <row r="9346" spans="5:5" x14ac:dyDescent="0.25">
      <c r="E9346" s="82" t="s">
        <v>10317</v>
      </c>
    </row>
    <row r="9347" spans="5:5" x14ac:dyDescent="0.25">
      <c r="E9347" s="82" t="s">
        <v>10318</v>
      </c>
    </row>
    <row r="9348" spans="5:5" x14ac:dyDescent="0.25">
      <c r="E9348" s="82" t="s">
        <v>10319</v>
      </c>
    </row>
    <row r="9349" spans="5:5" x14ac:dyDescent="0.25">
      <c r="E9349" s="82" t="s">
        <v>10320</v>
      </c>
    </row>
    <row r="9350" spans="5:5" x14ac:dyDescent="0.25">
      <c r="E9350" s="82" t="s">
        <v>10321</v>
      </c>
    </row>
    <row r="9351" spans="5:5" x14ac:dyDescent="0.25">
      <c r="E9351" s="82" t="s">
        <v>10322</v>
      </c>
    </row>
    <row r="9352" spans="5:5" x14ac:dyDescent="0.25">
      <c r="E9352" s="82" t="s">
        <v>10323</v>
      </c>
    </row>
    <row r="9353" spans="5:5" x14ac:dyDescent="0.25">
      <c r="E9353" s="82" t="s">
        <v>10324</v>
      </c>
    </row>
    <row r="9354" spans="5:5" x14ac:dyDescent="0.25">
      <c r="E9354" s="82" t="s">
        <v>10325</v>
      </c>
    </row>
    <row r="9355" spans="5:5" x14ac:dyDescent="0.25">
      <c r="E9355" s="82" t="s">
        <v>10326</v>
      </c>
    </row>
    <row r="9356" spans="5:5" x14ac:dyDescent="0.25">
      <c r="E9356" s="82" t="s">
        <v>10327</v>
      </c>
    </row>
    <row r="9357" spans="5:5" x14ac:dyDescent="0.25">
      <c r="E9357" s="82" t="s">
        <v>10328</v>
      </c>
    </row>
    <row r="9358" spans="5:5" x14ac:dyDescent="0.25">
      <c r="E9358" s="82" t="s">
        <v>10329</v>
      </c>
    </row>
    <row r="9359" spans="5:5" x14ac:dyDescent="0.25">
      <c r="E9359" s="82" t="s">
        <v>10330</v>
      </c>
    </row>
    <row r="9360" spans="5:5" x14ac:dyDescent="0.25">
      <c r="E9360" s="82" t="s">
        <v>10331</v>
      </c>
    </row>
    <row r="9361" spans="5:5" x14ac:dyDescent="0.25">
      <c r="E9361" s="82" t="s">
        <v>10332</v>
      </c>
    </row>
    <row r="9362" spans="5:5" x14ac:dyDescent="0.25">
      <c r="E9362" s="82" t="s">
        <v>10333</v>
      </c>
    </row>
    <row r="9363" spans="5:5" x14ac:dyDescent="0.25">
      <c r="E9363" s="82" t="s">
        <v>10334</v>
      </c>
    </row>
    <row r="9364" spans="5:5" x14ac:dyDescent="0.25">
      <c r="E9364" s="82" t="s">
        <v>10335</v>
      </c>
    </row>
    <row r="9365" spans="5:5" x14ac:dyDescent="0.25">
      <c r="E9365" s="82" t="s">
        <v>10336</v>
      </c>
    </row>
    <row r="9366" spans="5:5" x14ac:dyDescent="0.25">
      <c r="E9366" s="82" t="s">
        <v>10337</v>
      </c>
    </row>
    <row r="9367" spans="5:5" x14ac:dyDescent="0.25">
      <c r="E9367" s="82" t="s">
        <v>10338</v>
      </c>
    </row>
    <row r="9368" spans="5:5" x14ac:dyDescent="0.25">
      <c r="E9368" s="82" t="s">
        <v>10339</v>
      </c>
    </row>
    <row r="9369" spans="5:5" x14ac:dyDescent="0.25">
      <c r="E9369" s="82" t="s">
        <v>10340</v>
      </c>
    </row>
    <row r="9370" spans="5:5" x14ac:dyDescent="0.25">
      <c r="E9370" s="82" t="s">
        <v>10341</v>
      </c>
    </row>
    <row r="9371" spans="5:5" x14ac:dyDescent="0.25">
      <c r="E9371" s="82" t="s">
        <v>10342</v>
      </c>
    </row>
    <row r="9372" spans="5:5" x14ac:dyDescent="0.25">
      <c r="E9372" s="82" t="s">
        <v>10343</v>
      </c>
    </row>
    <row r="9373" spans="5:5" x14ac:dyDescent="0.25">
      <c r="E9373" s="82" t="s">
        <v>10344</v>
      </c>
    </row>
    <row r="9374" spans="5:5" x14ac:dyDescent="0.25">
      <c r="E9374" s="82" t="s">
        <v>10345</v>
      </c>
    </row>
    <row r="9375" spans="5:5" x14ac:dyDescent="0.25">
      <c r="E9375" s="82" t="s">
        <v>10346</v>
      </c>
    </row>
    <row r="9376" spans="5:5" x14ac:dyDescent="0.25">
      <c r="E9376" s="82" t="s">
        <v>10347</v>
      </c>
    </row>
    <row r="9377" spans="5:5" x14ac:dyDescent="0.25">
      <c r="E9377" s="82" t="s">
        <v>10348</v>
      </c>
    </row>
    <row r="9378" spans="5:5" x14ac:dyDescent="0.25">
      <c r="E9378" s="82" t="s">
        <v>10349</v>
      </c>
    </row>
    <row r="9379" spans="5:5" x14ac:dyDescent="0.25">
      <c r="E9379" s="82" t="s">
        <v>10350</v>
      </c>
    </row>
    <row r="9380" spans="5:5" x14ac:dyDescent="0.25">
      <c r="E9380" s="82" t="s">
        <v>10351</v>
      </c>
    </row>
    <row r="9381" spans="5:5" x14ac:dyDescent="0.25">
      <c r="E9381" s="82" t="s">
        <v>10352</v>
      </c>
    </row>
    <row r="9382" spans="5:5" x14ac:dyDescent="0.25">
      <c r="E9382" s="82" t="s">
        <v>10353</v>
      </c>
    </row>
    <row r="9383" spans="5:5" x14ac:dyDescent="0.25">
      <c r="E9383" s="82" t="s">
        <v>10354</v>
      </c>
    </row>
    <row r="9384" spans="5:5" x14ac:dyDescent="0.25">
      <c r="E9384" s="82" t="s">
        <v>10355</v>
      </c>
    </row>
    <row r="9385" spans="5:5" x14ac:dyDescent="0.25">
      <c r="E9385" s="82" t="s">
        <v>10356</v>
      </c>
    </row>
    <row r="9386" spans="5:5" x14ac:dyDescent="0.25">
      <c r="E9386" s="82" t="s">
        <v>10357</v>
      </c>
    </row>
    <row r="9387" spans="5:5" x14ac:dyDescent="0.25">
      <c r="E9387" s="82" t="s">
        <v>10358</v>
      </c>
    </row>
    <row r="9388" spans="5:5" x14ac:dyDescent="0.25">
      <c r="E9388" s="82" t="s">
        <v>10359</v>
      </c>
    </row>
    <row r="9389" spans="5:5" x14ac:dyDescent="0.25">
      <c r="E9389" s="82" t="s">
        <v>10360</v>
      </c>
    </row>
    <row r="9390" spans="5:5" x14ac:dyDescent="0.25">
      <c r="E9390" s="82" t="s">
        <v>10361</v>
      </c>
    </row>
    <row r="9391" spans="5:5" x14ac:dyDescent="0.25">
      <c r="E9391" s="82" t="s">
        <v>10362</v>
      </c>
    </row>
    <row r="9392" spans="5:5" x14ac:dyDescent="0.25">
      <c r="E9392" s="82" t="s">
        <v>10363</v>
      </c>
    </row>
    <row r="9393" spans="5:5" x14ac:dyDescent="0.25">
      <c r="E9393" s="82" t="s">
        <v>10364</v>
      </c>
    </row>
    <row r="9394" spans="5:5" x14ac:dyDescent="0.25">
      <c r="E9394" s="82" t="s">
        <v>10365</v>
      </c>
    </row>
    <row r="9395" spans="5:5" x14ac:dyDescent="0.25">
      <c r="E9395" s="82" t="s">
        <v>10366</v>
      </c>
    </row>
    <row r="9396" spans="5:5" x14ac:dyDescent="0.25">
      <c r="E9396" s="82" t="s">
        <v>10367</v>
      </c>
    </row>
    <row r="9397" spans="5:5" x14ac:dyDescent="0.25">
      <c r="E9397" s="82" t="s">
        <v>10368</v>
      </c>
    </row>
    <row r="9398" spans="5:5" x14ac:dyDescent="0.25">
      <c r="E9398" s="82" t="s">
        <v>10369</v>
      </c>
    </row>
    <row r="9399" spans="5:5" x14ac:dyDescent="0.25">
      <c r="E9399" s="82" t="s">
        <v>10370</v>
      </c>
    </row>
    <row r="9400" spans="5:5" x14ac:dyDescent="0.25">
      <c r="E9400" s="82" t="s">
        <v>10371</v>
      </c>
    </row>
    <row r="9401" spans="5:5" x14ac:dyDescent="0.25">
      <c r="E9401" s="82" t="s">
        <v>10372</v>
      </c>
    </row>
    <row r="9402" spans="5:5" x14ac:dyDescent="0.25">
      <c r="E9402" s="82" t="s">
        <v>10373</v>
      </c>
    </row>
    <row r="9403" spans="5:5" x14ac:dyDescent="0.25">
      <c r="E9403" s="82" t="s">
        <v>10374</v>
      </c>
    </row>
    <row r="9404" spans="5:5" x14ac:dyDescent="0.25">
      <c r="E9404" s="82" t="s">
        <v>10375</v>
      </c>
    </row>
    <row r="9405" spans="5:5" x14ac:dyDescent="0.25">
      <c r="E9405" s="82" t="s">
        <v>10376</v>
      </c>
    </row>
    <row r="9406" spans="5:5" x14ac:dyDescent="0.25">
      <c r="E9406" s="82" t="s">
        <v>10377</v>
      </c>
    </row>
    <row r="9407" spans="5:5" x14ac:dyDescent="0.25">
      <c r="E9407" s="82" t="s">
        <v>10378</v>
      </c>
    </row>
    <row r="9408" spans="5:5" x14ac:dyDescent="0.25">
      <c r="E9408" s="82" t="s">
        <v>10379</v>
      </c>
    </row>
    <row r="9409" spans="5:5" x14ac:dyDescent="0.25">
      <c r="E9409" s="82" t="s">
        <v>10380</v>
      </c>
    </row>
    <row r="9410" spans="5:5" x14ac:dyDescent="0.25">
      <c r="E9410" s="82" t="s">
        <v>10381</v>
      </c>
    </row>
    <row r="9411" spans="5:5" x14ac:dyDescent="0.25">
      <c r="E9411" s="82" t="s">
        <v>10382</v>
      </c>
    </row>
    <row r="9412" spans="5:5" x14ac:dyDescent="0.25">
      <c r="E9412" s="82" t="s">
        <v>10383</v>
      </c>
    </row>
    <row r="9413" spans="5:5" x14ac:dyDescent="0.25">
      <c r="E9413" s="82" t="s">
        <v>10384</v>
      </c>
    </row>
    <row r="9414" spans="5:5" x14ac:dyDescent="0.25">
      <c r="E9414" s="82" t="s">
        <v>10385</v>
      </c>
    </row>
    <row r="9415" spans="5:5" x14ac:dyDescent="0.25">
      <c r="E9415" s="82" t="s">
        <v>10386</v>
      </c>
    </row>
    <row r="9416" spans="5:5" x14ac:dyDescent="0.25">
      <c r="E9416" s="82" t="s">
        <v>10387</v>
      </c>
    </row>
    <row r="9417" spans="5:5" x14ac:dyDescent="0.25">
      <c r="E9417" s="82" t="s">
        <v>10388</v>
      </c>
    </row>
    <row r="9418" spans="5:5" x14ac:dyDescent="0.25">
      <c r="E9418" s="82" t="s">
        <v>10389</v>
      </c>
    </row>
    <row r="9419" spans="5:5" x14ac:dyDescent="0.25">
      <c r="E9419" s="82" t="s">
        <v>10390</v>
      </c>
    </row>
    <row r="9420" spans="5:5" x14ac:dyDescent="0.25">
      <c r="E9420" s="82" t="s">
        <v>10391</v>
      </c>
    </row>
    <row r="9421" spans="5:5" x14ac:dyDescent="0.25">
      <c r="E9421" s="82" t="s">
        <v>10392</v>
      </c>
    </row>
    <row r="9422" spans="5:5" x14ac:dyDescent="0.25">
      <c r="E9422" s="82" t="s">
        <v>10393</v>
      </c>
    </row>
    <row r="9423" spans="5:5" x14ac:dyDescent="0.25">
      <c r="E9423" s="82" t="s">
        <v>10394</v>
      </c>
    </row>
    <row r="9424" spans="5:5" x14ac:dyDescent="0.25">
      <c r="E9424" s="82" t="s">
        <v>10395</v>
      </c>
    </row>
    <row r="9425" spans="5:5" x14ac:dyDescent="0.25">
      <c r="E9425" s="82" t="s">
        <v>10396</v>
      </c>
    </row>
    <row r="9426" spans="5:5" x14ac:dyDescent="0.25">
      <c r="E9426" s="82" t="s">
        <v>10397</v>
      </c>
    </row>
    <row r="9427" spans="5:5" x14ac:dyDescent="0.25">
      <c r="E9427" s="82" t="s">
        <v>10398</v>
      </c>
    </row>
    <row r="9428" spans="5:5" x14ac:dyDescent="0.25">
      <c r="E9428" s="82" t="s">
        <v>10399</v>
      </c>
    </row>
    <row r="9429" spans="5:5" x14ac:dyDescent="0.25">
      <c r="E9429" s="82" t="s">
        <v>10400</v>
      </c>
    </row>
    <row r="9430" spans="5:5" x14ac:dyDescent="0.25">
      <c r="E9430" s="82" t="s">
        <v>10401</v>
      </c>
    </row>
    <row r="9431" spans="5:5" x14ac:dyDescent="0.25">
      <c r="E9431" s="82" t="s">
        <v>10402</v>
      </c>
    </row>
    <row r="9432" spans="5:5" x14ac:dyDescent="0.25">
      <c r="E9432" s="82" t="s">
        <v>10403</v>
      </c>
    </row>
    <row r="9433" spans="5:5" x14ac:dyDescent="0.25">
      <c r="E9433" s="82" t="s">
        <v>10404</v>
      </c>
    </row>
    <row r="9434" spans="5:5" x14ac:dyDescent="0.25">
      <c r="E9434" s="82" t="s">
        <v>10405</v>
      </c>
    </row>
    <row r="9435" spans="5:5" x14ac:dyDescent="0.25">
      <c r="E9435" s="82" t="s">
        <v>10406</v>
      </c>
    </row>
    <row r="9436" spans="5:5" x14ac:dyDescent="0.25">
      <c r="E9436" s="82" t="s">
        <v>10407</v>
      </c>
    </row>
    <row r="9437" spans="5:5" x14ac:dyDescent="0.25">
      <c r="E9437" s="82" t="s">
        <v>10408</v>
      </c>
    </row>
    <row r="9438" spans="5:5" x14ac:dyDescent="0.25">
      <c r="E9438" s="82" t="s">
        <v>10409</v>
      </c>
    </row>
    <row r="9439" spans="5:5" x14ac:dyDescent="0.25">
      <c r="E9439" s="82" t="s">
        <v>10410</v>
      </c>
    </row>
    <row r="9440" spans="5:5" x14ac:dyDescent="0.25">
      <c r="E9440" s="82" t="s">
        <v>10411</v>
      </c>
    </row>
    <row r="9441" spans="5:5" x14ac:dyDescent="0.25">
      <c r="E9441" s="82" t="s">
        <v>10412</v>
      </c>
    </row>
    <row r="9442" spans="5:5" x14ac:dyDescent="0.25">
      <c r="E9442" s="82" t="s">
        <v>10413</v>
      </c>
    </row>
    <row r="9443" spans="5:5" x14ac:dyDescent="0.25">
      <c r="E9443" s="82" t="s">
        <v>10414</v>
      </c>
    </row>
    <row r="9444" spans="5:5" x14ac:dyDescent="0.25">
      <c r="E9444" s="82" t="s">
        <v>10415</v>
      </c>
    </row>
    <row r="9445" spans="5:5" x14ac:dyDescent="0.25">
      <c r="E9445" s="82" t="s">
        <v>10416</v>
      </c>
    </row>
    <row r="9446" spans="5:5" x14ac:dyDescent="0.25">
      <c r="E9446" s="82" t="s">
        <v>10417</v>
      </c>
    </row>
    <row r="9447" spans="5:5" x14ac:dyDescent="0.25">
      <c r="E9447" s="82" t="s">
        <v>10418</v>
      </c>
    </row>
    <row r="9448" spans="5:5" x14ac:dyDescent="0.25">
      <c r="E9448" s="82" t="s">
        <v>10419</v>
      </c>
    </row>
    <row r="9449" spans="5:5" x14ac:dyDescent="0.25">
      <c r="E9449" s="82" t="s">
        <v>10420</v>
      </c>
    </row>
    <row r="9450" spans="5:5" x14ac:dyDescent="0.25">
      <c r="E9450" s="82" t="s">
        <v>10421</v>
      </c>
    </row>
    <row r="9451" spans="5:5" x14ac:dyDescent="0.25">
      <c r="E9451" s="82" t="s">
        <v>10422</v>
      </c>
    </row>
    <row r="9452" spans="5:5" x14ac:dyDescent="0.25">
      <c r="E9452" s="82" t="s">
        <v>10423</v>
      </c>
    </row>
    <row r="9453" spans="5:5" x14ac:dyDescent="0.25">
      <c r="E9453" s="82" t="s">
        <v>10424</v>
      </c>
    </row>
    <row r="9454" spans="5:5" x14ac:dyDescent="0.25">
      <c r="E9454" s="82" t="s">
        <v>10425</v>
      </c>
    </row>
    <row r="9455" spans="5:5" x14ac:dyDescent="0.25">
      <c r="E9455" s="82" t="s">
        <v>10426</v>
      </c>
    </row>
    <row r="9456" spans="5:5" x14ac:dyDescent="0.25">
      <c r="E9456" s="82" t="s">
        <v>10427</v>
      </c>
    </row>
    <row r="9457" spans="5:5" x14ac:dyDescent="0.25">
      <c r="E9457" s="82" t="s">
        <v>10428</v>
      </c>
    </row>
    <row r="9458" spans="5:5" x14ac:dyDescent="0.25">
      <c r="E9458" s="82" t="s">
        <v>10429</v>
      </c>
    </row>
    <row r="9459" spans="5:5" x14ac:dyDescent="0.25">
      <c r="E9459" s="82" t="s">
        <v>10430</v>
      </c>
    </row>
    <row r="9460" spans="5:5" x14ac:dyDescent="0.25">
      <c r="E9460" s="82" t="s">
        <v>10431</v>
      </c>
    </row>
    <row r="9461" spans="5:5" x14ac:dyDescent="0.25">
      <c r="E9461" s="82" t="s">
        <v>10432</v>
      </c>
    </row>
    <row r="9462" spans="5:5" x14ac:dyDescent="0.25">
      <c r="E9462" s="82" t="s">
        <v>10433</v>
      </c>
    </row>
    <row r="9463" spans="5:5" x14ac:dyDescent="0.25">
      <c r="E9463" s="82" t="s">
        <v>10434</v>
      </c>
    </row>
    <row r="9464" spans="5:5" x14ac:dyDescent="0.25">
      <c r="E9464" s="82" t="s">
        <v>10435</v>
      </c>
    </row>
    <row r="9465" spans="5:5" x14ac:dyDescent="0.25">
      <c r="E9465" s="82" t="s">
        <v>10436</v>
      </c>
    </row>
    <row r="9466" spans="5:5" x14ac:dyDescent="0.25">
      <c r="E9466" s="82" t="s">
        <v>10437</v>
      </c>
    </row>
    <row r="9467" spans="5:5" x14ac:dyDescent="0.25">
      <c r="E9467" s="82" t="s">
        <v>10438</v>
      </c>
    </row>
    <row r="9468" spans="5:5" x14ac:dyDescent="0.25">
      <c r="E9468" s="82" t="s">
        <v>10439</v>
      </c>
    </row>
    <row r="9469" spans="5:5" x14ac:dyDescent="0.25">
      <c r="E9469" s="82" t="s">
        <v>10440</v>
      </c>
    </row>
    <row r="9470" spans="5:5" x14ac:dyDescent="0.25">
      <c r="E9470" s="82" t="s">
        <v>10441</v>
      </c>
    </row>
    <row r="9471" spans="5:5" x14ac:dyDescent="0.25">
      <c r="E9471" s="82" t="s">
        <v>10442</v>
      </c>
    </row>
    <row r="9472" spans="5:5" x14ac:dyDescent="0.25">
      <c r="E9472" s="82" t="s">
        <v>10443</v>
      </c>
    </row>
    <row r="9473" spans="5:5" x14ac:dyDescent="0.25">
      <c r="E9473" s="82" t="s">
        <v>10444</v>
      </c>
    </row>
    <row r="9474" spans="5:5" x14ac:dyDescent="0.25">
      <c r="E9474" s="82" t="s">
        <v>10445</v>
      </c>
    </row>
    <row r="9475" spans="5:5" x14ac:dyDescent="0.25">
      <c r="E9475" s="82" t="s">
        <v>10446</v>
      </c>
    </row>
    <row r="9476" spans="5:5" x14ac:dyDescent="0.25">
      <c r="E9476" s="82" t="s">
        <v>10447</v>
      </c>
    </row>
    <row r="9477" spans="5:5" x14ac:dyDescent="0.25">
      <c r="E9477" s="82" t="s">
        <v>10448</v>
      </c>
    </row>
    <row r="9478" spans="5:5" x14ac:dyDescent="0.25">
      <c r="E9478" s="82" t="s">
        <v>10449</v>
      </c>
    </row>
    <row r="9479" spans="5:5" x14ac:dyDescent="0.25">
      <c r="E9479" s="82" t="s">
        <v>10450</v>
      </c>
    </row>
    <row r="9480" spans="5:5" x14ac:dyDescent="0.25">
      <c r="E9480" s="82" t="s">
        <v>10451</v>
      </c>
    </row>
    <row r="9481" spans="5:5" x14ac:dyDescent="0.25">
      <c r="E9481" s="82" t="s">
        <v>10452</v>
      </c>
    </row>
    <row r="9482" spans="5:5" x14ac:dyDescent="0.25">
      <c r="E9482" s="82" t="s">
        <v>10453</v>
      </c>
    </row>
    <row r="9483" spans="5:5" x14ac:dyDescent="0.25">
      <c r="E9483" s="82" t="s">
        <v>10454</v>
      </c>
    </row>
    <row r="9484" spans="5:5" x14ac:dyDescent="0.25">
      <c r="E9484" s="82" t="s">
        <v>10455</v>
      </c>
    </row>
    <row r="9485" spans="5:5" x14ac:dyDescent="0.25">
      <c r="E9485" s="82" t="s">
        <v>10456</v>
      </c>
    </row>
    <row r="9486" spans="5:5" x14ac:dyDescent="0.25">
      <c r="E9486" s="82" t="s">
        <v>10457</v>
      </c>
    </row>
    <row r="9487" spans="5:5" x14ac:dyDescent="0.25">
      <c r="E9487" s="82" t="s">
        <v>10458</v>
      </c>
    </row>
    <row r="9488" spans="5:5" x14ac:dyDescent="0.25">
      <c r="E9488" s="82" t="s">
        <v>10459</v>
      </c>
    </row>
    <row r="9489" spans="5:5" x14ac:dyDescent="0.25">
      <c r="E9489" s="82" t="s">
        <v>10460</v>
      </c>
    </row>
    <row r="9490" spans="5:5" x14ac:dyDescent="0.25">
      <c r="E9490" s="82" t="s">
        <v>10461</v>
      </c>
    </row>
    <row r="9491" spans="5:5" x14ac:dyDescent="0.25">
      <c r="E9491" s="82" t="s">
        <v>10462</v>
      </c>
    </row>
    <row r="9492" spans="5:5" x14ac:dyDescent="0.25">
      <c r="E9492" s="82" t="s">
        <v>10463</v>
      </c>
    </row>
    <row r="9493" spans="5:5" x14ac:dyDescent="0.25">
      <c r="E9493" s="82" t="s">
        <v>10464</v>
      </c>
    </row>
    <row r="9494" spans="5:5" x14ac:dyDescent="0.25">
      <c r="E9494" s="82" t="s">
        <v>10465</v>
      </c>
    </row>
    <row r="9495" spans="5:5" x14ac:dyDescent="0.25">
      <c r="E9495" s="82" t="s">
        <v>10466</v>
      </c>
    </row>
    <row r="9496" spans="5:5" x14ac:dyDescent="0.25">
      <c r="E9496" s="82" t="s">
        <v>10467</v>
      </c>
    </row>
    <row r="9497" spans="5:5" x14ac:dyDescent="0.25">
      <c r="E9497" s="82" t="s">
        <v>10468</v>
      </c>
    </row>
    <row r="9498" spans="5:5" x14ac:dyDescent="0.25">
      <c r="E9498" s="82" t="s">
        <v>10469</v>
      </c>
    </row>
    <row r="9499" spans="5:5" x14ac:dyDescent="0.25">
      <c r="E9499" s="82" t="s">
        <v>10470</v>
      </c>
    </row>
    <row r="9500" spans="5:5" x14ac:dyDescent="0.25">
      <c r="E9500" s="82" t="s">
        <v>10471</v>
      </c>
    </row>
    <row r="9501" spans="5:5" x14ac:dyDescent="0.25">
      <c r="E9501" s="82" t="s">
        <v>10472</v>
      </c>
    </row>
    <row r="9502" spans="5:5" x14ac:dyDescent="0.25">
      <c r="E9502" s="82" t="s">
        <v>10473</v>
      </c>
    </row>
    <row r="9503" spans="5:5" x14ac:dyDescent="0.25">
      <c r="E9503" s="82" t="s">
        <v>10474</v>
      </c>
    </row>
    <row r="9504" spans="5:5" x14ac:dyDescent="0.25">
      <c r="E9504" s="82" t="s">
        <v>10475</v>
      </c>
    </row>
    <row r="9505" spans="5:5" x14ac:dyDescent="0.25">
      <c r="E9505" s="82" t="s">
        <v>10476</v>
      </c>
    </row>
    <row r="9506" spans="5:5" x14ac:dyDescent="0.25">
      <c r="E9506" s="82" t="s">
        <v>10477</v>
      </c>
    </row>
    <row r="9507" spans="5:5" x14ac:dyDescent="0.25">
      <c r="E9507" s="82" t="s">
        <v>10478</v>
      </c>
    </row>
    <row r="9508" spans="5:5" x14ac:dyDescent="0.25">
      <c r="E9508" s="82" t="s">
        <v>10479</v>
      </c>
    </row>
    <row r="9509" spans="5:5" x14ac:dyDescent="0.25">
      <c r="E9509" s="82" t="s">
        <v>10480</v>
      </c>
    </row>
    <row r="9510" spans="5:5" x14ac:dyDescent="0.25">
      <c r="E9510" s="82" t="s">
        <v>10481</v>
      </c>
    </row>
    <row r="9511" spans="5:5" x14ac:dyDescent="0.25">
      <c r="E9511" s="82" t="s">
        <v>10482</v>
      </c>
    </row>
    <row r="9512" spans="5:5" x14ac:dyDescent="0.25">
      <c r="E9512" s="82" t="s">
        <v>10483</v>
      </c>
    </row>
    <row r="9513" spans="5:5" x14ac:dyDescent="0.25">
      <c r="E9513" s="82" t="s">
        <v>10484</v>
      </c>
    </row>
    <row r="9514" spans="5:5" x14ac:dyDescent="0.25">
      <c r="E9514" s="82" t="s">
        <v>10485</v>
      </c>
    </row>
    <row r="9515" spans="5:5" x14ac:dyDescent="0.25">
      <c r="E9515" s="82" t="s">
        <v>10486</v>
      </c>
    </row>
    <row r="9516" spans="5:5" x14ac:dyDescent="0.25">
      <c r="E9516" s="82" t="s">
        <v>10487</v>
      </c>
    </row>
    <row r="9517" spans="5:5" x14ac:dyDescent="0.25">
      <c r="E9517" s="82" t="s">
        <v>10488</v>
      </c>
    </row>
    <row r="9518" spans="5:5" x14ac:dyDescent="0.25">
      <c r="E9518" s="82" t="s">
        <v>10489</v>
      </c>
    </row>
    <row r="9519" spans="5:5" x14ac:dyDescent="0.25">
      <c r="E9519" s="82" t="s">
        <v>10490</v>
      </c>
    </row>
    <row r="9520" spans="5:5" x14ac:dyDescent="0.25">
      <c r="E9520" s="82" t="s">
        <v>10491</v>
      </c>
    </row>
    <row r="9521" spans="5:5" x14ac:dyDescent="0.25">
      <c r="E9521" s="82" t="s">
        <v>10492</v>
      </c>
    </row>
    <row r="9522" spans="5:5" x14ac:dyDescent="0.25">
      <c r="E9522" s="82" t="s">
        <v>10493</v>
      </c>
    </row>
    <row r="9523" spans="5:5" x14ac:dyDescent="0.25">
      <c r="E9523" s="82" t="s">
        <v>10494</v>
      </c>
    </row>
    <row r="9524" spans="5:5" x14ac:dyDescent="0.25">
      <c r="E9524" s="82" t="s">
        <v>10495</v>
      </c>
    </row>
    <row r="9525" spans="5:5" x14ac:dyDescent="0.25">
      <c r="E9525" s="82" t="s">
        <v>10496</v>
      </c>
    </row>
    <row r="9526" spans="5:5" x14ac:dyDescent="0.25">
      <c r="E9526" s="82" t="s">
        <v>10497</v>
      </c>
    </row>
    <row r="9527" spans="5:5" x14ac:dyDescent="0.25">
      <c r="E9527" s="82" t="s">
        <v>10498</v>
      </c>
    </row>
    <row r="9528" spans="5:5" x14ac:dyDescent="0.25">
      <c r="E9528" s="82" t="s">
        <v>10499</v>
      </c>
    </row>
    <row r="9529" spans="5:5" x14ac:dyDescent="0.25">
      <c r="E9529" s="82" t="s">
        <v>10500</v>
      </c>
    </row>
    <row r="9530" spans="5:5" x14ac:dyDescent="0.25">
      <c r="E9530" s="82" t="s">
        <v>10501</v>
      </c>
    </row>
    <row r="9531" spans="5:5" x14ac:dyDescent="0.25">
      <c r="E9531" s="82" t="s">
        <v>10502</v>
      </c>
    </row>
    <row r="9532" spans="5:5" x14ac:dyDescent="0.25">
      <c r="E9532" s="82" t="s">
        <v>10503</v>
      </c>
    </row>
    <row r="9533" spans="5:5" x14ac:dyDescent="0.25">
      <c r="E9533" s="82" t="s">
        <v>10504</v>
      </c>
    </row>
    <row r="9534" spans="5:5" x14ac:dyDescent="0.25">
      <c r="E9534" s="82" t="s">
        <v>10505</v>
      </c>
    </row>
    <row r="9535" spans="5:5" x14ac:dyDescent="0.25">
      <c r="E9535" s="82" t="s">
        <v>10506</v>
      </c>
    </row>
    <row r="9536" spans="5:5" x14ac:dyDescent="0.25">
      <c r="E9536" s="82" t="s">
        <v>10507</v>
      </c>
    </row>
    <row r="9537" spans="5:5" x14ac:dyDescent="0.25">
      <c r="E9537" s="82" t="s">
        <v>10508</v>
      </c>
    </row>
    <row r="9538" spans="5:5" x14ac:dyDescent="0.25">
      <c r="E9538" s="82" t="s">
        <v>10509</v>
      </c>
    </row>
    <row r="9539" spans="5:5" x14ac:dyDescent="0.25">
      <c r="E9539" s="82" t="s">
        <v>10510</v>
      </c>
    </row>
    <row r="9540" spans="5:5" x14ac:dyDescent="0.25">
      <c r="E9540" s="82" t="s">
        <v>10511</v>
      </c>
    </row>
    <row r="9541" spans="5:5" x14ac:dyDescent="0.25">
      <c r="E9541" s="82" t="s">
        <v>10512</v>
      </c>
    </row>
    <row r="9542" spans="5:5" x14ac:dyDescent="0.25">
      <c r="E9542" s="82" t="s">
        <v>10513</v>
      </c>
    </row>
    <row r="9543" spans="5:5" x14ac:dyDescent="0.25">
      <c r="E9543" s="82" t="s">
        <v>10514</v>
      </c>
    </row>
    <row r="9544" spans="5:5" x14ac:dyDescent="0.25">
      <c r="E9544" s="82" t="s">
        <v>10515</v>
      </c>
    </row>
    <row r="9545" spans="5:5" x14ac:dyDescent="0.25">
      <c r="E9545" s="82" t="s">
        <v>10516</v>
      </c>
    </row>
    <row r="9546" spans="5:5" x14ac:dyDescent="0.25">
      <c r="E9546" s="82" t="s">
        <v>10517</v>
      </c>
    </row>
    <row r="9547" spans="5:5" x14ac:dyDescent="0.25">
      <c r="E9547" s="82" t="s">
        <v>10518</v>
      </c>
    </row>
    <row r="9548" spans="5:5" x14ac:dyDescent="0.25">
      <c r="E9548" s="82" t="s">
        <v>10519</v>
      </c>
    </row>
    <row r="9549" spans="5:5" x14ac:dyDescent="0.25">
      <c r="E9549" s="82" t="s">
        <v>10520</v>
      </c>
    </row>
    <row r="9550" spans="5:5" x14ac:dyDescent="0.25">
      <c r="E9550" s="82" t="s">
        <v>10521</v>
      </c>
    </row>
    <row r="9551" spans="5:5" x14ac:dyDescent="0.25">
      <c r="E9551" s="82" t="s">
        <v>10522</v>
      </c>
    </row>
    <row r="9552" spans="5:5" x14ac:dyDescent="0.25">
      <c r="E9552" s="82" t="s">
        <v>10523</v>
      </c>
    </row>
    <row r="9553" spans="5:5" x14ac:dyDescent="0.25">
      <c r="E9553" s="82" t="s">
        <v>10524</v>
      </c>
    </row>
    <row r="9554" spans="5:5" x14ac:dyDescent="0.25">
      <c r="E9554" s="82" t="s">
        <v>10525</v>
      </c>
    </row>
    <row r="9555" spans="5:5" x14ac:dyDescent="0.25">
      <c r="E9555" s="82" t="s">
        <v>10526</v>
      </c>
    </row>
    <row r="9556" spans="5:5" x14ac:dyDescent="0.25">
      <c r="E9556" s="82" t="s">
        <v>10527</v>
      </c>
    </row>
    <row r="9557" spans="5:5" x14ac:dyDescent="0.25">
      <c r="E9557" s="82" t="s">
        <v>10528</v>
      </c>
    </row>
    <row r="9558" spans="5:5" x14ac:dyDescent="0.25">
      <c r="E9558" s="82" t="s">
        <v>10529</v>
      </c>
    </row>
    <row r="9559" spans="5:5" x14ac:dyDescent="0.25">
      <c r="E9559" s="82" t="s">
        <v>10530</v>
      </c>
    </row>
    <row r="9560" spans="5:5" x14ac:dyDescent="0.25">
      <c r="E9560" s="82" t="s">
        <v>10531</v>
      </c>
    </row>
    <row r="9561" spans="5:5" x14ac:dyDescent="0.25">
      <c r="E9561" s="82" t="s">
        <v>10532</v>
      </c>
    </row>
    <row r="9562" spans="5:5" x14ac:dyDescent="0.25">
      <c r="E9562" s="82" t="s">
        <v>10533</v>
      </c>
    </row>
    <row r="9563" spans="5:5" x14ac:dyDescent="0.25">
      <c r="E9563" s="82" t="s">
        <v>10534</v>
      </c>
    </row>
    <row r="9564" spans="5:5" x14ac:dyDescent="0.25">
      <c r="E9564" s="82" t="s">
        <v>10535</v>
      </c>
    </row>
    <row r="9565" spans="5:5" x14ac:dyDescent="0.25">
      <c r="E9565" s="82" t="s">
        <v>10536</v>
      </c>
    </row>
    <row r="9566" spans="5:5" x14ac:dyDescent="0.25">
      <c r="E9566" s="82" t="s">
        <v>10537</v>
      </c>
    </row>
    <row r="9567" spans="5:5" x14ac:dyDescent="0.25">
      <c r="E9567" s="82" t="s">
        <v>10538</v>
      </c>
    </row>
    <row r="9568" spans="5:5" x14ac:dyDescent="0.25">
      <c r="E9568" s="82" t="s">
        <v>10539</v>
      </c>
    </row>
    <row r="9569" spans="5:5" x14ac:dyDescent="0.25">
      <c r="E9569" s="82" t="s">
        <v>10540</v>
      </c>
    </row>
    <row r="9570" spans="5:5" x14ac:dyDescent="0.25">
      <c r="E9570" s="82" t="s">
        <v>10541</v>
      </c>
    </row>
    <row r="9571" spans="5:5" x14ac:dyDescent="0.25">
      <c r="E9571" s="82" t="s">
        <v>10542</v>
      </c>
    </row>
    <row r="9572" spans="5:5" x14ac:dyDescent="0.25">
      <c r="E9572" s="82" t="s">
        <v>10543</v>
      </c>
    </row>
    <row r="9573" spans="5:5" x14ac:dyDescent="0.25">
      <c r="E9573" s="82" t="s">
        <v>10544</v>
      </c>
    </row>
    <row r="9574" spans="5:5" x14ac:dyDescent="0.25">
      <c r="E9574" s="82" t="s">
        <v>10545</v>
      </c>
    </row>
    <row r="9575" spans="5:5" x14ac:dyDescent="0.25">
      <c r="E9575" s="82" t="s">
        <v>10546</v>
      </c>
    </row>
    <row r="9576" spans="5:5" x14ac:dyDescent="0.25">
      <c r="E9576" s="82" t="s">
        <v>10547</v>
      </c>
    </row>
    <row r="9577" spans="5:5" x14ac:dyDescent="0.25">
      <c r="E9577" s="82" t="s">
        <v>10548</v>
      </c>
    </row>
    <row r="9578" spans="5:5" x14ac:dyDescent="0.25">
      <c r="E9578" s="82" t="s">
        <v>10549</v>
      </c>
    </row>
    <row r="9579" spans="5:5" x14ac:dyDescent="0.25">
      <c r="E9579" s="82" t="s">
        <v>10550</v>
      </c>
    </row>
    <row r="9580" spans="5:5" x14ac:dyDescent="0.25">
      <c r="E9580" s="82" t="s">
        <v>10551</v>
      </c>
    </row>
    <row r="9581" spans="5:5" x14ac:dyDescent="0.25">
      <c r="E9581" s="82" t="s">
        <v>10552</v>
      </c>
    </row>
    <row r="9582" spans="5:5" x14ac:dyDescent="0.25">
      <c r="E9582" s="82" t="s">
        <v>10553</v>
      </c>
    </row>
    <row r="9583" spans="5:5" x14ac:dyDescent="0.25">
      <c r="E9583" s="82" t="s">
        <v>10554</v>
      </c>
    </row>
    <row r="9584" spans="5:5" x14ac:dyDescent="0.25">
      <c r="E9584" s="82" t="s">
        <v>10555</v>
      </c>
    </row>
    <row r="9585" spans="5:5" x14ac:dyDescent="0.25">
      <c r="E9585" s="82" t="s">
        <v>10556</v>
      </c>
    </row>
    <row r="9586" spans="5:5" x14ac:dyDescent="0.25">
      <c r="E9586" s="82" t="s">
        <v>10557</v>
      </c>
    </row>
    <row r="9587" spans="5:5" x14ac:dyDescent="0.25">
      <c r="E9587" s="82" t="s">
        <v>10558</v>
      </c>
    </row>
    <row r="9588" spans="5:5" x14ac:dyDescent="0.25">
      <c r="E9588" s="82" t="s">
        <v>10559</v>
      </c>
    </row>
    <row r="9589" spans="5:5" x14ac:dyDescent="0.25">
      <c r="E9589" s="82" t="s">
        <v>10560</v>
      </c>
    </row>
    <row r="9590" spans="5:5" x14ac:dyDescent="0.25">
      <c r="E9590" s="82" t="s">
        <v>10561</v>
      </c>
    </row>
    <row r="9591" spans="5:5" x14ac:dyDescent="0.25">
      <c r="E9591" s="82" t="s">
        <v>10562</v>
      </c>
    </row>
    <row r="9592" spans="5:5" x14ac:dyDescent="0.25">
      <c r="E9592" s="82" t="s">
        <v>10563</v>
      </c>
    </row>
    <row r="9593" spans="5:5" x14ac:dyDescent="0.25">
      <c r="E9593" s="82" t="s">
        <v>10564</v>
      </c>
    </row>
    <row r="9594" spans="5:5" x14ac:dyDescent="0.25">
      <c r="E9594" s="82" t="s">
        <v>10565</v>
      </c>
    </row>
    <row r="9595" spans="5:5" x14ac:dyDescent="0.25">
      <c r="E9595" s="82" t="s">
        <v>10566</v>
      </c>
    </row>
    <row r="9596" spans="5:5" x14ac:dyDescent="0.25">
      <c r="E9596" s="82" t="s">
        <v>10567</v>
      </c>
    </row>
    <row r="9597" spans="5:5" x14ac:dyDescent="0.25">
      <c r="E9597" s="82" t="s">
        <v>10568</v>
      </c>
    </row>
    <row r="9598" spans="5:5" x14ac:dyDescent="0.25">
      <c r="E9598" s="82" t="s">
        <v>10569</v>
      </c>
    </row>
    <row r="9599" spans="5:5" x14ac:dyDescent="0.25">
      <c r="E9599" s="82" t="s">
        <v>10570</v>
      </c>
    </row>
    <row r="9600" spans="5:5" x14ac:dyDescent="0.25">
      <c r="E9600" s="82" t="s">
        <v>10571</v>
      </c>
    </row>
    <row r="9601" spans="5:5" x14ac:dyDescent="0.25">
      <c r="E9601" s="82" t="s">
        <v>10572</v>
      </c>
    </row>
    <row r="9602" spans="5:5" x14ac:dyDescent="0.25">
      <c r="E9602" s="82" t="s">
        <v>10573</v>
      </c>
    </row>
    <row r="9603" spans="5:5" x14ac:dyDescent="0.25">
      <c r="E9603" s="82" t="s">
        <v>10574</v>
      </c>
    </row>
    <row r="9604" spans="5:5" x14ac:dyDescent="0.25">
      <c r="E9604" s="82" t="s">
        <v>10575</v>
      </c>
    </row>
    <row r="9605" spans="5:5" x14ac:dyDescent="0.25">
      <c r="E9605" s="82" t="s">
        <v>10576</v>
      </c>
    </row>
    <row r="9606" spans="5:5" x14ac:dyDescent="0.25">
      <c r="E9606" s="82" t="s">
        <v>10577</v>
      </c>
    </row>
    <row r="9607" spans="5:5" x14ac:dyDescent="0.25">
      <c r="E9607" s="82" t="s">
        <v>10578</v>
      </c>
    </row>
    <row r="9608" spans="5:5" x14ac:dyDescent="0.25">
      <c r="E9608" s="82" t="s">
        <v>10579</v>
      </c>
    </row>
    <row r="9609" spans="5:5" x14ac:dyDescent="0.25">
      <c r="E9609" s="82" t="s">
        <v>10580</v>
      </c>
    </row>
    <row r="9610" spans="5:5" x14ac:dyDescent="0.25">
      <c r="E9610" s="82" t="s">
        <v>10581</v>
      </c>
    </row>
    <row r="9611" spans="5:5" x14ac:dyDescent="0.25">
      <c r="E9611" s="82" t="s">
        <v>10582</v>
      </c>
    </row>
    <row r="9612" spans="5:5" x14ac:dyDescent="0.25">
      <c r="E9612" s="82" t="s">
        <v>10583</v>
      </c>
    </row>
    <row r="9613" spans="5:5" x14ac:dyDescent="0.25">
      <c r="E9613" s="82" t="s">
        <v>10584</v>
      </c>
    </row>
    <row r="9614" spans="5:5" x14ac:dyDescent="0.25">
      <c r="E9614" s="82" t="s">
        <v>10585</v>
      </c>
    </row>
    <row r="9615" spans="5:5" x14ac:dyDescent="0.25">
      <c r="E9615" s="82" t="s">
        <v>10586</v>
      </c>
    </row>
    <row r="9616" spans="5:5" x14ac:dyDescent="0.25">
      <c r="E9616" s="82" t="s">
        <v>10587</v>
      </c>
    </row>
    <row r="9617" spans="5:5" x14ac:dyDescent="0.25">
      <c r="E9617" s="82" t="s">
        <v>10588</v>
      </c>
    </row>
    <row r="9618" spans="5:5" x14ac:dyDescent="0.25">
      <c r="E9618" s="82" t="s">
        <v>10589</v>
      </c>
    </row>
    <row r="9619" spans="5:5" x14ac:dyDescent="0.25">
      <c r="E9619" s="82" t="s">
        <v>10590</v>
      </c>
    </row>
    <row r="9620" spans="5:5" x14ac:dyDescent="0.25">
      <c r="E9620" s="82" t="s">
        <v>10591</v>
      </c>
    </row>
    <row r="9621" spans="5:5" x14ac:dyDescent="0.25">
      <c r="E9621" s="82" t="s">
        <v>10592</v>
      </c>
    </row>
    <row r="9622" spans="5:5" x14ac:dyDescent="0.25">
      <c r="E9622" s="82" t="s">
        <v>10593</v>
      </c>
    </row>
    <row r="9623" spans="5:5" x14ac:dyDescent="0.25">
      <c r="E9623" s="82" t="s">
        <v>10594</v>
      </c>
    </row>
    <row r="9624" spans="5:5" x14ac:dyDescent="0.25">
      <c r="E9624" s="82" t="s">
        <v>10595</v>
      </c>
    </row>
    <row r="9625" spans="5:5" x14ac:dyDescent="0.25">
      <c r="E9625" s="82" t="s">
        <v>10596</v>
      </c>
    </row>
    <row r="9626" spans="5:5" x14ac:dyDescent="0.25">
      <c r="E9626" s="82" t="s">
        <v>10597</v>
      </c>
    </row>
    <row r="9627" spans="5:5" x14ac:dyDescent="0.25">
      <c r="E9627" s="82" t="s">
        <v>10598</v>
      </c>
    </row>
    <row r="9628" spans="5:5" x14ac:dyDescent="0.25">
      <c r="E9628" s="82" t="s">
        <v>10599</v>
      </c>
    </row>
    <row r="9629" spans="5:5" x14ac:dyDescent="0.25">
      <c r="E9629" s="82" t="s">
        <v>10600</v>
      </c>
    </row>
    <row r="9630" spans="5:5" x14ac:dyDescent="0.25">
      <c r="E9630" s="82" t="s">
        <v>10601</v>
      </c>
    </row>
    <row r="9631" spans="5:5" x14ac:dyDescent="0.25">
      <c r="E9631" s="82" t="s">
        <v>10602</v>
      </c>
    </row>
    <row r="9632" spans="5:5" x14ac:dyDescent="0.25">
      <c r="E9632" s="82" t="s">
        <v>10603</v>
      </c>
    </row>
    <row r="9633" spans="5:5" x14ac:dyDescent="0.25">
      <c r="E9633" s="82" t="s">
        <v>10604</v>
      </c>
    </row>
    <row r="9634" spans="5:5" x14ac:dyDescent="0.25">
      <c r="E9634" s="82" t="s">
        <v>10605</v>
      </c>
    </row>
    <row r="9635" spans="5:5" x14ac:dyDescent="0.25">
      <c r="E9635" s="82" t="s">
        <v>10606</v>
      </c>
    </row>
    <row r="9636" spans="5:5" x14ac:dyDescent="0.25">
      <c r="E9636" s="82" t="s">
        <v>10607</v>
      </c>
    </row>
    <row r="9637" spans="5:5" x14ac:dyDescent="0.25">
      <c r="E9637" s="82" t="s">
        <v>10608</v>
      </c>
    </row>
    <row r="9638" spans="5:5" x14ac:dyDescent="0.25">
      <c r="E9638" s="82" t="s">
        <v>10609</v>
      </c>
    </row>
    <row r="9639" spans="5:5" x14ac:dyDescent="0.25">
      <c r="E9639" s="82" t="s">
        <v>10610</v>
      </c>
    </row>
    <row r="9640" spans="5:5" x14ac:dyDescent="0.25">
      <c r="E9640" s="82" t="s">
        <v>10611</v>
      </c>
    </row>
    <row r="9641" spans="5:5" x14ac:dyDescent="0.25">
      <c r="E9641" s="82" t="s">
        <v>10612</v>
      </c>
    </row>
    <row r="9642" spans="5:5" x14ac:dyDescent="0.25">
      <c r="E9642" s="82" t="s">
        <v>10613</v>
      </c>
    </row>
    <row r="9643" spans="5:5" x14ac:dyDescent="0.25">
      <c r="E9643" s="82" t="s">
        <v>10614</v>
      </c>
    </row>
    <row r="9644" spans="5:5" x14ac:dyDescent="0.25">
      <c r="E9644" s="82" t="s">
        <v>10615</v>
      </c>
    </row>
    <row r="9645" spans="5:5" x14ac:dyDescent="0.25">
      <c r="E9645" s="82" t="s">
        <v>10616</v>
      </c>
    </row>
    <row r="9646" spans="5:5" x14ac:dyDescent="0.25">
      <c r="E9646" s="82" t="s">
        <v>10617</v>
      </c>
    </row>
    <row r="9647" spans="5:5" x14ac:dyDescent="0.25">
      <c r="E9647" s="82" t="s">
        <v>10618</v>
      </c>
    </row>
    <row r="9648" spans="5:5" x14ac:dyDescent="0.25">
      <c r="E9648" s="82" t="s">
        <v>10619</v>
      </c>
    </row>
    <row r="9649" spans="5:5" x14ac:dyDescent="0.25">
      <c r="E9649" s="82" t="s">
        <v>10620</v>
      </c>
    </row>
    <row r="9650" spans="5:5" x14ac:dyDescent="0.25">
      <c r="E9650" s="82" t="s">
        <v>10621</v>
      </c>
    </row>
    <row r="9651" spans="5:5" x14ac:dyDescent="0.25">
      <c r="E9651" s="82" t="s">
        <v>10622</v>
      </c>
    </row>
    <row r="9652" spans="5:5" x14ac:dyDescent="0.25">
      <c r="E9652" s="82" t="s">
        <v>10623</v>
      </c>
    </row>
    <row r="9653" spans="5:5" x14ac:dyDescent="0.25">
      <c r="E9653" s="82" t="s">
        <v>10624</v>
      </c>
    </row>
    <row r="9654" spans="5:5" x14ac:dyDescent="0.25">
      <c r="E9654" s="82" t="s">
        <v>10625</v>
      </c>
    </row>
    <row r="9655" spans="5:5" x14ac:dyDescent="0.25">
      <c r="E9655" s="82" t="s">
        <v>10626</v>
      </c>
    </row>
    <row r="9656" spans="5:5" x14ac:dyDescent="0.25">
      <c r="E9656" s="82" t="s">
        <v>10627</v>
      </c>
    </row>
    <row r="9657" spans="5:5" x14ac:dyDescent="0.25">
      <c r="E9657" s="82" t="s">
        <v>10628</v>
      </c>
    </row>
    <row r="9658" spans="5:5" x14ac:dyDescent="0.25">
      <c r="E9658" s="82" t="s">
        <v>10629</v>
      </c>
    </row>
    <row r="9659" spans="5:5" x14ac:dyDescent="0.25">
      <c r="E9659" s="82" t="s">
        <v>10630</v>
      </c>
    </row>
    <row r="9660" spans="5:5" x14ac:dyDescent="0.25">
      <c r="E9660" s="82" t="s">
        <v>10631</v>
      </c>
    </row>
    <row r="9661" spans="5:5" x14ac:dyDescent="0.25">
      <c r="E9661" s="82" t="s">
        <v>10632</v>
      </c>
    </row>
    <row r="9662" spans="5:5" x14ac:dyDescent="0.25">
      <c r="E9662" s="82" t="s">
        <v>10633</v>
      </c>
    </row>
    <row r="9663" spans="5:5" x14ac:dyDescent="0.25">
      <c r="E9663" s="82" t="s">
        <v>10634</v>
      </c>
    </row>
    <row r="9664" spans="5:5" x14ac:dyDescent="0.25">
      <c r="E9664" s="82" t="s">
        <v>10635</v>
      </c>
    </row>
    <row r="9665" spans="5:5" x14ac:dyDescent="0.25">
      <c r="E9665" s="82" t="s">
        <v>10636</v>
      </c>
    </row>
    <row r="9666" spans="5:5" x14ac:dyDescent="0.25">
      <c r="E9666" s="82" t="s">
        <v>10637</v>
      </c>
    </row>
    <row r="9667" spans="5:5" x14ac:dyDescent="0.25">
      <c r="E9667" s="82" t="s">
        <v>10638</v>
      </c>
    </row>
    <row r="9668" spans="5:5" x14ac:dyDescent="0.25">
      <c r="E9668" s="82" t="s">
        <v>10639</v>
      </c>
    </row>
    <row r="9669" spans="5:5" x14ac:dyDescent="0.25">
      <c r="E9669" s="82" t="s">
        <v>10640</v>
      </c>
    </row>
    <row r="9670" spans="5:5" x14ac:dyDescent="0.25">
      <c r="E9670" s="82" t="s">
        <v>10641</v>
      </c>
    </row>
    <row r="9671" spans="5:5" x14ac:dyDescent="0.25">
      <c r="E9671" s="82" t="s">
        <v>10642</v>
      </c>
    </row>
    <row r="9672" spans="5:5" x14ac:dyDescent="0.25">
      <c r="E9672" s="82" t="s">
        <v>10643</v>
      </c>
    </row>
    <row r="9673" spans="5:5" x14ac:dyDescent="0.25">
      <c r="E9673" s="82" t="s">
        <v>10644</v>
      </c>
    </row>
    <row r="9674" spans="5:5" x14ac:dyDescent="0.25">
      <c r="E9674" s="82" t="s">
        <v>10645</v>
      </c>
    </row>
    <row r="9675" spans="5:5" x14ac:dyDescent="0.25">
      <c r="E9675" s="82" t="s">
        <v>10646</v>
      </c>
    </row>
    <row r="9676" spans="5:5" x14ac:dyDescent="0.25">
      <c r="E9676" s="82" t="s">
        <v>10647</v>
      </c>
    </row>
    <row r="9677" spans="5:5" x14ac:dyDescent="0.25">
      <c r="E9677" s="82" t="s">
        <v>10648</v>
      </c>
    </row>
    <row r="9678" spans="5:5" x14ac:dyDescent="0.25">
      <c r="E9678" s="82" t="s">
        <v>10649</v>
      </c>
    </row>
    <row r="9679" spans="5:5" x14ac:dyDescent="0.25">
      <c r="E9679" s="82" t="s">
        <v>10650</v>
      </c>
    </row>
    <row r="9680" spans="5:5" x14ac:dyDescent="0.25">
      <c r="E9680" s="82" t="s">
        <v>10651</v>
      </c>
    </row>
    <row r="9681" spans="5:5" x14ac:dyDescent="0.25">
      <c r="E9681" s="82" t="s">
        <v>10652</v>
      </c>
    </row>
    <row r="9682" spans="5:5" x14ac:dyDescent="0.25">
      <c r="E9682" s="82" t="s">
        <v>10653</v>
      </c>
    </row>
    <row r="9683" spans="5:5" x14ac:dyDescent="0.25">
      <c r="E9683" s="82" t="s">
        <v>10654</v>
      </c>
    </row>
    <row r="9684" spans="5:5" x14ac:dyDescent="0.25">
      <c r="E9684" s="82" t="s">
        <v>10655</v>
      </c>
    </row>
    <row r="9685" spans="5:5" x14ac:dyDescent="0.25">
      <c r="E9685" s="82" t="s">
        <v>10656</v>
      </c>
    </row>
    <row r="9686" spans="5:5" x14ac:dyDescent="0.25">
      <c r="E9686" s="82" t="s">
        <v>10657</v>
      </c>
    </row>
    <row r="9687" spans="5:5" x14ac:dyDescent="0.25">
      <c r="E9687" s="82" t="s">
        <v>10658</v>
      </c>
    </row>
    <row r="9688" spans="5:5" x14ac:dyDescent="0.25">
      <c r="E9688" s="82" t="s">
        <v>10659</v>
      </c>
    </row>
    <row r="9689" spans="5:5" x14ac:dyDescent="0.25">
      <c r="E9689" s="82" t="s">
        <v>10660</v>
      </c>
    </row>
    <row r="9690" spans="5:5" x14ac:dyDescent="0.25">
      <c r="E9690" s="82" t="s">
        <v>10661</v>
      </c>
    </row>
    <row r="9691" spans="5:5" x14ac:dyDescent="0.25">
      <c r="E9691" s="82" t="s">
        <v>10662</v>
      </c>
    </row>
    <row r="9692" spans="5:5" x14ac:dyDescent="0.25">
      <c r="E9692" s="82" t="s">
        <v>10663</v>
      </c>
    </row>
    <row r="9693" spans="5:5" x14ac:dyDescent="0.25">
      <c r="E9693" s="82" t="s">
        <v>10664</v>
      </c>
    </row>
    <row r="9694" spans="5:5" x14ac:dyDescent="0.25">
      <c r="E9694" s="82" t="s">
        <v>10665</v>
      </c>
    </row>
    <row r="9695" spans="5:5" x14ac:dyDescent="0.25">
      <c r="E9695" s="82" t="s">
        <v>10666</v>
      </c>
    </row>
    <row r="9696" spans="5:5" x14ac:dyDescent="0.25">
      <c r="E9696" s="82" t="s">
        <v>10667</v>
      </c>
    </row>
    <row r="9697" spans="5:5" x14ac:dyDescent="0.25">
      <c r="E9697" s="82" t="s">
        <v>10668</v>
      </c>
    </row>
    <row r="9698" spans="5:5" x14ac:dyDescent="0.25">
      <c r="E9698" s="82" t="s">
        <v>10669</v>
      </c>
    </row>
    <row r="9699" spans="5:5" x14ac:dyDescent="0.25">
      <c r="E9699" s="82" t="s">
        <v>10670</v>
      </c>
    </row>
    <row r="9700" spans="5:5" x14ac:dyDescent="0.25">
      <c r="E9700" s="82" t="s">
        <v>10671</v>
      </c>
    </row>
    <row r="9701" spans="5:5" x14ac:dyDescent="0.25">
      <c r="E9701" s="82" t="s">
        <v>10672</v>
      </c>
    </row>
    <row r="9702" spans="5:5" x14ac:dyDescent="0.25">
      <c r="E9702" s="82" t="s">
        <v>10673</v>
      </c>
    </row>
    <row r="9703" spans="5:5" x14ac:dyDescent="0.25">
      <c r="E9703" s="82" t="s">
        <v>10674</v>
      </c>
    </row>
    <row r="9704" spans="5:5" x14ac:dyDescent="0.25">
      <c r="E9704" s="82" t="s">
        <v>10675</v>
      </c>
    </row>
    <row r="9705" spans="5:5" x14ac:dyDescent="0.25">
      <c r="E9705" s="82" t="s">
        <v>10676</v>
      </c>
    </row>
    <row r="9706" spans="5:5" x14ac:dyDescent="0.25">
      <c r="E9706" s="82" t="s">
        <v>10677</v>
      </c>
    </row>
    <row r="9707" spans="5:5" x14ac:dyDescent="0.25">
      <c r="E9707" s="82" t="s">
        <v>10678</v>
      </c>
    </row>
    <row r="9708" spans="5:5" x14ac:dyDescent="0.25">
      <c r="E9708" s="82" t="s">
        <v>10679</v>
      </c>
    </row>
    <row r="9709" spans="5:5" x14ac:dyDescent="0.25">
      <c r="E9709" s="82" t="s">
        <v>10680</v>
      </c>
    </row>
    <row r="9710" spans="5:5" x14ac:dyDescent="0.25">
      <c r="E9710" s="82" t="s">
        <v>10681</v>
      </c>
    </row>
    <row r="9711" spans="5:5" x14ac:dyDescent="0.25">
      <c r="E9711" s="82" t="s">
        <v>10682</v>
      </c>
    </row>
    <row r="9712" spans="5:5" x14ac:dyDescent="0.25">
      <c r="E9712" s="82" t="s">
        <v>10683</v>
      </c>
    </row>
    <row r="9713" spans="5:5" x14ac:dyDescent="0.25">
      <c r="E9713" s="82" t="s">
        <v>10684</v>
      </c>
    </row>
    <row r="9714" spans="5:5" x14ac:dyDescent="0.25">
      <c r="E9714" s="82" t="s">
        <v>10685</v>
      </c>
    </row>
    <row r="9715" spans="5:5" x14ac:dyDescent="0.25">
      <c r="E9715" s="82" t="s">
        <v>10686</v>
      </c>
    </row>
    <row r="9716" spans="5:5" x14ac:dyDescent="0.25">
      <c r="E9716" s="82" t="s">
        <v>10687</v>
      </c>
    </row>
    <row r="9717" spans="5:5" x14ac:dyDescent="0.25">
      <c r="E9717" s="82" t="s">
        <v>10688</v>
      </c>
    </row>
    <row r="9718" spans="5:5" x14ac:dyDescent="0.25">
      <c r="E9718" s="82" t="s">
        <v>10689</v>
      </c>
    </row>
    <row r="9719" spans="5:5" x14ac:dyDescent="0.25">
      <c r="E9719" s="82" t="s">
        <v>10690</v>
      </c>
    </row>
    <row r="9720" spans="5:5" x14ac:dyDescent="0.25">
      <c r="E9720" s="82" t="s">
        <v>10691</v>
      </c>
    </row>
    <row r="9721" spans="5:5" x14ac:dyDescent="0.25">
      <c r="E9721" s="82" t="s">
        <v>10692</v>
      </c>
    </row>
    <row r="9722" spans="5:5" x14ac:dyDescent="0.25">
      <c r="E9722" s="82" t="s">
        <v>10693</v>
      </c>
    </row>
    <row r="9723" spans="5:5" x14ac:dyDescent="0.25">
      <c r="E9723" s="82" t="s">
        <v>10694</v>
      </c>
    </row>
    <row r="9724" spans="5:5" x14ac:dyDescent="0.25">
      <c r="E9724" s="82" t="s">
        <v>10695</v>
      </c>
    </row>
    <row r="9725" spans="5:5" x14ac:dyDescent="0.25">
      <c r="E9725" s="82" t="s">
        <v>10696</v>
      </c>
    </row>
    <row r="9726" spans="5:5" x14ac:dyDescent="0.25">
      <c r="E9726" s="82" t="s">
        <v>10697</v>
      </c>
    </row>
    <row r="9727" spans="5:5" x14ac:dyDescent="0.25">
      <c r="E9727" s="82" t="s">
        <v>10698</v>
      </c>
    </row>
    <row r="9728" spans="5:5" x14ac:dyDescent="0.25">
      <c r="E9728" s="82" t="s">
        <v>10699</v>
      </c>
    </row>
    <row r="9729" spans="5:5" x14ac:dyDescent="0.25">
      <c r="E9729" s="82" t="s">
        <v>10700</v>
      </c>
    </row>
    <row r="9730" spans="5:5" x14ac:dyDescent="0.25">
      <c r="E9730" s="82" t="s">
        <v>10701</v>
      </c>
    </row>
    <row r="9731" spans="5:5" x14ac:dyDescent="0.25">
      <c r="E9731" s="82" t="s">
        <v>10702</v>
      </c>
    </row>
    <row r="9732" spans="5:5" x14ac:dyDescent="0.25">
      <c r="E9732" s="82" t="s">
        <v>10703</v>
      </c>
    </row>
    <row r="9733" spans="5:5" x14ac:dyDescent="0.25">
      <c r="E9733" s="82" t="s">
        <v>10704</v>
      </c>
    </row>
    <row r="9734" spans="5:5" x14ac:dyDescent="0.25">
      <c r="E9734" s="82" t="s">
        <v>10705</v>
      </c>
    </row>
    <row r="9735" spans="5:5" x14ac:dyDescent="0.25">
      <c r="E9735" s="82" t="s">
        <v>10706</v>
      </c>
    </row>
    <row r="9736" spans="5:5" x14ac:dyDescent="0.25">
      <c r="E9736" s="82" t="s">
        <v>10707</v>
      </c>
    </row>
    <row r="9737" spans="5:5" x14ac:dyDescent="0.25">
      <c r="E9737" s="82" t="s">
        <v>10708</v>
      </c>
    </row>
    <row r="9738" spans="5:5" x14ac:dyDescent="0.25">
      <c r="E9738" s="82" t="s">
        <v>10709</v>
      </c>
    </row>
    <row r="9739" spans="5:5" x14ac:dyDescent="0.25">
      <c r="E9739" s="82" t="s">
        <v>10710</v>
      </c>
    </row>
    <row r="9740" spans="5:5" x14ac:dyDescent="0.25">
      <c r="E9740" s="82" t="s">
        <v>10711</v>
      </c>
    </row>
    <row r="9741" spans="5:5" x14ac:dyDescent="0.25">
      <c r="E9741" s="82" t="s">
        <v>10712</v>
      </c>
    </row>
    <row r="9742" spans="5:5" x14ac:dyDescent="0.25">
      <c r="E9742" s="82" t="s">
        <v>10713</v>
      </c>
    </row>
    <row r="9743" spans="5:5" x14ac:dyDescent="0.25">
      <c r="E9743" s="82" t="s">
        <v>10714</v>
      </c>
    </row>
    <row r="9744" spans="5:5" x14ac:dyDescent="0.25">
      <c r="E9744" s="82" t="s">
        <v>10715</v>
      </c>
    </row>
    <row r="9745" spans="5:5" x14ac:dyDescent="0.25">
      <c r="E9745" s="82" t="s">
        <v>10716</v>
      </c>
    </row>
    <row r="9746" spans="5:5" x14ac:dyDescent="0.25">
      <c r="E9746" s="82" t="s">
        <v>10717</v>
      </c>
    </row>
    <row r="9747" spans="5:5" x14ac:dyDescent="0.25">
      <c r="E9747" s="82" t="s">
        <v>10718</v>
      </c>
    </row>
    <row r="9748" spans="5:5" x14ac:dyDescent="0.25">
      <c r="E9748" s="82" t="s">
        <v>10719</v>
      </c>
    </row>
    <row r="9749" spans="5:5" x14ac:dyDescent="0.25">
      <c r="E9749" s="82" t="s">
        <v>10720</v>
      </c>
    </row>
    <row r="9750" spans="5:5" x14ac:dyDescent="0.25">
      <c r="E9750" s="82" t="s">
        <v>10721</v>
      </c>
    </row>
    <row r="9751" spans="5:5" x14ac:dyDescent="0.25">
      <c r="E9751" s="82" t="s">
        <v>10722</v>
      </c>
    </row>
    <row r="9752" spans="5:5" x14ac:dyDescent="0.25">
      <c r="E9752" s="82" t="s">
        <v>10723</v>
      </c>
    </row>
    <row r="9753" spans="5:5" x14ac:dyDescent="0.25">
      <c r="E9753" s="82" t="s">
        <v>10724</v>
      </c>
    </row>
    <row r="9754" spans="5:5" x14ac:dyDescent="0.25">
      <c r="E9754" s="82" t="s">
        <v>10725</v>
      </c>
    </row>
    <row r="9755" spans="5:5" x14ac:dyDescent="0.25">
      <c r="E9755" s="82" t="s">
        <v>10726</v>
      </c>
    </row>
    <row r="9756" spans="5:5" x14ac:dyDescent="0.25">
      <c r="E9756" s="82" t="s">
        <v>10727</v>
      </c>
    </row>
    <row r="9757" spans="5:5" x14ac:dyDescent="0.25">
      <c r="E9757" s="82" t="s">
        <v>10728</v>
      </c>
    </row>
    <row r="9758" spans="5:5" x14ac:dyDescent="0.25">
      <c r="E9758" s="82" t="s">
        <v>10729</v>
      </c>
    </row>
    <row r="9759" spans="5:5" x14ac:dyDescent="0.25">
      <c r="E9759" s="82" t="s">
        <v>10730</v>
      </c>
    </row>
    <row r="9760" spans="5:5" x14ac:dyDescent="0.25">
      <c r="E9760" s="82" t="s">
        <v>10731</v>
      </c>
    </row>
    <row r="9761" spans="5:5" x14ac:dyDescent="0.25">
      <c r="E9761" s="82" t="s">
        <v>10732</v>
      </c>
    </row>
    <row r="9762" spans="5:5" x14ac:dyDescent="0.25">
      <c r="E9762" s="82" t="s">
        <v>10733</v>
      </c>
    </row>
    <row r="9763" spans="5:5" x14ac:dyDescent="0.25">
      <c r="E9763" s="82" t="s">
        <v>10734</v>
      </c>
    </row>
    <row r="9764" spans="5:5" x14ac:dyDescent="0.25">
      <c r="E9764" s="82" t="s">
        <v>10735</v>
      </c>
    </row>
    <row r="9765" spans="5:5" x14ac:dyDescent="0.25">
      <c r="E9765" s="82" t="s">
        <v>10736</v>
      </c>
    </row>
    <row r="9766" spans="5:5" x14ac:dyDescent="0.25">
      <c r="E9766" s="82" t="s">
        <v>10737</v>
      </c>
    </row>
    <row r="9767" spans="5:5" x14ac:dyDescent="0.25">
      <c r="E9767" s="82" t="s">
        <v>10738</v>
      </c>
    </row>
    <row r="9768" spans="5:5" x14ac:dyDescent="0.25">
      <c r="E9768" s="82" t="s">
        <v>10739</v>
      </c>
    </row>
    <row r="9769" spans="5:5" x14ac:dyDescent="0.25">
      <c r="E9769" s="82" t="s">
        <v>10740</v>
      </c>
    </row>
    <row r="9770" spans="5:5" x14ac:dyDescent="0.25">
      <c r="E9770" s="82" t="s">
        <v>10741</v>
      </c>
    </row>
    <row r="9771" spans="5:5" x14ac:dyDescent="0.25">
      <c r="E9771" s="82" t="s">
        <v>10742</v>
      </c>
    </row>
    <row r="9772" spans="5:5" x14ac:dyDescent="0.25">
      <c r="E9772" s="82" t="s">
        <v>10743</v>
      </c>
    </row>
    <row r="9773" spans="5:5" x14ac:dyDescent="0.25">
      <c r="E9773" s="82" t="s">
        <v>10744</v>
      </c>
    </row>
    <row r="9774" spans="5:5" x14ac:dyDescent="0.25">
      <c r="E9774" s="82" t="s">
        <v>10745</v>
      </c>
    </row>
    <row r="9775" spans="5:5" x14ac:dyDescent="0.25">
      <c r="E9775" s="82" t="s">
        <v>10746</v>
      </c>
    </row>
    <row r="9776" spans="5:5" x14ac:dyDescent="0.25">
      <c r="E9776" s="82" t="s">
        <v>10747</v>
      </c>
    </row>
    <row r="9777" spans="5:5" x14ac:dyDescent="0.25">
      <c r="E9777" s="82" t="s">
        <v>10748</v>
      </c>
    </row>
    <row r="9778" spans="5:5" x14ac:dyDescent="0.25">
      <c r="E9778" s="82" t="s">
        <v>10749</v>
      </c>
    </row>
    <row r="9779" spans="5:5" x14ac:dyDescent="0.25">
      <c r="E9779" s="82" t="s">
        <v>10750</v>
      </c>
    </row>
    <row r="9780" spans="5:5" x14ac:dyDescent="0.25">
      <c r="E9780" s="82" t="s">
        <v>10751</v>
      </c>
    </row>
    <row r="9781" spans="5:5" x14ac:dyDescent="0.25">
      <c r="E9781" s="82" t="s">
        <v>10752</v>
      </c>
    </row>
    <row r="9782" spans="5:5" x14ac:dyDescent="0.25">
      <c r="E9782" s="82" t="s">
        <v>10753</v>
      </c>
    </row>
    <row r="9783" spans="5:5" x14ac:dyDescent="0.25">
      <c r="E9783" s="82" t="s">
        <v>10754</v>
      </c>
    </row>
    <row r="9784" spans="5:5" x14ac:dyDescent="0.25">
      <c r="E9784" s="82" t="s">
        <v>10755</v>
      </c>
    </row>
    <row r="9785" spans="5:5" x14ac:dyDescent="0.25">
      <c r="E9785" s="82" t="s">
        <v>10756</v>
      </c>
    </row>
    <row r="9786" spans="5:5" x14ac:dyDescent="0.25">
      <c r="E9786" s="82" t="s">
        <v>10757</v>
      </c>
    </row>
    <row r="9787" spans="5:5" x14ac:dyDescent="0.25">
      <c r="E9787" s="82" t="s">
        <v>10758</v>
      </c>
    </row>
    <row r="9788" spans="5:5" x14ac:dyDescent="0.25">
      <c r="E9788" s="82" t="s">
        <v>10759</v>
      </c>
    </row>
    <row r="9789" spans="5:5" x14ac:dyDescent="0.25">
      <c r="E9789" s="82" t="s">
        <v>10760</v>
      </c>
    </row>
    <row r="9790" spans="5:5" x14ac:dyDescent="0.25">
      <c r="E9790" s="82" t="s">
        <v>10761</v>
      </c>
    </row>
    <row r="9791" spans="5:5" x14ac:dyDescent="0.25">
      <c r="E9791" s="82" t="s">
        <v>10762</v>
      </c>
    </row>
    <row r="9792" spans="5:5" x14ac:dyDescent="0.25">
      <c r="E9792" s="82" t="s">
        <v>10763</v>
      </c>
    </row>
    <row r="9793" spans="5:5" x14ac:dyDescent="0.25">
      <c r="E9793" s="82" t="s">
        <v>10764</v>
      </c>
    </row>
    <row r="9794" spans="5:5" x14ac:dyDescent="0.25">
      <c r="E9794" s="82" t="s">
        <v>10765</v>
      </c>
    </row>
    <row r="9795" spans="5:5" x14ac:dyDescent="0.25">
      <c r="E9795" s="82" t="s">
        <v>10766</v>
      </c>
    </row>
    <row r="9796" spans="5:5" x14ac:dyDescent="0.25">
      <c r="E9796" s="82" t="s">
        <v>10767</v>
      </c>
    </row>
    <row r="9797" spans="5:5" x14ac:dyDescent="0.25">
      <c r="E9797" s="82" t="s">
        <v>10768</v>
      </c>
    </row>
    <row r="9798" spans="5:5" x14ac:dyDescent="0.25">
      <c r="E9798" s="82" t="s">
        <v>10769</v>
      </c>
    </row>
    <row r="9799" spans="5:5" x14ac:dyDescent="0.25">
      <c r="E9799" s="82" t="s">
        <v>10770</v>
      </c>
    </row>
    <row r="9800" spans="5:5" x14ac:dyDescent="0.25">
      <c r="E9800" s="82" t="s">
        <v>10771</v>
      </c>
    </row>
    <row r="9801" spans="5:5" x14ac:dyDescent="0.25">
      <c r="E9801" s="82" t="s">
        <v>10772</v>
      </c>
    </row>
    <row r="9802" spans="5:5" x14ac:dyDescent="0.25">
      <c r="E9802" s="82" t="s">
        <v>10773</v>
      </c>
    </row>
    <row r="9803" spans="5:5" x14ac:dyDescent="0.25">
      <c r="E9803" s="82" t="s">
        <v>10774</v>
      </c>
    </row>
    <row r="9804" spans="5:5" x14ac:dyDescent="0.25">
      <c r="E9804" s="82" t="s">
        <v>10775</v>
      </c>
    </row>
    <row r="9805" spans="5:5" x14ac:dyDescent="0.25">
      <c r="E9805" s="82" t="s">
        <v>10776</v>
      </c>
    </row>
    <row r="9806" spans="5:5" x14ac:dyDescent="0.25">
      <c r="E9806" s="82" t="s">
        <v>10777</v>
      </c>
    </row>
    <row r="9807" spans="5:5" x14ac:dyDescent="0.25">
      <c r="E9807" s="82" t="s">
        <v>10778</v>
      </c>
    </row>
    <row r="9808" spans="5:5" x14ac:dyDescent="0.25">
      <c r="E9808" s="82" t="s">
        <v>10779</v>
      </c>
    </row>
    <row r="9809" spans="5:5" x14ac:dyDescent="0.25">
      <c r="E9809" s="82" t="s">
        <v>10780</v>
      </c>
    </row>
    <row r="9810" spans="5:5" x14ac:dyDescent="0.25">
      <c r="E9810" s="82" t="s">
        <v>10781</v>
      </c>
    </row>
    <row r="9811" spans="5:5" x14ac:dyDescent="0.25">
      <c r="E9811" s="82" t="s">
        <v>10782</v>
      </c>
    </row>
    <row r="9812" spans="5:5" x14ac:dyDescent="0.25">
      <c r="E9812" s="82" t="s">
        <v>10783</v>
      </c>
    </row>
    <row r="9813" spans="5:5" x14ac:dyDescent="0.25">
      <c r="E9813" s="82" t="s">
        <v>10784</v>
      </c>
    </row>
    <row r="9814" spans="5:5" x14ac:dyDescent="0.25">
      <c r="E9814" s="82" t="s">
        <v>10785</v>
      </c>
    </row>
    <row r="9815" spans="5:5" x14ac:dyDescent="0.25">
      <c r="E9815" s="82" t="s">
        <v>10786</v>
      </c>
    </row>
    <row r="9816" spans="5:5" x14ac:dyDescent="0.25">
      <c r="E9816" s="82" t="s">
        <v>10787</v>
      </c>
    </row>
    <row r="9817" spans="5:5" x14ac:dyDescent="0.25">
      <c r="E9817" s="82" t="s">
        <v>10788</v>
      </c>
    </row>
    <row r="9818" spans="5:5" x14ac:dyDescent="0.25">
      <c r="E9818" s="82" t="s">
        <v>10789</v>
      </c>
    </row>
    <row r="9819" spans="5:5" x14ac:dyDescent="0.25">
      <c r="E9819" s="82" t="s">
        <v>10790</v>
      </c>
    </row>
    <row r="9820" spans="5:5" x14ac:dyDescent="0.25">
      <c r="E9820" s="82" t="s">
        <v>10791</v>
      </c>
    </row>
    <row r="9821" spans="5:5" x14ac:dyDescent="0.25">
      <c r="E9821" s="82" t="s">
        <v>10792</v>
      </c>
    </row>
    <row r="9822" spans="5:5" x14ac:dyDescent="0.25">
      <c r="E9822" s="82" t="s">
        <v>10793</v>
      </c>
    </row>
    <row r="9823" spans="5:5" x14ac:dyDescent="0.25">
      <c r="E9823" s="82" t="s">
        <v>10794</v>
      </c>
    </row>
    <row r="9824" spans="5:5" x14ac:dyDescent="0.25">
      <c r="E9824" s="82" t="s">
        <v>10795</v>
      </c>
    </row>
    <row r="9825" spans="5:5" x14ac:dyDescent="0.25">
      <c r="E9825" s="82" t="s">
        <v>10796</v>
      </c>
    </row>
    <row r="9826" spans="5:5" x14ac:dyDescent="0.25">
      <c r="E9826" s="82" t="s">
        <v>10797</v>
      </c>
    </row>
    <row r="9827" spans="5:5" x14ac:dyDescent="0.25">
      <c r="E9827" s="82" t="s">
        <v>10798</v>
      </c>
    </row>
    <row r="9828" spans="5:5" x14ac:dyDescent="0.25">
      <c r="E9828" s="82" t="s">
        <v>10799</v>
      </c>
    </row>
    <row r="9829" spans="5:5" x14ac:dyDescent="0.25">
      <c r="E9829" s="82" t="s">
        <v>10800</v>
      </c>
    </row>
    <row r="9830" spans="5:5" x14ac:dyDescent="0.25">
      <c r="E9830" s="82" t="s">
        <v>10801</v>
      </c>
    </row>
    <row r="9831" spans="5:5" x14ac:dyDescent="0.25">
      <c r="E9831" s="82" t="s">
        <v>10802</v>
      </c>
    </row>
    <row r="9832" spans="5:5" x14ac:dyDescent="0.25">
      <c r="E9832" s="82" t="s">
        <v>10803</v>
      </c>
    </row>
    <row r="9833" spans="5:5" x14ac:dyDescent="0.25">
      <c r="E9833" s="82" t="s">
        <v>10804</v>
      </c>
    </row>
    <row r="9834" spans="5:5" x14ac:dyDescent="0.25">
      <c r="E9834" s="82" t="s">
        <v>10805</v>
      </c>
    </row>
    <row r="9835" spans="5:5" x14ac:dyDescent="0.25">
      <c r="E9835" s="82" t="s">
        <v>10806</v>
      </c>
    </row>
    <row r="9836" spans="5:5" x14ac:dyDescent="0.25">
      <c r="E9836" s="82" t="s">
        <v>10807</v>
      </c>
    </row>
    <row r="9837" spans="5:5" x14ac:dyDescent="0.25">
      <c r="E9837" s="82" t="s">
        <v>10808</v>
      </c>
    </row>
    <row r="9838" spans="5:5" x14ac:dyDescent="0.25">
      <c r="E9838" s="82" t="s">
        <v>10809</v>
      </c>
    </row>
    <row r="9839" spans="5:5" x14ac:dyDescent="0.25">
      <c r="E9839" s="82" t="s">
        <v>10810</v>
      </c>
    </row>
    <row r="9840" spans="5:5" x14ac:dyDescent="0.25">
      <c r="E9840" s="82" t="s">
        <v>10811</v>
      </c>
    </row>
    <row r="9841" spans="5:5" x14ac:dyDescent="0.25">
      <c r="E9841" s="82" t="s">
        <v>10812</v>
      </c>
    </row>
    <row r="9842" spans="5:5" x14ac:dyDescent="0.25">
      <c r="E9842" s="82" t="s">
        <v>10813</v>
      </c>
    </row>
    <row r="9843" spans="5:5" x14ac:dyDescent="0.25">
      <c r="E9843" s="82" t="s">
        <v>10814</v>
      </c>
    </row>
    <row r="9844" spans="5:5" x14ac:dyDescent="0.25">
      <c r="E9844" s="82" t="s">
        <v>10815</v>
      </c>
    </row>
    <row r="9845" spans="5:5" x14ac:dyDescent="0.25">
      <c r="E9845" s="82" t="s">
        <v>10816</v>
      </c>
    </row>
    <row r="9846" spans="5:5" x14ac:dyDescent="0.25">
      <c r="E9846" s="82" t="s">
        <v>10817</v>
      </c>
    </row>
    <row r="9847" spans="5:5" x14ac:dyDescent="0.25">
      <c r="E9847" s="82" t="s">
        <v>10818</v>
      </c>
    </row>
    <row r="9848" spans="5:5" x14ac:dyDescent="0.25">
      <c r="E9848" s="82" t="s">
        <v>10819</v>
      </c>
    </row>
    <row r="9849" spans="5:5" x14ac:dyDescent="0.25">
      <c r="E9849" s="82" t="s">
        <v>10820</v>
      </c>
    </row>
    <row r="9850" spans="5:5" x14ac:dyDescent="0.25">
      <c r="E9850" s="82" t="s">
        <v>10821</v>
      </c>
    </row>
    <row r="9851" spans="5:5" x14ac:dyDescent="0.25">
      <c r="E9851" s="82" t="s">
        <v>10822</v>
      </c>
    </row>
    <row r="9852" spans="5:5" x14ac:dyDescent="0.25">
      <c r="E9852" s="82" t="s">
        <v>10823</v>
      </c>
    </row>
    <row r="9853" spans="5:5" x14ac:dyDescent="0.25">
      <c r="E9853" s="82" t="s">
        <v>10824</v>
      </c>
    </row>
    <row r="9854" spans="5:5" x14ac:dyDescent="0.25">
      <c r="E9854" s="82" t="s">
        <v>10825</v>
      </c>
    </row>
    <row r="9855" spans="5:5" x14ac:dyDescent="0.25">
      <c r="E9855" s="82" t="s">
        <v>10826</v>
      </c>
    </row>
    <row r="9856" spans="5:5" x14ac:dyDescent="0.25">
      <c r="E9856" s="82" t="s">
        <v>10827</v>
      </c>
    </row>
    <row r="9857" spans="5:5" x14ac:dyDescent="0.25">
      <c r="E9857" s="82" t="s">
        <v>10828</v>
      </c>
    </row>
    <row r="9858" spans="5:5" x14ac:dyDescent="0.25">
      <c r="E9858" s="82" t="s">
        <v>10829</v>
      </c>
    </row>
    <row r="9859" spans="5:5" x14ac:dyDescent="0.25">
      <c r="E9859" s="82" t="s">
        <v>10830</v>
      </c>
    </row>
    <row r="9860" spans="5:5" x14ac:dyDescent="0.25">
      <c r="E9860" s="82" t="s">
        <v>10831</v>
      </c>
    </row>
    <row r="9861" spans="5:5" x14ac:dyDescent="0.25">
      <c r="E9861" s="82" t="s">
        <v>10832</v>
      </c>
    </row>
    <row r="9862" spans="5:5" x14ac:dyDescent="0.25">
      <c r="E9862" s="82" t="s">
        <v>10833</v>
      </c>
    </row>
    <row r="9863" spans="5:5" x14ac:dyDescent="0.25">
      <c r="E9863" s="82" t="s">
        <v>10834</v>
      </c>
    </row>
    <row r="9864" spans="5:5" x14ac:dyDescent="0.25">
      <c r="E9864" s="82" t="s">
        <v>10835</v>
      </c>
    </row>
    <row r="9865" spans="5:5" x14ac:dyDescent="0.25">
      <c r="E9865" s="82" t="s">
        <v>10836</v>
      </c>
    </row>
    <row r="9866" spans="5:5" x14ac:dyDescent="0.25">
      <c r="E9866" s="82" t="s">
        <v>10837</v>
      </c>
    </row>
    <row r="9867" spans="5:5" x14ac:dyDescent="0.25">
      <c r="E9867" s="82" t="s">
        <v>10838</v>
      </c>
    </row>
    <row r="9868" spans="5:5" x14ac:dyDescent="0.25">
      <c r="E9868" s="82" t="s">
        <v>10839</v>
      </c>
    </row>
    <row r="9869" spans="5:5" x14ac:dyDescent="0.25">
      <c r="E9869" s="82" t="s">
        <v>10840</v>
      </c>
    </row>
    <row r="9870" spans="5:5" x14ac:dyDescent="0.25">
      <c r="E9870" s="82" t="s">
        <v>10841</v>
      </c>
    </row>
    <row r="9871" spans="5:5" x14ac:dyDescent="0.25">
      <c r="E9871" s="82" t="s">
        <v>10842</v>
      </c>
    </row>
    <row r="9872" spans="5:5" x14ac:dyDescent="0.25">
      <c r="E9872" s="82" t="s">
        <v>10843</v>
      </c>
    </row>
    <row r="9873" spans="5:5" x14ac:dyDescent="0.25">
      <c r="E9873" s="82" t="s">
        <v>10844</v>
      </c>
    </row>
    <row r="9874" spans="5:5" x14ac:dyDescent="0.25">
      <c r="E9874" s="82" t="s">
        <v>10845</v>
      </c>
    </row>
    <row r="9875" spans="5:5" x14ac:dyDescent="0.25">
      <c r="E9875" s="82" t="s">
        <v>10846</v>
      </c>
    </row>
    <row r="9876" spans="5:5" x14ac:dyDescent="0.25">
      <c r="E9876" s="82" t="s">
        <v>10847</v>
      </c>
    </row>
    <row r="9877" spans="5:5" x14ac:dyDescent="0.25">
      <c r="E9877" s="82" t="s">
        <v>10848</v>
      </c>
    </row>
    <row r="9878" spans="5:5" x14ac:dyDescent="0.25">
      <c r="E9878" s="82" t="s">
        <v>10849</v>
      </c>
    </row>
    <row r="9879" spans="5:5" x14ac:dyDescent="0.25">
      <c r="E9879" s="82" t="s">
        <v>10850</v>
      </c>
    </row>
    <row r="9880" spans="5:5" x14ac:dyDescent="0.25">
      <c r="E9880" s="82" t="s">
        <v>10851</v>
      </c>
    </row>
    <row r="9881" spans="5:5" x14ac:dyDescent="0.25">
      <c r="E9881" s="82" t="s">
        <v>10852</v>
      </c>
    </row>
    <row r="9882" spans="5:5" x14ac:dyDescent="0.25">
      <c r="E9882" s="82" t="s">
        <v>10853</v>
      </c>
    </row>
    <row r="9883" spans="5:5" x14ac:dyDescent="0.25">
      <c r="E9883" s="82" t="s">
        <v>10854</v>
      </c>
    </row>
    <row r="9884" spans="5:5" x14ac:dyDescent="0.25">
      <c r="E9884" s="82" t="s">
        <v>10855</v>
      </c>
    </row>
    <row r="9885" spans="5:5" x14ac:dyDescent="0.25">
      <c r="E9885" s="82" t="s">
        <v>10856</v>
      </c>
    </row>
    <row r="9886" spans="5:5" x14ac:dyDescent="0.25">
      <c r="E9886" s="82" t="s">
        <v>10857</v>
      </c>
    </row>
    <row r="9887" spans="5:5" x14ac:dyDescent="0.25">
      <c r="E9887" s="82" t="s">
        <v>10858</v>
      </c>
    </row>
    <row r="9888" spans="5:5" x14ac:dyDescent="0.25">
      <c r="E9888" s="82" t="s">
        <v>10859</v>
      </c>
    </row>
    <row r="9889" spans="5:5" x14ac:dyDescent="0.25">
      <c r="E9889" s="82" t="s">
        <v>10860</v>
      </c>
    </row>
    <row r="9890" spans="5:5" x14ac:dyDescent="0.25">
      <c r="E9890" s="82" t="s">
        <v>10861</v>
      </c>
    </row>
    <row r="9891" spans="5:5" x14ac:dyDescent="0.25">
      <c r="E9891" s="82" t="s">
        <v>10862</v>
      </c>
    </row>
    <row r="9892" spans="5:5" x14ac:dyDescent="0.25">
      <c r="E9892" s="82" t="s">
        <v>10863</v>
      </c>
    </row>
    <row r="9893" spans="5:5" x14ac:dyDescent="0.25">
      <c r="E9893" s="82" t="s">
        <v>10864</v>
      </c>
    </row>
    <row r="9894" spans="5:5" x14ac:dyDescent="0.25">
      <c r="E9894" s="82" t="s">
        <v>10865</v>
      </c>
    </row>
    <row r="9895" spans="5:5" x14ac:dyDescent="0.25">
      <c r="E9895" s="82" t="s">
        <v>10866</v>
      </c>
    </row>
    <row r="9896" spans="5:5" x14ac:dyDescent="0.25">
      <c r="E9896" s="82" t="s">
        <v>10867</v>
      </c>
    </row>
    <row r="9897" spans="5:5" x14ac:dyDescent="0.25">
      <c r="E9897" s="82" t="s">
        <v>10868</v>
      </c>
    </row>
    <row r="9898" spans="5:5" x14ac:dyDescent="0.25">
      <c r="E9898" s="82" t="s">
        <v>10869</v>
      </c>
    </row>
    <row r="9899" spans="5:5" x14ac:dyDescent="0.25">
      <c r="E9899" s="82" t="s">
        <v>10870</v>
      </c>
    </row>
    <row r="9900" spans="5:5" x14ac:dyDescent="0.25">
      <c r="E9900" s="82" t="s">
        <v>10871</v>
      </c>
    </row>
    <row r="9901" spans="5:5" x14ac:dyDescent="0.25">
      <c r="E9901" s="82" t="s">
        <v>10872</v>
      </c>
    </row>
    <row r="9902" spans="5:5" x14ac:dyDescent="0.25">
      <c r="E9902" s="82" t="s">
        <v>10873</v>
      </c>
    </row>
    <row r="9903" spans="5:5" x14ac:dyDescent="0.25">
      <c r="E9903" s="82" t="s">
        <v>10874</v>
      </c>
    </row>
    <row r="9904" spans="5:5" x14ac:dyDescent="0.25">
      <c r="E9904" s="82" t="s">
        <v>10875</v>
      </c>
    </row>
    <row r="9905" spans="5:5" x14ac:dyDescent="0.25">
      <c r="E9905" s="82" t="s">
        <v>10876</v>
      </c>
    </row>
    <row r="9906" spans="5:5" x14ac:dyDescent="0.25">
      <c r="E9906" s="82" t="s">
        <v>10877</v>
      </c>
    </row>
    <row r="9907" spans="5:5" x14ac:dyDescent="0.25">
      <c r="E9907" s="82" t="s">
        <v>10878</v>
      </c>
    </row>
    <row r="9908" spans="5:5" x14ac:dyDescent="0.25">
      <c r="E9908" s="82" t="s">
        <v>10879</v>
      </c>
    </row>
    <row r="9909" spans="5:5" x14ac:dyDescent="0.25">
      <c r="E9909" s="82" t="s">
        <v>10880</v>
      </c>
    </row>
    <row r="9910" spans="5:5" x14ac:dyDescent="0.25">
      <c r="E9910" s="82" t="s">
        <v>10881</v>
      </c>
    </row>
    <row r="9911" spans="5:5" x14ac:dyDescent="0.25">
      <c r="E9911" s="82" t="s">
        <v>10882</v>
      </c>
    </row>
    <row r="9912" spans="5:5" x14ac:dyDescent="0.25">
      <c r="E9912" s="82" t="s">
        <v>10883</v>
      </c>
    </row>
    <row r="9913" spans="5:5" x14ac:dyDescent="0.25">
      <c r="E9913" s="82" t="s">
        <v>10884</v>
      </c>
    </row>
    <row r="9914" spans="5:5" x14ac:dyDescent="0.25">
      <c r="E9914" s="82" t="s">
        <v>10885</v>
      </c>
    </row>
    <row r="9915" spans="5:5" x14ac:dyDescent="0.25">
      <c r="E9915" s="82" t="s">
        <v>10886</v>
      </c>
    </row>
    <row r="9916" spans="5:5" x14ac:dyDescent="0.25">
      <c r="E9916" s="82" t="s">
        <v>10887</v>
      </c>
    </row>
    <row r="9917" spans="5:5" x14ac:dyDescent="0.25">
      <c r="E9917" s="82" t="s">
        <v>10888</v>
      </c>
    </row>
    <row r="9918" spans="5:5" x14ac:dyDescent="0.25">
      <c r="E9918" s="82" t="s">
        <v>10889</v>
      </c>
    </row>
    <row r="9919" spans="5:5" x14ac:dyDescent="0.25">
      <c r="E9919" s="82" t="s">
        <v>10890</v>
      </c>
    </row>
    <row r="9920" spans="5:5" x14ac:dyDescent="0.25">
      <c r="E9920" s="82" t="s">
        <v>10891</v>
      </c>
    </row>
    <row r="9921" spans="5:5" x14ac:dyDescent="0.25">
      <c r="E9921" s="82" t="s">
        <v>10892</v>
      </c>
    </row>
    <row r="9922" spans="5:5" x14ac:dyDescent="0.25">
      <c r="E9922" s="82" t="s">
        <v>10893</v>
      </c>
    </row>
    <row r="9923" spans="5:5" x14ac:dyDescent="0.25">
      <c r="E9923" s="82" t="s">
        <v>10894</v>
      </c>
    </row>
    <row r="9924" spans="5:5" x14ac:dyDescent="0.25">
      <c r="E9924" s="82" t="s">
        <v>10895</v>
      </c>
    </row>
    <row r="9925" spans="5:5" x14ac:dyDescent="0.25">
      <c r="E9925" s="82" t="s">
        <v>10896</v>
      </c>
    </row>
    <row r="9926" spans="5:5" x14ac:dyDescent="0.25">
      <c r="E9926" s="82" t="s">
        <v>10897</v>
      </c>
    </row>
    <row r="9927" spans="5:5" x14ac:dyDescent="0.25">
      <c r="E9927" s="82" t="s">
        <v>10898</v>
      </c>
    </row>
    <row r="9928" spans="5:5" x14ac:dyDescent="0.25">
      <c r="E9928" s="82" t="s">
        <v>10899</v>
      </c>
    </row>
    <row r="9929" spans="5:5" x14ac:dyDescent="0.25">
      <c r="E9929" s="82" t="s">
        <v>10900</v>
      </c>
    </row>
    <row r="9930" spans="5:5" x14ac:dyDescent="0.25">
      <c r="E9930" s="82" t="s">
        <v>10901</v>
      </c>
    </row>
    <row r="9931" spans="5:5" x14ac:dyDescent="0.25">
      <c r="E9931" s="82" t="s">
        <v>10902</v>
      </c>
    </row>
    <row r="9932" spans="5:5" x14ac:dyDescent="0.25">
      <c r="E9932" s="82" t="s">
        <v>10903</v>
      </c>
    </row>
    <row r="9933" spans="5:5" x14ac:dyDescent="0.25">
      <c r="E9933" s="82" t="s">
        <v>10904</v>
      </c>
    </row>
    <row r="9934" spans="5:5" x14ac:dyDescent="0.25">
      <c r="E9934" s="82" t="s">
        <v>10905</v>
      </c>
    </row>
    <row r="9935" spans="5:5" x14ac:dyDescent="0.25">
      <c r="E9935" s="82" t="s">
        <v>10906</v>
      </c>
    </row>
    <row r="9936" spans="5:5" x14ac:dyDescent="0.25">
      <c r="E9936" s="82" t="s">
        <v>10907</v>
      </c>
    </row>
    <row r="9937" spans="5:5" x14ac:dyDescent="0.25">
      <c r="E9937" s="82" t="s">
        <v>10908</v>
      </c>
    </row>
    <row r="9938" spans="5:5" x14ac:dyDescent="0.25">
      <c r="E9938" s="82" t="s">
        <v>10909</v>
      </c>
    </row>
    <row r="9939" spans="5:5" x14ac:dyDescent="0.25">
      <c r="E9939" s="82" t="s">
        <v>10910</v>
      </c>
    </row>
    <row r="9940" spans="5:5" x14ac:dyDescent="0.25">
      <c r="E9940" s="82" t="s">
        <v>10911</v>
      </c>
    </row>
    <row r="9941" spans="5:5" x14ac:dyDescent="0.25">
      <c r="E9941" s="82" t="s">
        <v>10912</v>
      </c>
    </row>
    <row r="9942" spans="5:5" x14ac:dyDescent="0.25">
      <c r="E9942" s="82" t="s">
        <v>10913</v>
      </c>
    </row>
    <row r="9943" spans="5:5" x14ac:dyDescent="0.25">
      <c r="E9943" s="82" t="s">
        <v>10914</v>
      </c>
    </row>
    <row r="9944" spans="5:5" x14ac:dyDescent="0.25">
      <c r="E9944" s="82" t="s">
        <v>10915</v>
      </c>
    </row>
    <row r="9945" spans="5:5" x14ac:dyDescent="0.25">
      <c r="E9945" s="82" t="s">
        <v>10916</v>
      </c>
    </row>
    <row r="9946" spans="5:5" x14ac:dyDescent="0.25">
      <c r="E9946" s="82" t="s">
        <v>10917</v>
      </c>
    </row>
    <row r="9947" spans="5:5" x14ac:dyDescent="0.25">
      <c r="E9947" s="82" t="s">
        <v>10918</v>
      </c>
    </row>
    <row r="9948" spans="5:5" x14ac:dyDescent="0.25">
      <c r="E9948" s="82" t="s">
        <v>10919</v>
      </c>
    </row>
    <row r="9949" spans="5:5" x14ac:dyDescent="0.25">
      <c r="E9949" s="82" t="s">
        <v>10920</v>
      </c>
    </row>
    <row r="9950" spans="5:5" x14ac:dyDescent="0.25">
      <c r="E9950" s="82" t="s">
        <v>10921</v>
      </c>
    </row>
    <row r="9951" spans="5:5" x14ac:dyDescent="0.25">
      <c r="E9951" s="82" t="s">
        <v>10922</v>
      </c>
    </row>
    <row r="9952" spans="5:5" x14ac:dyDescent="0.25">
      <c r="E9952" s="82" t="s">
        <v>10923</v>
      </c>
    </row>
    <row r="9953" spans="5:5" x14ac:dyDescent="0.25">
      <c r="E9953" s="82" t="s">
        <v>10924</v>
      </c>
    </row>
    <row r="9954" spans="5:5" x14ac:dyDescent="0.25">
      <c r="E9954" s="82" t="s">
        <v>10925</v>
      </c>
    </row>
    <row r="9955" spans="5:5" x14ac:dyDescent="0.25">
      <c r="E9955" s="82" t="s">
        <v>10926</v>
      </c>
    </row>
    <row r="9956" spans="5:5" x14ac:dyDescent="0.25">
      <c r="E9956" s="82" t="s">
        <v>10927</v>
      </c>
    </row>
    <row r="9957" spans="5:5" x14ac:dyDescent="0.25">
      <c r="E9957" s="82" t="s">
        <v>10928</v>
      </c>
    </row>
    <row r="9958" spans="5:5" x14ac:dyDescent="0.25">
      <c r="E9958" s="82" t="s">
        <v>10929</v>
      </c>
    </row>
    <row r="9959" spans="5:5" x14ac:dyDescent="0.25">
      <c r="E9959" s="82" t="s">
        <v>10930</v>
      </c>
    </row>
    <row r="9960" spans="5:5" x14ac:dyDescent="0.25">
      <c r="E9960" s="82" t="s">
        <v>10931</v>
      </c>
    </row>
    <row r="9961" spans="5:5" x14ac:dyDescent="0.25">
      <c r="E9961" s="82" t="s">
        <v>10932</v>
      </c>
    </row>
    <row r="9962" spans="5:5" x14ac:dyDescent="0.25">
      <c r="E9962" s="82" t="s">
        <v>10933</v>
      </c>
    </row>
    <row r="9963" spans="5:5" x14ac:dyDescent="0.25">
      <c r="E9963" s="82" t="s">
        <v>10934</v>
      </c>
    </row>
    <row r="9964" spans="5:5" x14ac:dyDescent="0.25">
      <c r="E9964" s="82" t="s">
        <v>10935</v>
      </c>
    </row>
    <row r="9965" spans="5:5" x14ac:dyDescent="0.25">
      <c r="E9965" s="82" t="s">
        <v>10936</v>
      </c>
    </row>
    <row r="9966" spans="5:5" x14ac:dyDescent="0.25">
      <c r="E9966" s="82" t="s">
        <v>10937</v>
      </c>
    </row>
    <row r="9967" spans="5:5" x14ac:dyDescent="0.25">
      <c r="E9967" s="82" t="s">
        <v>10938</v>
      </c>
    </row>
    <row r="9968" spans="5:5" x14ac:dyDescent="0.25">
      <c r="E9968" s="82" t="s">
        <v>10939</v>
      </c>
    </row>
    <row r="9969" spans="5:5" x14ac:dyDescent="0.25">
      <c r="E9969" s="82" t="s">
        <v>10940</v>
      </c>
    </row>
    <row r="9970" spans="5:5" x14ac:dyDescent="0.25">
      <c r="E9970" s="82" t="s">
        <v>10941</v>
      </c>
    </row>
    <row r="9971" spans="5:5" x14ac:dyDescent="0.25">
      <c r="E9971" s="82" t="s">
        <v>10942</v>
      </c>
    </row>
    <row r="9972" spans="5:5" x14ac:dyDescent="0.25">
      <c r="E9972" s="82" t="s">
        <v>10943</v>
      </c>
    </row>
    <row r="9973" spans="5:5" x14ac:dyDescent="0.25">
      <c r="E9973" s="82" t="s">
        <v>10944</v>
      </c>
    </row>
    <row r="9974" spans="5:5" x14ac:dyDescent="0.25">
      <c r="E9974" s="82" t="s">
        <v>10945</v>
      </c>
    </row>
    <row r="9975" spans="5:5" x14ac:dyDescent="0.25">
      <c r="E9975" s="82" t="s">
        <v>10946</v>
      </c>
    </row>
    <row r="9976" spans="5:5" x14ac:dyDescent="0.25">
      <c r="E9976" s="82" t="s">
        <v>10947</v>
      </c>
    </row>
    <row r="9977" spans="5:5" x14ac:dyDescent="0.25">
      <c r="E9977" s="82" t="s">
        <v>10948</v>
      </c>
    </row>
    <row r="9978" spans="5:5" x14ac:dyDescent="0.25">
      <c r="E9978" s="82" t="s">
        <v>10949</v>
      </c>
    </row>
    <row r="9979" spans="5:5" x14ac:dyDescent="0.25">
      <c r="E9979" s="82" t="s">
        <v>10950</v>
      </c>
    </row>
    <row r="9980" spans="5:5" x14ac:dyDescent="0.25">
      <c r="E9980" s="82" t="s">
        <v>10951</v>
      </c>
    </row>
    <row r="9981" spans="5:5" x14ac:dyDescent="0.25">
      <c r="E9981" s="82" t="s">
        <v>10952</v>
      </c>
    </row>
    <row r="9982" spans="5:5" x14ac:dyDescent="0.25">
      <c r="E9982" s="82" t="s">
        <v>10953</v>
      </c>
    </row>
    <row r="9983" spans="5:5" x14ac:dyDescent="0.25">
      <c r="E9983" s="82" t="s">
        <v>10954</v>
      </c>
    </row>
    <row r="9984" spans="5:5" x14ac:dyDescent="0.25">
      <c r="E9984" s="82" t="s">
        <v>10955</v>
      </c>
    </row>
    <row r="9985" spans="5:5" x14ac:dyDescent="0.25">
      <c r="E9985" s="82" t="s">
        <v>10956</v>
      </c>
    </row>
    <row r="9986" spans="5:5" x14ac:dyDescent="0.25">
      <c r="E9986" s="82" t="s">
        <v>10957</v>
      </c>
    </row>
    <row r="9987" spans="5:5" x14ac:dyDescent="0.25">
      <c r="E9987" s="82" t="s">
        <v>10958</v>
      </c>
    </row>
    <row r="9988" spans="5:5" x14ac:dyDescent="0.25">
      <c r="E9988" s="82" t="s">
        <v>10959</v>
      </c>
    </row>
    <row r="9989" spans="5:5" x14ac:dyDescent="0.25">
      <c r="E9989" s="82" t="s">
        <v>10960</v>
      </c>
    </row>
    <row r="9990" spans="5:5" x14ac:dyDescent="0.25">
      <c r="E9990" s="82" t="s">
        <v>10961</v>
      </c>
    </row>
    <row r="9991" spans="5:5" x14ac:dyDescent="0.25">
      <c r="E9991" s="82" t="s">
        <v>10962</v>
      </c>
    </row>
    <row r="9992" spans="5:5" x14ac:dyDescent="0.25">
      <c r="E9992" s="82" t="s">
        <v>10963</v>
      </c>
    </row>
    <row r="9993" spans="5:5" x14ac:dyDescent="0.25">
      <c r="E9993" s="82" t="s">
        <v>10964</v>
      </c>
    </row>
    <row r="9994" spans="5:5" x14ac:dyDescent="0.25">
      <c r="E9994" s="82" t="s">
        <v>10965</v>
      </c>
    </row>
    <row r="9995" spans="5:5" x14ac:dyDescent="0.25">
      <c r="E9995" s="82" t="s">
        <v>10966</v>
      </c>
    </row>
    <row r="9996" spans="5:5" x14ac:dyDescent="0.25">
      <c r="E9996" s="82" t="s">
        <v>10967</v>
      </c>
    </row>
    <row r="9997" spans="5:5" x14ac:dyDescent="0.25">
      <c r="E9997" s="82" t="s">
        <v>10968</v>
      </c>
    </row>
    <row r="9998" spans="5:5" x14ac:dyDescent="0.25">
      <c r="E9998" s="82" t="s">
        <v>10969</v>
      </c>
    </row>
    <row r="9999" spans="5:5" x14ac:dyDescent="0.25">
      <c r="E9999" s="82" t="s">
        <v>10970</v>
      </c>
    </row>
    <row r="10000" spans="5:5" x14ac:dyDescent="0.25">
      <c r="E10000" s="82" t="s">
        <v>10971</v>
      </c>
    </row>
    <row r="10001" spans="5:5" x14ac:dyDescent="0.25">
      <c r="E10001" s="82" t="s">
        <v>10972</v>
      </c>
    </row>
    <row r="10002" spans="5:5" x14ac:dyDescent="0.25">
      <c r="E10002" s="82" t="s">
        <v>10973</v>
      </c>
    </row>
    <row r="10003" spans="5:5" x14ac:dyDescent="0.25">
      <c r="E10003" s="82" t="s">
        <v>10974</v>
      </c>
    </row>
    <row r="10004" spans="5:5" x14ac:dyDescent="0.25">
      <c r="E10004" s="82" t="s">
        <v>10975</v>
      </c>
    </row>
    <row r="10005" spans="5:5" x14ac:dyDescent="0.25">
      <c r="E10005" s="82" t="s">
        <v>10976</v>
      </c>
    </row>
    <row r="10006" spans="5:5" x14ac:dyDescent="0.25">
      <c r="E10006" s="82" t="s">
        <v>10977</v>
      </c>
    </row>
    <row r="10007" spans="5:5" x14ac:dyDescent="0.25">
      <c r="E10007" s="82" t="s">
        <v>10978</v>
      </c>
    </row>
    <row r="10008" spans="5:5" x14ac:dyDescent="0.25">
      <c r="E10008" s="82" t="s">
        <v>10979</v>
      </c>
    </row>
    <row r="10009" spans="5:5" x14ac:dyDescent="0.25">
      <c r="E10009" s="82" t="s">
        <v>10980</v>
      </c>
    </row>
    <row r="10010" spans="5:5" x14ac:dyDescent="0.25">
      <c r="E10010" s="82" t="s">
        <v>10981</v>
      </c>
    </row>
    <row r="10011" spans="5:5" x14ac:dyDescent="0.25">
      <c r="E10011" s="82" t="s">
        <v>10982</v>
      </c>
    </row>
    <row r="10012" spans="5:5" x14ac:dyDescent="0.25">
      <c r="E10012" s="82" t="s">
        <v>10983</v>
      </c>
    </row>
    <row r="10013" spans="5:5" x14ac:dyDescent="0.25">
      <c r="E10013" s="82" t="s">
        <v>10984</v>
      </c>
    </row>
    <row r="10014" spans="5:5" x14ac:dyDescent="0.25">
      <c r="E10014" s="82" t="s">
        <v>10985</v>
      </c>
    </row>
    <row r="10015" spans="5:5" x14ac:dyDescent="0.25">
      <c r="E10015" s="82" t="s">
        <v>10986</v>
      </c>
    </row>
    <row r="10016" spans="5:5" x14ac:dyDescent="0.25">
      <c r="E10016" s="82" t="s">
        <v>10987</v>
      </c>
    </row>
    <row r="10017" spans="5:5" x14ac:dyDescent="0.25">
      <c r="E10017" s="82" t="s">
        <v>10988</v>
      </c>
    </row>
    <row r="10018" spans="5:5" x14ac:dyDescent="0.25">
      <c r="E10018" s="82" t="s">
        <v>10989</v>
      </c>
    </row>
    <row r="10019" spans="5:5" x14ac:dyDescent="0.25">
      <c r="E10019" s="82" t="s">
        <v>10990</v>
      </c>
    </row>
    <row r="10020" spans="5:5" x14ac:dyDescent="0.25">
      <c r="E10020" s="82" t="s">
        <v>10991</v>
      </c>
    </row>
    <row r="10021" spans="5:5" x14ac:dyDescent="0.25">
      <c r="E10021" s="82" t="s">
        <v>10992</v>
      </c>
    </row>
    <row r="10022" spans="5:5" x14ac:dyDescent="0.25">
      <c r="E10022" s="82" t="s">
        <v>10993</v>
      </c>
    </row>
    <row r="10023" spans="5:5" x14ac:dyDescent="0.25">
      <c r="E10023" s="82" t="s">
        <v>10994</v>
      </c>
    </row>
    <row r="10024" spans="5:5" x14ac:dyDescent="0.25">
      <c r="E10024" s="82" t="s">
        <v>10995</v>
      </c>
    </row>
    <row r="10025" spans="5:5" x14ac:dyDescent="0.25">
      <c r="E10025" s="82" t="s">
        <v>10996</v>
      </c>
    </row>
    <row r="10026" spans="5:5" x14ac:dyDescent="0.25">
      <c r="E10026" s="82" t="s">
        <v>10997</v>
      </c>
    </row>
    <row r="10027" spans="5:5" x14ac:dyDescent="0.25">
      <c r="E10027" s="82" t="s">
        <v>10998</v>
      </c>
    </row>
    <row r="10028" spans="5:5" x14ac:dyDescent="0.25">
      <c r="E10028" s="82" t="s">
        <v>10999</v>
      </c>
    </row>
    <row r="10029" spans="5:5" x14ac:dyDescent="0.25">
      <c r="E10029" s="82" t="s">
        <v>11000</v>
      </c>
    </row>
    <row r="10030" spans="5:5" x14ac:dyDescent="0.25">
      <c r="E10030" s="82" t="s">
        <v>11001</v>
      </c>
    </row>
    <row r="10031" spans="5:5" x14ac:dyDescent="0.25">
      <c r="E10031" s="82" t="s">
        <v>11002</v>
      </c>
    </row>
    <row r="10032" spans="5:5" x14ac:dyDescent="0.25">
      <c r="E10032" s="82" t="s">
        <v>11003</v>
      </c>
    </row>
    <row r="10033" spans="5:5" x14ac:dyDescent="0.25">
      <c r="E10033" s="82" t="s">
        <v>11004</v>
      </c>
    </row>
    <row r="10034" spans="5:5" x14ac:dyDescent="0.25">
      <c r="E10034" s="82" t="s">
        <v>11005</v>
      </c>
    </row>
    <row r="10035" spans="5:5" x14ac:dyDescent="0.25">
      <c r="E10035" s="82" t="s">
        <v>11006</v>
      </c>
    </row>
    <row r="10036" spans="5:5" x14ac:dyDescent="0.25">
      <c r="E10036" s="82" t="s">
        <v>11007</v>
      </c>
    </row>
    <row r="10037" spans="5:5" x14ac:dyDescent="0.25">
      <c r="E10037" s="82" t="s">
        <v>11008</v>
      </c>
    </row>
    <row r="10038" spans="5:5" x14ac:dyDescent="0.25">
      <c r="E10038" s="82" t="s">
        <v>11009</v>
      </c>
    </row>
    <row r="10039" spans="5:5" x14ac:dyDescent="0.25">
      <c r="E10039" s="82" t="s">
        <v>11010</v>
      </c>
    </row>
    <row r="10040" spans="5:5" x14ac:dyDescent="0.25">
      <c r="E10040" s="82" t="s">
        <v>11011</v>
      </c>
    </row>
    <row r="10041" spans="5:5" x14ac:dyDescent="0.25">
      <c r="E10041" s="82" t="s">
        <v>11012</v>
      </c>
    </row>
    <row r="10042" spans="5:5" x14ac:dyDescent="0.25">
      <c r="E10042" s="82" t="s">
        <v>11013</v>
      </c>
    </row>
    <row r="10043" spans="5:5" x14ac:dyDescent="0.25">
      <c r="E10043" s="82" t="s">
        <v>11014</v>
      </c>
    </row>
    <row r="10044" spans="5:5" x14ac:dyDescent="0.25">
      <c r="E10044" s="82" t="s">
        <v>11015</v>
      </c>
    </row>
    <row r="10045" spans="5:5" x14ac:dyDescent="0.25">
      <c r="E10045" s="82" t="s">
        <v>11016</v>
      </c>
    </row>
    <row r="10046" spans="5:5" x14ac:dyDescent="0.25">
      <c r="E10046" s="82" t="s">
        <v>11017</v>
      </c>
    </row>
    <row r="10047" spans="5:5" x14ac:dyDescent="0.25">
      <c r="E10047" s="82" t="s">
        <v>11018</v>
      </c>
    </row>
    <row r="10048" spans="5:5" x14ac:dyDescent="0.25">
      <c r="E10048" s="82" t="s">
        <v>11019</v>
      </c>
    </row>
    <row r="10049" spans="5:5" x14ac:dyDescent="0.25">
      <c r="E10049" s="82" t="s">
        <v>11020</v>
      </c>
    </row>
    <row r="10050" spans="5:5" x14ac:dyDescent="0.25">
      <c r="E10050" s="82" t="s">
        <v>11021</v>
      </c>
    </row>
    <row r="10051" spans="5:5" x14ac:dyDescent="0.25">
      <c r="E10051" s="82" t="s">
        <v>11022</v>
      </c>
    </row>
    <row r="10052" spans="5:5" x14ac:dyDescent="0.25">
      <c r="E10052" s="82" t="s">
        <v>11023</v>
      </c>
    </row>
    <row r="10053" spans="5:5" x14ac:dyDescent="0.25">
      <c r="E10053" s="82" t="s">
        <v>11024</v>
      </c>
    </row>
    <row r="10054" spans="5:5" x14ac:dyDescent="0.25">
      <c r="E10054" s="82" t="s">
        <v>11025</v>
      </c>
    </row>
    <row r="10055" spans="5:5" x14ac:dyDescent="0.25">
      <c r="E10055" s="82" t="s">
        <v>11026</v>
      </c>
    </row>
    <row r="10056" spans="5:5" x14ac:dyDescent="0.25">
      <c r="E10056" s="82" t="s">
        <v>11027</v>
      </c>
    </row>
    <row r="10057" spans="5:5" x14ac:dyDescent="0.25">
      <c r="E10057" s="82" t="s">
        <v>11028</v>
      </c>
    </row>
    <row r="10058" spans="5:5" x14ac:dyDescent="0.25">
      <c r="E10058" s="82" t="s">
        <v>11029</v>
      </c>
    </row>
    <row r="10059" spans="5:5" x14ac:dyDescent="0.25">
      <c r="E10059" s="82" t="s">
        <v>11030</v>
      </c>
    </row>
    <row r="10060" spans="5:5" x14ac:dyDescent="0.25">
      <c r="E10060" s="82" t="s">
        <v>11031</v>
      </c>
    </row>
    <row r="10061" spans="5:5" x14ac:dyDescent="0.25">
      <c r="E10061" s="82" t="s">
        <v>11032</v>
      </c>
    </row>
    <row r="10062" spans="5:5" x14ac:dyDescent="0.25">
      <c r="E10062" s="82" t="s">
        <v>11033</v>
      </c>
    </row>
    <row r="10063" spans="5:5" x14ac:dyDescent="0.25">
      <c r="E10063" s="82" t="s">
        <v>11034</v>
      </c>
    </row>
    <row r="10064" spans="5:5" x14ac:dyDescent="0.25">
      <c r="E10064" s="82" t="s">
        <v>11035</v>
      </c>
    </row>
    <row r="10065" spans="5:5" x14ac:dyDescent="0.25">
      <c r="E10065" s="82" t="s">
        <v>11036</v>
      </c>
    </row>
    <row r="10066" spans="5:5" x14ac:dyDescent="0.25">
      <c r="E10066" s="82" t="s">
        <v>11037</v>
      </c>
    </row>
    <row r="10067" spans="5:5" x14ac:dyDescent="0.25">
      <c r="E10067" s="82" t="s">
        <v>11038</v>
      </c>
    </row>
    <row r="10068" spans="5:5" x14ac:dyDescent="0.25">
      <c r="E10068" s="82" t="s">
        <v>11039</v>
      </c>
    </row>
    <row r="10069" spans="5:5" x14ac:dyDescent="0.25">
      <c r="E10069" s="82" t="s">
        <v>11040</v>
      </c>
    </row>
    <row r="10070" spans="5:5" x14ac:dyDescent="0.25">
      <c r="E10070" s="82" t="s">
        <v>11041</v>
      </c>
    </row>
    <row r="10071" spans="5:5" x14ac:dyDescent="0.25">
      <c r="E10071" s="82" t="s">
        <v>11042</v>
      </c>
    </row>
    <row r="10072" spans="5:5" x14ac:dyDescent="0.25">
      <c r="E10072" s="82" t="s">
        <v>11043</v>
      </c>
    </row>
    <row r="10073" spans="5:5" x14ac:dyDescent="0.25">
      <c r="E10073" s="82" t="s">
        <v>11044</v>
      </c>
    </row>
    <row r="10074" spans="5:5" x14ac:dyDescent="0.25">
      <c r="E10074" s="82" t="s">
        <v>11045</v>
      </c>
    </row>
    <row r="10075" spans="5:5" x14ac:dyDescent="0.25">
      <c r="E10075" s="82" t="s">
        <v>11046</v>
      </c>
    </row>
    <row r="10076" spans="5:5" x14ac:dyDescent="0.25">
      <c r="E10076" s="82" t="s">
        <v>11047</v>
      </c>
    </row>
    <row r="10077" spans="5:5" x14ac:dyDescent="0.25">
      <c r="E10077" s="82" t="s">
        <v>11048</v>
      </c>
    </row>
    <row r="10078" spans="5:5" x14ac:dyDescent="0.25">
      <c r="E10078" s="82" t="s">
        <v>11049</v>
      </c>
    </row>
    <row r="10079" spans="5:5" x14ac:dyDescent="0.25">
      <c r="E10079" s="82" t="s">
        <v>11050</v>
      </c>
    </row>
    <row r="10080" spans="5:5" x14ac:dyDescent="0.25">
      <c r="E10080" s="82" t="s">
        <v>11051</v>
      </c>
    </row>
    <row r="10081" spans="5:5" x14ac:dyDescent="0.25">
      <c r="E10081" s="82" t="s">
        <v>11052</v>
      </c>
    </row>
    <row r="10082" spans="5:5" x14ac:dyDescent="0.25">
      <c r="E10082" s="82" t="s">
        <v>11053</v>
      </c>
    </row>
    <row r="10083" spans="5:5" x14ac:dyDescent="0.25">
      <c r="E10083" s="82" t="s">
        <v>11054</v>
      </c>
    </row>
    <row r="10084" spans="5:5" x14ac:dyDescent="0.25">
      <c r="E10084" s="82" t="s">
        <v>11055</v>
      </c>
    </row>
    <row r="10085" spans="5:5" x14ac:dyDescent="0.25">
      <c r="E10085" s="82" t="s">
        <v>11056</v>
      </c>
    </row>
    <row r="10086" spans="5:5" x14ac:dyDescent="0.25">
      <c r="E10086" s="82" t="s">
        <v>11057</v>
      </c>
    </row>
    <row r="10087" spans="5:5" x14ac:dyDescent="0.25">
      <c r="E10087" s="82" t="s">
        <v>11058</v>
      </c>
    </row>
    <row r="10088" spans="5:5" x14ac:dyDescent="0.25">
      <c r="E10088" s="82" t="s">
        <v>11059</v>
      </c>
    </row>
    <row r="10089" spans="5:5" x14ac:dyDescent="0.25">
      <c r="E10089" s="82" t="s">
        <v>11060</v>
      </c>
    </row>
    <row r="10090" spans="5:5" x14ac:dyDescent="0.25">
      <c r="E10090" s="82" t="s">
        <v>11061</v>
      </c>
    </row>
    <row r="10091" spans="5:5" x14ac:dyDescent="0.25">
      <c r="E10091" s="82" t="s">
        <v>11062</v>
      </c>
    </row>
    <row r="10092" spans="5:5" x14ac:dyDescent="0.25">
      <c r="E10092" s="82" t="s">
        <v>11063</v>
      </c>
    </row>
    <row r="10093" spans="5:5" x14ac:dyDescent="0.25">
      <c r="E10093" s="82" t="s">
        <v>11064</v>
      </c>
    </row>
    <row r="10094" spans="5:5" x14ac:dyDescent="0.25">
      <c r="E10094" s="82" t="s">
        <v>11065</v>
      </c>
    </row>
    <row r="10095" spans="5:5" x14ac:dyDescent="0.25">
      <c r="E10095" s="82" t="s">
        <v>11066</v>
      </c>
    </row>
    <row r="10096" spans="5:5" x14ac:dyDescent="0.25">
      <c r="E10096" s="82" t="s">
        <v>11067</v>
      </c>
    </row>
    <row r="10097" spans="5:5" x14ac:dyDescent="0.25">
      <c r="E10097" s="82" t="s">
        <v>11068</v>
      </c>
    </row>
    <row r="10098" spans="5:5" x14ac:dyDescent="0.25">
      <c r="E10098" s="82" t="s">
        <v>11069</v>
      </c>
    </row>
    <row r="10099" spans="5:5" x14ac:dyDescent="0.25">
      <c r="E10099" s="82" t="s">
        <v>11070</v>
      </c>
    </row>
    <row r="10100" spans="5:5" x14ac:dyDescent="0.25">
      <c r="E10100" s="82" t="s">
        <v>11071</v>
      </c>
    </row>
    <row r="10101" spans="5:5" x14ac:dyDescent="0.25">
      <c r="E10101" s="82" t="s">
        <v>11072</v>
      </c>
    </row>
    <row r="10102" spans="5:5" x14ac:dyDescent="0.25">
      <c r="E10102" s="82" t="s">
        <v>11073</v>
      </c>
    </row>
    <row r="10103" spans="5:5" x14ac:dyDescent="0.25">
      <c r="E10103" s="82" t="s">
        <v>11074</v>
      </c>
    </row>
    <row r="10104" spans="5:5" x14ac:dyDescent="0.25">
      <c r="E10104" s="82" t="s">
        <v>11075</v>
      </c>
    </row>
    <row r="10105" spans="5:5" x14ac:dyDescent="0.25">
      <c r="E10105" s="82" t="s">
        <v>11076</v>
      </c>
    </row>
    <row r="10106" spans="5:5" x14ac:dyDescent="0.25">
      <c r="E10106" s="82" t="s">
        <v>11077</v>
      </c>
    </row>
    <row r="10107" spans="5:5" x14ac:dyDescent="0.25">
      <c r="E10107" s="82" t="s">
        <v>11078</v>
      </c>
    </row>
    <row r="10108" spans="5:5" x14ac:dyDescent="0.25">
      <c r="E10108" s="82" t="s">
        <v>11079</v>
      </c>
    </row>
    <row r="10109" spans="5:5" x14ac:dyDescent="0.25">
      <c r="E10109" s="82" t="s">
        <v>11080</v>
      </c>
    </row>
    <row r="10110" spans="5:5" x14ac:dyDescent="0.25">
      <c r="E10110" s="82" t="s">
        <v>11081</v>
      </c>
    </row>
    <row r="10111" spans="5:5" x14ac:dyDescent="0.25">
      <c r="E10111" s="82" t="s">
        <v>11082</v>
      </c>
    </row>
    <row r="10112" spans="5:5" x14ac:dyDescent="0.25">
      <c r="E10112" s="82" t="s">
        <v>11083</v>
      </c>
    </row>
    <row r="10113" spans="5:5" x14ac:dyDescent="0.25">
      <c r="E10113" s="82" t="s">
        <v>11084</v>
      </c>
    </row>
    <row r="10114" spans="5:5" x14ac:dyDescent="0.25">
      <c r="E10114" s="82" t="s">
        <v>11085</v>
      </c>
    </row>
    <row r="10115" spans="5:5" x14ac:dyDescent="0.25">
      <c r="E10115" s="82" t="s">
        <v>11086</v>
      </c>
    </row>
    <row r="10116" spans="5:5" x14ac:dyDescent="0.25">
      <c r="E10116" s="82" t="s">
        <v>11087</v>
      </c>
    </row>
    <row r="10117" spans="5:5" x14ac:dyDescent="0.25">
      <c r="E10117" s="82" t="s">
        <v>11088</v>
      </c>
    </row>
    <row r="10118" spans="5:5" x14ac:dyDescent="0.25">
      <c r="E10118" s="82" t="s">
        <v>11089</v>
      </c>
    </row>
    <row r="10119" spans="5:5" x14ac:dyDescent="0.25">
      <c r="E10119" s="82" t="s">
        <v>11090</v>
      </c>
    </row>
    <row r="10120" spans="5:5" x14ac:dyDescent="0.25">
      <c r="E10120" s="82" t="s">
        <v>11091</v>
      </c>
    </row>
    <row r="10121" spans="5:5" x14ac:dyDescent="0.25">
      <c r="E10121" s="82" t="s">
        <v>11092</v>
      </c>
    </row>
    <row r="10122" spans="5:5" x14ac:dyDescent="0.25">
      <c r="E10122" s="82" t="s">
        <v>11093</v>
      </c>
    </row>
    <row r="10123" spans="5:5" x14ac:dyDescent="0.25">
      <c r="E10123" s="82" t="s">
        <v>11094</v>
      </c>
    </row>
    <row r="10124" spans="5:5" x14ac:dyDescent="0.25">
      <c r="E10124" s="82" t="s">
        <v>11095</v>
      </c>
    </row>
    <row r="10125" spans="5:5" x14ac:dyDescent="0.25">
      <c r="E10125" s="82" t="s">
        <v>11096</v>
      </c>
    </row>
    <row r="10126" spans="5:5" x14ac:dyDescent="0.25">
      <c r="E10126" s="82" t="s">
        <v>11097</v>
      </c>
    </row>
    <row r="10127" spans="5:5" x14ac:dyDescent="0.25">
      <c r="E10127" s="82" t="s">
        <v>11098</v>
      </c>
    </row>
    <row r="10128" spans="5:5" x14ac:dyDescent="0.25">
      <c r="E10128" s="82" t="s">
        <v>11099</v>
      </c>
    </row>
    <row r="10129" spans="5:5" x14ac:dyDescent="0.25">
      <c r="E10129" s="82" t="s">
        <v>11100</v>
      </c>
    </row>
    <row r="10130" spans="5:5" x14ac:dyDescent="0.25">
      <c r="E10130" s="82" t="s">
        <v>11101</v>
      </c>
    </row>
    <row r="10131" spans="5:5" x14ac:dyDescent="0.25">
      <c r="E10131" s="82" t="s">
        <v>11102</v>
      </c>
    </row>
    <row r="10132" spans="5:5" x14ac:dyDescent="0.25">
      <c r="E10132" s="82" t="s">
        <v>11103</v>
      </c>
    </row>
    <row r="10133" spans="5:5" x14ac:dyDescent="0.25">
      <c r="E10133" s="82" t="s">
        <v>11104</v>
      </c>
    </row>
    <row r="10134" spans="5:5" x14ac:dyDescent="0.25">
      <c r="E10134" s="82" t="s">
        <v>11105</v>
      </c>
    </row>
    <row r="10135" spans="5:5" x14ac:dyDescent="0.25">
      <c r="E10135" s="82" t="s">
        <v>11106</v>
      </c>
    </row>
    <row r="10136" spans="5:5" x14ac:dyDescent="0.25">
      <c r="E10136" s="82" t="s">
        <v>11107</v>
      </c>
    </row>
    <row r="10137" spans="5:5" x14ac:dyDescent="0.25">
      <c r="E10137" s="82" t="s">
        <v>11108</v>
      </c>
    </row>
    <row r="10138" spans="5:5" x14ac:dyDescent="0.25">
      <c r="E10138" s="82" t="s">
        <v>11109</v>
      </c>
    </row>
    <row r="10139" spans="5:5" x14ac:dyDescent="0.25">
      <c r="E10139" s="82" t="s">
        <v>11110</v>
      </c>
    </row>
    <row r="10140" spans="5:5" x14ac:dyDescent="0.25">
      <c r="E10140" s="82" t="s">
        <v>11111</v>
      </c>
    </row>
    <row r="10141" spans="5:5" x14ac:dyDescent="0.25">
      <c r="E10141" s="82" t="s">
        <v>11112</v>
      </c>
    </row>
    <row r="10142" spans="5:5" x14ac:dyDescent="0.25">
      <c r="E10142" s="82" t="s">
        <v>11113</v>
      </c>
    </row>
    <row r="10143" spans="5:5" x14ac:dyDescent="0.25">
      <c r="E10143" s="82" t="s">
        <v>11114</v>
      </c>
    </row>
    <row r="10144" spans="5:5" x14ac:dyDescent="0.25">
      <c r="E10144" s="82" t="s">
        <v>11115</v>
      </c>
    </row>
    <row r="10145" spans="5:5" x14ac:dyDescent="0.25">
      <c r="E10145" s="82" t="s">
        <v>11116</v>
      </c>
    </row>
    <row r="10146" spans="5:5" x14ac:dyDescent="0.25">
      <c r="E10146" s="82" t="s">
        <v>11117</v>
      </c>
    </row>
    <row r="10147" spans="5:5" x14ac:dyDescent="0.25">
      <c r="E10147" s="82" t="s">
        <v>11118</v>
      </c>
    </row>
    <row r="10148" spans="5:5" x14ac:dyDescent="0.25">
      <c r="E10148" s="82" t="s">
        <v>11119</v>
      </c>
    </row>
    <row r="10149" spans="5:5" x14ac:dyDescent="0.25">
      <c r="E10149" s="82" t="s">
        <v>11120</v>
      </c>
    </row>
    <row r="10150" spans="5:5" x14ac:dyDescent="0.25">
      <c r="E10150" s="82" t="s">
        <v>11121</v>
      </c>
    </row>
    <row r="10151" spans="5:5" x14ac:dyDescent="0.25">
      <c r="E10151" s="82" t="s">
        <v>11122</v>
      </c>
    </row>
    <row r="10152" spans="5:5" x14ac:dyDescent="0.25">
      <c r="E10152" s="82" t="s">
        <v>11123</v>
      </c>
    </row>
    <row r="10153" spans="5:5" x14ac:dyDescent="0.25">
      <c r="E10153" s="82" t="s">
        <v>11124</v>
      </c>
    </row>
    <row r="10154" spans="5:5" x14ac:dyDescent="0.25">
      <c r="E10154" s="82" t="s">
        <v>11125</v>
      </c>
    </row>
    <row r="10155" spans="5:5" x14ac:dyDescent="0.25">
      <c r="E10155" s="82" t="s">
        <v>11126</v>
      </c>
    </row>
    <row r="10156" spans="5:5" x14ac:dyDescent="0.25">
      <c r="E10156" s="82" t="s">
        <v>11127</v>
      </c>
    </row>
    <row r="10157" spans="5:5" x14ac:dyDescent="0.25">
      <c r="E10157" s="82" t="s">
        <v>11128</v>
      </c>
    </row>
    <row r="10158" spans="5:5" x14ac:dyDescent="0.25">
      <c r="E10158" s="82" t="s">
        <v>11129</v>
      </c>
    </row>
    <row r="10159" spans="5:5" x14ac:dyDescent="0.25">
      <c r="E10159" s="82" t="s">
        <v>11130</v>
      </c>
    </row>
    <row r="10160" spans="5:5" x14ac:dyDescent="0.25">
      <c r="E10160" s="82" t="s">
        <v>11131</v>
      </c>
    </row>
    <row r="10161" spans="5:5" x14ac:dyDescent="0.25">
      <c r="E10161" s="82" t="s">
        <v>11132</v>
      </c>
    </row>
    <row r="10162" spans="5:5" x14ac:dyDescent="0.25">
      <c r="E10162" s="82" t="s">
        <v>11133</v>
      </c>
    </row>
    <row r="10163" spans="5:5" x14ac:dyDescent="0.25">
      <c r="E10163" s="82" t="s">
        <v>11134</v>
      </c>
    </row>
    <row r="10164" spans="5:5" x14ac:dyDescent="0.25">
      <c r="E10164" s="82" t="s">
        <v>11135</v>
      </c>
    </row>
    <row r="10165" spans="5:5" x14ac:dyDescent="0.25">
      <c r="E10165" s="82" t="s">
        <v>11136</v>
      </c>
    </row>
    <row r="10166" spans="5:5" x14ac:dyDescent="0.25">
      <c r="E10166" s="82" t="s">
        <v>11137</v>
      </c>
    </row>
    <row r="10167" spans="5:5" x14ac:dyDescent="0.25">
      <c r="E10167" s="82" t="s">
        <v>11138</v>
      </c>
    </row>
    <row r="10168" spans="5:5" x14ac:dyDescent="0.25">
      <c r="E10168" s="82" t="s">
        <v>11139</v>
      </c>
    </row>
    <row r="10169" spans="5:5" x14ac:dyDescent="0.25">
      <c r="E10169" s="82" t="s">
        <v>11140</v>
      </c>
    </row>
    <row r="10170" spans="5:5" x14ac:dyDescent="0.25">
      <c r="E10170" s="82" t="s">
        <v>11141</v>
      </c>
    </row>
    <row r="10171" spans="5:5" x14ac:dyDescent="0.25">
      <c r="E10171" s="82" t="s">
        <v>11142</v>
      </c>
    </row>
    <row r="10172" spans="5:5" x14ac:dyDescent="0.25">
      <c r="E10172" s="82" t="s">
        <v>11143</v>
      </c>
    </row>
    <row r="10173" spans="5:5" x14ac:dyDescent="0.25">
      <c r="E10173" s="82" t="s">
        <v>11144</v>
      </c>
    </row>
    <row r="10174" spans="5:5" x14ac:dyDescent="0.25">
      <c r="E10174" s="82" t="s">
        <v>11145</v>
      </c>
    </row>
    <row r="10175" spans="5:5" x14ac:dyDescent="0.25">
      <c r="E10175" s="82" t="s">
        <v>11146</v>
      </c>
    </row>
    <row r="10176" spans="5:5" x14ac:dyDescent="0.25">
      <c r="E10176" s="82" t="s">
        <v>11147</v>
      </c>
    </row>
    <row r="10177" spans="5:5" x14ac:dyDescent="0.25">
      <c r="E10177" s="82" t="s">
        <v>11148</v>
      </c>
    </row>
    <row r="10178" spans="5:5" x14ac:dyDescent="0.25">
      <c r="E10178" s="82" t="s">
        <v>11149</v>
      </c>
    </row>
    <row r="10179" spans="5:5" x14ac:dyDescent="0.25">
      <c r="E10179" s="82" t="s">
        <v>11150</v>
      </c>
    </row>
    <row r="10180" spans="5:5" x14ac:dyDescent="0.25">
      <c r="E10180" s="82" t="s">
        <v>11151</v>
      </c>
    </row>
    <row r="10181" spans="5:5" x14ac:dyDescent="0.25">
      <c r="E10181" s="82" t="s">
        <v>11152</v>
      </c>
    </row>
    <row r="10182" spans="5:5" x14ac:dyDescent="0.25">
      <c r="E10182" s="82" t="s">
        <v>11153</v>
      </c>
    </row>
    <row r="10183" spans="5:5" x14ac:dyDescent="0.25">
      <c r="E10183" s="82" t="s">
        <v>11154</v>
      </c>
    </row>
    <row r="10184" spans="5:5" x14ac:dyDescent="0.25">
      <c r="E10184" s="82" t="s">
        <v>11155</v>
      </c>
    </row>
    <row r="10185" spans="5:5" x14ac:dyDescent="0.25">
      <c r="E10185" s="82" t="s">
        <v>11156</v>
      </c>
    </row>
    <row r="10186" spans="5:5" x14ac:dyDescent="0.25">
      <c r="E10186" s="82" t="s">
        <v>11157</v>
      </c>
    </row>
    <row r="10187" spans="5:5" x14ac:dyDescent="0.25">
      <c r="E10187" s="82" t="s">
        <v>11158</v>
      </c>
    </row>
    <row r="10188" spans="5:5" x14ac:dyDescent="0.25">
      <c r="E10188" s="82" t="s">
        <v>11159</v>
      </c>
    </row>
    <row r="10189" spans="5:5" x14ac:dyDescent="0.25">
      <c r="E10189" s="82" t="s">
        <v>11160</v>
      </c>
    </row>
    <row r="10190" spans="5:5" x14ac:dyDescent="0.25">
      <c r="E10190" s="82" t="s">
        <v>11161</v>
      </c>
    </row>
    <row r="10191" spans="5:5" x14ac:dyDescent="0.25">
      <c r="E10191" s="82" t="s">
        <v>11162</v>
      </c>
    </row>
    <row r="10192" spans="5:5" x14ac:dyDescent="0.25">
      <c r="E10192" s="82" t="s">
        <v>11163</v>
      </c>
    </row>
    <row r="10193" spans="5:5" x14ac:dyDescent="0.25">
      <c r="E10193" s="82" t="s">
        <v>11164</v>
      </c>
    </row>
    <row r="10194" spans="5:5" x14ac:dyDescent="0.25">
      <c r="E10194" s="82" t="s">
        <v>11165</v>
      </c>
    </row>
    <row r="10195" spans="5:5" x14ac:dyDescent="0.25">
      <c r="E10195" s="82" t="s">
        <v>11166</v>
      </c>
    </row>
    <row r="10196" spans="5:5" x14ac:dyDescent="0.25">
      <c r="E10196" s="82" t="s">
        <v>11167</v>
      </c>
    </row>
    <row r="10197" spans="5:5" x14ac:dyDescent="0.25">
      <c r="E10197" s="82" t="s">
        <v>11168</v>
      </c>
    </row>
    <row r="10198" spans="5:5" x14ac:dyDescent="0.25">
      <c r="E10198" s="82" t="s">
        <v>11169</v>
      </c>
    </row>
    <row r="10199" spans="5:5" x14ac:dyDescent="0.25">
      <c r="E10199" s="82" t="s">
        <v>11170</v>
      </c>
    </row>
    <row r="10200" spans="5:5" x14ac:dyDescent="0.25">
      <c r="E10200" s="82" t="s">
        <v>11171</v>
      </c>
    </row>
    <row r="10201" spans="5:5" x14ac:dyDescent="0.25">
      <c r="E10201" s="82" t="s">
        <v>11172</v>
      </c>
    </row>
    <row r="10202" spans="5:5" x14ac:dyDescent="0.25">
      <c r="E10202" s="82" t="s">
        <v>11173</v>
      </c>
    </row>
    <row r="10203" spans="5:5" x14ac:dyDescent="0.25">
      <c r="E10203" s="82" t="s">
        <v>11174</v>
      </c>
    </row>
    <row r="10204" spans="5:5" x14ac:dyDescent="0.25">
      <c r="E10204" s="82" t="s">
        <v>11175</v>
      </c>
    </row>
    <row r="10205" spans="5:5" x14ac:dyDescent="0.25">
      <c r="E10205" s="82" t="s">
        <v>11176</v>
      </c>
    </row>
    <row r="10206" spans="5:5" x14ac:dyDescent="0.25">
      <c r="E10206" s="82" t="s">
        <v>11177</v>
      </c>
    </row>
    <row r="10207" spans="5:5" x14ac:dyDescent="0.25">
      <c r="E10207" s="82" t="s">
        <v>11178</v>
      </c>
    </row>
    <row r="10208" spans="5:5" x14ac:dyDescent="0.25">
      <c r="E10208" s="82" t="s">
        <v>11179</v>
      </c>
    </row>
    <row r="10209" spans="5:5" x14ac:dyDescent="0.25">
      <c r="E10209" s="82" t="s">
        <v>11180</v>
      </c>
    </row>
    <row r="10210" spans="5:5" x14ac:dyDescent="0.25">
      <c r="E10210" s="82" t="s">
        <v>11181</v>
      </c>
    </row>
    <row r="10211" spans="5:5" x14ac:dyDescent="0.25">
      <c r="E10211" s="82" t="s">
        <v>11182</v>
      </c>
    </row>
    <row r="10212" spans="5:5" x14ac:dyDescent="0.25">
      <c r="E10212" s="82" t="s">
        <v>11183</v>
      </c>
    </row>
    <row r="10213" spans="5:5" x14ac:dyDescent="0.25">
      <c r="E10213" s="82" t="s">
        <v>11184</v>
      </c>
    </row>
    <row r="10214" spans="5:5" x14ac:dyDescent="0.25">
      <c r="E10214" s="82" t="s">
        <v>11185</v>
      </c>
    </row>
    <row r="10215" spans="5:5" x14ac:dyDescent="0.25">
      <c r="E10215" s="82" t="s">
        <v>11186</v>
      </c>
    </row>
    <row r="10216" spans="5:5" x14ac:dyDescent="0.25">
      <c r="E10216" s="82" t="s">
        <v>11187</v>
      </c>
    </row>
    <row r="10217" spans="5:5" x14ac:dyDescent="0.25">
      <c r="E10217" s="82" t="s">
        <v>11188</v>
      </c>
    </row>
    <row r="10218" spans="5:5" x14ac:dyDescent="0.25">
      <c r="E10218" s="82" t="s">
        <v>11189</v>
      </c>
    </row>
    <row r="10219" spans="5:5" x14ac:dyDescent="0.25">
      <c r="E10219" s="82" t="s">
        <v>11190</v>
      </c>
    </row>
    <row r="10220" spans="5:5" x14ac:dyDescent="0.25">
      <c r="E10220" s="82" t="s">
        <v>11191</v>
      </c>
    </row>
    <row r="10221" spans="5:5" x14ac:dyDescent="0.25">
      <c r="E10221" s="82" t="s">
        <v>11192</v>
      </c>
    </row>
    <row r="10222" spans="5:5" x14ac:dyDescent="0.25">
      <c r="E10222" s="82" t="s">
        <v>11193</v>
      </c>
    </row>
    <row r="10223" spans="5:5" x14ac:dyDescent="0.25">
      <c r="E10223" s="82" t="s">
        <v>11194</v>
      </c>
    </row>
    <row r="10224" spans="5:5" x14ac:dyDescent="0.25">
      <c r="E10224" s="82" t="s">
        <v>11195</v>
      </c>
    </row>
    <row r="10225" spans="5:5" x14ac:dyDescent="0.25">
      <c r="E10225" s="82" t="s">
        <v>11196</v>
      </c>
    </row>
    <row r="10226" spans="5:5" x14ac:dyDescent="0.25">
      <c r="E10226" s="82" t="s">
        <v>11197</v>
      </c>
    </row>
    <row r="10227" spans="5:5" x14ac:dyDescent="0.25">
      <c r="E10227" s="82" t="s">
        <v>11198</v>
      </c>
    </row>
    <row r="10228" spans="5:5" x14ac:dyDescent="0.25">
      <c r="E10228" s="82" t="s">
        <v>11199</v>
      </c>
    </row>
    <row r="10229" spans="5:5" x14ac:dyDescent="0.25">
      <c r="E10229" s="82" t="s">
        <v>11200</v>
      </c>
    </row>
    <row r="10230" spans="5:5" x14ac:dyDescent="0.25">
      <c r="E10230" s="82" t="s">
        <v>11201</v>
      </c>
    </row>
    <row r="10231" spans="5:5" x14ac:dyDescent="0.25">
      <c r="E10231" s="82" t="s">
        <v>11202</v>
      </c>
    </row>
    <row r="10232" spans="5:5" x14ac:dyDescent="0.25">
      <c r="E10232" s="82" t="s">
        <v>11203</v>
      </c>
    </row>
    <row r="10233" spans="5:5" x14ac:dyDescent="0.25">
      <c r="E10233" s="82" t="s">
        <v>11204</v>
      </c>
    </row>
    <row r="10234" spans="5:5" x14ac:dyDescent="0.25">
      <c r="E10234" s="82" t="s">
        <v>11205</v>
      </c>
    </row>
    <row r="10235" spans="5:5" x14ac:dyDescent="0.25">
      <c r="E10235" s="82" t="s">
        <v>11206</v>
      </c>
    </row>
    <row r="10236" spans="5:5" x14ac:dyDescent="0.25">
      <c r="E10236" s="82" t="s">
        <v>11207</v>
      </c>
    </row>
    <row r="10237" spans="5:5" x14ac:dyDescent="0.25">
      <c r="E10237" s="82" t="s">
        <v>11208</v>
      </c>
    </row>
    <row r="10238" spans="5:5" x14ac:dyDescent="0.25">
      <c r="E10238" s="82" t="s">
        <v>11209</v>
      </c>
    </row>
    <row r="10239" spans="5:5" x14ac:dyDescent="0.25">
      <c r="E10239" s="82" t="s">
        <v>11210</v>
      </c>
    </row>
    <row r="10240" spans="5:5" x14ac:dyDescent="0.25">
      <c r="E10240" s="82" t="s">
        <v>11211</v>
      </c>
    </row>
    <row r="10241" spans="5:5" x14ac:dyDescent="0.25">
      <c r="E10241" s="82" t="s">
        <v>11212</v>
      </c>
    </row>
    <row r="10242" spans="5:5" x14ac:dyDescent="0.25">
      <c r="E10242" s="82" t="s">
        <v>11213</v>
      </c>
    </row>
    <row r="10243" spans="5:5" x14ac:dyDescent="0.25">
      <c r="E10243" s="82" t="s">
        <v>11214</v>
      </c>
    </row>
    <row r="10244" spans="5:5" x14ac:dyDescent="0.25">
      <c r="E10244" s="82" t="s">
        <v>11215</v>
      </c>
    </row>
    <row r="10245" spans="5:5" x14ac:dyDescent="0.25">
      <c r="E10245" s="82" t="s">
        <v>11216</v>
      </c>
    </row>
    <row r="10246" spans="5:5" x14ac:dyDescent="0.25">
      <c r="E10246" s="82" t="s">
        <v>11217</v>
      </c>
    </row>
    <row r="10247" spans="5:5" x14ac:dyDescent="0.25">
      <c r="E10247" s="82" t="s">
        <v>11218</v>
      </c>
    </row>
    <row r="10248" spans="5:5" x14ac:dyDescent="0.25">
      <c r="E10248" s="82" t="s">
        <v>11219</v>
      </c>
    </row>
    <row r="10249" spans="5:5" x14ac:dyDescent="0.25">
      <c r="E10249" s="82" t="s">
        <v>11220</v>
      </c>
    </row>
    <row r="10250" spans="5:5" x14ac:dyDescent="0.25">
      <c r="E10250" s="82" t="s">
        <v>11221</v>
      </c>
    </row>
    <row r="10251" spans="5:5" x14ac:dyDescent="0.25">
      <c r="E10251" s="82" t="s">
        <v>11222</v>
      </c>
    </row>
    <row r="10252" spans="5:5" x14ac:dyDescent="0.25">
      <c r="E10252" s="82" t="s">
        <v>11223</v>
      </c>
    </row>
    <row r="10253" spans="5:5" x14ac:dyDescent="0.25">
      <c r="E10253" s="82" t="s">
        <v>11224</v>
      </c>
    </row>
    <row r="10254" spans="5:5" x14ac:dyDescent="0.25">
      <c r="E10254" s="82" t="s">
        <v>11225</v>
      </c>
    </row>
    <row r="10255" spans="5:5" x14ac:dyDescent="0.25">
      <c r="E10255" s="82" t="s">
        <v>11226</v>
      </c>
    </row>
    <row r="10256" spans="5:5" x14ac:dyDescent="0.25">
      <c r="E10256" s="82" t="s">
        <v>11227</v>
      </c>
    </row>
    <row r="10257" spans="5:5" x14ac:dyDescent="0.25">
      <c r="E10257" s="82" t="s">
        <v>11228</v>
      </c>
    </row>
    <row r="10258" spans="5:5" x14ac:dyDescent="0.25">
      <c r="E10258" s="82" t="s">
        <v>11229</v>
      </c>
    </row>
    <row r="10259" spans="5:5" x14ac:dyDescent="0.25">
      <c r="E10259" s="82" t="s">
        <v>11230</v>
      </c>
    </row>
    <row r="10260" spans="5:5" x14ac:dyDescent="0.25">
      <c r="E10260" s="82" t="s">
        <v>11231</v>
      </c>
    </row>
    <row r="10261" spans="5:5" x14ac:dyDescent="0.25">
      <c r="E10261" s="82" t="s">
        <v>11232</v>
      </c>
    </row>
    <row r="10262" spans="5:5" x14ac:dyDescent="0.25">
      <c r="E10262" s="82" t="s">
        <v>11233</v>
      </c>
    </row>
    <row r="10263" spans="5:5" x14ac:dyDescent="0.25">
      <c r="E10263" s="82" t="s">
        <v>11234</v>
      </c>
    </row>
    <row r="10264" spans="5:5" x14ac:dyDescent="0.25">
      <c r="E10264" s="82" t="s">
        <v>11235</v>
      </c>
    </row>
    <row r="10265" spans="5:5" x14ac:dyDescent="0.25">
      <c r="E10265" s="82" t="s">
        <v>11236</v>
      </c>
    </row>
    <row r="10266" spans="5:5" x14ac:dyDescent="0.25">
      <c r="E10266" s="82" t="s">
        <v>11237</v>
      </c>
    </row>
    <row r="10267" spans="5:5" x14ac:dyDescent="0.25">
      <c r="E10267" s="82" t="s">
        <v>11238</v>
      </c>
    </row>
    <row r="10268" spans="5:5" x14ac:dyDescent="0.25">
      <c r="E10268" s="82" t="s">
        <v>11239</v>
      </c>
    </row>
    <row r="10269" spans="5:5" x14ac:dyDescent="0.25">
      <c r="E10269" s="82" t="s">
        <v>11240</v>
      </c>
    </row>
    <row r="10270" spans="5:5" x14ac:dyDescent="0.25">
      <c r="E10270" s="82" t="s">
        <v>11241</v>
      </c>
    </row>
    <row r="10271" spans="5:5" x14ac:dyDescent="0.25">
      <c r="E10271" s="82" t="s">
        <v>11242</v>
      </c>
    </row>
    <row r="10272" spans="5:5" x14ac:dyDescent="0.25">
      <c r="E10272" s="82" t="s">
        <v>11243</v>
      </c>
    </row>
    <row r="10273" spans="5:5" x14ac:dyDescent="0.25">
      <c r="E10273" s="82" t="s">
        <v>11244</v>
      </c>
    </row>
    <row r="10274" spans="5:5" x14ac:dyDescent="0.25">
      <c r="E10274" s="82" t="s">
        <v>11245</v>
      </c>
    </row>
    <row r="10275" spans="5:5" x14ac:dyDescent="0.25">
      <c r="E10275" s="82" t="s">
        <v>11246</v>
      </c>
    </row>
    <row r="10276" spans="5:5" x14ac:dyDescent="0.25">
      <c r="E10276" s="82" t="s">
        <v>11247</v>
      </c>
    </row>
    <row r="10277" spans="5:5" x14ac:dyDescent="0.25">
      <c r="E10277" s="82" t="s">
        <v>11248</v>
      </c>
    </row>
    <row r="10278" spans="5:5" x14ac:dyDescent="0.25">
      <c r="E10278" s="82" t="s">
        <v>11249</v>
      </c>
    </row>
    <row r="10279" spans="5:5" x14ac:dyDescent="0.25">
      <c r="E10279" s="82" t="s">
        <v>11250</v>
      </c>
    </row>
    <row r="10280" spans="5:5" x14ac:dyDescent="0.25">
      <c r="E10280" s="82" t="s">
        <v>11251</v>
      </c>
    </row>
    <row r="10281" spans="5:5" x14ac:dyDescent="0.25">
      <c r="E10281" s="82" t="s">
        <v>11252</v>
      </c>
    </row>
    <row r="10282" spans="5:5" x14ac:dyDescent="0.25">
      <c r="E10282" s="82" t="s">
        <v>11253</v>
      </c>
    </row>
    <row r="10283" spans="5:5" x14ac:dyDescent="0.25">
      <c r="E10283" s="82" t="s">
        <v>11254</v>
      </c>
    </row>
    <row r="10284" spans="5:5" x14ac:dyDescent="0.25">
      <c r="E10284" s="82" t="s">
        <v>11255</v>
      </c>
    </row>
    <row r="10285" spans="5:5" x14ac:dyDescent="0.25">
      <c r="E10285" s="82" t="s">
        <v>11256</v>
      </c>
    </row>
    <row r="10286" spans="5:5" x14ac:dyDescent="0.25">
      <c r="E10286" s="82" t="s">
        <v>11257</v>
      </c>
    </row>
    <row r="10287" spans="5:5" x14ac:dyDescent="0.25">
      <c r="E10287" s="82" t="s">
        <v>11258</v>
      </c>
    </row>
    <row r="10288" spans="5:5" x14ac:dyDescent="0.25">
      <c r="E10288" s="82" t="s">
        <v>11259</v>
      </c>
    </row>
    <row r="10289" spans="5:5" x14ac:dyDescent="0.25">
      <c r="E10289" s="82" t="s">
        <v>11260</v>
      </c>
    </row>
    <row r="10290" spans="5:5" x14ac:dyDescent="0.25">
      <c r="E10290" s="82" t="s">
        <v>11261</v>
      </c>
    </row>
    <row r="10291" spans="5:5" x14ac:dyDescent="0.25">
      <c r="E10291" s="82" t="s">
        <v>11262</v>
      </c>
    </row>
    <row r="10292" spans="5:5" x14ac:dyDescent="0.25">
      <c r="E10292" s="82" t="s">
        <v>11263</v>
      </c>
    </row>
    <row r="10293" spans="5:5" x14ac:dyDescent="0.25">
      <c r="E10293" s="82" t="s">
        <v>11264</v>
      </c>
    </row>
    <row r="10294" spans="5:5" x14ac:dyDescent="0.25">
      <c r="E10294" s="82" t="s">
        <v>11265</v>
      </c>
    </row>
    <row r="10295" spans="5:5" x14ac:dyDescent="0.25">
      <c r="E10295" s="82" t="s">
        <v>11266</v>
      </c>
    </row>
    <row r="10296" spans="5:5" x14ac:dyDescent="0.25">
      <c r="E10296" s="82" t="s">
        <v>11267</v>
      </c>
    </row>
    <row r="10297" spans="5:5" x14ac:dyDescent="0.25">
      <c r="E10297" s="82" t="s">
        <v>11268</v>
      </c>
    </row>
    <row r="10298" spans="5:5" x14ac:dyDescent="0.25">
      <c r="E10298" s="82" t="s">
        <v>11269</v>
      </c>
    </row>
    <row r="10299" spans="5:5" x14ac:dyDescent="0.25">
      <c r="E10299" s="82" t="s">
        <v>11270</v>
      </c>
    </row>
    <row r="10300" spans="5:5" x14ac:dyDescent="0.25">
      <c r="E10300" s="82" t="s">
        <v>11271</v>
      </c>
    </row>
    <row r="10301" spans="5:5" x14ac:dyDescent="0.25">
      <c r="E10301" s="82" t="s">
        <v>11272</v>
      </c>
    </row>
    <row r="10302" spans="5:5" x14ac:dyDescent="0.25">
      <c r="E10302" s="82" t="s">
        <v>11273</v>
      </c>
    </row>
    <row r="10303" spans="5:5" x14ac:dyDescent="0.25">
      <c r="E10303" s="82" t="s">
        <v>11274</v>
      </c>
    </row>
    <row r="10304" spans="5:5" x14ac:dyDescent="0.25">
      <c r="E10304" s="82" t="s">
        <v>11275</v>
      </c>
    </row>
    <row r="10305" spans="5:5" x14ac:dyDescent="0.25">
      <c r="E10305" s="82" t="s">
        <v>11276</v>
      </c>
    </row>
    <row r="10306" spans="5:5" x14ac:dyDescent="0.25">
      <c r="E10306" s="82" t="s">
        <v>11277</v>
      </c>
    </row>
    <row r="10307" spans="5:5" x14ac:dyDescent="0.25">
      <c r="E10307" s="82" t="s">
        <v>11278</v>
      </c>
    </row>
    <row r="10308" spans="5:5" x14ac:dyDescent="0.25">
      <c r="E10308" s="82" t="s">
        <v>11279</v>
      </c>
    </row>
    <row r="10309" spans="5:5" x14ac:dyDescent="0.25">
      <c r="E10309" s="82" t="s">
        <v>11280</v>
      </c>
    </row>
    <row r="10310" spans="5:5" x14ac:dyDescent="0.25">
      <c r="E10310" s="82" t="s">
        <v>11281</v>
      </c>
    </row>
    <row r="10311" spans="5:5" x14ac:dyDescent="0.25">
      <c r="E10311" s="82" t="s">
        <v>11282</v>
      </c>
    </row>
    <row r="10312" spans="5:5" x14ac:dyDescent="0.25">
      <c r="E10312" s="82" t="s">
        <v>11283</v>
      </c>
    </row>
    <row r="10313" spans="5:5" x14ac:dyDescent="0.25">
      <c r="E10313" s="82" t="s">
        <v>11284</v>
      </c>
    </row>
    <row r="10314" spans="5:5" x14ac:dyDescent="0.25">
      <c r="E10314" s="82" t="s">
        <v>11285</v>
      </c>
    </row>
    <row r="10315" spans="5:5" x14ac:dyDescent="0.25">
      <c r="E10315" s="82" t="s">
        <v>11286</v>
      </c>
    </row>
    <row r="10316" spans="5:5" x14ac:dyDescent="0.25">
      <c r="E10316" s="82" t="s">
        <v>11287</v>
      </c>
    </row>
    <row r="10317" spans="5:5" x14ac:dyDescent="0.25">
      <c r="E10317" s="82" t="s">
        <v>11288</v>
      </c>
    </row>
    <row r="10318" spans="5:5" x14ac:dyDescent="0.25">
      <c r="E10318" s="82" t="s">
        <v>11289</v>
      </c>
    </row>
    <row r="10319" spans="5:5" x14ac:dyDescent="0.25">
      <c r="E10319" s="82" t="s">
        <v>11290</v>
      </c>
    </row>
    <row r="10320" spans="5:5" x14ac:dyDescent="0.25">
      <c r="E10320" s="82" t="s">
        <v>11291</v>
      </c>
    </row>
    <row r="10321" spans="5:5" x14ac:dyDescent="0.25">
      <c r="E10321" s="82" t="s">
        <v>11292</v>
      </c>
    </row>
    <row r="10322" spans="5:5" x14ac:dyDescent="0.25">
      <c r="E10322" s="82" t="s">
        <v>11293</v>
      </c>
    </row>
    <row r="10323" spans="5:5" x14ac:dyDescent="0.25">
      <c r="E10323" s="82" t="s">
        <v>11294</v>
      </c>
    </row>
    <row r="10324" spans="5:5" x14ac:dyDescent="0.25">
      <c r="E10324" s="82" t="s">
        <v>11295</v>
      </c>
    </row>
    <row r="10325" spans="5:5" x14ac:dyDescent="0.25">
      <c r="E10325" s="82" t="s">
        <v>11296</v>
      </c>
    </row>
    <row r="10326" spans="5:5" x14ac:dyDescent="0.25">
      <c r="E10326" s="82" t="s">
        <v>11297</v>
      </c>
    </row>
    <row r="10327" spans="5:5" x14ac:dyDescent="0.25">
      <c r="E10327" s="82" t="s">
        <v>11298</v>
      </c>
    </row>
    <row r="10328" spans="5:5" x14ac:dyDescent="0.25">
      <c r="E10328" s="82" t="s">
        <v>11299</v>
      </c>
    </row>
    <row r="10329" spans="5:5" x14ac:dyDescent="0.25">
      <c r="E10329" s="82" t="s">
        <v>11300</v>
      </c>
    </row>
    <row r="10330" spans="5:5" x14ac:dyDescent="0.25">
      <c r="E10330" s="82" t="s">
        <v>11301</v>
      </c>
    </row>
    <row r="10331" spans="5:5" x14ac:dyDescent="0.25">
      <c r="E10331" s="82" t="s">
        <v>11302</v>
      </c>
    </row>
    <row r="10332" spans="5:5" x14ac:dyDescent="0.25">
      <c r="E10332" s="82" t="s">
        <v>11303</v>
      </c>
    </row>
    <row r="10333" spans="5:5" x14ac:dyDescent="0.25">
      <c r="E10333" s="82" t="s">
        <v>11304</v>
      </c>
    </row>
    <row r="10334" spans="5:5" x14ac:dyDescent="0.25">
      <c r="E10334" s="82" t="s">
        <v>11305</v>
      </c>
    </row>
    <row r="10335" spans="5:5" x14ac:dyDescent="0.25">
      <c r="E10335" s="82" t="s">
        <v>11306</v>
      </c>
    </row>
    <row r="10336" spans="5:5" x14ac:dyDescent="0.25">
      <c r="E10336" s="82" t="s">
        <v>11307</v>
      </c>
    </row>
    <row r="10337" spans="5:5" x14ac:dyDescent="0.25">
      <c r="E10337" s="82" t="s">
        <v>11308</v>
      </c>
    </row>
    <row r="10338" spans="5:5" x14ac:dyDescent="0.25">
      <c r="E10338" s="82" t="s">
        <v>11309</v>
      </c>
    </row>
    <row r="10339" spans="5:5" x14ac:dyDescent="0.25">
      <c r="E10339" s="82" t="s">
        <v>11310</v>
      </c>
    </row>
    <row r="10340" spans="5:5" x14ac:dyDescent="0.25">
      <c r="E10340" s="82" t="s">
        <v>11311</v>
      </c>
    </row>
    <row r="10341" spans="5:5" x14ac:dyDescent="0.25">
      <c r="E10341" s="82" t="s">
        <v>11312</v>
      </c>
    </row>
    <row r="10342" spans="5:5" x14ac:dyDescent="0.25">
      <c r="E10342" s="82" t="s">
        <v>11313</v>
      </c>
    </row>
    <row r="10343" spans="5:5" x14ac:dyDescent="0.25">
      <c r="E10343" s="82" t="s">
        <v>11314</v>
      </c>
    </row>
    <row r="10344" spans="5:5" x14ac:dyDescent="0.25">
      <c r="E10344" s="82" t="s">
        <v>11315</v>
      </c>
    </row>
    <row r="10345" spans="5:5" x14ac:dyDescent="0.25">
      <c r="E10345" s="82" t="s">
        <v>11316</v>
      </c>
    </row>
    <row r="10346" spans="5:5" x14ac:dyDescent="0.25">
      <c r="E10346" s="82" t="s">
        <v>11317</v>
      </c>
    </row>
    <row r="10347" spans="5:5" x14ac:dyDescent="0.25">
      <c r="E10347" s="82" t="s">
        <v>11318</v>
      </c>
    </row>
    <row r="10348" spans="5:5" x14ac:dyDescent="0.25">
      <c r="E10348" s="82" t="s">
        <v>11319</v>
      </c>
    </row>
    <row r="10349" spans="5:5" x14ac:dyDescent="0.25">
      <c r="E10349" s="82" t="s">
        <v>11320</v>
      </c>
    </row>
    <row r="10350" spans="5:5" x14ac:dyDescent="0.25">
      <c r="E10350" s="82" t="s">
        <v>11321</v>
      </c>
    </row>
    <row r="10351" spans="5:5" x14ac:dyDescent="0.25">
      <c r="E10351" s="82" t="s">
        <v>11322</v>
      </c>
    </row>
    <row r="10352" spans="5:5" x14ac:dyDescent="0.25">
      <c r="E10352" s="82" t="s">
        <v>11323</v>
      </c>
    </row>
    <row r="10353" spans="5:5" x14ac:dyDescent="0.25">
      <c r="E10353" s="82" t="s">
        <v>11324</v>
      </c>
    </row>
    <row r="10354" spans="5:5" x14ac:dyDescent="0.25">
      <c r="E10354" s="82" t="s">
        <v>11325</v>
      </c>
    </row>
    <row r="10355" spans="5:5" x14ac:dyDescent="0.25">
      <c r="E10355" s="82" t="s">
        <v>11326</v>
      </c>
    </row>
    <row r="10356" spans="5:5" x14ac:dyDescent="0.25">
      <c r="E10356" s="82" t="s">
        <v>11327</v>
      </c>
    </row>
    <row r="10357" spans="5:5" x14ac:dyDescent="0.25">
      <c r="E10357" s="82" t="s">
        <v>11328</v>
      </c>
    </row>
    <row r="10358" spans="5:5" x14ac:dyDescent="0.25">
      <c r="E10358" s="82" t="s">
        <v>11329</v>
      </c>
    </row>
    <row r="10359" spans="5:5" x14ac:dyDescent="0.25">
      <c r="E10359" s="82" t="s">
        <v>11330</v>
      </c>
    </row>
    <row r="10360" spans="5:5" x14ac:dyDescent="0.25">
      <c r="E10360" s="82" t="s">
        <v>11331</v>
      </c>
    </row>
    <row r="10361" spans="5:5" x14ac:dyDescent="0.25">
      <c r="E10361" s="82" t="s">
        <v>11332</v>
      </c>
    </row>
    <row r="10362" spans="5:5" x14ac:dyDescent="0.25">
      <c r="E10362" s="82" t="s">
        <v>11333</v>
      </c>
    </row>
    <row r="10363" spans="5:5" x14ac:dyDescent="0.25">
      <c r="E10363" s="82" t="s">
        <v>11334</v>
      </c>
    </row>
    <row r="10364" spans="5:5" x14ac:dyDescent="0.25">
      <c r="E10364" s="82" t="s">
        <v>11335</v>
      </c>
    </row>
    <row r="10365" spans="5:5" x14ac:dyDescent="0.25">
      <c r="E10365" s="82" t="s">
        <v>11336</v>
      </c>
    </row>
    <row r="10366" spans="5:5" x14ac:dyDescent="0.25">
      <c r="E10366" s="82" t="s">
        <v>11337</v>
      </c>
    </row>
    <row r="10367" spans="5:5" x14ac:dyDescent="0.25">
      <c r="E10367" s="82" t="s">
        <v>11338</v>
      </c>
    </row>
    <row r="10368" spans="5:5" x14ac:dyDescent="0.25">
      <c r="E10368" s="82" t="s">
        <v>11339</v>
      </c>
    </row>
    <row r="10369" spans="5:5" x14ac:dyDescent="0.25">
      <c r="E10369" s="82" t="s">
        <v>11340</v>
      </c>
    </row>
    <row r="10370" spans="5:5" x14ac:dyDescent="0.25">
      <c r="E10370" s="82" t="s">
        <v>11341</v>
      </c>
    </row>
    <row r="10371" spans="5:5" x14ac:dyDescent="0.25">
      <c r="E10371" s="82" t="s">
        <v>11342</v>
      </c>
    </row>
    <row r="10372" spans="5:5" x14ac:dyDescent="0.25">
      <c r="E10372" s="82" t="s">
        <v>11343</v>
      </c>
    </row>
    <row r="10373" spans="5:5" x14ac:dyDescent="0.25">
      <c r="E10373" s="82" t="s">
        <v>11344</v>
      </c>
    </row>
    <row r="10374" spans="5:5" x14ac:dyDescent="0.25">
      <c r="E10374" s="82" t="s">
        <v>11345</v>
      </c>
    </row>
    <row r="10375" spans="5:5" x14ac:dyDescent="0.25">
      <c r="E10375" s="82" t="s">
        <v>11346</v>
      </c>
    </row>
    <row r="10376" spans="5:5" x14ac:dyDescent="0.25">
      <c r="E10376" s="82" t="s">
        <v>11347</v>
      </c>
    </row>
    <row r="10377" spans="5:5" x14ac:dyDescent="0.25">
      <c r="E10377" s="82" t="s">
        <v>11348</v>
      </c>
    </row>
    <row r="10378" spans="5:5" x14ac:dyDescent="0.25">
      <c r="E10378" s="82" t="s">
        <v>11349</v>
      </c>
    </row>
    <row r="10379" spans="5:5" x14ac:dyDescent="0.25">
      <c r="E10379" s="82" t="s">
        <v>11350</v>
      </c>
    </row>
    <row r="10380" spans="5:5" x14ac:dyDescent="0.25">
      <c r="E10380" s="82" t="s">
        <v>11351</v>
      </c>
    </row>
    <row r="10381" spans="5:5" x14ac:dyDescent="0.25">
      <c r="E10381" s="82" t="s">
        <v>11352</v>
      </c>
    </row>
    <row r="10382" spans="5:5" x14ac:dyDescent="0.25">
      <c r="E10382" s="82" t="s">
        <v>11353</v>
      </c>
    </row>
    <row r="10383" spans="5:5" x14ac:dyDescent="0.25">
      <c r="E10383" s="82" t="s">
        <v>11354</v>
      </c>
    </row>
    <row r="10384" spans="5:5" x14ac:dyDescent="0.25">
      <c r="E10384" s="82" t="s">
        <v>11355</v>
      </c>
    </row>
    <row r="10385" spans="5:5" x14ac:dyDescent="0.25">
      <c r="E10385" s="82" t="s">
        <v>11356</v>
      </c>
    </row>
    <row r="10386" spans="5:5" x14ac:dyDescent="0.25">
      <c r="E10386" s="82" t="s">
        <v>11357</v>
      </c>
    </row>
    <row r="10387" spans="5:5" x14ac:dyDescent="0.25">
      <c r="E10387" s="82" t="s">
        <v>11358</v>
      </c>
    </row>
    <row r="10388" spans="5:5" x14ac:dyDescent="0.25">
      <c r="E10388" s="82" t="s">
        <v>11359</v>
      </c>
    </row>
    <row r="10389" spans="5:5" x14ac:dyDescent="0.25">
      <c r="E10389" s="82" t="s">
        <v>11360</v>
      </c>
    </row>
    <row r="10390" spans="5:5" x14ac:dyDescent="0.25">
      <c r="E10390" s="82" t="s">
        <v>11361</v>
      </c>
    </row>
    <row r="10391" spans="5:5" x14ac:dyDescent="0.25">
      <c r="E10391" s="82" t="s">
        <v>11362</v>
      </c>
    </row>
    <row r="10392" spans="5:5" x14ac:dyDescent="0.25">
      <c r="E10392" s="82" t="s">
        <v>11363</v>
      </c>
    </row>
    <row r="10393" spans="5:5" x14ac:dyDescent="0.25">
      <c r="E10393" s="82" t="s">
        <v>11364</v>
      </c>
    </row>
    <row r="10394" spans="5:5" x14ac:dyDescent="0.25">
      <c r="E10394" s="82" t="s">
        <v>11365</v>
      </c>
    </row>
    <row r="10395" spans="5:5" x14ac:dyDescent="0.25">
      <c r="E10395" s="82" t="s">
        <v>11366</v>
      </c>
    </row>
    <row r="10396" spans="5:5" x14ac:dyDescent="0.25">
      <c r="E10396" s="82" t="s">
        <v>11367</v>
      </c>
    </row>
    <row r="10397" spans="5:5" x14ac:dyDescent="0.25">
      <c r="E10397" s="82" t="s">
        <v>11368</v>
      </c>
    </row>
    <row r="10398" spans="5:5" x14ac:dyDescent="0.25">
      <c r="E10398" s="82" t="s">
        <v>11369</v>
      </c>
    </row>
    <row r="10399" spans="5:5" x14ac:dyDescent="0.25">
      <c r="E10399" s="82" t="s">
        <v>11370</v>
      </c>
    </row>
    <row r="10400" spans="5:5" x14ac:dyDescent="0.25">
      <c r="E10400" s="82" t="s">
        <v>11371</v>
      </c>
    </row>
    <row r="10401" spans="5:5" x14ac:dyDescent="0.25">
      <c r="E10401" s="82" t="s">
        <v>11372</v>
      </c>
    </row>
    <row r="10402" spans="5:5" x14ac:dyDescent="0.25">
      <c r="E10402" s="82" t="s">
        <v>11373</v>
      </c>
    </row>
    <row r="10403" spans="5:5" x14ac:dyDescent="0.25">
      <c r="E10403" s="82" t="s">
        <v>11374</v>
      </c>
    </row>
    <row r="10404" spans="5:5" x14ac:dyDescent="0.25">
      <c r="E10404" s="82" t="s">
        <v>11375</v>
      </c>
    </row>
    <row r="10405" spans="5:5" x14ac:dyDescent="0.25">
      <c r="E10405" s="82" t="s">
        <v>11376</v>
      </c>
    </row>
    <row r="10406" spans="5:5" x14ac:dyDescent="0.25">
      <c r="E10406" s="82" t="s">
        <v>11377</v>
      </c>
    </row>
    <row r="10407" spans="5:5" x14ac:dyDescent="0.25">
      <c r="E10407" s="82" t="s">
        <v>11378</v>
      </c>
    </row>
    <row r="10408" spans="5:5" x14ac:dyDescent="0.25">
      <c r="E10408" s="82" t="s">
        <v>11379</v>
      </c>
    </row>
    <row r="10409" spans="5:5" x14ac:dyDescent="0.25">
      <c r="E10409" s="82" t="s">
        <v>11380</v>
      </c>
    </row>
    <row r="10410" spans="5:5" x14ac:dyDescent="0.25">
      <c r="E10410" s="82" t="s">
        <v>11381</v>
      </c>
    </row>
    <row r="10411" spans="5:5" x14ac:dyDescent="0.25">
      <c r="E10411" s="82" t="s">
        <v>11382</v>
      </c>
    </row>
    <row r="10412" spans="5:5" x14ac:dyDescent="0.25">
      <c r="E10412" s="82" t="s">
        <v>11383</v>
      </c>
    </row>
    <row r="10413" spans="5:5" x14ac:dyDescent="0.25">
      <c r="E10413" s="82" t="s">
        <v>11384</v>
      </c>
    </row>
    <row r="10414" spans="5:5" x14ac:dyDescent="0.25">
      <c r="E10414" s="82" t="s">
        <v>11385</v>
      </c>
    </row>
    <row r="10415" spans="5:5" x14ac:dyDescent="0.25">
      <c r="E10415" s="82" t="s">
        <v>11386</v>
      </c>
    </row>
    <row r="10416" spans="5:5" x14ac:dyDescent="0.25">
      <c r="E10416" s="82" t="s">
        <v>11387</v>
      </c>
    </row>
    <row r="10417" spans="5:5" x14ac:dyDescent="0.25">
      <c r="E10417" s="82" t="s">
        <v>11388</v>
      </c>
    </row>
    <row r="10418" spans="5:5" x14ac:dyDescent="0.25">
      <c r="E10418" s="82" t="s">
        <v>11389</v>
      </c>
    </row>
    <row r="10419" spans="5:5" x14ac:dyDescent="0.25">
      <c r="E10419" s="82" t="s">
        <v>11390</v>
      </c>
    </row>
    <row r="10420" spans="5:5" x14ac:dyDescent="0.25">
      <c r="E10420" s="82" t="s">
        <v>11391</v>
      </c>
    </row>
    <row r="10421" spans="5:5" x14ac:dyDescent="0.25">
      <c r="E10421" s="82" t="s">
        <v>11392</v>
      </c>
    </row>
    <row r="10422" spans="5:5" x14ac:dyDescent="0.25">
      <c r="E10422" s="82" t="s">
        <v>11393</v>
      </c>
    </row>
    <row r="10423" spans="5:5" x14ac:dyDescent="0.25">
      <c r="E10423" s="82" t="s">
        <v>11394</v>
      </c>
    </row>
    <row r="10424" spans="5:5" x14ac:dyDescent="0.25">
      <c r="E10424" s="82" t="s">
        <v>11395</v>
      </c>
    </row>
    <row r="10425" spans="5:5" x14ac:dyDescent="0.25">
      <c r="E10425" s="82" t="s">
        <v>11396</v>
      </c>
    </row>
    <row r="10426" spans="5:5" x14ac:dyDescent="0.25">
      <c r="E10426" s="82" t="s">
        <v>11397</v>
      </c>
    </row>
    <row r="10427" spans="5:5" x14ac:dyDescent="0.25">
      <c r="E10427" s="82" t="s">
        <v>11398</v>
      </c>
    </row>
    <row r="10428" spans="5:5" x14ac:dyDescent="0.25">
      <c r="E10428" s="82" t="s">
        <v>11399</v>
      </c>
    </row>
    <row r="10429" spans="5:5" x14ac:dyDescent="0.25">
      <c r="E10429" s="82" t="s">
        <v>11400</v>
      </c>
    </row>
    <row r="10430" spans="5:5" x14ac:dyDescent="0.25">
      <c r="E10430" s="82" t="s">
        <v>11401</v>
      </c>
    </row>
    <row r="10431" spans="5:5" x14ac:dyDescent="0.25">
      <c r="E10431" s="82" t="s">
        <v>11402</v>
      </c>
    </row>
    <row r="10432" spans="5:5" x14ac:dyDescent="0.25">
      <c r="E10432" s="82" t="s">
        <v>11403</v>
      </c>
    </row>
    <row r="10433" spans="5:5" x14ac:dyDescent="0.25">
      <c r="E10433" s="82" t="s">
        <v>11404</v>
      </c>
    </row>
    <row r="10434" spans="5:5" x14ac:dyDescent="0.25">
      <c r="E10434" s="82" t="s">
        <v>11405</v>
      </c>
    </row>
    <row r="10435" spans="5:5" x14ac:dyDescent="0.25">
      <c r="E10435" s="82" t="s">
        <v>11406</v>
      </c>
    </row>
    <row r="10436" spans="5:5" x14ac:dyDescent="0.25">
      <c r="E10436" s="82" t="s">
        <v>11407</v>
      </c>
    </row>
    <row r="10437" spans="5:5" x14ac:dyDescent="0.25">
      <c r="E10437" s="82" t="s">
        <v>11408</v>
      </c>
    </row>
    <row r="10438" spans="5:5" x14ac:dyDescent="0.25">
      <c r="E10438" s="82" t="s">
        <v>11409</v>
      </c>
    </row>
    <row r="10439" spans="5:5" x14ac:dyDescent="0.25">
      <c r="E10439" s="82" t="s">
        <v>11410</v>
      </c>
    </row>
    <row r="10440" spans="5:5" x14ac:dyDescent="0.25">
      <c r="E10440" s="82" t="s">
        <v>11411</v>
      </c>
    </row>
    <row r="10441" spans="5:5" x14ac:dyDescent="0.25">
      <c r="E10441" s="82" t="s">
        <v>11412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0"/>
  <sheetViews>
    <sheetView workbookViewId="0"/>
  </sheetViews>
  <sheetFormatPr defaultRowHeight="15" x14ac:dyDescent="0.25"/>
  <sheetData>
    <row r="1" spans="1:1" x14ac:dyDescent="0.25">
      <c r="A1" t="s">
        <v>11413</v>
      </c>
    </row>
    <row r="2" spans="1:1" x14ac:dyDescent="0.25">
      <c r="A2" s="115" t="s">
        <v>11414</v>
      </c>
    </row>
    <row r="3" spans="1:1" x14ac:dyDescent="0.25">
      <c r="A3" s="115"/>
    </row>
    <row r="4" spans="1:1" x14ac:dyDescent="0.25">
      <c r="A4" s="115" t="s">
        <v>11415</v>
      </c>
    </row>
    <row r="5" spans="1:1" x14ac:dyDescent="0.25">
      <c r="A5" s="115"/>
    </row>
    <row r="6" spans="1:1" x14ac:dyDescent="0.25">
      <c r="A6" s="116" t="s">
        <v>11416</v>
      </c>
    </row>
    <row r="7" spans="1:1" x14ac:dyDescent="0.25">
      <c r="A7" s="124" t="s">
        <v>11417</v>
      </c>
    </row>
    <row r="8" spans="1:1" x14ac:dyDescent="0.25">
      <c r="A8" s="118" t="s">
        <v>11418</v>
      </c>
    </row>
    <row r="9" spans="1:1" x14ac:dyDescent="0.25">
      <c r="A9" s="125" t="s">
        <v>11419</v>
      </c>
    </row>
    <row r="10" spans="1:1" x14ac:dyDescent="0.25">
      <c r="A10" s="119" t="s">
        <v>11420</v>
      </c>
    </row>
    <row r="11" spans="1:1" x14ac:dyDescent="0.25">
      <c r="A11" s="119" t="s">
        <v>11421</v>
      </c>
    </row>
    <row r="12" spans="1:1" x14ac:dyDescent="0.25">
      <c r="A12" s="119" t="s">
        <v>11422</v>
      </c>
    </row>
    <row r="13" spans="1:1" x14ac:dyDescent="0.25">
      <c r="A13" s="126" t="s">
        <v>11423</v>
      </c>
    </row>
    <row r="14" spans="1:1" x14ac:dyDescent="0.25">
      <c r="A14" s="117" t="s">
        <v>11424</v>
      </c>
    </row>
    <row r="15" spans="1:1" x14ac:dyDescent="0.25">
      <c r="A15" s="126" t="s">
        <v>11425</v>
      </c>
    </row>
    <row r="16" spans="1:1" x14ac:dyDescent="0.25">
      <c r="A16" s="119" t="s">
        <v>11426</v>
      </c>
    </row>
    <row r="17" spans="1:1" x14ac:dyDescent="0.25">
      <c r="A17" s="116" t="s">
        <v>11427</v>
      </c>
    </row>
    <row r="18" spans="1:1" x14ac:dyDescent="0.25">
      <c r="A18" s="119" t="s">
        <v>11428</v>
      </c>
    </row>
    <row r="19" spans="1:1" x14ac:dyDescent="0.25">
      <c r="A19" s="119" t="s">
        <v>11429</v>
      </c>
    </row>
    <row r="20" spans="1:1" x14ac:dyDescent="0.25">
      <c r="A20" s="119" t="s">
        <v>11430</v>
      </c>
    </row>
    <row r="21" spans="1:1" x14ac:dyDescent="0.25">
      <c r="A21" s="119" t="s">
        <v>11431</v>
      </c>
    </row>
    <row r="22" spans="1:1" x14ac:dyDescent="0.25">
      <c r="A22" s="119" t="s">
        <v>11432</v>
      </c>
    </row>
    <row r="23" spans="1:1" x14ac:dyDescent="0.25">
      <c r="A23" s="116" t="s">
        <v>11433</v>
      </c>
    </row>
    <row r="24" spans="1:1" x14ac:dyDescent="0.25">
      <c r="A24" s="120" t="s">
        <v>11434</v>
      </c>
    </row>
    <row r="25" spans="1:1" x14ac:dyDescent="0.25">
      <c r="A25" s="120" t="s">
        <v>11435</v>
      </c>
    </row>
    <row r="27" spans="1:1" x14ac:dyDescent="0.25">
      <c r="A27" s="113" t="s">
        <v>11436</v>
      </c>
    </row>
    <row r="28" spans="1:1" x14ac:dyDescent="0.25">
      <c r="A28" s="121" t="s">
        <v>11437</v>
      </c>
    </row>
    <row r="29" spans="1:1" x14ac:dyDescent="0.25">
      <c r="A29" s="121" t="s">
        <v>11438</v>
      </c>
    </row>
    <row r="30" spans="1:1" x14ac:dyDescent="0.25">
      <c r="A30" s="121"/>
    </row>
    <row r="31" spans="1:1" x14ac:dyDescent="0.25">
      <c r="A31" s="121" t="s">
        <v>11439</v>
      </c>
    </row>
    <row r="32" spans="1:1" x14ac:dyDescent="0.25">
      <c r="A32" s="122" t="s">
        <v>11440</v>
      </c>
    </row>
    <row r="33" spans="1:17" x14ac:dyDescent="0.25">
      <c r="A33" s="122" t="s">
        <v>11441</v>
      </c>
    </row>
    <row r="34" spans="1:17" x14ac:dyDescent="0.25">
      <c r="A34" s="121"/>
    </row>
    <row r="35" spans="1:17" x14ac:dyDescent="0.25">
      <c r="A35" s="121"/>
    </row>
    <row r="36" spans="1:17" x14ac:dyDescent="0.25">
      <c r="A36" s="123" t="s">
        <v>11442</v>
      </c>
    </row>
    <row r="37" spans="1:17" x14ac:dyDescent="0.25">
      <c r="A37" s="123" t="s">
        <v>11443</v>
      </c>
    </row>
    <row r="38" spans="1:17" x14ac:dyDescent="0.25">
      <c r="A38" s="123" t="s">
        <v>11444</v>
      </c>
    </row>
    <row r="39" spans="1:17" x14ac:dyDescent="0.25">
      <c r="A39" s="123" t="s">
        <v>11445</v>
      </c>
    </row>
    <row r="40" spans="1:17" x14ac:dyDescent="0.25">
      <c r="A40" s="123" t="s">
        <v>11446</v>
      </c>
    </row>
    <row r="41" spans="1:17" x14ac:dyDescent="0.25">
      <c r="A41" s="123" t="s">
        <v>11447</v>
      </c>
    </row>
    <row r="42" spans="1:17" x14ac:dyDescent="0.25">
      <c r="A42" s="123" t="s">
        <v>11448</v>
      </c>
    </row>
    <row r="43" spans="1:17" x14ac:dyDescent="0.25">
      <c r="A43" s="123" t="s">
        <v>11449</v>
      </c>
    </row>
    <row r="44" spans="1:17" x14ac:dyDescent="0.25">
      <c r="A44" s="123" t="s">
        <v>11450</v>
      </c>
    </row>
    <row r="45" spans="1:17" x14ac:dyDescent="0.25">
      <c r="A45" s="127" t="s">
        <v>11451</v>
      </c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9"/>
    </row>
    <row r="46" spans="1:17" x14ac:dyDescent="0.25">
      <c r="A46" s="130" t="s">
        <v>11452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2"/>
    </row>
    <row r="47" spans="1:17" x14ac:dyDescent="0.25">
      <c r="A47" s="130" t="s">
        <v>11453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2"/>
    </row>
    <row r="48" spans="1:17" x14ac:dyDescent="0.25">
      <c r="A48" s="130" t="s">
        <v>11454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2"/>
    </row>
    <row r="49" spans="1:17" x14ac:dyDescent="0.25">
      <c r="A49" s="130" t="s">
        <v>11455</v>
      </c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2"/>
    </row>
    <row r="50" spans="1:17" x14ac:dyDescent="0.25">
      <c r="A50" s="130" t="s">
        <v>11456</v>
      </c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2"/>
    </row>
    <row r="51" spans="1:17" x14ac:dyDescent="0.25">
      <c r="A51" s="130" t="s">
        <v>11457</v>
      </c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2"/>
    </row>
    <row r="52" spans="1:17" x14ac:dyDescent="0.25">
      <c r="A52" s="130" t="s">
        <v>11458</v>
      </c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2"/>
    </row>
    <row r="53" spans="1:17" x14ac:dyDescent="0.25">
      <c r="A53" s="130" t="s">
        <v>11459</v>
      </c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2"/>
    </row>
    <row r="54" spans="1:17" x14ac:dyDescent="0.25">
      <c r="A54" s="130" t="s">
        <v>11460</v>
      </c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2"/>
    </row>
    <row r="55" spans="1:17" x14ac:dyDescent="0.25">
      <c r="A55" s="130" t="s">
        <v>11461</v>
      </c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2"/>
    </row>
    <row r="56" spans="1:17" ht="15.75" x14ac:dyDescent="0.25">
      <c r="A56" s="130" t="s">
        <v>11462</v>
      </c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2"/>
    </row>
    <row r="57" spans="1:17" x14ac:dyDescent="0.25">
      <c r="A57" s="130" t="s">
        <v>11463</v>
      </c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2"/>
    </row>
    <row r="58" spans="1:17" x14ac:dyDescent="0.25">
      <c r="A58" s="130" t="s">
        <v>11464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2"/>
    </row>
    <row r="59" spans="1:17" x14ac:dyDescent="0.25">
      <c r="A59" s="133" t="s">
        <v>11465</v>
      </c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5"/>
    </row>
    <row r="60" spans="1:17" x14ac:dyDescent="0.25">
      <c r="A60" s="1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08"/>
  <sheetViews>
    <sheetView showGridLines="0" workbookViewId="0"/>
  </sheetViews>
  <sheetFormatPr defaultRowHeight="15" x14ac:dyDescent="0.25"/>
  <cols>
    <col min="1" max="1" width="11.7109375" customWidth="1"/>
    <col min="2" max="2" width="11.140625" bestFit="1" customWidth="1"/>
    <col min="3" max="3" width="16.42578125" customWidth="1"/>
    <col min="4" max="4" width="19" style="70" customWidth="1"/>
    <col min="5" max="5" width="10.140625" bestFit="1" customWidth="1"/>
    <col min="7" max="7" width="9.140625" style="99"/>
    <col min="8" max="8" width="10.140625" bestFit="1" customWidth="1"/>
  </cols>
  <sheetData>
    <row r="1" spans="1:23" x14ac:dyDescent="0.25">
      <c r="A1" t="s">
        <v>92</v>
      </c>
    </row>
    <row r="2" spans="1:23" x14ac:dyDescent="0.25">
      <c r="A2" t="s">
        <v>93</v>
      </c>
    </row>
    <row r="3" spans="1:23" x14ac:dyDescent="0.25">
      <c r="A3" s="51" t="s">
        <v>297</v>
      </c>
    </row>
    <row r="4" spans="1:23" x14ac:dyDescent="0.25">
      <c r="A4" t="s">
        <v>296</v>
      </c>
    </row>
    <row r="5" spans="1:23" x14ac:dyDescent="0.25">
      <c r="A5" s="59" t="s">
        <v>299</v>
      </c>
    </row>
    <row r="6" spans="1:23" x14ac:dyDescent="0.25">
      <c r="A6" s="60" t="s">
        <v>300</v>
      </c>
    </row>
    <row r="7" spans="1:23" x14ac:dyDescent="0.25">
      <c r="A7" t="s">
        <v>295</v>
      </c>
      <c r="G7" s="51" t="s">
        <v>960</v>
      </c>
      <c r="S7" s="15" t="s">
        <v>16</v>
      </c>
      <c r="T7" s="15" t="s">
        <v>16</v>
      </c>
      <c r="U7" s="15" t="s">
        <v>16</v>
      </c>
      <c r="V7" s="15" t="s">
        <v>16</v>
      </c>
      <c r="W7" s="15" t="s">
        <v>16</v>
      </c>
    </row>
    <row r="8" spans="1:23" ht="45" x14ac:dyDescent="0.25">
      <c r="A8" s="85" t="s">
        <v>94</v>
      </c>
      <c r="B8" s="85" t="s">
        <v>95</v>
      </c>
      <c r="C8" s="85" t="s">
        <v>96</v>
      </c>
      <c r="D8" s="85" t="s">
        <v>862</v>
      </c>
      <c r="E8" s="85" t="s">
        <v>141</v>
      </c>
      <c r="G8" s="2" t="s">
        <v>958</v>
      </c>
      <c r="H8" s="1" t="s">
        <v>0</v>
      </c>
      <c r="I8" s="2" t="s">
        <v>1</v>
      </c>
      <c r="J8" s="3" t="s">
        <v>2</v>
      </c>
      <c r="K8" s="4" t="s">
        <v>3</v>
      </c>
      <c r="L8" s="5" t="s">
        <v>4</v>
      </c>
      <c r="M8" s="6" t="s">
        <v>5</v>
      </c>
      <c r="N8" s="7" t="s">
        <v>6</v>
      </c>
      <c r="O8" s="8" t="s">
        <v>7</v>
      </c>
      <c r="P8" s="8" t="s">
        <v>8</v>
      </c>
      <c r="Q8" s="9" t="s">
        <v>9</v>
      </c>
      <c r="R8" s="10" t="s">
        <v>10</v>
      </c>
      <c r="S8" s="5" t="s">
        <v>11</v>
      </c>
      <c r="T8" s="5" t="s">
        <v>12</v>
      </c>
      <c r="U8" s="5" t="s">
        <v>13</v>
      </c>
      <c r="V8" s="5" t="s">
        <v>14</v>
      </c>
      <c r="W8" s="5" t="s">
        <v>15</v>
      </c>
    </row>
    <row r="9" spans="1:23" x14ac:dyDescent="0.25">
      <c r="A9" s="56" t="s">
        <v>97</v>
      </c>
      <c r="B9" s="57" t="s">
        <v>98</v>
      </c>
      <c r="C9" s="58">
        <v>3</v>
      </c>
      <c r="D9" s="58"/>
      <c r="E9" t="str">
        <f>VLOOKUP(B9,CAC!$A$2:$B$198,2,FALSE)</f>
        <v>HMOPERA</v>
      </c>
      <c r="G9" s="52">
        <f>SUMIFS($C$9:$C$5001,$A$9:$A$5001,$H9)</f>
        <v>255762</v>
      </c>
      <c r="H9" s="55">
        <v>201501</v>
      </c>
      <c r="I9" s="52">
        <f>SUMIFS($C$9:$C$5001,$A$9:$A$5001,$H9,$E$9:$E$5001,I$8)</f>
        <v>52291</v>
      </c>
      <c r="J9" s="53">
        <f t="shared" ref="J9:W24" si="0">SUMIFS($C$9:$C$5001,$A$9:$A$5001,$H9,$E$9:$E$5001,J$8)</f>
        <v>59474</v>
      </c>
      <c r="K9" s="53">
        <f t="shared" si="0"/>
        <v>7283</v>
      </c>
      <c r="L9" s="53">
        <f t="shared" si="0"/>
        <v>8642</v>
      </c>
      <c r="M9" s="53">
        <f t="shared" si="0"/>
        <v>40399</v>
      </c>
      <c r="N9" s="53">
        <f t="shared" si="0"/>
        <v>61311</v>
      </c>
      <c r="O9" s="53">
        <f t="shared" si="0"/>
        <v>6125</v>
      </c>
      <c r="P9" s="53">
        <f t="shared" si="0"/>
        <v>2093</v>
      </c>
      <c r="Q9" s="53">
        <f t="shared" si="0"/>
        <v>18022</v>
      </c>
      <c r="R9" s="53">
        <f t="shared" si="0"/>
        <v>17</v>
      </c>
      <c r="S9" s="53">
        <f t="shared" si="0"/>
        <v>0</v>
      </c>
      <c r="T9" s="54">
        <f t="shared" si="0"/>
        <v>0</v>
      </c>
      <c r="U9" s="53">
        <f t="shared" si="0"/>
        <v>0</v>
      </c>
      <c r="V9" s="53">
        <f t="shared" si="0"/>
        <v>0</v>
      </c>
      <c r="W9" s="54">
        <f t="shared" si="0"/>
        <v>0</v>
      </c>
    </row>
    <row r="10" spans="1:23" x14ac:dyDescent="0.25">
      <c r="A10" s="56" t="s">
        <v>97</v>
      </c>
      <c r="B10" s="57" t="s">
        <v>52</v>
      </c>
      <c r="C10" s="58">
        <v>15062</v>
      </c>
      <c r="D10" s="58"/>
      <c r="E10" t="str">
        <f>VLOOKUP(B10,CAC!$A$2:$B$198,2,FALSE)</f>
        <v>HMOPMR</v>
      </c>
      <c r="G10" s="12">
        <f t="shared" ref="G10:G44" si="1">SUMIFS($C$9:$C$5001,$A$9:$A$5001,$H10)</f>
        <v>238017</v>
      </c>
      <c r="H10" s="11">
        <v>201502</v>
      </c>
      <c r="I10" s="12">
        <f t="shared" ref="I10:W25" si="2">SUMIFS($C$9:$C$5001,$A$9:$A$5001,$H10,$E$9:$E$5001,I$8)</f>
        <v>44313</v>
      </c>
      <c r="J10" s="13">
        <f t="shared" si="0"/>
        <v>54313</v>
      </c>
      <c r="K10" s="13">
        <f t="shared" si="0"/>
        <v>6416</v>
      </c>
      <c r="L10" s="13">
        <f t="shared" si="0"/>
        <v>8296</v>
      </c>
      <c r="M10" s="13">
        <f t="shared" si="0"/>
        <v>39681</v>
      </c>
      <c r="N10" s="13">
        <f t="shared" si="0"/>
        <v>59719</v>
      </c>
      <c r="O10" s="13">
        <f t="shared" si="0"/>
        <v>6137</v>
      </c>
      <c r="P10" s="13">
        <f t="shared" si="0"/>
        <v>2136</v>
      </c>
      <c r="Q10" s="13">
        <f t="shared" si="0"/>
        <v>16972</v>
      </c>
      <c r="R10" s="13">
        <f t="shared" si="0"/>
        <v>16</v>
      </c>
      <c r="S10" s="13">
        <f t="shared" si="0"/>
        <v>0</v>
      </c>
      <c r="T10" s="14">
        <f t="shared" si="0"/>
        <v>0</v>
      </c>
      <c r="U10" s="13">
        <f t="shared" si="0"/>
        <v>0</v>
      </c>
      <c r="V10" s="13">
        <f t="shared" si="0"/>
        <v>0</v>
      </c>
      <c r="W10" s="14">
        <f t="shared" si="0"/>
        <v>0</v>
      </c>
    </row>
    <row r="11" spans="1:23" x14ac:dyDescent="0.25">
      <c r="A11" s="56" t="s">
        <v>97</v>
      </c>
      <c r="B11" s="57" t="s">
        <v>53</v>
      </c>
      <c r="C11" s="58">
        <v>10357</v>
      </c>
      <c r="D11" s="58"/>
      <c r="E11" t="str">
        <f>VLOOKUP(B11,CAC!$A$2:$B$198,2,FALSE)</f>
        <v>HMOPMR</v>
      </c>
      <c r="G11" s="12">
        <f t="shared" si="1"/>
        <v>244597</v>
      </c>
      <c r="H11" s="11">
        <v>201503</v>
      </c>
      <c r="I11" s="12">
        <f t="shared" si="2"/>
        <v>39975</v>
      </c>
      <c r="J11" s="13">
        <f t="shared" si="0"/>
        <v>63173</v>
      </c>
      <c r="K11" s="13">
        <f t="shared" si="0"/>
        <v>6566</v>
      </c>
      <c r="L11" s="13">
        <f t="shared" si="0"/>
        <v>8669</v>
      </c>
      <c r="M11" s="13">
        <f t="shared" si="0"/>
        <v>40106</v>
      </c>
      <c r="N11" s="13">
        <f t="shared" si="0"/>
        <v>60416</v>
      </c>
      <c r="O11" s="13">
        <f t="shared" si="0"/>
        <v>6230</v>
      </c>
      <c r="P11" s="13">
        <f t="shared" si="0"/>
        <v>2170</v>
      </c>
      <c r="Q11" s="13">
        <f t="shared" si="0"/>
        <v>17257</v>
      </c>
      <c r="R11" s="13">
        <f t="shared" si="0"/>
        <v>16</v>
      </c>
      <c r="S11" s="13">
        <f t="shared" si="0"/>
        <v>0</v>
      </c>
      <c r="T11" s="14">
        <f t="shared" si="0"/>
        <v>0</v>
      </c>
      <c r="U11" s="13">
        <f t="shared" si="0"/>
        <v>0</v>
      </c>
      <c r="V11" s="13">
        <f t="shared" si="0"/>
        <v>0</v>
      </c>
      <c r="W11" s="14">
        <f t="shared" si="0"/>
        <v>0</v>
      </c>
    </row>
    <row r="12" spans="1:23" x14ac:dyDescent="0.25">
      <c r="A12" s="56" t="s">
        <v>97</v>
      </c>
      <c r="B12" s="57" t="s">
        <v>54</v>
      </c>
      <c r="C12" s="58">
        <v>7283</v>
      </c>
      <c r="D12" s="58"/>
      <c r="E12" t="str">
        <f>VLOOKUP(B12,CAC!$A$2:$B$198,2,FALSE)</f>
        <v>HMOFEP</v>
      </c>
      <c r="G12" s="12">
        <f t="shared" si="1"/>
        <v>244386</v>
      </c>
      <c r="H12" s="11">
        <v>201504</v>
      </c>
      <c r="I12" s="12">
        <f t="shared" si="2"/>
        <v>40426</v>
      </c>
      <c r="J12" s="13">
        <f t="shared" si="0"/>
        <v>62869</v>
      </c>
      <c r="K12" s="13">
        <f t="shared" si="0"/>
        <v>6525</v>
      </c>
      <c r="L12" s="13">
        <f t="shared" si="0"/>
        <v>8666</v>
      </c>
      <c r="M12" s="13">
        <f t="shared" si="0"/>
        <v>39854</v>
      </c>
      <c r="N12" s="13">
        <f t="shared" si="0"/>
        <v>60227</v>
      </c>
      <c r="O12" s="13">
        <f t="shared" si="0"/>
        <v>6188</v>
      </c>
      <c r="P12" s="13">
        <f t="shared" si="0"/>
        <v>2185</v>
      </c>
      <c r="Q12" s="13">
        <f t="shared" si="0"/>
        <v>17414</v>
      </c>
      <c r="R12" s="13">
        <f t="shared" si="0"/>
        <v>11</v>
      </c>
      <c r="S12" s="13">
        <f t="shared" si="0"/>
        <v>0</v>
      </c>
      <c r="T12" s="14">
        <f t="shared" si="0"/>
        <v>0</v>
      </c>
      <c r="U12" s="13">
        <f t="shared" si="0"/>
        <v>0</v>
      </c>
      <c r="V12" s="13">
        <f t="shared" si="0"/>
        <v>0</v>
      </c>
      <c r="W12" s="14">
        <f t="shared" si="0"/>
        <v>0</v>
      </c>
    </row>
    <row r="13" spans="1:23" x14ac:dyDescent="0.25">
      <c r="A13" s="56" t="s">
        <v>97</v>
      </c>
      <c r="B13" s="57" t="s">
        <v>55</v>
      </c>
      <c r="C13" s="58">
        <v>10795</v>
      </c>
      <c r="D13" s="58"/>
      <c r="E13" t="str">
        <f>VLOOKUP(B13,CAC!$A$2:$B$198,2,FALSE)</f>
        <v>HMOPMR</v>
      </c>
      <c r="G13" s="12">
        <f t="shared" si="1"/>
        <v>245855</v>
      </c>
      <c r="H13" s="11">
        <v>201505</v>
      </c>
      <c r="I13" s="12">
        <f t="shared" si="2"/>
        <v>41288</v>
      </c>
      <c r="J13" s="13">
        <f t="shared" si="0"/>
        <v>62846</v>
      </c>
      <c r="K13" s="13">
        <f t="shared" si="0"/>
        <v>6603</v>
      </c>
      <c r="L13" s="13">
        <f t="shared" si="0"/>
        <v>8909</v>
      </c>
      <c r="M13" s="13">
        <f t="shared" si="0"/>
        <v>39825</v>
      </c>
      <c r="N13" s="13">
        <f t="shared" si="0"/>
        <v>59928</v>
      </c>
      <c r="O13" s="13">
        <f t="shared" si="0"/>
        <v>6189</v>
      </c>
      <c r="P13" s="13">
        <f t="shared" si="0"/>
        <v>2218</v>
      </c>
      <c r="Q13" s="13">
        <f t="shared" si="0"/>
        <v>18035</v>
      </c>
      <c r="R13" s="13">
        <f t="shared" si="0"/>
        <v>14</v>
      </c>
      <c r="S13" s="13">
        <f t="shared" si="0"/>
        <v>0</v>
      </c>
      <c r="T13" s="14">
        <f t="shared" si="0"/>
        <v>0</v>
      </c>
      <c r="U13" s="13">
        <f t="shared" si="0"/>
        <v>0</v>
      </c>
      <c r="V13" s="13">
        <f t="shared" si="0"/>
        <v>0</v>
      </c>
      <c r="W13" s="14">
        <f t="shared" si="0"/>
        <v>0</v>
      </c>
    </row>
    <row r="14" spans="1:23" x14ac:dyDescent="0.25">
      <c r="A14" s="56" t="s">
        <v>97</v>
      </c>
      <c r="B14" s="57" t="s">
        <v>56</v>
      </c>
      <c r="C14" s="58">
        <v>128</v>
      </c>
      <c r="D14" s="58"/>
      <c r="E14" t="str">
        <f>VLOOKUP(B14,CAC!$A$2:$B$198,2,FALSE)</f>
        <v>HMOPMR</v>
      </c>
      <c r="G14" s="12">
        <f t="shared" si="1"/>
        <v>248296</v>
      </c>
      <c r="H14" s="11">
        <v>201506</v>
      </c>
      <c r="I14" s="12">
        <f t="shared" si="2"/>
        <v>41501</v>
      </c>
      <c r="J14" s="13">
        <f t="shared" si="0"/>
        <v>63934</v>
      </c>
      <c r="K14" s="13">
        <f t="shared" si="0"/>
        <v>6626</v>
      </c>
      <c r="L14" s="13">
        <f t="shared" si="0"/>
        <v>9048</v>
      </c>
      <c r="M14" s="13">
        <f t="shared" si="0"/>
        <v>40028</v>
      </c>
      <c r="N14" s="13">
        <f t="shared" si="0"/>
        <v>60188</v>
      </c>
      <c r="O14" s="13">
        <f t="shared" si="0"/>
        <v>6261</v>
      </c>
      <c r="P14" s="13">
        <f t="shared" si="0"/>
        <v>2256</v>
      </c>
      <c r="Q14" s="13">
        <f t="shared" si="0"/>
        <v>18441</v>
      </c>
      <c r="R14" s="13">
        <f t="shared" si="0"/>
        <v>13</v>
      </c>
      <c r="S14" s="13">
        <f t="shared" si="0"/>
        <v>0</v>
      </c>
      <c r="T14" s="14">
        <f t="shared" si="0"/>
        <v>0</v>
      </c>
      <c r="U14" s="13">
        <f t="shared" si="0"/>
        <v>0</v>
      </c>
      <c r="V14" s="13">
        <f t="shared" si="0"/>
        <v>0</v>
      </c>
      <c r="W14" s="14">
        <f t="shared" si="0"/>
        <v>0</v>
      </c>
    </row>
    <row r="15" spans="1:23" x14ac:dyDescent="0.25">
      <c r="A15" s="56" t="s">
        <v>97</v>
      </c>
      <c r="B15" s="57" t="s">
        <v>57</v>
      </c>
      <c r="C15" s="58">
        <v>5699</v>
      </c>
      <c r="D15" s="58"/>
      <c r="E15" t="str">
        <f>VLOOKUP(B15,CAC!$A$2:$B$198,2,FALSE)</f>
        <v>HMFLEX</v>
      </c>
      <c r="G15" s="12">
        <f t="shared" si="1"/>
        <v>248459</v>
      </c>
      <c r="H15" s="11">
        <v>201507</v>
      </c>
      <c r="I15" s="12">
        <f t="shared" si="2"/>
        <v>41449</v>
      </c>
      <c r="J15" s="13">
        <f t="shared" si="0"/>
        <v>63593</v>
      </c>
      <c r="K15" s="13">
        <f t="shared" si="0"/>
        <v>6592</v>
      </c>
      <c r="L15" s="13">
        <f t="shared" si="0"/>
        <v>9080</v>
      </c>
      <c r="M15" s="13">
        <f t="shared" si="0"/>
        <v>40084</v>
      </c>
      <c r="N15" s="13">
        <f t="shared" si="0"/>
        <v>60479</v>
      </c>
      <c r="O15" s="13">
        <f t="shared" si="0"/>
        <v>6219</v>
      </c>
      <c r="P15" s="13">
        <f t="shared" si="0"/>
        <v>2264</v>
      </c>
      <c r="Q15" s="13">
        <f t="shared" si="0"/>
        <v>18689</v>
      </c>
      <c r="R15" s="13">
        <f t="shared" si="0"/>
        <v>10</v>
      </c>
      <c r="S15" s="13">
        <f t="shared" si="0"/>
        <v>0</v>
      </c>
      <c r="T15" s="14">
        <f t="shared" si="0"/>
        <v>0</v>
      </c>
      <c r="U15" s="13">
        <f t="shared" si="0"/>
        <v>0</v>
      </c>
      <c r="V15" s="13">
        <f t="shared" si="0"/>
        <v>0</v>
      </c>
      <c r="W15" s="14">
        <f t="shared" si="0"/>
        <v>0</v>
      </c>
    </row>
    <row r="16" spans="1:23" x14ac:dyDescent="0.25">
      <c r="A16" s="56" t="s">
        <v>97</v>
      </c>
      <c r="B16" s="57" t="s">
        <v>58</v>
      </c>
      <c r="C16" s="58">
        <v>385</v>
      </c>
      <c r="D16" s="58"/>
      <c r="E16" t="str">
        <f>VLOOKUP(B16,CAC!$A$2:$B$198,2,FALSE)</f>
        <v>HMFLEX</v>
      </c>
      <c r="G16" s="12">
        <f t="shared" si="1"/>
        <v>240051</v>
      </c>
      <c r="H16" s="11">
        <v>201508</v>
      </c>
      <c r="I16" s="12">
        <f t="shared" si="2"/>
        <v>41616</v>
      </c>
      <c r="J16" s="13">
        <f t="shared" si="0"/>
        <v>54944</v>
      </c>
      <c r="K16" s="13">
        <f t="shared" si="0"/>
        <v>6590</v>
      </c>
      <c r="L16" s="13">
        <f t="shared" si="0"/>
        <v>9199</v>
      </c>
      <c r="M16" s="13">
        <f t="shared" si="0"/>
        <v>40060</v>
      </c>
      <c r="N16" s="13">
        <f t="shared" si="0"/>
        <v>60319</v>
      </c>
      <c r="O16" s="13">
        <f t="shared" si="0"/>
        <v>6223</v>
      </c>
      <c r="P16" s="13">
        <f t="shared" si="0"/>
        <v>2291</v>
      </c>
      <c r="Q16" s="13">
        <f t="shared" si="0"/>
        <v>18799</v>
      </c>
      <c r="R16" s="13">
        <f t="shared" si="0"/>
        <v>10</v>
      </c>
      <c r="S16" s="13">
        <f t="shared" si="0"/>
        <v>0</v>
      </c>
      <c r="T16" s="14">
        <f t="shared" si="0"/>
        <v>0</v>
      </c>
      <c r="U16" s="13">
        <f t="shared" si="0"/>
        <v>0</v>
      </c>
      <c r="V16" s="13">
        <f t="shared" si="0"/>
        <v>0</v>
      </c>
      <c r="W16" s="14">
        <f t="shared" si="0"/>
        <v>0</v>
      </c>
    </row>
    <row r="17" spans="1:23" x14ac:dyDescent="0.25">
      <c r="A17" s="56" t="s">
        <v>97</v>
      </c>
      <c r="B17" s="57" t="s">
        <v>60</v>
      </c>
      <c r="C17" s="58">
        <v>24962</v>
      </c>
      <c r="D17" s="58"/>
      <c r="E17" t="str">
        <f>VLOOKUP(B17,CAC!$A$2:$B$198,2,FALSE)</f>
        <v>HMOLG</v>
      </c>
      <c r="G17" s="12">
        <f t="shared" si="1"/>
        <v>239939</v>
      </c>
      <c r="H17" s="11">
        <v>201509</v>
      </c>
      <c r="I17" s="12">
        <f t="shared" si="2"/>
        <v>41646</v>
      </c>
      <c r="J17" s="13">
        <f t="shared" si="0"/>
        <v>54979</v>
      </c>
      <c r="K17" s="13">
        <f t="shared" si="0"/>
        <v>6499</v>
      </c>
      <c r="L17" s="13">
        <f t="shared" si="0"/>
        <v>9113</v>
      </c>
      <c r="M17" s="13">
        <f t="shared" si="0"/>
        <v>39889</v>
      </c>
      <c r="N17" s="13">
        <f t="shared" si="0"/>
        <v>60200</v>
      </c>
      <c r="O17" s="13">
        <f t="shared" si="0"/>
        <v>6226</v>
      </c>
      <c r="P17" s="13">
        <f t="shared" si="0"/>
        <v>2314</v>
      </c>
      <c r="Q17" s="13">
        <f t="shared" si="0"/>
        <v>19063</v>
      </c>
      <c r="R17" s="13">
        <f t="shared" si="0"/>
        <v>10</v>
      </c>
      <c r="S17" s="13">
        <f t="shared" si="0"/>
        <v>0</v>
      </c>
      <c r="T17" s="14">
        <f t="shared" si="0"/>
        <v>0</v>
      </c>
      <c r="U17" s="13">
        <f t="shared" si="0"/>
        <v>0</v>
      </c>
      <c r="V17" s="13">
        <f t="shared" si="0"/>
        <v>0</v>
      </c>
      <c r="W17" s="14">
        <f t="shared" si="0"/>
        <v>0</v>
      </c>
    </row>
    <row r="18" spans="1:23" x14ac:dyDescent="0.25">
      <c r="A18" s="56" t="s">
        <v>97</v>
      </c>
      <c r="B18" s="57" t="s">
        <v>61</v>
      </c>
      <c r="C18" s="58">
        <v>459</v>
      </c>
      <c r="D18" s="58"/>
      <c r="E18" t="str">
        <f>VLOOKUP(B18,CAC!$A$2:$B$198,2,FALSE)</f>
        <v>HMOLG</v>
      </c>
      <c r="G18" s="12">
        <f t="shared" si="1"/>
        <v>240077</v>
      </c>
      <c r="H18" s="11">
        <v>201510</v>
      </c>
      <c r="I18" s="12">
        <f t="shared" si="2"/>
        <v>42427</v>
      </c>
      <c r="J18" s="13">
        <f t="shared" si="0"/>
        <v>59255</v>
      </c>
      <c r="K18" s="13">
        <f t="shared" si="0"/>
        <v>6647</v>
      </c>
      <c r="L18" s="13">
        <f t="shared" si="0"/>
        <v>3604</v>
      </c>
      <c r="M18" s="13">
        <f t="shared" si="0"/>
        <v>39862</v>
      </c>
      <c r="N18" s="13">
        <f t="shared" si="0"/>
        <v>59939</v>
      </c>
      <c r="O18" s="13">
        <f t="shared" si="0"/>
        <v>6298</v>
      </c>
      <c r="P18" s="13">
        <f t="shared" si="0"/>
        <v>2327</v>
      </c>
      <c r="Q18" s="13">
        <f t="shared" si="0"/>
        <v>19707</v>
      </c>
      <c r="R18" s="13">
        <f t="shared" si="0"/>
        <v>9</v>
      </c>
      <c r="S18" s="13">
        <f t="shared" si="0"/>
        <v>0</v>
      </c>
      <c r="T18" s="14">
        <f t="shared" si="0"/>
        <v>0</v>
      </c>
      <c r="U18" s="13">
        <f t="shared" si="0"/>
        <v>0</v>
      </c>
      <c r="V18" s="13">
        <f t="shared" si="0"/>
        <v>0</v>
      </c>
      <c r="W18" s="14">
        <f t="shared" si="0"/>
        <v>0</v>
      </c>
    </row>
    <row r="19" spans="1:23" x14ac:dyDescent="0.25">
      <c r="A19" s="56" t="s">
        <v>97</v>
      </c>
      <c r="B19" s="57" t="s">
        <v>62</v>
      </c>
      <c r="C19" s="58">
        <v>22845</v>
      </c>
      <c r="D19" s="58"/>
      <c r="E19" t="str">
        <f>VLOOKUP(B19,CAC!$A$2:$B$198,2,FALSE)</f>
        <v>HMOLG</v>
      </c>
      <c r="G19" s="12">
        <f t="shared" si="1"/>
        <v>241726</v>
      </c>
      <c r="H19" s="11">
        <v>201511</v>
      </c>
      <c r="I19" s="12">
        <f t="shared" si="2"/>
        <v>42610</v>
      </c>
      <c r="J19" s="13">
        <f t="shared" si="0"/>
        <v>60891</v>
      </c>
      <c r="K19" s="13">
        <f t="shared" si="0"/>
        <v>6666</v>
      </c>
      <c r="L19" s="13">
        <f t="shared" si="0"/>
        <v>3637</v>
      </c>
      <c r="M19" s="13">
        <f t="shared" si="0"/>
        <v>39835</v>
      </c>
      <c r="N19" s="13">
        <f t="shared" si="0"/>
        <v>59566</v>
      </c>
      <c r="O19" s="13">
        <f t="shared" si="0"/>
        <v>6321</v>
      </c>
      <c r="P19" s="13">
        <f t="shared" si="0"/>
        <v>2359</v>
      </c>
      <c r="Q19" s="13">
        <f t="shared" si="0"/>
        <v>19829</v>
      </c>
      <c r="R19" s="13">
        <f t="shared" si="0"/>
        <v>9</v>
      </c>
      <c r="S19" s="13">
        <f t="shared" si="0"/>
        <v>1</v>
      </c>
      <c r="T19" s="14">
        <f t="shared" si="0"/>
        <v>0</v>
      </c>
      <c r="U19" s="13">
        <f t="shared" si="0"/>
        <v>0</v>
      </c>
      <c r="V19" s="13">
        <f t="shared" si="0"/>
        <v>0</v>
      </c>
      <c r="W19" s="14">
        <f t="shared" si="0"/>
        <v>0</v>
      </c>
    </row>
    <row r="20" spans="1:23" x14ac:dyDescent="0.25">
      <c r="A20" s="56" t="s">
        <v>97</v>
      </c>
      <c r="B20" s="57" t="s">
        <v>63</v>
      </c>
      <c r="C20" s="58">
        <v>313</v>
      </c>
      <c r="D20" s="58"/>
      <c r="E20" t="str">
        <f>VLOOKUP(B20,CAC!$A$2:$B$198,2,FALSE)</f>
        <v>HMOLG</v>
      </c>
      <c r="G20" s="35">
        <f t="shared" si="1"/>
        <v>241654</v>
      </c>
      <c r="H20" s="34">
        <v>201512</v>
      </c>
      <c r="I20" s="35">
        <f t="shared" si="2"/>
        <v>43130</v>
      </c>
      <c r="J20" s="36">
        <f t="shared" si="0"/>
        <v>57523</v>
      </c>
      <c r="K20" s="36">
        <f t="shared" si="0"/>
        <v>6656</v>
      </c>
      <c r="L20" s="36">
        <f t="shared" si="0"/>
        <v>6935</v>
      </c>
      <c r="M20" s="36">
        <f t="shared" si="0"/>
        <v>39636</v>
      </c>
      <c r="N20" s="36">
        <f t="shared" si="0"/>
        <v>59157</v>
      </c>
      <c r="O20" s="36">
        <f t="shared" si="0"/>
        <v>6328</v>
      </c>
      <c r="P20" s="36">
        <f t="shared" si="0"/>
        <v>2388</v>
      </c>
      <c r="Q20" s="36">
        <f t="shared" si="0"/>
        <v>19883</v>
      </c>
      <c r="R20" s="36">
        <f t="shared" si="0"/>
        <v>9</v>
      </c>
      <c r="S20" s="36">
        <f t="shared" si="0"/>
        <v>1</v>
      </c>
      <c r="T20" s="37">
        <f t="shared" si="0"/>
        <v>0</v>
      </c>
      <c r="U20" s="36">
        <f t="shared" si="0"/>
        <v>0</v>
      </c>
      <c r="V20" s="36">
        <f t="shared" si="0"/>
        <v>0</v>
      </c>
      <c r="W20" s="37">
        <f t="shared" si="0"/>
        <v>0</v>
      </c>
    </row>
    <row r="21" spans="1:23" x14ac:dyDescent="0.25">
      <c r="A21" s="56" t="s">
        <v>97</v>
      </c>
      <c r="B21" s="57" t="s">
        <v>64</v>
      </c>
      <c r="C21" s="58">
        <v>2</v>
      </c>
      <c r="D21" s="58"/>
      <c r="E21" t="str">
        <f>VLOOKUP(B21,CAC!$A$2:$B$198,2,FALSE)</f>
        <v>HMOLG</v>
      </c>
      <c r="G21" s="52">
        <f t="shared" si="1"/>
        <v>214800</v>
      </c>
      <c r="H21" s="55">
        <v>201601</v>
      </c>
      <c r="I21" s="52">
        <f t="shared" si="2"/>
        <v>43441</v>
      </c>
      <c r="J21" s="53">
        <f t="shared" si="0"/>
        <v>53187</v>
      </c>
      <c r="K21" s="53">
        <f t="shared" si="0"/>
        <v>6574</v>
      </c>
      <c r="L21" s="53">
        <f t="shared" si="0"/>
        <v>9029</v>
      </c>
      <c r="M21" s="53">
        <f t="shared" si="0"/>
        <v>40186</v>
      </c>
      <c r="N21" s="53">
        <f t="shared" si="0"/>
        <v>42187</v>
      </c>
      <c r="O21" s="53">
        <f t="shared" si="0"/>
        <v>0</v>
      </c>
      <c r="P21" s="53">
        <f t="shared" si="0"/>
        <v>0</v>
      </c>
      <c r="Q21" s="53">
        <f t="shared" si="0"/>
        <v>20162</v>
      </c>
      <c r="R21" s="53">
        <f t="shared" si="0"/>
        <v>0</v>
      </c>
      <c r="S21" s="53">
        <f t="shared" si="0"/>
        <v>1</v>
      </c>
      <c r="T21" s="54">
        <f t="shared" si="0"/>
        <v>0</v>
      </c>
      <c r="U21" s="53">
        <f t="shared" si="0"/>
        <v>0</v>
      </c>
      <c r="V21" s="53">
        <f t="shared" si="0"/>
        <v>0</v>
      </c>
      <c r="W21" s="54">
        <f t="shared" si="0"/>
        <v>0</v>
      </c>
    </row>
    <row r="22" spans="1:23" x14ac:dyDescent="0.25">
      <c r="A22" s="56" t="s">
        <v>97</v>
      </c>
      <c r="B22" s="57" t="s">
        <v>65</v>
      </c>
      <c r="C22" s="58">
        <v>214</v>
      </c>
      <c r="D22" s="58"/>
      <c r="E22" t="str">
        <f>VLOOKUP(B22,CAC!$A$2:$B$198,2,FALSE)</f>
        <v>HMFLEX</v>
      </c>
      <c r="G22" s="12">
        <f t="shared" si="1"/>
        <v>217427</v>
      </c>
      <c r="H22" s="11">
        <v>201602</v>
      </c>
      <c r="I22" s="12">
        <f t="shared" si="2"/>
        <v>44631</v>
      </c>
      <c r="J22" s="13">
        <f t="shared" si="0"/>
        <v>55911</v>
      </c>
      <c r="K22" s="13">
        <f t="shared" si="0"/>
        <v>6077</v>
      </c>
      <c r="L22" s="13">
        <f t="shared" si="0"/>
        <v>8297</v>
      </c>
      <c r="M22" s="13">
        <f t="shared" si="0"/>
        <v>40131</v>
      </c>
      <c r="N22" s="13">
        <f t="shared" si="0"/>
        <v>41612</v>
      </c>
      <c r="O22" s="13">
        <f t="shared" si="0"/>
        <v>0</v>
      </c>
      <c r="P22" s="13">
        <f t="shared" si="0"/>
        <v>0</v>
      </c>
      <c r="Q22" s="13">
        <f t="shared" si="0"/>
        <v>20764</v>
      </c>
      <c r="R22" s="13">
        <f t="shared" si="0"/>
        <v>0</v>
      </c>
      <c r="S22" s="13">
        <f t="shared" si="0"/>
        <v>0</v>
      </c>
      <c r="T22" s="14">
        <f t="shared" si="0"/>
        <v>0</v>
      </c>
      <c r="U22" s="13">
        <f t="shared" si="0"/>
        <v>0</v>
      </c>
      <c r="V22" s="13">
        <f t="shared" si="0"/>
        <v>0</v>
      </c>
      <c r="W22" s="14">
        <f t="shared" si="0"/>
        <v>0</v>
      </c>
    </row>
    <row r="23" spans="1:23" x14ac:dyDescent="0.25">
      <c r="A23" s="56" t="s">
        <v>97</v>
      </c>
      <c r="B23" s="57" t="s">
        <v>99</v>
      </c>
      <c r="C23" s="58">
        <v>17</v>
      </c>
      <c r="D23" s="58"/>
      <c r="E23" t="str">
        <f>VLOOKUP(B23,CAC!$A$2:$B$198,2,FALSE)</f>
        <v>PPOLG</v>
      </c>
      <c r="G23" s="12">
        <f t="shared" si="1"/>
        <v>215461</v>
      </c>
      <c r="H23" s="11">
        <v>201603</v>
      </c>
      <c r="I23" s="12">
        <f t="shared" si="2"/>
        <v>43013</v>
      </c>
      <c r="J23" s="13">
        <f t="shared" si="0"/>
        <v>57209</v>
      </c>
      <c r="K23" s="13">
        <f t="shared" si="0"/>
        <v>6097</v>
      </c>
      <c r="L23" s="13">
        <f t="shared" si="0"/>
        <v>8372</v>
      </c>
      <c r="M23" s="13">
        <f t="shared" si="0"/>
        <v>39077</v>
      </c>
      <c r="N23" s="13">
        <f t="shared" si="0"/>
        <v>40638</v>
      </c>
      <c r="O23" s="13">
        <f t="shared" si="0"/>
        <v>0</v>
      </c>
      <c r="P23" s="13">
        <f t="shared" si="0"/>
        <v>0</v>
      </c>
      <c r="Q23" s="13">
        <f t="shared" si="0"/>
        <v>21044</v>
      </c>
      <c r="R23" s="13">
        <f t="shared" si="0"/>
        <v>0</v>
      </c>
      <c r="S23" s="13">
        <f t="shared" si="0"/>
        <v>0</v>
      </c>
      <c r="T23" s="14">
        <f t="shared" si="0"/>
        <v>0</v>
      </c>
      <c r="U23" s="13">
        <f t="shared" si="0"/>
        <v>0</v>
      </c>
      <c r="V23" s="13">
        <f t="shared" si="0"/>
        <v>0</v>
      </c>
      <c r="W23" s="14">
        <f t="shared" si="0"/>
        <v>0</v>
      </c>
    </row>
    <row r="24" spans="1:23" x14ac:dyDescent="0.25">
      <c r="A24" s="56" t="s">
        <v>97</v>
      </c>
      <c r="B24" s="57" t="s">
        <v>66</v>
      </c>
      <c r="C24" s="58">
        <v>3571</v>
      </c>
      <c r="D24" s="58"/>
      <c r="E24" t="str">
        <f>VLOOKUP(B24,CAC!$A$2:$B$198,2,FALSE)</f>
        <v>HMOLG</v>
      </c>
      <c r="G24" s="12">
        <f t="shared" si="1"/>
        <v>210834</v>
      </c>
      <c r="H24" s="11">
        <v>201604</v>
      </c>
      <c r="I24" s="12">
        <f t="shared" si="2"/>
        <v>42562</v>
      </c>
      <c r="J24" s="13">
        <f t="shared" si="0"/>
        <v>56277</v>
      </c>
      <c r="K24" s="13">
        <f t="shared" si="0"/>
        <v>6090</v>
      </c>
      <c r="L24" s="13">
        <f t="shared" si="0"/>
        <v>8918</v>
      </c>
      <c r="M24" s="13">
        <f t="shared" si="0"/>
        <v>38077</v>
      </c>
      <c r="N24" s="13">
        <f t="shared" si="0"/>
        <v>37675</v>
      </c>
      <c r="O24" s="13">
        <f t="shared" si="0"/>
        <v>0</v>
      </c>
      <c r="P24" s="13">
        <f t="shared" si="0"/>
        <v>0</v>
      </c>
      <c r="Q24" s="13">
        <f t="shared" si="0"/>
        <v>21235</v>
      </c>
      <c r="R24" s="13">
        <f t="shared" si="0"/>
        <v>0</v>
      </c>
      <c r="S24" s="13">
        <f t="shared" si="0"/>
        <v>0</v>
      </c>
      <c r="T24" s="14">
        <f t="shared" si="0"/>
        <v>0</v>
      </c>
      <c r="U24" s="13">
        <f t="shared" si="0"/>
        <v>0</v>
      </c>
      <c r="V24" s="13">
        <f t="shared" si="0"/>
        <v>0</v>
      </c>
      <c r="W24" s="14">
        <f t="shared" si="0"/>
        <v>0</v>
      </c>
    </row>
    <row r="25" spans="1:23" x14ac:dyDescent="0.25">
      <c r="A25" s="56" t="s">
        <v>97</v>
      </c>
      <c r="B25" s="57" t="s">
        <v>67</v>
      </c>
      <c r="C25" s="58">
        <v>139</v>
      </c>
      <c r="D25" s="58"/>
      <c r="E25" t="str">
        <f>VLOOKUP(B25,CAC!$A$2:$B$198,2,FALSE)</f>
        <v>HMOLG</v>
      </c>
      <c r="G25" s="12">
        <f t="shared" si="1"/>
        <v>210470</v>
      </c>
      <c r="H25" s="11">
        <v>201605</v>
      </c>
      <c r="I25" s="12">
        <f t="shared" si="2"/>
        <v>41838</v>
      </c>
      <c r="J25" s="13">
        <f t="shared" si="2"/>
        <v>56900</v>
      </c>
      <c r="K25" s="13">
        <f t="shared" si="2"/>
        <v>0</v>
      </c>
      <c r="L25" s="13">
        <f t="shared" si="2"/>
        <v>8971</v>
      </c>
      <c r="M25" s="13">
        <f t="shared" si="2"/>
        <v>37993</v>
      </c>
      <c r="N25" s="13">
        <f t="shared" si="2"/>
        <v>37476</v>
      </c>
      <c r="O25" s="13">
        <f t="shared" si="2"/>
        <v>0</v>
      </c>
      <c r="P25" s="13">
        <f t="shared" si="2"/>
        <v>0</v>
      </c>
      <c r="Q25" s="13">
        <f t="shared" si="2"/>
        <v>21196</v>
      </c>
      <c r="R25" s="13">
        <f t="shared" si="2"/>
        <v>0</v>
      </c>
      <c r="S25" s="13">
        <f t="shared" si="2"/>
        <v>0</v>
      </c>
      <c r="T25" s="14">
        <f t="shared" si="2"/>
        <v>0</v>
      </c>
      <c r="U25" s="13">
        <f t="shared" si="2"/>
        <v>0</v>
      </c>
      <c r="V25" s="13">
        <f t="shared" si="2"/>
        <v>0</v>
      </c>
      <c r="W25" s="14">
        <f t="shared" si="2"/>
        <v>0</v>
      </c>
    </row>
    <row r="26" spans="1:23" x14ac:dyDescent="0.25">
      <c r="A26" s="56" t="s">
        <v>97</v>
      </c>
      <c r="B26" s="57" t="s">
        <v>68</v>
      </c>
      <c r="C26" s="58">
        <v>268</v>
      </c>
      <c r="D26" s="58"/>
      <c r="E26" t="str">
        <f>VLOOKUP(B26,CAC!$A$2:$B$198,2,FALSE)</f>
        <v>HMOPMR</v>
      </c>
      <c r="G26" s="12">
        <f t="shared" si="1"/>
        <v>209372</v>
      </c>
      <c r="H26" s="11">
        <v>201606</v>
      </c>
      <c r="I26" s="12">
        <f t="shared" ref="I26:W41" si="3">SUMIFS($C$9:$C$5001,$A$9:$A$5001,$H26,$E$9:$E$5001,I$8)</f>
        <v>41532</v>
      </c>
      <c r="J26" s="13">
        <f t="shared" si="3"/>
        <v>56497</v>
      </c>
      <c r="K26" s="13">
        <f t="shared" si="3"/>
        <v>6066</v>
      </c>
      <c r="L26" s="13">
        <f t="shared" si="3"/>
        <v>9003</v>
      </c>
      <c r="M26" s="13">
        <f t="shared" si="3"/>
        <v>37721</v>
      </c>
      <c r="N26" s="13">
        <f t="shared" si="3"/>
        <v>37035</v>
      </c>
      <c r="O26" s="13">
        <f t="shared" si="3"/>
        <v>0</v>
      </c>
      <c r="P26" s="13">
        <f t="shared" si="3"/>
        <v>0</v>
      </c>
      <c r="Q26" s="13">
        <f t="shared" si="3"/>
        <v>21511</v>
      </c>
      <c r="R26" s="13">
        <f t="shared" si="3"/>
        <v>0</v>
      </c>
      <c r="S26" s="13">
        <f t="shared" si="3"/>
        <v>0</v>
      </c>
      <c r="T26" s="14">
        <f t="shared" si="3"/>
        <v>0</v>
      </c>
      <c r="U26" s="13">
        <f t="shared" si="3"/>
        <v>0</v>
      </c>
      <c r="V26" s="13">
        <f t="shared" si="3"/>
        <v>0</v>
      </c>
      <c r="W26" s="14">
        <f t="shared" si="3"/>
        <v>0</v>
      </c>
    </row>
    <row r="27" spans="1:23" x14ac:dyDescent="0.25">
      <c r="A27" s="56" t="s">
        <v>97</v>
      </c>
      <c r="B27" s="57" t="s">
        <v>69</v>
      </c>
      <c r="C27" s="58">
        <v>9992</v>
      </c>
      <c r="D27" s="58"/>
      <c r="E27" t="str">
        <f>VLOOKUP(B27,CAC!$A$2:$B$198,2,FALSE)</f>
        <v>HMOPMR</v>
      </c>
      <c r="G27" s="12">
        <f t="shared" si="1"/>
        <v>211672</v>
      </c>
      <c r="H27" s="11">
        <v>201607</v>
      </c>
      <c r="I27" s="12">
        <f t="shared" si="3"/>
        <v>41812</v>
      </c>
      <c r="J27" s="13">
        <f t="shared" si="3"/>
        <v>57773</v>
      </c>
      <c r="K27" s="13">
        <f t="shared" si="3"/>
        <v>6109</v>
      </c>
      <c r="L27" s="13">
        <f t="shared" si="3"/>
        <v>9191</v>
      </c>
      <c r="M27" s="13">
        <f t="shared" si="3"/>
        <v>37871</v>
      </c>
      <c r="N27" s="13">
        <f t="shared" si="3"/>
        <v>36908</v>
      </c>
      <c r="O27" s="13">
        <f t="shared" si="3"/>
        <v>0</v>
      </c>
      <c r="P27" s="13">
        <f t="shared" si="3"/>
        <v>0</v>
      </c>
      <c r="Q27" s="13">
        <f t="shared" si="3"/>
        <v>22002</v>
      </c>
      <c r="R27" s="13">
        <f t="shared" si="3"/>
        <v>0</v>
      </c>
      <c r="S27" s="13">
        <f t="shared" si="3"/>
        <v>0</v>
      </c>
      <c r="T27" s="14">
        <f t="shared" si="3"/>
        <v>0</v>
      </c>
      <c r="U27" s="13">
        <f t="shared" si="3"/>
        <v>0</v>
      </c>
      <c r="V27" s="13">
        <f t="shared" si="3"/>
        <v>0</v>
      </c>
      <c r="W27" s="14">
        <f t="shared" si="3"/>
        <v>0</v>
      </c>
    </row>
    <row r="28" spans="1:23" x14ac:dyDescent="0.25">
      <c r="A28" s="56" t="s">
        <v>97</v>
      </c>
      <c r="B28" s="57" t="s">
        <v>70</v>
      </c>
      <c r="C28" s="58">
        <v>4118</v>
      </c>
      <c r="D28" s="58"/>
      <c r="E28" t="str">
        <f>VLOOKUP(B28,CAC!$A$2:$B$198,2,FALSE)</f>
        <v>HMOPMR</v>
      </c>
      <c r="G28" s="12">
        <f t="shared" si="1"/>
        <v>210843</v>
      </c>
      <c r="H28" s="11">
        <v>201608</v>
      </c>
      <c r="I28" s="12">
        <f t="shared" si="3"/>
        <v>41227</v>
      </c>
      <c r="J28" s="13">
        <f t="shared" si="3"/>
        <v>56925</v>
      </c>
      <c r="K28" s="13">
        <f t="shared" si="3"/>
        <v>6096</v>
      </c>
      <c r="L28" s="13">
        <f t="shared" si="3"/>
        <v>10017</v>
      </c>
      <c r="M28" s="13">
        <f t="shared" si="3"/>
        <v>37774</v>
      </c>
      <c r="N28" s="13">
        <f t="shared" si="3"/>
        <v>36628</v>
      </c>
      <c r="O28" s="13">
        <f t="shared" si="3"/>
        <v>0</v>
      </c>
      <c r="P28" s="13">
        <f t="shared" si="3"/>
        <v>0</v>
      </c>
      <c r="Q28" s="13">
        <f t="shared" si="3"/>
        <v>22176</v>
      </c>
      <c r="R28" s="13">
        <f t="shared" si="3"/>
        <v>0</v>
      </c>
      <c r="S28" s="13">
        <f t="shared" si="3"/>
        <v>0</v>
      </c>
      <c r="T28" s="14">
        <f t="shared" si="3"/>
        <v>0</v>
      </c>
      <c r="U28" s="13">
        <f t="shared" si="3"/>
        <v>0</v>
      </c>
      <c r="V28" s="13">
        <f t="shared" si="3"/>
        <v>0</v>
      </c>
      <c r="W28" s="14">
        <f t="shared" si="3"/>
        <v>0</v>
      </c>
    </row>
    <row r="29" spans="1:23" x14ac:dyDescent="0.25">
      <c r="A29" s="56" t="s">
        <v>97</v>
      </c>
      <c r="B29" s="57" t="s">
        <v>71</v>
      </c>
      <c r="C29" s="58">
        <v>8754</v>
      </c>
      <c r="D29" s="58"/>
      <c r="E29" t="str">
        <f>VLOOKUP(B29,CAC!$A$2:$B$198,2,FALSE)</f>
        <v>HMOPMR</v>
      </c>
      <c r="G29" s="12">
        <f t="shared" si="1"/>
        <v>209268</v>
      </c>
      <c r="H29" s="11">
        <v>201609</v>
      </c>
      <c r="I29" s="12">
        <f t="shared" si="3"/>
        <v>40560</v>
      </c>
      <c r="J29" s="13">
        <f t="shared" si="3"/>
        <v>56880</v>
      </c>
      <c r="K29" s="13">
        <f t="shared" si="3"/>
        <v>6085</v>
      </c>
      <c r="L29" s="13">
        <f t="shared" si="3"/>
        <v>9825</v>
      </c>
      <c r="M29" s="13">
        <f t="shared" si="3"/>
        <v>37451</v>
      </c>
      <c r="N29" s="13">
        <f t="shared" si="3"/>
        <v>36305</v>
      </c>
      <c r="O29" s="13">
        <f t="shared" si="3"/>
        <v>0</v>
      </c>
      <c r="P29" s="13">
        <f t="shared" si="3"/>
        <v>0</v>
      </c>
      <c r="Q29" s="13">
        <f t="shared" si="3"/>
        <v>22160</v>
      </c>
      <c r="R29" s="13">
        <f t="shared" si="3"/>
        <v>0</v>
      </c>
      <c r="S29" s="13">
        <f t="shared" si="3"/>
        <v>0</v>
      </c>
      <c r="T29" s="14">
        <f t="shared" si="3"/>
        <v>0</v>
      </c>
      <c r="U29" s="13">
        <f t="shared" si="3"/>
        <v>0</v>
      </c>
      <c r="V29" s="13">
        <f t="shared" si="3"/>
        <v>0</v>
      </c>
      <c r="W29" s="14">
        <f t="shared" si="3"/>
        <v>0</v>
      </c>
    </row>
    <row r="30" spans="1:23" x14ac:dyDescent="0.25">
      <c r="A30" s="56" t="s">
        <v>97</v>
      </c>
      <c r="B30" s="57" t="s">
        <v>72</v>
      </c>
      <c r="C30" s="58">
        <v>2344</v>
      </c>
      <c r="D30" s="58"/>
      <c r="E30" t="str">
        <f>VLOOKUP(B30,CAC!$A$2:$B$198,2,FALSE)</f>
        <v>HMFLEX</v>
      </c>
      <c r="G30" s="12">
        <f t="shared" si="1"/>
        <v>207371</v>
      </c>
      <c r="H30" s="11">
        <v>201610</v>
      </c>
      <c r="I30" s="12">
        <f t="shared" si="3"/>
        <v>39525</v>
      </c>
      <c r="J30" s="13">
        <f t="shared" si="3"/>
        <v>56905</v>
      </c>
      <c r="K30" s="13">
        <f t="shared" si="3"/>
        <v>6027</v>
      </c>
      <c r="L30" s="13">
        <f t="shared" si="3"/>
        <v>9563</v>
      </c>
      <c r="M30" s="13">
        <f t="shared" si="3"/>
        <v>37029</v>
      </c>
      <c r="N30" s="13">
        <f t="shared" si="3"/>
        <v>35838</v>
      </c>
      <c r="O30" s="13">
        <f t="shared" si="3"/>
        <v>0</v>
      </c>
      <c r="P30" s="13">
        <f t="shared" si="3"/>
        <v>0</v>
      </c>
      <c r="Q30" s="13">
        <f t="shared" si="3"/>
        <v>22351</v>
      </c>
      <c r="R30" s="13">
        <f t="shared" si="3"/>
        <v>0</v>
      </c>
      <c r="S30" s="13">
        <f t="shared" si="3"/>
        <v>0</v>
      </c>
      <c r="T30" s="14">
        <f t="shared" si="3"/>
        <v>0</v>
      </c>
      <c r="U30" s="13">
        <f t="shared" si="3"/>
        <v>0</v>
      </c>
      <c r="V30" s="13">
        <f t="shared" si="3"/>
        <v>0</v>
      </c>
      <c r="W30" s="14">
        <f t="shared" si="3"/>
        <v>0</v>
      </c>
    </row>
    <row r="31" spans="1:23" x14ac:dyDescent="0.25">
      <c r="A31" s="56" t="s">
        <v>97</v>
      </c>
      <c r="B31" s="57" t="s">
        <v>100</v>
      </c>
      <c r="C31" s="58">
        <v>88</v>
      </c>
      <c r="D31" s="58"/>
      <c r="E31" t="e">
        <f>VLOOKUP(B31,CAC!$A$2:$B$198,2,FALSE)</f>
        <v>#N/A</v>
      </c>
      <c r="G31" s="12">
        <f t="shared" si="1"/>
        <v>208028</v>
      </c>
      <c r="H31" s="11">
        <v>201611</v>
      </c>
      <c r="I31" s="12">
        <f t="shared" si="3"/>
        <v>39764</v>
      </c>
      <c r="J31" s="13">
        <f t="shared" si="3"/>
        <v>56948</v>
      </c>
      <c r="K31" s="13">
        <f t="shared" si="3"/>
        <v>5978</v>
      </c>
      <c r="L31" s="13">
        <f t="shared" si="3"/>
        <v>9596</v>
      </c>
      <c r="M31" s="13">
        <f t="shared" si="3"/>
        <v>37159</v>
      </c>
      <c r="N31" s="13">
        <f t="shared" si="3"/>
        <v>35745</v>
      </c>
      <c r="O31" s="13">
        <f t="shared" si="3"/>
        <v>0</v>
      </c>
      <c r="P31" s="13">
        <f t="shared" si="3"/>
        <v>0</v>
      </c>
      <c r="Q31" s="13">
        <f t="shared" si="3"/>
        <v>22838</v>
      </c>
      <c r="R31" s="13">
        <f t="shared" si="3"/>
        <v>0</v>
      </c>
      <c r="S31" s="13">
        <f t="shared" si="3"/>
        <v>0</v>
      </c>
      <c r="T31" s="14">
        <f t="shared" si="3"/>
        <v>0</v>
      </c>
      <c r="U31" s="13">
        <f t="shared" si="3"/>
        <v>0</v>
      </c>
      <c r="V31" s="13">
        <f t="shared" si="3"/>
        <v>0</v>
      </c>
      <c r="W31" s="14">
        <f t="shared" si="3"/>
        <v>0</v>
      </c>
    </row>
    <row r="32" spans="1:23" x14ac:dyDescent="0.25">
      <c r="A32" s="56" t="s">
        <v>97</v>
      </c>
      <c r="B32" s="57" t="s">
        <v>73</v>
      </c>
      <c r="C32" s="58">
        <v>40396</v>
      </c>
      <c r="D32" s="58"/>
      <c r="E32" t="str">
        <f>VLOOKUP(B32,CAC!$A$2:$B$198,2,FALSE)</f>
        <v>HMOPERA</v>
      </c>
      <c r="G32" s="35">
        <f t="shared" si="1"/>
        <v>206421</v>
      </c>
      <c r="H32" s="34">
        <v>201612</v>
      </c>
      <c r="I32" s="35">
        <f t="shared" si="3"/>
        <v>38367</v>
      </c>
      <c r="J32" s="36">
        <f t="shared" si="3"/>
        <v>56338</v>
      </c>
      <c r="K32" s="36">
        <f t="shared" si="3"/>
        <v>5917</v>
      </c>
      <c r="L32" s="36">
        <f t="shared" si="3"/>
        <v>9644</v>
      </c>
      <c r="M32" s="36">
        <f t="shared" si="3"/>
        <v>36975</v>
      </c>
      <c r="N32" s="36">
        <f t="shared" si="3"/>
        <v>35262</v>
      </c>
      <c r="O32" s="36">
        <f t="shared" si="3"/>
        <v>0</v>
      </c>
      <c r="P32" s="36">
        <f t="shared" si="3"/>
        <v>0</v>
      </c>
      <c r="Q32" s="36">
        <f t="shared" si="3"/>
        <v>23761</v>
      </c>
      <c r="R32" s="36">
        <f t="shared" si="3"/>
        <v>0</v>
      </c>
      <c r="S32" s="36">
        <f t="shared" si="3"/>
        <v>0</v>
      </c>
      <c r="T32" s="37">
        <f t="shared" si="3"/>
        <v>0</v>
      </c>
      <c r="U32" s="36">
        <f t="shared" si="3"/>
        <v>0</v>
      </c>
      <c r="V32" s="36">
        <f t="shared" si="3"/>
        <v>0</v>
      </c>
      <c r="W32" s="37">
        <f t="shared" si="3"/>
        <v>0</v>
      </c>
    </row>
    <row r="33" spans="1:23" x14ac:dyDescent="0.25">
      <c r="A33" s="56" t="s">
        <v>97</v>
      </c>
      <c r="B33" s="57" t="s">
        <v>74</v>
      </c>
      <c r="C33" s="58">
        <v>6125</v>
      </c>
      <c r="D33" s="58"/>
      <c r="E33" t="str">
        <f>VLOOKUP(B33,CAC!$A$2:$B$198,2,FALSE)</f>
        <v>PERMEDA</v>
      </c>
      <c r="G33" s="52">
        <f t="shared" si="1"/>
        <v>175245</v>
      </c>
      <c r="H33" s="55">
        <v>201701</v>
      </c>
      <c r="I33" s="52">
        <f t="shared" si="3"/>
        <v>31606</v>
      </c>
      <c r="J33" s="53">
        <f t="shared" si="3"/>
        <v>39483</v>
      </c>
      <c r="K33" s="53">
        <f t="shared" si="3"/>
        <v>5831</v>
      </c>
      <c r="L33" s="53">
        <f t="shared" si="3"/>
        <v>9631</v>
      </c>
      <c r="M33" s="53">
        <f t="shared" si="3"/>
        <v>62891</v>
      </c>
      <c r="N33" s="53">
        <f t="shared" si="3"/>
        <v>15</v>
      </c>
      <c r="O33" s="53">
        <f t="shared" si="3"/>
        <v>0</v>
      </c>
      <c r="P33" s="53">
        <f t="shared" si="3"/>
        <v>0</v>
      </c>
      <c r="Q33" s="53">
        <f t="shared" si="3"/>
        <v>25757</v>
      </c>
      <c r="R33" s="53">
        <f t="shared" si="3"/>
        <v>0</v>
      </c>
      <c r="S33" s="53">
        <f t="shared" si="3"/>
        <v>0</v>
      </c>
      <c r="T33" s="54">
        <f t="shared" si="3"/>
        <v>0</v>
      </c>
      <c r="U33" s="53">
        <f t="shared" si="3"/>
        <v>0</v>
      </c>
      <c r="V33" s="53">
        <f t="shared" si="3"/>
        <v>0</v>
      </c>
      <c r="W33" s="54">
        <f t="shared" si="3"/>
        <v>0</v>
      </c>
    </row>
    <row r="34" spans="1:23" x14ac:dyDescent="0.25">
      <c r="A34" s="56" t="s">
        <v>97</v>
      </c>
      <c r="B34" s="57" t="s">
        <v>75</v>
      </c>
      <c r="C34" s="58">
        <v>61311</v>
      </c>
      <c r="D34" s="58"/>
      <c r="E34" t="str">
        <f>VLOOKUP(B34,CAC!$A$2:$B$198,2,FALSE)</f>
        <v>HMOPERN</v>
      </c>
      <c r="G34" s="32">
        <f t="shared" si="1"/>
        <v>154871</v>
      </c>
      <c r="H34" s="11">
        <v>201702</v>
      </c>
      <c r="I34" s="32">
        <f t="shared" si="3"/>
        <v>26766</v>
      </c>
      <c r="J34" s="33">
        <f t="shared" si="3"/>
        <v>31490</v>
      </c>
      <c r="K34" s="33">
        <f t="shared" si="3"/>
        <v>5498</v>
      </c>
      <c r="L34" s="33">
        <f t="shared" si="3"/>
        <v>9531</v>
      </c>
      <c r="M34" s="33">
        <f t="shared" si="3"/>
        <v>55926</v>
      </c>
      <c r="N34" s="33">
        <f t="shared" si="3"/>
        <v>15</v>
      </c>
      <c r="O34" s="33">
        <f t="shared" si="3"/>
        <v>0</v>
      </c>
      <c r="P34" s="33">
        <f t="shared" si="3"/>
        <v>0</v>
      </c>
      <c r="Q34" s="33">
        <f t="shared" si="3"/>
        <v>24661</v>
      </c>
      <c r="R34" s="13">
        <f t="shared" si="3"/>
        <v>980</v>
      </c>
      <c r="S34" s="13">
        <f t="shared" si="3"/>
        <v>0</v>
      </c>
      <c r="T34" s="14">
        <f t="shared" si="3"/>
        <v>0</v>
      </c>
      <c r="U34" s="13">
        <f t="shared" si="3"/>
        <v>0</v>
      </c>
      <c r="V34" s="13">
        <f t="shared" si="3"/>
        <v>0</v>
      </c>
      <c r="W34" s="14">
        <f t="shared" si="3"/>
        <v>0</v>
      </c>
    </row>
    <row r="35" spans="1:23" x14ac:dyDescent="0.25">
      <c r="A35" s="56" t="s">
        <v>97</v>
      </c>
      <c r="B35" s="57" t="s">
        <v>76</v>
      </c>
      <c r="C35" s="58">
        <v>2093</v>
      </c>
      <c r="D35" s="58"/>
      <c r="E35" t="str">
        <f>VLOOKUP(B35,CAC!$A$2:$B$198,2,FALSE)</f>
        <v>PERMEDN</v>
      </c>
      <c r="G35" s="12">
        <f t="shared" si="1"/>
        <v>177381</v>
      </c>
      <c r="H35" s="11">
        <v>201703</v>
      </c>
      <c r="I35" s="12">
        <f t="shared" si="3"/>
        <v>32561</v>
      </c>
      <c r="J35" s="13">
        <f t="shared" si="3"/>
        <v>53834</v>
      </c>
      <c r="K35" s="13">
        <f t="shared" si="3"/>
        <v>5636</v>
      </c>
      <c r="L35" s="13">
        <f t="shared" si="3"/>
        <v>9650</v>
      </c>
      <c r="M35" s="13">
        <f t="shared" si="3"/>
        <v>47693</v>
      </c>
      <c r="N35" s="13">
        <f t="shared" si="3"/>
        <v>15</v>
      </c>
      <c r="O35" s="13">
        <f t="shared" si="3"/>
        <v>0</v>
      </c>
      <c r="P35" s="13">
        <f t="shared" si="3"/>
        <v>0</v>
      </c>
      <c r="Q35" s="13">
        <f t="shared" si="3"/>
        <v>26609</v>
      </c>
      <c r="R35" s="13">
        <f t="shared" si="3"/>
        <v>1379</v>
      </c>
      <c r="S35" s="13">
        <f t="shared" si="3"/>
        <v>0</v>
      </c>
      <c r="T35" s="14">
        <f t="shared" si="3"/>
        <v>0</v>
      </c>
      <c r="U35" s="13">
        <f t="shared" si="3"/>
        <v>0</v>
      </c>
      <c r="V35" s="13">
        <f t="shared" si="3"/>
        <v>0</v>
      </c>
      <c r="W35" s="14">
        <f t="shared" si="3"/>
        <v>0</v>
      </c>
    </row>
    <row r="36" spans="1:23" x14ac:dyDescent="0.25">
      <c r="A36" s="56" t="s">
        <v>97</v>
      </c>
      <c r="B36" s="57" t="s">
        <v>77</v>
      </c>
      <c r="C36" s="58">
        <v>17810</v>
      </c>
      <c r="D36" s="58"/>
      <c r="E36" t="str">
        <f>VLOOKUP(B36,CAC!$A$2:$B$198,2,FALSE)</f>
        <v>HMOSG</v>
      </c>
      <c r="G36" s="12">
        <f t="shared" si="1"/>
        <v>178389</v>
      </c>
      <c r="H36" s="11">
        <v>201704</v>
      </c>
      <c r="I36" s="12">
        <f t="shared" si="3"/>
        <v>33178</v>
      </c>
      <c r="J36" s="13">
        <f t="shared" si="3"/>
        <v>54026</v>
      </c>
      <c r="K36" s="13">
        <f t="shared" si="3"/>
        <v>5651</v>
      </c>
      <c r="L36" s="13">
        <f t="shared" si="3"/>
        <v>9705</v>
      </c>
      <c r="M36" s="13">
        <f t="shared" si="3"/>
        <v>47393</v>
      </c>
      <c r="N36" s="13">
        <f t="shared" si="3"/>
        <v>15</v>
      </c>
      <c r="O36" s="13">
        <f t="shared" si="3"/>
        <v>0</v>
      </c>
      <c r="P36" s="13">
        <f t="shared" si="3"/>
        <v>0</v>
      </c>
      <c r="Q36" s="13">
        <f t="shared" si="3"/>
        <v>26765</v>
      </c>
      <c r="R36" s="13">
        <f t="shared" si="3"/>
        <v>1652</v>
      </c>
      <c r="S36" s="13">
        <f t="shared" si="3"/>
        <v>0</v>
      </c>
      <c r="T36" s="14">
        <f t="shared" si="3"/>
        <v>0</v>
      </c>
      <c r="U36" s="13">
        <f t="shared" si="3"/>
        <v>0</v>
      </c>
      <c r="V36" s="13">
        <f t="shared" si="3"/>
        <v>0</v>
      </c>
      <c r="W36" s="14">
        <f t="shared" si="3"/>
        <v>0</v>
      </c>
    </row>
    <row r="37" spans="1:23" x14ac:dyDescent="0.25">
      <c r="A37" s="56" t="s">
        <v>97</v>
      </c>
      <c r="B37" s="57" t="s">
        <v>78</v>
      </c>
      <c r="C37" s="58">
        <v>157</v>
      </c>
      <c r="D37" s="58"/>
      <c r="E37" t="str">
        <f>VLOOKUP(B37,CAC!$A$2:$B$198,2,FALSE)</f>
        <v>HMOSG</v>
      </c>
      <c r="G37" s="12">
        <f t="shared" si="1"/>
        <v>179416</v>
      </c>
      <c r="H37" s="11">
        <v>201705</v>
      </c>
      <c r="I37" s="12">
        <f t="shared" si="3"/>
        <v>33397</v>
      </c>
      <c r="J37" s="13">
        <f t="shared" si="3"/>
        <v>54297</v>
      </c>
      <c r="K37" s="13">
        <f t="shared" si="3"/>
        <v>5687</v>
      </c>
      <c r="L37" s="13">
        <f t="shared" si="3"/>
        <v>9738</v>
      </c>
      <c r="M37" s="13">
        <f t="shared" si="3"/>
        <v>47365</v>
      </c>
      <c r="N37" s="13">
        <f t="shared" si="3"/>
        <v>15</v>
      </c>
      <c r="O37" s="13">
        <f t="shared" si="3"/>
        <v>0</v>
      </c>
      <c r="P37" s="13">
        <f t="shared" si="3"/>
        <v>0</v>
      </c>
      <c r="Q37" s="13">
        <f t="shared" si="3"/>
        <v>26857</v>
      </c>
      <c r="R37" s="13">
        <f t="shared" si="3"/>
        <v>1783</v>
      </c>
      <c r="S37" s="13">
        <f t="shared" si="3"/>
        <v>0</v>
      </c>
      <c r="T37" s="14">
        <f t="shared" si="3"/>
        <v>0</v>
      </c>
      <c r="U37" s="13">
        <f t="shared" si="3"/>
        <v>0</v>
      </c>
      <c r="V37" s="13">
        <f t="shared" si="3"/>
        <v>0</v>
      </c>
      <c r="W37" s="14">
        <f t="shared" si="3"/>
        <v>0</v>
      </c>
    </row>
    <row r="38" spans="1:23" x14ac:dyDescent="0.25">
      <c r="A38" s="56" t="s">
        <v>97</v>
      </c>
      <c r="B38" s="57" t="s">
        <v>79</v>
      </c>
      <c r="C38" s="58">
        <v>55</v>
      </c>
      <c r="D38" s="58"/>
      <c r="E38" t="str">
        <f>VLOOKUP(B38,CAC!$A$2:$B$198,2,FALSE)</f>
        <v>HMOSG</v>
      </c>
      <c r="G38" s="12">
        <f t="shared" si="1"/>
        <v>179423</v>
      </c>
      <c r="H38" s="11">
        <v>201706</v>
      </c>
      <c r="I38" s="12">
        <f t="shared" si="3"/>
        <v>33802</v>
      </c>
      <c r="J38" s="13">
        <f t="shared" si="3"/>
        <v>54160</v>
      </c>
      <c r="K38" s="13">
        <f t="shared" si="3"/>
        <v>5631</v>
      </c>
      <c r="L38" s="13">
        <f t="shared" si="3"/>
        <v>9603</v>
      </c>
      <c r="M38" s="13">
        <f t="shared" si="3"/>
        <v>47230</v>
      </c>
      <c r="N38" s="13">
        <f t="shared" si="3"/>
        <v>0</v>
      </c>
      <c r="O38" s="13">
        <f t="shared" si="3"/>
        <v>0</v>
      </c>
      <c r="P38" s="13">
        <f t="shared" si="3"/>
        <v>0</v>
      </c>
      <c r="Q38" s="13">
        <f t="shared" si="3"/>
        <v>26803</v>
      </c>
      <c r="R38" s="13">
        <f t="shared" si="3"/>
        <v>1912</v>
      </c>
      <c r="S38" s="13">
        <f t="shared" si="3"/>
        <v>0</v>
      </c>
      <c r="T38" s="14">
        <f t="shared" si="3"/>
        <v>0</v>
      </c>
      <c r="U38" s="13">
        <f t="shared" si="3"/>
        <v>0</v>
      </c>
      <c r="V38" s="13">
        <f t="shared" si="3"/>
        <v>0</v>
      </c>
      <c r="W38" s="14">
        <f t="shared" si="3"/>
        <v>0</v>
      </c>
    </row>
    <row r="39" spans="1:23" x14ac:dyDescent="0.25">
      <c r="A39" s="56" t="s">
        <v>97</v>
      </c>
      <c r="B39" s="57" t="s">
        <v>80</v>
      </c>
      <c r="C39" s="58">
        <v>17</v>
      </c>
      <c r="D39" s="58"/>
      <c r="E39" t="str">
        <f>VLOOKUP(B39,CAC!$A$2:$B$198,2,FALSE)</f>
        <v>HMOIFP</v>
      </c>
      <c r="G39" s="12">
        <f t="shared" si="1"/>
        <v>186580</v>
      </c>
      <c r="H39" s="11">
        <v>201707</v>
      </c>
      <c r="I39" s="12">
        <f t="shared" si="3"/>
        <v>36384</v>
      </c>
      <c r="J39" s="13">
        <f t="shared" si="3"/>
        <v>54044</v>
      </c>
      <c r="K39" s="13">
        <f t="shared" si="3"/>
        <v>5663</v>
      </c>
      <c r="L39" s="13">
        <f t="shared" si="3"/>
        <v>14935</v>
      </c>
      <c r="M39" s="13">
        <f t="shared" si="3"/>
        <v>47033</v>
      </c>
      <c r="N39" s="13">
        <f t="shared" si="3"/>
        <v>0</v>
      </c>
      <c r="O39" s="13">
        <f t="shared" si="3"/>
        <v>0</v>
      </c>
      <c r="P39" s="13">
        <f t="shared" si="3"/>
        <v>0</v>
      </c>
      <c r="Q39" s="13">
        <f t="shared" si="3"/>
        <v>26494</v>
      </c>
      <c r="R39" s="13">
        <f t="shared" si="3"/>
        <v>2027</v>
      </c>
      <c r="S39" s="13">
        <f t="shared" si="3"/>
        <v>0</v>
      </c>
      <c r="T39" s="14">
        <f t="shared" si="3"/>
        <v>0</v>
      </c>
      <c r="U39" s="13">
        <f t="shared" si="3"/>
        <v>0</v>
      </c>
      <c r="V39" s="13">
        <f t="shared" si="3"/>
        <v>0</v>
      </c>
      <c r="W39" s="14">
        <f t="shared" si="3"/>
        <v>0</v>
      </c>
    </row>
    <row r="40" spans="1:23" x14ac:dyDescent="0.25">
      <c r="A40" s="56" t="s">
        <v>101</v>
      </c>
      <c r="B40" s="57" t="s">
        <v>98</v>
      </c>
      <c r="C40" s="58">
        <v>2</v>
      </c>
      <c r="D40" s="58"/>
      <c r="E40" t="str">
        <f>VLOOKUP(B40,CAC!$A$2:$B$198,2,FALSE)</f>
        <v>HMOPERA</v>
      </c>
      <c r="G40" s="12">
        <f t="shared" si="1"/>
        <v>186145</v>
      </c>
      <c r="H40" s="11">
        <v>201708</v>
      </c>
      <c r="I40" s="12">
        <f t="shared" si="3"/>
        <v>37269</v>
      </c>
      <c r="J40" s="13">
        <f t="shared" si="3"/>
        <v>52465</v>
      </c>
      <c r="K40" s="13">
        <f t="shared" si="3"/>
        <v>5617</v>
      </c>
      <c r="L40" s="13">
        <f t="shared" si="3"/>
        <v>15324</v>
      </c>
      <c r="M40" s="13">
        <f t="shared" si="3"/>
        <v>46798</v>
      </c>
      <c r="N40" s="13">
        <f t="shared" si="3"/>
        <v>0</v>
      </c>
      <c r="O40" s="13">
        <f t="shared" si="3"/>
        <v>0</v>
      </c>
      <c r="P40" s="13">
        <f t="shared" si="3"/>
        <v>0</v>
      </c>
      <c r="Q40" s="13">
        <f t="shared" si="3"/>
        <v>26590</v>
      </c>
      <c r="R40" s="13">
        <f t="shared" si="3"/>
        <v>2082</v>
      </c>
      <c r="S40" s="13">
        <f t="shared" si="3"/>
        <v>0</v>
      </c>
      <c r="T40" s="14">
        <f t="shared" si="3"/>
        <v>0</v>
      </c>
      <c r="U40" s="13">
        <f t="shared" si="3"/>
        <v>0</v>
      </c>
      <c r="V40" s="13">
        <f t="shared" si="3"/>
        <v>0</v>
      </c>
      <c r="W40" s="14">
        <f t="shared" si="3"/>
        <v>0</v>
      </c>
    </row>
    <row r="41" spans="1:23" x14ac:dyDescent="0.25">
      <c r="A41" s="56" t="s">
        <v>101</v>
      </c>
      <c r="B41" s="57" t="s">
        <v>52</v>
      </c>
      <c r="C41" s="58">
        <v>14468</v>
      </c>
      <c r="D41" s="58"/>
      <c r="E41" t="str">
        <f>VLOOKUP(B41,CAC!$A$2:$B$198,2,FALSE)</f>
        <v>HMOPMR</v>
      </c>
      <c r="G41" s="12">
        <f t="shared" si="1"/>
        <v>187139</v>
      </c>
      <c r="H41" s="11">
        <v>201709</v>
      </c>
      <c r="I41" s="12">
        <f t="shared" si="3"/>
        <v>37683</v>
      </c>
      <c r="J41" s="13">
        <f t="shared" si="3"/>
        <v>52625</v>
      </c>
      <c r="K41" s="13">
        <f t="shared" si="3"/>
        <v>5701</v>
      </c>
      <c r="L41" s="13">
        <f t="shared" si="3"/>
        <v>15464</v>
      </c>
      <c r="M41" s="13">
        <f t="shared" si="3"/>
        <v>46848</v>
      </c>
      <c r="N41" s="13">
        <f t="shared" si="3"/>
        <v>0</v>
      </c>
      <c r="O41" s="13">
        <f t="shared" si="3"/>
        <v>0</v>
      </c>
      <c r="P41" s="13">
        <f t="shared" si="3"/>
        <v>0</v>
      </c>
      <c r="Q41" s="13">
        <f t="shared" si="3"/>
        <v>26659</v>
      </c>
      <c r="R41" s="13">
        <f t="shared" si="3"/>
        <v>2159</v>
      </c>
      <c r="S41" s="13">
        <f t="shared" si="3"/>
        <v>0</v>
      </c>
      <c r="T41" s="14">
        <f t="shared" si="3"/>
        <v>0</v>
      </c>
      <c r="U41" s="13">
        <f t="shared" si="3"/>
        <v>0</v>
      </c>
      <c r="V41" s="13">
        <f t="shared" si="3"/>
        <v>0</v>
      </c>
      <c r="W41" s="14">
        <f t="shared" si="3"/>
        <v>0</v>
      </c>
    </row>
    <row r="42" spans="1:23" x14ac:dyDescent="0.25">
      <c r="A42" s="56" t="s">
        <v>101</v>
      </c>
      <c r="B42" s="57" t="s">
        <v>53</v>
      </c>
      <c r="C42" s="58">
        <v>10129</v>
      </c>
      <c r="D42" s="58"/>
      <c r="E42" t="str">
        <f>VLOOKUP(B42,CAC!$A$2:$B$198,2,FALSE)</f>
        <v>HMOPMR</v>
      </c>
      <c r="G42" s="12">
        <f t="shared" si="1"/>
        <v>190610</v>
      </c>
      <c r="H42" s="11">
        <v>201710</v>
      </c>
      <c r="I42" s="12">
        <f t="shared" ref="I42:W44" si="4">SUMIFS($C$9:$C$5001,$A$9:$A$5001,$H42,$E$9:$E$5001,I$8)</f>
        <v>39950</v>
      </c>
      <c r="J42" s="13">
        <f t="shared" si="4"/>
        <v>52996</v>
      </c>
      <c r="K42" s="13">
        <f t="shared" si="4"/>
        <v>5699</v>
      </c>
      <c r="L42" s="13">
        <f t="shared" si="4"/>
        <v>16044</v>
      </c>
      <c r="M42" s="13">
        <f t="shared" si="4"/>
        <v>46758</v>
      </c>
      <c r="N42" s="13">
        <f t="shared" si="4"/>
        <v>0</v>
      </c>
      <c r="O42" s="13">
        <f t="shared" si="4"/>
        <v>0</v>
      </c>
      <c r="P42" s="13">
        <f t="shared" si="4"/>
        <v>0</v>
      </c>
      <c r="Q42" s="13">
        <f t="shared" si="4"/>
        <v>26881</v>
      </c>
      <c r="R42" s="13">
        <f t="shared" si="4"/>
        <v>2264</v>
      </c>
      <c r="S42" s="13">
        <f t="shared" si="4"/>
        <v>0</v>
      </c>
      <c r="T42" s="14">
        <f t="shared" si="4"/>
        <v>0</v>
      </c>
      <c r="U42" s="13">
        <f t="shared" si="4"/>
        <v>0</v>
      </c>
      <c r="V42" s="13">
        <f t="shared" si="4"/>
        <v>0</v>
      </c>
      <c r="W42" s="14">
        <f t="shared" si="4"/>
        <v>0</v>
      </c>
    </row>
    <row r="43" spans="1:23" x14ac:dyDescent="0.25">
      <c r="A43" s="56" t="s">
        <v>101</v>
      </c>
      <c r="B43" s="57" t="s">
        <v>102</v>
      </c>
      <c r="C43" s="58">
        <v>2</v>
      </c>
      <c r="D43" s="58"/>
      <c r="E43" t="str">
        <f>VLOOKUP(B43,CAC!$A$2:$B$198,2,FALSE)</f>
        <v>HMOPERN</v>
      </c>
      <c r="G43" s="12">
        <f t="shared" si="1"/>
        <v>192188</v>
      </c>
      <c r="H43" s="11">
        <v>201711</v>
      </c>
      <c r="I43" s="12">
        <f t="shared" si="4"/>
        <v>41275</v>
      </c>
      <c r="J43" s="13">
        <f t="shared" si="4"/>
        <v>52612</v>
      </c>
      <c r="K43" s="13">
        <f t="shared" si="4"/>
        <v>5649</v>
      </c>
      <c r="L43" s="13">
        <f t="shared" si="4"/>
        <v>16103</v>
      </c>
      <c r="M43" s="13">
        <f t="shared" si="4"/>
        <v>46554</v>
      </c>
      <c r="N43" s="13">
        <f t="shared" si="4"/>
        <v>0</v>
      </c>
      <c r="O43" s="13">
        <f t="shared" si="4"/>
        <v>0</v>
      </c>
      <c r="P43" s="13">
        <f t="shared" si="4"/>
        <v>0</v>
      </c>
      <c r="Q43" s="13">
        <f t="shared" si="4"/>
        <v>27660</v>
      </c>
      <c r="R43" s="13">
        <f t="shared" si="4"/>
        <v>2335</v>
      </c>
      <c r="S43" s="13">
        <f t="shared" si="4"/>
        <v>0</v>
      </c>
      <c r="T43" s="14">
        <f t="shared" si="4"/>
        <v>0</v>
      </c>
      <c r="U43" s="13">
        <f t="shared" si="4"/>
        <v>0</v>
      </c>
      <c r="V43" s="13">
        <f t="shared" si="4"/>
        <v>0</v>
      </c>
      <c r="W43" s="14">
        <f t="shared" si="4"/>
        <v>0</v>
      </c>
    </row>
    <row r="44" spans="1:23" x14ac:dyDescent="0.25">
      <c r="A44" s="56" t="s">
        <v>101</v>
      </c>
      <c r="B44" s="57" t="s">
        <v>54</v>
      </c>
      <c r="C44" s="58">
        <v>6416</v>
      </c>
      <c r="D44" s="58"/>
      <c r="E44" t="str">
        <f>VLOOKUP(B44,CAC!$A$2:$B$198,2,FALSE)</f>
        <v>HMOFEP</v>
      </c>
      <c r="G44" s="35">
        <f t="shared" si="1"/>
        <v>194186</v>
      </c>
      <c r="H44" s="34">
        <v>201712</v>
      </c>
      <c r="I44" s="35">
        <f t="shared" si="4"/>
        <v>41706</v>
      </c>
      <c r="J44" s="36">
        <f t="shared" si="4"/>
        <v>52797</v>
      </c>
      <c r="K44" s="36">
        <f t="shared" si="4"/>
        <v>5615</v>
      </c>
      <c r="L44" s="36">
        <f t="shared" si="4"/>
        <v>16146</v>
      </c>
      <c r="M44" s="36">
        <f t="shared" si="4"/>
        <v>46188</v>
      </c>
      <c r="N44" s="36">
        <f t="shared" si="4"/>
        <v>0</v>
      </c>
      <c r="O44" s="36">
        <f t="shared" si="4"/>
        <v>0</v>
      </c>
      <c r="P44" s="36">
        <f t="shared" si="4"/>
        <v>0</v>
      </c>
      <c r="Q44" s="36">
        <f t="shared" si="4"/>
        <v>29378</v>
      </c>
      <c r="R44" s="36">
        <f t="shared" si="4"/>
        <v>2356</v>
      </c>
      <c r="S44" s="36">
        <f t="shared" si="4"/>
        <v>0</v>
      </c>
      <c r="T44" s="37">
        <f t="shared" si="4"/>
        <v>0</v>
      </c>
      <c r="U44" s="36">
        <f t="shared" si="4"/>
        <v>0</v>
      </c>
      <c r="V44" s="36">
        <f t="shared" si="4"/>
        <v>0</v>
      </c>
      <c r="W44" s="37">
        <f t="shared" si="4"/>
        <v>0</v>
      </c>
    </row>
    <row r="45" spans="1:23" x14ac:dyDescent="0.25">
      <c r="A45" s="56" t="s">
        <v>101</v>
      </c>
      <c r="B45" s="57" t="s">
        <v>55</v>
      </c>
      <c r="C45" s="58">
        <v>7547</v>
      </c>
      <c r="D45" s="58"/>
      <c r="E45" t="str">
        <f>VLOOKUP(B45,CAC!$A$2:$B$198,2,FALSE)</f>
        <v>HMOPMR</v>
      </c>
    </row>
    <row r="46" spans="1:23" x14ac:dyDescent="0.25">
      <c r="A46" s="56" t="s">
        <v>101</v>
      </c>
      <c r="B46" s="57" t="s">
        <v>56</v>
      </c>
      <c r="C46" s="58">
        <v>123</v>
      </c>
      <c r="D46" s="58"/>
      <c r="E46" t="str">
        <f>VLOOKUP(B46,CAC!$A$2:$B$198,2,FALSE)</f>
        <v>HMOPMR</v>
      </c>
      <c r="I46" s="4">
        <v>201603</v>
      </c>
      <c r="J46" s="4">
        <v>201709</v>
      </c>
      <c r="K46" s="4">
        <v>201712</v>
      </c>
      <c r="L46" s="4">
        <v>2017</v>
      </c>
      <c r="M46" s="4">
        <v>2016</v>
      </c>
    </row>
    <row r="47" spans="1:23" x14ac:dyDescent="0.25">
      <c r="A47" s="56" t="s">
        <v>101</v>
      </c>
      <c r="B47" s="57" t="s">
        <v>57</v>
      </c>
      <c r="C47" s="58">
        <v>5736</v>
      </c>
      <c r="D47" s="58"/>
      <c r="E47" t="str">
        <f>VLOOKUP(B47,CAC!$A$2:$B$198,2,FALSE)</f>
        <v>HMFLEX</v>
      </c>
      <c r="H47" s="16" t="s">
        <v>10</v>
      </c>
      <c r="I47" s="19">
        <f>SUMIFS($I$23:$R$23,$I$8:$R$8,$H47)</f>
        <v>0</v>
      </c>
      <c r="J47" s="20">
        <f>SUMIFS($I$41:$R$41,$I$8:$R$8,$H47)</f>
        <v>2159</v>
      </c>
      <c r="K47" s="21">
        <f>SUMIFS($I$44:$T$44,$I$8:$T$8,$H47)</f>
        <v>2356</v>
      </c>
      <c r="L47" s="21">
        <f>SUMPRODUCT($I$33:$T$44*($I$8:$T$8=$H47))</f>
        <v>20929</v>
      </c>
      <c r="M47" s="21">
        <f>SUMPRODUCT($I$21:$T$32*($I$8:$T$8=$H47))</f>
        <v>0</v>
      </c>
    </row>
    <row r="48" spans="1:23" x14ac:dyDescent="0.25">
      <c r="A48" s="56" t="s">
        <v>101</v>
      </c>
      <c r="B48" s="57" t="s">
        <v>58</v>
      </c>
      <c r="C48" s="58">
        <v>386</v>
      </c>
      <c r="D48" s="58"/>
      <c r="E48" t="str">
        <f>VLOOKUP(B48,CAC!$A$2:$B$198,2,FALSE)</f>
        <v>HMFLEX</v>
      </c>
      <c r="H48" s="17" t="s">
        <v>9</v>
      </c>
      <c r="I48" s="22">
        <f t="shared" ref="I48:I56" si="5">SUMIFS($I$23:$R$23,$I$8:$R$8,$H48)</f>
        <v>21044</v>
      </c>
      <c r="J48" s="23">
        <f t="shared" ref="J48:J56" si="6">SUMIFS($I$41:$R$41,$I$8:$R$8,$H48)</f>
        <v>26659</v>
      </c>
      <c r="K48" s="24">
        <f t="shared" ref="K48:K56" si="7">SUMIFS($I$44:$T$44,$I$8:$T$8,$H48)</f>
        <v>29378</v>
      </c>
      <c r="L48" s="24">
        <f t="shared" ref="L48:L56" si="8">SUMPRODUCT($I$33:$T$44*($I$8:$T$8=$H48))</f>
        <v>321114</v>
      </c>
      <c r="M48" s="24">
        <f t="shared" ref="M48:M56" si="9">SUMPRODUCT($I$21:$T$32*($I$8:$T$8=$H48))</f>
        <v>261200</v>
      </c>
    </row>
    <row r="49" spans="1:13" x14ac:dyDescent="0.25">
      <c r="A49" s="56" t="s">
        <v>101</v>
      </c>
      <c r="B49" s="57" t="s">
        <v>59</v>
      </c>
      <c r="C49" s="58">
        <v>9</v>
      </c>
      <c r="D49" s="58"/>
      <c r="E49" t="str">
        <f>VLOOKUP(B49,CAC!$A$2:$B$198,2,FALSE)</f>
        <v>HMFLEX</v>
      </c>
      <c r="H49" s="17" t="s">
        <v>1</v>
      </c>
      <c r="I49" s="22">
        <f t="shared" si="5"/>
        <v>43013</v>
      </c>
      <c r="J49" s="23">
        <f t="shared" si="6"/>
        <v>37683</v>
      </c>
      <c r="K49" s="24">
        <f t="shared" si="7"/>
        <v>41706</v>
      </c>
      <c r="L49" s="24">
        <f t="shared" si="8"/>
        <v>425577</v>
      </c>
      <c r="M49" s="24">
        <f t="shared" si="9"/>
        <v>498272</v>
      </c>
    </row>
    <row r="50" spans="1:13" x14ac:dyDescent="0.25">
      <c r="A50" s="56" t="s">
        <v>101</v>
      </c>
      <c r="B50" s="57" t="s">
        <v>60</v>
      </c>
      <c r="C50" s="58">
        <v>16670</v>
      </c>
      <c r="D50" s="58"/>
      <c r="E50" t="str">
        <f>VLOOKUP(B50,CAC!$A$2:$B$198,2,FALSE)</f>
        <v>HMOLG</v>
      </c>
      <c r="H50" s="17" t="s">
        <v>2</v>
      </c>
      <c r="I50" s="22">
        <f t="shared" si="5"/>
        <v>57209</v>
      </c>
      <c r="J50" s="23">
        <f t="shared" si="6"/>
        <v>52625</v>
      </c>
      <c r="K50" s="24">
        <f t="shared" si="7"/>
        <v>52797</v>
      </c>
      <c r="L50" s="24">
        <f t="shared" si="8"/>
        <v>604829</v>
      </c>
      <c r="M50" s="24">
        <f t="shared" si="9"/>
        <v>677750</v>
      </c>
    </row>
    <row r="51" spans="1:13" x14ac:dyDescent="0.25">
      <c r="A51" s="56" t="s">
        <v>101</v>
      </c>
      <c r="B51" s="57" t="s">
        <v>61</v>
      </c>
      <c r="C51" s="58">
        <v>453</v>
      </c>
      <c r="D51" s="58"/>
      <c r="E51" t="str">
        <f>VLOOKUP(B51,CAC!$A$2:$B$198,2,FALSE)</f>
        <v>HMOLG</v>
      </c>
      <c r="H51" s="17" t="s">
        <v>5</v>
      </c>
      <c r="I51" s="22">
        <f t="shared" si="5"/>
        <v>39077</v>
      </c>
      <c r="J51" s="23">
        <f t="shared" si="6"/>
        <v>46848</v>
      </c>
      <c r="K51" s="24">
        <f t="shared" si="7"/>
        <v>46188</v>
      </c>
      <c r="L51" s="24">
        <f t="shared" si="8"/>
        <v>588677</v>
      </c>
      <c r="M51" s="24">
        <f t="shared" si="9"/>
        <v>457444</v>
      </c>
    </row>
    <row r="52" spans="1:13" x14ac:dyDescent="0.25">
      <c r="A52" s="56" t="s">
        <v>101</v>
      </c>
      <c r="B52" s="57" t="s">
        <v>62</v>
      </c>
      <c r="C52" s="58">
        <v>23550</v>
      </c>
      <c r="D52" s="58"/>
      <c r="E52" t="str">
        <f>VLOOKUP(B52,CAC!$A$2:$B$198,2,FALSE)</f>
        <v>HMOLG</v>
      </c>
      <c r="H52" s="17" t="s">
        <v>6</v>
      </c>
      <c r="I52" s="22">
        <f t="shared" si="5"/>
        <v>40638</v>
      </c>
      <c r="J52" s="23">
        <f t="shared" si="6"/>
        <v>0</v>
      </c>
      <c r="K52" s="24">
        <f t="shared" si="7"/>
        <v>0</v>
      </c>
      <c r="L52" s="24">
        <f t="shared" si="8"/>
        <v>75</v>
      </c>
      <c r="M52" s="24">
        <f t="shared" si="9"/>
        <v>453309</v>
      </c>
    </row>
    <row r="53" spans="1:13" x14ac:dyDescent="0.25">
      <c r="A53" s="56" t="s">
        <v>101</v>
      </c>
      <c r="B53" s="57" t="s">
        <v>63</v>
      </c>
      <c r="C53" s="58">
        <v>302</v>
      </c>
      <c r="D53" s="58"/>
      <c r="E53" t="str">
        <f>VLOOKUP(B53,CAC!$A$2:$B$198,2,FALSE)</f>
        <v>HMOLG</v>
      </c>
      <c r="H53" s="17" t="s">
        <v>7</v>
      </c>
      <c r="I53" s="22">
        <f t="shared" si="5"/>
        <v>0</v>
      </c>
      <c r="J53" s="23">
        <f t="shared" si="6"/>
        <v>0</v>
      </c>
      <c r="K53" s="24">
        <f t="shared" si="7"/>
        <v>0</v>
      </c>
      <c r="L53" s="24">
        <f t="shared" si="8"/>
        <v>0</v>
      </c>
      <c r="M53" s="24">
        <f t="shared" si="9"/>
        <v>0</v>
      </c>
    </row>
    <row r="54" spans="1:13" x14ac:dyDescent="0.25">
      <c r="A54" s="56" t="s">
        <v>101</v>
      </c>
      <c r="B54" s="57" t="s">
        <v>64</v>
      </c>
      <c r="C54" s="58">
        <v>2</v>
      </c>
      <c r="D54" s="58"/>
      <c r="E54" t="str">
        <f>VLOOKUP(B54,CAC!$A$2:$B$198,2,FALSE)</f>
        <v>HMOLG</v>
      </c>
      <c r="H54" s="17" t="s">
        <v>8</v>
      </c>
      <c r="I54" s="22">
        <f t="shared" si="5"/>
        <v>0</v>
      </c>
      <c r="J54" s="23">
        <f t="shared" si="6"/>
        <v>0</v>
      </c>
      <c r="K54" s="24">
        <f t="shared" si="7"/>
        <v>0</v>
      </c>
      <c r="L54" s="24">
        <f t="shared" si="8"/>
        <v>0</v>
      </c>
      <c r="M54" s="24">
        <f t="shared" si="9"/>
        <v>0</v>
      </c>
    </row>
    <row r="55" spans="1:13" x14ac:dyDescent="0.25">
      <c r="A55" s="56" t="s">
        <v>101</v>
      </c>
      <c r="B55" s="57" t="s">
        <v>65</v>
      </c>
      <c r="C55" s="58">
        <v>198</v>
      </c>
      <c r="D55" s="58"/>
      <c r="E55" t="str">
        <f>VLOOKUP(B55,CAC!$A$2:$B$198,2,FALSE)</f>
        <v>HMFLEX</v>
      </c>
      <c r="H55" s="17" t="s">
        <v>4</v>
      </c>
      <c r="I55" s="22">
        <f t="shared" si="5"/>
        <v>8372</v>
      </c>
      <c r="J55" s="23">
        <f t="shared" si="6"/>
        <v>15464</v>
      </c>
      <c r="K55" s="24">
        <f t="shared" si="7"/>
        <v>16146</v>
      </c>
      <c r="L55" s="24">
        <f t="shared" si="8"/>
        <v>151874</v>
      </c>
      <c r="M55" s="24">
        <f t="shared" si="9"/>
        <v>110426</v>
      </c>
    </row>
    <row r="56" spans="1:13" x14ac:dyDescent="0.25">
      <c r="A56" s="56" t="s">
        <v>101</v>
      </c>
      <c r="B56" s="57" t="s">
        <v>99</v>
      </c>
      <c r="C56" s="58">
        <v>17</v>
      </c>
      <c r="D56" s="58"/>
      <c r="E56" t="str">
        <f>VLOOKUP(B56,CAC!$A$2:$B$198,2,FALSE)</f>
        <v>PPOLG</v>
      </c>
      <c r="H56" s="18" t="s">
        <v>3</v>
      </c>
      <c r="I56" s="25">
        <f t="shared" si="5"/>
        <v>6097</v>
      </c>
      <c r="J56" s="26">
        <f t="shared" si="6"/>
        <v>5701</v>
      </c>
      <c r="K56" s="27">
        <f t="shared" si="7"/>
        <v>5615</v>
      </c>
      <c r="L56" s="27">
        <f t="shared" si="8"/>
        <v>67878</v>
      </c>
      <c r="M56" s="27">
        <f t="shared" si="9"/>
        <v>67116</v>
      </c>
    </row>
    <row r="57" spans="1:13" x14ac:dyDescent="0.25">
      <c r="A57" s="56" t="s">
        <v>101</v>
      </c>
      <c r="B57" s="57" t="s">
        <v>66</v>
      </c>
      <c r="C57" s="58">
        <v>3216</v>
      </c>
      <c r="D57" s="58"/>
      <c r="E57" t="str">
        <f>VLOOKUP(B57,CAC!$A$2:$B$198,2,FALSE)</f>
        <v>HMOLG</v>
      </c>
    </row>
    <row r="58" spans="1:13" x14ac:dyDescent="0.25">
      <c r="A58" s="56" t="s">
        <v>101</v>
      </c>
      <c r="B58" s="57" t="s">
        <v>67</v>
      </c>
      <c r="C58" s="58">
        <v>120</v>
      </c>
      <c r="D58" s="58"/>
      <c r="E58" t="str">
        <f>VLOOKUP(B58,CAC!$A$2:$B$198,2,FALSE)</f>
        <v>HMOLG</v>
      </c>
    </row>
    <row r="59" spans="1:13" x14ac:dyDescent="0.25">
      <c r="A59" s="56" t="s">
        <v>101</v>
      </c>
      <c r="B59" s="57" t="s">
        <v>68</v>
      </c>
      <c r="C59" s="58">
        <v>265</v>
      </c>
      <c r="D59" s="58"/>
      <c r="E59" t="str">
        <f>VLOOKUP(B59,CAC!$A$2:$B$198,2,FALSE)</f>
        <v>HMOPMR</v>
      </c>
    </row>
    <row r="60" spans="1:13" x14ac:dyDescent="0.25">
      <c r="A60" s="56" t="s">
        <v>101</v>
      </c>
      <c r="B60" s="57" t="s">
        <v>69</v>
      </c>
      <c r="C60" s="58">
        <v>9688</v>
      </c>
      <c r="D60" s="58"/>
      <c r="E60" t="str">
        <f>VLOOKUP(B60,CAC!$A$2:$B$198,2,FALSE)</f>
        <v>HMOPMR</v>
      </c>
    </row>
    <row r="61" spans="1:13" x14ac:dyDescent="0.25">
      <c r="A61" s="56" t="s">
        <v>101</v>
      </c>
      <c r="B61" s="57" t="s">
        <v>70</v>
      </c>
      <c r="C61" s="58">
        <v>3986</v>
      </c>
      <c r="D61" s="58"/>
      <c r="E61" t="str">
        <f>VLOOKUP(B61,CAC!$A$2:$B$198,2,FALSE)</f>
        <v>HMOPMR</v>
      </c>
    </row>
    <row r="62" spans="1:13" x14ac:dyDescent="0.25">
      <c r="A62" s="56" t="s">
        <v>101</v>
      </c>
      <c r="B62" s="57" t="s">
        <v>71</v>
      </c>
      <c r="C62" s="58">
        <v>8107</v>
      </c>
      <c r="D62" s="58"/>
      <c r="E62" t="str">
        <f>VLOOKUP(B62,CAC!$A$2:$B$198,2,FALSE)</f>
        <v>HMOPMR</v>
      </c>
    </row>
    <row r="63" spans="1:13" x14ac:dyDescent="0.25">
      <c r="A63" s="56" t="s">
        <v>101</v>
      </c>
      <c r="B63" s="57" t="s">
        <v>72</v>
      </c>
      <c r="C63" s="58">
        <v>1967</v>
      </c>
      <c r="D63" s="58"/>
      <c r="E63" t="str">
        <f>VLOOKUP(B63,CAC!$A$2:$B$198,2,FALSE)</f>
        <v>HMFLEX</v>
      </c>
    </row>
    <row r="64" spans="1:13" x14ac:dyDescent="0.25">
      <c r="A64" s="56" t="s">
        <v>101</v>
      </c>
      <c r="B64" s="57" t="s">
        <v>100</v>
      </c>
      <c r="C64" s="58">
        <v>1</v>
      </c>
      <c r="D64" s="58"/>
      <c r="E64" t="e">
        <f>VLOOKUP(B64,CAC!$A$2:$B$198,2,FALSE)</f>
        <v>#N/A</v>
      </c>
    </row>
    <row r="65" spans="1:5" x14ac:dyDescent="0.25">
      <c r="A65" s="56" t="s">
        <v>101</v>
      </c>
      <c r="B65" s="57" t="s">
        <v>73</v>
      </c>
      <c r="C65" s="58">
        <v>39679</v>
      </c>
      <c r="D65" s="58"/>
      <c r="E65" t="str">
        <f>VLOOKUP(B65,CAC!$A$2:$B$198,2,FALSE)</f>
        <v>HMOPERA</v>
      </c>
    </row>
    <row r="66" spans="1:5" x14ac:dyDescent="0.25">
      <c r="A66" s="56" t="s">
        <v>101</v>
      </c>
      <c r="B66" s="57" t="s">
        <v>74</v>
      </c>
      <c r="C66" s="58">
        <v>6137</v>
      </c>
      <c r="D66" s="58"/>
      <c r="E66" t="str">
        <f>VLOOKUP(B66,CAC!$A$2:$B$198,2,FALSE)</f>
        <v>PERMEDA</v>
      </c>
    </row>
    <row r="67" spans="1:5" x14ac:dyDescent="0.25">
      <c r="A67" s="56" t="s">
        <v>101</v>
      </c>
      <c r="B67" s="57" t="s">
        <v>75</v>
      </c>
      <c r="C67" s="58">
        <v>59717</v>
      </c>
      <c r="D67" s="58"/>
      <c r="E67" t="str">
        <f>VLOOKUP(B67,CAC!$A$2:$B$198,2,FALSE)</f>
        <v>HMOPERN</v>
      </c>
    </row>
    <row r="68" spans="1:5" x14ac:dyDescent="0.25">
      <c r="A68" s="56" t="s">
        <v>101</v>
      </c>
      <c r="B68" s="57" t="s">
        <v>76</v>
      </c>
      <c r="C68" s="58">
        <v>2136</v>
      </c>
      <c r="D68" s="58"/>
      <c r="E68" t="str">
        <f>VLOOKUP(B68,CAC!$A$2:$B$198,2,FALSE)</f>
        <v>PERMEDN</v>
      </c>
    </row>
    <row r="69" spans="1:5" x14ac:dyDescent="0.25">
      <c r="A69" s="56" t="s">
        <v>101</v>
      </c>
      <c r="B69" s="57" t="s">
        <v>77</v>
      </c>
      <c r="C69" s="58">
        <v>16728</v>
      </c>
      <c r="D69" s="58"/>
      <c r="E69" t="str">
        <f>VLOOKUP(B69,CAC!$A$2:$B$198,2,FALSE)</f>
        <v>HMOSG</v>
      </c>
    </row>
    <row r="70" spans="1:5" x14ac:dyDescent="0.25">
      <c r="A70" s="56" t="s">
        <v>101</v>
      </c>
      <c r="B70" s="57" t="s">
        <v>78</v>
      </c>
      <c r="C70" s="58">
        <v>198</v>
      </c>
      <c r="D70" s="58"/>
      <c r="E70" t="str">
        <f>VLOOKUP(B70,CAC!$A$2:$B$198,2,FALSE)</f>
        <v>HMOSG</v>
      </c>
    </row>
    <row r="71" spans="1:5" x14ac:dyDescent="0.25">
      <c r="A71" s="56" t="s">
        <v>101</v>
      </c>
      <c r="B71" s="57" t="s">
        <v>79</v>
      </c>
      <c r="C71" s="58">
        <v>46</v>
      </c>
      <c r="D71" s="58"/>
      <c r="E71" t="str">
        <f>VLOOKUP(B71,CAC!$A$2:$B$198,2,FALSE)</f>
        <v>HMOSG</v>
      </c>
    </row>
    <row r="72" spans="1:5" x14ac:dyDescent="0.25">
      <c r="A72" s="56" t="s">
        <v>101</v>
      </c>
      <c r="B72" s="57" t="s">
        <v>80</v>
      </c>
      <c r="C72" s="58">
        <v>16</v>
      </c>
      <c r="D72" s="58"/>
      <c r="E72" t="str">
        <f>VLOOKUP(B72,CAC!$A$2:$B$198,2,FALSE)</f>
        <v>HMOIFP</v>
      </c>
    </row>
    <row r="73" spans="1:5" x14ac:dyDescent="0.25">
      <c r="A73" s="56" t="s">
        <v>103</v>
      </c>
      <c r="B73" s="57" t="s">
        <v>98</v>
      </c>
      <c r="C73" s="58">
        <v>2</v>
      </c>
      <c r="D73" s="58"/>
      <c r="E73" t="str">
        <f>VLOOKUP(B73,CAC!$A$2:$B$198,2,FALSE)</f>
        <v>HMOPERA</v>
      </c>
    </row>
    <row r="74" spans="1:5" x14ac:dyDescent="0.25">
      <c r="A74" s="56" t="s">
        <v>103</v>
      </c>
      <c r="B74" s="57" t="s">
        <v>52</v>
      </c>
      <c r="C74" s="58">
        <v>15105</v>
      </c>
      <c r="D74" s="58"/>
      <c r="E74" t="str">
        <f>VLOOKUP(B74,CAC!$A$2:$B$198,2,FALSE)</f>
        <v>HMOPMR</v>
      </c>
    </row>
    <row r="75" spans="1:5" x14ac:dyDescent="0.25">
      <c r="A75" s="56" t="s">
        <v>103</v>
      </c>
      <c r="B75" s="57" t="s">
        <v>53</v>
      </c>
      <c r="C75" s="58">
        <v>10429</v>
      </c>
      <c r="D75" s="58"/>
      <c r="E75" t="str">
        <f>VLOOKUP(B75,CAC!$A$2:$B$198,2,FALSE)</f>
        <v>HMOPMR</v>
      </c>
    </row>
    <row r="76" spans="1:5" x14ac:dyDescent="0.25">
      <c r="A76" s="56" t="s">
        <v>103</v>
      </c>
      <c r="B76" s="57" t="s">
        <v>54</v>
      </c>
      <c r="C76" s="58">
        <v>6566</v>
      </c>
      <c r="D76" s="58"/>
      <c r="E76" t="str">
        <f>VLOOKUP(B76,CAC!$A$2:$B$198,2,FALSE)</f>
        <v>HMOFEP</v>
      </c>
    </row>
    <row r="77" spans="1:5" x14ac:dyDescent="0.25">
      <c r="A77" s="56" t="s">
        <v>103</v>
      </c>
      <c r="B77" s="57" t="s">
        <v>55</v>
      </c>
      <c r="C77" s="58">
        <v>14731</v>
      </c>
      <c r="D77" s="58"/>
      <c r="E77" t="str">
        <f>VLOOKUP(B77,CAC!$A$2:$B$198,2,FALSE)</f>
        <v>HMOPMR</v>
      </c>
    </row>
    <row r="78" spans="1:5" x14ac:dyDescent="0.25">
      <c r="A78" s="56" t="s">
        <v>103</v>
      </c>
      <c r="B78" s="57" t="s">
        <v>56</v>
      </c>
      <c r="C78" s="58">
        <v>124</v>
      </c>
      <c r="D78" s="58"/>
      <c r="E78" t="str">
        <f>VLOOKUP(B78,CAC!$A$2:$B$198,2,FALSE)</f>
        <v>HMOPMR</v>
      </c>
    </row>
    <row r="79" spans="1:5" x14ac:dyDescent="0.25">
      <c r="A79" s="56" t="s">
        <v>103</v>
      </c>
      <c r="B79" s="57" t="s">
        <v>57</v>
      </c>
      <c r="C79" s="58">
        <v>5932</v>
      </c>
      <c r="D79" s="58"/>
      <c r="E79" t="str">
        <f>VLOOKUP(B79,CAC!$A$2:$B$198,2,FALSE)</f>
        <v>HMFLEX</v>
      </c>
    </row>
    <row r="80" spans="1:5" x14ac:dyDescent="0.25">
      <c r="A80" s="56" t="s">
        <v>103</v>
      </c>
      <c r="B80" s="57" t="s">
        <v>58</v>
      </c>
      <c r="C80" s="58">
        <v>407</v>
      </c>
      <c r="D80" s="58"/>
      <c r="E80" t="str">
        <f>VLOOKUP(B80,CAC!$A$2:$B$198,2,FALSE)</f>
        <v>HMFLEX</v>
      </c>
    </row>
    <row r="81" spans="1:5" x14ac:dyDescent="0.25">
      <c r="A81" s="56" t="s">
        <v>103</v>
      </c>
      <c r="B81" s="57" t="s">
        <v>59</v>
      </c>
      <c r="C81" s="58">
        <v>11</v>
      </c>
      <c r="D81" s="58"/>
      <c r="E81" t="str">
        <f>VLOOKUP(B81,CAC!$A$2:$B$198,2,FALSE)</f>
        <v>HMFLEX</v>
      </c>
    </row>
    <row r="82" spans="1:5" x14ac:dyDescent="0.25">
      <c r="A82" s="56" t="s">
        <v>103</v>
      </c>
      <c r="B82" s="57" t="s">
        <v>60</v>
      </c>
      <c r="C82" s="58">
        <v>11128</v>
      </c>
      <c r="D82" s="58"/>
      <c r="E82" t="str">
        <f>VLOOKUP(B82,CAC!$A$2:$B$198,2,FALSE)</f>
        <v>HMOLG</v>
      </c>
    </row>
    <row r="83" spans="1:5" x14ac:dyDescent="0.25">
      <c r="A83" s="56" t="s">
        <v>103</v>
      </c>
      <c r="B83" s="57" t="s">
        <v>61</v>
      </c>
      <c r="C83" s="58">
        <v>450</v>
      </c>
      <c r="D83" s="58"/>
      <c r="E83" t="str">
        <f>VLOOKUP(B83,CAC!$A$2:$B$198,2,FALSE)</f>
        <v>HMOLG</v>
      </c>
    </row>
    <row r="84" spans="1:5" x14ac:dyDescent="0.25">
      <c r="A84" s="56" t="s">
        <v>103</v>
      </c>
      <c r="B84" s="57" t="s">
        <v>62</v>
      </c>
      <c r="C84" s="58">
        <v>24783</v>
      </c>
      <c r="D84" s="58"/>
      <c r="E84" t="str">
        <f>VLOOKUP(B84,CAC!$A$2:$B$198,2,FALSE)</f>
        <v>HMOLG</v>
      </c>
    </row>
    <row r="85" spans="1:5" x14ac:dyDescent="0.25">
      <c r="A85" s="56" t="s">
        <v>103</v>
      </c>
      <c r="B85" s="57" t="s">
        <v>63</v>
      </c>
      <c r="C85" s="58">
        <v>325</v>
      </c>
      <c r="D85" s="58"/>
      <c r="E85" t="str">
        <f>VLOOKUP(B85,CAC!$A$2:$B$198,2,FALSE)</f>
        <v>HMOLG</v>
      </c>
    </row>
    <row r="86" spans="1:5" x14ac:dyDescent="0.25">
      <c r="A86" s="56" t="s">
        <v>103</v>
      </c>
      <c r="B86" s="57" t="s">
        <v>64</v>
      </c>
      <c r="C86" s="58">
        <v>1</v>
      </c>
      <c r="D86" s="58"/>
      <c r="E86" t="str">
        <f>VLOOKUP(B86,CAC!$A$2:$B$198,2,FALSE)</f>
        <v>HMOLG</v>
      </c>
    </row>
    <row r="87" spans="1:5" x14ac:dyDescent="0.25">
      <c r="A87" s="56" t="s">
        <v>103</v>
      </c>
      <c r="B87" s="57" t="s">
        <v>65</v>
      </c>
      <c r="C87" s="58">
        <v>214</v>
      </c>
      <c r="D87" s="58"/>
      <c r="E87" t="str">
        <f>VLOOKUP(B87,CAC!$A$2:$B$198,2,FALSE)</f>
        <v>HMFLEX</v>
      </c>
    </row>
    <row r="88" spans="1:5" x14ac:dyDescent="0.25">
      <c r="A88" s="56" t="s">
        <v>103</v>
      </c>
      <c r="B88" s="57" t="s">
        <v>99</v>
      </c>
      <c r="C88" s="58">
        <v>18</v>
      </c>
      <c r="D88" s="58"/>
      <c r="E88" t="str">
        <f>VLOOKUP(B88,CAC!$A$2:$B$198,2,FALSE)</f>
        <v>PPOLG</v>
      </c>
    </row>
    <row r="89" spans="1:5" x14ac:dyDescent="0.25">
      <c r="A89" s="56" t="s">
        <v>103</v>
      </c>
      <c r="B89" s="57" t="s">
        <v>66</v>
      </c>
      <c r="C89" s="58">
        <v>3149</v>
      </c>
      <c r="D89" s="58"/>
      <c r="E89" t="str">
        <f>VLOOKUP(B89,CAC!$A$2:$B$198,2,FALSE)</f>
        <v>HMOLG</v>
      </c>
    </row>
    <row r="90" spans="1:5" x14ac:dyDescent="0.25">
      <c r="A90" s="56" t="s">
        <v>103</v>
      </c>
      <c r="B90" s="57" t="s">
        <v>67</v>
      </c>
      <c r="C90" s="58">
        <v>139</v>
      </c>
      <c r="D90" s="58"/>
      <c r="E90" t="str">
        <f>VLOOKUP(B90,CAC!$A$2:$B$198,2,FALSE)</f>
        <v>HMOLG</v>
      </c>
    </row>
    <row r="91" spans="1:5" x14ac:dyDescent="0.25">
      <c r="A91" s="56" t="s">
        <v>103</v>
      </c>
      <c r="B91" s="57" t="s">
        <v>68</v>
      </c>
      <c r="C91" s="58">
        <v>272</v>
      </c>
      <c r="D91" s="58"/>
      <c r="E91" t="str">
        <f>VLOOKUP(B91,CAC!$A$2:$B$198,2,FALSE)</f>
        <v>HMOPMR</v>
      </c>
    </row>
    <row r="92" spans="1:5" x14ac:dyDescent="0.25">
      <c r="A92" s="56" t="s">
        <v>103</v>
      </c>
      <c r="B92" s="57" t="s">
        <v>69</v>
      </c>
      <c r="C92" s="58">
        <v>10014</v>
      </c>
      <c r="D92" s="58"/>
      <c r="E92" t="str">
        <f>VLOOKUP(B92,CAC!$A$2:$B$198,2,FALSE)</f>
        <v>HMOPMR</v>
      </c>
    </row>
    <row r="93" spans="1:5" x14ac:dyDescent="0.25">
      <c r="A93" s="56" t="s">
        <v>103</v>
      </c>
      <c r="B93" s="57" t="s">
        <v>70</v>
      </c>
      <c r="C93" s="58">
        <v>4026</v>
      </c>
      <c r="D93" s="58"/>
      <c r="E93" t="str">
        <f>VLOOKUP(B93,CAC!$A$2:$B$198,2,FALSE)</f>
        <v>HMOPMR</v>
      </c>
    </row>
    <row r="94" spans="1:5" x14ac:dyDescent="0.25">
      <c r="A94" s="56" t="s">
        <v>103</v>
      </c>
      <c r="B94" s="57" t="s">
        <v>71</v>
      </c>
      <c r="C94" s="58">
        <v>8472</v>
      </c>
      <c r="D94" s="58"/>
      <c r="E94" t="str">
        <f>VLOOKUP(B94,CAC!$A$2:$B$198,2,FALSE)</f>
        <v>HMOPMR</v>
      </c>
    </row>
    <row r="95" spans="1:5" x14ac:dyDescent="0.25">
      <c r="A95" s="56" t="s">
        <v>103</v>
      </c>
      <c r="B95" s="57" t="s">
        <v>72</v>
      </c>
      <c r="C95" s="58">
        <v>2105</v>
      </c>
      <c r="D95" s="58"/>
      <c r="E95" t="str">
        <f>VLOOKUP(B95,CAC!$A$2:$B$198,2,FALSE)</f>
        <v>HMFLEX</v>
      </c>
    </row>
    <row r="96" spans="1:5" x14ac:dyDescent="0.25">
      <c r="A96" s="56" t="s">
        <v>103</v>
      </c>
      <c r="B96" s="57" t="s">
        <v>100</v>
      </c>
      <c r="C96" s="58">
        <v>1</v>
      </c>
      <c r="D96" s="58"/>
      <c r="E96" t="e">
        <f>VLOOKUP(B96,CAC!$A$2:$B$198,2,FALSE)</f>
        <v>#N/A</v>
      </c>
    </row>
    <row r="97" spans="1:5" x14ac:dyDescent="0.25">
      <c r="A97" s="56" t="s">
        <v>103</v>
      </c>
      <c r="B97" s="57" t="s">
        <v>73</v>
      </c>
      <c r="C97" s="58">
        <v>40104</v>
      </c>
      <c r="D97" s="58"/>
      <c r="E97" t="str">
        <f>VLOOKUP(B97,CAC!$A$2:$B$198,2,FALSE)</f>
        <v>HMOPERA</v>
      </c>
    </row>
    <row r="98" spans="1:5" x14ac:dyDescent="0.25">
      <c r="A98" s="56" t="s">
        <v>103</v>
      </c>
      <c r="B98" s="57" t="s">
        <v>74</v>
      </c>
      <c r="C98" s="58">
        <v>6230</v>
      </c>
      <c r="D98" s="58"/>
      <c r="E98" t="str">
        <f>VLOOKUP(B98,CAC!$A$2:$B$198,2,FALSE)</f>
        <v>PERMEDA</v>
      </c>
    </row>
    <row r="99" spans="1:5" x14ac:dyDescent="0.25">
      <c r="A99" s="56" t="s">
        <v>103</v>
      </c>
      <c r="B99" s="57" t="s">
        <v>75</v>
      </c>
      <c r="C99" s="58">
        <v>60416</v>
      </c>
      <c r="D99" s="58"/>
      <c r="E99" t="str">
        <f>VLOOKUP(B99,CAC!$A$2:$B$198,2,FALSE)</f>
        <v>HMOPERN</v>
      </c>
    </row>
    <row r="100" spans="1:5" x14ac:dyDescent="0.25">
      <c r="A100" s="56" t="s">
        <v>103</v>
      </c>
      <c r="B100" s="57" t="s">
        <v>76</v>
      </c>
      <c r="C100" s="58">
        <v>2170</v>
      </c>
      <c r="D100" s="58"/>
      <c r="E100" t="str">
        <f>VLOOKUP(B100,CAC!$A$2:$B$198,2,FALSE)</f>
        <v>PERMEDN</v>
      </c>
    </row>
    <row r="101" spans="1:5" x14ac:dyDescent="0.25">
      <c r="A101" s="56" t="s">
        <v>103</v>
      </c>
      <c r="B101" s="57" t="s">
        <v>77</v>
      </c>
      <c r="C101" s="58">
        <v>16961</v>
      </c>
      <c r="D101" s="58"/>
      <c r="E101" t="str">
        <f>VLOOKUP(B101,CAC!$A$2:$B$198,2,FALSE)</f>
        <v>HMOSG</v>
      </c>
    </row>
    <row r="102" spans="1:5" x14ac:dyDescent="0.25">
      <c r="A102" s="56" t="s">
        <v>103</v>
      </c>
      <c r="B102" s="57" t="s">
        <v>78</v>
      </c>
      <c r="C102" s="58">
        <v>254</v>
      </c>
      <c r="D102" s="58"/>
      <c r="E102" t="str">
        <f>VLOOKUP(B102,CAC!$A$2:$B$198,2,FALSE)</f>
        <v>HMOSG</v>
      </c>
    </row>
    <row r="103" spans="1:5" x14ac:dyDescent="0.25">
      <c r="A103" s="56" t="s">
        <v>103</v>
      </c>
      <c r="B103" s="57" t="s">
        <v>79</v>
      </c>
      <c r="C103" s="58">
        <v>42</v>
      </c>
      <c r="D103" s="58"/>
      <c r="E103" t="str">
        <f>VLOOKUP(B103,CAC!$A$2:$B$198,2,FALSE)</f>
        <v>HMOSG</v>
      </c>
    </row>
    <row r="104" spans="1:5" x14ac:dyDescent="0.25">
      <c r="A104" s="56" t="s">
        <v>103</v>
      </c>
      <c r="B104" s="57" t="s">
        <v>80</v>
      </c>
      <c r="C104" s="58">
        <v>16</v>
      </c>
      <c r="D104" s="58"/>
      <c r="E104" t="str">
        <f>VLOOKUP(B104,CAC!$A$2:$B$198,2,FALSE)</f>
        <v>HMOIFP</v>
      </c>
    </row>
    <row r="105" spans="1:5" x14ac:dyDescent="0.25">
      <c r="A105" s="56" t="s">
        <v>104</v>
      </c>
      <c r="B105" s="57" t="s">
        <v>98</v>
      </c>
      <c r="C105" s="58">
        <v>3</v>
      </c>
      <c r="D105" s="58"/>
      <c r="E105" t="str">
        <f>VLOOKUP(B105,CAC!$A$2:$B$198,2,FALSE)</f>
        <v>HMOPERA</v>
      </c>
    </row>
    <row r="106" spans="1:5" x14ac:dyDescent="0.25">
      <c r="A106" s="56" t="s">
        <v>104</v>
      </c>
      <c r="B106" s="57" t="s">
        <v>52</v>
      </c>
      <c r="C106" s="58">
        <v>14851</v>
      </c>
      <c r="D106" s="58"/>
      <c r="E106" t="str">
        <f>VLOOKUP(B106,CAC!$A$2:$B$198,2,FALSE)</f>
        <v>HMOPMR</v>
      </c>
    </row>
    <row r="107" spans="1:5" x14ac:dyDescent="0.25">
      <c r="A107" s="56" t="s">
        <v>104</v>
      </c>
      <c r="B107" s="57" t="s">
        <v>53</v>
      </c>
      <c r="C107" s="58">
        <v>10414</v>
      </c>
      <c r="D107" s="58"/>
      <c r="E107" t="str">
        <f>VLOOKUP(B107,CAC!$A$2:$B$198,2,FALSE)</f>
        <v>HMOPMR</v>
      </c>
    </row>
    <row r="108" spans="1:5" x14ac:dyDescent="0.25">
      <c r="A108" s="56" t="s">
        <v>104</v>
      </c>
      <c r="B108" s="57" t="s">
        <v>102</v>
      </c>
      <c r="C108" s="58">
        <v>7</v>
      </c>
      <c r="D108" s="58"/>
      <c r="E108" t="str">
        <f>VLOOKUP(B108,CAC!$A$2:$B$198,2,FALSE)</f>
        <v>HMOPERN</v>
      </c>
    </row>
    <row r="109" spans="1:5" x14ac:dyDescent="0.25">
      <c r="A109" s="56" t="s">
        <v>104</v>
      </c>
      <c r="B109" s="57" t="s">
        <v>54</v>
      </c>
      <c r="C109" s="58">
        <v>6525</v>
      </c>
      <c r="D109" s="58"/>
      <c r="E109" t="str">
        <f>VLOOKUP(B109,CAC!$A$2:$B$198,2,FALSE)</f>
        <v>HMOFEP</v>
      </c>
    </row>
    <row r="110" spans="1:5" x14ac:dyDescent="0.25">
      <c r="A110" s="56" t="s">
        <v>104</v>
      </c>
      <c r="B110" s="57" t="s">
        <v>55</v>
      </c>
      <c r="C110" s="58">
        <v>14767</v>
      </c>
      <c r="D110" s="58"/>
      <c r="E110" t="str">
        <f>VLOOKUP(B110,CAC!$A$2:$B$198,2,FALSE)</f>
        <v>HMOPMR</v>
      </c>
    </row>
    <row r="111" spans="1:5" x14ac:dyDescent="0.25">
      <c r="A111" s="56" t="s">
        <v>104</v>
      </c>
      <c r="B111" s="57" t="s">
        <v>56</v>
      </c>
      <c r="C111" s="58">
        <v>124</v>
      </c>
      <c r="D111" s="58"/>
      <c r="E111" t="str">
        <f>VLOOKUP(B111,CAC!$A$2:$B$198,2,FALSE)</f>
        <v>HMOPMR</v>
      </c>
    </row>
    <row r="112" spans="1:5" x14ac:dyDescent="0.25">
      <c r="A112" s="56" t="s">
        <v>104</v>
      </c>
      <c r="B112" s="57" t="s">
        <v>57</v>
      </c>
      <c r="C112" s="58">
        <v>5918</v>
      </c>
      <c r="D112" s="58"/>
      <c r="E112" t="str">
        <f>VLOOKUP(B112,CAC!$A$2:$B$198,2,FALSE)</f>
        <v>HMFLEX</v>
      </c>
    </row>
    <row r="113" spans="1:5" x14ac:dyDescent="0.25">
      <c r="A113" s="56" t="s">
        <v>104</v>
      </c>
      <c r="B113" s="57" t="s">
        <v>58</v>
      </c>
      <c r="C113" s="58">
        <v>410</v>
      </c>
      <c r="D113" s="58"/>
      <c r="E113" t="str">
        <f>VLOOKUP(B113,CAC!$A$2:$B$198,2,FALSE)</f>
        <v>HMFLEX</v>
      </c>
    </row>
    <row r="114" spans="1:5" x14ac:dyDescent="0.25">
      <c r="A114" s="56" t="s">
        <v>104</v>
      </c>
      <c r="B114" s="57" t="s">
        <v>59</v>
      </c>
      <c r="C114" s="58">
        <v>11</v>
      </c>
      <c r="D114" s="58"/>
      <c r="E114" t="str">
        <f>VLOOKUP(B114,CAC!$A$2:$B$198,2,FALSE)</f>
        <v>HMFLEX</v>
      </c>
    </row>
    <row r="115" spans="1:5" x14ac:dyDescent="0.25">
      <c r="A115" s="56" t="s">
        <v>104</v>
      </c>
      <c r="B115" s="57" t="s">
        <v>60</v>
      </c>
      <c r="C115" s="58">
        <v>11106</v>
      </c>
      <c r="D115" s="58"/>
      <c r="E115" t="str">
        <f>VLOOKUP(B115,CAC!$A$2:$B$198,2,FALSE)</f>
        <v>HMOLG</v>
      </c>
    </row>
    <row r="116" spans="1:5" x14ac:dyDescent="0.25">
      <c r="A116" s="56" t="s">
        <v>104</v>
      </c>
      <c r="B116" s="57" t="s">
        <v>61</v>
      </c>
      <c r="C116" s="58">
        <v>443</v>
      </c>
      <c r="D116" s="58"/>
      <c r="E116" t="str">
        <f>VLOOKUP(B116,CAC!$A$2:$B$198,2,FALSE)</f>
        <v>HMOLG</v>
      </c>
    </row>
    <row r="117" spans="1:5" x14ac:dyDescent="0.25">
      <c r="A117" s="56" t="s">
        <v>104</v>
      </c>
      <c r="B117" s="57" t="s">
        <v>62</v>
      </c>
      <c r="C117" s="58">
        <v>24898</v>
      </c>
      <c r="D117" s="58"/>
      <c r="E117" t="str">
        <f>VLOOKUP(B117,CAC!$A$2:$B$198,2,FALSE)</f>
        <v>HMOLG</v>
      </c>
    </row>
    <row r="118" spans="1:5" x14ac:dyDescent="0.25">
      <c r="A118" s="56" t="s">
        <v>104</v>
      </c>
      <c r="B118" s="57" t="s">
        <v>63</v>
      </c>
      <c r="C118" s="58">
        <v>331</v>
      </c>
      <c r="D118" s="58"/>
      <c r="E118" t="str">
        <f>VLOOKUP(B118,CAC!$A$2:$B$198,2,FALSE)</f>
        <v>HMOLG</v>
      </c>
    </row>
    <row r="119" spans="1:5" x14ac:dyDescent="0.25">
      <c r="A119" s="56" t="s">
        <v>104</v>
      </c>
      <c r="B119" s="57" t="s">
        <v>64</v>
      </c>
      <c r="C119" s="58">
        <v>1</v>
      </c>
      <c r="D119" s="58"/>
      <c r="E119" t="str">
        <f>VLOOKUP(B119,CAC!$A$2:$B$198,2,FALSE)</f>
        <v>HMOLG</v>
      </c>
    </row>
    <row r="120" spans="1:5" x14ac:dyDescent="0.25">
      <c r="A120" s="56" t="s">
        <v>104</v>
      </c>
      <c r="B120" s="57" t="s">
        <v>65</v>
      </c>
      <c r="C120" s="58">
        <v>210</v>
      </c>
      <c r="D120" s="58"/>
      <c r="E120" t="str">
        <f>VLOOKUP(B120,CAC!$A$2:$B$198,2,FALSE)</f>
        <v>HMFLEX</v>
      </c>
    </row>
    <row r="121" spans="1:5" x14ac:dyDescent="0.25">
      <c r="A121" s="56" t="s">
        <v>104</v>
      </c>
      <c r="B121" s="57" t="s">
        <v>99</v>
      </c>
      <c r="C121" s="58">
        <v>20</v>
      </c>
      <c r="D121" s="58"/>
      <c r="E121" t="str">
        <f>VLOOKUP(B121,CAC!$A$2:$B$198,2,FALSE)</f>
        <v>PPOLG</v>
      </c>
    </row>
    <row r="122" spans="1:5" x14ac:dyDescent="0.25">
      <c r="A122" s="56" t="s">
        <v>104</v>
      </c>
      <c r="B122" s="57" t="s">
        <v>66</v>
      </c>
      <c r="C122" s="58">
        <v>3507</v>
      </c>
      <c r="D122" s="58"/>
      <c r="E122" t="str">
        <f>VLOOKUP(B122,CAC!$A$2:$B$198,2,FALSE)</f>
        <v>HMOLG</v>
      </c>
    </row>
    <row r="123" spans="1:5" x14ac:dyDescent="0.25">
      <c r="A123" s="56" t="s">
        <v>104</v>
      </c>
      <c r="B123" s="57" t="s">
        <v>67</v>
      </c>
      <c r="C123" s="58">
        <v>140</v>
      </c>
      <c r="D123" s="58"/>
      <c r="E123" t="str">
        <f>VLOOKUP(B123,CAC!$A$2:$B$198,2,FALSE)</f>
        <v>HMOLG</v>
      </c>
    </row>
    <row r="124" spans="1:5" x14ac:dyDescent="0.25">
      <c r="A124" s="56" t="s">
        <v>104</v>
      </c>
      <c r="B124" s="57" t="s">
        <v>68</v>
      </c>
      <c r="C124" s="58">
        <v>266</v>
      </c>
      <c r="D124" s="58"/>
      <c r="E124" t="str">
        <f>VLOOKUP(B124,CAC!$A$2:$B$198,2,FALSE)</f>
        <v>HMOPMR</v>
      </c>
    </row>
    <row r="125" spans="1:5" x14ac:dyDescent="0.25">
      <c r="A125" s="56" t="s">
        <v>104</v>
      </c>
      <c r="B125" s="57" t="s">
        <v>69</v>
      </c>
      <c r="C125" s="58">
        <v>9931</v>
      </c>
      <c r="D125" s="58"/>
      <c r="E125" t="str">
        <f>VLOOKUP(B125,CAC!$A$2:$B$198,2,FALSE)</f>
        <v>HMOPMR</v>
      </c>
    </row>
    <row r="126" spans="1:5" x14ac:dyDescent="0.25">
      <c r="A126" s="56" t="s">
        <v>104</v>
      </c>
      <c r="B126" s="57" t="s">
        <v>70</v>
      </c>
      <c r="C126" s="58">
        <v>4020</v>
      </c>
      <c r="D126" s="58"/>
      <c r="E126" t="str">
        <f>VLOOKUP(B126,CAC!$A$2:$B$198,2,FALSE)</f>
        <v>HMOPMR</v>
      </c>
    </row>
    <row r="127" spans="1:5" x14ac:dyDescent="0.25">
      <c r="A127" s="56" t="s">
        <v>104</v>
      </c>
      <c r="B127" s="57" t="s">
        <v>71</v>
      </c>
      <c r="C127" s="58">
        <v>8496</v>
      </c>
      <c r="D127" s="58"/>
      <c r="E127" t="str">
        <f>VLOOKUP(B127,CAC!$A$2:$B$198,2,FALSE)</f>
        <v>HMOPMR</v>
      </c>
    </row>
    <row r="128" spans="1:5" x14ac:dyDescent="0.25">
      <c r="A128" s="56" t="s">
        <v>104</v>
      </c>
      <c r="B128" s="57" t="s">
        <v>72</v>
      </c>
      <c r="C128" s="58">
        <v>2117</v>
      </c>
      <c r="D128" s="58"/>
      <c r="E128" t="str">
        <f>VLOOKUP(B128,CAC!$A$2:$B$198,2,FALSE)</f>
        <v>HMFLEX</v>
      </c>
    </row>
    <row r="129" spans="1:5" x14ac:dyDescent="0.25">
      <c r="A129" s="56" t="s">
        <v>104</v>
      </c>
      <c r="B129" s="57" t="s">
        <v>100</v>
      </c>
      <c r="C129" s="58">
        <v>1</v>
      </c>
      <c r="D129" s="58"/>
      <c r="E129" t="e">
        <f>VLOOKUP(B129,CAC!$A$2:$B$198,2,FALSE)</f>
        <v>#N/A</v>
      </c>
    </row>
    <row r="130" spans="1:5" x14ac:dyDescent="0.25">
      <c r="A130" s="56" t="s">
        <v>104</v>
      </c>
      <c r="B130" s="57" t="s">
        <v>73</v>
      </c>
      <c r="C130" s="58">
        <v>39851</v>
      </c>
      <c r="D130" s="58"/>
      <c r="E130" t="str">
        <f>VLOOKUP(B130,CAC!$A$2:$B$198,2,FALSE)</f>
        <v>HMOPERA</v>
      </c>
    </row>
    <row r="131" spans="1:5" x14ac:dyDescent="0.25">
      <c r="A131" s="56" t="s">
        <v>104</v>
      </c>
      <c r="B131" s="57" t="s">
        <v>74</v>
      </c>
      <c r="C131" s="58">
        <v>6188</v>
      </c>
      <c r="D131" s="58"/>
      <c r="E131" t="str">
        <f>VLOOKUP(B131,CAC!$A$2:$B$198,2,FALSE)</f>
        <v>PERMEDA</v>
      </c>
    </row>
    <row r="132" spans="1:5" x14ac:dyDescent="0.25">
      <c r="A132" s="56" t="s">
        <v>104</v>
      </c>
      <c r="B132" s="57" t="s">
        <v>75</v>
      </c>
      <c r="C132" s="58">
        <v>60220</v>
      </c>
      <c r="D132" s="58"/>
      <c r="E132" t="str">
        <f>VLOOKUP(B132,CAC!$A$2:$B$198,2,FALSE)</f>
        <v>HMOPERN</v>
      </c>
    </row>
    <row r="133" spans="1:5" x14ac:dyDescent="0.25">
      <c r="A133" s="56" t="s">
        <v>104</v>
      </c>
      <c r="B133" s="57" t="s">
        <v>76</v>
      </c>
      <c r="C133" s="58">
        <v>2185</v>
      </c>
      <c r="D133" s="58"/>
      <c r="E133" t="str">
        <f>VLOOKUP(B133,CAC!$A$2:$B$198,2,FALSE)</f>
        <v>PERMEDN</v>
      </c>
    </row>
    <row r="134" spans="1:5" x14ac:dyDescent="0.25">
      <c r="A134" s="56" t="s">
        <v>104</v>
      </c>
      <c r="B134" s="57" t="s">
        <v>77</v>
      </c>
      <c r="C134" s="58">
        <v>17101</v>
      </c>
      <c r="D134" s="58"/>
      <c r="E134" t="str">
        <f>VLOOKUP(B134,CAC!$A$2:$B$198,2,FALSE)</f>
        <v>HMOSG</v>
      </c>
    </row>
    <row r="135" spans="1:5" x14ac:dyDescent="0.25">
      <c r="A135" s="56" t="s">
        <v>104</v>
      </c>
      <c r="B135" s="57" t="s">
        <v>78</v>
      </c>
      <c r="C135" s="58">
        <v>275</v>
      </c>
      <c r="D135" s="58"/>
      <c r="E135" t="str">
        <f>VLOOKUP(B135,CAC!$A$2:$B$198,2,FALSE)</f>
        <v>HMOSG</v>
      </c>
    </row>
    <row r="136" spans="1:5" x14ac:dyDescent="0.25">
      <c r="A136" s="56" t="s">
        <v>104</v>
      </c>
      <c r="B136" s="57" t="s">
        <v>79</v>
      </c>
      <c r="C136" s="58">
        <v>38</v>
      </c>
      <c r="D136" s="58"/>
      <c r="E136" t="str">
        <f>VLOOKUP(B136,CAC!$A$2:$B$198,2,FALSE)</f>
        <v>HMOSG</v>
      </c>
    </row>
    <row r="137" spans="1:5" x14ac:dyDescent="0.25">
      <c r="A137" s="56" t="s">
        <v>104</v>
      </c>
      <c r="B137" s="57" t="s">
        <v>80</v>
      </c>
      <c r="C137" s="58">
        <v>11</v>
      </c>
      <c r="D137" s="58"/>
      <c r="E137" t="str">
        <f>VLOOKUP(B137,CAC!$A$2:$B$198,2,FALSE)</f>
        <v>HMOIFP</v>
      </c>
    </row>
    <row r="138" spans="1:5" x14ac:dyDescent="0.25">
      <c r="A138" s="56" t="s">
        <v>105</v>
      </c>
      <c r="B138" s="57" t="s">
        <v>52</v>
      </c>
      <c r="C138" s="58">
        <v>15158</v>
      </c>
      <c r="D138" s="58"/>
      <c r="E138" t="str">
        <f>VLOOKUP(B138,CAC!$A$2:$B$198,2,FALSE)</f>
        <v>HMOPMR</v>
      </c>
    </row>
    <row r="139" spans="1:5" x14ac:dyDescent="0.25">
      <c r="A139" s="56" t="s">
        <v>105</v>
      </c>
      <c r="B139" s="57" t="s">
        <v>53</v>
      </c>
      <c r="C139" s="58">
        <v>10246</v>
      </c>
      <c r="D139" s="58"/>
      <c r="E139" t="str">
        <f>VLOOKUP(B139,CAC!$A$2:$B$198,2,FALSE)</f>
        <v>HMOPMR</v>
      </c>
    </row>
    <row r="140" spans="1:5" x14ac:dyDescent="0.25">
      <c r="A140" s="56" t="s">
        <v>105</v>
      </c>
      <c r="B140" s="57" t="s">
        <v>54</v>
      </c>
      <c r="C140" s="58">
        <v>6603</v>
      </c>
      <c r="D140" s="58"/>
      <c r="E140" t="str">
        <f>VLOOKUP(B140,CAC!$A$2:$B$198,2,FALSE)</f>
        <v>HMOFEP</v>
      </c>
    </row>
    <row r="141" spans="1:5" x14ac:dyDescent="0.25">
      <c r="A141" s="56" t="s">
        <v>105</v>
      </c>
      <c r="B141" s="57" t="s">
        <v>55</v>
      </c>
      <c r="C141" s="58">
        <v>14892</v>
      </c>
      <c r="D141" s="58"/>
      <c r="E141" t="str">
        <f>VLOOKUP(B141,CAC!$A$2:$B$198,2,FALSE)</f>
        <v>HMOPMR</v>
      </c>
    </row>
    <row r="142" spans="1:5" x14ac:dyDescent="0.25">
      <c r="A142" s="56" t="s">
        <v>105</v>
      </c>
      <c r="B142" s="57" t="s">
        <v>56</v>
      </c>
      <c r="C142" s="58">
        <v>130</v>
      </c>
      <c r="D142" s="58"/>
      <c r="E142" t="str">
        <f>VLOOKUP(B142,CAC!$A$2:$B$198,2,FALSE)</f>
        <v>HMOPMR</v>
      </c>
    </row>
    <row r="143" spans="1:5" x14ac:dyDescent="0.25">
      <c r="A143" s="56" t="s">
        <v>105</v>
      </c>
      <c r="B143" s="57" t="s">
        <v>57</v>
      </c>
      <c r="C143" s="58">
        <v>6140</v>
      </c>
      <c r="D143" s="58"/>
      <c r="E143" t="str">
        <f>VLOOKUP(B143,CAC!$A$2:$B$198,2,FALSE)</f>
        <v>HMFLEX</v>
      </c>
    </row>
    <row r="144" spans="1:5" x14ac:dyDescent="0.25">
      <c r="A144" s="56" t="s">
        <v>105</v>
      </c>
      <c r="B144" s="57" t="s">
        <v>58</v>
      </c>
      <c r="C144" s="58">
        <v>418</v>
      </c>
      <c r="D144" s="58"/>
      <c r="E144" t="str">
        <f>VLOOKUP(B144,CAC!$A$2:$B$198,2,FALSE)</f>
        <v>HMFLEX</v>
      </c>
    </row>
    <row r="145" spans="1:5" x14ac:dyDescent="0.25">
      <c r="A145" s="56" t="s">
        <v>105</v>
      </c>
      <c r="B145" s="57" t="s">
        <v>59</v>
      </c>
      <c r="C145" s="58">
        <v>11</v>
      </c>
      <c r="D145" s="58"/>
      <c r="E145" t="str">
        <f>VLOOKUP(B145,CAC!$A$2:$B$198,2,FALSE)</f>
        <v>HMFLEX</v>
      </c>
    </row>
    <row r="146" spans="1:5" x14ac:dyDescent="0.25">
      <c r="A146" s="56" t="s">
        <v>105</v>
      </c>
      <c r="B146" s="57" t="s">
        <v>60</v>
      </c>
      <c r="C146" s="58">
        <v>11128</v>
      </c>
      <c r="D146" s="58"/>
      <c r="E146" t="str">
        <f>VLOOKUP(B146,CAC!$A$2:$B$198,2,FALSE)</f>
        <v>HMOLG</v>
      </c>
    </row>
    <row r="147" spans="1:5" x14ac:dyDescent="0.25">
      <c r="A147" s="56" t="s">
        <v>105</v>
      </c>
      <c r="B147" s="57" t="s">
        <v>61</v>
      </c>
      <c r="C147" s="58">
        <v>436</v>
      </c>
      <c r="D147" s="58"/>
      <c r="E147" t="str">
        <f>VLOOKUP(B147,CAC!$A$2:$B$198,2,FALSE)</f>
        <v>HMOLG</v>
      </c>
    </row>
    <row r="148" spans="1:5" x14ac:dyDescent="0.25">
      <c r="A148" s="56" t="s">
        <v>105</v>
      </c>
      <c r="B148" s="57" t="s">
        <v>62</v>
      </c>
      <c r="C148" s="58">
        <v>25484</v>
      </c>
      <c r="D148" s="58"/>
      <c r="E148" t="str">
        <f>VLOOKUP(B148,CAC!$A$2:$B$198,2,FALSE)</f>
        <v>HMOLG</v>
      </c>
    </row>
    <row r="149" spans="1:5" x14ac:dyDescent="0.25">
      <c r="A149" s="56" t="s">
        <v>105</v>
      </c>
      <c r="B149" s="57" t="s">
        <v>63</v>
      </c>
      <c r="C149" s="58">
        <v>270</v>
      </c>
      <c r="D149" s="58"/>
      <c r="E149" t="str">
        <f>VLOOKUP(B149,CAC!$A$2:$B$198,2,FALSE)</f>
        <v>HMOLG</v>
      </c>
    </row>
    <row r="150" spans="1:5" x14ac:dyDescent="0.25">
      <c r="A150" s="56" t="s">
        <v>105</v>
      </c>
      <c r="B150" s="57" t="s">
        <v>64</v>
      </c>
      <c r="C150" s="58">
        <v>1</v>
      </c>
      <c r="D150" s="58"/>
      <c r="E150" t="str">
        <f>VLOOKUP(B150,CAC!$A$2:$B$198,2,FALSE)</f>
        <v>HMOLG</v>
      </c>
    </row>
    <row r="151" spans="1:5" x14ac:dyDescent="0.25">
      <c r="A151" s="56" t="s">
        <v>105</v>
      </c>
      <c r="B151" s="57" t="s">
        <v>65</v>
      </c>
      <c r="C151" s="58">
        <v>204</v>
      </c>
      <c r="D151" s="58"/>
      <c r="E151" t="str">
        <f>VLOOKUP(B151,CAC!$A$2:$B$198,2,FALSE)</f>
        <v>HMFLEX</v>
      </c>
    </row>
    <row r="152" spans="1:5" x14ac:dyDescent="0.25">
      <c r="A152" s="56" t="s">
        <v>105</v>
      </c>
      <c r="B152" s="57" t="s">
        <v>66</v>
      </c>
      <c r="C152" s="58">
        <v>3828</v>
      </c>
      <c r="D152" s="58"/>
      <c r="E152" t="str">
        <f>VLOOKUP(B152,CAC!$A$2:$B$198,2,FALSE)</f>
        <v>HMOLG</v>
      </c>
    </row>
    <row r="153" spans="1:5" x14ac:dyDescent="0.25">
      <c r="A153" s="56" t="s">
        <v>105</v>
      </c>
      <c r="B153" s="57" t="s">
        <v>67</v>
      </c>
      <c r="C153" s="58">
        <v>141</v>
      </c>
      <c r="D153" s="58"/>
      <c r="E153" t="str">
        <f>VLOOKUP(B153,CAC!$A$2:$B$198,2,FALSE)</f>
        <v>HMOLG</v>
      </c>
    </row>
    <row r="154" spans="1:5" x14ac:dyDescent="0.25">
      <c r="A154" s="56" t="s">
        <v>105</v>
      </c>
      <c r="B154" s="57" t="s">
        <v>68</v>
      </c>
      <c r="C154" s="58">
        <v>260</v>
      </c>
      <c r="D154" s="58"/>
      <c r="E154" t="str">
        <f>VLOOKUP(B154,CAC!$A$2:$B$198,2,FALSE)</f>
        <v>HMOPMR</v>
      </c>
    </row>
    <row r="155" spans="1:5" x14ac:dyDescent="0.25">
      <c r="A155" s="56" t="s">
        <v>105</v>
      </c>
      <c r="B155" s="57" t="s">
        <v>69</v>
      </c>
      <c r="C155" s="58">
        <v>9572</v>
      </c>
      <c r="D155" s="58"/>
      <c r="E155" t="str">
        <f>VLOOKUP(B155,CAC!$A$2:$B$198,2,FALSE)</f>
        <v>HMOPMR</v>
      </c>
    </row>
    <row r="156" spans="1:5" x14ac:dyDescent="0.25">
      <c r="A156" s="56" t="s">
        <v>105</v>
      </c>
      <c r="B156" s="57" t="s">
        <v>70</v>
      </c>
      <c r="C156" s="58">
        <v>4079</v>
      </c>
      <c r="D156" s="58"/>
      <c r="E156" t="str">
        <f>VLOOKUP(B156,CAC!$A$2:$B$198,2,FALSE)</f>
        <v>HMOPMR</v>
      </c>
    </row>
    <row r="157" spans="1:5" x14ac:dyDescent="0.25">
      <c r="A157" s="56" t="s">
        <v>105</v>
      </c>
      <c r="B157" s="57" t="s">
        <v>71</v>
      </c>
      <c r="C157" s="58">
        <v>8509</v>
      </c>
      <c r="D157" s="58"/>
      <c r="E157" t="str">
        <f>VLOOKUP(B157,CAC!$A$2:$B$198,2,FALSE)</f>
        <v>HMOPMR</v>
      </c>
    </row>
    <row r="158" spans="1:5" x14ac:dyDescent="0.25">
      <c r="A158" s="56" t="s">
        <v>105</v>
      </c>
      <c r="B158" s="57" t="s">
        <v>72</v>
      </c>
      <c r="C158" s="58">
        <v>2136</v>
      </c>
      <c r="D158" s="58"/>
      <c r="E158" t="str">
        <f>VLOOKUP(B158,CAC!$A$2:$B$198,2,FALSE)</f>
        <v>HMFLEX</v>
      </c>
    </row>
    <row r="159" spans="1:5" x14ac:dyDescent="0.25">
      <c r="A159" s="56" t="s">
        <v>105</v>
      </c>
      <c r="B159" s="57" t="s">
        <v>73</v>
      </c>
      <c r="C159" s="58">
        <v>39825</v>
      </c>
      <c r="D159" s="58"/>
      <c r="E159" t="str">
        <f>VLOOKUP(B159,CAC!$A$2:$B$198,2,FALSE)</f>
        <v>HMOPERA</v>
      </c>
    </row>
    <row r="160" spans="1:5" x14ac:dyDescent="0.25">
      <c r="A160" s="56" t="s">
        <v>105</v>
      </c>
      <c r="B160" s="57" t="s">
        <v>74</v>
      </c>
      <c r="C160" s="58">
        <v>6189</v>
      </c>
      <c r="D160" s="58"/>
      <c r="E160" t="str">
        <f>VLOOKUP(B160,CAC!$A$2:$B$198,2,FALSE)</f>
        <v>PERMEDA</v>
      </c>
    </row>
    <row r="161" spans="1:5" x14ac:dyDescent="0.25">
      <c r="A161" s="56" t="s">
        <v>105</v>
      </c>
      <c r="B161" s="57" t="s">
        <v>75</v>
      </c>
      <c r="C161" s="58">
        <v>59928</v>
      </c>
      <c r="D161" s="58"/>
      <c r="E161" t="str">
        <f>VLOOKUP(B161,CAC!$A$2:$B$198,2,FALSE)</f>
        <v>HMOPERN</v>
      </c>
    </row>
    <row r="162" spans="1:5" x14ac:dyDescent="0.25">
      <c r="A162" s="56" t="s">
        <v>105</v>
      </c>
      <c r="B162" s="57" t="s">
        <v>76</v>
      </c>
      <c r="C162" s="58">
        <v>2218</v>
      </c>
      <c r="D162" s="58"/>
      <c r="E162" t="str">
        <f>VLOOKUP(B162,CAC!$A$2:$B$198,2,FALSE)</f>
        <v>PERMEDN</v>
      </c>
    </row>
    <row r="163" spans="1:5" x14ac:dyDescent="0.25">
      <c r="A163" s="56" t="s">
        <v>105</v>
      </c>
      <c r="B163" s="57" t="s">
        <v>77</v>
      </c>
      <c r="C163" s="58">
        <v>17684</v>
      </c>
      <c r="D163" s="58"/>
      <c r="E163" t="str">
        <f>VLOOKUP(B163,CAC!$A$2:$B$198,2,FALSE)</f>
        <v>HMOSG</v>
      </c>
    </row>
    <row r="164" spans="1:5" x14ac:dyDescent="0.25">
      <c r="A164" s="56" t="s">
        <v>105</v>
      </c>
      <c r="B164" s="57" t="s">
        <v>78</v>
      </c>
      <c r="C164" s="58">
        <v>302</v>
      </c>
      <c r="D164" s="58"/>
      <c r="E164" t="str">
        <f>VLOOKUP(B164,CAC!$A$2:$B$198,2,FALSE)</f>
        <v>HMOSG</v>
      </c>
    </row>
    <row r="165" spans="1:5" x14ac:dyDescent="0.25">
      <c r="A165" s="56" t="s">
        <v>105</v>
      </c>
      <c r="B165" s="57" t="s">
        <v>79</v>
      </c>
      <c r="C165" s="58">
        <v>49</v>
      </c>
      <c r="D165" s="58"/>
      <c r="E165" t="str">
        <f>VLOOKUP(B165,CAC!$A$2:$B$198,2,FALSE)</f>
        <v>HMOSG</v>
      </c>
    </row>
    <row r="166" spans="1:5" x14ac:dyDescent="0.25">
      <c r="A166" s="56" t="s">
        <v>105</v>
      </c>
      <c r="B166" s="57" t="s">
        <v>80</v>
      </c>
      <c r="C166" s="58">
        <v>14</v>
      </c>
      <c r="D166" s="58"/>
      <c r="E166" t="str">
        <f>VLOOKUP(B166,CAC!$A$2:$B$198,2,FALSE)</f>
        <v>HMOIFP</v>
      </c>
    </row>
    <row r="167" spans="1:5" x14ac:dyDescent="0.25">
      <c r="A167" s="56" t="s">
        <v>106</v>
      </c>
      <c r="B167" s="57" t="s">
        <v>52</v>
      </c>
      <c r="C167" s="58">
        <v>15349</v>
      </c>
      <c r="D167" s="58"/>
      <c r="E167" t="str">
        <f>VLOOKUP(B167,CAC!$A$2:$B$198,2,FALSE)</f>
        <v>HMOPMR</v>
      </c>
    </row>
    <row r="168" spans="1:5" x14ac:dyDescent="0.25">
      <c r="A168" s="56" t="s">
        <v>106</v>
      </c>
      <c r="B168" s="57" t="s">
        <v>53</v>
      </c>
      <c r="C168" s="58">
        <v>10483</v>
      </c>
      <c r="D168" s="58"/>
      <c r="E168" t="str">
        <f>VLOOKUP(B168,CAC!$A$2:$B$198,2,FALSE)</f>
        <v>HMOPMR</v>
      </c>
    </row>
    <row r="169" spans="1:5" x14ac:dyDescent="0.25">
      <c r="A169" s="56" t="s">
        <v>106</v>
      </c>
      <c r="B169" s="57" t="s">
        <v>54</v>
      </c>
      <c r="C169" s="58">
        <v>6626</v>
      </c>
      <c r="D169" s="58"/>
      <c r="E169" t="str">
        <f>VLOOKUP(B169,CAC!$A$2:$B$198,2,FALSE)</f>
        <v>HMOFEP</v>
      </c>
    </row>
    <row r="170" spans="1:5" x14ac:dyDescent="0.25">
      <c r="A170" s="56" t="s">
        <v>106</v>
      </c>
      <c r="B170" s="57" t="s">
        <v>55</v>
      </c>
      <c r="C170" s="58">
        <v>14851</v>
      </c>
      <c r="D170" s="58"/>
      <c r="E170" t="str">
        <f>VLOOKUP(B170,CAC!$A$2:$B$198,2,FALSE)</f>
        <v>HMOPMR</v>
      </c>
    </row>
    <row r="171" spans="1:5" x14ac:dyDescent="0.25">
      <c r="A171" s="56" t="s">
        <v>106</v>
      </c>
      <c r="B171" s="57" t="s">
        <v>56</v>
      </c>
      <c r="C171" s="58">
        <v>120</v>
      </c>
      <c r="D171" s="58"/>
      <c r="E171" t="str">
        <f>VLOOKUP(B171,CAC!$A$2:$B$198,2,FALSE)</f>
        <v>HMOPMR</v>
      </c>
    </row>
    <row r="172" spans="1:5" x14ac:dyDescent="0.25">
      <c r="A172" s="56" t="s">
        <v>106</v>
      </c>
      <c r="B172" s="57" t="s">
        <v>57</v>
      </c>
      <c r="C172" s="58">
        <v>6210</v>
      </c>
      <c r="D172" s="58"/>
      <c r="E172" t="str">
        <f>VLOOKUP(B172,CAC!$A$2:$B$198,2,FALSE)</f>
        <v>HMFLEX</v>
      </c>
    </row>
    <row r="173" spans="1:5" x14ac:dyDescent="0.25">
      <c r="A173" s="56" t="s">
        <v>106</v>
      </c>
      <c r="B173" s="57" t="s">
        <v>58</v>
      </c>
      <c r="C173" s="58">
        <v>413</v>
      </c>
      <c r="D173" s="58"/>
      <c r="E173" t="str">
        <f>VLOOKUP(B173,CAC!$A$2:$B$198,2,FALSE)</f>
        <v>HMFLEX</v>
      </c>
    </row>
    <row r="174" spans="1:5" x14ac:dyDescent="0.25">
      <c r="A174" s="56" t="s">
        <v>106</v>
      </c>
      <c r="B174" s="57" t="s">
        <v>59</v>
      </c>
      <c r="C174" s="58">
        <v>12</v>
      </c>
      <c r="D174" s="58"/>
      <c r="E174" t="str">
        <f>VLOOKUP(B174,CAC!$A$2:$B$198,2,FALSE)</f>
        <v>HMFLEX</v>
      </c>
    </row>
    <row r="175" spans="1:5" x14ac:dyDescent="0.25">
      <c r="A175" s="56" t="s">
        <v>106</v>
      </c>
      <c r="B175" s="57" t="s">
        <v>60</v>
      </c>
      <c r="C175" s="58">
        <v>11096</v>
      </c>
      <c r="D175" s="58"/>
      <c r="E175" t="str">
        <f>VLOOKUP(B175,CAC!$A$2:$B$198,2,FALSE)</f>
        <v>HMOLG</v>
      </c>
    </row>
    <row r="176" spans="1:5" x14ac:dyDescent="0.25">
      <c r="A176" s="56" t="s">
        <v>106</v>
      </c>
      <c r="B176" s="57" t="s">
        <v>61</v>
      </c>
      <c r="C176" s="58">
        <v>444</v>
      </c>
      <c r="D176" s="58"/>
      <c r="E176" t="str">
        <f>VLOOKUP(B176,CAC!$A$2:$B$198,2,FALSE)</f>
        <v>HMOLG</v>
      </c>
    </row>
    <row r="177" spans="1:5" x14ac:dyDescent="0.25">
      <c r="A177" s="56" t="s">
        <v>106</v>
      </c>
      <c r="B177" s="57" t="s">
        <v>62</v>
      </c>
      <c r="C177" s="58">
        <v>25793</v>
      </c>
      <c r="D177" s="58"/>
      <c r="E177" t="str">
        <f>VLOOKUP(B177,CAC!$A$2:$B$198,2,FALSE)</f>
        <v>HMOLG</v>
      </c>
    </row>
    <row r="178" spans="1:5" x14ac:dyDescent="0.25">
      <c r="A178" s="56" t="s">
        <v>106</v>
      </c>
      <c r="B178" s="57" t="s">
        <v>63</v>
      </c>
      <c r="C178" s="58">
        <v>266</v>
      </c>
      <c r="D178" s="58"/>
      <c r="E178" t="str">
        <f>VLOOKUP(B178,CAC!$A$2:$B$198,2,FALSE)</f>
        <v>HMOLG</v>
      </c>
    </row>
    <row r="179" spans="1:5" x14ac:dyDescent="0.25">
      <c r="A179" s="56" t="s">
        <v>106</v>
      </c>
      <c r="B179" s="57" t="s">
        <v>65</v>
      </c>
      <c r="C179" s="58">
        <v>215</v>
      </c>
      <c r="D179" s="58"/>
      <c r="E179" t="str">
        <f>VLOOKUP(B179,CAC!$A$2:$B$198,2,FALSE)</f>
        <v>HMFLEX</v>
      </c>
    </row>
    <row r="180" spans="1:5" x14ac:dyDescent="0.25">
      <c r="A180" s="56" t="s">
        <v>106</v>
      </c>
      <c r="B180" s="57" t="s">
        <v>66</v>
      </c>
      <c r="C180" s="58">
        <v>3777</v>
      </c>
      <c r="D180" s="58"/>
      <c r="E180" t="str">
        <f>VLOOKUP(B180,CAC!$A$2:$B$198,2,FALSE)</f>
        <v>HMOLG</v>
      </c>
    </row>
    <row r="181" spans="1:5" x14ac:dyDescent="0.25">
      <c r="A181" s="56" t="s">
        <v>106</v>
      </c>
      <c r="B181" s="57" t="s">
        <v>67</v>
      </c>
      <c r="C181" s="58">
        <v>125</v>
      </c>
      <c r="D181" s="58"/>
      <c r="E181" t="str">
        <f>VLOOKUP(B181,CAC!$A$2:$B$198,2,FALSE)</f>
        <v>HMOLG</v>
      </c>
    </row>
    <row r="182" spans="1:5" x14ac:dyDescent="0.25">
      <c r="A182" s="56" t="s">
        <v>106</v>
      </c>
      <c r="B182" s="57" t="s">
        <v>68</v>
      </c>
      <c r="C182" s="58">
        <v>274</v>
      </c>
      <c r="D182" s="58"/>
      <c r="E182" t="str">
        <f>VLOOKUP(B182,CAC!$A$2:$B$198,2,FALSE)</f>
        <v>HMOPMR</v>
      </c>
    </row>
    <row r="183" spans="1:5" x14ac:dyDescent="0.25">
      <c r="A183" s="56" t="s">
        <v>106</v>
      </c>
      <c r="B183" s="57" t="s">
        <v>69</v>
      </c>
      <c r="C183" s="58">
        <v>9982</v>
      </c>
      <c r="D183" s="58"/>
      <c r="E183" t="str">
        <f>VLOOKUP(B183,CAC!$A$2:$B$198,2,FALSE)</f>
        <v>HMOPMR</v>
      </c>
    </row>
    <row r="184" spans="1:5" x14ac:dyDescent="0.25">
      <c r="A184" s="56" t="s">
        <v>106</v>
      </c>
      <c r="B184" s="57" t="s">
        <v>70</v>
      </c>
      <c r="C184" s="58">
        <v>4113</v>
      </c>
      <c r="D184" s="58"/>
      <c r="E184" t="str">
        <f>VLOOKUP(B184,CAC!$A$2:$B$198,2,FALSE)</f>
        <v>HMOPMR</v>
      </c>
    </row>
    <row r="185" spans="1:5" x14ac:dyDescent="0.25">
      <c r="A185" s="56" t="s">
        <v>106</v>
      </c>
      <c r="B185" s="57" t="s">
        <v>71</v>
      </c>
      <c r="C185" s="58">
        <v>8762</v>
      </c>
      <c r="D185" s="58"/>
      <c r="E185" t="str">
        <f>VLOOKUP(B185,CAC!$A$2:$B$198,2,FALSE)</f>
        <v>HMOPMR</v>
      </c>
    </row>
    <row r="186" spans="1:5" x14ac:dyDescent="0.25">
      <c r="A186" s="56" t="s">
        <v>106</v>
      </c>
      <c r="B186" s="57" t="s">
        <v>72</v>
      </c>
      <c r="C186" s="58">
        <v>2198</v>
      </c>
      <c r="D186" s="58"/>
      <c r="E186" t="str">
        <f>VLOOKUP(B186,CAC!$A$2:$B$198,2,FALSE)</f>
        <v>HMFLEX</v>
      </c>
    </row>
    <row r="187" spans="1:5" x14ac:dyDescent="0.25">
      <c r="A187" s="56" t="s">
        <v>106</v>
      </c>
      <c r="B187" s="57" t="s">
        <v>73</v>
      </c>
      <c r="C187" s="58">
        <v>40028</v>
      </c>
      <c r="D187" s="58"/>
      <c r="E187" t="str">
        <f>VLOOKUP(B187,CAC!$A$2:$B$198,2,FALSE)</f>
        <v>HMOPERA</v>
      </c>
    </row>
    <row r="188" spans="1:5" x14ac:dyDescent="0.25">
      <c r="A188" s="56" t="s">
        <v>106</v>
      </c>
      <c r="B188" s="57" t="s">
        <v>74</v>
      </c>
      <c r="C188" s="58">
        <v>6261</v>
      </c>
      <c r="D188" s="58"/>
      <c r="E188" t="str">
        <f>VLOOKUP(B188,CAC!$A$2:$B$198,2,FALSE)</f>
        <v>PERMEDA</v>
      </c>
    </row>
    <row r="189" spans="1:5" x14ac:dyDescent="0.25">
      <c r="A189" s="56" t="s">
        <v>106</v>
      </c>
      <c r="B189" s="57" t="s">
        <v>75</v>
      </c>
      <c r="C189" s="58">
        <v>60188</v>
      </c>
      <c r="D189" s="58"/>
      <c r="E189" t="str">
        <f>VLOOKUP(B189,CAC!$A$2:$B$198,2,FALSE)</f>
        <v>HMOPERN</v>
      </c>
    </row>
    <row r="190" spans="1:5" x14ac:dyDescent="0.25">
      <c r="A190" s="56" t="s">
        <v>106</v>
      </c>
      <c r="B190" s="57" t="s">
        <v>76</v>
      </c>
      <c r="C190" s="58">
        <v>2256</v>
      </c>
      <c r="D190" s="58"/>
      <c r="E190" t="str">
        <f>VLOOKUP(B190,CAC!$A$2:$B$198,2,FALSE)</f>
        <v>PERMEDN</v>
      </c>
    </row>
    <row r="191" spans="1:5" x14ac:dyDescent="0.25">
      <c r="A191" s="56" t="s">
        <v>106</v>
      </c>
      <c r="B191" s="57" t="s">
        <v>77</v>
      </c>
      <c r="C191" s="58">
        <v>18059</v>
      </c>
      <c r="D191" s="58"/>
      <c r="E191" t="str">
        <f>VLOOKUP(B191,CAC!$A$2:$B$198,2,FALSE)</f>
        <v>HMOSG</v>
      </c>
    </row>
    <row r="192" spans="1:5" x14ac:dyDescent="0.25">
      <c r="A192" s="56" t="s">
        <v>106</v>
      </c>
      <c r="B192" s="57" t="s">
        <v>78</v>
      </c>
      <c r="C192" s="58">
        <v>327</v>
      </c>
      <c r="D192" s="58"/>
      <c r="E192" t="str">
        <f>VLOOKUP(B192,CAC!$A$2:$B$198,2,FALSE)</f>
        <v>HMOSG</v>
      </c>
    </row>
    <row r="193" spans="1:5" x14ac:dyDescent="0.25">
      <c r="A193" s="56" t="s">
        <v>106</v>
      </c>
      <c r="B193" s="57" t="s">
        <v>79</v>
      </c>
      <c r="C193" s="58">
        <v>55</v>
      </c>
      <c r="D193" s="58"/>
      <c r="E193" t="str">
        <f>VLOOKUP(B193,CAC!$A$2:$B$198,2,FALSE)</f>
        <v>HMOSG</v>
      </c>
    </row>
    <row r="194" spans="1:5" x14ac:dyDescent="0.25">
      <c r="A194" s="56" t="s">
        <v>106</v>
      </c>
      <c r="B194" s="57" t="s">
        <v>80</v>
      </c>
      <c r="C194" s="58">
        <v>13</v>
      </c>
      <c r="D194" s="58"/>
      <c r="E194" t="str">
        <f>VLOOKUP(B194,CAC!$A$2:$B$198,2,FALSE)</f>
        <v>HMOIFP</v>
      </c>
    </row>
    <row r="195" spans="1:5" x14ac:dyDescent="0.25">
      <c r="A195" s="56" t="s">
        <v>107</v>
      </c>
      <c r="B195" s="57" t="s">
        <v>108</v>
      </c>
      <c r="C195" s="58">
        <v>112</v>
      </c>
      <c r="D195" s="58"/>
      <c r="E195" t="str">
        <f>VLOOKUP(B195,CAC!$A$2:$B$198,2,FALSE)</f>
        <v>HMOLG</v>
      </c>
    </row>
    <row r="196" spans="1:5" x14ac:dyDescent="0.25">
      <c r="A196" s="56" t="s">
        <v>107</v>
      </c>
      <c r="B196" s="57" t="s">
        <v>52</v>
      </c>
      <c r="C196" s="58">
        <v>15489</v>
      </c>
      <c r="D196" s="58"/>
      <c r="E196" t="str">
        <f>VLOOKUP(B196,CAC!$A$2:$B$198,2,FALSE)</f>
        <v>HMOPMR</v>
      </c>
    </row>
    <row r="197" spans="1:5" x14ac:dyDescent="0.25">
      <c r="A197" s="56" t="s">
        <v>107</v>
      </c>
      <c r="B197" s="57" t="s">
        <v>53</v>
      </c>
      <c r="C197" s="58">
        <v>10380</v>
      </c>
      <c r="D197" s="58"/>
      <c r="E197" t="str">
        <f>VLOOKUP(B197,CAC!$A$2:$B$198,2,FALSE)</f>
        <v>HMOPMR</v>
      </c>
    </row>
    <row r="198" spans="1:5" x14ac:dyDescent="0.25">
      <c r="A198" s="56" t="s">
        <v>107</v>
      </c>
      <c r="B198" s="57" t="s">
        <v>54</v>
      </c>
      <c r="C198" s="58">
        <v>6592</v>
      </c>
      <c r="D198" s="58"/>
      <c r="E198" t="str">
        <f>VLOOKUP(B198,CAC!$A$2:$B$198,2,FALSE)</f>
        <v>HMOFEP</v>
      </c>
    </row>
    <row r="199" spans="1:5" x14ac:dyDescent="0.25">
      <c r="A199" s="56" t="s">
        <v>107</v>
      </c>
      <c r="B199" s="57" t="s">
        <v>55</v>
      </c>
      <c r="C199" s="58">
        <v>14758</v>
      </c>
      <c r="D199" s="58"/>
      <c r="E199" t="str">
        <f>VLOOKUP(B199,CAC!$A$2:$B$198,2,FALSE)</f>
        <v>HMOPMR</v>
      </c>
    </row>
    <row r="200" spans="1:5" x14ac:dyDescent="0.25">
      <c r="A200" s="56" t="s">
        <v>107</v>
      </c>
      <c r="B200" s="57" t="s">
        <v>56</v>
      </c>
      <c r="C200" s="58">
        <v>116</v>
      </c>
      <c r="D200" s="58"/>
      <c r="E200" t="str">
        <f>VLOOKUP(B200,CAC!$A$2:$B$198,2,FALSE)</f>
        <v>HMOPMR</v>
      </c>
    </row>
    <row r="201" spans="1:5" x14ac:dyDescent="0.25">
      <c r="A201" s="56" t="s">
        <v>107</v>
      </c>
      <c r="B201" s="57" t="s">
        <v>57</v>
      </c>
      <c r="C201" s="58">
        <v>6231</v>
      </c>
      <c r="D201" s="58"/>
      <c r="E201" t="str">
        <f>VLOOKUP(B201,CAC!$A$2:$B$198,2,FALSE)</f>
        <v>HMFLEX</v>
      </c>
    </row>
    <row r="202" spans="1:5" x14ac:dyDescent="0.25">
      <c r="A202" s="56" t="s">
        <v>107</v>
      </c>
      <c r="B202" s="57" t="s">
        <v>58</v>
      </c>
      <c r="C202" s="58">
        <v>411</v>
      </c>
      <c r="D202" s="58"/>
      <c r="E202" t="str">
        <f>VLOOKUP(B202,CAC!$A$2:$B$198,2,FALSE)</f>
        <v>HMFLEX</v>
      </c>
    </row>
    <row r="203" spans="1:5" x14ac:dyDescent="0.25">
      <c r="A203" s="56" t="s">
        <v>107</v>
      </c>
      <c r="B203" s="57" t="s">
        <v>59</v>
      </c>
      <c r="C203" s="58">
        <v>11</v>
      </c>
      <c r="D203" s="58"/>
      <c r="E203" t="str">
        <f>VLOOKUP(B203,CAC!$A$2:$B$198,2,FALSE)</f>
        <v>HMFLEX</v>
      </c>
    </row>
    <row r="204" spans="1:5" x14ac:dyDescent="0.25">
      <c r="A204" s="56" t="s">
        <v>107</v>
      </c>
      <c r="B204" s="57" t="s">
        <v>60</v>
      </c>
      <c r="C204" s="58">
        <v>11015</v>
      </c>
      <c r="D204" s="58"/>
      <c r="E204" t="str">
        <f>VLOOKUP(B204,CAC!$A$2:$B$198,2,FALSE)</f>
        <v>HMOLG</v>
      </c>
    </row>
    <row r="205" spans="1:5" x14ac:dyDescent="0.25">
      <c r="A205" s="56" t="s">
        <v>107</v>
      </c>
      <c r="B205" s="57" t="s">
        <v>61</v>
      </c>
      <c r="C205" s="58">
        <v>446</v>
      </c>
      <c r="D205" s="58"/>
      <c r="E205" t="str">
        <f>VLOOKUP(B205,CAC!$A$2:$B$198,2,FALSE)</f>
        <v>HMOLG</v>
      </c>
    </row>
    <row r="206" spans="1:5" x14ac:dyDescent="0.25">
      <c r="A206" s="56" t="s">
        <v>107</v>
      </c>
      <c r="B206" s="57" t="s">
        <v>62</v>
      </c>
      <c r="C206" s="58">
        <v>25606</v>
      </c>
      <c r="D206" s="58"/>
      <c r="E206" t="str">
        <f>VLOOKUP(B206,CAC!$A$2:$B$198,2,FALSE)</f>
        <v>HMOLG</v>
      </c>
    </row>
    <row r="207" spans="1:5" x14ac:dyDescent="0.25">
      <c r="A207" s="56" t="s">
        <v>107</v>
      </c>
      <c r="B207" s="57" t="s">
        <v>63</v>
      </c>
      <c r="C207" s="58">
        <v>259</v>
      </c>
      <c r="D207" s="58"/>
      <c r="E207" t="str">
        <f>VLOOKUP(B207,CAC!$A$2:$B$198,2,FALSE)</f>
        <v>HMOLG</v>
      </c>
    </row>
    <row r="208" spans="1:5" x14ac:dyDescent="0.25">
      <c r="A208" s="56" t="s">
        <v>107</v>
      </c>
      <c r="B208" s="57" t="s">
        <v>65</v>
      </c>
      <c r="C208" s="58">
        <v>216</v>
      </c>
      <c r="D208" s="58"/>
      <c r="E208" t="str">
        <f>VLOOKUP(B208,CAC!$A$2:$B$198,2,FALSE)</f>
        <v>HMFLEX</v>
      </c>
    </row>
    <row r="209" spans="1:5" x14ac:dyDescent="0.25">
      <c r="A209" s="56" t="s">
        <v>107</v>
      </c>
      <c r="B209" s="57" t="s">
        <v>66</v>
      </c>
      <c r="C209" s="58">
        <v>3890</v>
      </c>
      <c r="D209" s="58"/>
      <c r="E209" t="str">
        <f>VLOOKUP(B209,CAC!$A$2:$B$198,2,FALSE)</f>
        <v>HMOLG</v>
      </c>
    </row>
    <row r="210" spans="1:5" x14ac:dyDescent="0.25">
      <c r="A210" s="56" t="s">
        <v>107</v>
      </c>
      <c r="B210" s="57" t="s">
        <v>67</v>
      </c>
      <c r="C210" s="58">
        <v>121</v>
      </c>
      <c r="D210" s="58"/>
      <c r="E210" t="str">
        <f>VLOOKUP(B210,CAC!$A$2:$B$198,2,FALSE)</f>
        <v>HMOLG</v>
      </c>
    </row>
    <row r="211" spans="1:5" x14ac:dyDescent="0.25">
      <c r="A211" s="56" t="s">
        <v>107</v>
      </c>
      <c r="B211" s="57" t="s">
        <v>68</v>
      </c>
      <c r="C211" s="58">
        <v>273</v>
      </c>
      <c r="D211" s="58"/>
      <c r="E211" t="str">
        <f>VLOOKUP(B211,CAC!$A$2:$B$198,2,FALSE)</f>
        <v>HMOPMR</v>
      </c>
    </row>
    <row r="212" spans="1:5" x14ac:dyDescent="0.25">
      <c r="A212" s="56" t="s">
        <v>107</v>
      </c>
      <c r="B212" s="57" t="s">
        <v>69</v>
      </c>
      <c r="C212" s="58">
        <v>10003</v>
      </c>
      <c r="D212" s="58"/>
      <c r="E212" t="str">
        <f>VLOOKUP(B212,CAC!$A$2:$B$198,2,FALSE)</f>
        <v>HMOPMR</v>
      </c>
    </row>
    <row r="213" spans="1:5" x14ac:dyDescent="0.25">
      <c r="A213" s="56" t="s">
        <v>107</v>
      </c>
      <c r="B213" s="57" t="s">
        <v>70</v>
      </c>
      <c r="C213" s="58">
        <v>4078</v>
      </c>
      <c r="D213" s="58"/>
      <c r="E213" t="str">
        <f>VLOOKUP(B213,CAC!$A$2:$B$198,2,FALSE)</f>
        <v>HMOPMR</v>
      </c>
    </row>
    <row r="214" spans="1:5" x14ac:dyDescent="0.25">
      <c r="A214" s="56" t="s">
        <v>107</v>
      </c>
      <c r="B214" s="57" t="s">
        <v>71</v>
      </c>
      <c r="C214" s="58">
        <v>8496</v>
      </c>
      <c r="D214" s="58"/>
      <c r="E214" t="str">
        <f>VLOOKUP(B214,CAC!$A$2:$B$198,2,FALSE)</f>
        <v>HMOPMR</v>
      </c>
    </row>
    <row r="215" spans="1:5" x14ac:dyDescent="0.25">
      <c r="A215" s="56" t="s">
        <v>107</v>
      </c>
      <c r="B215" s="57" t="s">
        <v>72</v>
      </c>
      <c r="C215" s="58">
        <v>2211</v>
      </c>
      <c r="D215" s="58"/>
      <c r="E215" t="str">
        <f>VLOOKUP(B215,CAC!$A$2:$B$198,2,FALSE)</f>
        <v>HMFLEX</v>
      </c>
    </row>
    <row r="216" spans="1:5" x14ac:dyDescent="0.25">
      <c r="A216" s="56" t="s">
        <v>107</v>
      </c>
      <c r="B216" s="57" t="s">
        <v>73</v>
      </c>
      <c r="C216" s="58">
        <v>40084</v>
      </c>
      <c r="D216" s="58"/>
      <c r="E216" t="str">
        <f>VLOOKUP(B216,CAC!$A$2:$B$198,2,FALSE)</f>
        <v>HMOPERA</v>
      </c>
    </row>
    <row r="217" spans="1:5" x14ac:dyDescent="0.25">
      <c r="A217" s="56" t="s">
        <v>107</v>
      </c>
      <c r="B217" s="57" t="s">
        <v>74</v>
      </c>
      <c r="C217" s="58">
        <v>6219</v>
      </c>
      <c r="D217" s="58"/>
      <c r="E217" t="str">
        <f>VLOOKUP(B217,CAC!$A$2:$B$198,2,FALSE)</f>
        <v>PERMEDA</v>
      </c>
    </row>
    <row r="218" spans="1:5" x14ac:dyDescent="0.25">
      <c r="A218" s="56" t="s">
        <v>107</v>
      </c>
      <c r="B218" s="57" t="s">
        <v>75</v>
      </c>
      <c r="C218" s="58">
        <v>60479</v>
      </c>
      <c r="D218" s="58"/>
      <c r="E218" t="str">
        <f>VLOOKUP(B218,CAC!$A$2:$B$198,2,FALSE)</f>
        <v>HMOPERN</v>
      </c>
    </row>
    <row r="219" spans="1:5" x14ac:dyDescent="0.25">
      <c r="A219" s="56" t="s">
        <v>107</v>
      </c>
      <c r="B219" s="57" t="s">
        <v>76</v>
      </c>
      <c r="C219" s="58">
        <v>2264</v>
      </c>
      <c r="D219" s="58"/>
      <c r="E219" t="str">
        <f>VLOOKUP(B219,CAC!$A$2:$B$198,2,FALSE)</f>
        <v>PERMEDN</v>
      </c>
    </row>
    <row r="220" spans="1:5" x14ac:dyDescent="0.25">
      <c r="A220" s="56" t="s">
        <v>107</v>
      </c>
      <c r="B220" s="57" t="s">
        <v>77</v>
      </c>
      <c r="C220" s="58">
        <v>18299</v>
      </c>
      <c r="D220" s="58"/>
      <c r="E220" t="str">
        <f>VLOOKUP(B220,CAC!$A$2:$B$198,2,FALSE)</f>
        <v>HMOSG</v>
      </c>
    </row>
    <row r="221" spans="1:5" x14ac:dyDescent="0.25">
      <c r="A221" s="56" t="s">
        <v>107</v>
      </c>
      <c r="B221" s="57" t="s">
        <v>78</v>
      </c>
      <c r="C221" s="58">
        <v>337</v>
      </c>
      <c r="D221" s="58"/>
      <c r="E221" t="str">
        <f>VLOOKUP(B221,CAC!$A$2:$B$198,2,FALSE)</f>
        <v>HMOSG</v>
      </c>
    </row>
    <row r="222" spans="1:5" x14ac:dyDescent="0.25">
      <c r="A222" s="56" t="s">
        <v>107</v>
      </c>
      <c r="B222" s="57" t="s">
        <v>79</v>
      </c>
      <c r="C222" s="58">
        <v>53</v>
      </c>
      <c r="D222" s="58"/>
      <c r="E222" t="str">
        <f>VLOOKUP(B222,CAC!$A$2:$B$198,2,FALSE)</f>
        <v>HMOSG</v>
      </c>
    </row>
    <row r="223" spans="1:5" x14ac:dyDescent="0.25">
      <c r="A223" s="56" t="s">
        <v>107</v>
      </c>
      <c r="B223" s="57" t="s">
        <v>80</v>
      </c>
      <c r="C223" s="58">
        <v>10</v>
      </c>
      <c r="D223" s="58"/>
      <c r="E223" t="str">
        <f>VLOOKUP(B223,CAC!$A$2:$B$198,2,FALSE)</f>
        <v>HMOIFP</v>
      </c>
    </row>
    <row r="224" spans="1:5" x14ac:dyDescent="0.25">
      <c r="A224" s="56" t="s">
        <v>109</v>
      </c>
      <c r="B224" s="57" t="s">
        <v>108</v>
      </c>
      <c r="C224" s="58">
        <v>94</v>
      </c>
      <c r="D224" s="58"/>
      <c r="E224" t="str">
        <f>VLOOKUP(B224,CAC!$A$2:$B$198,2,FALSE)</f>
        <v>HMOLG</v>
      </c>
    </row>
    <row r="225" spans="1:5" x14ac:dyDescent="0.25">
      <c r="A225" s="56" t="s">
        <v>109</v>
      </c>
      <c r="B225" s="57" t="s">
        <v>52</v>
      </c>
      <c r="C225" s="58">
        <v>15412</v>
      </c>
      <c r="D225" s="58"/>
      <c r="E225" t="str">
        <f>VLOOKUP(B225,CAC!$A$2:$B$198,2,FALSE)</f>
        <v>HMOPMR</v>
      </c>
    </row>
    <row r="226" spans="1:5" x14ac:dyDescent="0.25">
      <c r="A226" s="56" t="s">
        <v>109</v>
      </c>
      <c r="B226" s="57" t="s">
        <v>53</v>
      </c>
      <c r="C226" s="58">
        <v>4014</v>
      </c>
      <c r="D226" s="58"/>
      <c r="E226" t="str">
        <f>VLOOKUP(B226,CAC!$A$2:$B$198,2,FALSE)</f>
        <v>HMOPMR</v>
      </c>
    </row>
    <row r="227" spans="1:5" x14ac:dyDescent="0.25">
      <c r="A227" s="56" t="s">
        <v>109</v>
      </c>
      <c r="B227" s="57" t="s">
        <v>54</v>
      </c>
      <c r="C227" s="58">
        <v>6590</v>
      </c>
      <c r="D227" s="58"/>
      <c r="E227" t="str">
        <f>VLOOKUP(B227,CAC!$A$2:$B$198,2,FALSE)</f>
        <v>HMOFEP</v>
      </c>
    </row>
    <row r="228" spans="1:5" x14ac:dyDescent="0.25">
      <c r="A228" s="56" t="s">
        <v>109</v>
      </c>
      <c r="B228" s="57" t="s">
        <v>55</v>
      </c>
      <c r="C228" s="58">
        <v>14881</v>
      </c>
      <c r="D228" s="58"/>
      <c r="E228" t="str">
        <f>VLOOKUP(B228,CAC!$A$2:$B$198,2,FALSE)</f>
        <v>HMOPMR</v>
      </c>
    </row>
    <row r="229" spans="1:5" x14ac:dyDescent="0.25">
      <c r="A229" s="56" t="s">
        <v>109</v>
      </c>
      <c r="B229" s="57" t="s">
        <v>56</v>
      </c>
      <c r="C229" s="58">
        <v>116</v>
      </c>
      <c r="D229" s="58"/>
      <c r="E229" t="str">
        <f>VLOOKUP(B229,CAC!$A$2:$B$198,2,FALSE)</f>
        <v>HMOPMR</v>
      </c>
    </row>
    <row r="230" spans="1:5" x14ac:dyDescent="0.25">
      <c r="A230" s="56" t="s">
        <v>109</v>
      </c>
      <c r="B230" s="57" t="s">
        <v>57</v>
      </c>
      <c r="C230" s="58">
        <v>6343</v>
      </c>
      <c r="D230" s="58"/>
      <c r="E230" t="str">
        <f>VLOOKUP(B230,CAC!$A$2:$B$198,2,FALSE)</f>
        <v>HMFLEX</v>
      </c>
    </row>
    <row r="231" spans="1:5" x14ac:dyDescent="0.25">
      <c r="A231" s="56" t="s">
        <v>109</v>
      </c>
      <c r="B231" s="57" t="s">
        <v>58</v>
      </c>
      <c r="C231" s="58">
        <v>413</v>
      </c>
      <c r="D231" s="58"/>
      <c r="E231" t="str">
        <f>VLOOKUP(B231,CAC!$A$2:$B$198,2,FALSE)</f>
        <v>HMFLEX</v>
      </c>
    </row>
    <row r="232" spans="1:5" x14ac:dyDescent="0.25">
      <c r="A232" s="56" t="s">
        <v>109</v>
      </c>
      <c r="B232" s="57" t="s">
        <v>59</v>
      </c>
      <c r="C232" s="58">
        <v>10</v>
      </c>
      <c r="D232" s="58"/>
      <c r="E232" t="str">
        <f>VLOOKUP(B232,CAC!$A$2:$B$198,2,FALSE)</f>
        <v>HMFLEX</v>
      </c>
    </row>
    <row r="233" spans="1:5" x14ac:dyDescent="0.25">
      <c r="A233" s="56" t="s">
        <v>109</v>
      </c>
      <c r="B233" s="57" t="s">
        <v>60</v>
      </c>
      <c r="C233" s="58">
        <v>11342</v>
      </c>
      <c r="D233" s="58"/>
      <c r="E233" t="str">
        <f>VLOOKUP(B233,CAC!$A$2:$B$198,2,FALSE)</f>
        <v>HMOLG</v>
      </c>
    </row>
    <row r="234" spans="1:5" x14ac:dyDescent="0.25">
      <c r="A234" s="56" t="s">
        <v>109</v>
      </c>
      <c r="B234" s="57" t="s">
        <v>61</v>
      </c>
      <c r="C234" s="58">
        <v>440</v>
      </c>
      <c r="D234" s="58"/>
      <c r="E234" t="str">
        <f>VLOOKUP(B234,CAC!$A$2:$B$198,2,FALSE)</f>
        <v>HMOLG</v>
      </c>
    </row>
    <row r="235" spans="1:5" x14ac:dyDescent="0.25">
      <c r="A235" s="56" t="s">
        <v>109</v>
      </c>
      <c r="B235" s="57" t="s">
        <v>62</v>
      </c>
      <c r="C235" s="58">
        <v>25583</v>
      </c>
      <c r="D235" s="58"/>
      <c r="E235" t="str">
        <f>VLOOKUP(B235,CAC!$A$2:$B$198,2,FALSE)</f>
        <v>HMOLG</v>
      </c>
    </row>
    <row r="236" spans="1:5" x14ac:dyDescent="0.25">
      <c r="A236" s="56" t="s">
        <v>109</v>
      </c>
      <c r="B236" s="57" t="s">
        <v>63</v>
      </c>
      <c r="C236" s="58">
        <v>260</v>
      </c>
      <c r="D236" s="58"/>
      <c r="E236" t="str">
        <f>VLOOKUP(B236,CAC!$A$2:$B$198,2,FALSE)</f>
        <v>HMOLG</v>
      </c>
    </row>
    <row r="237" spans="1:5" x14ac:dyDescent="0.25">
      <c r="A237" s="56" t="s">
        <v>109</v>
      </c>
      <c r="B237" s="57" t="s">
        <v>65</v>
      </c>
      <c r="C237" s="58">
        <v>221</v>
      </c>
      <c r="D237" s="58"/>
      <c r="E237" t="str">
        <f>VLOOKUP(B237,CAC!$A$2:$B$198,2,FALSE)</f>
        <v>HMFLEX</v>
      </c>
    </row>
    <row r="238" spans="1:5" x14ac:dyDescent="0.25">
      <c r="A238" s="56" t="s">
        <v>109</v>
      </c>
      <c r="B238" s="57" t="s">
        <v>66</v>
      </c>
      <c r="C238" s="58">
        <v>3770</v>
      </c>
      <c r="D238" s="58"/>
      <c r="E238" t="str">
        <f>VLOOKUP(B238,CAC!$A$2:$B$198,2,FALSE)</f>
        <v>HMOLG</v>
      </c>
    </row>
    <row r="239" spans="1:5" x14ac:dyDescent="0.25">
      <c r="A239" s="56" t="s">
        <v>109</v>
      </c>
      <c r="B239" s="57" t="s">
        <v>67</v>
      </c>
      <c r="C239" s="58">
        <v>127</v>
      </c>
      <c r="D239" s="58"/>
      <c r="E239" t="str">
        <f>VLOOKUP(B239,CAC!$A$2:$B$198,2,FALSE)</f>
        <v>HMOLG</v>
      </c>
    </row>
    <row r="240" spans="1:5" x14ac:dyDescent="0.25">
      <c r="A240" s="56" t="s">
        <v>109</v>
      </c>
      <c r="B240" s="57" t="s">
        <v>68</v>
      </c>
      <c r="C240" s="58">
        <v>283</v>
      </c>
      <c r="D240" s="58"/>
      <c r="E240" t="str">
        <f>VLOOKUP(B240,CAC!$A$2:$B$198,2,FALSE)</f>
        <v>HMOPMR</v>
      </c>
    </row>
    <row r="241" spans="1:5" x14ac:dyDescent="0.25">
      <c r="A241" s="56" t="s">
        <v>109</v>
      </c>
      <c r="B241" s="57" t="s">
        <v>69</v>
      </c>
      <c r="C241" s="58">
        <v>9792</v>
      </c>
      <c r="D241" s="58"/>
      <c r="E241" t="str">
        <f>VLOOKUP(B241,CAC!$A$2:$B$198,2,FALSE)</f>
        <v>HMOPMR</v>
      </c>
    </row>
    <row r="242" spans="1:5" x14ac:dyDescent="0.25">
      <c r="A242" s="56" t="s">
        <v>109</v>
      </c>
      <c r="B242" s="57" t="s">
        <v>70</v>
      </c>
      <c r="C242" s="58">
        <v>4085</v>
      </c>
      <c r="D242" s="58"/>
      <c r="E242" t="str">
        <f>VLOOKUP(B242,CAC!$A$2:$B$198,2,FALSE)</f>
        <v>HMOPMR</v>
      </c>
    </row>
    <row r="243" spans="1:5" x14ac:dyDescent="0.25">
      <c r="A243" s="56" t="s">
        <v>109</v>
      </c>
      <c r="B243" s="57" t="s">
        <v>71</v>
      </c>
      <c r="C243" s="58">
        <v>6361</v>
      </c>
      <c r="D243" s="58"/>
      <c r="E243" t="str">
        <f>VLOOKUP(B243,CAC!$A$2:$B$198,2,FALSE)</f>
        <v>HMOPMR</v>
      </c>
    </row>
    <row r="244" spans="1:5" x14ac:dyDescent="0.25">
      <c r="A244" s="56" t="s">
        <v>109</v>
      </c>
      <c r="B244" s="57" t="s">
        <v>72</v>
      </c>
      <c r="C244" s="58">
        <v>2212</v>
      </c>
      <c r="D244" s="58"/>
      <c r="E244" t="str">
        <f>VLOOKUP(B244,CAC!$A$2:$B$198,2,FALSE)</f>
        <v>HMFLEX</v>
      </c>
    </row>
    <row r="245" spans="1:5" x14ac:dyDescent="0.25">
      <c r="A245" s="56" t="s">
        <v>109</v>
      </c>
      <c r="B245" s="57" t="s">
        <v>73</v>
      </c>
      <c r="C245" s="58">
        <v>40060</v>
      </c>
      <c r="D245" s="58"/>
      <c r="E245" t="str">
        <f>VLOOKUP(B245,CAC!$A$2:$B$198,2,FALSE)</f>
        <v>HMOPERA</v>
      </c>
    </row>
    <row r="246" spans="1:5" x14ac:dyDescent="0.25">
      <c r="A246" s="56" t="s">
        <v>109</v>
      </c>
      <c r="B246" s="57" t="s">
        <v>74</v>
      </c>
      <c r="C246" s="58">
        <v>6223</v>
      </c>
      <c r="D246" s="58"/>
      <c r="E246" t="str">
        <f>VLOOKUP(B246,CAC!$A$2:$B$198,2,FALSE)</f>
        <v>PERMEDA</v>
      </c>
    </row>
    <row r="247" spans="1:5" x14ac:dyDescent="0.25">
      <c r="A247" s="56" t="s">
        <v>109</v>
      </c>
      <c r="B247" s="57" t="s">
        <v>75</v>
      </c>
      <c r="C247" s="58">
        <v>60319</v>
      </c>
      <c r="D247" s="58"/>
      <c r="E247" t="str">
        <f>VLOOKUP(B247,CAC!$A$2:$B$198,2,FALSE)</f>
        <v>HMOPERN</v>
      </c>
    </row>
    <row r="248" spans="1:5" x14ac:dyDescent="0.25">
      <c r="A248" s="56" t="s">
        <v>109</v>
      </c>
      <c r="B248" s="57" t="s">
        <v>76</v>
      </c>
      <c r="C248" s="58">
        <v>2291</v>
      </c>
      <c r="D248" s="58"/>
      <c r="E248" t="str">
        <f>VLOOKUP(B248,CAC!$A$2:$B$198,2,FALSE)</f>
        <v>PERMEDN</v>
      </c>
    </row>
    <row r="249" spans="1:5" x14ac:dyDescent="0.25">
      <c r="A249" s="56" t="s">
        <v>109</v>
      </c>
      <c r="B249" s="57" t="s">
        <v>77</v>
      </c>
      <c r="C249" s="58">
        <v>18396</v>
      </c>
      <c r="D249" s="58"/>
      <c r="E249" t="str">
        <f>VLOOKUP(B249,CAC!$A$2:$B$198,2,FALSE)</f>
        <v>HMOSG</v>
      </c>
    </row>
    <row r="250" spans="1:5" x14ac:dyDescent="0.25">
      <c r="A250" s="56" t="s">
        <v>109</v>
      </c>
      <c r="B250" s="57" t="s">
        <v>78</v>
      </c>
      <c r="C250" s="58">
        <v>344</v>
      </c>
      <c r="D250" s="58"/>
      <c r="E250" t="str">
        <f>VLOOKUP(B250,CAC!$A$2:$B$198,2,FALSE)</f>
        <v>HMOSG</v>
      </c>
    </row>
    <row r="251" spans="1:5" x14ac:dyDescent="0.25">
      <c r="A251" s="56" t="s">
        <v>109</v>
      </c>
      <c r="B251" s="57" t="s">
        <v>79</v>
      </c>
      <c r="C251" s="58">
        <v>59</v>
      </c>
      <c r="D251" s="58"/>
      <c r="E251" t="str">
        <f>VLOOKUP(B251,CAC!$A$2:$B$198,2,FALSE)</f>
        <v>HMOSG</v>
      </c>
    </row>
    <row r="252" spans="1:5" x14ac:dyDescent="0.25">
      <c r="A252" s="56" t="s">
        <v>109</v>
      </c>
      <c r="B252" s="57" t="s">
        <v>80</v>
      </c>
      <c r="C252" s="58">
        <v>10</v>
      </c>
      <c r="D252" s="58"/>
      <c r="E252" t="str">
        <f>VLOOKUP(B252,CAC!$A$2:$B$198,2,FALSE)</f>
        <v>HMOIFP</v>
      </c>
    </row>
    <row r="253" spans="1:5" x14ac:dyDescent="0.25">
      <c r="A253" s="56" t="s">
        <v>110</v>
      </c>
      <c r="B253" s="57" t="s">
        <v>52</v>
      </c>
      <c r="C253" s="58">
        <v>15322</v>
      </c>
      <c r="D253" s="58"/>
      <c r="E253" t="str">
        <f>VLOOKUP(B253,CAC!$A$2:$B$198,2,FALSE)</f>
        <v>HMOPMR</v>
      </c>
    </row>
    <row r="254" spans="1:5" x14ac:dyDescent="0.25">
      <c r="A254" s="56" t="s">
        <v>110</v>
      </c>
      <c r="B254" s="57" t="s">
        <v>53</v>
      </c>
      <c r="C254" s="58">
        <v>3937</v>
      </c>
      <c r="D254" s="58"/>
      <c r="E254" t="str">
        <f>VLOOKUP(B254,CAC!$A$2:$B$198,2,FALSE)</f>
        <v>HMOPMR</v>
      </c>
    </row>
    <row r="255" spans="1:5" x14ac:dyDescent="0.25">
      <c r="A255" s="56" t="s">
        <v>110</v>
      </c>
      <c r="B255" s="57" t="s">
        <v>54</v>
      </c>
      <c r="C255" s="58">
        <v>6499</v>
      </c>
      <c r="D255" s="58"/>
      <c r="E255" t="str">
        <f>VLOOKUP(B255,CAC!$A$2:$B$198,2,FALSE)</f>
        <v>HMOFEP</v>
      </c>
    </row>
    <row r="256" spans="1:5" x14ac:dyDescent="0.25">
      <c r="A256" s="56" t="s">
        <v>110</v>
      </c>
      <c r="B256" s="57" t="s">
        <v>55</v>
      </c>
      <c r="C256" s="58">
        <v>14923</v>
      </c>
      <c r="D256" s="58"/>
      <c r="E256" t="str">
        <f>VLOOKUP(B256,CAC!$A$2:$B$198,2,FALSE)</f>
        <v>HMOPMR</v>
      </c>
    </row>
    <row r="257" spans="1:5" x14ac:dyDescent="0.25">
      <c r="A257" s="56" t="s">
        <v>110</v>
      </c>
      <c r="B257" s="57" t="s">
        <v>56</v>
      </c>
      <c r="C257" s="58">
        <v>116</v>
      </c>
      <c r="D257" s="58"/>
      <c r="E257" t="str">
        <f>VLOOKUP(B257,CAC!$A$2:$B$198,2,FALSE)</f>
        <v>HMOPMR</v>
      </c>
    </row>
    <row r="258" spans="1:5" x14ac:dyDescent="0.25">
      <c r="A258" s="56" t="s">
        <v>110</v>
      </c>
      <c r="B258" s="57" t="s">
        <v>57</v>
      </c>
      <c r="C258" s="58">
        <v>6256</v>
      </c>
      <c r="D258" s="58"/>
      <c r="E258" t="str">
        <f>VLOOKUP(B258,CAC!$A$2:$B$198,2,FALSE)</f>
        <v>HMFLEX</v>
      </c>
    </row>
    <row r="259" spans="1:5" x14ac:dyDescent="0.25">
      <c r="A259" s="56" t="s">
        <v>110</v>
      </c>
      <c r="B259" s="57" t="s">
        <v>58</v>
      </c>
      <c r="C259" s="58">
        <v>422</v>
      </c>
      <c r="D259" s="58"/>
      <c r="E259" t="str">
        <f>VLOOKUP(B259,CAC!$A$2:$B$198,2,FALSE)</f>
        <v>HMFLEX</v>
      </c>
    </row>
    <row r="260" spans="1:5" x14ac:dyDescent="0.25">
      <c r="A260" s="56" t="s">
        <v>110</v>
      </c>
      <c r="B260" s="57" t="s">
        <v>59</v>
      </c>
      <c r="C260" s="58">
        <v>10</v>
      </c>
      <c r="D260" s="58"/>
      <c r="E260" t="str">
        <f>VLOOKUP(B260,CAC!$A$2:$B$198,2,FALSE)</f>
        <v>HMFLEX</v>
      </c>
    </row>
    <row r="261" spans="1:5" x14ac:dyDescent="0.25">
      <c r="A261" s="56" t="s">
        <v>110</v>
      </c>
      <c r="B261" s="57" t="s">
        <v>60</v>
      </c>
      <c r="C261" s="58">
        <v>11254</v>
      </c>
      <c r="D261" s="58"/>
      <c r="E261" t="str">
        <f>VLOOKUP(B261,CAC!$A$2:$B$198,2,FALSE)</f>
        <v>HMOLG</v>
      </c>
    </row>
    <row r="262" spans="1:5" x14ac:dyDescent="0.25">
      <c r="A262" s="56" t="s">
        <v>110</v>
      </c>
      <c r="B262" s="57" t="s">
        <v>61</v>
      </c>
      <c r="C262" s="58">
        <v>440</v>
      </c>
      <c r="D262" s="58"/>
      <c r="E262" t="str">
        <f>VLOOKUP(B262,CAC!$A$2:$B$198,2,FALSE)</f>
        <v>HMOLG</v>
      </c>
    </row>
    <row r="263" spans="1:5" x14ac:dyDescent="0.25">
      <c r="A263" s="56" t="s">
        <v>110</v>
      </c>
      <c r="B263" s="57" t="s">
        <v>62</v>
      </c>
      <c r="C263" s="58">
        <v>25809</v>
      </c>
      <c r="D263" s="58"/>
      <c r="E263" t="str">
        <f>VLOOKUP(B263,CAC!$A$2:$B$198,2,FALSE)</f>
        <v>HMOLG</v>
      </c>
    </row>
    <row r="264" spans="1:5" x14ac:dyDescent="0.25">
      <c r="A264" s="56" t="s">
        <v>110</v>
      </c>
      <c r="B264" s="57" t="s">
        <v>63</v>
      </c>
      <c r="C264" s="58">
        <v>257</v>
      </c>
      <c r="D264" s="58"/>
      <c r="E264" t="str">
        <f>VLOOKUP(B264,CAC!$A$2:$B$198,2,FALSE)</f>
        <v>HMOLG</v>
      </c>
    </row>
    <row r="265" spans="1:5" x14ac:dyDescent="0.25">
      <c r="A265" s="56" t="s">
        <v>110</v>
      </c>
      <c r="B265" s="57" t="s">
        <v>65</v>
      </c>
      <c r="C265" s="58">
        <v>221</v>
      </c>
      <c r="D265" s="58"/>
      <c r="E265" t="str">
        <f>VLOOKUP(B265,CAC!$A$2:$B$198,2,FALSE)</f>
        <v>HMFLEX</v>
      </c>
    </row>
    <row r="266" spans="1:5" x14ac:dyDescent="0.25">
      <c r="A266" s="56" t="s">
        <v>110</v>
      </c>
      <c r="B266" s="57" t="s">
        <v>66</v>
      </c>
      <c r="C266" s="58">
        <v>3757</v>
      </c>
      <c r="D266" s="58"/>
      <c r="E266" t="str">
        <f>VLOOKUP(B266,CAC!$A$2:$B$198,2,FALSE)</f>
        <v>HMOLG</v>
      </c>
    </row>
    <row r="267" spans="1:5" x14ac:dyDescent="0.25">
      <c r="A267" s="56" t="s">
        <v>110</v>
      </c>
      <c r="B267" s="57" t="s">
        <v>67</v>
      </c>
      <c r="C267" s="58">
        <v>129</v>
      </c>
      <c r="D267" s="58"/>
      <c r="E267" t="str">
        <f>VLOOKUP(B267,CAC!$A$2:$B$198,2,FALSE)</f>
        <v>HMOLG</v>
      </c>
    </row>
    <row r="268" spans="1:5" x14ac:dyDescent="0.25">
      <c r="A268" s="56" t="s">
        <v>110</v>
      </c>
      <c r="B268" s="57" t="s">
        <v>68</v>
      </c>
      <c r="C268" s="58">
        <v>285</v>
      </c>
      <c r="D268" s="58"/>
      <c r="E268" t="str">
        <f>VLOOKUP(B268,CAC!$A$2:$B$198,2,FALSE)</f>
        <v>HMOPMR</v>
      </c>
    </row>
    <row r="269" spans="1:5" x14ac:dyDescent="0.25">
      <c r="A269" s="56" t="s">
        <v>110</v>
      </c>
      <c r="B269" s="57" t="s">
        <v>69</v>
      </c>
      <c r="C269" s="58">
        <v>9903</v>
      </c>
      <c r="D269" s="58"/>
      <c r="E269" t="str">
        <f>VLOOKUP(B269,CAC!$A$2:$B$198,2,FALSE)</f>
        <v>HMOPMR</v>
      </c>
    </row>
    <row r="270" spans="1:5" x14ac:dyDescent="0.25">
      <c r="A270" s="56" t="s">
        <v>110</v>
      </c>
      <c r="B270" s="57" t="s">
        <v>70</v>
      </c>
      <c r="C270" s="58">
        <v>4058</v>
      </c>
      <c r="D270" s="58"/>
      <c r="E270" t="str">
        <f>VLOOKUP(B270,CAC!$A$2:$B$198,2,FALSE)</f>
        <v>HMOPMR</v>
      </c>
    </row>
    <row r="271" spans="1:5" x14ac:dyDescent="0.25">
      <c r="A271" s="56" t="s">
        <v>110</v>
      </c>
      <c r="B271" s="57" t="s">
        <v>71</v>
      </c>
      <c r="C271" s="58">
        <v>6435</v>
      </c>
      <c r="D271" s="58"/>
      <c r="E271" t="str">
        <f>VLOOKUP(B271,CAC!$A$2:$B$198,2,FALSE)</f>
        <v>HMOPMR</v>
      </c>
    </row>
    <row r="272" spans="1:5" x14ac:dyDescent="0.25">
      <c r="A272" s="56" t="s">
        <v>110</v>
      </c>
      <c r="B272" s="57" t="s">
        <v>72</v>
      </c>
      <c r="C272" s="58">
        <v>2204</v>
      </c>
      <c r="D272" s="58"/>
      <c r="E272" t="str">
        <f>VLOOKUP(B272,CAC!$A$2:$B$198,2,FALSE)</f>
        <v>HMFLEX</v>
      </c>
    </row>
    <row r="273" spans="1:5" x14ac:dyDescent="0.25">
      <c r="A273" s="56" t="s">
        <v>110</v>
      </c>
      <c r="B273" s="57" t="s">
        <v>73</v>
      </c>
      <c r="C273" s="58">
        <v>39889</v>
      </c>
      <c r="D273" s="58"/>
      <c r="E273" t="str">
        <f>VLOOKUP(B273,CAC!$A$2:$B$198,2,FALSE)</f>
        <v>HMOPERA</v>
      </c>
    </row>
    <row r="274" spans="1:5" x14ac:dyDescent="0.25">
      <c r="A274" s="56" t="s">
        <v>110</v>
      </c>
      <c r="B274" s="57" t="s">
        <v>74</v>
      </c>
      <c r="C274" s="58">
        <v>6226</v>
      </c>
      <c r="D274" s="58"/>
      <c r="E274" t="str">
        <f>VLOOKUP(B274,CAC!$A$2:$B$198,2,FALSE)</f>
        <v>PERMEDA</v>
      </c>
    </row>
    <row r="275" spans="1:5" x14ac:dyDescent="0.25">
      <c r="A275" s="56" t="s">
        <v>110</v>
      </c>
      <c r="B275" s="57" t="s">
        <v>75</v>
      </c>
      <c r="C275" s="58">
        <v>60200</v>
      </c>
      <c r="D275" s="58"/>
      <c r="E275" t="str">
        <f>VLOOKUP(B275,CAC!$A$2:$B$198,2,FALSE)</f>
        <v>HMOPERN</v>
      </c>
    </row>
    <row r="276" spans="1:5" x14ac:dyDescent="0.25">
      <c r="A276" s="56" t="s">
        <v>110</v>
      </c>
      <c r="B276" s="57" t="s">
        <v>76</v>
      </c>
      <c r="C276" s="58">
        <v>2314</v>
      </c>
      <c r="D276" s="58"/>
      <c r="E276" t="str">
        <f>VLOOKUP(B276,CAC!$A$2:$B$198,2,FALSE)</f>
        <v>PERMEDN</v>
      </c>
    </row>
    <row r="277" spans="1:5" x14ac:dyDescent="0.25">
      <c r="A277" s="56" t="s">
        <v>110</v>
      </c>
      <c r="B277" s="57" t="s">
        <v>77</v>
      </c>
      <c r="C277" s="58">
        <v>18662</v>
      </c>
      <c r="D277" s="58"/>
      <c r="E277" t="str">
        <f>VLOOKUP(B277,CAC!$A$2:$B$198,2,FALSE)</f>
        <v>HMOSG</v>
      </c>
    </row>
    <row r="278" spans="1:5" x14ac:dyDescent="0.25">
      <c r="A278" s="56" t="s">
        <v>110</v>
      </c>
      <c r="B278" s="57" t="s">
        <v>78</v>
      </c>
      <c r="C278" s="58">
        <v>347</v>
      </c>
      <c r="D278" s="58"/>
      <c r="E278" t="str">
        <f>VLOOKUP(B278,CAC!$A$2:$B$198,2,FALSE)</f>
        <v>HMOSG</v>
      </c>
    </row>
    <row r="279" spans="1:5" x14ac:dyDescent="0.25">
      <c r="A279" s="56" t="s">
        <v>110</v>
      </c>
      <c r="B279" s="57" t="s">
        <v>79</v>
      </c>
      <c r="C279" s="58">
        <v>54</v>
      </c>
      <c r="D279" s="58"/>
      <c r="E279" t="str">
        <f>VLOOKUP(B279,CAC!$A$2:$B$198,2,FALSE)</f>
        <v>HMOSG</v>
      </c>
    </row>
    <row r="280" spans="1:5" x14ac:dyDescent="0.25">
      <c r="A280" s="56" t="s">
        <v>110</v>
      </c>
      <c r="B280" s="57" t="s">
        <v>80</v>
      </c>
      <c r="C280" s="58">
        <v>10</v>
      </c>
      <c r="D280" s="58"/>
      <c r="E280" t="str">
        <f>VLOOKUP(B280,CAC!$A$2:$B$198,2,FALSE)</f>
        <v>HMOIFP</v>
      </c>
    </row>
    <row r="281" spans="1:5" x14ac:dyDescent="0.25">
      <c r="A281" s="56" t="s">
        <v>111</v>
      </c>
      <c r="B281" s="57" t="s">
        <v>52</v>
      </c>
      <c r="C281" s="58">
        <v>15300</v>
      </c>
      <c r="D281" s="58"/>
      <c r="E281" t="str">
        <f>VLOOKUP(B281,CAC!$A$2:$B$198,2,FALSE)</f>
        <v>HMOPMR</v>
      </c>
    </row>
    <row r="282" spans="1:5" x14ac:dyDescent="0.25">
      <c r="A282" s="56" t="s">
        <v>111</v>
      </c>
      <c r="B282" s="57" t="s">
        <v>53</v>
      </c>
      <c r="C282" s="58">
        <v>3927</v>
      </c>
      <c r="D282" s="58"/>
      <c r="E282" t="str">
        <f>VLOOKUP(B282,CAC!$A$2:$B$198,2,FALSE)</f>
        <v>HMOPMR</v>
      </c>
    </row>
    <row r="283" spans="1:5" x14ac:dyDescent="0.25">
      <c r="A283" s="56" t="s">
        <v>111</v>
      </c>
      <c r="B283" s="57" t="s">
        <v>54</v>
      </c>
      <c r="C283" s="58">
        <v>6647</v>
      </c>
      <c r="D283" s="58"/>
      <c r="E283" t="str">
        <f>VLOOKUP(B283,CAC!$A$2:$B$198,2,FALSE)</f>
        <v>HMOFEP</v>
      </c>
    </row>
    <row r="284" spans="1:5" x14ac:dyDescent="0.25">
      <c r="A284" s="56" t="s">
        <v>111</v>
      </c>
      <c r="B284" s="57" t="s">
        <v>55</v>
      </c>
      <c r="C284" s="58">
        <v>19123</v>
      </c>
      <c r="D284" s="58"/>
      <c r="E284" t="str">
        <f>VLOOKUP(B284,CAC!$A$2:$B$198,2,FALSE)</f>
        <v>HMOPMR</v>
      </c>
    </row>
    <row r="285" spans="1:5" x14ac:dyDescent="0.25">
      <c r="A285" s="56" t="s">
        <v>111</v>
      </c>
      <c r="B285" s="57" t="s">
        <v>56</v>
      </c>
      <c r="C285" s="58">
        <v>117</v>
      </c>
      <c r="D285" s="58"/>
      <c r="E285" t="str">
        <f>VLOOKUP(B285,CAC!$A$2:$B$198,2,FALSE)</f>
        <v>HMOPMR</v>
      </c>
    </row>
    <row r="286" spans="1:5" x14ac:dyDescent="0.25">
      <c r="A286" s="56" t="s">
        <v>111</v>
      </c>
      <c r="B286" s="57" t="s">
        <v>57</v>
      </c>
      <c r="C286" s="58">
        <v>805</v>
      </c>
      <c r="D286" s="58"/>
      <c r="E286" t="str">
        <f>VLOOKUP(B286,CAC!$A$2:$B$198,2,FALSE)</f>
        <v>HMFLEX</v>
      </c>
    </row>
    <row r="287" spans="1:5" x14ac:dyDescent="0.25">
      <c r="A287" s="56" t="s">
        <v>111</v>
      </c>
      <c r="B287" s="57" t="s">
        <v>58</v>
      </c>
      <c r="C287" s="58">
        <v>418</v>
      </c>
      <c r="D287" s="58"/>
      <c r="E287" t="str">
        <f>VLOOKUP(B287,CAC!$A$2:$B$198,2,FALSE)</f>
        <v>HMFLEX</v>
      </c>
    </row>
    <row r="288" spans="1:5" x14ac:dyDescent="0.25">
      <c r="A288" s="56" t="s">
        <v>111</v>
      </c>
      <c r="B288" s="57" t="s">
        <v>59</v>
      </c>
      <c r="C288" s="58">
        <v>10</v>
      </c>
      <c r="D288" s="58"/>
      <c r="E288" t="str">
        <f>VLOOKUP(B288,CAC!$A$2:$B$198,2,FALSE)</f>
        <v>HMFLEX</v>
      </c>
    </row>
    <row r="289" spans="1:5" x14ac:dyDescent="0.25">
      <c r="A289" s="56" t="s">
        <v>111</v>
      </c>
      <c r="B289" s="57" t="s">
        <v>60</v>
      </c>
      <c r="C289" s="58">
        <v>11916</v>
      </c>
      <c r="D289" s="58"/>
      <c r="E289" t="str">
        <f>VLOOKUP(B289,CAC!$A$2:$B$198,2,FALSE)</f>
        <v>HMOLG</v>
      </c>
    </row>
    <row r="290" spans="1:5" x14ac:dyDescent="0.25">
      <c r="A290" s="56" t="s">
        <v>111</v>
      </c>
      <c r="B290" s="57" t="s">
        <v>61</v>
      </c>
      <c r="C290" s="58">
        <v>459</v>
      </c>
      <c r="D290" s="58"/>
      <c r="E290" t="str">
        <f>VLOOKUP(B290,CAC!$A$2:$B$198,2,FALSE)</f>
        <v>HMOLG</v>
      </c>
    </row>
    <row r="291" spans="1:5" x14ac:dyDescent="0.25">
      <c r="A291" s="56" t="s">
        <v>111</v>
      </c>
      <c r="B291" s="57" t="s">
        <v>62</v>
      </c>
      <c r="C291" s="58">
        <v>26048</v>
      </c>
      <c r="D291" s="58"/>
      <c r="E291" t="str">
        <f>VLOOKUP(B291,CAC!$A$2:$B$198,2,FALSE)</f>
        <v>HMOLG</v>
      </c>
    </row>
    <row r="292" spans="1:5" x14ac:dyDescent="0.25">
      <c r="A292" s="56" t="s">
        <v>111</v>
      </c>
      <c r="B292" s="57" t="s">
        <v>63</v>
      </c>
      <c r="C292" s="58">
        <v>235</v>
      </c>
      <c r="D292" s="58"/>
      <c r="E292" t="str">
        <f>VLOOKUP(B292,CAC!$A$2:$B$198,2,FALSE)</f>
        <v>HMOLG</v>
      </c>
    </row>
    <row r="293" spans="1:5" x14ac:dyDescent="0.25">
      <c r="A293" s="56" t="s">
        <v>111</v>
      </c>
      <c r="B293" s="57" t="s">
        <v>65</v>
      </c>
      <c r="C293" s="58">
        <v>217</v>
      </c>
      <c r="D293" s="58"/>
      <c r="E293" t="str">
        <f>VLOOKUP(B293,CAC!$A$2:$B$198,2,FALSE)</f>
        <v>HMFLEX</v>
      </c>
    </row>
    <row r="294" spans="1:5" x14ac:dyDescent="0.25">
      <c r="A294" s="56" t="s">
        <v>111</v>
      </c>
      <c r="B294" s="57" t="s">
        <v>66</v>
      </c>
      <c r="C294" s="58">
        <v>3645</v>
      </c>
      <c r="D294" s="58"/>
      <c r="E294" t="str">
        <f>VLOOKUP(B294,CAC!$A$2:$B$198,2,FALSE)</f>
        <v>HMOLG</v>
      </c>
    </row>
    <row r="295" spans="1:5" x14ac:dyDescent="0.25">
      <c r="A295" s="56" t="s">
        <v>111</v>
      </c>
      <c r="B295" s="57" t="s">
        <v>67</v>
      </c>
      <c r="C295" s="58">
        <v>124</v>
      </c>
      <c r="D295" s="58"/>
      <c r="E295" t="str">
        <f>VLOOKUP(B295,CAC!$A$2:$B$198,2,FALSE)</f>
        <v>HMOLG</v>
      </c>
    </row>
    <row r="296" spans="1:5" x14ac:dyDescent="0.25">
      <c r="A296" s="56" t="s">
        <v>111</v>
      </c>
      <c r="B296" s="57" t="s">
        <v>68</v>
      </c>
      <c r="C296" s="58">
        <v>283</v>
      </c>
      <c r="D296" s="58"/>
      <c r="E296" t="str">
        <f>VLOOKUP(B296,CAC!$A$2:$B$198,2,FALSE)</f>
        <v>HMOPMR</v>
      </c>
    </row>
    <row r="297" spans="1:5" x14ac:dyDescent="0.25">
      <c r="A297" s="56" t="s">
        <v>111</v>
      </c>
      <c r="B297" s="57" t="s">
        <v>69</v>
      </c>
      <c r="C297" s="58">
        <v>9910</v>
      </c>
      <c r="D297" s="58"/>
      <c r="E297" t="str">
        <f>VLOOKUP(B297,CAC!$A$2:$B$198,2,FALSE)</f>
        <v>HMOPMR</v>
      </c>
    </row>
    <row r="298" spans="1:5" x14ac:dyDescent="0.25">
      <c r="A298" s="56" t="s">
        <v>111</v>
      </c>
      <c r="B298" s="57" t="s">
        <v>70</v>
      </c>
      <c r="C298" s="58">
        <v>4052</v>
      </c>
      <c r="D298" s="58"/>
      <c r="E298" t="str">
        <f>VLOOKUP(B298,CAC!$A$2:$B$198,2,FALSE)</f>
        <v>HMOPMR</v>
      </c>
    </row>
    <row r="299" spans="1:5" x14ac:dyDescent="0.25">
      <c r="A299" s="56" t="s">
        <v>111</v>
      </c>
      <c r="B299" s="57" t="s">
        <v>71</v>
      </c>
      <c r="C299" s="58">
        <v>6543</v>
      </c>
      <c r="D299" s="58"/>
      <c r="E299" t="str">
        <f>VLOOKUP(B299,CAC!$A$2:$B$198,2,FALSE)</f>
        <v>HMOPMR</v>
      </c>
    </row>
    <row r="300" spans="1:5" x14ac:dyDescent="0.25">
      <c r="A300" s="56" t="s">
        <v>111</v>
      </c>
      <c r="B300" s="57" t="s">
        <v>72</v>
      </c>
      <c r="C300" s="58">
        <v>2154</v>
      </c>
      <c r="D300" s="58"/>
      <c r="E300" t="str">
        <f>VLOOKUP(B300,CAC!$A$2:$B$198,2,FALSE)</f>
        <v>HMFLEX</v>
      </c>
    </row>
    <row r="301" spans="1:5" x14ac:dyDescent="0.25">
      <c r="A301" s="56" t="s">
        <v>111</v>
      </c>
      <c r="B301" s="57" t="s">
        <v>112</v>
      </c>
      <c r="C301" s="58">
        <v>1</v>
      </c>
      <c r="D301" s="58"/>
      <c r="E301" t="e">
        <f>VLOOKUP(B301,CAC!$A$2:$B$198,2,FALSE)</f>
        <v>#N/A</v>
      </c>
    </row>
    <row r="302" spans="1:5" x14ac:dyDescent="0.25">
      <c r="A302" s="56" t="s">
        <v>111</v>
      </c>
      <c r="B302" s="57" t="s">
        <v>113</v>
      </c>
      <c r="C302" s="58">
        <v>1</v>
      </c>
      <c r="D302" s="58"/>
      <c r="E302" t="str">
        <f>VLOOKUP(B302,CAC!$A$2:$B$198,2,FALSE)</f>
        <v>PPOLG</v>
      </c>
    </row>
    <row r="303" spans="1:5" x14ac:dyDescent="0.25">
      <c r="A303" s="56" t="s">
        <v>111</v>
      </c>
      <c r="B303" s="57" t="s">
        <v>73</v>
      </c>
      <c r="C303" s="58">
        <v>39862</v>
      </c>
      <c r="D303" s="58"/>
      <c r="E303" t="str">
        <f>VLOOKUP(B303,CAC!$A$2:$B$198,2,FALSE)</f>
        <v>HMOPERA</v>
      </c>
    </row>
    <row r="304" spans="1:5" x14ac:dyDescent="0.25">
      <c r="A304" s="56" t="s">
        <v>111</v>
      </c>
      <c r="B304" s="57" t="s">
        <v>74</v>
      </c>
      <c r="C304" s="58">
        <v>6298</v>
      </c>
      <c r="D304" s="58"/>
      <c r="E304" t="str">
        <f>VLOOKUP(B304,CAC!$A$2:$B$198,2,FALSE)</f>
        <v>PERMEDA</v>
      </c>
    </row>
    <row r="305" spans="1:5" x14ac:dyDescent="0.25">
      <c r="A305" s="56" t="s">
        <v>111</v>
      </c>
      <c r="B305" s="57" t="s">
        <v>75</v>
      </c>
      <c r="C305" s="58">
        <v>59939</v>
      </c>
      <c r="D305" s="58"/>
      <c r="E305" t="str">
        <f>VLOOKUP(B305,CAC!$A$2:$B$198,2,FALSE)</f>
        <v>HMOPERN</v>
      </c>
    </row>
    <row r="306" spans="1:5" x14ac:dyDescent="0.25">
      <c r="A306" s="56" t="s">
        <v>111</v>
      </c>
      <c r="B306" s="57" t="s">
        <v>76</v>
      </c>
      <c r="C306" s="58">
        <v>2327</v>
      </c>
      <c r="D306" s="58"/>
      <c r="E306" t="str">
        <f>VLOOKUP(B306,CAC!$A$2:$B$198,2,FALSE)</f>
        <v>PERMEDN</v>
      </c>
    </row>
    <row r="307" spans="1:5" x14ac:dyDescent="0.25">
      <c r="A307" s="56" t="s">
        <v>111</v>
      </c>
      <c r="B307" s="57" t="s">
        <v>77</v>
      </c>
      <c r="C307" s="58">
        <v>19292</v>
      </c>
      <c r="D307" s="58"/>
      <c r="E307" t="str">
        <f>VLOOKUP(B307,CAC!$A$2:$B$198,2,FALSE)</f>
        <v>HMOSG</v>
      </c>
    </row>
    <row r="308" spans="1:5" x14ac:dyDescent="0.25">
      <c r="A308" s="56" t="s">
        <v>111</v>
      </c>
      <c r="B308" s="57" t="s">
        <v>78</v>
      </c>
      <c r="C308" s="58">
        <v>357</v>
      </c>
      <c r="D308" s="58"/>
      <c r="E308" t="str">
        <f>VLOOKUP(B308,CAC!$A$2:$B$198,2,FALSE)</f>
        <v>HMOSG</v>
      </c>
    </row>
    <row r="309" spans="1:5" x14ac:dyDescent="0.25">
      <c r="A309" s="56" t="s">
        <v>111</v>
      </c>
      <c r="B309" s="57" t="s">
        <v>79</v>
      </c>
      <c r="C309" s="58">
        <v>58</v>
      </c>
      <c r="D309" s="58"/>
      <c r="E309" t="str">
        <f>VLOOKUP(B309,CAC!$A$2:$B$198,2,FALSE)</f>
        <v>HMOSG</v>
      </c>
    </row>
    <row r="310" spans="1:5" x14ac:dyDescent="0.25">
      <c r="A310" s="56" t="s">
        <v>111</v>
      </c>
      <c r="B310" s="57" t="s">
        <v>80</v>
      </c>
      <c r="C310" s="58">
        <v>9</v>
      </c>
      <c r="D310" s="58"/>
      <c r="E310" t="str">
        <f>VLOOKUP(B310,CAC!$A$2:$B$198,2,FALSE)</f>
        <v>HMOIFP</v>
      </c>
    </row>
    <row r="311" spans="1:5" x14ac:dyDescent="0.25">
      <c r="A311" s="56" t="s">
        <v>114</v>
      </c>
      <c r="B311" s="57" t="s">
        <v>52</v>
      </c>
      <c r="C311" s="58">
        <v>15273</v>
      </c>
      <c r="D311" s="58"/>
      <c r="E311" t="str">
        <f>VLOOKUP(B311,CAC!$A$2:$B$198,2,FALSE)</f>
        <v>HMOPMR</v>
      </c>
    </row>
    <row r="312" spans="1:5" x14ac:dyDescent="0.25">
      <c r="A312" s="56" t="s">
        <v>114</v>
      </c>
      <c r="B312" s="57" t="s">
        <v>53</v>
      </c>
      <c r="C312" s="58">
        <v>3909</v>
      </c>
      <c r="D312" s="58"/>
      <c r="E312" t="str">
        <f>VLOOKUP(B312,CAC!$A$2:$B$198,2,FALSE)</f>
        <v>HMOPMR</v>
      </c>
    </row>
    <row r="313" spans="1:5" x14ac:dyDescent="0.25">
      <c r="A313" s="56" t="s">
        <v>114</v>
      </c>
      <c r="B313" s="57" t="s">
        <v>54</v>
      </c>
      <c r="C313" s="58">
        <v>6666</v>
      </c>
      <c r="D313" s="58"/>
      <c r="E313" t="str">
        <f>VLOOKUP(B313,CAC!$A$2:$B$198,2,FALSE)</f>
        <v>HMOFEP</v>
      </c>
    </row>
    <row r="314" spans="1:5" x14ac:dyDescent="0.25">
      <c r="A314" s="56" t="s">
        <v>114</v>
      </c>
      <c r="B314" s="57" t="s">
        <v>55</v>
      </c>
      <c r="C314" s="58">
        <v>20750</v>
      </c>
      <c r="D314" s="58"/>
      <c r="E314" t="str">
        <f>VLOOKUP(B314,CAC!$A$2:$B$198,2,FALSE)</f>
        <v>HMOPMR</v>
      </c>
    </row>
    <row r="315" spans="1:5" x14ac:dyDescent="0.25">
      <c r="A315" s="56" t="s">
        <v>114</v>
      </c>
      <c r="B315" s="57" t="s">
        <v>56</v>
      </c>
      <c r="C315" s="58">
        <v>124</v>
      </c>
      <c r="D315" s="58"/>
      <c r="E315" t="str">
        <f>VLOOKUP(B315,CAC!$A$2:$B$198,2,FALSE)</f>
        <v>HMOPMR</v>
      </c>
    </row>
    <row r="316" spans="1:5" x14ac:dyDescent="0.25">
      <c r="A316" s="56" t="s">
        <v>114</v>
      </c>
      <c r="B316" s="57" t="s">
        <v>57</v>
      </c>
      <c r="C316" s="58">
        <v>819</v>
      </c>
      <c r="D316" s="58"/>
      <c r="E316" t="str">
        <f>VLOOKUP(B316,CAC!$A$2:$B$198,2,FALSE)</f>
        <v>HMFLEX</v>
      </c>
    </row>
    <row r="317" spans="1:5" x14ac:dyDescent="0.25">
      <c r="A317" s="56" t="s">
        <v>114</v>
      </c>
      <c r="B317" s="57" t="s">
        <v>58</v>
      </c>
      <c r="C317" s="58">
        <v>412</v>
      </c>
      <c r="D317" s="58"/>
      <c r="E317" t="str">
        <f>VLOOKUP(B317,CAC!$A$2:$B$198,2,FALSE)</f>
        <v>HMFLEX</v>
      </c>
    </row>
    <row r="318" spans="1:5" x14ac:dyDescent="0.25">
      <c r="A318" s="56" t="s">
        <v>114</v>
      </c>
      <c r="B318" s="57" t="s">
        <v>59</v>
      </c>
      <c r="C318" s="58">
        <v>9</v>
      </c>
      <c r="D318" s="58"/>
      <c r="E318" t="str">
        <f>VLOOKUP(B318,CAC!$A$2:$B$198,2,FALSE)</f>
        <v>HMFLEX</v>
      </c>
    </row>
    <row r="319" spans="1:5" x14ac:dyDescent="0.25">
      <c r="A319" s="56" t="s">
        <v>114</v>
      </c>
      <c r="B319" s="57" t="s">
        <v>60</v>
      </c>
      <c r="C319" s="58">
        <v>12394</v>
      </c>
      <c r="D319" s="58"/>
      <c r="E319" t="str">
        <f>VLOOKUP(B319,CAC!$A$2:$B$198,2,FALSE)</f>
        <v>HMOLG</v>
      </c>
    </row>
    <row r="320" spans="1:5" x14ac:dyDescent="0.25">
      <c r="A320" s="56" t="s">
        <v>114</v>
      </c>
      <c r="B320" s="57" t="s">
        <v>61</v>
      </c>
      <c r="C320" s="58">
        <v>464</v>
      </c>
      <c r="D320" s="58"/>
      <c r="E320" t="str">
        <f>VLOOKUP(B320,CAC!$A$2:$B$198,2,FALSE)</f>
        <v>HMOLG</v>
      </c>
    </row>
    <row r="321" spans="1:5" x14ac:dyDescent="0.25">
      <c r="A321" s="56" t="s">
        <v>114</v>
      </c>
      <c r="B321" s="57" t="s">
        <v>62</v>
      </c>
      <c r="C321" s="58">
        <v>25991</v>
      </c>
      <c r="D321" s="58"/>
      <c r="E321" t="str">
        <f>VLOOKUP(B321,CAC!$A$2:$B$198,2,FALSE)</f>
        <v>HMOLG</v>
      </c>
    </row>
    <row r="322" spans="1:5" x14ac:dyDescent="0.25">
      <c r="A322" s="56" t="s">
        <v>114</v>
      </c>
      <c r="B322" s="57" t="s">
        <v>63</v>
      </c>
      <c r="C322" s="58">
        <v>232</v>
      </c>
      <c r="D322" s="58"/>
      <c r="E322" t="str">
        <f>VLOOKUP(B322,CAC!$A$2:$B$198,2,FALSE)</f>
        <v>HMOLG</v>
      </c>
    </row>
    <row r="323" spans="1:5" x14ac:dyDescent="0.25">
      <c r="A323" s="56" t="s">
        <v>114</v>
      </c>
      <c r="B323" s="57" t="s">
        <v>65</v>
      </c>
      <c r="C323" s="58">
        <v>220</v>
      </c>
      <c r="D323" s="58"/>
      <c r="E323" t="str">
        <f>VLOOKUP(B323,CAC!$A$2:$B$198,2,FALSE)</f>
        <v>HMFLEX</v>
      </c>
    </row>
    <row r="324" spans="1:5" x14ac:dyDescent="0.25">
      <c r="A324" s="56" t="s">
        <v>114</v>
      </c>
      <c r="B324" s="57" t="s">
        <v>66</v>
      </c>
      <c r="C324" s="58">
        <v>3403</v>
      </c>
      <c r="D324" s="58"/>
      <c r="E324" t="str">
        <f>VLOOKUP(B324,CAC!$A$2:$B$198,2,FALSE)</f>
        <v>HMOLG</v>
      </c>
    </row>
    <row r="325" spans="1:5" x14ac:dyDescent="0.25">
      <c r="A325" s="56" t="s">
        <v>114</v>
      </c>
      <c r="B325" s="57" t="s">
        <v>82</v>
      </c>
      <c r="C325" s="58">
        <v>1</v>
      </c>
      <c r="D325" s="58"/>
      <c r="E325" t="str">
        <f>VLOOKUP(B325,CAC!$A$2:$B$198,2,FALSE)</f>
        <v>NATPAR</v>
      </c>
    </row>
    <row r="326" spans="1:5" x14ac:dyDescent="0.25">
      <c r="A326" s="56" t="s">
        <v>114</v>
      </c>
      <c r="B326" s="57" t="s">
        <v>67</v>
      </c>
      <c r="C326" s="58">
        <v>126</v>
      </c>
      <c r="D326" s="58"/>
      <c r="E326" t="str">
        <f>VLOOKUP(B326,CAC!$A$2:$B$198,2,FALSE)</f>
        <v>HMOLG</v>
      </c>
    </row>
    <row r="327" spans="1:5" x14ac:dyDescent="0.25">
      <c r="A327" s="56" t="s">
        <v>114</v>
      </c>
      <c r="B327" s="57" t="s">
        <v>68</v>
      </c>
      <c r="C327" s="58">
        <v>281</v>
      </c>
      <c r="D327" s="58"/>
      <c r="E327" t="str">
        <f>VLOOKUP(B327,CAC!$A$2:$B$198,2,FALSE)</f>
        <v>HMOPMR</v>
      </c>
    </row>
    <row r="328" spans="1:5" x14ac:dyDescent="0.25">
      <c r="A328" s="56" t="s">
        <v>114</v>
      </c>
      <c r="B328" s="57" t="s">
        <v>69</v>
      </c>
      <c r="C328" s="58">
        <v>9885</v>
      </c>
      <c r="D328" s="58"/>
      <c r="E328" t="str">
        <f>VLOOKUP(B328,CAC!$A$2:$B$198,2,FALSE)</f>
        <v>HMOPMR</v>
      </c>
    </row>
    <row r="329" spans="1:5" x14ac:dyDescent="0.25">
      <c r="A329" s="56" t="s">
        <v>114</v>
      </c>
      <c r="B329" s="57" t="s">
        <v>70</v>
      </c>
      <c r="C329" s="58">
        <v>4068</v>
      </c>
      <c r="D329" s="58"/>
      <c r="E329" t="str">
        <f>VLOOKUP(B329,CAC!$A$2:$B$198,2,FALSE)</f>
        <v>HMOPMR</v>
      </c>
    </row>
    <row r="330" spans="1:5" x14ac:dyDescent="0.25">
      <c r="A330" s="56" t="s">
        <v>114</v>
      </c>
      <c r="B330" s="57" t="s">
        <v>71</v>
      </c>
      <c r="C330" s="58">
        <v>6601</v>
      </c>
      <c r="D330" s="58"/>
      <c r="E330" t="str">
        <f>VLOOKUP(B330,CAC!$A$2:$B$198,2,FALSE)</f>
        <v>HMOPMR</v>
      </c>
    </row>
    <row r="331" spans="1:5" x14ac:dyDescent="0.25">
      <c r="A331" s="56" t="s">
        <v>114</v>
      </c>
      <c r="B331" s="57" t="s">
        <v>72</v>
      </c>
      <c r="C331" s="58">
        <v>2177</v>
      </c>
      <c r="D331" s="58"/>
      <c r="E331" t="str">
        <f>VLOOKUP(B331,CAC!$A$2:$B$198,2,FALSE)</f>
        <v>HMFLEX</v>
      </c>
    </row>
    <row r="332" spans="1:5" x14ac:dyDescent="0.25">
      <c r="A332" s="56" t="s">
        <v>114</v>
      </c>
      <c r="B332" s="57" t="s">
        <v>112</v>
      </c>
      <c r="C332" s="58">
        <v>2</v>
      </c>
      <c r="D332" s="58"/>
      <c r="E332" t="e">
        <f>VLOOKUP(B332,CAC!$A$2:$B$198,2,FALSE)</f>
        <v>#N/A</v>
      </c>
    </row>
    <row r="333" spans="1:5" x14ac:dyDescent="0.25">
      <c r="A333" s="56" t="s">
        <v>114</v>
      </c>
      <c r="B333" s="57" t="s">
        <v>73</v>
      </c>
      <c r="C333" s="58">
        <v>39835</v>
      </c>
      <c r="D333" s="58"/>
      <c r="E333" t="str">
        <f>VLOOKUP(B333,CAC!$A$2:$B$198,2,FALSE)</f>
        <v>HMOPERA</v>
      </c>
    </row>
    <row r="334" spans="1:5" x14ac:dyDescent="0.25">
      <c r="A334" s="56" t="s">
        <v>114</v>
      </c>
      <c r="B334" s="57" t="s">
        <v>74</v>
      </c>
      <c r="C334" s="58">
        <v>6321</v>
      </c>
      <c r="D334" s="58"/>
      <c r="E334" t="str">
        <f>VLOOKUP(B334,CAC!$A$2:$B$198,2,FALSE)</f>
        <v>PERMEDA</v>
      </c>
    </row>
    <row r="335" spans="1:5" x14ac:dyDescent="0.25">
      <c r="A335" s="56" t="s">
        <v>114</v>
      </c>
      <c r="B335" s="57" t="s">
        <v>75</v>
      </c>
      <c r="C335" s="58">
        <v>59566</v>
      </c>
      <c r="D335" s="58"/>
      <c r="E335" t="str">
        <f>VLOOKUP(B335,CAC!$A$2:$B$198,2,FALSE)</f>
        <v>HMOPERN</v>
      </c>
    </row>
    <row r="336" spans="1:5" x14ac:dyDescent="0.25">
      <c r="A336" s="56" t="s">
        <v>114</v>
      </c>
      <c r="B336" s="57" t="s">
        <v>76</v>
      </c>
      <c r="C336" s="58">
        <v>2359</v>
      </c>
      <c r="D336" s="58"/>
      <c r="E336" t="str">
        <f>VLOOKUP(B336,CAC!$A$2:$B$198,2,FALSE)</f>
        <v>PERMEDN</v>
      </c>
    </row>
    <row r="337" spans="1:5" x14ac:dyDescent="0.25">
      <c r="A337" s="56" t="s">
        <v>114</v>
      </c>
      <c r="B337" s="57" t="s">
        <v>77</v>
      </c>
      <c r="C337" s="58">
        <v>19400</v>
      </c>
      <c r="D337" s="58"/>
      <c r="E337" t="str">
        <f>VLOOKUP(B337,CAC!$A$2:$B$198,2,FALSE)</f>
        <v>HMOSG</v>
      </c>
    </row>
    <row r="338" spans="1:5" x14ac:dyDescent="0.25">
      <c r="A338" s="56" t="s">
        <v>114</v>
      </c>
      <c r="B338" s="57" t="s">
        <v>78</v>
      </c>
      <c r="C338" s="58">
        <v>362</v>
      </c>
      <c r="D338" s="58"/>
      <c r="E338" t="str">
        <f>VLOOKUP(B338,CAC!$A$2:$B$198,2,FALSE)</f>
        <v>HMOSG</v>
      </c>
    </row>
    <row r="339" spans="1:5" x14ac:dyDescent="0.25">
      <c r="A339" s="56" t="s">
        <v>114</v>
      </c>
      <c r="B339" s="57" t="s">
        <v>79</v>
      </c>
      <c r="C339" s="58">
        <v>67</v>
      </c>
      <c r="D339" s="58"/>
      <c r="E339" t="str">
        <f>VLOOKUP(B339,CAC!$A$2:$B$198,2,FALSE)</f>
        <v>HMOSG</v>
      </c>
    </row>
    <row r="340" spans="1:5" x14ac:dyDescent="0.25">
      <c r="A340" s="56" t="s">
        <v>114</v>
      </c>
      <c r="B340" s="57" t="s">
        <v>80</v>
      </c>
      <c r="C340" s="58">
        <v>9</v>
      </c>
      <c r="D340" s="58"/>
      <c r="E340" t="str">
        <f>VLOOKUP(B340,CAC!$A$2:$B$198,2,FALSE)</f>
        <v>HMOIFP</v>
      </c>
    </row>
    <row r="341" spans="1:5" x14ac:dyDescent="0.25">
      <c r="A341" s="56" t="s">
        <v>115</v>
      </c>
      <c r="B341" s="57" t="s">
        <v>52</v>
      </c>
      <c r="C341" s="58">
        <v>15320</v>
      </c>
      <c r="D341" s="58"/>
      <c r="E341" t="str">
        <f>VLOOKUP(B341,CAC!$A$2:$B$198,2,FALSE)</f>
        <v>HMOPMR</v>
      </c>
    </row>
    <row r="342" spans="1:5" x14ac:dyDescent="0.25">
      <c r="A342" s="56" t="s">
        <v>115</v>
      </c>
      <c r="B342" s="57" t="s">
        <v>53</v>
      </c>
      <c r="C342" s="58">
        <v>3943</v>
      </c>
      <c r="D342" s="58"/>
      <c r="E342" t="str">
        <f>VLOOKUP(B342,CAC!$A$2:$B$198,2,FALSE)</f>
        <v>HMOPMR</v>
      </c>
    </row>
    <row r="343" spans="1:5" x14ac:dyDescent="0.25">
      <c r="A343" s="56" t="s">
        <v>115</v>
      </c>
      <c r="B343" s="57" t="s">
        <v>54</v>
      </c>
      <c r="C343" s="58">
        <v>6656</v>
      </c>
      <c r="D343" s="58"/>
      <c r="E343" t="str">
        <f>VLOOKUP(B343,CAC!$A$2:$B$198,2,FALSE)</f>
        <v>HMOFEP</v>
      </c>
    </row>
    <row r="344" spans="1:5" x14ac:dyDescent="0.25">
      <c r="A344" s="56" t="s">
        <v>115</v>
      </c>
      <c r="B344" s="57" t="s">
        <v>55</v>
      </c>
      <c r="C344" s="58">
        <v>17293</v>
      </c>
      <c r="D344" s="58"/>
      <c r="E344" t="str">
        <f>VLOOKUP(B344,CAC!$A$2:$B$198,2,FALSE)</f>
        <v>HMOPMR</v>
      </c>
    </row>
    <row r="345" spans="1:5" x14ac:dyDescent="0.25">
      <c r="A345" s="56" t="s">
        <v>115</v>
      </c>
      <c r="B345" s="57" t="s">
        <v>56</v>
      </c>
      <c r="C345" s="58">
        <v>127</v>
      </c>
      <c r="D345" s="58"/>
      <c r="E345" t="str">
        <f>VLOOKUP(B345,CAC!$A$2:$B$198,2,FALSE)</f>
        <v>HMOPMR</v>
      </c>
    </row>
    <row r="346" spans="1:5" x14ac:dyDescent="0.25">
      <c r="A346" s="56" t="s">
        <v>115</v>
      </c>
      <c r="B346" s="57" t="s">
        <v>57</v>
      </c>
      <c r="C346" s="58">
        <v>4115</v>
      </c>
      <c r="D346" s="58"/>
      <c r="E346" t="str">
        <f>VLOOKUP(B346,CAC!$A$2:$B$198,2,FALSE)</f>
        <v>HMFLEX</v>
      </c>
    </row>
    <row r="347" spans="1:5" x14ac:dyDescent="0.25">
      <c r="A347" s="56" t="s">
        <v>115</v>
      </c>
      <c r="B347" s="57" t="s">
        <v>58</v>
      </c>
      <c r="C347" s="58">
        <v>412</v>
      </c>
      <c r="D347" s="58"/>
      <c r="E347" t="str">
        <f>VLOOKUP(B347,CAC!$A$2:$B$198,2,FALSE)</f>
        <v>HMFLEX</v>
      </c>
    </row>
    <row r="348" spans="1:5" x14ac:dyDescent="0.25">
      <c r="A348" s="56" t="s">
        <v>115</v>
      </c>
      <c r="B348" s="57" t="s">
        <v>59</v>
      </c>
      <c r="C348" s="58">
        <v>9</v>
      </c>
      <c r="D348" s="58"/>
      <c r="E348" t="str">
        <f>VLOOKUP(B348,CAC!$A$2:$B$198,2,FALSE)</f>
        <v>HMFLEX</v>
      </c>
    </row>
    <row r="349" spans="1:5" x14ac:dyDescent="0.25">
      <c r="A349" s="56" t="s">
        <v>115</v>
      </c>
      <c r="B349" s="57" t="s">
        <v>60</v>
      </c>
      <c r="C349" s="58">
        <v>12463</v>
      </c>
      <c r="D349" s="58"/>
      <c r="E349" t="str">
        <f>VLOOKUP(B349,CAC!$A$2:$B$198,2,FALSE)</f>
        <v>HMOLG</v>
      </c>
    </row>
    <row r="350" spans="1:5" x14ac:dyDescent="0.25">
      <c r="A350" s="56" t="s">
        <v>115</v>
      </c>
      <c r="B350" s="57" t="s">
        <v>61</v>
      </c>
      <c r="C350" s="58">
        <v>457</v>
      </c>
      <c r="D350" s="58"/>
      <c r="E350" t="str">
        <f>VLOOKUP(B350,CAC!$A$2:$B$198,2,FALSE)</f>
        <v>HMOLG</v>
      </c>
    </row>
    <row r="351" spans="1:5" x14ac:dyDescent="0.25">
      <c r="A351" s="56" t="s">
        <v>115</v>
      </c>
      <c r="B351" s="57" t="s">
        <v>62</v>
      </c>
      <c r="C351" s="58">
        <v>26394</v>
      </c>
      <c r="D351" s="58"/>
      <c r="E351" t="str">
        <f>VLOOKUP(B351,CAC!$A$2:$B$198,2,FALSE)</f>
        <v>HMOLG</v>
      </c>
    </row>
    <row r="352" spans="1:5" x14ac:dyDescent="0.25">
      <c r="A352" s="56" t="s">
        <v>115</v>
      </c>
      <c r="B352" s="57" t="s">
        <v>63</v>
      </c>
      <c r="C352" s="58">
        <v>249</v>
      </c>
      <c r="D352" s="58"/>
      <c r="E352" t="str">
        <f>VLOOKUP(B352,CAC!$A$2:$B$198,2,FALSE)</f>
        <v>HMOLG</v>
      </c>
    </row>
    <row r="353" spans="1:5" x14ac:dyDescent="0.25">
      <c r="A353" s="56" t="s">
        <v>115</v>
      </c>
      <c r="B353" s="57" t="s">
        <v>65</v>
      </c>
      <c r="C353" s="58">
        <v>221</v>
      </c>
      <c r="D353" s="58"/>
      <c r="E353" t="str">
        <f>VLOOKUP(B353,CAC!$A$2:$B$198,2,FALSE)</f>
        <v>HMFLEX</v>
      </c>
    </row>
    <row r="354" spans="1:5" x14ac:dyDescent="0.25">
      <c r="A354" s="56" t="s">
        <v>115</v>
      </c>
      <c r="B354" s="57" t="s">
        <v>66</v>
      </c>
      <c r="C354" s="58">
        <v>3442</v>
      </c>
      <c r="D354" s="58"/>
      <c r="E354" t="str">
        <f>VLOOKUP(B354,CAC!$A$2:$B$198,2,FALSE)</f>
        <v>HMOLG</v>
      </c>
    </row>
    <row r="355" spans="1:5" x14ac:dyDescent="0.25">
      <c r="A355" s="56" t="s">
        <v>115</v>
      </c>
      <c r="B355" s="57" t="s">
        <v>82</v>
      </c>
      <c r="C355" s="58">
        <v>1</v>
      </c>
      <c r="D355" s="58"/>
      <c r="E355" t="str">
        <f>VLOOKUP(B355,CAC!$A$2:$B$198,2,FALSE)</f>
        <v>NATPAR</v>
      </c>
    </row>
    <row r="356" spans="1:5" x14ac:dyDescent="0.25">
      <c r="A356" s="56" t="s">
        <v>115</v>
      </c>
      <c r="B356" s="57" t="s">
        <v>67</v>
      </c>
      <c r="C356" s="58">
        <v>125</v>
      </c>
      <c r="D356" s="58"/>
      <c r="E356" t="str">
        <f>VLOOKUP(B356,CAC!$A$2:$B$198,2,FALSE)</f>
        <v>HMOLG</v>
      </c>
    </row>
    <row r="357" spans="1:5" x14ac:dyDescent="0.25">
      <c r="A357" s="56" t="s">
        <v>115</v>
      </c>
      <c r="B357" s="57" t="s">
        <v>68</v>
      </c>
      <c r="C357" s="58">
        <v>275</v>
      </c>
      <c r="D357" s="58"/>
      <c r="E357" t="str">
        <f>VLOOKUP(B357,CAC!$A$2:$B$198,2,FALSE)</f>
        <v>HMOPMR</v>
      </c>
    </row>
    <row r="358" spans="1:5" x14ac:dyDescent="0.25">
      <c r="A358" s="56" t="s">
        <v>115</v>
      </c>
      <c r="B358" s="57" t="s">
        <v>69</v>
      </c>
      <c r="C358" s="58">
        <v>9868</v>
      </c>
      <c r="D358" s="58"/>
      <c r="E358" t="str">
        <f>VLOOKUP(B358,CAC!$A$2:$B$198,2,FALSE)</f>
        <v>HMOPMR</v>
      </c>
    </row>
    <row r="359" spans="1:5" x14ac:dyDescent="0.25">
      <c r="A359" s="56" t="s">
        <v>115</v>
      </c>
      <c r="B359" s="57" t="s">
        <v>70</v>
      </c>
      <c r="C359" s="58">
        <v>4074</v>
      </c>
      <c r="D359" s="58"/>
      <c r="E359" t="str">
        <f>VLOOKUP(B359,CAC!$A$2:$B$198,2,FALSE)</f>
        <v>HMOPMR</v>
      </c>
    </row>
    <row r="360" spans="1:5" x14ac:dyDescent="0.25">
      <c r="A360" s="56" t="s">
        <v>115</v>
      </c>
      <c r="B360" s="57" t="s">
        <v>71</v>
      </c>
      <c r="C360" s="58">
        <v>6623</v>
      </c>
      <c r="D360" s="58"/>
      <c r="E360" t="str">
        <f>VLOOKUP(B360,CAC!$A$2:$B$198,2,FALSE)</f>
        <v>HMOPMR</v>
      </c>
    </row>
    <row r="361" spans="1:5" x14ac:dyDescent="0.25">
      <c r="A361" s="56" t="s">
        <v>115</v>
      </c>
      <c r="B361" s="57" t="s">
        <v>72</v>
      </c>
      <c r="C361" s="58">
        <v>2178</v>
      </c>
      <c r="D361" s="58"/>
      <c r="E361" t="str">
        <f>VLOOKUP(B361,CAC!$A$2:$B$198,2,FALSE)</f>
        <v>HMFLEX</v>
      </c>
    </row>
    <row r="362" spans="1:5" x14ac:dyDescent="0.25">
      <c r="A362" s="56" t="s">
        <v>115</v>
      </c>
      <c r="B362" s="57" t="s">
        <v>100</v>
      </c>
      <c r="C362" s="58">
        <v>8</v>
      </c>
      <c r="D362" s="58"/>
      <c r="E362" t="e">
        <f>VLOOKUP(B362,CAC!$A$2:$B$198,2,FALSE)</f>
        <v>#N/A</v>
      </c>
    </row>
    <row r="363" spans="1:5" x14ac:dyDescent="0.25">
      <c r="A363" s="56" t="s">
        <v>115</v>
      </c>
      <c r="B363" s="57" t="s">
        <v>73</v>
      </c>
      <c r="C363" s="58">
        <v>39636</v>
      </c>
      <c r="D363" s="58"/>
      <c r="E363" t="str">
        <f>VLOOKUP(B363,CAC!$A$2:$B$198,2,FALSE)</f>
        <v>HMOPERA</v>
      </c>
    </row>
    <row r="364" spans="1:5" x14ac:dyDescent="0.25">
      <c r="A364" s="56" t="s">
        <v>115</v>
      </c>
      <c r="B364" s="57" t="s">
        <v>74</v>
      </c>
      <c r="C364" s="58">
        <v>6328</v>
      </c>
      <c r="D364" s="58"/>
      <c r="E364" t="str">
        <f>VLOOKUP(B364,CAC!$A$2:$B$198,2,FALSE)</f>
        <v>PERMEDA</v>
      </c>
    </row>
    <row r="365" spans="1:5" x14ac:dyDescent="0.25">
      <c r="A365" s="56" t="s">
        <v>115</v>
      </c>
      <c r="B365" s="57" t="s">
        <v>75</v>
      </c>
      <c r="C365" s="58">
        <v>59157</v>
      </c>
      <c r="D365" s="58"/>
      <c r="E365" t="str">
        <f>VLOOKUP(B365,CAC!$A$2:$B$198,2,FALSE)</f>
        <v>HMOPERN</v>
      </c>
    </row>
    <row r="366" spans="1:5" x14ac:dyDescent="0.25">
      <c r="A366" s="56" t="s">
        <v>115</v>
      </c>
      <c r="B366" s="57" t="s">
        <v>76</v>
      </c>
      <c r="C366" s="58">
        <v>2388</v>
      </c>
      <c r="D366" s="58"/>
      <c r="E366" t="str">
        <f>VLOOKUP(B366,CAC!$A$2:$B$198,2,FALSE)</f>
        <v>PERMEDN</v>
      </c>
    </row>
    <row r="367" spans="1:5" x14ac:dyDescent="0.25">
      <c r="A367" s="56" t="s">
        <v>115</v>
      </c>
      <c r="B367" s="57" t="s">
        <v>77</v>
      </c>
      <c r="C367" s="58">
        <v>19459</v>
      </c>
      <c r="D367" s="58"/>
      <c r="E367" t="str">
        <f>VLOOKUP(B367,CAC!$A$2:$B$198,2,FALSE)</f>
        <v>HMOSG</v>
      </c>
    </row>
    <row r="368" spans="1:5" x14ac:dyDescent="0.25">
      <c r="A368" s="56" t="s">
        <v>115</v>
      </c>
      <c r="B368" s="57" t="s">
        <v>78</v>
      </c>
      <c r="C368" s="58">
        <v>363</v>
      </c>
      <c r="D368" s="58"/>
      <c r="E368" t="str">
        <f>VLOOKUP(B368,CAC!$A$2:$B$198,2,FALSE)</f>
        <v>HMOSG</v>
      </c>
    </row>
    <row r="369" spans="1:5" x14ac:dyDescent="0.25">
      <c r="A369" s="56" t="s">
        <v>115</v>
      </c>
      <c r="B369" s="57" t="s">
        <v>79</v>
      </c>
      <c r="C369" s="58">
        <v>61</v>
      </c>
      <c r="D369" s="58"/>
      <c r="E369" t="str">
        <f>VLOOKUP(B369,CAC!$A$2:$B$198,2,FALSE)</f>
        <v>HMOSG</v>
      </c>
    </row>
    <row r="370" spans="1:5" x14ac:dyDescent="0.25">
      <c r="A370" s="56" t="s">
        <v>115</v>
      </c>
      <c r="B370" s="57" t="s">
        <v>80</v>
      </c>
      <c r="C370" s="58">
        <v>9</v>
      </c>
      <c r="D370" s="58"/>
      <c r="E370" t="str">
        <f>VLOOKUP(B370,CAC!$A$2:$B$198,2,FALSE)</f>
        <v>HMOIFP</v>
      </c>
    </row>
    <row r="371" spans="1:5" x14ac:dyDescent="0.25">
      <c r="A371" s="56" t="s">
        <v>116</v>
      </c>
      <c r="B371" s="57" t="s">
        <v>52</v>
      </c>
      <c r="C371" s="58">
        <v>15496</v>
      </c>
      <c r="D371" s="58"/>
      <c r="E371" t="str">
        <f>VLOOKUP(B371,CAC!$A$2:$B$198,2,FALSE)</f>
        <v>HMOPMR</v>
      </c>
    </row>
    <row r="372" spans="1:5" x14ac:dyDescent="0.25">
      <c r="A372" s="56" t="s">
        <v>116</v>
      </c>
      <c r="B372" s="57" t="s">
        <v>53</v>
      </c>
      <c r="C372" s="58">
        <v>4034</v>
      </c>
      <c r="D372" s="58"/>
      <c r="E372" t="str">
        <f>VLOOKUP(B372,CAC!$A$2:$B$198,2,FALSE)</f>
        <v>HMOPMR</v>
      </c>
    </row>
    <row r="373" spans="1:5" x14ac:dyDescent="0.25">
      <c r="A373" s="56" t="s">
        <v>116</v>
      </c>
      <c r="B373" s="57" t="s">
        <v>54</v>
      </c>
      <c r="C373" s="58">
        <v>6574</v>
      </c>
      <c r="D373" s="58"/>
      <c r="E373" t="str">
        <f>VLOOKUP(B373,CAC!$A$2:$B$198,2,FALSE)</f>
        <v>HMOFEP</v>
      </c>
    </row>
    <row r="374" spans="1:5" x14ac:dyDescent="0.25">
      <c r="A374" s="56" t="s">
        <v>116</v>
      </c>
      <c r="B374" s="57" t="s">
        <v>55</v>
      </c>
      <c r="C374" s="58">
        <v>14414</v>
      </c>
      <c r="D374" s="58"/>
      <c r="E374" t="str">
        <f>VLOOKUP(B374,CAC!$A$2:$B$198,2,FALSE)</f>
        <v>HMOPMR</v>
      </c>
    </row>
    <row r="375" spans="1:5" x14ac:dyDescent="0.25">
      <c r="A375" s="56" t="s">
        <v>116</v>
      </c>
      <c r="B375" s="57" t="s">
        <v>56</v>
      </c>
      <c r="C375" s="58">
        <v>117</v>
      </c>
      <c r="D375" s="58"/>
      <c r="E375" t="str">
        <f>VLOOKUP(B375,CAC!$A$2:$B$198,2,FALSE)</f>
        <v>HMOPMR</v>
      </c>
    </row>
    <row r="376" spans="1:5" x14ac:dyDescent="0.25">
      <c r="A376" s="56" t="s">
        <v>116</v>
      </c>
      <c r="B376" s="57" t="s">
        <v>57</v>
      </c>
      <c r="C376" s="58">
        <v>6218</v>
      </c>
      <c r="D376" s="58"/>
      <c r="E376" t="str">
        <f>VLOOKUP(B376,CAC!$A$2:$B$198,2,FALSE)</f>
        <v>HMFLEX</v>
      </c>
    </row>
    <row r="377" spans="1:5" x14ac:dyDescent="0.25">
      <c r="A377" s="56" t="s">
        <v>116</v>
      </c>
      <c r="B377" s="57" t="s">
        <v>58</v>
      </c>
      <c r="C377" s="58">
        <v>406</v>
      </c>
      <c r="D377" s="58"/>
      <c r="E377" t="str">
        <f>VLOOKUP(B377,CAC!$A$2:$B$198,2,FALSE)</f>
        <v>HMFLEX</v>
      </c>
    </row>
    <row r="378" spans="1:5" x14ac:dyDescent="0.25">
      <c r="A378" s="56" t="s">
        <v>116</v>
      </c>
      <c r="B378" s="57" t="s">
        <v>59</v>
      </c>
      <c r="C378" s="58">
        <v>10</v>
      </c>
      <c r="D378" s="58"/>
      <c r="E378" t="str">
        <f>VLOOKUP(B378,CAC!$A$2:$B$198,2,FALSE)</f>
        <v>HMFLEX</v>
      </c>
    </row>
    <row r="379" spans="1:5" x14ac:dyDescent="0.25">
      <c r="A379" s="56" t="s">
        <v>116</v>
      </c>
      <c r="B379" s="57" t="s">
        <v>60</v>
      </c>
      <c r="C379" s="58">
        <v>13710</v>
      </c>
      <c r="D379" s="58"/>
      <c r="E379" t="str">
        <f>VLOOKUP(B379,CAC!$A$2:$B$198,2,FALSE)</f>
        <v>HMOLG</v>
      </c>
    </row>
    <row r="380" spans="1:5" x14ac:dyDescent="0.25">
      <c r="A380" s="56" t="s">
        <v>116</v>
      </c>
      <c r="B380" s="57" t="s">
        <v>61</v>
      </c>
      <c r="C380" s="58">
        <v>444</v>
      </c>
      <c r="D380" s="58"/>
      <c r="E380" t="str">
        <f>VLOOKUP(B380,CAC!$A$2:$B$198,2,FALSE)</f>
        <v>HMOLG</v>
      </c>
    </row>
    <row r="381" spans="1:5" x14ac:dyDescent="0.25">
      <c r="A381" s="56" t="s">
        <v>116</v>
      </c>
      <c r="B381" s="57" t="s">
        <v>62</v>
      </c>
      <c r="C381" s="58">
        <v>25202</v>
      </c>
      <c r="D381" s="58"/>
      <c r="E381" t="str">
        <f>VLOOKUP(B381,CAC!$A$2:$B$198,2,FALSE)</f>
        <v>HMOLG</v>
      </c>
    </row>
    <row r="382" spans="1:5" x14ac:dyDescent="0.25">
      <c r="A382" s="56" t="s">
        <v>116</v>
      </c>
      <c r="B382" s="57" t="s">
        <v>63</v>
      </c>
      <c r="C382" s="58">
        <v>243</v>
      </c>
      <c r="D382" s="58"/>
      <c r="E382" t="str">
        <f>VLOOKUP(B382,CAC!$A$2:$B$198,2,FALSE)</f>
        <v>HMOLG</v>
      </c>
    </row>
    <row r="383" spans="1:5" x14ac:dyDescent="0.25">
      <c r="A383" s="56" t="s">
        <v>116</v>
      </c>
      <c r="B383" s="57" t="s">
        <v>65</v>
      </c>
      <c r="C383" s="58">
        <v>221</v>
      </c>
      <c r="D383" s="58"/>
      <c r="E383" t="str">
        <f>VLOOKUP(B383,CAC!$A$2:$B$198,2,FALSE)</f>
        <v>HMFLEX</v>
      </c>
    </row>
    <row r="384" spans="1:5" x14ac:dyDescent="0.25">
      <c r="A384" s="56" t="s">
        <v>116</v>
      </c>
      <c r="B384" s="57" t="s">
        <v>66</v>
      </c>
      <c r="C384" s="58">
        <v>3714</v>
      </c>
      <c r="D384" s="58"/>
      <c r="E384" t="str">
        <f>VLOOKUP(B384,CAC!$A$2:$B$198,2,FALSE)</f>
        <v>HMOLG</v>
      </c>
    </row>
    <row r="385" spans="1:5" x14ac:dyDescent="0.25">
      <c r="A385" s="56" t="s">
        <v>116</v>
      </c>
      <c r="B385" s="57" t="s">
        <v>82</v>
      </c>
      <c r="C385" s="58">
        <v>1</v>
      </c>
      <c r="D385" s="58"/>
      <c r="E385" t="str">
        <f>VLOOKUP(B385,CAC!$A$2:$B$198,2,FALSE)</f>
        <v>NATPAR</v>
      </c>
    </row>
    <row r="386" spans="1:5" x14ac:dyDescent="0.25">
      <c r="A386" s="56" t="s">
        <v>116</v>
      </c>
      <c r="B386" s="57" t="s">
        <v>67</v>
      </c>
      <c r="C386" s="58">
        <v>128</v>
      </c>
      <c r="D386" s="58"/>
      <c r="E386" t="str">
        <f>VLOOKUP(B386,CAC!$A$2:$B$198,2,FALSE)</f>
        <v>HMOLG</v>
      </c>
    </row>
    <row r="387" spans="1:5" x14ac:dyDescent="0.25">
      <c r="A387" s="56" t="s">
        <v>116</v>
      </c>
      <c r="B387" s="57" t="s">
        <v>68</v>
      </c>
      <c r="C387" s="58">
        <v>272</v>
      </c>
      <c r="D387" s="58"/>
      <c r="E387" t="str">
        <f>VLOOKUP(B387,CAC!$A$2:$B$198,2,FALSE)</f>
        <v>HMOPMR</v>
      </c>
    </row>
    <row r="388" spans="1:5" x14ac:dyDescent="0.25">
      <c r="A388" s="56" t="s">
        <v>116</v>
      </c>
      <c r="B388" s="57" t="s">
        <v>69</v>
      </c>
      <c r="C388" s="58">
        <v>9950</v>
      </c>
      <c r="D388" s="58"/>
      <c r="E388" t="str">
        <f>VLOOKUP(B388,CAC!$A$2:$B$198,2,FALSE)</f>
        <v>HMOPMR</v>
      </c>
    </row>
    <row r="389" spans="1:5" x14ac:dyDescent="0.25">
      <c r="A389" s="56" t="s">
        <v>116</v>
      </c>
      <c r="B389" s="57" t="s">
        <v>70</v>
      </c>
      <c r="C389" s="58">
        <v>2190</v>
      </c>
      <c r="D389" s="58"/>
      <c r="E389" t="str">
        <f>VLOOKUP(B389,CAC!$A$2:$B$198,2,FALSE)</f>
        <v>HMOPMR</v>
      </c>
    </row>
    <row r="390" spans="1:5" x14ac:dyDescent="0.25">
      <c r="A390" s="56" t="s">
        <v>116</v>
      </c>
      <c r="B390" s="57" t="s">
        <v>71</v>
      </c>
      <c r="C390" s="58">
        <v>6714</v>
      </c>
      <c r="D390" s="58"/>
      <c r="E390" t="str">
        <f>VLOOKUP(B390,CAC!$A$2:$B$198,2,FALSE)</f>
        <v>HMOPMR</v>
      </c>
    </row>
    <row r="391" spans="1:5" x14ac:dyDescent="0.25">
      <c r="A391" s="56" t="s">
        <v>116</v>
      </c>
      <c r="B391" s="57" t="s">
        <v>72</v>
      </c>
      <c r="C391" s="58">
        <v>2174</v>
      </c>
      <c r="D391" s="58"/>
      <c r="E391" t="str">
        <f>VLOOKUP(B391,CAC!$A$2:$B$198,2,FALSE)</f>
        <v>HMFLEX</v>
      </c>
    </row>
    <row r="392" spans="1:5" x14ac:dyDescent="0.25">
      <c r="A392" s="56" t="s">
        <v>116</v>
      </c>
      <c r="B392" s="57" t="s">
        <v>100</v>
      </c>
      <c r="C392" s="58">
        <v>33</v>
      </c>
      <c r="D392" s="58"/>
      <c r="E392" t="e">
        <f>VLOOKUP(B392,CAC!$A$2:$B$198,2,FALSE)</f>
        <v>#N/A</v>
      </c>
    </row>
    <row r="393" spans="1:5" x14ac:dyDescent="0.25">
      <c r="A393" s="56" t="s">
        <v>116</v>
      </c>
      <c r="B393" s="57" t="s">
        <v>73</v>
      </c>
      <c r="C393" s="58">
        <v>40186</v>
      </c>
      <c r="D393" s="58"/>
      <c r="E393" t="str">
        <f>VLOOKUP(B393,CAC!$A$2:$B$198,2,FALSE)</f>
        <v>HMOPERA</v>
      </c>
    </row>
    <row r="394" spans="1:5" x14ac:dyDescent="0.25">
      <c r="A394" s="56" t="s">
        <v>116</v>
      </c>
      <c r="B394" s="57" t="s">
        <v>75</v>
      </c>
      <c r="C394" s="58">
        <v>42187</v>
      </c>
      <c r="D394" s="58"/>
      <c r="E394" t="str">
        <f>VLOOKUP(B394,CAC!$A$2:$B$198,2,FALSE)</f>
        <v>HMOPERN</v>
      </c>
    </row>
    <row r="395" spans="1:5" x14ac:dyDescent="0.25">
      <c r="A395" s="56" t="s">
        <v>116</v>
      </c>
      <c r="B395" s="57" t="s">
        <v>77</v>
      </c>
      <c r="C395" s="58">
        <v>19732</v>
      </c>
      <c r="D395" s="58"/>
      <c r="E395" t="str">
        <f>VLOOKUP(B395,CAC!$A$2:$B$198,2,FALSE)</f>
        <v>HMOSG</v>
      </c>
    </row>
    <row r="396" spans="1:5" x14ac:dyDescent="0.25">
      <c r="A396" s="56" t="s">
        <v>116</v>
      </c>
      <c r="B396" s="57" t="s">
        <v>78</v>
      </c>
      <c r="C396" s="58">
        <v>369</v>
      </c>
      <c r="D396" s="58"/>
      <c r="E396" t="str">
        <f>VLOOKUP(B396,CAC!$A$2:$B$198,2,FALSE)</f>
        <v>HMOSG</v>
      </c>
    </row>
    <row r="397" spans="1:5" x14ac:dyDescent="0.25">
      <c r="A397" s="56" t="s">
        <v>116</v>
      </c>
      <c r="B397" s="57" t="s">
        <v>79</v>
      </c>
      <c r="C397" s="58">
        <v>61</v>
      </c>
      <c r="D397" s="58"/>
      <c r="E397" t="str">
        <f>VLOOKUP(B397,CAC!$A$2:$B$198,2,FALSE)</f>
        <v>HMOSG</v>
      </c>
    </row>
    <row r="398" spans="1:5" x14ac:dyDescent="0.25">
      <c r="A398" s="56" t="s">
        <v>117</v>
      </c>
      <c r="B398" s="57" t="s">
        <v>52</v>
      </c>
      <c r="C398" s="58">
        <v>15556</v>
      </c>
      <c r="D398" s="58"/>
      <c r="E398" t="str">
        <f>VLOOKUP(B398,CAC!$A$2:$B$198,2,FALSE)</f>
        <v>HMOPMR</v>
      </c>
    </row>
    <row r="399" spans="1:5" x14ac:dyDescent="0.25">
      <c r="A399" s="56" t="s">
        <v>117</v>
      </c>
      <c r="B399" s="57" t="s">
        <v>53</v>
      </c>
      <c r="C399" s="58">
        <v>4178</v>
      </c>
      <c r="D399" s="58"/>
      <c r="E399" t="str">
        <f>VLOOKUP(B399,CAC!$A$2:$B$198,2,FALSE)</f>
        <v>HMOPMR</v>
      </c>
    </row>
    <row r="400" spans="1:5" x14ac:dyDescent="0.25">
      <c r="A400" s="56" t="s">
        <v>117</v>
      </c>
      <c r="B400" s="57" t="s">
        <v>54</v>
      </c>
      <c r="C400" s="58">
        <v>6077</v>
      </c>
      <c r="D400" s="58"/>
      <c r="E400" t="str">
        <f>VLOOKUP(B400,CAC!$A$2:$B$198,2,FALSE)</f>
        <v>HMOFEP</v>
      </c>
    </row>
    <row r="401" spans="1:5" x14ac:dyDescent="0.25">
      <c r="A401" s="56" t="s">
        <v>117</v>
      </c>
      <c r="B401" s="57" t="s">
        <v>55</v>
      </c>
      <c r="C401" s="58">
        <v>14748</v>
      </c>
      <c r="D401" s="58"/>
      <c r="E401" t="str">
        <f>VLOOKUP(B401,CAC!$A$2:$B$198,2,FALSE)</f>
        <v>HMOPMR</v>
      </c>
    </row>
    <row r="402" spans="1:5" x14ac:dyDescent="0.25">
      <c r="A402" s="56" t="s">
        <v>117</v>
      </c>
      <c r="B402" s="57" t="s">
        <v>56</v>
      </c>
      <c r="C402" s="58">
        <v>109</v>
      </c>
      <c r="D402" s="58"/>
      <c r="E402" t="str">
        <f>VLOOKUP(B402,CAC!$A$2:$B$198,2,FALSE)</f>
        <v>HMOPMR</v>
      </c>
    </row>
    <row r="403" spans="1:5" x14ac:dyDescent="0.25">
      <c r="A403" s="56" t="s">
        <v>117</v>
      </c>
      <c r="B403" s="57" t="s">
        <v>57</v>
      </c>
      <c r="C403" s="58">
        <v>6015</v>
      </c>
      <c r="D403" s="58"/>
      <c r="E403" t="str">
        <f>VLOOKUP(B403,CAC!$A$2:$B$198,2,FALSE)</f>
        <v>HMFLEX</v>
      </c>
    </row>
    <row r="404" spans="1:5" x14ac:dyDescent="0.25">
      <c r="A404" s="56" t="s">
        <v>117</v>
      </c>
      <c r="B404" s="57" t="s">
        <v>58</v>
      </c>
      <c r="C404" s="58">
        <v>385</v>
      </c>
      <c r="D404" s="58"/>
      <c r="E404" t="str">
        <f>VLOOKUP(B404,CAC!$A$2:$B$198,2,FALSE)</f>
        <v>HMFLEX</v>
      </c>
    </row>
    <row r="405" spans="1:5" x14ac:dyDescent="0.25">
      <c r="A405" s="56" t="s">
        <v>117</v>
      </c>
      <c r="B405" s="57" t="s">
        <v>60</v>
      </c>
      <c r="C405" s="58">
        <v>15178</v>
      </c>
      <c r="D405" s="58"/>
      <c r="E405" t="str">
        <f>VLOOKUP(B405,CAC!$A$2:$B$198,2,FALSE)</f>
        <v>HMOLG</v>
      </c>
    </row>
    <row r="406" spans="1:5" x14ac:dyDescent="0.25">
      <c r="A406" s="56" t="s">
        <v>117</v>
      </c>
      <c r="B406" s="57" t="s">
        <v>61</v>
      </c>
      <c r="C406" s="58">
        <v>433</v>
      </c>
      <c r="D406" s="58"/>
      <c r="E406" t="str">
        <f>VLOOKUP(B406,CAC!$A$2:$B$198,2,FALSE)</f>
        <v>HMOLG</v>
      </c>
    </row>
    <row r="407" spans="1:5" x14ac:dyDescent="0.25">
      <c r="A407" s="56" t="s">
        <v>117</v>
      </c>
      <c r="B407" s="57" t="s">
        <v>62</v>
      </c>
      <c r="C407" s="58">
        <v>24868</v>
      </c>
      <c r="D407" s="58"/>
      <c r="E407" t="str">
        <f>VLOOKUP(B407,CAC!$A$2:$B$198,2,FALSE)</f>
        <v>HMOLG</v>
      </c>
    </row>
    <row r="408" spans="1:5" x14ac:dyDescent="0.25">
      <c r="A408" s="56" t="s">
        <v>117</v>
      </c>
      <c r="B408" s="57" t="s">
        <v>63</v>
      </c>
      <c r="C408" s="58">
        <v>118</v>
      </c>
      <c r="D408" s="58"/>
      <c r="E408" t="str">
        <f>VLOOKUP(B408,CAC!$A$2:$B$198,2,FALSE)</f>
        <v>HMOLG</v>
      </c>
    </row>
    <row r="409" spans="1:5" x14ac:dyDescent="0.25">
      <c r="A409" s="56" t="s">
        <v>117</v>
      </c>
      <c r="B409" s="57" t="s">
        <v>65</v>
      </c>
      <c r="C409" s="58">
        <v>227</v>
      </c>
      <c r="D409" s="58"/>
      <c r="E409" t="str">
        <f>VLOOKUP(B409,CAC!$A$2:$B$198,2,FALSE)</f>
        <v>HMFLEX</v>
      </c>
    </row>
    <row r="410" spans="1:5" x14ac:dyDescent="0.25">
      <c r="A410" s="56" t="s">
        <v>117</v>
      </c>
      <c r="B410" s="57" t="s">
        <v>66</v>
      </c>
      <c r="C410" s="58">
        <v>3904</v>
      </c>
      <c r="D410" s="58"/>
      <c r="E410" t="str">
        <f>VLOOKUP(B410,CAC!$A$2:$B$198,2,FALSE)</f>
        <v>HMOLG</v>
      </c>
    </row>
    <row r="411" spans="1:5" x14ac:dyDescent="0.25">
      <c r="A411" s="56" t="s">
        <v>117</v>
      </c>
      <c r="B411" s="57" t="s">
        <v>67</v>
      </c>
      <c r="C411" s="58">
        <v>130</v>
      </c>
      <c r="D411" s="58"/>
      <c r="E411" t="str">
        <f>VLOOKUP(B411,CAC!$A$2:$B$198,2,FALSE)</f>
        <v>HMOLG</v>
      </c>
    </row>
    <row r="412" spans="1:5" x14ac:dyDescent="0.25">
      <c r="A412" s="56" t="s">
        <v>117</v>
      </c>
      <c r="B412" s="57" t="s">
        <v>68</v>
      </c>
      <c r="C412" s="58">
        <v>269</v>
      </c>
      <c r="D412" s="58"/>
      <c r="E412" t="str">
        <f>VLOOKUP(B412,CAC!$A$2:$B$198,2,FALSE)</f>
        <v>HMOPMR</v>
      </c>
    </row>
    <row r="413" spans="1:5" x14ac:dyDescent="0.25">
      <c r="A413" s="56" t="s">
        <v>117</v>
      </c>
      <c r="B413" s="57" t="s">
        <v>69</v>
      </c>
      <c r="C413" s="58">
        <v>9916</v>
      </c>
      <c r="D413" s="58"/>
      <c r="E413" t="str">
        <f>VLOOKUP(B413,CAC!$A$2:$B$198,2,FALSE)</f>
        <v>HMOPMR</v>
      </c>
    </row>
    <row r="414" spans="1:5" x14ac:dyDescent="0.25">
      <c r="A414" s="56" t="s">
        <v>117</v>
      </c>
      <c r="B414" s="57" t="s">
        <v>70</v>
      </c>
      <c r="C414" s="58">
        <v>4091</v>
      </c>
      <c r="D414" s="58"/>
      <c r="E414" t="str">
        <f>VLOOKUP(B414,CAC!$A$2:$B$198,2,FALSE)</f>
        <v>HMOPMR</v>
      </c>
    </row>
    <row r="415" spans="1:5" x14ac:dyDescent="0.25">
      <c r="A415" s="56" t="s">
        <v>117</v>
      </c>
      <c r="B415" s="57" t="s">
        <v>71</v>
      </c>
      <c r="C415" s="58">
        <v>7044</v>
      </c>
      <c r="D415" s="58"/>
      <c r="E415" t="str">
        <f>VLOOKUP(B415,CAC!$A$2:$B$198,2,FALSE)</f>
        <v>HMOPMR</v>
      </c>
    </row>
    <row r="416" spans="1:5" x14ac:dyDescent="0.25">
      <c r="A416" s="56" t="s">
        <v>117</v>
      </c>
      <c r="B416" s="57" t="s">
        <v>72</v>
      </c>
      <c r="C416" s="58">
        <v>1670</v>
      </c>
      <c r="D416" s="58"/>
      <c r="E416" t="str">
        <f>VLOOKUP(B416,CAC!$A$2:$B$198,2,FALSE)</f>
        <v>HMFLEX</v>
      </c>
    </row>
    <row r="417" spans="1:5" x14ac:dyDescent="0.25">
      <c r="A417" s="56" t="s">
        <v>117</v>
      </c>
      <c r="B417" s="57" t="s">
        <v>100</v>
      </c>
      <c r="C417" s="58">
        <v>4</v>
      </c>
      <c r="D417" s="58"/>
      <c r="E417" t="e">
        <f>VLOOKUP(B417,CAC!$A$2:$B$198,2,FALSE)</f>
        <v>#N/A</v>
      </c>
    </row>
    <row r="418" spans="1:5" x14ac:dyDescent="0.25">
      <c r="A418" s="56" t="s">
        <v>117</v>
      </c>
      <c r="B418" s="57" t="s">
        <v>73</v>
      </c>
      <c r="C418" s="58">
        <v>40131</v>
      </c>
      <c r="D418" s="58"/>
      <c r="E418" t="str">
        <f>VLOOKUP(B418,CAC!$A$2:$B$198,2,FALSE)</f>
        <v>HMOPERA</v>
      </c>
    </row>
    <row r="419" spans="1:5" x14ac:dyDescent="0.25">
      <c r="A419" s="56" t="s">
        <v>117</v>
      </c>
      <c r="B419" s="57" t="s">
        <v>75</v>
      </c>
      <c r="C419" s="58">
        <v>41612</v>
      </c>
      <c r="D419" s="58"/>
      <c r="E419" t="str">
        <f>VLOOKUP(B419,CAC!$A$2:$B$198,2,FALSE)</f>
        <v>HMOPERN</v>
      </c>
    </row>
    <row r="420" spans="1:5" x14ac:dyDescent="0.25">
      <c r="A420" s="56" t="s">
        <v>117</v>
      </c>
      <c r="B420" s="57" t="s">
        <v>77</v>
      </c>
      <c r="C420" s="58">
        <v>20338</v>
      </c>
      <c r="D420" s="58"/>
      <c r="E420" t="str">
        <f>VLOOKUP(B420,CAC!$A$2:$B$198,2,FALSE)</f>
        <v>HMOSG</v>
      </c>
    </row>
    <row r="421" spans="1:5" x14ac:dyDescent="0.25">
      <c r="A421" s="56" t="s">
        <v>117</v>
      </c>
      <c r="B421" s="57" t="s">
        <v>78</v>
      </c>
      <c r="C421" s="58">
        <v>344</v>
      </c>
      <c r="D421" s="58"/>
      <c r="E421" t="str">
        <f>VLOOKUP(B421,CAC!$A$2:$B$198,2,FALSE)</f>
        <v>HMOSG</v>
      </c>
    </row>
    <row r="422" spans="1:5" x14ac:dyDescent="0.25">
      <c r="A422" s="56" t="s">
        <v>117</v>
      </c>
      <c r="B422" s="57" t="s">
        <v>79</v>
      </c>
      <c r="C422" s="58">
        <v>82</v>
      </c>
      <c r="D422" s="58"/>
      <c r="E422" t="str">
        <f>VLOOKUP(B422,CAC!$A$2:$B$198,2,FALSE)</f>
        <v>HMOSG</v>
      </c>
    </row>
    <row r="423" spans="1:5" x14ac:dyDescent="0.25">
      <c r="A423" s="56" t="s">
        <v>118</v>
      </c>
      <c r="B423" s="57" t="s">
        <v>52</v>
      </c>
      <c r="C423" s="58">
        <v>15601</v>
      </c>
      <c r="D423" s="58"/>
      <c r="E423" t="str">
        <f>VLOOKUP(B423,CAC!$A$2:$B$198,2,FALSE)</f>
        <v>HMOPMR</v>
      </c>
    </row>
    <row r="424" spans="1:5" x14ac:dyDescent="0.25">
      <c r="A424" s="56" t="s">
        <v>118</v>
      </c>
      <c r="B424" s="57" t="s">
        <v>53</v>
      </c>
      <c r="C424" s="58">
        <v>4131</v>
      </c>
      <c r="D424" s="58"/>
      <c r="E424" t="str">
        <f>VLOOKUP(B424,CAC!$A$2:$B$198,2,FALSE)</f>
        <v>HMOPMR</v>
      </c>
    </row>
    <row r="425" spans="1:5" x14ac:dyDescent="0.25">
      <c r="A425" s="56" t="s">
        <v>118</v>
      </c>
      <c r="B425" s="57" t="s">
        <v>54</v>
      </c>
      <c r="C425" s="58">
        <v>6097</v>
      </c>
      <c r="D425" s="58"/>
      <c r="E425" t="str">
        <f>VLOOKUP(B425,CAC!$A$2:$B$198,2,FALSE)</f>
        <v>HMOFEP</v>
      </c>
    </row>
    <row r="426" spans="1:5" x14ac:dyDescent="0.25">
      <c r="A426" s="56" t="s">
        <v>118</v>
      </c>
      <c r="B426" s="57" t="s">
        <v>55</v>
      </c>
      <c r="C426" s="58">
        <v>15256</v>
      </c>
      <c r="D426" s="58"/>
      <c r="E426" t="str">
        <f>VLOOKUP(B426,CAC!$A$2:$B$198,2,FALSE)</f>
        <v>HMOPMR</v>
      </c>
    </row>
    <row r="427" spans="1:5" x14ac:dyDescent="0.25">
      <c r="A427" s="56" t="s">
        <v>118</v>
      </c>
      <c r="B427" s="57" t="s">
        <v>56</v>
      </c>
      <c r="C427" s="58">
        <v>105</v>
      </c>
      <c r="D427" s="58"/>
      <c r="E427" t="str">
        <f>VLOOKUP(B427,CAC!$A$2:$B$198,2,FALSE)</f>
        <v>HMOPMR</v>
      </c>
    </row>
    <row r="428" spans="1:5" x14ac:dyDescent="0.25">
      <c r="A428" s="56" t="s">
        <v>118</v>
      </c>
      <c r="B428" s="57" t="s">
        <v>83</v>
      </c>
      <c r="C428" s="58">
        <v>700</v>
      </c>
      <c r="D428" s="58"/>
      <c r="E428" t="str">
        <f>VLOOKUP(B428,CAC!$A$2:$B$198,2,FALSE)</f>
        <v>HMOPMR</v>
      </c>
    </row>
    <row r="429" spans="1:5" x14ac:dyDescent="0.25">
      <c r="A429" s="56" t="s">
        <v>118</v>
      </c>
      <c r="B429" s="57" t="s">
        <v>57</v>
      </c>
      <c r="C429" s="58">
        <v>6105</v>
      </c>
      <c r="D429" s="58"/>
      <c r="E429" t="str">
        <f>VLOOKUP(B429,CAC!$A$2:$B$198,2,FALSE)</f>
        <v>HMFLEX</v>
      </c>
    </row>
    <row r="430" spans="1:5" x14ac:dyDescent="0.25">
      <c r="A430" s="56" t="s">
        <v>118</v>
      </c>
      <c r="B430" s="57" t="s">
        <v>58</v>
      </c>
      <c r="C430" s="58">
        <v>364</v>
      </c>
      <c r="D430" s="58"/>
      <c r="E430" t="str">
        <f>VLOOKUP(B430,CAC!$A$2:$B$198,2,FALSE)</f>
        <v>HMFLEX</v>
      </c>
    </row>
    <row r="431" spans="1:5" x14ac:dyDescent="0.25">
      <c r="A431" s="56" t="s">
        <v>118</v>
      </c>
      <c r="B431" s="57" t="s">
        <v>60</v>
      </c>
      <c r="C431" s="58">
        <v>13671</v>
      </c>
      <c r="D431" s="58"/>
      <c r="E431" t="str">
        <f>VLOOKUP(B431,CAC!$A$2:$B$198,2,FALSE)</f>
        <v>HMOLG</v>
      </c>
    </row>
    <row r="432" spans="1:5" x14ac:dyDescent="0.25">
      <c r="A432" s="56" t="s">
        <v>118</v>
      </c>
      <c r="B432" s="57" t="s">
        <v>61</v>
      </c>
      <c r="C432" s="58">
        <v>429</v>
      </c>
      <c r="D432" s="58"/>
      <c r="E432" t="str">
        <f>VLOOKUP(B432,CAC!$A$2:$B$198,2,FALSE)</f>
        <v>HMOLG</v>
      </c>
    </row>
    <row r="433" spans="1:5" x14ac:dyDescent="0.25">
      <c r="A433" s="56" t="s">
        <v>118</v>
      </c>
      <c r="B433" s="57" t="s">
        <v>62</v>
      </c>
      <c r="C433" s="58">
        <v>24687</v>
      </c>
      <c r="D433" s="58"/>
      <c r="E433" t="str">
        <f>VLOOKUP(B433,CAC!$A$2:$B$198,2,FALSE)</f>
        <v>HMOLG</v>
      </c>
    </row>
    <row r="434" spans="1:5" x14ac:dyDescent="0.25">
      <c r="A434" s="56" t="s">
        <v>118</v>
      </c>
      <c r="B434" s="57" t="s">
        <v>63</v>
      </c>
      <c r="C434" s="58">
        <v>119</v>
      </c>
      <c r="D434" s="58"/>
      <c r="E434" t="str">
        <f>VLOOKUP(B434,CAC!$A$2:$B$198,2,FALSE)</f>
        <v>HMOLG</v>
      </c>
    </row>
    <row r="435" spans="1:5" x14ac:dyDescent="0.25">
      <c r="A435" s="56" t="s">
        <v>118</v>
      </c>
      <c r="B435" s="57" t="s">
        <v>65</v>
      </c>
      <c r="C435" s="58">
        <v>230</v>
      </c>
      <c r="D435" s="58"/>
      <c r="E435" t="str">
        <f>VLOOKUP(B435,CAC!$A$2:$B$198,2,FALSE)</f>
        <v>HMFLEX</v>
      </c>
    </row>
    <row r="436" spans="1:5" x14ac:dyDescent="0.25">
      <c r="A436" s="56" t="s">
        <v>118</v>
      </c>
      <c r="B436" s="57" t="s">
        <v>66</v>
      </c>
      <c r="C436" s="58">
        <v>3977</v>
      </c>
      <c r="D436" s="58"/>
      <c r="E436" t="str">
        <f>VLOOKUP(B436,CAC!$A$2:$B$198,2,FALSE)</f>
        <v>HMOLG</v>
      </c>
    </row>
    <row r="437" spans="1:5" x14ac:dyDescent="0.25">
      <c r="A437" s="56" t="s">
        <v>118</v>
      </c>
      <c r="B437" s="57" t="s">
        <v>67</v>
      </c>
      <c r="C437" s="58">
        <v>130</v>
      </c>
      <c r="D437" s="58"/>
      <c r="E437" t="str">
        <f>VLOOKUP(B437,CAC!$A$2:$B$198,2,FALSE)</f>
        <v>HMOLG</v>
      </c>
    </row>
    <row r="438" spans="1:5" x14ac:dyDescent="0.25">
      <c r="A438" s="56" t="s">
        <v>118</v>
      </c>
      <c r="B438" s="57" t="s">
        <v>68</v>
      </c>
      <c r="C438" s="58">
        <v>275</v>
      </c>
      <c r="D438" s="58"/>
      <c r="E438" t="str">
        <f>VLOOKUP(B438,CAC!$A$2:$B$198,2,FALSE)</f>
        <v>HMOPMR</v>
      </c>
    </row>
    <row r="439" spans="1:5" x14ac:dyDescent="0.25">
      <c r="A439" s="56" t="s">
        <v>118</v>
      </c>
      <c r="B439" s="57" t="s">
        <v>69</v>
      </c>
      <c r="C439" s="58">
        <v>9815</v>
      </c>
      <c r="D439" s="58"/>
      <c r="E439" t="str">
        <f>VLOOKUP(B439,CAC!$A$2:$B$198,2,FALSE)</f>
        <v>HMOPMR</v>
      </c>
    </row>
    <row r="440" spans="1:5" x14ac:dyDescent="0.25">
      <c r="A440" s="56" t="s">
        <v>118</v>
      </c>
      <c r="B440" s="57" t="s">
        <v>70</v>
      </c>
      <c r="C440" s="58">
        <v>4125</v>
      </c>
      <c r="D440" s="58"/>
      <c r="E440" t="str">
        <f>VLOOKUP(B440,CAC!$A$2:$B$198,2,FALSE)</f>
        <v>HMOPMR</v>
      </c>
    </row>
    <row r="441" spans="1:5" x14ac:dyDescent="0.25">
      <c r="A441" s="56" t="s">
        <v>118</v>
      </c>
      <c r="B441" s="57" t="s">
        <v>71</v>
      </c>
      <c r="C441" s="58">
        <v>7201</v>
      </c>
      <c r="D441" s="58"/>
      <c r="E441" t="str">
        <f>VLOOKUP(B441,CAC!$A$2:$B$198,2,FALSE)</f>
        <v>HMOPMR</v>
      </c>
    </row>
    <row r="442" spans="1:5" x14ac:dyDescent="0.25">
      <c r="A442" s="56" t="s">
        <v>118</v>
      </c>
      <c r="B442" s="57" t="s">
        <v>72</v>
      </c>
      <c r="C442" s="58">
        <v>1673</v>
      </c>
      <c r="D442" s="58"/>
      <c r="E442" t="str">
        <f>VLOOKUP(B442,CAC!$A$2:$B$198,2,FALSE)</f>
        <v>HMFLEX</v>
      </c>
    </row>
    <row r="443" spans="1:5" x14ac:dyDescent="0.25">
      <c r="A443" s="56" t="s">
        <v>118</v>
      </c>
      <c r="B443" s="57" t="s">
        <v>100</v>
      </c>
      <c r="C443" s="58">
        <v>11</v>
      </c>
      <c r="D443" s="58"/>
      <c r="E443" t="e">
        <f>VLOOKUP(B443,CAC!$A$2:$B$198,2,FALSE)</f>
        <v>#N/A</v>
      </c>
    </row>
    <row r="444" spans="1:5" x14ac:dyDescent="0.25">
      <c r="A444" s="56" t="s">
        <v>118</v>
      </c>
      <c r="B444" s="57" t="s">
        <v>73</v>
      </c>
      <c r="C444" s="58">
        <v>39077</v>
      </c>
      <c r="D444" s="58"/>
      <c r="E444" t="str">
        <f>VLOOKUP(B444,CAC!$A$2:$B$198,2,FALSE)</f>
        <v>HMOPERA</v>
      </c>
    </row>
    <row r="445" spans="1:5" x14ac:dyDescent="0.25">
      <c r="A445" s="56" t="s">
        <v>118</v>
      </c>
      <c r="B445" s="57" t="s">
        <v>75</v>
      </c>
      <c r="C445" s="58">
        <v>40638</v>
      </c>
      <c r="D445" s="58"/>
      <c r="E445" t="str">
        <f>VLOOKUP(B445,CAC!$A$2:$B$198,2,FALSE)</f>
        <v>HMOPERN</v>
      </c>
    </row>
    <row r="446" spans="1:5" x14ac:dyDescent="0.25">
      <c r="A446" s="56" t="s">
        <v>118</v>
      </c>
      <c r="B446" s="57" t="s">
        <v>77</v>
      </c>
      <c r="C446" s="58">
        <v>20623</v>
      </c>
      <c r="D446" s="58"/>
      <c r="E446" t="str">
        <f>VLOOKUP(B446,CAC!$A$2:$B$198,2,FALSE)</f>
        <v>HMOSG</v>
      </c>
    </row>
    <row r="447" spans="1:5" x14ac:dyDescent="0.25">
      <c r="A447" s="56" t="s">
        <v>118</v>
      </c>
      <c r="B447" s="57" t="s">
        <v>78</v>
      </c>
      <c r="C447" s="58">
        <v>334</v>
      </c>
      <c r="D447" s="58"/>
      <c r="E447" t="str">
        <f>VLOOKUP(B447,CAC!$A$2:$B$198,2,FALSE)</f>
        <v>HMOSG</v>
      </c>
    </row>
    <row r="448" spans="1:5" x14ac:dyDescent="0.25">
      <c r="A448" s="56" t="s">
        <v>118</v>
      </c>
      <c r="B448" s="57" t="s">
        <v>79</v>
      </c>
      <c r="C448" s="58">
        <v>87</v>
      </c>
      <c r="D448" s="58"/>
      <c r="E448" t="str">
        <f>VLOOKUP(B448,CAC!$A$2:$B$198,2,FALSE)</f>
        <v>HMOSG</v>
      </c>
    </row>
    <row r="449" spans="1:5" x14ac:dyDescent="0.25">
      <c r="A449" s="56" t="s">
        <v>119</v>
      </c>
      <c r="B449" s="57" t="s">
        <v>98</v>
      </c>
      <c r="C449" s="58">
        <v>1</v>
      </c>
      <c r="D449" s="58"/>
      <c r="E449" t="str">
        <f>VLOOKUP(B449,CAC!$A$2:$B$198,2,FALSE)</f>
        <v>HMOPERA</v>
      </c>
    </row>
    <row r="450" spans="1:5" x14ac:dyDescent="0.25">
      <c r="A450" s="56" t="s">
        <v>119</v>
      </c>
      <c r="B450" s="57" t="s">
        <v>52</v>
      </c>
      <c r="C450" s="58">
        <v>15641</v>
      </c>
      <c r="D450" s="58"/>
      <c r="E450" t="str">
        <f>VLOOKUP(B450,CAC!$A$2:$B$198,2,FALSE)</f>
        <v>HMOPMR</v>
      </c>
    </row>
    <row r="451" spans="1:5" x14ac:dyDescent="0.25">
      <c r="A451" s="56" t="s">
        <v>119</v>
      </c>
      <c r="B451" s="57" t="s">
        <v>53</v>
      </c>
      <c r="C451" s="58">
        <v>4143</v>
      </c>
      <c r="D451" s="58"/>
      <c r="E451" t="str">
        <f>VLOOKUP(B451,CAC!$A$2:$B$198,2,FALSE)</f>
        <v>HMOPMR</v>
      </c>
    </row>
    <row r="452" spans="1:5" x14ac:dyDescent="0.25">
      <c r="A452" s="56" t="s">
        <v>119</v>
      </c>
      <c r="B452" s="57" t="s">
        <v>54</v>
      </c>
      <c r="C452" s="58">
        <v>6090</v>
      </c>
      <c r="D452" s="58"/>
      <c r="E452" t="str">
        <f>VLOOKUP(B452,CAC!$A$2:$B$198,2,FALSE)</f>
        <v>HMOFEP</v>
      </c>
    </row>
    <row r="453" spans="1:5" x14ac:dyDescent="0.25">
      <c r="A453" s="56" t="s">
        <v>119</v>
      </c>
      <c r="B453" s="57" t="s">
        <v>55</v>
      </c>
      <c r="C453" s="58">
        <v>14996</v>
      </c>
      <c r="D453" s="58"/>
      <c r="E453" t="str">
        <f>VLOOKUP(B453,CAC!$A$2:$B$198,2,FALSE)</f>
        <v>HMOPMR</v>
      </c>
    </row>
    <row r="454" spans="1:5" x14ac:dyDescent="0.25">
      <c r="A454" s="56" t="s">
        <v>119</v>
      </c>
      <c r="B454" s="57" t="s">
        <v>56</v>
      </c>
      <c r="C454" s="58">
        <v>105</v>
      </c>
      <c r="D454" s="58"/>
      <c r="E454" t="str">
        <f>VLOOKUP(B454,CAC!$A$2:$B$198,2,FALSE)</f>
        <v>HMOPMR</v>
      </c>
    </row>
    <row r="455" spans="1:5" x14ac:dyDescent="0.25">
      <c r="A455" s="56" t="s">
        <v>119</v>
      </c>
      <c r="B455" s="57" t="s">
        <v>83</v>
      </c>
      <c r="C455" s="58">
        <v>718</v>
      </c>
      <c r="D455" s="58"/>
      <c r="E455" t="str">
        <f>VLOOKUP(B455,CAC!$A$2:$B$198,2,FALSE)</f>
        <v>HMOPMR</v>
      </c>
    </row>
    <row r="456" spans="1:5" x14ac:dyDescent="0.25">
      <c r="A456" s="56" t="s">
        <v>119</v>
      </c>
      <c r="B456" s="57" t="s">
        <v>57</v>
      </c>
      <c r="C456" s="58">
        <v>6137</v>
      </c>
      <c r="D456" s="58"/>
      <c r="E456" t="str">
        <f>VLOOKUP(B456,CAC!$A$2:$B$198,2,FALSE)</f>
        <v>HMFLEX</v>
      </c>
    </row>
    <row r="457" spans="1:5" x14ac:dyDescent="0.25">
      <c r="A457" s="56" t="s">
        <v>119</v>
      </c>
      <c r="B457" s="57" t="s">
        <v>58</v>
      </c>
      <c r="C457" s="58">
        <v>374</v>
      </c>
      <c r="D457" s="58"/>
      <c r="E457" t="str">
        <f>VLOOKUP(B457,CAC!$A$2:$B$198,2,FALSE)</f>
        <v>HMFLEX</v>
      </c>
    </row>
    <row r="458" spans="1:5" x14ac:dyDescent="0.25">
      <c r="A458" s="56" t="s">
        <v>119</v>
      </c>
      <c r="B458" s="57" t="s">
        <v>60</v>
      </c>
      <c r="C458" s="58">
        <v>13658</v>
      </c>
      <c r="D458" s="58"/>
      <c r="E458" t="str">
        <f>VLOOKUP(B458,CAC!$A$2:$B$198,2,FALSE)</f>
        <v>HMOLG</v>
      </c>
    </row>
    <row r="459" spans="1:5" x14ac:dyDescent="0.25">
      <c r="A459" s="56" t="s">
        <v>119</v>
      </c>
      <c r="B459" s="57" t="s">
        <v>61</v>
      </c>
      <c r="C459" s="58">
        <v>439</v>
      </c>
      <c r="D459" s="58"/>
      <c r="E459" t="str">
        <f>VLOOKUP(B459,CAC!$A$2:$B$198,2,FALSE)</f>
        <v>HMOLG</v>
      </c>
    </row>
    <row r="460" spans="1:5" x14ac:dyDescent="0.25">
      <c r="A460" s="56" t="s">
        <v>119</v>
      </c>
      <c r="B460" s="57" t="s">
        <v>62</v>
      </c>
      <c r="C460" s="58">
        <v>24226</v>
      </c>
      <c r="D460" s="58"/>
      <c r="E460" t="str">
        <f>VLOOKUP(B460,CAC!$A$2:$B$198,2,FALSE)</f>
        <v>HMOLG</v>
      </c>
    </row>
    <row r="461" spans="1:5" x14ac:dyDescent="0.25">
      <c r="A461" s="56" t="s">
        <v>119</v>
      </c>
      <c r="B461" s="57" t="s">
        <v>86</v>
      </c>
      <c r="C461" s="58">
        <v>29</v>
      </c>
      <c r="D461" s="58"/>
      <c r="E461" t="str">
        <f>VLOOKUP(B461,CAC!$A$2:$B$198,2,FALSE)</f>
        <v>HMOLG</v>
      </c>
    </row>
    <row r="462" spans="1:5" x14ac:dyDescent="0.25">
      <c r="A462" s="56" t="s">
        <v>119</v>
      </c>
      <c r="B462" s="57" t="s">
        <v>63</v>
      </c>
      <c r="C462" s="58">
        <v>115</v>
      </c>
      <c r="D462" s="58"/>
      <c r="E462" t="str">
        <f>VLOOKUP(B462,CAC!$A$2:$B$198,2,FALSE)</f>
        <v>HMOLG</v>
      </c>
    </row>
    <row r="463" spans="1:5" x14ac:dyDescent="0.25">
      <c r="A463" s="56" t="s">
        <v>119</v>
      </c>
      <c r="B463" s="57" t="s">
        <v>65</v>
      </c>
      <c r="C463" s="58">
        <v>226</v>
      </c>
      <c r="D463" s="58"/>
      <c r="E463" t="str">
        <f>VLOOKUP(B463,CAC!$A$2:$B$198,2,FALSE)</f>
        <v>HMFLEX</v>
      </c>
    </row>
    <row r="464" spans="1:5" x14ac:dyDescent="0.25">
      <c r="A464" s="56" t="s">
        <v>119</v>
      </c>
      <c r="B464" s="57" t="s">
        <v>66</v>
      </c>
      <c r="C464" s="58">
        <v>3956</v>
      </c>
      <c r="D464" s="58"/>
      <c r="E464" t="str">
        <f>VLOOKUP(B464,CAC!$A$2:$B$198,2,FALSE)</f>
        <v>HMOLG</v>
      </c>
    </row>
    <row r="465" spans="1:5" x14ac:dyDescent="0.25">
      <c r="A465" s="56" t="s">
        <v>119</v>
      </c>
      <c r="B465" s="57" t="s">
        <v>67</v>
      </c>
      <c r="C465" s="58">
        <v>139</v>
      </c>
      <c r="D465" s="58"/>
      <c r="E465" t="str">
        <f>VLOOKUP(B465,CAC!$A$2:$B$198,2,FALSE)</f>
        <v>HMOLG</v>
      </c>
    </row>
    <row r="466" spans="1:5" x14ac:dyDescent="0.25">
      <c r="A466" s="56" t="s">
        <v>119</v>
      </c>
      <c r="B466" s="57" t="s">
        <v>68</v>
      </c>
      <c r="C466" s="58">
        <v>274</v>
      </c>
      <c r="D466" s="58"/>
      <c r="E466" t="str">
        <f>VLOOKUP(B466,CAC!$A$2:$B$198,2,FALSE)</f>
        <v>HMOPMR</v>
      </c>
    </row>
    <row r="467" spans="1:5" x14ac:dyDescent="0.25">
      <c r="A467" s="56" t="s">
        <v>119</v>
      </c>
      <c r="B467" s="57" t="s">
        <v>69</v>
      </c>
      <c r="C467" s="58">
        <v>9562</v>
      </c>
      <c r="D467" s="58"/>
      <c r="E467" t="str">
        <f>VLOOKUP(B467,CAC!$A$2:$B$198,2,FALSE)</f>
        <v>HMOPMR</v>
      </c>
    </row>
    <row r="468" spans="1:5" x14ac:dyDescent="0.25">
      <c r="A468" s="56" t="s">
        <v>119</v>
      </c>
      <c r="B468" s="57" t="s">
        <v>70</v>
      </c>
      <c r="C468" s="58">
        <v>4133</v>
      </c>
      <c r="D468" s="58"/>
      <c r="E468" t="str">
        <f>VLOOKUP(B468,CAC!$A$2:$B$198,2,FALSE)</f>
        <v>HMOPMR</v>
      </c>
    </row>
    <row r="469" spans="1:5" x14ac:dyDescent="0.25">
      <c r="A469" s="56" t="s">
        <v>119</v>
      </c>
      <c r="B469" s="57" t="s">
        <v>71</v>
      </c>
      <c r="C469" s="58">
        <v>6705</v>
      </c>
      <c r="D469" s="58"/>
      <c r="E469" t="str">
        <f>VLOOKUP(B469,CAC!$A$2:$B$198,2,FALSE)</f>
        <v>HMOPMR</v>
      </c>
    </row>
    <row r="470" spans="1:5" x14ac:dyDescent="0.25">
      <c r="A470" s="56" t="s">
        <v>119</v>
      </c>
      <c r="B470" s="57" t="s">
        <v>72</v>
      </c>
      <c r="C470" s="58">
        <v>2181</v>
      </c>
      <c r="D470" s="58"/>
      <c r="E470" t="str">
        <f>VLOOKUP(B470,CAC!$A$2:$B$198,2,FALSE)</f>
        <v>HMFLEX</v>
      </c>
    </row>
    <row r="471" spans="1:5" x14ac:dyDescent="0.25">
      <c r="A471" s="56" t="s">
        <v>119</v>
      </c>
      <c r="B471" s="57" t="s">
        <v>73</v>
      </c>
      <c r="C471" s="58">
        <v>38076</v>
      </c>
      <c r="D471" s="58"/>
      <c r="E471" t="str">
        <f>VLOOKUP(B471,CAC!$A$2:$B$198,2,FALSE)</f>
        <v>HMOPERA</v>
      </c>
    </row>
    <row r="472" spans="1:5" x14ac:dyDescent="0.25">
      <c r="A472" s="56" t="s">
        <v>119</v>
      </c>
      <c r="B472" s="57" t="s">
        <v>75</v>
      </c>
      <c r="C472" s="58">
        <v>37675</v>
      </c>
      <c r="D472" s="58"/>
      <c r="E472" t="str">
        <f>VLOOKUP(B472,CAC!$A$2:$B$198,2,FALSE)</f>
        <v>HMOPERN</v>
      </c>
    </row>
    <row r="473" spans="1:5" x14ac:dyDescent="0.25">
      <c r="A473" s="56" t="s">
        <v>119</v>
      </c>
      <c r="B473" s="57" t="s">
        <v>77</v>
      </c>
      <c r="C473" s="58">
        <v>20822</v>
      </c>
      <c r="D473" s="58"/>
      <c r="E473" t="str">
        <f>VLOOKUP(B473,CAC!$A$2:$B$198,2,FALSE)</f>
        <v>HMOSG</v>
      </c>
    </row>
    <row r="474" spans="1:5" x14ac:dyDescent="0.25">
      <c r="A474" s="56" t="s">
        <v>119</v>
      </c>
      <c r="B474" s="57" t="s">
        <v>78</v>
      </c>
      <c r="C474" s="58">
        <v>325</v>
      </c>
      <c r="D474" s="58"/>
      <c r="E474" t="str">
        <f>VLOOKUP(B474,CAC!$A$2:$B$198,2,FALSE)</f>
        <v>HMOSG</v>
      </c>
    </row>
    <row r="475" spans="1:5" x14ac:dyDescent="0.25">
      <c r="A475" s="56" t="s">
        <v>119</v>
      </c>
      <c r="B475" s="57" t="s">
        <v>79</v>
      </c>
      <c r="C475" s="58">
        <v>88</v>
      </c>
      <c r="D475" s="58"/>
      <c r="E475" t="str">
        <f>VLOOKUP(B475,CAC!$A$2:$B$198,2,FALSE)</f>
        <v>HMOSG</v>
      </c>
    </row>
    <row r="476" spans="1:5" x14ac:dyDescent="0.25">
      <c r="A476" s="56" t="s">
        <v>120</v>
      </c>
      <c r="B476" s="57" t="s">
        <v>52</v>
      </c>
      <c r="C476" s="58">
        <v>15633</v>
      </c>
      <c r="D476" s="58"/>
      <c r="E476" t="str">
        <f>VLOOKUP(B476,CAC!$A$2:$B$198,2,FALSE)</f>
        <v>HMOPMR</v>
      </c>
    </row>
    <row r="477" spans="1:5" x14ac:dyDescent="0.25">
      <c r="A477" s="56" t="s">
        <v>120</v>
      </c>
      <c r="B477" s="57" t="s">
        <v>53</v>
      </c>
      <c r="C477" s="58">
        <v>4186</v>
      </c>
      <c r="D477" s="58"/>
      <c r="E477" t="str">
        <f>VLOOKUP(B477,CAC!$A$2:$B$198,2,FALSE)</f>
        <v>HMOPMR</v>
      </c>
    </row>
    <row r="478" spans="1:5" x14ac:dyDescent="0.25">
      <c r="A478" s="56" t="s">
        <v>120</v>
      </c>
      <c r="B478" s="57" t="s">
        <v>55</v>
      </c>
      <c r="C478" s="58">
        <v>14222</v>
      </c>
      <c r="D478" s="58"/>
      <c r="E478" t="str">
        <f>VLOOKUP(B478,CAC!$A$2:$B$198,2,FALSE)</f>
        <v>HMOPMR</v>
      </c>
    </row>
    <row r="479" spans="1:5" x14ac:dyDescent="0.25">
      <c r="A479" s="56" t="s">
        <v>120</v>
      </c>
      <c r="B479" s="57" t="s">
        <v>56</v>
      </c>
      <c r="C479" s="58">
        <v>106</v>
      </c>
      <c r="D479" s="58"/>
      <c r="E479" t="str">
        <f>VLOOKUP(B479,CAC!$A$2:$B$198,2,FALSE)</f>
        <v>HMOPMR</v>
      </c>
    </row>
    <row r="480" spans="1:5" x14ac:dyDescent="0.25">
      <c r="A480" s="56" t="s">
        <v>120</v>
      </c>
      <c r="B480" s="57" t="s">
        <v>83</v>
      </c>
      <c r="C480" s="58">
        <v>1991</v>
      </c>
      <c r="D480" s="58"/>
      <c r="E480" t="str">
        <f>VLOOKUP(B480,CAC!$A$2:$B$198,2,FALSE)</f>
        <v>HMOPMR</v>
      </c>
    </row>
    <row r="481" spans="1:5" x14ac:dyDescent="0.25">
      <c r="A481" s="56" t="s">
        <v>120</v>
      </c>
      <c r="B481" s="57" t="s">
        <v>57</v>
      </c>
      <c r="C481" s="58">
        <v>6187</v>
      </c>
      <c r="D481" s="58"/>
      <c r="E481" t="str">
        <f>VLOOKUP(B481,CAC!$A$2:$B$198,2,FALSE)</f>
        <v>HMFLEX</v>
      </c>
    </row>
    <row r="482" spans="1:5" x14ac:dyDescent="0.25">
      <c r="A482" s="56" t="s">
        <v>120</v>
      </c>
      <c r="B482" s="57" t="s">
        <v>58</v>
      </c>
      <c r="C482" s="58">
        <v>359</v>
      </c>
      <c r="D482" s="58"/>
      <c r="E482" t="str">
        <f>VLOOKUP(B482,CAC!$A$2:$B$198,2,FALSE)</f>
        <v>HMFLEX</v>
      </c>
    </row>
    <row r="483" spans="1:5" x14ac:dyDescent="0.25">
      <c r="A483" s="56" t="s">
        <v>120</v>
      </c>
      <c r="B483" s="57" t="s">
        <v>60</v>
      </c>
      <c r="C483" s="58">
        <v>13541</v>
      </c>
      <c r="D483" s="58"/>
      <c r="E483" t="str">
        <f>VLOOKUP(B483,CAC!$A$2:$B$198,2,FALSE)</f>
        <v>HMOLG</v>
      </c>
    </row>
    <row r="484" spans="1:5" x14ac:dyDescent="0.25">
      <c r="A484" s="56" t="s">
        <v>120</v>
      </c>
      <c r="B484" s="57" t="s">
        <v>61</v>
      </c>
      <c r="C484" s="58">
        <v>432</v>
      </c>
      <c r="D484" s="58"/>
      <c r="E484" t="str">
        <f>VLOOKUP(B484,CAC!$A$2:$B$198,2,FALSE)</f>
        <v>HMOLG</v>
      </c>
    </row>
    <row r="485" spans="1:5" x14ac:dyDescent="0.25">
      <c r="A485" s="56" t="s">
        <v>120</v>
      </c>
      <c r="B485" s="57" t="s">
        <v>62</v>
      </c>
      <c r="C485" s="58">
        <v>23351</v>
      </c>
      <c r="D485" s="58"/>
      <c r="E485" t="str">
        <f>VLOOKUP(B485,CAC!$A$2:$B$198,2,FALSE)</f>
        <v>HMOLG</v>
      </c>
    </row>
    <row r="486" spans="1:5" x14ac:dyDescent="0.25">
      <c r="A486" s="56" t="s">
        <v>120</v>
      </c>
      <c r="B486" s="57" t="s">
        <v>86</v>
      </c>
      <c r="C486" s="58">
        <v>238</v>
      </c>
      <c r="D486" s="58"/>
      <c r="E486" t="str">
        <f>VLOOKUP(B486,CAC!$A$2:$B$198,2,FALSE)</f>
        <v>HMOLG</v>
      </c>
    </row>
    <row r="487" spans="1:5" x14ac:dyDescent="0.25">
      <c r="A487" s="56" t="s">
        <v>120</v>
      </c>
      <c r="B487" s="57" t="s">
        <v>63</v>
      </c>
      <c r="C487" s="58">
        <v>108</v>
      </c>
      <c r="D487" s="58"/>
      <c r="E487" t="str">
        <f>VLOOKUP(B487,CAC!$A$2:$B$198,2,FALSE)</f>
        <v>HMOLG</v>
      </c>
    </row>
    <row r="488" spans="1:5" x14ac:dyDescent="0.25">
      <c r="A488" s="56" t="s">
        <v>120</v>
      </c>
      <c r="B488" s="57" t="s">
        <v>65</v>
      </c>
      <c r="C488" s="58">
        <v>225</v>
      </c>
      <c r="D488" s="58"/>
      <c r="E488" t="str">
        <f>VLOOKUP(B488,CAC!$A$2:$B$198,2,FALSE)</f>
        <v>HMFLEX</v>
      </c>
    </row>
    <row r="489" spans="1:5" x14ac:dyDescent="0.25">
      <c r="A489" s="56" t="s">
        <v>120</v>
      </c>
      <c r="B489" s="57" t="s">
        <v>66</v>
      </c>
      <c r="C489" s="58">
        <v>4035</v>
      </c>
      <c r="D489" s="58"/>
      <c r="E489" t="str">
        <f>VLOOKUP(B489,CAC!$A$2:$B$198,2,FALSE)</f>
        <v>HMOLG</v>
      </c>
    </row>
    <row r="490" spans="1:5" x14ac:dyDescent="0.25">
      <c r="A490" s="56" t="s">
        <v>120</v>
      </c>
      <c r="B490" s="57" t="s">
        <v>67</v>
      </c>
      <c r="C490" s="58">
        <v>133</v>
      </c>
      <c r="D490" s="58"/>
      <c r="E490" t="str">
        <f>VLOOKUP(B490,CAC!$A$2:$B$198,2,FALSE)</f>
        <v>HMOLG</v>
      </c>
    </row>
    <row r="491" spans="1:5" x14ac:dyDescent="0.25">
      <c r="A491" s="56" t="s">
        <v>120</v>
      </c>
      <c r="B491" s="57" t="s">
        <v>68</v>
      </c>
      <c r="C491" s="58">
        <v>279</v>
      </c>
      <c r="D491" s="58"/>
      <c r="E491" t="str">
        <f>VLOOKUP(B491,CAC!$A$2:$B$198,2,FALSE)</f>
        <v>HMOPMR</v>
      </c>
    </row>
    <row r="492" spans="1:5" x14ac:dyDescent="0.25">
      <c r="A492" s="56" t="s">
        <v>120</v>
      </c>
      <c r="B492" s="57" t="s">
        <v>69</v>
      </c>
      <c r="C492" s="58">
        <v>9629</v>
      </c>
      <c r="D492" s="58"/>
      <c r="E492" t="str">
        <f>VLOOKUP(B492,CAC!$A$2:$B$198,2,FALSE)</f>
        <v>HMOPMR</v>
      </c>
    </row>
    <row r="493" spans="1:5" x14ac:dyDescent="0.25">
      <c r="A493" s="56" t="s">
        <v>120</v>
      </c>
      <c r="B493" s="57" t="s">
        <v>70</v>
      </c>
      <c r="C493" s="58">
        <v>4122</v>
      </c>
      <c r="D493" s="58"/>
      <c r="E493" t="str">
        <f>VLOOKUP(B493,CAC!$A$2:$B$198,2,FALSE)</f>
        <v>HMOPMR</v>
      </c>
    </row>
    <row r="494" spans="1:5" x14ac:dyDescent="0.25">
      <c r="A494" s="56" t="s">
        <v>120</v>
      </c>
      <c r="B494" s="57" t="s">
        <v>71</v>
      </c>
      <c r="C494" s="58">
        <v>6732</v>
      </c>
      <c r="D494" s="58"/>
      <c r="E494" t="str">
        <f>VLOOKUP(B494,CAC!$A$2:$B$198,2,FALSE)</f>
        <v>HMOPMR</v>
      </c>
    </row>
    <row r="495" spans="1:5" x14ac:dyDescent="0.25">
      <c r="A495" s="56" t="s">
        <v>120</v>
      </c>
      <c r="B495" s="57" t="s">
        <v>72</v>
      </c>
      <c r="C495" s="58">
        <v>2200</v>
      </c>
      <c r="D495" s="58"/>
      <c r="E495" t="str">
        <f>VLOOKUP(B495,CAC!$A$2:$B$198,2,FALSE)</f>
        <v>HMFLEX</v>
      </c>
    </row>
    <row r="496" spans="1:5" x14ac:dyDescent="0.25">
      <c r="A496" s="56" t="s">
        <v>120</v>
      </c>
      <c r="B496" s="57" t="s">
        <v>100</v>
      </c>
      <c r="C496" s="58">
        <v>6096</v>
      </c>
      <c r="D496" s="58"/>
      <c r="E496" t="e">
        <f>VLOOKUP(B496,CAC!$A$2:$B$198,2,FALSE)</f>
        <v>#N/A</v>
      </c>
    </row>
    <row r="497" spans="1:5" x14ac:dyDescent="0.25">
      <c r="A497" s="56" t="s">
        <v>120</v>
      </c>
      <c r="B497" s="57" t="s">
        <v>73</v>
      </c>
      <c r="C497" s="58">
        <v>37993</v>
      </c>
      <c r="D497" s="58"/>
      <c r="E497" t="str">
        <f>VLOOKUP(B497,CAC!$A$2:$B$198,2,FALSE)</f>
        <v>HMOPERA</v>
      </c>
    </row>
    <row r="498" spans="1:5" x14ac:dyDescent="0.25">
      <c r="A498" s="56" t="s">
        <v>120</v>
      </c>
      <c r="B498" s="57" t="s">
        <v>75</v>
      </c>
      <c r="C498" s="58">
        <v>37476</v>
      </c>
      <c r="D498" s="58"/>
      <c r="E498" t="str">
        <f>VLOOKUP(B498,CAC!$A$2:$B$198,2,FALSE)</f>
        <v>HMOPERN</v>
      </c>
    </row>
    <row r="499" spans="1:5" x14ac:dyDescent="0.25">
      <c r="A499" s="56" t="s">
        <v>120</v>
      </c>
      <c r="B499" s="57" t="s">
        <v>77</v>
      </c>
      <c r="C499" s="58">
        <v>20797</v>
      </c>
      <c r="D499" s="58"/>
      <c r="E499" t="str">
        <f>VLOOKUP(B499,CAC!$A$2:$B$198,2,FALSE)</f>
        <v>HMOSG</v>
      </c>
    </row>
    <row r="500" spans="1:5" x14ac:dyDescent="0.25">
      <c r="A500" s="56" t="s">
        <v>120</v>
      </c>
      <c r="B500" s="57" t="s">
        <v>78</v>
      </c>
      <c r="C500" s="58">
        <v>309</v>
      </c>
      <c r="D500" s="58"/>
      <c r="E500" t="str">
        <f>VLOOKUP(B500,CAC!$A$2:$B$198,2,FALSE)</f>
        <v>HMOSG</v>
      </c>
    </row>
    <row r="501" spans="1:5" x14ac:dyDescent="0.25">
      <c r="A501" s="56" t="s">
        <v>120</v>
      </c>
      <c r="B501" s="57" t="s">
        <v>79</v>
      </c>
      <c r="C501" s="58">
        <v>90</v>
      </c>
      <c r="D501" s="58"/>
      <c r="E501" t="str">
        <f>VLOOKUP(B501,CAC!$A$2:$B$198,2,FALSE)</f>
        <v>HMOSG</v>
      </c>
    </row>
    <row r="502" spans="1:5" x14ac:dyDescent="0.25">
      <c r="A502" s="56" t="s">
        <v>121</v>
      </c>
      <c r="B502" s="57" t="s">
        <v>52</v>
      </c>
      <c r="C502" s="58">
        <v>15560</v>
      </c>
      <c r="D502" s="58"/>
      <c r="E502" t="str">
        <f>VLOOKUP(B502,CAC!$A$2:$B$198,2,FALSE)</f>
        <v>HMOPMR</v>
      </c>
    </row>
    <row r="503" spans="1:5" x14ac:dyDescent="0.25">
      <c r="A503" s="56" t="s">
        <v>121</v>
      </c>
      <c r="B503" s="57" t="s">
        <v>53</v>
      </c>
      <c r="C503" s="58">
        <v>4200</v>
      </c>
      <c r="D503" s="58"/>
      <c r="E503" t="str">
        <f>VLOOKUP(B503,CAC!$A$2:$B$198,2,FALSE)</f>
        <v>HMOPMR</v>
      </c>
    </row>
    <row r="504" spans="1:5" x14ac:dyDescent="0.25">
      <c r="A504" s="56" t="s">
        <v>121</v>
      </c>
      <c r="B504" s="57" t="s">
        <v>54</v>
      </c>
      <c r="C504" s="58">
        <v>6066</v>
      </c>
      <c r="D504" s="58"/>
      <c r="E504" t="str">
        <f>VLOOKUP(B504,CAC!$A$2:$B$198,2,FALSE)</f>
        <v>HMOFEP</v>
      </c>
    </row>
    <row r="505" spans="1:5" x14ac:dyDescent="0.25">
      <c r="A505" s="56" t="s">
        <v>121</v>
      </c>
      <c r="B505" s="57" t="s">
        <v>55</v>
      </c>
      <c r="C505" s="58">
        <v>14173</v>
      </c>
      <c r="D505" s="58"/>
      <c r="E505" t="str">
        <f>VLOOKUP(B505,CAC!$A$2:$B$198,2,FALSE)</f>
        <v>HMOPMR</v>
      </c>
    </row>
    <row r="506" spans="1:5" x14ac:dyDescent="0.25">
      <c r="A506" s="56" t="s">
        <v>121</v>
      </c>
      <c r="B506" s="57" t="s">
        <v>56</v>
      </c>
      <c r="C506" s="58">
        <v>105</v>
      </c>
      <c r="D506" s="58"/>
      <c r="E506" t="str">
        <f>VLOOKUP(B506,CAC!$A$2:$B$198,2,FALSE)</f>
        <v>HMOPMR</v>
      </c>
    </row>
    <row r="507" spans="1:5" x14ac:dyDescent="0.25">
      <c r="A507" s="56" t="s">
        <v>121</v>
      </c>
      <c r="B507" s="57" t="s">
        <v>83</v>
      </c>
      <c r="C507" s="58">
        <v>1947</v>
      </c>
      <c r="D507" s="58"/>
      <c r="E507" t="str">
        <f>VLOOKUP(B507,CAC!$A$2:$B$198,2,FALSE)</f>
        <v>HMOPMR</v>
      </c>
    </row>
    <row r="508" spans="1:5" x14ac:dyDescent="0.25">
      <c r="A508" s="56" t="s">
        <v>121</v>
      </c>
      <c r="B508" s="57" t="s">
        <v>57</v>
      </c>
      <c r="C508" s="58">
        <v>6222</v>
      </c>
      <c r="D508" s="58"/>
      <c r="E508" t="str">
        <f>VLOOKUP(B508,CAC!$A$2:$B$198,2,FALSE)</f>
        <v>HMFLEX</v>
      </c>
    </row>
    <row r="509" spans="1:5" x14ac:dyDescent="0.25">
      <c r="A509" s="56" t="s">
        <v>121</v>
      </c>
      <c r="B509" s="57" t="s">
        <v>58</v>
      </c>
      <c r="C509" s="58">
        <v>364</v>
      </c>
      <c r="D509" s="58"/>
      <c r="E509" t="str">
        <f>VLOOKUP(B509,CAC!$A$2:$B$198,2,FALSE)</f>
        <v>HMFLEX</v>
      </c>
    </row>
    <row r="510" spans="1:5" x14ac:dyDescent="0.25">
      <c r="A510" s="56" t="s">
        <v>121</v>
      </c>
      <c r="B510" s="57" t="s">
        <v>60</v>
      </c>
      <c r="C510" s="58">
        <v>13377</v>
      </c>
      <c r="D510" s="58"/>
      <c r="E510" t="str">
        <f>VLOOKUP(B510,CAC!$A$2:$B$198,2,FALSE)</f>
        <v>HMOLG</v>
      </c>
    </row>
    <row r="511" spans="1:5" x14ac:dyDescent="0.25">
      <c r="A511" s="56" t="s">
        <v>121</v>
      </c>
      <c r="B511" s="57" t="s">
        <v>61</v>
      </c>
      <c r="C511" s="58">
        <v>434</v>
      </c>
      <c r="D511" s="58"/>
      <c r="E511" t="str">
        <f>VLOOKUP(B511,CAC!$A$2:$B$198,2,FALSE)</f>
        <v>HMOLG</v>
      </c>
    </row>
    <row r="512" spans="1:5" x14ac:dyDescent="0.25">
      <c r="A512" s="56" t="s">
        <v>121</v>
      </c>
      <c r="B512" s="57" t="s">
        <v>62</v>
      </c>
      <c r="C512" s="58">
        <v>23215</v>
      </c>
      <c r="D512" s="58"/>
      <c r="E512" t="str">
        <f>VLOOKUP(B512,CAC!$A$2:$B$198,2,FALSE)</f>
        <v>HMOLG</v>
      </c>
    </row>
    <row r="513" spans="1:5" x14ac:dyDescent="0.25">
      <c r="A513" s="56" t="s">
        <v>121</v>
      </c>
      <c r="B513" s="57" t="s">
        <v>86</v>
      </c>
      <c r="C513" s="58">
        <v>262</v>
      </c>
      <c r="D513" s="58"/>
      <c r="E513" t="str">
        <f>VLOOKUP(B513,CAC!$A$2:$B$198,2,FALSE)</f>
        <v>HMOLG</v>
      </c>
    </row>
    <row r="514" spans="1:5" x14ac:dyDescent="0.25">
      <c r="A514" s="56" t="s">
        <v>121</v>
      </c>
      <c r="B514" s="57" t="s">
        <v>63</v>
      </c>
      <c r="C514" s="58">
        <v>105</v>
      </c>
      <c r="D514" s="58"/>
      <c r="E514" t="str">
        <f>VLOOKUP(B514,CAC!$A$2:$B$198,2,FALSE)</f>
        <v>HMOLG</v>
      </c>
    </row>
    <row r="515" spans="1:5" x14ac:dyDescent="0.25">
      <c r="A515" s="56" t="s">
        <v>121</v>
      </c>
      <c r="B515" s="57" t="s">
        <v>65</v>
      </c>
      <c r="C515" s="58">
        <v>225</v>
      </c>
      <c r="D515" s="58"/>
      <c r="E515" t="str">
        <f>VLOOKUP(B515,CAC!$A$2:$B$198,2,FALSE)</f>
        <v>HMFLEX</v>
      </c>
    </row>
    <row r="516" spans="1:5" x14ac:dyDescent="0.25">
      <c r="A516" s="56" t="s">
        <v>121</v>
      </c>
      <c r="B516" s="57" t="s">
        <v>66</v>
      </c>
      <c r="C516" s="58">
        <v>4003</v>
      </c>
      <c r="D516" s="58"/>
      <c r="E516" t="str">
        <f>VLOOKUP(B516,CAC!$A$2:$B$198,2,FALSE)</f>
        <v>HMOLG</v>
      </c>
    </row>
    <row r="517" spans="1:5" x14ac:dyDescent="0.25">
      <c r="A517" s="56" t="s">
        <v>121</v>
      </c>
      <c r="B517" s="57" t="s">
        <v>67</v>
      </c>
      <c r="C517" s="58">
        <v>136</v>
      </c>
      <c r="D517" s="58"/>
      <c r="E517" t="str">
        <f>VLOOKUP(B517,CAC!$A$2:$B$198,2,FALSE)</f>
        <v>HMOLG</v>
      </c>
    </row>
    <row r="518" spans="1:5" x14ac:dyDescent="0.25">
      <c r="A518" s="56" t="s">
        <v>121</v>
      </c>
      <c r="B518" s="57" t="s">
        <v>68</v>
      </c>
      <c r="C518" s="58">
        <v>280</v>
      </c>
      <c r="D518" s="58"/>
      <c r="E518" t="str">
        <f>VLOOKUP(B518,CAC!$A$2:$B$198,2,FALSE)</f>
        <v>HMOPMR</v>
      </c>
    </row>
    <row r="519" spans="1:5" x14ac:dyDescent="0.25">
      <c r="A519" s="56" t="s">
        <v>121</v>
      </c>
      <c r="B519" s="57" t="s">
        <v>69</v>
      </c>
      <c r="C519" s="58">
        <v>9399</v>
      </c>
      <c r="D519" s="58"/>
      <c r="E519" t="str">
        <f>VLOOKUP(B519,CAC!$A$2:$B$198,2,FALSE)</f>
        <v>HMOPMR</v>
      </c>
    </row>
    <row r="520" spans="1:5" x14ac:dyDescent="0.25">
      <c r="A520" s="56" t="s">
        <v>121</v>
      </c>
      <c r="B520" s="57" t="s">
        <v>70</v>
      </c>
      <c r="C520" s="58">
        <v>4097</v>
      </c>
      <c r="D520" s="58"/>
      <c r="E520" t="str">
        <f>VLOOKUP(B520,CAC!$A$2:$B$198,2,FALSE)</f>
        <v>HMOPMR</v>
      </c>
    </row>
    <row r="521" spans="1:5" x14ac:dyDescent="0.25">
      <c r="A521" s="56" t="s">
        <v>121</v>
      </c>
      <c r="B521" s="57" t="s">
        <v>71</v>
      </c>
      <c r="C521" s="58">
        <v>6736</v>
      </c>
      <c r="D521" s="58"/>
      <c r="E521" t="str">
        <f>VLOOKUP(B521,CAC!$A$2:$B$198,2,FALSE)</f>
        <v>HMOPMR</v>
      </c>
    </row>
    <row r="522" spans="1:5" x14ac:dyDescent="0.25">
      <c r="A522" s="56" t="s">
        <v>121</v>
      </c>
      <c r="B522" s="57" t="s">
        <v>72</v>
      </c>
      <c r="C522" s="58">
        <v>2192</v>
      </c>
      <c r="D522" s="58"/>
      <c r="E522" t="str">
        <f>VLOOKUP(B522,CAC!$A$2:$B$198,2,FALSE)</f>
        <v>HMFLEX</v>
      </c>
    </row>
    <row r="523" spans="1:5" x14ac:dyDescent="0.25">
      <c r="A523" s="56" t="s">
        <v>121</v>
      </c>
      <c r="B523" s="57" t="s">
        <v>100</v>
      </c>
      <c r="C523" s="58">
        <v>7</v>
      </c>
      <c r="D523" s="58"/>
      <c r="E523" t="e">
        <f>VLOOKUP(B523,CAC!$A$2:$B$198,2,FALSE)</f>
        <v>#N/A</v>
      </c>
    </row>
    <row r="524" spans="1:5" x14ac:dyDescent="0.25">
      <c r="A524" s="56" t="s">
        <v>121</v>
      </c>
      <c r="B524" s="57" t="s">
        <v>73</v>
      </c>
      <c r="C524" s="58">
        <v>37721</v>
      </c>
      <c r="D524" s="58"/>
      <c r="E524" t="str">
        <f>VLOOKUP(B524,CAC!$A$2:$B$198,2,FALSE)</f>
        <v>HMOPERA</v>
      </c>
    </row>
    <row r="525" spans="1:5" x14ac:dyDescent="0.25">
      <c r="A525" s="56" t="s">
        <v>121</v>
      </c>
      <c r="B525" s="57" t="s">
        <v>75</v>
      </c>
      <c r="C525" s="58">
        <v>37035</v>
      </c>
      <c r="D525" s="58"/>
      <c r="E525" t="str">
        <f>VLOOKUP(B525,CAC!$A$2:$B$198,2,FALSE)</f>
        <v>HMOPERN</v>
      </c>
    </row>
    <row r="526" spans="1:5" x14ac:dyDescent="0.25">
      <c r="A526" s="56" t="s">
        <v>121</v>
      </c>
      <c r="B526" s="57" t="s">
        <v>77</v>
      </c>
      <c r="C526" s="58">
        <v>21090</v>
      </c>
      <c r="D526" s="58"/>
      <c r="E526" t="str">
        <f>VLOOKUP(B526,CAC!$A$2:$B$198,2,FALSE)</f>
        <v>HMOSG</v>
      </c>
    </row>
    <row r="527" spans="1:5" x14ac:dyDescent="0.25">
      <c r="A527" s="56" t="s">
        <v>121</v>
      </c>
      <c r="B527" s="57" t="s">
        <v>78</v>
      </c>
      <c r="C527" s="58">
        <v>330</v>
      </c>
      <c r="D527" s="58"/>
      <c r="E527" t="str">
        <f>VLOOKUP(B527,CAC!$A$2:$B$198,2,FALSE)</f>
        <v>HMOSG</v>
      </c>
    </row>
    <row r="528" spans="1:5" x14ac:dyDescent="0.25">
      <c r="A528" s="56" t="s">
        <v>121</v>
      </c>
      <c r="B528" s="57" t="s">
        <v>79</v>
      </c>
      <c r="C528" s="58">
        <v>91</v>
      </c>
      <c r="D528" s="58"/>
      <c r="E528" t="str">
        <f>VLOOKUP(B528,CAC!$A$2:$B$198,2,FALSE)</f>
        <v>HMOSG</v>
      </c>
    </row>
    <row r="529" spans="1:5" x14ac:dyDescent="0.25">
      <c r="A529" s="56" t="s">
        <v>122</v>
      </c>
      <c r="B529" s="57" t="s">
        <v>52</v>
      </c>
      <c r="C529" s="58">
        <v>16364</v>
      </c>
      <c r="D529" s="58"/>
      <c r="E529" t="str">
        <f>VLOOKUP(B529,CAC!$A$2:$B$198,2,FALSE)</f>
        <v>HMOPMR</v>
      </c>
    </row>
    <row r="530" spans="1:5" x14ac:dyDescent="0.25">
      <c r="A530" s="56" t="s">
        <v>122</v>
      </c>
      <c r="B530" s="57" t="s">
        <v>53</v>
      </c>
      <c r="C530" s="58">
        <v>4256</v>
      </c>
      <c r="D530" s="58"/>
      <c r="E530" t="str">
        <f>VLOOKUP(B530,CAC!$A$2:$B$198,2,FALSE)</f>
        <v>HMOPMR</v>
      </c>
    </row>
    <row r="531" spans="1:5" x14ac:dyDescent="0.25">
      <c r="A531" s="56" t="s">
        <v>122</v>
      </c>
      <c r="B531" s="57" t="s">
        <v>54</v>
      </c>
      <c r="C531" s="58">
        <v>6109</v>
      </c>
      <c r="D531" s="58"/>
      <c r="E531" t="str">
        <f>VLOOKUP(B531,CAC!$A$2:$B$198,2,FALSE)</f>
        <v>HMOFEP</v>
      </c>
    </row>
    <row r="532" spans="1:5" x14ac:dyDescent="0.25">
      <c r="A532" s="56" t="s">
        <v>122</v>
      </c>
      <c r="B532" s="57" t="s">
        <v>55</v>
      </c>
      <c r="C532" s="58">
        <v>14697</v>
      </c>
      <c r="D532" s="58"/>
      <c r="E532" t="str">
        <f>VLOOKUP(B532,CAC!$A$2:$B$198,2,FALSE)</f>
        <v>HMOPMR</v>
      </c>
    </row>
    <row r="533" spans="1:5" x14ac:dyDescent="0.25">
      <c r="A533" s="56" t="s">
        <v>122</v>
      </c>
      <c r="B533" s="57" t="s">
        <v>56</v>
      </c>
      <c r="C533" s="58">
        <v>107</v>
      </c>
      <c r="D533" s="58"/>
      <c r="E533" t="str">
        <f>VLOOKUP(B533,CAC!$A$2:$B$198,2,FALSE)</f>
        <v>HMOPMR</v>
      </c>
    </row>
    <row r="534" spans="1:5" x14ac:dyDescent="0.25">
      <c r="A534" s="56" t="s">
        <v>122</v>
      </c>
      <c r="B534" s="57" t="s">
        <v>83</v>
      </c>
      <c r="C534" s="58">
        <v>1889</v>
      </c>
      <c r="D534" s="58"/>
      <c r="E534" t="str">
        <f>VLOOKUP(B534,CAC!$A$2:$B$198,2,FALSE)</f>
        <v>HMOPMR</v>
      </c>
    </row>
    <row r="535" spans="1:5" x14ac:dyDescent="0.25">
      <c r="A535" s="56" t="s">
        <v>122</v>
      </c>
      <c r="B535" s="57" t="s">
        <v>57</v>
      </c>
      <c r="C535" s="58">
        <v>6368</v>
      </c>
      <c r="D535" s="58"/>
      <c r="E535" t="str">
        <f>VLOOKUP(B535,CAC!$A$2:$B$198,2,FALSE)</f>
        <v>HMFLEX</v>
      </c>
    </row>
    <row r="536" spans="1:5" x14ac:dyDescent="0.25">
      <c r="A536" s="56" t="s">
        <v>122</v>
      </c>
      <c r="B536" s="57" t="s">
        <v>58</v>
      </c>
      <c r="C536" s="58">
        <v>361</v>
      </c>
      <c r="D536" s="58"/>
      <c r="E536" t="str">
        <f>VLOOKUP(B536,CAC!$A$2:$B$198,2,FALSE)</f>
        <v>HMFLEX</v>
      </c>
    </row>
    <row r="537" spans="1:5" x14ac:dyDescent="0.25">
      <c r="A537" s="56" t="s">
        <v>122</v>
      </c>
      <c r="B537" s="57" t="s">
        <v>60</v>
      </c>
      <c r="C537" s="58">
        <v>13536</v>
      </c>
      <c r="D537" s="58"/>
      <c r="E537" t="str">
        <f>VLOOKUP(B537,CAC!$A$2:$B$198,2,FALSE)</f>
        <v>HMOLG</v>
      </c>
    </row>
    <row r="538" spans="1:5" x14ac:dyDescent="0.25">
      <c r="A538" s="56" t="s">
        <v>122</v>
      </c>
      <c r="B538" s="57" t="s">
        <v>61</v>
      </c>
      <c r="C538" s="58">
        <v>434</v>
      </c>
      <c r="D538" s="58"/>
      <c r="E538" t="str">
        <f>VLOOKUP(B538,CAC!$A$2:$B$198,2,FALSE)</f>
        <v>HMOLG</v>
      </c>
    </row>
    <row r="539" spans="1:5" x14ac:dyDescent="0.25">
      <c r="A539" s="56" t="s">
        <v>122</v>
      </c>
      <c r="B539" s="57" t="s">
        <v>62</v>
      </c>
      <c r="C539" s="58">
        <v>23118</v>
      </c>
      <c r="D539" s="58"/>
      <c r="E539" t="str">
        <f>VLOOKUP(B539,CAC!$A$2:$B$198,2,FALSE)</f>
        <v>HMOLG</v>
      </c>
    </row>
    <row r="540" spans="1:5" x14ac:dyDescent="0.25">
      <c r="A540" s="56" t="s">
        <v>122</v>
      </c>
      <c r="B540" s="57" t="s">
        <v>86</v>
      </c>
      <c r="C540" s="58">
        <v>301</v>
      </c>
      <c r="D540" s="58"/>
      <c r="E540" t="str">
        <f>VLOOKUP(B540,CAC!$A$2:$B$198,2,FALSE)</f>
        <v>HMOLG</v>
      </c>
    </row>
    <row r="541" spans="1:5" x14ac:dyDescent="0.25">
      <c r="A541" s="56" t="s">
        <v>122</v>
      </c>
      <c r="B541" s="57" t="s">
        <v>63</v>
      </c>
      <c r="C541" s="58">
        <v>93</v>
      </c>
      <c r="D541" s="58"/>
      <c r="E541" t="str">
        <f>VLOOKUP(B541,CAC!$A$2:$B$198,2,FALSE)</f>
        <v>HMOLG</v>
      </c>
    </row>
    <row r="542" spans="1:5" x14ac:dyDescent="0.25">
      <c r="A542" s="56" t="s">
        <v>122</v>
      </c>
      <c r="B542" s="57" t="s">
        <v>65</v>
      </c>
      <c r="C542" s="58">
        <v>212</v>
      </c>
      <c r="D542" s="58"/>
      <c r="E542" t="str">
        <f>VLOOKUP(B542,CAC!$A$2:$B$198,2,FALSE)</f>
        <v>HMFLEX</v>
      </c>
    </row>
    <row r="543" spans="1:5" x14ac:dyDescent="0.25">
      <c r="A543" s="56" t="s">
        <v>122</v>
      </c>
      <c r="B543" s="57" t="s">
        <v>66</v>
      </c>
      <c r="C543" s="58">
        <v>4192</v>
      </c>
      <c r="D543" s="58"/>
      <c r="E543" t="str">
        <f>VLOOKUP(B543,CAC!$A$2:$B$198,2,FALSE)</f>
        <v>HMOLG</v>
      </c>
    </row>
    <row r="544" spans="1:5" x14ac:dyDescent="0.25">
      <c r="A544" s="56" t="s">
        <v>122</v>
      </c>
      <c r="B544" s="57" t="s">
        <v>67</v>
      </c>
      <c r="C544" s="58">
        <v>138</v>
      </c>
      <c r="D544" s="58"/>
      <c r="E544" t="str">
        <f>VLOOKUP(B544,CAC!$A$2:$B$198,2,FALSE)</f>
        <v>HMOLG</v>
      </c>
    </row>
    <row r="545" spans="1:5" x14ac:dyDescent="0.25">
      <c r="A545" s="56" t="s">
        <v>122</v>
      </c>
      <c r="B545" s="57" t="s">
        <v>68</v>
      </c>
      <c r="C545" s="58">
        <v>285</v>
      </c>
      <c r="D545" s="58"/>
      <c r="E545" t="str">
        <f>VLOOKUP(B545,CAC!$A$2:$B$198,2,FALSE)</f>
        <v>HMOPMR</v>
      </c>
    </row>
    <row r="546" spans="1:5" x14ac:dyDescent="0.25">
      <c r="A546" s="56" t="s">
        <v>122</v>
      </c>
      <c r="B546" s="57" t="s">
        <v>69</v>
      </c>
      <c r="C546" s="58">
        <v>9202</v>
      </c>
      <c r="D546" s="58"/>
      <c r="E546" t="str">
        <f>VLOOKUP(B546,CAC!$A$2:$B$198,2,FALSE)</f>
        <v>HMOPMR</v>
      </c>
    </row>
    <row r="547" spans="1:5" x14ac:dyDescent="0.25">
      <c r="A547" s="56" t="s">
        <v>122</v>
      </c>
      <c r="B547" s="57" t="s">
        <v>70</v>
      </c>
      <c r="C547" s="58">
        <v>4098</v>
      </c>
      <c r="D547" s="58"/>
      <c r="E547" t="str">
        <f>VLOOKUP(B547,CAC!$A$2:$B$198,2,FALSE)</f>
        <v>HMOPMR</v>
      </c>
    </row>
    <row r="548" spans="1:5" x14ac:dyDescent="0.25">
      <c r="A548" s="56" t="s">
        <v>122</v>
      </c>
      <c r="B548" s="57" t="s">
        <v>71</v>
      </c>
      <c r="C548" s="58">
        <v>6875</v>
      </c>
      <c r="D548" s="58"/>
      <c r="E548" t="str">
        <f>VLOOKUP(B548,CAC!$A$2:$B$198,2,FALSE)</f>
        <v>HMOPMR</v>
      </c>
    </row>
    <row r="549" spans="1:5" x14ac:dyDescent="0.25">
      <c r="A549" s="56" t="s">
        <v>122</v>
      </c>
      <c r="B549" s="57" t="s">
        <v>72</v>
      </c>
      <c r="C549" s="58">
        <v>2250</v>
      </c>
      <c r="D549" s="58"/>
      <c r="E549" t="str">
        <f>VLOOKUP(B549,CAC!$A$2:$B$198,2,FALSE)</f>
        <v>HMFLEX</v>
      </c>
    </row>
    <row r="550" spans="1:5" x14ac:dyDescent="0.25">
      <c r="A550" s="56" t="s">
        <v>122</v>
      </c>
      <c r="B550" s="57" t="s">
        <v>100</v>
      </c>
      <c r="C550" s="58">
        <v>6</v>
      </c>
      <c r="D550" s="58"/>
      <c r="E550" t="e">
        <f>VLOOKUP(B550,CAC!$A$2:$B$198,2,FALSE)</f>
        <v>#N/A</v>
      </c>
    </row>
    <row r="551" spans="1:5" x14ac:dyDescent="0.25">
      <c r="A551" s="56" t="s">
        <v>122</v>
      </c>
      <c r="B551" s="57" t="s">
        <v>73</v>
      </c>
      <c r="C551" s="58">
        <v>37871</v>
      </c>
      <c r="D551" s="58"/>
      <c r="E551" t="str">
        <f>VLOOKUP(B551,CAC!$A$2:$B$198,2,FALSE)</f>
        <v>HMOPERA</v>
      </c>
    </row>
    <row r="552" spans="1:5" x14ac:dyDescent="0.25">
      <c r="A552" s="56" t="s">
        <v>122</v>
      </c>
      <c r="B552" s="57" t="s">
        <v>75</v>
      </c>
      <c r="C552" s="58">
        <v>36908</v>
      </c>
      <c r="D552" s="58"/>
      <c r="E552" t="str">
        <f>VLOOKUP(B552,CAC!$A$2:$B$198,2,FALSE)</f>
        <v>HMOPERN</v>
      </c>
    </row>
    <row r="553" spans="1:5" x14ac:dyDescent="0.25">
      <c r="A553" s="56" t="s">
        <v>122</v>
      </c>
      <c r="B553" s="57" t="s">
        <v>77</v>
      </c>
      <c r="C553" s="58">
        <v>21597</v>
      </c>
      <c r="D553" s="58"/>
      <c r="E553" t="str">
        <f>VLOOKUP(B553,CAC!$A$2:$B$198,2,FALSE)</f>
        <v>HMOSG</v>
      </c>
    </row>
    <row r="554" spans="1:5" x14ac:dyDescent="0.25">
      <c r="A554" s="56" t="s">
        <v>122</v>
      </c>
      <c r="B554" s="57" t="s">
        <v>78</v>
      </c>
      <c r="C554" s="58">
        <v>325</v>
      </c>
      <c r="D554" s="58"/>
      <c r="E554" t="str">
        <f>VLOOKUP(B554,CAC!$A$2:$B$198,2,FALSE)</f>
        <v>HMOSG</v>
      </c>
    </row>
    <row r="555" spans="1:5" x14ac:dyDescent="0.25">
      <c r="A555" s="56" t="s">
        <v>122</v>
      </c>
      <c r="B555" s="57" t="s">
        <v>79</v>
      </c>
      <c r="C555" s="58">
        <v>80</v>
      </c>
      <c r="D555" s="58"/>
      <c r="E555" t="str">
        <f>VLOOKUP(B555,CAC!$A$2:$B$198,2,FALSE)</f>
        <v>HMOSG</v>
      </c>
    </row>
    <row r="556" spans="1:5" x14ac:dyDescent="0.25">
      <c r="A556" s="56" t="s">
        <v>123</v>
      </c>
      <c r="B556" s="57" t="s">
        <v>52</v>
      </c>
      <c r="C556" s="58">
        <v>15427</v>
      </c>
      <c r="D556" s="58"/>
      <c r="E556" t="str">
        <f>VLOOKUP(B556,CAC!$A$2:$B$198,2,FALSE)</f>
        <v>HMOPMR</v>
      </c>
    </row>
    <row r="557" spans="1:5" x14ac:dyDescent="0.25">
      <c r="A557" s="56" t="s">
        <v>123</v>
      </c>
      <c r="B557" s="57" t="s">
        <v>53</v>
      </c>
      <c r="C557" s="58">
        <v>4257</v>
      </c>
      <c r="D557" s="58"/>
      <c r="E557" t="str">
        <f>VLOOKUP(B557,CAC!$A$2:$B$198,2,FALSE)</f>
        <v>HMOPMR</v>
      </c>
    </row>
    <row r="558" spans="1:5" x14ac:dyDescent="0.25">
      <c r="A558" s="56" t="s">
        <v>123</v>
      </c>
      <c r="B558" s="57" t="s">
        <v>54</v>
      </c>
      <c r="C558" s="58">
        <v>6096</v>
      </c>
      <c r="D558" s="58"/>
      <c r="E558" t="str">
        <f>VLOOKUP(B558,CAC!$A$2:$B$198,2,FALSE)</f>
        <v>HMOFEP</v>
      </c>
    </row>
    <row r="559" spans="1:5" x14ac:dyDescent="0.25">
      <c r="A559" s="56" t="s">
        <v>123</v>
      </c>
      <c r="B559" s="57" t="s">
        <v>55</v>
      </c>
      <c r="C559" s="58">
        <v>14719</v>
      </c>
      <c r="D559" s="58"/>
      <c r="E559" t="str">
        <f>VLOOKUP(B559,CAC!$A$2:$B$198,2,FALSE)</f>
        <v>HMOPMR</v>
      </c>
    </row>
    <row r="560" spans="1:5" x14ac:dyDescent="0.25">
      <c r="A560" s="56" t="s">
        <v>123</v>
      </c>
      <c r="B560" s="57" t="s">
        <v>56</v>
      </c>
      <c r="C560" s="58">
        <v>105</v>
      </c>
      <c r="D560" s="58"/>
      <c r="E560" t="str">
        <f>VLOOKUP(B560,CAC!$A$2:$B$198,2,FALSE)</f>
        <v>HMOPMR</v>
      </c>
    </row>
    <row r="561" spans="1:5" x14ac:dyDescent="0.25">
      <c r="A561" s="56" t="s">
        <v>123</v>
      </c>
      <c r="B561" s="57" t="s">
        <v>83</v>
      </c>
      <c r="C561" s="58">
        <v>1876</v>
      </c>
      <c r="D561" s="58"/>
      <c r="E561" t="str">
        <f>VLOOKUP(B561,CAC!$A$2:$B$198,2,FALSE)</f>
        <v>HMOPMR</v>
      </c>
    </row>
    <row r="562" spans="1:5" x14ac:dyDescent="0.25">
      <c r="A562" s="56" t="s">
        <v>123</v>
      </c>
      <c r="B562" s="57" t="s">
        <v>57</v>
      </c>
      <c r="C562" s="58">
        <v>4220</v>
      </c>
      <c r="D562" s="58"/>
      <c r="E562" t="str">
        <f>VLOOKUP(B562,CAC!$A$2:$B$198,2,FALSE)</f>
        <v>HMFLEX</v>
      </c>
    </row>
    <row r="563" spans="1:5" x14ac:dyDescent="0.25">
      <c r="A563" s="56" t="s">
        <v>123</v>
      </c>
      <c r="B563" s="57" t="s">
        <v>58</v>
      </c>
      <c r="C563" s="58">
        <v>362</v>
      </c>
      <c r="D563" s="58"/>
      <c r="E563" t="str">
        <f>VLOOKUP(B563,CAC!$A$2:$B$198,2,FALSE)</f>
        <v>HMFLEX</v>
      </c>
    </row>
    <row r="564" spans="1:5" x14ac:dyDescent="0.25">
      <c r="A564" s="56" t="s">
        <v>123</v>
      </c>
      <c r="B564" s="57" t="s">
        <v>60</v>
      </c>
      <c r="C564" s="58">
        <v>13399</v>
      </c>
      <c r="D564" s="58"/>
      <c r="E564" t="str">
        <f>VLOOKUP(B564,CAC!$A$2:$B$198,2,FALSE)</f>
        <v>HMOLG</v>
      </c>
    </row>
    <row r="565" spans="1:5" x14ac:dyDescent="0.25">
      <c r="A565" s="56" t="s">
        <v>123</v>
      </c>
      <c r="B565" s="57" t="s">
        <v>61</v>
      </c>
      <c r="C565" s="58">
        <v>440</v>
      </c>
      <c r="D565" s="58"/>
      <c r="E565" t="str">
        <f>VLOOKUP(B565,CAC!$A$2:$B$198,2,FALSE)</f>
        <v>HMOLG</v>
      </c>
    </row>
    <row r="566" spans="1:5" x14ac:dyDescent="0.25">
      <c r="A566" s="56" t="s">
        <v>123</v>
      </c>
      <c r="B566" s="57" t="s">
        <v>62</v>
      </c>
      <c r="C566" s="58">
        <v>22713</v>
      </c>
      <c r="D566" s="58"/>
      <c r="E566" t="str">
        <f>VLOOKUP(B566,CAC!$A$2:$B$198,2,FALSE)</f>
        <v>HMOLG</v>
      </c>
    </row>
    <row r="567" spans="1:5" x14ac:dyDescent="0.25">
      <c r="A567" s="56" t="s">
        <v>123</v>
      </c>
      <c r="B567" s="57" t="s">
        <v>86</v>
      </c>
      <c r="C567" s="58">
        <v>307</v>
      </c>
      <c r="D567" s="58"/>
      <c r="E567" t="str">
        <f>VLOOKUP(B567,CAC!$A$2:$B$198,2,FALSE)</f>
        <v>HMOLG</v>
      </c>
    </row>
    <row r="568" spans="1:5" x14ac:dyDescent="0.25">
      <c r="A568" s="56" t="s">
        <v>123</v>
      </c>
      <c r="B568" s="57" t="s">
        <v>63</v>
      </c>
      <c r="C568" s="58">
        <v>89</v>
      </c>
      <c r="D568" s="58"/>
      <c r="E568" t="str">
        <f>VLOOKUP(B568,CAC!$A$2:$B$198,2,FALSE)</f>
        <v>HMOLG</v>
      </c>
    </row>
    <row r="569" spans="1:5" x14ac:dyDescent="0.25">
      <c r="A569" s="56" t="s">
        <v>123</v>
      </c>
      <c r="B569" s="57" t="s">
        <v>65</v>
      </c>
      <c r="C569" s="58">
        <v>219</v>
      </c>
      <c r="D569" s="58"/>
      <c r="E569" t="str">
        <f>VLOOKUP(B569,CAC!$A$2:$B$198,2,FALSE)</f>
        <v>HMFLEX</v>
      </c>
    </row>
    <row r="570" spans="1:5" x14ac:dyDescent="0.25">
      <c r="A570" s="56" t="s">
        <v>123</v>
      </c>
      <c r="B570" s="57" t="s">
        <v>66</v>
      </c>
      <c r="C570" s="58">
        <v>4140</v>
      </c>
      <c r="D570" s="58"/>
      <c r="E570" t="str">
        <f>VLOOKUP(B570,CAC!$A$2:$B$198,2,FALSE)</f>
        <v>HMOLG</v>
      </c>
    </row>
    <row r="571" spans="1:5" x14ac:dyDescent="0.25">
      <c r="A571" s="56" t="s">
        <v>123</v>
      </c>
      <c r="B571" s="57" t="s">
        <v>67</v>
      </c>
      <c r="C571" s="58">
        <v>139</v>
      </c>
      <c r="D571" s="58"/>
      <c r="E571" t="str">
        <f>VLOOKUP(B571,CAC!$A$2:$B$198,2,FALSE)</f>
        <v>HMOLG</v>
      </c>
    </row>
    <row r="572" spans="1:5" x14ac:dyDescent="0.25">
      <c r="A572" s="56" t="s">
        <v>123</v>
      </c>
      <c r="B572" s="57" t="s">
        <v>68</v>
      </c>
      <c r="C572" s="58">
        <v>292</v>
      </c>
      <c r="D572" s="58"/>
      <c r="E572" t="str">
        <f>VLOOKUP(B572,CAC!$A$2:$B$198,2,FALSE)</f>
        <v>HMOPMR</v>
      </c>
    </row>
    <row r="573" spans="1:5" x14ac:dyDescent="0.25">
      <c r="A573" s="56" t="s">
        <v>123</v>
      </c>
      <c r="B573" s="57" t="s">
        <v>69</v>
      </c>
      <c r="C573" s="58">
        <v>9237</v>
      </c>
      <c r="D573" s="58"/>
      <c r="E573" t="str">
        <f>VLOOKUP(B573,CAC!$A$2:$B$198,2,FALSE)</f>
        <v>HMOPMR</v>
      </c>
    </row>
    <row r="574" spans="1:5" x14ac:dyDescent="0.25">
      <c r="A574" s="56" t="s">
        <v>123</v>
      </c>
      <c r="B574" s="57" t="s">
        <v>70</v>
      </c>
      <c r="C574" s="58">
        <v>4122</v>
      </c>
      <c r="D574" s="58"/>
      <c r="E574" t="str">
        <f>VLOOKUP(B574,CAC!$A$2:$B$198,2,FALSE)</f>
        <v>HMOPMR</v>
      </c>
    </row>
    <row r="575" spans="1:5" x14ac:dyDescent="0.25">
      <c r="A575" s="56" t="s">
        <v>123</v>
      </c>
      <c r="B575" s="57" t="s">
        <v>71</v>
      </c>
      <c r="C575" s="58">
        <v>6890</v>
      </c>
      <c r="D575" s="58"/>
      <c r="E575" t="str">
        <f>VLOOKUP(B575,CAC!$A$2:$B$198,2,FALSE)</f>
        <v>HMOPMR</v>
      </c>
    </row>
    <row r="576" spans="1:5" x14ac:dyDescent="0.25">
      <c r="A576" s="56" t="s">
        <v>123</v>
      </c>
      <c r="B576" s="57" t="s">
        <v>72</v>
      </c>
      <c r="C576" s="58">
        <v>5216</v>
      </c>
      <c r="D576" s="58"/>
      <c r="E576" t="str">
        <f>VLOOKUP(B576,CAC!$A$2:$B$198,2,FALSE)</f>
        <v>HMFLEX</v>
      </c>
    </row>
    <row r="577" spans="1:5" x14ac:dyDescent="0.25">
      <c r="A577" s="56" t="s">
        <v>123</v>
      </c>
      <c r="B577" s="57" t="s">
        <v>73</v>
      </c>
      <c r="C577" s="58">
        <v>37774</v>
      </c>
      <c r="D577" s="58"/>
      <c r="E577" t="str">
        <f>VLOOKUP(B577,CAC!$A$2:$B$198,2,FALSE)</f>
        <v>HMOPERA</v>
      </c>
    </row>
    <row r="578" spans="1:5" x14ac:dyDescent="0.25">
      <c r="A578" s="56" t="s">
        <v>123</v>
      </c>
      <c r="B578" s="57" t="s">
        <v>75</v>
      </c>
      <c r="C578" s="58">
        <v>36628</v>
      </c>
      <c r="D578" s="58"/>
      <c r="E578" t="str">
        <f>VLOOKUP(B578,CAC!$A$2:$B$198,2,FALSE)</f>
        <v>HMOPERN</v>
      </c>
    </row>
    <row r="579" spans="1:5" x14ac:dyDescent="0.25">
      <c r="A579" s="56" t="s">
        <v>123</v>
      </c>
      <c r="B579" s="57" t="s">
        <v>77</v>
      </c>
      <c r="C579" s="58">
        <v>21778</v>
      </c>
      <c r="D579" s="58"/>
      <c r="E579" t="str">
        <f>VLOOKUP(B579,CAC!$A$2:$B$198,2,FALSE)</f>
        <v>HMOSG</v>
      </c>
    </row>
    <row r="580" spans="1:5" x14ac:dyDescent="0.25">
      <c r="A580" s="56" t="s">
        <v>123</v>
      </c>
      <c r="B580" s="57" t="s">
        <v>78</v>
      </c>
      <c r="C580" s="58">
        <v>327</v>
      </c>
      <c r="D580" s="58"/>
      <c r="E580" t="str">
        <f>VLOOKUP(B580,CAC!$A$2:$B$198,2,FALSE)</f>
        <v>HMOSG</v>
      </c>
    </row>
    <row r="581" spans="1:5" x14ac:dyDescent="0.25">
      <c r="A581" s="56" t="s">
        <v>123</v>
      </c>
      <c r="B581" s="57" t="s">
        <v>79</v>
      </c>
      <c r="C581" s="58">
        <v>71</v>
      </c>
      <c r="D581" s="58"/>
      <c r="E581" t="str">
        <f>VLOOKUP(B581,CAC!$A$2:$B$198,2,FALSE)</f>
        <v>HMOSG</v>
      </c>
    </row>
    <row r="582" spans="1:5" x14ac:dyDescent="0.25">
      <c r="A582" s="56" t="s">
        <v>124</v>
      </c>
      <c r="B582" s="57" t="s">
        <v>52</v>
      </c>
      <c r="C582" s="58">
        <v>15514</v>
      </c>
      <c r="D582" s="58"/>
      <c r="E582" t="str">
        <f>VLOOKUP(B582,CAC!$A$2:$B$198,2,FALSE)</f>
        <v>HMOPMR</v>
      </c>
    </row>
    <row r="583" spans="1:5" x14ac:dyDescent="0.25">
      <c r="A583" s="56" t="s">
        <v>124</v>
      </c>
      <c r="B583" s="57" t="s">
        <v>53</v>
      </c>
      <c r="C583" s="58">
        <v>4181</v>
      </c>
      <c r="D583" s="58"/>
      <c r="E583" t="str">
        <f>VLOOKUP(B583,CAC!$A$2:$B$198,2,FALSE)</f>
        <v>HMOPMR</v>
      </c>
    </row>
    <row r="584" spans="1:5" x14ac:dyDescent="0.25">
      <c r="A584" s="56" t="s">
        <v>124</v>
      </c>
      <c r="B584" s="57" t="s">
        <v>54</v>
      </c>
      <c r="C584" s="58">
        <v>6085</v>
      </c>
      <c r="D584" s="58"/>
      <c r="E584" t="str">
        <f>VLOOKUP(B584,CAC!$A$2:$B$198,2,FALSE)</f>
        <v>HMOFEP</v>
      </c>
    </row>
    <row r="585" spans="1:5" x14ac:dyDescent="0.25">
      <c r="A585" s="56" t="s">
        <v>124</v>
      </c>
      <c r="B585" s="57" t="s">
        <v>55</v>
      </c>
      <c r="C585" s="58">
        <v>14590</v>
      </c>
      <c r="D585" s="58"/>
      <c r="E585" t="str">
        <f>VLOOKUP(B585,CAC!$A$2:$B$198,2,FALSE)</f>
        <v>HMOPMR</v>
      </c>
    </row>
    <row r="586" spans="1:5" x14ac:dyDescent="0.25">
      <c r="A586" s="56" t="s">
        <v>124</v>
      </c>
      <c r="B586" s="57" t="s">
        <v>56</v>
      </c>
      <c r="C586" s="58">
        <v>100</v>
      </c>
      <c r="D586" s="58"/>
      <c r="E586" t="str">
        <f>VLOOKUP(B586,CAC!$A$2:$B$198,2,FALSE)</f>
        <v>HMOPMR</v>
      </c>
    </row>
    <row r="587" spans="1:5" x14ac:dyDescent="0.25">
      <c r="A587" s="56" t="s">
        <v>124</v>
      </c>
      <c r="B587" s="57" t="s">
        <v>83</v>
      </c>
      <c r="C587" s="58">
        <v>1899</v>
      </c>
      <c r="D587" s="58"/>
      <c r="E587" t="str">
        <f>VLOOKUP(B587,CAC!$A$2:$B$198,2,FALSE)</f>
        <v>HMOPMR</v>
      </c>
    </row>
    <row r="588" spans="1:5" x14ac:dyDescent="0.25">
      <c r="A588" s="56" t="s">
        <v>124</v>
      </c>
      <c r="B588" s="57" t="s">
        <v>57</v>
      </c>
      <c r="C588" s="58">
        <v>4193</v>
      </c>
      <c r="D588" s="58"/>
      <c r="E588" t="str">
        <f>VLOOKUP(B588,CAC!$A$2:$B$198,2,FALSE)</f>
        <v>HMFLEX</v>
      </c>
    </row>
    <row r="589" spans="1:5" x14ac:dyDescent="0.25">
      <c r="A589" s="56" t="s">
        <v>124</v>
      </c>
      <c r="B589" s="57" t="s">
        <v>58</v>
      </c>
      <c r="C589" s="58">
        <v>363</v>
      </c>
      <c r="D589" s="58"/>
      <c r="E589" t="str">
        <f>VLOOKUP(B589,CAC!$A$2:$B$198,2,FALSE)</f>
        <v>HMFLEX</v>
      </c>
    </row>
    <row r="590" spans="1:5" x14ac:dyDescent="0.25">
      <c r="A590" s="56" t="s">
        <v>124</v>
      </c>
      <c r="B590" s="57" t="s">
        <v>60</v>
      </c>
      <c r="C590" s="58">
        <v>13188</v>
      </c>
      <c r="D590" s="58"/>
      <c r="E590" t="str">
        <f>VLOOKUP(B590,CAC!$A$2:$B$198,2,FALSE)</f>
        <v>HMOLG</v>
      </c>
    </row>
    <row r="591" spans="1:5" x14ac:dyDescent="0.25">
      <c r="A591" s="56" t="s">
        <v>124</v>
      </c>
      <c r="B591" s="57" t="s">
        <v>61</v>
      </c>
      <c r="C591" s="58">
        <v>443</v>
      </c>
      <c r="D591" s="58"/>
      <c r="E591" t="str">
        <f>VLOOKUP(B591,CAC!$A$2:$B$198,2,FALSE)</f>
        <v>HMOLG</v>
      </c>
    </row>
    <row r="592" spans="1:5" x14ac:dyDescent="0.25">
      <c r="A592" s="56" t="s">
        <v>124</v>
      </c>
      <c r="B592" s="57" t="s">
        <v>62</v>
      </c>
      <c r="C592" s="58">
        <v>22318</v>
      </c>
      <c r="D592" s="58"/>
      <c r="E592" t="str">
        <f>VLOOKUP(B592,CAC!$A$2:$B$198,2,FALSE)</f>
        <v>HMOLG</v>
      </c>
    </row>
    <row r="593" spans="1:5" x14ac:dyDescent="0.25">
      <c r="A593" s="56" t="s">
        <v>124</v>
      </c>
      <c r="B593" s="57" t="s">
        <v>86</v>
      </c>
      <c r="C593" s="58">
        <v>282</v>
      </c>
      <c r="D593" s="58"/>
      <c r="E593" t="str">
        <f>VLOOKUP(B593,CAC!$A$2:$B$198,2,FALSE)</f>
        <v>HMOLG</v>
      </c>
    </row>
    <row r="594" spans="1:5" x14ac:dyDescent="0.25">
      <c r="A594" s="56" t="s">
        <v>124</v>
      </c>
      <c r="B594" s="57" t="s">
        <v>63</v>
      </c>
      <c r="C594" s="58">
        <v>90</v>
      </c>
      <c r="D594" s="58"/>
      <c r="E594" t="str">
        <f>VLOOKUP(B594,CAC!$A$2:$B$198,2,FALSE)</f>
        <v>HMOLG</v>
      </c>
    </row>
    <row r="595" spans="1:5" x14ac:dyDescent="0.25">
      <c r="A595" s="56" t="s">
        <v>124</v>
      </c>
      <c r="B595" s="57" t="s">
        <v>65</v>
      </c>
      <c r="C595" s="58">
        <v>202</v>
      </c>
      <c r="D595" s="58"/>
      <c r="E595" t="str">
        <f>VLOOKUP(B595,CAC!$A$2:$B$198,2,FALSE)</f>
        <v>HMFLEX</v>
      </c>
    </row>
    <row r="596" spans="1:5" x14ac:dyDescent="0.25">
      <c r="A596" s="56" t="s">
        <v>124</v>
      </c>
      <c r="B596" s="57" t="s">
        <v>66</v>
      </c>
      <c r="C596" s="58">
        <v>4098</v>
      </c>
      <c r="D596" s="58"/>
      <c r="E596" t="str">
        <f>VLOOKUP(B596,CAC!$A$2:$B$198,2,FALSE)</f>
        <v>HMOLG</v>
      </c>
    </row>
    <row r="597" spans="1:5" x14ac:dyDescent="0.25">
      <c r="A597" s="56" t="s">
        <v>124</v>
      </c>
      <c r="B597" s="57" t="s">
        <v>67</v>
      </c>
      <c r="C597" s="58">
        <v>141</v>
      </c>
      <c r="D597" s="58"/>
      <c r="E597" t="str">
        <f>VLOOKUP(B597,CAC!$A$2:$B$198,2,FALSE)</f>
        <v>HMOLG</v>
      </c>
    </row>
    <row r="598" spans="1:5" x14ac:dyDescent="0.25">
      <c r="A598" s="56" t="s">
        <v>124</v>
      </c>
      <c r="B598" s="57" t="s">
        <v>68</v>
      </c>
      <c r="C598" s="58">
        <v>286</v>
      </c>
      <c r="D598" s="58"/>
      <c r="E598" t="str">
        <f>VLOOKUP(B598,CAC!$A$2:$B$198,2,FALSE)</f>
        <v>HMOPMR</v>
      </c>
    </row>
    <row r="599" spans="1:5" x14ac:dyDescent="0.25">
      <c r="A599" s="56" t="s">
        <v>124</v>
      </c>
      <c r="B599" s="57" t="s">
        <v>69</v>
      </c>
      <c r="C599" s="58">
        <v>9376</v>
      </c>
      <c r="D599" s="58"/>
      <c r="E599" t="str">
        <f>VLOOKUP(B599,CAC!$A$2:$B$198,2,FALSE)</f>
        <v>HMOPMR</v>
      </c>
    </row>
    <row r="600" spans="1:5" x14ac:dyDescent="0.25">
      <c r="A600" s="56" t="s">
        <v>124</v>
      </c>
      <c r="B600" s="57" t="s">
        <v>70</v>
      </c>
      <c r="C600" s="58">
        <v>4122</v>
      </c>
      <c r="D600" s="58"/>
      <c r="E600" t="str">
        <f>VLOOKUP(B600,CAC!$A$2:$B$198,2,FALSE)</f>
        <v>HMOPMR</v>
      </c>
    </row>
    <row r="601" spans="1:5" x14ac:dyDescent="0.25">
      <c r="A601" s="56" t="s">
        <v>124</v>
      </c>
      <c r="B601" s="57" t="s">
        <v>71</v>
      </c>
      <c r="C601" s="58">
        <v>6812</v>
      </c>
      <c r="D601" s="58"/>
      <c r="E601" t="str">
        <f>VLOOKUP(B601,CAC!$A$2:$B$198,2,FALSE)</f>
        <v>HMOPMR</v>
      </c>
    </row>
    <row r="602" spans="1:5" x14ac:dyDescent="0.25">
      <c r="A602" s="56" t="s">
        <v>124</v>
      </c>
      <c r="B602" s="57" t="s">
        <v>72</v>
      </c>
      <c r="C602" s="58">
        <v>5067</v>
      </c>
      <c r="D602" s="58"/>
      <c r="E602" t="str">
        <f>VLOOKUP(B602,CAC!$A$2:$B$198,2,FALSE)</f>
        <v>HMFLEX</v>
      </c>
    </row>
    <row r="603" spans="1:5" x14ac:dyDescent="0.25">
      <c r="A603" s="56" t="s">
        <v>124</v>
      </c>
      <c r="B603" s="57" t="s">
        <v>100</v>
      </c>
      <c r="C603" s="58">
        <v>2</v>
      </c>
      <c r="D603" s="58"/>
      <c r="E603" t="e">
        <f>VLOOKUP(B603,CAC!$A$2:$B$198,2,FALSE)</f>
        <v>#N/A</v>
      </c>
    </row>
    <row r="604" spans="1:5" x14ac:dyDescent="0.25">
      <c r="A604" s="56" t="s">
        <v>124</v>
      </c>
      <c r="B604" s="57" t="s">
        <v>73</v>
      </c>
      <c r="C604" s="58">
        <v>37451</v>
      </c>
      <c r="D604" s="58"/>
      <c r="E604" t="str">
        <f>VLOOKUP(B604,CAC!$A$2:$B$198,2,FALSE)</f>
        <v>HMOPERA</v>
      </c>
    </row>
    <row r="605" spans="1:5" x14ac:dyDescent="0.25">
      <c r="A605" s="56" t="s">
        <v>124</v>
      </c>
      <c r="B605" s="57" t="s">
        <v>75</v>
      </c>
      <c r="C605" s="58">
        <v>36305</v>
      </c>
      <c r="D605" s="58"/>
      <c r="E605" t="str">
        <f>VLOOKUP(B605,CAC!$A$2:$B$198,2,FALSE)</f>
        <v>HMOPERN</v>
      </c>
    </row>
    <row r="606" spans="1:5" x14ac:dyDescent="0.25">
      <c r="A606" s="56" t="s">
        <v>124</v>
      </c>
      <c r="B606" s="57" t="s">
        <v>77</v>
      </c>
      <c r="C606" s="58">
        <v>21763</v>
      </c>
      <c r="D606" s="58"/>
      <c r="E606" t="str">
        <f>VLOOKUP(B606,CAC!$A$2:$B$198,2,FALSE)</f>
        <v>HMOSG</v>
      </c>
    </row>
    <row r="607" spans="1:5" x14ac:dyDescent="0.25">
      <c r="A607" s="56" t="s">
        <v>124</v>
      </c>
      <c r="B607" s="57" t="s">
        <v>78</v>
      </c>
      <c r="C607" s="58">
        <v>333</v>
      </c>
      <c r="D607" s="58"/>
      <c r="E607" t="str">
        <f>VLOOKUP(B607,CAC!$A$2:$B$198,2,FALSE)</f>
        <v>HMOSG</v>
      </c>
    </row>
    <row r="608" spans="1:5" x14ac:dyDescent="0.25">
      <c r="A608" s="56" t="s">
        <v>124</v>
      </c>
      <c r="B608" s="57" t="s">
        <v>79</v>
      </c>
      <c r="C608" s="58">
        <v>64</v>
      </c>
      <c r="D608" s="58"/>
      <c r="E608" t="str">
        <f>VLOOKUP(B608,CAC!$A$2:$B$198,2,FALSE)</f>
        <v>HMOSG</v>
      </c>
    </row>
    <row r="609" spans="1:5" x14ac:dyDescent="0.25">
      <c r="A609" s="56" t="s">
        <v>125</v>
      </c>
      <c r="B609" s="57" t="s">
        <v>52</v>
      </c>
      <c r="C609" s="58">
        <v>15530</v>
      </c>
      <c r="D609" s="58"/>
      <c r="E609" t="str">
        <f>VLOOKUP(B609,CAC!$A$2:$B$198,2,FALSE)</f>
        <v>HMOPMR</v>
      </c>
    </row>
    <row r="610" spans="1:5" x14ac:dyDescent="0.25">
      <c r="A610" s="56" t="s">
        <v>125</v>
      </c>
      <c r="B610" s="57" t="s">
        <v>53</v>
      </c>
      <c r="C610" s="58">
        <v>4171</v>
      </c>
      <c r="D610" s="58"/>
      <c r="E610" t="str">
        <f>VLOOKUP(B610,CAC!$A$2:$B$198,2,FALSE)</f>
        <v>HMOPMR</v>
      </c>
    </row>
    <row r="611" spans="1:5" x14ac:dyDescent="0.25">
      <c r="A611" s="56" t="s">
        <v>125</v>
      </c>
      <c r="B611" s="57" t="s">
        <v>54</v>
      </c>
      <c r="C611" s="58">
        <v>6027</v>
      </c>
      <c r="D611" s="58"/>
      <c r="E611" t="str">
        <f>VLOOKUP(B611,CAC!$A$2:$B$198,2,FALSE)</f>
        <v>HMOFEP</v>
      </c>
    </row>
    <row r="612" spans="1:5" x14ac:dyDescent="0.25">
      <c r="A612" s="56" t="s">
        <v>125</v>
      </c>
      <c r="B612" s="57" t="s">
        <v>55</v>
      </c>
      <c r="C612" s="58">
        <v>14615</v>
      </c>
      <c r="D612" s="58"/>
      <c r="E612" t="str">
        <f>VLOOKUP(B612,CAC!$A$2:$B$198,2,FALSE)</f>
        <v>HMOPMR</v>
      </c>
    </row>
    <row r="613" spans="1:5" x14ac:dyDescent="0.25">
      <c r="A613" s="56" t="s">
        <v>125</v>
      </c>
      <c r="B613" s="57" t="s">
        <v>56</v>
      </c>
      <c r="C613" s="58">
        <v>100</v>
      </c>
      <c r="D613" s="58"/>
      <c r="E613" t="str">
        <f>VLOOKUP(B613,CAC!$A$2:$B$198,2,FALSE)</f>
        <v>HMOPMR</v>
      </c>
    </row>
    <row r="614" spans="1:5" x14ac:dyDescent="0.25">
      <c r="A614" s="56" t="s">
        <v>125</v>
      </c>
      <c r="B614" s="57" t="s">
        <v>83</v>
      </c>
      <c r="C614" s="58">
        <v>1942</v>
      </c>
      <c r="D614" s="58"/>
      <c r="E614" t="str">
        <f>VLOOKUP(B614,CAC!$A$2:$B$198,2,FALSE)</f>
        <v>HMOPMR</v>
      </c>
    </row>
    <row r="615" spans="1:5" x14ac:dyDescent="0.25">
      <c r="A615" s="56" t="s">
        <v>125</v>
      </c>
      <c r="B615" s="57" t="s">
        <v>57</v>
      </c>
      <c r="C615" s="58">
        <v>4085</v>
      </c>
      <c r="D615" s="58"/>
      <c r="E615" t="str">
        <f>VLOOKUP(B615,CAC!$A$2:$B$198,2,FALSE)</f>
        <v>HMFLEX</v>
      </c>
    </row>
    <row r="616" spans="1:5" x14ac:dyDescent="0.25">
      <c r="A616" s="56" t="s">
        <v>125</v>
      </c>
      <c r="B616" s="57" t="s">
        <v>58</v>
      </c>
      <c r="C616" s="58">
        <v>364</v>
      </c>
      <c r="D616" s="58"/>
      <c r="E616" t="str">
        <f>VLOOKUP(B616,CAC!$A$2:$B$198,2,FALSE)</f>
        <v>HMFLEX</v>
      </c>
    </row>
    <row r="617" spans="1:5" x14ac:dyDescent="0.25">
      <c r="A617" s="56" t="s">
        <v>125</v>
      </c>
      <c r="B617" s="57" t="s">
        <v>60</v>
      </c>
      <c r="C617" s="58">
        <v>12450</v>
      </c>
      <c r="D617" s="58"/>
      <c r="E617" t="str">
        <f>VLOOKUP(B617,CAC!$A$2:$B$198,2,FALSE)</f>
        <v>HMOLG</v>
      </c>
    </row>
    <row r="618" spans="1:5" x14ac:dyDescent="0.25">
      <c r="A618" s="56" t="s">
        <v>125</v>
      </c>
      <c r="B618" s="57" t="s">
        <v>61</v>
      </c>
      <c r="C618" s="58">
        <v>453</v>
      </c>
      <c r="D618" s="58"/>
      <c r="E618" t="str">
        <f>VLOOKUP(B618,CAC!$A$2:$B$198,2,FALSE)</f>
        <v>HMOLG</v>
      </c>
    </row>
    <row r="619" spans="1:5" x14ac:dyDescent="0.25">
      <c r="A619" s="56" t="s">
        <v>125</v>
      </c>
      <c r="B619" s="57" t="s">
        <v>62</v>
      </c>
      <c r="C619" s="58">
        <v>21051</v>
      </c>
      <c r="D619" s="58"/>
      <c r="E619" t="str">
        <f>VLOOKUP(B619,CAC!$A$2:$B$198,2,FALSE)</f>
        <v>HMOLG</v>
      </c>
    </row>
    <row r="620" spans="1:5" x14ac:dyDescent="0.25">
      <c r="A620" s="56" t="s">
        <v>125</v>
      </c>
      <c r="B620" s="57" t="s">
        <v>86</v>
      </c>
      <c r="C620" s="58">
        <v>1290</v>
      </c>
      <c r="D620" s="58"/>
      <c r="E620" t="str">
        <f>VLOOKUP(B620,CAC!$A$2:$B$198,2,FALSE)</f>
        <v>HMOLG</v>
      </c>
    </row>
    <row r="621" spans="1:5" x14ac:dyDescent="0.25">
      <c r="A621" s="56" t="s">
        <v>125</v>
      </c>
      <c r="B621" s="57" t="s">
        <v>63</v>
      </c>
      <c r="C621" s="58">
        <v>83</v>
      </c>
      <c r="D621" s="58"/>
      <c r="E621" t="str">
        <f>VLOOKUP(B621,CAC!$A$2:$B$198,2,FALSE)</f>
        <v>HMOLG</v>
      </c>
    </row>
    <row r="622" spans="1:5" x14ac:dyDescent="0.25">
      <c r="A622" s="56" t="s">
        <v>125</v>
      </c>
      <c r="B622" s="57" t="s">
        <v>65</v>
      </c>
      <c r="C622" s="58">
        <v>181</v>
      </c>
      <c r="D622" s="58"/>
      <c r="E622" t="str">
        <f>VLOOKUP(B622,CAC!$A$2:$B$198,2,FALSE)</f>
        <v>HMFLEX</v>
      </c>
    </row>
    <row r="623" spans="1:5" x14ac:dyDescent="0.25">
      <c r="A623" s="56" t="s">
        <v>125</v>
      </c>
      <c r="B623" s="57" t="s">
        <v>66</v>
      </c>
      <c r="C623" s="58">
        <v>4061</v>
      </c>
      <c r="D623" s="58"/>
      <c r="E623" t="str">
        <f>VLOOKUP(B623,CAC!$A$2:$B$198,2,FALSE)</f>
        <v>HMOLG</v>
      </c>
    </row>
    <row r="624" spans="1:5" x14ac:dyDescent="0.25">
      <c r="A624" s="56" t="s">
        <v>125</v>
      </c>
      <c r="B624" s="57" t="s">
        <v>67</v>
      </c>
      <c r="C624" s="58">
        <v>137</v>
      </c>
      <c r="D624" s="58"/>
      <c r="E624" t="str">
        <f>VLOOKUP(B624,CAC!$A$2:$B$198,2,FALSE)</f>
        <v>HMOLG</v>
      </c>
    </row>
    <row r="625" spans="1:5" x14ac:dyDescent="0.25">
      <c r="A625" s="56" t="s">
        <v>125</v>
      </c>
      <c r="B625" s="57" t="s">
        <v>68</v>
      </c>
      <c r="C625" s="58">
        <v>291</v>
      </c>
      <c r="D625" s="58"/>
      <c r="E625" t="str">
        <f>VLOOKUP(B625,CAC!$A$2:$B$198,2,FALSE)</f>
        <v>HMOPMR</v>
      </c>
    </row>
    <row r="626" spans="1:5" x14ac:dyDescent="0.25">
      <c r="A626" s="56" t="s">
        <v>125</v>
      </c>
      <c r="B626" s="57" t="s">
        <v>69</v>
      </c>
      <c r="C626" s="58">
        <v>9356</v>
      </c>
      <c r="D626" s="58"/>
      <c r="E626" t="str">
        <f>VLOOKUP(B626,CAC!$A$2:$B$198,2,FALSE)</f>
        <v>HMOPMR</v>
      </c>
    </row>
    <row r="627" spans="1:5" x14ac:dyDescent="0.25">
      <c r="A627" s="56" t="s">
        <v>125</v>
      </c>
      <c r="B627" s="57" t="s">
        <v>70</v>
      </c>
      <c r="C627" s="58">
        <v>4127</v>
      </c>
      <c r="D627" s="58"/>
      <c r="E627" t="str">
        <f>VLOOKUP(B627,CAC!$A$2:$B$198,2,FALSE)</f>
        <v>HMOPMR</v>
      </c>
    </row>
    <row r="628" spans="1:5" x14ac:dyDescent="0.25">
      <c r="A628" s="56" t="s">
        <v>125</v>
      </c>
      <c r="B628" s="57" t="s">
        <v>71</v>
      </c>
      <c r="C628" s="58">
        <v>6773</v>
      </c>
      <c r="D628" s="58"/>
      <c r="E628" t="str">
        <f>VLOOKUP(B628,CAC!$A$2:$B$198,2,FALSE)</f>
        <v>HMOPMR</v>
      </c>
    </row>
    <row r="629" spans="1:5" x14ac:dyDescent="0.25">
      <c r="A629" s="56" t="s">
        <v>125</v>
      </c>
      <c r="B629" s="57" t="s">
        <v>72</v>
      </c>
      <c r="C629" s="58">
        <v>4933</v>
      </c>
      <c r="D629" s="58"/>
      <c r="E629" t="str">
        <f>VLOOKUP(B629,CAC!$A$2:$B$198,2,FALSE)</f>
        <v>HMFLEX</v>
      </c>
    </row>
    <row r="630" spans="1:5" x14ac:dyDescent="0.25">
      <c r="A630" s="56" t="s">
        <v>125</v>
      </c>
      <c r="B630" s="57" t="s">
        <v>100</v>
      </c>
      <c r="C630" s="58">
        <v>133</v>
      </c>
      <c r="D630" s="58"/>
      <c r="E630" t="e">
        <f>VLOOKUP(B630,CAC!$A$2:$B$198,2,FALSE)</f>
        <v>#N/A</v>
      </c>
    </row>
    <row r="631" spans="1:5" x14ac:dyDescent="0.25">
      <c r="A631" s="56" t="s">
        <v>125</v>
      </c>
      <c r="B631" s="57" t="s">
        <v>73</v>
      </c>
      <c r="C631" s="58">
        <v>37029</v>
      </c>
      <c r="D631" s="58"/>
      <c r="E631" t="str">
        <f>VLOOKUP(B631,CAC!$A$2:$B$198,2,FALSE)</f>
        <v>HMOPERA</v>
      </c>
    </row>
    <row r="632" spans="1:5" x14ac:dyDescent="0.25">
      <c r="A632" s="56" t="s">
        <v>125</v>
      </c>
      <c r="B632" s="57" t="s">
        <v>75</v>
      </c>
      <c r="C632" s="58">
        <v>35838</v>
      </c>
      <c r="D632" s="58"/>
      <c r="E632" t="str">
        <f>VLOOKUP(B632,CAC!$A$2:$B$198,2,FALSE)</f>
        <v>HMOPERN</v>
      </c>
    </row>
    <row r="633" spans="1:5" x14ac:dyDescent="0.25">
      <c r="A633" s="56" t="s">
        <v>125</v>
      </c>
      <c r="B633" s="57" t="s">
        <v>77</v>
      </c>
      <c r="C633" s="58">
        <v>21943</v>
      </c>
      <c r="D633" s="58"/>
      <c r="E633" t="str">
        <f>VLOOKUP(B633,CAC!$A$2:$B$198,2,FALSE)</f>
        <v>HMOSG</v>
      </c>
    </row>
    <row r="634" spans="1:5" x14ac:dyDescent="0.25">
      <c r="A634" s="56" t="s">
        <v>125</v>
      </c>
      <c r="B634" s="57" t="s">
        <v>78</v>
      </c>
      <c r="C634" s="58">
        <v>334</v>
      </c>
      <c r="D634" s="58"/>
      <c r="E634" t="str">
        <f>VLOOKUP(B634,CAC!$A$2:$B$198,2,FALSE)</f>
        <v>HMOSG</v>
      </c>
    </row>
    <row r="635" spans="1:5" x14ac:dyDescent="0.25">
      <c r="A635" s="56" t="s">
        <v>125</v>
      </c>
      <c r="B635" s="57" t="s">
        <v>79</v>
      </c>
      <c r="C635" s="58">
        <v>74</v>
      </c>
      <c r="D635" s="58"/>
      <c r="E635" t="str">
        <f>VLOOKUP(B635,CAC!$A$2:$B$198,2,FALSE)</f>
        <v>HMOSG</v>
      </c>
    </row>
    <row r="636" spans="1:5" x14ac:dyDescent="0.25">
      <c r="A636" s="56" t="s">
        <v>126</v>
      </c>
      <c r="B636" s="57" t="s">
        <v>52</v>
      </c>
      <c r="C636" s="58">
        <v>15578</v>
      </c>
      <c r="D636" s="58"/>
      <c r="E636" t="str">
        <f>VLOOKUP(B636,CAC!$A$2:$B$198,2,FALSE)</f>
        <v>HMOPMR</v>
      </c>
    </row>
    <row r="637" spans="1:5" x14ac:dyDescent="0.25">
      <c r="A637" s="56" t="s">
        <v>126</v>
      </c>
      <c r="B637" s="57" t="s">
        <v>53</v>
      </c>
      <c r="C637" s="58">
        <v>4207</v>
      </c>
      <c r="D637" s="58"/>
      <c r="E637" t="str">
        <f>VLOOKUP(B637,CAC!$A$2:$B$198,2,FALSE)</f>
        <v>HMOPMR</v>
      </c>
    </row>
    <row r="638" spans="1:5" x14ac:dyDescent="0.25">
      <c r="A638" s="56" t="s">
        <v>126</v>
      </c>
      <c r="B638" s="57" t="s">
        <v>54</v>
      </c>
      <c r="C638" s="58">
        <v>5978</v>
      </c>
      <c r="D638" s="58"/>
      <c r="E638" t="str">
        <f>VLOOKUP(B638,CAC!$A$2:$B$198,2,FALSE)</f>
        <v>HMOFEP</v>
      </c>
    </row>
    <row r="639" spans="1:5" x14ac:dyDescent="0.25">
      <c r="A639" s="56" t="s">
        <v>126</v>
      </c>
      <c r="B639" s="57" t="s">
        <v>55</v>
      </c>
      <c r="C639" s="58">
        <v>14585</v>
      </c>
      <c r="D639" s="58"/>
      <c r="E639" t="str">
        <f>VLOOKUP(B639,CAC!$A$2:$B$198,2,FALSE)</f>
        <v>HMOPMR</v>
      </c>
    </row>
    <row r="640" spans="1:5" x14ac:dyDescent="0.25">
      <c r="A640" s="56" t="s">
        <v>126</v>
      </c>
      <c r="B640" s="57" t="s">
        <v>56</v>
      </c>
      <c r="C640" s="58">
        <v>102</v>
      </c>
      <c r="D640" s="58"/>
      <c r="E640" t="str">
        <f>VLOOKUP(B640,CAC!$A$2:$B$198,2,FALSE)</f>
        <v>HMOPMR</v>
      </c>
    </row>
    <row r="641" spans="1:5" x14ac:dyDescent="0.25">
      <c r="A641" s="56" t="s">
        <v>126</v>
      </c>
      <c r="B641" s="57" t="s">
        <v>83</v>
      </c>
      <c r="C641" s="58">
        <v>1900</v>
      </c>
      <c r="D641" s="58"/>
      <c r="E641" t="str">
        <f>VLOOKUP(B641,CAC!$A$2:$B$198,2,FALSE)</f>
        <v>HMOPMR</v>
      </c>
    </row>
    <row r="642" spans="1:5" x14ac:dyDescent="0.25">
      <c r="A642" s="56" t="s">
        <v>126</v>
      </c>
      <c r="B642" s="57" t="s">
        <v>57</v>
      </c>
      <c r="C642" s="58">
        <v>4075</v>
      </c>
      <c r="D642" s="58"/>
      <c r="E642" t="str">
        <f>VLOOKUP(B642,CAC!$A$2:$B$198,2,FALSE)</f>
        <v>HMFLEX</v>
      </c>
    </row>
    <row r="643" spans="1:5" x14ac:dyDescent="0.25">
      <c r="A643" s="56" t="s">
        <v>126</v>
      </c>
      <c r="B643" s="57" t="s">
        <v>58</v>
      </c>
      <c r="C643" s="58">
        <v>365</v>
      </c>
      <c r="D643" s="58"/>
      <c r="E643" t="str">
        <f>VLOOKUP(B643,CAC!$A$2:$B$198,2,FALSE)</f>
        <v>HMFLEX</v>
      </c>
    </row>
    <row r="644" spans="1:5" x14ac:dyDescent="0.25">
      <c r="A644" s="56" t="s">
        <v>126</v>
      </c>
      <c r="B644" s="57" t="s">
        <v>60</v>
      </c>
      <c r="C644" s="58">
        <v>11810</v>
      </c>
      <c r="D644" s="58"/>
      <c r="E644" t="str">
        <f>VLOOKUP(B644,CAC!$A$2:$B$198,2,FALSE)</f>
        <v>HMOLG</v>
      </c>
    </row>
    <row r="645" spans="1:5" x14ac:dyDescent="0.25">
      <c r="A645" s="56" t="s">
        <v>126</v>
      </c>
      <c r="B645" s="57" t="s">
        <v>61</v>
      </c>
      <c r="C645" s="58">
        <v>448</v>
      </c>
      <c r="D645" s="58"/>
      <c r="E645" t="str">
        <f>VLOOKUP(B645,CAC!$A$2:$B$198,2,FALSE)</f>
        <v>HMOLG</v>
      </c>
    </row>
    <row r="646" spans="1:5" x14ac:dyDescent="0.25">
      <c r="A646" s="56" t="s">
        <v>126</v>
      </c>
      <c r="B646" s="57" t="s">
        <v>62</v>
      </c>
      <c r="C646" s="58">
        <v>20976</v>
      </c>
      <c r="D646" s="58"/>
      <c r="E646" t="str">
        <f>VLOOKUP(B646,CAC!$A$2:$B$198,2,FALSE)</f>
        <v>HMOLG</v>
      </c>
    </row>
    <row r="647" spans="1:5" x14ac:dyDescent="0.25">
      <c r="A647" s="56" t="s">
        <v>126</v>
      </c>
      <c r="B647" s="57" t="s">
        <v>86</v>
      </c>
      <c r="C647" s="58">
        <v>2212</v>
      </c>
      <c r="D647" s="58"/>
      <c r="E647" t="str">
        <f>VLOOKUP(B647,CAC!$A$2:$B$198,2,FALSE)</f>
        <v>HMOLG</v>
      </c>
    </row>
    <row r="648" spans="1:5" x14ac:dyDescent="0.25">
      <c r="A648" s="56" t="s">
        <v>126</v>
      </c>
      <c r="B648" s="57" t="s">
        <v>63</v>
      </c>
      <c r="C648" s="58">
        <v>83</v>
      </c>
      <c r="D648" s="58"/>
      <c r="E648" t="str">
        <f>VLOOKUP(B648,CAC!$A$2:$B$198,2,FALSE)</f>
        <v>HMOLG</v>
      </c>
    </row>
    <row r="649" spans="1:5" x14ac:dyDescent="0.25">
      <c r="A649" s="56" t="s">
        <v>126</v>
      </c>
      <c r="B649" s="57" t="s">
        <v>65</v>
      </c>
      <c r="C649" s="58">
        <v>200</v>
      </c>
      <c r="D649" s="58"/>
      <c r="E649" t="str">
        <f>VLOOKUP(B649,CAC!$A$2:$B$198,2,FALSE)</f>
        <v>HMFLEX</v>
      </c>
    </row>
    <row r="650" spans="1:5" x14ac:dyDescent="0.25">
      <c r="A650" s="56" t="s">
        <v>126</v>
      </c>
      <c r="B650" s="57" t="s">
        <v>66</v>
      </c>
      <c r="C650" s="58">
        <v>4095</v>
      </c>
      <c r="D650" s="58"/>
      <c r="E650" t="str">
        <f>VLOOKUP(B650,CAC!$A$2:$B$198,2,FALSE)</f>
        <v>HMOLG</v>
      </c>
    </row>
    <row r="651" spans="1:5" x14ac:dyDescent="0.25">
      <c r="A651" s="56" t="s">
        <v>126</v>
      </c>
      <c r="B651" s="57" t="s">
        <v>67</v>
      </c>
      <c r="C651" s="58">
        <v>140</v>
      </c>
      <c r="D651" s="58"/>
      <c r="E651" t="str">
        <f>VLOOKUP(B651,CAC!$A$2:$B$198,2,FALSE)</f>
        <v>HMOLG</v>
      </c>
    </row>
    <row r="652" spans="1:5" x14ac:dyDescent="0.25">
      <c r="A652" s="56" t="s">
        <v>126</v>
      </c>
      <c r="B652" s="57" t="s">
        <v>68</v>
      </c>
      <c r="C652" s="58">
        <v>292</v>
      </c>
      <c r="D652" s="58"/>
      <c r="E652" t="str">
        <f>VLOOKUP(B652,CAC!$A$2:$B$198,2,FALSE)</f>
        <v>HMOPMR</v>
      </c>
    </row>
    <row r="653" spans="1:5" x14ac:dyDescent="0.25">
      <c r="A653" s="56" t="s">
        <v>126</v>
      </c>
      <c r="B653" s="57" t="s">
        <v>69</v>
      </c>
      <c r="C653" s="58">
        <v>9302</v>
      </c>
      <c r="D653" s="58"/>
      <c r="E653" t="str">
        <f>VLOOKUP(B653,CAC!$A$2:$B$198,2,FALSE)</f>
        <v>HMOPMR</v>
      </c>
    </row>
    <row r="654" spans="1:5" x14ac:dyDescent="0.25">
      <c r="A654" s="56" t="s">
        <v>126</v>
      </c>
      <c r="B654" s="57" t="s">
        <v>70</v>
      </c>
      <c r="C654" s="58">
        <v>4136</v>
      </c>
      <c r="D654" s="58"/>
      <c r="E654" t="str">
        <f>VLOOKUP(B654,CAC!$A$2:$B$198,2,FALSE)</f>
        <v>HMOPMR</v>
      </c>
    </row>
    <row r="655" spans="1:5" x14ac:dyDescent="0.25">
      <c r="A655" s="56" t="s">
        <v>126</v>
      </c>
      <c r="B655" s="57" t="s">
        <v>71</v>
      </c>
      <c r="C655" s="58">
        <v>6846</v>
      </c>
      <c r="D655" s="58"/>
      <c r="E655" t="str">
        <f>VLOOKUP(B655,CAC!$A$2:$B$198,2,FALSE)</f>
        <v>HMOPMR</v>
      </c>
    </row>
    <row r="656" spans="1:5" x14ac:dyDescent="0.25">
      <c r="A656" s="56" t="s">
        <v>126</v>
      </c>
      <c r="B656" s="57" t="s">
        <v>72</v>
      </c>
      <c r="C656" s="58">
        <v>4956</v>
      </c>
      <c r="D656" s="58"/>
      <c r="E656" t="str">
        <f>VLOOKUP(B656,CAC!$A$2:$B$198,2,FALSE)</f>
        <v>HMFLEX</v>
      </c>
    </row>
    <row r="657" spans="1:5" x14ac:dyDescent="0.25">
      <c r="A657" s="56" t="s">
        <v>126</v>
      </c>
      <c r="B657" s="57" t="s">
        <v>73</v>
      </c>
      <c r="C657" s="58">
        <v>37159</v>
      </c>
      <c r="D657" s="58"/>
      <c r="E657" t="str">
        <f>VLOOKUP(B657,CAC!$A$2:$B$198,2,FALSE)</f>
        <v>HMOPERA</v>
      </c>
    </row>
    <row r="658" spans="1:5" x14ac:dyDescent="0.25">
      <c r="A658" s="56" t="s">
        <v>126</v>
      </c>
      <c r="B658" s="57" t="s">
        <v>75</v>
      </c>
      <c r="C658" s="58">
        <v>35745</v>
      </c>
      <c r="D658" s="58"/>
      <c r="E658" t="str">
        <f>VLOOKUP(B658,CAC!$A$2:$B$198,2,FALSE)</f>
        <v>HMOPERN</v>
      </c>
    </row>
    <row r="659" spans="1:5" x14ac:dyDescent="0.25">
      <c r="A659" s="56" t="s">
        <v>126</v>
      </c>
      <c r="B659" s="57" t="s">
        <v>77</v>
      </c>
      <c r="C659" s="58">
        <v>22416</v>
      </c>
      <c r="D659" s="58"/>
      <c r="E659" t="str">
        <f>VLOOKUP(B659,CAC!$A$2:$B$198,2,FALSE)</f>
        <v>HMOSG</v>
      </c>
    </row>
    <row r="660" spans="1:5" x14ac:dyDescent="0.25">
      <c r="A660" s="56" t="s">
        <v>126</v>
      </c>
      <c r="B660" s="57" t="s">
        <v>78</v>
      </c>
      <c r="C660" s="58">
        <v>341</v>
      </c>
      <c r="D660" s="58"/>
      <c r="E660" t="str">
        <f>VLOOKUP(B660,CAC!$A$2:$B$198,2,FALSE)</f>
        <v>HMOSG</v>
      </c>
    </row>
    <row r="661" spans="1:5" x14ac:dyDescent="0.25">
      <c r="A661" s="56" t="s">
        <v>126</v>
      </c>
      <c r="B661" s="57" t="s">
        <v>79</v>
      </c>
      <c r="C661" s="58">
        <v>81</v>
      </c>
      <c r="D661" s="58"/>
      <c r="E661" t="str">
        <f>VLOOKUP(B661,CAC!$A$2:$B$198,2,FALSE)</f>
        <v>HMOSG</v>
      </c>
    </row>
    <row r="662" spans="1:5" x14ac:dyDescent="0.25">
      <c r="A662" s="56" t="s">
        <v>127</v>
      </c>
      <c r="B662" s="57" t="s">
        <v>52</v>
      </c>
      <c r="C662" s="58">
        <v>15370</v>
      </c>
      <c r="D662" s="58"/>
      <c r="E662" t="str">
        <f>VLOOKUP(B662,CAC!$A$2:$B$198,2,FALSE)</f>
        <v>HMOPMR</v>
      </c>
    </row>
    <row r="663" spans="1:5" x14ac:dyDescent="0.25">
      <c r="A663" s="56" t="s">
        <v>127</v>
      </c>
      <c r="B663" s="57" t="s">
        <v>53</v>
      </c>
      <c r="C663" s="58">
        <v>4184</v>
      </c>
      <c r="D663" s="58"/>
      <c r="E663" t="str">
        <f>VLOOKUP(B663,CAC!$A$2:$B$198,2,FALSE)</f>
        <v>HMOPMR</v>
      </c>
    </row>
    <row r="664" spans="1:5" x14ac:dyDescent="0.25">
      <c r="A664" s="56" t="s">
        <v>127</v>
      </c>
      <c r="B664" s="57" t="s">
        <v>54</v>
      </c>
      <c r="C664" s="58">
        <v>5917</v>
      </c>
      <c r="D664" s="58"/>
      <c r="E664" t="str">
        <f>VLOOKUP(B664,CAC!$A$2:$B$198,2,FALSE)</f>
        <v>HMOFEP</v>
      </c>
    </row>
    <row r="665" spans="1:5" x14ac:dyDescent="0.25">
      <c r="A665" s="56" t="s">
        <v>127</v>
      </c>
      <c r="B665" s="57" t="s">
        <v>55</v>
      </c>
      <c r="C665" s="58">
        <v>14626</v>
      </c>
      <c r="D665" s="58"/>
      <c r="E665" t="str">
        <f>VLOOKUP(B665,CAC!$A$2:$B$198,2,FALSE)</f>
        <v>HMOPMR</v>
      </c>
    </row>
    <row r="666" spans="1:5" x14ac:dyDescent="0.25">
      <c r="A666" s="56" t="s">
        <v>127</v>
      </c>
      <c r="B666" s="57" t="s">
        <v>56</v>
      </c>
      <c r="C666" s="58">
        <v>98</v>
      </c>
      <c r="D666" s="58"/>
      <c r="E666" t="str">
        <f>VLOOKUP(B666,CAC!$A$2:$B$198,2,FALSE)</f>
        <v>HMOPMR</v>
      </c>
    </row>
    <row r="667" spans="1:5" x14ac:dyDescent="0.25">
      <c r="A667" s="56" t="s">
        <v>127</v>
      </c>
      <c r="B667" s="57" t="s">
        <v>83</v>
      </c>
      <c r="C667" s="58">
        <v>1874</v>
      </c>
      <c r="D667" s="58"/>
      <c r="E667" t="str">
        <f>VLOOKUP(B667,CAC!$A$2:$B$198,2,FALSE)</f>
        <v>HMOPMR</v>
      </c>
    </row>
    <row r="668" spans="1:5" x14ac:dyDescent="0.25">
      <c r="A668" s="56" t="s">
        <v>127</v>
      </c>
      <c r="B668" s="57" t="s">
        <v>57</v>
      </c>
      <c r="C668" s="58">
        <v>4046</v>
      </c>
      <c r="D668" s="58"/>
      <c r="E668" t="str">
        <f>VLOOKUP(B668,CAC!$A$2:$B$198,2,FALSE)</f>
        <v>HMFLEX</v>
      </c>
    </row>
    <row r="669" spans="1:5" x14ac:dyDescent="0.25">
      <c r="A669" s="56" t="s">
        <v>127</v>
      </c>
      <c r="B669" s="57" t="s">
        <v>58</v>
      </c>
      <c r="C669" s="58">
        <v>365</v>
      </c>
      <c r="D669" s="58"/>
      <c r="E669" t="str">
        <f>VLOOKUP(B669,CAC!$A$2:$B$198,2,FALSE)</f>
        <v>HMFLEX</v>
      </c>
    </row>
    <row r="670" spans="1:5" x14ac:dyDescent="0.25">
      <c r="A670" s="56" t="s">
        <v>127</v>
      </c>
      <c r="B670" s="57" t="s">
        <v>60</v>
      </c>
      <c r="C670" s="58">
        <v>11428</v>
      </c>
      <c r="D670" s="58"/>
      <c r="E670" t="str">
        <f>VLOOKUP(B670,CAC!$A$2:$B$198,2,FALSE)</f>
        <v>HMOLG</v>
      </c>
    </row>
    <row r="671" spans="1:5" x14ac:dyDescent="0.25">
      <c r="A671" s="56" t="s">
        <v>127</v>
      </c>
      <c r="B671" s="57" t="s">
        <v>61</v>
      </c>
      <c r="C671" s="58">
        <v>325</v>
      </c>
      <c r="D671" s="58"/>
      <c r="E671" t="str">
        <f>VLOOKUP(B671,CAC!$A$2:$B$198,2,FALSE)</f>
        <v>HMOLG</v>
      </c>
    </row>
    <row r="672" spans="1:5" x14ac:dyDescent="0.25">
      <c r="A672" s="56" t="s">
        <v>127</v>
      </c>
      <c r="B672" s="57" t="s">
        <v>62</v>
      </c>
      <c r="C672" s="58">
        <v>20084</v>
      </c>
      <c r="D672" s="58"/>
      <c r="E672" t="str">
        <f>VLOOKUP(B672,CAC!$A$2:$B$198,2,FALSE)</f>
        <v>HMOLG</v>
      </c>
    </row>
    <row r="673" spans="1:5" x14ac:dyDescent="0.25">
      <c r="A673" s="56" t="s">
        <v>127</v>
      </c>
      <c r="B673" s="57" t="s">
        <v>86</v>
      </c>
      <c r="C673" s="58">
        <v>2215</v>
      </c>
      <c r="D673" s="58"/>
      <c r="E673" t="str">
        <f>VLOOKUP(B673,CAC!$A$2:$B$198,2,FALSE)</f>
        <v>HMOLG</v>
      </c>
    </row>
    <row r="674" spans="1:5" x14ac:dyDescent="0.25">
      <c r="A674" s="56" t="s">
        <v>127</v>
      </c>
      <c r="B674" s="57" t="s">
        <v>63</v>
      </c>
      <c r="C674" s="58">
        <v>73</v>
      </c>
      <c r="D674" s="58"/>
      <c r="E674" t="str">
        <f>VLOOKUP(B674,CAC!$A$2:$B$198,2,FALSE)</f>
        <v>HMOLG</v>
      </c>
    </row>
    <row r="675" spans="1:5" x14ac:dyDescent="0.25">
      <c r="A675" s="56" t="s">
        <v>127</v>
      </c>
      <c r="B675" s="57" t="s">
        <v>65</v>
      </c>
      <c r="C675" s="58">
        <v>224</v>
      </c>
      <c r="D675" s="58"/>
      <c r="E675" t="str">
        <f>VLOOKUP(B675,CAC!$A$2:$B$198,2,FALSE)</f>
        <v>HMFLEX</v>
      </c>
    </row>
    <row r="676" spans="1:5" x14ac:dyDescent="0.25">
      <c r="A676" s="56" t="s">
        <v>127</v>
      </c>
      <c r="B676" s="57" t="s">
        <v>66</v>
      </c>
      <c r="C676" s="58">
        <v>4106</v>
      </c>
      <c r="D676" s="58"/>
      <c r="E676" t="str">
        <f>VLOOKUP(B676,CAC!$A$2:$B$198,2,FALSE)</f>
        <v>HMOLG</v>
      </c>
    </row>
    <row r="677" spans="1:5" x14ac:dyDescent="0.25">
      <c r="A677" s="56" t="s">
        <v>127</v>
      </c>
      <c r="B677" s="57" t="s">
        <v>67</v>
      </c>
      <c r="C677" s="58">
        <v>136</v>
      </c>
      <c r="D677" s="58"/>
      <c r="E677" t="str">
        <f>VLOOKUP(B677,CAC!$A$2:$B$198,2,FALSE)</f>
        <v>HMOLG</v>
      </c>
    </row>
    <row r="678" spans="1:5" x14ac:dyDescent="0.25">
      <c r="A678" s="56" t="s">
        <v>127</v>
      </c>
      <c r="B678" s="57" t="s">
        <v>68</v>
      </c>
      <c r="C678" s="58">
        <v>268</v>
      </c>
      <c r="D678" s="58"/>
      <c r="E678" t="str">
        <f>VLOOKUP(B678,CAC!$A$2:$B$198,2,FALSE)</f>
        <v>HMOPMR</v>
      </c>
    </row>
    <row r="679" spans="1:5" x14ac:dyDescent="0.25">
      <c r="A679" s="56" t="s">
        <v>127</v>
      </c>
      <c r="B679" s="57" t="s">
        <v>69</v>
      </c>
      <c r="C679" s="58">
        <v>9029</v>
      </c>
      <c r="D679" s="58"/>
      <c r="E679" t="str">
        <f>VLOOKUP(B679,CAC!$A$2:$B$198,2,FALSE)</f>
        <v>HMOPMR</v>
      </c>
    </row>
    <row r="680" spans="1:5" x14ac:dyDescent="0.25">
      <c r="A680" s="56" t="s">
        <v>127</v>
      </c>
      <c r="B680" s="57" t="s">
        <v>70</v>
      </c>
      <c r="C680" s="58">
        <v>4121</v>
      </c>
      <c r="D680" s="58"/>
      <c r="E680" t="str">
        <f>VLOOKUP(B680,CAC!$A$2:$B$198,2,FALSE)</f>
        <v>HMOPMR</v>
      </c>
    </row>
    <row r="681" spans="1:5" x14ac:dyDescent="0.25">
      <c r="A681" s="56" t="s">
        <v>127</v>
      </c>
      <c r="B681" s="57" t="s">
        <v>71</v>
      </c>
      <c r="C681" s="58">
        <v>6768</v>
      </c>
      <c r="D681" s="58"/>
      <c r="E681" t="str">
        <f>VLOOKUP(B681,CAC!$A$2:$B$198,2,FALSE)</f>
        <v>HMOPMR</v>
      </c>
    </row>
    <row r="682" spans="1:5" x14ac:dyDescent="0.25">
      <c r="A682" s="56" t="s">
        <v>127</v>
      </c>
      <c r="B682" s="57" t="s">
        <v>72</v>
      </c>
      <c r="C682" s="58">
        <v>5009</v>
      </c>
      <c r="D682" s="58"/>
      <c r="E682" t="str">
        <f>VLOOKUP(B682,CAC!$A$2:$B$198,2,FALSE)</f>
        <v>HMFLEX</v>
      </c>
    </row>
    <row r="683" spans="1:5" x14ac:dyDescent="0.25">
      <c r="A683" s="56" t="s">
        <v>127</v>
      </c>
      <c r="B683" s="57" t="s">
        <v>100</v>
      </c>
      <c r="C683" s="58">
        <v>157</v>
      </c>
      <c r="D683" s="58"/>
      <c r="E683" t="e">
        <f>VLOOKUP(B683,CAC!$A$2:$B$198,2,FALSE)</f>
        <v>#N/A</v>
      </c>
    </row>
    <row r="684" spans="1:5" x14ac:dyDescent="0.25">
      <c r="A684" s="56" t="s">
        <v>127</v>
      </c>
      <c r="B684" s="57" t="s">
        <v>73</v>
      </c>
      <c r="C684" s="58">
        <v>36975</v>
      </c>
      <c r="D684" s="58"/>
      <c r="E684" t="str">
        <f>VLOOKUP(B684,CAC!$A$2:$B$198,2,FALSE)</f>
        <v>HMOPERA</v>
      </c>
    </row>
    <row r="685" spans="1:5" x14ac:dyDescent="0.25">
      <c r="A685" s="56" t="s">
        <v>127</v>
      </c>
      <c r="B685" s="57" t="s">
        <v>75</v>
      </c>
      <c r="C685" s="58">
        <v>35262</v>
      </c>
      <c r="D685" s="58"/>
      <c r="E685" t="str">
        <f>VLOOKUP(B685,CAC!$A$2:$B$198,2,FALSE)</f>
        <v>HMOPERN</v>
      </c>
    </row>
    <row r="686" spans="1:5" x14ac:dyDescent="0.25">
      <c r="A686" s="56" t="s">
        <v>127</v>
      </c>
      <c r="B686" s="57" t="s">
        <v>77</v>
      </c>
      <c r="C686" s="58">
        <v>23361</v>
      </c>
      <c r="D686" s="58"/>
      <c r="E686" t="str">
        <f>VLOOKUP(B686,CAC!$A$2:$B$198,2,FALSE)</f>
        <v>HMOSG</v>
      </c>
    </row>
    <row r="687" spans="1:5" x14ac:dyDescent="0.25">
      <c r="A687" s="56" t="s">
        <v>127</v>
      </c>
      <c r="B687" s="57" t="s">
        <v>78</v>
      </c>
      <c r="C687" s="58">
        <v>317</v>
      </c>
      <c r="D687" s="58"/>
      <c r="E687" t="str">
        <f>VLOOKUP(B687,CAC!$A$2:$B$198,2,FALSE)</f>
        <v>HMOSG</v>
      </c>
    </row>
    <row r="688" spans="1:5" x14ac:dyDescent="0.25">
      <c r="A688" s="56" t="s">
        <v>127</v>
      </c>
      <c r="B688" s="57" t="s">
        <v>79</v>
      </c>
      <c r="C688" s="58">
        <v>83</v>
      </c>
      <c r="D688" s="58"/>
      <c r="E688" t="str">
        <f>VLOOKUP(B688,CAC!$A$2:$B$198,2,FALSE)</f>
        <v>HMOSG</v>
      </c>
    </row>
    <row r="689" spans="1:5" x14ac:dyDescent="0.25">
      <c r="A689" s="56" t="s">
        <v>128</v>
      </c>
      <c r="B689" s="57" t="s">
        <v>52</v>
      </c>
      <c r="C689" s="58">
        <v>1334</v>
      </c>
      <c r="D689" s="58"/>
      <c r="E689" t="str">
        <f>VLOOKUP(B689,CAC!$A$2:$B$198,2,FALSE)</f>
        <v>HMOPMR</v>
      </c>
    </row>
    <row r="690" spans="1:5" x14ac:dyDescent="0.25">
      <c r="A690" s="56" t="s">
        <v>128</v>
      </c>
      <c r="B690" s="57" t="s">
        <v>53</v>
      </c>
      <c r="C690" s="58">
        <v>4090</v>
      </c>
      <c r="D690" s="58"/>
      <c r="E690" t="str">
        <f>VLOOKUP(B690,CAC!$A$2:$B$198,2,FALSE)</f>
        <v>HMOPMR</v>
      </c>
    </row>
    <row r="691" spans="1:5" x14ac:dyDescent="0.25">
      <c r="A691" s="56" t="s">
        <v>128</v>
      </c>
      <c r="B691" s="57" t="s">
        <v>54</v>
      </c>
      <c r="C691" s="58">
        <v>5831</v>
      </c>
      <c r="D691" s="58"/>
      <c r="E691" t="str">
        <f>VLOOKUP(B691,CAC!$A$2:$B$198,2,FALSE)</f>
        <v>HMOFEP</v>
      </c>
    </row>
    <row r="692" spans="1:5" x14ac:dyDescent="0.25">
      <c r="A692" s="56" t="s">
        <v>128</v>
      </c>
      <c r="B692" s="57" t="s">
        <v>55</v>
      </c>
      <c r="C692" s="58">
        <v>16001</v>
      </c>
      <c r="D692" s="58"/>
      <c r="E692" t="str">
        <f>VLOOKUP(B692,CAC!$A$2:$B$198,2,FALSE)</f>
        <v>HMOPMR</v>
      </c>
    </row>
    <row r="693" spans="1:5" x14ac:dyDescent="0.25">
      <c r="A693" s="56" t="s">
        <v>128</v>
      </c>
      <c r="B693" s="57" t="s">
        <v>56</v>
      </c>
      <c r="C693" s="58">
        <v>52</v>
      </c>
      <c r="D693" s="58"/>
      <c r="E693" t="str">
        <f>VLOOKUP(B693,CAC!$A$2:$B$198,2,FALSE)</f>
        <v>HMOPMR</v>
      </c>
    </row>
    <row r="694" spans="1:5" x14ac:dyDescent="0.25">
      <c r="A694" s="56" t="s">
        <v>128</v>
      </c>
      <c r="B694" s="57" t="s">
        <v>83</v>
      </c>
      <c r="C694" s="58">
        <v>1117</v>
      </c>
      <c r="D694" s="58"/>
      <c r="E694" t="str">
        <f>VLOOKUP(B694,CAC!$A$2:$B$198,2,FALSE)</f>
        <v>HMOPMR</v>
      </c>
    </row>
    <row r="695" spans="1:5" x14ac:dyDescent="0.25">
      <c r="A695" s="56" t="s">
        <v>128</v>
      </c>
      <c r="B695" s="57" t="s">
        <v>57</v>
      </c>
      <c r="C695" s="58">
        <v>4015</v>
      </c>
      <c r="D695" s="58"/>
      <c r="E695" t="str">
        <f>VLOOKUP(B695,CAC!$A$2:$B$198,2,FALSE)</f>
        <v>HMFLEX</v>
      </c>
    </row>
    <row r="696" spans="1:5" x14ac:dyDescent="0.25">
      <c r="A696" s="56" t="s">
        <v>128</v>
      </c>
      <c r="B696" s="57" t="s">
        <v>58</v>
      </c>
      <c r="C696" s="58">
        <v>341</v>
      </c>
      <c r="D696" s="58"/>
      <c r="E696" t="str">
        <f>VLOOKUP(B696,CAC!$A$2:$B$198,2,FALSE)</f>
        <v>HMFLEX</v>
      </c>
    </row>
    <row r="697" spans="1:5" x14ac:dyDescent="0.25">
      <c r="A697" s="56" t="s">
        <v>128</v>
      </c>
      <c r="B697" s="57" t="s">
        <v>60</v>
      </c>
      <c r="C697" s="58">
        <v>8562</v>
      </c>
      <c r="D697" s="58"/>
      <c r="E697" t="str">
        <f>VLOOKUP(B697,CAC!$A$2:$B$198,2,FALSE)</f>
        <v>HMOLG</v>
      </c>
    </row>
    <row r="698" spans="1:5" x14ac:dyDescent="0.25">
      <c r="A698" s="56" t="s">
        <v>128</v>
      </c>
      <c r="B698" s="57" t="s">
        <v>61</v>
      </c>
      <c r="C698" s="58">
        <v>259</v>
      </c>
      <c r="D698" s="58"/>
      <c r="E698" t="str">
        <f>VLOOKUP(B698,CAC!$A$2:$B$198,2,FALSE)</f>
        <v>HMOLG</v>
      </c>
    </row>
    <row r="699" spans="1:5" x14ac:dyDescent="0.25">
      <c r="A699" s="56" t="s">
        <v>128</v>
      </c>
      <c r="B699" s="57" t="s">
        <v>62</v>
      </c>
      <c r="C699" s="58">
        <v>15707</v>
      </c>
      <c r="D699" s="58"/>
      <c r="E699" t="str">
        <f>VLOOKUP(B699,CAC!$A$2:$B$198,2,FALSE)</f>
        <v>HMOLG</v>
      </c>
    </row>
    <row r="700" spans="1:5" x14ac:dyDescent="0.25">
      <c r="A700" s="56" t="s">
        <v>128</v>
      </c>
      <c r="B700" s="57" t="s">
        <v>86</v>
      </c>
      <c r="C700" s="58">
        <v>2207</v>
      </c>
      <c r="D700" s="58"/>
      <c r="E700" t="str">
        <f>VLOOKUP(B700,CAC!$A$2:$B$198,2,FALSE)</f>
        <v>HMOLG</v>
      </c>
    </row>
    <row r="701" spans="1:5" x14ac:dyDescent="0.25">
      <c r="A701" s="56" t="s">
        <v>128</v>
      </c>
      <c r="B701" s="57" t="s">
        <v>63</v>
      </c>
      <c r="C701" s="58">
        <v>38</v>
      </c>
      <c r="D701" s="58"/>
      <c r="E701" t="str">
        <f>VLOOKUP(B701,CAC!$A$2:$B$198,2,FALSE)</f>
        <v>HMOLG</v>
      </c>
    </row>
    <row r="702" spans="1:5" x14ac:dyDescent="0.25">
      <c r="A702" s="56" t="s">
        <v>128</v>
      </c>
      <c r="B702" s="57" t="s">
        <v>65</v>
      </c>
      <c r="C702" s="58">
        <v>224</v>
      </c>
      <c r="D702" s="58"/>
      <c r="E702" t="str">
        <f>VLOOKUP(B702,CAC!$A$2:$B$198,2,FALSE)</f>
        <v>HMFLEX</v>
      </c>
    </row>
    <row r="703" spans="1:5" x14ac:dyDescent="0.25">
      <c r="A703" s="56" t="s">
        <v>128</v>
      </c>
      <c r="B703" s="57" t="s">
        <v>66</v>
      </c>
      <c r="C703" s="58">
        <v>4691</v>
      </c>
      <c r="D703" s="58"/>
      <c r="E703" t="str">
        <f>VLOOKUP(B703,CAC!$A$2:$B$198,2,FALSE)</f>
        <v>HMOLG</v>
      </c>
    </row>
    <row r="704" spans="1:5" x14ac:dyDescent="0.25">
      <c r="A704" s="56" t="s">
        <v>128</v>
      </c>
      <c r="B704" s="57" t="s">
        <v>67</v>
      </c>
      <c r="C704" s="58">
        <v>142</v>
      </c>
      <c r="D704" s="58"/>
      <c r="E704" t="str">
        <f>VLOOKUP(B704,CAC!$A$2:$B$198,2,FALSE)</f>
        <v>HMOLG</v>
      </c>
    </row>
    <row r="705" spans="1:5" x14ac:dyDescent="0.25">
      <c r="A705" s="56" t="s">
        <v>128</v>
      </c>
      <c r="B705" s="57" t="s">
        <v>68</v>
      </c>
      <c r="C705" s="58">
        <v>267</v>
      </c>
      <c r="D705" s="58"/>
      <c r="E705" t="str">
        <f>VLOOKUP(B705,CAC!$A$2:$B$198,2,FALSE)</f>
        <v>HMOPMR</v>
      </c>
    </row>
    <row r="706" spans="1:5" x14ac:dyDescent="0.25">
      <c r="A706" s="56" t="s">
        <v>128</v>
      </c>
      <c r="B706" s="57" t="s">
        <v>69</v>
      </c>
      <c r="C706" s="58">
        <v>9056</v>
      </c>
      <c r="D706" s="58"/>
      <c r="E706" t="str">
        <f>VLOOKUP(B706,CAC!$A$2:$B$198,2,FALSE)</f>
        <v>HMOPMR</v>
      </c>
    </row>
    <row r="707" spans="1:5" x14ac:dyDescent="0.25">
      <c r="A707" s="56" t="s">
        <v>128</v>
      </c>
      <c r="B707" s="57" t="s">
        <v>70</v>
      </c>
      <c r="C707" s="58">
        <v>854</v>
      </c>
      <c r="D707" s="58"/>
      <c r="E707" t="str">
        <f>VLOOKUP(B707,CAC!$A$2:$B$198,2,FALSE)</f>
        <v>HMOPMR</v>
      </c>
    </row>
    <row r="708" spans="1:5" x14ac:dyDescent="0.25">
      <c r="A708" s="56" t="s">
        <v>128</v>
      </c>
      <c r="B708" s="57" t="s">
        <v>71</v>
      </c>
      <c r="C708" s="58">
        <v>6712</v>
      </c>
      <c r="D708" s="58"/>
      <c r="E708" t="str">
        <f>VLOOKUP(B708,CAC!$A$2:$B$198,2,FALSE)</f>
        <v>HMOPMR</v>
      </c>
    </row>
    <row r="709" spans="1:5" x14ac:dyDescent="0.25">
      <c r="A709" s="56" t="s">
        <v>128</v>
      </c>
      <c r="B709" s="57" t="s">
        <v>72</v>
      </c>
      <c r="C709" s="58">
        <v>5051</v>
      </c>
      <c r="D709" s="58"/>
      <c r="E709" t="str">
        <f>VLOOKUP(B709,CAC!$A$2:$B$198,2,FALSE)</f>
        <v>HMFLEX</v>
      </c>
    </row>
    <row r="710" spans="1:5" x14ac:dyDescent="0.25">
      <c r="A710" s="56" t="s">
        <v>128</v>
      </c>
      <c r="B710" s="57" t="s">
        <v>100</v>
      </c>
      <c r="C710" s="58">
        <v>31</v>
      </c>
      <c r="D710" s="58"/>
      <c r="E710" t="e">
        <f>VLOOKUP(B710,CAC!$A$2:$B$198,2,FALSE)</f>
        <v>#N/A</v>
      </c>
    </row>
    <row r="711" spans="1:5" x14ac:dyDescent="0.25">
      <c r="A711" s="56" t="s">
        <v>128</v>
      </c>
      <c r="B711" s="57" t="s">
        <v>73</v>
      </c>
      <c r="C711" s="58">
        <v>62891</v>
      </c>
      <c r="D711" s="58"/>
      <c r="E711" t="str">
        <f>VLOOKUP(B711,CAC!$A$2:$B$198,2,FALSE)</f>
        <v>HMOPERA</v>
      </c>
    </row>
    <row r="712" spans="1:5" x14ac:dyDescent="0.25">
      <c r="A712" s="56" t="s">
        <v>128</v>
      </c>
      <c r="B712" s="57" t="s">
        <v>75</v>
      </c>
      <c r="C712" s="58">
        <v>15</v>
      </c>
      <c r="D712" s="58"/>
      <c r="E712" t="str">
        <f>VLOOKUP(B712,CAC!$A$2:$B$198,2,FALSE)</f>
        <v>HMOPERN</v>
      </c>
    </row>
    <row r="713" spans="1:5" x14ac:dyDescent="0.25">
      <c r="A713" s="56" t="s">
        <v>128</v>
      </c>
      <c r="B713" s="57" t="s">
        <v>77</v>
      </c>
      <c r="C713" s="58">
        <v>25376</v>
      </c>
      <c r="D713" s="58"/>
      <c r="E713" t="str">
        <f>VLOOKUP(B713,CAC!$A$2:$B$198,2,FALSE)</f>
        <v>HMOSG</v>
      </c>
    </row>
    <row r="714" spans="1:5" x14ac:dyDescent="0.25">
      <c r="A714" s="56" t="s">
        <v>128</v>
      </c>
      <c r="B714" s="57" t="s">
        <v>78</v>
      </c>
      <c r="C714" s="58">
        <v>296</v>
      </c>
      <c r="D714" s="58"/>
      <c r="E714" t="str">
        <f>VLOOKUP(B714,CAC!$A$2:$B$198,2,FALSE)</f>
        <v>HMOSG</v>
      </c>
    </row>
    <row r="715" spans="1:5" x14ac:dyDescent="0.25">
      <c r="A715" s="56" t="s">
        <v>128</v>
      </c>
      <c r="B715" s="57" t="s">
        <v>79</v>
      </c>
      <c r="C715" s="58">
        <v>85</v>
      </c>
      <c r="D715" s="58"/>
      <c r="E715" t="str">
        <f>VLOOKUP(B715,CAC!$A$2:$B$198,2,FALSE)</f>
        <v>HMOSG</v>
      </c>
    </row>
    <row r="716" spans="1:5" x14ac:dyDescent="0.25">
      <c r="A716" s="56" t="s">
        <v>129</v>
      </c>
      <c r="B716" s="57" t="s">
        <v>52</v>
      </c>
      <c r="C716" s="58">
        <v>1269</v>
      </c>
      <c r="D716" s="58"/>
      <c r="E716" t="str">
        <f>VLOOKUP(B716,CAC!$A$2:$B$198,2,FALSE)</f>
        <v>HMOPMR</v>
      </c>
    </row>
    <row r="717" spans="1:5" x14ac:dyDescent="0.25">
      <c r="A717" s="56" t="s">
        <v>129</v>
      </c>
      <c r="B717" s="57" t="s">
        <v>53</v>
      </c>
      <c r="C717" s="58">
        <v>4159</v>
      </c>
      <c r="D717" s="58"/>
      <c r="E717" t="str">
        <f>VLOOKUP(B717,CAC!$A$2:$B$198,2,FALSE)</f>
        <v>HMOPMR</v>
      </c>
    </row>
    <row r="718" spans="1:5" x14ac:dyDescent="0.25">
      <c r="A718" s="56" t="s">
        <v>129</v>
      </c>
      <c r="B718" s="57" t="s">
        <v>54</v>
      </c>
      <c r="C718" s="58">
        <v>5498</v>
      </c>
      <c r="D718" s="58"/>
      <c r="E718" t="str">
        <f>VLOOKUP(B718,CAC!$A$2:$B$198,2,FALSE)</f>
        <v>HMOFEP</v>
      </c>
    </row>
    <row r="719" spans="1:5" x14ac:dyDescent="0.25">
      <c r="A719" s="56" t="s">
        <v>129</v>
      </c>
      <c r="B719" s="57" t="s">
        <v>55</v>
      </c>
      <c r="C719" s="58">
        <v>8672</v>
      </c>
      <c r="D719" s="58"/>
      <c r="E719" t="str">
        <f>VLOOKUP(B719,CAC!$A$2:$B$198,2,FALSE)</f>
        <v>HMOPMR</v>
      </c>
    </row>
    <row r="720" spans="1:5" x14ac:dyDescent="0.25">
      <c r="A720" s="56" t="s">
        <v>129</v>
      </c>
      <c r="B720" s="57" t="s">
        <v>56</v>
      </c>
      <c r="C720" s="58">
        <v>36</v>
      </c>
      <c r="D720" s="58"/>
      <c r="E720" t="str">
        <f>VLOOKUP(B720,CAC!$A$2:$B$198,2,FALSE)</f>
        <v>HMOPMR</v>
      </c>
    </row>
    <row r="721" spans="1:5" x14ac:dyDescent="0.25">
      <c r="A721" s="56" t="s">
        <v>129</v>
      </c>
      <c r="B721" s="57" t="s">
        <v>83</v>
      </c>
      <c r="C721" s="58">
        <v>1185</v>
      </c>
      <c r="D721" s="58"/>
      <c r="E721" t="str">
        <f>VLOOKUP(B721,CAC!$A$2:$B$198,2,FALSE)</f>
        <v>HMOPMR</v>
      </c>
    </row>
    <row r="722" spans="1:5" x14ac:dyDescent="0.25">
      <c r="A722" s="56" t="s">
        <v>129</v>
      </c>
      <c r="B722" s="57" t="s">
        <v>57</v>
      </c>
      <c r="C722" s="58">
        <v>4015</v>
      </c>
      <c r="D722" s="58"/>
      <c r="E722" t="str">
        <f>VLOOKUP(B722,CAC!$A$2:$B$198,2,FALSE)</f>
        <v>HMFLEX</v>
      </c>
    </row>
    <row r="723" spans="1:5" x14ac:dyDescent="0.25">
      <c r="A723" s="56" t="s">
        <v>129</v>
      </c>
      <c r="B723" s="57" t="s">
        <v>58</v>
      </c>
      <c r="C723" s="58">
        <v>326</v>
      </c>
      <c r="D723" s="58"/>
      <c r="E723" t="str">
        <f>VLOOKUP(B723,CAC!$A$2:$B$198,2,FALSE)</f>
        <v>HMFLEX</v>
      </c>
    </row>
    <row r="724" spans="1:5" x14ac:dyDescent="0.25">
      <c r="A724" s="56" t="s">
        <v>129</v>
      </c>
      <c r="B724" s="57" t="s">
        <v>60</v>
      </c>
      <c r="C724" s="58">
        <v>7153</v>
      </c>
      <c r="D724" s="58"/>
      <c r="E724" t="str">
        <f>VLOOKUP(B724,CAC!$A$2:$B$198,2,FALSE)</f>
        <v>HMOLG</v>
      </c>
    </row>
    <row r="725" spans="1:5" x14ac:dyDescent="0.25">
      <c r="A725" s="56" t="s">
        <v>129</v>
      </c>
      <c r="B725" s="57" t="s">
        <v>61</v>
      </c>
      <c r="C725" s="58">
        <v>275</v>
      </c>
      <c r="D725" s="58"/>
      <c r="E725" t="str">
        <f>VLOOKUP(B725,CAC!$A$2:$B$198,2,FALSE)</f>
        <v>HMOLG</v>
      </c>
    </row>
    <row r="726" spans="1:5" x14ac:dyDescent="0.25">
      <c r="A726" s="56" t="s">
        <v>129</v>
      </c>
      <c r="B726" s="57" t="s">
        <v>62</v>
      </c>
      <c r="C726" s="58">
        <v>12221</v>
      </c>
      <c r="D726" s="58"/>
      <c r="E726" t="str">
        <f>VLOOKUP(B726,CAC!$A$2:$B$198,2,FALSE)</f>
        <v>HMOLG</v>
      </c>
    </row>
    <row r="727" spans="1:5" x14ac:dyDescent="0.25">
      <c r="A727" s="56" t="s">
        <v>129</v>
      </c>
      <c r="B727" s="57" t="s">
        <v>86</v>
      </c>
      <c r="C727" s="58">
        <v>2224</v>
      </c>
      <c r="D727" s="58"/>
      <c r="E727" t="str">
        <f>VLOOKUP(B727,CAC!$A$2:$B$198,2,FALSE)</f>
        <v>HMOLG</v>
      </c>
    </row>
    <row r="728" spans="1:5" x14ac:dyDescent="0.25">
      <c r="A728" s="56" t="s">
        <v>129</v>
      </c>
      <c r="B728" s="57" t="s">
        <v>63</v>
      </c>
      <c r="C728" s="58">
        <v>40</v>
      </c>
      <c r="D728" s="58"/>
      <c r="E728" t="str">
        <f>VLOOKUP(B728,CAC!$A$2:$B$198,2,FALSE)</f>
        <v>HMOLG</v>
      </c>
    </row>
    <row r="729" spans="1:5" x14ac:dyDescent="0.25">
      <c r="A729" s="56" t="s">
        <v>129</v>
      </c>
      <c r="B729" s="57" t="s">
        <v>65</v>
      </c>
      <c r="C729" s="58">
        <v>228</v>
      </c>
      <c r="D729" s="58"/>
      <c r="E729" t="str">
        <f>VLOOKUP(B729,CAC!$A$2:$B$198,2,FALSE)</f>
        <v>HMFLEX</v>
      </c>
    </row>
    <row r="730" spans="1:5" x14ac:dyDescent="0.25">
      <c r="A730" s="56" t="s">
        <v>129</v>
      </c>
      <c r="B730" s="57" t="s">
        <v>66</v>
      </c>
      <c r="C730" s="58">
        <v>4768</v>
      </c>
      <c r="D730" s="58"/>
      <c r="E730" t="str">
        <f>VLOOKUP(B730,CAC!$A$2:$B$198,2,FALSE)</f>
        <v>HMOLG</v>
      </c>
    </row>
    <row r="731" spans="1:5" x14ac:dyDescent="0.25">
      <c r="A731" s="56" t="s">
        <v>129</v>
      </c>
      <c r="B731" s="57" t="s">
        <v>67</v>
      </c>
      <c r="C731" s="58">
        <v>85</v>
      </c>
      <c r="D731" s="58"/>
      <c r="E731" t="str">
        <f>VLOOKUP(B731,CAC!$A$2:$B$198,2,FALSE)</f>
        <v>HMOLG</v>
      </c>
    </row>
    <row r="732" spans="1:5" x14ac:dyDescent="0.25">
      <c r="A732" s="56" t="s">
        <v>129</v>
      </c>
      <c r="B732" s="57" t="s">
        <v>68</v>
      </c>
      <c r="C732" s="58">
        <v>282</v>
      </c>
      <c r="D732" s="58"/>
      <c r="E732" t="str">
        <f>VLOOKUP(B732,CAC!$A$2:$B$198,2,FALSE)</f>
        <v>HMOPMR</v>
      </c>
    </row>
    <row r="733" spans="1:5" x14ac:dyDescent="0.25">
      <c r="A733" s="56" t="s">
        <v>129</v>
      </c>
      <c r="B733" s="57" t="s">
        <v>69</v>
      </c>
      <c r="C733" s="58">
        <v>9347</v>
      </c>
      <c r="D733" s="58"/>
      <c r="E733" t="str">
        <f>VLOOKUP(B733,CAC!$A$2:$B$198,2,FALSE)</f>
        <v>HMOPMR</v>
      </c>
    </row>
    <row r="734" spans="1:5" x14ac:dyDescent="0.25">
      <c r="A734" s="56" t="s">
        <v>129</v>
      </c>
      <c r="B734" s="57" t="s">
        <v>70</v>
      </c>
      <c r="C734" s="58">
        <v>915</v>
      </c>
      <c r="D734" s="58"/>
      <c r="E734" t="str">
        <f>VLOOKUP(B734,CAC!$A$2:$B$198,2,FALSE)</f>
        <v>HMOPMR</v>
      </c>
    </row>
    <row r="735" spans="1:5" x14ac:dyDescent="0.25">
      <c r="A735" s="56" t="s">
        <v>129</v>
      </c>
      <c r="B735" s="57" t="s">
        <v>71</v>
      </c>
      <c r="C735" s="58">
        <v>5625</v>
      </c>
      <c r="D735" s="58"/>
      <c r="E735" t="str">
        <f>VLOOKUP(B735,CAC!$A$2:$B$198,2,FALSE)</f>
        <v>HMOPMR</v>
      </c>
    </row>
    <row r="736" spans="1:5" x14ac:dyDescent="0.25">
      <c r="A736" s="56" t="s">
        <v>129</v>
      </c>
      <c r="B736" s="57" t="s">
        <v>72</v>
      </c>
      <c r="C736" s="58">
        <v>4962</v>
      </c>
      <c r="D736" s="58"/>
      <c r="E736" t="str">
        <f>VLOOKUP(B736,CAC!$A$2:$B$198,2,FALSE)</f>
        <v>HMFLEX</v>
      </c>
    </row>
    <row r="737" spans="1:5" x14ac:dyDescent="0.25">
      <c r="A737" s="56" t="s">
        <v>129</v>
      </c>
      <c r="B737" s="57" t="s">
        <v>100</v>
      </c>
      <c r="C737" s="58">
        <v>4</v>
      </c>
      <c r="D737" s="58"/>
      <c r="E737" t="e">
        <f>VLOOKUP(B737,CAC!$A$2:$B$198,2,FALSE)</f>
        <v>#N/A</v>
      </c>
    </row>
    <row r="738" spans="1:5" x14ac:dyDescent="0.25">
      <c r="A738" s="56" t="s">
        <v>129</v>
      </c>
      <c r="B738" s="57" t="s">
        <v>73</v>
      </c>
      <c r="C738" s="58">
        <v>55926</v>
      </c>
      <c r="D738" s="58"/>
      <c r="E738" t="str">
        <f>VLOOKUP(B738,CAC!$A$2:$B$198,2,FALSE)</f>
        <v>HMOPERA</v>
      </c>
    </row>
    <row r="739" spans="1:5" x14ac:dyDescent="0.25">
      <c r="A739" s="56" t="s">
        <v>129</v>
      </c>
      <c r="B739" s="57" t="s">
        <v>75</v>
      </c>
      <c r="C739" s="58">
        <v>15</v>
      </c>
      <c r="D739" s="58"/>
      <c r="E739" t="str">
        <f>VLOOKUP(B739,CAC!$A$2:$B$198,2,FALSE)</f>
        <v>HMOPERN</v>
      </c>
    </row>
    <row r="740" spans="1:5" x14ac:dyDescent="0.25">
      <c r="A740" s="56" t="s">
        <v>129</v>
      </c>
      <c r="B740" s="57" t="s">
        <v>77</v>
      </c>
      <c r="C740" s="58">
        <v>24281</v>
      </c>
      <c r="D740" s="58"/>
      <c r="E740" t="str">
        <f>VLOOKUP(B740,CAC!$A$2:$B$198,2,FALSE)</f>
        <v>HMOSG</v>
      </c>
    </row>
    <row r="741" spans="1:5" x14ac:dyDescent="0.25">
      <c r="A741" s="56" t="s">
        <v>129</v>
      </c>
      <c r="B741" s="57" t="s">
        <v>78</v>
      </c>
      <c r="C741" s="58">
        <v>297</v>
      </c>
      <c r="D741" s="58"/>
      <c r="E741" t="str">
        <f>VLOOKUP(B741,CAC!$A$2:$B$198,2,FALSE)</f>
        <v>HMOSG</v>
      </c>
    </row>
    <row r="742" spans="1:5" x14ac:dyDescent="0.25">
      <c r="A742" s="56" t="s">
        <v>129</v>
      </c>
      <c r="B742" s="57" t="s">
        <v>79</v>
      </c>
      <c r="C742" s="58">
        <v>83</v>
      </c>
      <c r="D742" s="58"/>
      <c r="E742" t="str">
        <f>VLOOKUP(B742,CAC!$A$2:$B$198,2,FALSE)</f>
        <v>HMOSG</v>
      </c>
    </row>
    <row r="743" spans="1:5" x14ac:dyDescent="0.25">
      <c r="A743" s="56" t="s">
        <v>129</v>
      </c>
      <c r="B743" s="57" t="s">
        <v>89</v>
      </c>
      <c r="C743" s="58">
        <v>621</v>
      </c>
      <c r="D743" s="58"/>
      <c r="E743" t="str">
        <f>VLOOKUP(B743,CAC!$A$2:$B$198,2,FALSE)</f>
        <v>HMOIFP</v>
      </c>
    </row>
    <row r="744" spans="1:5" x14ac:dyDescent="0.25">
      <c r="A744" s="56" t="s">
        <v>129</v>
      </c>
      <c r="B744" s="57" t="s">
        <v>90</v>
      </c>
      <c r="C744" s="58">
        <v>359</v>
      </c>
      <c r="D744" s="58"/>
      <c r="E744" t="str">
        <f>VLOOKUP(B744,CAC!$A$2:$B$198,2,FALSE)</f>
        <v>HMOIFP</v>
      </c>
    </row>
    <row r="745" spans="1:5" x14ac:dyDescent="0.25">
      <c r="A745" s="56" t="s">
        <v>130</v>
      </c>
      <c r="B745" s="57" t="s">
        <v>52</v>
      </c>
      <c r="C745" s="58">
        <v>15989</v>
      </c>
      <c r="D745" s="58"/>
      <c r="E745" t="str">
        <f>VLOOKUP(B745,CAC!$A$2:$B$198,2,FALSE)</f>
        <v>HMOPMR</v>
      </c>
    </row>
    <row r="746" spans="1:5" x14ac:dyDescent="0.25">
      <c r="A746" s="56" t="s">
        <v>130</v>
      </c>
      <c r="B746" s="57" t="s">
        <v>53</v>
      </c>
      <c r="C746" s="58">
        <v>4235</v>
      </c>
      <c r="D746" s="58"/>
      <c r="E746" t="str">
        <f>VLOOKUP(B746,CAC!$A$2:$B$198,2,FALSE)</f>
        <v>HMOPMR</v>
      </c>
    </row>
    <row r="747" spans="1:5" x14ac:dyDescent="0.25">
      <c r="A747" s="56" t="s">
        <v>130</v>
      </c>
      <c r="B747" s="57" t="s">
        <v>54</v>
      </c>
      <c r="C747" s="58">
        <v>5636</v>
      </c>
      <c r="D747" s="58"/>
      <c r="E747" t="str">
        <f>VLOOKUP(B747,CAC!$A$2:$B$198,2,FALSE)</f>
        <v>HMOFEP</v>
      </c>
    </row>
    <row r="748" spans="1:5" x14ac:dyDescent="0.25">
      <c r="A748" s="56" t="s">
        <v>130</v>
      </c>
      <c r="B748" s="57" t="s">
        <v>55</v>
      </c>
      <c r="C748" s="58">
        <v>16058</v>
      </c>
      <c r="D748" s="58"/>
      <c r="E748" t="str">
        <f>VLOOKUP(B748,CAC!$A$2:$B$198,2,FALSE)</f>
        <v>HMOPMR</v>
      </c>
    </row>
    <row r="749" spans="1:5" x14ac:dyDescent="0.25">
      <c r="A749" s="56" t="s">
        <v>130</v>
      </c>
      <c r="B749" s="57" t="s">
        <v>56</v>
      </c>
      <c r="C749" s="58">
        <v>37</v>
      </c>
      <c r="D749" s="58"/>
      <c r="E749" t="str">
        <f>VLOOKUP(B749,CAC!$A$2:$B$198,2,FALSE)</f>
        <v>HMOPMR</v>
      </c>
    </row>
    <row r="750" spans="1:5" x14ac:dyDescent="0.25">
      <c r="A750" s="56" t="s">
        <v>130</v>
      </c>
      <c r="B750" s="57" t="s">
        <v>83</v>
      </c>
      <c r="C750" s="58">
        <v>1211</v>
      </c>
      <c r="D750" s="58"/>
      <c r="E750" t="str">
        <f>VLOOKUP(B750,CAC!$A$2:$B$198,2,FALSE)</f>
        <v>HMOPMR</v>
      </c>
    </row>
    <row r="751" spans="1:5" x14ac:dyDescent="0.25">
      <c r="A751" s="56" t="s">
        <v>130</v>
      </c>
      <c r="B751" s="57" t="s">
        <v>57</v>
      </c>
      <c r="C751" s="58">
        <v>4031</v>
      </c>
      <c r="D751" s="58"/>
      <c r="E751" t="str">
        <f>VLOOKUP(B751,CAC!$A$2:$B$198,2,FALSE)</f>
        <v>HMFLEX</v>
      </c>
    </row>
    <row r="752" spans="1:5" x14ac:dyDescent="0.25">
      <c r="A752" s="56" t="s">
        <v>130</v>
      </c>
      <c r="B752" s="57" t="s">
        <v>58</v>
      </c>
      <c r="C752" s="58">
        <v>335</v>
      </c>
      <c r="D752" s="58"/>
      <c r="E752" t="str">
        <f>VLOOKUP(B752,CAC!$A$2:$B$198,2,FALSE)</f>
        <v>HMFLEX</v>
      </c>
    </row>
    <row r="753" spans="1:5" x14ac:dyDescent="0.25">
      <c r="A753" s="56" t="s">
        <v>130</v>
      </c>
      <c r="B753" s="57" t="s">
        <v>60</v>
      </c>
      <c r="C753" s="58">
        <v>8998</v>
      </c>
      <c r="D753" s="58"/>
      <c r="E753" t="str">
        <f>VLOOKUP(B753,CAC!$A$2:$B$198,2,FALSE)</f>
        <v>HMOLG</v>
      </c>
    </row>
    <row r="754" spans="1:5" x14ac:dyDescent="0.25">
      <c r="A754" s="56" t="s">
        <v>130</v>
      </c>
      <c r="B754" s="57" t="s">
        <v>61</v>
      </c>
      <c r="C754" s="58">
        <v>272</v>
      </c>
      <c r="D754" s="58"/>
      <c r="E754" t="str">
        <f>VLOOKUP(B754,CAC!$A$2:$B$198,2,FALSE)</f>
        <v>HMOLG</v>
      </c>
    </row>
    <row r="755" spans="1:5" x14ac:dyDescent="0.25">
      <c r="A755" s="56" t="s">
        <v>130</v>
      </c>
      <c r="B755" s="57" t="s">
        <v>62</v>
      </c>
      <c r="C755" s="58">
        <v>15757</v>
      </c>
      <c r="D755" s="58"/>
      <c r="E755" t="str">
        <f>VLOOKUP(B755,CAC!$A$2:$B$198,2,FALSE)</f>
        <v>HMOLG</v>
      </c>
    </row>
    <row r="756" spans="1:5" x14ac:dyDescent="0.25">
      <c r="A756" s="56" t="s">
        <v>130</v>
      </c>
      <c r="B756" s="57" t="s">
        <v>86</v>
      </c>
      <c r="C756" s="58">
        <v>2252</v>
      </c>
      <c r="D756" s="58"/>
      <c r="E756" t="str">
        <f>VLOOKUP(B756,CAC!$A$2:$B$198,2,FALSE)</f>
        <v>HMOLG</v>
      </c>
    </row>
    <row r="757" spans="1:5" x14ac:dyDescent="0.25">
      <c r="A757" s="56" t="s">
        <v>130</v>
      </c>
      <c r="B757" s="57" t="s">
        <v>63</v>
      </c>
      <c r="C757" s="58">
        <v>40</v>
      </c>
      <c r="D757" s="58"/>
      <c r="E757" t="str">
        <f>VLOOKUP(B757,CAC!$A$2:$B$198,2,FALSE)</f>
        <v>HMOLG</v>
      </c>
    </row>
    <row r="758" spans="1:5" x14ac:dyDescent="0.25">
      <c r="A758" s="56" t="s">
        <v>130</v>
      </c>
      <c r="B758" s="57" t="s">
        <v>65</v>
      </c>
      <c r="C758" s="58">
        <v>227</v>
      </c>
      <c r="D758" s="58"/>
      <c r="E758" t="str">
        <f>VLOOKUP(B758,CAC!$A$2:$B$198,2,FALSE)</f>
        <v>HMFLEX</v>
      </c>
    </row>
    <row r="759" spans="1:5" x14ac:dyDescent="0.25">
      <c r="A759" s="56" t="s">
        <v>130</v>
      </c>
      <c r="B759" s="57" t="s">
        <v>66</v>
      </c>
      <c r="C759" s="58">
        <v>5103</v>
      </c>
      <c r="D759" s="58"/>
      <c r="E759" t="str">
        <f>VLOOKUP(B759,CAC!$A$2:$B$198,2,FALSE)</f>
        <v>HMOLG</v>
      </c>
    </row>
    <row r="760" spans="1:5" x14ac:dyDescent="0.25">
      <c r="A760" s="56" t="s">
        <v>130</v>
      </c>
      <c r="B760" s="57" t="s">
        <v>67</v>
      </c>
      <c r="C760" s="58">
        <v>139</v>
      </c>
      <c r="D760" s="58"/>
      <c r="E760" t="str">
        <f>VLOOKUP(B760,CAC!$A$2:$B$198,2,FALSE)</f>
        <v>HMOLG</v>
      </c>
    </row>
    <row r="761" spans="1:5" x14ac:dyDescent="0.25">
      <c r="A761" s="56" t="s">
        <v>130</v>
      </c>
      <c r="B761" s="57" t="s">
        <v>68</v>
      </c>
      <c r="C761" s="58">
        <v>280</v>
      </c>
      <c r="D761" s="58"/>
      <c r="E761" t="str">
        <f>VLOOKUP(B761,CAC!$A$2:$B$198,2,FALSE)</f>
        <v>HMOPMR</v>
      </c>
    </row>
    <row r="762" spans="1:5" x14ac:dyDescent="0.25">
      <c r="A762" s="56" t="s">
        <v>130</v>
      </c>
      <c r="B762" s="57" t="s">
        <v>69</v>
      </c>
      <c r="C762" s="58">
        <v>9383</v>
      </c>
      <c r="D762" s="58"/>
      <c r="E762" t="str">
        <f>VLOOKUP(B762,CAC!$A$2:$B$198,2,FALSE)</f>
        <v>HMOPMR</v>
      </c>
    </row>
    <row r="763" spans="1:5" x14ac:dyDescent="0.25">
      <c r="A763" s="56" t="s">
        <v>130</v>
      </c>
      <c r="B763" s="57" t="s">
        <v>70</v>
      </c>
      <c r="C763" s="58">
        <v>939</v>
      </c>
      <c r="D763" s="58"/>
      <c r="E763" t="str">
        <f>VLOOKUP(B763,CAC!$A$2:$B$198,2,FALSE)</f>
        <v>HMOPMR</v>
      </c>
    </row>
    <row r="764" spans="1:5" x14ac:dyDescent="0.25">
      <c r="A764" s="56" t="s">
        <v>130</v>
      </c>
      <c r="B764" s="57" t="s">
        <v>71</v>
      </c>
      <c r="C764" s="58">
        <v>5702</v>
      </c>
      <c r="D764" s="58"/>
      <c r="E764" t="str">
        <f>VLOOKUP(B764,CAC!$A$2:$B$198,2,FALSE)</f>
        <v>HMOPMR</v>
      </c>
    </row>
    <row r="765" spans="1:5" x14ac:dyDescent="0.25">
      <c r="A765" s="56" t="s">
        <v>130</v>
      </c>
      <c r="B765" s="57" t="s">
        <v>72</v>
      </c>
      <c r="C765" s="58">
        <v>5057</v>
      </c>
      <c r="D765" s="58"/>
      <c r="E765" t="str">
        <f>VLOOKUP(B765,CAC!$A$2:$B$198,2,FALSE)</f>
        <v>HMFLEX</v>
      </c>
    </row>
    <row r="766" spans="1:5" x14ac:dyDescent="0.25">
      <c r="A766" s="56" t="s">
        <v>130</v>
      </c>
      <c r="B766" s="57" t="s">
        <v>100</v>
      </c>
      <c r="C766" s="58">
        <v>4</v>
      </c>
      <c r="D766" s="58"/>
      <c r="E766" t="e">
        <f>VLOOKUP(B766,CAC!$A$2:$B$198,2,FALSE)</f>
        <v>#N/A</v>
      </c>
    </row>
    <row r="767" spans="1:5" x14ac:dyDescent="0.25">
      <c r="A767" s="56" t="s">
        <v>130</v>
      </c>
      <c r="B767" s="57" t="s">
        <v>73</v>
      </c>
      <c r="C767" s="58">
        <v>47693</v>
      </c>
      <c r="D767" s="58"/>
      <c r="E767" t="str">
        <f>VLOOKUP(B767,CAC!$A$2:$B$198,2,FALSE)</f>
        <v>HMOPERA</v>
      </c>
    </row>
    <row r="768" spans="1:5" x14ac:dyDescent="0.25">
      <c r="A768" s="56" t="s">
        <v>130</v>
      </c>
      <c r="B768" s="57" t="s">
        <v>75</v>
      </c>
      <c r="C768" s="58">
        <v>15</v>
      </c>
      <c r="D768" s="58"/>
      <c r="E768" t="str">
        <f>VLOOKUP(B768,CAC!$A$2:$B$198,2,FALSE)</f>
        <v>HMOPERN</v>
      </c>
    </row>
    <row r="769" spans="1:5" x14ac:dyDescent="0.25">
      <c r="A769" s="56" t="s">
        <v>130</v>
      </c>
      <c r="B769" s="57" t="s">
        <v>77</v>
      </c>
      <c r="C769" s="58">
        <v>26213</v>
      </c>
      <c r="D769" s="58"/>
      <c r="E769" t="str">
        <f>VLOOKUP(B769,CAC!$A$2:$B$198,2,FALSE)</f>
        <v>HMOSG</v>
      </c>
    </row>
    <row r="770" spans="1:5" x14ac:dyDescent="0.25">
      <c r="A770" s="56" t="s">
        <v>130</v>
      </c>
      <c r="B770" s="57" t="s">
        <v>78</v>
      </c>
      <c r="C770" s="58">
        <v>315</v>
      </c>
      <c r="D770" s="58"/>
      <c r="E770" t="str">
        <f>VLOOKUP(B770,CAC!$A$2:$B$198,2,FALSE)</f>
        <v>HMOSG</v>
      </c>
    </row>
    <row r="771" spans="1:5" x14ac:dyDescent="0.25">
      <c r="A771" s="56" t="s">
        <v>130</v>
      </c>
      <c r="B771" s="57" t="s">
        <v>79</v>
      </c>
      <c r="C771" s="58">
        <v>81</v>
      </c>
      <c r="D771" s="58"/>
      <c r="E771" t="str">
        <f>VLOOKUP(B771,CAC!$A$2:$B$198,2,FALSE)</f>
        <v>HMOSG</v>
      </c>
    </row>
    <row r="772" spans="1:5" x14ac:dyDescent="0.25">
      <c r="A772" s="56" t="s">
        <v>130</v>
      </c>
      <c r="B772" s="57" t="s">
        <v>89</v>
      </c>
      <c r="C772" s="58">
        <v>878</v>
      </c>
      <c r="D772" s="58"/>
      <c r="E772" t="str">
        <f>VLOOKUP(B772,CAC!$A$2:$B$198,2,FALSE)</f>
        <v>HMOIFP</v>
      </c>
    </row>
    <row r="773" spans="1:5" x14ac:dyDescent="0.25">
      <c r="A773" s="56" t="s">
        <v>130</v>
      </c>
      <c r="B773" s="57" t="s">
        <v>90</v>
      </c>
      <c r="C773" s="58">
        <v>501</v>
      </c>
      <c r="D773" s="58"/>
      <c r="E773" t="str">
        <f>VLOOKUP(B773,CAC!$A$2:$B$198,2,FALSE)</f>
        <v>HMOIFP</v>
      </c>
    </row>
    <row r="774" spans="1:5" x14ac:dyDescent="0.25">
      <c r="A774" s="56" t="s">
        <v>131</v>
      </c>
      <c r="B774" s="57" t="s">
        <v>52</v>
      </c>
      <c r="C774" s="58">
        <v>16033</v>
      </c>
      <c r="D774" s="58"/>
      <c r="E774" t="str">
        <f>VLOOKUP(B774,CAC!$A$2:$B$198,2,FALSE)</f>
        <v>HMOPMR</v>
      </c>
    </row>
    <row r="775" spans="1:5" x14ac:dyDescent="0.25">
      <c r="A775" s="56" t="s">
        <v>131</v>
      </c>
      <c r="B775" s="57" t="s">
        <v>53</v>
      </c>
      <c r="C775" s="58">
        <v>4250</v>
      </c>
      <c r="D775" s="58"/>
      <c r="E775" t="str">
        <f>VLOOKUP(B775,CAC!$A$2:$B$198,2,FALSE)</f>
        <v>HMOPMR</v>
      </c>
    </row>
    <row r="776" spans="1:5" x14ac:dyDescent="0.25">
      <c r="A776" s="56" t="s">
        <v>131</v>
      </c>
      <c r="B776" s="57" t="s">
        <v>54</v>
      </c>
      <c r="C776" s="58">
        <v>5651</v>
      </c>
      <c r="D776" s="58"/>
      <c r="E776" t="str">
        <f>VLOOKUP(B776,CAC!$A$2:$B$198,2,FALSE)</f>
        <v>HMOFEP</v>
      </c>
    </row>
    <row r="777" spans="1:5" x14ac:dyDescent="0.25">
      <c r="A777" s="56" t="s">
        <v>131</v>
      </c>
      <c r="B777" s="57" t="s">
        <v>55</v>
      </c>
      <c r="C777" s="58">
        <v>17193</v>
      </c>
      <c r="D777" s="58"/>
      <c r="E777" t="str">
        <f>VLOOKUP(B777,CAC!$A$2:$B$198,2,FALSE)</f>
        <v>HMOPMR</v>
      </c>
    </row>
    <row r="778" spans="1:5" x14ac:dyDescent="0.25">
      <c r="A778" s="56" t="s">
        <v>131</v>
      </c>
      <c r="B778" s="57" t="s">
        <v>56</v>
      </c>
      <c r="C778" s="58">
        <v>30</v>
      </c>
      <c r="D778" s="58"/>
      <c r="E778" t="str">
        <f>VLOOKUP(B778,CAC!$A$2:$B$198,2,FALSE)</f>
        <v>HMOPMR</v>
      </c>
    </row>
    <row r="779" spans="1:5" x14ac:dyDescent="0.25">
      <c r="A779" s="56" t="s">
        <v>131</v>
      </c>
      <c r="B779" s="57" t="s">
        <v>57</v>
      </c>
      <c r="C779" s="58">
        <v>4055</v>
      </c>
      <c r="D779" s="58"/>
      <c r="E779" t="str">
        <f>VLOOKUP(B779,CAC!$A$2:$B$198,2,FALSE)</f>
        <v>HMFLEX</v>
      </c>
    </row>
    <row r="780" spans="1:5" x14ac:dyDescent="0.25">
      <c r="A780" s="56" t="s">
        <v>131</v>
      </c>
      <c r="B780" s="57" t="s">
        <v>58</v>
      </c>
      <c r="C780" s="58">
        <v>341</v>
      </c>
      <c r="D780" s="58"/>
      <c r="E780" t="str">
        <f>VLOOKUP(B780,CAC!$A$2:$B$198,2,FALSE)</f>
        <v>HMFLEX</v>
      </c>
    </row>
    <row r="781" spans="1:5" x14ac:dyDescent="0.25">
      <c r="A781" s="56" t="s">
        <v>131</v>
      </c>
      <c r="B781" s="57" t="s">
        <v>60</v>
      </c>
      <c r="C781" s="58">
        <v>9345</v>
      </c>
      <c r="D781" s="58"/>
      <c r="E781" t="str">
        <f>VLOOKUP(B781,CAC!$A$2:$B$198,2,FALSE)</f>
        <v>HMOLG</v>
      </c>
    </row>
    <row r="782" spans="1:5" x14ac:dyDescent="0.25">
      <c r="A782" s="56" t="s">
        <v>131</v>
      </c>
      <c r="B782" s="57" t="s">
        <v>61</v>
      </c>
      <c r="C782" s="58">
        <v>808</v>
      </c>
      <c r="D782" s="58"/>
      <c r="E782" t="str">
        <f>VLOOKUP(B782,CAC!$A$2:$B$198,2,FALSE)</f>
        <v>HMOLG</v>
      </c>
    </row>
    <row r="783" spans="1:5" x14ac:dyDescent="0.25">
      <c r="A783" s="56" t="s">
        <v>131</v>
      </c>
      <c r="B783" s="57" t="s">
        <v>62</v>
      </c>
      <c r="C783" s="58">
        <v>15763</v>
      </c>
      <c r="D783" s="58"/>
      <c r="E783" t="str">
        <f>VLOOKUP(B783,CAC!$A$2:$B$198,2,FALSE)</f>
        <v>HMOLG</v>
      </c>
    </row>
    <row r="784" spans="1:5" x14ac:dyDescent="0.25">
      <c r="A784" s="56" t="s">
        <v>131</v>
      </c>
      <c r="B784" s="57" t="s">
        <v>86</v>
      </c>
      <c r="C784" s="58">
        <v>1958</v>
      </c>
      <c r="D784" s="58"/>
      <c r="E784" t="str">
        <f>VLOOKUP(B784,CAC!$A$2:$B$198,2,FALSE)</f>
        <v>HMOLG</v>
      </c>
    </row>
    <row r="785" spans="1:5" x14ac:dyDescent="0.25">
      <c r="A785" s="56" t="s">
        <v>131</v>
      </c>
      <c r="B785" s="57" t="s">
        <v>63</v>
      </c>
      <c r="C785" s="58">
        <v>50</v>
      </c>
      <c r="D785" s="58"/>
      <c r="E785" t="str">
        <f>VLOOKUP(B785,CAC!$A$2:$B$198,2,FALSE)</f>
        <v>HMOLG</v>
      </c>
    </row>
    <row r="786" spans="1:5" x14ac:dyDescent="0.25">
      <c r="A786" s="56" t="s">
        <v>131</v>
      </c>
      <c r="B786" s="57" t="s">
        <v>65</v>
      </c>
      <c r="C786" s="58">
        <v>225</v>
      </c>
      <c r="D786" s="58"/>
      <c r="E786" t="str">
        <f>VLOOKUP(B786,CAC!$A$2:$B$198,2,FALSE)</f>
        <v>HMFLEX</v>
      </c>
    </row>
    <row r="787" spans="1:5" x14ac:dyDescent="0.25">
      <c r="A787" s="56" t="s">
        <v>131</v>
      </c>
      <c r="B787" s="57" t="s">
        <v>66</v>
      </c>
      <c r="C787" s="58">
        <v>5094</v>
      </c>
      <c r="D787" s="58"/>
      <c r="E787" t="str">
        <f>VLOOKUP(B787,CAC!$A$2:$B$198,2,FALSE)</f>
        <v>HMOLG</v>
      </c>
    </row>
    <row r="788" spans="1:5" x14ac:dyDescent="0.25">
      <c r="A788" s="56" t="s">
        <v>131</v>
      </c>
      <c r="B788" s="57" t="s">
        <v>67</v>
      </c>
      <c r="C788" s="58">
        <v>160</v>
      </c>
      <c r="D788" s="58"/>
      <c r="E788" t="str">
        <f>VLOOKUP(B788,CAC!$A$2:$B$198,2,FALSE)</f>
        <v>HMOLG</v>
      </c>
    </row>
    <row r="789" spans="1:5" x14ac:dyDescent="0.25">
      <c r="A789" s="56" t="s">
        <v>131</v>
      </c>
      <c r="B789" s="57" t="s">
        <v>68</v>
      </c>
      <c r="C789" s="58">
        <v>283</v>
      </c>
      <c r="D789" s="58"/>
      <c r="E789" t="str">
        <f>VLOOKUP(B789,CAC!$A$2:$B$198,2,FALSE)</f>
        <v>HMOPMR</v>
      </c>
    </row>
    <row r="790" spans="1:5" x14ac:dyDescent="0.25">
      <c r="A790" s="56" t="s">
        <v>131</v>
      </c>
      <c r="B790" s="57" t="s">
        <v>69</v>
      </c>
      <c r="C790" s="58">
        <v>9570</v>
      </c>
      <c r="D790" s="58"/>
      <c r="E790" t="str">
        <f>VLOOKUP(B790,CAC!$A$2:$B$198,2,FALSE)</f>
        <v>HMOPMR</v>
      </c>
    </row>
    <row r="791" spans="1:5" x14ac:dyDescent="0.25">
      <c r="A791" s="56" t="s">
        <v>131</v>
      </c>
      <c r="B791" s="57" t="s">
        <v>70</v>
      </c>
      <c r="C791" s="58">
        <v>942</v>
      </c>
      <c r="D791" s="58"/>
      <c r="E791" t="str">
        <f>VLOOKUP(B791,CAC!$A$2:$B$198,2,FALSE)</f>
        <v>HMOPMR</v>
      </c>
    </row>
    <row r="792" spans="1:5" x14ac:dyDescent="0.25">
      <c r="A792" s="56" t="s">
        <v>131</v>
      </c>
      <c r="B792" s="57" t="s">
        <v>71</v>
      </c>
      <c r="C792" s="58">
        <v>5725</v>
      </c>
      <c r="D792" s="58"/>
      <c r="E792" t="str">
        <f>VLOOKUP(B792,CAC!$A$2:$B$198,2,FALSE)</f>
        <v>HMOPMR</v>
      </c>
    </row>
    <row r="793" spans="1:5" x14ac:dyDescent="0.25">
      <c r="A793" s="56" t="s">
        <v>131</v>
      </c>
      <c r="B793" s="57" t="s">
        <v>72</v>
      </c>
      <c r="C793" s="58">
        <v>5084</v>
      </c>
      <c r="D793" s="58"/>
      <c r="E793" t="str">
        <f>VLOOKUP(B793,CAC!$A$2:$B$198,2,FALSE)</f>
        <v>HMFLEX</v>
      </c>
    </row>
    <row r="794" spans="1:5" x14ac:dyDescent="0.25">
      <c r="A794" s="56" t="s">
        <v>131</v>
      </c>
      <c r="B794" s="57" t="s">
        <v>100</v>
      </c>
      <c r="C794" s="58">
        <v>4</v>
      </c>
      <c r="D794" s="58"/>
      <c r="E794" t="e">
        <f>VLOOKUP(B794,CAC!$A$2:$B$198,2,FALSE)</f>
        <v>#N/A</v>
      </c>
    </row>
    <row r="795" spans="1:5" x14ac:dyDescent="0.25">
      <c r="A795" s="56" t="s">
        <v>131</v>
      </c>
      <c r="B795" s="57" t="s">
        <v>73</v>
      </c>
      <c r="C795" s="58">
        <v>47393</v>
      </c>
      <c r="D795" s="58"/>
      <c r="E795" t="str">
        <f>VLOOKUP(B795,CAC!$A$2:$B$198,2,FALSE)</f>
        <v>HMOPERA</v>
      </c>
    </row>
    <row r="796" spans="1:5" x14ac:dyDescent="0.25">
      <c r="A796" s="56" t="s">
        <v>131</v>
      </c>
      <c r="B796" s="57" t="s">
        <v>75</v>
      </c>
      <c r="C796" s="58">
        <v>15</v>
      </c>
      <c r="D796" s="58"/>
      <c r="E796" t="str">
        <f>VLOOKUP(B796,CAC!$A$2:$B$198,2,FALSE)</f>
        <v>HMOPERN</v>
      </c>
    </row>
    <row r="797" spans="1:5" x14ac:dyDescent="0.25">
      <c r="A797" s="56" t="s">
        <v>131</v>
      </c>
      <c r="B797" s="57" t="s">
        <v>77</v>
      </c>
      <c r="C797" s="58">
        <v>26336</v>
      </c>
      <c r="D797" s="58"/>
      <c r="E797" t="str">
        <f>VLOOKUP(B797,CAC!$A$2:$B$198,2,FALSE)</f>
        <v>HMOSG</v>
      </c>
    </row>
    <row r="798" spans="1:5" x14ac:dyDescent="0.25">
      <c r="A798" s="56" t="s">
        <v>131</v>
      </c>
      <c r="B798" s="57" t="s">
        <v>78</v>
      </c>
      <c r="C798" s="58">
        <v>342</v>
      </c>
      <c r="D798" s="58"/>
      <c r="E798" t="str">
        <f>VLOOKUP(B798,CAC!$A$2:$B$198,2,FALSE)</f>
        <v>HMOSG</v>
      </c>
    </row>
    <row r="799" spans="1:5" x14ac:dyDescent="0.25">
      <c r="A799" s="56" t="s">
        <v>131</v>
      </c>
      <c r="B799" s="57" t="s">
        <v>79</v>
      </c>
      <c r="C799" s="58">
        <v>87</v>
      </c>
      <c r="D799" s="58"/>
      <c r="E799" t="str">
        <f>VLOOKUP(B799,CAC!$A$2:$B$198,2,FALSE)</f>
        <v>HMOSG</v>
      </c>
    </row>
    <row r="800" spans="1:5" x14ac:dyDescent="0.25">
      <c r="A800" s="56" t="s">
        <v>131</v>
      </c>
      <c r="B800" s="57" t="s">
        <v>89</v>
      </c>
      <c r="C800" s="58">
        <v>1047</v>
      </c>
      <c r="D800" s="58"/>
      <c r="E800" t="str">
        <f>VLOOKUP(B800,CAC!$A$2:$B$198,2,FALSE)</f>
        <v>HMOIFP</v>
      </c>
    </row>
    <row r="801" spans="1:5" x14ac:dyDescent="0.25">
      <c r="A801" s="56" t="s">
        <v>131</v>
      </c>
      <c r="B801" s="57" t="s">
        <v>90</v>
      </c>
      <c r="C801" s="58">
        <v>605</v>
      </c>
      <c r="D801" s="58"/>
      <c r="E801" t="str">
        <f>VLOOKUP(B801,CAC!$A$2:$B$198,2,FALSE)</f>
        <v>HMOIFP</v>
      </c>
    </row>
    <row r="802" spans="1:5" x14ac:dyDescent="0.25">
      <c r="A802" s="56" t="s">
        <v>132</v>
      </c>
      <c r="B802" s="57" t="s">
        <v>52</v>
      </c>
      <c r="C802" s="58">
        <v>16071</v>
      </c>
      <c r="D802" s="58"/>
      <c r="E802" t="str">
        <f>VLOOKUP(B802,CAC!$A$2:$B$198,2,FALSE)</f>
        <v>HMOPMR</v>
      </c>
    </row>
    <row r="803" spans="1:5" x14ac:dyDescent="0.25">
      <c r="A803" s="56" t="s">
        <v>132</v>
      </c>
      <c r="B803" s="57" t="s">
        <v>53</v>
      </c>
      <c r="C803" s="58">
        <v>4265</v>
      </c>
      <c r="D803" s="58"/>
      <c r="E803" t="str">
        <f>VLOOKUP(B803,CAC!$A$2:$B$198,2,FALSE)</f>
        <v>HMOPMR</v>
      </c>
    </row>
    <row r="804" spans="1:5" x14ac:dyDescent="0.25">
      <c r="A804" s="56" t="s">
        <v>132</v>
      </c>
      <c r="B804" s="57" t="s">
        <v>54</v>
      </c>
      <c r="C804" s="58">
        <v>5687</v>
      </c>
      <c r="D804" s="58"/>
      <c r="E804" t="str">
        <f>VLOOKUP(B804,CAC!$A$2:$B$198,2,FALSE)</f>
        <v>HMOFEP</v>
      </c>
    </row>
    <row r="805" spans="1:5" x14ac:dyDescent="0.25">
      <c r="A805" s="56" t="s">
        <v>132</v>
      </c>
      <c r="B805" s="57" t="s">
        <v>55</v>
      </c>
      <c r="C805" s="58">
        <v>17426</v>
      </c>
      <c r="D805" s="58"/>
      <c r="E805" t="str">
        <f>VLOOKUP(B805,CAC!$A$2:$B$198,2,FALSE)</f>
        <v>HMOPMR</v>
      </c>
    </row>
    <row r="806" spans="1:5" x14ac:dyDescent="0.25">
      <c r="A806" s="56" t="s">
        <v>132</v>
      </c>
      <c r="B806" s="57" t="s">
        <v>56</v>
      </c>
      <c r="C806" s="58">
        <v>30</v>
      </c>
      <c r="D806" s="58"/>
      <c r="E806" t="str">
        <f>VLOOKUP(B806,CAC!$A$2:$B$198,2,FALSE)</f>
        <v>HMOPMR</v>
      </c>
    </row>
    <row r="807" spans="1:5" x14ac:dyDescent="0.25">
      <c r="A807" s="56" t="s">
        <v>132</v>
      </c>
      <c r="B807" s="57" t="s">
        <v>57</v>
      </c>
      <c r="C807" s="58">
        <v>4073</v>
      </c>
      <c r="D807" s="58"/>
      <c r="E807" t="str">
        <f>VLOOKUP(B807,CAC!$A$2:$B$198,2,FALSE)</f>
        <v>HMFLEX</v>
      </c>
    </row>
    <row r="808" spans="1:5" x14ac:dyDescent="0.25">
      <c r="A808" s="56" t="s">
        <v>132</v>
      </c>
      <c r="B808" s="57" t="s">
        <v>58</v>
      </c>
      <c r="C808" s="58">
        <v>326</v>
      </c>
      <c r="D808" s="58"/>
      <c r="E808" t="str">
        <f>VLOOKUP(B808,CAC!$A$2:$B$198,2,FALSE)</f>
        <v>HMFLEX</v>
      </c>
    </row>
    <row r="809" spans="1:5" x14ac:dyDescent="0.25">
      <c r="A809" s="56" t="s">
        <v>132</v>
      </c>
      <c r="B809" s="57" t="s">
        <v>60</v>
      </c>
      <c r="C809" s="58">
        <v>8985</v>
      </c>
      <c r="D809" s="58"/>
      <c r="E809" t="str">
        <f>VLOOKUP(B809,CAC!$A$2:$B$198,2,FALSE)</f>
        <v>HMOLG</v>
      </c>
    </row>
    <row r="810" spans="1:5" x14ac:dyDescent="0.25">
      <c r="A810" s="56" t="s">
        <v>132</v>
      </c>
      <c r="B810" s="57" t="s">
        <v>61</v>
      </c>
      <c r="C810" s="58">
        <v>880</v>
      </c>
      <c r="D810" s="58"/>
      <c r="E810" t="str">
        <f>VLOOKUP(B810,CAC!$A$2:$B$198,2,FALSE)</f>
        <v>HMOLG</v>
      </c>
    </row>
    <row r="811" spans="1:5" x14ac:dyDescent="0.25">
      <c r="A811" s="56" t="s">
        <v>132</v>
      </c>
      <c r="B811" s="57" t="s">
        <v>62</v>
      </c>
      <c r="C811" s="58">
        <v>16205</v>
      </c>
      <c r="D811" s="58"/>
      <c r="E811" t="str">
        <f>VLOOKUP(B811,CAC!$A$2:$B$198,2,FALSE)</f>
        <v>HMOLG</v>
      </c>
    </row>
    <row r="812" spans="1:5" x14ac:dyDescent="0.25">
      <c r="A812" s="56" t="s">
        <v>132</v>
      </c>
      <c r="B812" s="57" t="s">
        <v>86</v>
      </c>
      <c r="C812" s="58">
        <v>1946</v>
      </c>
      <c r="D812" s="58"/>
      <c r="E812" t="str">
        <f>VLOOKUP(B812,CAC!$A$2:$B$198,2,FALSE)</f>
        <v>HMOLG</v>
      </c>
    </row>
    <row r="813" spans="1:5" x14ac:dyDescent="0.25">
      <c r="A813" s="56" t="s">
        <v>132</v>
      </c>
      <c r="B813" s="57" t="s">
        <v>63</v>
      </c>
      <c r="C813" s="58">
        <v>53</v>
      </c>
      <c r="D813" s="58"/>
      <c r="E813" t="str">
        <f>VLOOKUP(B813,CAC!$A$2:$B$198,2,FALSE)</f>
        <v>HMOLG</v>
      </c>
    </row>
    <row r="814" spans="1:5" x14ac:dyDescent="0.25">
      <c r="A814" s="56" t="s">
        <v>132</v>
      </c>
      <c r="B814" s="57" t="s">
        <v>65</v>
      </c>
      <c r="C814" s="58">
        <v>226</v>
      </c>
      <c r="D814" s="58"/>
      <c r="E814" t="str">
        <f>VLOOKUP(B814,CAC!$A$2:$B$198,2,FALSE)</f>
        <v>HMFLEX</v>
      </c>
    </row>
    <row r="815" spans="1:5" x14ac:dyDescent="0.25">
      <c r="A815" s="56" t="s">
        <v>132</v>
      </c>
      <c r="B815" s="57" t="s">
        <v>66</v>
      </c>
      <c r="C815" s="58">
        <v>5167</v>
      </c>
      <c r="D815" s="58"/>
      <c r="E815" t="str">
        <f>VLOOKUP(B815,CAC!$A$2:$B$198,2,FALSE)</f>
        <v>HMOLG</v>
      </c>
    </row>
    <row r="816" spans="1:5" x14ac:dyDescent="0.25">
      <c r="A816" s="56" t="s">
        <v>132</v>
      </c>
      <c r="B816" s="57" t="s">
        <v>67</v>
      </c>
      <c r="C816" s="58">
        <v>161</v>
      </c>
      <c r="D816" s="58"/>
      <c r="E816" t="str">
        <f>VLOOKUP(B816,CAC!$A$2:$B$198,2,FALSE)</f>
        <v>HMOLG</v>
      </c>
    </row>
    <row r="817" spans="1:5" x14ac:dyDescent="0.25">
      <c r="A817" s="56" t="s">
        <v>132</v>
      </c>
      <c r="B817" s="57" t="s">
        <v>68</v>
      </c>
      <c r="C817" s="58">
        <v>283</v>
      </c>
      <c r="D817" s="58"/>
      <c r="E817" t="str">
        <f>VLOOKUP(B817,CAC!$A$2:$B$198,2,FALSE)</f>
        <v>HMOPMR</v>
      </c>
    </row>
    <row r="818" spans="1:5" x14ac:dyDescent="0.25">
      <c r="A818" s="56" t="s">
        <v>132</v>
      </c>
      <c r="B818" s="57" t="s">
        <v>69</v>
      </c>
      <c r="C818" s="58">
        <v>9567</v>
      </c>
      <c r="D818" s="58"/>
      <c r="E818" t="str">
        <f>VLOOKUP(B818,CAC!$A$2:$B$198,2,FALSE)</f>
        <v>HMOPMR</v>
      </c>
    </row>
    <row r="819" spans="1:5" x14ac:dyDescent="0.25">
      <c r="A819" s="56" t="s">
        <v>132</v>
      </c>
      <c r="B819" s="57" t="s">
        <v>70</v>
      </c>
      <c r="C819" s="58">
        <v>943</v>
      </c>
      <c r="D819" s="58"/>
      <c r="E819" t="str">
        <f>VLOOKUP(B819,CAC!$A$2:$B$198,2,FALSE)</f>
        <v>HMOPMR</v>
      </c>
    </row>
    <row r="820" spans="1:5" x14ac:dyDescent="0.25">
      <c r="A820" s="56" t="s">
        <v>132</v>
      </c>
      <c r="B820" s="57" t="s">
        <v>71</v>
      </c>
      <c r="C820" s="58">
        <v>5712</v>
      </c>
      <c r="D820" s="58"/>
      <c r="E820" t="str">
        <f>VLOOKUP(B820,CAC!$A$2:$B$198,2,FALSE)</f>
        <v>HMOPMR</v>
      </c>
    </row>
    <row r="821" spans="1:5" x14ac:dyDescent="0.25">
      <c r="A821" s="56" t="s">
        <v>132</v>
      </c>
      <c r="B821" s="57" t="s">
        <v>72</v>
      </c>
      <c r="C821" s="58">
        <v>5113</v>
      </c>
      <c r="D821" s="58"/>
      <c r="E821" t="str">
        <f>VLOOKUP(B821,CAC!$A$2:$B$198,2,FALSE)</f>
        <v>HMFLEX</v>
      </c>
    </row>
    <row r="822" spans="1:5" x14ac:dyDescent="0.25">
      <c r="A822" s="56" t="s">
        <v>132</v>
      </c>
      <c r="B822" s="57" t="s">
        <v>100</v>
      </c>
      <c r="C822" s="58">
        <v>277</v>
      </c>
      <c r="D822" s="58"/>
      <c r="E822" t="e">
        <f>VLOOKUP(B822,CAC!$A$2:$B$198,2,FALSE)</f>
        <v>#N/A</v>
      </c>
    </row>
    <row r="823" spans="1:5" x14ac:dyDescent="0.25">
      <c r="A823" s="56" t="s">
        <v>132</v>
      </c>
      <c r="B823" s="57" t="s">
        <v>73</v>
      </c>
      <c r="C823" s="58">
        <v>47365</v>
      </c>
      <c r="D823" s="58"/>
      <c r="E823" t="str">
        <f>VLOOKUP(B823,CAC!$A$2:$B$198,2,FALSE)</f>
        <v>HMOPERA</v>
      </c>
    </row>
    <row r="824" spans="1:5" x14ac:dyDescent="0.25">
      <c r="A824" s="56" t="s">
        <v>132</v>
      </c>
      <c r="B824" s="57" t="s">
        <v>75</v>
      </c>
      <c r="C824" s="58">
        <v>15</v>
      </c>
      <c r="D824" s="58"/>
      <c r="E824" t="str">
        <f>VLOOKUP(B824,CAC!$A$2:$B$198,2,FALSE)</f>
        <v>HMOPERN</v>
      </c>
    </row>
    <row r="825" spans="1:5" x14ac:dyDescent="0.25">
      <c r="A825" s="56" t="s">
        <v>132</v>
      </c>
      <c r="B825" s="57" t="s">
        <v>77</v>
      </c>
      <c r="C825" s="58">
        <v>26412</v>
      </c>
      <c r="D825" s="58"/>
      <c r="E825" t="str">
        <f>VLOOKUP(B825,CAC!$A$2:$B$198,2,FALSE)</f>
        <v>HMOSG</v>
      </c>
    </row>
    <row r="826" spans="1:5" x14ac:dyDescent="0.25">
      <c r="A826" s="56" t="s">
        <v>132</v>
      </c>
      <c r="B826" s="57" t="s">
        <v>78</v>
      </c>
      <c r="C826" s="58">
        <v>354</v>
      </c>
      <c r="D826" s="58"/>
      <c r="E826" t="str">
        <f>VLOOKUP(B826,CAC!$A$2:$B$198,2,FALSE)</f>
        <v>HMOSG</v>
      </c>
    </row>
    <row r="827" spans="1:5" x14ac:dyDescent="0.25">
      <c r="A827" s="56" t="s">
        <v>132</v>
      </c>
      <c r="B827" s="57" t="s">
        <v>79</v>
      </c>
      <c r="C827" s="58">
        <v>91</v>
      </c>
      <c r="D827" s="58"/>
      <c r="E827" t="str">
        <f>VLOOKUP(B827,CAC!$A$2:$B$198,2,FALSE)</f>
        <v>HMOSG</v>
      </c>
    </row>
    <row r="828" spans="1:5" x14ac:dyDescent="0.25">
      <c r="A828" s="56" t="s">
        <v>132</v>
      </c>
      <c r="B828" s="57" t="s">
        <v>89</v>
      </c>
      <c r="C828" s="58">
        <v>1123</v>
      </c>
      <c r="D828" s="58"/>
      <c r="E828" t="str">
        <f>VLOOKUP(B828,CAC!$A$2:$B$198,2,FALSE)</f>
        <v>HMOIFP</v>
      </c>
    </row>
    <row r="829" spans="1:5" x14ac:dyDescent="0.25">
      <c r="A829" s="56" t="s">
        <v>132</v>
      </c>
      <c r="B829" s="57" t="s">
        <v>90</v>
      </c>
      <c r="C829" s="58">
        <v>660</v>
      </c>
      <c r="D829" s="58"/>
      <c r="E829" t="str">
        <f>VLOOKUP(B829,CAC!$A$2:$B$198,2,FALSE)</f>
        <v>HMOIFP</v>
      </c>
    </row>
    <row r="830" spans="1:5" x14ac:dyDescent="0.25">
      <c r="A830" s="56" t="s">
        <v>133</v>
      </c>
      <c r="B830" s="57" t="s">
        <v>52</v>
      </c>
      <c r="C830" s="58">
        <v>16014</v>
      </c>
      <c r="D830" s="58"/>
      <c r="E830" t="str">
        <f>VLOOKUP(B830,CAC!$A$2:$B$198,2,FALSE)</f>
        <v>HMOPMR</v>
      </c>
    </row>
    <row r="831" spans="1:5" x14ac:dyDescent="0.25">
      <c r="A831" s="56" t="s">
        <v>133</v>
      </c>
      <c r="B831" s="57" t="s">
        <v>53</v>
      </c>
      <c r="C831" s="58">
        <v>4246</v>
      </c>
      <c r="D831" s="58"/>
      <c r="E831" t="str">
        <f>VLOOKUP(B831,CAC!$A$2:$B$198,2,FALSE)</f>
        <v>HMOPMR</v>
      </c>
    </row>
    <row r="832" spans="1:5" x14ac:dyDescent="0.25">
      <c r="A832" s="56" t="s">
        <v>133</v>
      </c>
      <c r="B832" s="57" t="s">
        <v>54</v>
      </c>
      <c r="C832" s="58">
        <v>5631</v>
      </c>
      <c r="D832" s="58"/>
      <c r="E832" t="str">
        <f>VLOOKUP(B832,CAC!$A$2:$B$198,2,FALSE)</f>
        <v>HMOFEP</v>
      </c>
    </row>
    <row r="833" spans="1:5" x14ac:dyDescent="0.25">
      <c r="A833" s="56" t="s">
        <v>133</v>
      </c>
      <c r="B833" s="57" t="s">
        <v>55</v>
      </c>
      <c r="C833" s="58">
        <v>17469</v>
      </c>
      <c r="D833" s="58"/>
      <c r="E833" t="str">
        <f>VLOOKUP(B833,CAC!$A$2:$B$198,2,FALSE)</f>
        <v>HMOPMR</v>
      </c>
    </row>
    <row r="834" spans="1:5" x14ac:dyDescent="0.25">
      <c r="A834" s="56" t="s">
        <v>133</v>
      </c>
      <c r="B834" s="57" t="s">
        <v>56</v>
      </c>
      <c r="C834" s="58">
        <v>31</v>
      </c>
      <c r="D834" s="58"/>
      <c r="E834" t="str">
        <f>VLOOKUP(B834,CAC!$A$2:$B$198,2,FALSE)</f>
        <v>HMOPMR</v>
      </c>
    </row>
    <row r="835" spans="1:5" x14ac:dyDescent="0.25">
      <c r="A835" s="56" t="s">
        <v>133</v>
      </c>
      <c r="B835" s="57" t="s">
        <v>57</v>
      </c>
      <c r="C835" s="58">
        <v>3980</v>
      </c>
      <c r="D835" s="58"/>
      <c r="E835" t="str">
        <f>VLOOKUP(B835,CAC!$A$2:$B$198,2,FALSE)</f>
        <v>HMFLEX</v>
      </c>
    </row>
    <row r="836" spans="1:5" x14ac:dyDescent="0.25">
      <c r="A836" s="56" t="s">
        <v>133</v>
      </c>
      <c r="B836" s="57" t="s">
        <v>58</v>
      </c>
      <c r="C836" s="58">
        <v>327</v>
      </c>
      <c r="D836" s="58"/>
      <c r="E836" t="str">
        <f>VLOOKUP(B836,CAC!$A$2:$B$198,2,FALSE)</f>
        <v>HMFLEX</v>
      </c>
    </row>
    <row r="837" spans="1:5" x14ac:dyDescent="0.25">
      <c r="A837" s="56" t="s">
        <v>133</v>
      </c>
      <c r="B837" s="57" t="s">
        <v>60</v>
      </c>
      <c r="C837" s="58">
        <v>9279</v>
      </c>
      <c r="D837" s="58"/>
      <c r="E837" t="str">
        <f>VLOOKUP(B837,CAC!$A$2:$B$198,2,FALSE)</f>
        <v>HMOLG</v>
      </c>
    </row>
    <row r="838" spans="1:5" x14ac:dyDescent="0.25">
      <c r="A838" s="56" t="s">
        <v>133</v>
      </c>
      <c r="B838" s="57" t="s">
        <v>61</v>
      </c>
      <c r="C838" s="58">
        <v>877</v>
      </c>
      <c r="D838" s="58"/>
      <c r="E838" t="str">
        <f>VLOOKUP(B838,CAC!$A$2:$B$198,2,FALSE)</f>
        <v>HMOLG</v>
      </c>
    </row>
    <row r="839" spans="1:5" x14ac:dyDescent="0.25">
      <c r="A839" s="56" t="s">
        <v>133</v>
      </c>
      <c r="B839" s="57" t="s">
        <v>62</v>
      </c>
      <c r="C839" s="58">
        <v>16332</v>
      </c>
      <c r="D839" s="58"/>
      <c r="E839" t="str">
        <f>VLOOKUP(B839,CAC!$A$2:$B$198,2,FALSE)</f>
        <v>HMOLG</v>
      </c>
    </row>
    <row r="840" spans="1:5" x14ac:dyDescent="0.25">
      <c r="A840" s="56" t="s">
        <v>133</v>
      </c>
      <c r="B840" s="57" t="s">
        <v>86</v>
      </c>
      <c r="C840" s="58">
        <v>1946</v>
      </c>
      <c r="D840" s="58"/>
      <c r="E840" t="str">
        <f>VLOOKUP(B840,CAC!$A$2:$B$198,2,FALSE)</f>
        <v>HMOLG</v>
      </c>
    </row>
    <row r="841" spans="1:5" x14ac:dyDescent="0.25">
      <c r="A841" s="56" t="s">
        <v>133</v>
      </c>
      <c r="B841" s="57" t="s">
        <v>63</v>
      </c>
      <c r="C841" s="58">
        <v>54</v>
      </c>
      <c r="D841" s="58"/>
      <c r="E841" t="str">
        <f>VLOOKUP(B841,CAC!$A$2:$B$198,2,FALSE)</f>
        <v>HMOLG</v>
      </c>
    </row>
    <row r="842" spans="1:5" x14ac:dyDescent="0.25">
      <c r="A842" s="56" t="s">
        <v>133</v>
      </c>
      <c r="B842" s="57" t="s">
        <v>65</v>
      </c>
      <c r="C842" s="58">
        <v>219</v>
      </c>
      <c r="D842" s="58"/>
      <c r="E842" t="str">
        <f>VLOOKUP(B842,CAC!$A$2:$B$198,2,FALSE)</f>
        <v>HMFLEX</v>
      </c>
    </row>
    <row r="843" spans="1:5" x14ac:dyDescent="0.25">
      <c r="A843" s="56" t="s">
        <v>133</v>
      </c>
      <c r="B843" s="57" t="s">
        <v>66</v>
      </c>
      <c r="C843" s="58">
        <v>5159</v>
      </c>
      <c r="D843" s="58"/>
      <c r="E843" t="str">
        <f>VLOOKUP(B843,CAC!$A$2:$B$198,2,FALSE)</f>
        <v>HMOLG</v>
      </c>
    </row>
    <row r="844" spans="1:5" x14ac:dyDescent="0.25">
      <c r="A844" s="56" t="s">
        <v>133</v>
      </c>
      <c r="B844" s="57" t="s">
        <v>67</v>
      </c>
      <c r="C844" s="58">
        <v>155</v>
      </c>
      <c r="D844" s="58"/>
      <c r="E844" t="str">
        <f>VLOOKUP(B844,CAC!$A$2:$B$198,2,FALSE)</f>
        <v>HMOLG</v>
      </c>
    </row>
    <row r="845" spans="1:5" x14ac:dyDescent="0.25">
      <c r="A845" s="56" t="s">
        <v>133</v>
      </c>
      <c r="B845" s="57" t="s">
        <v>68</v>
      </c>
      <c r="C845" s="58">
        <v>303</v>
      </c>
      <c r="D845" s="58"/>
      <c r="E845" t="str">
        <f>VLOOKUP(B845,CAC!$A$2:$B$198,2,FALSE)</f>
        <v>HMOPMR</v>
      </c>
    </row>
    <row r="846" spans="1:5" x14ac:dyDescent="0.25">
      <c r="A846" s="56" t="s">
        <v>133</v>
      </c>
      <c r="B846" s="57" t="s">
        <v>69</v>
      </c>
      <c r="C846" s="58">
        <v>9626</v>
      </c>
      <c r="D846" s="58"/>
      <c r="E846" t="str">
        <f>VLOOKUP(B846,CAC!$A$2:$B$198,2,FALSE)</f>
        <v>HMOPMR</v>
      </c>
    </row>
    <row r="847" spans="1:5" x14ac:dyDescent="0.25">
      <c r="A847" s="56" t="s">
        <v>133</v>
      </c>
      <c r="B847" s="57" t="s">
        <v>70</v>
      </c>
      <c r="C847" s="58">
        <v>957</v>
      </c>
      <c r="D847" s="58"/>
      <c r="E847" t="str">
        <f>VLOOKUP(B847,CAC!$A$2:$B$198,2,FALSE)</f>
        <v>HMOPMR</v>
      </c>
    </row>
    <row r="848" spans="1:5" x14ac:dyDescent="0.25">
      <c r="A848" s="56" t="s">
        <v>133</v>
      </c>
      <c r="B848" s="57" t="s">
        <v>71</v>
      </c>
      <c r="C848" s="58">
        <v>5514</v>
      </c>
      <c r="D848" s="58"/>
      <c r="E848" t="str">
        <f>VLOOKUP(B848,CAC!$A$2:$B$198,2,FALSE)</f>
        <v>HMOPMR</v>
      </c>
    </row>
    <row r="849" spans="1:5" x14ac:dyDescent="0.25">
      <c r="A849" s="56" t="s">
        <v>133</v>
      </c>
      <c r="B849" s="57" t="s">
        <v>72</v>
      </c>
      <c r="C849" s="58">
        <v>5077</v>
      </c>
      <c r="D849" s="58"/>
      <c r="E849" t="str">
        <f>VLOOKUP(B849,CAC!$A$2:$B$198,2,FALSE)</f>
        <v>HMFLEX</v>
      </c>
    </row>
    <row r="850" spans="1:5" x14ac:dyDescent="0.25">
      <c r="A850" s="56" t="s">
        <v>133</v>
      </c>
      <c r="B850" s="57" t="s">
        <v>100</v>
      </c>
      <c r="C850" s="58">
        <v>282</v>
      </c>
      <c r="D850" s="58"/>
      <c r="E850" t="e">
        <f>VLOOKUP(B850,CAC!$A$2:$B$198,2,FALSE)</f>
        <v>#N/A</v>
      </c>
    </row>
    <row r="851" spans="1:5" x14ac:dyDescent="0.25">
      <c r="A851" s="56" t="s">
        <v>133</v>
      </c>
      <c r="B851" s="57" t="s">
        <v>73</v>
      </c>
      <c r="C851" s="58">
        <v>47230</v>
      </c>
      <c r="D851" s="58"/>
      <c r="E851" t="str">
        <f>VLOOKUP(B851,CAC!$A$2:$B$198,2,FALSE)</f>
        <v>HMOPERA</v>
      </c>
    </row>
    <row r="852" spans="1:5" x14ac:dyDescent="0.25">
      <c r="A852" s="56" t="s">
        <v>133</v>
      </c>
      <c r="B852" s="57" t="s">
        <v>77</v>
      </c>
      <c r="C852" s="58">
        <v>26347</v>
      </c>
      <c r="D852" s="58"/>
      <c r="E852" t="str">
        <f>VLOOKUP(B852,CAC!$A$2:$B$198,2,FALSE)</f>
        <v>HMOSG</v>
      </c>
    </row>
    <row r="853" spans="1:5" x14ac:dyDescent="0.25">
      <c r="A853" s="56" t="s">
        <v>133</v>
      </c>
      <c r="B853" s="57" t="s">
        <v>78</v>
      </c>
      <c r="C853" s="58">
        <v>357</v>
      </c>
      <c r="D853" s="58"/>
      <c r="E853" t="str">
        <f>VLOOKUP(B853,CAC!$A$2:$B$198,2,FALSE)</f>
        <v>HMOSG</v>
      </c>
    </row>
    <row r="854" spans="1:5" x14ac:dyDescent="0.25">
      <c r="A854" s="56" t="s">
        <v>133</v>
      </c>
      <c r="B854" s="57" t="s">
        <v>79</v>
      </c>
      <c r="C854" s="58">
        <v>99</v>
      </c>
      <c r="D854" s="58"/>
      <c r="E854" t="str">
        <f>VLOOKUP(B854,CAC!$A$2:$B$198,2,FALSE)</f>
        <v>HMOSG</v>
      </c>
    </row>
    <row r="855" spans="1:5" x14ac:dyDescent="0.25">
      <c r="A855" s="56" t="s">
        <v>133</v>
      </c>
      <c r="B855" s="57" t="s">
        <v>89</v>
      </c>
      <c r="C855" s="58">
        <v>1207</v>
      </c>
      <c r="D855" s="58"/>
      <c r="E855" t="str">
        <f>VLOOKUP(B855,CAC!$A$2:$B$198,2,FALSE)</f>
        <v>HMOIFP</v>
      </c>
    </row>
    <row r="856" spans="1:5" x14ac:dyDescent="0.25">
      <c r="A856" s="56" t="s">
        <v>133</v>
      </c>
      <c r="B856" s="57" t="s">
        <v>90</v>
      </c>
      <c r="C856" s="58">
        <v>705</v>
      </c>
      <c r="D856" s="58"/>
      <c r="E856" t="str">
        <f>VLOOKUP(B856,CAC!$A$2:$B$198,2,FALSE)</f>
        <v>HMOIFP</v>
      </c>
    </row>
    <row r="857" spans="1:5" x14ac:dyDescent="0.25">
      <c r="A857" s="56" t="s">
        <v>134</v>
      </c>
      <c r="B857" s="57" t="s">
        <v>52</v>
      </c>
      <c r="C857" s="58">
        <v>15986</v>
      </c>
      <c r="D857" s="58"/>
      <c r="E857" t="str">
        <f>VLOOKUP(B857,CAC!$A$2:$B$198,2,FALSE)</f>
        <v>HMOPMR</v>
      </c>
    </row>
    <row r="858" spans="1:5" x14ac:dyDescent="0.25">
      <c r="A858" s="56" t="s">
        <v>134</v>
      </c>
      <c r="B858" s="57" t="s">
        <v>53</v>
      </c>
      <c r="C858" s="58">
        <v>4277</v>
      </c>
      <c r="D858" s="58"/>
      <c r="E858" t="str">
        <f>VLOOKUP(B858,CAC!$A$2:$B$198,2,FALSE)</f>
        <v>HMOPMR</v>
      </c>
    </row>
    <row r="859" spans="1:5" x14ac:dyDescent="0.25">
      <c r="A859" s="56" t="s">
        <v>134</v>
      </c>
      <c r="B859" s="57" t="s">
        <v>54</v>
      </c>
      <c r="C859" s="58">
        <v>5663</v>
      </c>
      <c r="D859" s="58"/>
      <c r="E859" t="str">
        <f>VLOOKUP(B859,CAC!$A$2:$B$198,2,FALSE)</f>
        <v>HMOFEP</v>
      </c>
    </row>
    <row r="860" spans="1:5" x14ac:dyDescent="0.25">
      <c r="A860" s="56" t="s">
        <v>134</v>
      </c>
      <c r="B860" s="57" t="s">
        <v>55</v>
      </c>
      <c r="C860" s="58">
        <v>17507</v>
      </c>
      <c r="D860" s="58"/>
      <c r="E860" t="str">
        <f>VLOOKUP(B860,CAC!$A$2:$B$198,2,FALSE)</f>
        <v>HMOPMR</v>
      </c>
    </row>
    <row r="861" spans="1:5" x14ac:dyDescent="0.25">
      <c r="A861" s="56" t="s">
        <v>134</v>
      </c>
      <c r="B861" s="57" t="s">
        <v>56</v>
      </c>
      <c r="C861" s="58">
        <v>30</v>
      </c>
      <c r="D861" s="58"/>
      <c r="E861" t="str">
        <f>VLOOKUP(B861,CAC!$A$2:$B$198,2,FALSE)</f>
        <v>HMOPMR</v>
      </c>
    </row>
    <row r="862" spans="1:5" x14ac:dyDescent="0.25">
      <c r="A862" s="56" t="s">
        <v>134</v>
      </c>
      <c r="B862" s="57" t="s">
        <v>57</v>
      </c>
      <c r="C862" s="58">
        <v>9333</v>
      </c>
      <c r="D862" s="58"/>
      <c r="E862" t="str">
        <f>VLOOKUP(B862,CAC!$A$2:$B$198,2,FALSE)</f>
        <v>HMFLEX</v>
      </c>
    </row>
    <row r="863" spans="1:5" x14ac:dyDescent="0.25">
      <c r="A863" s="56" t="s">
        <v>134</v>
      </c>
      <c r="B863" s="57" t="s">
        <v>58</v>
      </c>
      <c r="C863" s="58">
        <v>329</v>
      </c>
      <c r="D863" s="58"/>
      <c r="E863" t="str">
        <f>VLOOKUP(B863,CAC!$A$2:$B$198,2,FALSE)</f>
        <v>HMFLEX</v>
      </c>
    </row>
    <row r="864" spans="1:5" x14ac:dyDescent="0.25">
      <c r="A864" s="56" t="s">
        <v>134</v>
      </c>
      <c r="B864" s="57" t="s">
        <v>60</v>
      </c>
      <c r="C864" s="58">
        <v>10029</v>
      </c>
      <c r="D864" s="58"/>
      <c r="E864" t="str">
        <f>VLOOKUP(B864,CAC!$A$2:$B$198,2,FALSE)</f>
        <v>HMOLG</v>
      </c>
    </row>
    <row r="865" spans="1:5" x14ac:dyDescent="0.25">
      <c r="A865" s="56" t="s">
        <v>134</v>
      </c>
      <c r="B865" s="57" t="s">
        <v>61</v>
      </c>
      <c r="C865" s="58">
        <v>903</v>
      </c>
      <c r="D865" s="58"/>
      <c r="E865" t="str">
        <f>VLOOKUP(B865,CAC!$A$2:$B$198,2,FALSE)</f>
        <v>HMOLG</v>
      </c>
    </row>
    <row r="866" spans="1:5" x14ac:dyDescent="0.25">
      <c r="A866" s="56" t="s">
        <v>134</v>
      </c>
      <c r="B866" s="57" t="s">
        <v>62</v>
      </c>
      <c r="C866" s="58">
        <v>16928</v>
      </c>
      <c r="D866" s="58"/>
      <c r="E866" t="str">
        <f>VLOOKUP(B866,CAC!$A$2:$B$198,2,FALSE)</f>
        <v>HMOLG</v>
      </c>
    </row>
    <row r="867" spans="1:5" x14ac:dyDescent="0.25">
      <c r="A867" s="56" t="s">
        <v>134</v>
      </c>
      <c r="B867" s="57" t="s">
        <v>86</v>
      </c>
      <c r="C867" s="58">
        <v>1936</v>
      </c>
      <c r="D867" s="58"/>
      <c r="E867" t="str">
        <f>VLOOKUP(B867,CAC!$A$2:$B$198,2,FALSE)</f>
        <v>HMOLG</v>
      </c>
    </row>
    <row r="868" spans="1:5" x14ac:dyDescent="0.25">
      <c r="A868" s="56" t="s">
        <v>134</v>
      </c>
      <c r="B868" s="57" t="s">
        <v>63</v>
      </c>
      <c r="C868" s="58">
        <v>55</v>
      </c>
      <c r="D868" s="58"/>
      <c r="E868" t="str">
        <f>VLOOKUP(B868,CAC!$A$2:$B$198,2,FALSE)</f>
        <v>HMOLG</v>
      </c>
    </row>
    <row r="869" spans="1:5" x14ac:dyDescent="0.25">
      <c r="A869" s="56" t="s">
        <v>134</v>
      </c>
      <c r="B869" s="57" t="s">
        <v>91</v>
      </c>
      <c r="C869" s="58">
        <v>201</v>
      </c>
      <c r="D869" s="58"/>
      <c r="E869" t="str">
        <f>VLOOKUP(B869,CAC!$A$2:$B$198,2,FALSE)</f>
        <v>HMFLEX</v>
      </c>
    </row>
    <row r="870" spans="1:5" x14ac:dyDescent="0.25">
      <c r="A870" s="56" t="s">
        <v>134</v>
      </c>
      <c r="B870" s="57" t="s">
        <v>66</v>
      </c>
      <c r="C870" s="58">
        <v>6380</v>
      </c>
      <c r="D870" s="58"/>
      <c r="E870" t="str">
        <f>VLOOKUP(B870,CAC!$A$2:$B$198,2,FALSE)</f>
        <v>HMOLG</v>
      </c>
    </row>
    <row r="871" spans="1:5" x14ac:dyDescent="0.25">
      <c r="A871" s="56" t="s">
        <v>134</v>
      </c>
      <c r="B871" s="57" t="s">
        <v>67</v>
      </c>
      <c r="C871" s="58">
        <v>153</v>
      </c>
      <c r="D871" s="58"/>
      <c r="E871" t="str">
        <f>VLOOKUP(B871,CAC!$A$2:$B$198,2,FALSE)</f>
        <v>HMOLG</v>
      </c>
    </row>
    <row r="872" spans="1:5" x14ac:dyDescent="0.25">
      <c r="A872" s="56" t="s">
        <v>134</v>
      </c>
      <c r="B872" s="57" t="s">
        <v>68</v>
      </c>
      <c r="C872" s="58">
        <v>303</v>
      </c>
      <c r="D872" s="58"/>
      <c r="E872" t="str">
        <f>VLOOKUP(B872,CAC!$A$2:$B$198,2,FALSE)</f>
        <v>HMOPMR</v>
      </c>
    </row>
    <row r="873" spans="1:5" x14ac:dyDescent="0.25">
      <c r="A873" s="56" t="s">
        <v>134</v>
      </c>
      <c r="B873" s="57" t="s">
        <v>69</v>
      </c>
      <c r="C873" s="58">
        <v>9605</v>
      </c>
      <c r="D873" s="58"/>
      <c r="E873" t="str">
        <f>VLOOKUP(B873,CAC!$A$2:$B$198,2,FALSE)</f>
        <v>HMOPMR</v>
      </c>
    </row>
    <row r="874" spans="1:5" x14ac:dyDescent="0.25">
      <c r="A874" s="56" t="s">
        <v>134</v>
      </c>
      <c r="B874" s="57" t="s">
        <v>70</v>
      </c>
      <c r="C874" s="58">
        <v>824</v>
      </c>
      <c r="D874" s="58"/>
      <c r="E874" t="str">
        <f>VLOOKUP(B874,CAC!$A$2:$B$198,2,FALSE)</f>
        <v>HMOPMR</v>
      </c>
    </row>
    <row r="875" spans="1:5" x14ac:dyDescent="0.25">
      <c r="A875" s="56" t="s">
        <v>134</v>
      </c>
      <c r="B875" s="57" t="s">
        <v>71</v>
      </c>
      <c r="C875" s="58">
        <v>5512</v>
      </c>
      <c r="D875" s="58"/>
      <c r="E875" t="str">
        <f>VLOOKUP(B875,CAC!$A$2:$B$198,2,FALSE)</f>
        <v>HMOPMR</v>
      </c>
    </row>
    <row r="876" spans="1:5" x14ac:dyDescent="0.25">
      <c r="A876" s="56" t="s">
        <v>134</v>
      </c>
      <c r="B876" s="57" t="s">
        <v>72</v>
      </c>
      <c r="C876" s="58">
        <v>5072</v>
      </c>
      <c r="D876" s="58"/>
      <c r="E876" t="str">
        <f>VLOOKUP(B876,CAC!$A$2:$B$198,2,FALSE)</f>
        <v>HMFLEX</v>
      </c>
    </row>
    <row r="877" spans="1:5" x14ac:dyDescent="0.25">
      <c r="A877" s="56" t="s">
        <v>134</v>
      </c>
      <c r="B877" s="57" t="s">
        <v>73</v>
      </c>
      <c r="C877" s="58">
        <v>47033</v>
      </c>
      <c r="D877" s="58"/>
      <c r="E877" t="str">
        <f>VLOOKUP(B877,CAC!$A$2:$B$198,2,FALSE)</f>
        <v>HMOPERA</v>
      </c>
    </row>
    <row r="878" spans="1:5" x14ac:dyDescent="0.25">
      <c r="A878" s="56" t="s">
        <v>134</v>
      </c>
      <c r="B878" s="57" t="s">
        <v>77</v>
      </c>
      <c r="C878" s="58">
        <v>26031</v>
      </c>
      <c r="D878" s="58"/>
      <c r="E878" t="str">
        <f>VLOOKUP(B878,CAC!$A$2:$B$198,2,FALSE)</f>
        <v>HMOSG</v>
      </c>
    </row>
    <row r="879" spans="1:5" x14ac:dyDescent="0.25">
      <c r="A879" s="56" t="s">
        <v>134</v>
      </c>
      <c r="B879" s="57" t="s">
        <v>78</v>
      </c>
      <c r="C879" s="58">
        <v>360</v>
      </c>
      <c r="D879" s="58"/>
      <c r="E879" t="str">
        <f>VLOOKUP(B879,CAC!$A$2:$B$198,2,FALSE)</f>
        <v>HMOSG</v>
      </c>
    </row>
    <row r="880" spans="1:5" x14ac:dyDescent="0.25">
      <c r="A880" s="56" t="s">
        <v>134</v>
      </c>
      <c r="B880" s="57" t="s">
        <v>79</v>
      </c>
      <c r="C880" s="58">
        <v>103</v>
      </c>
      <c r="D880" s="58"/>
      <c r="E880" t="str">
        <f>VLOOKUP(B880,CAC!$A$2:$B$198,2,FALSE)</f>
        <v>HMOSG</v>
      </c>
    </row>
    <row r="881" spans="1:5" x14ac:dyDescent="0.25">
      <c r="A881" s="56" t="s">
        <v>134</v>
      </c>
      <c r="B881" s="57" t="s">
        <v>89</v>
      </c>
      <c r="C881" s="58">
        <v>1289</v>
      </c>
      <c r="D881" s="58"/>
      <c r="E881" t="str">
        <f>VLOOKUP(B881,CAC!$A$2:$B$198,2,FALSE)</f>
        <v>HMOIFP</v>
      </c>
    </row>
    <row r="882" spans="1:5" x14ac:dyDescent="0.25">
      <c r="A882" s="56" t="s">
        <v>134</v>
      </c>
      <c r="B882" s="57" t="s">
        <v>90</v>
      </c>
      <c r="C882" s="58">
        <v>738</v>
      </c>
      <c r="D882" s="58"/>
      <c r="E882" t="str">
        <f>VLOOKUP(B882,CAC!$A$2:$B$198,2,FALSE)</f>
        <v>HMOIFP</v>
      </c>
    </row>
    <row r="883" spans="1:5" x14ac:dyDescent="0.25">
      <c r="A883" s="56" t="s">
        <v>135</v>
      </c>
      <c r="B883" s="57" t="s">
        <v>52</v>
      </c>
      <c r="C883" s="58">
        <v>16062</v>
      </c>
      <c r="D883" s="58"/>
      <c r="E883" t="str">
        <f>VLOOKUP(B883,CAC!$A$2:$B$198,2,FALSE)</f>
        <v>HMOPMR</v>
      </c>
    </row>
    <row r="884" spans="1:5" x14ac:dyDescent="0.25">
      <c r="A884" s="56" t="s">
        <v>135</v>
      </c>
      <c r="B884" s="57" t="s">
        <v>53</v>
      </c>
      <c r="C884" s="58">
        <v>4257</v>
      </c>
      <c r="D884" s="58"/>
      <c r="E884" t="str">
        <f>VLOOKUP(B884,CAC!$A$2:$B$198,2,FALSE)</f>
        <v>HMOPMR</v>
      </c>
    </row>
    <row r="885" spans="1:5" x14ac:dyDescent="0.25">
      <c r="A885" s="56" t="s">
        <v>135</v>
      </c>
      <c r="B885" s="57" t="s">
        <v>54</v>
      </c>
      <c r="C885" s="58">
        <v>5617</v>
      </c>
      <c r="D885" s="58"/>
      <c r="E885" t="str">
        <f>VLOOKUP(B885,CAC!$A$2:$B$198,2,FALSE)</f>
        <v>HMOFEP</v>
      </c>
    </row>
    <row r="886" spans="1:5" x14ac:dyDescent="0.25">
      <c r="A886" s="56" t="s">
        <v>135</v>
      </c>
      <c r="B886" s="57" t="s">
        <v>55</v>
      </c>
      <c r="C886" s="58">
        <v>17552</v>
      </c>
      <c r="D886" s="58"/>
      <c r="E886" t="str">
        <f>VLOOKUP(B886,CAC!$A$2:$B$198,2,FALSE)</f>
        <v>HMOPMR</v>
      </c>
    </row>
    <row r="887" spans="1:5" x14ac:dyDescent="0.25">
      <c r="A887" s="56" t="s">
        <v>135</v>
      </c>
      <c r="B887" s="57" t="s">
        <v>56</v>
      </c>
      <c r="C887" s="58">
        <v>28</v>
      </c>
      <c r="D887" s="58"/>
      <c r="E887" t="str">
        <f>VLOOKUP(B887,CAC!$A$2:$B$198,2,FALSE)</f>
        <v>HMOPMR</v>
      </c>
    </row>
    <row r="888" spans="1:5" x14ac:dyDescent="0.25">
      <c r="A888" s="56" t="s">
        <v>135</v>
      </c>
      <c r="B888" s="57" t="s">
        <v>57</v>
      </c>
      <c r="C888" s="58">
        <v>9682</v>
      </c>
      <c r="D888" s="58"/>
      <c r="E888" t="str">
        <f>VLOOKUP(B888,CAC!$A$2:$B$198,2,FALSE)</f>
        <v>HMFLEX</v>
      </c>
    </row>
    <row r="889" spans="1:5" x14ac:dyDescent="0.25">
      <c r="A889" s="56" t="s">
        <v>135</v>
      </c>
      <c r="B889" s="57" t="s">
        <v>58</v>
      </c>
      <c r="C889" s="58">
        <v>328</v>
      </c>
      <c r="D889" s="58"/>
      <c r="E889" t="str">
        <f>VLOOKUP(B889,CAC!$A$2:$B$198,2,FALSE)</f>
        <v>HMFLEX</v>
      </c>
    </row>
    <row r="890" spans="1:5" x14ac:dyDescent="0.25">
      <c r="A890" s="56" t="s">
        <v>135</v>
      </c>
      <c r="B890" s="57" t="s">
        <v>60</v>
      </c>
      <c r="C890" s="58">
        <v>10174</v>
      </c>
      <c r="D890" s="58"/>
      <c r="E890" t="str">
        <f>VLOOKUP(B890,CAC!$A$2:$B$198,2,FALSE)</f>
        <v>HMOLG</v>
      </c>
    </row>
    <row r="891" spans="1:5" x14ac:dyDescent="0.25">
      <c r="A891" s="56" t="s">
        <v>135</v>
      </c>
      <c r="B891" s="57" t="s">
        <v>61</v>
      </c>
      <c r="C891" s="58">
        <v>1165</v>
      </c>
      <c r="D891" s="58"/>
      <c r="E891" t="str">
        <f>VLOOKUP(B891,CAC!$A$2:$B$198,2,FALSE)</f>
        <v>HMOLG</v>
      </c>
    </row>
    <row r="892" spans="1:5" x14ac:dyDescent="0.25">
      <c r="A892" s="56" t="s">
        <v>135</v>
      </c>
      <c r="B892" s="57" t="s">
        <v>62</v>
      </c>
      <c r="C892" s="58">
        <v>17060</v>
      </c>
      <c r="D892" s="58"/>
      <c r="E892" t="str">
        <f>VLOOKUP(B892,CAC!$A$2:$B$198,2,FALSE)</f>
        <v>HMOLG</v>
      </c>
    </row>
    <row r="893" spans="1:5" x14ac:dyDescent="0.25">
      <c r="A893" s="56" t="s">
        <v>135</v>
      </c>
      <c r="B893" s="57" t="s">
        <v>86</v>
      </c>
      <c r="C893" s="58">
        <v>1951</v>
      </c>
      <c r="D893" s="58"/>
      <c r="E893" t="str">
        <f>VLOOKUP(B893,CAC!$A$2:$B$198,2,FALSE)</f>
        <v>HMOLG</v>
      </c>
    </row>
    <row r="894" spans="1:5" x14ac:dyDescent="0.25">
      <c r="A894" s="56" t="s">
        <v>135</v>
      </c>
      <c r="B894" s="57" t="s">
        <v>63</v>
      </c>
      <c r="C894" s="58">
        <v>54</v>
      </c>
      <c r="D894" s="58"/>
      <c r="E894" t="str">
        <f>VLOOKUP(B894,CAC!$A$2:$B$198,2,FALSE)</f>
        <v>HMOLG</v>
      </c>
    </row>
    <row r="895" spans="1:5" x14ac:dyDescent="0.25">
      <c r="A895" s="56" t="s">
        <v>135</v>
      </c>
      <c r="B895" s="57" t="s">
        <v>91</v>
      </c>
      <c r="C895" s="58">
        <v>219</v>
      </c>
      <c r="D895" s="58"/>
      <c r="E895" t="str">
        <f>VLOOKUP(B895,CAC!$A$2:$B$198,2,FALSE)</f>
        <v>HMFLEX</v>
      </c>
    </row>
    <row r="896" spans="1:5" x14ac:dyDescent="0.25">
      <c r="A896" s="56" t="s">
        <v>135</v>
      </c>
      <c r="B896" s="57" t="s">
        <v>66</v>
      </c>
      <c r="C896" s="58">
        <v>6777</v>
      </c>
      <c r="D896" s="58"/>
      <c r="E896" t="str">
        <f>VLOOKUP(B896,CAC!$A$2:$B$198,2,FALSE)</f>
        <v>HMOLG</v>
      </c>
    </row>
    <row r="897" spans="1:5" x14ac:dyDescent="0.25">
      <c r="A897" s="56" t="s">
        <v>135</v>
      </c>
      <c r="B897" s="57" t="s">
        <v>67</v>
      </c>
      <c r="C897" s="58">
        <v>88</v>
      </c>
      <c r="D897" s="58"/>
      <c r="E897" t="str">
        <f>VLOOKUP(B897,CAC!$A$2:$B$198,2,FALSE)</f>
        <v>HMOLG</v>
      </c>
    </row>
    <row r="898" spans="1:5" x14ac:dyDescent="0.25">
      <c r="A898" s="56" t="s">
        <v>135</v>
      </c>
      <c r="B898" s="57" t="s">
        <v>69</v>
      </c>
      <c r="C898" s="58">
        <v>9507</v>
      </c>
      <c r="D898" s="58"/>
      <c r="E898" t="str">
        <f>VLOOKUP(B898,CAC!$A$2:$B$198,2,FALSE)</f>
        <v>HMOPMR</v>
      </c>
    </row>
    <row r="899" spans="1:5" x14ac:dyDescent="0.25">
      <c r="A899" s="56" t="s">
        <v>135</v>
      </c>
      <c r="B899" s="57" t="s">
        <v>70</v>
      </c>
      <c r="C899" s="58">
        <v>817</v>
      </c>
      <c r="D899" s="58"/>
      <c r="E899" t="str">
        <f>VLOOKUP(B899,CAC!$A$2:$B$198,2,FALSE)</f>
        <v>HMOPMR</v>
      </c>
    </row>
    <row r="900" spans="1:5" x14ac:dyDescent="0.25">
      <c r="A900" s="56" t="s">
        <v>135</v>
      </c>
      <c r="B900" s="57" t="s">
        <v>71</v>
      </c>
      <c r="C900" s="58">
        <v>4242</v>
      </c>
      <c r="D900" s="58"/>
      <c r="E900" t="str">
        <f>VLOOKUP(B900,CAC!$A$2:$B$198,2,FALSE)</f>
        <v>HMOPMR</v>
      </c>
    </row>
    <row r="901" spans="1:5" x14ac:dyDescent="0.25">
      <c r="A901" s="56" t="s">
        <v>135</v>
      </c>
      <c r="B901" s="57" t="s">
        <v>72</v>
      </c>
      <c r="C901" s="58">
        <v>5095</v>
      </c>
      <c r="D901" s="58"/>
      <c r="E901" t="str">
        <f>VLOOKUP(B901,CAC!$A$2:$B$198,2,FALSE)</f>
        <v>HMFLEX</v>
      </c>
    </row>
    <row r="902" spans="1:5" x14ac:dyDescent="0.25">
      <c r="A902" s="56" t="s">
        <v>135</v>
      </c>
      <c r="B902" s="57" t="s">
        <v>73</v>
      </c>
      <c r="C902" s="58">
        <v>46798</v>
      </c>
      <c r="D902" s="58"/>
      <c r="E902" t="str">
        <f>VLOOKUP(B902,CAC!$A$2:$B$198,2,FALSE)</f>
        <v>HMOPERA</v>
      </c>
    </row>
    <row r="903" spans="1:5" x14ac:dyDescent="0.25">
      <c r="A903" s="56" t="s">
        <v>135</v>
      </c>
      <c r="B903" s="57" t="s">
        <v>77</v>
      </c>
      <c r="C903" s="58">
        <v>26109</v>
      </c>
      <c r="D903" s="58"/>
      <c r="E903" t="str">
        <f>VLOOKUP(B903,CAC!$A$2:$B$198,2,FALSE)</f>
        <v>HMOSG</v>
      </c>
    </row>
    <row r="904" spans="1:5" x14ac:dyDescent="0.25">
      <c r="A904" s="56" t="s">
        <v>135</v>
      </c>
      <c r="B904" s="57" t="s">
        <v>78</v>
      </c>
      <c r="C904" s="58">
        <v>354</v>
      </c>
      <c r="D904" s="58"/>
      <c r="E904" t="str">
        <f>VLOOKUP(B904,CAC!$A$2:$B$198,2,FALSE)</f>
        <v>HMOSG</v>
      </c>
    </row>
    <row r="905" spans="1:5" x14ac:dyDescent="0.25">
      <c r="A905" s="56" t="s">
        <v>135</v>
      </c>
      <c r="B905" s="57" t="s">
        <v>79</v>
      </c>
      <c r="C905" s="58">
        <v>127</v>
      </c>
      <c r="D905" s="58"/>
      <c r="E905" t="str">
        <f>VLOOKUP(B905,CAC!$A$2:$B$198,2,FALSE)</f>
        <v>HMOSG</v>
      </c>
    </row>
    <row r="906" spans="1:5" x14ac:dyDescent="0.25">
      <c r="A906" s="56" t="s">
        <v>135</v>
      </c>
      <c r="B906" s="57" t="s">
        <v>89</v>
      </c>
      <c r="C906" s="58">
        <v>1328</v>
      </c>
      <c r="D906" s="58"/>
      <c r="E906" t="str">
        <f>VLOOKUP(B906,CAC!$A$2:$B$198,2,FALSE)</f>
        <v>HMOIFP</v>
      </c>
    </row>
    <row r="907" spans="1:5" x14ac:dyDescent="0.25">
      <c r="A907" s="56" t="s">
        <v>135</v>
      </c>
      <c r="B907" s="57" t="s">
        <v>90</v>
      </c>
      <c r="C907" s="58">
        <v>754</v>
      </c>
      <c r="D907" s="58"/>
      <c r="E907" t="str">
        <f>VLOOKUP(B907,CAC!$A$2:$B$198,2,FALSE)</f>
        <v>HMOIFP</v>
      </c>
    </row>
    <row r="908" spans="1:5" x14ac:dyDescent="0.25">
      <c r="A908" s="56" t="s">
        <v>136</v>
      </c>
      <c r="B908" s="57" t="s">
        <v>52</v>
      </c>
      <c r="C908" s="58">
        <v>16038</v>
      </c>
      <c r="D908" s="58"/>
      <c r="E908" t="str">
        <f>VLOOKUP(B908,CAC!$A$2:$B$198,2,FALSE)</f>
        <v>HMOPMR</v>
      </c>
    </row>
    <row r="909" spans="1:5" x14ac:dyDescent="0.25">
      <c r="A909" s="56" t="s">
        <v>136</v>
      </c>
      <c r="B909" s="57" t="s">
        <v>53</v>
      </c>
      <c r="C909" s="58">
        <v>4251</v>
      </c>
      <c r="D909" s="58"/>
      <c r="E909" t="str">
        <f>VLOOKUP(B909,CAC!$A$2:$B$198,2,FALSE)</f>
        <v>HMOPMR</v>
      </c>
    </row>
    <row r="910" spans="1:5" x14ac:dyDescent="0.25">
      <c r="A910" s="56" t="s">
        <v>136</v>
      </c>
      <c r="B910" s="57" t="s">
        <v>54</v>
      </c>
      <c r="C910" s="58">
        <v>5701</v>
      </c>
      <c r="D910" s="58"/>
      <c r="E910" t="str">
        <f>VLOOKUP(B910,CAC!$A$2:$B$198,2,FALSE)</f>
        <v>HMOFEP</v>
      </c>
    </row>
    <row r="911" spans="1:5" x14ac:dyDescent="0.25">
      <c r="A911" s="56" t="s">
        <v>136</v>
      </c>
      <c r="B911" s="57" t="s">
        <v>55</v>
      </c>
      <c r="C911" s="58">
        <v>17484</v>
      </c>
      <c r="D911" s="58"/>
      <c r="E911" t="str">
        <f>VLOOKUP(B911,CAC!$A$2:$B$198,2,FALSE)</f>
        <v>HMOPMR</v>
      </c>
    </row>
    <row r="912" spans="1:5" x14ac:dyDescent="0.25">
      <c r="A912" s="56" t="s">
        <v>136</v>
      </c>
      <c r="B912" s="57" t="s">
        <v>56</v>
      </c>
      <c r="C912" s="58">
        <v>28</v>
      </c>
      <c r="D912" s="58"/>
      <c r="E912" t="str">
        <f>VLOOKUP(B912,CAC!$A$2:$B$198,2,FALSE)</f>
        <v>HMOPMR</v>
      </c>
    </row>
    <row r="913" spans="1:5" x14ac:dyDescent="0.25">
      <c r="A913" s="56" t="s">
        <v>136</v>
      </c>
      <c r="B913" s="57" t="s">
        <v>57</v>
      </c>
      <c r="C913" s="58">
        <v>9807</v>
      </c>
      <c r="D913" s="58"/>
      <c r="E913" t="str">
        <f>VLOOKUP(B913,CAC!$A$2:$B$198,2,FALSE)</f>
        <v>HMFLEX</v>
      </c>
    </row>
    <row r="914" spans="1:5" x14ac:dyDescent="0.25">
      <c r="A914" s="56" t="s">
        <v>136</v>
      </c>
      <c r="B914" s="57" t="s">
        <v>58</v>
      </c>
      <c r="C914" s="58">
        <v>317</v>
      </c>
      <c r="D914" s="58"/>
      <c r="E914" t="str">
        <f>VLOOKUP(B914,CAC!$A$2:$B$198,2,FALSE)</f>
        <v>HMFLEX</v>
      </c>
    </row>
    <row r="915" spans="1:5" x14ac:dyDescent="0.25">
      <c r="A915" s="56" t="s">
        <v>136</v>
      </c>
      <c r="B915" s="57" t="s">
        <v>60</v>
      </c>
      <c r="C915" s="58">
        <v>10171</v>
      </c>
      <c r="D915" s="58"/>
      <c r="E915" t="str">
        <f>VLOOKUP(B915,CAC!$A$2:$B$198,2,FALSE)</f>
        <v>HMOLG</v>
      </c>
    </row>
    <row r="916" spans="1:5" x14ac:dyDescent="0.25">
      <c r="A916" s="56" t="s">
        <v>136</v>
      </c>
      <c r="B916" s="57" t="s">
        <v>61</v>
      </c>
      <c r="C916" s="58">
        <v>1164</v>
      </c>
      <c r="D916" s="58"/>
      <c r="E916" t="str">
        <f>VLOOKUP(B916,CAC!$A$2:$B$198,2,FALSE)</f>
        <v>HMOLG</v>
      </c>
    </row>
    <row r="917" spans="1:5" x14ac:dyDescent="0.25">
      <c r="A917" s="56" t="s">
        <v>136</v>
      </c>
      <c r="B917" s="57" t="s">
        <v>62</v>
      </c>
      <c r="C917" s="58">
        <v>17307</v>
      </c>
      <c r="D917" s="58"/>
      <c r="E917" t="str">
        <f>VLOOKUP(B917,CAC!$A$2:$B$198,2,FALSE)</f>
        <v>HMOLG</v>
      </c>
    </row>
    <row r="918" spans="1:5" x14ac:dyDescent="0.25">
      <c r="A918" s="56" t="s">
        <v>136</v>
      </c>
      <c r="B918" s="57" t="s">
        <v>86</v>
      </c>
      <c r="C918" s="58">
        <v>1958</v>
      </c>
      <c r="D918" s="58"/>
      <c r="E918" t="str">
        <f>VLOOKUP(B918,CAC!$A$2:$B$198,2,FALSE)</f>
        <v>HMOLG</v>
      </c>
    </row>
    <row r="919" spans="1:5" x14ac:dyDescent="0.25">
      <c r="A919" s="56" t="s">
        <v>136</v>
      </c>
      <c r="B919" s="57" t="s">
        <v>63</v>
      </c>
      <c r="C919" s="58">
        <v>53</v>
      </c>
      <c r="D919" s="58"/>
      <c r="E919" t="str">
        <f>VLOOKUP(B919,CAC!$A$2:$B$198,2,FALSE)</f>
        <v>HMOLG</v>
      </c>
    </row>
    <row r="920" spans="1:5" x14ac:dyDescent="0.25">
      <c r="A920" s="56" t="s">
        <v>136</v>
      </c>
      <c r="B920" s="57" t="s">
        <v>91</v>
      </c>
      <c r="C920" s="58">
        <v>227</v>
      </c>
      <c r="D920" s="58"/>
      <c r="E920" t="str">
        <f>VLOOKUP(B920,CAC!$A$2:$B$198,2,FALSE)</f>
        <v>HMFLEX</v>
      </c>
    </row>
    <row r="921" spans="1:5" x14ac:dyDescent="0.25">
      <c r="A921" s="56" t="s">
        <v>136</v>
      </c>
      <c r="B921" s="57" t="s">
        <v>66</v>
      </c>
      <c r="C921" s="58">
        <v>6942</v>
      </c>
      <c r="D921" s="58"/>
      <c r="E921" t="str">
        <f>VLOOKUP(B921,CAC!$A$2:$B$198,2,FALSE)</f>
        <v>HMOLG</v>
      </c>
    </row>
    <row r="922" spans="1:5" x14ac:dyDescent="0.25">
      <c r="A922" s="56" t="s">
        <v>136</v>
      </c>
      <c r="B922" s="57" t="s">
        <v>67</v>
      </c>
      <c r="C922" s="58">
        <v>88</v>
      </c>
      <c r="D922" s="58"/>
      <c r="E922" t="str">
        <f>VLOOKUP(B922,CAC!$A$2:$B$198,2,FALSE)</f>
        <v>HMOLG</v>
      </c>
    </row>
    <row r="923" spans="1:5" x14ac:dyDescent="0.25">
      <c r="A923" s="56" t="s">
        <v>136</v>
      </c>
      <c r="B923" s="57" t="s">
        <v>69</v>
      </c>
      <c r="C923" s="58">
        <v>9730</v>
      </c>
      <c r="D923" s="58"/>
      <c r="E923" t="str">
        <f>VLOOKUP(B923,CAC!$A$2:$B$198,2,FALSE)</f>
        <v>HMOPMR</v>
      </c>
    </row>
    <row r="924" spans="1:5" x14ac:dyDescent="0.25">
      <c r="A924" s="56" t="s">
        <v>136</v>
      </c>
      <c r="B924" s="57" t="s">
        <v>70</v>
      </c>
      <c r="C924" s="58">
        <v>824</v>
      </c>
      <c r="D924" s="58"/>
      <c r="E924" t="str">
        <f>VLOOKUP(B924,CAC!$A$2:$B$198,2,FALSE)</f>
        <v>HMOPMR</v>
      </c>
    </row>
    <row r="925" spans="1:5" x14ac:dyDescent="0.25">
      <c r="A925" s="56" t="s">
        <v>136</v>
      </c>
      <c r="B925" s="57" t="s">
        <v>71</v>
      </c>
      <c r="C925" s="58">
        <v>4270</v>
      </c>
      <c r="D925" s="58"/>
      <c r="E925" t="str">
        <f>VLOOKUP(B925,CAC!$A$2:$B$198,2,FALSE)</f>
        <v>HMOPMR</v>
      </c>
    </row>
    <row r="926" spans="1:5" x14ac:dyDescent="0.25">
      <c r="A926" s="56" t="s">
        <v>136</v>
      </c>
      <c r="B926" s="57" t="s">
        <v>72</v>
      </c>
      <c r="C926" s="58">
        <v>5113</v>
      </c>
      <c r="D926" s="58"/>
      <c r="E926" t="str">
        <f>VLOOKUP(B926,CAC!$A$2:$B$198,2,FALSE)</f>
        <v>HMFLEX</v>
      </c>
    </row>
    <row r="927" spans="1:5" x14ac:dyDescent="0.25">
      <c r="A927" s="56" t="s">
        <v>136</v>
      </c>
      <c r="B927" s="57" t="s">
        <v>73</v>
      </c>
      <c r="C927" s="58">
        <v>46848</v>
      </c>
      <c r="D927" s="58"/>
      <c r="E927" t="str">
        <f>VLOOKUP(B927,CAC!$A$2:$B$198,2,FALSE)</f>
        <v>HMOPERA</v>
      </c>
    </row>
    <row r="928" spans="1:5" x14ac:dyDescent="0.25">
      <c r="A928" s="56" t="s">
        <v>136</v>
      </c>
      <c r="B928" s="57" t="s">
        <v>77</v>
      </c>
      <c r="C928" s="58">
        <v>26161</v>
      </c>
      <c r="D928" s="58"/>
      <c r="E928" t="str">
        <f>VLOOKUP(B928,CAC!$A$2:$B$198,2,FALSE)</f>
        <v>HMOSG</v>
      </c>
    </row>
    <row r="929" spans="1:5" x14ac:dyDescent="0.25">
      <c r="A929" s="56" t="s">
        <v>136</v>
      </c>
      <c r="B929" s="57" t="s">
        <v>78</v>
      </c>
      <c r="C929" s="58">
        <v>365</v>
      </c>
      <c r="D929" s="58"/>
      <c r="E929" t="str">
        <f>VLOOKUP(B929,CAC!$A$2:$B$198,2,FALSE)</f>
        <v>HMOSG</v>
      </c>
    </row>
    <row r="930" spans="1:5" x14ac:dyDescent="0.25">
      <c r="A930" s="56" t="s">
        <v>136</v>
      </c>
      <c r="B930" s="57" t="s">
        <v>79</v>
      </c>
      <c r="C930" s="58">
        <v>133</v>
      </c>
      <c r="D930" s="58"/>
      <c r="E930" t="str">
        <f>VLOOKUP(B930,CAC!$A$2:$B$198,2,FALSE)</f>
        <v>HMOSG</v>
      </c>
    </row>
    <row r="931" spans="1:5" x14ac:dyDescent="0.25">
      <c r="A931" s="56" t="s">
        <v>136</v>
      </c>
      <c r="B931" s="57" t="s">
        <v>89</v>
      </c>
      <c r="C931" s="58">
        <v>1374</v>
      </c>
      <c r="D931" s="58"/>
      <c r="E931" t="str">
        <f>VLOOKUP(B931,CAC!$A$2:$B$198,2,FALSE)</f>
        <v>HMOIFP</v>
      </c>
    </row>
    <row r="932" spans="1:5" x14ac:dyDescent="0.25">
      <c r="A932" s="56" t="s">
        <v>136</v>
      </c>
      <c r="B932" s="57" t="s">
        <v>90</v>
      </c>
      <c r="C932" s="58">
        <v>785</v>
      </c>
      <c r="D932" s="58"/>
      <c r="E932" t="str">
        <f>VLOOKUP(B932,CAC!$A$2:$B$198,2,FALSE)</f>
        <v>HMOIFP</v>
      </c>
    </row>
    <row r="933" spans="1:5" x14ac:dyDescent="0.25">
      <c r="A933" s="56" t="s">
        <v>137</v>
      </c>
      <c r="B933" s="57" t="s">
        <v>52</v>
      </c>
      <c r="C933" s="58">
        <v>16149</v>
      </c>
      <c r="D933" s="58"/>
      <c r="E933" t="str">
        <f>VLOOKUP(B933,CAC!$A$2:$B$198,2,FALSE)</f>
        <v>HMOPMR</v>
      </c>
    </row>
    <row r="934" spans="1:5" x14ac:dyDescent="0.25">
      <c r="A934" s="56" t="s">
        <v>137</v>
      </c>
      <c r="B934" s="57" t="s">
        <v>53</v>
      </c>
      <c r="C934" s="58">
        <v>4315</v>
      </c>
      <c r="D934" s="58"/>
      <c r="E934" t="str">
        <f>VLOOKUP(B934,CAC!$A$2:$B$198,2,FALSE)</f>
        <v>HMOPMR</v>
      </c>
    </row>
    <row r="935" spans="1:5" x14ac:dyDescent="0.25">
      <c r="A935" s="56" t="s">
        <v>137</v>
      </c>
      <c r="B935" s="57" t="s">
        <v>54</v>
      </c>
      <c r="C935" s="58">
        <v>5699</v>
      </c>
      <c r="D935" s="58"/>
      <c r="E935" t="str">
        <f>VLOOKUP(B935,CAC!$A$2:$B$198,2,FALSE)</f>
        <v>HMOFEP</v>
      </c>
    </row>
    <row r="936" spans="1:5" x14ac:dyDescent="0.25">
      <c r="A936" s="56" t="s">
        <v>137</v>
      </c>
      <c r="B936" s="57" t="s">
        <v>55</v>
      </c>
      <c r="C936" s="58">
        <v>17653</v>
      </c>
      <c r="D936" s="58"/>
      <c r="E936" t="str">
        <f>VLOOKUP(B936,CAC!$A$2:$B$198,2,FALSE)</f>
        <v>HMOPMR</v>
      </c>
    </row>
    <row r="937" spans="1:5" x14ac:dyDescent="0.25">
      <c r="A937" s="56" t="s">
        <v>137</v>
      </c>
      <c r="B937" s="57" t="s">
        <v>56</v>
      </c>
      <c r="C937" s="58">
        <v>28</v>
      </c>
      <c r="D937" s="58"/>
      <c r="E937" t="str">
        <f>VLOOKUP(B937,CAC!$A$2:$B$198,2,FALSE)</f>
        <v>HMOPMR</v>
      </c>
    </row>
    <row r="938" spans="1:5" x14ac:dyDescent="0.25">
      <c r="A938" s="56" t="s">
        <v>137</v>
      </c>
      <c r="B938" s="57" t="s">
        <v>57</v>
      </c>
      <c r="C938" s="58">
        <v>10405</v>
      </c>
      <c r="D938" s="58"/>
      <c r="E938" t="str">
        <f>VLOOKUP(B938,CAC!$A$2:$B$198,2,FALSE)</f>
        <v>HMFLEX</v>
      </c>
    </row>
    <row r="939" spans="1:5" x14ac:dyDescent="0.25">
      <c r="A939" s="56" t="s">
        <v>137</v>
      </c>
      <c r="B939" s="57" t="s">
        <v>58</v>
      </c>
      <c r="C939" s="58">
        <v>329</v>
      </c>
      <c r="D939" s="58"/>
      <c r="E939" t="str">
        <f>VLOOKUP(B939,CAC!$A$2:$B$198,2,FALSE)</f>
        <v>HMFLEX</v>
      </c>
    </row>
    <row r="940" spans="1:5" x14ac:dyDescent="0.25">
      <c r="A940" s="56" t="s">
        <v>137</v>
      </c>
      <c r="B940" s="57" t="s">
        <v>60</v>
      </c>
      <c r="C940" s="58">
        <v>12240</v>
      </c>
      <c r="D940" s="58"/>
      <c r="E940" t="str">
        <f>VLOOKUP(B940,CAC!$A$2:$B$198,2,FALSE)</f>
        <v>HMOLG</v>
      </c>
    </row>
    <row r="941" spans="1:5" x14ac:dyDescent="0.25">
      <c r="A941" s="56" t="s">
        <v>137</v>
      </c>
      <c r="B941" s="57" t="s">
        <v>61</v>
      </c>
      <c r="C941" s="58">
        <v>1146</v>
      </c>
      <c r="D941" s="58"/>
      <c r="E941" t="str">
        <f>VLOOKUP(B941,CAC!$A$2:$B$198,2,FALSE)</f>
        <v>HMOLG</v>
      </c>
    </row>
    <row r="942" spans="1:5" x14ac:dyDescent="0.25">
      <c r="A942" s="56" t="s">
        <v>137</v>
      </c>
      <c r="B942" s="57" t="s">
        <v>62</v>
      </c>
      <c r="C942" s="58">
        <v>18489</v>
      </c>
      <c r="D942" s="58"/>
      <c r="E942" t="str">
        <f>VLOOKUP(B942,CAC!$A$2:$B$198,2,FALSE)</f>
        <v>HMOLG</v>
      </c>
    </row>
    <row r="943" spans="1:5" x14ac:dyDescent="0.25">
      <c r="A943" s="56" t="s">
        <v>137</v>
      </c>
      <c r="B943" s="57" t="s">
        <v>86</v>
      </c>
      <c r="C943" s="58">
        <v>893</v>
      </c>
      <c r="D943" s="58"/>
      <c r="E943" t="str">
        <f>VLOOKUP(B943,CAC!$A$2:$B$198,2,FALSE)</f>
        <v>HMOLG</v>
      </c>
    </row>
    <row r="944" spans="1:5" x14ac:dyDescent="0.25">
      <c r="A944" s="56" t="s">
        <v>137</v>
      </c>
      <c r="B944" s="57" t="s">
        <v>63</v>
      </c>
      <c r="C944" s="58">
        <v>51</v>
      </c>
      <c r="D944" s="58"/>
      <c r="E944" t="str">
        <f>VLOOKUP(B944,CAC!$A$2:$B$198,2,FALSE)</f>
        <v>HMOLG</v>
      </c>
    </row>
    <row r="945" spans="1:5" x14ac:dyDescent="0.25">
      <c r="A945" s="56" t="s">
        <v>137</v>
      </c>
      <c r="B945" s="57" t="s">
        <v>91</v>
      </c>
      <c r="C945" s="58">
        <v>227</v>
      </c>
      <c r="D945" s="58"/>
      <c r="E945" t="str">
        <f>VLOOKUP(B945,CAC!$A$2:$B$198,2,FALSE)</f>
        <v>HMFLEX</v>
      </c>
    </row>
    <row r="946" spans="1:5" x14ac:dyDescent="0.25">
      <c r="A946" s="56" t="s">
        <v>137</v>
      </c>
      <c r="B946" s="57" t="s">
        <v>66</v>
      </c>
      <c r="C946" s="58">
        <v>7035</v>
      </c>
      <c r="D946" s="58"/>
      <c r="E946" t="str">
        <f>VLOOKUP(B946,CAC!$A$2:$B$198,2,FALSE)</f>
        <v>HMOLG</v>
      </c>
    </row>
    <row r="947" spans="1:5" x14ac:dyDescent="0.25">
      <c r="A947" s="56" t="s">
        <v>137</v>
      </c>
      <c r="B947" s="57" t="s">
        <v>67</v>
      </c>
      <c r="C947" s="58">
        <v>96</v>
      </c>
      <c r="D947" s="58"/>
      <c r="E947" t="str">
        <f>VLOOKUP(B947,CAC!$A$2:$B$198,2,FALSE)</f>
        <v>HMOLG</v>
      </c>
    </row>
    <row r="948" spans="1:5" x14ac:dyDescent="0.25">
      <c r="A948" s="56" t="s">
        <v>137</v>
      </c>
      <c r="B948" s="57" t="s">
        <v>69</v>
      </c>
      <c r="C948" s="58">
        <v>9760</v>
      </c>
      <c r="D948" s="58"/>
      <c r="E948" t="str">
        <f>VLOOKUP(B948,CAC!$A$2:$B$198,2,FALSE)</f>
        <v>HMOPMR</v>
      </c>
    </row>
    <row r="949" spans="1:5" x14ac:dyDescent="0.25">
      <c r="A949" s="56" t="s">
        <v>137</v>
      </c>
      <c r="B949" s="57" t="s">
        <v>70</v>
      </c>
      <c r="C949" s="58">
        <v>824</v>
      </c>
      <c r="D949" s="58"/>
      <c r="E949" t="str">
        <f>VLOOKUP(B949,CAC!$A$2:$B$198,2,FALSE)</f>
        <v>HMOPMR</v>
      </c>
    </row>
    <row r="950" spans="1:5" x14ac:dyDescent="0.25">
      <c r="A950" s="56" t="s">
        <v>137</v>
      </c>
      <c r="B950" s="57" t="s">
        <v>71</v>
      </c>
      <c r="C950" s="58">
        <v>4267</v>
      </c>
      <c r="D950" s="58"/>
      <c r="E950" t="str">
        <f>VLOOKUP(B950,CAC!$A$2:$B$198,2,FALSE)</f>
        <v>HMOPMR</v>
      </c>
    </row>
    <row r="951" spans="1:5" x14ac:dyDescent="0.25">
      <c r="A951" s="56" t="s">
        <v>137</v>
      </c>
      <c r="B951" s="57" t="s">
        <v>72</v>
      </c>
      <c r="C951" s="58">
        <v>5083</v>
      </c>
      <c r="D951" s="58"/>
      <c r="E951" t="str">
        <f>VLOOKUP(B951,CAC!$A$2:$B$198,2,FALSE)</f>
        <v>HMFLEX</v>
      </c>
    </row>
    <row r="952" spans="1:5" x14ac:dyDescent="0.25">
      <c r="A952" s="56" t="s">
        <v>137</v>
      </c>
      <c r="B952" s="57" t="s">
        <v>100</v>
      </c>
      <c r="C952" s="58">
        <v>18</v>
      </c>
      <c r="D952" s="58"/>
      <c r="E952" t="e">
        <f>VLOOKUP(B952,CAC!$A$2:$B$198,2,FALSE)</f>
        <v>#N/A</v>
      </c>
    </row>
    <row r="953" spans="1:5" x14ac:dyDescent="0.25">
      <c r="A953" s="56" t="s">
        <v>137</v>
      </c>
      <c r="B953" s="57" t="s">
        <v>73</v>
      </c>
      <c r="C953" s="58">
        <v>46758</v>
      </c>
      <c r="D953" s="58"/>
      <c r="E953" t="str">
        <f>VLOOKUP(B953,CAC!$A$2:$B$198,2,FALSE)</f>
        <v>HMOPERA</v>
      </c>
    </row>
    <row r="954" spans="1:5" x14ac:dyDescent="0.25">
      <c r="A954" s="56" t="s">
        <v>137</v>
      </c>
      <c r="B954" s="57" t="s">
        <v>77</v>
      </c>
      <c r="C954" s="58">
        <v>26406</v>
      </c>
      <c r="D954" s="58"/>
      <c r="E954" t="str">
        <f>VLOOKUP(B954,CAC!$A$2:$B$198,2,FALSE)</f>
        <v>HMOSG</v>
      </c>
    </row>
    <row r="955" spans="1:5" x14ac:dyDescent="0.25">
      <c r="A955" s="56" t="s">
        <v>137</v>
      </c>
      <c r="B955" s="57" t="s">
        <v>78</v>
      </c>
      <c r="C955" s="58">
        <v>356</v>
      </c>
      <c r="D955" s="58"/>
      <c r="E955" t="str">
        <f>VLOOKUP(B955,CAC!$A$2:$B$198,2,FALSE)</f>
        <v>HMOSG</v>
      </c>
    </row>
    <row r="956" spans="1:5" x14ac:dyDescent="0.25">
      <c r="A956" s="56" t="s">
        <v>137</v>
      </c>
      <c r="B956" s="57" t="s">
        <v>79</v>
      </c>
      <c r="C956" s="58">
        <v>119</v>
      </c>
      <c r="D956" s="58"/>
      <c r="E956" t="str">
        <f>VLOOKUP(B956,CAC!$A$2:$B$198,2,FALSE)</f>
        <v>HMOSG</v>
      </c>
    </row>
    <row r="957" spans="1:5" x14ac:dyDescent="0.25">
      <c r="A957" s="56" t="s">
        <v>137</v>
      </c>
      <c r="B957" s="57" t="s">
        <v>89</v>
      </c>
      <c r="C957" s="58">
        <v>1448</v>
      </c>
      <c r="D957" s="58"/>
      <c r="E957" t="str">
        <f>VLOOKUP(B957,CAC!$A$2:$B$198,2,FALSE)</f>
        <v>HMOIFP</v>
      </c>
    </row>
    <row r="958" spans="1:5" x14ac:dyDescent="0.25">
      <c r="A958" s="56" t="s">
        <v>137</v>
      </c>
      <c r="B958" s="57" t="s">
        <v>90</v>
      </c>
      <c r="C958" s="58">
        <v>816</v>
      </c>
      <c r="D958" s="58"/>
      <c r="E958" t="str">
        <f>VLOOKUP(B958,CAC!$A$2:$B$198,2,FALSE)</f>
        <v>HMOIFP</v>
      </c>
    </row>
    <row r="959" spans="1:5" x14ac:dyDescent="0.25">
      <c r="A959" s="56" t="s">
        <v>138</v>
      </c>
      <c r="B959" s="57" t="s">
        <v>52</v>
      </c>
      <c r="C959" s="58">
        <v>16138</v>
      </c>
      <c r="D959" s="58"/>
      <c r="E959" t="str">
        <f>VLOOKUP(B959,CAC!$A$2:$B$198,2,FALSE)</f>
        <v>HMOPMR</v>
      </c>
    </row>
    <row r="960" spans="1:5" x14ac:dyDescent="0.25">
      <c r="A960" s="56" t="s">
        <v>138</v>
      </c>
      <c r="B960" s="57" t="s">
        <v>53</v>
      </c>
      <c r="C960" s="58">
        <v>4312</v>
      </c>
      <c r="D960" s="58"/>
      <c r="E960" t="str">
        <f>VLOOKUP(B960,CAC!$A$2:$B$198,2,FALSE)</f>
        <v>HMOPMR</v>
      </c>
    </row>
    <row r="961" spans="1:5" x14ac:dyDescent="0.25">
      <c r="A961" s="56" t="s">
        <v>138</v>
      </c>
      <c r="B961" s="57" t="s">
        <v>54</v>
      </c>
      <c r="C961" s="58">
        <v>5649</v>
      </c>
      <c r="D961" s="58"/>
      <c r="E961" t="str">
        <f>VLOOKUP(B961,CAC!$A$2:$B$198,2,FALSE)</f>
        <v>HMOFEP</v>
      </c>
    </row>
    <row r="962" spans="1:5" x14ac:dyDescent="0.25">
      <c r="A962" s="56" t="s">
        <v>138</v>
      </c>
      <c r="B962" s="57" t="s">
        <v>55</v>
      </c>
      <c r="C962" s="58">
        <v>17428</v>
      </c>
      <c r="D962" s="58"/>
      <c r="E962" t="str">
        <f>VLOOKUP(B962,CAC!$A$2:$B$198,2,FALSE)</f>
        <v>HMOPMR</v>
      </c>
    </row>
    <row r="963" spans="1:5" x14ac:dyDescent="0.25">
      <c r="A963" s="56" t="s">
        <v>138</v>
      </c>
      <c r="B963" s="57" t="s">
        <v>56</v>
      </c>
      <c r="C963" s="58">
        <v>29</v>
      </c>
      <c r="D963" s="58"/>
      <c r="E963" t="str">
        <f>VLOOKUP(B963,CAC!$A$2:$B$198,2,FALSE)</f>
        <v>HMOPMR</v>
      </c>
    </row>
    <row r="964" spans="1:5" x14ac:dyDescent="0.25">
      <c r="A964" s="56" t="s">
        <v>138</v>
      </c>
      <c r="B964" s="57" t="s">
        <v>57</v>
      </c>
      <c r="C964" s="58">
        <v>10432</v>
      </c>
      <c r="D964" s="58"/>
      <c r="E964" t="str">
        <f>VLOOKUP(B964,CAC!$A$2:$B$198,2,FALSE)</f>
        <v>HMFLEX</v>
      </c>
    </row>
    <row r="965" spans="1:5" x14ac:dyDescent="0.25">
      <c r="A965" s="56" t="s">
        <v>138</v>
      </c>
      <c r="B965" s="57" t="s">
        <v>58</v>
      </c>
      <c r="C965" s="58">
        <v>334</v>
      </c>
      <c r="D965" s="58"/>
      <c r="E965" t="str">
        <f>VLOOKUP(B965,CAC!$A$2:$B$198,2,FALSE)</f>
        <v>HMFLEX</v>
      </c>
    </row>
    <row r="966" spans="1:5" x14ac:dyDescent="0.25">
      <c r="A966" s="56" t="s">
        <v>138</v>
      </c>
      <c r="B966" s="57" t="s">
        <v>60</v>
      </c>
      <c r="C966" s="58">
        <v>13647</v>
      </c>
      <c r="D966" s="58"/>
      <c r="E966" t="str">
        <f>VLOOKUP(B966,CAC!$A$2:$B$198,2,FALSE)</f>
        <v>HMOLG</v>
      </c>
    </row>
    <row r="967" spans="1:5" x14ac:dyDescent="0.25">
      <c r="A967" s="56" t="s">
        <v>138</v>
      </c>
      <c r="B967" s="57" t="s">
        <v>61</v>
      </c>
      <c r="C967" s="58">
        <v>1147</v>
      </c>
      <c r="D967" s="58"/>
      <c r="E967" t="str">
        <f>VLOOKUP(B967,CAC!$A$2:$B$198,2,FALSE)</f>
        <v>HMOLG</v>
      </c>
    </row>
    <row r="968" spans="1:5" x14ac:dyDescent="0.25">
      <c r="A968" s="56" t="s">
        <v>138</v>
      </c>
      <c r="B968" s="57" t="s">
        <v>62</v>
      </c>
      <c r="C968" s="58">
        <v>19252</v>
      </c>
      <c r="D968" s="58"/>
      <c r="E968" t="str">
        <f>VLOOKUP(B968,CAC!$A$2:$B$198,2,FALSE)</f>
        <v>HMOLG</v>
      </c>
    </row>
    <row r="969" spans="1:5" x14ac:dyDescent="0.25">
      <c r="A969" s="56" t="s">
        <v>138</v>
      </c>
      <c r="B969" s="57" t="s">
        <v>86</v>
      </c>
      <c r="C969" s="58">
        <v>19</v>
      </c>
      <c r="D969" s="58"/>
      <c r="E969" t="str">
        <f>VLOOKUP(B969,CAC!$A$2:$B$198,2,FALSE)</f>
        <v>HMOLG</v>
      </c>
    </row>
    <row r="970" spans="1:5" x14ac:dyDescent="0.25">
      <c r="A970" s="56" t="s">
        <v>138</v>
      </c>
      <c r="B970" s="57" t="s">
        <v>63</v>
      </c>
      <c r="C970" s="58">
        <v>51</v>
      </c>
      <c r="D970" s="58"/>
      <c r="E970" t="str">
        <f>VLOOKUP(B970,CAC!$A$2:$B$198,2,FALSE)</f>
        <v>HMOLG</v>
      </c>
    </row>
    <row r="971" spans="1:5" x14ac:dyDescent="0.25">
      <c r="A971" s="56" t="s">
        <v>138</v>
      </c>
      <c r="B971" s="57" t="s">
        <v>91</v>
      </c>
      <c r="C971" s="58">
        <v>230</v>
      </c>
      <c r="D971" s="58"/>
      <c r="E971" t="str">
        <f>VLOOKUP(B971,CAC!$A$2:$B$198,2,FALSE)</f>
        <v>HMFLEX</v>
      </c>
    </row>
    <row r="972" spans="1:5" x14ac:dyDescent="0.25">
      <c r="A972" s="56" t="s">
        <v>138</v>
      </c>
      <c r="B972" s="57" t="s">
        <v>66</v>
      </c>
      <c r="C972" s="58">
        <v>7063</v>
      </c>
      <c r="D972" s="58"/>
      <c r="E972" t="str">
        <f>VLOOKUP(B972,CAC!$A$2:$B$198,2,FALSE)</f>
        <v>HMOLG</v>
      </c>
    </row>
    <row r="973" spans="1:5" x14ac:dyDescent="0.25">
      <c r="A973" s="56" t="s">
        <v>138</v>
      </c>
      <c r="B973" s="57" t="s">
        <v>67</v>
      </c>
      <c r="C973" s="58">
        <v>96</v>
      </c>
      <c r="D973" s="58"/>
      <c r="E973" t="str">
        <f>VLOOKUP(B973,CAC!$A$2:$B$198,2,FALSE)</f>
        <v>HMOLG</v>
      </c>
    </row>
    <row r="974" spans="1:5" x14ac:dyDescent="0.25">
      <c r="A974" s="56" t="s">
        <v>138</v>
      </c>
      <c r="B974" s="57" t="s">
        <v>69</v>
      </c>
      <c r="C974" s="58">
        <v>9647</v>
      </c>
      <c r="D974" s="58"/>
      <c r="E974" t="str">
        <f>VLOOKUP(B974,CAC!$A$2:$B$198,2,FALSE)</f>
        <v>HMOPMR</v>
      </c>
    </row>
    <row r="975" spans="1:5" x14ac:dyDescent="0.25">
      <c r="A975" s="56" t="s">
        <v>138</v>
      </c>
      <c r="B975" s="57" t="s">
        <v>70</v>
      </c>
      <c r="C975" s="58">
        <v>816</v>
      </c>
      <c r="D975" s="58"/>
      <c r="E975" t="str">
        <f>VLOOKUP(B975,CAC!$A$2:$B$198,2,FALSE)</f>
        <v>HMOPMR</v>
      </c>
    </row>
    <row r="976" spans="1:5" x14ac:dyDescent="0.25">
      <c r="A976" s="56" t="s">
        <v>138</v>
      </c>
      <c r="B976" s="57" t="s">
        <v>71</v>
      </c>
      <c r="C976" s="58">
        <v>4242</v>
      </c>
      <c r="D976" s="58"/>
      <c r="E976" t="str">
        <f>VLOOKUP(B976,CAC!$A$2:$B$198,2,FALSE)</f>
        <v>HMOPMR</v>
      </c>
    </row>
    <row r="977" spans="1:5" x14ac:dyDescent="0.25">
      <c r="A977" s="56" t="s">
        <v>138</v>
      </c>
      <c r="B977" s="57" t="s">
        <v>72</v>
      </c>
      <c r="C977" s="58">
        <v>5107</v>
      </c>
      <c r="D977" s="58"/>
      <c r="E977" t="str">
        <f>VLOOKUP(B977,CAC!$A$2:$B$198,2,FALSE)</f>
        <v>HMFLEX</v>
      </c>
    </row>
    <row r="978" spans="1:5" x14ac:dyDescent="0.25">
      <c r="A978" s="56" t="s">
        <v>138</v>
      </c>
      <c r="B978" s="57" t="s">
        <v>73</v>
      </c>
      <c r="C978" s="58">
        <v>46554</v>
      </c>
      <c r="D978" s="58"/>
      <c r="E978" t="str">
        <f>VLOOKUP(B978,CAC!$A$2:$B$198,2,FALSE)</f>
        <v>HMOPERA</v>
      </c>
    </row>
    <row r="979" spans="1:5" x14ac:dyDescent="0.25">
      <c r="A979" s="56" t="s">
        <v>138</v>
      </c>
      <c r="B979" s="57" t="s">
        <v>77</v>
      </c>
      <c r="C979" s="58">
        <v>27048</v>
      </c>
      <c r="D979" s="58"/>
      <c r="E979" t="str">
        <f>VLOOKUP(B979,CAC!$A$2:$B$198,2,FALSE)</f>
        <v>HMOSG</v>
      </c>
    </row>
    <row r="980" spans="1:5" x14ac:dyDescent="0.25">
      <c r="A980" s="56" t="s">
        <v>138</v>
      </c>
      <c r="B980" s="57" t="s">
        <v>78</v>
      </c>
      <c r="C980" s="58">
        <v>426</v>
      </c>
      <c r="D980" s="58"/>
      <c r="E980" t="str">
        <f>VLOOKUP(B980,CAC!$A$2:$B$198,2,FALSE)</f>
        <v>HMOSG</v>
      </c>
    </row>
    <row r="981" spans="1:5" x14ac:dyDescent="0.25">
      <c r="A981" s="56" t="s">
        <v>138</v>
      </c>
      <c r="B981" s="57" t="s">
        <v>79</v>
      </c>
      <c r="C981" s="58">
        <v>186</v>
      </c>
      <c r="D981" s="58"/>
      <c r="E981" t="str">
        <f>VLOOKUP(B981,CAC!$A$2:$B$198,2,FALSE)</f>
        <v>HMOSG</v>
      </c>
    </row>
    <row r="982" spans="1:5" x14ac:dyDescent="0.25">
      <c r="A982" s="56" t="s">
        <v>138</v>
      </c>
      <c r="B982" s="57" t="s">
        <v>89</v>
      </c>
      <c r="C982" s="58">
        <v>1497</v>
      </c>
      <c r="D982" s="58"/>
      <c r="E982" t="str">
        <f>VLOOKUP(B982,CAC!$A$2:$B$198,2,FALSE)</f>
        <v>HMOIFP</v>
      </c>
    </row>
    <row r="983" spans="1:5" x14ac:dyDescent="0.25">
      <c r="A983" s="56" t="s">
        <v>138</v>
      </c>
      <c r="B983" s="57" t="s">
        <v>90</v>
      </c>
      <c r="C983" s="58">
        <v>838</v>
      </c>
      <c r="D983" s="58"/>
      <c r="E983" t="str">
        <f>VLOOKUP(B983,CAC!$A$2:$B$198,2,FALSE)</f>
        <v>HMOIFP</v>
      </c>
    </row>
    <row r="984" spans="1:5" x14ac:dyDescent="0.25">
      <c r="A984" s="56" t="s">
        <v>139</v>
      </c>
      <c r="B984" s="57" t="s">
        <v>52</v>
      </c>
      <c r="C984" s="58">
        <v>16125</v>
      </c>
      <c r="D984" s="58"/>
      <c r="E984" t="str">
        <f>VLOOKUP(B984,CAC!$A$2:$B$198,2,FALSE)</f>
        <v>HMOPMR</v>
      </c>
    </row>
    <row r="985" spans="1:5" x14ac:dyDescent="0.25">
      <c r="A985" s="56" t="s">
        <v>139</v>
      </c>
      <c r="B985" s="57" t="s">
        <v>53</v>
      </c>
      <c r="C985" s="58">
        <v>4294</v>
      </c>
      <c r="D985" s="58"/>
      <c r="E985" t="str">
        <f>VLOOKUP(B985,CAC!$A$2:$B$198,2,FALSE)</f>
        <v>HMOPMR</v>
      </c>
    </row>
    <row r="986" spans="1:5" x14ac:dyDescent="0.25">
      <c r="A986" s="56" t="s">
        <v>139</v>
      </c>
      <c r="B986" s="57" t="s">
        <v>54</v>
      </c>
      <c r="C986" s="58">
        <v>5615</v>
      </c>
      <c r="D986" s="58"/>
      <c r="E986" t="str">
        <f>VLOOKUP(B986,CAC!$A$2:$B$198,2,FALSE)</f>
        <v>HMOFEP</v>
      </c>
    </row>
    <row r="987" spans="1:5" x14ac:dyDescent="0.25">
      <c r="A987" s="56" t="s">
        <v>139</v>
      </c>
      <c r="B987" s="57" t="s">
        <v>55</v>
      </c>
      <c r="C987" s="58">
        <v>17543</v>
      </c>
      <c r="D987" s="58"/>
      <c r="E987" t="str">
        <f>VLOOKUP(B987,CAC!$A$2:$B$198,2,FALSE)</f>
        <v>HMOPMR</v>
      </c>
    </row>
    <row r="988" spans="1:5" x14ac:dyDescent="0.25">
      <c r="A988" s="56" t="s">
        <v>139</v>
      </c>
      <c r="B988" s="57" t="s">
        <v>56</v>
      </c>
      <c r="C988" s="58">
        <v>25</v>
      </c>
      <c r="D988" s="58"/>
      <c r="E988" t="str">
        <f>VLOOKUP(B988,CAC!$A$2:$B$198,2,FALSE)</f>
        <v>HMOPMR</v>
      </c>
    </row>
    <row r="989" spans="1:5" x14ac:dyDescent="0.25">
      <c r="A989" s="56" t="s">
        <v>139</v>
      </c>
      <c r="B989" s="57" t="s">
        <v>57</v>
      </c>
      <c r="C989" s="58">
        <v>10470</v>
      </c>
      <c r="D989" s="58"/>
      <c r="E989" t="str">
        <f>VLOOKUP(B989,CAC!$A$2:$B$198,2,FALSE)</f>
        <v>HMFLEX</v>
      </c>
    </row>
    <row r="990" spans="1:5" x14ac:dyDescent="0.25">
      <c r="A990" s="56" t="s">
        <v>139</v>
      </c>
      <c r="B990" s="57" t="s">
        <v>58</v>
      </c>
      <c r="C990" s="58">
        <v>333</v>
      </c>
      <c r="D990" s="58"/>
      <c r="E990" t="str">
        <f>VLOOKUP(B990,CAC!$A$2:$B$198,2,FALSE)</f>
        <v>HMFLEX</v>
      </c>
    </row>
    <row r="991" spans="1:5" x14ac:dyDescent="0.25">
      <c r="A991" s="56" t="s">
        <v>139</v>
      </c>
      <c r="B991" s="57" t="s">
        <v>60</v>
      </c>
      <c r="C991" s="58">
        <v>13836</v>
      </c>
      <c r="D991" s="58"/>
      <c r="E991" t="str">
        <f>VLOOKUP(B991,CAC!$A$2:$B$198,2,FALSE)</f>
        <v>HMOLG</v>
      </c>
    </row>
    <row r="992" spans="1:5" x14ac:dyDescent="0.25">
      <c r="A992" s="56" t="s">
        <v>139</v>
      </c>
      <c r="B992" s="57" t="s">
        <v>61</v>
      </c>
      <c r="C992" s="58">
        <v>1137</v>
      </c>
      <c r="D992" s="58"/>
      <c r="E992" t="str">
        <f>VLOOKUP(B992,CAC!$A$2:$B$198,2,FALSE)</f>
        <v>HMOLG</v>
      </c>
    </row>
    <row r="993" spans="1:5" x14ac:dyDescent="0.25">
      <c r="A993" s="56" t="s">
        <v>139</v>
      </c>
      <c r="B993" s="57" t="s">
        <v>62</v>
      </c>
      <c r="C993" s="58">
        <v>19421</v>
      </c>
      <c r="D993" s="58"/>
      <c r="E993" t="str">
        <f>VLOOKUP(B993,CAC!$A$2:$B$198,2,FALSE)</f>
        <v>HMOLG</v>
      </c>
    </row>
    <row r="994" spans="1:5" x14ac:dyDescent="0.25">
      <c r="A994" s="56" t="s">
        <v>139</v>
      </c>
      <c r="B994" s="57" t="s">
        <v>86</v>
      </c>
      <c r="C994" s="58">
        <v>19</v>
      </c>
      <c r="D994" s="58"/>
      <c r="E994" t="str">
        <f>VLOOKUP(B994,CAC!$A$2:$B$198,2,FALSE)</f>
        <v>HMOLG</v>
      </c>
    </row>
    <row r="995" spans="1:5" x14ac:dyDescent="0.25">
      <c r="A995" s="56" t="s">
        <v>139</v>
      </c>
      <c r="B995" s="57" t="s">
        <v>63</v>
      </c>
      <c r="C995" s="58">
        <v>50</v>
      </c>
      <c r="D995" s="58"/>
      <c r="E995" t="str">
        <f>VLOOKUP(B995,CAC!$A$2:$B$198,2,FALSE)</f>
        <v>HMOLG</v>
      </c>
    </row>
    <row r="996" spans="1:5" x14ac:dyDescent="0.25">
      <c r="A996" s="56" t="s">
        <v>139</v>
      </c>
      <c r="B996" s="57" t="s">
        <v>91</v>
      </c>
      <c r="C996" s="58">
        <v>230</v>
      </c>
      <c r="D996" s="58"/>
      <c r="E996" t="str">
        <f>VLOOKUP(B996,CAC!$A$2:$B$198,2,FALSE)</f>
        <v>HMFLEX</v>
      </c>
    </row>
    <row r="997" spans="1:5" x14ac:dyDescent="0.25">
      <c r="A997" s="56" t="s">
        <v>139</v>
      </c>
      <c r="B997" s="57" t="s">
        <v>66</v>
      </c>
      <c r="C997" s="58">
        <v>7148</v>
      </c>
      <c r="D997" s="58"/>
      <c r="E997" t="str">
        <f>VLOOKUP(B997,CAC!$A$2:$B$198,2,FALSE)</f>
        <v>HMOLG</v>
      </c>
    </row>
    <row r="998" spans="1:5" x14ac:dyDescent="0.25">
      <c r="A998" s="56" t="s">
        <v>139</v>
      </c>
      <c r="B998" s="57" t="s">
        <v>67</v>
      </c>
      <c r="C998" s="58">
        <v>95</v>
      </c>
      <c r="D998" s="58"/>
      <c r="E998" t="str">
        <f>VLOOKUP(B998,CAC!$A$2:$B$198,2,FALSE)</f>
        <v>HMOLG</v>
      </c>
    </row>
    <row r="999" spans="1:5" x14ac:dyDescent="0.25">
      <c r="A999" s="56" t="s">
        <v>139</v>
      </c>
      <c r="B999" s="57" t="s">
        <v>69</v>
      </c>
      <c r="C999" s="58">
        <v>9743</v>
      </c>
      <c r="D999" s="58"/>
      <c r="E999" t="str">
        <f>VLOOKUP(B999,CAC!$A$2:$B$198,2,FALSE)</f>
        <v>HMOPMR</v>
      </c>
    </row>
    <row r="1000" spans="1:5" x14ac:dyDescent="0.25">
      <c r="A1000" s="56" t="s">
        <v>139</v>
      </c>
      <c r="B1000" s="57" t="s">
        <v>70</v>
      </c>
      <c r="C1000" s="58">
        <v>819</v>
      </c>
      <c r="D1000" s="58"/>
      <c r="E1000" t="str">
        <f>VLOOKUP(B1000,CAC!$A$2:$B$198,2,FALSE)</f>
        <v>HMOPMR</v>
      </c>
    </row>
    <row r="1001" spans="1:5" x14ac:dyDescent="0.25">
      <c r="A1001" s="56" t="s">
        <v>139</v>
      </c>
      <c r="B1001" s="57" t="s">
        <v>71</v>
      </c>
      <c r="C1001" s="58">
        <v>4248</v>
      </c>
      <c r="D1001" s="58"/>
      <c r="E1001" t="str">
        <f>VLOOKUP(B1001,CAC!$A$2:$B$198,2,FALSE)</f>
        <v>HMOPMR</v>
      </c>
    </row>
    <row r="1002" spans="1:5" x14ac:dyDescent="0.25">
      <c r="A1002" s="56" t="s">
        <v>139</v>
      </c>
      <c r="B1002" s="57" t="s">
        <v>72</v>
      </c>
      <c r="C1002" s="58">
        <v>5113</v>
      </c>
      <c r="D1002" s="58"/>
      <c r="E1002" t="str">
        <f>VLOOKUP(B1002,CAC!$A$2:$B$198,2,FALSE)</f>
        <v>HMFLEX</v>
      </c>
    </row>
    <row r="1003" spans="1:5" x14ac:dyDescent="0.25">
      <c r="A1003" s="56" t="s">
        <v>139</v>
      </c>
      <c r="B1003" s="57" t="s">
        <v>73</v>
      </c>
      <c r="C1003" s="58">
        <v>46188</v>
      </c>
      <c r="D1003" s="58"/>
      <c r="E1003" t="str">
        <f>VLOOKUP(B1003,CAC!$A$2:$B$198,2,FALSE)</f>
        <v>HMOPERA</v>
      </c>
    </row>
    <row r="1004" spans="1:5" x14ac:dyDescent="0.25">
      <c r="A1004" s="56" t="s">
        <v>139</v>
      </c>
      <c r="B1004" s="57" t="s">
        <v>77</v>
      </c>
      <c r="C1004" s="58">
        <v>28750</v>
      </c>
      <c r="D1004" s="58"/>
      <c r="E1004" t="str">
        <f>VLOOKUP(B1004,CAC!$A$2:$B$198,2,FALSE)</f>
        <v>HMOSG</v>
      </c>
    </row>
    <row r="1005" spans="1:5" x14ac:dyDescent="0.25">
      <c r="A1005" s="56" t="s">
        <v>139</v>
      </c>
      <c r="B1005" s="57" t="s">
        <v>78</v>
      </c>
      <c r="C1005" s="58">
        <v>423</v>
      </c>
      <c r="D1005" s="58"/>
      <c r="E1005" t="str">
        <f>VLOOKUP(B1005,CAC!$A$2:$B$198,2,FALSE)</f>
        <v>HMOSG</v>
      </c>
    </row>
    <row r="1006" spans="1:5" x14ac:dyDescent="0.25">
      <c r="A1006" s="56" t="s">
        <v>139</v>
      </c>
      <c r="B1006" s="57" t="s">
        <v>79</v>
      </c>
      <c r="C1006" s="58">
        <v>205</v>
      </c>
      <c r="D1006" s="58"/>
      <c r="E1006" t="str">
        <f>VLOOKUP(B1006,CAC!$A$2:$B$198,2,FALSE)</f>
        <v>HMOSG</v>
      </c>
    </row>
    <row r="1007" spans="1:5" x14ac:dyDescent="0.25">
      <c r="A1007" s="56" t="s">
        <v>139</v>
      </c>
      <c r="B1007" s="57" t="s">
        <v>89</v>
      </c>
      <c r="C1007" s="58">
        <v>1529</v>
      </c>
      <c r="D1007" s="58"/>
      <c r="E1007" t="str">
        <f>VLOOKUP(B1007,CAC!$A$2:$B$198,2,FALSE)</f>
        <v>HMOIFP</v>
      </c>
    </row>
    <row r="1008" spans="1:5" x14ac:dyDescent="0.25">
      <c r="A1008" s="56" t="s">
        <v>139</v>
      </c>
      <c r="B1008" s="57" t="s">
        <v>90</v>
      </c>
      <c r="C1008" s="58">
        <v>827</v>
      </c>
      <c r="D1008" s="58"/>
      <c r="E1008" t="str">
        <f>VLOOKUP(B1008,CAC!$A$2:$B$198,2,FALSE)</f>
        <v>HMOIFP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4091"/>
  <sheetViews>
    <sheetView showGridLines="0" workbookViewId="0"/>
  </sheetViews>
  <sheetFormatPr defaultRowHeight="15" x14ac:dyDescent="0.25"/>
  <cols>
    <col min="2" max="2" width="4.5703125" bestFit="1" customWidth="1"/>
    <col min="3" max="3" width="12.5703125" bestFit="1" customWidth="1"/>
    <col min="4" max="4" width="12.5703125" customWidth="1"/>
    <col min="5" max="5" width="10.140625" bestFit="1" customWidth="1"/>
    <col min="7" max="7" width="9.140625" style="99"/>
  </cols>
  <sheetData>
    <row r="1" spans="1:40" x14ac:dyDescent="0.25">
      <c r="A1" s="51" t="s">
        <v>860</v>
      </c>
      <c r="G1" s="99" t="s">
        <v>960</v>
      </c>
      <c r="H1" s="38" t="s">
        <v>335</v>
      </c>
      <c r="S1" s="15" t="s">
        <v>16</v>
      </c>
      <c r="T1" s="15" t="s">
        <v>16</v>
      </c>
      <c r="U1" s="15" t="s">
        <v>16</v>
      </c>
      <c r="V1" s="15" t="s">
        <v>16</v>
      </c>
      <c r="W1" s="15" t="s">
        <v>16</v>
      </c>
      <c r="Y1" s="38" t="s">
        <v>336</v>
      </c>
      <c r="AJ1" s="15" t="s">
        <v>16</v>
      </c>
      <c r="AK1" s="15" t="s">
        <v>16</v>
      </c>
      <c r="AL1" s="15" t="s">
        <v>16</v>
      </c>
      <c r="AM1" s="15" t="s">
        <v>16</v>
      </c>
      <c r="AN1" s="15" t="s">
        <v>16</v>
      </c>
    </row>
    <row r="2" spans="1:40" x14ac:dyDescent="0.25">
      <c r="A2" s="106" t="s">
        <v>963</v>
      </c>
      <c r="G2" s="2" t="s">
        <v>959</v>
      </c>
      <c r="H2" s="1" t="s">
        <v>0</v>
      </c>
      <c r="I2" s="2" t="s">
        <v>1</v>
      </c>
      <c r="J2" s="3" t="s">
        <v>2</v>
      </c>
      <c r="K2" s="4" t="s">
        <v>3</v>
      </c>
      <c r="L2" s="5" t="s">
        <v>4</v>
      </c>
      <c r="M2" s="6" t="s">
        <v>5</v>
      </c>
      <c r="N2" s="7" t="s">
        <v>6</v>
      </c>
      <c r="O2" s="8" t="s">
        <v>7</v>
      </c>
      <c r="P2" s="8" t="s">
        <v>8</v>
      </c>
      <c r="Q2" s="9" t="s">
        <v>9</v>
      </c>
      <c r="R2" s="10" t="s">
        <v>10</v>
      </c>
      <c r="S2" s="5" t="s">
        <v>11</v>
      </c>
      <c r="T2" s="5" t="s">
        <v>12</v>
      </c>
      <c r="U2" s="5" t="s">
        <v>13</v>
      </c>
      <c r="V2" s="5" t="s">
        <v>14</v>
      </c>
      <c r="W2" s="5" t="s">
        <v>15</v>
      </c>
      <c r="Y2" s="1" t="s">
        <v>0</v>
      </c>
      <c r="Z2" s="2" t="s">
        <v>1</v>
      </c>
      <c r="AA2" s="3" t="s">
        <v>2</v>
      </c>
      <c r="AB2" s="4" t="s">
        <v>3</v>
      </c>
      <c r="AC2" s="5" t="s">
        <v>4</v>
      </c>
      <c r="AD2" s="6" t="s">
        <v>5</v>
      </c>
      <c r="AE2" s="7" t="s">
        <v>6</v>
      </c>
      <c r="AF2" s="8" t="s">
        <v>7</v>
      </c>
      <c r="AG2" s="8" t="s">
        <v>8</v>
      </c>
      <c r="AH2" s="9" t="s">
        <v>9</v>
      </c>
      <c r="AI2" s="10" t="s">
        <v>10</v>
      </c>
      <c r="AJ2" s="5" t="s">
        <v>11</v>
      </c>
      <c r="AK2" s="5" t="s">
        <v>12</v>
      </c>
      <c r="AL2" s="5" t="s">
        <v>13</v>
      </c>
      <c r="AM2" s="5" t="s">
        <v>14</v>
      </c>
      <c r="AN2" s="5" t="s">
        <v>15</v>
      </c>
    </row>
    <row r="3" spans="1:40" s="99" customFormat="1" x14ac:dyDescent="0.25">
      <c r="G3" s="52">
        <f>SUM(I3:T3)+SUM(Z3:AK3)</f>
        <v>6466</v>
      </c>
      <c r="H3" s="11">
        <v>201501</v>
      </c>
      <c r="I3" s="52">
        <f>SUMIFS(TMR!$C$22:$C$5012,TMR!$A$22:$A$5012,TMR!$H3,TMR!$E$22:$E$5012,TMR!I$2)</f>
        <v>0</v>
      </c>
      <c r="J3" s="53">
        <f>SUMIFS(TMR!$C$22:$C$5012,TMR!$A$22:$A$5012,TMR!$H3,TMR!$E$22:$E$5012,TMR!J$2)</f>
        <v>6466</v>
      </c>
      <c r="K3" s="53">
        <f>SUMIFS(TMR!$C$22:$C$5012,TMR!$A$22:$A$5012,TMR!$H3,TMR!$E$22:$E$5012,TMR!K$2)</f>
        <v>0</v>
      </c>
      <c r="L3" s="53">
        <f>SUMIFS(TMR!$C$22:$C$5012,TMR!$A$22:$A$5012,TMR!$H3,TMR!$E$22:$E$5012,TMR!L$2)</f>
        <v>0</v>
      </c>
      <c r="M3" s="53">
        <f>SUMIFS(TMR!$C$22:$C$5012,TMR!$A$22:$A$5012,TMR!$H3,TMR!$E$22:$E$5012,TMR!M$2)</f>
        <v>0</v>
      </c>
      <c r="N3" s="53">
        <f>SUMIFS(TMR!$C$22:$C$5012,TMR!$A$22:$A$5012,TMR!$H3,TMR!$E$22:$E$5012,TMR!N$2)</f>
        <v>0</v>
      </c>
      <c r="O3" s="53">
        <f>SUMIFS(TMR!$C$22:$C$5012,TMR!$A$22:$A$5012,TMR!$H3,TMR!$E$22:$E$5012,TMR!O$2)</f>
        <v>0</v>
      </c>
      <c r="P3" s="53">
        <f>SUMIFS(TMR!$C$22:$C$5012,TMR!$A$22:$A$5012,TMR!$H3,TMR!$E$22:$E$5012,TMR!P$2)</f>
        <v>0</v>
      </c>
      <c r="Q3" s="53">
        <f>SUMIFS(TMR!$C$22:$C$5012,TMR!$A$22:$A$5012,TMR!$H3,TMR!$E$22:$E$5012,TMR!Q$2)</f>
        <v>0</v>
      </c>
      <c r="R3" s="53">
        <f>SUMIFS(TMR!$C$22:$C$5012,TMR!$A$22:$A$5012,TMR!$H3,TMR!$E$22:$E$5012,TMR!R$2)</f>
        <v>0</v>
      </c>
      <c r="S3" s="53">
        <f>SUMIFS(TMR!$C$22:$C$5012,TMR!$A$22:$A$5012,TMR!$H3,TMR!$E$22:$E$5012,TMR!S$2)</f>
        <v>0</v>
      </c>
      <c r="T3" s="54">
        <f>SUMIFS(TMR!$C$22:$C$5012,TMR!$A$22:$A$5012,TMR!$H3,TMR!$E$22:$E$5012,TMR!T$2)</f>
        <v>0</v>
      </c>
      <c r="U3" s="53">
        <f>SUMIFS(TMR!$C$22:$C$5012,TMR!$A$22:$A$5012,TMR!$H3,TMR!$E$22:$E$5012,TMR!U$2)</f>
        <v>0</v>
      </c>
      <c r="V3" s="53">
        <f>SUMIFS(TMR!$C$22:$C$5012,TMR!$A$22:$A$5012,TMR!$H3,TMR!$E$22:$E$5012,TMR!V$2)</f>
        <v>0</v>
      </c>
      <c r="W3" s="54">
        <f>SUMIFS(TMR!$C$22:$C$5012,TMR!$A$22:$A$5012,TMR!$H3,TMR!$E$22:$E$5012,TMR!W$2)</f>
        <v>0</v>
      </c>
      <c r="Y3" s="11">
        <v>201601</v>
      </c>
      <c r="Z3" s="52">
        <f>SUMIFS(TMR!$D$22:$D$5012,TMR!$A$22:$A$5012,TMR!$H3,TMR!$E$22:$E$5012,TMR!Z$2)</f>
        <v>0</v>
      </c>
      <c r="AA3" s="53">
        <f>SUMIFS(TMR!$D$22:$D$5012,TMR!$A$22:$A$5012,TMR!$H3,TMR!$E$22:$E$5012,TMR!AA$2)</f>
        <v>0</v>
      </c>
      <c r="AB3" s="53">
        <f>SUMIFS(TMR!$D$22:$D$5012,TMR!$A$22:$A$5012,TMR!$H3,TMR!$E$22:$E$5012,TMR!AB$2)</f>
        <v>0</v>
      </c>
      <c r="AC3" s="53">
        <f>SUMIFS(TMR!$D$22:$D$5012,TMR!$A$22:$A$5012,TMR!$H3,TMR!$E$22:$E$5012,TMR!AC$2)</f>
        <v>0</v>
      </c>
      <c r="AD3" s="53">
        <f>SUMIFS(TMR!$D$22:$D$5012,TMR!$A$22:$A$5012,TMR!$H3,TMR!$E$22:$E$5012,TMR!AD$2)</f>
        <v>0</v>
      </c>
      <c r="AE3" s="53">
        <f>SUMIFS(TMR!$D$22:$D$5012,TMR!$A$22:$A$5012,TMR!$H3,TMR!$E$22:$E$5012,TMR!AE$2)</f>
        <v>0</v>
      </c>
      <c r="AF3" s="53">
        <f>SUMIFS(TMR!$D$22:$D$5012,TMR!$A$22:$A$5012,TMR!$H3,TMR!$E$22:$E$5012,TMR!AF$2)</f>
        <v>0</v>
      </c>
      <c r="AG3" s="53">
        <f>SUMIFS(TMR!$D$22:$D$5012,TMR!$A$22:$A$5012,TMR!$H3,TMR!$E$22:$E$5012,TMR!AG$2)</f>
        <v>0</v>
      </c>
      <c r="AH3" s="53">
        <f>SUMIFS(TMR!$D$22:$D$5012,TMR!$A$22:$A$5012,TMR!$H3,TMR!$E$22:$E$5012,TMR!AH$2)</f>
        <v>0</v>
      </c>
      <c r="AI3" s="53">
        <f>SUMIFS(TMR!$D$22:$D$5012,TMR!$A$22:$A$5012,TMR!$H3,TMR!$E$22:$E$5012,TMR!AI$2)</f>
        <v>0</v>
      </c>
      <c r="AJ3" s="53">
        <f>SUMIFS(TMR!$D$22:$D$5012,TMR!$A$22:$A$5012,TMR!$H3,TMR!$E$22:$E$5012,TMR!AJ$2)</f>
        <v>0</v>
      </c>
      <c r="AK3" s="54">
        <f>SUMIFS(TMR!$D$22:$D$5012,TMR!$A$22:$A$5012,TMR!$H3,TMR!$E$22:$E$5012,TMR!AK$2)</f>
        <v>0</v>
      </c>
      <c r="AL3" s="53">
        <f>SUMIFS(TMR!$D$22:$D$5012,TMR!$A$22:$A$5012,TMR!$H3,TMR!$E$22:$E$5012,TMR!AL$2)</f>
        <v>0</v>
      </c>
      <c r="AM3" s="53">
        <f>SUMIFS(TMR!$D$22:$D$5012,TMR!$A$22:$A$5012,TMR!$H3,TMR!$E$22:$E$5012,TMR!AM$2)</f>
        <v>0</v>
      </c>
      <c r="AN3" s="54">
        <f>SUMIFS(TMR!$D$22:$D$5012,TMR!$A$22:$A$5012,TMR!$H3,TMR!$E$22:$E$5012,TMR!AN$2)</f>
        <v>0</v>
      </c>
    </row>
    <row r="4" spans="1:40" s="99" customFormat="1" x14ac:dyDescent="0.25">
      <c r="G4" s="52">
        <f t="shared" ref="G4:G14" si="0">SUM(I4:T4)+SUM(Z4:AK4)</f>
        <v>248830</v>
      </c>
      <c r="H4" s="11">
        <v>201502</v>
      </c>
      <c r="I4" s="12">
        <f>SUMIFS(TMR!$C$22:$C$5012,TMR!$A$22:$A$5012,TMR!$H4,TMR!$E$22:$E$5012,TMR!I$2)</f>
        <v>41192</v>
      </c>
      <c r="J4" s="13">
        <f>SUMIFS(TMR!$C$22:$C$5012,TMR!$A$22:$A$5012,TMR!$H4,TMR!$E$22:$E$5012,TMR!J$2)</f>
        <v>64628</v>
      </c>
      <c r="K4" s="13">
        <f>SUMIFS(TMR!$C$22:$C$5012,TMR!$A$22:$A$5012,TMR!$H4,TMR!$E$22:$E$5012,TMR!K$2)</f>
        <v>6590</v>
      </c>
      <c r="L4" s="13">
        <f>SUMIFS(TMR!$C$22:$C$5012,TMR!$A$22:$A$5012,TMR!$H4,TMR!$E$22:$E$5012,TMR!L$2)</f>
        <v>8880</v>
      </c>
      <c r="M4" s="13">
        <f>SUMIFS(TMR!$C$22:$C$5012,TMR!$A$22:$A$5012,TMR!$H4,TMR!$E$22:$E$5012,TMR!M$2)</f>
        <v>34213</v>
      </c>
      <c r="N4" s="13">
        <f>SUMIFS(TMR!$C$22:$C$5012,TMR!$A$22:$A$5012,TMR!$H4,TMR!$E$22:$E$5012,TMR!N$2)</f>
        <v>40263</v>
      </c>
      <c r="O4" s="13">
        <f>SUMIFS(TMR!$C$22:$C$5012,TMR!$A$22:$A$5012,TMR!$H4,TMR!$E$22:$E$5012,TMR!O$2)</f>
        <v>3754</v>
      </c>
      <c r="P4" s="13">
        <f>SUMIFS(TMR!$C$22:$C$5012,TMR!$A$22:$A$5012,TMR!$H4,TMR!$E$22:$E$5012,TMR!P$2)</f>
        <v>495</v>
      </c>
      <c r="Q4" s="13">
        <f>SUMIFS(TMR!$C$22:$C$5012,TMR!$A$22:$A$5012,TMR!$H4,TMR!$E$22:$E$5012,TMR!Q$2)</f>
        <v>17746</v>
      </c>
      <c r="R4" s="13">
        <f>SUMIFS(TMR!$C$22:$C$5012,TMR!$A$22:$A$5012,TMR!$H4,TMR!$E$22:$E$5012,TMR!R$2)</f>
        <v>15</v>
      </c>
      <c r="S4" s="13">
        <f>SUMIFS(TMR!$C$22:$C$5012,TMR!$A$22:$A$5012,TMR!$H4,TMR!$E$22:$E$5012,TMR!S$2)</f>
        <v>0</v>
      </c>
      <c r="T4" s="14">
        <f>SUMIFS(TMR!$C$22:$C$5012,TMR!$A$22:$A$5012,TMR!$H4,TMR!$E$22:$E$5012,TMR!T$2)</f>
        <v>0</v>
      </c>
      <c r="U4" s="13">
        <f>SUMIFS(TMR!$C$22:$C$5012,TMR!$A$22:$A$5012,TMR!$H4,TMR!$E$22:$E$5012,TMR!U$2)</f>
        <v>4098</v>
      </c>
      <c r="V4" s="13">
        <f>SUMIFS(TMR!$C$22:$C$5012,TMR!$A$22:$A$5012,TMR!$H4,TMR!$E$22:$E$5012,TMR!V$2)</f>
        <v>20613</v>
      </c>
      <c r="W4" s="14">
        <f>SUMIFS(TMR!$C$22:$C$5012,TMR!$A$22:$A$5012,TMR!$H4,TMR!$E$22:$E$5012,TMR!W$2)</f>
        <v>542</v>
      </c>
      <c r="Y4" s="11">
        <v>201602</v>
      </c>
      <c r="Z4" s="12">
        <f>SUMIFS(TMR!$D$22:$D$5012,TMR!$A$22:$A$5012,TMR!$H4,TMR!$E$22:$E$5012,TMR!Z$2)</f>
        <v>0</v>
      </c>
      <c r="AA4" s="13">
        <f>SUMIFS(TMR!$D$22:$D$5012,TMR!$A$22:$A$5012,TMR!$H4,TMR!$E$22:$E$5012,TMR!AA$2)</f>
        <v>0</v>
      </c>
      <c r="AB4" s="13">
        <f>SUMIFS(TMR!$D$22:$D$5012,TMR!$A$22:$A$5012,TMR!$H4,TMR!$E$22:$E$5012,TMR!AB$2)</f>
        <v>0</v>
      </c>
      <c r="AC4" s="13">
        <f>SUMIFS(TMR!$D$22:$D$5012,TMR!$A$22:$A$5012,TMR!$H4,TMR!$E$22:$E$5012,TMR!AC$2)</f>
        <v>0</v>
      </c>
      <c r="AD4" s="13">
        <f>SUMIFS(TMR!$D$22:$D$5012,TMR!$A$22:$A$5012,TMR!$H4,TMR!$E$22:$E$5012,TMR!AD$2)</f>
        <v>6357</v>
      </c>
      <c r="AE4" s="13">
        <f>SUMIFS(TMR!$D$22:$D$5012,TMR!$A$22:$A$5012,TMR!$H4,TMR!$E$22:$E$5012,TMR!AE$2)</f>
        <v>20672</v>
      </c>
      <c r="AF4" s="13">
        <f>SUMIFS(TMR!$D$22:$D$5012,TMR!$A$22:$A$5012,TMR!$H4,TMR!$E$22:$E$5012,TMR!AF$2)</f>
        <v>2364</v>
      </c>
      <c r="AG4" s="13">
        <f>SUMIFS(TMR!$D$22:$D$5012,TMR!$A$22:$A$5012,TMR!$H4,TMR!$E$22:$E$5012,TMR!AG$2)</f>
        <v>1661</v>
      </c>
      <c r="AH4" s="13">
        <f>SUMIFS(TMR!$D$22:$D$5012,TMR!$A$22:$A$5012,TMR!$H4,TMR!$E$22:$E$5012,TMR!AH$2)</f>
        <v>0</v>
      </c>
      <c r="AI4" s="13">
        <f>SUMIFS(TMR!$D$22:$D$5012,TMR!$A$22:$A$5012,TMR!$H4,TMR!$E$22:$E$5012,TMR!AI$2)</f>
        <v>0</v>
      </c>
      <c r="AJ4" s="13">
        <f>SUMIFS(TMR!$D$22:$D$5012,TMR!$A$22:$A$5012,TMR!$H4,TMR!$E$22:$E$5012,TMR!AJ$2)</f>
        <v>0</v>
      </c>
      <c r="AK4" s="14">
        <f>SUMIFS(TMR!$D$22:$D$5012,TMR!$A$22:$A$5012,TMR!$H4,TMR!$E$22:$E$5012,TMR!AK$2)</f>
        <v>0</v>
      </c>
      <c r="AL4" s="13">
        <f>SUMIFS(TMR!$D$22:$D$5012,TMR!$A$22:$A$5012,TMR!$H4,TMR!$E$22:$E$5012,TMR!AL$2)</f>
        <v>0</v>
      </c>
      <c r="AM4" s="13">
        <f>SUMIFS(TMR!$D$22:$D$5012,TMR!$A$22:$A$5012,TMR!$H4,TMR!$E$22:$E$5012,TMR!AM$2)</f>
        <v>0</v>
      </c>
      <c r="AN4" s="14">
        <f>SUMIFS(TMR!$D$22:$D$5012,TMR!$A$22:$A$5012,TMR!$H4,TMR!$E$22:$E$5012,TMR!AN$2)</f>
        <v>0</v>
      </c>
    </row>
    <row r="5" spans="1:40" s="99" customFormat="1" x14ac:dyDescent="0.25">
      <c r="G5" s="52">
        <f t="shared" si="0"/>
        <v>249039</v>
      </c>
      <c r="H5" s="11">
        <v>201503</v>
      </c>
      <c r="I5" s="12">
        <f>SUMIFS(TMR!$C$22:$C$5012,TMR!$A$22:$A$5012,TMR!$H5,TMR!$E$22:$E$5012,TMR!I$2)</f>
        <v>41285</v>
      </c>
      <c r="J5" s="13">
        <f>SUMIFS(TMR!$C$22:$C$5012,TMR!$A$22:$A$5012,TMR!$H5,TMR!$E$22:$E$5012,TMR!J$2)</f>
        <v>64757</v>
      </c>
      <c r="K5" s="13">
        <f>SUMIFS(TMR!$C$22:$C$5012,TMR!$A$22:$A$5012,TMR!$H5,TMR!$E$22:$E$5012,TMR!K$2)</f>
        <v>6620</v>
      </c>
      <c r="L5" s="13">
        <f>SUMIFS(TMR!$C$22:$C$5012,TMR!$A$22:$A$5012,TMR!$H5,TMR!$E$22:$E$5012,TMR!L$2)</f>
        <v>8964</v>
      </c>
      <c r="M5" s="13">
        <f>SUMIFS(TMR!$C$22:$C$5012,TMR!$A$22:$A$5012,TMR!$H5,TMR!$E$22:$E$5012,TMR!M$2)</f>
        <v>34118</v>
      </c>
      <c r="N5" s="13">
        <f>SUMIFS(TMR!$C$22:$C$5012,TMR!$A$22:$A$5012,TMR!$H5,TMR!$E$22:$E$5012,TMR!N$2)</f>
        <v>40242</v>
      </c>
      <c r="O5" s="13">
        <f>SUMIFS(TMR!$C$22:$C$5012,TMR!$A$22:$A$5012,TMR!$H5,TMR!$E$22:$E$5012,TMR!O$2)</f>
        <v>3767</v>
      </c>
      <c r="P5" s="13">
        <f>SUMIFS(TMR!$C$22:$C$5012,TMR!$A$22:$A$5012,TMR!$H5,TMR!$E$22:$E$5012,TMR!P$2)</f>
        <v>501</v>
      </c>
      <c r="Q5" s="13">
        <f>SUMIFS(TMR!$C$22:$C$5012,TMR!$A$22:$A$5012,TMR!$H5,TMR!$E$22:$E$5012,TMR!Q$2)</f>
        <v>17817</v>
      </c>
      <c r="R5" s="13">
        <f>SUMIFS(TMR!$C$22:$C$5012,TMR!$A$22:$A$5012,TMR!$H5,TMR!$E$22:$E$5012,TMR!R$2)</f>
        <v>14</v>
      </c>
      <c r="S5" s="13">
        <f>SUMIFS(TMR!$C$22:$C$5012,TMR!$A$22:$A$5012,TMR!$H5,TMR!$E$22:$E$5012,TMR!S$2)</f>
        <v>0</v>
      </c>
      <c r="T5" s="14">
        <f>SUMIFS(TMR!$C$22:$C$5012,TMR!$A$22:$A$5012,TMR!$H5,TMR!$E$22:$E$5012,TMR!T$2)</f>
        <v>0</v>
      </c>
      <c r="U5" s="13">
        <f>SUMIFS(TMR!$C$22:$C$5012,TMR!$A$22:$A$5012,TMR!$H5,TMR!$E$22:$E$5012,TMR!U$2)</f>
        <v>4134</v>
      </c>
      <c r="V5" s="13">
        <f>SUMIFS(TMR!$C$22:$C$5012,TMR!$A$22:$A$5012,TMR!$H5,TMR!$E$22:$E$5012,TMR!V$2)</f>
        <v>20696</v>
      </c>
      <c r="W5" s="14">
        <f>SUMIFS(TMR!$C$22:$C$5012,TMR!$A$22:$A$5012,TMR!$H5,TMR!$E$22:$E$5012,TMR!W$2)</f>
        <v>548</v>
      </c>
      <c r="Y5" s="11">
        <v>201603</v>
      </c>
      <c r="Z5" s="12">
        <f>SUMIFS(TMR!$D$22:$D$5012,TMR!$A$22:$A$5012,TMR!$H5,TMR!$E$22:$E$5012,TMR!Z$2)</f>
        <v>0</v>
      </c>
      <c r="AA5" s="13">
        <f>SUMIFS(TMR!$D$22:$D$5012,TMR!$A$22:$A$5012,TMR!$H5,TMR!$E$22:$E$5012,TMR!AA$2)</f>
        <v>0</v>
      </c>
      <c r="AB5" s="13">
        <f>SUMIFS(TMR!$D$22:$D$5012,TMR!$A$22:$A$5012,TMR!$H5,TMR!$E$22:$E$5012,TMR!AB$2)</f>
        <v>0</v>
      </c>
      <c r="AC5" s="13">
        <f>SUMIFS(TMR!$D$22:$D$5012,TMR!$A$22:$A$5012,TMR!$H5,TMR!$E$22:$E$5012,TMR!AC$2)</f>
        <v>0</v>
      </c>
      <c r="AD5" s="13">
        <f>SUMIFS(TMR!$D$22:$D$5012,TMR!$A$22:$A$5012,TMR!$H5,TMR!$E$22:$E$5012,TMR!AD$2)</f>
        <v>6356</v>
      </c>
      <c r="AE5" s="13">
        <f>SUMIFS(TMR!$D$22:$D$5012,TMR!$A$22:$A$5012,TMR!$H5,TMR!$E$22:$E$5012,TMR!AE$2)</f>
        <v>20538</v>
      </c>
      <c r="AF5" s="13">
        <f>SUMIFS(TMR!$D$22:$D$5012,TMR!$A$22:$A$5012,TMR!$H5,TMR!$E$22:$E$5012,TMR!AF$2)</f>
        <v>2375</v>
      </c>
      <c r="AG5" s="13">
        <f>SUMIFS(TMR!$D$22:$D$5012,TMR!$A$22:$A$5012,TMR!$H5,TMR!$E$22:$E$5012,TMR!AG$2)</f>
        <v>1685</v>
      </c>
      <c r="AH5" s="13">
        <f>SUMIFS(TMR!$D$22:$D$5012,TMR!$A$22:$A$5012,TMR!$H5,TMR!$E$22:$E$5012,TMR!AH$2)</f>
        <v>0</v>
      </c>
      <c r="AI5" s="13">
        <f>SUMIFS(TMR!$D$22:$D$5012,TMR!$A$22:$A$5012,TMR!$H5,TMR!$E$22:$E$5012,TMR!AI$2)</f>
        <v>0</v>
      </c>
      <c r="AJ5" s="13">
        <f>SUMIFS(TMR!$D$22:$D$5012,TMR!$A$22:$A$5012,TMR!$H5,TMR!$E$22:$E$5012,TMR!AJ$2)</f>
        <v>0</v>
      </c>
      <c r="AK5" s="14">
        <f>SUMIFS(TMR!$D$22:$D$5012,TMR!$A$22:$A$5012,TMR!$H5,TMR!$E$22:$E$5012,TMR!AK$2)</f>
        <v>0</v>
      </c>
      <c r="AL5" s="13">
        <f>SUMIFS(TMR!$D$22:$D$5012,TMR!$A$22:$A$5012,TMR!$H5,TMR!$E$22:$E$5012,TMR!AL$2)</f>
        <v>0</v>
      </c>
      <c r="AM5" s="13">
        <f>SUMIFS(TMR!$D$22:$D$5012,TMR!$A$22:$A$5012,TMR!$H5,TMR!$E$22:$E$5012,TMR!AM$2)</f>
        <v>0</v>
      </c>
      <c r="AN5" s="14">
        <f>SUMIFS(TMR!$D$22:$D$5012,TMR!$A$22:$A$5012,TMR!$H5,TMR!$E$22:$E$5012,TMR!AN$2)</f>
        <v>0</v>
      </c>
    </row>
    <row r="6" spans="1:40" s="99" customFormat="1" x14ac:dyDescent="0.25">
      <c r="G6" s="52">
        <f t="shared" si="0"/>
        <v>248558</v>
      </c>
      <c r="H6" s="11">
        <v>201504</v>
      </c>
      <c r="I6" s="12">
        <f>SUMIFS(TMR!$C$22:$C$5012,TMR!$A$22:$A$5012,TMR!$H6,TMR!$E$22:$E$5012,TMR!I$2)</f>
        <v>40763</v>
      </c>
      <c r="J6" s="13">
        <f>SUMIFS(TMR!$C$22:$C$5012,TMR!$A$22:$A$5012,TMR!$H6,TMR!$E$22:$E$5012,TMR!J$2)</f>
        <v>64816</v>
      </c>
      <c r="K6" s="13">
        <f>SUMIFS(TMR!$C$22:$C$5012,TMR!$A$22:$A$5012,TMR!$H6,TMR!$E$22:$E$5012,TMR!K$2)</f>
        <v>6588</v>
      </c>
      <c r="L6" s="13">
        <f>SUMIFS(TMR!$C$22:$C$5012,TMR!$A$22:$A$5012,TMR!$H6,TMR!$E$22:$E$5012,TMR!L$2)</f>
        <v>9030</v>
      </c>
      <c r="M6" s="13">
        <f>SUMIFS(TMR!$C$22:$C$5012,TMR!$A$22:$A$5012,TMR!$H6,TMR!$E$22:$E$5012,TMR!M$2)</f>
        <v>34014</v>
      </c>
      <c r="N6" s="13">
        <f>SUMIFS(TMR!$C$22:$C$5012,TMR!$A$22:$A$5012,TMR!$H6,TMR!$E$22:$E$5012,TMR!N$2)</f>
        <v>40258</v>
      </c>
      <c r="O6" s="13">
        <f>SUMIFS(TMR!$C$22:$C$5012,TMR!$A$22:$A$5012,TMR!$H6,TMR!$E$22:$E$5012,TMR!O$2)</f>
        <v>3781</v>
      </c>
      <c r="P6" s="13">
        <f>SUMIFS(TMR!$C$22:$C$5012,TMR!$A$22:$A$5012,TMR!$H6,TMR!$E$22:$E$5012,TMR!P$2)</f>
        <v>507</v>
      </c>
      <c r="Q6" s="13">
        <f>SUMIFS(TMR!$C$22:$C$5012,TMR!$A$22:$A$5012,TMR!$H6,TMR!$E$22:$E$5012,TMR!Q$2)</f>
        <v>17912</v>
      </c>
      <c r="R6" s="13">
        <f>SUMIFS(TMR!$C$22:$C$5012,TMR!$A$22:$A$5012,TMR!$H6,TMR!$E$22:$E$5012,TMR!R$2)</f>
        <v>14</v>
      </c>
      <c r="S6" s="13">
        <f>SUMIFS(TMR!$C$22:$C$5012,TMR!$A$22:$A$5012,TMR!$H6,TMR!$E$22:$E$5012,TMR!S$2)</f>
        <v>0</v>
      </c>
      <c r="T6" s="14">
        <f>SUMIFS(TMR!$C$22:$C$5012,TMR!$A$22:$A$5012,TMR!$H6,TMR!$E$22:$E$5012,TMR!T$2)</f>
        <v>0</v>
      </c>
      <c r="U6" s="13">
        <f>SUMIFS(TMR!$C$22:$C$5012,TMR!$A$22:$A$5012,TMR!$H6,TMR!$E$22:$E$5012,TMR!U$2)</f>
        <v>4161</v>
      </c>
      <c r="V6" s="13">
        <f>SUMIFS(TMR!$C$22:$C$5012,TMR!$A$22:$A$5012,TMR!$H6,TMR!$E$22:$E$5012,TMR!V$2)</f>
        <v>20745</v>
      </c>
      <c r="W6" s="14">
        <f>SUMIFS(TMR!$C$22:$C$5012,TMR!$A$22:$A$5012,TMR!$H6,TMR!$E$22:$E$5012,TMR!W$2)</f>
        <v>553</v>
      </c>
      <c r="Y6" s="11">
        <v>201604</v>
      </c>
      <c r="Z6" s="12">
        <f>SUMIFS(TMR!$D$22:$D$5012,TMR!$A$22:$A$5012,TMR!$H6,TMR!$E$22:$E$5012,TMR!Z$2)</f>
        <v>0</v>
      </c>
      <c r="AA6" s="13">
        <f>SUMIFS(TMR!$D$22:$D$5012,TMR!$A$22:$A$5012,TMR!$H6,TMR!$E$22:$E$5012,TMR!AA$2)</f>
        <v>0</v>
      </c>
      <c r="AB6" s="13">
        <f>SUMIFS(TMR!$D$22:$D$5012,TMR!$A$22:$A$5012,TMR!$H6,TMR!$E$22:$E$5012,TMR!AB$2)</f>
        <v>0</v>
      </c>
      <c r="AC6" s="13">
        <f>SUMIFS(TMR!$D$22:$D$5012,TMR!$A$22:$A$5012,TMR!$H6,TMR!$E$22:$E$5012,TMR!AC$2)</f>
        <v>0</v>
      </c>
      <c r="AD6" s="13">
        <f>SUMIFS(TMR!$D$22:$D$5012,TMR!$A$22:$A$5012,TMR!$H6,TMR!$E$22:$E$5012,TMR!AD$2)</f>
        <v>6359</v>
      </c>
      <c r="AE6" s="13">
        <f>SUMIFS(TMR!$D$22:$D$5012,TMR!$A$22:$A$5012,TMR!$H6,TMR!$E$22:$E$5012,TMR!AE$2)</f>
        <v>20444</v>
      </c>
      <c r="AF6" s="13">
        <f>SUMIFS(TMR!$D$22:$D$5012,TMR!$A$22:$A$5012,TMR!$H6,TMR!$E$22:$E$5012,TMR!AF$2)</f>
        <v>2374</v>
      </c>
      <c r="AG6" s="13">
        <f>SUMIFS(TMR!$D$22:$D$5012,TMR!$A$22:$A$5012,TMR!$H6,TMR!$E$22:$E$5012,TMR!AG$2)</f>
        <v>1698</v>
      </c>
      <c r="AH6" s="13">
        <f>SUMIFS(TMR!$D$22:$D$5012,TMR!$A$22:$A$5012,TMR!$H6,TMR!$E$22:$E$5012,TMR!AH$2)</f>
        <v>0</v>
      </c>
      <c r="AI6" s="13">
        <f>SUMIFS(TMR!$D$22:$D$5012,TMR!$A$22:$A$5012,TMR!$H6,TMR!$E$22:$E$5012,TMR!AI$2)</f>
        <v>0</v>
      </c>
      <c r="AJ6" s="13">
        <f>SUMIFS(TMR!$D$22:$D$5012,TMR!$A$22:$A$5012,TMR!$H6,TMR!$E$22:$E$5012,TMR!AJ$2)</f>
        <v>0</v>
      </c>
      <c r="AK6" s="14">
        <f>SUMIFS(TMR!$D$22:$D$5012,TMR!$A$22:$A$5012,TMR!$H6,TMR!$E$22:$E$5012,TMR!AK$2)</f>
        <v>0</v>
      </c>
      <c r="AL6" s="13">
        <f>SUMIFS(TMR!$D$22:$D$5012,TMR!$A$22:$A$5012,TMR!$H6,TMR!$E$22:$E$5012,TMR!AL$2)</f>
        <v>0</v>
      </c>
      <c r="AM6" s="13">
        <f>SUMIFS(TMR!$D$22:$D$5012,TMR!$A$22:$A$5012,TMR!$H6,TMR!$E$22:$E$5012,TMR!AM$2)</f>
        <v>0</v>
      </c>
      <c r="AN6" s="14">
        <f>SUMIFS(TMR!$D$22:$D$5012,TMR!$A$22:$A$5012,TMR!$H6,TMR!$E$22:$E$5012,TMR!AN$2)</f>
        <v>0</v>
      </c>
    </row>
    <row r="7" spans="1:40" s="99" customFormat="1" x14ac:dyDescent="0.25">
      <c r="G7" s="52">
        <f t="shared" si="0"/>
        <v>249666</v>
      </c>
      <c r="H7" s="11">
        <v>201505</v>
      </c>
      <c r="I7" s="12">
        <f>SUMIFS(TMR!$C$22:$C$5012,TMR!$A$22:$A$5012,TMR!$H7,TMR!$E$22:$E$5012,TMR!I$2)</f>
        <v>41642</v>
      </c>
      <c r="J7" s="13">
        <f>SUMIFS(TMR!$C$22:$C$5012,TMR!$A$22:$A$5012,TMR!$H7,TMR!$E$22:$E$5012,TMR!J$2)</f>
        <v>64836</v>
      </c>
      <c r="K7" s="13">
        <f>SUMIFS(TMR!$C$22:$C$5012,TMR!$A$22:$A$5012,TMR!$H7,TMR!$E$22:$E$5012,TMR!K$2)</f>
        <v>6583</v>
      </c>
      <c r="L7" s="13">
        <f>SUMIFS(TMR!$C$22:$C$5012,TMR!$A$22:$A$5012,TMR!$H7,TMR!$E$22:$E$5012,TMR!L$2)</f>
        <v>9057</v>
      </c>
      <c r="M7" s="13">
        <f>SUMIFS(TMR!$C$22:$C$5012,TMR!$A$22:$A$5012,TMR!$H7,TMR!$E$22:$E$5012,TMR!M$2)</f>
        <v>33923</v>
      </c>
      <c r="N7" s="13">
        <f>SUMIFS(TMR!$C$22:$C$5012,TMR!$A$22:$A$5012,TMR!$H7,TMR!$E$22:$E$5012,TMR!N$2)</f>
        <v>40225</v>
      </c>
      <c r="O7" s="13">
        <f>SUMIFS(TMR!$C$22:$C$5012,TMR!$A$22:$A$5012,TMR!$H7,TMR!$E$22:$E$5012,TMR!O$2)</f>
        <v>3800</v>
      </c>
      <c r="P7" s="13">
        <f>SUMIFS(TMR!$C$22:$C$5012,TMR!$A$22:$A$5012,TMR!$H7,TMR!$E$22:$E$5012,TMR!P$2)</f>
        <v>514</v>
      </c>
      <c r="Q7" s="13">
        <f>SUMIFS(TMR!$C$22:$C$5012,TMR!$A$22:$A$5012,TMR!$H7,TMR!$E$22:$E$5012,TMR!Q$2)</f>
        <v>18237</v>
      </c>
      <c r="R7" s="13">
        <f>SUMIFS(TMR!$C$22:$C$5012,TMR!$A$22:$A$5012,TMR!$H7,TMR!$E$22:$E$5012,TMR!R$2)</f>
        <v>13</v>
      </c>
      <c r="S7" s="13">
        <f>SUMIFS(TMR!$C$22:$C$5012,TMR!$A$22:$A$5012,TMR!$H7,TMR!$E$22:$E$5012,TMR!S$2)</f>
        <v>0</v>
      </c>
      <c r="T7" s="14">
        <f>SUMIFS(TMR!$C$22:$C$5012,TMR!$A$22:$A$5012,TMR!$H7,TMR!$E$22:$E$5012,TMR!T$2)</f>
        <v>0</v>
      </c>
      <c r="U7" s="13">
        <f>SUMIFS(TMR!$C$22:$C$5012,TMR!$A$22:$A$5012,TMR!$H7,TMR!$E$22:$E$5012,TMR!U$2)</f>
        <v>4176</v>
      </c>
      <c r="V7" s="13">
        <f>SUMIFS(TMR!$C$22:$C$5012,TMR!$A$22:$A$5012,TMR!$H7,TMR!$E$22:$E$5012,TMR!V$2)</f>
        <v>20845</v>
      </c>
      <c r="W7" s="14">
        <f>SUMIFS(TMR!$C$22:$C$5012,TMR!$A$22:$A$5012,TMR!$H7,TMR!$E$22:$E$5012,TMR!W$2)</f>
        <v>554</v>
      </c>
      <c r="Y7" s="11">
        <v>201605</v>
      </c>
      <c r="Z7" s="12">
        <f>SUMIFS(TMR!$D$22:$D$5012,TMR!$A$22:$A$5012,TMR!$H7,TMR!$E$22:$E$5012,TMR!Z$2)</f>
        <v>0</v>
      </c>
      <c r="AA7" s="13">
        <f>SUMIFS(TMR!$D$22:$D$5012,TMR!$A$22:$A$5012,TMR!$H7,TMR!$E$22:$E$5012,TMR!AA$2)</f>
        <v>0</v>
      </c>
      <c r="AB7" s="13">
        <f>SUMIFS(TMR!$D$22:$D$5012,TMR!$A$22:$A$5012,TMR!$H7,TMR!$E$22:$E$5012,TMR!AB$2)</f>
        <v>0</v>
      </c>
      <c r="AC7" s="13">
        <f>SUMIFS(TMR!$D$22:$D$5012,TMR!$A$22:$A$5012,TMR!$H7,TMR!$E$22:$E$5012,TMR!AC$2)</f>
        <v>0</v>
      </c>
      <c r="AD7" s="13">
        <f>SUMIFS(TMR!$D$22:$D$5012,TMR!$A$22:$A$5012,TMR!$H7,TMR!$E$22:$E$5012,TMR!AD$2)</f>
        <v>6357</v>
      </c>
      <c r="AE7" s="13">
        <f>SUMIFS(TMR!$D$22:$D$5012,TMR!$A$22:$A$5012,TMR!$H7,TMR!$E$22:$E$5012,TMR!AE$2)</f>
        <v>20374</v>
      </c>
      <c r="AF7" s="13">
        <f>SUMIFS(TMR!$D$22:$D$5012,TMR!$A$22:$A$5012,TMR!$H7,TMR!$E$22:$E$5012,TMR!AF$2)</f>
        <v>2389</v>
      </c>
      <c r="AG7" s="13">
        <f>SUMIFS(TMR!$D$22:$D$5012,TMR!$A$22:$A$5012,TMR!$H7,TMR!$E$22:$E$5012,TMR!AG$2)</f>
        <v>1716</v>
      </c>
      <c r="AH7" s="13">
        <f>SUMIFS(TMR!$D$22:$D$5012,TMR!$A$22:$A$5012,TMR!$H7,TMR!$E$22:$E$5012,TMR!AH$2)</f>
        <v>0</v>
      </c>
      <c r="AI7" s="13">
        <f>SUMIFS(TMR!$D$22:$D$5012,TMR!$A$22:$A$5012,TMR!$H7,TMR!$E$22:$E$5012,TMR!AI$2)</f>
        <v>0</v>
      </c>
      <c r="AJ7" s="13">
        <f>SUMIFS(TMR!$D$22:$D$5012,TMR!$A$22:$A$5012,TMR!$H7,TMR!$E$22:$E$5012,TMR!AJ$2)</f>
        <v>0</v>
      </c>
      <c r="AK7" s="14">
        <f>SUMIFS(TMR!$D$22:$D$5012,TMR!$A$22:$A$5012,TMR!$H7,TMR!$E$22:$E$5012,TMR!AK$2)</f>
        <v>0</v>
      </c>
      <c r="AL7" s="13">
        <f>SUMIFS(TMR!$D$22:$D$5012,TMR!$A$22:$A$5012,TMR!$H7,TMR!$E$22:$E$5012,TMR!AL$2)</f>
        <v>0</v>
      </c>
      <c r="AM7" s="13">
        <f>SUMIFS(TMR!$D$22:$D$5012,TMR!$A$22:$A$5012,TMR!$H7,TMR!$E$22:$E$5012,TMR!AM$2)</f>
        <v>0</v>
      </c>
      <c r="AN7" s="14">
        <f>SUMIFS(TMR!$D$22:$D$5012,TMR!$A$22:$A$5012,TMR!$H7,TMR!$E$22:$E$5012,TMR!AN$2)</f>
        <v>0</v>
      </c>
    </row>
    <row r="8" spans="1:40" s="99" customFormat="1" x14ac:dyDescent="0.25">
      <c r="G8" s="52">
        <f t="shared" si="0"/>
        <v>249736</v>
      </c>
      <c r="H8" s="11">
        <v>201506</v>
      </c>
      <c r="I8" s="12">
        <f>SUMIFS(TMR!$C$22:$C$5012,TMR!$A$22:$A$5012,TMR!$H8,TMR!$E$22:$E$5012,TMR!I$2)</f>
        <v>41606</v>
      </c>
      <c r="J8" s="13">
        <f>SUMIFS(TMR!$C$22:$C$5012,TMR!$A$22:$A$5012,TMR!$H8,TMR!$E$22:$E$5012,TMR!J$2)</f>
        <v>64690</v>
      </c>
      <c r="K8" s="13">
        <f>SUMIFS(TMR!$C$22:$C$5012,TMR!$A$22:$A$5012,TMR!$H8,TMR!$E$22:$E$5012,TMR!K$2)</f>
        <v>6577</v>
      </c>
      <c r="L8" s="13">
        <f>SUMIFS(TMR!$C$22:$C$5012,TMR!$A$22:$A$5012,TMR!$H8,TMR!$E$22:$E$5012,TMR!L$2)</f>
        <v>9166</v>
      </c>
      <c r="M8" s="13">
        <f>SUMIFS(TMR!$C$22:$C$5012,TMR!$A$22:$A$5012,TMR!$H8,TMR!$E$22:$E$5012,TMR!M$2)</f>
        <v>33862</v>
      </c>
      <c r="N8" s="13">
        <f>SUMIFS(TMR!$C$22:$C$5012,TMR!$A$22:$A$5012,TMR!$H8,TMR!$E$22:$E$5012,TMR!N$2)</f>
        <v>40199</v>
      </c>
      <c r="O8" s="13">
        <f>SUMIFS(TMR!$C$22:$C$5012,TMR!$A$22:$A$5012,TMR!$H8,TMR!$E$22:$E$5012,TMR!O$2)</f>
        <v>3817</v>
      </c>
      <c r="P8" s="13">
        <f>SUMIFS(TMR!$C$22:$C$5012,TMR!$A$22:$A$5012,TMR!$H8,TMR!$E$22:$E$5012,TMR!P$2)</f>
        <v>523</v>
      </c>
      <c r="Q8" s="13">
        <f>SUMIFS(TMR!$C$22:$C$5012,TMR!$A$22:$A$5012,TMR!$H8,TMR!$E$22:$E$5012,TMR!Q$2)</f>
        <v>18475</v>
      </c>
      <c r="R8" s="13">
        <f>SUMIFS(TMR!$C$22:$C$5012,TMR!$A$22:$A$5012,TMR!$H8,TMR!$E$22:$E$5012,TMR!R$2)</f>
        <v>10</v>
      </c>
      <c r="S8" s="13">
        <f>SUMIFS(TMR!$C$22:$C$5012,TMR!$A$22:$A$5012,TMR!$H8,TMR!$E$22:$E$5012,TMR!S$2)</f>
        <v>0</v>
      </c>
      <c r="T8" s="14">
        <f>SUMIFS(TMR!$C$22:$C$5012,TMR!$A$22:$A$5012,TMR!$H8,TMR!$E$22:$E$5012,TMR!T$2)</f>
        <v>0</v>
      </c>
      <c r="U8" s="13">
        <f>SUMIFS(TMR!$C$22:$C$5012,TMR!$A$22:$A$5012,TMR!$H8,TMR!$E$22:$E$5012,TMR!U$2)</f>
        <v>4208</v>
      </c>
      <c r="V8" s="13">
        <f>SUMIFS(TMR!$C$22:$C$5012,TMR!$A$22:$A$5012,TMR!$H8,TMR!$E$22:$E$5012,TMR!V$2)</f>
        <v>20980</v>
      </c>
      <c r="W8" s="14">
        <f>SUMIFS(TMR!$C$22:$C$5012,TMR!$A$22:$A$5012,TMR!$H8,TMR!$E$22:$E$5012,TMR!W$2)</f>
        <v>552</v>
      </c>
      <c r="Y8" s="11">
        <v>201606</v>
      </c>
      <c r="Z8" s="12">
        <f>SUMIFS(TMR!$D$22:$D$5012,TMR!$A$22:$A$5012,TMR!$H8,TMR!$E$22:$E$5012,TMR!Z$2)</f>
        <v>0</v>
      </c>
      <c r="AA8" s="13">
        <f>SUMIFS(TMR!$D$22:$D$5012,TMR!$A$22:$A$5012,TMR!$H8,TMR!$E$22:$E$5012,TMR!AA$2)</f>
        <v>0</v>
      </c>
      <c r="AB8" s="13">
        <f>SUMIFS(TMR!$D$22:$D$5012,TMR!$A$22:$A$5012,TMR!$H8,TMR!$E$22:$E$5012,TMR!AB$2)</f>
        <v>0</v>
      </c>
      <c r="AC8" s="13">
        <f>SUMIFS(TMR!$D$22:$D$5012,TMR!$A$22:$A$5012,TMR!$H8,TMR!$E$22:$E$5012,TMR!AC$2)</f>
        <v>0</v>
      </c>
      <c r="AD8" s="13">
        <f>SUMIFS(TMR!$D$22:$D$5012,TMR!$A$22:$A$5012,TMR!$H8,TMR!$E$22:$E$5012,TMR!AD$2)</f>
        <v>6345</v>
      </c>
      <c r="AE8" s="13">
        <f>SUMIFS(TMR!$D$22:$D$5012,TMR!$A$22:$A$5012,TMR!$H8,TMR!$E$22:$E$5012,TMR!AE$2)</f>
        <v>20338</v>
      </c>
      <c r="AF8" s="13">
        <f>SUMIFS(TMR!$D$22:$D$5012,TMR!$A$22:$A$5012,TMR!$H8,TMR!$E$22:$E$5012,TMR!AF$2)</f>
        <v>2402</v>
      </c>
      <c r="AG8" s="13">
        <f>SUMIFS(TMR!$D$22:$D$5012,TMR!$A$22:$A$5012,TMR!$H8,TMR!$E$22:$E$5012,TMR!AG$2)</f>
        <v>1726</v>
      </c>
      <c r="AH8" s="13">
        <f>SUMIFS(TMR!$D$22:$D$5012,TMR!$A$22:$A$5012,TMR!$H8,TMR!$E$22:$E$5012,TMR!AH$2)</f>
        <v>0</v>
      </c>
      <c r="AI8" s="13">
        <f>SUMIFS(TMR!$D$22:$D$5012,TMR!$A$22:$A$5012,TMR!$H8,TMR!$E$22:$E$5012,TMR!AI$2)</f>
        <v>0</v>
      </c>
      <c r="AJ8" s="13">
        <f>SUMIFS(TMR!$D$22:$D$5012,TMR!$A$22:$A$5012,TMR!$H8,TMR!$E$22:$E$5012,TMR!AJ$2)</f>
        <v>0</v>
      </c>
      <c r="AK8" s="14">
        <f>SUMIFS(TMR!$D$22:$D$5012,TMR!$A$22:$A$5012,TMR!$H8,TMR!$E$22:$E$5012,TMR!AK$2)</f>
        <v>0</v>
      </c>
      <c r="AL8" s="13">
        <f>SUMIFS(TMR!$D$22:$D$5012,TMR!$A$22:$A$5012,TMR!$H8,TMR!$E$22:$E$5012,TMR!AL$2)</f>
        <v>0</v>
      </c>
      <c r="AM8" s="13">
        <f>SUMIFS(TMR!$D$22:$D$5012,TMR!$A$22:$A$5012,TMR!$H8,TMR!$E$22:$E$5012,TMR!AM$2)</f>
        <v>0</v>
      </c>
      <c r="AN8" s="14">
        <f>SUMIFS(TMR!$D$22:$D$5012,TMR!$A$22:$A$5012,TMR!$H8,TMR!$E$22:$E$5012,TMR!AN$2)</f>
        <v>0</v>
      </c>
    </row>
    <row r="9" spans="1:40" s="99" customFormat="1" x14ac:dyDescent="0.25">
      <c r="G9" s="52">
        <f t="shared" si="0"/>
        <v>240305</v>
      </c>
      <c r="H9" s="11">
        <v>201507</v>
      </c>
      <c r="I9" s="12">
        <f>SUMIFS(TMR!$C$22:$C$5012,TMR!$A$22:$A$5012,TMR!$H9,TMR!$E$22:$E$5012,TMR!I$2)</f>
        <v>41657</v>
      </c>
      <c r="J9" s="13">
        <f>SUMIFS(TMR!$C$22:$C$5012,TMR!$A$22:$A$5012,TMR!$H9,TMR!$E$22:$E$5012,TMR!J$2)</f>
        <v>55735</v>
      </c>
      <c r="K9" s="13">
        <f>SUMIFS(TMR!$C$22:$C$5012,TMR!$A$22:$A$5012,TMR!$H9,TMR!$E$22:$E$5012,TMR!K$2)</f>
        <v>6584</v>
      </c>
      <c r="L9" s="13">
        <f>SUMIFS(TMR!$C$22:$C$5012,TMR!$A$22:$A$5012,TMR!$H9,TMR!$E$22:$E$5012,TMR!L$2)</f>
        <v>9206</v>
      </c>
      <c r="M9" s="13">
        <f>SUMIFS(TMR!$C$22:$C$5012,TMR!$A$22:$A$5012,TMR!$H9,TMR!$E$22:$E$5012,TMR!M$2)</f>
        <v>33633</v>
      </c>
      <c r="N9" s="13">
        <f>SUMIFS(TMR!$C$22:$C$5012,TMR!$A$22:$A$5012,TMR!$H9,TMR!$E$22:$E$5012,TMR!N$2)</f>
        <v>39906</v>
      </c>
      <c r="O9" s="13">
        <f>SUMIFS(TMR!$C$22:$C$5012,TMR!$A$22:$A$5012,TMR!$H9,TMR!$E$22:$E$5012,TMR!O$2)</f>
        <v>3829</v>
      </c>
      <c r="P9" s="13">
        <f>SUMIFS(TMR!$C$22:$C$5012,TMR!$A$22:$A$5012,TMR!$H9,TMR!$E$22:$E$5012,TMR!P$2)</f>
        <v>529</v>
      </c>
      <c r="Q9" s="13">
        <f>SUMIFS(TMR!$C$22:$C$5012,TMR!$A$22:$A$5012,TMR!$H9,TMR!$E$22:$E$5012,TMR!Q$2)</f>
        <v>18495</v>
      </c>
      <c r="R9" s="13">
        <f>SUMIFS(TMR!$C$22:$C$5012,TMR!$A$22:$A$5012,TMR!$H9,TMR!$E$22:$E$5012,TMR!R$2)</f>
        <v>10</v>
      </c>
      <c r="S9" s="13">
        <f>SUMIFS(TMR!$C$22:$C$5012,TMR!$A$22:$A$5012,TMR!$H9,TMR!$E$22:$E$5012,TMR!S$2)</f>
        <v>0</v>
      </c>
      <c r="T9" s="14">
        <f>SUMIFS(TMR!$C$22:$C$5012,TMR!$A$22:$A$5012,TMR!$H9,TMR!$E$22:$E$5012,TMR!T$2)</f>
        <v>0</v>
      </c>
      <c r="U9" s="13">
        <f>SUMIFS(TMR!$C$22:$C$5012,TMR!$A$22:$A$5012,TMR!$H9,TMR!$E$22:$E$5012,TMR!U$2)</f>
        <v>4205</v>
      </c>
      <c r="V9" s="13">
        <f>SUMIFS(TMR!$C$22:$C$5012,TMR!$A$22:$A$5012,TMR!$H9,TMR!$E$22:$E$5012,TMR!V$2)</f>
        <v>21094</v>
      </c>
      <c r="W9" s="14">
        <f>SUMIFS(TMR!$C$22:$C$5012,TMR!$A$22:$A$5012,TMR!$H9,TMR!$E$22:$E$5012,TMR!W$2)</f>
        <v>481</v>
      </c>
      <c r="Y9" s="11">
        <v>201607</v>
      </c>
      <c r="Z9" s="12">
        <f>SUMIFS(TMR!$D$22:$D$5012,TMR!$A$22:$A$5012,TMR!$H9,TMR!$E$22:$E$5012,TMR!Z$2)</f>
        <v>0</v>
      </c>
      <c r="AA9" s="13">
        <f>SUMIFS(TMR!$D$22:$D$5012,TMR!$A$22:$A$5012,TMR!$H9,TMR!$E$22:$E$5012,TMR!AA$2)</f>
        <v>0</v>
      </c>
      <c r="AB9" s="13">
        <f>SUMIFS(TMR!$D$22:$D$5012,TMR!$A$22:$A$5012,TMR!$H9,TMR!$E$22:$E$5012,TMR!AB$2)</f>
        <v>0</v>
      </c>
      <c r="AC9" s="13">
        <f>SUMIFS(TMR!$D$22:$D$5012,TMR!$A$22:$A$5012,TMR!$H9,TMR!$E$22:$E$5012,TMR!AC$2)</f>
        <v>0</v>
      </c>
      <c r="AD9" s="13">
        <f>SUMIFS(TMR!$D$22:$D$5012,TMR!$A$22:$A$5012,TMR!$H9,TMR!$E$22:$E$5012,TMR!AD$2)</f>
        <v>6376</v>
      </c>
      <c r="AE9" s="13">
        <f>SUMIFS(TMR!$D$22:$D$5012,TMR!$A$22:$A$5012,TMR!$H9,TMR!$E$22:$E$5012,TMR!AE$2)</f>
        <v>20229</v>
      </c>
      <c r="AF9" s="13">
        <f>SUMIFS(TMR!$D$22:$D$5012,TMR!$A$22:$A$5012,TMR!$H9,TMR!$E$22:$E$5012,TMR!AF$2)</f>
        <v>2388</v>
      </c>
      <c r="AG9" s="13">
        <f>SUMIFS(TMR!$D$22:$D$5012,TMR!$A$22:$A$5012,TMR!$H9,TMR!$E$22:$E$5012,TMR!AG$2)</f>
        <v>1728</v>
      </c>
      <c r="AH9" s="13">
        <f>SUMIFS(TMR!$D$22:$D$5012,TMR!$A$22:$A$5012,TMR!$H9,TMR!$E$22:$E$5012,TMR!AH$2)</f>
        <v>0</v>
      </c>
      <c r="AI9" s="13">
        <f>SUMIFS(TMR!$D$22:$D$5012,TMR!$A$22:$A$5012,TMR!$H9,TMR!$E$22:$E$5012,TMR!AI$2)</f>
        <v>0</v>
      </c>
      <c r="AJ9" s="13">
        <f>SUMIFS(TMR!$D$22:$D$5012,TMR!$A$22:$A$5012,TMR!$H9,TMR!$E$22:$E$5012,TMR!AJ$2)</f>
        <v>0</v>
      </c>
      <c r="AK9" s="14">
        <f>SUMIFS(TMR!$D$22:$D$5012,TMR!$A$22:$A$5012,TMR!$H9,TMR!$E$22:$E$5012,TMR!AK$2)</f>
        <v>0</v>
      </c>
      <c r="AL9" s="13">
        <f>SUMIFS(TMR!$D$22:$D$5012,TMR!$A$22:$A$5012,TMR!$H9,TMR!$E$22:$E$5012,TMR!AL$2)</f>
        <v>0</v>
      </c>
      <c r="AM9" s="13">
        <f>SUMIFS(TMR!$D$22:$D$5012,TMR!$A$22:$A$5012,TMR!$H9,TMR!$E$22:$E$5012,TMR!AM$2)</f>
        <v>0</v>
      </c>
      <c r="AN9" s="14">
        <f>SUMIFS(TMR!$D$22:$D$5012,TMR!$A$22:$A$5012,TMR!$H9,TMR!$E$22:$E$5012,TMR!AN$2)</f>
        <v>0</v>
      </c>
    </row>
    <row r="10" spans="1:40" s="99" customFormat="1" x14ac:dyDescent="0.25">
      <c r="G10" s="52">
        <f t="shared" si="0"/>
        <v>242010</v>
      </c>
      <c r="H10" s="11">
        <v>201508</v>
      </c>
      <c r="I10" s="12">
        <f>SUMIFS(TMR!$C$22:$C$5012,TMR!$A$22:$A$5012,TMR!$H10,TMR!$E$22:$E$5012,TMR!I$2)</f>
        <v>42431</v>
      </c>
      <c r="J10" s="13">
        <f>SUMIFS(TMR!$C$22:$C$5012,TMR!$A$22:$A$5012,TMR!$H10,TMR!$E$22:$E$5012,TMR!J$2)</f>
        <v>56439</v>
      </c>
      <c r="K10" s="13">
        <f>SUMIFS(TMR!$C$22:$C$5012,TMR!$A$22:$A$5012,TMR!$H10,TMR!$E$22:$E$5012,TMR!K$2)</f>
        <v>6584</v>
      </c>
      <c r="L10" s="13">
        <f>SUMIFS(TMR!$C$22:$C$5012,TMR!$A$22:$A$5012,TMR!$H10,TMR!$E$22:$E$5012,TMR!L$2)</f>
        <v>9210</v>
      </c>
      <c r="M10" s="13">
        <f>SUMIFS(TMR!$C$22:$C$5012,TMR!$A$22:$A$5012,TMR!$H10,TMR!$E$22:$E$5012,TMR!M$2)</f>
        <v>33676</v>
      </c>
      <c r="N10" s="13">
        <f>SUMIFS(TMR!$C$22:$C$5012,TMR!$A$22:$A$5012,TMR!$H10,TMR!$E$22:$E$5012,TMR!N$2)</f>
        <v>39925</v>
      </c>
      <c r="O10" s="13">
        <f>SUMIFS(TMR!$C$22:$C$5012,TMR!$A$22:$A$5012,TMR!$H10,TMR!$E$22:$E$5012,TMR!O$2)</f>
        <v>3834</v>
      </c>
      <c r="P10" s="13">
        <f>SUMIFS(TMR!$C$22:$C$5012,TMR!$A$22:$A$5012,TMR!$H10,TMR!$E$22:$E$5012,TMR!P$2)</f>
        <v>533</v>
      </c>
      <c r="Q10" s="13">
        <f>SUMIFS(TMR!$C$22:$C$5012,TMR!$A$22:$A$5012,TMR!$H10,TMR!$E$22:$E$5012,TMR!Q$2)</f>
        <v>18960</v>
      </c>
      <c r="R10" s="13">
        <f>SUMIFS(TMR!$C$22:$C$5012,TMR!$A$22:$A$5012,TMR!$H10,TMR!$E$22:$E$5012,TMR!R$2)</f>
        <v>10</v>
      </c>
      <c r="S10" s="13">
        <f>SUMIFS(TMR!$C$22:$C$5012,TMR!$A$22:$A$5012,TMR!$H10,TMR!$E$22:$E$5012,TMR!S$2)</f>
        <v>0</v>
      </c>
      <c r="T10" s="14">
        <f>SUMIFS(TMR!$C$22:$C$5012,TMR!$A$22:$A$5012,TMR!$H10,TMR!$E$22:$E$5012,TMR!T$2)</f>
        <v>0</v>
      </c>
      <c r="U10" s="13">
        <f>SUMIFS(TMR!$C$22:$C$5012,TMR!$A$22:$A$5012,TMR!$H10,TMR!$E$22:$E$5012,TMR!U$2)</f>
        <v>4250</v>
      </c>
      <c r="V10" s="13">
        <f>SUMIFS(TMR!$C$22:$C$5012,TMR!$A$22:$A$5012,TMR!$H10,TMR!$E$22:$E$5012,TMR!V$2)</f>
        <v>21197</v>
      </c>
      <c r="W10" s="14">
        <f>SUMIFS(TMR!$C$22:$C$5012,TMR!$A$22:$A$5012,TMR!$H10,TMR!$E$22:$E$5012,TMR!W$2)</f>
        <v>484</v>
      </c>
      <c r="Y10" s="11">
        <v>201608</v>
      </c>
      <c r="Z10" s="12">
        <f>SUMIFS(TMR!$D$22:$D$5012,TMR!$A$22:$A$5012,TMR!$H10,TMR!$E$22:$E$5012,TMR!Z$2)</f>
        <v>0</v>
      </c>
      <c r="AA10" s="13">
        <f>SUMIFS(TMR!$D$22:$D$5012,TMR!$A$22:$A$5012,TMR!$H10,TMR!$E$22:$E$5012,TMR!AA$2)</f>
        <v>0</v>
      </c>
      <c r="AB10" s="13">
        <f>SUMIFS(TMR!$D$22:$D$5012,TMR!$A$22:$A$5012,TMR!$H10,TMR!$E$22:$E$5012,TMR!AB$2)</f>
        <v>0</v>
      </c>
      <c r="AC10" s="13">
        <f>SUMIFS(TMR!$D$22:$D$5012,TMR!$A$22:$A$5012,TMR!$H10,TMR!$E$22:$E$5012,TMR!AC$2)</f>
        <v>0</v>
      </c>
      <c r="AD10" s="13">
        <f>SUMIFS(TMR!$D$22:$D$5012,TMR!$A$22:$A$5012,TMR!$H10,TMR!$E$22:$E$5012,TMR!AD$2)</f>
        <v>6337</v>
      </c>
      <c r="AE10" s="13">
        <f>SUMIFS(TMR!$D$22:$D$5012,TMR!$A$22:$A$5012,TMR!$H10,TMR!$E$22:$E$5012,TMR!AE$2)</f>
        <v>20007</v>
      </c>
      <c r="AF10" s="13">
        <f>SUMIFS(TMR!$D$22:$D$5012,TMR!$A$22:$A$5012,TMR!$H10,TMR!$E$22:$E$5012,TMR!AF$2)</f>
        <v>2339</v>
      </c>
      <c r="AG10" s="13">
        <f>SUMIFS(TMR!$D$22:$D$5012,TMR!$A$22:$A$5012,TMR!$H10,TMR!$E$22:$E$5012,TMR!AG$2)</f>
        <v>1725</v>
      </c>
      <c r="AH10" s="13">
        <f>SUMIFS(TMR!$D$22:$D$5012,TMR!$A$22:$A$5012,TMR!$H10,TMR!$E$22:$E$5012,TMR!AH$2)</f>
        <v>0</v>
      </c>
      <c r="AI10" s="13">
        <f>SUMIFS(TMR!$D$22:$D$5012,TMR!$A$22:$A$5012,TMR!$H10,TMR!$E$22:$E$5012,TMR!AI$2)</f>
        <v>0</v>
      </c>
      <c r="AJ10" s="13">
        <f>SUMIFS(TMR!$D$22:$D$5012,TMR!$A$22:$A$5012,TMR!$H10,TMR!$E$22:$E$5012,TMR!AJ$2)</f>
        <v>0</v>
      </c>
      <c r="AK10" s="14">
        <f>SUMIFS(TMR!$D$22:$D$5012,TMR!$A$22:$A$5012,TMR!$H10,TMR!$E$22:$E$5012,TMR!AK$2)</f>
        <v>0</v>
      </c>
      <c r="AL10" s="13">
        <f>SUMIFS(TMR!$D$22:$D$5012,TMR!$A$22:$A$5012,TMR!$H10,TMR!$E$22:$E$5012,TMR!AL$2)</f>
        <v>0</v>
      </c>
      <c r="AM10" s="13">
        <f>SUMIFS(TMR!$D$22:$D$5012,TMR!$A$22:$A$5012,TMR!$H10,TMR!$E$22:$E$5012,TMR!AM$2)</f>
        <v>0</v>
      </c>
      <c r="AN10" s="14">
        <f>SUMIFS(TMR!$D$22:$D$5012,TMR!$A$22:$A$5012,TMR!$H10,TMR!$E$22:$E$5012,TMR!AN$2)</f>
        <v>0</v>
      </c>
    </row>
    <row r="11" spans="1:40" s="99" customFormat="1" x14ac:dyDescent="0.25">
      <c r="G11" s="52">
        <f t="shared" si="0"/>
        <v>244809</v>
      </c>
      <c r="H11" s="11">
        <v>201509</v>
      </c>
      <c r="I11" s="12">
        <f>SUMIFS(TMR!$C$22:$C$5012,TMR!$A$22:$A$5012,TMR!$H11,TMR!$E$22:$E$5012,TMR!I$2)</f>
        <v>42699</v>
      </c>
      <c r="J11" s="13">
        <f>SUMIFS(TMR!$C$22:$C$5012,TMR!$A$22:$A$5012,TMR!$H11,TMR!$E$22:$E$5012,TMR!J$2)</f>
        <v>56569</v>
      </c>
      <c r="K11" s="13">
        <f>SUMIFS(TMR!$C$22:$C$5012,TMR!$A$22:$A$5012,TMR!$H11,TMR!$E$22:$E$5012,TMR!K$2)</f>
        <v>6555</v>
      </c>
      <c r="L11" s="13">
        <f>SUMIFS(TMR!$C$22:$C$5012,TMR!$A$22:$A$5012,TMR!$H11,TMR!$E$22:$E$5012,TMR!L$2)</f>
        <v>9633</v>
      </c>
      <c r="M11" s="13">
        <f>SUMIFS(TMR!$C$22:$C$5012,TMR!$A$22:$A$5012,TMR!$H11,TMR!$E$22:$E$5012,TMR!M$2)</f>
        <v>34573</v>
      </c>
      <c r="N11" s="13">
        <f>SUMIFS(TMR!$C$22:$C$5012,TMR!$A$22:$A$5012,TMR!$H11,TMR!$E$22:$E$5012,TMR!N$2)</f>
        <v>39835</v>
      </c>
      <c r="O11" s="13">
        <f>SUMIFS(TMR!$C$22:$C$5012,TMR!$A$22:$A$5012,TMR!$H11,TMR!$E$22:$E$5012,TMR!O$2)</f>
        <v>4175</v>
      </c>
      <c r="P11" s="13">
        <f>SUMIFS(TMR!$C$22:$C$5012,TMR!$A$22:$A$5012,TMR!$H11,TMR!$E$22:$E$5012,TMR!P$2)</f>
        <v>537</v>
      </c>
      <c r="Q11" s="13">
        <f>SUMIFS(TMR!$C$22:$C$5012,TMR!$A$22:$A$5012,TMR!$H11,TMR!$E$22:$E$5012,TMR!Q$2)</f>
        <v>19855</v>
      </c>
      <c r="R11" s="13">
        <f>SUMIFS(TMR!$C$22:$C$5012,TMR!$A$22:$A$5012,TMR!$H11,TMR!$E$22:$E$5012,TMR!R$2)</f>
        <v>9</v>
      </c>
      <c r="S11" s="13">
        <f>SUMIFS(TMR!$C$22:$C$5012,TMR!$A$22:$A$5012,TMR!$H11,TMR!$E$22:$E$5012,TMR!S$2)</f>
        <v>0</v>
      </c>
      <c r="T11" s="14">
        <f>SUMIFS(TMR!$C$22:$C$5012,TMR!$A$22:$A$5012,TMR!$H11,TMR!$E$22:$E$5012,TMR!T$2)</f>
        <v>0</v>
      </c>
      <c r="U11" s="13">
        <f>SUMIFS(TMR!$C$22:$C$5012,TMR!$A$22:$A$5012,TMR!$H11,TMR!$E$22:$E$5012,TMR!U$2)</f>
        <v>4281</v>
      </c>
      <c r="V11" s="13">
        <f>SUMIFS(TMR!$C$22:$C$5012,TMR!$A$22:$A$5012,TMR!$H11,TMR!$E$22:$E$5012,TMR!V$2)</f>
        <v>21295</v>
      </c>
      <c r="W11" s="14">
        <f>SUMIFS(TMR!$C$22:$C$5012,TMR!$A$22:$A$5012,TMR!$H11,TMR!$E$22:$E$5012,TMR!W$2)</f>
        <v>483</v>
      </c>
      <c r="Y11" s="11">
        <v>201609</v>
      </c>
      <c r="Z11" s="12">
        <f>SUMIFS(TMR!$D$22:$D$5012,TMR!$A$22:$A$5012,TMR!$H11,TMR!$E$22:$E$5012,TMR!Z$2)</f>
        <v>0</v>
      </c>
      <c r="AA11" s="13">
        <f>SUMIFS(TMR!$D$22:$D$5012,TMR!$A$22:$A$5012,TMR!$H11,TMR!$E$22:$E$5012,TMR!AA$2)</f>
        <v>0</v>
      </c>
      <c r="AB11" s="13">
        <f>SUMIFS(TMR!$D$22:$D$5012,TMR!$A$22:$A$5012,TMR!$H11,TMR!$E$22:$E$5012,TMR!AB$2)</f>
        <v>0</v>
      </c>
      <c r="AC11" s="13">
        <f>SUMIFS(TMR!$D$22:$D$5012,TMR!$A$22:$A$5012,TMR!$H11,TMR!$E$22:$E$5012,TMR!AC$2)</f>
        <v>0</v>
      </c>
      <c r="AD11" s="13">
        <f>SUMIFS(TMR!$D$22:$D$5012,TMR!$A$22:$A$5012,TMR!$H11,TMR!$E$22:$E$5012,TMR!AD$2)</f>
        <v>6295</v>
      </c>
      <c r="AE11" s="13">
        <f>SUMIFS(TMR!$D$22:$D$5012,TMR!$A$22:$A$5012,TMR!$H11,TMR!$E$22:$E$5012,TMR!AE$2)</f>
        <v>19978</v>
      </c>
      <c r="AF11" s="13">
        <f>SUMIFS(TMR!$D$22:$D$5012,TMR!$A$22:$A$5012,TMR!$H11,TMR!$E$22:$E$5012,TMR!AF$2)</f>
        <v>2354</v>
      </c>
      <c r="AG11" s="13">
        <f>SUMIFS(TMR!$D$22:$D$5012,TMR!$A$22:$A$5012,TMR!$H11,TMR!$E$22:$E$5012,TMR!AG$2)</f>
        <v>1742</v>
      </c>
      <c r="AH11" s="13">
        <f>SUMIFS(TMR!$D$22:$D$5012,TMR!$A$22:$A$5012,TMR!$H11,TMR!$E$22:$E$5012,TMR!AH$2)</f>
        <v>0</v>
      </c>
      <c r="AI11" s="13">
        <f>SUMIFS(TMR!$D$22:$D$5012,TMR!$A$22:$A$5012,TMR!$H11,TMR!$E$22:$E$5012,TMR!AI$2)</f>
        <v>0</v>
      </c>
      <c r="AJ11" s="13">
        <f>SUMIFS(TMR!$D$22:$D$5012,TMR!$A$22:$A$5012,TMR!$H11,TMR!$E$22:$E$5012,TMR!AJ$2)</f>
        <v>0</v>
      </c>
      <c r="AK11" s="14">
        <f>SUMIFS(TMR!$D$22:$D$5012,TMR!$A$22:$A$5012,TMR!$H11,TMR!$E$22:$E$5012,TMR!AK$2)</f>
        <v>0</v>
      </c>
      <c r="AL11" s="13">
        <f>SUMIFS(TMR!$D$22:$D$5012,TMR!$A$22:$A$5012,TMR!$H11,TMR!$E$22:$E$5012,TMR!AL$2)</f>
        <v>0</v>
      </c>
      <c r="AM11" s="13">
        <f>SUMIFS(TMR!$D$22:$D$5012,TMR!$A$22:$A$5012,TMR!$H11,TMR!$E$22:$E$5012,TMR!AM$2)</f>
        <v>0</v>
      </c>
      <c r="AN11" s="14">
        <f>SUMIFS(TMR!$D$22:$D$5012,TMR!$A$22:$A$5012,TMR!$H11,TMR!$E$22:$E$5012,TMR!AN$2)</f>
        <v>0</v>
      </c>
    </row>
    <row r="12" spans="1:40" s="99" customFormat="1" x14ac:dyDescent="0.25">
      <c r="G12" s="52">
        <f t="shared" si="0"/>
        <v>244657</v>
      </c>
      <c r="H12" s="11">
        <v>201510</v>
      </c>
      <c r="I12" s="12">
        <f>SUMIFS(TMR!$C$22:$C$5012,TMR!$A$22:$A$5012,TMR!$H12,TMR!$E$22:$E$5012,TMR!I$2)</f>
        <v>44031</v>
      </c>
      <c r="J12" s="13">
        <f>SUMIFS(TMR!$C$22:$C$5012,TMR!$A$22:$A$5012,TMR!$H12,TMR!$E$22:$E$5012,TMR!J$2)</f>
        <v>56716</v>
      </c>
      <c r="K12" s="13">
        <f>SUMIFS(TMR!$C$22:$C$5012,TMR!$A$22:$A$5012,TMR!$H12,TMR!$E$22:$E$5012,TMR!K$2)</f>
        <v>6706</v>
      </c>
      <c r="L12" s="13">
        <f>SUMIFS(TMR!$C$22:$C$5012,TMR!$A$22:$A$5012,TMR!$H12,TMR!$E$22:$E$5012,TMR!L$2)</f>
        <v>8929</v>
      </c>
      <c r="M12" s="13">
        <f>SUMIFS(TMR!$C$22:$C$5012,TMR!$A$22:$A$5012,TMR!$H12,TMR!$E$22:$E$5012,TMR!M$2)</f>
        <v>33647</v>
      </c>
      <c r="N12" s="13">
        <f>SUMIFS(TMR!$C$22:$C$5012,TMR!$A$22:$A$5012,TMR!$H12,TMR!$E$22:$E$5012,TMR!N$2)</f>
        <v>39828</v>
      </c>
      <c r="O12" s="13">
        <f>SUMIFS(TMR!$C$22:$C$5012,TMR!$A$22:$A$5012,TMR!$H12,TMR!$E$22:$E$5012,TMR!O$2)</f>
        <v>3914</v>
      </c>
      <c r="P12" s="13">
        <f>SUMIFS(TMR!$C$22:$C$5012,TMR!$A$22:$A$5012,TMR!$H12,TMR!$E$22:$E$5012,TMR!P$2)</f>
        <v>549</v>
      </c>
      <c r="Q12" s="13">
        <f>SUMIFS(TMR!$C$22:$C$5012,TMR!$A$22:$A$5012,TMR!$H12,TMR!$E$22:$E$5012,TMR!Q$2)</f>
        <v>20185</v>
      </c>
      <c r="R12" s="13">
        <f>SUMIFS(TMR!$C$22:$C$5012,TMR!$A$22:$A$5012,TMR!$H12,TMR!$E$22:$E$5012,TMR!R$2)</f>
        <v>9</v>
      </c>
      <c r="S12" s="13">
        <f>SUMIFS(TMR!$C$22:$C$5012,TMR!$A$22:$A$5012,TMR!$H12,TMR!$E$22:$E$5012,TMR!S$2)</f>
        <v>0</v>
      </c>
      <c r="T12" s="14">
        <f>SUMIFS(TMR!$C$22:$C$5012,TMR!$A$22:$A$5012,TMR!$H12,TMR!$E$22:$E$5012,TMR!T$2)</f>
        <v>0</v>
      </c>
      <c r="U12" s="13">
        <f>SUMIFS(TMR!$C$22:$C$5012,TMR!$A$22:$A$5012,TMR!$H12,TMR!$E$22:$E$5012,TMR!U$2)</f>
        <v>4278</v>
      </c>
      <c r="V12" s="13">
        <f>SUMIFS(TMR!$C$22:$C$5012,TMR!$A$22:$A$5012,TMR!$H12,TMR!$E$22:$E$5012,TMR!V$2)</f>
        <v>22831</v>
      </c>
      <c r="W12" s="14">
        <f>SUMIFS(TMR!$C$22:$C$5012,TMR!$A$22:$A$5012,TMR!$H12,TMR!$E$22:$E$5012,TMR!W$2)</f>
        <v>506</v>
      </c>
      <c r="Y12" s="11">
        <v>201610</v>
      </c>
      <c r="Z12" s="12">
        <f>SUMIFS(TMR!$D$22:$D$5012,TMR!$A$22:$A$5012,TMR!$H12,TMR!$E$22:$E$5012,TMR!Z$2)</f>
        <v>0</v>
      </c>
      <c r="AA12" s="13">
        <f>SUMIFS(TMR!$D$22:$D$5012,TMR!$A$22:$A$5012,TMR!$H12,TMR!$E$22:$E$5012,TMR!AA$2)</f>
        <v>0</v>
      </c>
      <c r="AB12" s="13">
        <f>SUMIFS(TMR!$D$22:$D$5012,TMR!$A$22:$A$5012,TMR!$H12,TMR!$E$22:$E$5012,TMR!AB$2)</f>
        <v>0</v>
      </c>
      <c r="AC12" s="13">
        <f>SUMIFS(TMR!$D$22:$D$5012,TMR!$A$22:$A$5012,TMR!$H12,TMR!$E$22:$E$5012,TMR!AC$2)</f>
        <v>0</v>
      </c>
      <c r="AD12" s="13">
        <f>SUMIFS(TMR!$D$22:$D$5012,TMR!$A$22:$A$5012,TMR!$H12,TMR!$E$22:$E$5012,TMR!AD$2)</f>
        <v>6241</v>
      </c>
      <c r="AE12" s="13">
        <f>SUMIFS(TMR!$D$22:$D$5012,TMR!$A$22:$A$5012,TMR!$H12,TMR!$E$22:$E$5012,TMR!AE$2)</f>
        <v>19829</v>
      </c>
      <c r="AF12" s="13">
        <f>SUMIFS(TMR!$D$22:$D$5012,TMR!$A$22:$A$5012,TMR!$H12,TMR!$E$22:$E$5012,TMR!AF$2)</f>
        <v>2329</v>
      </c>
      <c r="AG12" s="13">
        <f>SUMIFS(TMR!$D$22:$D$5012,TMR!$A$22:$A$5012,TMR!$H12,TMR!$E$22:$E$5012,TMR!AG$2)</f>
        <v>1744</v>
      </c>
      <c r="AH12" s="13">
        <f>SUMIFS(TMR!$D$22:$D$5012,TMR!$A$22:$A$5012,TMR!$H12,TMR!$E$22:$E$5012,TMR!AH$2)</f>
        <v>0</v>
      </c>
      <c r="AI12" s="13">
        <f>SUMIFS(TMR!$D$22:$D$5012,TMR!$A$22:$A$5012,TMR!$H12,TMR!$E$22:$E$5012,TMR!AI$2)</f>
        <v>0</v>
      </c>
      <c r="AJ12" s="13">
        <f>SUMIFS(TMR!$D$22:$D$5012,TMR!$A$22:$A$5012,TMR!$H12,TMR!$E$22:$E$5012,TMR!AJ$2)</f>
        <v>0</v>
      </c>
      <c r="AK12" s="14">
        <f>SUMIFS(TMR!$D$22:$D$5012,TMR!$A$22:$A$5012,TMR!$H12,TMR!$E$22:$E$5012,TMR!AK$2)</f>
        <v>0</v>
      </c>
      <c r="AL12" s="13">
        <f>SUMIFS(TMR!$D$22:$D$5012,TMR!$A$22:$A$5012,TMR!$H12,TMR!$E$22:$E$5012,TMR!AL$2)</f>
        <v>0</v>
      </c>
      <c r="AM12" s="13">
        <f>SUMIFS(TMR!$D$22:$D$5012,TMR!$A$22:$A$5012,TMR!$H12,TMR!$E$22:$E$5012,TMR!AM$2)</f>
        <v>0</v>
      </c>
      <c r="AN12" s="14">
        <f>SUMIFS(TMR!$D$22:$D$5012,TMR!$A$22:$A$5012,TMR!$H12,TMR!$E$22:$E$5012,TMR!AN$2)</f>
        <v>0</v>
      </c>
    </row>
    <row r="13" spans="1:40" s="99" customFormat="1" x14ac:dyDescent="0.25">
      <c r="G13" s="52">
        <f t="shared" si="0"/>
        <v>241682</v>
      </c>
      <c r="H13" s="11">
        <v>201511</v>
      </c>
      <c r="I13" s="12">
        <f>SUMIFS(TMR!$C$22:$C$5012,TMR!$A$22:$A$5012,TMR!$H13,TMR!$E$22:$E$5012,TMR!I$2)</f>
        <v>43028</v>
      </c>
      <c r="J13" s="13">
        <f>SUMIFS(TMR!$C$22:$C$5012,TMR!$A$22:$A$5012,TMR!$H13,TMR!$E$22:$E$5012,TMR!J$2)</f>
        <v>55954</v>
      </c>
      <c r="K13" s="13">
        <f>SUMIFS(TMR!$C$22:$C$5012,TMR!$A$22:$A$5012,TMR!$H13,TMR!$E$22:$E$5012,TMR!K$2)</f>
        <v>6673</v>
      </c>
      <c r="L13" s="13">
        <f>SUMIFS(TMR!$C$22:$C$5012,TMR!$A$22:$A$5012,TMR!$H13,TMR!$E$22:$E$5012,TMR!L$2)</f>
        <v>8889</v>
      </c>
      <c r="M13" s="13">
        <f>SUMIFS(TMR!$C$22:$C$5012,TMR!$A$22:$A$5012,TMR!$H13,TMR!$E$22:$E$5012,TMR!M$2)</f>
        <v>33436</v>
      </c>
      <c r="N13" s="13">
        <f>SUMIFS(TMR!$C$22:$C$5012,TMR!$A$22:$A$5012,TMR!$H13,TMR!$E$22:$E$5012,TMR!N$2)</f>
        <v>39545</v>
      </c>
      <c r="O13" s="13">
        <f>SUMIFS(TMR!$C$22:$C$5012,TMR!$A$22:$A$5012,TMR!$H13,TMR!$E$22:$E$5012,TMR!O$2)</f>
        <v>3925</v>
      </c>
      <c r="P13" s="13">
        <f>SUMIFS(TMR!$C$22:$C$5012,TMR!$A$22:$A$5012,TMR!$H13,TMR!$E$22:$E$5012,TMR!P$2)</f>
        <v>560</v>
      </c>
      <c r="Q13" s="13">
        <f>SUMIFS(TMR!$C$22:$C$5012,TMR!$A$22:$A$5012,TMR!$H13,TMR!$E$22:$E$5012,TMR!Q$2)</f>
        <v>19639</v>
      </c>
      <c r="R13" s="13">
        <f>SUMIFS(TMR!$C$22:$C$5012,TMR!$A$22:$A$5012,TMR!$H13,TMR!$E$22:$E$5012,TMR!R$2)</f>
        <v>9</v>
      </c>
      <c r="S13" s="13">
        <f>SUMIFS(TMR!$C$22:$C$5012,TMR!$A$22:$A$5012,TMR!$H13,TMR!$E$22:$E$5012,TMR!S$2)</f>
        <v>0</v>
      </c>
      <c r="T13" s="14">
        <f>SUMIFS(TMR!$C$22:$C$5012,TMR!$A$22:$A$5012,TMR!$H13,TMR!$E$22:$E$5012,TMR!T$2)</f>
        <v>0</v>
      </c>
      <c r="U13" s="13">
        <f>SUMIFS(TMR!$C$22:$C$5012,TMR!$A$22:$A$5012,TMR!$H13,TMR!$E$22:$E$5012,TMR!U$2)</f>
        <v>4288</v>
      </c>
      <c r="V13" s="13">
        <f>SUMIFS(TMR!$C$22:$C$5012,TMR!$A$22:$A$5012,TMR!$H13,TMR!$E$22:$E$5012,TMR!V$2)</f>
        <v>22837</v>
      </c>
      <c r="W13" s="14">
        <f>SUMIFS(TMR!$C$22:$C$5012,TMR!$A$22:$A$5012,TMR!$H13,TMR!$E$22:$E$5012,TMR!W$2)</f>
        <v>510</v>
      </c>
      <c r="Y13" s="11">
        <v>201611</v>
      </c>
      <c r="Z13" s="12">
        <f>SUMIFS(TMR!$D$22:$D$5012,TMR!$A$22:$A$5012,TMR!$H13,TMR!$E$22:$E$5012,TMR!Z$2)</f>
        <v>0</v>
      </c>
      <c r="AA13" s="13">
        <f>SUMIFS(TMR!$D$22:$D$5012,TMR!$A$22:$A$5012,TMR!$H13,TMR!$E$22:$E$5012,TMR!AA$2)</f>
        <v>0</v>
      </c>
      <c r="AB13" s="13">
        <f>SUMIFS(TMR!$D$22:$D$5012,TMR!$A$22:$A$5012,TMR!$H13,TMR!$E$22:$E$5012,TMR!AB$2)</f>
        <v>0</v>
      </c>
      <c r="AC13" s="13">
        <f>SUMIFS(TMR!$D$22:$D$5012,TMR!$A$22:$A$5012,TMR!$H13,TMR!$E$22:$E$5012,TMR!AC$2)</f>
        <v>0</v>
      </c>
      <c r="AD13" s="13">
        <f>SUMIFS(TMR!$D$22:$D$5012,TMR!$A$22:$A$5012,TMR!$H13,TMR!$E$22:$E$5012,TMR!AD$2)</f>
        <v>6215</v>
      </c>
      <c r="AE13" s="13">
        <f>SUMIFS(TMR!$D$22:$D$5012,TMR!$A$22:$A$5012,TMR!$H13,TMR!$E$22:$E$5012,TMR!AE$2)</f>
        <v>19720</v>
      </c>
      <c r="AF13" s="13">
        <f>SUMIFS(TMR!$D$22:$D$5012,TMR!$A$22:$A$5012,TMR!$H13,TMR!$E$22:$E$5012,TMR!AF$2)</f>
        <v>2327</v>
      </c>
      <c r="AG13" s="13">
        <f>SUMIFS(TMR!$D$22:$D$5012,TMR!$A$22:$A$5012,TMR!$H13,TMR!$E$22:$E$5012,TMR!AG$2)</f>
        <v>1762</v>
      </c>
      <c r="AH13" s="13">
        <f>SUMIFS(TMR!$D$22:$D$5012,TMR!$A$22:$A$5012,TMR!$H13,TMR!$E$22:$E$5012,TMR!AH$2)</f>
        <v>0</v>
      </c>
      <c r="AI13" s="13">
        <f>SUMIFS(TMR!$D$22:$D$5012,TMR!$A$22:$A$5012,TMR!$H13,TMR!$E$22:$E$5012,TMR!AI$2)</f>
        <v>0</v>
      </c>
      <c r="AJ13" s="13">
        <f>SUMIFS(TMR!$D$22:$D$5012,TMR!$A$22:$A$5012,TMR!$H13,TMR!$E$22:$E$5012,TMR!AJ$2)</f>
        <v>0</v>
      </c>
      <c r="AK13" s="14">
        <f>SUMIFS(TMR!$D$22:$D$5012,TMR!$A$22:$A$5012,TMR!$H13,TMR!$E$22:$E$5012,TMR!AK$2)</f>
        <v>0</v>
      </c>
      <c r="AL13" s="13">
        <f>SUMIFS(TMR!$D$22:$D$5012,TMR!$A$22:$A$5012,TMR!$H13,TMR!$E$22:$E$5012,TMR!AL$2)</f>
        <v>0</v>
      </c>
      <c r="AM13" s="13">
        <f>SUMIFS(TMR!$D$22:$D$5012,TMR!$A$22:$A$5012,TMR!$H13,TMR!$E$22:$E$5012,TMR!AM$2)</f>
        <v>0</v>
      </c>
      <c r="AN13" s="14">
        <f>SUMIFS(TMR!$D$22:$D$5012,TMR!$A$22:$A$5012,TMR!$H13,TMR!$E$22:$E$5012,TMR!AN$2)</f>
        <v>0</v>
      </c>
    </row>
    <row r="14" spans="1:40" s="99" customFormat="1" x14ac:dyDescent="0.25">
      <c r="G14" s="52">
        <f t="shared" si="0"/>
        <v>242453</v>
      </c>
      <c r="H14" s="11">
        <v>201512</v>
      </c>
      <c r="I14" s="12">
        <f>SUMIFS(TMR!$C$22:$C$5012,TMR!$A$22:$A$5012,TMR!$H14,TMR!$E$22:$E$5012,TMR!I$2)</f>
        <v>43279</v>
      </c>
      <c r="J14" s="13">
        <f>SUMIFS(TMR!$C$22:$C$5012,TMR!$A$22:$A$5012,TMR!$H14,TMR!$E$22:$E$5012,TMR!J$2)</f>
        <v>55924</v>
      </c>
      <c r="K14" s="13">
        <f>SUMIFS(TMR!$C$22:$C$5012,TMR!$A$22:$A$5012,TMR!$H14,TMR!$E$22:$E$5012,TMR!K$2)</f>
        <v>6646</v>
      </c>
      <c r="L14" s="13">
        <f>SUMIFS(TMR!$C$22:$C$5012,TMR!$A$22:$A$5012,TMR!$H14,TMR!$E$22:$E$5012,TMR!L$2)</f>
        <v>8915</v>
      </c>
      <c r="M14" s="13">
        <f>SUMIFS(TMR!$C$22:$C$5012,TMR!$A$22:$A$5012,TMR!$H14,TMR!$E$22:$E$5012,TMR!M$2)</f>
        <v>33358</v>
      </c>
      <c r="N14" s="13">
        <f>SUMIFS(TMR!$C$22:$C$5012,TMR!$A$22:$A$5012,TMR!$H14,TMR!$E$22:$E$5012,TMR!N$2)</f>
        <v>39336</v>
      </c>
      <c r="O14" s="13">
        <f>SUMIFS(TMR!$C$22:$C$5012,TMR!$A$22:$A$5012,TMR!$H14,TMR!$E$22:$E$5012,TMR!O$2)</f>
        <v>3934</v>
      </c>
      <c r="P14" s="13">
        <f>SUMIFS(TMR!$C$22:$C$5012,TMR!$A$22:$A$5012,TMR!$H14,TMR!$E$22:$E$5012,TMR!P$2)</f>
        <v>572</v>
      </c>
      <c r="Q14" s="13">
        <f>SUMIFS(TMR!$C$22:$C$5012,TMR!$A$22:$A$5012,TMR!$H14,TMR!$E$22:$E$5012,TMR!Q$2)</f>
        <v>20515</v>
      </c>
      <c r="R14" s="13">
        <f>SUMIFS(TMR!$C$22:$C$5012,TMR!$A$22:$A$5012,TMR!$H14,TMR!$E$22:$E$5012,TMR!R$2)</f>
        <v>9</v>
      </c>
      <c r="S14" s="13">
        <f>SUMIFS(TMR!$C$22:$C$5012,TMR!$A$22:$A$5012,TMR!$H14,TMR!$E$22:$E$5012,TMR!S$2)</f>
        <v>1</v>
      </c>
      <c r="T14" s="14">
        <f>SUMIFS(TMR!$C$22:$C$5012,TMR!$A$22:$A$5012,TMR!$H14,TMR!$E$22:$E$5012,TMR!T$2)</f>
        <v>0</v>
      </c>
      <c r="U14" s="13">
        <f>SUMIFS(TMR!$C$22:$C$5012,TMR!$A$22:$A$5012,TMR!$H14,TMR!$E$22:$E$5012,TMR!U$2)</f>
        <v>4324</v>
      </c>
      <c r="V14" s="13">
        <f>SUMIFS(TMR!$C$22:$C$5012,TMR!$A$22:$A$5012,TMR!$H14,TMR!$E$22:$E$5012,TMR!V$2)</f>
        <v>22925</v>
      </c>
      <c r="W14" s="14">
        <f>SUMIFS(TMR!$C$22:$C$5012,TMR!$A$22:$A$5012,TMR!$H14,TMR!$E$22:$E$5012,TMR!W$2)</f>
        <v>513</v>
      </c>
      <c r="Y14" s="11">
        <v>201612</v>
      </c>
      <c r="Z14" s="12">
        <f>SUMIFS(TMR!$D$22:$D$5012,TMR!$A$22:$A$5012,TMR!$H14,TMR!$E$22:$E$5012,TMR!Z$2)</f>
        <v>0</v>
      </c>
      <c r="AA14" s="13">
        <f>SUMIFS(TMR!$D$22:$D$5012,TMR!$A$22:$A$5012,TMR!$H14,TMR!$E$22:$E$5012,TMR!AA$2)</f>
        <v>0</v>
      </c>
      <c r="AB14" s="13">
        <f>SUMIFS(TMR!$D$22:$D$5012,TMR!$A$22:$A$5012,TMR!$H14,TMR!$E$22:$E$5012,TMR!AB$2)</f>
        <v>0</v>
      </c>
      <c r="AC14" s="13">
        <f>SUMIFS(TMR!$D$22:$D$5012,TMR!$A$22:$A$5012,TMR!$H14,TMR!$E$22:$E$5012,TMR!AC$2)</f>
        <v>0</v>
      </c>
      <c r="AD14" s="13">
        <f>SUMIFS(TMR!$D$22:$D$5012,TMR!$A$22:$A$5012,TMR!$H14,TMR!$E$22:$E$5012,TMR!AD$2)</f>
        <v>6195</v>
      </c>
      <c r="AE14" s="13">
        <f>SUMIFS(TMR!$D$22:$D$5012,TMR!$A$22:$A$5012,TMR!$H14,TMR!$E$22:$E$5012,TMR!AE$2)</f>
        <v>19655</v>
      </c>
      <c r="AF14" s="13">
        <f>SUMIFS(TMR!$D$22:$D$5012,TMR!$A$22:$A$5012,TMR!$H14,TMR!$E$22:$E$5012,TMR!AF$2)</f>
        <v>2334</v>
      </c>
      <c r="AG14" s="13">
        <f>SUMIFS(TMR!$D$22:$D$5012,TMR!$A$22:$A$5012,TMR!$H14,TMR!$E$22:$E$5012,TMR!AG$2)</f>
        <v>1780</v>
      </c>
      <c r="AH14" s="13">
        <f>SUMIFS(TMR!$D$22:$D$5012,TMR!$A$22:$A$5012,TMR!$H14,TMR!$E$22:$E$5012,TMR!AH$2)</f>
        <v>0</v>
      </c>
      <c r="AI14" s="13">
        <f>SUMIFS(TMR!$D$22:$D$5012,TMR!$A$22:$A$5012,TMR!$H14,TMR!$E$22:$E$5012,TMR!AI$2)</f>
        <v>0</v>
      </c>
      <c r="AJ14" s="13">
        <f>SUMIFS(TMR!$D$22:$D$5012,TMR!$A$22:$A$5012,TMR!$H14,TMR!$E$22:$E$5012,TMR!AJ$2)</f>
        <v>0</v>
      </c>
      <c r="AK14" s="14">
        <f>SUMIFS(TMR!$D$22:$D$5012,TMR!$A$22:$A$5012,TMR!$H14,TMR!$E$22:$E$5012,TMR!AK$2)</f>
        <v>0</v>
      </c>
      <c r="AL14" s="13">
        <f>SUMIFS(TMR!$D$22:$D$5012,TMR!$A$22:$A$5012,TMR!$H14,TMR!$E$22:$E$5012,TMR!AL$2)</f>
        <v>0</v>
      </c>
      <c r="AM14" s="13">
        <f>SUMIFS(TMR!$D$22:$D$5012,TMR!$A$22:$A$5012,TMR!$H14,TMR!$E$22:$E$5012,TMR!AM$2)</f>
        <v>0</v>
      </c>
      <c r="AN14" s="14">
        <f>SUMIFS(TMR!$D$22:$D$5012,TMR!$A$22:$A$5012,TMR!$H14,TMR!$E$22:$E$5012,TMR!AN$2)</f>
        <v>0</v>
      </c>
    </row>
    <row r="15" spans="1:40" x14ac:dyDescent="0.25">
      <c r="G15" s="52">
        <f>SUM(I15:T15)+SUM(Z15:AK15)</f>
        <v>212132</v>
      </c>
      <c r="H15" s="11">
        <v>201601</v>
      </c>
      <c r="I15" s="52">
        <f>SUMIFS(TMR!$C$22:$C$5012,TMR!$A$22:$A$5012,TMR!$H15,TMR!$E$22:$E$5012,TMR!I$2)</f>
        <v>43383</v>
      </c>
      <c r="J15" s="53">
        <f>SUMIFS(TMR!$C$22:$C$5012,TMR!$A$22:$A$5012,TMR!$H15,TMR!$E$22:$E$5012,TMR!J$2)</f>
        <v>56750</v>
      </c>
      <c r="K15" s="53">
        <f>SUMIFS(TMR!$C$22:$C$5012,TMR!$A$22:$A$5012,TMR!$H15,TMR!$E$22:$E$5012,TMR!K$2)</f>
        <v>5923</v>
      </c>
      <c r="L15" s="53">
        <f>SUMIFS(TMR!$C$22:$C$5012,TMR!$A$22:$A$5012,TMR!$H15,TMR!$E$22:$E$5012,TMR!L$2)</f>
        <v>8715</v>
      </c>
      <c r="M15" s="53">
        <f>SUMIFS(TMR!$C$22:$C$5012,TMR!$A$22:$A$5012,TMR!$H15,TMR!$E$22:$E$5012,TMR!M$2)</f>
        <v>32694</v>
      </c>
      <c r="N15" s="53">
        <f>SUMIFS(TMR!$C$22:$C$5012,TMR!$A$22:$A$5012,TMR!$H15,TMR!$E$22:$E$5012,TMR!N$2)</f>
        <v>26182</v>
      </c>
      <c r="O15" s="53">
        <f>SUMIFS(TMR!$C$22:$C$5012,TMR!$A$22:$A$5012,TMR!$H15,TMR!$E$22:$E$5012,TMR!O$2)</f>
        <v>0</v>
      </c>
      <c r="P15" s="53">
        <f>SUMIFS(TMR!$C$22:$C$5012,TMR!$A$22:$A$5012,TMR!$H15,TMR!$E$22:$E$5012,TMR!P$2)</f>
        <v>0</v>
      </c>
      <c r="Q15" s="53">
        <f>SUMIFS(TMR!$C$22:$C$5012,TMR!$A$22:$A$5012,TMR!$H15,TMR!$E$22:$E$5012,TMR!Q$2)</f>
        <v>20872</v>
      </c>
      <c r="R15" s="53">
        <f>SUMIFS(TMR!$C$22:$C$5012,TMR!$A$22:$A$5012,TMR!$H15,TMR!$E$22:$E$5012,TMR!R$2)</f>
        <v>0</v>
      </c>
      <c r="S15" s="53">
        <f>SUMIFS(TMR!$C$22:$C$5012,TMR!$A$22:$A$5012,TMR!$H15,TMR!$E$22:$E$5012,TMR!S$2)</f>
        <v>1</v>
      </c>
      <c r="T15" s="54">
        <f>SUMIFS(TMR!$C$22:$C$5012,TMR!$A$22:$A$5012,TMR!$H15,TMR!$E$22:$E$5012,TMR!T$2)</f>
        <v>0</v>
      </c>
      <c r="U15" s="53">
        <f>SUMIFS(TMR!$C$22:$C$5012,TMR!$A$22:$A$5012,TMR!$H15,TMR!$E$22:$E$5012,TMR!U$2)</f>
        <v>0</v>
      </c>
      <c r="V15" s="53">
        <f>SUMIFS(TMR!$C$22:$C$5012,TMR!$A$22:$A$5012,TMR!$H15,TMR!$E$22:$E$5012,TMR!V$2)</f>
        <v>31679</v>
      </c>
      <c r="W15" s="54">
        <f>SUMIFS(TMR!$C$22:$C$5012,TMR!$A$22:$A$5012,TMR!$H15,TMR!$E$22:$E$5012,TMR!W$2)</f>
        <v>1146</v>
      </c>
      <c r="Y15" s="11">
        <v>201601</v>
      </c>
      <c r="Z15" s="52">
        <f>SUMIFS(TMR!$D$22:$D$5012,TMR!$A$22:$A$5012,TMR!$H15,TMR!$E$22:$E$5012,TMR!Z$2)</f>
        <v>0</v>
      </c>
      <c r="AA15" s="53">
        <f>SUMIFS(TMR!$D$22:$D$5012,TMR!$A$22:$A$5012,TMR!$H15,TMR!$E$22:$E$5012,TMR!AA$2)</f>
        <v>0</v>
      </c>
      <c r="AB15" s="53">
        <f>SUMIFS(TMR!$D$22:$D$5012,TMR!$A$22:$A$5012,TMR!$H15,TMR!$E$22:$E$5012,TMR!AB$2)</f>
        <v>0</v>
      </c>
      <c r="AC15" s="53">
        <f>SUMIFS(TMR!$D$22:$D$5012,TMR!$A$22:$A$5012,TMR!$H15,TMR!$E$22:$E$5012,TMR!AC$2)</f>
        <v>0</v>
      </c>
      <c r="AD15" s="53">
        <f>SUMIFS(TMR!$D$22:$D$5012,TMR!$A$22:$A$5012,TMR!$H15,TMR!$E$22:$E$5012,TMR!AD$2)</f>
        <v>5532</v>
      </c>
      <c r="AE15" s="53">
        <f>SUMIFS(TMR!$D$22:$D$5012,TMR!$A$22:$A$5012,TMR!$H15,TMR!$E$22:$E$5012,TMR!AE$2)</f>
        <v>12080</v>
      </c>
      <c r="AF15" s="53">
        <f>SUMIFS(TMR!$D$22:$D$5012,TMR!$A$22:$A$5012,TMR!$H15,TMR!$E$22:$E$5012,TMR!AF$2)</f>
        <v>0</v>
      </c>
      <c r="AG15" s="53">
        <f>SUMIFS(TMR!$D$22:$D$5012,TMR!$A$22:$A$5012,TMR!$H15,TMR!$E$22:$E$5012,TMR!AG$2)</f>
        <v>0</v>
      </c>
      <c r="AH15" s="53">
        <f>SUMIFS(TMR!$D$22:$D$5012,TMR!$A$22:$A$5012,TMR!$H15,TMR!$E$22:$E$5012,TMR!AH$2)</f>
        <v>0</v>
      </c>
      <c r="AI15" s="53">
        <f>SUMIFS(TMR!$D$22:$D$5012,TMR!$A$22:$A$5012,TMR!$H15,TMR!$E$22:$E$5012,TMR!AI$2)</f>
        <v>0</v>
      </c>
      <c r="AJ15" s="53">
        <f>SUMIFS(TMR!$D$22:$D$5012,TMR!$A$22:$A$5012,TMR!$H15,TMR!$E$22:$E$5012,TMR!AJ$2)</f>
        <v>0</v>
      </c>
      <c r="AK15" s="54">
        <f>SUMIFS(TMR!$D$22:$D$5012,TMR!$A$22:$A$5012,TMR!$H15,TMR!$E$22:$E$5012,TMR!AK$2)</f>
        <v>0</v>
      </c>
      <c r="AL15" s="53">
        <f>SUMIFS(TMR!$D$22:$D$5012,TMR!$A$22:$A$5012,TMR!$H15,TMR!$E$22:$E$5012,TMR!AL$2)</f>
        <v>0</v>
      </c>
      <c r="AM15" s="53">
        <f>SUMIFS(TMR!$D$22:$D$5012,TMR!$A$22:$A$5012,TMR!$H15,TMR!$E$22:$E$5012,TMR!AM$2)</f>
        <v>0</v>
      </c>
      <c r="AN15" s="54">
        <f>SUMIFS(TMR!$D$22:$D$5012,TMR!$A$22:$A$5012,TMR!$H15,TMR!$E$22:$E$5012,TMR!AN$2)</f>
        <v>0</v>
      </c>
    </row>
    <row r="16" spans="1:40" x14ac:dyDescent="0.25">
      <c r="A16" s="39" t="s">
        <v>34</v>
      </c>
      <c r="G16" s="52">
        <f t="shared" ref="G16:G38" si="1">SUM(I16:T16)+SUM(Z16:AK16)</f>
        <v>211905</v>
      </c>
      <c r="H16" s="11">
        <v>201602</v>
      </c>
      <c r="I16" s="12">
        <f>SUMIFS(TMR!$C$22:$C$5012,TMR!$A$22:$A$5012,TMR!$H16,TMR!$E$22:$E$5012,TMR!I$2)</f>
        <v>43261</v>
      </c>
      <c r="J16" s="13">
        <f>SUMIFS(TMR!$C$22:$C$5012,TMR!$A$22:$A$5012,TMR!$H16,TMR!$E$22:$E$5012,TMR!J$2)</f>
        <v>56765</v>
      </c>
      <c r="K16" s="13">
        <f>SUMIFS(TMR!$C$22:$C$5012,TMR!$A$22:$A$5012,TMR!$H16,TMR!$E$22:$E$5012,TMR!K$2)</f>
        <v>6099</v>
      </c>
      <c r="L16" s="13">
        <f>SUMIFS(TMR!$C$22:$C$5012,TMR!$A$22:$A$5012,TMR!$H16,TMR!$E$22:$E$5012,TMR!L$2)</f>
        <v>8731</v>
      </c>
      <c r="M16" s="13">
        <f>SUMIFS(TMR!$C$22:$C$5012,TMR!$A$22:$A$5012,TMR!$H16,TMR!$E$22:$E$5012,TMR!M$2)</f>
        <v>32591</v>
      </c>
      <c r="N16" s="13">
        <f>SUMIFS(TMR!$C$22:$C$5012,TMR!$A$22:$A$5012,TMR!$H16,TMR!$E$22:$E$5012,TMR!N$2)</f>
        <v>25991</v>
      </c>
      <c r="O16" s="13">
        <f>SUMIFS(TMR!$C$22:$C$5012,TMR!$A$22:$A$5012,TMR!$H16,TMR!$E$22:$E$5012,TMR!O$2)</f>
        <v>0</v>
      </c>
      <c r="P16" s="13">
        <f>SUMIFS(TMR!$C$22:$C$5012,TMR!$A$22:$A$5012,TMR!$H16,TMR!$E$22:$E$5012,TMR!P$2)</f>
        <v>0</v>
      </c>
      <c r="Q16" s="13">
        <f>SUMIFS(TMR!$C$22:$C$5012,TMR!$A$22:$A$5012,TMR!$H16,TMR!$E$22:$E$5012,TMR!Q$2)</f>
        <v>21037</v>
      </c>
      <c r="R16" s="13">
        <f>SUMIFS(TMR!$C$22:$C$5012,TMR!$A$22:$A$5012,TMR!$H16,TMR!$E$22:$E$5012,TMR!R$2)</f>
        <v>0</v>
      </c>
      <c r="S16" s="13">
        <f>SUMIFS(TMR!$C$22:$C$5012,TMR!$A$22:$A$5012,TMR!$H16,TMR!$E$22:$E$5012,TMR!S$2)</f>
        <v>2</v>
      </c>
      <c r="T16" s="14">
        <f>SUMIFS(TMR!$C$22:$C$5012,TMR!$A$22:$A$5012,TMR!$H16,TMR!$E$22:$E$5012,TMR!T$2)</f>
        <v>0</v>
      </c>
      <c r="U16" s="13">
        <f>SUMIFS(TMR!$C$22:$C$5012,TMR!$A$22:$A$5012,TMR!$H16,TMR!$E$22:$E$5012,TMR!U$2)</f>
        <v>0</v>
      </c>
      <c r="V16" s="13">
        <f>SUMIFS(TMR!$C$22:$C$5012,TMR!$A$22:$A$5012,TMR!$H16,TMR!$E$22:$E$5012,TMR!V$2)</f>
        <v>31713</v>
      </c>
      <c r="W16" s="14">
        <f>SUMIFS(TMR!$C$22:$C$5012,TMR!$A$22:$A$5012,TMR!$H16,TMR!$E$22:$E$5012,TMR!W$2)</f>
        <v>1157</v>
      </c>
      <c r="Y16" s="11">
        <v>201602</v>
      </c>
      <c r="Z16" s="12">
        <f>SUMIFS(TMR!$D$22:$D$5012,TMR!$A$22:$A$5012,TMR!$H16,TMR!$E$22:$E$5012,TMR!Z$2)</f>
        <v>0</v>
      </c>
      <c r="AA16" s="13">
        <f>SUMIFS(TMR!$D$22:$D$5012,TMR!$A$22:$A$5012,TMR!$H16,TMR!$E$22:$E$5012,TMR!AA$2)</f>
        <v>0</v>
      </c>
      <c r="AB16" s="13">
        <f>SUMIFS(TMR!$D$22:$D$5012,TMR!$A$22:$A$5012,TMR!$H16,TMR!$E$22:$E$5012,TMR!AB$2)</f>
        <v>0</v>
      </c>
      <c r="AC16" s="13">
        <f>SUMIFS(TMR!$D$22:$D$5012,TMR!$A$22:$A$5012,TMR!$H16,TMR!$E$22:$E$5012,TMR!AC$2)</f>
        <v>0</v>
      </c>
      <c r="AD16" s="13">
        <f>SUMIFS(TMR!$D$22:$D$5012,TMR!$A$22:$A$5012,TMR!$H16,TMR!$E$22:$E$5012,TMR!AD$2)</f>
        <v>5496</v>
      </c>
      <c r="AE16" s="13">
        <f>SUMIFS(TMR!$D$22:$D$5012,TMR!$A$22:$A$5012,TMR!$H16,TMR!$E$22:$E$5012,TMR!AE$2)</f>
        <v>11932</v>
      </c>
      <c r="AF16" s="13">
        <f>SUMIFS(TMR!$D$22:$D$5012,TMR!$A$22:$A$5012,TMR!$H16,TMR!$E$22:$E$5012,TMR!AF$2)</f>
        <v>0</v>
      </c>
      <c r="AG16" s="13">
        <f>SUMIFS(TMR!$D$22:$D$5012,TMR!$A$22:$A$5012,TMR!$H16,TMR!$E$22:$E$5012,TMR!AG$2)</f>
        <v>0</v>
      </c>
      <c r="AH16" s="13">
        <f>SUMIFS(TMR!$D$22:$D$5012,TMR!$A$22:$A$5012,TMR!$H16,TMR!$E$22:$E$5012,TMR!AH$2)</f>
        <v>0</v>
      </c>
      <c r="AI16" s="13">
        <f>SUMIFS(TMR!$D$22:$D$5012,TMR!$A$22:$A$5012,TMR!$H16,TMR!$E$22:$E$5012,TMR!AI$2)</f>
        <v>0</v>
      </c>
      <c r="AJ16" s="13">
        <f>SUMIFS(TMR!$D$22:$D$5012,TMR!$A$22:$A$5012,TMR!$H16,TMR!$E$22:$E$5012,TMR!AJ$2)</f>
        <v>0</v>
      </c>
      <c r="AK16" s="14">
        <f>SUMIFS(TMR!$D$22:$D$5012,TMR!$A$22:$A$5012,TMR!$H16,TMR!$E$22:$E$5012,TMR!AK$2)</f>
        <v>0</v>
      </c>
      <c r="AL16" s="13">
        <f>SUMIFS(TMR!$D$22:$D$5012,TMR!$A$22:$A$5012,TMR!$H16,TMR!$E$22:$E$5012,TMR!AL$2)</f>
        <v>0</v>
      </c>
      <c r="AM16" s="13">
        <f>SUMIFS(TMR!$D$22:$D$5012,TMR!$A$22:$A$5012,TMR!$H16,TMR!$E$22:$E$5012,TMR!AM$2)</f>
        <v>0</v>
      </c>
      <c r="AN16" s="14">
        <f>SUMIFS(TMR!$D$22:$D$5012,TMR!$A$22:$A$5012,TMR!$H16,TMR!$E$22:$E$5012,TMR!AN$2)</f>
        <v>0</v>
      </c>
    </row>
    <row r="17" spans="1:40" x14ac:dyDescent="0.25">
      <c r="A17" s="69" t="s">
        <v>332</v>
      </c>
      <c r="G17" s="52">
        <f t="shared" si="1"/>
        <v>211842</v>
      </c>
      <c r="H17" s="11">
        <v>201603</v>
      </c>
      <c r="I17" s="12">
        <f>SUMIFS(TMR!$C$22:$C$5012,TMR!$A$22:$A$5012,TMR!$H17,TMR!$E$22:$E$5012,TMR!I$2)</f>
        <v>42961</v>
      </c>
      <c r="J17" s="13">
        <f>SUMIFS(TMR!$C$22:$C$5012,TMR!$A$22:$A$5012,TMR!$H17,TMR!$E$22:$E$5012,TMR!J$2)</f>
        <v>56944</v>
      </c>
      <c r="K17" s="13">
        <f>SUMIFS(TMR!$C$22:$C$5012,TMR!$A$22:$A$5012,TMR!$H17,TMR!$E$22:$E$5012,TMR!K$2)</f>
        <v>6088</v>
      </c>
      <c r="L17" s="13">
        <f>SUMIFS(TMR!$C$22:$C$5012,TMR!$A$22:$A$5012,TMR!$H17,TMR!$E$22:$E$5012,TMR!L$2)</f>
        <v>8789</v>
      </c>
      <c r="M17" s="13">
        <f>SUMIFS(TMR!$C$22:$C$5012,TMR!$A$22:$A$5012,TMR!$H17,TMR!$E$22:$E$5012,TMR!M$2)</f>
        <v>32573</v>
      </c>
      <c r="N17" s="13">
        <f>SUMIFS(TMR!$C$22:$C$5012,TMR!$A$22:$A$5012,TMR!$H17,TMR!$E$22:$E$5012,TMR!N$2)</f>
        <v>25874</v>
      </c>
      <c r="O17" s="13">
        <f>SUMIFS(TMR!$C$22:$C$5012,TMR!$A$22:$A$5012,TMR!$H17,TMR!$E$22:$E$5012,TMR!O$2)</f>
        <v>0</v>
      </c>
      <c r="P17" s="13">
        <f>SUMIFS(TMR!$C$22:$C$5012,TMR!$A$22:$A$5012,TMR!$H17,TMR!$E$22:$E$5012,TMR!P$2)</f>
        <v>0</v>
      </c>
      <c r="Q17" s="13">
        <f>SUMIFS(TMR!$C$22:$C$5012,TMR!$A$22:$A$5012,TMR!$H17,TMR!$E$22:$E$5012,TMR!Q$2)</f>
        <v>21284</v>
      </c>
      <c r="R17" s="13">
        <f>SUMIFS(TMR!$C$22:$C$5012,TMR!$A$22:$A$5012,TMR!$H17,TMR!$E$22:$E$5012,TMR!R$2)</f>
        <v>0</v>
      </c>
      <c r="S17" s="13">
        <f>SUMIFS(TMR!$C$22:$C$5012,TMR!$A$22:$A$5012,TMR!$H17,TMR!$E$22:$E$5012,TMR!S$2)</f>
        <v>2</v>
      </c>
      <c r="T17" s="14">
        <f>SUMIFS(TMR!$C$22:$C$5012,TMR!$A$22:$A$5012,TMR!$H17,TMR!$E$22:$E$5012,TMR!T$2)</f>
        <v>0</v>
      </c>
      <c r="U17" s="13">
        <f>SUMIFS(TMR!$C$22:$C$5012,TMR!$A$22:$A$5012,TMR!$H17,TMR!$E$22:$E$5012,TMR!U$2)</f>
        <v>0</v>
      </c>
      <c r="V17" s="13">
        <f>SUMIFS(TMR!$C$22:$C$5012,TMR!$A$22:$A$5012,TMR!$H17,TMR!$E$22:$E$5012,TMR!V$2)</f>
        <v>31967</v>
      </c>
      <c r="W17" s="14">
        <f>SUMIFS(TMR!$C$22:$C$5012,TMR!$A$22:$A$5012,TMR!$H17,TMR!$E$22:$E$5012,TMR!W$2)</f>
        <v>1166</v>
      </c>
      <c r="Y17" s="11">
        <v>201603</v>
      </c>
      <c r="Z17" s="12">
        <f>SUMIFS(TMR!$D$22:$D$5012,TMR!$A$22:$A$5012,TMR!$H17,TMR!$E$22:$E$5012,TMR!Z$2)</f>
        <v>0</v>
      </c>
      <c r="AA17" s="13">
        <f>SUMIFS(TMR!$D$22:$D$5012,TMR!$A$22:$A$5012,TMR!$H17,TMR!$E$22:$E$5012,TMR!AA$2)</f>
        <v>0</v>
      </c>
      <c r="AB17" s="13">
        <f>SUMIFS(TMR!$D$22:$D$5012,TMR!$A$22:$A$5012,TMR!$H17,TMR!$E$22:$E$5012,TMR!AB$2)</f>
        <v>0</v>
      </c>
      <c r="AC17" s="13">
        <f>SUMIFS(TMR!$D$22:$D$5012,TMR!$A$22:$A$5012,TMR!$H17,TMR!$E$22:$E$5012,TMR!AC$2)</f>
        <v>0</v>
      </c>
      <c r="AD17" s="13">
        <f>SUMIFS(TMR!$D$22:$D$5012,TMR!$A$22:$A$5012,TMR!$H17,TMR!$E$22:$E$5012,TMR!AD$2)</f>
        <v>5475</v>
      </c>
      <c r="AE17" s="13">
        <f>SUMIFS(TMR!$D$22:$D$5012,TMR!$A$22:$A$5012,TMR!$H17,TMR!$E$22:$E$5012,TMR!AE$2)</f>
        <v>11852</v>
      </c>
      <c r="AF17" s="13">
        <f>SUMIFS(TMR!$D$22:$D$5012,TMR!$A$22:$A$5012,TMR!$H17,TMR!$E$22:$E$5012,TMR!AF$2)</f>
        <v>0</v>
      </c>
      <c r="AG17" s="13">
        <f>SUMIFS(TMR!$D$22:$D$5012,TMR!$A$22:$A$5012,TMR!$H17,TMR!$E$22:$E$5012,TMR!AG$2)</f>
        <v>0</v>
      </c>
      <c r="AH17" s="13">
        <f>SUMIFS(TMR!$D$22:$D$5012,TMR!$A$22:$A$5012,TMR!$H17,TMR!$E$22:$E$5012,TMR!AH$2)</f>
        <v>0</v>
      </c>
      <c r="AI17" s="13">
        <f>SUMIFS(TMR!$D$22:$D$5012,TMR!$A$22:$A$5012,TMR!$H17,TMR!$E$22:$E$5012,TMR!AI$2)</f>
        <v>0</v>
      </c>
      <c r="AJ17" s="13">
        <f>SUMIFS(TMR!$D$22:$D$5012,TMR!$A$22:$A$5012,TMR!$H17,TMR!$E$22:$E$5012,TMR!AJ$2)</f>
        <v>0</v>
      </c>
      <c r="AK17" s="14">
        <f>SUMIFS(TMR!$D$22:$D$5012,TMR!$A$22:$A$5012,TMR!$H17,TMR!$E$22:$E$5012,TMR!AK$2)</f>
        <v>0</v>
      </c>
      <c r="AL17" s="13">
        <f>SUMIFS(TMR!$D$22:$D$5012,TMR!$A$22:$A$5012,TMR!$H17,TMR!$E$22:$E$5012,TMR!AL$2)</f>
        <v>0</v>
      </c>
      <c r="AM17" s="13">
        <f>SUMIFS(TMR!$D$22:$D$5012,TMR!$A$22:$A$5012,TMR!$H17,TMR!$E$22:$E$5012,TMR!AM$2)</f>
        <v>0</v>
      </c>
      <c r="AN17" s="14">
        <f>SUMIFS(TMR!$D$22:$D$5012,TMR!$A$22:$A$5012,TMR!$H17,TMR!$E$22:$E$5012,TMR!AN$2)</f>
        <v>0</v>
      </c>
    </row>
    <row r="18" spans="1:40" x14ac:dyDescent="0.25">
      <c r="A18" s="69" t="s">
        <v>333</v>
      </c>
      <c r="G18" s="52">
        <f t="shared" si="1"/>
        <v>212179</v>
      </c>
      <c r="H18" s="11">
        <v>201604</v>
      </c>
      <c r="I18" s="12">
        <f>SUMIFS(TMR!$C$22:$C$5012,TMR!$A$22:$A$5012,TMR!$H18,TMR!$E$22:$E$5012,TMR!I$2)</f>
        <v>42779</v>
      </c>
      <c r="J18" s="13">
        <f>SUMIFS(TMR!$C$22:$C$5012,TMR!$A$22:$A$5012,TMR!$H18,TMR!$E$22:$E$5012,TMR!J$2)</f>
        <v>57392</v>
      </c>
      <c r="K18" s="13">
        <f>SUMIFS(TMR!$C$22:$C$5012,TMR!$A$22:$A$5012,TMR!$H18,TMR!$E$22:$E$5012,TMR!K$2)</f>
        <v>6067</v>
      </c>
      <c r="L18" s="13">
        <f>SUMIFS(TMR!$C$22:$C$5012,TMR!$A$22:$A$5012,TMR!$H18,TMR!$E$22:$E$5012,TMR!L$2)</f>
        <v>8845</v>
      </c>
      <c r="M18" s="13">
        <f>SUMIFS(TMR!$C$22:$C$5012,TMR!$A$22:$A$5012,TMR!$H18,TMR!$E$22:$E$5012,TMR!M$2)</f>
        <v>32580</v>
      </c>
      <c r="N18" s="13">
        <f>SUMIFS(TMR!$C$22:$C$5012,TMR!$A$22:$A$5012,TMR!$H18,TMR!$E$22:$E$5012,TMR!N$2)</f>
        <v>25763</v>
      </c>
      <c r="O18" s="13">
        <f>SUMIFS(TMR!$C$22:$C$5012,TMR!$A$22:$A$5012,TMR!$H18,TMR!$E$22:$E$5012,TMR!O$2)</f>
        <v>0</v>
      </c>
      <c r="P18" s="13">
        <f>SUMIFS(TMR!$C$22:$C$5012,TMR!$A$22:$A$5012,TMR!$H18,TMR!$E$22:$E$5012,TMR!P$2)</f>
        <v>0</v>
      </c>
      <c r="Q18" s="13">
        <f>SUMIFS(TMR!$C$22:$C$5012,TMR!$A$22:$A$5012,TMR!$H18,TMR!$E$22:$E$5012,TMR!Q$2)</f>
        <v>21474</v>
      </c>
      <c r="R18" s="13">
        <f>SUMIFS(TMR!$C$22:$C$5012,TMR!$A$22:$A$5012,TMR!$H18,TMR!$E$22:$E$5012,TMR!R$2)</f>
        <v>0</v>
      </c>
      <c r="S18" s="13">
        <f>SUMIFS(TMR!$C$22:$C$5012,TMR!$A$22:$A$5012,TMR!$H18,TMR!$E$22:$E$5012,TMR!S$2)</f>
        <v>2</v>
      </c>
      <c r="T18" s="14">
        <f>SUMIFS(TMR!$C$22:$C$5012,TMR!$A$22:$A$5012,TMR!$H18,TMR!$E$22:$E$5012,TMR!T$2)</f>
        <v>0</v>
      </c>
      <c r="U18" s="13">
        <f>SUMIFS(TMR!$C$22:$C$5012,TMR!$A$22:$A$5012,TMR!$H18,TMR!$E$22:$E$5012,TMR!U$2)</f>
        <v>0</v>
      </c>
      <c r="V18" s="13">
        <f>SUMIFS(TMR!$C$22:$C$5012,TMR!$A$22:$A$5012,TMR!$H18,TMR!$E$22:$E$5012,TMR!V$2)</f>
        <v>32008</v>
      </c>
      <c r="W18" s="14">
        <f>SUMIFS(TMR!$C$22:$C$5012,TMR!$A$22:$A$5012,TMR!$H18,TMR!$E$22:$E$5012,TMR!W$2)</f>
        <v>1169</v>
      </c>
      <c r="Y18" s="11">
        <v>201604</v>
      </c>
      <c r="Z18" s="12">
        <f>SUMIFS(TMR!$D$22:$D$5012,TMR!$A$22:$A$5012,TMR!$H18,TMR!$E$22:$E$5012,TMR!Z$2)</f>
        <v>0</v>
      </c>
      <c r="AA18" s="13">
        <f>SUMIFS(TMR!$D$22:$D$5012,TMR!$A$22:$A$5012,TMR!$H18,TMR!$E$22:$E$5012,TMR!AA$2)</f>
        <v>0</v>
      </c>
      <c r="AB18" s="13">
        <f>SUMIFS(TMR!$D$22:$D$5012,TMR!$A$22:$A$5012,TMR!$H18,TMR!$E$22:$E$5012,TMR!AB$2)</f>
        <v>0</v>
      </c>
      <c r="AC18" s="13">
        <f>SUMIFS(TMR!$D$22:$D$5012,TMR!$A$22:$A$5012,TMR!$H18,TMR!$E$22:$E$5012,TMR!AC$2)</f>
        <v>0</v>
      </c>
      <c r="AD18" s="13">
        <f>SUMIFS(TMR!$D$22:$D$5012,TMR!$A$22:$A$5012,TMR!$H18,TMR!$E$22:$E$5012,TMR!AD$2)</f>
        <v>5460</v>
      </c>
      <c r="AE18" s="13">
        <f>SUMIFS(TMR!$D$22:$D$5012,TMR!$A$22:$A$5012,TMR!$H18,TMR!$E$22:$E$5012,TMR!AE$2)</f>
        <v>11817</v>
      </c>
      <c r="AF18" s="13">
        <f>SUMIFS(TMR!$D$22:$D$5012,TMR!$A$22:$A$5012,TMR!$H18,TMR!$E$22:$E$5012,TMR!AF$2)</f>
        <v>0</v>
      </c>
      <c r="AG18" s="13">
        <f>SUMIFS(TMR!$D$22:$D$5012,TMR!$A$22:$A$5012,TMR!$H18,TMR!$E$22:$E$5012,TMR!AG$2)</f>
        <v>0</v>
      </c>
      <c r="AH18" s="13">
        <f>SUMIFS(TMR!$D$22:$D$5012,TMR!$A$22:$A$5012,TMR!$H18,TMR!$E$22:$E$5012,TMR!AH$2)</f>
        <v>0</v>
      </c>
      <c r="AI18" s="13">
        <f>SUMIFS(TMR!$D$22:$D$5012,TMR!$A$22:$A$5012,TMR!$H18,TMR!$E$22:$E$5012,TMR!AI$2)</f>
        <v>0</v>
      </c>
      <c r="AJ18" s="13">
        <f>SUMIFS(TMR!$D$22:$D$5012,TMR!$A$22:$A$5012,TMR!$H18,TMR!$E$22:$E$5012,TMR!AJ$2)</f>
        <v>0</v>
      </c>
      <c r="AK18" s="14">
        <f>SUMIFS(TMR!$D$22:$D$5012,TMR!$A$22:$A$5012,TMR!$H18,TMR!$E$22:$E$5012,TMR!AK$2)</f>
        <v>0</v>
      </c>
      <c r="AL18" s="13">
        <f>SUMIFS(TMR!$D$22:$D$5012,TMR!$A$22:$A$5012,TMR!$H18,TMR!$E$22:$E$5012,TMR!AL$2)</f>
        <v>0</v>
      </c>
      <c r="AM18" s="13">
        <f>SUMIFS(TMR!$D$22:$D$5012,TMR!$A$22:$A$5012,TMR!$H18,TMR!$E$22:$E$5012,TMR!AM$2)</f>
        <v>0</v>
      </c>
      <c r="AN18" s="14">
        <f>SUMIFS(TMR!$D$22:$D$5012,TMR!$A$22:$A$5012,TMR!$H18,TMR!$E$22:$E$5012,TMR!AN$2)</f>
        <v>0</v>
      </c>
    </row>
    <row r="19" spans="1:40" x14ac:dyDescent="0.25">
      <c r="A19" s="69" t="s">
        <v>334</v>
      </c>
      <c r="G19" s="52">
        <f t="shared" si="1"/>
        <v>222757</v>
      </c>
      <c r="H19" s="11">
        <v>201605</v>
      </c>
      <c r="I19" s="12">
        <f>SUMIFS(TMR!$C$22:$C$5012,TMR!$A$22:$A$5012,TMR!$H19,TMR!$E$22:$E$5012,TMR!I$2)</f>
        <v>44878</v>
      </c>
      <c r="J19" s="13">
        <f>SUMIFS(TMR!$C$22:$C$5012,TMR!$A$22:$A$5012,TMR!$H19,TMR!$E$22:$E$5012,TMR!J$2)</f>
        <v>59135</v>
      </c>
      <c r="K19" s="13">
        <f>SUMIFS(TMR!$C$22:$C$5012,TMR!$A$22:$A$5012,TMR!$H19,TMR!$E$22:$E$5012,TMR!K$2)</f>
        <v>6178</v>
      </c>
      <c r="L19" s="13">
        <f>SUMIFS(TMR!$C$22:$C$5012,TMR!$A$22:$A$5012,TMR!$H19,TMR!$E$22:$E$5012,TMR!L$2)</f>
        <v>10737</v>
      </c>
      <c r="M19" s="13">
        <f>SUMIFS(TMR!$C$22:$C$5012,TMR!$A$22:$A$5012,TMR!$H19,TMR!$E$22:$E$5012,TMR!M$2)</f>
        <v>35801</v>
      </c>
      <c r="N19" s="13">
        <f>SUMIFS(TMR!$C$22:$C$5012,TMR!$A$22:$A$5012,TMR!$H19,TMR!$E$22:$E$5012,TMR!N$2)</f>
        <v>25794</v>
      </c>
      <c r="O19" s="13">
        <f>SUMIFS(TMR!$C$22:$C$5012,TMR!$A$22:$A$5012,TMR!$H19,TMR!$E$22:$E$5012,TMR!O$2)</f>
        <v>0</v>
      </c>
      <c r="P19" s="13">
        <f>SUMIFS(TMR!$C$22:$C$5012,TMR!$A$22:$A$5012,TMR!$H19,TMR!$E$22:$E$5012,TMR!P$2)</f>
        <v>0</v>
      </c>
      <c r="Q19" s="13">
        <f>SUMIFS(TMR!$C$22:$C$5012,TMR!$A$22:$A$5012,TMR!$H19,TMR!$E$22:$E$5012,TMR!Q$2)</f>
        <v>22999</v>
      </c>
      <c r="R19" s="13">
        <f>SUMIFS(TMR!$C$22:$C$5012,TMR!$A$22:$A$5012,TMR!$H19,TMR!$E$22:$E$5012,TMR!R$2)</f>
        <v>0</v>
      </c>
      <c r="S19" s="13">
        <f>SUMIFS(TMR!$C$22:$C$5012,TMR!$A$22:$A$5012,TMR!$H19,TMR!$E$22:$E$5012,TMR!S$2)</f>
        <v>2</v>
      </c>
      <c r="T19" s="14">
        <f>SUMIFS(TMR!$C$22:$C$5012,TMR!$A$22:$A$5012,TMR!$H19,TMR!$E$22:$E$5012,TMR!T$2)</f>
        <v>0</v>
      </c>
      <c r="U19" s="13">
        <f>SUMIFS(TMR!$C$22:$C$5012,TMR!$A$22:$A$5012,TMR!$H19,TMR!$E$22:$E$5012,TMR!U$2)</f>
        <v>0</v>
      </c>
      <c r="V19" s="13">
        <f>SUMIFS(TMR!$C$22:$C$5012,TMR!$A$22:$A$5012,TMR!$H19,TMR!$E$22:$E$5012,TMR!V$2)</f>
        <v>33200</v>
      </c>
      <c r="W19" s="14">
        <f>SUMIFS(TMR!$C$22:$C$5012,TMR!$A$22:$A$5012,TMR!$H19,TMR!$E$22:$E$5012,TMR!W$2)</f>
        <v>1182</v>
      </c>
      <c r="Y19" s="11">
        <v>201605</v>
      </c>
      <c r="Z19" s="12">
        <f>SUMIFS(TMR!$D$22:$D$5012,TMR!$A$22:$A$5012,TMR!$H19,TMR!$E$22:$E$5012,TMR!Z$2)</f>
        <v>0</v>
      </c>
      <c r="AA19" s="13">
        <f>SUMIFS(TMR!$D$22:$D$5012,TMR!$A$22:$A$5012,TMR!$H19,TMR!$E$22:$E$5012,TMR!AA$2)</f>
        <v>0</v>
      </c>
      <c r="AB19" s="13">
        <f>SUMIFS(TMR!$D$22:$D$5012,TMR!$A$22:$A$5012,TMR!$H19,TMR!$E$22:$E$5012,TMR!AB$2)</f>
        <v>0</v>
      </c>
      <c r="AC19" s="13">
        <f>SUMIFS(TMR!$D$22:$D$5012,TMR!$A$22:$A$5012,TMR!$H19,TMR!$E$22:$E$5012,TMR!AC$2)</f>
        <v>0</v>
      </c>
      <c r="AD19" s="13">
        <f>SUMIFS(TMR!$D$22:$D$5012,TMR!$A$22:$A$5012,TMR!$H19,TMR!$E$22:$E$5012,TMR!AD$2)</f>
        <v>5459</v>
      </c>
      <c r="AE19" s="13">
        <f>SUMIFS(TMR!$D$22:$D$5012,TMR!$A$22:$A$5012,TMR!$H19,TMR!$E$22:$E$5012,TMR!AE$2)</f>
        <v>11774</v>
      </c>
      <c r="AF19" s="13">
        <f>SUMIFS(TMR!$D$22:$D$5012,TMR!$A$22:$A$5012,TMR!$H19,TMR!$E$22:$E$5012,TMR!AF$2)</f>
        <v>0</v>
      </c>
      <c r="AG19" s="13">
        <f>SUMIFS(TMR!$D$22:$D$5012,TMR!$A$22:$A$5012,TMR!$H19,TMR!$E$22:$E$5012,TMR!AG$2)</f>
        <v>0</v>
      </c>
      <c r="AH19" s="13">
        <f>SUMIFS(TMR!$D$22:$D$5012,TMR!$A$22:$A$5012,TMR!$H19,TMR!$E$22:$E$5012,TMR!AH$2)</f>
        <v>0</v>
      </c>
      <c r="AI19" s="13">
        <f>SUMIFS(TMR!$D$22:$D$5012,TMR!$A$22:$A$5012,TMR!$H19,TMR!$E$22:$E$5012,TMR!AI$2)</f>
        <v>0</v>
      </c>
      <c r="AJ19" s="13">
        <f>SUMIFS(TMR!$D$22:$D$5012,TMR!$A$22:$A$5012,TMR!$H19,TMR!$E$22:$E$5012,TMR!AJ$2)</f>
        <v>0</v>
      </c>
      <c r="AK19" s="14">
        <f>SUMIFS(TMR!$D$22:$D$5012,TMR!$A$22:$A$5012,TMR!$H19,TMR!$E$22:$E$5012,TMR!AK$2)</f>
        <v>0</v>
      </c>
      <c r="AL19" s="13">
        <f>SUMIFS(TMR!$D$22:$D$5012,TMR!$A$22:$A$5012,TMR!$H19,TMR!$E$22:$E$5012,TMR!AL$2)</f>
        <v>0</v>
      </c>
      <c r="AM19" s="13">
        <f>SUMIFS(TMR!$D$22:$D$5012,TMR!$A$22:$A$5012,TMR!$H19,TMR!$E$22:$E$5012,TMR!AM$2)</f>
        <v>0</v>
      </c>
      <c r="AN19" s="14">
        <f>SUMIFS(TMR!$D$22:$D$5012,TMR!$A$22:$A$5012,TMR!$H19,TMR!$E$22:$E$5012,TMR!AN$2)</f>
        <v>0</v>
      </c>
    </row>
    <row r="20" spans="1:40" x14ac:dyDescent="0.25">
      <c r="A20" s="39"/>
      <c r="G20" s="52">
        <f t="shared" si="1"/>
        <v>211358</v>
      </c>
      <c r="H20" s="11">
        <v>201606</v>
      </c>
      <c r="I20" s="12">
        <f>SUMIFS(TMR!$C$22:$C$5012,TMR!$A$22:$A$5012,TMR!$H20,TMR!$E$22:$E$5012,TMR!I$2)</f>
        <v>41985</v>
      </c>
      <c r="J20" s="13">
        <f>SUMIFS(TMR!$C$22:$C$5012,TMR!$A$22:$A$5012,TMR!$H20,TMR!$E$22:$E$5012,TMR!J$2)</f>
        <v>57523</v>
      </c>
      <c r="K20" s="13">
        <f>SUMIFS(TMR!$C$22:$C$5012,TMR!$A$22:$A$5012,TMR!$H20,TMR!$E$22:$E$5012,TMR!K$2)</f>
        <v>6079</v>
      </c>
      <c r="L20" s="13">
        <f>SUMIFS(TMR!$C$22:$C$5012,TMR!$A$22:$A$5012,TMR!$H20,TMR!$E$22:$E$5012,TMR!L$2)</f>
        <v>8917</v>
      </c>
      <c r="M20" s="13">
        <f>SUMIFS(TMR!$C$22:$C$5012,TMR!$A$22:$A$5012,TMR!$H20,TMR!$E$22:$E$5012,TMR!M$2)</f>
        <v>32450</v>
      </c>
      <c r="N20" s="13">
        <f>SUMIFS(TMR!$C$22:$C$5012,TMR!$A$22:$A$5012,TMR!$H20,TMR!$E$22:$E$5012,TMR!N$2)</f>
        <v>25481</v>
      </c>
      <c r="O20" s="13">
        <f>SUMIFS(TMR!$C$22:$C$5012,TMR!$A$22:$A$5012,TMR!$H20,TMR!$E$22:$E$5012,TMR!O$2)</f>
        <v>0</v>
      </c>
      <c r="P20" s="13">
        <f>SUMIFS(TMR!$C$22:$C$5012,TMR!$A$22:$A$5012,TMR!$H20,TMR!$E$22:$E$5012,TMR!P$2)</f>
        <v>0</v>
      </c>
      <c r="Q20" s="13">
        <f>SUMIFS(TMR!$C$22:$C$5012,TMR!$A$22:$A$5012,TMR!$H20,TMR!$E$22:$E$5012,TMR!Q$2)</f>
        <v>21808</v>
      </c>
      <c r="R20" s="13">
        <f>SUMIFS(TMR!$C$22:$C$5012,TMR!$A$22:$A$5012,TMR!$H20,TMR!$E$22:$E$5012,TMR!R$2)</f>
        <v>0</v>
      </c>
      <c r="S20" s="13">
        <f>SUMIFS(TMR!$C$22:$C$5012,TMR!$A$22:$A$5012,TMR!$H20,TMR!$E$22:$E$5012,TMR!S$2)</f>
        <v>2</v>
      </c>
      <c r="T20" s="14">
        <f>SUMIFS(TMR!$C$22:$C$5012,TMR!$A$22:$A$5012,TMR!$H20,TMR!$E$22:$E$5012,TMR!T$2)</f>
        <v>0</v>
      </c>
      <c r="U20" s="13">
        <f>SUMIFS(TMR!$C$22:$C$5012,TMR!$A$22:$A$5012,TMR!$H20,TMR!$E$22:$E$5012,TMR!U$2)</f>
        <v>0</v>
      </c>
      <c r="V20" s="13">
        <f>SUMIFS(TMR!$C$22:$C$5012,TMR!$A$22:$A$5012,TMR!$H20,TMR!$E$22:$E$5012,TMR!V$2)</f>
        <v>32172</v>
      </c>
      <c r="W20" s="14">
        <f>SUMIFS(TMR!$C$22:$C$5012,TMR!$A$22:$A$5012,TMR!$H20,TMR!$E$22:$E$5012,TMR!W$2)</f>
        <v>1176</v>
      </c>
      <c r="Y20" s="11">
        <v>201606</v>
      </c>
      <c r="Z20" s="12">
        <f>SUMIFS(TMR!$D$22:$D$5012,TMR!$A$22:$A$5012,TMR!$H20,TMR!$E$22:$E$5012,TMR!Z$2)</f>
        <v>0</v>
      </c>
      <c r="AA20" s="13">
        <f>SUMIFS(TMR!$D$22:$D$5012,TMR!$A$22:$A$5012,TMR!$H20,TMR!$E$22:$E$5012,TMR!AA$2)</f>
        <v>0</v>
      </c>
      <c r="AB20" s="13">
        <f>SUMIFS(TMR!$D$22:$D$5012,TMR!$A$22:$A$5012,TMR!$H20,TMR!$E$22:$E$5012,TMR!AB$2)</f>
        <v>0</v>
      </c>
      <c r="AC20" s="13">
        <f>SUMIFS(TMR!$D$22:$D$5012,TMR!$A$22:$A$5012,TMR!$H20,TMR!$E$22:$E$5012,TMR!AC$2)</f>
        <v>0</v>
      </c>
      <c r="AD20" s="13">
        <f>SUMIFS(TMR!$D$22:$D$5012,TMR!$A$22:$A$5012,TMR!$H20,TMR!$E$22:$E$5012,TMR!AD$2)</f>
        <v>5411</v>
      </c>
      <c r="AE20" s="13">
        <f>SUMIFS(TMR!$D$22:$D$5012,TMR!$A$22:$A$5012,TMR!$H20,TMR!$E$22:$E$5012,TMR!AE$2)</f>
        <v>11702</v>
      </c>
      <c r="AF20" s="13">
        <f>SUMIFS(TMR!$D$22:$D$5012,TMR!$A$22:$A$5012,TMR!$H20,TMR!$E$22:$E$5012,TMR!AF$2)</f>
        <v>0</v>
      </c>
      <c r="AG20" s="13">
        <f>SUMIFS(TMR!$D$22:$D$5012,TMR!$A$22:$A$5012,TMR!$H20,TMR!$E$22:$E$5012,TMR!AG$2)</f>
        <v>0</v>
      </c>
      <c r="AH20" s="13">
        <f>SUMIFS(TMR!$D$22:$D$5012,TMR!$A$22:$A$5012,TMR!$H20,TMR!$E$22:$E$5012,TMR!AH$2)</f>
        <v>0</v>
      </c>
      <c r="AI20" s="13">
        <f>SUMIFS(TMR!$D$22:$D$5012,TMR!$A$22:$A$5012,TMR!$H20,TMR!$E$22:$E$5012,TMR!AI$2)</f>
        <v>0</v>
      </c>
      <c r="AJ20" s="13">
        <f>SUMIFS(TMR!$D$22:$D$5012,TMR!$A$22:$A$5012,TMR!$H20,TMR!$E$22:$E$5012,TMR!AJ$2)</f>
        <v>0</v>
      </c>
      <c r="AK20" s="14">
        <f>SUMIFS(TMR!$D$22:$D$5012,TMR!$A$22:$A$5012,TMR!$H20,TMR!$E$22:$E$5012,TMR!AK$2)</f>
        <v>0</v>
      </c>
      <c r="AL20" s="13">
        <f>SUMIFS(TMR!$D$22:$D$5012,TMR!$A$22:$A$5012,TMR!$H20,TMR!$E$22:$E$5012,TMR!AL$2)</f>
        <v>0</v>
      </c>
      <c r="AM20" s="13">
        <f>SUMIFS(TMR!$D$22:$D$5012,TMR!$A$22:$A$5012,TMR!$H20,TMR!$E$22:$E$5012,TMR!AM$2)</f>
        <v>0</v>
      </c>
      <c r="AN20" s="14">
        <f>SUMIFS(TMR!$D$22:$D$5012,TMR!$A$22:$A$5012,TMR!$H20,TMR!$E$22:$E$5012,TMR!AN$2)</f>
        <v>0</v>
      </c>
    </row>
    <row r="21" spans="1:40" x14ac:dyDescent="0.25">
      <c r="A21" s="107" t="s">
        <v>0</v>
      </c>
      <c r="B21" s="107" t="s">
        <v>35</v>
      </c>
      <c r="C21" s="107" t="s">
        <v>36</v>
      </c>
      <c r="D21" s="107" t="s">
        <v>302</v>
      </c>
      <c r="E21" s="41" t="s">
        <v>141</v>
      </c>
      <c r="G21" s="52">
        <f t="shared" si="1"/>
        <v>213241</v>
      </c>
      <c r="H21" s="11">
        <v>201607</v>
      </c>
      <c r="I21" s="12">
        <f>SUMIFS(TMR!$C$22:$C$5012,TMR!$A$22:$A$5012,TMR!$H21,TMR!$E$22:$E$5012,TMR!I$2)</f>
        <v>41857</v>
      </c>
      <c r="J21" s="13">
        <f>SUMIFS(TMR!$C$22:$C$5012,TMR!$A$22:$A$5012,TMR!$H21,TMR!$E$22:$E$5012,TMR!J$2)</f>
        <v>58025</v>
      </c>
      <c r="K21" s="13">
        <f>SUMIFS(TMR!$C$22:$C$5012,TMR!$A$22:$A$5012,TMR!$H21,TMR!$E$22:$E$5012,TMR!K$2)</f>
        <v>6111</v>
      </c>
      <c r="L21" s="13">
        <f>SUMIFS(TMR!$C$22:$C$5012,TMR!$A$22:$A$5012,TMR!$H21,TMR!$E$22:$E$5012,TMR!L$2)</f>
        <v>9870</v>
      </c>
      <c r="M21" s="13">
        <f>SUMIFS(TMR!$C$22:$C$5012,TMR!$A$22:$A$5012,TMR!$H21,TMR!$E$22:$E$5012,TMR!M$2)</f>
        <v>32687</v>
      </c>
      <c r="N21" s="13">
        <f>SUMIFS(TMR!$C$22:$C$5012,TMR!$A$22:$A$5012,TMR!$H21,TMR!$E$22:$E$5012,TMR!N$2)</f>
        <v>25358</v>
      </c>
      <c r="O21" s="13">
        <f>SUMIFS(TMR!$C$22:$C$5012,TMR!$A$22:$A$5012,TMR!$H21,TMR!$E$22:$E$5012,TMR!O$2)</f>
        <v>0</v>
      </c>
      <c r="P21" s="13">
        <f>SUMIFS(TMR!$C$22:$C$5012,TMR!$A$22:$A$5012,TMR!$H21,TMR!$E$22:$E$5012,TMR!P$2)</f>
        <v>0</v>
      </c>
      <c r="Q21" s="13">
        <f>SUMIFS(TMR!$C$22:$C$5012,TMR!$A$22:$A$5012,TMR!$H21,TMR!$E$22:$E$5012,TMR!Q$2)</f>
        <v>22216</v>
      </c>
      <c r="R21" s="13">
        <f>SUMIFS(TMR!$C$22:$C$5012,TMR!$A$22:$A$5012,TMR!$H21,TMR!$E$22:$E$5012,TMR!R$2)</f>
        <v>0</v>
      </c>
      <c r="S21" s="13">
        <f>SUMIFS(TMR!$C$22:$C$5012,TMR!$A$22:$A$5012,TMR!$H21,TMR!$E$22:$E$5012,TMR!S$2)</f>
        <v>2</v>
      </c>
      <c r="T21" s="14">
        <f>SUMIFS(TMR!$C$22:$C$5012,TMR!$A$22:$A$5012,TMR!$H21,TMR!$E$22:$E$5012,TMR!T$2)</f>
        <v>0</v>
      </c>
      <c r="U21" s="13">
        <f>SUMIFS(TMR!$C$22:$C$5012,TMR!$A$22:$A$5012,TMR!$H21,TMR!$E$22:$E$5012,TMR!U$2)</f>
        <v>0</v>
      </c>
      <c r="V21" s="13">
        <f>SUMIFS(TMR!$C$22:$C$5012,TMR!$A$22:$A$5012,TMR!$H21,TMR!$E$22:$E$5012,TMR!V$2)</f>
        <v>32309</v>
      </c>
      <c r="W21" s="14">
        <f>SUMIFS(TMR!$C$22:$C$5012,TMR!$A$22:$A$5012,TMR!$H21,TMR!$E$22:$E$5012,TMR!W$2)</f>
        <v>1176</v>
      </c>
      <c r="Y21" s="11">
        <v>201607</v>
      </c>
      <c r="Z21" s="12">
        <f>SUMIFS(TMR!$D$22:$D$5012,TMR!$A$22:$A$5012,TMR!$H21,TMR!$E$22:$E$5012,TMR!Z$2)</f>
        <v>0</v>
      </c>
      <c r="AA21" s="13">
        <f>SUMIFS(TMR!$D$22:$D$5012,TMR!$A$22:$A$5012,TMR!$H21,TMR!$E$22:$E$5012,TMR!AA$2)</f>
        <v>0</v>
      </c>
      <c r="AB21" s="13">
        <f>SUMIFS(TMR!$D$22:$D$5012,TMR!$A$22:$A$5012,TMR!$H21,TMR!$E$22:$E$5012,TMR!AB$2)</f>
        <v>0</v>
      </c>
      <c r="AC21" s="13">
        <f>SUMIFS(TMR!$D$22:$D$5012,TMR!$A$22:$A$5012,TMR!$H21,TMR!$E$22:$E$5012,TMR!AC$2)</f>
        <v>0</v>
      </c>
      <c r="AD21" s="13">
        <f>SUMIFS(TMR!$D$22:$D$5012,TMR!$A$22:$A$5012,TMR!$H21,TMR!$E$22:$E$5012,TMR!AD$2)</f>
        <v>5465</v>
      </c>
      <c r="AE21" s="13">
        <f>SUMIFS(TMR!$D$22:$D$5012,TMR!$A$22:$A$5012,TMR!$H21,TMR!$E$22:$E$5012,TMR!AE$2)</f>
        <v>11650</v>
      </c>
      <c r="AF21" s="13">
        <f>SUMIFS(TMR!$D$22:$D$5012,TMR!$A$22:$A$5012,TMR!$H21,TMR!$E$22:$E$5012,TMR!AF$2)</f>
        <v>0</v>
      </c>
      <c r="AG21" s="13">
        <f>SUMIFS(TMR!$D$22:$D$5012,TMR!$A$22:$A$5012,TMR!$H21,TMR!$E$22:$E$5012,TMR!AG$2)</f>
        <v>0</v>
      </c>
      <c r="AH21" s="13">
        <f>SUMIFS(TMR!$D$22:$D$5012,TMR!$A$22:$A$5012,TMR!$H21,TMR!$E$22:$E$5012,TMR!AH$2)</f>
        <v>0</v>
      </c>
      <c r="AI21" s="13">
        <f>SUMIFS(TMR!$D$22:$D$5012,TMR!$A$22:$A$5012,TMR!$H21,TMR!$E$22:$E$5012,TMR!AI$2)</f>
        <v>0</v>
      </c>
      <c r="AJ21" s="13">
        <f>SUMIFS(TMR!$D$22:$D$5012,TMR!$A$22:$A$5012,TMR!$H21,TMR!$E$22:$E$5012,TMR!AJ$2)</f>
        <v>0</v>
      </c>
      <c r="AK21" s="14">
        <f>SUMIFS(TMR!$D$22:$D$5012,TMR!$A$22:$A$5012,TMR!$H21,TMR!$E$22:$E$5012,TMR!AK$2)</f>
        <v>0</v>
      </c>
      <c r="AL21" s="13">
        <f>SUMIFS(TMR!$D$22:$D$5012,TMR!$A$22:$A$5012,TMR!$H21,TMR!$E$22:$E$5012,TMR!AL$2)</f>
        <v>0</v>
      </c>
      <c r="AM21" s="13">
        <f>SUMIFS(TMR!$D$22:$D$5012,TMR!$A$22:$A$5012,TMR!$H21,TMR!$E$22:$E$5012,TMR!AM$2)</f>
        <v>0</v>
      </c>
      <c r="AN21" s="14">
        <f>SUMIFS(TMR!$D$22:$D$5012,TMR!$A$22:$A$5012,TMR!$H21,TMR!$E$22:$E$5012,TMR!AN$2)</f>
        <v>0</v>
      </c>
    </row>
    <row r="22" spans="1:40" x14ac:dyDescent="0.25">
      <c r="A22" s="108">
        <v>201307</v>
      </c>
      <c r="B22" s="109" t="s">
        <v>53</v>
      </c>
      <c r="C22" s="108">
        <v>259</v>
      </c>
      <c r="D22" s="110"/>
      <c r="E22" t="str">
        <f>VLOOKUP(B22,CAC!$A$2:$B$198,2,FALSE)</f>
        <v>HMOPMR</v>
      </c>
      <c r="G22" s="52">
        <f t="shared" si="1"/>
        <v>212285</v>
      </c>
      <c r="H22" s="11">
        <v>201608</v>
      </c>
      <c r="I22" s="12">
        <f>SUMIFS(TMR!$C$22:$C$5012,TMR!$A$22:$A$5012,TMR!$H22,TMR!$E$22:$E$5012,TMR!I$2)</f>
        <v>41306</v>
      </c>
      <c r="J22" s="13">
        <f>SUMIFS(TMR!$C$22:$C$5012,TMR!$A$22:$A$5012,TMR!$H22,TMR!$E$22:$E$5012,TMR!J$2)</f>
        <v>57997</v>
      </c>
      <c r="K22" s="13">
        <f>SUMIFS(TMR!$C$22:$C$5012,TMR!$A$22:$A$5012,TMR!$H22,TMR!$E$22:$E$5012,TMR!K$2)</f>
        <v>6071</v>
      </c>
      <c r="L22" s="13">
        <f>SUMIFS(TMR!$C$22:$C$5012,TMR!$A$22:$A$5012,TMR!$H22,TMR!$E$22:$E$5012,TMR!L$2)</f>
        <v>9828</v>
      </c>
      <c r="M22" s="13">
        <f>SUMIFS(TMR!$C$22:$C$5012,TMR!$A$22:$A$5012,TMR!$H22,TMR!$E$22:$E$5012,TMR!M$2)</f>
        <v>32544</v>
      </c>
      <c r="N22" s="13">
        <f>SUMIFS(TMR!$C$22:$C$5012,TMR!$A$22:$A$5012,TMR!$H22,TMR!$E$22:$E$5012,TMR!N$2)</f>
        <v>25217</v>
      </c>
      <c r="O22" s="13">
        <f>SUMIFS(TMR!$C$22:$C$5012,TMR!$A$22:$A$5012,TMR!$H22,TMR!$E$22:$E$5012,TMR!O$2)</f>
        <v>0</v>
      </c>
      <c r="P22" s="13">
        <f>SUMIFS(TMR!$C$22:$C$5012,TMR!$A$22:$A$5012,TMR!$H22,TMR!$E$22:$E$5012,TMR!P$2)</f>
        <v>0</v>
      </c>
      <c r="Q22" s="13">
        <f>SUMIFS(TMR!$C$22:$C$5012,TMR!$A$22:$A$5012,TMR!$H22,TMR!$E$22:$E$5012,TMR!Q$2)</f>
        <v>22298</v>
      </c>
      <c r="R22" s="13">
        <f>SUMIFS(TMR!$C$22:$C$5012,TMR!$A$22:$A$5012,TMR!$H22,TMR!$E$22:$E$5012,TMR!R$2)</f>
        <v>0</v>
      </c>
      <c r="S22" s="13">
        <f>SUMIFS(TMR!$C$22:$C$5012,TMR!$A$22:$A$5012,TMR!$H22,TMR!$E$22:$E$5012,TMR!S$2)</f>
        <v>2</v>
      </c>
      <c r="T22" s="14">
        <f>SUMIFS(TMR!$C$22:$C$5012,TMR!$A$22:$A$5012,TMR!$H22,TMR!$E$22:$E$5012,TMR!T$2)</f>
        <v>0</v>
      </c>
      <c r="U22" s="13">
        <f>SUMIFS(TMR!$C$22:$C$5012,TMR!$A$22:$A$5012,TMR!$H22,TMR!$E$22:$E$5012,TMR!U$2)</f>
        <v>0</v>
      </c>
      <c r="V22" s="13">
        <f>SUMIFS(TMR!$C$22:$C$5012,TMR!$A$22:$A$5012,TMR!$H22,TMR!$E$22:$E$5012,TMR!V$2)</f>
        <v>32372</v>
      </c>
      <c r="W22" s="14">
        <f>SUMIFS(TMR!$C$22:$C$5012,TMR!$A$22:$A$5012,TMR!$H22,TMR!$E$22:$E$5012,TMR!W$2)</f>
        <v>1181</v>
      </c>
      <c r="Y22" s="11">
        <v>201608</v>
      </c>
      <c r="Z22" s="12">
        <f>SUMIFS(TMR!$D$22:$D$5012,TMR!$A$22:$A$5012,TMR!$H22,TMR!$E$22:$E$5012,TMR!Z$2)</f>
        <v>0</v>
      </c>
      <c r="AA22" s="13">
        <f>SUMIFS(TMR!$D$22:$D$5012,TMR!$A$22:$A$5012,TMR!$H22,TMR!$E$22:$E$5012,TMR!AA$2)</f>
        <v>0</v>
      </c>
      <c r="AB22" s="13">
        <f>SUMIFS(TMR!$D$22:$D$5012,TMR!$A$22:$A$5012,TMR!$H22,TMR!$E$22:$E$5012,TMR!AB$2)</f>
        <v>0</v>
      </c>
      <c r="AC22" s="13">
        <f>SUMIFS(TMR!$D$22:$D$5012,TMR!$A$22:$A$5012,TMR!$H22,TMR!$E$22:$E$5012,TMR!AC$2)</f>
        <v>0</v>
      </c>
      <c r="AD22" s="13">
        <f>SUMIFS(TMR!$D$22:$D$5012,TMR!$A$22:$A$5012,TMR!$H22,TMR!$E$22:$E$5012,TMR!AD$2)</f>
        <v>5434</v>
      </c>
      <c r="AE22" s="13">
        <f>SUMIFS(TMR!$D$22:$D$5012,TMR!$A$22:$A$5012,TMR!$H22,TMR!$E$22:$E$5012,TMR!AE$2)</f>
        <v>11588</v>
      </c>
      <c r="AF22" s="13">
        <f>SUMIFS(TMR!$D$22:$D$5012,TMR!$A$22:$A$5012,TMR!$H22,TMR!$E$22:$E$5012,TMR!AF$2)</f>
        <v>0</v>
      </c>
      <c r="AG22" s="13">
        <f>SUMIFS(TMR!$D$22:$D$5012,TMR!$A$22:$A$5012,TMR!$H22,TMR!$E$22:$E$5012,TMR!AG$2)</f>
        <v>0</v>
      </c>
      <c r="AH22" s="13">
        <f>SUMIFS(TMR!$D$22:$D$5012,TMR!$A$22:$A$5012,TMR!$H22,TMR!$E$22:$E$5012,TMR!AH$2)</f>
        <v>0</v>
      </c>
      <c r="AI22" s="13">
        <f>SUMIFS(TMR!$D$22:$D$5012,TMR!$A$22:$A$5012,TMR!$H22,TMR!$E$22:$E$5012,TMR!AI$2)</f>
        <v>0</v>
      </c>
      <c r="AJ22" s="13">
        <f>SUMIFS(TMR!$D$22:$D$5012,TMR!$A$22:$A$5012,TMR!$H22,TMR!$E$22:$E$5012,TMR!AJ$2)</f>
        <v>0</v>
      </c>
      <c r="AK22" s="14">
        <f>SUMIFS(TMR!$D$22:$D$5012,TMR!$A$22:$A$5012,TMR!$H22,TMR!$E$22:$E$5012,TMR!AK$2)</f>
        <v>0</v>
      </c>
      <c r="AL22" s="13">
        <f>SUMIFS(TMR!$D$22:$D$5012,TMR!$A$22:$A$5012,TMR!$H22,TMR!$E$22:$E$5012,TMR!AL$2)</f>
        <v>0</v>
      </c>
      <c r="AM22" s="13">
        <f>SUMIFS(TMR!$D$22:$D$5012,TMR!$A$22:$A$5012,TMR!$H22,TMR!$E$22:$E$5012,TMR!AM$2)</f>
        <v>0</v>
      </c>
      <c r="AN22" s="14">
        <f>SUMIFS(TMR!$D$22:$D$5012,TMR!$A$22:$A$5012,TMR!$H22,TMR!$E$22:$E$5012,TMR!AN$2)</f>
        <v>0</v>
      </c>
    </row>
    <row r="23" spans="1:40" x14ac:dyDescent="0.25">
      <c r="A23" s="108">
        <v>201308</v>
      </c>
      <c r="B23" s="109" t="s">
        <v>53</v>
      </c>
      <c r="C23" s="108">
        <v>254</v>
      </c>
      <c r="D23" s="110"/>
      <c r="E23" t="str">
        <f>VLOOKUP(B23,CAC!$A$2:$B$198,2,FALSE)</f>
        <v>HMOPMR</v>
      </c>
      <c r="G23" s="52">
        <f t="shared" si="1"/>
        <v>211607</v>
      </c>
      <c r="H23" s="11">
        <v>201609</v>
      </c>
      <c r="I23" s="12">
        <f>SUMIFS(TMR!$C$22:$C$5012,TMR!$A$22:$A$5012,TMR!$H23,TMR!$E$22:$E$5012,TMR!I$2)</f>
        <v>40654</v>
      </c>
      <c r="J23" s="13">
        <f>SUMIFS(TMR!$C$22:$C$5012,TMR!$A$22:$A$5012,TMR!$H23,TMR!$E$22:$E$5012,TMR!J$2)</f>
        <v>58134</v>
      </c>
      <c r="K23" s="13">
        <f>SUMIFS(TMR!$C$22:$C$5012,TMR!$A$22:$A$5012,TMR!$H23,TMR!$E$22:$E$5012,TMR!K$2)</f>
        <v>6060</v>
      </c>
      <c r="L23" s="13">
        <f>SUMIFS(TMR!$C$22:$C$5012,TMR!$A$22:$A$5012,TMR!$H23,TMR!$E$22:$E$5012,TMR!L$2)</f>
        <v>9932</v>
      </c>
      <c r="M23" s="13">
        <f>SUMIFS(TMR!$C$22:$C$5012,TMR!$A$22:$A$5012,TMR!$H23,TMR!$E$22:$E$5012,TMR!M$2)</f>
        <v>32449</v>
      </c>
      <c r="N23" s="13">
        <f>SUMIFS(TMR!$C$22:$C$5012,TMR!$A$22:$A$5012,TMR!$H23,TMR!$E$22:$E$5012,TMR!N$2)</f>
        <v>24980</v>
      </c>
      <c r="O23" s="13">
        <f>SUMIFS(TMR!$C$22:$C$5012,TMR!$A$22:$A$5012,TMR!$H23,TMR!$E$22:$E$5012,TMR!O$2)</f>
        <v>0</v>
      </c>
      <c r="P23" s="13">
        <f>SUMIFS(TMR!$C$22:$C$5012,TMR!$A$22:$A$5012,TMR!$H23,TMR!$E$22:$E$5012,TMR!P$2)</f>
        <v>0</v>
      </c>
      <c r="Q23" s="13">
        <f>SUMIFS(TMR!$C$22:$C$5012,TMR!$A$22:$A$5012,TMR!$H23,TMR!$E$22:$E$5012,TMR!Q$2)</f>
        <v>22415</v>
      </c>
      <c r="R23" s="13">
        <f>SUMIFS(TMR!$C$22:$C$5012,TMR!$A$22:$A$5012,TMR!$H23,TMR!$E$22:$E$5012,TMR!R$2)</f>
        <v>0</v>
      </c>
      <c r="S23" s="13">
        <f>SUMIFS(TMR!$C$22:$C$5012,TMR!$A$22:$A$5012,TMR!$H23,TMR!$E$22:$E$5012,TMR!S$2)</f>
        <v>2</v>
      </c>
      <c r="T23" s="14">
        <f>SUMIFS(TMR!$C$22:$C$5012,TMR!$A$22:$A$5012,TMR!$H23,TMR!$E$22:$E$5012,TMR!T$2)</f>
        <v>0</v>
      </c>
      <c r="U23" s="13">
        <f>SUMIFS(TMR!$C$22:$C$5012,TMR!$A$22:$A$5012,TMR!$H23,TMR!$E$22:$E$5012,TMR!U$2)</f>
        <v>0</v>
      </c>
      <c r="V23" s="13">
        <f>SUMIFS(TMR!$C$22:$C$5012,TMR!$A$22:$A$5012,TMR!$H23,TMR!$E$22:$E$5012,TMR!V$2)</f>
        <v>32470</v>
      </c>
      <c r="W23" s="14">
        <f>SUMIFS(TMR!$C$22:$C$5012,TMR!$A$22:$A$5012,TMR!$H23,TMR!$E$22:$E$5012,TMR!W$2)</f>
        <v>1174</v>
      </c>
      <c r="Y23" s="11">
        <v>201609</v>
      </c>
      <c r="Z23" s="12">
        <f>SUMIFS(TMR!$D$22:$D$5012,TMR!$A$22:$A$5012,TMR!$H23,TMR!$E$22:$E$5012,TMR!Z$2)</f>
        <v>0</v>
      </c>
      <c r="AA23" s="13">
        <f>SUMIFS(TMR!$D$22:$D$5012,TMR!$A$22:$A$5012,TMR!$H23,TMR!$E$22:$E$5012,TMR!AA$2)</f>
        <v>0</v>
      </c>
      <c r="AB23" s="13">
        <f>SUMIFS(TMR!$D$22:$D$5012,TMR!$A$22:$A$5012,TMR!$H23,TMR!$E$22:$E$5012,TMR!AB$2)</f>
        <v>0</v>
      </c>
      <c r="AC23" s="13">
        <f>SUMIFS(TMR!$D$22:$D$5012,TMR!$A$22:$A$5012,TMR!$H23,TMR!$E$22:$E$5012,TMR!AC$2)</f>
        <v>0</v>
      </c>
      <c r="AD23" s="13">
        <f>SUMIFS(TMR!$D$22:$D$5012,TMR!$A$22:$A$5012,TMR!$H23,TMR!$E$22:$E$5012,TMR!AD$2)</f>
        <v>5459</v>
      </c>
      <c r="AE23" s="13">
        <f>SUMIFS(TMR!$D$22:$D$5012,TMR!$A$22:$A$5012,TMR!$H23,TMR!$E$22:$E$5012,TMR!AE$2)</f>
        <v>11522</v>
      </c>
      <c r="AF23" s="13">
        <f>SUMIFS(TMR!$D$22:$D$5012,TMR!$A$22:$A$5012,TMR!$H23,TMR!$E$22:$E$5012,TMR!AF$2)</f>
        <v>0</v>
      </c>
      <c r="AG23" s="13">
        <f>SUMIFS(TMR!$D$22:$D$5012,TMR!$A$22:$A$5012,TMR!$H23,TMR!$E$22:$E$5012,TMR!AG$2)</f>
        <v>0</v>
      </c>
      <c r="AH23" s="13">
        <f>SUMIFS(TMR!$D$22:$D$5012,TMR!$A$22:$A$5012,TMR!$H23,TMR!$E$22:$E$5012,TMR!AH$2)</f>
        <v>0</v>
      </c>
      <c r="AI23" s="13">
        <f>SUMIFS(TMR!$D$22:$D$5012,TMR!$A$22:$A$5012,TMR!$H23,TMR!$E$22:$E$5012,TMR!AI$2)</f>
        <v>0</v>
      </c>
      <c r="AJ23" s="13">
        <f>SUMIFS(TMR!$D$22:$D$5012,TMR!$A$22:$A$5012,TMR!$H23,TMR!$E$22:$E$5012,TMR!AJ$2)</f>
        <v>0</v>
      </c>
      <c r="AK23" s="14">
        <f>SUMIFS(TMR!$D$22:$D$5012,TMR!$A$22:$A$5012,TMR!$H23,TMR!$E$22:$E$5012,TMR!AK$2)</f>
        <v>0</v>
      </c>
      <c r="AL23" s="13">
        <f>SUMIFS(TMR!$D$22:$D$5012,TMR!$A$22:$A$5012,TMR!$H23,TMR!$E$22:$E$5012,TMR!AL$2)</f>
        <v>0</v>
      </c>
      <c r="AM23" s="13">
        <f>SUMIFS(TMR!$D$22:$D$5012,TMR!$A$22:$A$5012,TMR!$H23,TMR!$E$22:$E$5012,TMR!AM$2)</f>
        <v>0</v>
      </c>
      <c r="AN23" s="14">
        <f>SUMIFS(TMR!$D$22:$D$5012,TMR!$A$22:$A$5012,TMR!$H23,TMR!$E$22:$E$5012,TMR!AN$2)</f>
        <v>0</v>
      </c>
    </row>
    <row r="24" spans="1:40" x14ac:dyDescent="0.25">
      <c r="A24" s="108">
        <v>201309</v>
      </c>
      <c r="B24" s="109" t="s">
        <v>53</v>
      </c>
      <c r="C24" s="108">
        <v>263</v>
      </c>
      <c r="D24" s="110"/>
      <c r="E24" t="str">
        <f>VLOOKUP(B24,CAC!$A$2:$B$198,2,FALSE)</f>
        <v>HMOPMR</v>
      </c>
      <c r="G24" s="52">
        <f t="shared" si="1"/>
        <v>210755</v>
      </c>
      <c r="H24" s="11">
        <v>201610</v>
      </c>
      <c r="I24" s="12">
        <f>SUMIFS(TMR!$C$22:$C$5012,TMR!$A$22:$A$5012,TMR!$H24,TMR!$E$22:$E$5012,TMR!I$2)</f>
        <v>40241</v>
      </c>
      <c r="J24" s="13">
        <f>SUMIFS(TMR!$C$22:$C$5012,TMR!$A$22:$A$5012,TMR!$H24,TMR!$E$22:$E$5012,TMR!J$2)</f>
        <v>58024</v>
      </c>
      <c r="K24" s="13">
        <f>SUMIFS(TMR!$C$22:$C$5012,TMR!$A$22:$A$5012,TMR!$H24,TMR!$E$22:$E$5012,TMR!K$2)</f>
        <v>5999</v>
      </c>
      <c r="L24" s="13">
        <f>SUMIFS(TMR!$C$22:$C$5012,TMR!$A$22:$A$5012,TMR!$H24,TMR!$E$22:$E$5012,TMR!L$2)</f>
        <v>9713</v>
      </c>
      <c r="M24" s="13">
        <f>SUMIFS(TMR!$C$22:$C$5012,TMR!$A$22:$A$5012,TMR!$H24,TMR!$E$22:$E$5012,TMR!M$2)</f>
        <v>32376</v>
      </c>
      <c r="N24" s="13">
        <f>SUMIFS(TMR!$C$22:$C$5012,TMR!$A$22:$A$5012,TMR!$H24,TMR!$E$22:$E$5012,TMR!N$2)</f>
        <v>24688</v>
      </c>
      <c r="O24" s="13">
        <f>SUMIFS(TMR!$C$22:$C$5012,TMR!$A$22:$A$5012,TMR!$H24,TMR!$E$22:$E$5012,TMR!O$2)</f>
        <v>0</v>
      </c>
      <c r="P24" s="13">
        <f>SUMIFS(TMR!$C$22:$C$5012,TMR!$A$22:$A$5012,TMR!$H24,TMR!$E$22:$E$5012,TMR!P$2)</f>
        <v>0</v>
      </c>
      <c r="Q24" s="13">
        <f>SUMIFS(TMR!$C$22:$C$5012,TMR!$A$22:$A$5012,TMR!$H24,TMR!$E$22:$E$5012,TMR!Q$2)</f>
        <v>22893</v>
      </c>
      <c r="R24" s="13">
        <f>SUMIFS(TMR!$C$22:$C$5012,TMR!$A$22:$A$5012,TMR!$H24,TMR!$E$22:$E$5012,TMR!R$2)</f>
        <v>0</v>
      </c>
      <c r="S24" s="13">
        <f>SUMIFS(TMR!$C$22:$C$5012,TMR!$A$22:$A$5012,TMR!$H24,TMR!$E$22:$E$5012,TMR!S$2)</f>
        <v>2</v>
      </c>
      <c r="T24" s="14">
        <f>SUMIFS(TMR!$C$22:$C$5012,TMR!$A$22:$A$5012,TMR!$H24,TMR!$E$22:$E$5012,TMR!T$2)</f>
        <v>0</v>
      </c>
      <c r="U24" s="13">
        <f>SUMIFS(TMR!$C$22:$C$5012,TMR!$A$22:$A$5012,TMR!$H24,TMR!$E$22:$E$5012,TMR!U$2)</f>
        <v>0</v>
      </c>
      <c r="V24" s="13">
        <f>SUMIFS(TMR!$C$22:$C$5012,TMR!$A$22:$A$5012,TMR!$H24,TMR!$E$22:$E$5012,TMR!V$2)</f>
        <v>31803</v>
      </c>
      <c r="W24" s="14">
        <f>SUMIFS(TMR!$C$22:$C$5012,TMR!$A$22:$A$5012,TMR!$H24,TMR!$E$22:$E$5012,TMR!W$2)</f>
        <v>1168</v>
      </c>
      <c r="Y24" s="11">
        <v>201610</v>
      </c>
      <c r="Z24" s="12">
        <f>SUMIFS(TMR!$D$22:$D$5012,TMR!$A$22:$A$5012,TMR!$H24,TMR!$E$22:$E$5012,TMR!Z$2)</f>
        <v>0</v>
      </c>
      <c r="AA24" s="13">
        <f>SUMIFS(TMR!$D$22:$D$5012,TMR!$A$22:$A$5012,TMR!$H24,TMR!$E$22:$E$5012,TMR!AA$2)</f>
        <v>0</v>
      </c>
      <c r="AB24" s="13">
        <f>SUMIFS(TMR!$D$22:$D$5012,TMR!$A$22:$A$5012,TMR!$H24,TMR!$E$22:$E$5012,TMR!AB$2)</f>
        <v>0</v>
      </c>
      <c r="AC24" s="13">
        <f>SUMIFS(TMR!$D$22:$D$5012,TMR!$A$22:$A$5012,TMR!$H24,TMR!$E$22:$E$5012,TMR!AC$2)</f>
        <v>0</v>
      </c>
      <c r="AD24" s="13">
        <f>SUMIFS(TMR!$D$22:$D$5012,TMR!$A$22:$A$5012,TMR!$H24,TMR!$E$22:$E$5012,TMR!AD$2)</f>
        <v>5437</v>
      </c>
      <c r="AE24" s="13">
        <f>SUMIFS(TMR!$D$22:$D$5012,TMR!$A$22:$A$5012,TMR!$H24,TMR!$E$22:$E$5012,TMR!AE$2)</f>
        <v>11382</v>
      </c>
      <c r="AF24" s="13">
        <f>SUMIFS(TMR!$D$22:$D$5012,TMR!$A$22:$A$5012,TMR!$H24,TMR!$E$22:$E$5012,TMR!AF$2)</f>
        <v>0</v>
      </c>
      <c r="AG24" s="13">
        <f>SUMIFS(TMR!$D$22:$D$5012,TMR!$A$22:$A$5012,TMR!$H24,TMR!$E$22:$E$5012,TMR!AG$2)</f>
        <v>0</v>
      </c>
      <c r="AH24" s="13">
        <f>SUMIFS(TMR!$D$22:$D$5012,TMR!$A$22:$A$5012,TMR!$H24,TMR!$E$22:$E$5012,TMR!AH$2)</f>
        <v>0</v>
      </c>
      <c r="AI24" s="13">
        <f>SUMIFS(TMR!$D$22:$D$5012,TMR!$A$22:$A$5012,TMR!$H24,TMR!$E$22:$E$5012,TMR!AI$2)</f>
        <v>0</v>
      </c>
      <c r="AJ24" s="13">
        <f>SUMIFS(TMR!$D$22:$D$5012,TMR!$A$22:$A$5012,TMR!$H24,TMR!$E$22:$E$5012,TMR!AJ$2)</f>
        <v>0</v>
      </c>
      <c r="AK24" s="14">
        <f>SUMIFS(TMR!$D$22:$D$5012,TMR!$A$22:$A$5012,TMR!$H24,TMR!$E$22:$E$5012,TMR!AK$2)</f>
        <v>0</v>
      </c>
      <c r="AL24" s="13">
        <f>SUMIFS(TMR!$D$22:$D$5012,TMR!$A$22:$A$5012,TMR!$H24,TMR!$E$22:$E$5012,TMR!AL$2)</f>
        <v>0</v>
      </c>
      <c r="AM24" s="13">
        <f>SUMIFS(TMR!$D$22:$D$5012,TMR!$A$22:$A$5012,TMR!$H24,TMR!$E$22:$E$5012,TMR!AM$2)</f>
        <v>0</v>
      </c>
      <c r="AN24" s="14">
        <f>SUMIFS(TMR!$D$22:$D$5012,TMR!$A$22:$A$5012,TMR!$H24,TMR!$E$22:$E$5012,TMR!AN$2)</f>
        <v>0</v>
      </c>
    </row>
    <row r="25" spans="1:40" x14ac:dyDescent="0.25">
      <c r="A25" s="108">
        <v>201310</v>
      </c>
      <c r="B25" s="109" t="s">
        <v>53</v>
      </c>
      <c r="C25" s="108">
        <v>6309</v>
      </c>
      <c r="D25" s="110"/>
      <c r="E25" t="str">
        <f>VLOOKUP(B25,CAC!$A$2:$B$198,2,FALSE)</f>
        <v>HMOPMR</v>
      </c>
      <c r="G25" s="52">
        <f t="shared" si="1"/>
        <v>210118</v>
      </c>
      <c r="H25" s="11">
        <v>201611</v>
      </c>
      <c r="I25" s="12">
        <f>SUMIFS(TMR!$C$22:$C$5012,TMR!$A$22:$A$5012,TMR!$H25,TMR!$E$22:$E$5012,TMR!I$2)</f>
        <v>39790</v>
      </c>
      <c r="J25" s="13">
        <f>SUMIFS(TMR!$C$22:$C$5012,TMR!$A$22:$A$5012,TMR!$H25,TMR!$E$22:$E$5012,TMR!J$2)</f>
        <v>58067</v>
      </c>
      <c r="K25" s="13">
        <f>SUMIFS(TMR!$C$22:$C$5012,TMR!$A$22:$A$5012,TMR!$H25,TMR!$E$22:$E$5012,TMR!K$2)</f>
        <v>5978</v>
      </c>
      <c r="L25" s="13">
        <f>SUMIFS(TMR!$C$22:$C$5012,TMR!$A$22:$A$5012,TMR!$H25,TMR!$E$22:$E$5012,TMR!L$2)</f>
        <v>9756</v>
      </c>
      <c r="M25" s="13">
        <f>SUMIFS(TMR!$C$22:$C$5012,TMR!$A$22:$A$5012,TMR!$H25,TMR!$E$22:$E$5012,TMR!M$2)</f>
        <v>32297</v>
      </c>
      <c r="N25" s="13">
        <f>SUMIFS(TMR!$C$22:$C$5012,TMR!$A$22:$A$5012,TMR!$H25,TMR!$E$22:$E$5012,TMR!N$2)</f>
        <v>24475</v>
      </c>
      <c r="O25" s="13">
        <f>SUMIFS(TMR!$C$22:$C$5012,TMR!$A$22:$A$5012,TMR!$H25,TMR!$E$22:$E$5012,TMR!O$2)</f>
        <v>0</v>
      </c>
      <c r="P25" s="13">
        <f>SUMIFS(TMR!$C$22:$C$5012,TMR!$A$22:$A$5012,TMR!$H25,TMR!$E$22:$E$5012,TMR!P$2)</f>
        <v>0</v>
      </c>
      <c r="Q25" s="13">
        <f>SUMIFS(TMR!$C$22:$C$5012,TMR!$A$22:$A$5012,TMR!$H25,TMR!$E$22:$E$5012,TMR!Q$2)</f>
        <v>23039</v>
      </c>
      <c r="R25" s="13">
        <f>SUMIFS(TMR!$C$22:$C$5012,TMR!$A$22:$A$5012,TMR!$H25,TMR!$E$22:$E$5012,TMR!R$2)</f>
        <v>0</v>
      </c>
      <c r="S25" s="13">
        <f>SUMIFS(TMR!$C$22:$C$5012,TMR!$A$22:$A$5012,TMR!$H25,TMR!$E$22:$E$5012,TMR!S$2)</f>
        <v>1</v>
      </c>
      <c r="T25" s="14">
        <f>SUMIFS(TMR!$C$22:$C$5012,TMR!$A$22:$A$5012,TMR!$H25,TMR!$E$22:$E$5012,TMR!T$2)</f>
        <v>0</v>
      </c>
      <c r="U25" s="13">
        <f>SUMIFS(TMR!$C$22:$C$5012,TMR!$A$22:$A$5012,TMR!$H25,TMR!$E$22:$E$5012,TMR!U$2)</f>
        <v>0</v>
      </c>
      <c r="V25" s="13">
        <f>SUMIFS(TMR!$C$22:$C$5012,TMR!$A$22:$A$5012,TMR!$H25,TMR!$E$22:$E$5012,TMR!V$2)</f>
        <v>31816</v>
      </c>
      <c r="W25" s="14">
        <f>SUMIFS(TMR!$C$22:$C$5012,TMR!$A$22:$A$5012,TMR!$H25,TMR!$E$22:$E$5012,TMR!W$2)</f>
        <v>1176</v>
      </c>
      <c r="Y25" s="11">
        <v>201611</v>
      </c>
      <c r="Z25" s="12">
        <f>SUMIFS(TMR!$D$22:$D$5012,TMR!$A$22:$A$5012,TMR!$H25,TMR!$E$22:$E$5012,TMR!Z$2)</f>
        <v>0</v>
      </c>
      <c r="AA25" s="13">
        <f>SUMIFS(TMR!$D$22:$D$5012,TMR!$A$22:$A$5012,TMR!$H25,TMR!$E$22:$E$5012,TMR!AA$2)</f>
        <v>0</v>
      </c>
      <c r="AB25" s="13">
        <f>SUMIFS(TMR!$D$22:$D$5012,TMR!$A$22:$A$5012,TMR!$H25,TMR!$E$22:$E$5012,TMR!AB$2)</f>
        <v>0</v>
      </c>
      <c r="AC25" s="13">
        <f>SUMIFS(TMR!$D$22:$D$5012,TMR!$A$22:$A$5012,TMR!$H25,TMR!$E$22:$E$5012,TMR!AC$2)</f>
        <v>0</v>
      </c>
      <c r="AD25" s="13">
        <f>SUMIFS(TMR!$D$22:$D$5012,TMR!$A$22:$A$5012,TMR!$H25,TMR!$E$22:$E$5012,TMR!AD$2)</f>
        <v>5413</v>
      </c>
      <c r="AE25" s="13">
        <f>SUMIFS(TMR!$D$22:$D$5012,TMR!$A$22:$A$5012,TMR!$H25,TMR!$E$22:$E$5012,TMR!AE$2)</f>
        <v>11302</v>
      </c>
      <c r="AF25" s="13">
        <f>SUMIFS(TMR!$D$22:$D$5012,TMR!$A$22:$A$5012,TMR!$H25,TMR!$E$22:$E$5012,TMR!AF$2)</f>
        <v>0</v>
      </c>
      <c r="AG25" s="13">
        <f>SUMIFS(TMR!$D$22:$D$5012,TMR!$A$22:$A$5012,TMR!$H25,TMR!$E$22:$E$5012,TMR!AG$2)</f>
        <v>0</v>
      </c>
      <c r="AH25" s="13">
        <f>SUMIFS(TMR!$D$22:$D$5012,TMR!$A$22:$A$5012,TMR!$H25,TMR!$E$22:$E$5012,TMR!AH$2)</f>
        <v>0</v>
      </c>
      <c r="AI25" s="13">
        <f>SUMIFS(TMR!$D$22:$D$5012,TMR!$A$22:$A$5012,TMR!$H25,TMR!$E$22:$E$5012,TMR!AI$2)</f>
        <v>0</v>
      </c>
      <c r="AJ25" s="13">
        <f>SUMIFS(TMR!$D$22:$D$5012,TMR!$A$22:$A$5012,TMR!$H25,TMR!$E$22:$E$5012,TMR!AJ$2)</f>
        <v>0</v>
      </c>
      <c r="AK25" s="14">
        <f>SUMIFS(TMR!$D$22:$D$5012,TMR!$A$22:$A$5012,TMR!$H25,TMR!$E$22:$E$5012,TMR!AK$2)</f>
        <v>0</v>
      </c>
      <c r="AL25" s="13">
        <f>SUMIFS(TMR!$D$22:$D$5012,TMR!$A$22:$A$5012,TMR!$H25,TMR!$E$22:$E$5012,TMR!AL$2)</f>
        <v>0</v>
      </c>
      <c r="AM25" s="13">
        <f>SUMIFS(TMR!$D$22:$D$5012,TMR!$A$22:$A$5012,TMR!$H25,TMR!$E$22:$E$5012,TMR!AM$2)</f>
        <v>0</v>
      </c>
      <c r="AN25" s="14">
        <f>SUMIFS(TMR!$D$22:$D$5012,TMR!$A$22:$A$5012,TMR!$H25,TMR!$E$22:$E$5012,TMR!AN$2)</f>
        <v>0</v>
      </c>
    </row>
    <row r="26" spans="1:40" x14ac:dyDescent="0.25">
      <c r="A26" s="108">
        <v>201311</v>
      </c>
      <c r="B26" s="109" t="s">
        <v>53</v>
      </c>
      <c r="C26" s="108">
        <v>6316</v>
      </c>
      <c r="D26" s="110"/>
      <c r="E26" t="str">
        <f>VLOOKUP(B26,CAC!$A$2:$B$198,2,FALSE)</f>
        <v>HMOPMR</v>
      </c>
      <c r="G26" s="52">
        <f t="shared" si="1"/>
        <v>208961</v>
      </c>
      <c r="H26" s="11">
        <v>201612</v>
      </c>
      <c r="I26" s="12">
        <f>SUMIFS(TMR!$C$22:$C$5012,TMR!$A$22:$A$5012,TMR!$H26,TMR!$E$22:$E$5012,TMR!I$2)</f>
        <v>35685</v>
      </c>
      <c r="J26" s="13">
        <f>SUMIFS(TMR!$C$22:$C$5012,TMR!$A$22:$A$5012,TMR!$H26,TMR!$E$22:$E$5012,TMR!J$2)</f>
        <v>58081</v>
      </c>
      <c r="K26" s="13">
        <f>SUMIFS(TMR!$C$22:$C$5012,TMR!$A$22:$A$5012,TMR!$H26,TMR!$E$22:$E$5012,TMR!K$2)</f>
        <v>5949</v>
      </c>
      <c r="L26" s="13">
        <f>SUMIFS(TMR!$C$22:$C$5012,TMR!$A$22:$A$5012,TMR!$H26,TMR!$E$22:$E$5012,TMR!L$2)</f>
        <v>9762</v>
      </c>
      <c r="M26" s="13">
        <f>SUMIFS(TMR!$C$22:$C$5012,TMR!$A$22:$A$5012,TMR!$H26,TMR!$E$22:$E$5012,TMR!M$2)</f>
        <v>32271</v>
      </c>
      <c r="N26" s="13">
        <f>SUMIFS(TMR!$C$22:$C$5012,TMR!$A$22:$A$5012,TMR!$H26,TMR!$E$22:$E$5012,TMR!N$2)</f>
        <v>24344</v>
      </c>
      <c r="O26" s="13">
        <f>SUMIFS(TMR!$C$22:$C$5012,TMR!$A$22:$A$5012,TMR!$H26,TMR!$E$22:$E$5012,TMR!O$2)</f>
        <v>0</v>
      </c>
      <c r="P26" s="13">
        <f>SUMIFS(TMR!$C$22:$C$5012,TMR!$A$22:$A$5012,TMR!$H26,TMR!$E$22:$E$5012,TMR!P$2)</f>
        <v>0</v>
      </c>
      <c r="Q26" s="13">
        <f>SUMIFS(TMR!$C$22:$C$5012,TMR!$A$22:$A$5012,TMR!$H26,TMR!$E$22:$E$5012,TMR!Q$2)</f>
        <v>26252</v>
      </c>
      <c r="R26" s="13">
        <f>SUMIFS(TMR!$C$22:$C$5012,TMR!$A$22:$A$5012,TMR!$H26,TMR!$E$22:$E$5012,TMR!R$2)</f>
        <v>0</v>
      </c>
      <c r="S26" s="13">
        <f>SUMIFS(TMR!$C$22:$C$5012,TMR!$A$22:$A$5012,TMR!$H26,TMR!$E$22:$E$5012,TMR!S$2)</f>
        <v>1</v>
      </c>
      <c r="T26" s="14">
        <f>SUMIFS(TMR!$C$22:$C$5012,TMR!$A$22:$A$5012,TMR!$H26,TMR!$E$22:$E$5012,TMR!T$2)</f>
        <v>0</v>
      </c>
      <c r="U26" s="13">
        <f>SUMIFS(TMR!$C$22:$C$5012,TMR!$A$22:$A$5012,TMR!$H26,TMR!$E$22:$E$5012,TMR!U$2)</f>
        <v>0</v>
      </c>
      <c r="V26" s="13">
        <f>SUMIFS(TMR!$C$22:$C$5012,TMR!$A$22:$A$5012,TMR!$H26,TMR!$E$22:$E$5012,TMR!V$2)</f>
        <v>31833</v>
      </c>
      <c r="W26" s="14">
        <f>SUMIFS(TMR!$C$22:$C$5012,TMR!$A$22:$A$5012,TMR!$H26,TMR!$E$22:$E$5012,TMR!W$2)</f>
        <v>1177</v>
      </c>
      <c r="Y26" s="11">
        <v>201612</v>
      </c>
      <c r="Z26" s="12">
        <f>SUMIFS(TMR!$D$22:$D$5012,TMR!$A$22:$A$5012,TMR!$H26,TMR!$E$22:$E$5012,TMR!Z$2)</f>
        <v>0</v>
      </c>
      <c r="AA26" s="13">
        <f>SUMIFS(TMR!$D$22:$D$5012,TMR!$A$22:$A$5012,TMR!$H26,TMR!$E$22:$E$5012,TMR!AA$2)</f>
        <v>0</v>
      </c>
      <c r="AB26" s="13">
        <f>SUMIFS(TMR!$D$22:$D$5012,TMR!$A$22:$A$5012,TMR!$H26,TMR!$E$22:$E$5012,TMR!AB$2)</f>
        <v>0</v>
      </c>
      <c r="AC26" s="13">
        <f>SUMIFS(TMR!$D$22:$D$5012,TMR!$A$22:$A$5012,TMR!$H26,TMR!$E$22:$E$5012,TMR!AC$2)</f>
        <v>0</v>
      </c>
      <c r="AD26" s="13">
        <f>SUMIFS(TMR!$D$22:$D$5012,TMR!$A$22:$A$5012,TMR!$H26,TMR!$E$22:$E$5012,TMR!AD$2)</f>
        <v>5419</v>
      </c>
      <c r="AE26" s="13">
        <f>SUMIFS(TMR!$D$22:$D$5012,TMR!$A$22:$A$5012,TMR!$H26,TMR!$E$22:$E$5012,TMR!AE$2)</f>
        <v>11197</v>
      </c>
      <c r="AF26" s="13">
        <f>SUMIFS(TMR!$D$22:$D$5012,TMR!$A$22:$A$5012,TMR!$H26,TMR!$E$22:$E$5012,TMR!AF$2)</f>
        <v>0</v>
      </c>
      <c r="AG26" s="13">
        <f>SUMIFS(TMR!$D$22:$D$5012,TMR!$A$22:$A$5012,TMR!$H26,TMR!$E$22:$E$5012,TMR!AG$2)</f>
        <v>0</v>
      </c>
      <c r="AH26" s="13">
        <f>SUMIFS(TMR!$D$22:$D$5012,TMR!$A$22:$A$5012,TMR!$H26,TMR!$E$22:$E$5012,TMR!AH$2)</f>
        <v>0</v>
      </c>
      <c r="AI26" s="13">
        <f>SUMIFS(TMR!$D$22:$D$5012,TMR!$A$22:$A$5012,TMR!$H26,TMR!$E$22:$E$5012,TMR!AI$2)</f>
        <v>0</v>
      </c>
      <c r="AJ26" s="13">
        <f>SUMIFS(TMR!$D$22:$D$5012,TMR!$A$22:$A$5012,TMR!$H26,TMR!$E$22:$E$5012,TMR!AJ$2)</f>
        <v>0</v>
      </c>
      <c r="AK26" s="14">
        <f>SUMIFS(TMR!$D$22:$D$5012,TMR!$A$22:$A$5012,TMR!$H26,TMR!$E$22:$E$5012,TMR!AK$2)</f>
        <v>0</v>
      </c>
      <c r="AL26" s="13">
        <f>SUMIFS(TMR!$D$22:$D$5012,TMR!$A$22:$A$5012,TMR!$H26,TMR!$E$22:$E$5012,TMR!AL$2)</f>
        <v>0</v>
      </c>
      <c r="AM26" s="13">
        <f>SUMIFS(TMR!$D$22:$D$5012,TMR!$A$22:$A$5012,TMR!$H26,TMR!$E$22:$E$5012,TMR!AM$2)</f>
        <v>0</v>
      </c>
      <c r="AN26" s="14">
        <f>SUMIFS(TMR!$D$22:$D$5012,TMR!$A$22:$A$5012,TMR!$H26,TMR!$E$22:$E$5012,TMR!AN$2)</f>
        <v>0</v>
      </c>
    </row>
    <row r="27" spans="1:40" x14ac:dyDescent="0.25">
      <c r="A27" s="108">
        <v>201312</v>
      </c>
      <c r="B27" s="109" t="s">
        <v>53</v>
      </c>
      <c r="C27" s="108">
        <v>6320</v>
      </c>
      <c r="D27" s="110"/>
      <c r="E27" t="str">
        <f>VLOOKUP(B27,CAC!$A$2:$B$198,2,FALSE)</f>
        <v>HMOPMR</v>
      </c>
      <c r="G27" s="52">
        <f t="shared" si="1"/>
        <v>179663</v>
      </c>
      <c r="H27" s="11">
        <v>201701</v>
      </c>
      <c r="I27" s="12">
        <f>SUMIFS(TMR!$C$22:$C$5012,TMR!$A$22:$A$5012,TMR!$H27,TMR!$E$22:$E$5012,TMR!I$2)</f>
        <v>32447</v>
      </c>
      <c r="J27" s="13">
        <f>SUMIFS(TMR!$C$22:$C$5012,TMR!$A$22:$A$5012,TMR!$H27,TMR!$E$22:$E$5012,TMR!J$2)</f>
        <v>55262</v>
      </c>
      <c r="K27" s="13">
        <f>SUMIFS(TMR!$C$22:$C$5012,TMR!$A$22:$A$5012,TMR!$H27,TMR!$E$22:$E$5012,TMR!K$2)</f>
        <v>5553</v>
      </c>
      <c r="L27" s="13">
        <f>SUMIFS(TMR!$C$22:$C$5012,TMR!$A$22:$A$5012,TMR!$H27,TMR!$E$22:$E$5012,TMR!L$2)</f>
        <v>9673</v>
      </c>
      <c r="M27" s="13">
        <f>SUMIFS(TMR!$C$22:$C$5012,TMR!$A$22:$A$5012,TMR!$H27,TMR!$E$22:$E$5012,TMR!M$2)</f>
        <v>36652</v>
      </c>
      <c r="N27" s="13">
        <f>SUMIFS(TMR!$C$22:$C$5012,TMR!$A$22:$A$5012,TMR!$H27,TMR!$E$22:$E$5012,TMR!N$2)</f>
        <v>0</v>
      </c>
      <c r="O27" s="13">
        <f>SUMIFS(TMR!$C$22:$C$5012,TMR!$A$22:$A$5012,TMR!$H27,TMR!$E$22:$E$5012,TMR!O$2)</f>
        <v>0</v>
      </c>
      <c r="P27" s="13">
        <f>SUMIFS(TMR!$C$22:$C$5012,TMR!$A$22:$A$5012,TMR!$H27,TMR!$E$22:$E$5012,TMR!P$2)</f>
        <v>0</v>
      </c>
      <c r="Q27" s="13">
        <f>SUMIFS(TMR!$C$22:$C$5012,TMR!$A$22:$A$5012,TMR!$H27,TMR!$E$22:$E$5012,TMR!Q$2)</f>
        <v>26865</v>
      </c>
      <c r="R27" s="13">
        <f>SUMIFS(TMR!$C$22:$C$5012,TMR!$A$22:$A$5012,TMR!$H27,TMR!$E$22:$E$5012,TMR!R$2)</f>
        <v>1130</v>
      </c>
      <c r="S27" s="13">
        <f>SUMIFS(TMR!$C$22:$C$5012,TMR!$A$22:$A$5012,TMR!$H27,TMR!$E$22:$E$5012,TMR!S$2)</f>
        <v>1</v>
      </c>
      <c r="T27" s="14">
        <f>SUMIFS(TMR!$C$22:$C$5012,TMR!$A$22:$A$5012,TMR!$H27,TMR!$E$22:$E$5012,TMR!T$2)</f>
        <v>0</v>
      </c>
      <c r="U27" s="13">
        <f>SUMIFS(TMR!$C$22:$C$5012,TMR!$A$22:$A$5012,TMR!$H27,TMR!$E$22:$E$5012,TMR!U$2)</f>
        <v>0</v>
      </c>
      <c r="V27" s="13">
        <f>SUMIFS(TMR!$C$22:$C$5012,TMR!$A$22:$A$5012,TMR!$H27,TMR!$E$22:$E$5012,TMR!V$2)</f>
        <v>33087</v>
      </c>
      <c r="W27" s="14">
        <f>SUMIFS(TMR!$C$22:$C$5012,TMR!$A$22:$A$5012,TMR!$H27,TMR!$E$22:$E$5012,TMR!W$2)</f>
        <v>1147</v>
      </c>
      <c r="Y27" s="11">
        <v>201701</v>
      </c>
      <c r="Z27" s="12">
        <f>SUMIFS(TMR!$D$22:$D$5012,TMR!$A$22:$A$5012,TMR!$H27,TMR!$E$22:$E$5012,TMR!Z$2)</f>
        <v>0</v>
      </c>
      <c r="AA27" s="13">
        <f>SUMIFS(TMR!$D$22:$D$5012,TMR!$A$22:$A$5012,TMR!$H27,TMR!$E$22:$E$5012,TMR!AA$2)</f>
        <v>0</v>
      </c>
      <c r="AB27" s="13">
        <f>SUMIFS(TMR!$D$22:$D$5012,TMR!$A$22:$A$5012,TMR!$H27,TMR!$E$22:$E$5012,TMR!AB$2)</f>
        <v>0</v>
      </c>
      <c r="AC27" s="13">
        <f>SUMIFS(TMR!$D$22:$D$5012,TMR!$A$22:$A$5012,TMR!$H27,TMR!$E$22:$E$5012,TMR!AC$2)</f>
        <v>0</v>
      </c>
      <c r="AD27" s="13">
        <f>SUMIFS(TMR!$D$22:$D$5012,TMR!$A$22:$A$5012,TMR!$H27,TMR!$E$22:$E$5012,TMR!AD$2)</f>
        <v>12080</v>
      </c>
      <c r="AE27" s="13">
        <f>SUMIFS(TMR!$D$22:$D$5012,TMR!$A$22:$A$5012,TMR!$H27,TMR!$E$22:$E$5012,TMR!AE$2)</f>
        <v>0</v>
      </c>
      <c r="AF27" s="13">
        <f>SUMIFS(TMR!$D$22:$D$5012,TMR!$A$22:$A$5012,TMR!$H27,TMR!$E$22:$E$5012,TMR!AF$2)</f>
        <v>0</v>
      </c>
      <c r="AG27" s="13">
        <f>SUMIFS(TMR!$D$22:$D$5012,TMR!$A$22:$A$5012,TMR!$H27,TMR!$E$22:$E$5012,TMR!AG$2)</f>
        <v>0</v>
      </c>
      <c r="AH27" s="13">
        <f>SUMIFS(TMR!$D$22:$D$5012,TMR!$A$22:$A$5012,TMR!$H27,TMR!$E$22:$E$5012,TMR!AH$2)</f>
        <v>0</v>
      </c>
      <c r="AI27" s="13">
        <f>SUMIFS(TMR!$D$22:$D$5012,TMR!$A$22:$A$5012,TMR!$H27,TMR!$E$22:$E$5012,TMR!AI$2)</f>
        <v>0</v>
      </c>
      <c r="AJ27" s="13">
        <f>SUMIFS(TMR!$D$22:$D$5012,TMR!$A$22:$A$5012,TMR!$H27,TMR!$E$22:$E$5012,TMR!AJ$2)</f>
        <v>0</v>
      </c>
      <c r="AK27" s="14">
        <f>SUMIFS(TMR!$D$22:$D$5012,TMR!$A$22:$A$5012,TMR!$H27,TMR!$E$22:$E$5012,TMR!AK$2)</f>
        <v>0</v>
      </c>
      <c r="AL27" s="13">
        <f>SUMIFS(TMR!$D$22:$D$5012,TMR!$A$22:$A$5012,TMR!$H27,TMR!$E$22:$E$5012,TMR!AL$2)</f>
        <v>0</v>
      </c>
      <c r="AM27" s="13">
        <f>SUMIFS(TMR!$D$22:$D$5012,TMR!$A$22:$A$5012,TMR!$H27,TMR!$E$22:$E$5012,TMR!AM$2)</f>
        <v>0</v>
      </c>
      <c r="AN27" s="14">
        <f>SUMIFS(TMR!$D$22:$D$5012,TMR!$A$22:$A$5012,TMR!$H27,TMR!$E$22:$E$5012,TMR!AN$2)</f>
        <v>0</v>
      </c>
    </row>
    <row r="28" spans="1:40" x14ac:dyDescent="0.25">
      <c r="A28" s="108">
        <v>201401</v>
      </c>
      <c r="B28" s="109" t="s">
        <v>53</v>
      </c>
      <c r="C28" s="108">
        <v>6305</v>
      </c>
      <c r="D28" s="110"/>
      <c r="E28" t="str">
        <f>VLOOKUP(B28,CAC!$A$2:$B$198,2,FALSE)</f>
        <v>HMOPMR</v>
      </c>
      <c r="G28" s="52">
        <f t="shared" si="1"/>
        <v>179633</v>
      </c>
      <c r="H28" s="11">
        <v>201702</v>
      </c>
      <c r="I28" s="32">
        <f>SUMIFS(TMR!$C$22:$C$5012,TMR!$A$22:$A$5012,TMR!$H28,TMR!$E$22:$E$5012,TMR!I$2)</f>
        <v>32482</v>
      </c>
      <c r="J28" s="33">
        <f>SUMIFS(TMR!$C$22:$C$5012,TMR!$A$22:$A$5012,TMR!$H28,TMR!$E$22:$E$5012,TMR!J$2)</f>
        <v>55107</v>
      </c>
      <c r="K28" s="33">
        <f>SUMIFS(TMR!$C$22:$C$5012,TMR!$A$22:$A$5012,TMR!$H28,TMR!$E$22:$E$5012,TMR!K$2)</f>
        <v>5692</v>
      </c>
      <c r="L28" s="33">
        <f>SUMIFS(TMR!$C$22:$C$5012,TMR!$A$22:$A$5012,TMR!$H28,TMR!$E$22:$E$5012,TMR!L$2)</f>
        <v>9718</v>
      </c>
      <c r="M28" s="33">
        <f>SUMIFS(TMR!$C$22:$C$5012,TMR!$A$22:$A$5012,TMR!$H28,TMR!$E$22:$E$5012,TMR!M$2)</f>
        <v>36394</v>
      </c>
      <c r="N28" s="33">
        <f>SUMIFS(TMR!$C$22:$C$5012,TMR!$A$22:$A$5012,TMR!$H28,TMR!$E$22:$E$5012,TMR!N$2)</f>
        <v>0</v>
      </c>
      <c r="O28" s="33">
        <f>SUMIFS(TMR!$C$22:$C$5012,TMR!$A$22:$A$5012,TMR!$H28,TMR!$E$22:$E$5012,TMR!O$2)</f>
        <v>0</v>
      </c>
      <c r="P28" s="33">
        <f>SUMIFS(TMR!$C$22:$C$5012,TMR!$A$22:$A$5012,TMR!$H28,TMR!$E$22:$E$5012,TMR!P$2)</f>
        <v>0</v>
      </c>
      <c r="Q28" s="33">
        <f>SUMIFS(TMR!$C$22:$C$5012,TMR!$A$22:$A$5012,TMR!$H28,TMR!$E$22:$E$5012,TMR!Q$2)</f>
        <v>26815</v>
      </c>
      <c r="R28" s="13">
        <f>SUMIFS(TMR!$C$22:$C$5012,TMR!$A$22:$A$5012,TMR!$H28,TMR!$E$22:$E$5012,TMR!R$2)</f>
        <v>1446</v>
      </c>
      <c r="S28" s="13">
        <f>SUMIFS(TMR!$C$22:$C$5012,TMR!$A$22:$A$5012,TMR!$H28,TMR!$E$22:$E$5012,TMR!S$2)</f>
        <v>1</v>
      </c>
      <c r="T28" s="14">
        <f>SUMIFS(TMR!$C$22:$C$5012,TMR!$A$22:$A$5012,TMR!$H28,TMR!$E$22:$E$5012,TMR!T$2)</f>
        <v>0</v>
      </c>
      <c r="U28" s="13">
        <f>SUMIFS(TMR!$C$22:$C$5012,TMR!$A$22:$A$5012,TMR!$H28,TMR!$E$22:$E$5012,TMR!U$2)</f>
        <v>0</v>
      </c>
      <c r="V28" s="13">
        <f>SUMIFS(TMR!$C$22:$C$5012,TMR!$A$22:$A$5012,TMR!$H28,TMR!$E$22:$E$5012,TMR!V$2)</f>
        <v>32976</v>
      </c>
      <c r="W28" s="14">
        <f>SUMIFS(TMR!$C$22:$C$5012,TMR!$A$22:$A$5012,TMR!$H28,TMR!$E$22:$E$5012,TMR!W$2)</f>
        <v>1146</v>
      </c>
      <c r="Y28" s="11">
        <v>201702</v>
      </c>
      <c r="Z28" s="32">
        <f>SUMIFS(TMR!$D$22:$D$5012,TMR!$A$22:$A$5012,TMR!$H28,TMR!$E$22:$E$5012,TMR!Z$2)</f>
        <v>0</v>
      </c>
      <c r="AA28" s="33">
        <f>SUMIFS(TMR!$D$22:$D$5012,TMR!$A$22:$A$5012,TMR!$H28,TMR!$E$22:$E$5012,TMR!AA$2)</f>
        <v>0</v>
      </c>
      <c r="AB28" s="33">
        <f>SUMIFS(TMR!$D$22:$D$5012,TMR!$A$22:$A$5012,TMR!$H28,TMR!$E$22:$E$5012,TMR!AB$2)</f>
        <v>0</v>
      </c>
      <c r="AC28" s="33">
        <f>SUMIFS(TMR!$D$22:$D$5012,TMR!$A$22:$A$5012,TMR!$H28,TMR!$E$22:$E$5012,TMR!AC$2)</f>
        <v>0</v>
      </c>
      <c r="AD28" s="33">
        <f>SUMIFS(TMR!$D$22:$D$5012,TMR!$A$22:$A$5012,TMR!$H28,TMR!$E$22:$E$5012,TMR!AD$2)</f>
        <v>11978</v>
      </c>
      <c r="AE28" s="33">
        <f>SUMIFS(TMR!$D$22:$D$5012,TMR!$A$22:$A$5012,TMR!$H28,TMR!$E$22:$E$5012,TMR!AE$2)</f>
        <v>0</v>
      </c>
      <c r="AF28" s="33">
        <f>SUMIFS(TMR!$D$22:$D$5012,TMR!$A$22:$A$5012,TMR!$H28,TMR!$E$22:$E$5012,TMR!AF$2)</f>
        <v>0</v>
      </c>
      <c r="AG28" s="33">
        <f>SUMIFS(TMR!$D$22:$D$5012,TMR!$A$22:$A$5012,TMR!$H28,TMR!$E$22:$E$5012,TMR!AG$2)</f>
        <v>0</v>
      </c>
      <c r="AH28" s="33">
        <f>SUMIFS(TMR!$D$22:$D$5012,TMR!$A$22:$A$5012,TMR!$H28,TMR!$E$22:$E$5012,TMR!AH$2)</f>
        <v>0</v>
      </c>
      <c r="AI28" s="13">
        <f>SUMIFS(TMR!$D$22:$D$5012,TMR!$A$22:$A$5012,TMR!$H28,TMR!$E$22:$E$5012,TMR!AI$2)</f>
        <v>0</v>
      </c>
      <c r="AJ28" s="13">
        <f>SUMIFS(TMR!$D$22:$D$5012,TMR!$A$22:$A$5012,TMR!$H28,TMR!$E$22:$E$5012,TMR!AJ$2)</f>
        <v>0</v>
      </c>
      <c r="AK28" s="14">
        <f>SUMIFS(TMR!$D$22:$D$5012,TMR!$A$22:$A$5012,TMR!$H28,TMR!$E$22:$E$5012,TMR!AK$2)</f>
        <v>0</v>
      </c>
      <c r="AL28" s="13">
        <f>SUMIFS(TMR!$D$22:$D$5012,TMR!$A$22:$A$5012,TMR!$H28,TMR!$E$22:$E$5012,TMR!AL$2)</f>
        <v>0</v>
      </c>
      <c r="AM28" s="13">
        <f>SUMIFS(TMR!$D$22:$D$5012,TMR!$A$22:$A$5012,TMR!$H28,TMR!$E$22:$E$5012,TMR!AM$2)</f>
        <v>0</v>
      </c>
      <c r="AN28" s="14">
        <f>SUMIFS(TMR!$D$22:$D$5012,TMR!$A$22:$A$5012,TMR!$H28,TMR!$E$22:$E$5012,TMR!AN$2)</f>
        <v>0</v>
      </c>
    </row>
    <row r="29" spans="1:40" x14ac:dyDescent="0.25">
      <c r="A29" s="108">
        <v>201402</v>
      </c>
      <c r="B29" s="109" t="s">
        <v>53</v>
      </c>
      <c r="C29" s="108">
        <v>6298</v>
      </c>
      <c r="D29" s="110"/>
      <c r="E29" t="str">
        <f>VLOOKUP(B29,CAC!$A$2:$B$198,2,FALSE)</f>
        <v>HMOPMR</v>
      </c>
      <c r="G29" s="52">
        <f t="shared" si="1"/>
        <v>179999</v>
      </c>
      <c r="H29" s="11">
        <v>201703</v>
      </c>
      <c r="I29" s="12">
        <f>SUMIFS(TMR!$C$22:$C$5012,TMR!$A$22:$A$5012,TMR!$H29,TMR!$E$22:$E$5012,TMR!I$2)</f>
        <v>32746</v>
      </c>
      <c r="J29" s="13">
        <f>SUMIFS(TMR!$C$22:$C$5012,TMR!$A$22:$A$5012,TMR!$H29,TMR!$E$22:$E$5012,TMR!J$2)</f>
        <v>54981</v>
      </c>
      <c r="K29" s="13">
        <f>SUMIFS(TMR!$C$22:$C$5012,TMR!$A$22:$A$5012,TMR!$H29,TMR!$E$22:$E$5012,TMR!K$2)</f>
        <v>5713</v>
      </c>
      <c r="L29" s="13">
        <f>SUMIFS(TMR!$C$22:$C$5012,TMR!$A$22:$A$5012,TMR!$H29,TMR!$E$22:$E$5012,TMR!L$2)</f>
        <v>9772</v>
      </c>
      <c r="M29" s="13">
        <f>SUMIFS(TMR!$C$22:$C$5012,TMR!$A$22:$A$5012,TMR!$H29,TMR!$E$22:$E$5012,TMR!M$2)</f>
        <v>36215</v>
      </c>
      <c r="N29" s="13">
        <f>SUMIFS(TMR!$C$22:$C$5012,TMR!$A$22:$A$5012,TMR!$H29,TMR!$E$22:$E$5012,TMR!N$2)</f>
        <v>0</v>
      </c>
      <c r="O29" s="13">
        <f>SUMIFS(TMR!$C$22:$C$5012,TMR!$A$22:$A$5012,TMR!$H29,TMR!$E$22:$E$5012,TMR!O$2)</f>
        <v>0</v>
      </c>
      <c r="P29" s="13">
        <f>SUMIFS(TMR!$C$22:$C$5012,TMR!$A$22:$A$5012,TMR!$H29,TMR!$E$22:$E$5012,TMR!P$2)</f>
        <v>0</v>
      </c>
      <c r="Q29" s="13">
        <f>SUMIFS(TMR!$C$22:$C$5012,TMR!$A$22:$A$5012,TMR!$H29,TMR!$E$22:$E$5012,TMR!Q$2)</f>
        <v>26967</v>
      </c>
      <c r="R29" s="13">
        <f>SUMIFS(TMR!$C$22:$C$5012,TMR!$A$22:$A$5012,TMR!$H29,TMR!$E$22:$E$5012,TMR!R$2)</f>
        <v>1744</v>
      </c>
      <c r="S29" s="13">
        <f>SUMIFS(TMR!$C$22:$C$5012,TMR!$A$22:$A$5012,TMR!$H29,TMR!$E$22:$E$5012,TMR!S$2)</f>
        <v>1</v>
      </c>
      <c r="T29" s="14">
        <f>SUMIFS(TMR!$C$22:$C$5012,TMR!$A$22:$A$5012,TMR!$H29,TMR!$E$22:$E$5012,TMR!T$2)</f>
        <v>0</v>
      </c>
      <c r="U29" s="13">
        <f>SUMIFS(TMR!$C$22:$C$5012,TMR!$A$22:$A$5012,TMR!$H29,TMR!$E$22:$E$5012,TMR!U$2)</f>
        <v>0</v>
      </c>
      <c r="V29" s="13">
        <f>SUMIFS(TMR!$C$22:$C$5012,TMR!$A$22:$A$5012,TMR!$H29,TMR!$E$22:$E$5012,TMR!V$2)</f>
        <v>32947</v>
      </c>
      <c r="W29" s="14">
        <f>SUMIFS(TMR!$C$22:$C$5012,TMR!$A$22:$A$5012,TMR!$H29,TMR!$E$22:$E$5012,TMR!W$2)</f>
        <v>1145</v>
      </c>
      <c r="Y29" s="11">
        <v>201703</v>
      </c>
      <c r="Z29" s="12">
        <f>SUMIFS(TMR!$D$22:$D$5012,TMR!$A$22:$A$5012,TMR!$H29,TMR!$E$22:$E$5012,TMR!Z$2)</f>
        <v>0</v>
      </c>
      <c r="AA29" s="13">
        <f>SUMIFS(TMR!$D$22:$D$5012,TMR!$A$22:$A$5012,TMR!$H29,TMR!$E$22:$E$5012,TMR!AA$2)</f>
        <v>0</v>
      </c>
      <c r="AB29" s="13">
        <f>SUMIFS(TMR!$D$22:$D$5012,TMR!$A$22:$A$5012,TMR!$H29,TMR!$E$22:$E$5012,TMR!AB$2)</f>
        <v>0</v>
      </c>
      <c r="AC29" s="13">
        <f>SUMIFS(TMR!$D$22:$D$5012,TMR!$A$22:$A$5012,TMR!$H29,TMR!$E$22:$E$5012,TMR!AC$2)</f>
        <v>0</v>
      </c>
      <c r="AD29" s="13">
        <f>SUMIFS(TMR!$D$22:$D$5012,TMR!$A$22:$A$5012,TMR!$H29,TMR!$E$22:$E$5012,TMR!AD$2)</f>
        <v>11860</v>
      </c>
      <c r="AE29" s="13">
        <f>SUMIFS(TMR!$D$22:$D$5012,TMR!$A$22:$A$5012,TMR!$H29,TMR!$E$22:$E$5012,TMR!AE$2)</f>
        <v>0</v>
      </c>
      <c r="AF29" s="13">
        <f>SUMIFS(TMR!$D$22:$D$5012,TMR!$A$22:$A$5012,TMR!$H29,TMR!$E$22:$E$5012,TMR!AF$2)</f>
        <v>0</v>
      </c>
      <c r="AG29" s="13">
        <f>SUMIFS(TMR!$D$22:$D$5012,TMR!$A$22:$A$5012,TMR!$H29,TMR!$E$22:$E$5012,TMR!AG$2)</f>
        <v>0</v>
      </c>
      <c r="AH29" s="13">
        <f>SUMIFS(TMR!$D$22:$D$5012,TMR!$A$22:$A$5012,TMR!$H29,TMR!$E$22:$E$5012,TMR!AH$2)</f>
        <v>0</v>
      </c>
      <c r="AI29" s="13">
        <f>SUMIFS(TMR!$D$22:$D$5012,TMR!$A$22:$A$5012,TMR!$H29,TMR!$E$22:$E$5012,TMR!AI$2)</f>
        <v>0</v>
      </c>
      <c r="AJ29" s="13">
        <f>SUMIFS(TMR!$D$22:$D$5012,TMR!$A$22:$A$5012,TMR!$H29,TMR!$E$22:$E$5012,TMR!AJ$2)</f>
        <v>0</v>
      </c>
      <c r="AK29" s="14">
        <f>SUMIFS(TMR!$D$22:$D$5012,TMR!$A$22:$A$5012,TMR!$H29,TMR!$E$22:$E$5012,TMR!AK$2)</f>
        <v>0</v>
      </c>
      <c r="AL29" s="13">
        <f>SUMIFS(TMR!$D$22:$D$5012,TMR!$A$22:$A$5012,TMR!$H29,TMR!$E$22:$E$5012,TMR!AL$2)</f>
        <v>0</v>
      </c>
      <c r="AM29" s="13">
        <f>SUMIFS(TMR!$D$22:$D$5012,TMR!$A$22:$A$5012,TMR!$H29,TMR!$E$22:$E$5012,TMR!AM$2)</f>
        <v>0</v>
      </c>
      <c r="AN29" s="14">
        <f>SUMIFS(TMR!$D$22:$D$5012,TMR!$A$22:$A$5012,TMR!$H29,TMR!$E$22:$E$5012,TMR!AN$2)</f>
        <v>0</v>
      </c>
    </row>
    <row r="30" spans="1:40" x14ac:dyDescent="0.25">
      <c r="A30" s="108">
        <v>201403</v>
      </c>
      <c r="B30" s="109" t="s">
        <v>53</v>
      </c>
      <c r="C30" s="108">
        <v>6298</v>
      </c>
      <c r="D30" s="110"/>
      <c r="E30" t="str">
        <f>VLOOKUP(B30,CAC!$A$2:$B$198,2,FALSE)</f>
        <v>HMOPMR</v>
      </c>
      <c r="G30" s="52">
        <f t="shared" si="1"/>
        <v>180517</v>
      </c>
      <c r="H30" s="11">
        <v>201704</v>
      </c>
      <c r="I30" s="12">
        <f>SUMIFS(TMR!$C$22:$C$5012,TMR!$A$22:$A$5012,TMR!$H30,TMR!$E$22:$E$5012,TMR!I$2)</f>
        <v>33248</v>
      </c>
      <c r="J30" s="13">
        <f>SUMIFS(TMR!$C$22:$C$5012,TMR!$A$22:$A$5012,TMR!$H30,TMR!$E$22:$E$5012,TMR!J$2)</f>
        <v>55094</v>
      </c>
      <c r="K30" s="13">
        <f>SUMIFS(TMR!$C$22:$C$5012,TMR!$A$22:$A$5012,TMR!$H30,TMR!$E$22:$E$5012,TMR!K$2)</f>
        <v>5700</v>
      </c>
      <c r="L30" s="13">
        <f>SUMIFS(TMR!$C$22:$C$5012,TMR!$A$22:$A$5012,TMR!$H30,TMR!$E$22:$E$5012,TMR!L$2)</f>
        <v>9751</v>
      </c>
      <c r="M30" s="13">
        <f>SUMIFS(TMR!$C$22:$C$5012,TMR!$A$22:$A$5012,TMR!$H30,TMR!$E$22:$E$5012,TMR!M$2)</f>
        <v>36106</v>
      </c>
      <c r="N30" s="13">
        <f>SUMIFS(TMR!$C$22:$C$5012,TMR!$A$22:$A$5012,TMR!$H30,TMR!$E$22:$E$5012,TMR!N$2)</f>
        <v>0</v>
      </c>
      <c r="O30" s="13">
        <f>SUMIFS(TMR!$C$22:$C$5012,TMR!$A$22:$A$5012,TMR!$H30,TMR!$E$22:$E$5012,TMR!O$2)</f>
        <v>0</v>
      </c>
      <c r="P30" s="13">
        <f>SUMIFS(TMR!$C$22:$C$5012,TMR!$A$22:$A$5012,TMR!$H30,TMR!$E$22:$E$5012,TMR!P$2)</f>
        <v>0</v>
      </c>
      <c r="Q30" s="13">
        <f>SUMIFS(TMR!$C$22:$C$5012,TMR!$A$22:$A$5012,TMR!$H30,TMR!$E$22:$E$5012,TMR!Q$2)</f>
        <v>27001</v>
      </c>
      <c r="R30" s="13">
        <f>SUMIFS(TMR!$C$22:$C$5012,TMR!$A$22:$A$5012,TMR!$H30,TMR!$E$22:$E$5012,TMR!R$2)</f>
        <v>1847</v>
      </c>
      <c r="S30" s="13">
        <f>SUMIFS(TMR!$C$22:$C$5012,TMR!$A$22:$A$5012,TMR!$H30,TMR!$E$22:$E$5012,TMR!S$2)</f>
        <v>1</v>
      </c>
      <c r="T30" s="14">
        <f>SUMIFS(TMR!$C$22:$C$5012,TMR!$A$22:$A$5012,TMR!$H30,TMR!$E$22:$E$5012,TMR!T$2)</f>
        <v>0</v>
      </c>
      <c r="U30" s="13">
        <f>SUMIFS(TMR!$C$22:$C$5012,TMR!$A$22:$A$5012,TMR!$H30,TMR!$E$22:$E$5012,TMR!U$2)</f>
        <v>0</v>
      </c>
      <c r="V30" s="13">
        <f>SUMIFS(TMR!$C$22:$C$5012,TMR!$A$22:$A$5012,TMR!$H30,TMR!$E$22:$E$5012,TMR!V$2)</f>
        <v>33003</v>
      </c>
      <c r="W30" s="14">
        <f>SUMIFS(TMR!$C$22:$C$5012,TMR!$A$22:$A$5012,TMR!$H30,TMR!$E$22:$E$5012,TMR!W$2)</f>
        <v>1155</v>
      </c>
      <c r="Y30" s="11">
        <v>201704</v>
      </c>
      <c r="Z30" s="12">
        <f>SUMIFS(TMR!$D$22:$D$5012,TMR!$A$22:$A$5012,TMR!$H30,TMR!$E$22:$E$5012,TMR!Z$2)</f>
        <v>0</v>
      </c>
      <c r="AA30" s="13">
        <f>SUMIFS(TMR!$D$22:$D$5012,TMR!$A$22:$A$5012,TMR!$H30,TMR!$E$22:$E$5012,TMR!AA$2)</f>
        <v>0</v>
      </c>
      <c r="AB30" s="13">
        <f>SUMIFS(TMR!$D$22:$D$5012,TMR!$A$22:$A$5012,TMR!$H30,TMR!$E$22:$E$5012,TMR!AB$2)</f>
        <v>0</v>
      </c>
      <c r="AC30" s="13">
        <f>SUMIFS(TMR!$D$22:$D$5012,TMR!$A$22:$A$5012,TMR!$H30,TMR!$E$22:$E$5012,TMR!AC$2)</f>
        <v>0</v>
      </c>
      <c r="AD30" s="13">
        <f>SUMIFS(TMR!$D$22:$D$5012,TMR!$A$22:$A$5012,TMR!$H30,TMR!$E$22:$E$5012,TMR!AD$2)</f>
        <v>11769</v>
      </c>
      <c r="AE30" s="13">
        <f>SUMIFS(TMR!$D$22:$D$5012,TMR!$A$22:$A$5012,TMR!$H30,TMR!$E$22:$E$5012,TMR!AE$2)</f>
        <v>0</v>
      </c>
      <c r="AF30" s="13">
        <f>SUMIFS(TMR!$D$22:$D$5012,TMR!$A$22:$A$5012,TMR!$H30,TMR!$E$22:$E$5012,TMR!AF$2)</f>
        <v>0</v>
      </c>
      <c r="AG30" s="13">
        <f>SUMIFS(TMR!$D$22:$D$5012,TMR!$A$22:$A$5012,TMR!$H30,TMR!$E$22:$E$5012,TMR!AG$2)</f>
        <v>0</v>
      </c>
      <c r="AH30" s="13">
        <f>SUMIFS(TMR!$D$22:$D$5012,TMR!$A$22:$A$5012,TMR!$H30,TMR!$E$22:$E$5012,TMR!AH$2)</f>
        <v>0</v>
      </c>
      <c r="AI30" s="13">
        <f>SUMIFS(TMR!$D$22:$D$5012,TMR!$A$22:$A$5012,TMR!$H30,TMR!$E$22:$E$5012,TMR!AI$2)</f>
        <v>0</v>
      </c>
      <c r="AJ30" s="13">
        <f>SUMIFS(TMR!$D$22:$D$5012,TMR!$A$22:$A$5012,TMR!$H30,TMR!$E$22:$E$5012,TMR!AJ$2)</f>
        <v>0</v>
      </c>
      <c r="AK30" s="14">
        <f>SUMIFS(TMR!$D$22:$D$5012,TMR!$A$22:$A$5012,TMR!$H30,TMR!$E$22:$E$5012,TMR!AK$2)</f>
        <v>0</v>
      </c>
      <c r="AL30" s="13">
        <f>SUMIFS(TMR!$D$22:$D$5012,TMR!$A$22:$A$5012,TMR!$H30,TMR!$E$22:$E$5012,TMR!AL$2)</f>
        <v>0</v>
      </c>
      <c r="AM30" s="13">
        <f>SUMIFS(TMR!$D$22:$D$5012,TMR!$A$22:$A$5012,TMR!$H30,TMR!$E$22:$E$5012,TMR!AM$2)</f>
        <v>0</v>
      </c>
      <c r="AN30" s="14">
        <f>SUMIFS(TMR!$D$22:$D$5012,TMR!$A$22:$A$5012,TMR!$H30,TMR!$E$22:$E$5012,TMR!AN$2)</f>
        <v>0</v>
      </c>
    </row>
    <row r="31" spans="1:40" x14ac:dyDescent="0.25">
      <c r="A31" s="108">
        <v>201404</v>
      </c>
      <c r="B31" s="109" t="s">
        <v>53</v>
      </c>
      <c r="C31" s="108">
        <v>6298</v>
      </c>
      <c r="D31" s="110"/>
      <c r="E31" t="str">
        <f>VLOOKUP(B31,CAC!$A$2:$B$198,2,FALSE)</f>
        <v>HMOPMR</v>
      </c>
      <c r="G31" s="52">
        <f t="shared" si="1"/>
        <v>181082</v>
      </c>
      <c r="H31" s="11">
        <v>201705</v>
      </c>
      <c r="I31" s="12">
        <f>SUMIFS(TMR!$C$22:$C$5012,TMR!$A$22:$A$5012,TMR!$H31,TMR!$E$22:$E$5012,TMR!I$2)</f>
        <v>33823</v>
      </c>
      <c r="J31" s="13">
        <f>SUMIFS(TMR!$C$22:$C$5012,TMR!$A$22:$A$5012,TMR!$H31,TMR!$E$22:$E$5012,TMR!J$2)</f>
        <v>55183</v>
      </c>
      <c r="K31" s="13">
        <f>SUMIFS(TMR!$C$22:$C$5012,TMR!$A$22:$A$5012,TMR!$H31,TMR!$E$22:$E$5012,TMR!K$2)</f>
        <v>5708</v>
      </c>
      <c r="L31" s="13">
        <f>SUMIFS(TMR!$C$22:$C$5012,TMR!$A$22:$A$5012,TMR!$H31,TMR!$E$22:$E$5012,TMR!L$2)</f>
        <v>9757</v>
      </c>
      <c r="M31" s="13">
        <f>SUMIFS(TMR!$C$22:$C$5012,TMR!$A$22:$A$5012,TMR!$H31,TMR!$E$22:$E$5012,TMR!M$2)</f>
        <v>36017</v>
      </c>
      <c r="N31" s="13">
        <f>SUMIFS(TMR!$C$22:$C$5012,TMR!$A$22:$A$5012,TMR!$H31,TMR!$E$22:$E$5012,TMR!N$2)</f>
        <v>0</v>
      </c>
      <c r="O31" s="13">
        <f>SUMIFS(TMR!$C$22:$C$5012,TMR!$A$22:$A$5012,TMR!$H31,TMR!$E$22:$E$5012,TMR!O$2)</f>
        <v>0</v>
      </c>
      <c r="P31" s="13">
        <f>SUMIFS(TMR!$C$22:$C$5012,TMR!$A$22:$A$5012,TMR!$H31,TMR!$E$22:$E$5012,TMR!P$2)</f>
        <v>0</v>
      </c>
      <c r="Q31" s="13">
        <f>SUMIFS(TMR!$C$22:$C$5012,TMR!$A$22:$A$5012,TMR!$H31,TMR!$E$22:$E$5012,TMR!Q$2)</f>
        <v>26935</v>
      </c>
      <c r="R31" s="13">
        <f>SUMIFS(TMR!$C$22:$C$5012,TMR!$A$22:$A$5012,TMR!$H31,TMR!$E$22:$E$5012,TMR!R$2)</f>
        <v>1936</v>
      </c>
      <c r="S31" s="13">
        <f>SUMIFS(TMR!$C$22:$C$5012,TMR!$A$22:$A$5012,TMR!$H31,TMR!$E$22:$E$5012,TMR!S$2)</f>
        <v>1</v>
      </c>
      <c r="T31" s="14">
        <f>SUMIFS(TMR!$C$22:$C$5012,TMR!$A$22:$A$5012,TMR!$H31,TMR!$E$22:$E$5012,TMR!T$2)</f>
        <v>0</v>
      </c>
      <c r="U31" s="13">
        <f>SUMIFS(TMR!$C$22:$C$5012,TMR!$A$22:$A$5012,TMR!$H31,TMR!$E$22:$E$5012,TMR!U$2)</f>
        <v>0</v>
      </c>
      <c r="V31" s="13">
        <f>SUMIFS(TMR!$C$22:$C$5012,TMR!$A$22:$A$5012,TMR!$H31,TMR!$E$22:$E$5012,TMR!V$2)</f>
        <v>32988</v>
      </c>
      <c r="W31" s="14">
        <f>SUMIFS(TMR!$C$22:$C$5012,TMR!$A$22:$A$5012,TMR!$H31,TMR!$E$22:$E$5012,TMR!W$2)</f>
        <v>1152</v>
      </c>
      <c r="Y31" s="11">
        <v>201705</v>
      </c>
      <c r="Z31" s="12">
        <f>SUMIFS(TMR!$D$22:$D$5012,TMR!$A$22:$A$5012,TMR!$H31,TMR!$E$22:$E$5012,TMR!Z$2)</f>
        <v>0</v>
      </c>
      <c r="AA31" s="13">
        <f>SUMIFS(TMR!$D$22:$D$5012,TMR!$A$22:$A$5012,TMR!$H31,TMR!$E$22:$E$5012,TMR!AA$2)</f>
        <v>0</v>
      </c>
      <c r="AB31" s="13">
        <f>SUMIFS(TMR!$D$22:$D$5012,TMR!$A$22:$A$5012,TMR!$H31,TMR!$E$22:$E$5012,TMR!AB$2)</f>
        <v>0</v>
      </c>
      <c r="AC31" s="13">
        <f>SUMIFS(TMR!$D$22:$D$5012,TMR!$A$22:$A$5012,TMR!$H31,TMR!$E$22:$E$5012,TMR!AC$2)</f>
        <v>0</v>
      </c>
      <c r="AD31" s="13">
        <f>SUMIFS(TMR!$D$22:$D$5012,TMR!$A$22:$A$5012,TMR!$H31,TMR!$E$22:$E$5012,TMR!AD$2)</f>
        <v>11722</v>
      </c>
      <c r="AE31" s="13">
        <f>SUMIFS(TMR!$D$22:$D$5012,TMR!$A$22:$A$5012,TMR!$H31,TMR!$E$22:$E$5012,TMR!AE$2)</f>
        <v>0</v>
      </c>
      <c r="AF31" s="13">
        <f>SUMIFS(TMR!$D$22:$D$5012,TMR!$A$22:$A$5012,TMR!$H31,TMR!$E$22:$E$5012,TMR!AF$2)</f>
        <v>0</v>
      </c>
      <c r="AG31" s="13">
        <f>SUMIFS(TMR!$D$22:$D$5012,TMR!$A$22:$A$5012,TMR!$H31,TMR!$E$22:$E$5012,TMR!AG$2)</f>
        <v>0</v>
      </c>
      <c r="AH31" s="13">
        <f>SUMIFS(TMR!$D$22:$D$5012,TMR!$A$22:$A$5012,TMR!$H31,TMR!$E$22:$E$5012,TMR!AH$2)</f>
        <v>0</v>
      </c>
      <c r="AI31" s="13">
        <f>SUMIFS(TMR!$D$22:$D$5012,TMR!$A$22:$A$5012,TMR!$H31,TMR!$E$22:$E$5012,TMR!AI$2)</f>
        <v>0</v>
      </c>
      <c r="AJ31" s="13">
        <f>SUMIFS(TMR!$D$22:$D$5012,TMR!$A$22:$A$5012,TMR!$H31,TMR!$E$22:$E$5012,TMR!AJ$2)</f>
        <v>0</v>
      </c>
      <c r="AK31" s="14">
        <f>SUMIFS(TMR!$D$22:$D$5012,TMR!$A$22:$A$5012,TMR!$H31,TMR!$E$22:$E$5012,TMR!AK$2)</f>
        <v>0</v>
      </c>
      <c r="AL31" s="13">
        <f>SUMIFS(TMR!$D$22:$D$5012,TMR!$A$22:$A$5012,TMR!$H31,TMR!$E$22:$E$5012,TMR!AL$2)</f>
        <v>0</v>
      </c>
      <c r="AM31" s="13">
        <f>SUMIFS(TMR!$D$22:$D$5012,TMR!$A$22:$A$5012,TMR!$H31,TMR!$E$22:$E$5012,TMR!AM$2)</f>
        <v>0</v>
      </c>
      <c r="AN31" s="14">
        <f>SUMIFS(TMR!$D$22:$D$5012,TMR!$A$22:$A$5012,TMR!$H31,TMR!$E$22:$E$5012,TMR!AN$2)</f>
        <v>0</v>
      </c>
    </row>
    <row r="32" spans="1:40" x14ac:dyDescent="0.25">
      <c r="A32" s="108">
        <v>201405</v>
      </c>
      <c r="B32" s="109" t="s">
        <v>53</v>
      </c>
      <c r="C32" s="108">
        <v>6398</v>
      </c>
      <c r="D32" s="110"/>
      <c r="E32" t="str">
        <f>VLOOKUP(B32,CAC!$A$2:$B$198,2,FALSE)</f>
        <v>HMOPMR</v>
      </c>
      <c r="G32" s="52">
        <f t="shared" si="1"/>
        <v>181656</v>
      </c>
      <c r="H32" s="11">
        <v>201706</v>
      </c>
      <c r="I32" s="12">
        <f>SUMIFS(TMR!$C$22:$C$5012,TMR!$A$22:$A$5012,TMR!$H32,TMR!$E$22:$E$5012,TMR!I$2)</f>
        <v>34520</v>
      </c>
      <c r="J32" s="13">
        <f>SUMIFS(TMR!$C$22:$C$5012,TMR!$A$22:$A$5012,TMR!$H32,TMR!$E$22:$E$5012,TMR!J$2)</f>
        <v>55200</v>
      </c>
      <c r="K32" s="13">
        <f>SUMIFS(TMR!$C$22:$C$5012,TMR!$A$22:$A$5012,TMR!$H32,TMR!$E$22:$E$5012,TMR!K$2)</f>
        <v>5713</v>
      </c>
      <c r="L32" s="13">
        <f>SUMIFS(TMR!$C$22:$C$5012,TMR!$A$22:$A$5012,TMR!$H32,TMR!$E$22:$E$5012,TMR!L$2)</f>
        <v>9719</v>
      </c>
      <c r="M32" s="13">
        <f>SUMIFS(TMR!$C$22:$C$5012,TMR!$A$22:$A$5012,TMR!$H32,TMR!$E$22:$E$5012,TMR!M$2)</f>
        <v>35896</v>
      </c>
      <c r="N32" s="13">
        <f>SUMIFS(TMR!$C$22:$C$5012,TMR!$A$22:$A$5012,TMR!$H32,TMR!$E$22:$E$5012,TMR!N$2)</f>
        <v>0</v>
      </c>
      <c r="O32" s="13">
        <f>SUMIFS(TMR!$C$22:$C$5012,TMR!$A$22:$A$5012,TMR!$H32,TMR!$E$22:$E$5012,TMR!O$2)</f>
        <v>0</v>
      </c>
      <c r="P32" s="13">
        <f>SUMIFS(TMR!$C$22:$C$5012,TMR!$A$22:$A$5012,TMR!$H32,TMR!$E$22:$E$5012,TMR!P$2)</f>
        <v>0</v>
      </c>
      <c r="Q32" s="13">
        <f>SUMIFS(TMR!$C$22:$C$5012,TMR!$A$22:$A$5012,TMR!$H32,TMR!$E$22:$E$5012,TMR!Q$2)</f>
        <v>26924</v>
      </c>
      <c r="R32" s="13">
        <f>SUMIFS(TMR!$C$22:$C$5012,TMR!$A$22:$A$5012,TMR!$H32,TMR!$E$22:$E$5012,TMR!R$2)</f>
        <v>2022</v>
      </c>
      <c r="S32" s="13">
        <f>SUMIFS(TMR!$C$22:$C$5012,TMR!$A$22:$A$5012,TMR!$H32,TMR!$E$22:$E$5012,TMR!S$2)</f>
        <v>1</v>
      </c>
      <c r="T32" s="14">
        <f>SUMIFS(TMR!$C$22:$C$5012,TMR!$A$22:$A$5012,TMR!$H32,TMR!$E$22:$E$5012,TMR!T$2)</f>
        <v>0</v>
      </c>
      <c r="U32" s="13">
        <f>SUMIFS(TMR!$C$22:$C$5012,TMR!$A$22:$A$5012,TMR!$H32,TMR!$E$22:$E$5012,TMR!U$2)</f>
        <v>0</v>
      </c>
      <c r="V32" s="13">
        <f>SUMIFS(TMR!$C$22:$C$5012,TMR!$A$22:$A$5012,TMR!$H32,TMR!$E$22:$E$5012,TMR!V$2)</f>
        <v>33021</v>
      </c>
      <c r="W32" s="14">
        <f>SUMIFS(TMR!$C$22:$C$5012,TMR!$A$22:$A$5012,TMR!$H32,TMR!$E$22:$E$5012,TMR!W$2)</f>
        <v>1156</v>
      </c>
      <c r="Y32" s="11">
        <v>201706</v>
      </c>
      <c r="Z32" s="12">
        <f>SUMIFS(TMR!$D$22:$D$5012,TMR!$A$22:$A$5012,TMR!$H32,TMR!$E$22:$E$5012,TMR!Z$2)</f>
        <v>0</v>
      </c>
      <c r="AA32" s="13">
        <f>SUMIFS(TMR!$D$22:$D$5012,TMR!$A$22:$A$5012,TMR!$H32,TMR!$E$22:$E$5012,TMR!AA$2)</f>
        <v>0</v>
      </c>
      <c r="AB32" s="13">
        <f>SUMIFS(TMR!$D$22:$D$5012,TMR!$A$22:$A$5012,TMR!$H32,TMR!$E$22:$E$5012,TMR!AB$2)</f>
        <v>0</v>
      </c>
      <c r="AC32" s="13">
        <f>SUMIFS(TMR!$D$22:$D$5012,TMR!$A$22:$A$5012,TMR!$H32,TMR!$E$22:$E$5012,TMR!AC$2)</f>
        <v>0</v>
      </c>
      <c r="AD32" s="13">
        <f>SUMIFS(TMR!$D$22:$D$5012,TMR!$A$22:$A$5012,TMR!$H32,TMR!$E$22:$E$5012,TMR!AD$2)</f>
        <v>11661</v>
      </c>
      <c r="AE32" s="13">
        <f>SUMIFS(TMR!$D$22:$D$5012,TMR!$A$22:$A$5012,TMR!$H32,TMR!$E$22:$E$5012,TMR!AE$2)</f>
        <v>0</v>
      </c>
      <c r="AF32" s="13">
        <f>SUMIFS(TMR!$D$22:$D$5012,TMR!$A$22:$A$5012,TMR!$H32,TMR!$E$22:$E$5012,TMR!AF$2)</f>
        <v>0</v>
      </c>
      <c r="AG32" s="13">
        <f>SUMIFS(TMR!$D$22:$D$5012,TMR!$A$22:$A$5012,TMR!$H32,TMR!$E$22:$E$5012,TMR!AG$2)</f>
        <v>0</v>
      </c>
      <c r="AH32" s="13">
        <f>SUMIFS(TMR!$D$22:$D$5012,TMR!$A$22:$A$5012,TMR!$H32,TMR!$E$22:$E$5012,TMR!AH$2)</f>
        <v>0</v>
      </c>
      <c r="AI32" s="13">
        <f>SUMIFS(TMR!$D$22:$D$5012,TMR!$A$22:$A$5012,TMR!$H32,TMR!$E$22:$E$5012,TMR!AI$2)</f>
        <v>0</v>
      </c>
      <c r="AJ32" s="13">
        <f>SUMIFS(TMR!$D$22:$D$5012,TMR!$A$22:$A$5012,TMR!$H32,TMR!$E$22:$E$5012,TMR!AJ$2)</f>
        <v>0</v>
      </c>
      <c r="AK32" s="14">
        <f>SUMIFS(TMR!$D$22:$D$5012,TMR!$A$22:$A$5012,TMR!$H32,TMR!$E$22:$E$5012,TMR!AK$2)</f>
        <v>0</v>
      </c>
      <c r="AL32" s="13">
        <f>SUMIFS(TMR!$D$22:$D$5012,TMR!$A$22:$A$5012,TMR!$H32,TMR!$E$22:$E$5012,TMR!AL$2)</f>
        <v>0</v>
      </c>
      <c r="AM32" s="13">
        <f>SUMIFS(TMR!$D$22:$D$5012,TMR!$A$22:$A$5012,TMR!$H32,TMR!$E$22:$E$5012,TMR!AM$2)</f>
        <v>0</v>
      </c>
      <c r="AN32" s="14">
        <f>SUMIFS(TMR!$D$22:$D$5012,TMR!$A$22:$A$5012,TMR!$H32,TMR!$E$22:$E$5012,TMR!AN$2)</f>
        <v>0</v>
      </c>
    </row>
    <row r="33" spans="1:40" x14ac:dyDescent="0.25">
      <c r="A33" s="108">
        <v>201406</v>
      </c>
      <c r="B33" s="109" t="s">
        <v>53</v>
      </c>
      <c r="C33" s="108">
        <v>6365</v>
      </c>
      <c r="D33" s="110"/>
      <c r="E33" t="str">
        <f>VLOOKUP(B33,CAC!$A$2:$B$198,2,FALSE)</f>
        <v>HMOPMR</v>
      </c>
      <c r="G33" s="52">
        <f t="shared" si="1"/>
        <v>187966</v>
      </c>
      <c r="H33" s="11">
        <v>201707</v>
      </c>
      <c r="I33" s="12">
        <f>SUMIFS(TMR!$C$22:$C$5012,TMR!$A$22:$A$5012,TMR!$H33,TMR!$E$22:$E$5012,TMR!I$2)</f>
        <v>37120</v>
      </c>
      <c r="J33" s="13">
        <f>SUMIFS(TMR!$C$22:$C$5012,TMR!$A$22:$A$5012,TMR!$H33,TMR!$E$22:$E$5012,TMR!J$2)</f>
        <v>53426</v>
      </c>
      <c r="K33" s="13">
        <f>SUMIFS(TMR!$C$22:$C$5012,TMR!$A$22:$A$5012,TMR!$H33,TMR!$E$22:$E$5012,TMR!K$2)</f>
        <v>5668</v>
      </c>
      <c r="L33" s="13">
        <f>SUMIFS(TMR!$C$22:$C$5012,TMR!$A$22:$A$5012,TMR!$H33,TMR!$E$22:$E$5012,TMR!L$2)</f>
        <v>15566</v>
      </c>
      <c r="M33" s="13">
        <f>SUMIFS(TMR!$C$22:$C$5012,TMR!$A$22:$A$5012,TMR!$H33,TMR!$E$22:$E$5012,TMR!M$2)</f>
        <v>35704</v>
      </c>
      <c r="N33" s="13">
        <f>SUMIFS(TMR!$C$22:$C$5012,TMR!$A$22:$A$5012,TMR!$H33,TMR!$E$22:$E$5012,TMR!N$2)</f>
        <v>0</v>
      </c>
      <c r="O33" s="13">
        <f>SUMIFS(TMR!$C$22:$C$5012,TMR!$A$22:$A$5012,TMR!$H33,TMR!$E$22:$E$5012,TMR!O$2)</f>
        <v>0</v>
      </c>
      <c r="P33" s="13">
        <f>SUMIFS(TMR!$C$22:$C$5012,TMR!$A$22:$A$5012,TMR!$H33,TMR!$E$22:$E$5012,TMR!P$2)</f>
        <v>0</v>
      </c>
      <c r="Q33" s="13">
        <f>SUMIFS(TMR!$C$22:$C$5012,TMR!$A$22:$A$5012,TMR!$H33,TMR!$E$22:$E$5012,TMR!Q$2)</f>
        <v>26788</v>
      </c>
      <c r="R33" s="13">
        <f>SUMIFS(TMR!$C$22:$C$5012,TMR!$A$22:$A$5012,TMR!$H33,TMR!$E$22:$E$5012,TMR!R$2)</f>
        <v>2071</v>
      </c>
      <c r="S33" s="13">
        <f>SUMIFS(TMR!$C$22:$C$5012,TMR!$A$22:$A$5012,TMR!$H33,TMR!$E$22:$E$5012,TMR!S$2)</f>
        <v>1</v>
      </c>
      <c r="T33" s="14">
        <f>SUMIFS(TMR!$C$22:$C$5012,TMR!$A$22:$A$5012,TMR!$H33,TMR!$E$22:$E$5012,TMR!T$2)</f>
        <v>0</v>
      </c>
      <c r="U33" s="13">
        <f>SUMIFS(TMR!$C$22:$C$5012,TMR!$A$22:$A$5012,TMR!$H33,TMR!$E$22:$E$5012,TMR!U$2)</f>
        <v>0</v>
      </c>
      <c r="V33" s="13">
        <f>SUMIFS(TMR!$C$22:$C$5012,TMR!$A$22:$A$5012,TMR!$H33,TMR!$E$22:$E$5012,TMR!V$2)</f>
        <v>33133</v>
      </c>
      <c r="W33" s="14">
        <f>SUMIFS(TMR!$C$22:$C$5012,TMR!$A$22:$A$5012,TMR!$H33,TMR!$E$22:$E$5012,TMR!W$2)</f>
        <v>1152</v>
      </c>
      <c r="Y33" s="11">
        <v>201707</v>
      </c>
      <c r="Z33" s="12">
        <f>SUMIFS(TMR!$D$22:$D$5012,TMR!$A$22:$A$5012,TMR!$H33,TMR!$E$22:$E$5012,TMR!Z$2)</f>
        <v>0</v>
      </c>
      <c r="AA33" s="13">
        <f>SUMIFS(TMR!$D$22:$D$5012,TMR!$A$22:$A$5012,TMR!$H33,TMR!$E$22:$E$5012,TMR!AA$2)</f>
        <v>0</v>
      </c>
      <c r="AB33" s="13">
        <f>SUMIFS(TMR!$D$22:$D$5012,TMR!$A$22:$A$5012,TMR!$H33,TMR!$E$22:$E$5012,TMR!AB$2)</f>
        <v>0</v>
      </c>
      <c r="AC33" s="13">
        <f>SUMIFS(TMR!$D$22:$D$5012,TMR!$A$22:$A$5012,TMR!$H33,TMR!$E$22:$E$5012,TMR!AC$2)</f>
        <v>0</v>
      </c>
      <c r="AD33" s="13">
        <f>SUMIFS(TMR!$D$22:$D$5012,TMR!$A$22:$A$5012,TMR!$H33,TMR!$E$22:$E$5012,TMR!AD$2)</f>
        <v>11622</v>
      </c>
      <c r="AE33" s="13">
        <f>SUMIFS(TMR!$D$22:$D$5012,TMR!$A$22:$A$5012,TMR!$H33,TMR!$E$22:$E$5012,TMR!AE$2)</f>
        <v>0</v>
      </c>
      <c r="AF33" s="13">
        <f>SUMIFS(TMR!$D$22:$D$5012,TMR!$A$22:$A$5012,TMR!$H33,TMR!$E$22:$E$5012,TMR!AF$2)</f>
        <v>0</v>
      </c>
      <c r="AG33" s="13">
        <f>SUMIFS(TMR!$D$22:$D$5012,TMR!$A$22:$A$5012,TMR!$H33,TMR!$E$22:$E$5012,TMR!AG$2)</f>
        <v>0</v>
      </c>
      <c r="AH33" s="13">
        <f>SUMIFS(TMR!$D$22:$D$5012,TMR!$A$22:$A$5012,TMR!$H33,TMR!$E$22:$E$5012,TMR!AH$2)</f>
        <v>0</v>
      </c>
      <c r="AI33" s="13">
        <f>SUMIFS(TMR!$D$22:$D$5012,TMR!$A$22:$A$5012,TMR!$H33,TMR!$E$22:$E$5012,TMR!AI$2)</f>
        <v>0</v>
      </c>
      <c r="AJ33" s="13">
        <f>SUMIFS(TMR!$D$22:$D$5012,TMR!$A$22:$A$5012,TMR!$H33,TMR!$E$22:$E$5012,TMR!AJ$2)</f>
        <v>0</v>
      </c>
      <c r="AK33" s="14">
        <f>SUMIFS(TMR!$D$22:$D$5012,TMR!$A$22:$A$5012,TMR!$H33,TMR!$E$22:$E$5012,TMR!AK$2)</f>
        <v>0</v>
      </c>
      <c r="AL33" s="13">
        <f>SUMIFS(TMR!$D$22:$D$5012,TMR!$A$22:$A$5012,TMR!$H33,TMR!$E$22:$E$5012,TMR!AL$2)</f>
        <v>0</v>
      </c>
      <c r="AM33" s="13">
        <f>SUMIFS(TMR!$D$22:$D$5012,TMR!$A$22:$A$5012,TMR!$H33,TMR!$E$22:$E$5012,TMR!AM$2)</f>
        <v>0</v>
      </c>
      <c r="AN33" s="14">
        <f>SUMIFS(TMR!$D$22:$D$5012,TMR!$A$22:$A$5012,TMR!$H33,TMR!$E$22:$E$5012,TMR!AN$2)</f>
        <v>0</v>
      </c>
    </row>
    <row r="34" spans="1:40" x14ac:dyDescent="0.25">
      <c r="A34" s="108">
        <v>201407</v>
      </c>
      <c r="B34" s="109" t="s">
        <v>53</v>
      </c>
      <c r="C34" s="108">
        <v>6404</v>
      </c>
      <c r="D34" s="110"/>
      <c r="E34" t="str">
        <f>VLOOKUP(B34,CAC!$A$2:$B$198,2,FALSE)</f>
        <v>HMOPMR</v>
      </c>
      <c r="G34" s="52">
        <f t="shared" si="1"/>
        <v>188991</v>
      </c>
      <c r="H34" s="11">
        <v>201708</v>
      </c>
      <c r="I34" s="12">
        <f>SUMIFS(TMR!$C$22:$C$5012,TMR!$A$22:$A$5012,TMR!$H34,TMR!$E$22:$E$5012,TMR!I$2)</f>
        <v>37694</v>
      </c>
      <c r="J34" s="13">
        <f>SUMIFS(TMR!$C$22:$C$5012,TMR!$A$22:$A$5012,TMR!$H34,TMR!$E$22:$E$5012,TMR!J$2)</f>
        <v>53731</v>
      </c>
      <c r="K34" s="13">
        <f>SUMIFS(TMR!$C$22:$C$5012,TMR!$A$22:$A$5012,TMR!$H34,TMR!$E$22:$E$5012,TMR!K$2)</f>
        <v>5671</v>
      </c>
      <c r="L34" s="13">
        <f>SUMIFS(TMR!$C$22:$C$5012,TMR!$A$22:$A$5012,TMR!$H34,TMR!$E$22:$E$5012,TMR!L$2)</f>
        <v>15658</v>
      </c>
      <c r="M34" s="13">
        <f>SUMIFS(TMR!$C$22:$C$5012,TMR!$A$22:$A$5012,TMR!$H34,TMR!$E$22:$E$5012,TMR!M$2)</f>
        <v>35557</v>
      </c>
      <c r="N34" s="13">
        <f>SUMIFS(TMR!$C$22:$C$5012,TMR!$A$22:$A$5012,TMR!$H34,TMR!$E$22:$E$5012,TMR!N$2)</f>
        <v>0</v>
      </c>
      <c r="O34" s="13">
        <f>SUMIFS(TMR!$C$22:$C$5012,TMR!$A$22:$A$5012,TMR!$H34,TMR!$E$22:$E$5012,TMR!O$2)</f>
        <v>0</v>
      </c>
      <c r="P34" s="13">
        <f>SUMIFS(TMR!$C$22:$C$5012,TMR!$A$22:$A$5012,TMR!$H34,TMR!$E$22:$E$5012,TMR!P$2)</f>
        <v>0</v>
      </c>
      <c r="Q34" s="13">
        <f>SUMIFS(TMR!$C$22:$C$5012,TMR!$A$22:$A$5012,TMR!$H34,TMR!$E$22:$E$5012,TMR!Q$2)</f>
        <v>26934</v>
      </c>
      <c r="R34" s="13">
        <f>SUMIFS(TMR!$C$22:$C$5012,TMR!$A$22:$A$5012,TMR!$H34,TMR!$E$22:$E$5012,TMR!R$2)</f>
        <v>2151</v>
      </c>
      <c r="S34" s="13">
        <f>SUMIFS(TMR!$C$22:$C$5012,TMR!$A$22:$A$5012,TMR!$H34,TMR!$E$22:$E$5012,TMR!S$2)</f>
        <v>1</v>
      </c>
      <c r="T34" s="14">
        <f>SUMIFS(TMR!$C$22:$C$5012,TMR!$A$22:$A$5012,TMR!$H34,TMR!$E$22:$E$5012,TMR!T$2)</f>
        <v>0</v>
      </c>
      <c r="U34" s="13">
        <f>SUMIFS(TMR!$C$22:$C$5012,TMR!$A$22:$A$5012,TMR!$H34,TMR!$E$22:$E$5012,TMR!U$2)</f>
        <v>0</v>
      </c>
      <c r="V34" s="13">
        <f>SUMIFS(TMR!$C$22:$C$5012,TMR!$A$22:$A$5012,TMR!$H34,TMR!$E$22:$E$5012,TMR!V$2)</f>
        <v>33223</v>
      </c>
      <c r="W34" s="14">
        <f>SUMIFS(TMR!$C$22:$C$5012,TMR!$A$22:$A$5012,TMR!$H34,TMR!$E$22:$E$5012,TMR!W$2)</f>
        <v>1159</v>
      </c>
      <c r="Y34" s="11">
        <v>201708</v>
      </c>
      <c r="Z34" s="12">
        <f>SUMIFS(TMR!$D$22:$D$5012,TMR!$A$22:$A$5012,TMR!$H34,TMR!$E$22:$E$5012,TMR!Z$2)</f>
        <v>0</v>
      </c>
      <c r="AA34" s="13">
        <f>SUMIFS(TMR!$D$22:$D$5012,TMR!$A$22:$A$5012,TMR!$H34,TMR!$E$22:$E$5012,TMR!AA$2)</f>
        <v>0</v>
      </c>
      <c r="AB34" s="13">
        <f>SUMIFS(TMR!$D$22:$D$5012,TMR!$A$22:$A$5012,TMR!$H34,TMR!$E$22:$E$5012,TMR!AB$2)</f>
        <v>0</v>
      </c>
      <c r="AC34" s="13">
        <f>SUMIFS(TMR!$D$22:$D$5012,TMR!$A$22:$A$5012,TMR!$H34,TMR!$E$22:$E$5012,TMR!AC$2)</f>
        <v>0</v>
      </c>
      <c r="AD34" s="13">
        <f>SUMIFS(TMR!$D$22:$D$5012,TMR!$A$22:$A$5012,TMR!$H34,TMR!$E$22:$E$5012,TMR!AD$2)</f>
        <v>11594</v>
      </c>
      <c r="AE34" s="13">
        <f>SUMIFS(TMR!$D$22:$D$5012,TMR!$A$22:$A$5012,TMR!$H34,TMR!$E$22:$E$5012,TMR!AE$2)</f>
        <v>0</v>
      </c>
      <c r="AF34" s="13">
        <f>SUMIFS(TMR!$D$22:$D$5012,TMR!$A$22:$A$5012,TMR!$H34,TMR!$E$22:$E$5012,TMR!AF$2)</f>
        <v>0</v>
      </c>
      <c r="AG34" s="13">
        <f>SUMIFS(TMR!$D$22:$D$5012,TMR!$A$22:$A$5012,TMR!$H34,TMR!$E$22:$E$5012,TMR!AG$2)</f>
        <v>0</v>
      </c>
      <c r="AH34" s="13">
        <f>SUMIFS(TMR!$D$22:$D$5012,TMR!$A$22:$A$5012,TMR!$H34,TMR!$E$22:$E$5012,TMR!AH$2)</f>
        <v>0</v>
      </c>
      <c r="AI34" s="13">
        <f>SUMIFS(TMR!$D$22:$D$5012,TMR!$A$22:$A$5012,TMR!$H34,TMR!$E$22:$E$5012,TMR!AI$2)</f>
        <v>0</v>
      </c>
      <c r="AJ34" s="13">
        <f>SUMIFS(TMR!$D$22:$D$5012,TMR!$A$22:$A$5012,TMR!$H34,TMR!$E$22:$E$5012,TMR!AJ$2)</f>
        <v>0</v>
      </c>
      <c r="AK34" s="14">
        <f>SUMIFS(TMR!$D$22:$D$5012,TMR!$A$22:$A$5012,TMR!$H34,TMR!$E$22:$E$5012,TMR!AK$2)</f>
        <v>0</v>
      </c>
      <c r="AL34" s="13">
        <f>SUMIFS(TMR!$D$22:$D$5012,TMR!$A$22:$A$5012,TMR!$H34,TMR!$E$22:$E$5012,TMR!AL$2)</f>
        <v>0</v>
      </c>
      <c r="AM34" s="13">
        <f>SUMIFS(TMR!$D$22:$D$5012,TMR!$A$22:$A$5012,TMR!$H34,TMR!$E$22:$E$5012,TMR!AM$2)</f>
        <v>0</v>
      </c>
      <c r="AN34" s="14">
        <f>SUMIFS(TMR!$D$22:$D$5012,TMR!$A$22:$A$5012,TMR!$H34,TMR!$E$22:$E$5012,TMR!AN$2)</f>
        <v>0</v>
      </c>
    </row>
    <row r="35" spans="1:40" x14ac:dyDescent="0.25">
      <c r="A35" s="108">
        <v>201408</v>
      </c>
      <c r="B35" s="109" t="s">
        <v>53</v>
      </c>
      <c r="C35" s="108">
        <v>6485</v>
      </c>
      <c r="D35" s="110"/>
      <c r="E35" t="str">
        <f>VLOOKUP(B35,CAC!$A$2:$B$198,2,FALSE)</f>
        <v>HMOPMR</v>
      </c>
      <c r="G35" s="52">
        <f t="shared" si="1"/>
        <v>190286</v>
      </c>
      <c r="H35" s="11">
        <v>201709</v>
      </c>
      <c r="I35" s="12">
        <f>SUMIFS(TMR!$C$22:$C$5012,TMR!$A$22:$A$5012,TMR!$H35,TMR!$E$22:$E$5012,TMR!I$2)</f>
        <v>38704</v>
      </c>
      <c r="J35" s="13">
        <f>SUMIFS(TMR!$C$22:$C$5012,TMR!$A$22:$A$5012,TMR!$H35,TMR!$E$22:$E$5012,TMR!J$2)</f>
        <v>53861</v>
      </c>
      <c r="K35" s="13">
        <f>SUMIFS(TMR!$C$22:$C$5012,TMR!$A$22:$A$5012,TMR!$H35,TMR!$E$22:$E$5012,TMR!K$2)</f>
        <v>5656</v>
      </c>
      <c r="L35" s="13">
        <f>SUMIFS(TMR!$C$22:$C$5012,TMR!$A$22:$A$5012,TMR!$H35,TMR!$E$22:$E$5012,TMR!L$2)</f>
        <v>15748</v>
      </c>
      <c r="M35" s="13">
        <f>SUMIFS(TMR!$C$22:$C$5012,TMR!$A$22:$A$5012,TMR!$H35,TMR!$E$22:$E$5012,TMR!M$2)</f>
        <v>35380</v>
      </c>
      <c r="N35" s="13">
        <f>SUMIFS(TMR!$C$22:$C$5012,TMR!$A$22:$A$5012,TMR!$H35,TMR!$E$22:$E$5012,TMR!N$2)</f>
        <v>0</v>
      </c>
      <c r="O35" s="13">
        <f>SUMIFS(TMR!$C$22:$C$5012,TMR!$A$22:$A$5012,TMR!$H35,TMR!$E$22:$E$5012,TMR!O$2)</f>
        <v>0</v>
      </c>
      <c r="P35" s="13">
        <f>SUMIFS(TMR!$C$22:$C$5012,TMR!$A$22:$A$5012,TMR!$H35,TMR!$E$22:$E$5012,TMR!P$2)</f>
        <v>0</v>
      </c>
      <c r="Q35" s="13">
        <f>SUMIFS(TMR!$C$22:$C$5012,TMR!$A$22:$A$5012,TMR!$H35,TMR!$E$22:$E$5012,TMR!Q$2)</f>
        <v>26764</v>
      </c>
      <c r="R35" s="13">
        <f>SUMIFS(TMR!$C$22:$C$5012,TMR!$A$22:$A$5012,TMR!$H35,TMR!$E$22:$E$5012,TMR!R$2)</f>
        <v>2249</v>
      </c>
      <c r="S35" s="13">
        <f>SUMIFS(TMR!$C$22:$C$5012,TMR!$A$22:$A$5012,TMR!$H35,TMR!$E$22:$E$5012,TMR!S$2)</f>
        <v>0</v>
      </c>
      <c r="T35" s="14">
        <f>SUMIFS(TMR!$C$22:$C$5012,TMR!$A$22:$A$5012,TMR!$H35,TMR!$E$22:$E$5012,TMR!T$2)</f>
        <v>0</v>
      </c>
      <c r="U35" s="13">
        <f>SUMIFS(TMR!$C$22:$C$5012,TMR!$A$22:$A$5012,TMR!$H35,TMR!$E$22:$E$5012,TMR!U$2)</f>
        <v>0</v>
      </c>
      <c r="V35" s="13">
        <f>SUMIFS(TMR!$C$22:$C$5012,TMR!$A$22:$A$5012,TMR!$H35,TMR!$E$22:$E$5012,TMR!V$2)</f>
        <v>33301</v>
      </c>
      <c r="W35" s="14">
        <f>SUMIFS(TMR!$C$22:$C$5012,TMR!$A$22:$A$5012,TMR!$H35,TMR!$E$22:$E$5012,TMR!W$2)</f>
        <v>1163</v>
      </c>
      <c r="Y35" s="11">
        <v>201709</v>
      </c>
      <c r="Z35" s="12">
        <f>SUMIFS(TMR!$D$22:$D$5012,TMR!$A$22:$A$5012,TMR!$H35,TMR!$E$22:$E$5012,TMR!Z$2)</f>
        <v>0</v>
      </c>
      <c r="AA35" s="13">
        <f>SUMIFS(TMR!$D$22:$D$5012,TMR!$A$22:$A$5012,TMR!$H35,TMR!$E$22:$E$5012,TMR!AA$2)</f>
        <v>0</v>
      </c>
      <c r="AB35" s="13">
        <f>SUMIFS(TMR!$D$22:$D$5012,TMR!$A$22:$A$5012,TMR!$H35,TMR!$E$22:$E$5012,TMR!AB$2)</f>
        <v>0</v>
      </c>
      <c r="AC35" s="13">
        <f>SUMIFS(TMR!$D$22:$D$5012,TMR!$A$22:$A$5012,TMR!$H35,TMR!$E$22:$E$5012,TMR!AC$2)</f>
        <v>0</v>
      </c>
      <c r="AD35" s="13">
        <f>SUMIFS(TMR!$D$22:$D$5012,TMR!$A$22:$A$5012,TMR!$H35,TMR!$E$22:$E$5012,TMR!AD$2)</f>
        <v>11924</v>
      </c>
      <c r="AE35" s="13">
        <f>SUMIFS(TMR!$D$22:$D$5012,TMR!$A$22:$A$5012,TMR!$H35,TMR!$E$22:$E$5012,TMR!AE$2)</f>
        <v>0</v>
      </c>
      <c r="AF35" s="13">
        <f>SUMIFS(TMR!$D$22:$D$5012,TMR!$A$22:$A$5012,TMR!$H35,TMR!$E$22:$E$5012,TMR!AF$2)</f>
        <v>0</v>
      </c>
      <c r="AG35" s="13">
        <f>SUMIFS(TMR!$D$22:$D$5012,TMR!$A$22:$A$5012,TMR!$H35,TMR!$E$22:$E$5012,TMR!AG$2)</f>
        <v>0</v>
      </c>
      <c r="AH35" s="13">
        <f>SUMIFS(TMR!$D$22:$D$5012,TMR!$A$22:$A$5012,TMR!$H35,TMR!$E$22:$E$5012,TMR!AH$2)</f>
        <v>0</v>
      </c>
      <c r="AI35" s="13">
        <f>SUMIFS(TMR!$D$22:$D$5012,TMR!$A$22:$A$5012,TMR!$H35,TMR!$E$22:$E$5012,TMR!AI$2)</f>
        <v>0</v>
      </c>
      <c r="AJ35" s="13">
        <f>SUMIFS(TMR!$D$22:$D$5012,TMR!$A$22:$A$5012,TMR!$H35,TMR!$E$22:$E$5012,TMR!AJ$2)</f>
        <v>0</v>
      </c>
      <c r="AK35" s="14">
        <f>SUMIFS(TMR!$D$22:$D$5012,TMR!$A$22:$A$5012,TMR!$H35,TMR!$E$22:$E$5012,TMR!AK$2)</f>
        <v>0</v>
      </c>
      <c r="AL35" s="13">
        <f>SUMIFS(TMR!$D$22:$D$5012,TMR!$A$22:$A$5012,TMR!$H35,TMR!$E$22:$E$5012,TMR!AL$2)</f>
        <v>0</v>
      </c>
      <c r="AM35" s="13">
        <f>SUMIFS(TMR!$D$22:$D$5012,TMR!$A$22:$A$5012,TMR!$H35,TMR!$E$22:$E$5012,TMR!AM$2)</f>
        <v>0</v>
      </c>
      <c r="AN35" s="14">
        <f>SUMIFS(TMR!$D$22:$D$5012,TMR!$A$22:$A$5012,TMR!$H35,TMR!$E$22:$E$5012,TMR!AN$2)</f>
        <v>0</v>
      </c>
    </row>
    <row r="36" spans="1:40" x14ac:dyDescent="0.25">
      <c r="A36" s="108">
        <v>201409</v>
      </c>
      <c r="B36" s="109" t="s">
        <v>53</v>
      </c>
      <c r="C36" s="108">
        <v>6496</v>
      </c>
      <c r="D36" s="110"/>
      <c r="E36" t="str">
        <f>VLOOKUP(B36,CAC!$A$2:$B$198,2,FALSE)</f>
        <v>HMOPMR</v>
      </c>
      <c r="G36" s="52">
        <f t="shared" si="1"/>
        <v>192984</v>
      </c>
      <c r="H36" s="11">
        <v>201710</v>
      </c>
      <c r="I36" s="12">
        <f>SUMIFS(TMR!$C$22:$C$5012,TMR!$A$22:$A$5012,TMR!$H36,TMR!$E$22:$E$5012,TMR!I$2)</f>
        <v>40499</v>
      </c>
      <c r="J36" s="13">
        <f>SUMIFS(TMR!$C$22:$C$5012,TMR!$A$22:$A$5012,TMR!$H36,TMR!$E$22:$E$5012,TMR!J$2)</f>
        <v>53877</v>
      </c>
      <c r="K36" s="13">
        <f>SUMIFS(TMR!$C$22:$C$5012,TMR!$A$22:$A$5012,TMR!$H36,TMR!$E$22:$E$5012,TMR!K$2)</f>
        <v>5639</v>
      </c>
      <c r="L36" s="13">
        <f>SUMIFS(TMR!$C$22:$C$5012,TMR!$A$22:$A$5012,TMR!$H36,TMR!$E$22:$E$5012,TMR!L$2)</f>
        <v>16099</v>
      </c>
      <c r="M36" s="13">
        <f>SUMIFS(TMR!$C$22:$C$5012,TMR!$A$22:$A$5012,TMR!$H36,TMR!$E$22:$E$5012,TMR!M$2)</f>
        <v>35130</v>
      </c>
      <c r="N36" s="13">
        <f>SUMIFS(TMR!$C$22:$C$5012,TMR!$A$22:$A$5012,TMR!$H36,TMR!$E$22:$E$5012,TMR!N$2)</f>
        <v>0</v>
      </c>
      <c r="O36" s="13">
        <f>SUMIFS(TMR!$C$22:$C$5012,TMR!$A$22:$A$5012,TMR!$H36,TMR!$E$22:$E$5012,TMR!O$2)</f>
        <v>0</v>
      </c>
      <c r="P36" s="13">
        <f>SUMIFS(TMR!$C$22:$C$5012,TMR!$A$22:$A$5012,TMR!$H36,TMR!$E$22:$E$5012,TMR!P$2)</f>
        <v>0</v>
      </c>
      <c r="Q36" s="13">
        <f>SUMIFS(TMR!$C$22:$C$5012,TMR!$A$22:$A$5012,TMR!$H36,TMR!$E$22:$E$5012,TMR!Q$2)</f>
        <v>27567</v>
      </c>
      <c r="R36" s="13">
        <f>SUMIFS(TMR!$C$22:$C$5012,TMR!$A$22:$A$5012,TMR!$H36,TMR!$E$22:$E$5012,TMR!R$2)</f>
        <v>2303</v>
      </c>
      <c r="S36" s="13">
        <f>SUMIFS(TMR!$C$22:$C$5012,TMR!$A$22:$A$5012,TMR!$H36,TMR!$E$22:$E$5012,TMR!S$2)</f>
        <v>0</v>
      </c>
      <c r="T36" s="14">
        <f>SUMIFS(TMR!$C$22:$C$5012,TMR!$A$22:$A$5012,TMR!$H36,TMR!$E$22:$E$5012,TMR!T$2)</f>
        <v>0</v>
      </c>
      <c r="U36" s="13">
        <f>SUMIFS(TMR!$C$22:$C$5012,TMR!$A$22:$A$5012,TMR!$H36,TMR!$E$22:$E$5012,TMR!U$2)</f>
        <v>0</v>
      </c>
      <c r="V36" s="13">
        <f>SUMIFS(TMR!$C$22:$C$5012,TMR!$A$22:$A$5012,TMR!$H36,TMR!$E$22:$E$5012,TMR!V$2)</f>
        <v>33361</v>
      </c>
      <c r="W36" s="14">
        <f>SUMIFS(TMR!$C$22:$C$5012,TMR!$A$22:$A$5012,TMR!$H36,TMR!$E$22:$E$5012,TMR!W$2)</f>
        <v>1171</v>
      </c>
      <c r="Y36" s="11">
        <v>201710</v>
      </c>
      <c r="Z36" s="12">
        <f>SUMIFS(TMR!$D$22:$D$5012,TMR!$A$22:$A$5012,TMR!$H36,TMR!$E$22:$E$5012,TMR!Z$2)</f>
        <v>0</v>
      </c>
      <c r="AA36" s="13">
        <f>SUMIFS(TMR!$D$22:$D$5012,TMR!$A$22:$A$5012,TMR!$H36,TMR!$E$22:$E$5012,TMR!AA$2)</f>
        <v>0</v>
      </c>
      <c r="AB36" s="13">
        <f>SUMIFS(TMR!$D$22:$D$5012,TMR!$A$22:$A$5012,TMR!$H36,TMR!$E$22:$E$5012,TMR!AB$2)</f>
        <v>0</v>
      </c>
      <c r="AC36" s="13">
        <f>SUMIFS(TMR!$D$22:$D$5012,TMR!$A$22:$A$5012,TMR!$H36,TMR!$E$22:$E$5012,TMR!AC$2)</f>
        <v>0</v>
      </c>
      <c r="AD36" s="13">
        <f>SUMIFS(TMR!$D$22:$D$5012,TMR!$A$22:$A$5012,TMR!$H36,TMR!$E$22:$E$5012,TMR!AD$2)</f>
        <v>11870</v>
      </c>
      <c r="AE36" s="13">
        <f>SUMIFS(TMR!$D$22:$D$5012,TMR!$A$22:$A$5012,TMR!$H36,TMR!$E$22:$E$5012,TMR!AE$2)</f>
        <v>0</v>
      </c>
      <c r="AF36" s="13">
        <f>SUMIFS(TMR!$D$22:$D$5012,TMR!$A$22:$A$5012,TMR!$H36,TMR!$E$22:$E$5012,TMR!AF$2)</f>
        <v>0</v>
      </c>
      <c r="AG36" s="13">
        <f>SUMIFS(TMR!$D$22:$D$5012,TMR!$A$22:$A$5012,TMR!$H36,TMR!$E$22:$E$5012,TMR!AG$2)</f>
        <v>0</v>
      </c>
      <c r="AH36" s="13">
        <f>SUMIFS(TMR!$D$22:$D$5012,TMR!$A$22:$A$5012,TMR!$H36,TMR!$E$22:$E$5012,TMR!AH$2)</f>
        <v>0</v>
      </c>
      <c r="AI36" s="13">
        <f>SUMIFS(TMR!$D$22:$D$5012,TMR!$A$22:$A$5012,TMR!$H36,TMR!$E$22:$E$5012,TMR!AI$2)</f>
        <v>0</v>
      </c>
      <c r="AJ36" s="13">
        <f>SUMIFS(TMR!$D$22:$D$5012,TMR!$A$22:$A$5012,TMR!$H36,TMR!$E$22:$E$5012,TMR!AJ$2)</f>
        <v>0</v>
      </c>
      <c r="AK36" s="14">
        <f>SUMIFS(TMR!$D$22:$D$5012,TMR!$A$22:$A$5012,TMR!$H36,TMR!$E$22:$E$5012,TMR!AK$2)</f>
        <v>0</v>
      </c>
      <c r="AL36" s="13">
        <f>SUMIFS(TMR!$D$22:$D$5012,TMR!$A$22:$A$5012,TMR!$H36,TMR!$E$22:$E$5012,TMR!AL$2)</f>
        <v>0</v>
      </c>
      <c r="AM36" s="13">
        <f>SUMIFS(TMR!$D$22:$D$5012,TMR!$A$22:$A$5012,TMR!$H36,TMR!$E$22:$E$5012,TMR!AM$2)</f>
        <v>0</v>
      </c>
      <c r="AN36" s="14">
        <f>SUMIFS(TMR!$D$22:$D$5012,TMR!$A$22:$A$5012,TMR!$H36,TMR!$E$22:$E$5012,TMR!AN$2)</f>
        <v>0</v>
      </c>
    </row>
    <row r="37" spans="1:40" x14ac:dyDescent="0.25">
      <c r="A37" s="108">
        <v>201410</v>
      </c>
      <c r="B37" s="109" t="s">
        <v>53</v>
      </c>
      <c r="C37" s="108">
        <v>6501</v>
      </c>
      <c r="D37" s="110"/>
      <c r="E37" t="str">
        <f>VLOOKUP(B37,CAC!$A$2:$B$198,2,FALSE)</f>
        <v>HMOPMR</v>
      </c>
      <c r="G37" s="52">
        <f t="shared" si="1"/>
        <v>194858</v>
      </c>
      <c r="H37" s="11">
        <v>201711</v>
      </c>
      <c r="I37" s="12">
        <f>SUMIFS(TMR!$C$22:$C$5012,TMR!$A$22:$A$5012,TMR!$H37,TMR!$E$22:$E$5012,TMR!I$2)</f>
        <v>41711</v>
      </c>
      <c r="J37" s="13">
        <f>SUMIFS(TMR!$C$22:$C$5012,TMR!$A$22:$A$5012,TMR!$H37,TMR!$E$22:$E$5012,TMR!J$2)</f>
        <v>53925</v>
      </c>
      <c r="K37" s="13">
        <f>SUMIFS(TMR!$C$22:$C$5012,TMR!$A$22:$A$5012,TMR!$H37,TMR!$E$22:$E$5012,TMR!K$2)</f>
        <v>5619</v>
      </c>
      <c r="L37" s="13">
        <f>SUMIFS(TMR!$C$22:$C$5012,TMR!$A$22:$A$5012,TMR!$H37,TMR!$E$22:$E$5012,TMR!L$2)</f>
        <v>16270</v>
      </c>
      <c r="M37" s="13">
        <f>SUMIFS(TMR!$C$22:$C$5012,TMR!$A$22:$A$5012,TMR!$H37,TMR!$E$22:$E$5012,TMR!M$2)</f>
        <v>34928</v>
      </c>
      <c r="N37" s="13">
        <f>SUMIFS(TMR!$C$22:$C$5012,TMR!$A$22:$A$5012,TMR!$H37,TMR!$E$22:$E$5012,TMR!N$2)</f>
        <v>0</v>
      </c>
      <c r="O37" s="13">
        <f>SUMIFS(TMR!$C$22:$C$5012,TMR!$A$22:$A$5012,TMR!$H37,TMR!$E$22:$E$5012,TMR!O$2)</f>
        <v>0</v>
      </c>
      <c r="P37" s="13">
        <f>SUMIFS(TMR!$C$22:$C$5012,TMR!$A$22:$A$5012,TMR!$H37,TMR!$E$22:$E$5012,TMR!P$2)</f>
        <v>0</v>
      </c>
      <c r="Q37" s="13">
        <f>SUMIFS(TMR!$C$22:$C$5012,TMR!$A$22:$A$5012,TMR!$H37,TMR!$E$22:$E$5012,TMR!Q$2)</f>
        <v>28308</v>
      </c>
      <c r="R37" s="13">
        <f>SUMIFS(TMR!$C$22:$C$5012,TMR!$A$22:$A$5012,TMR!$H37,TMR!$E$22:$E$5012,TMR!R$2)</f>
        <v>2343</v>
      </c>
      <c r="S37" s="13">
        <f>SUMIFS(TMR!$C$22:$C$5012,TMR!$A$22:$A$5012,TMR!$H37,TMR!$E$22:$E$5012,TMR!S$2)</f>
        <v>0</v>
      </c>
      <c r="T37" s="14">
        <f>SUMIFS(TMR!$C$22:$C$5012,TMR!$A$22:$A$5012,TMR!$H37,TMR!$E$22:$E$5012,TMR!T$2)</f>
        <v>0</v>
      </c>
      <c r="U37" s="13">
        <f>SUMIFS(TMR!$C$22:$C$5012,TMR!$A$22:$A$5012,TMR!$H37,TMR!$E$22:$E$5012,TMR!U$2)</f>
        <v>0</v>
      </c>
      <c r="V37" s="13">
        <f>SUMIFS(TMR!$C$22:$C$5012,TMR!$A$22:$A$5012,TMR!$H37,TMR!$E$22:$E$5012,TMR!V$2)</f>
        <v>33341</v>
      </c>
      <c r="W37" s="14">
        <f>SUMIFS(TMR!$C$22:$C$5012,TMR!$A$22:$A$5012,TMR!$H37,TMR!$E$22:$E$5012,TMR!W$2)</f>
        <v>1169</v>
      </c>
      <c r="Y37" s="11">
        <v>201711</v>
      </c>
      <c r="Z37" s="12">
        <f>SUMIFS(TMR!$D$22:$D$5012,TMR!$A$22:$A$5012,TMR!$H37,TMR!$E$22:$E$5012,TMR!Z$2)</f>
        <v>0</v>
      </c>
      <c r="AA37" s="13">
        <f>SUMIFS(TMR!$D$22:$D$5012,TMR!$A$22:$A$5012,TMR!$H37,TMR!$E$22:$E$5012,TMR!AA$2)</f>
        <v>0</v>
      </c>
      <c r="AB37" s="13">
        <f>SUMIFS(TMR!$D$22:$D$5012,TMR!$A$22:$A$5012,TMR!$H37,TMR!$E$22:$E$5012,TMR!AB$2)</f>
        <v>0</v>
      </c>
      <c r="AC37" s="13">
        <f>SUMIFS(TMR!$D$22:$D$5012,TMR!$A$22:$A$5012,TMR!$H37,TMR!$E$22:$E$5012,TMR!AC$2)</f>
        <v>0</v>
      </c>
      <c r="AD37" s="13">
        <f>SUMIFS(TMR!$D$22:$D$5012,TMR!$A$22:$A$5012,TMR!$H37,TMR!$E$22:$E$5012,TMR!AD$2)</f>
        <v>11754</v>
      </c>
      <c r="AE37" s="13">
        <f>SUMIFS(TMR!$D$22:$D$5012,TMR!$A$22:$A$5012,TMR!$H37,TMR!$E$22:$E$5012,TMR!AE$2)</f>
        <v>0</v>
      </c>
      <c r="AF37" s="13">
        <f>SUMIFS(TMR!$D$22:$D$5012,TMR!$A$22:$A$5012,TMR!$H37,TMR!$E$22:$E$5012,TMR!AF$2)</f>
        <v>0</v>
      </c>
      <c r="AG37" s="13">
        <f>SUMIFS(TMR!$D$22:$D$5012,TMR!$A$22:$A$5012,TMR!$H37,TMR!$E$22:$E$5012,TMR!AG$2)</f>
        <v>0</v>
      </c>
      <c r="AH37" s="13">
        <f>SUMIFS(TMR!$D$22:$D$5012,TMR!$A$22:$A$5012,TMR!$H37,TMR!$E$22:$E$5012,TMR!AH$2)</f>
        <v>0</v>
      </c>
      <c r="AI37" s="13">
        <f>SUMIFS(TMR!$D$22:$D$5012,TMR!$A$22:$A$5012,TMR!$H37,TMR!$E$22:$E$5012,TMR!AI$2)</f>
        <v>0</v>
      </c>
      <c r="AJ37" s="13">
        <f>SUMIFS(TMR!$D$22:$D$5012,TMR!$A$22:$A$5012,TMR!$H37,TMR!$E$22:$E$5012,TMR!AJ$2)</f>
        <v>0</v>
      </c>
      <c r="AK37" s="14">
        <f>SUMIFS(TMR!$D$22:$D$5012,TMR!$A$22:$A$5012,TMR!$H37,TMR!$E$22:$E$5012,TMR!AK$2)</f>
        <v>0</v>
      </c>
      <c r="AL37" s="13">
        <f>SUMIFS(TMR!$D$22:$D$5012,TMR!$A$22:$A$5012,TMR!$H37,TMR!$E$22:$E$5012,TMR!AL$2)</f>
        <v>0</v>
      </c>
      <c r="AM37" s="13">
        <f>SUMIFS(TMR!$D$22:$D$5012,TMR!$A$22:$A$5012,TMR!$H37,TMR!$E$22:$E$5012,TMR!AM$2)</f>
        <v>0</v>
      </c>
      <c r="AN37" s="14">
        <f>SUMIFS(TMR!$D$22:$D$5012,TMR!$A$22:$A$5012,TMR!$H37,TMR!$E$22:$E$5012,TMR!AN$2)</f>
        <v>0</v>
      </c>
    </row>
    <row r="38" spans="1:40" x14ac:dyDescent="0.25">
      <c r="A38" s="108">
        <v>201411</v>
      </c>
      <c r="B38" s="109" t="s">
        <v>53</v>
      </c>
      <c r="C38" s="108">
        <v>6481</v>
      </c>
      <c r="D38" s="110"/>
      <c r="E38" t="str">
        <f>VLOOKUP(B38,CAC!$A$2:$B$198,2,FALSE)</f>
        <v>HMOPMR</v>
      </c>
      <c r="G38" s="52">
        <f t="shared" si="1"/>
        <v>201500</v>
      </c>
      <c r="H38" s="65">
        <v>201712</v>
      </c>
      <c r="I38" s="12">
        <f>SUMIFS(TMR!$C$22:$C$5012,TMR!$A$22:$A$5012,TMR!$H38,TMR!$E$22:$E$5012,TMR!I$2)</f>
        <v>42362</v>
      </c>
      <c r="J38" s="13">
        <f>SUMIFS(TMR!$C$22:$C$5012,TMR!$A$22:$A$5012,TMR!$H38,TMR!$E$22:$E$5012,TMR!J$2)</f>
        <v>54174</v>
      </c>
      <c r="K38" s="13">
        <f>SUMIFS(TMR!$C$22:$C$5012,TMR!$A$22:$A$5012,TMR!$H38,TMR!$E$22:$E$5012,TMR!K$2)</f>
        <v>5581</v>
      </c>
      <c r="L38" s="13">
        <f>SUMIFS(TMR!$C$22:$C$5012,TMR!$A$22:$A$5012,TMR!$H38,TMR!$E$22:$E$5012,TMR!L$2)</f>
        <v>16417</v>
      </c>
      <c r="M38" s="13">
        <f>SUMIFS(TMR!$C$22:$C$5012,TMR!$A$22:$A$5012,TMR!$H38,TMR!$E$22:$E$5012,TMR!M$2)</f>
        <v>34778</v>
      </c>
      <c r="N38" s="13">
        <f>SUMIFS(TMR!$C$22:$C$5012,TMR!$A$22:$A$5012,TMR!$H38,TMR!$E$22:$E$5012,TMR!N$2)</f>
        <v>0</v>
      </c>
      <c r="O38" s="13">
        <f>SUMIFS(TMR!$C$22:$C$5012,TMR!$A$22:$A$5012,TMR!$H38,TMR!$E$22:$E$5012,TMR!O$2)</f>
        <v>0</v>
      </c>
      <c r="P38" s="13">
        <f>SUMIFS(TMR!$C$22:$C$5012,TMR!$A$22:$A$5012,TMR!$H38,TMR!$E$22:$E$5012,TMR!P$2)</f>
        <v>0</v>
      </c>
      <c r="Q38" s="13">
        <f>SUMIFS(TMR!$C$22:$C$5012,TMR!$A$22:$A$5012,TMR!$H38,TMR!$E$22:$E$5012,TMR!Q$2)</f>
        <v>34250</v>
      </c>
      <c r="R38" s="13">
        <f>SUMIFS(TMR!$C$22:$C$5012,TMR!$A$22:$A$5012,TMR!$H38,TMR!$E$22:$E$5012,TMR!R$2)</f>
        <v>2363</v>
      </c>
      <c r="S38" s="13">
        <f>SUMIFS(TMR!$C$22:$C$5012,TMR!$A$22:$A$5012,TMR!$H38,TMR!$E$22:$E$5012,TMR!S$2)</f>
        <v>3</v>
      </c>
      <c r="T38" s="14">
        <f>SUMIFS(TMR!$C$22:$C$5012,TMR!$A$22:$A$5012,TMR!$H38,TMR!$E$22:$E$5012,TMR!T$2)</f>
        <v>0</v>
      </c>
      <c r="U38" s="13">
        <f>SUMIFS(TMR!$C$22:$C$5012,TMR!$A$22:$A$5012,TMR!$H38,TMR!$E$22:$E$5012,TMR!U$2)</f>
        <v>0</v>
      </c>
      <c r="V38" s="13">
        <f>SUMIFS(TMR!$C$22:$C$5012,TMR!$A$22:$A$5012,TMR!$H38,TMR!$E$22:$E$5012,TMR!V$2)</f>
        <v>33304</v>
      </c>
      <c r="W38" s="14">
        <f>SUMIFS(TMR!$C$22:$C$5012,TMR!$A$22:$A$5012,TMR!$H38,TMR!$E$22:$E$5012,TMR!W$2)</f>
        <v>1173</v>
      </c>
      <c r="Y38" s="65">
        <v>201712</v>
      </c>
      <c r="Z38" s="12">
        <f>SUMIFS(TMR!$D$22:$D$5012,TMR!$A$22:$A$5012,TMR!$H38,TMR!$E$22:$E$5012,TMR!Z$2)</f>
        <v>0</v>
      </c>
      <c r="AA38" s="13">
        <f>SUMIFS(TMR!$D$22:$D$5012,TMR!$A$22:$A$5012,TMR!$H38,TMR!$E$22:$E$5012,TMR!AA$2)</f>
        <v>0</v>
      </c>
      <c r="AB38" s="13">
        <f>SUMIFS(TMR!$D$22:$D$5012,TMR!$A$22:$A$5012,TMR!$H38,TMR!$E$22:$E$5012,TMR!AB$2)</f>
        <v>0</v>
      </c>
      <c r="AC38" s="13">
        <f>SUMIFS(TMR!$D$22:$D$5012,TMR!$A$22:$A$5012,TMR!$H38,TMR!$E$22:$E$5012,TMR!AC$2)</f>
        <v>0</v>
      </c>
      <c r="AD38" s="13">
        <f>SUMIFS(TMR!$D$22:$D$5012,TMR!$A$22:$A$5012,TMR!$H38,TMR!$E$22:$E$5012,TMR!AD$2)</f>
        <v>11572</v>
      </c>
      <c r="AE38" s="13">
        <f>SUMIFS(TMR!$D$22:$D$5012,TMR!$A$22:$A$5012,TMR!$H38,TMR!$E$22:$E$5012,TMR!AE$2)</f>
        <v>0</v>
      </c>
      <c r="AF38" s="13">
        <f>SUMIFS(TMR!$D$22:$D$5012,TMR!$A$22:$A$5012,TMR!$H38,TMR!$E$22:$E$5012,TMR!AF$2)</f>
        <v>0</v>
      </c>
      <c r="AG38" s="13">
        <f>SUMIFS(TMR!$D$22:$D$5012,TMR!$A$22:$A$5012,TMR!$H38,TMR!$E$22:$E$5012,TMR!AG$2)</f>
        <v>0</v>
      </c>
      <c r="AH38" s="13">
        <f>SUMIFS(TMR!$D$22:$D$5012,TMR!$A$22:$A$5012,TMR!$H38,TMR!$E$22:$E$5012,TMR!AH$2)</f>
        <v>0</v>
      </c>
      <c r="AI38" s="13">
        <f>SUMIFS(TMR!$D$22:$D$5012,TMR!$A$22:$A$5012,TMR!$H38,TMR!$E$22:$E$5012,TMR!AI$2)</f>
        <v>0</v>
      </c>
      <c r="AJ38" s="13">
        <f>SUMIFS(TMR!$D$22:$D$5012,TMR!$A$22:$A$5012,TMR!$H38,TMR!$E$22:$E$5012,TMR!AJ$2)</f>
        <v>0</v>
      </c>
      <c r="AK38" s="14">
        <f>SUMIFS(TMR!$D$22:$D$5012,TMR!$A$22:$A$5012,TMR!$H38,TMR!$E$22:$E$5012,TMR!AK$2)</f>
        <v>0</v>
      </c>
      <c r="AL38" s="13">
        <f>SUMIFS(TMR!$D$22:$D$5012,TMR!$A$22:$A$5012,TMR!$H38,TMR!$E$22:$E$5012,TMR!AL$2)</f>
        <v>0</v>
      </c>
      <c r="AM38" s="13">
        <f>SUMIFS(TMR!$D$22:$D$5012,TMR!$A$22:$A$5012,TMR!$H38,TMR!$E$22:$E$5012,TMR!AM$2)</f>
        <v>0</v>
      </c>
      <c r="AN38" s="14">
        <f>SUMIFS(TMR!$D$22:$D$5012,TMR!$A$22:$A$5012,TMR!$H38,TMR!$E$22:$E$5012,TMR!AN$2)</f>
        <v>0</v>
      </c>
    </row>
    <row r="39" spans="1:40" x14ac:dyDescent="0.25">
      <c r="A39" s="108">
        <v>201412</v>
      </c>
      <c r="B39" s="109" t="s">
        <v>53</v>
      </c>
      <c r="C39" s="108">
        <v>6481</v>
      </c>
      <c r="D39" s="110"/>
      <c r="E39" t="str">
        <f>VLOOKUP(B39,CAC!$A$2:$B$198,2,FALSE)</f>
        <v>HMOPMR</v>
      </c>
      <c r="G39" s="52">
        <f t="shared" ref="G39" si="2">SUM(I39:T39)+SUM(Z39:AK39)</f>
        <v>250307</v>
      </c>
      <c r="H39" s="65">
        <v>201801</v>
      </c>
      <c r="I39" s="12">
        <f>SUMIFS(TMR!$C$22:$C$5012,TMR!$A$22:$A$5012,TMR!$H39,TMR!$E$22:$E$5012,TMR!I$2)</f>
        <v>46835</v>
      </c>
      <c r="J39" s="13">
        <f>SUMIFS(TMR!$C$22:$C$5012,TMR!$A$22:$A$5012,TMR!$H39,TMR!$E$22:$E$5012,TMR!J$2)</f>
        <v>76050</v>
      </c>
      <c r="K39" s="13">
        <f>SUMIFS(TMR!$C$22:$C$5012,TMR!$A$22:$A$5012,TMR!$H39,TMR!$E$22:$E$5012,TMR!K$2)</f>
        <v>5330</v>
      </c>
      <c r="L39" s="13">
        <f>SUMIFS(TMR!$C$22:$C$5012,TMR!$A$22:$A$5012,TMR!$H39,TMR!$E$22:$E$5012,TMR!L$2)</f>
        <v>16359</v>
      </c>
      <c r="M39" s="13">
        <f>SUMIFS(TMR!$C$22:$C$5012,TMR!$A$22:$A$5012,TMR!$H39,TMR!$E$22:$E$5012,TMR!M$2)</f>
        <v>37162</v>
      </c>
      <c r="N39" s="13">
        <f>SUMIFS(TMR!$C$22:$C$5012,TMR!$A$22:$A$5012,TMR!$H39,TMR!$E$22:$E$5012,TMR!N$2)</f>
        <v>0</v>
      </c>
      <c r="O39" s="13">
        <f>SUMIFS(TMR!$C$22:$C$5012,TMR!$A$22:$A$5012,TMR!$H39,TMR!$E$22:$E$5012,TMR!O$2)</f>
        <v>0</v>
      </c>
      <c r="P39" s="13">
        <f>SUMIFS(TMR!$C$22:$C$5012,TMR!$A$22:$A$5012,TMR!$H39,TMR!$E$22:$E$5012,TMR!P$2)</f>
        <v>0</v>
      </c>
      <c r="Q39" s="13">
        <f>SUMIFS(TMR!$C$22:$C$5012,TMR!$A$22:$A$5012,TMR!$H39,TMR!$E$22:$E$5012,TMR!Q$2)</f>
        <v>37187</v>
      </c>
      <c r="R39" s="13">
        <f>SUMIFS(TMR!$C$22:$C$5012,TMR!$A$22:$A$5012,TMR!$H39,TMR!$E$22:$E$5012,TMR!R$2)</f>
        <v>18286</v>
      </c>
      <c r="S39" s="13">
        <f>SUMIFS(TMR!$C$22:$C$5012,TMR!$A$22:$A$5012,TMR!$H39,TMR!$E$22:$E$5012,TMR!S$2)</f>
        <v>3</v>
      </c>
      <c r="T39" s="14">
        <f>SUMIFS(TMR!$C$22:$C$5012,TMR!$A$22:$A$5012,TMR!$H39,TMR!$E$22:$E$5012,TMR!T$2)</f>
        <v>0</v>
      </c>
      <c r="U39" s="13">
        <f>SUMIFS(TMR!$C$22:$C$5012,TMR!$A$22:$A$5012,TMR!$H39,TMR!$E$22:$E$5012,TMR!U$2)</f>
        <v>0</v>
      </c>
      <c r="V39" s="13">
        <f>SUMIFS(TMR!$C$22:$C$5012,TMR!$A$22:$A$5012,TMR!$H39,TMR!$E$22:$E$5012,TMR!V$2)</f>
        <v>32384</v>
      </c>
      <c r="W39" s="14">
        <f>SUMIFS(TMR!$C$22:$C$5012,TMR!$A$22:$A$5012,TMR!$H39,TMR!$E$22:$E$5012,TMR!W$2)</f>
        <v>1169</v>
      </c>
      <c r="X39" s="105"/>
      <c r="Y39" s="65">
        <v>201712</v>
      </c>
      <c r="Z39" s="12">
        <f>SUMIFS(TMR!$D$22:$D$5012,TMR!$A$22:$A$5012,TMR!$H39,TMR!$E$22:$E$5012,TMR!Z$2)</f>
        <v>0</v>
      </c>
      <c r="AA39" s="13">
        <f>SUMIFS(TMR!$D$22:$D$5012,TMR!$A$22:$A$5012,TMR!$H39,TMR!$E$22:$E$5012,TMR!AA$2)</f>
        <v>0</v>
      </c>
      <c r="AB39" s="13">
        <f>SUMIFS(TMR!$D$22:$D$5012,TMR!$A$22:$A$5012,TMR!$H39,TMR!$E$22:$E$5012,TMR!AB$2)</f>
        <v>0</v>
      </c>
      <c r="AC39" s="13">
        <f>SUMIFS(TMR!$D$22:$D$5012,TMR!$A$22:$A$5012,TMR!$H39,TMR!$E$22:$E$5012,TMR!AC$2)</f>
        <v>0</v>
      </c>
      <c r="AD39" s="13">
        <f>SUMIFS(TMR!$D$22:$D$5012,TMR!$A$22:$A$5012,TMR!$H39,TMR!$E$22:$E$5012,TMR!AD$2)</f>
        <v>13095</v>
      </c>
      <c r="AE39" s="13">
        <f>SUMIFS(TMR!$D$22:$D$5012,TMR!$A$22:$A$5012,TMR!$H39,TMR!$E$22:$E$5012,TMR!AE$2)</f>
        <v>0</v>
      </c>
      <c r="AF39" s="13">
        <f>SUMIFS(TMR!$D$22:$D$5012,TMR!$A$22:$A$5012,TMR!$H39,TMR!$E$22:$E$5012,TMR!AF$2)</f>
        <v>0</v>
      </c>
      <c r="AG39" s="13">
        <f>SUMIFS(TMR!$D$22:$D$5012,TMR!$A$22:$A$5012,TMR!$H39,TMR!$E$22:$E$5012,TMR!AG$2)</f>
        <v>0</v>
      </c>
      <c r="AH39" s="13">
        <f>SUMIFS(TMR!$D$22:$D$5012,TMR!$A$22:$A$5012,TMR!$H39,TMR!$E$22:$E$5012,TMR!AH$2)</f>
        <v>0</v>
      </c>
      <c r="AI39" s="13">
        <f>SUMIFS(TMR!$D$22:$D$5012,TMR!$A$22:$A$5012,TMR!$H39,TMR!$E$22:$E$5012,TMR!AI$2)</f>
        <v>0</v>
      </c>
      <c r="AJ39" s="13">
        <f>SUMIFS(TMR!$D$22:$D$5012,TMR!$A$22:$A$5012,TMR!$H39,TMR!$E$22:$E$5012,TMR!AJ$2)</f>
        <v>0</v>
      </c>
      <c r="AK39" s="14">
        <f>SUMIFS(TMR!$D$22:$D$5012,TMR!$A$22:$A$5012,TMR!$H39,TMR!$E$22:$E$5012,TMR!AK$2)</f>
        <v>0</v>
      </c>
      <c r="AL39" s="13">
        <f>SUMIFS(TMR!$D$22:$D$5012,TMR!$A$22:$A$5012,TMR!$H39,TMR!$E$22:$E$5012,TMR!AL$2)</f>
        <v>0</v>
      </c>
      <c r="AM39" s="13">
        <f>SUMIFS(TMR!$D$22:$D$5012,TMR!$A$22:$A$5012,TMR!$H39,TMR!$E$22:$E$5012,TMR!AM$2)</f>
        <v>0</v>
      </c>
      <c r="AN39" s="14">
        <f>SUMIFS(TMR!$D$22:$D$5012,TMR!$A$22:$A$5012,TMR!$H39,TMR!$E$22:$E$5012,TMR!AN$2)</f>
        <v>0</v>
      </c>
    </row>
    <row r="40" spans="1:40" x14ac:dyDescent="0.25">
      <c r="A40" s="108">
        <v>201501</v>
      </c>
      <c r="B40" s="109" t="s">
        <v>53</v>
      </c>
      <c r="C40" s="108">
        <v>6466</v>
      </c>
      <c r="D40" s="110"/>
      <c r="E40" t="str">
        <f>VLOOKUP(B40,CAC!$A$2:$B$198,2,FALSE)</f>
        <v>HMOPMR</v>
      </c>
      <c r="I40" s="4">
        <v>201801</v>
      </c>
      <c r="J40" s="4">
        <v>201709</v>
      </c>
      <c r="K40" s="4">
        <v>201712</v>
      </c>
      <c r="L40" s="4">
        <v>2017</v>
      </c>
      <c r="M40" s="4">
        <v>2016</v>
      </c>
      <c r="Z40" s="4">
        <v>201603</v>
      </c>
      <c r="AA40" s="4">
        <v>201709</v>
      </c>
      <c r="AB40" s="4">
        <v>201712</v>
      </c>
    </row>
    <row r="41" spans="1:40" x14ac:dyDescent="0.25">
      <c r="A41" s="108">
        <v>201502</v>
      </c>
      <c r="B41" s="109" t="s">
        <v>51</v>
      </c>
      <c r="C41" s="108">
        <v>0</v>
      </c>
      <c r="D41" s="110"/>
      <c r="E41" t="str">
        <f>VLOOKUP(B41,CAC!$A$2:$B$198,2,FALSE)</f>
        <v>XXX</v>
      </c>
      <c r="H41" s="16" t="s">
        <v>10</v>
      </c>
      <c r="I41" s="19">
        <f>SUMIFS($I$39:$R$39,$I$2:$R$2,$H41)</f>
        <v>18286</v>
      </c>
      <c r="J41" s="20">
        <f>SUMIFS(I$35:R$35,$I$2:$R$2,$H41)</f>
        <v>2249</v>
      </c>
      <c r="K41" s="21">
        <f t="shared" ref="K41:K50" si="3">SUMIFS($I$38:$T$38,$I$2:$T$2,$H41)</f>
        <v>2363</v>
      </c>
      <c r="L41" s="21">
        <f>SUMPRODUCT($I$27:$T$38*($I$2:$T$2=$H41))</f>
        <v>23605</v>
      </c>
      <c r="M41" s="21">
        <f>SUMPRODUCT($I$15:$T$26*($I$2:$T$2=$H41))</f>
        <v>0</v>
      </c>
      <c r="Y41" s="16" t="s">
        <v>10</v>
      </c>
      <c r="Z41" s="19">
        <f>SUMIFS($Z$17:$AI$17,$Z$2:$AI$2,$Y41)</f>
        <v>0</v>
      </c>
      <c r="AA41" s="20">
        <f>SUMIFS($Z$35:$AI$35,$Z$2:$AI$2,$Y41)</f>
        <v>0</v>
      </c>
      <c r="AB41" s="21">
        <f>SUMIFS($Z$38:$AI$38,$Z$2:$AI$2,$Y41)</f>
        <v>0</v>
      </c>
    </row>
    <row r="42" spans="1:40" x14ac:dyDescent="0.25">
      <c r="A42" s="108">
        <v>201502</v>
      </c>
      <c r="B42" s="109" t="s">
        <v>304</v>
      </c>
      <c r="C42" s="108">
        <v>0</v>
      </c>
      <c r="D42" s="110"/>
      <c r="E42" t="e">
        <f>VLOOKUP(B42,CAC!$A$2:$B$198,2,FALSE)</f>
        <v>#N/A</v>
      </c>
      <c r="H42" s="17" t="s">
        <v>9</v>
      </c>
      <c r="I42" s="19">
        <f t="shared" ref="I42:I50" si="4">SUMIFS($I$39:$R$39,$I$2:$R$2,$H42)</f>
        <v>37187</v>
      </c>
      <c r="J42" s="23">
        <f t="shared" ref="J42:J50" si="5">SUMIFS($I$35:$R$35,$I$2:$R$2,$H42)</f>
        <v>26764</v>
      </c>
      <c r="K42" s="24">
        <f t="shared" si="3"/>
        <v>34250</v>
      </c>
      <c r="L42" s="24">
        <f t="shared" ref="L42:L50" si="6">SUMPRODUCT($I$27:$T$38*($I$2:$T$2=$H42))</f>
        <v>332118</v>
      </c>
      <c r="M42" s="24">
        <f t="shared" ref="M42:M50" si="7">SUMPRODUCT($I$15:$T$26*($I$2:$T$2=$H42))</f>
        <v>268587</v>
      </c>
      <c r="Y42" s="17" t="s">
        <v>9</v>
      </c>
      <c r="Z42" s="22">
        <f t="shared" ref="Z42:Z50" si="8">SUMIFS($Z$17:$AI$17,$Z$2:$AI$2,$Y42)</f>
        <v>0</v>
      </c>
      <c r="AA42" s="23">
        <f t="shared" ref="AA42:AA50" si="9">SUMIFS($Z$35:$AI$35,$Z$2:$AI$2,$Y42)</f>
        <v>0</v>
      </c>
      <c r="AB42" s="24">
        <f t="shared" ref="AB42:AB50" si="10">SUMIFS($Z$38:$AI$38,$Z$2:$AI$2,$Y42)</f>
        <v>0</v>
      </c>
    </row>
    <row r="43" spans="1:40" x14ac:dyDescent="0.25">
      <c r="A43" s="108">
        <v>201502</v>
      </c>
      <c r="B43" s="109" t="s">
        <v>323</v>
      </c>
      <c r="C43" s="108">
        <v>0</v>
      </c>
      <c r="D43" s="110"/>
      <c r="E43" t="e">
        <f>VLOOKUP(B43,CAC!$A$2:$B$198,2,FALSE)</f>
        <v>#N/A</v>
      </c>
      <c r="H43" s="17" t="s">
        <v>1</v>
      </c>
      <c r="I43" s="19">
        <f t="shared" si="4"/>
        <v>46835</v>
      </c>
      <c r="J43" s="23">
        <f t="shared" si="5"/>
        <v>38704</v>
      </c>
      <c r="K43" s="24">
        <f t="shared" si="3"/>
        <v>42362</v>
      </c>
      <c r="L43" s="24">
        <f t="shared" si="6"/>
        <v>437356</v>
      </c>
      <c r="M43" s="24">
        <f t="shared" si="7"/>
        <v>498780</v>
      </c>
      <c r="Y43" s="17" t="s">
        <v>1</v>
      </c>
      <c r="Z43" s="22">
        <f t="shared" si="8"/>
        <v>0</v>
      </c>
      <c r="AA43" s="23">
        <f t="shared" si="9"/>
        <v>0</v>
      </c>
      <c r="AB43" s="24">
        <f t="shared" si="10"/>
        <v>0</v>
      </c>
    </row>
    <row r="44" spans="1:40" x14ac:dyDescent="0.25">
      <c r="A44" s="108">
        <v>201502</v>
      </c>
      <c r="B44" s="109" t="s">
        <v>305</v>
      </c>
      <c r="C44" s="108">
        <v>0</v>
      </c>
      <c r="D44" s="110"/>
      <c r="E44" t="e">
        <f>VLOOKUP(B44,CAC!$A$2:$B$198,2,FALSE)</f>
        <v>#N/A</v>
      </c>
      <c r="H44" s="17" t="s">
        <v>2</v>
      </c>
      <c r="I44" s="19">
        <f t="shared" si="4"/>
        <v>76050</v>
      </c>
      <c r="J44" s="23">
        <f t="shared" si="5"/>
        <v>53861</v>
      </c>
      <c r="K44" s="24">
        <f t="shared" si="3"/>
        <v>54174</v>
      </c>
      <c r="L44" s="24">
        <f t="shared" si="6"/>
        <v>653821</v>
      </c>
      <c r="M44" s="24">
        <f t="shared" si="7"/>
        <v>692837</v>
      </c>
      <c r="Y44" s="17" t="s">
        <v>2</v>
      </c>
      <c r="Z44" s="22">
        <f t="shared" si="8"/>
        <v>0</v>
      </c>
      <c r="AA44" s="23">
        <f t="shared" si="9"/>
        <v>0</v>
      </c>
      <c r="AB44" s="24">
        <f t="shared" si="10"/>
        <v>0</v>
      </c>
    </row>
    <row r="45" spans="1:40" x14ac:dyDescent="0.25">
      <c r="A45" s="108">
        <v>201502</v>
      </c>
      <c r="B45" s="109" t="s">
        <v>231</v>
      </c>
      <c r="C45" s="108">
        <v>0</v>
      </c>
      <c r="D45" s="110"/>
      <c r="E45" t="str">
        <f>VLOOKUP(B45,CAC!$A$2:$B$198,2,FALSE)</f>
        <v>DOILG</v>
      </c>
      <c r="H45" s="17" t="s">
        <v>5</v>
      </c>
      <c r="I45" s="19">
        <f t="shared" si="4"/>
        <v>37162</v>
      </c>
      <c r="J45" s="23">
        <f t="shared" si="5"/>
        <v>35380</v>
      </c>
      <c r="K45" s="24">
        <f t="shared" si="3"/>
        <v>34778</v>
      </c>
      <c r="L45" s="24">
        <f t="shared" si="6"/>
        <v>428757</v>
      </c>
      <c r="M45" s="24">
        <f t="shared" si="7"/>
        <v>393313</v>
      </c>
      <c r="Y45" s="17" t="s">
        <v>5</v>
      </c>
      <c r="Z45" s="22">
        <f t="shared" si="8"/>
        <v>5475</v>
      </c>
      <c r="AA45" s="23">
        <f t="shared" si="9"/>
        <v>11924</v>
      </c>
      <c r="AB45" s="24">
        <f t="shared" si="10"/>
        <v>11572</v>
      </c>
    </row>
    <row r="46" spans="1:40" x14ac:dyDescent="0.25">
      <c r="A46" s="108">
        <v>201502</v>
      </c>
      <c r="B46" s="109" t="s">
        <v>233</v>
      </c>
      <c r="C46" s="108">
        <v>0</v>
      </c>
      <c r="D46" s="110"/>
      <c r="E46" t="str">
        <f>VLOOKUP(B46,CAC!$A$2:$B$198,2,FALSE)</f>
        <v>DOILG</v>
      </c>
      <c r="H46" s="17" t="s">
        <v>6</v>
      </c>
      <c r="I46" s="19">
        <f t="shared" si="4"/>
        <v>0</v>
      </c>
      <c r="J46" s="23">
        <f t="shared" si="5"/>
        <v>0</v>
      </c>
      <c r="K46" s="24">
        <f t="shared" si="3"/>
        <v>0</v>
      </c>
      <c r="L46" s="24">
        <f t="shared" si="6"/>
        <v>0</v>
      </c>
      <c r="M46" s="24">
        <f t="shared" si="7"/>
        <v>304147</v>
      </c>
      <c r="Y46" s="17" t="s">
        <v>6</v>
      </c>
      <c r="Z46" s="22">
        <f t="shared" si="8"/>
        <v>11852</v>
      </c>
      <c r="AA46" s="23">
        <f t="shared" si="9"/>
        <v>0</v>
      </c>
      <c r="AB46" s="24">
        <f t="shared" si="10"/>
        <v>0</v>
      </c>
    </row>
    <row r="47" spans="1:40" x14ac:dyDescent="0.25">
      <c r="A47" s="108">
        <v>201502</v>
      </c>
      <c r="B47" s="109" t="s">
        <v>234</v>
      </c>
      <c r="C47" s="108">
        <v>0</v>
      </c>
      <c r="D47" s="110"/>
      <c r="E47" t="str">
        <f>VLOOKUP(B47,CAC!$A$2:$B$198,2,FALSE)</f>
        <v>DOILG</v>
      </c>
      <c r="H47" s="17" t="s">
        <v>7</v>
      </c>
      <c r="I47" s="19">
        <f t="shared" si="4"/>
        <v>0</v>
      </c>
      <c r="J47" s="23">
        <f t="shared" si="5"/>
        <v>0</v>
      </c>
      <c r="K47" s="24">
        <f t="shared" si="3"/>
        <v>0</v>
      </c>
      <c r="L47" s="24">
        <f t="shared" si="6"/>
        <v>0</v>
      </c>
      <c r="M47" s="24">
        <f t="shared" si="7"/>
        <v>0</v>
      </c>
      <c r="Y47" s="17" t="s">
        <v>7</v>
      </c>
      <c r="Z47" s="22">
        <f t="shared" si="8"/>
        <v>0</v>
      </c>
      <c r="AA47" s="23">
        <f t="shared" si="9"/>
        <v>0</v>
      </c>
      <c r="AB47" s="24">
        <f t="shared" si="10"/>
        <v>0</v>
      </c>
    </row>
    <row r="48" spans="1:40" x14ac:dyDescent="0.25">
      <c r="A48" s="108">
        <v>201502</v>
      </c>
      <c r="B48" s="109" t="s">
        <v>235</v>
      </c>
      <c r="C48" s="108">
        <v>0</v>
      </c>
      <c r="D48" s="110"/>
      <c r="E48" t="str">
        <f>VLOOKUP(B48,CAC!$A$2:$B$198,2,FALSE)</f>
        <v>DOILG</v>
      </c>
      <c r="H48" s="17" t="s">
        <v>8</v>
      </c>
      <c r="I48" s="19">
        <f t="shared" si="4"/>
        <v>0</v>
      </c>
      <c r="J48" s="23">
        <f t="shared" si="5"/>
        <v>0</v>
      </c>
      <c r="K48" s="24">
        <f t="shared" si="3"/>
        <v>0</v>
      </c>
      <c r="L48" s="24">
        <f t="shared" si="6"/>
        <v>0</v>
      </c>
      <c r="M48" s="24">
        <f t="shared" si="7"/>
        <v>0</v>
      </c>
      <c r="Y48" s="17" t="s">
        <v>8</v>
      </c>
      <c r="Z48" s="22">
        <f t="shared" si="8"/>
        <v>0</v>
      </c>
      <c r="AA48" s="23">
        <f t="shared" si="9"/>
        <v>0</v>
      </c>
      <c r="AB48" s="24">
        <f t="shared" si="10"/>
        <v>0</v>
      </c>
    </row>
    <row r="49" spans="1:28" x14ac:dyDescent="0.25">
      <c r="A49" s="108">
        <v>201502</v>
      </c>
      <c r="B49" s="109" t="s">
        <v>237</v>
      </c>
      <c r="C49" s="108">
        <v>0</v>
      </c>
      <c r="D49" s="110"/>
      <c r="E49" t="str">
        <f>VLOOKUP(B49,CAC!$A$2:$B$198,2,FALSE)</f>
        <v>DOILG</v>
      </c>
      <c r="H49" s="17" t="s">
        <v>4</v>
      </c>
      <c r="I49" s="19">
        <f t="shared" si="4"/>
        <v>16359</v>
      </c>
      <c r="J49" s="23">
        <f t="shared" si="5"/>
        <v>15748</v>
      </c>
      <c r="K49" s="24">
        <f t="shared" si="3"/>
        <v>16417</v>
      </c>
      <c r="L49" s="24">
        <f t="shared" si="6"/>
        <v>154148</v>
      </c>
      <c r="M49" s="24">
        <f t="shared" si="7"/>
        <v>113595</v>
      </c>
      <c r="Y49" s="17" t="s">
        <v>4</v>
      </c>
      <c r="Z49" s="22">
        <f t="shared" si="8"/>
        <v>0</v>
      </c>
      <c r="AA49" s="23">
        <f t="shared" si="9"/>
        <v>0</v>
      </c>
      <c r="AB49" s="24">
        <f t="shared" si="10"/>
        <v>0</v>
      </c>
    </row>
    <row r="50" spans="1:28" x14ac:dyDescent="0.25">
      <c r="A50" s="108">
        <v>201502</v>
      </c>
      <c r="B50" s="109" t="s">
        <v>239</v>
      </c>
      <c r="C50" s="108">
        <v>0</v>
      </c>
      <c r="D50" s="110"/>
      <c r="E50" t="str">
        <f>VLOOKUP(B50,CAC!$A$2:$B$198,2,FALSE)</f>
        <v>DOISG</v>
      </c>
      <c r="H50" s="18" t="s">
        <v>3</v>
      </c>
      <c r="I50" s="19">
        <f t="shared" si="4"/>
        <v>5330</v>
      </c>
      <c r="J50" s="26">
        <f t="shared" si="5"/>
        <v>5656</v>
      </c>
      <c r="K50" s="27">
        <f t="shared" si="3"/>
        <v>5581</v>
      </c>
      <c r="L50" s="27">
        <f t="shared" si="6"/>
        <v>67913</v>
      </c>
      <c r="M50" s="27">
        <f t="shared" si="7"/>
        <v>72602</v>
      </c>
      <c r="Y50" s="18" t="s">
        <v>3</v>
      </c>
      <c r="Z50" s="25">
        <f t="shared" si="8"/>
        <v>0</v>
      </c>
      <c r="AA50" s="26">
        <f t="shared" si="9"/>
        <v>0</v>
      </c>
      <c r="AB50" s="27">
        <f t="shared" si="10"/>
        <v>0</v>
      </c>
    </row>
    <row r="51" spans="1:28" x14ac:dyDescent="0.25">
      <c r="A51" s="108">
        <v>201502</v>
      </c>
      <c r="B51" s="109" t="s">
        <v>247</v>
      </c>
      <c r="C51" s="108">
        <v>0</v>
      </c>
      <c r="D51" s="110"/>
      <c r="E51" t="str">
        <f>VLOOKUP(B51,CAC!$A$2:$B$198,2,FALSE)</f>
        <v>DOIIFP</v>
      </c>
    </row>
    <row r="52" spans="1:28" x14ac:dyDescent="0.25">
      <c r="A52" s="108">
        <v>201502</v>
      </c>
      <c r="B52" s="109" t="s">
        <v>238</v>
      </c>
      <c r="C52" s="108">
        <v>0</v>
      </c>
      <c r="D52" s="110"/>
      <c r="E52" t="str">
        <f>VLOOKUP(B52,CAC!$A$2:$B$198,2,FALSE)</f>
        <v>DOILG</v>
      </c>
    </row>
    <row r="53" spans="1:28" x14ac:dyDescent="0.25">
      <c r="A53" s="108">
        <v>201502</v>
      </c>
      <c r="B53" s="109" t="s">
        <v>248</v>
      </c>
      <c r="C53" s="108">
        <v>0</v>
      </c>
      <c r="D53" s="110"/>
      <c r="E53" t="str">
        <f>VLOOKUP(B53,CAC!$A$2:$B$198,2,FALSE)</f>
        <v>DOIIFP</v>
      </c>
    </row>
    <row r="54" spans="1:28" x14ac:dyDescent="0.25">
      <c r="A54" s="108">
        <v>201502</v>
      </c>
      <c r="B54" s="109" t="s">
        <v>255</v>
      </c>
      <c r="C54" s="108">
        <v>0</v>
      </c>
      <c r="D54" s="110"/>
      <c r="E54" t="str">
        <f>VLOOKUP(B54,CAC!$A$2:$B$198,2,FALSE)</f>
        <v>AGDMHC</v>
      </c>
    </row>
    <row r="55" spans="1:28" x14ac:dyDescent="0.25">
      <c r="A55" s="108">
        <v>201502</v>
      </c>
      <c r="B55" s="109" t="s">
        <v>256</v>
      </c>
      <c r="C55" s="108">
        <v>0</v>
      </c>
      <c r="D55" s="110"/>
      <c r="E55" t="str">
        <f>VLOOKUP(B55,CAC!$A$2:$B$198,2,FALSE)</f>
        <v>AGDMHC</v>
      </c>
    </row>
    <row r="56" spans="1:28" x14ac:dyDescent="0.25">
      <c r="A56" s="108">
        <v>201502</v>
      </c>
      <c r="B56" s="109" t="s">
        <v>257</v>
      </c>
      <c r="C56" s="108">
        <v>0</v>
      </c>
      <c r="D56" s="110"/>
      <c r="E56" t="str">
        <f>VLOOKUP(B56,CAC!$A$2:$B$198,2,FALSE)</f>
        <v>AGDMHC</v>
      </c>
    </row>
    <row r="57" spans="1:28" x14ac:dyDescent="0.25">
      <c r="A57" s="108">
        <v>201502</v>
      </c>
      <c r="B57" s="109" t="s">
        <v>258</v>
      </c>
      <c r="C57" s="108">
        <v>0</v>
      </c>
      <c r="D57" s="110"/>
      <c r="E57" t="str">
        <f>VLOOKUP(B57,CAC!$A$2:$B$198,2,FALSE)</f>
        <v>AGDMHC</v>
      </c>
    </row>
    <row r="58" spans="1:28" x14ac:dyDescent="0.25">
      <c r="A58" s="108">
        <v>201502</v>
      </c>
      <c r="B58" s="109" t="s">
        <v>262</v>
      </c>
      <c r="C58" s="108">
        <v>0</v>
      </c>
      <c r="D58" s="110"/>
      <c r="E58" t="str">
        <f>VLOOKUP(B58,CAC!$A$2:$B$198,2,FALSE)</f>
        <v>AGDMHC</v>
      </c>
    </row>
    <row r="59" spans="1:28" x14ac:dyDescent="0.25">
      <c r="A59" s="108">
        <v>201502</v>
      </c>
      <c r="B59" s="109" t="s">
        <v>269</v>
      </c>
      <c r="C59" s="108">
        <v>0</v>
      </c>
      <c r="D59" s="110"/>
      <c r="E59" t="str">
        <f>VLOOKUP(B59,CAC!$A$2:$B$198,2,FALSE)</f>
        <v>AGDMHC</v>
      </c>
    </row>
    <row r="60" spans="1:28" x14ac:dyDescent="0.25">
      <c r="A60" s="108">
        <v>201502</v>
      </c>
      <c r="B60" s="109" t="s">
        <v>52</v>
      </c>
      <c r="C60" s="108">
        <v>15282</v>
      </c>
      <c r="D60" s="110"/>
      <c r="E60" t="str">
        <f>VLOOKUP(B60,CAC!$A$2:$B$198,2,FALSE)</f>
        <v>HMOPMR</v>
      </c>
    </row>
    <row r="61" spans="1:28" x14ac:dyDescent="0.25">
      <c r="A61" s="108">
        <v>201502</v>
      </c>
      <c r="B61" s="109" t="s">
        <v>53</v>
      </c>
      <c r="C61" s="108">
        <v>10984</v>
      </c>
      <c r="D61" s="110"/>
      <c r="E61" t="str">
        <f>VLOOKUP(B61,CAC!$A$2:$B$198,2,FALSE)</f>
        <v>HMOPMR</v>
      </c>
    </row>
    <row r="62" spans="1:28" x14ac:dyDescent="0.25">
      <c r="A62" s="108">
        <v>201502</v>
      </c>
      <c r="B62" s="109" t="s">
        <v>54</v>
      </c>
      <c r="C62" s="108">
        <v>6590</v>
      </c>
      <c r="D62" s="110"/>
      <c r="E62" t="str">
        <f>VLOOKUP(B62,CAC!$A$2:$B$198,2,FALSE)</f>
        <v>HMOFEP</v>
      </c>
    </row>
    <row r="63" spans="1:28" x14ac:dyDescent="0.25">
      <c r="A63" s="108">
        <v>201502</v>
      </c>
      <c r="B63" s="109" t="s">
        <v>279</v>
      </c>
      <c r="C63" s="108">
        <v>0</v>
      </c>
      <c r="D63" s="110"/>
      <c r="E63" t="str">
        <f>VLOOKUP(B63,CAC!$A$2:$B$198,2,FALSE)</f>
        <v>PPOFEP</v>
      </c>
    </row>
    <row r="64" spans="1:28" x14ac:dyDescent="0.25">
      <c r="A64" s="108">
        <v>201502</v>
      </c>
      <c r="B64" s="109" t="s">
        <v>202</v>
      </c>
      <c r="C64" s="108">
        <v>0</v>
      </c>
      <c r="D64" s="110"/>
      <c r="E64" t="str">
        <f>VLOOKUP(B64,CAC!$A$2:$B$198,2,FALSE)</f>
        <v>PPOPMR</v>
      </c>
    </row>
    <row r="65" spans="1:5" x14ac:dyDescent="0.25">
      <c r="A65" s="108">
        <v>201502</v>
      </c>
      <c r="B65" s="109" t="s">
        <v>55</v>
      </c>
      <c r="C65" s="108">
        <v>15154</v>
      </c>
      <c r="D65" s="110"/>
      <c r="E65" t="str">
        <f>VLOOKUP(B65,CAC!$A$2:$B$198,2,FALSE)</f>
        <v>HMOPMR</v>
      </c>
    </row>
    <row r="66" spans="1:5" x14ac:dyDescent="0.25">
      <c r="A66" s="108">
        <v>201502</v>
      </c>
      <c r="B66" s="109" t="s">
        <v>56</v>
      </c>
      <c r="C66" s="108">
        <v>147</v>
      </c>
      <c r="D66" s="110"/>
      <c r="E66" t="str">
        <f>VLOOKUP(B66,CAC!$A$2:$B$198,2,FALSE)</f>
        <v>HMOPMR</v>
      </c>
    </row>
    <row r="67" spans="1:5" x14ac:dyDescent="0.25">
      <c r="A67" s="108">
        <v>201502</v>
      </c>
      <c r="B67" s="109" t="s">
        <v>57</v>
      </c>
      <c r="C67" s="108">
        <v>6028</v>
      </c>
      <c r="D67" s="110"/>
      <c r="E67" t="str">
        <f>VLOOKUP(B67,CAC!$A$2:$B$198,2,FALSE)</f>
        <v>HMFLEX</v>
      </c>
    </row>
    <row r="68" spans="1:5" x14ac:dyDescent="0.25">
      <c r="A68" s="108">
        <v>201502</v>
      </c>
      <c r="B68" s="109" t="s">
        <v>58</v>
      </c>
      <c r="C68" s="108">
        <v>418</v>
      </c>
      <c r="D68" s="110"/>
      <c r="E68" t="str">
        <f>VLOOKUP(B68,CAC!$A$2:$B$198,2,FALSE)</f>
        <v>HMFLEX</v>
      </c>
    </row>
    <row r="69" spans="1:5" x14ac:dyDescent="0.25">
      <c r="A69" s="108">
        <v>201502</v>
      </c>
      <c r="B69" s="109" t="s">
        <v>59</v>
      </c>
      <c r="C69" s="108">
        <v>8</v>
      </c>
      <c r="D69" s="110"/>
      <c r="E69" t="str">
        <f>VLOOKUP(B69,CAC!$A$2:$B$198,2,FALSE)</f>
        <v>HMFLEX</v>
      </c>
    </row>
    <row r="70" spans="1:5" x14ac:dyDescent="0.25">
      <c r="A70" s="108">
        <v>201502</v>
      </c>
      <c r="B70" s="109" t="s">
        <v>306</v>
      </c>
      <c r="C70" s="108">
        <v>0</v>
      </c>
      <c r="D70" s="110"/>
      <c r="E70" t="e">
        <f>VLOOKUP(B70,CAC!$A$2:$B$198,2,FALSE)</f>
        <v>#N/A</v>
      </c>
    </row>
    <row r="71" spans="1:5" x14ac:dyDescent="0.25">
      <c r="A71" s="108">
        <v>201502</v>
      </c>
      <c r="B71" s="109" t="s">
        <v>283</v>
      </c>
      <c r="C71" s="108">
        <v>0</v>
      </c>
      <c r="D71" s="110"/>
      <c r="E71" t="str">
        <f>VLOOKUP(B71,CAC!$A$2:$B$198,2,FALSE)</f>
        <v>HMFLEX</v>
      </c>
    </row>
    <row r="72" spans="1:5" x14ac:dyDescent="0.25">
      <c r="A72" s="108">
        <v>201502</v>
      </c>
      <c r="B72" s="109" t="s">
        <v>205</v>
      </c>
      <c r="C72" s="108">
        <v>0</v>
      </c>
      <c r="D72" s="110"/>
      <c r="E72" t="str">
        <f>VLOOKUP(B72,CAC!$A$2:$B$198,2,FALSE)</f>
        <v>PPOPMR</v>
      </c>
    </row>
    <row r="73" spans="1:5" x14ac:dyDescent="0.25">
      <c r="A73" s="108">
        <v>201502</v>
      </c>
      <c r="B73" s="109" t="s">
        <v>286</v>
      </c>
      <c r="C73" s="108">
        <v>0</v>
      </c>
      <c r="D73" s="110"/>
      <c r="E73" t="str">
        <f>VLOOKUP(B73,CAC!$A$2:$B$198,2,FALSE)</f>
        <v>HMFLEX</v>
      </c>
    </row>
    <row r="74" spans="1:5" x14ac:dyDescent="0.25">
      <c r="A74" s="108">
        <v>201502</v>
      </c>
      <c r="B74" s="109" t="s">
        <v>60</v>
      </c>
      <c r="C74" s="108">
        <v>11023</v>
      </c>
      <c r="D74" s="110"/>
      <c r="E74" t="str">
        <f>VLOOKUP(B74,CAC!$A$2:$B$198,2,FALSE)</f>
        <v>HMOLG</v>
      </c>
    </row>
    <row r="75" spans="1:5" x14ac:dyDescent="0.25">
      <c r="A75" s="108">
        <v>201502</v>
      </c>
      <c r="B75" s="109" t="s">
        <v>61</v>
      </c>
      <c r="C75" s="108">
        <v>717</v>
      </c>
      <c r="D75" s="110"/>
      <c r="E75" t="str">
        <f>VLOOKUP(B75,CAC!$A$2:$B$198,2,FALSE)</f>
        <v>HMOLG</v>
      </c>
    </row>
    <row r="76" spans="1:5" x14ac:dyDescent="0.25">
      <c r="A76" s="108">
        <v>201502</v>
      </c>
      <c r="B76" s="109" t="s">
        <v>62</v>
      </c>
      <c r="C76" s="108">
        <v>25200</v>
      </c>
      <c r="D76" s="110"/>
      <c r="E76" t="str">
        <f>VLOOKUP(B76,CAC!$A$2:$B$198,2,FALSE)</f>
        <v>HMOLG</v>
      </c>
    </row>
    <row r="77" spans="1:5" x14ac:dyDescent="0.25">
      <c r="A77" s="108">
        <v>201502</v>
      </c>
      <c r="B77" s="109" t="s">
        <v>63</v>
      </c>
      <c r="C77" s="108">
        <v>388</v>
      </c>
      <c r="D77" s="110"/>
      <c r="E77" t="str">
        <f>VLOOKUP(B77,CAC!$A$2:$B$198,2,FALSE)</f>
        <v>HMOLG</v>
      </c>
    </row>
    <row r="78" spans="1:5" x14ac:dyDescent="0.25">
      <c r="A78" s="108">
        <v>201502</v>
      </c>
      <c r="B78" s="109" t="s">
        <v>64</v>
      </c>
      <c r="C78" s="108">
        <v>1</v>
      </c>
      <c r="D78" s="110"/>
      <c r="E78" t="str">
        <f>VLOOKUP(B78,CAC!$A$2:$B$198,2,FALSE)</f>
        <v>HMOLG</v>
      </c>
    </row>
    <row r="79" spans="1:5" x14ac:dyDescent="0.25">
      <c r="A79" s="108">
        <v>201502</v>
      </c>
      <c r="B79" s="109" t="s">
        <v>65</v>
      </c>
      <c r="C79" s="108">
        <v>216</v>
      </c>
      <c r="D79" s="110"/>
      <c r="E79" t="str">
        <f>VLOOKUP(B79,CAC!$A$2:$B$198,2,FALSE)</f>
        <v>HMFLEX</v>
      </c>
    </row>
    <row r="80" spans="1:5" x14ac:dyDescent="0.25">
      <c r="A80" s="108">
        <v>201502</v>
      </c>
      <c r="B80" s="109" t="s">
        <v>307</v>
      </c>
      <c r="C80" s="108">
        <v>0</v>
      </c>
      <c r="D80" s="110"/>
      <c r="E80" t="e">
        <f>VLOOKUP(B80,CAC!$A$2:$B$198,2,FALSE)</f>
        <v>#N/A</v>
      </c>
    </row>
    <row r="81" spans="1:5" x14ac:dyDescent="0.25">
      <c r="A81" s="108">
        <v>201502</v>
      </c>
      <c r="B81" s="109" t="s">
        <v>308</v>
      </c>
      <c r="C81" s="108">
        <v>0</v>
      </c>
      <c r="D81" s="110"/>
      <c r="E81" t="e">
        <f>VLOOKUP(B81,CAC!$A$2:$B$198,2,FALSE)</f>
        <v>#N/A</v>
      </c>
    </row>
    <row r="82" spans="1:5" x14ac:dyDescent="0.25">
      <c r="A82" s="108">
        <v>201502</v>
      </c>
      <c r="B82" s="109" t="s">
        <v>309</v>
      </c>
      <c r="C82" s="108">
        <v>0</v>
      </c>
      <c r="D82" s="110"/>
      <c r="E82" t="e">
        <f>VLOOKUP(B82,CAC!$A$2:$B$198,2,FALSE)</f>
        <v>#N/A</v>
      </c>
    </row>
    <row r="83" spans="1:5" x14ac:dyDescent="0.25">
      <c r="A83" s="108">
        <v>201502</v>
      </c>
      <c r="B83" s="109" t="s">
        <v>310</v>
      </c>
      <c r="C83" s="108">
        <v>0</v>
      </c>
      <c r="D83" s="110"/>
      <c r="E83" t="e">
        <f>VLOOKUP(B83,CAC!$A$2:$B$198,2,FALSE)</f>
        <v>#N/A</v>
      </c>
    </row>
    <row r="84" spans="1:5" x14ac:dyDescent="0.25">
      <c r="A84" s="108">
        <v>201502</v>
      </c>
      <c r="B84" s="109" t="s">
        <v>99</v>
      </c>
      <c r="C84" s="108">
        <v>0</v>
      </c>
      <c r="D84" s="110"/>
      <c r="E84" t="str">
        <f>VLOOKUP(B84,CAC!$A$2:$B$198,2,FALSE)</f>
        <v>PPOLG</v>
      </c>
    </row>
    <row r="85" spans="1:5" x14ac:dyDescent="0.25">
      <c r="A85" s="108">
        <v>201502</v>
      </c>
      <c r="B85" s="109" t="s">
        <v>193</v>
      </c>
      <c r="C85" s="108">
        <v>0</v>
      </c>
      <c r="D85" s="110"/>
      <c r="E85" t="str">
        <f>VLOOKUP(B85,CAC!$A$2:$B$198,2,FALSE)</f>
        <v>PPOLG</v>
      </c>
    </row>
    <row r="86" spans="1:5" x14ac:dyDescent="0.25">
      <c r="A86" s="108">
        <v>201502</v>
      </c>
      <c r="B86" s="109" t="s">
        <v>196</v>
      </c>
      <c r="C86" s="108">
        <v>0</v>
      </c>
      <c r="D86" s="110"/>
      <c r="E86" t="str">
        <f>VLOOKUP(B86,CAC!$A$2:$B$198,2,FALSE)</f>
        <v>PPOLG</v>
      </c>
    </row>
    <row r="87" spans="1:5" x14ac:dyDescent="0.25">
      <c r="A87" s="108">
        <v>201502</v>
      </c>
      <c r="B87" s="109" t="s">
        <v>212</v>
      </c>
      <c r="C87" s="108">
        <v>0</v>
      </c>
      <c r="D87" s="110"/>
      <c r="E87" t="str">
        <f>VLOOKUP(B87,CAC!$A$2:$B$198,2,FALSE)</f>
        <v>PPOMM</v>
      </c>
    </row>
    <row r="88" spans="1:5" x14ac:dyDescent="0.25">
      <c r="A88" s="108">
        <v>201502</v>
      </c>
      <c r="B88" s="109" t="s">
        <v>213</v>
      </c>
      <c r="C88" s="108">
        <v>0</v>
      </c>
      <c r="D88" s="110"/>
      <c r="E88" t="str">
        <f>VLOOKUP(B88,CAC!$A$2:$B$198,2,FALSE)</f>
        <v>PPOMM</v>
      </c>
    </row>
    <row r="89" spans="1:5" x14ac:dyDescent="0.25">
      <c r="A89" s="108">
        <v>201502</v>
      </c>
      <c r="B89" s="109" t="s">
        <v>311</v>
      </c>
      <c r="C89" s="108">
        <v>0</v>
      </c>
      <c r="D89" s="110"/>
      <c r="E89" t="e">
        <f>VLOOKUP(B89,CAC!$A$2:$B$198,2,FALSE)</f>
        <v>#N/A</v>
      </c>
    </row>
    <row r="90" spans="1:5" x14ac:dyDescent="0.25">
      <c r="A90" s="108">
        <v>201502</v>
      </c>
      <c r="B90" s="109" t="s">
        <v>320</v>
      </c>
      <c r="C90" s="108">
        <v>0</v>
      </c>
      <c r="D90" s="110"/>
      <c r="E90" t="e">
        <f>VLOOKUP(B90,CAC!$A$2:$B$198,2,FALSE)</f>
        <v>#N/A</v>
      </c>
    </row>
    <row r="91" spans="1:5" x14ac:dyDescent="0.25">
      <c r="A91" s="108">
        <v>201502</v>
      </c>
      <c r="B91" s="109" t="s">
        <v>321</v>
      </c>
      <c r="C91" s="108">
        <v>0</v>
      </c>
      <c r="D91" s="110"/>
      <c r="E91" t="e">
        <f>VLOOKUP(B91,CAC!$A$2:$B$198,2,FALSE)</f>
        <v>#N/A</v>
      </c>
    </row>
    <row r="92" spans="1:5" x14ac:dyDescent="0.25">
      <c r="A92" s="108">
        <v>201502</v>
      </c>
      <c r="B92" s="109" t="s">
        <v>312</v>
      </c>
      <c r="C92" s="108">
        <v>0</v>
      </c>
      <c r="D92" s="110"/>
      <c r="E92" t="e">
        <f>VLOOKUP(B92,CAC!$A$2:$B$198,2,FALSE)</f>
        <v>#N/A</v>
      </c>
    </row>
    <row r="93" spans="1:5" x14ac:dyDescent="0.25">
      <c r="A93" s="108">
        <v>201502</v>
      </c>
      <c r="B93" s="109" t="s">
        <v>313</v>
      </c>
      <c r="C93" s="108">
        <v>0</v>
      </c>
      <c r="D93" s="110"/>
      <c r="E93" t="e">
        <f>VLOOKUP(B93,CAC!$A$2:$B$198,2,FALSE)</f>
        <v>#N/A</v>
      </c>
    </row>
    <row r="94" spans="1:5" x14ac:dyDescent="0.25">
      <c r="A94" s="108">
        <v>201502</v>
      </c>
      <c r="B94" s="109" t="s">
        <v>215</v>
      </c>
      <c r="C94" s="108">
        <v>0</v>
      </c>
      <c r="D94" s="110"/>
      <c r="E94" t="str">
        <f>VLOOKUP(B94,CAC!$A$2:$B$198,2,FALSE)</f>
        <v>PPOMM</v>
      </c>
    </row>
    <row r="95" spans="1:5" x14ac:dyDescent="0.25">
      <c r="A95" s="108">
        <v>201502</v>
      </c>
      <c r="B95" s="109" t="s">
        <v>66</v>
      </c>
      <c r="C95" s="108">
        <v>3715</v>
      </c>
      <c r="D95" s="110"/>
      <c r="E95" t="str">
        <f>VLOOKUP(B95,CAC!$A$2:$B$198,2,FALSE)</f>
        <v>HMOLG</v>
      </c>
    </row>
    <row r="96" spans="1:5" x14ac:dyDescent="0.25">
      <c r="A96" s="108">
        <v>201502</v>
      </c>
      <c r="B96" s="109" t="s">
        <v>82</v>
      </c>
      <c r="C96" s="108">
        <v>0</v>
      </c>
      <c r="D96" s="110"/>
      <c r="E96" t="str">
        <f>VLOOKUP(B96,CAC!$A$2:$B$198,2,FALSE)</f>
        <v>NATPAR</v>
      </c>
    </row>
    <row r="97" spans="1:5" x14ac:dyDescent="0.25">
      <c r="A97" s="108">
        <v>201502</v>
      </c>
      <c r="B97" s="109" t="s">
        <v>67</v>
      </c>
      <c r="C97" s="108">
        <v>148</v>
      </c>
      <c r="D97" s="110"/>
      <c r="E97" t="str">
        <f>VLOOKUP(B97,CAC!$A$2:$B$198,2,FALSE)</f>
        <v>HMOLG</v>
      </c>
    </row>
    <row r="98" spans="1:5" x14ac:dyDescent="0.25">
      <c r="A98" s="108">
        <v>201502</v>
      </c>
      <c r="B98" s="109" t="s">
        <v>68</v>
      </c>
      <c r="C98" s="108">
        <v>274</v>
      </c>
      <c r="D98" s="110"/>
      <c r="E98" t="str">
        <f>VLOOKUP(B98,CAC!$A$2:$B$198,2,FALSE)</f>
        <v>HMOPMR</v>
      </c>
    </row>
    <row r="99" spans="1:5" x14ac:dyDescent="0.25">
      <c r="A99" s="108">
        <v>201502</v>
      </c>
      <c r="B99" s="109" t="s">
        <v>69</v>
      </c>
      <c r="C99" s="108">
        <v>9965</v>
      </c>
      <c r="D99" s="110"/>
      <c r="E99" t="str">
        <f>VLOOKUP(B99,CAC!$A$2:$B$198,2,FALSE)</f>
        <v>HMOPMR</v>
      </c>
    </row>
    <row r="100" spans="1:5" x14ac:dyDescent="0.25">
      <c r="A100" s="108">
        <v>201502</v>
      </c>
      <c r="B100" s="109" t="s">
        <v>70</v>
      </c>
      <c r="C100" s="108">
        <v>4111</v>
      </c>
      <c r="D100" s="110"/>
      <c r="E100" t="str">
        <f>VLOOKUP(B100,CAC!$A$2:$B$198,2,FALSE)</f>
        <v>HMOPMR</v>
      </c>
    </row>
    <row r="101" spans="1:5" x14ac:dyDescent="0.25">
      <c r="A101" s="108">
        <v>201502</v>
      </c>
      <c r="B101" s="109" t="s">
        <v>71</v>
      </c>
      <c r="C101" s="108">
        <v>8711</v>
      </c>
      <c r="D101" s="110"/>
      <c r="E101" t="str">
        <f>VLOOKUP(B101,CAC!$A$2:$B$198,2,FALSE)</f>
        <v>HMOPMR</v>
      </c>
    </row>
    <row r="102" spans="1:5" x14ac:dyDescent="0.25">
      <c r="A102" s="108">
        <v>201502</v>
      </c>
      <c r="B102" s="109" t="s">
        <v>72</v>
      </c>
      <c r="C102" s="108">
        <v>2210</v>
      </c>
      <c r="D102" s="110"/>
      <c r="E102" t="str">
        <f>VLOOKUP(B102,CAC!$A$2:$B$198,2,FALSE)</f>
        <v>HMFLEX</v>
      </c>
    </row>
    <row r="103" spans="1:5" x14ac:dyDescent="0.25">
      <c r="A103" s="108">
        <v>201502</v>
      </c>
      <c r="B103" s="109" t="s">
        <v>314</v>
      </c>
      <c r="C103" s="108">
        <v>0</v>
      </c>
      <c r="D103" s="110"/>
      <c r="E103" t="e">
        <f>VLOOKUP(B103,CAC!$A$2:$B$198,2,FALSE)</f>
        <v>#N/A</v>
      </c>
    </row>
    <row r="104" spans="1:5" x14ac:dyDescent="0.25">
      <c r="A104" s="108">
        <v>201502</v>
      </c>
      <c r="B104" s="109" t="s">
        <v>322</v>
      </c>
      <c r="C104" s="108">
        <v>0</v>
      </c>
      <c r="D104" s="110"/>
      <c r="E104" t="e">
        <f>VLOOKUP(B104,CAC!$A$2:$B$198,2,FALSE)</f>
        <v>#N/A</v>
      </c>
    </row>
    <row r="105" spans="1:5" x14ac:dyDescent="0.25">
      <c r="A105" s="108">
        <v>201502</v>
      </c>
      <c r="B105" s="109" t="s">
        <v>315</v>
      </c>
      <c r="C105" s="108">
        <v>0</v>
      </c>
      <c r="D105" s="110"/>
      <c r="E105" t="e">
        <f>VLOOKUP(B105,CAC!$A$2:$B$198,2,FALSE)</f>
        <v>#N/A</v>
      </c>
    </row>
    <row r="106" spans="1:5" x14ac:dyDescent="0.25">
      <c r="A106" s="108">
        <v>201502</v>
      </c>
      <c r="B106" s="109" t="s">
        <v>112</v>
      </c>
      <c r="C106" s="108">
        <v>0</v>
      </c>
      <c r="D106" s="110"/>
      <c r="E106" t="e">
        <f>VLOOKUP(B106,CAC!$A$2:$B$198,2,FALSE)</f>
        <v>#N/A</v>
      </c>
    </row>
    <row r="107" spans="1:5" x14ac:dyDescent="0.25">
      <c r="A107" s="108">
        <v>201502</v>
      </c>
      <c r="B107" s="109" t="s">
        <v>316</v>
      </c>
      <c r="C107" s="108">
        <v>0</v>
      </c>
      <c r="D107" s="110"/>
      <c r="E107" t="e">
        <f>VLOOKUP(B107,CAC!$A$2:$B$198,2,FALSE)</f>
        <v>#N/A</v>
      </c>
    </row>
    <row r="108" spans="1:5" x14ac:dyDescent="0.25">
      <c r="A108" s="108">
        <v>201502</v>
      </c>
      <c r="B108" s="109" t="s">
        <v>317</v>
      </c>
      <c r="C108" s="108">
        <v>0</v>
      </c>
      <c r="D108" s="110"/>
      <c r="E108" t="e">
        <f>VLOOKUP(B108,CAC!$A$2:$B$198,2,FALSE)</f>
        <v>#N/A</v>
      </c>
    </row>
    <row r="109" spans="1:5" x14ac:dyDescent="0.25">
      <c r="A109" s="108">
        <v>201502</v>
      </c>
      <c r="B109" s="109" t="s">
        <v>113</v>
      </c>
      <c r="C109" s="108">
        <v>0</v>
      </c>
      <c r="D109" s="110"/>
      <c r="E109" t="str">
        <f>VLOOKUP(B109,CAC!$A$2:$B$198,2,FALSE)</f>
        <v>PPOLG</v>
      </c>
    </row>
    <row r="110" spans="1:5" x14ac:dyDescent="0.25">
      <c r="A110" s="108">
        <v>201502</v>
      </c>
      <c r="B110" s="109" t="s">
        <v>294</v>
      </c>
      <c r="C110" s="108">
        <v>0</v>
      </c>
      <c r="D110" s="110"/>
      <c r="E110" t="str">
        <f>VLOOKUP(B110,CAC!$A$2:$B$198,2,FALSE)</f>
        <v>NATPAR</v>
      </c>
    </row>
    <row r="111" spans="1:5" x14ac:dyDescent="0.25">
      <c r="A111" s="108">
        <v>201502</v>
      </c>
      <c r="B111" s="109" t="s">
        <v>208</v>
      </c>
      <c r="C111" s="108">
        <v>0</v>
      </c>
      <c r="D111" s="110"/>
      <c r="E111" t="str">
        <f>VLOOKUP(B111,CAC!$A$2:$B$198,2,FALSE)</f>
        <v>PPOPMR</v>
      </c>
    </row>
    <row r="112" spans="1:5" x14ac:dyDescent="0.25">
      <c r="A112" s="108">
        <v>201502</v>
      </c>
      <c r="B112" s="109" t="s">
        <v>209</v>
      </c>
      <c r="C112" s="108">
        <v>0</v>
      </c>
      <c r="D112" s="110"/>
      <c r="E112" t="str">
        <f>VLOOKUP(B112,CAC!$A$2:$B$198,2,FALSE)</f>
        <v>PPOPMR</v>
      </c>
    </row>
    <row r="113" spans="1:5" x14ac:dyDescent="0.25">
      <c r="A113" s="108">
        <v>201502</v>
      </c>
      <c r="B113" s="109" t="s">
        <v>204</v>
      </c>
      <c r="C113" s="108">
        <v>0</v>
      </c>
      <c r="D113" s="110"/>
      <c r="E113" t="str">
        <f>VLOOKUP(B113,CAC!$A$2:$B$198,2,FALSE)</f>
        <v>PPOPMR</v>
      </c>
    </row>
    <row r="114" spans="1:5" x14ac:dyDescent="0.25">
      <c r="A114" s="108">
        <v>201502</v>
      </c>
      <c r="B114" s="109" t="s">
        <v>73</v>
      </c>
      <c r="C114" s="108">
        <v>34213</v>
      </c>
      <c r="D114" s="108">
        <v>6357</v>
      </c>
      <c r="E114" t="str">
        <f>VLOOKUP(B114,CAC!$A$2:$B$198,2,FALSE)</f>
        <v>HMOPERA</v>
      </c>
    </row>
    <row r="115" spans="1:5" x14ac:dyDescent="0.25">
      <c r="A115" s="108">
        <v>201502</v>
      </c>
      <c r="B115" s="109" t="s">
        <v>74</v>
      </c>
      <c r="C115" s="108">
        <v>3754</v>
      </c>
      <c r="D115" s="108">
        <v>2364</v>
      </c>
      <c r="E115" t="str">
        <f>VLOOKUP(B115,CAC!$A$2:$B$198,2,FALSE)</f>
        <v>PERMEDA</v>
      </c>
    </row>
    <row r="116" spans="1:5" x14ac:dyDescent="0.25">
      <c r="A116" s="108">
        <v>201502</v>
      </c>
      <c r="B116" s="109" t="s">
        <v>75</v>
      </c>
      <c r="C116" s="108">
        <v>40263</v>
      </c>
      <c r="D116" s="108">
        <v>20672</v>
      </c>
      <c r="E116" t="str">
        <f>VLOOKUP(B116,CAC!$A$2:$B$198,2,FALSE)</f>
        <v>HMOPERN</v>
      </c>
    </row>
    <row r="117" spans="1:5" x14ac:dyDescent="0.25">
      <c r="A117" s="108">
        <v>201502</v>
      </c>
      <c r="B117" s="109" t="s">
        <v>76</v>
      </c>
      <c r="C117" s="108">
        <v>495</v>
      </c>
      <c r="D117" s="108">
        <v>1661</v>
      </c>
      <c r="E117" t="str">
        <f>VLOOKUP(B117,CAC!$A$2:$B$198,2,FALSE)</f>
        <v>PERMEDN</v>
      </c>
    </row>
    <row r="118" spans="1:5" x14ac:dyDescent="0.25">
      <c r="A118" s="108">
        <v>201502</v>
      </c>
      <c r="B118" s="109" t="s">
        <v>218</v>
      </c>
      <c r="C118" s="108">
        <v>0</v>
      </c>
      <c r="D118" s="110"/>
      <c r="E118" t="str">
        <f>VLOOKUP(B118,CAC!$A$2:$B$198,2,FALSE)</f>
        <v>HMOPERA</v>
      </c>
    </row>
    <row r="119" spans="1:5" x14ac:dyDescent="0.25">
      <c r="A119" s="108">
        <v>201502</v>
      </c>
      <c r="B119" s="109" t="s">
        <v>181</v>
      </c>
      <c r="C119" s="108">
        <v>0</v>
      </c>
      <c r="D119" s="110"/>
      <c r="E119" t="str">
        <f>VLOOKUP(B119,CAC!$A$2:$B$198,2,FALSE)</f>
        <v>PERMEDA</v>
      </c>
    </row>
    <row r="120" spans="1:5" x14ac:dyDescent="0.25">
      <c r="A120" s="108">
        <v>201502</v>
      </c>
      <c r="B120" s="109" t="s">
        <v>156</v>
      </c>
      <c r="C120" s="108">
        <v>20613</v>
      </c>
      <c r="D120" s="110"/>
      <c r="E120" t="str">
        <f>VLOOKUP(B120,CAC!$A$2:$B$198,2,FALSE)</f>
        <v>HMOMM</v>
      </c>
    </row>
    <row r="121" spans="1:5" x14ac:dyDescent="0.25">
      <c r="A121" s="108">
        <v>201502</v>
      </c>
      <c r="B121" s="109" t="s">
        <v>162</v>
      </c>
      <c r="C121" s="108">
        <v>379</v>
      </c>
      <c r="D121" s="110"/>
      <c r="E121" t="str">
        <f>VLOOKUP(B121,CAC!$A$2:$B$198,2,FALSE)</f>
        <v>HMOMG</v>
      </c>
    </row>
    <row r="122" spans="1:5" x14ac:dyDescent="0.25">
      <c r="A122" s="108">
        <v>201502</v>
      </c>
      <c r="B122" s="109" t="s">
        <v>163</v>
      </c>
      <c r="C122" s="108">
        <v>163</v>
      </c>
      <c r="D122" s="110"/>
      <c r="E122" t="str">
        <f>VLOOKUP(B122,CAC!$A$2:$B$198,2,FALSE)</f>
        <v>HMOMG</v>
      </c>
    </row>
    <row r="123" spans="1:5" x14ac:dyDescent="0.25">
      <c r="A123" s="108">
        <v>201502</v>
      </c>
      <c r="B123" s="109" t="s">
        <v>164</v>
      </c>
      <c r="C123" s="108">
        <v>0</v>
      </c>
      <c r="D123" s="110"/>
      <c r="E123" t="str">
        <f>VLOOKUP(B123,CAC!$A$2:$B$198,2,FALSE)</f>
        <v>HMOMG</v>
      </c>
    </row>
    <row r="124" spans="1:5" x14ac:dyDescent="0.25">
      <c r="A124" s="108">
        <v>201502</v>
      </c>
      <c r="B124" s="109" t="s">
        <v>161</v>
      </c>
      <c r="C124" s="108">
        <v>4098</v>
      </c>
      <c r="D124" s="110"/>
      <c r="E124" t="str">
        <f>VLOOKUP(B124,CAC!$A$2:$B$198,2,FALSE)</f>
        <v>PERMAPD</v>
      </c>
    </row>
    <row r="125" spans="1:5" x14ac:dyDescent="0.25">
      <c r="A125" s="108">
        <v>201502</v>
      </c>
      <c r="B125" s="109" t="s">
        <v>77</v>
      </c>
      <c r="C125" s="108">
        <v>17444</v>
      </c>
      <c r="D125" s="110"/>
      <c r="E125" t="str">
        <f>VLOOKUP(B125,CAC!$A$2:$B$198,2,FALSE)</f>
        <v>HMOSG</v>
      </c>
    </row>
    <row r="126" spans="1:5" x14ac:dyDescent="0.25">
      <c r="A126" s="108">
        <v>201502</v>
      </c>
      <c r="B126" s="109" t="s">
        <v>78</v>
      </c>
      <c r="C126" s="108">
        <v>248</v>
      </c>
      <c r="D126" s="110"/>
      <c r="E126" t="str">
        <f>VLOOKUP(B126,CAC!$A$2:$B$198,2,FALSE)</f>
        <v>HMOSG</v>
      </c>
    </row>
    <row r="127" spans="1:5" x14ac:dyDescent="0.25">
      <c r="A127" s="108">
        <v>201502</v>
      </c>
      <c r="B127" s="109" t="s">
        <v>79</v>
      </c>
      <c r="C127" s="108">
        <v>54</v>
      </c>
      <c r="D127" s="110"/>
      <c r="E127" t="str">
        <f>VLOOKUP(B127,CAC!$A$2:$B$198,2,FALSE)</f>
        <v>HMOSG</v>
      </c>
    </row>
    <row r="128" spans="1:5" x14ac:dyDescent="0.25">
      <c r="A128" s="108">
        <v>201502</v>
      </c>
      <c r="B128" s="109" t="s">
        <v>222</v>
      </c>
      <c r="C128" s="108">
        <v>0</v>
      </c>
      <c r="D128" s="110"/>
      <c r="E128" t="str">
        <f>VLOOKUP(B128,CAC!$A$2:$B$198,2,FALSE)</f>
        <v>PPOSG</v>
      </c>
    </row>
    <row r="129" spans="1:5" x14ac:dyDescent="0.25">
      <c r="A129" s="108">
        <v>201502</v>
      </c>
      <c r="B129" s="109" t="s">
        <v>225</v>
      </c>
      <c r="C129" s="108">
        <v>0</v>
      </c>
      <c r="D129" s="110"/>
      <c r="E129" t="str">
        <f>VLOOKUP(B129,CAC!$A$2:$B$198,2,FALSE)</f>
        <v>PPOSG</v>
      </c>
    </row>
    <row r="130" spans="1:5" x14ac:dyDescent="0.25">
      <c r="A130" s="108">
        <v>201502</v>
      </c>
      <c r="B130" s="109" t="s">
        <v>226</v>
      </c>
      <c r="C130" s="108">
        <v>0</v>
      </c>
      <c r="D130" s="110"/>
      <c r="E130" t="str">
        <f>VLOOKUP(B130,CAC!$A$2:$B$198,2,FALSE)</f>
        <v>PPOSG</v>
      </c>
    </row>
    <row r="131" spans="1:5" x14ac:dyDescent="0.25">
      <c r="A131" s="108">
        <v>201502</v>
      </c>
      <c r="B131" s="109" t="s">
        <v>80</v>
      </c>
      <c r="C131" s="108">
        <v>15</v>
      </c>
      <c r="D131" s="110"/>
      <c r="E131" t="str">
        <f>VLOOKUP(B131,CAC!$A$2:$B$198,2,FALSE)</f>
        <v>HMOIFP</v>
      </c>
    </row>
    <row r="132" spans="1:5" x14ac:dyDescent="0.25">
      <c r="A132" s="108">
        <v>201502</v>
      </c>
      <c r="B132" s="109" t="s">
        <v>186</v>
      </c>
      <c r="C132" s="108">
        <v>0</v>
      </c>
      <c r="D132" s="110"/>
      <c r="E132" t="str">
        <f>VLOOKUP(B132,CAC!$A$2:$B$198,2,FALSE)</f>
        <v>PPOIFP</v>
      </c>
    </row>
    <row r="133" spans="1:5" x14ac:dyDescent="0.25">
      <c r="A133" s="108">
        <v>201502</v>
      </c>
      <c r="B133" s="109" t="s">
        <v>187</v>
      </c>
      <c r="C133" s="108">
        <v>0</v>
      </c>
      <c r="D133" s="110"/>
      <c r="E133" t="str">
        <f>VLOOKUP(B133,CAC!$A$2:$B$198,2,FALSE)</f>
        <v>PPOIFP</v>
      </c>
    </row>
    <row r="134" spans="1:5" x14ac:dyDescent="0.25">
      <c r="A134" s="108">
        <v>201502</v>
      </c>
      <c r="B134" s="109" t="s">
        <v>188</v>
      </c>
      <c r="C134" s="108">
        <v>0</v>
      </c>
      <c r="D134" s="110"/>
      <c r="E134" t="str">
        <f>VLOOKUP(B134,CAC!$A$2:$B$198,2,FALSE)</f>
        <v>PPOIFP</v>
      </c>
    </row>
    <row r="135" spans="1:5" x14ac:dyDescent="0.25">
      <c r="A135" s="108">
        <v>201502</v>
      </c>
      <c r="B135" s="109" t="s">
        <v>189</v>
      </c>
      <c r="C135" s="108">
        <v>0</v>
      </c>
      <c r="D135" s="110"/>
      <c r="E135" t="str">
        <f>VLOOKUP(B135,CAC!$A$2:$B$198,2,FALSE)</f>
        <v>PPOIFP</v>
      </c>
    </row>
    <row r="136" spans="1:5" x14ac:dyDescent="0.25">
      <c r="A136" s="108">
        <v>201502</v>
      </c>
      <c r="B136" s="109" t="s">
        <v>216</v>
      </c>
      <c r="C136" s="108">
        <v>0</v>
      </c>
      <c r="D136" s="110"/>
      <c r="E136" t="str">
        <f>VLOOKUP(B136,CAC!$A$2:$B$198,2,FALSE)</f>
        <v>PPOMM</v>
      </c>
    </row>
    <row r="137" spans="1:5" x14ac:dyDescent="0.25">
      <c r="A137" s="108">
        <v>201502</v>
      </c>
      <c r="B137" s="109" t="s">
        <v>301</v>
      </c>
      <c r="C137" s="108">
        <v>0</v>
      </c>
      <c r="D137" s="110"/>
      <c r="E137" t="str">
        <f>VLOOKUP(B137,CAC!$A$2:$B$198,2,FALSE)</f>
        <v>XXX</v>
      </c>
    </row>
    <row r="138" spans="1:5" x14ac:dyDescent="0.25">
      <c r="A138" s="108">
        <v>201503</v>
      </c>
      <c r="B138" s="109" t="s">
        <v>51</v>
      </c>
      <c r="C138" s="108">
        <v>3</v>
      </c>
      <c r="D138" s="110"/>
      <c r="E138" t="str">
        <f>VLOOKUP(B138,CAC!$A$2:$B$198,2,FALSE)</f>
        <v>XXX</v>
      </c>
    </row>
    <row r="139" spans="1:5" x14ac:dyDescent="0.25">
      <c r="A139" s="108">
        <v>201503</v>
      </c>
      <c r="B139" s="109" t="s">
        <v>303</v>
      </c>
      <c r="C139" s="108">
        <v>0</v>
      </c>
      <c r="D139" s="110"/>
      <c r="E139" t="e">
        <f>VLOOKUP(B139,CAC!$A$2:$B$198,2,FALSE)</f>
        <v>#N/A</v>
      </c>
    </row>
    <row r="140" spans="1:5" x14ac:dyDescent="0.25">
      <c r="A140" s="108">
        <v>201503</v>
      </c>
      <c r="B140" s="109" t="s">
        <v>304</v>
      </c>
      <c r="C140" s="108">
        <v>0</v>
      </c>
      <c r="D140" s="110"/>
      <c r="E140" t="e">
        <f>VLOOKUP(B140,CAC!$A$2:$B$198,2,FALSE)</f>
        <v>#N/A</v>
      </c>
    </row>
    <row r="141" spans="1:5" x14ac:dyDescent="0.25">
      <c r="A141" s="108">
        <v>201503</v>
      </c>
      <c r="B141" s="109" t="s">
        <v>323</v>
      </c>
      <c r="C141" s="108">
        <v>0</v>
      </c>
      <c r="D141" s="110"/>
      <c r="E141" t="e">
        <f>VLOOKUP(B141,CAC!$A$2:$B$198,2,FALSE)</f>
        <v>#N/A</v>
      </c>
    </row>
    <row r="142" spans="1:5" x14ac:dyDescent="0.25">
      <c r="A142" s="108">
        <v>201503</v>
      </c>
      <c r="B142" s="109" t="s">
        <v>305</v>
      </c>
      <c r="C142" s="108">
        <v>0</v>
      </c>
      <c r="D142" s="110"/>
      <c r="E142" t="e">
        <f>VLOOKUP(B142,CAC!$A$2:$B$198,2,FALSE)</f>
        <v>#N/A</v>
      </c>
    </row>
    <row r="143" spans="1:5" x14ac:dyDescent="0.25">
      <c r="A143" s="108">
        <v>201503</v>
      </c>
      <c r="B143" s="109" t="s">
        <v>231</v>
      </c>
      <c r="C143" s="108">
        <v>0</v>
      </c>
      <c r="D143" s="110"/>
      <c r="E143" t="str">
        <f>VLOOKUP(B143,CAC!$A$2:$B$198,2,FALSE)</f>
        <v>DOILG</v>
      </c>
    </row>
    <row r="144" spans="1:5" x14ac:dyDescent="0.25">
      <c r="A144" s="108">
        <v>201503</v>
      </c>
      <c r="B144" s="109" t="s">
        <v>233</v>
      </c>
      <c r="C144" s="108">
        <v>0</v>
      </c>
      <c r="D144" s="110"/>
      <c r="E144" t="str">
        <f>VLOOKUP(B144,CAC!$A$2:$B$198,2,FALSE)</f>
        <v>DOILG</v>
      </c>
    </row>
    <row r="145" spans="1:5" x14ac:dyDescent="0.25">
      <c r="A145" s="108">
        <v>201503</v>
      </c>
      <c r="B145" s="109" t="s">
        <v>234</v>
      </c>
      <c r="C145" s="108">
        <v>0</v>
      </c>
      <c r="D145" s="110"/>
      <c r="E145" t="str">
        <f>VLOOKUP(B145,CAC!$A$2:$B$198,2,FALSE)</f>
        <v>DOILG</v>
      </c>
    </row>
    <row r="146" spans="1:5" x14ac:dyDescent="0.25">
      <c r="A146" s="108">
        <v>201503</v>
      </c>
      <c r="B146" s="109" t="s">
        <v>235</v>
      </c>
      <c r="C146" s="108">
        <v>0</v>
      </c>
      <c r="D146" s="110"/>
      <c r="E146" t="str">
        <f>VLOOKUP(B146,CAC!$A$2:$B$198,2,FALSE)</f>
        <v>DOILG</v>
      </c>
    </row>
    <row r="147" spans="1:5" x14ac:dyDescent="0.25">
      <c r="A147" s="108">
        <v>201503</v>
      </c>
      <c r="B147" s="109" t="s">
        <v>237</v>
      </c>
      <c r="C147" s="108">
        <v>0</v>
      </c>
      <c r="D147" s="110"/>
      <c r="E147" t="str">
        <f>VLOOKUP(B147,CAC!$A$2:$B$198,2,FALSE)</f>
        <v>DOILG</v>
      </c>
    </row>
    <row r="148" spans="1:5" x14ac:dyDescent="0.25">
      <c r="A148" s="108">
        <v>201503</v>
      </c>
      <c r="B148" s="109" t="s">
        <v>239</v>
      </c>
      <c r="C148" s="108">
        <v>0</v>
      </c>
      <c r="D148" s="110"/>
      <c r="E148" t="str">
        <f>VLOOKUP(B148,CAC!$A$2:$B$198,2,FALSE)</f>
        <v>DOISG</v>
      </c>
    </row>
    <row r="149" spans="1:5" x14ac:dyDescent="0.25">
      <c r="A149" s="108">
        <v>201503</v>
      </c>
      <c r="B149" s="109" t="s">
        <v>247</v>
      </c>
      <c r="C149" s="108">
        <v>0</v>
      </c>
      <c r="D149" s="110"/>
      <c r="E149" t="str">
        <f>VLOOKUP(B149,CAC!$A$2:$B$198,2,FALSE)</f>
        <v>DOIIFP</v>
      </c>
    </row>
    <row r="150" spans="1:5" x14ac:dyDescent="0.25">
      <c r="A150" s="108">
        <v>201503</v>
      </c>
      <c r="B150" s="109" t="s">
        <v>238</v>
      </c>
      <c r="C150" s="108">
        <v>0</v>
      </c>
      <c r="D150" s="110"/>
      <c r="E150" t="str">
        <f>VLOOKUP(B150,CAC!$A$2:$B$198,2,FALSE)</f>
        <v>DOILG</v>
      </c>
    </row>
    <row r="151" spans="1:5" x14ac:dyDescent="0.25">
      <c r="A151" s="108">
        <v>201503</v>
      </c>
      <c r="B151" s="109" t="s">
        <v>248</v>
      </c>
      <c r="C151" s="108">
        <v>0</v>
      </c>
      <c r="D151" s="110"/>
      <c r="E151" t="str">
        <f>VLOOKUP(B151,CAC!$A$2:$B$198,2,FALSE)</f>
        <v>DOIIFP</v>
      </c>
    </row>
    <row r="152" spans="1:5" x14ac:dyDescent="0.25">
      <c r="A152" s="108">
        <v>201503</v>
      </c>
      <c r="B152" s="109" t="s">
        <v>255</v>
      </c>
      <c r="C152" s="108">
        <v>0</v>
      </c>
      <c r="D152" s="110"/>
      <c r="E152" t="str">
        <f>VLOOKUP(B152,CAC!$A$2:$B$198,2,FALSE)</f>
        <v>AGDMHC</v>
      </c>
    </row>
    <row r="153" spans="1:5" x14ac:dyDescent="0.25">
      <c r="A153" s="108">
        <v>201503</v>
      </c>
      <c r="B153" s="109" t="s">
        <v>256</v>
      </c>
      <c r="C153" s="108">
        <v>0</v>
      </c>
      <c r="D153" s="110"/>
      <c r="E153" t="str">
        <f>VLOOKUP(B153,CAC!$A$2:$B$198,2,FALSE)</f>
        <v>AGDMHC</v>
      </c>
    </row>
    <row r="154" spans="1:5" x14ac:dyDescent="0.25">
      <c r="A154" s="108">
        <v>201503</v>
      </c>
      <c r="B154" s="109" t="s">
        <v>275</v>
      </c>
      <c r="C154" s="108">
        <v>0</v>
      </c>
      <c r="D154" s="110"/>
      <c r="E154" t="str">
        <f>VLOOKUP(B154,CAC!$A$2:$B$198,2,FALSE)</f>
        <v>AGDMHC</v>
      </c>
    </row>
    <row r="155" spans="1:5" x14ac:dyDescent="0.25">
      <c r="A155" s="108">
        <v>201503</v>
      </c>
      <c r="B155" s="109" t="s">
        <v>257</v>
      </c>
      <c r="C155" s="108">
        <v>0</v>
      </c>
      <c r="D155" s="110"/>
      <c r="E155" t="str">
        <f>VLOOKUP(B155,CAC!$A$2:$B$198,2,FALSE)</f>
        <v>AGDMHC</v>
      </c>
    </row>
    <row r="156" spans="1:5" x14ac:dyDescent="0.25">
      <c r="A156" s="108">
        <v>201503</v>
      </c>
      <c r="B156" s="109" t="s">
        <v>258</v>
      </c>
      <c r="C156" s="108">
        <v>0</v>
      </c>
      <c r="D156" s="110"/>
      <c r="E156" t="str">
        <f>VLOOKUP(B156,CAC!$A$2:$B$198,2,FALSE)</f>
        <v>AGDMHC</v>
      </c>
    </row>
    <row r="157" spans="1:5" x14ac:dyDescent="0.25">
      <c r="A157" s="108">
        <v>201503</v>
      </c>
      <c r="B157" s="109" t="s">
        <v>262</v>
      </c>
      <c r="C157" s="108">
        <v>0</v>
      </c>
      <c r="D157" s="110"/>
      <c r="E157" t="str">
        <f>VLOOKUP(B157,CAC!$A$2:$B$198,2,FALSE)</f>
        <v>AGDMHC</v>
      </c>
    </row>
    <row r="158" spans="1:5" x14ac:dyDescent="0.25">
      <c r="A158" s="108">
        <v>201503</v>
      </c>
      <c r="B158" s="109" t="s">
        <v>269</v>
      </c>
      <c r="C158" s="108">
        <v>0</v>
      </c>
      <c r="D158" s="110"/>
      <c r="E158" t="str">
        <f>VLOOKUP(B158,CAC!$A$2:$B$198,2,FALSE)</f>
        <v>AGDMHC</v>
      </c>
    </row>
    <row r="159" spans="1:5" x14ac:dyDescent="0.25">
      <c r="A159" s="108">
        <v>201503</v>
      </c>
      <c r="B159" s="109" t="s">
        <v>319</v>
      </c>
      <c r="C159" s="108">
        <v>0</v>
      </c>
      <c r="D159" s="110"/>
      <c r="E159" t="e">
        <f>VLOOKUP(B159,CAC!$A$2:$B$198,2,FALSE)</f>
        <v>#N/A</v>
      </c>
    </row>
    <row r="160" spans="1:5" x14ac:dyDescent="0.25">
      <c r="A160" s="108">
        <v>201503</v>
      </c>
      <c r="B160" s="109" t="s">
        <v>265</v>
      </c>
      <c r="C160" s="108">
        <v>0</v>
      </c>
      <c r="D160" s="110"/>
      <c r="E160" t="str">
        <f>VLOOKUP(B160,CAC!$A$2:$B$198,2,FALSE)</f>
        <v>AGDMHC</v>
      </c>
    </row>
    <row r="161" spans="1:5" x14ac:dyDescent="0.25">
      <c r="A161" s="108">
        <v>201503</v>
      </c>
      <c r="B161" s="109" t="s">
        <v>52</v>
      </c>
      <c r="C161" s="108">
        <v>15336</v>
      </c>
      <c r="D161" s="110"/>
      <c r="E161" t="str">
        <f>VLOOKUP(B161,CAC!$A$2:$B$198,2,FALSE)</f>
        <v>HMOPMR</v>
      </c>
    </row>
    <row r="162" spans="1:5" x14ac:dyDescent="0.25">
      <c r="A162" s="108">
        <v>201503</v>
      </c>
      <c r="B162" s="109" t="s">
        <v>53</v>
      </c>
      <c r="C162" s="108">
        <v>11034</v>
      </c>
      <c r="D162" s="110"/>
      <c r="E162" t="str">
        <f>VLOOKUP(B162,CAC!$A$2:$B$198,2,FALSE)</f>
        <v>HMOPMR</v>
      </c>
    </row>
    <row r="163" spans="1:5" x14ac:dyDescent="0.25">
      <c r="A163" s="108">
        <v>201503</v>
      </c>
      <c r="B163" s="109" t="s">
        <v>54</v>
      </c>
      <c r="C163" s="108">
        <v>6620</v>
      </c>
      <c r="D163" s="110"/>
      <c r="E163" t="str">
        <f>VLOOKUP(B163,CAC!$A$2:$B$198,2,FALSE)</f>
        <v>HMOFEP</v>
      </c>
    </row>
    <row r="164" spans="1:5" x14ac:dyDescent="0.25">
      <c r="A164" s="108">
        <v>201503</v>
      </c>
      <c r="B164" s="109" t="s">
        <v>279</v>
      </c>
      <c r="C164" s="108">
        <v>0</v>
      </c>
      <c r="D164" s="110"/>
      <c r="E164" t="str">
        <f>VLOOKUP(B164,CAC!$A$2:$B$198,2,FALSE)</f>
        <v>PPOFEP</v>
      </c>
    </row>
    <row r="165" spans="1:5" x14ac:dyDescent="0.25">
      <c r="A165" s="108">
        <v>201503</v>
      </c>
      <c r="B165" s="109" t="s">
        <v>202</v>
      </c>
      <c r="C165" s="108">
        <v>0</v>
      </c>
      <c r="D165" s="110"/>
      <c r="E165" t="str">
        <f>VLOOKUP(B165,CAC!$A$2:$B$198,2,FALSE)</f>
        <v>PPOPMR</v>
      </c>
    </row>
    <row r="166" spans="1:5" x14ac:dyDescent="0.25">
      <c r="A166" s="108">
        <v>201503</v>
      </c>
      <c r="B166" s="109" t="s">
        <v>55</v>
      </c>
      <c r="C166" s="108">
        <v>15171</v>
      </c>
      <c r="D166" s="110"/>
      <c r="E166" t="str">
        <f>VLOOKUP(B166,CAC!$A$2:$B$198,2,FALSE)</f>
        <v>HMOPMR</v>
      </c>
    </row>
    <row r="167" spans="1:5" x14ac:dyDescent="0.25">
      <c r="A167" s="108">
        <v>201503</v>
      </c>
      <c r="B167" s="109" t="s">
        <v>56</v>
      </c>
      <c r="C167" s="108">
        <v>142</v>
      </c>
      <c r="D167" s="110"/>
      <c r="E167" t="str">
        <f>VLOOKUP(B167,CAC!$A$2:$B$198,2,FALSE)</f>
        <v>HMOPMR</v>
      </c>
    </row>
    <row r="168" spans="1:5" x14ac:dyDescent="0.25">
      <c r="A168" s="108">
        <v>201503</v>
      </c>
      <c r="B168" s="109" t="s">
        <v>57</v>
      </c>
      <c r="C168" s="108">
        <v>6101</v>
      </c>
      <c r="D168" s="110"/>
      <c r="E168" t="str">
        <f>VLOOKUP(B168,CAC!$A$2:$B$198,2,FALSE)</f>
        <v>HMFLEX</v>
      </c>
    </row>
    <row r="169" spans="1:5" x14ac:dyDescent="0.25">
      <c r="A169" s="108">
        <v>201503</v>
      </c>
      <c r="B169" s="109" t="s">
        <v>58</v>
      </c>
      <c r="C169" s="108">
        <v>420</v>
      </c>
      <c r="D169" s="110"/>
      <c r="E169" t="str">
        <f>VLOOKUP(B169,CAC!$A$2:$B$198,2,FALSE)</f>
        <v>HMFLEX</v>
      </c>
    </row>
    <row r="170" spans="1:5" x14ac:dyDescent="0.25">
      <c r="A170" s="108">
        <v>201503</v>
      </c>
      <c r="B170" s="109" t="s">
        <v>59</v>
      </c>
      <c r="C170" s="108">
        <v>9</v>
      </c>
      <c r="D170" s="110"/>
      <c r="E170" t="str">
        <f>VLOOKUP(B170,CAC!$A$2:$B$198,2,FALSE)</f>
        <v>HMFLEX</v>
      </c>
    </row>
    <row r="171" spans="1:5" x14ac:dyDescent="0.25">
      <c r="A171" s="108">
        <v>201503</v>
      </c>
      <c r="B171" s="109" t="s">
        <v>306</v>
      </c>
      <c r="C171" s="108">
        <v>0</v>
      </c>
      <c r="D171" s="110"/>
      <c r="E171" t="e">
        <f>VLOOKUP(B171,CAC!$A$2:$B$198,2,FALSE)</f>
        <v>#N/A</v>
      </c>
    </row>
    <row r="172" spans="1:5" x14ac:dyDescent="0.25">
      <c r="A172" s="108">
        <v>201503</v>
      </c>
      <c r="B172" s="109" t="s">
        <v>283</v>
      </c>
      <c r="C172" s="108">
        <v>0</v>
      </c>
      <c r="D172" s="110"/>
      <c r="E172" t="str">
        <f>VLOOKUP(B172,CAC!$A$2:$B$198,2,FALSE)</f>
        <v>HMFLEX</v>
      </c>
    </row>
    <row r="173" spans="1:5" x14ac:dyDescent="0.25">
      <c r="A173" s="108">
        <v>201503</v>
      </c>
      <c r="B173" s="109" t="s">
        <v>205</v>
      </c>
      <c r="C173" s="108">
        <v>0</v>
      </c>
      <c r="D173" s="110"/>
      <c r="E173" t="str">
        <f>VLOOKUP(B173,CAC!$A$2:$B$198,2,FALSE)</f>
        <v>PPOPMR</v>
      </c>
    </row>
    <row r="174" spans="1:5" x14ac:dyDescent="0.25">
      <c r="A174" s="108">
        <v>201503</v>
      </c>
      <c r="B174" s="109" t="s">
        <v>286</v>
      </c>
      <c r="C174" s="108">
        <v>0</v>
      </c>
      <c r="D174" s="110"/>
      <c r="E174" t="str">
        <f>VLOOKUP(B174,CAC!$A$2:$B$198,2,FALSE)</f>
        <v>HMFLEX</v>
      </c>
    </row>
    <row r="175" spans="1:5" x14ac:dyDescent="0.25">
      <c r="A175" s="108">
        <v>201503</v>
      </c>
      <c r="B175" s="109" t="s">
        <v>60</v>
      </c>
      <c r="C175" s="108">
        <v>11054</v>
      </c>
      <c r="D175" s="110"/>
      <c r="E175" t="str">
        <f>VLOOKUP(B175,CAC!$A$2:$B$198,2,FALSE)</f>
        <v>HMOLG</v>
      </c>
    </row>
    <row r="176" spans="1:5" x14ac:dyDescent="0.25">
      <c r="A176" s="108">
        <v>201503</v>
      </c>
      <c r="B176" s="109" t="s">
        <v>61</v>
      </c>
      <c r="C176" s="108">
        <v>694</v>
      </c>
      <c r="D176" s="110"/>
      <c r="E176" t="str">
        <f>VLOOKUP(B176,CAC!$A$2:$B$198,2,FALSE)</f>
        <v>HMOLG</v>
      </c>
    </row>
    <row r="177" spans="1:5" x14ac:dyDescent="0.25">
      <c r="A177" s="108">
        <v>201503</v>
      </c>
      <c r="B177" s="109" t="s">
        <v>62</v>
      </c>
      <c r="C177" s="108">
        <v>25252</v>
      </c>
      <c r="D177" s="110"/>
      <c r="E177" t="str">
        <f>VLOOKUP(B177,CAC!$A$2:$B$198,2,FALSE)</f>
        <v>HMOLG</v>
      </c>
    </row>
    <row r="178" spans="1:5" x14ac:dyDescent="0.25">
      <c r="A178" s="108">
        <v>201503</v>
      </c>
      <c r="B178" s="109" t="s">
        <v>63</v>
      </c>
      <c r="C178" s="108">
        <v>403</v>
      </c>
      <c r="D178" s="110"/>
      <c r="E178" t="str">
        <f>VLOOKUP(B178,CAC!$A$2:$B$198,2,FALSE)</f>
        <v>HMOLG</v>
      </c>
    </row>
    <row r="179" spans="1:5" x14ac:dyDescent="0.25">
      <c r="A179" s="108">
        <v>201503</v>
      </c>
      <c r="B179" s="109" t="s">
        <v>64</v>
      </c>
      <c r="C179" s="108">
        <v>1</v>
      </c>
      <c r="D179" s="110"/>
      <c r="E179" t="str">
        <f>VLOOKUP(B179,CAC!$A$2:$B$198,2,FALSE)</f>
        <v>HMOLG</v>
      </c>
    </row>
    <row r="180" spans="1:5" x14ac:dyDescent="0.25">
      <c r="A180" s="108">
        <v>201503</v>
      </c>
      <c r="B180" s="109" t="s">
        <v>65</v>
      </c>
      <c r="C180" s="108">
        <v>214</v>
      </c>
      <c r="D180" s="110"/>
      <c r="E180" t="str">
        <f>VLOOKUP(B180,CAC!$A$2:$B$198,2,FALSE)</f>
        <v>HMFLEX</v>
      </c>
    </row>
    <row r="181" spans="1:5" x14ac:dyDescent="0.25">
      <c r="A181" s="108">
        <v>201503</v>
      </c>
      <c r="B181" s="109" t="s">
        <v>307</v>
      </c>
      <c r="C181" s="108">
        <v>0</v>
      </c>
      <c r="D181" s="110"/>
      <c r="E181" t="e">
        <f>VLOOKUP(B181,CAC!$A$2:$B$198,2,FALSE)</f>
        <v>#N/A</v>
      </c>
    </row>
    <row r="182" spans="1:5" x14ac:dyDescent="0.25">
      <c r="A182" s="108">
        <v>201503</v>
      </c>
      <c r="B182" s="109" t="s">
        <v>308</v>
      </c>
      <c r="C182" s="108">
        <v>0</v>
      </c>
      <c r="D182" s="110"/>
      <c r="E182" t="e">
        <f>VLOOKUP(B182,CAC!$A$2:$B$198,2,FALSE)</f>
        <v>#N/A</v>
      </c>
    </row>
    <row r="183" spans="1:5" x14ac:dyDescent="0.25">
      <c r="A183" s="108">
        <v>201503</v>
      </c>
      <c r="B183" s="109" t="s">
        <v>309</v>
      </c>
      <c r="C183" s="108">
        <v>0</v>
      </c>
      <c r="D183" s="110"/>
      <c r="E183" t="e">
        <f>VLOOKUP(B183,CAC!$A$2:$B$198,2,FALSE)</f>
        <v>#N/A</v>
      </c>
    </row>
    <row r="184" spans="1:5" x14ac:dyDescent="0.25">
      <c r="A184" s="108">
        <v>201503</v>
      </c>
      <c r="B184" s="109" t="s">
        <v>310</v>
      </c>
      <c r="C184" s="108">
        <v>0</v>
      </c>
      <c r="D184" s="110"/>
      <c r="E184" t="e">
        <f>VLOOKUP(B184,CAC!$A$2:$B$198,2,FALSE)</f>
        <v>#N/A</v>
      </c>
    </row>
    <row r="185" spans="1:5" x14ac:dyDescent="0.25">
      <c r="A185" s="108">
        <v>201503</v>
      </c>
      <c r="B185" s="109" t="s">
        <v>99</v>
      </c>
      <c r="C185" s="108">
        <v>0</v>
      </c>
      <c r="D185" s="110"/>
      <c r="E185" t="str">
        <f>VLOOKUP(B185,CAC!$A$2:$B$198,2,FALSE)</f>
        <v>PPOLG</v>
      </c>
    </row>
    <row r="186" spans="1:5" x14ac:dyDescent="0.25">
      <c r="A186" s="108">
        <v>201503</v>
      </c>
      <c r="B186" s="109" t="s">
        <v>193</v>
      </c>
      <c r="C186" s="108">
        <v>0</v>
      </c>
      <c r="D186" s="110"/>
      <c r="E186" t="str">
        <f>VLOOKUP(B186,CAC!$A$2:$B$198,2,FALSE)</f>
        <v>PPOLG</v>
      </c>
    </row>
    <row r="187" spans="1:5" x14ac:dyDescent="0.25">
      <c r="A187" s="108">
        <v>201503</v>
      </c>
      <c r="B187" s="109" t="s">
        <v>196</v>
      </c>
      <c r="C187" s="108">
        <v>0</v>
      </c>
      <c r="D187" s="110"/>
      <c r="E187" t="str">
        <f>VLOOKUP(B187,CAC!$A$2:$B$198,2,FALSE)</f>
        <v>PPOLG</v>
      </c>
    </row>
    <row r="188" spans="1:5" x14ac:dyDescent="0.25">
      <c r="A188" s="108">
        <v>201503</v>
      </c>
      <c r="B188" s="109" t="s">
        <v>212</v>
      </c>
      <c r="C188" s="108">
        <v>0</v>
      </c>
      <c r="D188" s="110"/>
      <c r="E188" t="str">
        <f>VLOOKUP(B188,CAC!$A$2:$B$198,2,FALSE)</f>
        <v>PPOMM</v>
      </c>
    </row>
    <row r="189" spans="1:5" x14ac:dyDescent="0.25">
      <c r="A189" s="108">
        <v>201503</v>
      </c>
      <c r="B189" s="109" t="s">
        <v>213</v>
      </c>
      <c r="C189" s="108">
        <v>0</v>
      </c>
      <c r="D189" s="110"/>
      <c r="E189" t="str">
        <f>VLOOKUP(B189,CAC!$A$2:$B$198,2,FALSE)</f>
        <v>PPOMM</v>
      </c>
    </row>
    <row r="190" spans="1:5" x14ac:dyDescent="0.25">
      <c r="A190" s="108">
        <v>201503</v>
      </c>
      <c r="B190" s="109" t="s">
        <v>311</v>
      </c>
      <c r="C190" s="108">
        <v>0</v>
      </c>
      <c r="D190" s="110"/>
      <c r="E190" t="e">
        <f>VLOOKUP(B190,CAC!$A$2:$B$198,2,FALSE)</f>
        <v>#N/A</v>
      </c>
    </row>
    <row r="191" spans="1:5" x14ac:dyDescent="0.25">
      <c r="A191" s="108">
        <v>201503</v>
      </c>
      <c r="B191" s="109" t="s">
        <v>320</v>
      </c>
      <c r="C191" s="108">
        <v>0</v>
      </c>
      <c r="D191" s="110"/>
      <c r="E191" t="e">
        <f>VLOOKUP(B191,CAC!$A$2:$B$198,2,FALSE)</f>
        <v>#N/A</v>
      </c>
    </row>
    <row r="192" spans="1:5" x14ac:dyDescent="0.25">
      <c r="A192" s="108">
        <v>201503</v>
      </c>
      <c r="B192" s="109" t="s">
        <v>321</v>
      </c>
      <c r="C192" s="108">
        <v>0</v>
      </c>
      <c r="D192" s="110"/>
      <c r="E192" t="e">
        <f>VLOOKUP(B192,CAC!$A$2:$B$198,2,FALSE)</f>
        <v>#N/A</v>
      </c>
    </row>
    <row r="193" spans="1:5" x14ac:dyDescent="0.25">
      <c r="A193" s="108">
        <v>201503</v>
      </c>
      <c r="B193" s="109" t="s">
        <v>312</v>
      </c>
      <c r="C193" s="108">
        <v>0</v>
      </c>
      <c r="D193" s="110"/>
      <c r="E193" t="e">
        <f>VLOOKUP(B193,CAC!$A$2:$B$198,2,FALSE)</f>
        <v>#N/A</v>
      </c>
    </row>
    <row r="194" spans="1:5" x14ac:dyDescent="0.25">
      <c r="A194" s="108">
        <v>201503</v>
      </c>
      <c r="B194" s="109" t="s">
        <v>313</v>
      </c>
      <c r="C194" s="108">
        <v>0</v>
      </c>
      <c r="D194" s="110"/>
      <c r="E194" t="e">
        <f>VLOOKUP(B194,CAC!$A$2:$B$198,2,FALSE)</f>
        <v>#N/A</v>
      </c>
    </row>
    <row r="195" spans="1:5" x14ac:dyDescent="0.25">
      <c r="A195" s="108">
        <v>201503</v>
      </c>
      <c r="B195" s="109" t="s">
        <v>215</v>
      </c>
      <c r="C195" s="108">
        <v>0</v>
      </c>
      <c r="D195" s="110"/>
      <c r="E195" t="str">
        <f>VLOOKUP(B195,CAC!$A$2:$B$198,2,FALSE)</f>
        <v>PPOMM</v>
      </c>
    </row>
    <row r="196" spans="1:5" x14ac:dyDescent="0.25">
      <c r="A196" s="108">
        <v>201503</v>
      </c>
      <c r="B196" s="109" t="s">
        <v>66</v>
      </c>
      <c r="C196" s="108">
        <v>3731</v>
      </c>
      <c r="D196" s="110"/>
      <c r="E196" t="str">
        <f>VLOOKUP(B196,CAC!$A$2:$B$198,2,FALSE)</f>
        <v>HMOLG</v>
      </c>
    </row>
    <row r="197" spans="1:5" x14ac:dyDescent="0.25">
      <c r="A197" s="108">
        <v>201503</v>
      </c>
      <c r="B197" s="109" t="s">
        <v>82</v>
      </c>
      <c r="C197" s="108">
        <v>0</v>
      </c>
      <c r="D197" s="110"/>
      <c r="E197" t="str">
        <f>VLOOKUP(B197,CAC!$A$2:$B$198,2,FALSE)</f>
        <v>NATPAR</v>
      </c>
    </row>
    <row r="198" spans="1:5" x14ac:dyDescent="0.25">
      <c r="A198" s="108">
        <v>201503</v>
      </c>
      <c r="B198" s="109" t="s">
        <v>67</v>
      </c>
      <c r="C198" s="108">
        <v>150</v>
      </c>
      <c r="D198" s="110"/>
      <c r="E198" t="str">
        <f>VLOOKUP(B198,CAC!$A$2:$B$198,2,FALSE)</f>
        <v>HMOLG</v>
      </c>
    </row>
    <row r="199" spans="1:5" x14ac:dyDescent="0.25">
      <c r="A199" s="108">
        <v>201503</v>
      </c>
      <c r="B199" s="109" t="s">
        <v>68</v>
      </c>
      <c r="C199" s="108">
        <v>274</v>
      </c>
      <c r="D199" s="110"/>
      <c r="E199" t="str">
        <f>VLOOKUP(B199,CAC!$A$2:$B$198,2,FALSE)</f>
        <v>HMOPMR</v>
      </c>
    </row>
    <row r="200" spans="1:5" x14ac:dyDescent="0.25">
      <c r="A200" s="108">
        <v>201503</v>
      </c>
      <c r="B200" s="109" t="s">
        <v>69</v>
      </c>
      <c r="C200" s="108">
        <v>9954</v>
      </c>
      <c r="D200" s="110"/>
      <c r="E200" t="str">
        <f>VLOOKUP(B200,CAC!$A$2:$B$198,2,FALSE)</f>
        <v>HMOPMR</v>
      </c>
    </row>
    <row r="201" spans="1:5" x14ac:dyDescent="0.25">
      <c r="A201" s="108">
        <v>201503</v>
      </c>
      <c r="B201" s="109" t="s">
        <v>70</v>
      </c>
      <c r="C201" s="108">
        <v>4104</v>
      </c>
      <c r="D201" s="110"/>
      <c r="E201" t="str">
        <f>VLOOKUP(B201,CAC!$A$2:$B$198,2,FALSE)</f>
        <v>HMOPMR</v>
      </c>
    </row>
    <row r="202" spans="1:5" x14ac:dyDescent="0.25">
      <c r="A202" s="108">
        <v>201503</v>
      </c>
      <c r="B202" s="109" t="s">
        <v>71</v>
      </c>
      <c r="C202" s="108">
        <v>8742</v>
      </c>
      <c r="D202" s="110"/>
      <c r="E202" t="str">
        <f>VLOOKUP(B202,CAC!$A$2:$B$198,2,FALSE)</f>
        <v>HMOPMR</v>
      </c>
    </row>
    <row r="203" spans="1:5" x14ac:dyDescent="0.25">
      <c r="A203" s="108">
        <v>201503</v>
      </c>
      <c r="B203" s="109" t="s">
        <v>72</v>
      </c>
      <c r="C203" s="108">
        <v>2220</v>
      </c>
      <c r="D203" s="110"/>
      <c r="E203" t="str">
        <f>VLOOKUP(B203,CAC!$A$2:$B$198,2,FALSE)</f>
        <v>HMFLEX</v>
      </c>
    </row>
    <row r="204" spans="1:5" x14ac:dyDescent="0.25">
      <c r="A204" s="108">
        <v>201503</v>
      </c>
      <c r="B204" s="109" t="s">
        <v>314</v>
      </c>
      <c r="C204" s="108">
        <v>0</v>
      </c>
      <c r="D204" s="110"/>
      <c r="E204" t="e">
        <f>VLOOKUP(B204,CAC!$A$2:$B$198,2,FALSE)</f>
        <v>#N/A</v>
      </c>
    </row>
    <row r="205" spans="1:5" x14ac:dyDescent="0.25">
      <c r="A205" s="108">
        <v>201503</v>
      </c>
      <c r="B205" s="109" t="s">
        <v>322</v>
      </c>
      <c r="C205" s="108">
        <v>0</v>
      </c>
      <c r="D205" s="110"/>
      <c r="E205" t="e">
        <f>VLOOKUP(B205,CAC!$A$2:$B$198,2,FALSE)</f>
        <v>#N/A</v>
      </c>
    </row>
    <row r="206" spans="1:5" x14ac:dyDescent="0.25">
      <c r="A206" s="108">
        <v>201503</v>
      </c>
      <c r="B206" s="109" t="s">
        <v>315</v>
      </c>
      <c r="C206" s="108">
        <v>0</v>
      </c>
      <c r="D206" s="110"/>
      <c r="E206" t="e">
        <f>VLOOKUP(B206,CAC!$A$2:$B$198,2,FALSE)</f>
        <v>#N/A</v>
      </c>
    </row>
    <row r="207" spans="1:5" x14ac:dyDescent="0.25">
      <c r="A207" s="108">
        <v>201503</v>
      </c>
      <c r="B207" s="109" t="s">
        <v>112</v>
      </c>
      <c r="C207" s="108">
        <v>0</v>
      </c>
      <c r="D207" s="110"/>
      <c r="E207" t="e">
        <f>VLOOKUP(B207,CAC!$A$2:$B$198,2,FALSE)</f>
        <v>#N/A</v>
      </c>
    </row>
    <row r="208" spans="1:5" x14ac:dyDescent="0.25">
      <c r="A208" s="108">
        <v>201503</v>
      </c>
      <c r="B208" s="109" t="s">
        <v>316</v>
      </c>
      <c r="C208" s="108">
        <v>0</v>
      </c>
      <c r="D208" s="110"/>
      <c r="E208" t="e">
        <f>VLOOKUP(B208,CAC!$A$2:$B$198,2,FALSE)</f>
        <v>#N/A</v>
      </c>
    </row>
    <row r="209" spans="1:5" x14ac:dyDescent="0.25">
      <c r="A209" s="108">
        <v>201503</v>
      </c>
      <c r="B209" s="109" t="s">
        <v>317</v>
      </c>
      <c r="C209" s="108">
        <v>0</v>
      </c>
      <c r="D209" s="110"/>
      <c r="E209" t="e">
        <f>VLOOKUP(B209,CAC!$A$2:$B$198,2,FALSE)</f>
        <v>#N/A</v>
      </c>
    </row>
    <row r="210" spans="1:5" x14ac:dyDescent="0.25">
      <c r="A210" s="108">
        <v>201503</v>
      </c>
      <c r="B210" s="109" t="s">
        <v>113</v>
      </c>
      <c r="C210" s="108">
        <v>0</v>
      </c>
      <c r="D210" s="110"/>
      <c r="E210" t="str">
        <f>VLOOKUP(B210,CAC!$A$2:$B$198,2,FALSE)</f>
        <v>PPOLG</v>
      </c>
    </row>
    <row r="211" spans="1:5" x14ac:dyDescent="0.25">
      <c r="A211" s="108">
        <v>201503</v>
      </c>
      <c r="B211" s="109" t="s">
        <v>294</v>
      </c>
      <c r="C211" s="108">
        <v>0</v>
      </c>
      <c r="D211" s="110"/>
      <c r="E211" t="str">
        <f>VLOOKUP(B211,CAC!$A$2:$B$198,2,FALSE)</f>
        <v>NATPAR</v>
      </c>
    </row>
    <row r="212" spans="1:5" x14ac:dyDescent="0.25">
      <c r="A212" s="108">
        <v>201503</v>
      </c>
      <c r="B212" s="109" t="s">
        <v>208</v>
      </c>
      <c r="C212" s="108">
        <v>0</v>
      </c>
      <c r="D212" s="110"/>
      <c r="E212" t="str">
        <f>VLOOKUP(B212,CAC!$A$2:$B$198,2,FALSE)</f>
        <v>PPOPMR</v>
      </c>
    </row>
    <row r="213" spans="1:5" x14ac:dyDescent="0.25">
      <c r="A213" s="108">
        <v>201503</v>
      </c>
      <c r="B213" s="109" t="s">
        <v>209</v>
      </c>
      <c r="C213" s="108">
        <v>0</v>
      </c>
      <c r="D213" s="110"/>
      <c r="E213" t="str">
        <f>VLOOKUP(B213,CAC!$A$2:$B$198,2,FALSE)</f>
        <v>PPOPMR</v>
      </c>
    </row>
    <row r="214" spans="1:5" x14ac:dyDescent="0.25">
      <c r="A214" s="108">
        <v>201503</v>
      </c>
      <c r="B214" s="109" t="s">
        <v>204</v>
      </c>
      <c r="C214" s="108">
        <v>0</v>
      </c>
      <c r="D214" s="110"/>
      <c r="E214" t="str">
        <f>VLOOKUP(B214,CAC!$A$2:$B$198,2,FALSE)</f>
        <v>PPOPMR</v>
      </c>
    </row>
    <row r="215" spans="1:5" x14ac:dyDescent="0.25">
      <c r="A215" s="108">
        <v>201503</v>
      </c>
      <c r="B215" s="109" t="s">
        <v>73</v>
      </c>
      <c r="C215" s="108">
        <v>34118</v>
      </c>
      <c r="D215" s="108">
        <v>6356</v>
      </c>
      <c r="E215" t="str">
        <f>VLOOKUP(B215,CAC!$A$2:$B$198,2,FALSE)</f>
        <v>HMOPERA</v>
      </c>
    </row>
    <row r="216" spans="1:5" x14ac:dyDescent="0.25">
      <c r="A216" s="108">
        <v>201503</v>
      </c>
      <c r="B216" s="109" t="s">
        <v>74</v>
      </c>
      <c r="C216" s="108">
        <v>3767</v>
      </c>
      <c r="D216" s="108">
        <v>2375</v>
      </c>
      <c r="E216" t="str">
        <f>VLOOKUP(B216,CAC!$A$2:$B$198,2,FALSE)</f>
        <v>PERMEDA</v>
      </c>
    </row>
    <row r="217" spans="1:5" x14ac:dyDescent="0.25">
      <c r="A217" s="108">
        <v>201503</v>
      </c>
      <c r="B217" s="109" t="s">
        <v>75</v>
      </c>
      <c r="C217" s="108">
        <v>40242</v>
      </c>
      <c r="D217" s="108">
        <v>20538</v>
      </c>
      <c r="E217" t="str">
        <f>VLOOKUP(B217,CAC!$A$2:$B$198,2,FALSE)</f>
        <v>HMOPERN</v>
      </c>
    </row>
    <row r="218" spans="1:5" x14ac:dyDescent="0.25">
      <c r="A218" s="108">
        <v>201503</v>
      </c>
      <c r="B218" s="109" t="s">
        <v>76</v>
      </c>
      <c r="C218" s="108">
        <v>501</v>
      </c>
      <c r="D218" s="108">
        <v>1685</v>
      </c>
      <c r="E218" t="str">
        <f>VLOOKUP(B218,CAC!$A$2:$B$198,2,FALSE)</f>
        <v>PERMEDN</v>
      </c>
    </row>
    <row r="219" spans="1:5" x14ac:dyDescent="0.25">
      <c r="A219" s="108">
        <v>201503</v>
      </c>
      <c r="B219" s="109" t="s">
        <v>218</v>
      </c>
      <c r="C219" s="108">
        <v>0</v>
      </c>
      <c r="D219" s="110"/>
      <c r="E219" t="str">
        <f>VLOOKUP(B219,CAC!$A$2:$B$198,2,FALSE)</f>
        <v>HMOPERA</v>
      </c>
    </row>
    <row r="220" spans="1:5" x14ac:dyDescent="0.25">
      <c r="A220" s="108">
        <v>201503</v>
      </c>
      <c r="B220" s="109" t="s">
        <v>181</v>
      </c>
      <c r="C220" s="108">
        <v>0</v>
      </c>
      <c r="D220" s="110"/>
      <c r="E220" t="str">
        <f>VLOOKUP(B220,CAC!$A$2:$B$198,2,FALSE)</f>
        <v>PERMEDA</v>
      </c>
    </row>
    <row r="221" spans="1:5" x14ac:dyDescent="0.25">
      <c r="A221" s="108">
        <v>201503</v>
      </c>
      <c r="B221" s="109" t="s">
        <v>156</v>
      </c>
      <c r="C221" s="108">
        <v>20696</v>
      </c>
      <c r="D221" s="110"/>
      <c r="E221" t="str">
        <f>VLOOKUP(B221,CAC!$A$2:$B$198,2,FALSE)</f>
        <v>HMOMM</v>
      </c>
    </row>
    <row r="222" spans="1:5" x14ac:dyDescent="0.25">
      <c r="A222" s="108">
        <v>201503</v>
      </c>
      <c r="B222" s="109" t="s">
        <v>162</v>
      </c>
      <c r="C222" s="108">
        <v>384</v>
      </c>
      <c r="D222" s="110"/>
      <c r="E222" t="str">
        <f>VLOOKUP(B222,CAC!$A$2:$B$198,2,FALSE)</f>
        <v>HMOMG</v>
      </c>
    </row>
    <row r="223" spans="1:5" x14ac:dyDescent="0.25">
      <c r="A223" s="108">
        <v>201503</v>
      </c>
      <c r="B223" s="109" t="s">
        <v>163</v>
      </c>
      <c r="C223" s="108">
        <v>164</v>
      </c>
      <c r="D223" s="110"/>
      <c r="E223" t="str">
        <f>VLOOKUP(B223,CAC!$A$2:$B$198,2,FALSE)</f>
        <v>HMOMG</v>
      </c>
    </row>
    <row r="224" spans="1:5" x14ac:dyDescent="0.25">
      <c r="A224" s="108">
        <v>201503</v>
      </c>
      <c r="B224" s="109" t="s">
        <v>164</v>
      </c>
      <c r="C224" s="108">
        <v>0</v>
      </c>
      <c r="D224" s="110"/>
      <c r="E224" t="str">
        <f>VLOOKUP(B224,CAC!$A$2:$B$198,2,FALSE)</f>
        <v>HMOMG</v>
      </c>
    </row>
    <row r="225" spans="1:5" x14ac:dyDescent="0.25">
      <c r="A225" s="108">
        <v>201503</v>
      </c>
      <c r="B225" s="109" t="s">
        <v>161</v>
      </c>
      <c r="C225" s="108">
        <v>4134</v>
      </c>
      <c r="D225" s="110"/>
      <c r="E225" t="str">
        <f>VLOOKUP(B225,CAC!$A$2:$B$198,2,FALSE)</f>
        <v>PERMAPD</v>
      </c>
    </row>
    <row r="226" spans="1:5" x14ac:dyDescent="0.25">
      <c r="A226" s="108">
        <v>201503</v>
      </c>
      <c r="B226" s="109" t="s">
        <v>77</v>
      </c>
      <c r="C226" s="108">
        <v>17485</v>
      </c>
      <c r="D226" s="110"/>
      <c r="E226" t="str">
        <f>VLOOKUP(B226,CAC!$A$2:$B$198,2,FALSE)</f>
        <v>HMOSG</v>
      </c>
    </row>
    <row r="227" spans="1:5" x14ac:dyDescent="0.25">
      <c r="A227" s="108">
        <v>201503</v>
      </c>
      <c r="B227" s="109" t="s">
        <v>78</v>
      </c>
      <c r="C227" s="108">
        <v>278</v>
      </c>
      <c r="D227" s="110"/>
      <c r="E227" t="str">
        <f>VLOOKUP(B227,CAC!$A$2:$B$198,2,FALSE)</f>
        <v>HMOSG</v>
      </c>
    </row>
    <row r="228" spans="1:5" x14ac:dyDescent="0.25">
      <c r="A228" s="108">
        <v>201503</v>
      </c>
      <c r="B228" s="109" t="s">
        <v>79</v>
      </c>
      <c r="C228" s="108">
        <v>54</v>
      </c>
      <c r="D228" s="110"/>
      <c r="E228" t="str">
        <f>VLOOKUP(B228,CAC!$A$2:$B$198,2,FALSE)</f>
        <v>HMOSG</v>
      </c>
    </row>
    <row r="229" spans="1:5" x14ac:dyDescent="0.25">
      <c r="A229" s="108">
        <v>201503</v>
      </c>
      <c r="B229" s="109" t="s">
        <v>222</v>
      </c>
      <c r="C229" s="108">
        <v>0</v>
      </c>
      <c r="D229" s="110"/>
      <c r="E229" t="str">
        <f>VLOOKUP(B229,CAC!$A$2:$B$198,2,FALSE)</f>
        <v>PPOSG</v>
      </c>
    </row>
    <row r="230" spans="1:5" x14ac:dyDescent="0.25">
      <c r="A230" s="108">
        <v>201503</v>
      </c>
      <c r="B230" s="109" t="s">
        <v>225</v>
      </c>
      <c r="C230" s="108">
        <v>0</v>
      </c>
      <c r="D230" s="110"/>
      <c r="E230" t="str">
        <f>VLOOKUP(B230,CAC!$A$2:$B$198,2,FALSE)</f>
        <v>PPOSG</v>
      </c>
    </row>
    <row r="231" spans="1:5" x14ac:dyDescent="0.25">
      <c r="A231" s="108">
        <v>201503</v>
      </c>
      <c r="B231" s="109" t="s">
        <v>226</v>
      </c>
      <c r="C231" s="108">
        <v>0</v>
      </c>
      <c r="D231" s="110"/>
      <c r="E231" t="str">
        <f>VLOOKUP(B231,CAC!$A$2:$B$198,2,FALSE)</f>
        <v>PPOSG</v>
      </c>
    </row>
    <row r="232" spans="1:5" x14ac:dyDescent="0.25">
      <c r="A232" s="108">
        <v>201503</v>
      </c>
      <c r="B232" s="109" t="s">
        <v>80</v>
      </c>
      <c r="C232" s="108">
        <v>14</v>
      </c>
      <c r="D232" s="110"/>
      <c r="E232" t="str">
        <f>VLOOKUP(B232,CAC!$A$2:$B$198,2,FALSE)</f>
        <v>HMOIFP</v>
      </c>
    </row>
    <row r="233" spans="1:5" x14ac:dyDescent="0.25">
      <c r="A233" s="108">
        <v>201503</v>
      </c>
      <c r="B233" s="109" t="s">
        <v>186</v>
      </c>
      <c r="C233" s="108">
        <v>0</v>
      </c>
      <c r="D233" s="110"/>
      <c r="E233" t="str">
        <f>VLOOKUP(B233,CAC!$A$2:$B$198,2,FALSE)</f>
        <v>PPOIFP</v>
      </c>
    </row>
    <row r="234" spans="1:5" x14ac:dyDescent="0.25">
      <c r="A234" s="108">
        <v>201503</v>
      </c>
      <c r="B234" s="109" t="s">
        <v>187</v>
      </c>
      <c r="C234" s="108">
        <v>0</v>
      </c>
      <c r="D234" s="110"/>
      <c r="E234" t="str">
        <f>VLOOKUP(B234,CAC!$A$2:$B$198,2,FALSE)</f>
        <v>PPOIFP</v>
      </c>
    </row>
    <row r="235" spans="1:5" x14ac:dyDescent="0.25">
      <c r="A235" s="108">
        <v>201503</v>
      </c>
      <c r="B235" s="109" t="s">
        <v>188</v>
      </c>
      <c r="C235" s="108">
        <v>0</v>
      </c>
      <c r="D235" s="110"/>
      <c r="E235" t="str">
        <f>VLOOKUP(B235,CAC!$A$2:$B$198,2,FALSE)</f>
        <v>PPOIFP</v>
      </c>
    </row>
    <row r="236" spans="1:5" x14ac:dyDescent="0.25">
      <c r="A236" s="108">
        <v>201503</v>
      </c>
      <c r="B236" s="109" t="s">
        <v>189</v>
      </c>
      <c r="C236" s="108">
        <v>0</v>
      </c>
      <c r="D236" s="110"/>
      <c r="E236" t="str">
        <f>VLOOKUP(B236,CAC!$A$2:$B$198,2,FALSE)</f>
        <v>PPOIFP</v>
      </c>
    </row>
    <row r="237" spans="1:5" x14ac:dyDescent="0.25">
      <c r="A237" s="108">
        <v>201503</v>
      </c>
      <c r="B237" s="109" t="s">
        <v>216</v>
      </c>
      <c r="C237" s="108">
        <v>0</v>
      </c>
      <c r="D237" s="110"/>
      <c r="E237" t="str">
        <f>VLOOKUP(B237,CAC!$A$2:$B$198,2,FALSE)</f>
        <v>PPOMM</v>
      </c>
    </row>
    <row r="238" spans="1:5" x14ac:dyDescent="0.25">
      <c r="A238" s="108">
        <v>201503</v>
      </c>
      <c r="B238" s="109" t="s">
        <v>301</v>
      </c>
      <c r="C238" s="108">
        <v>0</v>
      </c>
      <c r="D238" s="110"/>
      <c r="E238" t="str">
        <f>VLOOKUP(B238,CAC!$A$2:$B$198,2,FALSE)</f>
        <v>XXX</v>
      </c>
    </row>
    <row r="239" spans="1:5" x14ac:dyDescent="0.25">
      <c r="A239" s="108">
        <v>201504</v>
      </c>
      <c r="B239" s="109" t="s">
        <v>51</v>
      </c>
      <c r="C239" s="108">
        <v>3</v>
      </c>
      <c r="D239" s="110"/>
      <c r="E239" t="str">
        <f>VLOOKUP(B239,CAC!$A$2:$B$198,2,FALSE)</f>
        <v>XXX</v>
      </c>
    </row>
    <row r="240" spans="1:5" x14ac:dyDescent="0.25">
      <c r="A240" s="108">
        <v>201504</v>
      </c>
      <c r="B240" s="109" t="s">
        <v>303</v>
      </c>
      <c r="C240" s="108">
        <v>0</v>
      </c>
      <c r="D240" s="110"/>
      <c r="E240" t="e">
        <f>VLOOKUP(B240,CAC!$A$2:$B$198,2,FALSE)</f>
        <v>#N/A</v>
      </c>
    </row>
    <row r="241" spans="1:5" x14ac:dyDescent="0.25">
      <c r="A241" s="108">
        <v>201504</v>
      </c>
      <c r="B241" s="109" t="s">
        <v>304</v>
      </c>
      <c r="C241" s="108">
        <v>0</v>
      </c>
      <c r="D241" s="110"/>
      <c r="E241" t="e">
        <f>VLOOKUP(B241,CAC!$A$2:$B$198,2,FALSE)</f>
        <v>#N/A</v>
      </c>
    </row>
    <row r="242" spans="1:5" x14ac:dyDescent="0.25">
      <c r="A242" s="108">
        <v>201504</v>
      </c>
      <c r="B242" s="109" t="s">
        <v>323</v>
      </c>
      <c r="C242" s="108">
        <v>0</v>
      </c>
      <c r="D242" s="110"/>
      <c r="E242" t="e">
        <f>VLOOKUP(B242,CAC!$A$2:$B$198,2,FALSE)</f>
        <v>#N/A</v>
      </c>
    </row>
    <row r="243" spans="1:5" x14ac:dyDescent="0.25">
      <c r="A243" s="108">
        <v>201504</v>
      </c>
      <c r="B243" s="109" t="s">
        <v>305</v>
      </c>
      <c r="C243" s="108">
        <v>0</v>
      </c>
      <c r="D243" s="110"/>
      <c r="E243" t="e">
        <f>VLOOKUP(B243,CAC!$A$2:$B$198,2,FALSE)</f>
        <v>#N/A</v>
      </c>
    </row>
    <row r="244" spans="1:5" x14ac:dyDescent="0.25">
      <c r="A244" s="108">
        <v>201504</v>
      </c>
      <c r="B244" s="109" t="s">
        <v>231</v>
      </c>
      <c r="C244" s="108">
        <v>0</v>
      </c>
      <c r="D244" s="110"/>
      <c r="E244" t="str">
        <f>VLOOKUP(B244,CAC!$A$2:$B$198,2,FALSE)</f>
        <v>DOILG</v>
      </c>
    </row>
    <row r="245" spans="1:5" x14ac:dyDescent="0.25">
      <c r="A245" s="108">
        <v>201504</v>
      </c>
      <c r="B245" s="109" t="s">
        <v>233</v>
      </c>
      <c r="C245" s="108">
        <v>0</v>
      </c>
      <c r="D245" s="110"/>
      <c r="E245" t="str">
        <f>VLOOKUP(B245,CAC!$A$2:$B$198,2,FALSE)</f>
        <v>DOILG</v>
      </c>
    </row>
    <row r="246" spans="1:5" x14ac:dyDescent="0.25">
      <c r="A246" s="108">
        <v>201504</v>
      </c>
      <c r="B246" s="109" t="s">
        <v>234</v>
      </c>
      <c r="C246" s="108">
        <v>0</v>
      </c>
      <c r="D246" s="110"/>
      <c r="E246" t="str">
        <f>VLOOKUP(B246,CAC!$A$2:$B$198,2,FALSE)</f>
        <v>DOILG</v>
      </c>
    </row>
    <row r="247" spans="1:5" x14ac:dyDescent="0.25">
      <c r="A247" s="108">
        <v>201504</v>
      </c>
      <c r="B247" s="109" t="s">
        <v>235</v>
      </c>
      <c r="C247" s="108">
        <v>0</v>
      </c>
      <c r="D247" s="110"/>
      <c r="E247" t="str">
        <f>VLOOKUP(B247,CAC!$A$2:$B$198,2,FALSE)</f>
        <v>DOILG</v>
      </c>
    </row>
    <row r="248" spans="1:5" x14ac:dyDescent="0.25">
      <c r="A248" s="108">
        <v>201504</v>
      </c>
      <c r="B248" s="109" t="s">
        <v>237</v>
      </c>
      <c r="C248" s="108">
        <v>0</v>
      </c>
      <c r="D248" s="110"/>
      <c r="E248" t="str">
        <f>VLOOKUP(B248,CAC!$A$2:$B$198,2,FALSE)</f>
        <v>DOILG</v>
      </c>
    </row>
    <row r="249" spans="1:5" x14ac:dyDescent="0.25">
      <c r="A249" s="108">
        <v>201504</v>
      </c>
      <c r="B249" s="109" t="s">
        <v>239</v>
      </c>
      <c r="C249" s="108">
        <v>0</v>
      </c>
      <c r="D249" s="110"/>
      <c r="E249" t="str">
        <f>VLOOKUP(B249,CAC!$A$2:$B$198,2,FALSE)</f>
        <v>DOISG</v>
      </c>
    </row>
    <row r="250" spans="1:5" x14ac:dyDescent="0.25">
      <c r="A250" s="108">
        <v>201504</v>
      </c>
      <c r="B250" s="109" t="s">
        <v>247</v>
      </c>
      <c r="C250" s="108">
        <v>0</v>
      </c>
      <c r="D250" s="110"/>
      <c r="E250" t="str">
        <f>VLOOKUP(B250,CAC!$A$2:$B$198,2,FALSE)</f>
        <v>DOIIFP</v>
      </c>
    </row>
    <row r="251" spans="1:5" x14ac:dyDescent="0.25">
      <c r="A251" s="108">
        <v>201504</v>
      </c>
      <c r="B251" s="109" t="s">
        <v>238</v>
      </c>
      <c r="C251" s="108">
        <v>0</v>
      </c>
      <c r="D251" s="110"/>
      <c r="E251" t="str">
        <f>VLOOKUP(B251,CAC!$A$2:$B$198,2,FALSE)</f>
        <v>DOILG</v>
      </c>
    </row>
    <row r="252" spans="1:5" x14ac:dyDescent="0.25">
      <c r="A252" s="108">
        <v>201504</v>
      </c>
      <c r="B252" s="109" t="s">
        <v>248</v>
      </c>
      <c r="C252" s="108">
        <v>0</v>
      </c>
      <c r="D252" s="110"/>
      <c r="E252" t="str">
        <f>VLOOKUP(B252,CAC!$A$2:$B$198,2,FALSE)</f>
        <v>DOIIFP</v>
      </c>
    </row>
    <row r="253" spans="1:5" x14ac:dyDescent="0.25">
      <c r="A253" s="108">
        <v>201504</v>
      </c>
      <c r="B253" s="109" t="s">
        <v>255</v>
      </c>
      <c r="C253" s="108">
        <v>0</v>
      </c>
      <c r="D253" s="110"/>
      <c r="E253" t="str">
        <f>VLOOKUP(B253,CAC!$A$2:$B$198,2,FALSE)</f>
        <v>AGDMHC</v>
      </c>
    </row>
    <row r="254" spans="1:5" x14ac:dyDescent="0.25">
      <c r="A254" s="108">
        <v>201504</v>
      </c>
      <c r="B254" s="109" t="s">
        <v>256</v>
      </c>
      <c r="C254" s="108">
        <v>0</v>
      </c>
      <c r="D254" s="110"/>
      <c r="E254" t="str">
        <f>VLOOKUP(B254,CAC!$A$2:$B$198,2,FALSE)</f>
        <v>AGDMHC</v>
      </c>
    </row>
    <row r="255" spans="1:5" x14ac:dyDescent="0.25">
      <c r="A255" s="108">
        <v>201504</v>
      </c>
      <c r="B255" s="109" t="s">
        <v>275</v>
      </c>
      <c r="C255" s="108">
        <v>0</v>
      </c>
      <c r="D255" s="110"/>
      <c r="E255" t="str">
        <f>VLOOKUP(B255,CAC!$A$2:$B$198,2,FALSE)</f>
        <v>AGDMHC</v>
      </c>
    </row>
    <row r="256" spans="1:5" x14ac:dyDescent="0.25">
      <c r="A256" s="108">
        <v>201504</v>
      </c>
      <c r="B256" s="109" t="s">
        <v>257</v>
      </c>
      <c r="C256" s="108">
        <v>0</v>
      </c>
      <c r="D256" s="110"/>
      <c r="E256" t="str">
        <f>VLOOKUP(B256,CAC!$A$2:$B$198,2,FALSE)</f>
        <v>AGDMHC</v>
      </c>
    </row>
    <row r="257" spans="1:5" x14ac:dyDescent="0.25">
      <c r="A257" s="108">
        <v>201504</v>
      </c>
      <c r="B257" s="109" t="s">
        <v>258</v>
      </c>
      <c r="C257" s="108">
        <v>0</v>
      </c>
      <c r="D257" s="110"/>
      <c r="E257" t="str">
        <f>VLOOKUP(B257,CAC!$A$2:$B$198,2,FALSE)</f>
        <v>AGDMHC</v>
      </c>
    </row>
    <row r="258" spans="1:5" x14ac:dyDescent="0.25">
      <c r="A258" s="108">
        <v>201504</v>
      </c>
      <c r="B258" s="109" t="s">
        <v>262</v>
      </c>
      <c r="C258" s="108">
        <v>0</v>
      </c>
      <c r="D258" s="110"/>
      <c r="E258" t="str">
        <f>VLOOKUP(B258,CAC!$A$2:$B$198,2,FALSE)</f>
        <v>AGDMHC</v>
      </c>
    </row>
    <row r="259" spans="1:5" x14ac:dyDescent="0.25">
      <c r="A259" s="108">
        <v>201504</v>
      </c>
      <c r="B259" s="109" t="s">
        <v>269</v>
      </c>
      <c r="C259" s="108">
        <v>0</v>
      </c>
      <c r="D259" s="110"/>
      <c r="E259" t="str">
        <f>VLOOKUP(B259,CAC!$A$2:$B$198,2,FALSE)</f>
        <v>AGDMHC</v>
      </c>
    </row>
    <row r="260" spans="1:5" x14ac:dyDescent="0.25">
      <c r="A260" s="108">
        <v>201504</v>
      </c>
      <c r="B260" s="109" t="s">
        <v>319</v>
      </c>
      <c r="C260" s="108">
        <v>0</v>
      </c>
      <c r="D260" s="110"/>
      <c r="E260" t="e">
        <f>VLOOKUP(B260,CAC!$A$2:$B$198,2,FALSE)</f>
        <v>#N/A</v>
      </c>
    </row>
    <row r="261" spans="1:5" x14ac:dyDescent="0.25">
      <c r="A261" s="108">
        <v>201504</v>
      </c>
      <c r="B261" s="109" t="s">
        <v>265</v>
      </c>
      <c r="C261" s="108">
        <v>0</v>
      </c>
      <c r="D261" s="110"/>
      <c r="E261" t="str">
        <f>VLOOKUP(B261,CAC!$A$2:$B$198,2,FALSE)</f>
        <v>AGDMHC</v>
      </c>
    </row>
    <row r="262" spans="1:5" x14ac:dyDescent="0.25">
      <c r="A262" s="108">
        <v>201504</v>
      </c>
      <c r="B262" s="109" t="s">
        <v>266</v>
      </c>
      <c r="C262" s="108">
        <v>0</v>
      </c>
      <c r="D262" s="110"/>
      <c r="E262" t="str">
        <f>VLOOKUP(B262,CAC!$A$2:$B$198,2,FALSE)</f>
        <v>AGDMHC</v>
      </c>
    </row>
    <row r="263" spans="1:5" x14ac:dyDescent="0.25">
      <c r="A263" s="108">
        <v>201504</v>
      </c>
      <c r="B263" s="109" t="s">
        <v>268</v>
      </c>
      <c r="C263" s="108">
        <v>0</v>
      </c>
      <c r="D263" s="110"/>
      <c r="E263" t="str">
        <f>VLOOKUP(B263,CAC!$A$2:$B$198,2,FALSE)</f>
        <v>AGDMHC</v>
      </c>
    </row>
    <row r="264" spans="1:5" x14ac:dyDescent="0.25">
      <c r="A264" s="108">
        <v>201504</v>
      </c>
      <c r="B264" s="109" t="s">
        <v>52</v>
      </c>
      <c r="C264" s="108">
        <v>15364</v>
      </c>
      <c r="D264" s="110"/>
      <c r="E264" t="str">
        <f>VLOOKUP(B264,CAC!$A$2:$B$198,2,FALSE)</f>
        <v>HMOPMR</v>
      </c>
    </row>
    <row r="265" spans="1:5" x14ac:dyDescent="0.25">
      <c r="A265" s="108">
        <v>201504</v>
      </c>
      <c r="B265" s="109" t="s">
        <v>53</v>
      </c>
      <c r="C265" s="108">
        <v>11051</v>
      </c>
      <c r="D265" s="110"/>
      <c r="E265" t="str">
        <f>VLOOKUP(B265,CAC!$A$2:$B$198,2,FALSE)</f>
        <v>HMOPMR</v>
      </c>
    </row>
    <row r="266" spans="1:5" x14ac:dyDescent="0.25">
      <c r="A266" s="108">
        <v>201504</v>
      </c>
      <c r="B266" s="109" t="s">
        <v>54</v>
      </c>
      <c r="C266" s="108">
        <v>6588</v>
      </c>
      <c r="D266" s="110"/>
      <c r="E266" t="str">
        <f>VLOOKUP(B266,CAC!$A$2:$B$198,2,FALSE)</f>
        <v>HMOFEP</v>
      </c>
    </row>
    <row r="267" spans="1:5" x14ac:dyDescent="0.25">
      <c r="A267" s="108">
        <v>201504</v>
      </c>
      <c r="B267" s="109" t="s">
        <v>279</v>
      </c>
      <c r="C267" s="108">
        <v>0</v>
      </c>
      <c r="D267" s="110"/>
      <c r="E267" t="str">
        <f>VLOOKUP(B267,CAC!$A$2:$B$198,2,FALSE)</f>
        <v>PPOFEP</v>
      </c>
    </row>
    <row r="268" spans="1:5" x14ac:dyDescent="0.25">
      <c r="A268" s="108">
        <v>201504</v>
      </c>
      <c r="B268" s="109" t="s">
        <v>202</v>
      </c>
      <c r="C268" s="108">
        <v>0</v>
      </c>
      <c r="D268" s="110"/>
      <c r="E268" t="str">
        <f>VLOOKUP(B268,CAC!$A$2:$B$198,2,FALSE)</f>
        <v>PPOPMR</v>
      </c>
    </row>
    <row r="269" spans="1:5" x14ac:dyDescent="0.25">
      <c r="A269" s="108">
        <v>201504</v>
      </c>
      <c r="B269" s="109" t="s">
        <v>55</v>
      </c>
      <c r="C269" s="108">
        <v>15170</v>
      </c>
      <c r="D269" s="110"/>
      <c r="E269" t="str">
        <f>VLOOKUP(B269,CAC!$A$2:$B$198,2,FALSE)</f>
        <v>HMOPMR</v>
      </c>
    </row>
    <row r="270" spans="1:5" x14ac:dyDescent="0.25">
      <c r="A270" s="108">
        <v>201504</v>
      </c>
      <c r="B270" s="109" t="s">
        <v>56</v>
      </c>
      <c r="C270" s="108">
        <v>143</v>
      </c>
      <c r="D270" s="110"/>
      <c r="E270" t="str">
        <f>VLOOKUP(B270,CAC!$A$2:$B$198,2,FALSE)</f>
        <v>HMOPMR</v>
      </c>
    </row>
    <row r="271" spans="1:5" x14ac:dyDescent="0.25">
      <c r="A271" s="108">
        <v>201504</v>
      </c>
      <c r="B271" s="109" t="s">
        <v>57</v>
      </c>
      <c r="C271" s="108">
        <v>6195</v>
      </c>
      <c r="D271" s="110"/>
      <c r="E271" t="str">
        <f>VLOOKUP(B271,CAC!$A$2:$B$198,2,FALSE)</f>
        <v>HMFLEX</v>
      </c>
    </row>
    <row r="272" spans="1:5" x14ac:dyDescent="0.25">
      <c r="A272" s="108">
        <v>201504</v>
      </c>
      <c r="B272" s="109" t="s">
        <v>58</v>
      </c>
      <c r="C272" s="108">
        <v>411</v>
      </c>
      <c r="D272" s="110"/>
      <c r="E272" t="str">
        <f>VLOOKUP(B272,CAC!$A$2:$B$198,2,FALSE)</f>
        <v>HMFLEX</v>
      </c>
    </row>
    <row r="273" spans="1:5" x14ac:dyDescent="0.25">
      <c r="A273" s="108">
        <v>201504</v>
      </c>
      <c r="B273" s="109" t="s">
        <v>59</v>
      </c>
      <c r="C273" s="108">
        <v>9</v>
      </c>
      <c r="D273" s="110"/>
      <c r="E273" t="str">
        <f>VLOOKUP(B273,CAC!$A$2:$B$198,2,FALSE)</f>
        <v>HMFLEX</v>
      </c>
    </row>
    <row r="274" spans="1:5" x14ac:dyDescent="0.25">
      <c r="A274" s="108">
        <v>201504</v>
      </c>
      <c r="B274" s="109" t="s">
        <v>306</v>
      </c>
      <c r="C274" s="108">
        <v>0</v>
      </c>
      <c r="D274" s="110"/>
      <c r="E274" t="e">
        <f>VLOOKUP(B274,CAC!$A$2:$B$198,2,FALSE)</f>
        <v>#N/A</v>
      </c>
    </row>
    <row r="275" spans="1:5" x14ac:dyDescent="0.25">
      <c r="A275" s="108">
        <v>201504</v>
      </c>
      <c r="B275" s="109" t="s">
        <v>283</v>
      </c>
      <c r="C275" s="108">
        <v>0</v>
      </c>
      <c r="D275" s="110"/>
      <c r="E275" t="str">
        <f>VLOOKUP(B275,CAC!$A$2:$B$198,2,FALSE)</f>
        <v>HMFLEX</v>
      </c>
    </row>
    <row r="276" spans="1:5" x14ac:dyDescent="0.25">
      <c r="A276" s="108">
        <v>201504</v>
      </c>
      <c r="B276" s="109" t="s">
        <v>205</v>
      </c>
      <c r="C276" s="108">
        <v>0</v>
      </c>
      <c r="D276" s="110"/>
      <c r="E276" t="str">
        <f>VLOOKUP(B276,CAC!$A$2:$B$198,2,FALSE)</f>
        <v>PPOPMR</v>
      </c>
    </row>
    <row r="277" spans="1:5" x14ac:dyDescent="0.25">
      <c r="A277" s="108">
        <v>201504</v>
      </c>
      <c r="B277" s="109" t="s">
        <v>286</v>
      </c>
      <c r="C277" s="108">
        <v>0</v>
      </c>
      <c r="D277" s="110"/>
      <c r="E277" t="str">
        <f>VLOOKUP(B277,CAC!$A$2:$B$198,2,FALSE)</f>
        <v>HMFLEX</v>
      </c>
    </row>
    <row r="278" spans="1:5" x14ac:dyDescent="0.25">
      <c r="A278" s="108">
        <v>201504</v>
      </c>
      <c r="B278" s="109" t="s">
        <v>60</v>
      </c>
      <c r="C278" s="108">
        <v>11083</v>
      </c>
      <c r="D278" s="110"/>
      <c r="E278" t="str">
        <f>VLOOKUP(B278,CAC!$A$2:$B$198,2,FALSE)</f>
        <v>HMOLG</v>
      </c>
    </row>
    <row r="279" spans="1:5" x14ac:dyDescent="0.25">
      <c r="A279" s="108">
        <v>201504</v>
      </c>
      <c r="B279" s="109" t="s">
        <v>61</v>
      </c>
      <c r="C279" s="108">
        <v>694</v>
      </c>
      <c r="D279" s="110"/>
      <c r="E279" t="str">
        <f>VLOOKUP(B279,CAC!$A$2:$B$198,2,FALSE)</f>
        <v>HMOLG</v>
      </c>
    </row>
    <row r="280" spans="1:5" x14ac:dyDescent="0.25">
      <c r="A280" s="108">
        <v>201504</v>
      </c>
      <c r="B280" s="109" t="s">
        <v>62</v>
      </c>
      <c r="C280" s="108">
        <v>24820</v>
      </c>
      <c r="D280" s="110"/>
      <c r="E280" t="str">
        <f>VLOOKUP(B280,CAC!$A$2:$B$198,2,FALSE)</f>
        <v>HMOLG</v>
      </c>
    </row>
    <row r="281" spans="1:5" x14ac:dyDescent="0.25">
      <c r="A281" s="108">
        <v>201504</v>
      </c>
      <c r="B281" s="109" t="s">
        <v>63</v>
      </c>
      <c r="C281" s="108">
        <v>343</v>
      </c>
      <c r="D281" s="110"/>
      <c r="E281" t="str">
        <f>VLOOKUP(B281,CAC!$A$2:$B$198,2,FALSE)</f>
        <v>HMOLG</v>
      </c>
    </row>
    <row r="282" spans="1:5" x14ac:dyDescent="0.25">
      <c r="A282" s="108">
        <v>201504</v>
      </c>
      <c r="B282" s="109" t="s">
        <v>64</v>
      </c>
      <c r="C282" s="108">
        <v>1</v>
      </c>
      <c r="D282" s="110"/>
      <c r="E282" t="str">
        <f>VLOOKUP(B282,CAC!$A$2:$B$198,2,FALSE)</f>
        <v>HMOLG</v>
      </c>
    </row>
    <row r="283" spans="1:5" x14ac:dyDescent="0.25">
      <c r="A283" s="108">
        <v>201504</v>
      </c>
      <c r="B283" s="109" t="s">
        <v>65</v>
      </c>
      <c r="C283" s="108">
        <v>209</v>
      </c>
      <c r="D283" s="110"/>
      <c r="E283" t="str">
        <f>VLOOKUP(B283,CAC!$A$2:$B$198,2,FALSE)</f>
        <v>HMFLEX</v>
      </c>
    </row>
    <row r="284" spans="1:5" x14ac:dyDescent="0.25">
      <c r="A284" s="108">
        <v>201504</v>
      </c>
      <c r="B284" s="109" t="s">
        <v>307</v>
      </c>
      <c r="C284" s="108">
        <v>0</v>
      </c>
      <c r="D284" s="110"/>
      <c r="E284" t="e">
        <f>VLOOKUP(B284,CAC!$A$2:$B$198,2,FALSE)</f>
        <v>#N/A</v>
      </c>
    </row>
    <row r="285" spans="1:5" x14ac:dyDescent="0.25">
      <c r="A285" s="108">
        <v>201504</v>
      </c>
      <c r="B285" s="109" t="s">
        <v>308</v>
      </c>
      <c r="C285" s="108">
        <v>0</v>
      </c>
      <c r="D285" s="110"/>
      <c r="E285" t="e">
        <f>VLOOKUP(B285,CAC!$A$2:$B$198,2,FALSE)</f>
        <v>#N/A</v>
      </c>
    </row>
    <row r="286" spans="1:5" x14ac:dyDescent="0.25">
      <c r="A286" s="108">
        <v>201504</v>
      </c>
      <c r="B286" s="109" t="s">
        <v>309</v>
      </c>
      <c r="C286" s="108">
        <v>0</v>
      </c>
      <c r="D286" s="110"/>
      <c r="E286" t="e">
        <f>VLOOKUP(B286,CAC!$A$2:$B$198,2,FALSE)</f>
        <v>#N/A</v>
      </c>
    </row>
    <row r="287" spans="1:5" x14ac:dyDescent="0.25">
      <c r="A287" s="108">
        <v>201504</v>
      </c>
      <c r="B287" s="109" t="s">
        <v>310</v>
      </c>
      <c r="C287" s="108">
        <v>0</v>
      </c>
      <c r="D287" s="110"/>
      <c r="E287" t="e">
        <f>VLOOKUP(B287,CAC!$A$2:$B$198,2,FALSE)</f>
        <v>#N/A</v>
      </c>
    </row>
    <row r="288" spans="1:5" x14ac:dyDescent="0.25">
      <c r="A288" s="108">
        <v>201504</v>
      </c>
      <c r="B288" s="109" t="s">
        <v>99</v>
      </c>
      <c r="C288" s="108">
        <v>0</v>
      </c>
      <c r="D288" s="110"/>
      <c r="E288" t="str">
        <f>VLOOKUP(B288,CAC!$A$2:$B$198,2,FALSE)</f>
        <v>PPOLG</v>
      </c>
    </row>
    <row r="289" spans="1:5" x14ac:dyDescent="0.25">
      <c r="A289" s="108">
        <v>201504</v>
      </c>
      <c r="B289" s="109" t="s">
        <v>193</v>
      </c>
      <c r="C289" s="108">
        <v>0</v>
      </c>
      <c r="D289" s="110"/>
      <c r="E289" t="str">
        <f>VLOOKUP(B289,CAC!$A$2:$B$198,2,FALSE)</f>
        <v>PPOLG</v>
      </c>
    </row>
    <row r="290" spans="1:5" x14ac:dyDescent="0.25">
      <c r="A290" s="108">
        <v>201504</v>
      </c>
      <c r="B290" s="109" t="s">
        <v>196</v>
      </c>
      <c r="C290" s="108">
        <v>0</v>
      </c>
      <c r="D290" s="110"/>
      <c r="E290" t="str">
        <f>VLOOKUP(B290,CAC!$A$2:$B$198,2,FALSE)</f>
        <v>PPOLG</v>
      </c>
    </row>
    <row r="291" spans="1:5" x14ac:dyDescent="0.25">
      <c r="A291" s="108">
        <v>201504</v>
      </c>
      <c r="B291" s="109" t="s">
        <v>212</v>
      </c>
      <c r="C291" s="108">
        <v>0</v>
      </c>
      <c r="D291" s="110"/>
      <c r="E291" t="str">
        <f>VLOOKUP(B291,CAC!$A$2:$B$198,2,FALSE)</f>
        <v>PPOMM</v>
      </c>
    </row>
    <row r="292" spans="1:5" x14ac:dyDescent="0.25">
      <c r="A292" s="108">
        <v>201504</v>
      </c>
      <c r="B292" s="109" t="s">
        <v>213</v>
      </c>
      <c r="C292" s="108">
        <v>0</v>
      </c>
      <c r="D292" s="110"/>
      <c r="E292" t="str">
        <f>VLOOKUP(B292,CAC!$A$2:$B$198,2,FALSE)</f>
        <v>PPOMM</v>
      </c>
    </row>
    <row r="293" spans="1:5" x14ac:dyDescent="0.25">
      <c r="A293" s="108">
        <v>201504</v>
      </c>
      <c r="B293" s="109" t="s">
        <v>311</v>
      </c>
      <c r="C293" s="108">
        <v>0</v>
      </c>
      <c r="D293" s="110"/>
      <c r="E293" t="e">
        <f>VLOOKUP(B293,CAC!$A$2:$B$198,2,FALSE)</f>
        <v>#N/A</v>
      </c>
    </row>
    <row r="294" spans="1:5" x14ac:dyDescent="0.25">
      <c r="A294" s="108">
        <v>201504</v>
      </c>
      <c r="B294" s="109" t="s">
        <v>320</v>
      </c>
      <c r="C294" s="108">
        <v>0</v>
      </c>
      <c r="D294" s="110"/>
      <c r="E294" t="e">
        <f>VLOOKUP(B294,CAC!$A$2:$B$198,2,FALSE)</f>
        <v>#N/A</v>
      </c>
    </row>
    <row r="295" spans="1:5" x14ac:dyDescent="0.25">
      <c r="A295" s="108">
        <v>201504</v>
      </c>
      <c r="B295" s="109" t="s">
        <v>321</v>
      </c>
      <c r="C295" s="108">
        <v>0</v>
      </c>
      <c r="D295" s="110"/>
      <c r="E295" t="e">
        <f>VLOOKUP(B295,CAC!$A$2:$B$198,2,FALSE)</f>
        <v>#N/A</v>
      </c>
    </row>
    <row r="296" spans="1:5" x14ac:dyDescent="0.25">
      <c r="A296" s="108">
        <v>201504</v>
      </c>
      <c r="B296" s="109" t="s">
        <v>312</v>
      </c>
      <c r="C296" s="108">
        <v>0</v>
      </c>
      <c r="D296" s="110"/>
      <c r="E296" t="e">
        <f>VLOOKUP(B296,CAC!$A$2:$B$198,2,FALSE)</f>
        <v>#N/A</v>
      </c>
    </row>
    <row r="297" spans="1:5" x14ac:dyDescent="0.25">
      <c r="A297" s="108">
        <v>201504</v>
      </c>
      <c r="B297" s="109" t="s">
        <v>313</v>
      </c>
      <c r="C297" s="108">
        <v>0</v>
      </c>
      <c r="D297" s="110"/>
      <c r="E297" t="e">
        <f>VLOOKUP(B297,CAC!$A$2:$B$198,2,FALSE)</f>
        <v>#N/A</v>
      </c>
    </row>
    <row r="298" spans="1:5" x14ac:dyDescent="0.25">
      <c r="A298" s="108">
        <v>201504</v>
      </c>
      <c r="B298" s="109" t="s">
        <v>215</v>
      </c>
      <c r="C298" s="108">
        <v>0</v>
      </c>
      <c r="D298" s="110"/>
      <c r="E298" t="str">
        <f>VLOOKUP(B298,CAC!$A$2:$B$198,2,FALSE)</f>
        <v>PPOMM</v>
      </c>
    </row>
    <row r="299" spans="1:5" x14ac:dyDescent="0.25">
      <c r="A299" s="108">
        <v>201504</v>
      </c>
      <c r="B299" s="109" t="s">
        <v>66</v>
      </c>
      <c r="C299" s="108">
        <v>3677</v>
      </c>
      <c r="D299" s="110"/>
      <c r="E299" t="str">
        <f>VLOOKUP(B299,CAC!$A$2:$B$198,2,FALSE)</f>
        <v>HMOLG</v>
      </c>
    </row>
    <row r="300" spans="1:5" x14ac:dyDescent="0.25">
      <c r="A300" s="108">
        <v>201504</v>
      </c>
      <c r="B300" s="109" t="s">
        <v>82</v>
      </c>
      <c r="C300" s="108">
        <v>0</v>
      </c>
      <c r="D300" s="110"/>
      <c r="E300" t="str">
        <f>VLOOKUP(B300,CAC!$A$2:$B$198,2,FALSE)</f>
        <v>NATPAR</v>
      </c>
    </row>
    <row r="301" spans="1:5" x14ac:dyDescent="0.25">
      <c r="A301" s="108">
        <v>201504</v>
      </c>
      <c r="B301" s="109" t="s">
        <v>67</v>
      </c>
      <c r="C301" s="108">
        <v>145</v>
      </c>
      <c r="D301" s="110"/>
      <c r="E301" t="str">
        <f>VLOOKUP(B301,CAC!$A$2:$B$198,2,FALSE)</f>
        <v>HMOLG</v>
      </c>
    </row>
    <row r="302" spans="1:5" x14ac:dyDescent="0.25">
      <c r="A302" s="108">
        <v>201504</v>
      </c>
      <c r="B302" s="109" t="s">
        <v>68</v>
      </c>
      <c r="C302" s="108">
        <v>276</v>
      </c>
      <c r="D302" s="110"/>
      <c r="E302" t="str">
        <f>VLOOKUP(B302,CAC!$A$2:$B$198,2,FALSE)</f>
        <v>HMOPMR</v>
      </c>
    </row>
    <row r="303" spans="1:5" x14ac:dyDescent="0.25">
      <c r="A303" s="108">
        <v>201504</v>
      </c>
      <c r="B303" s="109" t="s">
        <v>69</v>
      </c>
      <c r="C303" s="108">
        <v>9944</v>
      </c>
      <c r="D303" s="110"/>
      <c r="E303" t="str">
        <f>VLOOKUP(B303,CAC!$A$2:$B$198,2,FALSE)</f>
        <v>HMOPMR</v>
      </c>
    </row>
    <row r="304" spans="1:5" x14ac:dyDescent="0.25">
      <c r="A304" s="108">
        <v>201504</v>
      </c>
      <c r="B304" s="109" t="s">
        <v>70</v>
      </c>
      <c r="C304" s="108">
        <v>4087</v>
      </c>
      <c r="D304" s="110"/>
      <c r="E304" t="str">
        <f>VLOOKUP(B304,CAC!$A$2:$B$198,2,FALSE)</f>
        <v>HMOPMR</v>
      </c>
    </row>
    <row r="305" spans="1:5" x14ac:dyDescent="0.25">
      <c r="A305" s="108">
        <v>201504</v>
      </c>
      <c r="B305" s="109" t="s">
        <v>71</v>
      </c>
      <c r="C305" s="108">
        <v>8781</v>
      </c>
      <c r="D305" s="110"/>
      <c r="E305" t="str">
        <f>VLOOKUP(B305,CAC!$A$2:$B$198,2,FALSE)</f>
        <v>HMOPMR</v>
      </c>
    </row>
    <row r="306" spans="1:5" x14ac:dyDescent="0.25">
      <c r="A306" s="108">
        <v>201504</v>
      </c>
      <c r="B306" s="109" t="s">
        <v>72</v>
      </c>
      <c r="C306" s="108">
        <v>2206</v>
      </c>
      <c r="D306" s="110"/>
      <c r="E306" t="str">
        <f>VLOOKUP(B306,CAC!$A$2:$B$198,2,FALSE)</f>
        <v>HMFLEX</v>
      </c>
    </row>
    <row r="307" spans="1:5" x14ac:dyDescent="0.25">
      <c r="A307" s="108">
        <v>201504</v>
      </c>
      <c r="B307" s="109" t="s">
        <v>314</v>
      </c>
      <c r="C307" s="108">
        <v>0</v>
      </c>
      <c r="D307" s="110"/>
      <c r="E307" t="e">
        <f>VLOOKUP(B307,CAC!$A$2:$B$198,2,FALSE)</f>
        <v>#N/A</v>
      </c>
    </row>
    <row r="308" spans="1:5" x14ac:dyDescent="0.25">
      <c r="A308" s="108">
        <v>201504</v>
      </c>
      <c r="B308" s="109" t="s">
        <v>322</v>
      </c>
      <c r="C308" s="108">
        <v>0</v>
      </c>
      <c r="D308" s="110"/>
      <c r="E308" t="e">
        <f>VLOOKUP(B308,CAC!$A$2:$B$198,2,FALSE)</f>
        <v>#N/A</v>
      </c>
    </row>
    <row r="309" spans="1:5" x14ac:dyDescent="0.25">
      <c r="A309" s="108">
        <v>201504</v>
      </c>
      <c r="B309" s="109" t="s">
        <v>315</v>
      </c>
      <c r="C309" s="108">
        <v>0</v>
      </c>
      <c r="D309" s="110"/>
      <c r="E309" t="e">
        <f>VLOOKUP(B309,CAC!$A$2:$B$198,2,FALSE)</f>
        <v>#N/A</v>
      </c>
    </row>
    <row r="310" spans="1:5" x14ac:dyDescent="0.25">
      <c r="A310" s="108">
        <v>201504</v>
      </c>
      <c r="B310" s="109" t="s">
        <v>112</v>
      </c>
      <c r="C310" s="108">
        <v>0</v>
      </c>
      <c r="D310" s="110"/>
      <c r="E310" t="e">
        <f>VLOOKUP(B310,CAC!$A$2:$B$198,2,FALSE)</f>
        <v>#N/A</v>
      </c>
    </row>
    <row r="311" spans="1:5" x14ac:dyDescent="0.25">
      <c r="A311" s="108">
        <v>201504</v>
      </c>
      <c r="B311" s="109" t="s">
        <v>316</v>
      </c>
      <c r="C311" s="108">
        <v>0</v>
      </c>
      <c r="D311" s="110"/>
      <c r="E311" t="e">
        <f>VLOOKUP(B311,CAC!$A$2:$B$198,2,FALSE)</f>
        <v>#N/A</v>
      </c>
    </row>
    <row r="312" spans="1:5" x14ac:dyDescent="0.25">
      <c r="A312" s="108">
        <v>201504</v>
      </c>
      <c r="B312" s="109" t="s">
        <v>317</v>
      </c>
      <c r="C312" s="108">
        <v>0</v>
      </c>
      <c r="D312" s="110"/>
      <c r="E312" t="e">
        <f>VLOOKUP(B312,CAC!$A$2:$B$198,2,FALSE)</f>
        <v>#N/A</v>
      </c>
    </row>
    <row r="313" spans="1:5" x14ac:dyDescent="0.25">
      <c r="A313" s="108">
        <v>201504</v>
      </c>
      <c r="B313" s="109" t="s">
        <v>113</v>
      </c>
      <c r="C313" s="108">
        <v>0</v>
      </c>
      <c r="D313" s="110"/>
      <c r="E313" t="str">
        <f>VLOOKUP(B313,CAC!$A$2:$B$198,2,FALSE)</f>
        <v>PPOLG</v>
      </c>
    </row>
    <row r="314" spans="1:5" x14ac:dyDescent="0.25">
      <c r="A314" s="108">
        <v>201504</v>
      </c>
      <c r="B314" s="109" t="s">
        <v>294</v>
      </c>
      <c r="C314" s="108">
        <v>0</v>
      </c>
      <c r="D314" s="110"/>
      <c r="E314" t="str">
        <f>VLOOKUP(B314,CAC!$A$2:$B$198,2,FALSE)</f>
        <v>NATPAR</v>
      </c>
    </row>
    <row r="315" spans="1:5" x14ac:dyDescent="0.25">
      <c r="A315" s="108">
        <v>201504</v>
      </c>
      <c r="B315" s="109" t="s">
        <v>208</v>
      </c>
      <c r="C315" s="108">
        <v>0</v>
      </c>
      <c r="D315" s="110"/>
      <c r="E315" t="str">
        <f>VLOOKUP(B315,CAC!$A$2:$B$198,2,FALSE)</f>
        <v>PPOPMR</v>
      </c>
    </row>
    <row r="316" spans="1:5" x14ac:dyDescent="0.25">
      <c r="A316" s="108">
        <v>201504</v>
      </c>
      <c r="B316" s="109" t="s">
        <v>209</v>
      </c>
      <c r="C316" s="108">
        <v>0</v>
      </c>
      <c r="D316" s="110"/>
      <c r="E316" t="str">
        <f>VLOOKUP(B316,CAC!$A$2:$B$198,2,FALSE)</f>
        <v>PPOPMR</v>
      </c>
    </row>
    <row r="317" spans="1:5" x14ac:dyDescent="0.25">
      <c r="A317" s="108">
        <v>201504</v>
      </c>
      <c r="B317" s="109" t="s">
        <v>204</v>
      </c>
      <c r="C317" s="108">
        <v>0</v>
      </c>
      <c r="D317" s="110"/>
      <c r="E317" t="str">
        <f>VLOOKUP(B317,CAC!$A$2:$B$198,2,FALSE)</f>
        <v>PPOPMR</v>
      </c>
    </row>
    <row r="318" spans="1:5" x14ac:dyDescent="0.25">
      <c r="A318" s="108">
        <v>201504</v>
      </c>
      <c r="B318" s="109" t="s">
        <v>73</v>
      </c>
      <c r="C318" s="108">
        <v>34014</v>
      </c>
      <c r="D318" s="108">
        <v>6359</v>
      </c>
      <c r="E318" t="str">
        <f>VLOOKUP(B318,CAC!$A$2:$B$198,2,FALSE)</f>
        <v>HMOPERA</v>
      </c>
    </row>
    <row r="319" spans="1:5" x14ac:dyDescent="0.25">
      <c r="A319" s="108">
        <v>201504</v>
      </c>
      <c r="B319" s="109" t="s">
        <v>74</v>
      </c>
      <c r="C319" s="108">
        <v>3781</v>
      </c>
      <c r="D319" s="108">
        <v>2374</v>
      </c>
      <c r="E319" t="str">
        <f>VLOOKUP(B319,CAC!$A$2:$B$198,2,FALSE)</f>
        <v>PERMEDA</v>
      </c>
    </row>
    <row r="320" spans="1:5" x14ac:dyDescent="0.25">
      <c r="A320" s="108">
        <v>201504</v>
      </c>
      <c r="B320" s="109" t="s">
        <v>75</v>
      </c>
      <c r="C320" s="108">
        <v>40258</v>
      </c>
      <c r="D320" s="108">
        <v>20444</v>
      </c>
      <c r="E320" t="str">
        <f>VLOOKUP(B320,CAC!$A$2:$B$198,2,FALSE)</f>
        <v>HMOPERN</v>
      </c>
    </row>
    <row r="321" spans="1:5" x14ac:dyDescent="0.25">
      <c r="A321" s="108">
        <v>201504</v>
      </c>
      <c r="B321" s="109" t="s">
        <v>76</v>
      </c>
      <c r="C321" s="108">
        <v>507</v>
      </c>
      <c r="D321" s="108">
        <v>1698</v>
      </c>
      <c r="E321" t="str">
        <f>VLOOKUP(B321,CAC!$A$2:$B$198,2,FALSE)</f>
        <v>PERMEDN</v>
      </c>
    </row>
    <row r="322" spans="1:5" x14ac:dyDescent="0.25">
      <c r="A322" s="108">
        <v>201504</v>
      </c>
      <c r="B322" s="109" t="s">
        <v>218</v>
      </c>
      <c r="C322" s="108">
        <v>0</v>
      </c>
      <c r="D322" s="110"/>
      <c r="E322" t="str">
        <f>VLOOKUP(B322,CAC!$A$2:$B$198,2,FALSE)</f>
        <v>HMOPERA</v>
      </c>
    </row>
    <row r="323" spans="1:5" x14ac:dyDescent="0.25">
      <c r="A323" s="108">
        <v>201504</v>
      </c>
      <c r="B323" s="109" t="s">
        <v>181</v>
      </c>
      <c r="C323" s="108">
        <v>0</v>
      </c>
      <c r="D323" s="110"/>
      <c r="E323" t="str">
        <f>VLOOKUP(B323,CAC!$A$2:$B$198,2,FALSE)</f>
        <v>PERMEDA</v>
      </c>
    </row>
    <row r="324" spans="1:5" x14ac:dyDescent="0.25">
      <c r="A324" s="108">
        <v>201504</v>
      </c>
      <c r="B324" s="109" t="s">
        <v>156</v>
      </c>
      <c r="C324" s="108">
        <v>20745</v>
      </c>
      <c r="D324" s="110"/>
      <c r="E324" t="str">
        <f>VLOOKUP(B324,CAC!$A$2:$B$198,2,FALSE)</f>
        <v>HMOMM</v>
      </c>
    </row>
    <row r="325" spans="1:5" x14ac:dyDescent="0.25">
      <c r="A325" s="108">
        <v>201504</v>
      </c>
      <c r="B325" s="109" t="s">
        <v>162</v>
      </c>
      <c r="C325" s="108">
        <v>388</v>
      </c>
      <c r="D325" s="110"/>
      <c r="E325" t="str">
        <f>VLOOKUP(B325,CAC!$A$2:$B$198,2,FALSE)</f>
        <v>HMOMG</v>
      </c>
    </row>
    <row r="326" spans="1:5" x14ac:dyDescent="0.25">
      <c r="A326" s="108">
        <v>201504</v>
      </c>
      <c r="B326" s="109" t="s">
        <v>163</v>
      </c>
      <c r="C326" s="108">
        <v>165</v>
      </c>
      <c r="D326" s="110"/>
      <c r="E326" t="str">
        <f>VLOOKUP(B326,CAC!$A$2:$B$198,2,FALSE)</f>
        <v>HMOMG</v>
      </c>
    </row>
    <row r="327" spans="1:5" x14ac:dyDescent="0.25">
      <c r="A327" s="108">
        <v>201504</v>
      </c>
      <c r="B327" s="109" t="s">
        <v>164</v>
      </c>
      <c r="C327" s="108">
        <v>0</v>
      </c>
      <c r="D327" s="110"/>
      <c r="E327" t="str">
        <f>VLOOKUP(B327,CAC!$A$2:$B$198,2,FALSE)</f>
        <v>HMOMG</v>
      </c>
    </row>
    <row r="328" spans="1:5" x14ac:dyDescent="0.25">
      <c r="A328" s="108">
        <v>201504</v>
      </c>
      <c r="B328" s="109" t="s">
        <v>161</v>
      </c>
      <c r="C328" s="108">
        <v>4161</v>
      </c>
      <c r="D328" s="110"/>
      <c r="E328" t="str">
        <f>VLOOKUP(B328,CAC!$A$2:$B$198,2,FALSE)</f>
        <v>PERMAPD</v>
      </c>
    </row>
    <row r="329" spans="1:5" x14ac:dyDescent="0.25">
      <c r="A329" s="108">
        <v>201504</v>
      </c>
      <c r="B329" s="109" t="s">
        <v>77</v>
      </c>
      <c r="C329" s="108">
        <v>17544</v>
      </c>
      <c r="D329" s="110"/>
      <c r="E329" t="str">
        <f>VLOOKUP(B329,CAC!$A$2:$B$198,2,FALSE)</f>
        <v>HMOSG</v>
      </c>
    </row>
    <row r="330" spans="1:5" x14ac:dyDescent="0.25">
      <c r="A330" s="108">
        <v>201504</v>
      </c>
      <c r="B330" s="109" t="s">
        <v>78</v>
      </c>
      <c r="C330" s="108">
        <v>309</v>
      </c>
      <c r="D330" s="110"/>
      <c r="E330" t="str">
        <f>VLOOKUP(B330,CAC!$A$2:$B$198,2,FALSE)</f>
        <v>HMOSG</v>
      </c>
    </row>
    <row r="331" spans="1:5" x14ac:dyDescent="0.25">
      <c r="A331" s="108">
        <v>201504</v>
      </c>
      <c r="B331" s="109" t="s">
        <v>79</v>
      </c>
      <c r="C331" s="108">
        <v>59</v>
      </c>
      <c r="D331" s="110"/>
      <c r="E331" t="str">
        <f>VLOOKUP(B331,CAC!$A$2:$B$198,2,FALSE)</f>
        <v>HMOSG</v>
      </c>
    </row>
    <row r="332" spans="1:5" x14ac:dyDescent="0.25">
      <c r="A332" s="108">
        <v>201504</v>
      </c>
      <c r="B332" s="109" t="s">
        <v>222</v>
      </c>
      <c r="C332" s="108">
        <v>0</v>
      </c>
      <c r="D332" s="110"/>
      <c r="E332" t="str">
        <f>VLOOKUP(B332,CAC!$A$2:$B$198,2,FALSE)</f>
        <v>PPOSG</v>
      </c>
    </row>
    <row r="333" spans="1:5" x14ac:dyDescent="0.25">
      <c r="A333" s="108">
        <v>201504</v>
      </c>
      <c r="B333" s="109" t="s">
        <v>225</v>
      </c>
      <c r="C333" s="108">
        <v>0</v>
      </c>
      <c r="D333" s="110"/>
      <c r="E333" t="str">
        <f>VLOOKUP(B333,CAC!$A$2:$B$198,2,FALSE)</f>
        <v>PPOSG</v>
      </c>
    </row>
    <row r="334" spans="1:5" x14ac:dyDescent="0.25">
      <c r="A334" s="108">
        <v>201504</v>
      </c>
      <c r="B334" s="109" t="s">
        <v>226</v>
      </c>
      <c r="C334" s="108">
        <v>0</v>
      </c>
      <c r="D334" s="110"/>
      <c r="E334" t="str">
        <f>VLOOKUP(B334,CAC!$A$2:$B$198,2,FALSE)</f>
        <v>PPOSG</v>
      </c>
    </row>
    <row r="335" spans="1:5" x14ac:dyDescent="0.25">
      <c r="A335" s="108">
        <v>201504</v>
      </c>
      <c r="B335" s="109" t="s">
        <v>80</v>
      </c>
      <c r="C335" s="108">
        <v>14</v>
      </c>
      <c r="D335" s="110"/>
      <c r="E335" t="str">
        <f>VLOOKUP(B335,CAC!$A$2:$B$198,2,FALSE)</f>
        <v>HMOIFP</v>
      </c>
    </row>
    <row r="336" spans="1:5" x14ac:dyDescent="0.25">
      <c r="A336" s="108">
        <v>201504</v>
      </c>
      <c r="B336" s="109" t="s">
        <v>186</v>
      </c>
      <c r="C336" s="108">
        <v>0</v>
      </c>
      <c r="D336" s="110"/>
      <c r="E336" t="str">
        <f>VLOOKUP(B336,CAC!$A$2:$B$198,2,FALSE)</f>
        <v>PPOIFP</v>
      </c>
    </row>
    <row r="337" spans="1:5" x14ac:dyDescent="0.25">
      <c r="A337" s="108">
        <v>201504</v>
      </c>
      <c r="B337" s="109" t="s">
        <v>187</v>
      </c>
      <c r="C337" s="108">
        <v>0</v>
      </c>
      <c r="D337" s="110"/>
      <c r="E337" t="str">
        <f>VLOOKUP(B337,CAC!$A$2:$B$198,2,FALSE)</f>
        <v>PPOIFP</v>
      </c>
    </row>
    <row r="338" spans="1:5" x14ac:dyDescent="0.25">
      <c r="A338" s="108">
        <v>201504</v>
      </c>
      <c r="B338" s="109" t="s">
        <v>188</v>
      </c>
      <c r="C338" s="108">
        <v>0</v>
      </c>
      <c r="D338" s="110"/>
      <c r="E338" t="str">
        <f>VLOOKUP(B338,CAC!$A$2:$B$198,2,FALSE)</f>
        <v>PPOIFP</v>
      </c>
    </row>
    <row r="339" spans="1:5" x14ac:dyDescent="0.25">
      <c r="A339" s="108">
        <v>201504</v>
      </c>
      <c r="B339" s="109" t="s">
        <v>189</v>
      </c>
      <c r="C339" s="108">
        <v>0</v>
      </c>
      <c r="D339" s="110"/>
      <c r="E339" t="str">
        <f>VLOOKUP(B339,CAC!$A$2:$B$198,2,FALSE)</f>
        <v>PPOIFP</v>
      </c>
    </row>
    <row r="340" spans="1:5" x14ac:dyDescent="0.25">
      <c r="A340" s="108">
        <v>201504</v>
      </c>
      <c r="B340" s="109" t="s">
        <v>216</v>
      </c>
      <c r="C340" s="108">
        <v>0</v>
      </c>
      <c r="D340" s="110"/>
      <c r="E340" t="str">
        <f>VLOOKUP(B340,CAC!$A$2:$B$198,2,FALSE)</f>
        <v>PPOMM</v>
      </c>
    </row>
    <row r="341" spans="1:5" x14ac:dyDescent="0.25">
      <c r="A341" s="108">
        <v>201504</v>
      </c>
      <c r="B341" s="109" t="s">
        <v>301</v>
      </c>
      <c r="C341" s="108">
        <v>0</v>
      </c>
      <c r="D341" s="110"/>
      <c r="E341" t="str">
        <f>VLOOKUP(B341,CAC!$A$2:$B$198,2,FALSE)</f>
        <v>XXX</v>
      </c>
    </row>
    <row r="342" spans="1:5" x14ac:dyDescent="0.25">
      <c r="A342" s="108">
        <v>201505</v>
      </c>
      <c r="B342" s="109" t="s">
        <v>51</v>
      </c>
      <c r="C342" s="108">
        <v>4</v>
      </c>
      <c r="D342" s="110"/>
      <c r="E342" t="str">
        <f>VLOOKUP(B342,CAC!$A$2:$B$198,2,FALSE)</f>
        <v>XXX</v>
      </c>
    </row>
    <row r="343" spans="1:5" x14ac:dyDescent="0.25">
      <c r="A343" s="108">
        <v>201505</v>
      </c>
      <c r="B343" s="109" t="s">
        <v>303</v>
      </c>
      <c r="C343" s="108">
        <v>0</v>
      </c>
      <c r="D343" s="110"/>
      <c r="E343" t="e">
        <f>VLOOKUP(B343,CAC!$A$2:$B$198,2,FALSE)</f>
        <v>#N/A</v>
      </c>
    </row>
    <row r="344" spans="1:5" x14ac:dyDescent="0.25">
      <c r="A344" s="108">
        <v>201505</v>
      </c>
      <c r="B344" s="109" t="s">
        <v>304</v>
      </c>
      <c r="C344" s="108">
        <v>0</v>
      </c>
      <c r="D344" s="110"/>
      <c r="E344" t="e">
        <f>VLOOKUP(B344,CAC!$A$2:$B$198,2,FALSE)</f>
        <v>#N/A</v>
      </c>
    </row>
    <row r="345" spans="1:5" x14ac:dyDescent="0.25">
      <c r="A345" s="108">
        <v>201505</v>
      </c>
      <c r="B345" s="109" t="s">
        <v>323</v>
      </c>
      <c r="C345" s="108">
        <v>0</v>
      </c>
      <c r="D345" s="110"/>
      <c r="E345" t="e">
        <f>VLOOKUP(B345,CAC!$A$2:$B$198,2,FALSE)</f>
        <v>#N/A</v>
      </c>
    </row>
    <row r="346" spans="1:5" x14ac:dyDescent="0.25">
      <c r="A346" s="108">
        <v>201505</v>
      </c>
      <c r="B346" s="109" t="s">
        <v>305</v>
      </c>
      <c r="C346" s="108">
        <v>0</v>
      </c>
      <c r="D346" s="110"/>
      <c r="E346" t="e">
        <f>VLOOKUP(B346,CAC!$A$2:$B$198,2,FALSE)</f>
        <v>#N/A</v>
      </c>
    </row>
    <row r="347" spans="1:5" x14ac:dyDescent="0.25">
      <c r="A347" s="108">
        <v>201505</v>
      </c>
      <c r="B347" s="109" t="s">
        <v>231</v>
      </c>
      <c r="C347" s="108">
        <v>0</v>
      </c>
      <c r="D347" s="110"/>
      <c r="E347" t="str">
        <f>VLOOKUP(B347,CAC!$A$2:$B$198,2,FALSE)</f>
        <v>DOILG</v>
      </c>
    </row>
    <row r="348" spans="1:5" x14ac:dyDescent="0.25">
      <c r="A348" s="108">
        <v>201505</v>
      </c>
      <c r="B348" s="109" t="s">
        <v>233</v>
      </c>
      <c r="C348" s="108">
        <v>0</v>
      </c>
      <c r="D348" s="110"/>
      <c r="E348" t="str">
        <f>VLOOKUP(B348,CAC!$A$2:$B$198,2,FALSE)</f>
        <v>DOILG</v>
      </c>
    </row>
    <row r="349" spans="1:5" x14ac:dyDescent="0.25">
      <c r="A349" s="108">
        <v>201505</v>
      </c>
      <c r="B349" s="109" t="s">
        <v>234</v>
      </c>
      <c r="C349" s="108">
        <v>0</v>
      </c>
      <c r="D349" s="110"/>
      <c r="E349" t="str">
        <f>VLOOKUP(B349,CAC!$A$2:$B$198,2,FALSE)</f>
        <v>DOILG</v>
      </c>
    </row>
    <row r="350" spans="1:5" x14ac:dyDescent="0.25">
      <c r="A350" s="108">
        <v>201505</v>
      </c>
      <c r="B350" s="109" t="s">
        <v>235</v>
      </c>
      <c r="C350" s="108">
        <v>0</v>
      </c>
      <c r="D350" s="110"/>
      <c r="E350" t="str">
        <f>VLOOKUP(B350,CAC!$A$2:$B$198,2,FALSE)</f>
        <v>DOILG</v>
      </c>
    </row>
    <row r="351" spans="1:5" x14ac:dyDescent="0.25">
      <c r="A351" s="108">
        <v>201505</v>
      </c>
      <c r="B351" s="109" t="s">
        <v>237</v>
      </c>
      <c r="C351" s="108">
        <v>0</v>
      </c>
      <c r="D351" s="110"/>
      <c r="E351" t="str">
        <f>VLOOKUP(B351,CAC!$A$2:$B$198,2,FALSE)</f>
        <v>DOILG</v>
      </c>
    </row>
    <row r="352" spans="1:5" x14ac:dyDescent="0.25">
      <c r="A352" s="108">
        <v>201505</v>
      </c>
      <c r="B352" s="109" t="s">
        <v>239</v>
      </c>
      <c r="C352" s="108">
        <v>0</v>
      </c>
      <c r="D352" s="110"/>
      <c r="E352" t="str">
        <f>VLOOKUP(B352,CAC!$A$2:$B$198,2,FALSE)</f>
        <v>DOISG</v>
      </c>
    </row>
    <row r="353" spans="1:5" x14ac:dyDescent="0.25">
      <c r="A353" s="108">
        <v>201505</v>
      </c>
      <c r="B353" s="109" t="s">
        <v>247</v>
      </c>
      <c r="C353" s="108">
        <v>0</v>
      </c>
      <c r="D353" s="110"/>
      <c r="E353" t="str">
        <f>VLOOKUP(B353,CAC!$A$2:$B$198,2,FALSE)</f>
        <v>DOIIFP</v>
      </c>
    </row>
    <row r="354" spans="1:5" x14ac:dyDescent="0.25">
      <c r="A354" s="108">
        <v>201505</v>
      </c>
      <c r="B354" s="109" t="s">
        <v>238</v>
      </c>
      <c r="C354" s="108">
        <v>0</v>
      </c>
      <c r="D354" s="110"/>
      <c r="E354" t="str">
        <f>VLOOKUP(B354,CAC!$A$2:$B$198,2,FALSE)</f>
        <v>DOILG</v>
      </c>
    </row>
    <row r="355" spans="1:5" x14ac:dyDescent="0.25">
      <c r="A355" s="108">
        <v>201505</v>
      </c>
      <c r="B355" s="109" t="s">
        <v>248</v>
      </c>
      <c r="C355" s="108">
        <v>0</v>
      </c>
      <c r="D355" s="110"/>
      <c r="E355" t="str">
        <f>VLOOKUP(B355,CAC!$A$2:$B$198,2,FALSE)</f>
        <v>DOIIFP</v>
      </c>
    </row>
    <row r="356" spans="1:5" x14ac:dyDescent="0.25">
      <c r="A356" s="108">
        <v>201505</v>
      </c>
      <c r="B356" s="109" t="s">
        <v>255</v>
      </c>
      <c r="C356" s="108">
        <v>0</v>
      </c>
      <c r="D356" s="110"/>
      <c r="E356" t="str">
        <f>VLOOKUP(B356,CAC!$A$2:$B$198,2,FALSE)</f>
        <v>AGDMHC</v>
      </c>
    </row>
    <row r="357" spans="1:5" x14ac:dyDescent="0.25">
      <c r="A357" s="108">
        <v>201505</v>
      </c>
      <c r="B357" s="109" t="s">
        <v>256</v>
      </c>
      <c r="C357" s="108">
        <v>0</v>
      </c>
      <c r="D357" s="110"/>
      <c r="E357" t="str">
        <f>VLOOKUP(B357,CAC!$A$2:$B$198,2,FALSE)</f>
        <v>AGDMHC</v>
      </c>
    </row>
    <row r="358" spans="1:5" x14ac:dyDescent="0.25">
      <c r="A358" s="108">
        <v>201505</v>
      </c>
      <c r="B358" s="109" t="s">
        <v>275</v>
      </c>
      <c r="C358" s="108">
        <v>0</v>
      </c>
      <c r="D358" s="110"/>
      <c r="E358" t="str">
        <f>VLOOKUP(B358,CAC!$A$2:$B$198,2,FALSE)</f>
        <v>AGDMHC</v>
      </c>
    </row>
    <row r="359" spans="1:5" x14ac:dyDescent="0.25">
      <c r="A359" s="108">
        <v>201505</v>
      </c>
      <c r="B359" s="109" t="s">
        <v>257</v>
      </c>
      <c r="C359" s="108">
        <v>0</v>
      </c>
      <c r="D359" s="110"/>
      <c r="E359" t="str">
        <f>VLOOKUP(B359,CAC!$A$2:$B$198,2,FALSE)</f>
        <v>AGDMHC</v>
      </c>
    </row>
    <row r="360" spans="1:5" x14ac:dyDescent="0.25">
      <c r="A360" s="108">
        <v>201505</v>
      </c>
      <c r="B360" s="109" t="s">
        <v>258</v>
      </c>
      <c r="C360" s="108">
        <v>0</v>
      </c>
      <c r="D360" s="110"/>
      <c r="E360" t="str">
        <f>VLOOKUP(B360,CAC!$A$2:$B$198,2,FALSE)</f>
        <v>AGDMHC</v>
      </c>
    </row>
    <row r="361" spans="1:5" x14ac:dyDescent="0.25">
      <c r="A361" s="108">
        <v>201505</v>
      </c>
      <c r="B361" s="109" t="s">
        <v>262</v>
      </c>
      <c r="C361" s="108">
        <v>0</v>
      </c>
      <c r="D361" s="110"/>
      <c r="E361" t="str">
        <f>VLOOKUP(B361,CAC!$A$2:$B$198,2,FALSE)</f>
        <v>AGDMHC</v>
      </c>
    </row>
    <row r="362" spans="1:5" x14ac:dyDescent="0.25">
      <c r="A362" s="108">
        <v>201505</v>
      </c>
      <c r="B362" s="109" t="s">
        <v>269</v>
      </c>
      <c r="C362" s="108">
        <v>0</v>
      </c>
      <c r="D362" s="110"/>
      <c r="E362" t="str">
        <f>VLOOKUP(B362,CAC!$A$2:$B$198,2,FALSE)</f>
        <v>AGDMHC</v>
      </c>
    </row>
    <row r="363" spans="1:5" x14ac:dyDescent="0.25">
      <c r="A363" s="108">
        <v>201505</v>
      </c>
      <c r="B363" s="109" t="s">
        <v>319</v>
      </c>
      <c r="C363" s="108">
        <v>0</v>
      </c>
      <c r="D363" s="110"/>
      <c r="E363" t="e">
        <f>VLOOKUP(B363,CAC!$A$2:$B$198,2,FALSE)</f>
        <v>#N/A</v>
      </c>
    </row>
    <row r="364" spans="1:5" x14ac:dyDescent="0.25">
      <c r="A364" s="108">
        <v>201505</v>
      </c>
      <c r="B364" s="109" t="s">
        <v>265</v>
      </c>
      <c r="C364" s="108">
        <v>0</v>
      </c>
      <c r="D364" s="110"/>
      <c r="E364" t="str">
        <f>VLOOKUP(B364,CAC!$A$2:$B$198,2,FALSE)</f>
        <v>AGDMHC</v>
      </c>
    </row>
    <row r="365" spans="1:5" x14ac:dyDescent="0.25">
      <c r="A365" s="108">
        <v>201505</v>
      </c>
      <c r="B365" s="109" t="s">
        <v>266</v>
      </c>
      <c r="C365" s="108">
        <v>0</v>
      </c>
      <c r="D365" s="110"/>
      <c r="E365" t="str">
        <f>VLOOKUP(B365,CAC!$A$2:$B$198,2,FALSE)</f>
        <v>AGDMHC</v>
      </c>
    </row>
    <row r="366" spans="1:5" x14ac:dyDescent="0.25">
      <c r="A366" s="108">
        <v>201505</v>
      </c>
      <c r="B366" s="109" t="s">
        <v>267</v>
      </c>
      <c r="C366" s="108">
        <v>0</v>
      </c>
      <c r="D366" s="110"/>
      <c r="E366" t="str">
        <f>VLOOKUP(B366,CAC!$A$2:$B$198,2,FALSE)</f>
        <v>AGDMHC</v>
      </c>
    </row>
    <row r="367" spans="1:5" x14ac:dyDescent="0.25">
      <c r="A367" s="108">
        <v>201505</v>
      </c>
      <c r="B367" s="109" t="s">
        <v>268</v>
      </c>
      <c r="C367" s="108">
        <v>0</v>
      </c>
      <c r="D367" s="110"/>
      <c r="E367" t="str">
        <f>VLOOKUP(B367,CAC!$A$2:$B$198,2,FALSE)</f>
        <v>AGDMHC</v>
      </c>
    </row>
    <row r="368" spans="1:5" x14ac:dyDescent="0.25">
      <c r="A368" s="108">
        <v>201505</v>
      </c>
      <c r="B368" s="109" t="s">
        <v>52</v>
      </c>
      <c r="C368" s="108">
        <v>15381</v>
      </c>
      <c r="D368" s="110"/>
      <c r="E368" t="str">
        <f>VLOOKUP(B368,CAC!$A$2:$B$198,2,FALSE)</f>
        <v>HMOPMR</v>
      </c>
    </row>
    <row r="369" spans="1:5" x14ac:dyDescent="0.25">
      <c r="A369" s="108">
        <v>201505</v>
      </c>
      <c r="B369" s="109" t="s">
        <v>53</v>
      </c>
      <c r="C369" s="108">
        <v>11067</v>
      </c>
      <c r="D369" s="110"/>
      <c r="E369" t="str">
        <f>VLOOKUP(B369,CAC!$A$2:$B$198,2,FALSE)</f>
        <v>HMOPMR</v>
      </c>
    </row>
    <row r="370" spans="1:5" x14ac:dyDescent="0.25">
      <c r="A370" s="108">
        <v>201505</v>
      </c>
      <c r="B370" s="109" t="s">
        <v>54</v>
      </c>
      <c r="C370" s="108">
        <v>6583</v>
      </c>
      <c r="D370" s="110"/>
      <c r="E370" t="str">
        <f>VLOOKUP(B370,CAC!$A$2:$B$198,2,FALSE)</f>
        <v>HMOFEP</v>
      </c>
    </row>
    <row r="371" spans="1:5" x14ac:dyDescent="0.25">
      <c r="A371" s="108">
        <v>201505</v>
      </c>
      <c r="B371" s="109" t="s">
        <v>279</v>
      </c>
      <c r="C371" s="108">
        <v>0</v>
      </c>
      <c r="D371" s="110"/>
      <c r="E371" t="str">
        <f>VLOOKUP(B371,CAC!$A$2:$B$198,2,FALSE)</f>
        <v>PPOFEP</v>
      </c>
    </row>
    <row r="372" spans="1:5" x14ac:dyDescent="0.25">
      <c r="A372" s="108">
        <v>201505</v>
      </c>
      <c r="B372" s="109" t="s">
        <v>202</v>
      </c>
      <c r="C372" s="108">
        <v>0</v>
      </c>
      <c r="D372" s="110"/>
      <c r="E372" t="str">
        <f>VLOOKUP(B372,CAC!$A$2:$B$198,2,FALSE)</f>
        <v>PPOPMR</v>
      </c>
    </row>
    <row r="373" spans="1:5" x14ac:dyDescent="0.25">
      <c r="A373" s="108">
        <v>201505</v>
      </c>
      <c r="B373" s="109" t="s">
        <v>55</v>
      </c>
      <c r="C373" s="108">
        <v>15198</v>
      </c>
      <c r="D373" s="110"/>
      <c r="E373" t="str">
        <f>VLOOKUP(B373,CAC!$A$2:$B$198,2,FALSE)</f>
        <v>HMOPMR</v>
      </c>
    </row>
    <row r="374" spans="1:5" x14ac:dyDescent="0.25">
      <c r="A374" s="108">
        <v>201505</v>
      </c>
      <c r="B374" s="109" t="s">
        <v>56</v>
      </c>
      <c r="C374" s="108">
        <v>142</v>
      </c>
      <c r="D374" s="110"/>
      <c r="E374" t="str">
        <f>VLOOKUP(B374,CAC!$A$2:$B$198,2,FALSE)</f>
        <v>HMOPMR</v>
      </c>
    </row>
    <row r="375" spans="1:5" x14ac:dyDescent="0.25">
      <c r="A375" s="108">
        <v>201505</v>
      </c>
      <c r="B375" s="109" t="s">
        <v>57</v>
      </c>
      <c r="C375" s="108">
        <v>6231</v>
      </c>
      <c r="D375" s="110"/>
      <c r="E375" t="str">
        <f>VLOOKUP(B375,CAC!$A$2:$B$198,2,FALSE)</f>
        <v>HMFLEX</v>
      </c>
    </row>
    <row r="376" spans="1:5" x14ac:dyDescent="0.25">
      <c r="A376" s="108">
        <v>201505</v>
      </c>
      <c r="B376" s="109" t="s">
        <v>58</v>
      </c>
      <c r="C376" s="108">
        <v>405</v>
      </c>
      <c r="D376" s="110"/>
      <c r="E376" t="str">
        <f>VLOOKUP(B376,CAC!$A$2:$B$198,2,FALSE)</f>
        <v>HMFLEX</v>
      </c>
    </row>
    <row r="377" spans="1:5" x14ac:dyDescent="0.25">
      <c r="A377" s="108">
        <v>201505</v>
      </c>
      <c r="B377" s="109" t="s">
        <v>59</v>
      </c>
      <c r="C377" s="108">
        <v>10</v>
      </c>
      <c r="D377" s="110"/>
      <c r="E377" t="str">
        <f>VLOOKUP(B377,CAC!$A$2:$B$198,2,FALSE)</f>
        <v>HMFLEX</v>
      </c>
    </row>
    <row r="378" spans="1:5" x14ac:dyDescent="0.25">
      <c r="A378" s="108">
        <v>201505</v>
      </c>
      <c r="B378" s="109" t="s">
        <v>306</v>
      </c>
      <c r="C378" s="108">
        <v>0</v>
      </c>
      <c r="D378" s="110"/>
      <c r="E378" t="e">
        <f>VLOOKUP(B378,CAC!$A$2:$B$198,2,FALSE)</f>
        <v>#N/A</v>
      </c>
    </row>
    <row r="379" spans="1:5" x14ac:dyDescent="0.25">
      <c r="A379" s="108">
        <v>201505</v>
      </c>
      <c r="B379" s="109" t="s">
        <v>283</v>
      </c>
      <c r="C379" s="108">
        <v>0</v>
      </c>
      <c r="D379" s="110"/>
      <c r="E379" t="str">
        <f>VLOOKUP(B379,CAC!$A$2:$B$198,2,FALSE)</f>
        <v>HMFLEX</v>
      </c>
    </row>
    <row r="380" spans="1:5" x14ac:dyDescent="0.25">
      <c r="A380" s="108">
        <v>201505</v>
      </c>
      <c r="B380" s="109" t="s">
        <v>205</v>
      </c>
      <c r="C380" s="108">
        <v>0</v>
      </c>
      <c r="D380" s="110"/>
      <c r="E380" t="str">
        <f>VLOOKUP(B380,CAC!$A$2:$B$198,2,FALSE)</f>
        <v>PPOPMR</v>
      </c>
    </row>
    <row r="381" spans="1:5" x14ac:dyDescent="0.25">
      <c r="A381" s="108">
        <v>201505</v>
      </c>
      <c r="B381" s="109" t="s">
        <v>286</v>
      </c>
      <c r="C381" s="108">
        <v>0</v>
      </c>
      <c r="D381" s="110"/>
      <c r="E381" t="str">
        <f>VLOOKUP(B381,CAC!$A$2:$B$198,2,FALSE)</f>
        <v>HMFLEX</v>
      </c>
    </row>
    <row r="382" spans="1:5" x14ac:dyDescent="0.25">
      <c r="A382" s="108">
        <v>201505</v>
      </c>
      <c r="B382" s="109" t="s">
        <v>60</v>
      </c>
      <c r="C382" s="108">
        <v>11087</v>
      </c>
      <c r="D382" s="110"/>
      <c r="E382" t="str">
        <f>VLOOKUP(B382,CAC!$A$2:$B$198,2,FALSE)</f>
        <v>HMOLG</v>
      </c>
    </row>
    <row r="383" spans="1:5" x14ac:dyDescent="0.25">
      <c r="A383" s="108">
        <v>201505</v>
      </c>
      <c r="B383" s="109" t="s">
        <v>61</v>
      </c>
      <c r="C383" s="108">
        <v>685</v>
      </c>
      <c r="D383" s="110"/>
      <c r="E383" t="str">
        <f>VLOOKUP(B383,CAC!$A$2:$B$198,2,FALSE)</f>
        <v>HMOLG</v>
      </c>
    </row>
    <row r="384" spans="1:5" x14ac:dyDescent="0.25">
      <c r="A384" s="108">
        <v>201505</v>
      </c>
      <c r="B384" s="109" t="s">
        <v>62</v>
      </c>
      <c r="C384" s="108">
        <v>25587</v>
      </c>
      <c r="D384" s="110"/>
      <c r="E384" t="str">
        <f>VLOOKUP(B384,CAC!$A$2:$B$198,2,FALSE)</f>
        <v>HMOLG</v>
      </c>
    </row>
    <row r="385" spans="1:5" x14ac:dyDescent="0.25">
      <c r="A385" s="108">
        <v>201505</v>
      </c>
      <c r="B385" s="109" t="s">
        <v>63</v>
      </c>
      <c r="C385" s="108">
        <v>341</v>
      </c>
      <c r="D385" s="110"/>
      <c r="E385" t="str">
        <f>VLOOKUP(B385,CAC!$A$2:$B$198,2,FALSE)</f>
        <v>HMOLG</v>
      </c>
    </row>
    <row r="386" spans="1:5" x14ac:dyDescent="0.25">
      <c r="A386" s="108">
        <v>201505</v>
      </c>
      <c r="B386" s="109" t="s">
        <v>64</v>
      </c>
      <c r="C386" s="108">
        <v>1</v>
      </c>
      <c r="D386" s="110"/>
      <c r="E386" t="str">
        <f>VLOOKUP(B386,CAC!$A$2:$B$198,2,FALSE)</f>
        <v>HMOLG</v>
      </c>
    </row>
    <row r="387" spans="1:5" x14ac:dyDescent="0.25">
      <c r="A387" s="108">
        <v>201505</v>
      </c>
      <c r="B387" s="109" t="s">
        <v>65</v>
      </c>
      <c r="C387" s="108">
        <v>210</v>
      </c>
      <c r="D387" s="110"/>
      <c r="E387" t="str">
        <f>VLOOKUP(B387,CAC!$A$2:$B$198,2,FALSE)</f>
        <v>HMFLEX</v>
      </c>
    </row>
    <row r="388" spans="1:5" x14ac:dyDescent="0.25">
      <c r="A388" s="108">
        <v>201505</v>
      </c>
      <c r="B388" s="109" t="s">
        <v>307</v>
      </c>
      <c r="C388" s="108">
        <v>0</v>
      </c>
      <c r="D388" s="110"/>
      <c r="E388" t="e">
        <f>VLOOKUP(B388,CAC!$A$2:$B$198,2,FALSE)</f>
        <v>#N/A</v>
      </c>
    </row>
    <row r="389" spans="1:5" x14ac:dyDescent="0.25">
      <c r="A389" s="108">
        <v>201505</v>
      </c>
      <c r="B389" s="109" t="s">
        <v>308</v>
      </c>
      <c r="C389" s="108">
        <v>0</v>
      </c>
      <c r="D389" s="110"/>
      <c r="E389" t="e">
        <f>VLOOKUP(B389,CAC!$A$2:$B$198,2,FALSE)</f>
        <v>#N/A</v>
      </c>
    </row>
    <row r="390" spans="1:5" x14ac:dyDescent="0.25">
      <c r="A390" s="108">
        <v>201505</v>
      </c>
      <c r="B390" s="109" t="s">
        <v>309</v>
      </c>
      <c r="C390" s="108">
        <v>0</v>
      </c>
      <c r="D390" s="110"/>
      <c r="E390" t="e">
        <f>VLOOKUP(B390,CAC!$A$2:$B$198,2,FALSE)</f>
        <v>#N/A</v>
      </c>
    </row>
    <row r="391" spans="1:5" x14ac:dyDescent="0.25">
      <c r="A391" s="108">
        <v>201505</v>
      </c>
      <c r="B391" s="109" t="s">
        <v>310</v>
      </c>
      <c r="C391" s="108">
        <v>0</v>
      </c>
      <c r="D391" s="110"/>
      <c r="E391" t="e">
        <f>VLOOKUP(B391,CAC!$A$2:$B$198,2,FALSE)</f>
        <v>#N/A</v>
      </c>
    </row>
    <row r="392" spans="1:5" x14ac:dyDescent="0.25">
      <c r="A392" s="108">
        <v>201505</v>
      </c>
      <c r="B392" s="109" t="s">
        <v>99</v>
      </c>
      <c r="C392" s="108">
        <v>0</v>
      </c>
      <c r="D392" s="110"/>
      <c r="E392" t="str">
        <f>VLOOKUP(B392,CAC!$A$2:$B$198,2,FALSE)</f>
        <v>PPOLG</v>
      </c>
    </row>
    <row r="393" spans="1:5" x14ac:dyDescent="0.25">
      <c r="A393" s="108">
        <v>201505</v>
      </c>
      <c r="B393" s="109" t="s">
        <v>193</v>
      </c>
      <c r="C393" s="108">
        <v>0</v>
      </c>
      <c r="D393" s="110"/>
      <c r="E393" t="str">
        <f>VLOOKUP(B393,CAC!$A$2:$B$198,2,FALSE)</f>
        <v>PPOLG</v>
      </c>
    </row>
    <row r="394" spans="1:5" x14ac:dyDescent="0.25">
      <c r="A394" s="108">
        <v>201505</v>
      </c>
      <c r="B394" s="109" t="s">
        <v>196</v>
      </c>
      <c r="C394" s="108">
        <v>0</v>
      </c>
      <c r="D394" s="110"/>
      <c r="E394" t="str">
        <f>VLOOKUP(B394,CAC!$A$2:$B$198,2,FALSE)</f>
        <v>PPOLG</v>
      </c>
    </row>
    <row r="395" spans="1:5" x14ac:dyDescent="0.25">
      <c r="A395" s="108">
        <v>201505</v>
      </c>
      <c r="B395" s="109" t="s">
        <v>212</v>
      </c>
      <c r="C395" s="108">
        <v>0</v>
      </c>
      <c r="D395" s="110"/>
      <c r="E395" t="str">
        <f>VLOOKUP(B395,CAC!$A$2:$B$198,2,FALSE)</f>
        <v>PPOMM</v>
      </c>
    </row>
    <row r="396" spans="1:5" x14ac:dyDescent="0.25">
      <c r="A396" s="108">
        <v>201505</v>
      </c>
      <c r="B396" s="109" t="s">
        <v>213</v>
      </c>
      <c r="C396" s="108">
        <v>0</v>
      </c>
      <c r="D396" s="110"/>
      <c r="E396" t="str">
        <f>VLOOKUP(B396,CAC!$A$2:$B$198,2,FALSE)</f>
        <v>PPOMM</v>
      </c>
    </row>
    <row r="397" spans="1:5" x14ac:dyDescent="0.25">
      <c r="A397" s="108">
        <v>201505</v>
      </c>
      <c r="B397" s="109" t="s">
        <v>311</v>
      </c>
      <c r="C397" s="108">
        <v>0</v>
      </c>
      <c r="D397" s="110"/>
      <c r="E397" t="e">
        <f>VLOOKUP(B397,CAC!$A$2:$B$198,2,FALSE)</f>
        <v>#N/A</v>
      </c>
    </row>
    <row r="398" spans="1:5" x14ac:dyDescent="0.25">
      <c r="A398" s="108">
        <v>201505</v>
      </c>
      <c r="B398" s="109" t="s">
        <v>320</v>
      </c>
      <c r="C398" s="108">
        <v>0</v>
      </c>
      <c r="D398" s="110"/>
      <c r="E398" t="e">
        <f>VLOOKUP(B398,CAC!$A$2:$B$198,2,FALSE)</f>
        <v>#N/A</v>
      </c>
    </row>
    <row r="399" spans="1:5" x14ac:dyDescent="0.25">
      <c r="A399" s="108">
        <v>201505</v>
      </c>
      <c r="B399" s="109" t="s">
        <v>321</v>
      </c>
      <c r="C399" s="108">
        <v>0</v>
      </c>
      <c r="D399" s="110"/>
      <c r="E399" t="e">
        <f>VLOOKUP(B399,CAC!$A$2:$B$198,2,FALSE)</f>
        <v>#N/A</v>
      </c>
    </row>
    <row r="400" spans="1:5" x14ac:dyDescent="0.25">
      <c r="A400" s="108">
        <v>201505</v>
      </c>
      <c r="B400" s="109" t="s">
        <v>312</v>
      </c>
      <c r="C400" s="108">
        <v>0</v>
      </c>
      <c r="D400" s="110"/>
      <c r="E400" t="e">
        <f>VLOOKUP(B400,CAC!$A$2:$B$198,2,FALSE)</f>
        <v>#N/A</v>
      </c>
    </row>
    <row r="401" spans="1:5" x14ac:dyDescent="0.25">
      <c r="A401" s="108">
        <v>201505</v>
      </c>
      <c r="B401" s="109" t="s">
        <v>313</v>
      </c>
      <c r="C401" s="108">
        <v>0</v>
      </c>
      <c r="D401" s="110"/>
      <c r="E401" t="e">
        <f>VLOOKUP(B401,CAC!$A$2:$B$198,2,FALSE)</f>
        <v>#N/A</v>
      </c>
    </row>
    <row r="402" spans="1:5" x14ac:dyDescent="0.25">
      <c r="A402" s="108">
        <v>201505</v>
      </c>
      <c r="B402" s="109" t="s">
        <v>215</v>
      </c>
      <c r="C402" s="108">
        <v>0</v>
      </c>
      <c r="D402" s="110"/>
      <c r="E402" t="str">
        <f>VLOOKUP(B402,CAC!$A$2:$B$198,2,FALSE)</f>
        <v>PPOMM</v>
      </c>
    </row>
    <row r="403" spans="1:5" x14ac:dyDescent="0.25">
      <c r="A403" s="108">
        <v>201505</v>
      </c>
      <c r="B403" s="109" t="s">
        <v>66</v>
      </c>
      <c r="C403" s="108">
        <v>3797</v>
      </c>
      <c r="D403" s="110"/>
      <c r="E403" t="str">
        <f>VLOOKUP(B403,CAC!$A$2:$B$198,2,FALSE)</f>
        <v>HMOLG</v>
      </c>
    </row>
    <row r="404" spans="1:5" x14ac:dyDescent="0.25">
      <c r="A404" s="108">
        <v>201505</v>
      </c>
      <c r="B404" s="109" t="s">
        <v>82</v>
      </c>
      <c r="C404" s="108">
        <v>0</v>
      </c>
      <c r="D404" s="110"/>
      <c r="E404" t="str">
        <f>VLOOKUP(B404,CAC!$A$2:$B$198,2,FALSE)</f>
        <v>NATPAR</v>
      </c>
    </row>
    <row r="405" spans="1:5" x14ac:dyDescent="0.25">
      <c r="A405" s="108">
        <v>201505</v>
      </c>
      <c r="B405" s="109" t="s">
        <v>67</v>
      </c>
      <c r="C405" s="108">
        <v>144</v>
      </c>
      <c r="D405" s="110"/>
      <c r="E405" t="str">
        <f>VLOOKUP(B405,CAC!$A$2:$B$198,2,FALSE)</f>
        <v>HMOLG</v>
      </c>
    </row>
    <row r="406" spans="1:5" x14ac:dyDescent="0.25">
      <c r="A406" s="108">
        <v>201505</v>
      </c>
      <c r="B406" s="109" t="s">
        <v>68</v>
      </c>
      <c r="C406" s="108">
        <v>272</v>
      </c>
      <c r="D406" s="110"/>
      <c r="E406" t="str">
        <f>VLOOKUP(B406,CAC!$A$2:$B$198,2,FALSE)</f>
        <v>HMOPMR</v>
      </c>
    </row>
    <row r="407" spans="1:5" x14ac:dyDescent="0.25">
      <c r="A407" s="108">
        <v>201505</v>
      </c>
      <c r="B407" s="109" t="s">
        <v>69</v>
      </c>
      <c r="C407" s="108">
        <v>9896</v>
      </c>
      <c r="D407" s="110"/>
      <c r="E407" t="str">
        <f>VLOOKUP(B407,CAC!$A$2:$B$198,2,FALSE)</f>
        <v>HMOPMR</v>
      </c>
    </row>
    <row r="408" spans="1:5" x14ac:dyDescent="0.25">
      <c r="A408" s="108">
        <v>201505</v>
      </c>
      <c r="B408" s="109" t="s">
        <v>70</v>
      </c>
      <c r="C408" s="108">
        <v>4106</v>
      </c>
      <c r="D408" s="110"/>
      <c r="E408" t="str">
        <f>VLOOKUP(B408,CAC!$A$2:$B$198,2,FALSE)</f>
        <v>HMOPMR</v>
      </c>
    </row>
    <row r="409" spans="1:5" x14ac:dyDescent="0.25">
      <c r="A409" s="108">
        <v>201505</v>
      </c>
      <c r="B409" s="109" t="s">
        <v>71</v>
      </c>
      <c r="C409" s="108">
        <v>8774</v>
      </c>
      <c r="D409" s="110"/>
      <c r="E409" t="str">
        <f>VLOOKUP(B409,CAC!$A$2:$B$198,2,FALSE)</f>
        <v>HMOPMR</v>
      </c>
    </row>
    <row r="410" spans="1:5" x14ac:dyDescent="0.25">
      <c r="A410" s="108">
        <v>201505</v>
      </c>
      <c r="B410" s="109" t="s">
        <v>72</v>
      </c>
      <c r="C410" s="108">
        <v>2201</v>
      </c>
      <c r="D410" s="110"/>
      <c r="E410" t="str">
        <f>VLOOKUP(B410,CAC!$A$2:$B$198,2,FALSE)</f>
        <v>HMFLEX</v>
      </c>
    </row>
    <row r="411" spans="1:5" x14ac:dyDescent="0.25">
      <c r="A411" s="108">
        <v>201505</v>
      </c>
      <c r="B411" s="109" t="s">
        <v>314</v>
      </c>
      <c r="C411" s="108">
        <v>0</v>
      </c>
      <c r="D411" s="110"/>
      <c r="E411" t="e">
        <f>VLOOKUP(B411,CAC!$A$2:$B$198,2,FALSE)</f>
        <v>#N/A</v>
      </c>
    </row>
    <row r="412" spans="1:5" x14ac:dyDescent="0.25">
      <c r="A412" s="108">
        <v>201505</v>
      </c>
      <c r="B412" s="109" t="s">
        <v>322</v>
      </c>
      <c r="C412" s="108">
        <v>0</v>
      </c>
      <c r="D412" s="110"/>
      <c r="E412" t="e">
        <f>VLOOKUP(B412,CAC!$A$2:$B$198,2,FALSE)</f>
        <v>#N/A</v>
      </c>
    </row>
    <row r="413" spans="1:5" x14ac:dyDescent="0.25">
      <c r="A413" s="108">
        <v>201505</v>
      </c>
      <c r="B413" s="109" t="s">
        <v>315</v>
      </c>
      <c r="C413" s="108">
        <v>0</v>
      </c>
      <c r="D413" s="110"/>
      <c r="E413" t="e">
        <f>VLOOKUP(B413,CAC!$A$2:$B$198,2,FALSE)</f>
        <v>#N/A</v>
      </c>
    </row>
    <row r="414" spans="1:5" x14ac:dyDescent="0.25">
      <c r="A414" s="108">
        <v>201505</v>
      </c>
      <c r="B414" s="109" t="s">
        <v>112</v>
      </c>
      <c r="C414" s="108">
        <v>0</v>
      </c>
      <c r="D414" s="110"/>
      <c r="E414" t="e">
        <f>VLOOKUP(B414,CAC!$A$2:$B$198,2,FALSE)</f>
        <v>#N/A</v>
      </c>
    </row>
    <row r="415" spans="1:5" x14ac:dyDescent="0.25">
      <c r="A415" s="108">
        <v>201505</v>
      </c>
      <c r="B415" s="109" t="s">
        <v>316</v>
      </c>
      <c r="C415" s="108">
        <v>0</v>
      </c>
      <c r="D415" s="110"/>
      <c r="E415" t="e">
        <f>VLOOKUP(B415,CAC!$A$2:$B$198,2,FALSE)</f>
        <v>#N/A</v>
      </c>
    </row>
    <row r="416" spans="1:5" x14ac:dyDescent="0.25">
      <c r="A416" s="108">
        <v>201505</v>
      </c>
      <c r="B416" s="109" t="s">
        <v>317</v>
      </c>
      <c r="C416" s="108">
        <v>0</v>
      </c>
      <c r="D416" s="110"/>
      <c r="E416" t="e">
        <f>VLOOKUP(B416,CAC!$A$2:$B$198,2,FALSE)</f>
        <v>#N/A</v>
      </c>
    </row>
    <row r="417" spans="1:5" x14ac:dyDescent="0.25">
      <c r="A417" s="108">
        <v>201505</v>
      </c>
      <c r="B417" s="109" t="s">
        <v>113</v>
      </c>
      <c r="C417" s="108">
        <v>0</v>
      </c>
      <c r="D417" s="110"/>
      <c r="E417" t="str">
        <f>VLOOKUP(B417,CAC!$A$2:$B$198,2,FALSE)</f>
        <v>PPOLG</v>
      </c>
    </row>
    <row r="418" spans="1:5" x14ac:dyDescent="0.25">
      <c r="A418" s="108">
        <v>201505</v>
      </c>
      <c r="B418" s="109" t="s">
        <v>294</v>
      </c>
      <c r="C418" s="108">
        <v>0</v>
      </c>
      <c r="D418" s="110"/>
      <c r="E418" t="str">
        <f>VLOOKUP(B418,CAC!$A$2:$B$198,2,FALSE)</f>
        <v>NATPAR</v>
      </c>
    </row>
    <row r="419" spans="1:5" x14ac:dyDescent="0.25">
      <c r="A419" s="108">
        <v>201505</v>
      </c>
      <c r="B419" s="109" t="s">
        <v>208</v>
      </c>
      <c r="C419" s="108">
        <v>0</v>
      </c>
      <c r="D419" s="110"/>
      <c r="E419" t="str">
        <f>VLOOKUP(B419,CAC!$A$2:$B$198,2,FALSE)</f>
        <v>PPOPMR</v>
      </c>
    </row>
    <row r="420" spans="1:5" x14ac:dyDescent="0.25">
      <c r="A420" s="108">
        <v>201505</v>
      </c>
      <c r="B420" s="109" t="s">
        <v>209</v>
      </c>
      <c r="C420" s="108">
        <v>0</v>
      </c>
      <c r="D420" s="110"/>
      <c r="E420" t="str">
        <f>VLOOKUP(B420,CAC!$A$2:$B$198,2,FALSE)</f>
        <v>PPOPMR</v>
      </c>
    </row>
    <row r="421" spans="1:5" x14ac:dyDescent="0.25">
      <c r="A421" s="108">
        <v>201505</v>
      </c>
      <c r="B421" s="109" t="s">
        <v>204</v>
      </c>
      <c r="C421" s="108">
        <v>0</v>
      </c>
      <c r="D421" s="110"/>
      <c r="E421" t="str">
        <f>VLOOKUP(B421,CAC!$A$2:$B$198,2,FALSE)</f>
        <v>PPOPMR</v>
      </c>
    </row>
    <row r="422" spans="1:5" x14ac:dyDescent="0.25">
      <c r="A422" s="108">
        <v>201505</v>
      </c>
      <c r="B422" s="109" t="s">
        <v>73</v>
      </c>
      <c r="C422" s="108">
        <v>33923</v>
      </c>
      <c r="D422" s="108">
        <v>6357</v>
      </c>
      <c r="E422" t="str">
        <f>VLOOKUP(B422,CAC!$A$2:$B$198,2,FALSE)</f>
        <v>HMOPERA</v>
      </c>
    </row>
    <row r="423" spans="1:5" x14ac:dyDescent="0.25">
      <c r="A423" s="108">
        <v>201505</v>
      </c>
      <c r="B423" s="109" t="s">
        <v>74</v>
      </c>
      <c r="C423" s="108">
        <v>3800</v>
      </c>
      <c r="D423" s="108">
        <v>2389</v>
      </c>
      <c r="E423" t="str">
        <f>VLOOKUP(B423,CAC!$A$2:$B$198,2,FALSE)</f>
        <v>PERMEDA</v>
      </c>
    </row>
    <row r="424" spans="1:5" x14ac:dyDescent="0.25">
      <c r="A424" s="108">
        <v>201505</v>
      </c>
      <c r="B424" s="109" t="s">
        <v>75</v>
      </c>
      <c r="C424" s="108">
        <v>40225</v>
      </c>
      <c r="D424" s="108">
        <v>20374</v>
      </c>
      <c r="E424" t="str">
        <f>VLOOKUP(B424,CAC!$A$2:$B$198,2,FALSE)</f>
        <v>HMOPERN</v>
      </c>
    </row>
    <row r="425" spans="1:5" x14ac:dyDescent="0.25">
      <c r="A425" s="108">
        <v>201505</v>
      </c>
      <c r="B425" s="109" t="s">
        <v>76</v>
      </c>
      <c r="C425" s="108">
        <v>514</v>
      </c>
      <c r="D425" s="108">
        <v>1716</v>
      </c>
      <c r="E425" t="str">
        <f>VLOOKUP(B425,CAC!$A$2:$B$198,2,FALSE)</f>
        <v>PERMEDN</v>
      </c>
    </row>
    <row r="426" spans="1:5" x14ac:dyDescent="0.25">
      <c r="A426" s="108">
        <v>201505</v>
      </c>
      <c r="B426" s="109" t="s">
        <v>218</v>
      </c>
      <c r="C426" s="108">
        <v>0</v>
      </c>
      <c r="D426" s="110"/>
      <c r="E426" t="str">
        <f>VLOOKUP(B426,CAC!$A$2:$B$198,2,FALSE)</f>
        <v>HMOPERA</v>
      </c>
    </row>
    <row r="427" spans="1:5" x14ac:dyDescent="0.25">
      <c r="A427" s="108">
        <v>201505</v>
      </c>
      <c r="B427" s="109" t="s">
        <v>181</v>
      </c>
      <c r="C427" s="108">
        <v>0</v>
      </c>
      <c r="D427" s="110"/>
      <c r="E427" t="str">
        <f>VLOOKUP(B427,CAC!$A$2:$B$198,2,FALSE)</f>
        <v>PERMEDA</v>
      </c>
    </row>
    <row r="428" spans="1:5" x14ac:dyDescent="0.25">
      <c r="A428" s="108">
        <v>201505</v>
      </c>
      <c r="B428" s="109" t="s">
        <v>156</v>
      </c>
      <c r="C428" s="108">
        <v>20845</v>
      </c>
      <c r="D428" s="110"/>
      <c r="E428" t="str">
        <f>VLOOKUP(B428,CAC!$A$2:$B$198,2,FALSE)</f>
        <v>HMOMM</v>
      </c>
    </row>
    <row r="429" spans="1:5" x14ac:dyDescent="0.25">
      <c r="A429" s="108">
        <v>201505</v>
      </c>
      <c r="B429" s="109" t="s">
        <v>162</v>
      </c>
      <c r="C429" s="108">
        <v>387</v>
      </c>
      <c r="D429" s="110"/>
      <c r="E429" t="str">
        <f>VLOOKUP(B429,CAC!$A$2:$B$198,2,FALSE)</f>
        <v>HMOMG</v>
      </c>
    </row>
    <row r="430" spans="1:5" x14ac:dyDescent="0.25">
      <c r="A430" s="108">
        <v>201505</v>
      </c>
      <c r="B430" s="109" t="s">
        <v>163</v>
      </c>
      <c r="C430" s="108">
        <v>167</v>
      </c>
      <c r="D430" s="110"/>
      <c r="E430" t="str">
        <f>VLOOKUP(B430,CAC!$A$2:$B$198,2,FALSE)</f>
        <v>HMOMG</v>
      </c>
    </row>
    <row r="431" spans="1:5" x14ac:dyDescent="0.25">
      <c r="A431" s="108">
        <v>201505</v>
      </c>
      <c r="B431" s="109" t="s">
        <v>164</v>
      </c>
      <c r="C431" s="108">
        <v>0</v>
      </c>
      <c r="D431" s="110"/>
      <c r="E431" t="str">
        <f>VLOOKUP(B431,CAC!$A$2:$B$198,2,FALSE)</f>
        <v>HMOMG</v>
      </c>
    </row>
    <row r="432" spans="1:5" x14ac:dyDescent="0.25">
      <c r="A432" s="108">
        <v>201505</v>
      </c>
      <c r="B432" s="109" t="s">
        <v>161</v>
      </c>
      <c r="C432" s="108">
        <v>4176</v>
      </c>
      <c r="D432" s="110"/>
      <c r="E432" t="str">
        <f>VLOOKUP(B432,CAC!$A$2:$B$198,2,FALSE)</f>
        <v>PERMAPD</v>
      </c>
    </row>
    <row r="433" spans="1:5" x14ac:dyDescent="0.25">
      <c r="A433" s="108">
        <v>201505</v>
      </c>
      <c r="B433" s="109" t="s">
        <v>77</v>
      </c>
      <c r="C433" s="108">
        <v>17851</v>
      </c>
      <c r="D433" s="110"/>
      <c r="E433" t="str">
        <f>VLOOKUP(B433,CAC!$A$2:$B$198,2,FALSE)</f>
        <v>HMOSG</v>
      </c>
    </row>
    <row r="434" spans="1:5" x14ac:dyDescent="0.25">
      <c r="A434" s="108">
        <v>201505</v>
      </c>
      <c r="B434" s="109" t="s">
        <v>78</v>
      </c>
      <c r="C434" s="108">
        <v>326</v>
      </c>
      <c r="D434" s="110"/>
      <c r="E434" t="str">
        <f>VLOOKUP(B434,CAC!$A$2:$B$198,2,FALSE)</f>
        <v>HMOSG</v>
      </c>
    </row>
    <row r="435" spans="1:5" x14ac:dyDescent="0.25">
      <c r="A435" s="108">
        <v>201505</v>
      </c>
      <c r="B435" s="109" t="s">
        <v>79</v>
      </c>
      <c r="C435" s="108">
        <v>60</v>
      </c>
      <c r="D435" s="110"/>
      <c r="E435" t="str">
        <f>VLOOKUP(B435,CAC!$A$2:$B$198,2,FALSE)</f>
        <v>HMOSG</v>
      </c>
    </row>
    <row r="436" spans="1:5" x14ac:dyDescent="0.25">
      <c r="A436" s="108">
        <v>201505</v>
      </c>
      <c r="B436" s="109" t="s">
        <v>222</v>
      </c>
      <c r="C436" s="108">
        <v>0</v>
      </c>
      <c r="D436" s="110"/>
      <c r="E436" t="str">
        <f>VLOOKUP(B436,CAC!$A$2:$B$198,2,FALSE)</f>
        <v>PPOSG</v>
      </c>
    </row>
    <row r="437" spans="1:5" x14ac:dyDescent="0.25">
      <c r="A437" s="108">
        <v>201505</v>
      </c>
      <c r="B437" s="109" t="s">
        <v>225</v>
      </c>
      <c r="C437" s="108">
        <v>0</v>
      </c>
      <c r="D437" s="110"/>
      <c r="E437" t="str">
        <f>VLOOKUP(B437,CAC!$A$2:$B$198,2,FALSE)</f>
        <v>PPOSG</v>
      </c>
    </row>
    <row r="438" spans="1:5" x14ac:dyDescent="0.25">
      <c r="A438" s="108">
        <v>201505</v>
      </c>
      <c r="B438" s="109" t="s">
        <v>226</v>
      </c>
      <c r="C438" s="108">
        <v>0</v>
      </c>
      <c r="D438" s="110"/>
      <c r="E438" t="str">
        <f>VLOOKUP(B438,CAC!$A$2:$B$198,2,FALSE)</f>
        <v>PPOSG</v>
      </c>
    </row>
    <row r="439" spans="1:5" x14ac:dyDescent="0.25">
      <c r="A439" s="108">
        <v>201505</v>
      </c>
      <c r="B439" s="109" t="s">
        <v>80</v>
      </c>
      <c r="C439" s="108">
        <v>13</v>
      </c>
      <c r="D439" s="110"/>
      <c r="E439" t="str">
        <f>VLOOKUP(B439,CAC!$A$2:$B$198,2,FALSE)</f>
        <v>HMOIFP</v>
      </c>
    </row>
    <row r="440" spans="1:5" x14ac:dyDescent="0.25">
      <c r="A440" s="108">
        <v>201505</v>
      </c>
      <c r="B440" s="109" t="s">
        <v>186</v>
      </c>
      <c r="C440" s="108">
        <v>0</v>
      </c>
      <c r="D440" s="110"/>
      <c r="E440" t="str">
        <f>VLOOKUP(B440,CAC!$A$2:$B$198,2,FALSE)</f>
        <v>PPOIFP</v>
      </c>
    </row>
    <row r="441" spans="1:5" x14ac:dyDescent="0.25">
      <c r="A441" s="108">
        <v>201505</v>
      </c>
      <c r="B441" s="109" t="s">
        <v>187</v>
      </c>
      <c r="C441" s="108">
        <v>0</v>
      </c>
      <c r="D441" s="110"/>
      <c r="E441" t="str">
        <f>VLOOKUP(B441,CAC!$A$2:$B$198,2,FALSE)</f>
        <v>PPOIFP</v>
      </c>
    </row>
    <row r="442" spans="1:5" x14ac:dyDescent="0.25">
      <c r="A442" s="108">
        <v>201505</v>
      </c>
      <c r="B442" s="109" t="s">
        <v>188</v>
      </c>
      <c r="C442" s="108">
        <v>0</v>
      </c>
      <c r="D442" s="110"/>
      <c r="E442" t="str">
        <f>VLOOKUP(B442,CAC!$A$2:$B$198,2,FALSE)</f>
        <v>PPOIFP</v>
      </c>
    </row>
    <row r="443" spans="1:5" x14ac:dyDescent="0.25">
      <c r="A443" s="108">
        <v>201505</v>
      </c>
      <c r="B443" s="109" t="s">
        <v>189</v>
      </c>
      <c r="C443" s="108">
        <v>0</v>
      </c>
      <c r="D443" s="110"/>
      <c r="E443" t="str">
        <f>VLOOKUP(B443,CAC!$A$2:$B$198,2,FALSE)</f>
        <v>PPOIFP</v>
      </c>
    </row>
    <row r="444" spans="1:5" x14ac:dyDescent="0.25">
      <c r="A444" s="108">
        <v>201505</v>
      </c>
      <c r="B444" s="109" t="s">
        <v>216</v>
      </c>
      <c r="C444" s="108">
        <v>0</v>
      </c>
      <c r="D444" s="110"/>
      <c r="E444" t="str">
        <f>VLOOKUP(B444,CAC!$A$2:$B$198,2,FALSE)</f>
        <v>PPOMM</v>
      </c>
    </row>
    <row r="445" spans="1:5" x14ac:dyDescent="0.25">
      <c r="A445" s="108">
        <v>201505</v>
      </c>
      <c r="B445" s="109" t="s">
        <v>301</v>
      </c>
      <c r="C445" s="108">
        <v>0</v>
      </c>
      <c r="D445" s="110"/>
      <c r="E445" t="str">
        <f>VLOOKUP(B445,CAC!$A$2:$B$198,2,FALSE)</f>
        <v>XXX</v>
      </c>
    </row>
    <row r="446" spans="1:5" x14ac:dyDescent="0.25">
      <c r="A446" s="108">
        <v>201506</v>
      </c>
      <c r="B446" s="109" t="s">
        <v>51</v>
      </c>
      <c r="C446" s="108">
        <v>4</v>
      </c>
      <c r="D446" s="110"/>
      <c r="E446" t="str">
        <f>VLOOKUP(B446,CAC!$A$2:$B$198,2,FALSE)</f>
        <v>XXX</v>
      </c>
    </row>
    <row r="447" spans="1:5" x14ac:dyDescent="0.25">
      <c r="A447" s="108">
        <v>201506</v>
      </c>
      <c r="B447" s="109" t="s">
        <v>303</v>
      </c>
      <c r="C447" s="108">
        <v>0</v>
      </c>
      <c r="D447" s="110"/>
      <c r="E447" t="e">
        <f>VLOOKUP(B447,CAC!$A$2:$B$198,2,FALSE)</f>
        <v>#N/A</v>
      </c>
    </row>
    <row r="448" spans="1:5" x14ac:dyDescent="0.25">
      <c r="A448" s="108">
        <v>201506</v>
      </c>
      <c r="B448" s="109" t="s">
        <v>304</v>
      </c>
      <c r="C448" s="108">
        <v>0</v>
      </c>
      <c r="D448" s="110"/>
      <c r="E448" t="e">
        <f>VLOOKUP(B448,CAC!$A$2:$B$198,2,FALSE)</f>
        <v>#N/A</v>
      </c>
    </row>
    <row r="449" spans="1:5" x14ac:dyDescent="0.25">
      <c r="A449" s="108">
        <v>201506</v>
      </c>
      <c r="B449" s="109" t="s">
        <v>323</v>
      </c>
      <c r="C449" s="108">
        <v>0</v>
      </c>
      <c r="D449" s="110"/>
      <c r="E449" t="e">
        <f>VLOOKUP(B449,CAC!$A$2:$B$198,2,FALSE)</f>
        <v>#N/A</v>
      </c>
    </row>
    <row r="450" spans="1:5" x14ac:dyDescent="0.25">
      <c r="A450" s="108">
        <v>201506</v>
      </c>
      <c r="B450" s="109" t="s">
        <v>305</v>
      </c>
      <c r="C450" s="108">
        <v>0</v>
      </c>
      <c r="D450" s="110"/>
      <c r="E450" t="e">
        <f>VLOOKUP(B450,CAC!$A$2:$B$198,2,FALSE)</f>
        <v>#N/A</v>
      </c>
    </row>
    <row r="451" spans="1:5" x14ac:dyDescent="0.25">
      <c r="A451" s="108">
        <v>201506</v>
      </c>
      <c r="B451" s="109" t="s">
        <v>231</v>
      </c>
      <c r="C451" s="108">
        <v>0</v>
      </c>
      <c r="D451" s="110"/>
      <c r="E451" t="str">
        <f>VLOOKUP(B451,CAC!$A$2:$B$198,2,FALSE)</f>
        <v>DOILG</v>
      </c>
    </row>
    <row r="452" spans="1:5" x14ac:dyDescent="0.25">
      <c r="A452" s="108">
        <v>201506</v>
      </c>
      <c r="B452" s="109" t="s">
        <v>233</v>
      </c>
      <c r="C452" s="108">
        <v>0</v>
      </c>
      <c r="D452" s="110"/>
      <c r="E452" t="str">
        <f>VLOOKUP(B452,CAC!$A$2:$B$198,2,FALSE)</f>
        <v>DOILG</v>
      </c>
    </row>
    <row r="453" spans="1:5" x14ac:dyDescent="0.25">
      <c r="A453" s="108">
        <v>201506</v>
      </c>
      <c r="B453" s="109" t="s">
        <v>234</v>
      </c>
      <c r="C453" s="108">
        <v>0</v>
      </c>
      <c r="D453" s="110"/>
      <c r="E453" t="str">
        <f>VLOOKUP(B453,CAC!$A$2:$B$198,2,FALSE)</f>
        <v>DOILG</v>
      </c>
    </row>
    <row r="454" spans="1:5" x14ac:dyDescent="0.25">
      <c r="A454" s="108">
        <v>201506</v>
      </c>
      <c r="B454" s="109" t="s">
        <v>235</v>
      </c>
      <c r="C454" s="108">
        <v>0</v>
      </c>
      <c r="D454" s="110"/>
      <c r="E454" t="str">
        <f>VLOOKUP(B454,CAC!$A$2:$B$198,2,FALSE)</f>
        <v>DOILG</v>
      </c>
    </row>
    <row r="455" spans="1:5" x14ac:dyDescent="0.25">
      <c r="A455" s="108">
        <v>201506</v>
      </c>
      <c r="B455" s="109" t="s">
        <v>237</v>
      </c>
      <c r="C455" s="108">
        <v>0</v>
      </c>
      <c r="D455" s="110"/>
      <c r="E455" t="str">
        <f>VLOOKUP(B455,CAC!$A$2:$B$198,2,FALSE)</f>
        <v>DOILG</v>
      </c>
    </row>
    <row r="456" spans="1:5" x14ac:dyDescent="0.25">
      <c r="A456" s="108">
        <v>201506</v>
      </c>
      <c r="B456" s="109" t="s">
        <v>239</v>
      </c>
      <c r="C456" s="108">
        <v>0</v>
      </c>
      <c r="D456" s="110"/>
      <c r="E456" t="str">
        <f>VLOOKUP(B456,CAC!$A$2:$B$198,2,FALSE)</f>
        <v>DOISG</v>
      </c>
    </row>
    <row r="457" spans="1:5" x14ac:dyDescent="0.25">
      <c r="A457" s="108">
        <v>201506</v>
      </c>
      <c r="B457" s="109" t="s">
        <v>247</v>
      </c>
      <c r="C457" s="108">
        <v>0</v>
      </c>
      <c r="D457" s="110"/>
      <c r="E457" t="str">
        <f>VLOOKUP(B457,CAC!$A$2:$B$198,2,FALSE)</f>
        <v>DOIIFP</v>
      </c>
    </row>
    <row r="458" spans="1:5" x14ac:dyDescent="0.25">
      <c r="A458" s="108">
        <v>201506</v>
      </c>
      <c r="B458" s="109" t="s">
        <v>238</v>
      </c>
      <c r="C458" s="108">
        <v>0</v>
      </c>
      <c r="D458" s="110"/>
      <c r="E458" t="str">
        <f>VLOOKUP(B458,CAC!$A$2:$B$198,2,FALSE)</f>
        <v>DOILG</v>
      </c>
    </row>
    <row r="459" spans="1:5" x14ac:dyDescent="0.25">
      <c r="A459" s="108">
        <v>201506</v>
      </c>
      <c r="B459" s="109" t="s">
        <v>248</v>
      </c>
      <c r="C459" s="108">
        <v>0</v>
      </c>
      <c r="D459" s="110"/>
      <c r="E459" t="str">
        <f>VLOOKUP(B459,CAC!$A$2:$B$198,2,FALSE)</f>
        <v>DOIIFP</v>
      </c>
    </row>
    <row r="460" spans="1:5" x14ac:dyDescent="0.25">
      <c r="A460" s="108">
        <v>201506</v>
      </c>
      <c r="B460" s="109" t="s">
        <v>255</v>
      </c>
      <c r="C460" s="108">
        <v>0</v>
      </c>
      <c r="D460" s="110"/>
      <c r="E460" t="str">
        <f>VLOOKUP(B460,CAC!$A$2:$B$198,2,FALSE)</f>
        <v>AGDMHC</v>
      </c>
    </row>
    <row r="461" spans="1:5" x14ac:dyDescent="0.25">
      <c r="A461" s="108">
        <v>201506</v>
      </c>
      <c r="B461" s="109" t="s">
        <v>256</v>
      </c>
      <c r="C461" s="108">
        <v>0</v>
      </c>
      <c r="D461" s="110"/>
      <c r="E461" t="str">
        <f>VLOOKUP(B461,CAC!$A$2:$B$198,2,FALSE)</f>
        <v>AGDMHC</v>
      </c>
    </row>
    <row r="462" spans="1:5" x14ac:dyDescent="0.25">
      <c r="A462" s="108">
        <v>201506</v>
      </c>
      <c r="B462" s="109" t="s">
        <v>275</v>
      </c>
      <c r="C462" s="108">
        <v>0</v>
      </c>
      <c r="D462" s="110"/>
      <c r="E462" t="str">
        <f>VLOOKUP(B462,CAC!$A$2:$B$198,2,FALSE)</f>
        <v>AGDMHC</v>
      </c>
    </row>
    <row r="463" spans="1:5" x14ac:dyDescent="0.25">
      <c r="A463" s="108">
        <v>201506</v>
      </c>
      <c r="B463" s="109" t="s">
        <v>257</v>
      </c>
      <c r="C463" s="108">
        <v>0</v>
      </c>
      <c r="D463" s="110"/>
      <c r="E463" t="str">
        <f>VLOOKUP(B463,CAC!$A$2:$B$198,2,FALSE)</f>
        <v>AGDMHC</v>
      </c>
    </row>
    <row r="464" spans="1:5" x14ac:dyDescent="0.25">
      <c r="A464" s="108">
        <v>201506</v>
      </c>
      <c r="B464" s="109" t="s">
        <v>258</v>
      </c>
      <c r="C464" s="108">
        <v>0</v>
      </c>
      <c r="D464" s="110"/>
      <c r="E464" t="str">
        <f>VLOOKUP(B464,CAC!$A$2:$B$198,2,FALSE)</f>
        <v>AGDMHC</v>
      </c>
    </row>
    <row r="465" spans="1:5" x14ac:dyDescent="0.25">
      <c r="A465" s="108">
        <v>201506</v>
      </c>
      <c r="B465" s="109" t="s">
        <v>262</v>
      </c>
      <c r="C465" s="108">
        <v>0</v>
      </c>
      <c r="D465" s="110"/>
      <c r="E465" t="str">
        <f>VLOOKUP(B465,CAC!$A$2:$B$198,2,FALSE)</f>
        <v>AGDMHC</v>
      </c>
    </row>
    <row r="466" spans="1:5" x14ac:dyDescent="0.25">
      <c r="A466" s="108">
        <v>201506</v>
      </c>
      <c r="B466" s="109" t="s">
        <v>269</v>
      </c>
      <c r="C466" s="108">
        <v>0</v>
      </c>
      <c r="D466" s="110"/>
      <c r="E466" t="str">
        <f>VLOOKUP(B466,CAC!$A$2:$B$198,2,FALSE)</f>
        <v>AGDMHC</v>
      </c>
    </row>
    <row r="467" spans="1:5" x14ac:dyDescent="0.25">
      <c r="A467" s="108">
        <v>201506</v>
      </c>
      <c r="B467" s="109" t="s">
        <v>319</v>
      </c>
      <c r="C467" s="108">
        <v>0</v>
      </c>
      <c r="D467" s="110"/>
      <c r="E467" t="e">
        <f>VLOOKUP(B467,CAC!$A$2:$B$198,2,FALSE)</f>
        <v>#N/A</v>
      </c>
    </row>
    <row r="468" spans="1:5" x14ac:dyDescent="0.25">
      <c r="A468" s="108">
        <v>201506</v>
      </c>
      <c r="B468" s="109" t="s">
        <v>265</v>
      </c>
      <c r="C468" s="108">
        <v>0</v>
      </c>
      <c r="D468" s="110"/>
      <c r="E468" t="str">
        <f>VLOOKUP(B468,CAC!$A$2:$B$198,2,FALSE)</f>
        <v>AGDMHC</v>
      </c>
    </row>
    <row r="469" spans="1:5" x14ac:dyDescent="0.25">
      <c r="A469" s="108">
        <v>201506</v>
      </c>
      <c r="B469" s="109" t="s">
        <v>266</v>
      </c>
      <c r="C469" s="108">
        <v>0</v>
      </c>
      <c r="D469" s="110"/>
      <c r="E469" t="str">
        <f>VLOOKUP(B469,CAC!$A$2:$B$198,2,FALSE)</f>
        <v>AGDMHC</v>
      </c>
    </row>
    <row r="470" spans="1:5" x14ac:dyDescent="0.25">
      <c r="A470" s="108">
        <v>201506</v>
      </c>
      <c r="B470" s="109" t="s">
        <v>267</v>
      </c>
      <c r="C470" s="108">
        <v>0</v>
      </c>
      <c r="D470" s="110"/>
      <c r="E470" t="str">
        <f>VLOOKUP(B470,CAC!$A$2:$B$198,2,FALSE)</f>
        <v>AGDMHC</v>
      </c>
    </row>
    <row r="471" spans="1:5" x14ac:dyDescent="0.25">
      <c r="A471" s="108">
        <v>201506</v>
      </c>
      <c r="B471" s="109" t="s">
        <v>268</v>
      </c>
      <c r="C471" s="108">
        <v>0</v>
      </c>
      <c r="D471" s="110"/>
      <c r="E471" t="str">
        <f>VLOOKUP(B471,CAC!$A$2:$B$198,2,FALSE)</f>
        <v>AGDMHC</v>
      </c>
    </row>
    <row r="472" spans="1:5" x14ac:dyDescent="0.25">
      <c r="A472" s="108">
        <v>201506</v>
      </c>
      <c r="B472" s="109" t="s">
        <v>52</v>
      </c>
      <c r="C472" s="108">
        <v>15421</v>
      </c>
      <c r="D472" s="110"/>
      <c r="E472" t="str">
        <f>VLOOKUP(B472,CAC!$A$2:$B$198,2,FALSE)</f>
        <v>HMOPMR</v>
      </c>
    </row>
    <row r="473" spans="1:5" x14ac:dyDescent="0.25">
      <c r="A473" s="108">
        <v>201506</v>
      </c>
      <c r="B473" s="109" t="s">
        <v>53</v>
      </c>
      <c r="C473" s="108">
        <v>11011</v>
      </c>
      <c r="D473" s="110"/>
      <c r="E473" t="str">
        <f>VLOOKUP(B473,CAC!$A$2:$B$198,2,FALSE)</f>
        <v>HMOPMR</v>
      </c>
    </row>
    <row r="474" spans="1:5" x14ac:dyDescent="0.25">
      <c r="A474" s="108">
        <v>201506</v>
      </c>
      <c r="B474" s="109" t="s">
        <v>54</v>
      </c>
      <c r="C474" s="108">
        <v>6577</v>
      </c>
      <c r="D474" s="110"/>
      <c r="E474" t="str">
        <f>VLOOKUP(B474,CAC!$A$2:$B$198,2,FALSE)</f>
        <v>HMOFEP</v>
      </c>
    </row>
    <row r="475" spans="1:5" x14ac:dyDescent="0.25">
      <c r="A475" s="108">
        <v>201506</v>
      </c>
      <c r="B475" s="109" t="s">
        <v>279</v>
      </c>
      <c r="C475" s="108">
        <v>0</v>
      </c>
      <c r="D475" s="110"/>
      <c r="E475" t="str">
        <f>VLOOKUP(B475,CAC!$A$2:$B$198,2,FALSE)</f>
        <v>PPOFEP</v>
      </c>
    </row>
    <row r="476" spans="1:5" x14ac:dyDescent="0.25">
      <c r="A476" s="108">
        <v>201506</v>
      </c>
      <c r="B476" s="109" t="s">
        <v>202</v>
      </c>
      <c r="C476" s="108">
        <v>0</v>
      </c>
      <c r="D476" s="110"/>
      <c r="E476" t="str">
        <f>VLOOKUP(B476,CAC!$A$2:$B$198,2,FALSE)</f>
        <v>PPOPMR</v>
      </c>
    </row>
    <row r="477" spans="1:5" x14ac:dyDescent="0.25">
      <c r="A477" s="108">
        <v>201506</v>
      </c>
      <c r="B477" s="109" t="s">
        <v>55</v>
      </c>
      <c r="C477" s="108">
        <v>15150</v>
      </c>
      <c r="D477" s="110"/>
      <c r="E477" t="str">
        <f>VLOOKUP(B477,CAC!$A$2:$B$198,2,FALSE)</f>
        <v>HMOPMR</v>
      </c>
    </row>
    <row r="478" spans="1:5" x14ac:dyDescent="0.25">
      <c r="A478" s="108">
        <v>201506</v>
      </c>
      <c r="B478" s="109" t="s">
        <v>56</v>
      </c>
      <c r="C478" s="108">
        <v>132</v>
      </c>
      <c r="D478" s="110"/>
      <c r="E478" t="str">
        <f>VLOOKUP(B478,CAC!$A$2:$B$198,2,FALSE)</f>
        <v>HMOPMR</v>
      </c>
    </row>
    <row r="479" spans="1:5" x14ac:dyDescent="0.25">
      <c r="A479" s="108">
        <v>201506</v>
      </c>
      <c r="B479" s="109" t="s">
        <v>57</v>
      </c>
      <c r="C479" s="108">
        <v>6324</v>
      </c>
      <c r="D479" s="110"/>
      <c r="E479" t="str">
        <f>VLOOKUP(B479,CAC!$A$2:$B$198,2,FALSE)</f>
        <v>HMFLEX</v>
      </c>
    </row>
    <row r="480" spans="1:5" x14ac:dyDescent="0.25">
      <c r="A480" s="108">
        <v>201506</v>
      </c>
      <c r="B480" s="109" t="s">
        <v>58</v>
      </c>
      <c r="C480" s="108">
        <v>411</v>
      </c>
      <c r="D480" s="110"/>
      <c r="E480" t="str">
        <f>VLOOKUP(B480,CAC!$A$2:$B$198,2,FALSE)</f>
        <v>HMFLEX</v>
      </c>
    </row>
    <row r="481" spans="1:5" x14ac:dyDescent="0.25">
      <c r="A481" s="108">
        <v>201506</v>
      </c>
      <c r="B481" s="109" t="s">
        <v>59</v>
      </c>
      <c r="C481" s="108">
        <v>10</v>
      </c>
      <c r="D481" s="110"/>
      <c r="E481" t="str">
        <f>VLOOKUP(B481,CAC!$A$2:$B$198,2,FALSE)</f>
        <v>HMFLEX</v>
      </c>
    </row>
    <row r="482" spans="1:5" x14ac:dyDescent="0.25">
      <c r="A482" s="108">
        <v>201506</v>
      </c>
      <c r="B482" s="109" t="s">
        <v>306</v>
      </c>
      <c r="C482" s="108">
        <v>0</v>
      </c>
      <c r="D482" s="110"/>
      <c r="E482" t="e">
        <f>VLOOKUP(B482,CAC!$A$2:$B$198,2,FALSE)</f>
        <v>#N/A</v>
      </c>
    </row>
    <row r="483" spans="1:5" x14ac:dyDescent="0.25">
      <c r="A483" s="108">
        <v>201506</v>
      </c>
      <c r="B483" s="109" t="s">
        <v>283</v>
      </c>
      <c r="C483" s="108">
        <v>0</v>
      </c>
      <c r="D483" s="110"/>
      <c r="E483" t="str">
        <f>VLOOKUP(B483,CAC!$A$2:$B$198,2,FALSE)</f>
        <v>HMFLEX</v>
      </c>
    </row>
    <row r="484" spans="1:5" x14ac:dyDescent="0.25">
      <c r="A484" s="108">
        <v>201506</v>
      </c>
      <c r="B484" s="109" t="s">
        <v>205</v>
      </c>
      <c r="C484" s="108">
        <v>0</v>
      </c>
      <c r="D484" s="110"/>
      <c r="E484" t="str">
        <f>VLOOKUP(B484,CAC!$A$2:$B$198,2,FALSE)</f>
        <v>PPOPMR</v>
      </c>
    </row>
    <row r="485" spans="1:5" x14ac:dyDescent="0.25">
      <c r="A485" s="108">
        <v>201506</v>
      </c>
      <c r="B485" s="109" t="s">
        <v>286</v>
      </c>
      <c r="C485" s="108">
        <v>0</v>
      </c>
      <c r="D485" s="110"/>
      <c r="E485" t="str">
        <f>VLOOKUP(B485,CAC!$A$2:$B$198,2,FALSE)</f>
        <v>HMFLEX</v>
      </c>
    </row>
    <row r="486" spans="1:5" x14ac:dyDescent="0.25">
      <c r="A486" s="108">
        <v>201506</v>
      </c>
      <c r="B486" s="109" t="s">
        <v>60</v>
      </c>
      <c r="C486" s="108">
        <v>10976</v>
      </c>
      <c r="D486" s="110"/>
      <c r="E486" t="str">
        <f>VLOOKUP(B486,CAC!$A$2:$B$198,2,FALSE)</f>
        <v>HMOLG</v>
      </c>
    </row>
    <row r="487" spans="1:5" x14ac:dyDescent="0.25">
      <c r="A487" s="108">
        <v>201506</v>
      </c>
      <c r="B487" s="109" t="s">
        <v>61</v>
      </c>
      <c r="C487" s="108">
        <v>680</v>
      </c>
      <c r="D487" s="110"/>
      <c r="E487" t="str">
        <f>VLOOKUP(B487,CAC!$A$2:$B$198,2,FALSE)</f>
        <v>HMOLG</v>
      </c>
    </row>
    <row r="488" spans="1:5" x14ac:dyDescent="0.25">
      <c r="A488" s="108">
        <v>201506</v>
      </c>
      <c r="B488" s="109" t="s">
        <v>62</v>
      </c>
      <c r="C488" s="108">
        <v>25679</v>
      </c>
      <c r="D488" s="110"/>
      <c r="E488" t="str">
        <f>VLOOKUP(B488,CAC!$A$2:$B$198,2,FALSE)</f>
        <v>HMOLG</v>
      </c>
    </row>
    <row r="489" spans="1:5" x14ac:dyDescent="0.25">
      <c r="A489" s="108">
        <v>201506</v>
      </c>
      <c r="B489" s="109" t="s">
        <v>63</v>
      </c>
      <c r="C489" s="108">
        <v>340</v>
      </c>
      <c r="D489" s="110"/>
      <c r="E489" t="str">
        <f>VLOOKUP(B489,CAC!$A$2:$B$198,2,FALSE)</f>
        <v>HMOLG</v>
      </c>
    </row>
    <row r="490" spans="1:5" x14ac:dyDescent="0.25">
      <c r="A490" s="108">
        <v>201506</v>
      </c>
      <c r="B490" s="109" t="s">
        <v>64</v>
      </c>
      <c r="C490" s="108">
        <v>0</v>
      </c>
      <c r="D490" s="110"/>
      <c r="E490" t="str">
        <f>VLOOKUP(B490,CAC!$A$2:$B$198,2,FALSE)</f>
        <v>HMOLG</v>
      </c>
    </row>
    <row r="491" spans="1:5" x14ac:dyDescent="0.25">
      <c r="A491" s="108">
        <v>201506</v>
      </c>
      <c r="B491" s="109" t="s">
        <v>65</v>
      </c>
      <c r="C491" s="108">
        <v>211</v>
      </c>
      <c r="D491" s="110"/>
      <c r="E491" t="str">
        <f>VLOOKUP(B491,CAC!$A$2:$B$198,2,FALSE)</f>
        <v>HMFLEX</v>
      </c>
    </row>
    <row r="492" spans="1:5" x14ac:dyDescent="0.25">
      <c r="A492" s="108">
        <v>201506</v>
      </c>
      <c r="B492" s="109" t="s">
        <v>307</v>
      </c>
      <c r="C492" s="108">
        <v>0</v>
      </c>
      <c r="D492" s="110"/>
      <c r="E492" t="e">
        <f>VLOOKUP(B492,CAC!$A$2:$B$198,2,FALSE)</f>
        <v>#N/A</v>
      </c>
    </row>
    <row r="493" spans="1:5" x14ac:dyDescent="0.25">
      <c r="A493" s="108">
        <v>201506</v>
      </c>
      <c r="B493" s="109" t="s">
        <v>308</v>
      </c>
      <c r="C493" s="108">
        <v>0</v>
      </c>
      <c r="D493" s="110"/>
      <c r="E493" t="e">
        <f>VLOOKUP(B493,CAC!$A$2:$B$198,2,FALSE)</f>
        <v>#N/A</v>
      </c>
    </row>
    <row r="494" spans="1:5" x14ac:dyDescent="0.25">
      <c r="A494" s="108">
        <v>201506</v>
      </c>
      <c r="B494" s="109" t="s">
        <v>309</v>
      </c>
      <c r="C494" s="108">
        <v>0</v>
      </c>
      <c r="D494" s="110"/>
      <c r="E494" t="e">
        <f>VLOOKUP(B494,CAC!$A$2:$B$198,2,FALSE)</f>
        <v>#N/A</v>
      </c>
    </row>
    <row r="495" spans="1:5" x14ac:dyDescent="0.25">
      <c r="A495" s="108">
        <v>201506</v>
      </c>
      <c r="B495" s="109" t="s">
        <v>310</v>
      </c>
      <c r="C495" s="108">
        <v>0</v>
      </c>
      <c r="D495" s="110"/>
      <c r="E495" t="e">
        <f>VLOOKUP(B495,CAC!$A$2:$B$198,2,FALSE)</f>
        <v>#N/A</v>
      </c>
    </row>
    <row r="496" spans="1:5" x14ac:dyDescent="0.25">
      <c r="A496" s="108">
        <v>201506</v>
      </c>
      <c r="B496" s="109" t="s">
        <v>99</v>
      </c>
      <c r="C496" s="108">
        <v>0</v>
      </c>
      <c r="D496" s="110"/>
      <c r="E496" t="str">
        <f>VLOOKUP(B496,CAC!$A$2:$B$198,2,FALSE)</f>
        <v>PPOLG</v>
      </c>
    </row>
    <row r="497" spans="1:5" x14ac:dyDescent="0.25">
      <c r="A497" s="108">
        <v>201506</v>
      </c>
      <c r="B497" s="109" t="s">
        <v>193</v>
      </c>
      <c r="C497" s="108">
        <v>0</v>
      </c>
      <c r="D497" s="110"/>
      <c r="E497" t="str">
        <f>VLOOKUP(B497,CAC!$A$2:$B$198,2,FALSE)</f>
        <v>PPOLG</v>
      </c>
    </row>
    <row r="498" spans="1:5" x14ac:dyDescent="0.25">
      <c r="A498" s="108">
        <v>201506</v>
      </c>
      <c r="B498" s="109" t="s">
        <v>196</v>
      </c>
      <c r="C498" s="108">
        <v>0</v>
      </c>
      <c r="D498" s="110"/>
      <c r="E498" t="str">
        <f>VLOOKUP(B498,CAC!$A$2:$B$198,2,FALSE)</f>
        <v>PPOLG</v>
      </c>
    </row>
    <row r="499" spans="1:5" x14ac:dyDescent="0.25">
      <c r="A499" s="108">
        <v>201506</v>
      </c>
      <c r="B499" s="109" t="s">
        <v>212</v>
      </c>
      <c r="C499" s="108">
        <v>0</v>
      </c>
      <c r="D499" s="110"/>
      <c r="E499" t="str">
        <f>VLOOKUP(B499,CAC!$A$2:$B$198,2,FALSE)</f>
        <v>PPOMM</v>
      </c>
    </row>
    <row r="500" spans="1:5" x14ac:dyDescent="0.25">
      <c r="A500" s="108">
        <v>201506</v>
      </c>
      <c r="B500" s="109" t="s">
        <v>213</v>
      </c>
      <c r="C500" s="108">
        <v>0</v>
      </c>
      <c r="D500" s="110"/>
      <c r="E500" t="str">
        <f>VLOOKUP(B500,CAC!$A$2:$B$198,2,FALSE)</f>
        <v>PPOMM</v>
      </c>
    </row>
    <row r="501" spans="1:5" x14ac:dyDescent="0.25">
      <c r="A501" s="108">
        <v>201506</v>
      </c>
      <c r="B501" s="109" t="s">
        <v>311</v>
      </c>
      <c r="C501" s="108">
        <v>0</v>
      </c>
      <c r="D501" s="110"/>
      <c r="E501" t="e">
        <f>VLOOKUP(B501,CAC!$A$2:$B$198,2,FALSE)</f>
        <v>#N/A</v>
      </c>
    </row>
    <row r="502" spans="1:5" x14ac:dyDescent="0.25">
      <c r="A502" s="108">
        <v>201506</v>
      </c>
      <c r="B502" s="109" t="s">
        <v>320</v>
      </c>
      <c r="C502" s="108">
        <v>0</v>
      </c>
      <c r="D502" s="110"/>
      <c r="E502" t="e">
        <f>VLOOKUP(B502,CAC!$A$2:$B$198,2,FALSE)</f>
        <v>#N/A</v>
      </c>
    </row>
    <row r="503" spans="1:5" x14ac:dyDescent="0.25">
      <c r="A503" s="108">
        <v>201506</v>
      </c>
      <c r="B503" s="109" t="s">
        <v>321</v>
      </c>
      <c r="C503" s="108">
        <v>0</v>
      </c>
      <c r="D503" s="110"/>
      <c r="E503" t="e">
        <f>VLOOKUP(B503,CAC!$A$2:$B$198,2,FALSE)</f>
        <v>#N/A</v>
      </c>
    </row>
    <row r="504" spans="1:5" x14ac:dyDescent="0.25">
      <c r="A504" s="108">
        <v>201506</v>
      </c>
      <c r="B504" s="109" t="s">
        <v>312</v>
      </c>
      <c r="C504" s="108">
        <v>0</v>
      </c>
      <c r="D504" s="110"/>
      <c r="E504" t="e">
        <f>VLOOKUP(B504,CAC!$A$2:$B$198,2,FALSE)</f>
        <v>#N/A</v>
      </c>
    </row>
    <row r="505" spans="1:5" x14ac:dyDescent="0.25">
      <c r="A505" s="108">
        <v>201506</v>
      </c>
      <c r="B505" s="109" t="s">
        <v>313</v>
      </c>
      <c r="C505" s="108">
        <v>0</v>
      </c>
      <c r="D505" s="110"/>
      <c r="E505" t="e">
        <f>VLOOKUP(B505,CAC!$A$2:$B$198,2,FALSE)</f>
        <v>#N/A</v>
      </c>
    </row>
    <row r="506" spans="1:5" x14ac:dyDescent="0.25">
      <c r="A506" s="108">
        <v>201506</v>
      </c>
      <c r="B506" s="109" t="s">
        <v>215</v>
      </c>
      <c r="C506" s="108">
        <v>0</v>
      </c>
      <c r="D506" s="110"/>
      <c r="E506" t="str">
        <f>VLOOKUP(B506,CAC!$A$2:$B$198,2,FALSE)</f>
        <v>PPOMM</v>
      </c>
    </row>
    <row r="507" spans="1:5" x14ac:dyDescent="0.25">
      <c r="A507" s="108">
        <v>201506</v>
      </c>
      <c r="B507" s="109" t="s">
        <v>66</v>
      </c>
      <c r="C507" s="108">
        <v>3804</v>
      </c>
      <c r="D507" s="110"/>
      <c r="E507" t="str">
        <f>VLOOKUP(B507,CAC!$A$2:$B$198,2,FALSE)</f>
        <v>HMOLG</v>
      </c>
    </row>
    <row r="508" spans="1:5" x14ac:dyDescent="0.25">
      <c r="A508" s="108">
        <v>201506</v>
      </c>
      <c r="B508" s="109" t="s">
        <v>82</v>
      </c>
      <c r="C508" s="108">
        <v>0</v>
      </c>
      <c r="D508" s="110"/>
      <c r="E508" t="str">
        <f>VLOOKUP(B508,CAC!$A$2:$B$198,2,FALSE)</f>
        <v>NATPAR</v>
      </c>
    </row>
    <row r="509" spans="1:5" x14ac:dyDescent="0.25">
      <c r="A509" s="108">
        <v>201506</v>
      </c>
      <c r="B509" s="109" t="s">
        <v>67</v>
      </c>
      <c r="C509" s="108">
        <v>127</v>
      </c>
      <c r="D509" s="110"/>
      <c r="E509" t="str">
        <f>VLOOKUP(B509,CAC!$A$2:$B$198,2,FALSE)</f>
        <v>HMOLG</v>
      </c>
    </row>
    <row r="510" spans="1:5" x14ac:dyDescent="0.25">
      <c r="A510" s="108">
        <v>201506</v>
      </c>
      <c r="B510" s="109" t="s">
        <v>68</v>
      </c>
      <c r="C510" s="108">
        <v>272</v>
      </c>
      <c r="D510" s="110"/>
      <c r="E510" t="str">
        <f>VLOOKUP(B510,CAC!$A$2:$B$198,2,FALSE)</f>
        <v>HMOPMR</v>
      </c>
    </row>
    <row r="511" spans="1:5" x14ac:dyDescent="0.25">
      <c r="A511" s="108">
        <v>201506</v>
      </c>
      <c r="B511" s="109" t="s">
        <v>69</v>
      </c>
      <c r="C511" s="108">
        <v>9913</v>
      </c>
      <c r="D511" s="110"/>
      <c r="E511" t="str">
        <f>VLOOKUP(B511,CAC!$A$2:$B$198,2,FALSE)</f>
        <v>HMOPMR</v>
      </c>
    </row>
    <row r="512" spans="1:5" x14ac:dyDescent="0.25">
      <c r="A512" s="108">
        <v>201506</v>
      </c>
      <c r="B512" s="109" t="s">
        <v>70</v>
      </c>
      <c r="C512" s="108">
        <v>4083</v>
      </c>
      <c r="D512" s="110"/>
      <c r="E512" t="str">
        <f>VLOOKUP(B512,CAC!$A$2:$B$198,2,FALSE)</f>
        <v>HMOPMR</v>
      </c>
    </row>
    <row r="513" spans="1:5" x14ac:dyDescent="0.25">
      <c r="A513" s="108">
        <v>201506</v>
      </c>
      <c r="B513" s="109" t="s">
        <v>71</v>
      </c>
      <c r="C513" s="108">
        <v>8708</v>
      </c>
      <c r="D513" s="110"/>
      <c r="E513" t="str">
        <f>VLOOKUP(B513,CAC!$A$2:$B$198,2,FALSE)</f>
        <v>HMOPMR</v>
      </c>
    </row>
    <row r="514" spans="1:5" x14ac:dyDescent="0.25">
      <c r="A514" s="108">
        <v>201506</v>
      </c>
      <c r="B514" s="109" t="s">
        <v>72</v>
      </c>
      <c r="C514" s="108">
        <v>2210</v>
      </c>
      <c r="D514" s="110"/>
      <c r="E514" t="str">
        <f>VLOOKUP(B514,CAC!$A$2:$B$198,2,FALSE)</f>
        <v>HMFLEX</v>
      </c>
    </row>
    <row r="515" spans="1:5" x14ac:dyDescent="0.25">
      <c r="A515" s="108">
        <v>201506</v>
      </c>
      <c r="B515" s="109" t="s">
        <v>314</v>
      </c>
      <c r="C515" s="108">
        <v>0</v>
      </c>
      <c r="D515" s="110"/>
      <c r="E515" t="e">
        <f>VLOOKUP(B515,CAC!$A$2:$B$198,2,FALSE)</f>
        <v>#N/A</v>
      </c>
    </row>
    <row r="516" spans="1:5" x14ac:dyDescent="0.25">
      <c r="A516" s="108">
        <v>201506</v>
      </c>
      <c r="B516" s="109" t="s">
        <v>322</v>
      </c>
      <c r="C516" s="108">
        <v>0</v>
      </c>
      <c r="D516" s="110"/>
      <c r="E516" t="e">
        <f>VLOOKUP(B516,CAC!$A$2:$B$198,2,FALSE)</f>
        <v>#N/A</v>
      </c>
    </row>
    <row r="517" spans="1:5" x14ac:dyDescent="0.25">
      <c r="A517" s="108">
        <v>201506</v>
      </c>
      <c r="B517" s="109" t="s">
        <v>315</v>
      </c>
      <c r="C517" s="108">
        <v>0</v>
      </c>
      <c r="D517" s="110"/>
      <c r="E517" t="e">
        <f>VLOOKUP(B517,CAC!$A$2:$B$198,2,FALSE)</f>
        <v>#N/A</v>
      </c>
    </row>
    <row r="518" spans="1:5" x14ac:dyDescent="0.25">
      <c r="A518" s="108">
        <v>201506</v>
      </c>
      <c r="B518" s="109" t="s">
        <v>112</v>
      </c>
      <c r="C518" s="108">
        <v>0</v>
      </c>
      <c r="D518" s="110"/>
      <c r="E518" t="e">
        <f>VLOOKUP(B518,CAC!$A$2:$B$198,2,FALSE)</f>
        <v>#N/A</v>
      </c>
    </row>
    <row r="519" spans="1:5" x14ac:dyDescent="0.25">
      <c r="A519" s="108">
        <v>201506</v>
      </c>
      <c r="B519" s="109" t="s">
        <v>316</v>
      </c>
      <c r="C519" s="108">
        <v>0</v>
      </c>
      <c r="D519" s="110"/>
      <c r="E519" t="e">
        <f>VLOOKUP(B519,CAC!$A$2:$B$198,2,FALSE)</f>
        <v>#N/A</v>
      </c>
    </row>
    <row r="520" spans="1:5" x14ac:dyDescent="0.25">
      <c r="A520" s="108">
        <v>201506</v>
      </c>
      <c r="B520" s="109" t="s">
        <v>317</v>
      </c>
      <c r="C520" s="108">
        <v>0</v>
      </c>
      <c r="D520" s="110"/>
      <c r="E520" t="e">
        <f>VLOOKUP(B520,CAC!$A$2:$B$198,2,FALSE)</f>
        <v>#N/A</v>
      </c>
    </row>
    <row r="521" spans="1:5" x14ac:dyDescent="0.25">
      <c r="A521" s="108">
        <v>201506</v>
      </c>
      <c r="B521" s="109" t="s">
        <v>113</v>
      </c>
      <c r="C521" s="108">
        <v>0</v>
      </c>
      <c r="D521" s="110"/>
      <c r="E521" t="str">
        <f>VLOOKUP(B521,CAC!$A$2:$B$198,2,FALSE)</f>
        <v>PPOLG</v>
      </c>
    </row>
    <row r="522" spans="1:5" x14ac:dyDescent="0.25">
      <c r="A522" s="108">
        <v>201506</v>
      </c>
      <c r="B522" s="109" t="s">
        <v>294</v>
      </c>
      <c r="C522" s="108">
        <v>0</v>
      </c>
      <c r="D522" s="110"/>
      <c r="E522" t="str">
        <f>VLOOKUP(B522,CAC!$A$2:$B$198,2,FALSE)</f>
        <v>NATPAR</v>
      </c>
    </row>
    <row r="523" spans="1:5" x14ac:dyDescent="0.25">
      <c r="A523" s="108">
        <v>201506</v>
      </c>
      <c r="B523" s="109" t="s">
        <v>208</v>
      </c>
      <c r="C523" s="108">
        <v>0</v>
      </c>
      <c r="D523" s="110"/>
      <c r="E523" t="str">
        <f>VLOOKUP(B523,CAC!$A$2:$B$198,2,FALSE)</f>
        <v>PPOPMR</v>
      </c>
    </row>
    <row r="524" spans="1:5" x14ac:dyDescent="0.25">
      <c r="A524" s="108">
        <v>201506</v>
      </c>
      <c r="B524" s="109" t="s">
        <v>209</v>
      </c>
      <c r="C524" s="108">
        <v>0</v>
      </c>
      <c r="D524" s="110"/>
      <c r="E524" t="str">
        <f>VLOOKUP(B524,CAC!$A$2:$B$198,2,FALSE)</f>
        <v>PPOPMR</v>
      </c>
    </row>
    <row r="525" spans="1:5" x14ac:dyDescent="0.25">
      <c r="A525" s="108">
        <v>201506</v>
      </c>
      <c r="B525" s="109" t="s">
        <v>204</v>
      </c>
      <c r="C525" s="108">
        <v>0</v>
      </c>
      <c r="D525" s="110"/>
      <c r="E525" t="str">
        <f>VLOOKUP(B525,CAC!$A$2:$B$198,2,FALSE)</f>
        <v>PPOPMR</v>
      </c>
    </row>
    <row r="526" spans="1:5" x14ac:dyDescent="0.25">
      <c r="A526" s="108">
        <v>201506</v>
      </c>
      <c r="B526" s="109" t="s">
        <v>73</v>
      </c>
      <c r="C526" s="108">
        <v>33862</v>
      </c>
      <c r="D526" s="108">
        <v>6345</v>
      </c>
      <c r="E526" t="str">
        <f>VLOOKUP(B526,CAC!$A$2:$B$198,2,FALSE)</f>
        <v>HMOPERA</v>
      </c>
    </row>
    <row r="527" spans="1:5" x14ac:dyDescent="0.25">
      <c r="A527" s="108">
        <v>201506</v>
      </c>
      <c r="B527" s="109" t="s">
        <v>74</v>
      </c>
      <c r="C527" s="108">
        <v>3817</v>
      </c>
      <c r="D527" s="108">
        <v>2402</v>
      </c>
      <c r="E527" t="str">
        <f>VLOOKUP(B527,CAC!$A$2:$B$198,2,FALSE)</f>
        <v>PERMEDA</v>
      </c>
    </row>
    <row r="528" spans="1:5" x14ac:dyDescent="0.25">
      <c r="A528" s="108">
        <v>201506</v>
      </c>
      <c r="B528" s="109" t="s">
        <v>75</v>
      </c>
      <c r="C528" s="108">
        <v>40199</v>
      </c>
      <c r="D528" s="108">
        <v>20338</v>
      </c>
      <c r="E528" t="str">
        <f>VLOOKUP(B528,CAC!$A$2:$B$198,2,FALSE)</f>
        <v>HMOPERN</v>
      </c>
    </row>
    <row r="529" spans="1:5" x14ac:dyDescent="0.25">
      <c r="A529" s="108">
        <v>201506</v>
      </c>
      <c r="B529" s="109" t="s">
        <v>76</v>
      </c>
      <c r="C529" s="108">
        <v>523</v>
      </c>
      <c r="D529" s="108">
        <v>1726</v>
      </c>
      <c r="E529" t="str">
        <f>VLOOKUP(B529,CAC!$A$2:$B$198,2,FALSE)</f>
        <v>PERMEDN</v>
      </c>
    </row>
    <row r="530" spans="1:5" x14ac:dyDescent="0.25">
      <c r="A530" s="108">
        <v>201506</v>
      </c>
      <c r="B530" s="109" t="s">
        <v>218</v>
      </c>
      <c r="C530" s="108">
        <v>0</v>
      </c>
      <c r="D530" s="110"/>
      <c r="E530" t="str">
        <f>VLOOKUP(B530,CAC!$A$2:$B$198,2,FALSE)</f>
        <v>HMOPERA</v>
      </c>
    </row>
    <row r="531" spans="1:5" x14ac:dyDescent="0.25">
      <c r="A531" s="108">
        <v>201506</v>
      </c>
      <c r="B531" s="109" t="s">
        <v>181</v>
      </c>
      <c r="C531" s="108">
        <v>0</v>
      </c>
      <c r="D531" s="110"/>
      <c r="E531" t="str">
        <f>VLOOKUP(B531,CAC!$A$2:$B$198,2,FALSE)</f>
        <v>PERMEDA</v>
      </c>
    </row>
    <row r="532" spans="1:5" x14ac:dyDescent="0.25">
      <c r="A532" s="108">
        <v>201506</v>
      </c>
      <c r="B532" s="109" t="s">
        <v>156</v>
      </c>
      <c r="C532" s="108">
        <v>20980</v>
      </c>
      <c r="D532" s="110"/>
      <c r="E532" t="str">
        <f>VLOOKUP(B532,CAC!$A$2:$B$198,2,FALSE)</f>
        <v>HMOMM</v>
      </c>
    </row>
    <row r="533" spans="1:5" x14ac:dyDescent="0.25">
      <c r="A533" s="108">
        <v>201506</v>
      </c>
      <c r="B533" s="109" t="s">
        <v>162</v>
      </c>
      <c r="C533" s="108">
        <v>387</v>
      </c>
      <c r="D533" s="110"/>
      <c r="E533" t="str">
        <f>VLOOKUP(B533,CAC!$A$2:$B$198,2,FALSE)</f>
        <v>HMOMG</v>
      </c>
    </row>
    <row r="534" spans="1:5" x14ac:dyDescent="0.25">
      <c r="A534" s="108">
        <v>201506</v>
      </c>
      <c r="B534" s="109" t="s">
        <v>163</v>
      </c>
      <c r="C534" s="108">
        <v>165</v>
      </c>
      <c r="D534" s="110"/>
      <c r="E534" t="str">
        <f>VLOOKUP(B534,CAC!$A$2:$B$198,2,FALSE)</f>
        <v>HMOMG</v>
      </c>
    </row>
    <row r="535" spans="1:5" x14ac:dyDescent="0.25">
      <c r="A535" s="108">
        <v>201506</v>
      </c>
      <c r="B535" s="109" t="s">
        <v>164</v>
      </c>
      <c r="C535" s="108">
        <v>0</v>
      </c>
      <c r="D535" s="110"/>
      <c r="E535" t="str">
        <f>VLOOKUP(B535,CAC!$A$2:$B$198,2,FALSE)</f>
        <v>HMOMG</v>
      </c>
    </row>
    <row r="536" spans="1:5" x14ac:dyDescent="0.25">
      <c r="A536" s="108">
        <v>201506</v>
      </c>
      <c r="B536" s="109" t="s">
        <v>161</v>
      </c>
      <c r="C536" s="108">
        <v>4208</v>
      </c>
      <c r="D536" s="110"/>
      <c r="E536" t="str">
        <f>VLOOKUP(B536,CAC!$A$2:$B$198,2,FALSE)</f>
        <v>PERMAPD</v>
      </c>
    </row>
    <row r="537" spans="1:5" x14ac:dyDescent="0.25">
      <c r="A537" s="108">
        <v>201506</v>
      </c>
      <c r="B537" s="109" t="s">
        <v>77</v>
      </c>
      <c r="C537" s="108">
        <v>18080</v>
      </c>
      <c r="D537" s="110"/>
      <c r="E537" t="str">
        <f>VLOOKUP(B537,CAC!$A$2:$B$198,2,FALSE)</f>
        <v>HMOSG</v>
      </c>
    </row>
    <row r="538" spans="1:5" x14ac:dyDescent="0.25">
      <c r="A538" s="108">
        <v>201506</v>
      </c>
      <c r="B538" s="109" t="s">
        <v>78</v>
      </c>
      <c r="C538" s="108">
        <v>337</v>
      </c>
      <c r="D538" s="110"/>
      <c r="E538" t="str">
        <f>VLOOKUP(B538,CAC!$A$2:$B$198,2,FALSE)</f>
        <v>HMOSG</v>
      </c>
    </row>
    <row r="539" spans="1:5" x14ac:dyDescent="0.25">
      <c r="A539" s="108">
        <v>201506</v>
      </c>
      <c r="B539" s="109" t="s">
        <v>79</v>
      </c>
      <c r="C539" s="108">
        <v>58</v>
      </c>
      <c r="D539" s="110"/>
      <c r="E539" t="str">
        <f>VLOOKUP(B539,CAC!$A$2:$B$198,2,FALSE)</f>
        <v>HMOSG</v>
      </c>
    </row>
    <row r="540" spans="1:5" x14ac:dyDescent="0.25">
      <c r="A540" s="108">
        <v>201506</v>
      </c>
      <c r="B540" s="109" t="s">
        <v>222</v>
      </c>
      <c r="C540" s="108">
        <v>0</v>
      </c>
      <c r="D540" s="110"/>
      <c r="E540" t="str">
        <f>VLOOKUP(B540,CAC!$A$2:$B$198,2,FALSE)</f>
        <v>PPOSG</v>
      </c>
    </row>
    <row r="541" spans="1:5" x14ac:dyDescent="0.25">
      <c r="A541" s="108">
        <v>201506</v>
      </c>
      <c r="B541" s="109" t="s">
        <v>225</v>
      </c>
      <c r="C541" s="108">
        <v>0</v>
      </c>
      <c r="D541" s="110"/>
      <c r="E541" t="str">
        <f>VLOOKUP(B541,CAC!$A$2:$B$198,2,FALSE)</f>
        <v>PPOSG</v>
      </c>
    </row>
    <row r="542" spans="1:5" x14ac:dyDescent="0.25">
      <c r="A542" s="108">
        <v>201506</v>
      </c>
      <c r="B542" s="109" t="s">
        <v>226</v>
      </c>
      <c r="C542" s="108">
        <v>0</v>
      </c>
      <c r="D542" s="110"/>
      <c r="E542" t="str">
        <f>VLOOKUP(B542,CAC!$A$2:$B$198,2,FALSE)</f>
        <v>PPOSG</v>
      </c>
    </row>
    <row r="543" spans="1:5" x14ac:dyDescent="0.25">
      <c r="A543" s="108">
        <v>201506</v>
      </c>
      <c r="B543" s="109" t="s">
        <v>80</v>
      </c>
      <c r="C543" s="108">
        <v>10</v>
      </c>
      <c r="D543" s="110"/>
      <c r="E543" t="str">
        <f>VLOOKUP(B543,CAC!$A$2:$B$198,2,FALSE)</f>
        <v>HMOIFP</v>
      </c>
    </row>
    <row r="544" spans="1:5" x14ac:dyDescent="0.25">
      <c r="A544" s="108">
        <v>201506</v>
      </c>
      <c r="B544" s="109" t="s">
        <v>186</v>
      </c>
      <c r="C544" s="108">
        <v>0</v>
      </c>
      <c r="D544" s="110"/>
      <c r="E544" t="str">
        <f>VLOOKUP(B544,CAC!$A$2:$B$198,2,FALSE)</f>
        <v>PPOIFP</v>
      </c>
    </row>
    <row r="545" spans="1:5" x14ac:dyDescent="0.25">
      <c r="A545" s="108">
        <v>201506</v>
      </c>
      <c r="B545" s="109" t="s">
        <v>187</v>
      </c>
      <c r="C545" s="108">
        <v>0</v>
      </c>
      <c r="D545" s="110"/>
      <c r="E545" t="str">
        <f>VLOOKUP(B545,CAC!$A$2:$B$198,2,FALSE)</f>
        <v>PPOIFP</v>
      </c>
    </row>
    <row r="546" spans="1:5" x14ac:dyDescent="0.25">
      <c r="A546" s="108">
        <v>201506</v>
      </c>
      <c r="B546" s="109" t="s">
        <v>188</v>
      </c>
      <c r="C546" s="108">
        <v>0</v>
      </c>
      <c r="D546" s="110"/>
      <c r="E546" t="str">
        <f>VLOOKUP(B546,CAC!$A$2:$B$198,2,FALSE)</f>
        <v>PPOIFP</v>
      </c>
    </row>
    <row r="547" spans="1:5" x14ac:dyDescent="0.25">
      <c r="A547" s="108">
        <v>201506</v>
      </c>
      <c r="B547" s="109" t="s">
        <v>189</v>
      </c>
      <c r="C547" s="108">
        <v>0</v>
      </c>
      <c r="D547" s="110"/>
      <c r="E547" t="str">
        <f>VLOOKUP(B547,CAC!$A$2:$B$198,2,FALSE)</f>
        <v>PPOIFP</v>
      </c>
    </row>
    <row r="548" spans="1:5" x14ac:dyDescent="0.25">
      <c r="A548" s="108">
        <v>201506</v>
      </c>
      <c r="B548" s="109" t="s">
        <v>216</v>
      </c>
      <c r="C548" s="108">
        <v>0</v>
      </c>
      <c r="D548" s="110"/>
      <c r="E548" t="str">
        <f>VLOOKUP(B548,CAC!$A$2:$B$198,2,FALSE)</f>
        <v>PPOMM</v>
      </c>
    </row>
    <row r="549" spans="1:5" x14ac:dyDescent="0.25">
      <c r="A549" s="108">
        <v>201506</v>
      </c>
      <c r="B549" s="109" t="s">
        <v>301</v>
      </c>
      <c r="C549" s="108">
        <v>0</v>
      </c>
      <c r="D549" s="110"/>
      <c r="E549" t="str">
        <f>VLOOKUP(B549,CAC!$A$2:$B$198,2,FALSE)</f>
        <v>XXX</v>
      </c>
    </row>
    <row r="550" spans="1:5" x14ac:dyDescent="0.25">
      <c r="A550" s="108">
        <v>201507</v>
      </c>
      <c r="B550" s="109" t="s">
        <v>51</v>
      </c>
      <c r="C550" s="108">
        <v>1</v>
      </c>
      <c r="D550" s="110"/>
      <c r="E550" t="str">
        <f>VLOOKUP(B550,CAC!$A$2:$B$198,2,FALSE)</f>
        <v>XXX</v>
      </c>
    </row>
    <row r="551" spans="1:5" x14ac:dyDescent="0.25">
      <c r="A551" s="108">
        <v>201507</v>
      </c>
      <c r="B551" s="109" t="s">
        <v>303</v>
      </c>
      <c r="C551" s="108">
        <v>0</v>
      </c>
      <c r="D551" s="110"/>
      <c r="E551" t="e">
        <f>VLOOKUP(B551,CAC!$A$2:$B$198,2,FALSE)</f>
        <v>#N/A</v>
      </c>
    </row>
    <row r="552" spans="1:5" x14ac:dyDescent="0.25">
      <c r="A552" s="108">
        <v>201507</v>
      </c>
      <c r="B552" s="109" t="s">
        <v>304</v>
      </c>
      <c r="C552" s="108">
        <v>0</v>
      </c>
      <c r="D552" s="110"/>
      <c r="E552" t="e">
        <f>VLOOKUP(B552,CAC!$A$2:$B$198,2,FALSE)</f>
        <v>#N/A</v>
      </c>
    </row>
    <row r="553" spans="1:5" x14ac:dyDescent="0.25">
      <c r="A553" s="108">
        <v>201507</v>
      </c>
      <c r="B553" s="109" t="s">
        <v>323</v>
      </c>
      <c r="C553" s="108">
        <v>0</v>
      </c>
      <c r="D553" s="110"/>
      <c r="E553" t="e">
        <f>VLOOKUP(B553,CAC!$A$2:$B$198,2,FALSE)</f>
        <v>#N/A</v>
      </c>
    </row>
    <row r="554" spans="1:5" x14ac:dyDescent="0.25">
      <c r="A554" s="108">
        <v>201507</v>
      </c>
      <c r="B554" s="109" t="s">
        <v>305</v>
      </c>
      <c r="C554" s="108">
        <v>0</v>
      </c>
      <c r="D554" s="110"/>
      <c r="E554" t="e">
        <f>VLOOKUP(B554,CAC!$A$2:$B$198,2,FALSE)</f>
        <v>#N/A</v>
      </c>
    </row>
    <row r="555" spans="1:5" x14ac:dyDescent="0.25">
      <c r="A555" s="108">
        <v>201507</v>
      </c>
      <c r="B555" s="109" t="s">
        <v>324</v>
      </c>
      <c r="C555" s="108">
        <v>0</v>
      </c>
      <c r="D555" s="110"/>
      <c r="E555" t="e">
        <f>VLOOKUP(B555,CAC!$A$2:$B$198,2,FALSE)</f>
        <v>#N/A</v>
      </c>
    </row>
    <row r="556" spans="1:5" x14ac:dyDescent="0.25">
      <c r="A556" s="108">
        <v>201507</v>
      </c>
      <c r="B556" s="109" t="s">
        <v>231</v>
      </c>
      <c r="C556" s="108">
        <v>0</v>
      </c>
      <c r="D556" s="110"/>
      <c r="E556" t="str">
        <f>VLOOKUP(B556,CAC!$A$2:$B$198,2,FALSE)</f>
        <v>DOILG</v>
      </c>
    </row>
    <row r="557" spans="1:5" x14ac:dyDescent="0.25">
      <c r="A557" s="108">
        <v>201507</v>
      </c>
      <c r="B557" s="109" t="s">
        <v>233</v>
      </c>
      <c r="C557" s="108">
        <v>0</v>
      </c>
      <c r="D557" s="110"/>
      <c r="E557" t="str">
        <f>VLOOKUP(B557,CAC!$A$2:$B$198,2,FALSE)</f>
        <v>DOILG</v>
      </c>
    </row>
    <row r="558" spans="1:5" x14ac:dyDescent="0.25">
      <c r="A558" s="108">
        <v>201507</v>
      </c>
      <c r="B558" s="109" t="s">
        <v>234</v>
      </c>
      <c r="C558" s="108">
        <v>0</v>
      </c>
      <c r="D558" s="110"/>
      <c r="E558" t="str">
        <f>VLOOKUP(B558,CAC!$A$2:$B$198,2,FALSE)</f>
        <v>DOILG</v>
      </c>
    </row>
    <row r="559" spans="1:5" x14ac:dyDescent="0.25">
      <c r="A559" s="108">
        <v>201507</v>
      </c>
      <c r="B559" s="109" t="s">
        <v>235</v>
      </c>
      <c r="C559" s="108">
        <v>0</v>
      </c>
      <c r="D559" s="110"/>
      <c r="E559" t="str">
        <f>VLOOKUP(B559,CAC!$A$2:$B$198,2,FALSE)</f>
        <v>DOILG</v>
      </c>
    </row>
    <row r="560" spans="1:5" x14ac:dyDescent="0.25">
      <c r="A560" s="108">
        <v>201507</v>
      </c>
      <c r="B560" s="109" t="s">
        <v>237</v>
      </c>
      <c r="C560" s="108">
        <v>0</v>
      </c>
      <c r="D560" s="110"/>
      <c r="E560" t="str">
        <f>VLOOKUP(B560,CAC!$A$2:$B$198,2,FALSE)</f>
        <v>DOILG</v>
      </c>
    </row>
    <row r="561" spans="1:5" x14ac:dyDescent="0.25">
      <c r="A561" s="108">
        <v>201507</v>
      </c>
      <c r="B561" s="109" t="s">
        <v>239</v>
      </c>
      <c r="C561" s="108">
        <v>0</v>
      </c>
      <c r="D561" s="110"/>
      <c r="E561" t="str">
        <f>VLOOKUP(B561,CAC!$A$2:$B$198,2,FALSE)</f>
        <v>DOISG</v>
      </c>
    </row>
    <row r="562" spans="1:5" x14ac:dyDescent="0.25">
      <c r="A562" s="108">
        <v>201507</v>
      </c>
      <c r="B562" s="109" t="s">
        <v>247</v>
      </c>
      <c r="C562" s="108">
        <v>0</v>
      </c>
      <c r="D562" s="110"/>
      <c r="E562" t="str">
        <f>VLOOKUP(B562,CAC!$A$2:$B$198,2,FALSE)</f>
        <v>DOIIFP</v>
      </c>
    </row>
    <row r="563" spans="1:5" x14ac:dyDescent="0.25">
      <c r="A563" s="108">
        <v>201507</v>
      </c>
      <c r="B563" s="109" t="s">
        <v>238</v>
      </c>
      <c r="C563" s="108">
        <v>0</v>
      </c>
      <c r="D563" s="110"/>
      <c r="E563" t="str">
        <f>VLOOKUP(B563,CAC!$A$2:$B$198,2,FALSE)</f>
        <v>DOILG</v>
      </c>
    </row>
    <row r="564" spans="1:5" x14ac:dyDescent="0.25">
      <c r="A564" s="108">
        <v>201507</v>
      </c>
      <c r="B564" s="109" t="s">
        <v>248</v>
      </c>
      <c r="C564" s="108">
        <v>0</v>
      </c>
      <c r="D564" s="110"/>
      <c r="E564" t="str">
        <f>VLOOKUP(B564,CAC!$A$2:$B$198,2,FALSE)</f>
        <v>DOIIFP</v>
      </c>
    </row>
    <row r="565" spans="1:5" x14ac:dyDescent="0.25">
      <c r="A565" s="108">
        <v>201507</v>
      </c>
      <c r="B565" s="109" t="s">
        <v>325</v>
      </c>
      <c r="C565" s="108">
        <v>0</v>
      </c>
      <c r="D565" s="110"/>
      <c r="E565" t="e">
        <f>VLOOKUP(B565,CAC!$A$2:$B$198,2,FALSE)</f>
        <v>#N/A</v>
      </c>
    </row>
    <row r="566" spans="1:5" x14ac:dyDescent="0.25">
      <c r="A566" s="108">
        <v>201507</v>
      </c>
      <c r="B566" s="109" t="s">
        <v>255</v>
      </c>
      <c r="C566" s="108">
        <v>0</v>
      </c>
      <c r="D566" s="110"/>
      <c r="E566" t="str">
        <f>VLOOKUP(B566,CAC!$A$2:$B$198,2,FALSE)</f>
        <v>AGDMHC</v>
      </c>
    </row>
    <row r="567" spans="1:5" x14ac:dyDescent="0.25">
      <c r="A567" s="108">
        <v>201507</v>
      </c>
      <c r="B567" s="109" t="s">
        <v>256</v>
      </c>
      <c r="C567" s="108">
        <v>0</v>
      </c>
      <c r="D567" s="110"/>
      <c r="E567" t="str">
        <f>VLOOKUP(B567,CAC!$A$2:$B$198,2,FALSE)</f>
        <v>AGDMHC</v>
      </c>
    </row>
    <row r="568" spans="1:5" x14ac:dyDescent="0.25">
      <c r="A568" s="108">
        <v>201507</v>
      </c>
      <c r="B568" s="109" t="s">
        <v>275</v>
      </c>
      <c r="C568" s="108">
        <v>0</v>
      </c>
      <c r="D568" s="110"/>
      <c r="E568" t="str">
        <f>VLOOKUP(B568,CAC!$A$2:$B$198,2,FALSE)</f>
        <v>AGDMHC</v>
      </c>
    </row>
    <row r="569" spans="1:5" x14ac:dyDescent="0.25">
      <c r="A569" s="108">
        <v>201507</v>
      </c>
      <c r="B569" s="109" t="s">
        <v>257</v>
      </c>
      <c r="C569" s="108">
        <v>0</v>
      </c>
      <c r="D569" s="110"/>
      <c r="E569" t="str">
        <f>VLOOKUP(B569,CAC!$A$2:$B$198,2,FALSE)</f>
        <v>AGDMHC</v>
      </c>
    </row>
    <row r="570" spans="1:5" x14ac:dyDescent="0.25">
      <c r="A570" s="108">
        <v>201507</v>
      </c>
      <c r="B570" s="109" t="s">
        <v>258</v>
      </c>
      <c r="C570" s="108">
        <v>0</v>
      </c>
      <c r="D570" s="110"/>
      <c r="E570" t="str">
        <f>VLOOKUP(B570,CAC!$A$2:$B$198,2,FALSE)</f>
        <v>AGDMHC</v>
      </c>
    </row>
    <row r="571" spans="1:5" x14ac:dyDescent="0.25">
      <c r="A571" s="108">
        <v>201507</v>
      </c>
      <c r="B571" s="109" t="s">
        <v>262</v>
      </c>
      <c r="C571" s="108">
        <v>0</v>
      </c>
      <c r="D571" s="110"/>
      <c r="E571" t="str">
        <f>VLOOKUP(B571,CAC!$A$2:$B$198,2,FALSE)</f>
        <v>AGDMHC</v>
      </c>
    </row>
    <row r="572" spans="1:5" x14ac:dyDescent="0.25">
      <c r="A572" s="108">
        <v>201507</v>
      </c>
      <c r="B572" s="109" t="s">
        <v>269</v>
      </c>
      <c r="C572" s="108">
        <v>0</v>
      </c>
      <c r="D572" s="110"/>
      <c r="E572" t="str">
        <f>VLOOKUP(B572,CAC!$A$2:$B$198,2,FALSE)</f>
        <v>AGDMHC</v>
      </c>
    </row>
    <row r="573" spans="1:5" x14ac:dyDescent="0.25">
      <c r="A573" s="108">
        <v>201507</v>
      </c>
      <c r="B573" s="109" t="s">
        <v>319</v>
      </c>
      <c r="C573" s="108">
        <v>0</v>
      </c>
      <c r="D573" s="110"/>
      <c r="E573" t="e">
        <f>VLOOKUP(B573,CAC!$A$2:$B$198,2,FALSE)</f>
        <v>#N/A</v>
      </c>
    </row>
    <row r="574" spans="1:5" x14ac:dyDescent="0.25">
      <c r="A574" s="108">
        <v>201507</v>
      </c>
      <c r="B574" s="109" t="s">
        <v>265</v>
      </c>
      <c r="C574" s="108">
        <v>0</v>
      </c>
      <c r="D574" s="110"/>
      <c r="E574" t="str">
        <f>VLOOKUP(B574,CAC!$A$2:$B$198,2,FALSE)</f>
        <v>AGDMHC</v>
      </c>
    </row>
    <row r="575" spans="1:5" x14ac:dyDescent="0.25">
      <c r="A575" s="108">
        <v>201507</v>
      </c>
      <c r="B575" s="109" t="s">
        <v>266</v>
      </c>
      <c r="C575" s="108">
        <v>0</v>
      </c>
      <c r="D575" s="110"/>
      <c r="E575" t="str">
        <f>VLOOKUP(B575,CAC!$A$2:$B$198,2,FALSE)</f>
        <v>AGDMHC</v>
      </c>
    </row>
    <row r="576" spans="1:5" x14ac:dyDescent="0.25">
      <c r="A576" s="108">
        <v>201507</v>
      </c>
      <c r="B576" s="109" t="s">
        <v>267</v>
      </c>
      <c r="C576" s="108">
        <v>0</v>
      </c>
      <c r="D576" s="110"/>
      <c r="E576" t="str">
        <f>VLOOKUP(B576,CAC!$A$2:$B$198,2,FALSE)</f>
        <v>AGDMHC</v>
      </c>
    </row>
    <row r="577" spans="1:5" x14ac:dyDescent="0.25">
      <c r="A577" s="108">
        <v>201507</v>
      </c>
      <c r="B577" s="109" t="s">
        <v>268</v>
      </c>
      <c r="C577" s="108">
        <v>0</v>
      </c>
      <c r="D577" s="110"/>
      <c r="E577" t="str">
        <f>VLOOKUP(B577,CAC!$A$2:$B$198,2,FALSE)</f>
        <v>AGDMHC</v>
      </c>
    </row>
    <row r="578" spans="1:5" x14ac:dyDescent="0.25">
      <c r="A578" s="108">
        <v>201507</v>
      </c>
      <c r="B578" s="109" t="s">
        <v>52</v>
      </c>
      <c r="C578" s="108">
        <v>15393</v>
      </c>
      <c r="D578" s="110"/>
      <c r="E578" t="str">
        <f>VLOOKUP(B578,CAC!$A$2:$B$198,2,FALSE)</f>
        <v>HMOPMR</v>
      </c>
    </row>
    <row r="579" spans="1:5" x14ac:dyDescent="0.25">
      <c r="A579" s="108">
        <v>201507</v>
      </c>
      <c r="B579" s="109" t="s">
        <v>53</v>
      </c>
      <c r="C579" s="108">
        <v>4563</v>
      </c>
      <c r="D579" s="110"/>
      <c r="E579" t="str">
        <f>VLOOKUP(B579,CAC!$A$2:$B$198,2,FALSE)</f>
        <v>HMOPMR</v>
      </c>
    </row>
    <row r="580" spans="1:5" x14ac:dyDescent="0.25">
      <c r="A580" s="108">
        <v>201507</v>
      </c>
      <c r="B580" s="109" t="s">
        <v>54</v>
      </c>
      <c r="C580" s="108">
        <v>6584</v>
      </c>
      <c r="D580" s="110"/>
      <c r="E580" t="str">
        <f>VLOOKUP(B580,CAC!$A$2:$B$198,2,FALSE)</f>
        <v>HMOFEP</v>
      </c>
    </row>
    <row r="581" spans="1:5" x14ac:dyDescent="0.25">
      <c r="A581" s="108">
        <v>201507</v>
      </c>
      <c r="B581" s="109" t="s">
        <v>279</v>
      </c>
      <c r="C581" s="108">
        <v>0</v>
      </c>
      <c r="D581" s="110"/>
      <c r="E581" t="str">
        <f>VLOOKUP(B581,CAC!$A$2:$B$198,2,FALSE)</f>
        <v>PPOFEP</v>
      </c>
    </row>
    <row r="582" spans="1:5" x14ac:dyDescent="0.25">
      <c r="A582" s="108">
        <v>201507</v>
      </c>
      <c r="B582" s="109" t="s">
        <v>202</v>
      </c>
      <c r="C582" s="108">
        <v>0</v>
      </c>
      <c r="D582" s="110"/>
      <c r="E582" t="str">
        <f>VLOOKUP(B582,CAC!$A$2:$B$198,2,FALSE)</f>
        <v>PPOPMR</v>
      </c>
    </row>
    <row r="583" spans="1:5" x14ac:dyDescent="0.25">
      <c r="A583" s="108">
        <v>201507</v>
      </c>
      <c r="B583" s="109" t="s">
        <v>55</v>
      </c>
      <c r="C583" s="108">
        <v>15153</v>
      </c>
      <c r="D583" s="110"/>
      <c r="E583" t="str">
        <f>VLOOKUP(B583,CAC!$A$2:$B$198,2,FALSE)</f>
        <v>HMOPMR</v>
      </c>
    </row>
    <row r="584" spans="1:5" x14ac:dyDescent="0.25">
      <c r="A584" s="108">
        <v>201507</v>
      </c>
      <c r="B584" s="109" t="s">
        <v>56</v>
      </c>
      <c r="C584" s="108">
        <v>130</v>
      </c>
      <c r="D584" s="110"/>
      <c r="E584" t="str">
        <f>VLOOKUP(B584,CAC!$A$2:$B$198,2,FALSE)</f>
        <v>HMOPMR</v>
      </c>
    </row>
    <row r="585" spans="1:5" x14ac:dyDescent="0.25">
      <c r="A585" s="108">
        <v>201507</v>
      </c>
      <c r="B585" s="109" t="s">
        <v>57</v>
      </c>
      <c r="C585" s="108">
        <v>6358</v>
      </c>
      <c r="D585" s="110"/>
      <c r="E585" t="str">
        <f>VLOOKUP(B585,CAC!$A$2:$B$198,2,FALSE)</f>
        <v>HMFLEX</v>
      </c>
    </row>
    <row r="586" spans="1:5" x14ac:dyDescent="0.25">
      <c r="A586" s="108">
        <v>201507</v>
      </c>
      <c r="B586" s="109" t="s">
        <v>58</v>
      </c>
      <c r="C586" s="108">
        <v>418</v>
      </c>
      <c r="D586" s="110"/>
      <c r="E586" t="str">
        <f>VLOOKUP(B586,CAC!$A$2:$B$198,2,FALSE)</f>
        <v>HMFLEX</v>
      </c>
    </row>
    <row r="587" spans="1:5" x14ac:dyDescent="0.25">
      <c r="A587" s="108">
        <v>201507</v>
      </c>
      <c r="B587" s="109" t="s">
        <v>59</v>
      </c>
      <c r="C587" s="108">
        <v>10</v>
      </c>
      <c r="D587" s="110"/>
      <c r="E587" t="str">
        <f>VLOOKUP(B587,CAC!$A$2:$B$198,2,FALSE)</f>
        <v>HMFLEX</v>
      </c>
    </row>
    <row r="588" spans="1:5" x14ac:dyDescent="0.25">
      <c r="A588" s="108">
        <v>201507</v>
      </c>
      <c r="B588" s="109" t="s">
        <v>306</v>
      </c>
      <c r="C588" s="108">
        <v>0</v>
      </c>
      <c r="D588" s="110"/>
      <c r="E588" t="e">
        <f>VLOOKUP(B588,CAC!$A$2:$B$198,2,FALSE)</f>
        <v>#N/A</v>
      </c>
    </row>
    <row r="589" spans="1:5" x14ac:dyDescent="0.25">
      <c r="A589" s="108">
        <v>201507</v>
      </c>
      <c r="B589" s="109" t="s">
        <v>283</v>
      </c>
      <c r="C589" s="108">
        <v>0</v>
      </c>
      <c r="D589" s="110"/>
      <c r="E589" t="str">
        <f>VLOOKUP(B589,CAC!$A$2:$B$198,2,FALSE)</f>
        <v>HMFLEX</v>
      </c>
    </row>
    <row r="590" spans="1:5" x14ac:dyDescent="0.25">
      <c r="A590" s="108">
        <v>201507</v>
      </c>
      <c r="B590" s="109" t="s">
        <v>205</v>
      </c>
      <c r="C590" s="108">
        <v>0</v>
      </c>
      <c r="D590" s="110"/>
      <c r="E590" t="str">
        <f>VLOOKUP(B590,CAC!$A$2:$B$198,2,FALSE)</f>
        <v>PPOPMR</v>
      </c>
    </row>
    <row r="591" spans="1:5" x14ac:dyDescent="0.25">
      <c r="A591" s="108">
        <v>201507</v>
      </c>
      <c r="B591" s="109" t="s">
        <v>286</v>
      </c>
      <c r="C591" s="108">
        <v>0</v>
      </c>
      <c r="D591" s="110"/>
      <c r="E591" t="str">
        <f>VLOOKUP(B591,CAC!$A$2:$B$198,2,FALSE)</f>
        <v>HMFLEX</v>
      </c>
    </row>
    <row r="592" spans="1:5" x14ac:dyDescent="0.25">
      <c r="A592" s="108">
        <v>201507</v>
      </c>
      <c r="B592" s="109" t="s">
        <v>60</v>
      </c>
      <c r="C592" s="108">
        <v>11356</v>
      </c>
      <c r="D592" s="110"/>
      <c r="E592" t="str">
        <f>VLOOKUP(B592,CAC!$A$2:$B$198,2,FALSE)</f>
        <v>HMOLG</v>
      </c>
    </row>
    <row r="593" spans="1:5" x14ac:dyDescent="0.25">
      <c r="A593" s="108">
        <v>201507</v>
      </c>
      <c r="B593" s="109" t="s">
        <v>61</v>
      </c>
      <c r="C593" s="108">
        <v>686</v>
      </c>
      <c r="D593" s="110"/>
      <c r="E593" t="str">
        <f>VLOOKUP(B593,CAC!$A$2:$B$198,2,FALSE)</f>
        <v>HMOLG</v>
      </c>
    </row>
    <row r="594" spans="1:5" x14ac:dyDescent="0.25">
      <c r="A594" s="108">
        <v>201507</v>
      </c>
      <c r="B594" s="109" t="s">
        <v>62</v>
      </c>
      <c r="C594" s="108">
        <v>25581</v>
      </c>
      <c r="D594" s="110"/>
      <c r="E594" t="str">
        <f>VLOOKUP(B594,CAC!$A$2:$B$198,2,FALSE)</f>
        <v>HMOLG</v>
      </c>
    </row>
    <row r="595" spans="1:5" x14ac:dyDescent="0.25">
      <c r="A595" s="108">
        <v>201507</v>
      </c>
      <c r="B595" s="109" t="s">
        <v>63</v>
      </c>
      <c r="C595" s="108">
        <v>329</v>
      </c>
      <c r="D595" s="110"/>
      <c r="E595" t="str">
        <f>VLOOKUP(B595,CAC!$A$2:$B$198,2,FALSE)</f>
        <v>HMOLG</v>
      </c>
    </row>
    <row r="596" spans="1:5" x14ac:dyDescent="0.25">
      <c r="A596" s="108">
        <v>201507</v>
      </c>
      <c r="B596" s="109" t="s">
        <v>64</v>
      </c>
      <c r="C596" s="108">
        <v>0</v>
      </c>
      <c r="D596" s="110"/>
      <c r="E596" t="str">
        <f>VLOOKUP(B596,CAC!$A$2:$B$198,2,FALSE)</f>
        <v>HMOLG</v>
      </c>
    </row>
    <row r="597" spans="1:5" x14ac:dyDescent="0.25">
      <c r="A597" s="108">
        <v>201507</v>
      </c>
      <c r="B597" s="109" t="s">
        <v>65</v>
      </c>
      <c r="C597" s="108">
        <v>215</v>
      </c>
      <c r="D597" s="110"/>
      <c r="E597" t="str">
        <f>VLOOKUP(B597,CAC!$A$2:$B$198,2,FALSE)</f>
        <v>HMFLEX</v>
      </c>
    </row>
    <row r="598" spans="1:5" x14ac:dyDescent="0.25">
      <c r="A598" s="108">
        <v>201507</v>
      </c>
      <c r="B598" s="109" t="s">
        <v>307</v>
      </c>
      <c r="C598" s="108">
        <v>0</v>
      </c>
      <c r="D598" s="110"/>
      <c r="E598" t="e">
        <f>VLOOKUP(B598,CAC!$A$2:$B$198,2,FALSE)</f>
        <v>#N/A</v>
      </c>
    </row>
    <row r="599" spans="1:5" x14ac:dyDescent="0.25">
      <c r="A599" s="108">
        <v>201507</v>
      </c>
      <c r="B599" s="109" t="s">
        <v>308</v>
      </c>
      <c r="C599" s="108">
        <v>0</v>
      </c>
      <c r="D599" s="110"/>
      <c r="E599" t="e">
        <f>VLOOKUP(B599,CAC!$A$2:$B$198,2,FALSE)</f>
        <v>#N/A</v>
      </c>
    </row>
    <row r="600" spans="1:5" x14ac:dyDescent="0.25">
      <c r="A600" s="108">
        <v>201507</v>
      </c>
      <c r="B600" s="109" t="s">
        <v>309</v>
      </c>
      <c r="C600" s="108">
        <v>0</v>
      </c>
      <c r="D600" s="110"/>
      <c r="E600" t="e">
        <f>VLOOKUP(B600,CAC!$A$2:$B$198,2,FALSE)</f>
        <v>#N/A</v>
      </c>
    </row>
    <row r="601" spans="1:5" x14ac:dyDescent="0.25">
      <c r="A601" s="108">
        <v>201507</v>
      </c>
      <c r="B601" s="109" t="s">
        <v>99</v>
      </c>
      <c r="C601" s="108">
        <v>0</v>
      </c>
      <c r="D601" s="110"/>
      <c r="E601" t="str">
        <f>VLOOKUP(B601,CAC!$A$2:$B$198,2,FALSE)</f>
        <v>PPOLG</v>
      </c>
    </row>
    <row r="602" spans="1:5" x14ac:dyDescent="0.25">
      <c r="A602" s="108">
        <v>201507</v>
      </c>
      <c r="B602" s="109" t="s">
        <v>193</v>
      </c>
      <c r="C602" s="108">
        <v>0</v>
      </c>
      <c r="D602" s="110"/>
      <c r="E602" t="str">
        <f>VLOOKUP(B602,CAC!$A$2:$B$198,2,FALSE)</f>
        <v>PPOLG</v>
      </c>
    </row>
    <row r="603" spans="1:5" x14ac:dyDescent="0.25">
      <c r="A603" s="108">
        <v>201507</v>
      </c>
      <c r="B603" s="109" t="s">
        <v>196</v>
      </c>
      <c r="C603" s="108">
        <v>0</v>
      </c>
      <c r="D603" s="110"/>
      <c r="E603" t="str">
        <f>VLOOKUP(B603,CAC!$A$2:$B$198,2,FALSE)</f>
        <v>PPOLG</v>
      </c>
    </row>
    <row r="604" spans="1:5" x14ac:dyDescent="0.25">
      <c r="A604" s="108">
        <v>201507</v>
      </c>
      <c r="B604" s="109" t="s">
        <v>212</v>
      </c>
      <c r="C604" s="108">
        <v>0</v>
      </c>
      <c r="D604" s="110"/>
      <c r="E604" t="str">
        <f>VLOOKUP(B604,CAC!$A$2:$B$198,2,FALSE)</f>
        <v>PPOMM</v>
      </c>
    </row>
    <row r="605" spans="1:5" x14ac:dyDescent="0.25">
      <c r="A605" s="108">
        <v>201507</v>
      </c>
      <c r="B605" s="109" t="s">
        <v>213</v>
      </c>
      <c r="C605" s="108">
        <v>0</v>
      </c>
      <c r="D605" s="110"/>
      <c r="E605" t="str">
        <f>VLOOKUP(B605,CAC!$A$2:$B$198,2,FALSE)</f>
        <v>PPOMM</v>
      </c>
    </row>
    <row r="606" spans="1:5" x14ac:dyDescent="0.25">
      <c r="A606" s="108">
        <v>201507</v>
      </c>
      <c r="B606" s="109" t="s">
        <v>311</v>
      </c>
      <c r="C606" s="108">
        <v>0</v>
      </c>
      <c r="D606" s="110"/>
      <c r="E606" t="e">
        <f>VLOOKUP(B606,CAC!$A$2:$B$198,2,FALSE)</f>
        <v>#N/A</v>
      </c>
    </row>
    <row r="607" spans="1:5" x14ac:dyDescent="0.25">
      <c r="A607" s="108">
        <v>201507</v>
      </c>
      <c r="B607" s="109" t="s">
        <v>320</v>
      </c>
      <c r="C607" s="108">
        <v>0</v>
      </c>
      <c r="D607" s="110"/>
      <c r="E607" t="e">
        <f>VLOOKUP(B607,CAC!$A$2:$B$198,2,FALSE)</f>
        <v>#N/A</v>
      </c>
    </row>
    <row r="608" spans="1:5" x14ac:dyDescent="0.25">
      <c r="A608" s="108">
        <v>201507</v>
      </c>
      <c r="B608" s="109" t="s">
        <v>321</v>
      </c>
      <c r="C608" s="108">
        <v>0</v>
      </c>
      <c r="D608" s="110"/>
      <c r="E608" t="e">
        <f>VLOOKUP(B608,CAC!$A$2:$B$198,2,FALSE)</f>
        <v>#N/A</v>
      </c>
    </row>
    <row r="609" spans="1:5" x14ac:dyDescent="0.25">
      <c r="A609" s="108">
        <v>201507</v>
      </c>
      <c r="B609" s="109" t="s">
        <v>312</v>
      </c>
      <c r="C609" s="108">
        <v>0</v>
      </c>
      <c r="D609" s="110"/>
      <c r="E609" t="e">
        <f>VLOOKUP(B609,CAC!$A$2:$B$198,2,FALSE)</f>
        <v>#N/A</v>
      </c>
    </row>
    <row r="610" spans="1:5" x14ac:dyDescent="0.25">
      <c r="A610" s="108">
        <v>201507</v>
      </c>
      <c r="B610" s="109" t="s">
        <v>313</v>
      </c>
      <c r="C610" s="108">
        <v>0</v>
      </c>
      <c r="D610" s="110"/>
      <c r="E610" t="e">
        <f>VLOOKUP(B610,CAC!$A$2:$B$198,2,FALSE)</f>
        <v>#N/A</v>
      </c>
    </row>
    <row r="611" spans="1:5" x14ac:dyDescent="0.25">
      <c r="A611" s="108">
        <v>201507</v>
      </c>
      <c r="B611" s="109" t="s">
        <v>215</v>
      </c>
      <c r="C611" s="108">
        <v>0</v>
      </c>
      <c r="D611" s="110"/>
      <c r="E611" t="str">
        <f>VLOOKUP(B611,CAC!$A$2:$B$198,2,FALSE)</f>
        <v>PPOMM</v>
      </c>
    </row>
    <row r="612" spans="1:5" x14ac:dyDescent="0.25">
      <c r="A612" s="108">
        <v>201507</v>
      </c>
      <c r="B612" s="109" t="s">
        <v>66</v>
      </c>
      <c r="C612" s="108">
        <v>3576</v>
      </c>
      <c r="D612" s="110"/>
      <c r="E612" t="str">
        <f>VLOOKUP(B612,CAC!$A$2:$B$198,2,FALSE)</f>
        <v>HMOLG</v>
      </c>
    </row>
    <row r="613" spans="1:5" x14ac:dyDescent="0.25">
      <c r="A613" s="108">
        <v>201507</v>
      </c>
      <c r="B613" s="109" t="s">
        <v>82</v>
      </c>
      <c r="C613" s="108">
        <v>0</v>
      </c>
      <c r="D613" s="110"/>
      <c r="E613" t="str">
        <f>VLOOKUP(B613,CAC!$A$2:$B$198,2,FALSE)</f>
        <v>NATPAR</v>
      </c>
    </row>
    <row r="614" spans="1:5" x14ac:dyDescent="0.25">
      <c r="A614" s="108">
        <v>201507</v>
      </c>
      <c r="B614" s="109" t="s">
        <v>67</v>
      </c>
      <c r="C614" s="108">
        <v>129</v>
      </c>
      <c r="D614" s="110"/>
      <c r="E614" t="str">
        <f>VLOOKUP(B614,CAC!$A$2:$B$198,2,FALSE)</f>
        <v>HMOLG</v>
      </c>
    </row>
    <row r="615" spans="1:5" x14ac:dyDescent="0.25">
      <c r="A615" s="108">
        <v>201507</v>
      </c>
      <c r="B615" s="109" t="s">
        <v>68</v>
      </c>
      <c r="C615" s="108">
        <v>276</v>
      </c>
      <c r="D615" s="110"/>
      <c r="E615" t="str">
        <f>VLOOKUP(B615,CAC!$A$2:$B$198,2,FALSE)</f>
        <v>HMOPMR</v>
      </c>
    </row>
    <row r="616" spans="1:5" x14ac:dyDescent="0.25">
      <c r="A616" s="108">
        <v>201507</v>
      </c>
      <c r="B616" s="109" t="s">
        <v>69</v>
      </c>
      <c r="C616" s="108">
        <v>9668</v>
      </c>
      <c r="D616" s="110"/>
      <c r="E616" t="str">
        <f>VLOOKUP(B616,CAC!$A$2:$B$198,2,FALSE)</f>
        <v>HMOPMR</v>
      </c>
    </row>
    <row r="617" spans="1:5" x14ac:dyDescent="0.25">
      <c r="A617" s="108">
        <v>201507</v>
      </c>
      <c r="B617" s="109" t="s">
        <v>70</v>
      </c>
      <c r="C617" s="108">
        <v>4082</v>
      </c>
      <c r="D617" s="110"/>
      <c r="E617" t="str">
        <f>VLOOKUP(B617,CAC!$A$2:$B$198,2,FALSE)</f>
        <v>HMOPMR</v>
      </c>
    </row>
    <row r="618" spans="1:5" x14ac:dyDescent="0.25">
      <c r="A618" s="108">
        <v>201507</v>
      </c>
      <c r="B618" s="109" t="s">
        <v>71</v>
      </c>
      <c r="C618" s="108">
        <v>6470</v>
      </c>
      <c r="D618" s="110"/>
      <c r="E618" t="str">
        <f>VLOOKUP(B618,CAC!$A$2:$B$198,2,FALSE)</f>
        <v>HMOPMR</v>
      </c>
    </row>
    <row r="619" spans="1:5" x14ac:dyDescent="0.25">
      <c r="A619" s="108">
        <v>201507</v>
      </c>
      <c r="B619" s="109" t="s">
        <v>72</v>
      </c>
      <c r="C619" s="108">
        <v>2205</v>
      </c>
      <c r="D619" s="110"/>
      <c r="E619" t="str">
        <f>VLOOKUP(B619,CAC!$A$2:$B$198,2,FALSE)</f>
        <v>HMFLEX</v>
      </c>
    </row>
    <row r="620" spans="1:5" x14ac:dyDescent="0.25">
      <c r="A620" s="108">
        <v>201507</v>
      </c>
      <c r="B620" s="109" t="s">
        <v>314</v>
      </c>
      <c r="C620" s="108">
        <v>0</v>
      </c>
      <c r="D620" s="110"/>
      <c r="E620" t="e">
        <f>VLOOKUP(B620,CAC!$A$2:$B$198,2,FALSE)</f>
        <v>#N/A</v>
      </c>
    </row>
    <row r="621" spans="1:5" x14ac:dyDescent="0.25">
      <c r="A621" s="108">
        <v>201507</v>
      </c>
      <c r="B621" s="109" t="s">
        <v>322</v>
      </c>
      <c r="C621" s="108">
        <v>0</v>
      </c>
      <c r="D621" s="110"/>
      <c r="E621" t="e">
        <f>VLOOKUP(B621,CAC!$A$2:$B$198,2,FALSE)</f>
        <v>#N/A</v>
      </c>
    </row>
    <row r="622" spans="1:5" x14ac:dyDescent="0.25">
      <c r="A622" s="108">
        <v>201507</v>
      </c>
      <c r="B622" s="109" t="s">
        <v>315</v>
      </c>
      <c r="C622" s="108">
        <v>0</v>
      </c>
      <c r="D622" s="110"/>
      <c r="E622" t="e">
        <f>VLOOKUP(B622,CAC!$A$2:$B$198,2,FALSE)</f>
        <v>#N/A</v>
      </c>
    </row>
    <row r="623" spans="1:5" x14ac:dyDescent="0.25">
      <c r="A623" s="108">
        <v>201507</v>
      </c>
      <c r="B623" s="109" t="s">
        <v>112</v>
      </c>
      <c r="C623" s="108">
        <v>0</v>
      </c>
      <c r="D623" s="110"/>
      <c r="E623" t="e">
        <f>VLOOKUP(B623,CAC!$A$2:$B$198,2,FALSE)</f>
        <v>#N/A</v>
      </c>
    </row>
    <row r="624" spans="1:5" x14ac:dyDescent="0.25">
      <c r="A624" s="108">
        <v>201507</v>
      </c>
      <c r="B624" s="109" t="s">
        <v>316</v>
      </c>
      <c r="C624" s="108">
        <v>0</v>
      </c>
      <c r="D624" s="110"/>
      <c r="E624" t="e">
        <f>VLOOKUP(B624,CAC!$A$2:$B$198,2,FALSE)</f>
        <v>#N/A</v>
      </c>
    </row>
    <row r="625" spans="1:5" x14ac:dyDescent="0.25">
      <c r="A625" s="108">
        <v>201507</v>
      </c>
      <c r="B625" s="109" t="s">
        <v>317</v>
      </c>
      <c r="C625" s="108">
        <v>0</v>
      </c>
      <c r="D625" s="110"/>
      <c r="E625" t="e">
        <f>VLOOKUP(B625,CAC!$A$2:$B$198,2,FALSE)</f>
        <v>#N/A</v>
      </c>
    </row>
    <row r="626" spans="1:5" x14ac:dyDescent="0.25">
      <c r="A626" s="108">
        <v>201507</v>
      </c>
      <c r="B626" s="109" t="s">
        <v>113</v>
      </c>
      <c r="C626" s="108">
        <v>0</v>
      </c>
      <c r="D626" s="110"/>
      <c r="E626" t="str">
        <f>VLOOKUP(B626,CAC!$A$2:$B$198,2,FALSE)</f>
        <v>PPOLG</v>
      </c>
    </row>
    <row r="627" spans="1:5" x14ac:dyDescent="0.25">
      <c r="A627" s="108">
        <v>201507</v>
      </c>
      <c r="B627" s="109" t="s">
        <v>294</v>
      </c>
      <c r="C627" s="108">
        <v>0</v>
      </c>
      <c r="D627" s="110"/>
      <c r="E627" t="str">
        <f>VLOOKUP(B627,CAC!$A$2:$B$198,2,FALSE)</f>
        <v>NATPAR</v>
      </c>
    </row>
    <row r="628" spans="1:5" x14ac:dyDescent="0.25">
      <c r="A628" s="108">
        <v>201507</v>
      </c>
      <c r="B628" s="109" t="s">
        <v>208</v>
      </c>
      <c r="C628" s="108">
        <v>0</v>
      </c>
      <c r="D628" s="110"/>
      <c r="E628" t="str">
        <f>VLOOKUP(B628,CAC!$A$2:$B$198,2,FALSE)</f>
        <v>PPOPMR</v>
      </c>
    </row>
    <row r="629" spans="1:5" x14ac:dyDescent="0.25">
      <c r="A629" s="108">
        <v>201507</v>
      </c>
      <c r="B629" s="109" t="s">
        <v>209</v>
      </c>
      <c r="C629" s="108">
        <v>0</v>
      </c>
      <c r="D629" s="110"/>
      <c r="E629" t="str">
        <f>VLOOKUP(B629,CAC!$A$2:$B$198,2,FALSE)</f>
        <v>PPOPMR</v>
      </c>
    </row>
    <row r="630" spans="1:5" x14ac:dyDescent="0.25">
      <c r="A630" s="108">
        <v>201507</v>
      </c>
      <c r="B630" s="109" t="s">
        <v>204</v>
      </c>
      <c r="C630" s="108">
        <v>0</v>
      </c>
      <c r="D630" s="110"/>
      <c r="E630" t="str">
        <f>VLOOKUP(B630,CAC!$A$2:$B$198,2,FALSE)</f>
        <v>PPOPMR</v>
      </c>
    </row>
    <row r="631" spans="1:5" x14ac:dyDescent="0.25">
      <c r="A631" s="108">
        <v>201507</v>
      </c>
      <c r="B631" s="109" t="s">
        <v>73</v>
      </c>
      <c r="C631" s="108">
        <v>33633</v>
      </c>
      <c r="D631" s="108">
        <v>6376</v>
      </c>
      <c r="E631" t="str">
        <f>VLOOKUP(B631,CAC!$A$2:$B$198,2,FALSE)</f>
        <v>HMOPERA</v>
      </c>
    </row>
    <row r="632" spans="1:5" x14ac:dyDescent="0.25">
      <c r="A632" s="108">
        <v>201507</v>
      </c>
      <c r="B632" s="109" t="s">
        <v>74</v>
      </c>
      <c r="C632" s="108">
        <v>3829</v>
      </c>
      <c r="D632" s="108">
        <v>2388</v>
      </c>
      <c r="E632" t="str">
        <f>VLOOKUP(B632,CAC!$A$2:$B$198,2,FALSE)</f>
        <v>PERMEDA</v>
      </c>
    </row>
    <row r="633" spans="1:5" x14ac:dyDescent="0.25">
      <c r="A633" s="108">
        <v>201507</v>
      </c>
      <c r="B633" s="109" t="s">
        <v>75</v>
      </c>
      <c r="C633" s="108">
        <v>39906</v>
      </c>
      <c r="D633" s="108">
        <v>20229</v>
      </c>
      <c r="E633" t="str">
        <f>VLOOKUP(B633,CAC!$A$2:$B$198,2,FALSE)</f>
        <v>HMOPERN</v>
      </c>
    </row>
    <row r="634" spans="1:5" x14ac:dyDescent="0.25">
      <c r="A634" s="108">
        <v>201507</v>
      </c>
      <c r="B634" s="109" t="s">
        <v>76</v>
      </c>
      <c r="C634" s="108">
        <v>529</v>
      </c>
      <c r="D634" s="108">
        <v>1728</v>
      </c>
      <c r="E634" t="str">
        <f>VLOOKUP(B634,CAC!$A$2:$B$198,2,FALSE)</f>
        <v>PERMEDN</v>
      </c>
    </row>
    <row r="635" spans="1:5" x14ac:dyDescent="0.25">
      <c r="A635" s="108">
        <v>201507</v>
      </c>
      <c r="B635" s="109" t="s">
        <v>218</v>
      </c>
      <c r="C635" s="108">
        <v>0</v>
      </c>
      <c r="D635" s="110"/>
      <c r="E635" t="str">
        <f>VLOOKUP(B635,CAC!$A$2:$B$198,2,FALSE)</f>
        <v>HMOPERA</v>
      </c>
    </row>
    <row r="636" spans="1:5" x14ac:dyDescent="0.25">
      <c r="A636" s="108">
        <v>201507</v>
      </c>
      <c r="B636" s="109" t="s">
        <v>181</v>
      </c>
      <c r="C636" s="108">
        <v>0</v>
      </c>
      <c r="D636" s="110"/>
      <c r="E636" t="str">
        <f>VLOOKUP(B636,CAC!$A$2:$B$198,2,FALSE)</f>
        <v>PERMEDA</v>
      </c>
    </row>
    <row r="637" spans="1:5" x14ac:dyDescent="0.25">
      <c r="A637" s="108">
        <v>201507</v>
      </c>
      <c r="B637" s="109" t="s">
        <v>156</v>
      </c>
      <c r="C637" s="108">
        <v>21094</v>
      </c>
      <c r="D637" s="110"/>
      <c r="E637" t="str">
        <f>VLOOKUP(B637,CAC!$A$2:$B$198,2,FALSE)</f>
        <v>HMOMM</v>
      </c>
    </row>
    <row r="638" spans="1:5" x14ac:dyDescent="0.25">
      <c r="A638" s="108">
        <v>201507</v>
      </c>
      <c r="B638" s="109" t="s">
        <v>162</v>
      </c>
      <c r="C638" s="108">
        <v>384</v>
      </c>
      <c r="D638" s="110"/>
      <c r="E638" t="str">
        <f>VLOOKUP(B638,CAC!$A$2:$B$198,2,FALSE)</f>
        <v>HMOMG</v>
      </c>
    </row>
    <row r="639" spans="1:5" x14ac:dyDescent="0.25">
      <c r="A639" s="108">
        <v>201507</v>
      </c>
      <c r="B639" s="109" t="s">
        <v>163</v>
      </c>
      <c r="C639" s="108">
        <v>97</v>
      </c>
      <c r="D639" s="110"/>
      <c r="E639" t="str">
        <f>VLOOKUP(B639,CAC!$A$2:$B$198,2,FALSE)</f>
        <v>HMOMG</v>
      </c>
    </row>
    <row r="640" spans="1:5" x14ac:dyDescent="0.25">
      <c r="A640" s="108">
        <v>201507</v>
      </c>
      <c r="B640" s="109" t="s">
        <v>164</v>
      </c>
      <c r="C640" s="108">
        <v>0</v>
      </c>
      <c r="D640" s="110"/>
      <c r="E640" t="str">
        <f>VLOOKUP(B640,CAC!$A$2:$B$198,2,FALSE)</f>
        <v>HMOMG</v>
      </c>
    </row>
    <row r="641" spans="1:5" x14ac:dyDescent="0.25">
      <c r="A641" s="108">
        <v>201507</v>
      </c>
      <c r="B641" s="109" t="s">
        <v>161</v>
      </c>
      <c r="C641" s="108">
        <v>4205</v>
      </c>
      <c r="D641" s="110"/>
      <c r="E641" t="str">
        <f>VLOOKUP(B641,CAC!$A$2:$B$198,2,FALSE)</f>
        <v>PERMAPD</v>
      </c>
    </row>
    <row r="642" spans="1:5" x14ac:dyDescent="0.25">
      <c r="A642" s="108">
        <v>201507</v>
      </c>
      <c r="B642" s="109" t="s">
        <v>77</v>
      </c>
      <c r="C642" s="108">
        <v>18079</v>
      </c>
      <c r="D642" s="110"/>
      <c r="E642" t="str">
        <f>VLOOKUP(B642,CAC!$A$2:$B$198,2,FALSE)</f>
        <v>HMOSG</v>
      </c>
    </row>
    <row r="643" spans="1:5" x14ac:dyDescent="0.25">
      <c r="A643" s="108">
        <v>201507</v>
      </c>
      <c r="B643" s="109" t="s">
        <v>78</v>
      </c>
      <c r="C643" s="108">
        <v>354</v>
      </c>
      <c r="D643" s="110"/>
      <c r="E643" t="str">
        <f>VLOOKUP(B643,CAC!$A$2:$B$198,2,FALSE)</f>
        <v>HMOSG</v>
      </c>
    </row>
    <row r="644" spans="1:5" x14ac:dyDescent="0.25">
      <c r="A644" s="108">
        <v>201507</v>
      </c>
      <c r="B644" s="109" t="s">
        <v>79</v>
      </c>
      <c r="C644" s="108">
        <v>62</v>
      </c>
      <c r="D644" s="110"/>
      <c r="E644" t="str">
        <f>VLOOKUP(B644,CAC!$A$2:$B$198,2,FALSE)</f>
        <v>HMOSG</v>
      </c>
    </row>
    <row r="645" spans="1:5" x14ac:dyDescent="0.25">
      <c r="A645" s="108">
        <v>201507</v>
      </c>
      <c r="B645" s="109" t="s">
        <v>222</v>
      </c>
      <c r="C645" s="108">
        <v>0</v>
      </c>
      <c r="D645" s="110"/>
      <c r="E645" t="str">
        <f>VLOOKUP(B645,CAC!$A$2:$B$198,2,FALSE)</f>
        <v>PPOSG</v>
      </c>
    </row>
    <row r="646" spans="1:5" x14ac:dyDescent="0.25">
      <c r="A646" s="108">
        <v>201507</v>
      </c>
      <c r="B646" s="109" t="s">
        <v>225</v>
      </c>
      <c r="C646" s="108">
        <v>0</v>
      </c>
      <c r="D646" s="110"/>
      <c r="E646" t="str">
        <f>VLOOKUP(B646,CAC!$A$2:$B$198,2,FALSE)</f>
        <v>PPOSG</v>
      </c>
    </row>
    <row r="647" spans="1:5" x14ac:dyDescent="0.25">
      <c r="A647" s="108">
        <v>201507</v>
      </c>
      <c r="B647" s="109" t="s">
        <v>226</v>
      </c>
      <c r="C647" s="108">
        <v>0</v>
      </c>
      <c r="D647" s="110"/>
      <c r="E647" t="str">
        <f>VLOOKUP(B647,CAC!$A$2:$B$198,2,FALSE)</f>
        <v>PPOSG</v>
      </c>
    </row>
    <row r="648" spans="1:5" x14ac:dyDescent="0.25">
      <c r="A648" s="108">
        <v>201507</v>
      </c>
      <c r="B648" s="109" t="s">
        <v>80</v>
      </c>
      <c r="C648" s="108">
        <v>10</v>
      </c>
      <c r="D648" s="110"/>
      <c r="E648" t="str">
        <f>VLOOKUP(B648,CAC!$A$2:$B$198,2,FALSE)</f>
        <v>HMOIFP</v>
      </c>
    </row>
    <row r="649" spans="1:5" x14ac:dyDescent="0.25">
      <c r="A649" s="108">
        <v>201507</v>
      </c>
      <c r="B649" s="109" t="s">
        <v>186</v>
      </c>
      <c r="C649" s="108">
        <v>0</v>
      </c>
      <c r="D649" s="110"/>
      <c r="E649" t="str">
        <f>VLOOKUP(B649,CAC!$A$2:$B$198,2,FALSE)</f>
        <v>PPOIFP</v>
      </c>
    </row>
    <row r="650" spans="1:5" x14ac:dyDescent="0.25">
      <c r="A650" s="108">
        <v>201507</v>
      </c>
      <c r="B650" s="109" t="s">
        <v>187</v>
      </c>
      <c r="C650" s="108">
        <v>0</v>
      </c>
      <c r="D650" s="110"/>
      <c r="E650" t="str">
        <f>VLOOKUP(B650,CAC!$A$2:$B$198,2,FALSE)</f>
        <v>PPOIFP</v>
      </c>
    </row>
    <row r="651" spans="1:5" x14ac:dyDescent="0.25">
      <c r="A651" s="108">
        <v>201507</v>
      </c>
      <c r="B651" s="109" t="s">
        <v>188</v>
      </c>
      <c r="C651" s="108">
        <v>0</v>
      </c>
      <c r="D651" s="110"/>
      <c r="E651" t="str">
        <f>VLOOKUP(B651,CAC!$A$2:$B$198,2,FALSE)</f>
        <v>PPOIFP</v>
      </c>
    </row>
    <row r="652" spans="1:5" x14ac:dyDescent="0.25">
      <c r="A652" s="108">
        <v>201507</v>
      </c>
      <c r="B652" s="109" t="s">
        <v>189</v>
      </c>
      <c r="C652" s="108">
        <v>0</v>
      </c>
      <c r="D652" s="110"/>
      <c r="E652" t="str">
        <f>VLOOKUP(B652,CAC!$A$2:$B$198,2,FALSE)</f>
        <v>PPOIFP</v>
      </c>
    </row>
    <row r="653" spans="1:5" x14ac:dyDescent="0.25">
      <c r="A653" s="108">
        <v>201507</v>
      </c>
      <c r="B653" s="109" t="s">
        <v>216</v>
      </c>
      <c r="C653" s="108">
        <v>0</v>
      </c>
      <c r="D653" s="110"/>
      <c r="E653" t="str">
        <f>VLOOKUP(B653,CAC!$A$2:$B$198,2,FALSE)</f>
        <v>PPOMM</v>
      </c>
    </row>
    <row r="654" spans="1:5" x14ac:dyDescent="0.25">
      <c r="A654" s="108">
        <v>201507</v>
      </c>
      <c r="B654" s="109" t="s">
        <v>301</v>
      </c>
      <c r="C654" s="108">
        <v>0</v>
      </c>
      <c r="D654" s="110"/>
      <c r="E654" t="str">
        <f>VLOOKUP(B654,CAC!$A$2:$B$198,2,FALSE)</f>
        <v>XXX</v>
      </c>
    </row>
    <row r="655" spans="1:5" x14ac:dyDescent="0.25">
      <c r="A655" s="108">
        <v>201508</v>
      </c>
      <c r="B655" s="109" t="s">
        <v>51</v>
      </c>
      <c r="C655" s="108">
        <v>1</v>
      </c>
      <c r="D655" s="110"/>
      <c r="E655" t="str">
        <f>VLOOKUP(B655,CAC!$A$2:$B$198,2,FALSE)</f>
        <v>XXX</v>
      </c>
    </row>
    <row r="656" spans="1:5" x14ac:dyDescent="0.25">
      <c r="A656" s="108">
        <v>201508</v>
      </c>
      <c r="B656" s="109" t="s">
        <v>303</v>
      </c>
      <c r="C656" s="108">
        <v>0</v>
      </c>
      <c r="D656" s="110"/>
      <c r="E656" t="e">
        <f>VLOOKUP(B656,CAC!$A$2:$B$198,2,FALSE)</f>
        <v>#N/A</v>
      </c>
    </row>
    <row r="657" spans="1:5" x14ac:dyDescent="0.25">
      <c r="A657" s="108">
        <v>201508</v>
      </c>
      <c r="B657" s="109" t="s">
        <v>304</v>
      </c>
      <c r="C657" s="108">
        <v>0</v>
      </c>
      <c r="D657" s="110"/>
      <c r="E657" t="e">
        <f>VLOOKUP(B657,CAC!$A$2:$B$198,2,FALSE)</f>
        <v>#N/A</v>
      </c>
    </row>
    <row r="658" spans="1:5" x14ac:dyDescent="0.25">
      <c r="A658" s="108">
        <v>201508</v>
      </c>
      <c r="B658" s="109" t="s">
        <v>323</v>
      </c>
      <c r="C658" s="108">
        <v>0</v>
      </c>
      <c r="D658" s="110"/>
      <c r="E658" t="e">
        <f>VLOOKUP(B658,CAC!$A$2:$B$198,2,FALSE)</f>
        <v>#N/A</v>
      </c>
    </row>
    <row r="659" spans="1:5" x14ac:dyDescent="0.25">
      <c r="A659" s="108">
        <v>201508</v>
      </c>
      <c r="B659" s="109" t="s">
        <v>305</v>
      </c>
      <c r="C659" s="108">
        <v>0</v>
      </c>
      <c r="D659" s="110"/>
      <c r="E659" t="e">
        <f>VLOOKUP(B659,CAC!$A$2:$B$198,2,FALSE)</f>
        <v>#N/A</v>
      </c>
    </row>
    <row r="660" spans="1:5" x14ac:dyDescent="0.25">
      <c r="A660" s="108">
        <v>201508</v>
      </c>
      <c r="B660" s="109" t="s">
        <v>324</v>
      </c>
      <c r="C660" s="108">
        <v>0</v>
      </c>
      <c r="D660" s="110"/>
      <c r="E660" t="e">
        <f>VLOOKUP(B660,CAC!$A$2:$B$198,2,FALSE)</f>
        <v>#N/A</v>
      </c>
    </row>
    <row r="661" spans="1:5" x14ac:dyDescent="0.25">
      <c r="A661" s="108">
        <v>201508</v>
      </c>
      <c r="B661" s="109" t="s">
        <v>231</v>
      </c>
      <c r="C661" s="108">
        <v>0</v>
      </c>
      <c r="D661" s="110"/>
      <c r="E661" t="str">
        <f>VLOOKUP(B661,CAC!$A$2:$B$198,2,FALSE)</f>
        <v>DOILG</v>
      </c>
    </row>
    <row r="662" spans="1:5" x14ac:dyDescent="0.25">
      <c r="A662" s="108">
        <v>201508</v>
      </c>
      <c r="B662" s="109" t="s">
        <v>233</v>
      </c>
      <c r="C662" s="108">
        <v>0</v>
      </c>
      <c r="D662" s="110"/>
      <c r="E662" t="str">
        <f>VLOOKUP(B662,CAC!$A$2:$B$198,2,FALSE)</f>
        <v>DOILG</v>
      </c>
    </row>
    <row r="663" spans="1:5" x14ac:dyDescent="0.25">
      <c r="A663" s="108">
        <v>201508</v>
      </c>
      <c r="B663" s="109" t="s">
        <v>234</v>
      </c>
      <c r="C663" s="108">
        <v>0</v>
      </c>
      <c r="D663" s="110"/>
      <c r="E663" t="str">
        <f>VLOOKUP(B663,CAC!$A$2:$B$198,2,FALSE)</f>
        <v>DOILG</v>
      </c>
    </row>
    <row r="664" spans="1:5" x14ac:dyDescent="0.25">
      <c r="A664" s="108">
        <v>201508</v>
      </c>
      <c r="B664" s="109" t="s">
        <v>235</v>
      </c>
      <c r="C664" s="108">
        <v>0</v>
      </c>
      <c r="D664" s="110"/>
      <c r="E664" t="str">
        <f>VLOOKUP(B664,CAC!$A$2:$B$198,2,FALSE)</f>
        <v>DOILG</v>
      </c>
    </row>
    <row r="665" spans="1:5" x14ac:dyDescent="0.25">
      <c r="A665" s="108">
        <v>201508</v>
      </c>
      <c r="B665" s="109" t="s">
        <v>237</v>
      </c>
      <c r="C665" s="108">
        <v>0</v>
      </c>
      <c r="D665" s="110"/>
      <c r="E665" t="str">
        <f>VLOOKUP(B665,CAC!$A$2:$B$198,2,FALSE)</f>
        <v>DOILG</v>
      </c>
    </row>
    <row r="666" spans="1:5" x14ac:dyDescent="0.25">
      <c r="A666" s="108">
        <v>201508</v>
      </c>
      <c r="B666" s="109" t="s">
        <v>239</v>
      </c>
      <c r="C666" s="108">
        <v>0</v>
      </c>
      <c r="D666" s="110"/>
      <c r="E666" t="str">
        <f>VLOOKUP(B666,CAC!$A$2:$B$198,2,FALSE)</f>
        <v>DOISG</v>
      </c>
    </row>
    <row r="667" spans="1:5" x14ac:dyDescent="0.25">
      <c r="A667" s="108">
        <v>201508</v>
      </c>
      <c r="B667" s="109" t="s">
        <v>247</v>
      </c>
      <c r="C667" s="108">
        <v>0</v>
      </c>
      <c r="D667" s="110"/>
      <c r="E667" t="str">
        <f>VLOOKUP(B667,CAC!$A$2:$B$198,2,FALSE)</f>
        <v>DOIIFP</v>
      </c>
    </row>
    <row r="668" spans="1:5" x14ac:dyDescent="0.25">
      <c r="A668" s="108">
        <v>201508</v>
      </c>
      <c r="B668" s="109" t="s">
        <v>238</v>
      </c>
      <c r="C668" s="108">
        <v>0</v>
      </c>
      <c r="D668" s="110"/>
      <c r="E668" t="str">
        <f>VLOOKUP(B668,CAC!$A$2:$B$198,2,FALSE)</f>
        <v>DOILG</v>
      </c>
    </row>
    <row r="669" spans="1:5" x14ac:dyDescent="0.25">
      <c r="A669" s="108">
        <v>201508</v>
      </c>
      <c r="B669" s="109" t="s">
        <v>248</v>
      </c>
      <c r="C669" s="108">
        <v>0</v>
      </c>
      <c r="D669" s="110"/>
      <c r="E669" t="str">
        <f>VLOOKUP(B669,CAC!$A$2:$B$198,2,FALSE)</f>
        <v>DOIIFP</v>
      </c>
    </row>
    <row r="670" spans="1:5" x14ac:dyDescent="0.25">
      <c r="A670" s="108">
        <v>201508</v>
      </c>
      <c r="B670" s="109" t="s">
        <v>325</v>
      </c>
      <c r="C670" s="108">
        <v>0</v>
      </c>
      <c r="D670" s="110"/>
      <c r="E670" t="e">
        <f>VLOOKUP(B670,CAC!$A$2:$B$198,2,FALSE)</f>
        <v>#N/A</v>
      </c>
    </row>
    <row r="671" spans="1:5" x14ac:dyDescent="0.25">
      <c r="A671" s="108">
        <v>201508</v>
      </c>
      <c r="B671" s="109" t="s">
        <v>255</v>
      </c>
      <c r="C671" s="108">
        <v>0</v>
      </c>
      <c r="D671" s="110"/>
      <c r="E671" t="str">
        <f>VLOOKUP(B671,CAC!$A$2:$B$198,2,FALSE)</f>
        <v>AGDMHC</v>
      </c>
    </row>
    <row r="672" spans="1:5" x14ac:dyDescent="0.25">
      <c r="A672" s="108">
        <v>201508</v>
      </c>
      <c r="B672" s="109" t="s">
        <v>256</v>
      </c>
      <c r="C672" s="108">
        <v>0</v>
      </c>
      <c r="D672" s="110"/>
      <c r="E672" t="str">
        <f>VLOOKUP(B672,CAC!$A$2:$B$198,2,FALSE)</f>
        <v>AGDMHC</v>
      </c>
    </row>
    <row r="673" spans="1:5" x14ac:dyDescent="0.25">
      <c r="A673" s="108">
        <v>201508</v>
      </c>
      <c r="B673" s="109" t="s">
        <v>275</v>
      </c>
      <c r="C673" s="108">
        <v>0</v>
      </c>
      <c r="D673" s="110"/>
      <c r="E673" t="str">
        <f>VLOOKUP(B673,CAC!$A$2:$B$198,2,FALSE)</f>
        <v>AGDMHC</v>
      </c>
    </row>
    <row r="674" spans="1:5" x14ac:dyDescent="0.25">
      <c r="A674" s="108">
        <v>201508</v>
      </c>
      <c r="B674" s="109" t="s">
        <v>257</v>
      </c>
      <c r="C674" s="108">
        <v>0</v>
      </c>
      <c r="D674" s="110"/>
      <c r="E674" t="str">
        <f>VLOOKUP(B674,CAC!$A$2:$B$198,2,FALSE)</f>
        <v>AGDMHC</v>
      </c>
    </row>
    <row r="675" spans="1:5" x14ac:dyDescent="0.25">
      <c r="A675" s="108">
        <v>201508</v>
      </c>
      <c r="B675" s="109" t="s">
        <v>258</v>
      </c>
      <c r="C675" s="108">
        <v>0</v>
      </c>
      <c r="D675" s="110"/>
      <c r="E675" t="str">
        <f>VLOOKUP(B675,CAC!$A$2:$B$198,2,FALSE)</f>
        <v>AGDMHC</v>
      </c>
    </row>
    <row r="676" spans="1:5" x14ac:dyDescent="0.25">
      <c r="A676" s="108">
        <v>201508</v>
      </c>
      <c r="B676" s="109" t="s">
        <v>262</v>
      </c>
      <c r="C676" s="108">
        <v>0</v>
      </c>
      <c r="D676" s="110"/>
      <c r="E676" t="str">
        <f>VLOOKUP(B676,CAC!$A$2:$B$198,2,FALSE)</f>
        <v>AGDMHC</v>
      </c>
    </row>
    <row r="677" spans="1:5" x14ac:dyDescent="0.25">
      <c r="A677" s="108">
        <v>201508</v>
      </c>
      <c r="B677" s="109" t="s">
        <v>269</v>
      </c>
      <c r="C677" s="108">
        <v>0</v>
      </c>
      <c r="D677" s="110"/>
      <c r="E677" t="str">
        <f>VLOOKUP(B677,CAC!$A$2:$B$198,2,FALSE)</f>
        <v>AGDMHC</v>
      </c>
    </row>
    <row r="678" spans="1:5" x14ac:dyDescent="0.25">
      <c r="A678" s="108">
        <v>201508</v>
      </c>
      <c r="B678" s="109" t="s">
        <v>319</v>
      </c>
      <c r="C678" s="108">
        <v>0</v>
      </c>
      <c r="D678" s="110"/>
      <c r="E678" t="e">
        <f>VLOOKUP(B678,CAC!$A$2:$B$198,2,FALSE)</f>
        <v>#N/A</v>
      </c>
    </row>
    <row r="679" spans="1:5" x14ac:dyDescent="0.25">
      <c r="A679" s="108">
        <v>201508</v>
      </c>
      <c r="B679" s="109" t="s">
        <v>265</v>
      </c>
      <c r="C679" s="108">
        <v>0</v>
      </c>
      <c r="D679" s="110"/>
      <c r="E679" t="str">
        <f>VLOOKUP(B679,CAC!$A$2:$B$198,2,FALSE)</f>
        <v>AGDMHC</v>
      </c>
    </row>
    <row r="680" spans="1:5" x14ac:dyDescent="0.25">
      <c r="A680" s="108">
        <v>201508</v>
      </c>
      <c r="B680" s="109" t="s">
        <v>266</v>
      </c>
      <c r="C680" s="108">
        <v>0</v>
      </c>
      <c r="D680" s="110"/>
      <c r="E680" t="str">
        <f>VLOOKUP(B680,CAC!$A$2:$B$198,2,FALSE)</f>
        <v>AGDMHC</v>
      </c>
    </row>
    <row r="681" spans="1:5" x14ac:dyDescent="0.25">
      <c r="A681" s="108">
        <v>201508</v>
      </c>
      <c r="B681" s="109" t="s">
        <v>267</v>
      </c>
      <c r="C681" s="108">
        <v>0</v>
      </c>
      <c r="D681" s="110"/>
      <c r="E681" t="str">
        <f>VLOOKUP(B681,CAC!$A$2:$B$198,2,FALSE)</f>
        <v>AGDMHC</v>
      </c>
    </row>
    <row r="682" spans="1:5" x14ac:dyDescent="0.25">
      <c r="A682" s="108">
        <v>201508</v>
      </c>
      <c r="B682" s="109" t="s">
        <v>268</v>
      </c>
      <c r="C682" s="108">
        <v>0</v>
      </c>
      <c r="D682" s="110"/>
      <c r="E682" t="str">
        <f>VLOOKUP(B682,CAC!$A$2:$B$198,2,FALSE)</f>
        <v>AGDMHC</v>
      </c>
    </row>
    <row r="683" spans="1:5" x14ac:dyDescent="0.25">
      <c r="A683" s="108">
        <v>201508</v>
      </c>
      <c r="B683" s="109" t="s">
        <v>52</v>
      </c>
      <c r="C683" s="108">
        <v>15443</v>
      </c>
      <c r="D683" s="110"/>
      <c r="E683" t="str">
        <f>VLOOKUP(B683,CAC!$A$2:$B$198,2,FALSE)</f>
        <v>HMOPMR</v>
      </c>
    </row>
    <row r="684" spans="1:5" x14ac:dyDescent="0.25">
      <c r="A684" s="108">
        <v>201508</v>
      </c>
      <c r="B684" s="109" t="s">
        <v>53</v>
      </c>
      <c r="C684" s="108">
        <v>4811</v>
      </c>
      <c r="D684" s="110"/>
      <c r="E684" t="str">
        <f>VLOOKUP(B684,CAC!$A$2:$B$198,2,FALSE)</f>
        <v>HMOPMR</v>
      </c>
    </row>
    <row r="685" spans="1:5" x14ac:dyDescent="0.25">
      <c r="A685" s="108">
        <v>201508</v>
      </c>
      <c r="B685" s="109" t="s">
        <v>54</v>
      </c>
      <c r="C685" s="108">
        <v>6584</v>
      </c>
      <c r="D685" s="110"/>
      <c r="E685" t="str">
        <f>VLOOKUP(B685,CAC!$A$2:$B$198,2,FALSE)</f>
        <v>HMOFEP</v>
      </c>
    </row>
    <row r="686" spans="1:5" x14ac:dyDescent="0.25">
      <c r="A686" s="108">
        <v>201508</v>
      </c>
      <c r="B686" s="109" t="s">
        <v>279</v>
      </c>
      <c r="C686" s="108">
        <v>0</v>
      </c>
      <c r="D686" s="110"/>
      <c r="E686" t="str">
        <f>VLOOKUP(B686,CAC!$A$2:$B$198,2,FALSE)</f>
        <v>PPOFEP</v>
      </c>
    </row>
    <row r="687" spans="1:5" x14ac:dyDescent="0.25">
      <c r="A687" s="108">
        <v>201508</v>
      </c>
      <c r="B687" s="109" t="s">
        <v>202</v>
      </c>
      <c r="C687" s="108">
        <v>0</v>
      </c>
      <c r="D687" s="110"/>
      <c r="E687" t="str">
        <f>VLOOKUP(B687,CAC!$A$2:$B$198,2,FALSE)</f>
        <v>PPOPMR</v>
      </c>
    </row>
    <row r="688" spans="1:5" x14ac:dyDescent="0.25">
      <c r="A688" s="108">
        <v>201508</v>
      </c>
      <c r="B688" s="109" t="s">
        <v>55</v>
      </c>
      <c r="C688" s="108">
        <v>15269</v>
      </c>
      <c r="D688" s="110"/>
      <c r="E688" t="str">
        <f>VLOOKUP(B688,CAC!$A$2:$B$198,2,FALSE)</f>
        <v>HMOPMR</v>
      </c>
    </row>
    <row r="689" spans="1:5" x14ac:dyDescent="0.25">
      <c r="A689" s="108">
        <v>201508</v>
      </c>
      <c r="B689" s="109" t="s">
        <v>56</v>
      </c>
      <c r="C689" s="108">
        <v>138</v>
      </c>
      <c r="D689" s="110"/>
      <c r="E689" t="str">
        <f>VLOOKUP(B689,CAC!$A$2:$B$198,2,FALSE)</f>
        <v>HMOPMR</v>
      </c>
    </row>
    <row r="690" spans="1:5" x14ac:dyDescent="0.25">
      <c r="A690" s="108">
        <v>201508</v>
      </c>
      <c r="B690" s="109" t="s">
        <v>57</v>
      </c>
      <c r="C690" s="108">
        <v>6347</v>
      </c>
      <c r="D690" s="110"/>
      <c r="E690" t="str">
        <f>VLOOKUP(B690,CAC!$A$2:$B$198,2,FALSE)</f>
        <v>HMFLEX</v>
      </c>
    </row>
    <row r="691" spans="1:5" x14ac:dyDescent="0.25">
      <c r="A691" s="108">
        <v>201508</v>
      </c>
      <c r="B691" s="109" t="s">
        <v>58</v>
      </c>
      <c r="C691" s="108">
        <v>407</v>
      </c>
      <c r="D691" s="110"/>
      <c r="E691" t="str">
        <f>VLOOKUP(B691,CAC!$A$2:$B$198,2,FALSE)</f>
        <v>HMFLEX</v>
      </c>
    </row>
    <row r="692" spans="1:5" x14ac:dyDescent="0.25">
      <c r="A692" s="108">
        <v>201508</v>
      </c>
      <c r="B692" s="109" t="s">
        <v>59</v>
      </c>
      <c r="C692" s="108">
        <v>8</v>
      </c>
      <c r="D692" s="110"/>
      <c r="E692" t="str">
        <f>VLOOKUP(B692,CAC!$A$2:$B$198,2,FALSE)</f>
        <v>HMFLEX</v>
      </c>
    </row>
    <row r="693" spans="1:5" x14ac:dyDescent="0.25">
      <c r="A693" s="108">
        <v>201508</v>
      </c>
      <c r="B693" s="109" t="s">
        <v>306</v>
      </c>
      <c r="C693" s="108">
        <v>0</v>
      </c>
      <c r="D693" s="110"/>
      <c r="E693" t="e">
        <f>VLOOKUP(B693,CAC!$A$2:$B$198,2,FALSE)</f>
        <v>#N/A</v>
      </c>
    </row>
    <row r="694" spans="1:5" x14ac:dyDescent="0.25">
      <c r="A694" s="108">
        <v>201508</v>
      </c>
      <c r="B694" s="109" t="s">
        <v>283</v>
      </c>
      <c r="C694" s="108">
        <v>0</v>
      </c>
      <c r="D694" s="110"/>
      <c r="E694" t="str">
        <f>VLOOKUP(B694,CAC!$A$2:$B$198,2,FALSE)</f>
        <v>HMFLEX</v>
      </c>
    </row>
    <row r="695" spans="1:5" x14ac:dyDescent="0.25">
      <c r="A695" s="108">
        <v>201508</v>
      </c>
      <c r="B695" s="109" t="s">
        <v>205</v>
      </c>
      <c r="C695" s="108">
        <v>0</v>
      </c>
      <c r="D695" s="110"/>
      <c r="E695" t="str">
        <f>VLOOKUP(B695,CAC!$A$2:$B$198,2,FALSE)</f>
        <v>PPOPMR</v>
      </c>
    </row>
    <row r="696" spans="1:5" x14ac:dyDescent="0.25">
      <c r="A696" s="108">
        <v>201508</v>
      </c>
      <c r="B696" s="109" t="s">
        <v>286</v>
      </c>
      <c r="C696" s="108">
        <v>0</v>
      </c>
      <c r="D696" s="110"/>
      <c r="E696" t="str">
        <f>VLOOKUP(B696,CAC!$A$2:$B$198,2,FALSE)</f>
        <v>HMFLEX</v>
      </c>
    </row>
    <row r="697" spans="1:5" x14ac:dyDescent="0.25">
      <c r="A697" s="108">
        <v>201508</v>
      </c>
      <c r="B697" s="109" t="s">
        <v>60</v>
      </c>
      <c r="C697" s="108">
        <v>11424</v>
      </c>
      <c r="D697" s="110"/>
      <c r="E697" t="str">
        <f>VLOOKUP(B697,CAC!$A$2:$B$198,2,FALSE)</f>
        <v>HMOLG</v>
      </c>
    </row>
    <row r="698" spans="1:5" x14ac:dyDescent="0.25">
      <c r="A698" s="108">
        <v>201508</v>
      </c>
      <c r="B698" s="109" t="s">
        <v>61</v>
      </c>
      <c r="C698" s="108">
        <v>691</v>
      </c>
      <c r="D698" s="110"/>
      <c r="E698" t="str">
        <f>VLOOKUP(B698,CAC!$A$2:$B$198,2,FALSE)</f>
        <v>HMOLG</v>
      </c>
    </row>
    <row r="699" spans="1:5" x14ac:dyDescent="0.25">
      <c r="A699" s="108">
        <v>201508</v>
      </c>
      <c r="B699" s="109" t="s">
        <v>62</v>
      </c>
      <c r="C699" s="108">
        <v>26004</v>
      </c>
      <c r="D699" s="110"/>
      <c r="E699" t="str">
        <f>VLOOKUP(B699,CAC!$A$2:$B$198,2,FALSE)</f>
        <v>HMOLG</v>
      </c>
    </row>
    <row r="700" spans="1:5" x14ac:dyDescent="0.25">
      <c r="A700" s="108">
        <v>201508</v>
      </c>
      <c r="B700" s="109" t="s">
        <v>63</v>
      </c>
      <c r="C700" s="108">
        <v>333</v>
      </c>
      <c r="D700" s="110"/>
      <c r="E700" t="str">
        <f>VLOOKUP(B700,CAC!$A$2:$B$198,2,FALSE)</f>
        <v>HMOLG</v>
      </c>
    </row>
    <row r="701" spans="1:5" x14ac:dyDescent="0.25">
      <c r="A701" s="108">
        <v>201508</v>
      </c>
      <c r="B701" s="109" t="s">
        <v>64</v>
      </c>
      <c r="C701" s="108">
        <v>0</v>
      </c>
      <c r="D701" s="110"/>
      <c r="E701" t="str">
        <f>VLOOKUP(B701,CAC!$A$2:$B$198,2,FALSE)</f>
        <v>HMOLG</v>
      </c>
    </row>
    <row r="702" spans="1:5" x14ac:dyDescent="0.25">
      <c r="A702" s="108">
        <v>201508</v>
      </c>
      <c r="B702" s="109" t="s">
        <v>65</v>
      </c>
      <c r="C702" s="108">
        <v>219</v>
      </c>
      <c r="D702" s="110"/>
      <c r="E702" t="str">
        <f>VLOOKUP(B702,CAC!$A$2:$B$198,2,FALSE)</f>
        <v>HMFLEX</v>
      </c>
    </row>
    <row r="703" spans="1:5" x14ac:dyDescent="0.25">
      <c r="A703" s="108">
        <v>201508</v>
      </c>
      <c r="B703" s="109" t="s">
        <v>307</v>
      </c>
      <c r="C703" s="108">
        <v>0</v>
      </c>
      <c r="D703" s="110"/>
      <c r="E703" t="e">
        <f>VLOOKUP(B703,CAC!$A$2:$B$198,2,FALSE)</f>
        <v>#N/A</v>
      </c>
    </row>
    <row r="704" spans="1:5" x14ac:dyDescent="0.25">
      <c r="A704" s="108">
        <v>201508</v>
      </c>
      <c r="B704" s="109" t="s">
        <v>308</v>
      </c>
      <c r="C704" s="108">
        <v>0</v>
      </c>
      <c r="D704" s="110"/>
      <c r="E704" t="e">
        <f>VLOOKUP(B704,CAC!$A$2:$B$198,2,FALSE)</f>
        <v>#N/A</v>
      </c>
    </row>
    <row r="705" spans="1:5" x14ac:dyDescent="0.25">
      <c r="A705" s="108">
        <v>201508</v>
      </c>
      <c r="B705" s="109" t="s">
        <v>309</v>
      </c>
      <c r="C705" s="108">
        <v>0</v>
      </c>
      <c r="D705" s="110"/>
      <c r="E705" t="e">
        <f>VLOOKUP(B705,CAC!$A$2:$B$198,2,FALSE)</f>
        <v>#N/A</v>
      </c>
    </row>
    <row r="706" spans="1:5" x14ac:dyDescent="0.25">
      <c r="A706" s="108">
        <v>201508</v>
      </c>
      <c r="B706" s="109" t="s">
        <v>99</v>
      </c>
      <c r="C706" s="108">
        <v>0</v>
      </c>
      <c r="D706" s="110"/>
      <c r="E706" t="str">
        <f>VLOOKUP(B706,CAC!$A$2:$B$198,2,FALSE)</f>
        <v>PPOLG</v>
      </c>
    </row>
    <row r="707" spans="1:5" x14ac:dyDescent="0.25">
      <c r="A707" s="108">
        <v>201508</v>
      </c>
      <c r="B707" s="109" t="s">
        <v>193</v>
      </c>
      <c r="C707" s="108">
        <v>0</v>
      </c>
      <c r="D707" s="110"/>
      <c r="E707" t="str">
        <f>VLOOKUP(B707,CAC!$A$2:$B$198,2,FALSE)</f>
        <v>PPOLG</v>
      </c>
    </row>
    <row r="708" spans="1:5" x14ac:dyDescent="0.25">
      <c r="A708" s="108">
        <v>201508</v>
      </c>
      <c r="B708" s="109" t="s">
        <v>196</v>
      </c>
      <c r="C708" s="108">
        <v>0</v>
      </c>
      <c r="D708" s="110"/>
      <c r="E708" t="str">
        <f>VLOOKUP(B708,CAC!$A$2:$B$198,2,FALSE)</f>
        <v>PPOLG</v>
      </c>
    </row>
    <row r="709" spans="1:5" x14ac:dyDescent="0.25">
      <c r="A709" s="108">
        <v>201508</v>
      </c>
      <c r="B709" s="109" t="s">
        <v>212</v>
      </c>
      <c r="C709" s="108">
        <v>0</v>
      </c>
      <c r="D709" s="110"/>
      <c r="E709" t="str">
        <f>VLOOKUP(B709,CAC!$A$2:$B$198,2,FALSE)</f>
        <v>PPOMM</v>
      </c>
    </row>
    <row r="710" spans="1:5" x14ac:dyDescent="0.25">
      <c r="A710" s="108">
        <v>201508</v>
      </c>
      <c r="B710" s="109" t="s">
        <v>213</v>
      </c>
      <c r="C710" s="108">
        <v>0</v>
      </c>
      <c r="D710" s="110"/>
      <c r="E710" t="str">
        <f>VLOOKUP(B710,CAC!$A$2:$B$198,2,FALSE)</f>
        <v>PPOMM</v>
      </c>
    </row>
    <row r="711" spans="1:5" x14ac:dyDescent="0.25">
      <c r="A711" s="108">
        <v>201508</v>
      </c>
      <c r="B711" s="109" t="s">
        <v>311</v>
      </c>
      <c r="C711" s="108">
        <v>0</v>
      </c>
      <c r="D711" s="110"/>
      <c r="E711" t="e">
        <f>VLOOKUP(B711,CAC!$A$2:$B$198,2,FALSE)</f>
        <v>#N/A</v>
      </c>
    </row>
    <row r="712" spans="1:5" x14ac:dyDescent="0.25">
      <c r="A712" s="108">
        <v>201508</v>
      </c>
      <c r="B712" s="109" t="s">
        <v>320</v>
      </c>
      <c r="C712" s="108">
        <v>0</v>
      </c>
      <c r="D712" s="110"/>
      <c r="E712" t="e">
        <f>VLOOKUP(B712,CAC!$A$2:$B$198,2,FALSE)</f>
        <v>#N/A</v>
      </c>
    </row>
    <row r="713" spans="1:5" x14ac:dyDescent="0.25">
      <c r="A713" s="108">
        <v>201508</v>
      </c>
      <c r="B713" s="109" t="s">
        <v>321</v>
      </c>
      <c r="C713" s="108">
        <v>0</v>
      </c>
      <c r="D713" s="110"/>
      <c r="E713" t="e">
        <f>VLOOKUP(B713,CAC!$A$2:$B$198,2,FALSE)</f>
        <v>#N/A</v>
      </c>
    </row>
    <row r="714" spans="1:5" x14ac:dyDescent="0.25">
      <c r="A714" s="108">
        <v>201508</v>
      </c>
      <c r="B714" s="109" t="s">
        <v>312</v>
      </c>
      <c r="C714" s="108">
        <v>0</v>
      </c>
      <c r="D714" s="110"/>
      <c r="E714" t="e">
        <f>VLOOKUP(B714,CAC!$A$2:$B$198,2,FALSE)</f>
        <v>#N/A</v>
      </c>
    </row>
    <row r="715" spans="1:5" x14ac:dyDescent="0.25">
      <c r="A715" s="108">
        <v>201508</v>
      </c>
      <c r="B715" s="109" t="s">
        <v>313</v>
      </c>
      <c r="C715" s="108">
        <v>0</v>
      </c>
      <c r="D715" s="110"/>
      <c r="E715" t="e">
        <f>VLOOKUP(B715,CAC!$A$2:$B$198,2,FALSE)</f>
        <v>#N/A</v>
      </c>
    </row>
    <row r="716" spans="1:5" x14ac:dyDescent="0.25">
      <c r="A716" s="108">
        <v>201508</v>
      </c>
      <c r="B716" s="109" t="s">
        <v>215</v>
      </c>
      <c r="C716" s="108">
        <v>0</v>
      </c>
      <c r="D716" s="110"/>
      <c r="E716" t="str">
        <f>VLOOKUP(B716,CAC!$A$2:$B$198,2,FALSE)</f>
        <v>PPOMM</v>
      </c>
    </row>
    <row r="717" spans="1:5" x14ac:dyDescent="0.25">
      <c r="A717" s="108">
        <v>201508</v>
      </c>
      <c r="B717" s="109" t="s">
        <v>66</v>
      </c>
      <c r="C717" s="108">
        <v>3841</v>
      </c>
      <c r="D717" s="110"/>
      <c r="E717" t="str">
        <f>VLOOKUP(B717,CAC!$A$2:$B$198,2,FALSE)</f>
        <v>HMOLG</v>
      </c>
    </row>
    <row r="718" spans="1:5" x14ac:dyDescent="0.25">
      <c r="A718" s="108">
        <v>201508</v>
      </c>
      <c r="B718" s="109" t="s">
        <v>82</v>
      </c>
      <c r="C718" s="108">
        <v>0</v>
      </c>
      <c r="D718" s="110"/>
      <c r="E718" t="str">
        <f>VLOOKUP(B718,CAC!$A$2:$B$198,2,FALSE)</f>
        <v>NATPAR</v>
      </c>
    </row>
    <row r="719" spans="1:5" x14ac:dyDescent="0.25">
      <c r="A719" s="108">
        <v>201508</v>
      </c>
      <c r="B719" s="109" t="s">
        <v>67</v>
      </c>
      <c r="C719" s="108">
        <v>138</v>
      </c>
      <c r="D719" s="110"/>
      <c r="E719" t="str">
        <f>VLOOKUP(B719,CAC!$A$2:$B$198,2,FALSE)</f>
        <v>HMOLG</v>
      </c>
    </row>
    <row r="720" spans="1:5" x14ac:dyDescent="0.25">
      <c r="A720" s="108">
        <v>201508</v>
      </c>
      <c r="B720" s="109" t="s">
        <v>68</v>
      </c>
      <c r="C720" s="108">
        <v>276</v>
      </c>
      <c r="D720" s="110"/>
      <c r="E720" t="str">
        <f>VLOOKUP(B720,CAC!$A$2:$B$198,2,FALSE)</f>
        <v>HMOPMR</v>
      </c>
    </row>
    <row r="721" spans="1:5" x14ac:dyDescent="0.25">
      <c r="A721" s="108">
        <v>201508</v>
      </c>
      <c r="B721" s="109" t="s">
        <v>69</v>
      </c>
      <c r="C721" s="108">
        <v>9876</v>
      </c>
      <c r="D721" s="110"/>
      <c r="E721" t="str">
        <f>VLOOKUP(B721,CAC!$A$2:$B$198,2,FALSE)</f>
        <v>HMOPMR</v>
      </c>
    </row>
    <row r="722" spans="1:5" x14ac:dyDescent="0.25">
      <c r="A722" s="108">
        <v>201508</v>
      </c>
      <c r="B722" s="109" t="s">
        <v>70</v>
      </c>
      <c r="C722" s="108">
        <v>4100</v>
      </c>
      <c r="D722" s="110"/>
      <c r="E722" t="str">
        <f>VLOOKUP(B722,CAC!$A$2:$B$198,2,FALSE)</f>
        <v>HMOPMR</v>
      </c>
    </row>
    <row r="723" spans="1:5" x14ac:dyDescent="0.25">
      <c r="A723" s="108">
        <v>201508</v>
      </c>
      <c r="B723" s="109" t="s">
        <v>71</v>
      </c>
      <c r="C723" s="108">
        <v>6526</v>
      </c>
      <c r="D723" s="110"/>
      <c r="E723" t="str">
        <f>VLOOKUP(B723,CAC!$A$2:$B$198,2,FALSE)</f>
        <v>HMOPMR</v>
      </c>
    </row>
    <row r="724" spans="1:5" x14ac:dyDescent="0.25">
      <c r="A724" s="108">
        <v>201508</v>
      </c>
      <c r="B724" s="109" t="s">
        <v>72</v>
      </c>
      <c r="C724" s="108">
        <v>2229</v>
      </c>
      <c r="D724" s="110"/>
      <c r="E724" t="str">
        <f>VLOOKUP(B724,CAC!$A$2:$B$198,2,FALSE)</f>
        <v>HMFLEX</v>
      </c>
    </row>
    <row r="725" spans="1:5" x14ac:dyDescent="0.25">
      <c r="A725" s="108">
        <v>201508</v>
      </c>
      <c r="B725" s="109" t="s">
        <v>314</v>
      </c>
      <c r="C725" s="108">
        <v>0</v>
      </c>
      <c r="D725" s="110"/>
      <c r="E725" t="e">
        <f>VLOOKUP(B725,CAC!$A$2:$B$198,2,FALSE)</f>
        <v>#N/A</v>
      </c>
    </row>
    <row r="726" spans="1:5" x14ac:dyDescent="0.25">
      <c r="A726" s="108">
        <v>201508</v>
      </c>
      <c r="B726" s="109" t="s">
        <v>322</v>
      </c>
      <c r="C726" s="108">
        <v>0</v>
      </c>
      <c r="D726" s="110"/>
      <c r="E726" t="e">
        <f>VLOOKUP(B726,CAC!$A$2:$B$198,2,FALSE)</f>
        <v>#N/A</v>
      </c>
    </row>
    <row r="727" spans="1:5" x14ac:dyDescent="0.25">
      <c r="A727" s="108">
        <v>201508</v>
      </c>
      <c r="B727" s="109" t="s">
        <v>315</v>
      </c>
      <c r="C727" s="108">
        <v>0</v>
      </c>
      <c r="D727" s="110"/>
      <c r="E727" t="e">
        <f>VLOOKUP(B727,CAC!$A$2:$B$198,2,FALSE)</f>
        <v>#N/A</v>
      </c>
    </row>
    <row r="728" spans="1:5" x14ac:dyDescent="0.25">
      <c r="A728" s="108">
        <v>201508</v>
      </c>
      <c r="B728" s="109" t="s">
        <v>112</v>
      </c>
      <c r="C728" s="108">
        <v>0</v>
      </c>
      <c r="D728" s="110"/>
      <c r="E728" t="e">
        <f>VLOOKUP(B728,CAC!$A$2:$B$198,2,FALSE)</f>
        <v>#N/A</v>
      </c>
    </row>
    <row r="729" spans="1:5" x14ac:dyDescent="0.25">
      <c r="A729" s="108">
        <v>201508</v>
      </c>
      <c r="B729" s="109" t="s">
        <v>316</v>
      </c>
      <c r="C729" s="108">
        <v>0</v>
      </c>
      <c r="D729" s="110"/>
      <c r="E729" t="e">
        <f>VLOOKUP(B729,CAC!$A$2:$B$198,2,FALSE)</f>
        <v>#N/A</v>
      </c>
    </row>
    <row r="730" spans="1:5" x14ac:dyDescent="0.25">
      <c r="A730" s="108">
        <v>201508</v>
      </c>
      <c r="B730" s="109" t="s">
        <v>317</v>
      </c>
      <c r="C730" s="108">
        <v>0</v>
      </c>
      <c r="D730" s="110"/>
      <c r="E730" t="e">
        <f>VLOOKUP(B730,CAC!$A$2:$B$198,2,FALSE)</f>
        <v>#N/A</v>
      </c>
    </row>
    <row r="731" spans="1:5" x14ac:dyDescent="0.25">
      <c r="A731" s="108">
        <v>201508</v>
      </c>
      <c r="B731" s="109" t="s">
        <v>113</v>
      </c>
      <c r="C731" s="108">
        <v>0</v>
      </c>
      <c r="D731" s="110"/>
      <c r="E731" t="str">
        <f>VLOOKUP(B731,CAC!$A$2:$B$198,2,FALSE)</f>
        <v>PPOLG</v>
      </c>
    </row>
    <row r="732" spans="1:5" x14ac:dyDescent="0.25">
      <c r="A732" s="108">
        <v>201508</v>
      </c>
      <c r="B732" s="109" t="s">
        <v>294</v>
      </c>
      <c r="C732" s="108">
        <v>0</v>
      </c>
      <c r="D732" s="110"/>
      <c r="E732" t="str">
        <f>VLOOKUP(B732,CAC!$A$2:$B$198,2,FALSE)</f>
        <v>NATPAR</v>
      </c>
    </row>
    <row r="733" spans="1:5" x14ac:dyDescent="0.25">
      <c r="A733" s="108">
        <v>201508</v>
      </c>
      <c r="B733" s="109" t="s">
        <v>208</v>
      </c>
      <c r="C733" s="108">
        <v>0</v>
      </c>
      <c r="D733" s="110"/>
      <c r="E733" t="str">
        <f>VLOOKUP(B733,CAC!$A$2:$B$198,2,FALSE)</f>
        <v>PPOPMR</v>
      </c>
    </row>
    <row r="734" spans="1:5" x14ac:dyDescent="0.25">
      <c r="A734" s="108">
        <v>201508</v>
      </c>
      <c r="B734" s="109" t="s">
        <v>209</v>
      </c>
      <c r="C734" s="108">
        <v>0</v>
      </c>
      <c r="D734" s="110"/>
      <c r="E734" t="str">
        <f>VLOOKUP(B734,CAC!$A$2:$B$198,2,FALSE)</f>
        <v>PPOPMR</v>
      </c>
    </row>
    <row r="735" spans="1:5" x14ac:dyDescent="0.25">
      <c r="A735" s="108">
        <v>201508</v>
      </c>
      <c r="B735" s="109" t="s">
        <v>204</v>
      </c>
      <c r="C735" s="108">
        <v>0</v>
      </c>
      <c r="D735" s="110"/>
      <c r="E735" t="str">
        <f>VLOOKUP(B735,CAC!$A$2:$B$198,2,FALSE)</f>
        <v>PPOPMR</v>
      </c>
    </row>
    <row r="736" spans="1:5" x14ac:dyDescent="0.25">
      <c r="A736" s="108">
        <v>201508</v>
      </c>
      <c r="B736" s="109" t="s">
        <v>73</v>
      </c>
      <c r="C736" s="108">
        <v>33676</v>
      </c>
      <c r="D736" s="108">
        <v>6337</v>
      </c>
      <c r="E736" t="str">
        <f>VLOOKUP(B736,CAC!$A$2:$B$198,2,FALSE)</f>
        <v>HMOPERA</v>
      </c>
    </row>
    <row r="737" spans="1:5" x14ac:dyDescent="0.25">
      <c r="A737" s="108">
        <v>201508</v>
      </c>
      <c r="B737" s="109" t="s">
        <v>74</v>
      </c>
      <c r="C737" s="108">
        <v>3834</v>
      </c>
      <c r="D737" s="108">
        <v>2339</v>
      </c>
      <c r="E737" t="str">
        <f>VLOOKUP(B737,CAC!$A$2:$B$198,2,FALSE)</f>
        <v>PERMEDA</v>
      </c>
    </row>
    <row r="738" spans="1:5" x14ac:dyDescent="0.25">
      <c r="A738" s="108">
        <v>201508</v>
      </c>
      <c r="B738" s="109" t="s">
        <v>75</v>
      </c>
      <c r="C738" s="108">
        <v>39925</v>
      </c>
      <c r="D738" s="108">
        <v>20007</v>
      </c>
      <c r="E738" t="str">
        <f>VLOOKUP(B738,CAC!$A$2:$B$198,2,FALSE)</f>
        <v>HMOPERN</v>
      </c>
    </row>
    <row r="739" spans="1:5" x14ac:dyDescent="0.25">
      <c r="A739" s="108">
        <v>201508</v>
      </c>
      <c r="B739" s="109" t="s">
        <v>76</v>
      </c>
      <c r="C739" s="108">
        <v>533</v>
      </c>
      <c r="D739" s="108">
        <v>1725</v>
      </c>
      <c r="E739" t="str">
        <f>VLOOKUP(B739,CAC!$A$2:$B$198,2,FALSE)</f>
        <v>PERMEDN</v>
      </c>
    </row>
    <row r="740" spans="1:5" x14ac:dyDescent="0.25">
      <c r="A740" s="108">
        <v>201508</v>
      </c>
      <c r="B740" s="109" t="s">
        <v>218</v>
      </c>
      <c r="C740" s="108">
        <v>0</v>
      </c>
      <c r="D740" s="110"/>
      <c r="E740" t="str">
        <f>VLOOKUP(B740,CAC!$A$2:$B$198,2,FALSE)</f>
        <v>HMOPERA</v>
      </c>
    </row>
    <row r="741" spans="1:5" x14ac:dyDescent="0.25">
      <c r="A741" s="108">
        <v>201508</v>
      </c>
      <c r="B741" s="109" t="s">
        <v>181</v>
      </c>
      <c r="C741" s="108">
        <v>0</v>
      </c>
      <c r="D741" s="110"/>
      <c r="E741" t="str">
        <f>VLOOKUP(B741,CAC!$A$2:$B$198,2,FALSE)</f>
        <v>PERMEDA</v>
      </c>
    </row>
    <row r="742" spans="1:5" x14ac:dyDescent="0.25">
      <c r="A742" s="108">
        <v>201508</v>
      </c>
      <c r="B742" s="109" t="s">
        <v>156</v>
      </c>
      <c r="C742" s="108">
        <v>21197</v>
      </c>
      <c r="D742" s="110"/>
      <c r="E742" t="str">
        <f>VLOOKUP(B742,CAC!$A$2:$B$198,2,FALSE)</f>
        <v>HMOMM</v>
      </c>
    </row>
    <row r="743" spans="1:5" x14ac:dyDescent="0.25">
      <c r="A743" s="108">
        <v>201508</v>
      </c>
      <c r="B743" s="109" t="s">
        <v>162</v>
      </c>
      <c r="C743" s="108">
        <v>386</v>
      </c>
      <c r="D743" s="110"/>
      <c r="E743" t="str">
        <f>VLOOKUP(B743,CAC!$A$2:$B$198,2,FALSE)</f>
        <v>HMOMG</v>
      </c>
    </row>
    <row r="744" spans="1:5" x14ac:dyDescent="0.25">
      <c r="A744" s="108">
        <v>201508</v>
      </c>
      <c r="B744" s="109" t="s">
        <v>163</v>
      </c>
      <c r="C744" s="108">
        <v>98</v>
      </c>
      <c r="D744" s="110"/>
      <c r="E744" t="str">
        <f>VLOOKUP(B744,CAC!$A$2:$B$198,2,FALSE)</f>
        <v>HMOMG</v>
      </c>
    </row>
    <row r="745" spans="1:5" x14ac:dyDescent="0.25">
      <c r="A745" s="108">
        <v>201508</v>
      </c>
      <c r="B745" s="109" t="s">
        <v>164</v>
      </c>
      <c r="C745" s="108">
        <v>0</v>
      </c>
      <c r="D745" s="110"/>
      <c r="E745" t="str">
        <f>VLOOKUP(B745,CAC!$A$2:$B$198,2,FALSE)</f>
        <v>HMOMG</v>
      </c>
    </row>
    <row r="746" spans="1:5" x14ac:dyDescent="0.25">
      <c r="A746" s="108">
        <v>201508</v>
      </c>
      <c r="B746" s="109" t="s">
        <v>161</v>
      </c>
      <c r="C746" s="108">
        <v>4250</v>
      </c>
      <c r="D746" s="110"/>
      <c r="E746" t="str">
        <f>VLOOKUP(B746,CAC!$A$2:$B$198,2,FALSE)</f>
        <v>PERMAPD</v>
      </c>
    </row>
    <row r="747" spans="1:5" x14ac:dyDescent="0.25">
      <c r="A747" s="108">
        <v>201508</v>
      </c>
      <c r="B747" s="109" t="s">
        <v>77</v>
      </c>
      <c r="C747" s="108">
        <v>18546</v>
      </c>
      <c r="D747" s="110"/>
      <c r="E747" t="str">
        <f>VLOOKUP(B747,CAC!$A$2:$B$198,2,FALSE)</f>
        <v>HMOSG</v>
      </c>
    </row>
    <row r="748" spans="1:5" x14ac:dyDescent="0.25">
      <c r="A748" s="108">
        <v>201508</v>
      </c>
      <c r="B748" s="109" t="s">
        <v>78</v>
      </c>
      <c r="C748" s="108">
        <v>359</v>
      </c>
      <c r="D748" s="110"/>
      <c r="E748" t="str">
        <f>VLOOKUP(B748,CAC!$A$2:$B$198,2,FALSE)</f>
        <v>HMOSG</v>
      </c>
    </row>
    <row r="749" spans="1:5" x14ac:dyDescent="0.25">
      <c r="A749" s="108">
        <v>201508</v>
      </c>
      <c r="B749" s="109" t="s">
        <v>79</v>
      </c>
      <c r="C749" s="108">
        <v>55</v>
      </c>
      <c r="D749" s="110"/>
      <c r="E749" t="str">
        <f>VLOOKUP(B749,CAC!$A$2:$B$198,2,FALSE)</f>
        <v>HMOSG</v>
      </c>
    </row>
    <row r="750" spans="1:5" x14ac:dyDescent="0.25">
      <c r="A750" s="108">
        <v>201508</v>
      </c>
      <c r="B750" s="109" t="s">
        <v>222</v>
      </c>
      <c r="C750" s="108">
        <v>0</v>
      </c>
      <c r="D750" s="110"/>
      <c r="E750" t="str">
        <f>VLOOKUP(B750,CAC!$A$2:$B$198,2,FALSE)</f>
        <v>PPOSG</v>
      </c>
    </row>
    <row r="751" spans="1:5" x14ac:dyDescent="0.25">
      <c r="A751" s="108">
        <v>201508</v>
      </c>
      <c r="B751" s="109" t="s">
        <v>225</v>
      </c>
      <c r="C751" s="108">
        <v>0</v>
      </c>
      <c r="D751" s="110"/>
      <c r="E751" t="str">
        <f>VLOOKUP(B751,CAC!$A$2:$B$198,2,FALSE)</f>
        <v>PPOSG</v>
      </c>
    </row>
    <row r="752" spans="1:5" x14ac:dyDescent="0.25">
      <c r="A752" s="108">
        <v>201508</v>
      </c>
      <c r="B752" s="109" t="s">
        <v>226</v>
      </c>
      <c r="C752" s="108">
        <v>0</v>
      </c>
      <c r="D752" s="110"/>
      <c r="E752" t="str">
        <f>VLOOKUP(B752,CAC!$A$2:$B$198,2,FALSE)</f>
        <v>PPOSG</v>
      </c>
    </row>
    <row r="753" spans="1:5" x14ac:dyDescent="0.25">
      <c r="A753" s="108">
        <v>201508</v>
      </c>
      <c r="B753" s="109" t="s">
        <v>80</v>
      </c>
      <c r="C753" s="108">
        <v>10</v>
      </c>
      <c r="D753" s="110"/>
      <c r="E753" t="str">
        <f>VLOOKUP(B753,CAC!$A$2:$B$198,2,FALSE)</f>
        <v>HMOIFP</v>
      </c>
    </row>
    <row r="754" spans="1:5" x14ac:dyDescent="0.25">
      <c r="A754" s="108">
        <v>201508</v>
      </c>
      <c r="B754" s="109" t="s">
        <v>186</v>
      </c>
      <c r="C754" s="108">
        <v>0</v>
      </c>
      <c r="D754" s="110"/>
      <c r="E754" t="str">
        <f>VLOOKUP(B754,CAC!$A$2:$B$198,2,FALSE)</f>
        <v>PPOIFP</v>
      </c>
    </row>
    <row r="755" spans="1:5" x14ac:dyDescent="0.25">
      <c r="A755" s="108">
        <v>201508</v>
      </c>
      <c r="B755" s="109" t="s">
        <v>187</v>
      </c>
      <c r="C755" s="108">
        <v>0</v>
      </c>
      <c r="D755" s="110"/>
      <c r="E755" t="str">
        <f>VLOOKUP(B755,CAC!$A$2:$B$198,2,FALSE)</f>
        <v>PPOIFP</v>
      </c>
    </row>
    <row r="756" spans="1:5" x14ac:dyDescent="0.25">
      <c r="A756" s="108">
        <v>201508</v>
      </c>
      <c r="B756" s="109" t="s">
        <v>188</v>
      </c>
      <c r="C756" s="108">
        <v>0</v>
      </c>
      <c r="D756" s="110"/>
      <c r="E756" t="str">
        <f>VLOOKUP(B756,CAC!$A$2:$B$198,2,FALSE)</f>
        <v>PPOIFP</v>
      </c>
    </row>
    <row r="757" spans="1:5" x14ac:dyDescent="0.25">
      <c r="A757" s="108">
        <v>201508</v>
      </c>
      <c r="B757" s="109" t="s">
        <v>189</v>
      </c>
      <c r="C757" s="108">
        <v>0</v>
      </c>
      <c r="D757" s="110"/>
      <c r="E757" t="str">
        <f>VLOOKUP(B757,CAC!$A$2:$B$198,2,FALSE)</f>
        <v>PPOIFP</v>
      </c>
    </row>
    <row r="758" spans="1:5" x14ac:dyDescent="0.25">
      <c r="A758" s="108">
        <v>201508</v>
      </c>
      <c r="B758" s="109" t="s">
        <v>216</v>
      </c>
      <c r="C758" s="108">
        <v>0</v>
      </c>
      <c r="D758" s="110"/>
      <c r="E758" t="str">
        <f>VLOOKUP(B758,CAC!$A$2:$B$198,2,FALSE)</f>
        <v>PPOMM</v>
      </c>
    </row>
    <row r="759" spans="1:5" x14ac:dyDescent="0.25">
      <c r="A759" s="108">
        <v>201508</v>
      </c>
      <c r="B759" s="109" t="s">
        <v>301</v>
      </c>
      <c r="C759" s="108">
        <v>0</v>
      </c>
      <c r="D759" s="110"/>
      <c r="E759" t="str">
        <f>VLOOKUP(B759,CAC!$A$2:$B$198,2,FALSE)</f>
        <v>XXX</v>
      </c>
    </row>
    <row r="760" spans="1:5" x14ac:dyDescent="0.25">
      <c r="A760" s="108">
        <v>201509</v>
      </c>
      <c r="B760" s="109" t="s">
        <v>51</v>
      </c>
      <c r="C760" s="108">
        <v>2</v>
      </c>
      <c r="D760" s="110"/>
      <c r="E760" t="str">
        <f>VLOOKUP(B760,CAC!$A$2:$B$198,2,FALSE)</f>
        <v>XXX</v>
      </c>
    </row>
    <row r="761" spans="1:5" x14ac:dyDescent="0.25">
      <c r="A761" s="108">
        <v>201509</v>
      </c>
      <c r="B761" s="109" t="s">
        <v>303</v>
      </c>
      <c r="C761" s="108">
        <v>0</v>
      </c>
      <c r="D761" s="110"/>
      <c r="E761" t="e">
        <f>VLOOKUP(B761,CAC!$A$2:$B$198,2,FALSE)</f>
        <v>#N/A</v>
      </c>
    </row>
    <row r="762" spans="1:5" x14ac:dyDescent="0.25">
      <c r="A762" s="108">
        <v>201509</v>
      </c>
      <c r="B762" s="109" t="s">
        <v>304</v>
      </c>
      <c r="C762" s="108">
        <v>0</v>
      </c>
      <c r="D762" s="110"/>
      <c r="E762" t="e">
        <f>VLOOKUP(B762,CAC!$A$2:$B$198,2,FALSE)</f>
        <v>#N/A</v>
      </c>
    </row>
    <row r="763" spans="1:5" x14ac:dyDescent="0.25">
      <c r="A763" s="108">
        <v>201509</v>
      </c>
      <c r="B763" s="109" t="s">
        <v>323</v>
      </c>
      <c r="C763" s="108">
        <v>0</v>
      </c>
      <c r="D763" s="110"/>
      <c r="E763" t="e">
        <f>VLOOKUP(B763,CAC!$A$2:$B$198,2,FALSE)</f>
        <v>#N/A</v>
      </c>
    </row>
    <row r="764" spans="1:5" x14ac:dyDescent="0.25">
      <c r="A764" s="108">
        <v>201509</v>
      </c>
      <c r="B764" s="109" t="s">
        <v>305</v>
      </c>
      <c r="C764" s="108">
        <v>0</v>
      </c>
      <c r="D764" s="110"/>
      <c r="E764" t="e">
        <f>VLOOKUP(B764,CAC!$A$2:$B$198,2,FALSE)</f>
        <v>#N/A</v>
      </c>
    </row>
    <row r="765" spans="1:5" x14ac:dyDescent="0.25">
      <c r="A765" s="108">
        <v>201509</v>
      </c>
      <c r="B765" s="109" t="s">
        <v>324</v>
      </c>
      <c r="C765" s="108">
        <v>0</v>
      </c>
      <c r="D765" s="110"/>
      <c r="E765" t="e">
        <f>VLOOKUP(B765,CAC!$A$2:$B$198,2,FALSE)</f>
        <v>#N/A</v>
      </c>
    </row>
    <row r="766" spans="1:5" x14ac:dyDescent="0.25">
      <c r="A766" s="108">
        <v>201509</v>
      </c>
      <c r="B766" s="109" t="s">
        <v>318</v>
      </c>
      <c r="C766" s="108">
        <v>0</v>
      </c>
      <c r="D766" s="110"/>
      <c r="E766" t="e">
        <f>VLOOKUP(B766,CAC!$A$2:$B$198,2,FALSE)</f>
        <v>#N/A</v>
      </c>
    </row>
    <row r="767" spans="1:5" x14ac:dyDescent="0.25">
      <c r="A767" s="108">
        <v>201509</v>
      </c>
      <c r="B767" s="109" t="s">
        <v>231</v>
      </c>
      <c r="C767" s="108">
        <v>0</v>
      </c>
      <c r="D767" s="110"/>
      <c r="E767" t="str">
        <f>VLOOKUP(B767,CAC!$A$2:$B$198,2,FALSE)</f>
        <v>DOILG</v>
      </c>
    </row>
    <row r="768" spans="1:5" x14ac:dyDescent="0.25">
      <c r="A768" s="108">
        <v>201509</v>
      </c>
      <c r="B768" s="109" t="s">
        <v>233</v>
      </c>
      <c r="C768" s="108">
        <v>0</v>
      </c>
      <c r="D768" s="110"/>
      <c r="E768" t="str">
        <f>VLOOKUP(B768,CAC!$A$2:$B$198,2,FALSE)</f>
        <v>DOILG</v>
      </c>
    </row>
    <row r="769" spans="1:5" x14ac:dyDescent="0.25">
      <c r="A769" s="108">
        <v>201509</v>
      </c>
      <c r="B769" s="109" t="s">
        <v>234</v>
      </c>
      <c r="C769" s="108">
        <v>0</v>
      </c>
      <c r="D769" s="110"/>
      <c r="E769" t="str">
        <f>VLOOKUP(B769,CAC!$A$2:$B$198,2,FALSE)</f>
        <v>DOILG</v>
      </c>
    </row>
    <row r="770" spans="1:5" x14ac:dyDescent="0.25">
      <c r="A770" s="108">
        <v>201509</v>
      </c>
      <c r="B770" s="109" t="s">
        <v>235</v>
      </c>
      <c r="C770" s="108">
        <v>0</v>
      </c>
      <c r="D770" s="110"/>
      <c r="E770" t="str">
        <f>VLOOKUP(B770,CAC!$A$2:$B$198,2,FALSE)</f>
        <v>DOILG</v>
      </c>
    </row>
    <row r="771" spans="1:5" x14ac:dyDescent="0.25">
      <c r="A771" s="108">
        <v>201509</v>
      </c>
      <c r="B771" s="109" t="s">
        <v>237</v>
      </c>
      <c r="C771" s="108">
        <v>0</v>
      </c>
      <c r="D771" s="110"/>
      <c r="E771" t="str">
        <f>VLOOKUP(B771,CAC!$A$2:$B$198,2,FALSE)</f>
        <v>DOILG</v>
      </c>
    </row>
    <row r="772" spans="1:5" x14ac:dyDescent="0.25">
      <c r="A772" s="108">
        <v>201509</v>
      </c>
      <c r="B772" s="109" t="s">
        <v>239</v>
      </c>
      <c r="C772" s="108">
        <v>0</v>
      </c>
      <c r="D772" s="110"/>
      <c r="E772" t="str">
        <f>VLOOKUP(B772,CAC!$A$2:$B$198,2,FALSE)</f>
        <v>DOISG</v>
      </c>
    </row>
    <row r="773" spans="1:5" x14ac:dyDescent="0.25">
      <c r="A773" s="108">
        <v>201509</v>
      </c>
      <c r="B773" s="109" t="s">
        <v>247</v>
      </c>
      <c r="C773" s="108">
        <v>0</v>
      </c>
      <c r="D773" s="110"/>
      <c r="E773" t="str">
        <f>VLOOKUP(B773,CAC!$A$2:$B$198,2,FALSE)</f>
        <v>DOIIFP</v>
      </c>
    </row>
    <row r="774" spans="1:5" x14ac:dyDescent="0.25">
      <c r="A774" s="108">
        <v>201509</v>
      </c>
      <c r="B774" s="109" t="s">
        <v>238</v>
      </c>
      <c r="C774" s="108">
        <v>0</v>
      </c>
      <c r="D774" s="110"/>
      <c r="E774" t="str">
        <f>VLOOKUP(B774,CAC!$A$2:$B$198,2,FALSE)</f>
        <v>DOILG</v>
      </c>
    </row>
    <row r="775" spans="1:5" x14ac:dyDescent="0.25">
      <c r="A775" s="108">
        <v>201509</v>
      </c>
      <c r="B775" s="109" t="s">
        <v>248</v>
      </c>
      <c r="C775" s="108">
        <v>0</v>
      </c>
      <c r="D775" s="110"/>
      <c r="E775" t="str">
        <f>VLOOKUP(B775,CAC!$A$2:$B$198,2,FALSE)</f>
        <v>DOIIFP</v>
      </c>
    </row>
    <row r="776" spans="1:5" x14ac:dyDescent="0.25">
      <c r="A776" s="108">
        <v>201509</v>
      </c>
      <c r="B776" s="109" t="s">
        <v>325</v>
      </c>
      <c r="C776" s="108">
        <v>0</v>
      </c>
      <c r="D776" s="110"/>
      <c r="E776" t="e">
        <f>VLOOKUP(B776,CAC!$A$2:$B$198,2,FALSE)</f>
        <v>#N/A</v>
      </c>
    </row>
    <row r="777" spans="1:5" x14ac:dyDescent="0.25">
      <c r="A777" s="108">
        <v>201509</v>
      </c>
      <c r="B777" s="109" t="s">
        <v>255</v>
      </c>
      <c r="C777" s="108">
        <v>0</v>
      </c>
      <c r="D777" s="110"/>
      <c r="E777" t="str">
        <f>VLOOKUP(B777,CAC!$A$2:$B$198,2,FALSE)</f>
        <v>AGDMHC</v>
      </c>
    </row>
    <row r="778" spans="1:5" x14ac:dyDescent="0.25">
      <c r="A778" s="108">
        <v>201509</v>
      </c>
      <c r="B778" s="109" t="s">
        <v>256</v>
      </c>
      <c r="C778" s="108">
        <v>0</v>
      </c>
      <c r="D778" s="110"/>
      <c r="E778" t="str">
        <f>VLOOKUP(B778,CAC!$A$2:$B$198,2,FALSE)</f>
        <v>AGDMHC</v>
      </c>
    </row>
    <row r="779" spans="1:5" x14ac:dyDescent="0.25">
      <c r="A779" s="108">
        <v>201509</v>
      </c>
      <c r="B779" s="109" t="s">
        <v>275</v>
      </c>
      <c r="C779" s="108">
        <v>0</v>
      </c>
      <c r="D779" s="110"/>
      <c r="E779" t="str">
        <f>VLOOKUP(B779,CAC!$A$2:$B$198,2,FALSE)</f>
        <v>AGDMHC</v>
      </c>
    </row>
    <row r="780" spans="1:5" x14ac:dyDescent="0.25">
      <c r="A780" s="108">
        <v>201509</v>
      </c>
      <c r="B780" s="109" t="s">
        <v>257</v>
      </c>
      <c r="C780" s="108">
        <v>0</v>
      </c>
      <c r="D780" s="110"/>
      <c r="E780" t="str">
        <f>VLOOKUP(B780,CAC!$A$2:$B$198,2,FALSE)</f>
        <v>AGDMHC</v>
      </c>
    </row>
    <row r="781" spans="1:5" x14ac:dyDescent="0.25">
      <c r="A781" s="108">
        <v>201509</v>
      </c>
      <c r="B781" s="109" t="s">
        <v>258</v>
      </c>
      <c r="C781" s="108">
        <v>0</v>
      </c>
      <c r="D781" s="110"/>
      <c r="E781" t="str">
        <f>VLOOKUP(B781,CAC!$A$2:$B$198,2,FALSE)</f>
        <v>AGDMHC</v>
      </c>
    </row>
    <row r="782" spans="1:5" x14ac:dyDescent="0.25">
      <c r="A782" s="108">
        <v>201509</v>
      </c>
      <c r="B782" s="109" t="s">
        <v>260</v>
      </c>
      <c r="C782" s="108">
        <v>0</v>
      </c>
      <c r="D782" s="110"/>
      <c r="E782" t="str">
        <f>VLOOKUP(B782,CAC!$A$2:$B$198,2,FALSE)</f>
        <v>AGDMHC</v>
      </c>
    </row>
    <row r="783" spans="1:5" x14ac:dyDescent="0.25">
      <c r="A783" s="108">
        <v>201509</v>
      </c>
      <c r="B783" s="109" t="s">
        <v>262</v>
      </c>
      <c r="C783" s="108">
        <v>0</v>
      </c>
      <c r="D783" s="110"/>
      <c r="E783" t="str">
        <f>VLOOKUP(B783,CAC!$A$2:$B$198,2,FALSE)</f>
        <v>AGDMHC</v>
      </c>
    </row>
    <row r="784" spans="1:5" x14ac:dyDescent="0.25">
      <c r="A784" s="108">
        <v>201509</v>
      </c>
      <c r="B784" s="109" t="s">
        <v>269</v>
      </c>
      <c r="C784" s="108">
        <v>0</v>
      </c>
      <c r="D784" s="110"/>
      <c r="E784" t="str">
        <f>VLOOKUP(B784,CAC!$A$2:$B$198,2,FALSE)</f>
        <v>AGDMHC</v>
      </c>
    </row>
    <row r="785" spans="1:5" x14ac:dyDescent="0.25">
      <c r="A785" s="108">
        <v>201509</v>
      </c>
      <c r="B785" s="109" t="s">
        <v>319</v>
      </c>
      <c r="C785" s="108">
        <v>0</v>
      </c>
      <c r="D785" s="110"/>
      <c r="E785" t="e">
        <f>VLOOKUP(B785,CAC!$A$2:$B$198,2,FALSE)</f>
        <v>#N/A</v>
      </c>
    </row>
    <row r="786" spans="1:5" x14ac:dyDescent="0.25">
      <c r="A786" s="108">
        <v>201509</v>
      </c>
      <c r="B786" s="109" t="s">
        <v>265</v>
      </c>
      <c r="C786" s="108">
        <v>0</v>
      </c>
      <c r="D786" s="110"/>
      <c r="E786" t="str">
        <f>VLOOKUP(B786,CAC!$A$2:$B$198,2,FALSE)</f>
        <v>AGDMHC</v>
      </c>
    </row>
    <row r="787" spans="1:5" x14ac:dyDescent="0.25">
      <c r="A787" s="108">
        <v>201509</v>
      </c>
      <c r="B787" s="109" t="s">
        <v>266</v>
      </c>
      <c r="C787" s="108">
        <v>0</v>
      </c>
      <c r="D787" s="110"/>
      <c r="E787" t="str">
        <f>VLOOKUP(B787,CAC!$A$2:$B$198,2,FALSE)</f>
        <v>AGDMHC</v>
      </c>
    </row>
    <row r="788" spans="1:5" x14ac:dyDescent="0.25">
      <c r="A788" s="108">
        <v>201509</v>
      </c>
      <c r="B788" s="109" t="s">
        <v>267</v>
      </c>
      <c r="C788" s="108">
        <v>0</v>
      </c>
      <c r="D788" s="110"/>
      <c r="E788" t="str">
        <f>VLOOKUP(B788,CAC!$A$2:$B$198,2,FALSE)</f>
        <v>AGDMHC</v>
      </c>
    </row>
    <row r="789" spans="1:5" x14ac:dyDescent="0.25">
      <c r="A789" s="108">
        <v>201509</v>
      </c>
      <c r="B789" s="109" t="s">
        <v>268</v>
      </c>
      <c r="C789" s="108">
        <v>0</v>
      </c>
      <c r="D789" s="110"/>
      <c r="E789" t="str">
        <f>VLOOKUP(B789,CAC!$A$2:$B$198,2,FALSE)</f>
        <v>AGDMHC</v>
      </c>
    </row>
    <row r="790" spans="1:5" x14ac:dyDescent="0.25">
      <c r="A790" s="108">
        <v>201509</v>
      </c>
      <c r="B790" s="109" t="s">
        <v>52</v>
      </c>
      <c r="C790" s="108">
        <v>15465</v>
      </c>
      <c r="D790" s="110"/>
      <c r="E790" t="str">
        <f>VLOOKUP(B790,CAC!$A$2:$B$198,2,FALSE)</f>
        <v>HMOPMR</v>
      </c>
    </row>
    <row r="791" spans="1:5" x14ac:dyDescent="0.25">
      <c r="A791" s="108">
        <v>201509</v>
      </c>
      <c r="B791" s="109" t="s">
        <v>53</v>
      </c>
      <c r="C791" s="108">
        <v>4725</v>
      </c>
      <c r="D791" s="110"/>
      <c r="E791" t="str">
        <f>VLOOKUP(B791,CAC!$A$2:$B$198,2,FALSE)</f>
        <v>HMOPMR</v>
      </c>
    </row>
    <row r="792" spans="1:5" x14ac:dyDescent="0.25">
      <c r="A792" s="108">
        <v>201509</v>
      </c>
      <c r="B792" s="109" t="s">
        <v>54</v>
      </c>
      <c r="C792" s="108">
        <v>6555</v>
      </c>
      <c r="D792" s="110"/>
      <c r="E792" t="str">
        <f>VLOOKUP(B792,CAC!$A$2:$B$198,2,FALSE)</f>
        <v>HMOFEP</v>
      </c>
    </row>
    <row r="793" spans="1:5" x14ac:dyDescent="0.25">
      <c r="A793" s="108">
        <v>201509</v>
      </c>
      <c r="B793" s="109" t="s">
        <v>279</v>
      </c>
      <c r="C793" s="108">
        <v>0</v>
      </c>
      <c r="D793" s="110"/>
      <c r="E793" t="str">
        <f>VLOOKUP(B793,CAC!$A$2:$B$198,2,FALSE)</f>
        <v>PPOFEP</v>
      </c>
    </row>
    <row r="794" spans="1:5" x14ac:dyDescent="0.25">
      <c r="A794" s="108">
        <v>201509</v>
      </c>
      <c r="B794" s="109" t="s">
        <v>202</v>
      </c>
      <c r="C794" s="108">
        <v>0</v>
      </c>
      <c r="D794" s="110"/>
      <c r="E794" t="str">
        <f>VLOOKUP(B794,CAC!$A$2:$B$198,2,FALSE)</f>
        <v>PPOPMR</v>
      </c>
    </row>
    <row r="795" spans="1:5" x14ac:dyDescent="0.25">
      <c r="A795" s="108">
        <v>201509</v>
      </c>
      <c r="B795" s="109" t="s">
        <v>55</v>
      </c>
      <c r="C795" s="108">
        <v>15366</v>
      </c>
      <c r="D795" s="110"/>
      <c r="E795" t="str">
        <f>VLOOKUP(B795,CAC!$A$2:$B$198,2,FALSE)</f>
        <v>HMOPMR</v>
      </c>
    </row>
    <row r="796" spans="1:5" x14ac:dyDescent="0.25">
      <c r="A796" s="108">
        <v>201509</v>
      </c>
      <c r="B796" s="109" t="s">
        <v>56</v>
      </c>
      <c r="C796" s="108">
        <v>150</v>
      </c>
      <c r="D796" s="110"/>
      <c r="E796" t="str">
        <f>VLOOKUP(B796,CAC!$A$2:$B$198,2,FALSE)</f>
        <v>HMOPMR</v>
      </c>
    </row>
    <row r="797" spans="1:5" x14ac:dyDescent="0.25">
      <c r="A797" s="108">
        <v>201509</v>
      </c>
      <c r="B797" s="109" t="s">
        <v>57</v>
      </c>
      <c r="C797" s="108">
        <v>6713</v>
      </c>
      <c r="D797" s="110"/>
      <c r="E797" t="str">
        <f>VLOOKUP(B797,CAC!$A$2:$B$198,2,FALSE)</f>
        <v>HMFLEX</v>
      </c>
    </row>
    <row r="798" spans="1:5" x14ac:dyDescent="0.25">
      <c r="A798" s="108">
        <v>201509</v>
      </c>
      <c r="B798" s="109" t="s">
        <v>58</v>
      </c>
      <c r="C798" s="108">
        <v>456</v>
      </c>
      <c r="D798" s="110"/>
      <c r="E798" t="str">
        <f>VLOOKUP(B798,CAC!$A$2:$B$198,2,FALSE)</f>
        <v>HMFLEX</v>
      </c>
    </row>
    <row r="799" spans="1:5" x14ac:dyDescent="0.25">
      <c r="A799" s="108">
        <v>201509</v>
      </c>
      <c r="B799" s="109" t="s">
        <v>59</v>
      </c>
      <c r="C799" s="108">
        <v>8</v>
      </c>
      <c r="D799" s="110"/>
      <c r="E799" t="str">
        <f>VLOOKUP(B799,CAC!$A$2:$B$198,2,FALSE)</f>
        <v>HMFLEX</v>
      </c>
    </row>
    <row r="800" spans="1:5" x14ac:dyDescent="0.25">
      <c r="A800" s="108">
        <v>201509</v>
      </c>
      <c r="B800" s="109" t="s">
        <v>306</v>
      </c>
      <c r="C800" s="108">
        <v>0</v>
      </c>
      <c r="D800" s="110"/>
      <c r="E800" t="e">
        <f>VLOOKUP(B800,CAC!$A$2:$B$198,2,FALSE)</f>
        <v>#N/A</v>
      </c>
    </row>
    <row r="801" spans="1:5" x14ac:dyDescent="0.25">
      <c r="A801" s="108">
        <v>201509</v>
      </c>
      <c r="B801" s="109" t="s">
        <v>283</v>
      </c>
      <c r="C801" s="108">
        <v>0</v>
      </c>
      <c r="D801" s="110"/>
      <c r="E801" t="str">
        <f>VLOOKUP(B801,CAC!$A$2:$B$198,2,FALSE)</f>
        <v>HMFLEX</v>
      </c>
    </row>
    <row r="802" spans="1:5" x14ac:dyDescent="0.25">
      <c r="A802" s="108">
        <v>201509</v>
      </c>
      <c r="B802" s="109" t="s">
        <v>205</v>
      </c>
      <c r="C802" s="108">
        <v>0</v>
      </c>
      <c r="D802" s="110"/>
      <c r="E802" t="str">
        <f>VLOOKUP(B802,CAC!$A$2:$B$198,2,FALSE)</f>
        <v>PPOPMR</v>
      </c>
    </row>
    <row r="803" spans="1:5" x14ac:dyDescent="0.25">
      <c r="A803" s="108">
        <v>201509</v>
      </c>
      <c r="B803" s="109" t="s">
        <v>286</v>
      </c>
      <c r="C803" s="108">
        <v>0</v>
      </c>
      <c r="D803" s="110"/>
      <c r="E803" t="str">
        <f>VLOOKUP(B803,CAC!$A$2:$B$198,2,FALSE)</f>
        <v>HMFLEX</v>
      </c>
    </row>
    <row r="804" spans="1:5" x14ac:dyDescent="0.25">
      <c r="A804" s="108">
        <v>201509</v>
      </c>
      <c r="B804" s="109" t="s">
        <v>60</v>
      </c>
      <c r="C804" s="108">
        <v>11408</v>
      </c>
      <c r="D804" s="110"/>
      <c r="E804" t="str">
        <f>VLOOKUP(B804,CAC!$A$2:$B$198,2,FALSE)</f>
        <v>HMOLG</v>
      </c>
    </row>
    <row r="805" spans="1:5" x14ac:dyDescent="0.25">
      <c r="A805" s="108">
        <v>201509</v>
      </c>
      <c r="B805" s="109" t="s">
        <v>61</v>
      </c>
      <c r="C805" s="108">
        <v>707</v>
      </c>
      <c r="D805" s="110"/>
      <c r="E805" t="str">
        <f>VLOOKUP(B805,CAC!$A$2:$B$198,2,FALSE)</f>
        <v>HMOLG</v>
      </c>
    </row>
    <row r="806" spans="1:5" x14ac:dyDescent="0.25">
      <c r="A806" s="108">
        <v>201509</v>
      </c>
      <c r="B806" s="109" t="s">
        <v>62</v>
      </c>
      <c r="C806" s="108">
        <v>26256</v>
      </c>
      <c r="D806" s="110"/>
      <c r="E806" t="str">
        <f>VLOOKUP(B806,CAC!$A$2:$B$198,2,FALSE)</f>
        <v>HMOLG</v>
      </c>
    </row>
    <row r="807" spans="1:5" x14ac:dyDescent="0.25">
      <c r="A807" s="108">
        <v>201509</v>
      </c>
      <c r="B807" s="109" t="s">
        <v>63</v>
      </c>
      <c r="C807" s="108">
        <v>334</v>
      </c>
      <c r="D807" s="110"/>
      <c r="E807" t="str">
        <f>VLOOKUP(B807,CAC!$A$2:$B$198,2,FALSE)</f>
        <v>HMOLG</v>
      </c>
    </row>
    <row r="808" spans="1:5" x14ac:dyDescent="0.25">
      <c r="A808" s="108">
        <v>201509</v>
      </c>
      <c r="B808" s="109" t="s">
        <v>64</v>
      </c>
      <c r="C808" s="108">
        <v>0</v>
      </c>
      <c r="D808" s="110"/>
      <c r="E808" t="str">
        <f>VLOOKUP(B808,CAC!$A$2:$B$198,2,FALSE)</f>
        <v>HMOLG</v>
      </c>
    </row>
    <row r="809" spans="1:5" x14ac:dyDescent="0.25">
      <c r="A809" s="108">
        <v>201509</v>
      </c>
      <c r="B809" s="109" t="s">
        <v>65</v>
      </c>
      <c r="C809" s="108">
        <v>219</v>
      </c>
      <c r="D809" s="110"/>
      <c r="E809" t="str">
        <f>VLOOKUP(B809,CAC!$A$2:$B$198,2,FALSE)</f>
        <v>HMFLEX</v>
      </c>
    </row>
    <row r="810" spans="1:5" x14ac:dyDescent="0.25">
      <c r="A810" s="108">
        <v>201509</v>
      </c>
      <c r="B810" s="109" t="s">
        <v>307</v>
      </c>
      <c r="C810" s="108">
        <v>0</v>
      </c>
      <c r="D810" s="110"/>
      <c r="E810" t="e">
        <f>VLOOKUP(B810,CAC!$A$2:$B$198,2,FALSE)</f>
        <v>#N/A</v>
      </c>
    </row>
    <row r="811" spans="1:5" x14ac:dyDescent="0.25">
      <c r="A811" s="108">
        <v>201509</v>
      </c>
      <c r="B811" s="109" t="s">
        <v>308</v>
      </c>
      <c r="C811" s="108">
        <v>0</v>
      </c>
      <c r="D811" s="110"/>
      <c r="E811" t="e">
        <f>VLOOKUP(B811,CAC!$A$2:$B$198,2,FALSE)</f>
        <v>#N/A</v>
      </c>
    </row>
    <row r="812" spans="1:5" x14ac:dyDescent="0.25">
      <c r="A812" s="108">
        <v>201509</v>
      </c>
      <c r="B812" s="109" t="s">
        <v>309</v>
      </c>
      <c r="C812" s="108">
        <v>0</v>
      </c>
      <c r="D812" s="110"/>
      <c r="E812" t="e">
        <f>VLOOKUP(B812,CAC!$A$2:$B$198,2,FALSE)</f>
        <v>#N/A</v>
      </c>
    </row>
    <row r="813" spans="1:5" x14ac:dyDescent="0.25">
      <c r="A813" s="108">
        <v>201509</v>
      </c>
      <c r="B813" s="109" t="s">
        <v>99</v>
      </c>
      <c r="C813" s="108">
        <v>0</v>
      </c>
      <c r="D813" s="110"/>
      <c r="E813" t="str">
        <f>VLOOKUP(B813,CAC!$A$2:$B$198,2,FALSE)</f>
        <v>PPOLG</v>
      </c>
    </row>
    <row r="814" spans="1:5" x14ac:dyDescent="0.25">
      <c r="A814" s="108">
        <v>201509</v>
      </c>
      <c r="B814" s="109" t="s">
        <v>193</v>
      </c>
      <c r="C814" s="108">
        <v>0</v>
      </c>
      <c r="D814" s="110"/>
      <c r="E814" t="str">
        <f>VLOOKUP(B814,CAC!$A$2:$B$198,2,FALSE)</f>
        <v>PPOLG</v>
      </c>
    </row>
    <row r="815" spans="1:5" x14ac:dyDescent="0.25">
      <c r="A815" s="108">
        <v>201509</v>
      </c>
      <c r="B815" s="109" t="s">
        <v>196</v>
      </c>
      <c r="C815" s="108">
        <v>0</v>
      </c>
      <c r="D815" s="110"/>
      <c r="E815" t="str">
        <f>VLOOKUP(B815,CAC!$A$2:$B$198,2,FALSE)</f>
        <v>PPOLG</v>
      </c>
    </row>
    <row r="816" spans="1:5" x14ac:dyDescent="0.25">
      <c r="A816" s="108">
        <v>201509</v>
      </c>
      <c r="B816" s="109" t="s">
        <v>212</v>
      </c>
      <c r="C816" s="108">
        <v>0</v>
      </c>
      <c r="D816" s="110"/>
      <c r="E816" t="str">
        <f>VLOOKUP(B816,CAC!$A$2:$B$198,2,FALSE)</f>
        <v>PPOMM</v>
      </c>
    </row>
    <row r="817" spans="1:5" x14ac:dyDescent="0.25">
      <c r="A817" s="108">
        <v>201509</v>
      </c>
      <c r="B817" s="109" t="s">
        <v>213</v>
      </c>
      <c r="C817" s="108">
        <v>0</v>
      </c>
      <c r="D817" s="110"/>
      <c r="E817" t="str">
        <f>VLOOKUP(B817,CAC!$A$2:$B$198,2,FALSE)</f>
        <v>PPOMM</v>
      </c>
    </row>
    <row r="818" spans="1:5" x14ac:dyDescent="0.25">
      <c r="A818" s="108">
        <v>201509</v>
      </c>
      <c r="B818" s="109" t="s">
        <v>311</v>
      </c>
      <c r="C818" s="108">
        <v>0</v>
      </c>
      <c r="D818" s="110"/>
      <c r="E818" t="e">
        <f>VLOOKUP(B818,CAC!$A$2:$B$198,2,FALSE)</f>
        <v>#N/A</v>
      </c>
    </row>
    <row r="819" spans="1:5" x14ac:dyDescent="0.25">
      <c r="A819" s="108">
        <v>201509</v>
      </c>
      <c r="B819" s="109" t="s">
        <v>320</v>
      </c>
      <c r="C819" s="108">
        <v>0</v>
      </c>
      <c r="D819" s="110"/>
      <c r="E819" t="e">
        <f>VLOOKUP(B819,CAC!$A$2:$B$198,2,FALSE)</f>
        <v>#N/A</v>
      </c>
    </row>
    <row r="820" spans="1:5" x14ac:dyDescent="0.25">
      <c r="A820" s="108">
        <v>201509</v>
      </c>
      <c r="B820" s="109" t="s">
        <v>321</v>
      </c>
      <c r="C820" s="108">
        <v>0</v>
      </c>
      <c r="D820" s="110"/>
      <c r="E820" t="e">
        <f>VLOOKUP(B820,CAC!$A$2:$B$198,2,FALSE)</f>
        <v>#N/A</v>
      </c>
    </row>
    <row r="821" spans="1:5" x14ac:dyDescent="0.25">
      <c r="A821" s="108">
        <v>201509</v>
      </c>
      <c r="B821" s="109" t="s">
        <v>312</v>
      </c>
      <c r="C821" s="108">
        <v>0</v>
      </c>
      <c r="D821" s="110"/>
      <c r="E821" t="e">
        <f>VLOOKUP(B821,CAC!$A$2:$B$198,2,FALSE)</f>
        <v>#N/A</v>
      </c>
    </row>
    <row r="822" spans="1:5" x14ac:dyDescent="0.25">
      <c r="A822" s="108">
        <v>201509</v>
      </c>
      <c r="B822" s="109" t="s">
        <v>313</v>
      </c>
      <c r="C822" s="108">
        <v>0</v>
      </c>
      <c r="D822" s="110"/>
      <c r="E822" t="e">
        <f>VLOOKUP(B822,CAC!$A$2:$B$198,2,FALSE)</f>
        <v>#N/A</v>
      </c>
    </row>
    <row r="823" spans="1:5" x14ac:dyDescent="0.25">
      <c r="A823" s="108">
        <v>201509</v>
      </c>
      <c r="B823" s="109" t="s">
        <v>215</v>
      </c>
      <c r="C823" s="108">
        <v>0</v>
      </c>
      <c r="D823" s="110"/>
      <c r="E823" t="str">
        <f>VLOOKUP(B823,CAC!$A$2:$B$198,2,FALSE)</f>
        <v>PPOMM</v>
      </c>
    </row>
    <row r="824" spans="1:5" x14ac:dyDescent="0.25">
      <c r="A824" s="108">
        <v>201509</v>
      </c>
      <c r="B824" s="109" t="s">
        <v>66</v>
      </c>
      <c r="C824" s="108">
        <v>3853</v>
      </c>
      <c r="D824" s="110"/>
      <c r="E824" t="str">
        <f>VLOOKUP(B824,CAC!$A$2:$B$198,2,FALSE)</f>
        <v>HMOLG</v>
      </c>
    </row>
    <row r="825" spans="1:5" x14ac:dyDescent="0.25">
      <c r="A825" s="108">
        <v>201509</v>
      </c>
      <c r="B825" s="109" t="s">
        <v>82</v>
      </c>
      <c r="C825" s="108">
        <v>0</v>
      </c>
      <c r="D825" s="110"/>
      <c r="E825" t="str">
        <f>VLOOKUP(B825,CAC!$A$2:$B$198,2,FALSE)</f>
        <v>NATPAR</v>
      </c>
    </row>
    <row r="826" spans="1:5" x14ac:dyDescent="0.25">
      <c r="A826" s="108">
        <v>201509</v>
      </c>
      <c r="B826" s="109" t="s">
        <v>67</v>
      </c>
      <c r="C826" s="108">
        <v>141</v>
      </c>
      <c r="D826" s="110"/>
      <c r="E826" t="str">
        <f>VLOOKUP(B826,CAC!$A$2:$B$198,2,FALSE)</f>
        <v>HMOLG</v>
      </c>
    </row>
    <row r="827" spans="1:5" x14ac:dyDescent="0.25">
      <c r="A827" s="108">
        <v>201509</v>
      </c>
      <c r="B827" s="109" t="s">
        <v>68</v>
      </c>
      <c r="C827" s="108">
        <v>275</v>
      </c>
      <c r="D827" s="110"/>
      <c r="E827" t="str">
        <f>VLOOKUP(B827,CAC!$A$2:$B$198,2,FALSE)</f>
        <v>HMOPMR</v>
      </c>
    </row>
    <row r="828" spans="1:5" x14ac:dyDescent="0.25">
      <c r="A828" s="108">
        <v>201509</v>
      </c>
      <c r="B828" s="109" t="s">
        <v>69</v>
      </c>
      <c r="C828" s="108">
        <v>9877</v>
      </c>
      <c r="D828" s="110"/>
      <c r="E828" t="str">
        <f>VLOOKUP(B828,CAC!$A$2:$B$198,2,FALSE)</f>
        <v>HMOPMR</v>
      </c>
    </row>
    <row r="829" spans="1:5" x14ac:dyDescent="0.25">
      <c r="A829" s="108">
        <v>201509</v>
      </c>
      <c r="B829" s="109" t="s">
        <v>70</v>
      </c>
      <c r="C829" s="108">
        <v>4142</v>
      </c>
      <c r="D829" s="110"/>
      <c r="E829" t="str">
        <f>VLOOKUP(B829,CAC!$A$2:$B$198,2,FALSE)</f>
        <v>HMOPMR</v>
      </c>
    </row>
    <row r="830" spans="1:5" x14ac:dyDescent="0.25">
      <c r="A830" s="108">
        <v>201509</v>
      </c>
      <c r="B830" s="109" t="s">
        <v>71</v>
      </c>
      <c r="C830" s="108">
        <v>6569</v>
      </c>
      <c r="D830" s="110"/>
      <c r="E830" t="str">
        <f>VLOOKUP(B830,CAC!$A$2:$B$198,2,FALSE)</f>
        <v>HMOPMR</v>
      </c>
    </row>
    <row r="831" spans="1:5" x14ac:dyDescent="0.25">
      <c r="A831" s="108">
        <v>201509</v>
      </c>
      <c r="B831" s="109" t="s">
        <v>72</v>
      </c>
      <c r="C831" s="108">
        <v>2237</v>
      </c>
      <c r="D831" s="110"/>
      <c r="E831" t="str">
        <f>VLOOKUP(B831,CAC!$A$2:$B$198,2,FALSE)</f>
        <v>HMFLEX</v>
      </c>
    </row>
    <row r="832" spans="1:5" x14ac:dyDescent="0.25">
      <c r="A832" s="108">
        <v>201509</v>
      </c>
      <c r="B832" s="109" t="s">
        <v>314</v>
      </c>
      <c r="C832" s="108">
        <v>0</v>
      </c>
      <c r="D832" s="110"/>
      <c r="E832" t="e">
        <f>VLOOKUP(B832,CAC!$A$2:$B$198,2,FALSE)</f>
        <v>#N/A</v>
      </c>
    </row>
    <row r="833" spans="1:5" x14ac:dyDescent="0.25">
      <c r="A833" s="108">
        <v>201509</v>
      </c>
      <c r="B833" s="109" t="s">
        <v>322</v>
      </c>
      <c r="C833" s="108">
        <v>0</v>
      </c>
      <c r="D833" s="110"/>
      <c r="E833" t="e">
        <f>VLOOKUP(B833,CAC!$A$2:$B$198,2,FALSE)</f>
        <v>#N/A</v>
      </c>
    </row>
    <row r="834" spans="1:5" x14ac:dyDescent="0.25">
      <c r="A834" s="108">
        <v>201509</v>
      </c>
      <c r="B834" s="109" t="s">
        <v>315</v>
      </c>
      <c r="C834" s="108">
        <v>0</v>
      </c>
      <c r="D834" s="110"/>
      <c r="E834" t="e">
        <f>VLOOKUP(B834,CAC!$A$2:$B$198,2,FALSE)</f>
        <v>#N/A</v>
      </c>
    </row>
    <row r="835" spans="1:5" x14ac:dyDescent="0.25">
      <c r="A835" s="108">
        <v>201509</v>
      </c>
      <c r="B835" s="109" t="s">
        <v>112</v>
      </c>
      <c r="C835" s="108">
        <v>0</v>
      </c>
      <c r="D835" s="110"/>
      <c r="E835" t="e">
        <f>VLOOKUP(B835,CAC!$A$2:$B$198,2,FALSE)</f>
        <v>#N/A</v>
      </c>
    </row>
    <row r="836" spans="1:5" x14ac:dyDescent="0.25">
      <c r="A836" s="108">
        <v>201509</v>
      </c>
      <c r="B836" s="109" t="s">
        <v>316</v>
      </c>
      <c r="C836" s="108">
        <v>0</v>
      </c>
      <c r="D836" s="110"/>
      <c r="E836" t="e">
        <f>VLOOKUP(B836,CAC!$A$2:$B$198,2,FALSE)</f>
        <v>#N/A</v>
      </c>
    </row>
    <row r="837" spans="1:5" x14ac:dyDescent="0.25">
      <c r="A837" s="108">
        <v>201509</v>
      </c>
      <c r="B837" s="109" t="s">
        <v>317</v>
      </c>
      <c r="C837" s="108">
        <v>0</v>
      </c>
      <c r="D837" s="110"/>
      <c r="E837" t="e">
        <f>VLOOKUP(B837,CAC!$A$2:$B$198,2,FALSE)</f>
        <v>#N/A</v>
      </c>
    </row>
    <row r="838" spans="1:5" x14ac:dyDescent="0.25">
      <c r="A838" s="108">
        <v>201509</v>
      </c>
      <c r="B838" s="109" t="s">
        <v>113</v>
      </c>
      <c r="C838" s="108">
        <v>0</v>
      </c>
      <c r="D838" s="110"/>
      <c r="E838" t="str">
        <f>VLOOKUP(B838,CAC!$A$2:$B$198,2,FALSE)</f>
        <v>PPOLG</v>
      </c>
    </row>
    <row r="839" spans="1:5" x14ac:dyDescent="0.25">
      <c r="A839" s="108">
        <v>201509</v>
      </c>
      <c r="B839" s="109" t="s">
        <v>294</v>
      </c>
      <c r="C839" s="108">
        <v>0</v>
      </c>
      <c r="D839" s="110"/>
      <c r="E839" t="str">
        <f>VLOOKUP(B839,CAC!$A$2:$B$198,2,FALSE)</f>
        <v>NATPAR</v>
      </c>
    </row>
    <row r="840" spans="1:5" x14ac:dyDescent="0.25">
      <c r="A840" s="108">
        <v>201509</v>
      </c>
      <c r="B840" s="109" t="s">
        <v>208</v>
      </c>
      <c r="C840" s="108">
        <v>0</v>
      </c>
      <c r="D840" s="110"/>
      <c r="E840" t="str">
        <f>VLOOKUP(B840,CAC!$A$2:$B$198,2,FALSE)</f>
        <v>PPOPMR</v>
      </c>
    </row>
    <row r="841" spans="1:5" x14ac:dyDescent="0.25">
      <c r="A841" s="108">
        <v>201509</v>
      </c>
      <c r="B841" s="109" t="s">
        <v>209</v>
      </c>
      <c r="C841" s="108">
        <v>0</v>
      </c>
      <c r="D841" s="110"/>
      <c r="E841" t="str">
        <f>VLOOKUP(B841,CAC!$A$2:$B$198,2,FALSE)</f>
        <v>PPOPMR</v>
      </c>
    </row>
    <row r="842" spans="1:5" x14ac:dyDescent="0.25">
      <c r="A842" s="108">
        <v>201509</v>
      </c>
      <c r="B842" s="109" t="s">
        <v>204</v>
      </c>
      <c r="C842" s="108">
        <v>0</v>
      </c>
      <c r="D842" s="110"/>
      <c r="E842" t="str">
        <f>VLOOKUP(B842,CAC!$A$2:$B$198,2,FALSE)</f>
        <v>PPOPMR</v>
      </c>
    </row>
    <row r="843" spans="1:5" x14ac:dyDescent="0.25">
      <c r="A843" s="108">
        <v>201509</v>
      </c>
      <c r="B843" s="109" t="s">
        <v>73</v>
      </c>
      <c r="C843" s="108">
        <v>34573</v>
      </c>
      <c r="D843" s="108">
        <v>6295</v>
      </c>
      <c r="E843" t="str">
        <f>VLOOKUP(B843,CAC!$A$2:$B$198,2,FALSE)</f>
        <v>HMOPERA</v>
      </c>
    </row>
    <row r="844" spans="1:5" x14ac:dyDescent="0.25">
      <c r="A844" s="108">
        <v>201509</v>
      </c>
      <c r="B844" s="109" t="s">
        <v>74</v>
      </c>
      <c r="C844" s="108">
        <v>4175</v>
      </c>
      <c r="D844" s="108">
        <v>2354</v>
      </c>
      <c r="E844" t="str">
        <f>VLOOKUP(B844,CAC!$A$2:$B$198,2,FALSE)</f>
        <v>PERMEDA</v>
      </c>
    </row>
    <row r="845" spans="1:5" x14ac:dyDescent="0.25">
      <c r="A845" s="108">
        <v>201509</v>
      </c>
      <c r="B845" s="109" t="s">
        <v>75</v>
      </c>
      <c r="C845" s="108">
        <v>39835</v>
      </c>
      <c r="D845" s="108">
        <v>19978</v>
      </c>
      <c r="E845" t="str">
        <f>VLOOKUP(B845,CAC!$A$2:$B$198,2,FALSE)</f>
        <v>HMOPERN</v>
      </c>
    </row>
    <row r="846" spans="1:5" x14ac:dyDescent="0.25">
      <c r="A846" s="108">
        <v>201509</v>
      </c>
      <c r="B846" s="109" t="s">
        <v>76</v>
      </c>
      <c r="C846" s="108">
        <v>537</v>
      </c>
      <c r="D846" s="108">
        <v>1742</v>
      </c>
      <c r="E846" t="str">
        <f>VLOOKUP(B846,CAC!$A$2:$B$198,2,FALSE)</f>
        <v>PERMEDN</v>
      </c>
    </row>
    <row r="847" spans="1:5" x14ac:dyDescent="0.25">
      <c r="A847" s="108">
        <v>201509</v>
      </c>
      <c r="B847" s="109" t="s">
        <v>218</v>
      </c>
      <c r="C847" s="108">
        <v>0</v>
      </c>
      <c r="D847" s="110"/>
      <c r="E847" t="str">
        <f>VLOOKUP(B847,CAC!$A$2:$B$198,2,FALSE)</f>
        <v>HMOPERA</v>
      </c>
    </row>
    <row r="848" spans="1:5" x14ac:dyDescent="0.25">
      <c r="A848" s="108">
        <v>201509</v>
      </c>
      <c r="B848" s="109" t="s">
        <v>181</v>
      </c>
      <c r="C848" s="108">
        <v>0</v>
      </c>
      <c r="D848" s="110"/>
      <c r="E848" t="str">
        <f>VLOOKUP(B848,CAC!$A$2:$B$198,2,FALSE)</f>
        <v>PERMEDA</v>
      </c>
    </row>
    <row r="849" spans="1:5" x14ac:dyDescent="0.25">
      <c r="A849" s="108">
        <v>201509</v>
      </c>
      <c r="B849" s="109" t="s">
        <v>156</v>
      </c>
      <c r="C849" s="108">
        <v>21295</v>
      </c>
      <c r="D849" s="110"/>
      <c r="E849" t="str">
        <f>VLOOKUP(B849,CAC!$A$2:$B$198,2,FALSE)</f>
        <v>HMOMM</v>
      </c>
    </row>
    <row r="850" spans="1:5" x14ac:dyDescent="0.25">
      <c r="A850" s="108">
        <v>201509</v>
      </c>
      <c r="B850" s="109" t="s">
        <v>162</v>
      </c>
      <c r="C850" s="108">
        <v>384</v>
      </c>
      <c r="D850" s="110"/>
      <c r="E850" t="str">
        <f>VLOOKUP(B850,CAC!$A$2:$B$198,2,FALSE)</f>
        <v>HMOMG</v>
      </c>
    </row>
    <row r="851" spans="1:5" x14ac:dyDescent="0.25">
      <c r="A851" s="108">
        <v>201509</v>
      </c>
      <c r="B851" s="109" t="s">
        <v>163</v>
      </c>
      <c r="C851" s="108">
        <v>99</v>
      </c>
      <c r="D851" s="110"/>
      <c r="E851" t="str">
        <f>VLOOKUP(B851,CAC!$A$2:$B$198,2,FALSE)</f>
        <v>HMOMG</v>
      </c>
    </row>
    <row r="852" spans="1:5" x14ac:dyDescent="0.25">
      <c r="A852" s="108">
        <v>201509</v>
      </c>
      <c r="B852" s="109" t="s">
        <v>164</v>
      </c>
      <c r="C852" s="108">
        <v>0</v>
      </c>
      <c r="D852" s="110"/>
      <c r="E852" t="str">
        <f>VLOOKUP(B852,CAC!$A$2:$B$198,2,FALSE)</f>
        <v>HMOMG</v>
      </c>
    </row>
    <row r="853" spans="1:5" x14ac:dyDescent="0.25">
      <c r="A853" s="108">
        <v>201509</v>
      </c>
      <c r="B853" s="109" t="s">
        <v>161</v>
      </c>
      <c r="C853" s="108">
        <v>4281</v>
      </c>
      <c r="D853" s="110"/>
      <c r="E853" t="str">
        <f>VLOOKUP(B853,CAC!$A$2:$B$198,2,FALSE)</f>
        <v>PERMAPD</v>
      </c>
    </row>
    <row r="854" spans="1:5" x14ac:dyDescent="0.25">
      <c r="A854" s="108">
        <v>201509</v>
      </c>
      <c r="B854" s="109" t="s">
        <v>77</v>
      </c>
      <c r="C854" s="108">
        <v>19440</v>
      </c>
      <c r="D854" s="110"/>
      <c r="E854" t="str">
        <f>VLOOKUP(B854,CAC!$A$2:$B$198,2,FALSE)</f>
        <v>HMOSG</v>
      </c>
    </row>
    <row r="855" spans="1:5" x14ac:dyDescent="0.25">
      <c r="A855" s="108">
        <v>201509</v>
      </c>
      <c r="B855" s="109" t="s">
        <v>78</v>
      </c>
      <c r="C855" s="108">
        <v>356</v>
      </c>
      <c r="D855" s="110"/>
      <c r="E855" t="str">
        <f>VLOOKUP(B855,CAC!$A$2:$B$198,2,FALSE)</f>
        <v>HMOSG</v>
      </c>
    </row>
    <row r="856" spans="1:5" x14ac:dyDescent="0.25">
      <c r="A856" s="108">
        <v>201509</v>
      </c>
      <c r="B856" s="109" t="s">
        <v>79</v>
      </c>
      <c r="C856" s="108">
        <v>59</v>
      </c>
      <c r="D856" s="110"/>
      <c r="E856" t="str">
        <f>VLOOKUP(B856,CAC!$A$2:$B$198,2,FALSE)</f>
        <v>HMOSG</v>
      </c>
    </row>
    <row r="857" spans="1:5" x14ac:dyDescent="0.25">
      <c r="A857" s="108">
        <v>201509</v>
      </c>
      <c r="B857" s="109" t="s">
        <v>222</v>
      </c>
      <c r="C857" s="108">
        <v>0</v>
      </c>
      <c r="D857" s="110"/>
      <c r="E857" t="str">
        <f>VLOOKUP(B857,CAC!$A$2:$B$198,2,FALSE)</f>
        <v>PPOSG</v>
      </c>
    </row>
    <row r="858" spans="1:5" x14ac:dyDescent="0.25">
      <c r="A858" s="108">
        <v>201509</v>
      </c>
      <c r="B858" s="109" t="s">
        <v>225</v>
      </c>
      <c r="C858" s="108">
        <v>0</v>
      </c>
      <c r="D858" s="110"/>
      <c r="E858" t="str">
        <f>VLOOKUP(B858,CAC!$A$2:$B$198,2,FALSE)</f>
        <v>PPOSG</v>
      </c>
    </row>
    <row r="859" spans="1:5" x14ac:dyDescent="0.25">
      <c r="A859" s="108">
        <v>201509</v>
      </c>
      <c r="B859" s="109" t="s">
        <v>226</v>
      </c>
      <c r="C859" s="108">
        <v>0</v>
      </c>
      <c r="D859" s="110"/>
      <c r="E859" t="str">
        <f>VLOOKUP(B859,CAC!$A$2:$B$198,2,FALSE)</f>
        <v>PPOSG</v>
      </c>
    </row>
    <row r="860" spans="1:5" x14ac:dyDescent="0.25">
      <c r="A860" s="108">
        <v>201509</v>
      </c>
      <c r="B860" s="109" t="s">
        <v>80</v>
      </c>
      <c r="C860" s="108">
        <v>9</v>
      </c>
      <c r="D860" s="110"/>
      <c r="E860" t="str">
        <f>VLOOKUP(B860,CAC!$A$2:$B$198,2,FALSE)</f>
        <v>HMOIFP</v>
      </c>
    </row>
    <row r="861" spans="1:5" x14ac:dyDescent="0.25">
      <c r="A861" s="108">
        <v>201509</v>
      </c>
      <c r="B861" s="109" t="s">
        <v>186</v>
      </c>
      <c r="C861" s="108">
        <v>0</v>
      </c>
      <c r="D861" s="110"/>
      <c r="E861" t="str">
        <f>VLOOKUP(B861,CAC!$A$2:$B$198,2,FALSE)</f>
        <v>PPOIFP</v>
      </c>
    </row>
    <row r="862" spans="1:5" x14ac:dyDescent="0.25">
      <c r="A862" s="108">
        <v>201509</v>
      </c>
      <c r="B862" s="109" t="s">
        <v>187</v>
      </c>
      <c r="C862" s="108">
        <v>0</v>
      </c>
      <c r="D862" s="110"/>
      <c r="E862" t="str">
        <f>VLOOKUP(B862,CAC!$A$2:$B$198,2,FALSE)</f>
        <v>PPOIFP</v>
      </c>
    </row>
    <row r="863" spans="1:5" x14ac:dyDescent="0.25">
      <c r="A863" s="108">
        <v>201509</v>
      </c>
      <c r="B863" s="109" t="s">
        <v>188</v>
      </c>
      <c r="C863" s="108">
        <v>0</v>
      </c>
      <c r="D863" s="110"/>
      <c r="E863" t="str">
        <f>VLOOKUP(B863,CAC!$A$2:$B$198,2,FALSE)</f>
        <v>PPOIFP</v>
      </c>
    </row>
    <row r="864" spans="1:5" x14ac:dyDescent="0.25">
      <c r="A864" s="108">
        <v>201509</v>
      </c>
      <c r="B864" s="109" t="s">
        <v>189</v>
      </c>
      <c r="C864" s="108">
        <v>0</v>
      </c>
      <c r="D864" s="110"/>
      <c r="E864" t="str">
        <f>VLOOKUP(B864,CAC!$A$2:$B$198,2,FALSE)</f>
        <v>PPOIFP</v>
      </c>
    </row>
    <row r="865" spans="1:5" x14ac:dyDescent="0.25">
      <c r="A865" s="108">
        <v>201509</v>
      </c>
      <c r="B865" s="109" t="s">
        <v>216</v>
      </c>
      <c r="C865" s="108">
        <v>0</v>
      </c>
      <c r="D865" s="110"/>
      <c r="E865" t="str">
        <f>VLOOKUP(B865,CAC!$A$2:$B$198,2,FALSE)</f>
        <v>PPOMM</v>
      </c>
    </row>
    <row r="866" spans="1:5" x14ac:dyDescent="0.25">
      <c r="A866" s="108">
        <v>201509</v>
      </c>
      <c r="B866" s="109" t="s">
        <v>301</v>
      </c>
      <c r="C866" s="108">
        <v>0</v>
      </c>
      <c r="D866" s="110"/>
      <c r="E866" t="str">
        <f>VLOOKUP(B866,CAC!$A$2:$B$198,2,FALSE)</f>
        <v>XXX</v>
      </c>
    </row>
    <row r="867" spans="1:5" x14ac:dyDescent="0.25">
      <c r="A867" s="108">
        <v>201510</v>
      </c>
      <c r="B867" s="109" t="s">
        <v>51</v>
      </c>
      <c r="C867" s="108">
        <v>7</v>
      </c>
      <c r="D867" s="110"/>
      <c r="E867" t="str">
        <f>VLOOKUP(B867,CAC!$A$2:$B$198,2,FALSE)</f>
        <v>XXX</v>
      </c>
    </row>
    <row r="868" spans="1:5" x14ac:dyDescent="0.25">
      <c r="A868" s="108">
        <v>201510</v>
      </c>
      <c r="B868" s="109" t="s">
        <v>303</v>
      </c>
      <c r="C868" s="108">
        <v>0</v>
      </c>
      <c r="D868" s="110"/>
      <c r="E868" t="e">
        <f>VLOOKUP(B868,CAC!$A$2:$B$198,2,FALSE)</f>
        <v>#N/A</v>
      </c>
    </row>
    <row r="869" spans="1:5" x14ac:dyDescent="0.25">
      <c r="A869" s="108">
        <v>201510</v>
      </c>
      <c r="B869" s="109" t="s">
        <v>304</v>
      </c>
      <c r="C869" s="108">
        <v>0</v>
      </c>
      <c r="D869" s="110"/>
      <c r="E869" t="e">
        <f>VLOOKUP(B869,CAC!$A$2:$B$198,2,FALSE)</f>
        <v>#N/A</v>
      </c>
    </row>
    <row r="870" spans="1:5" x14ac:dyDescent="0.25">
      <c r="A870" s="108">
        <v>201510</v>
      </c>
      <c r="B870" s="109" t="s">
        <v>323</v>
      </c>
      <c r="C870" s="108">
        <v>0</v>
      </c>
      <c r="D870" s="110"/>
      <c r="E870" t="e">
        <f>VLOOKUP(B870,CAC!$A$2:$B$198,2,FALSE)</f>
        <v>#N/A</v>
      </c>
    </row>
    <row r="871" spans="1:5" x14ac:dyDescent="0.25">
      <c r="A871" s="108">
        <v>201510</v>
      </c>
      <c r="B871" s="109" t="s">
        <v>305</v>
      </c>
      <c r="C871" s="108">
        <v>0</v>
      </c>
      <c r="D871" s="110"/>
      <c r="E871" t="e">
        <f>VLOOKUP(B871,CAC!$A$2:$B$198,2,FALSE)</f>
        <v>#N/A</v>
      </c>
    </row>
    <row r="872" spans="1:5" x14ac:dyDescent="0.25">
      <c r="A872" s="108">
        <v>201510</v>
      </c>
      <c r="B872" s="109" t="s">
        <v>324</v>
      </c>
      <c r="C872" s="108">
        <v>0</v>
      </c>
      <c r="D872" s="110"/>
      <c r="E872" t="e">
        <f>VLOOKUP(B872,CAC!$A$2:$B$198,2,FALSE)</f>
        <v>#N/A</v>
      </c>
    </row>
    <row r="873" spans="1:5" x14ac:dyDescent="0.25">
      <c r="A873" s="108">
        <v>201510</v>
      </c>
      <c r="B873" s="109" t="s">
        <v>318</v>
      </c>
      <c r="C873" s="108">
        <v>0</v>
      </c>
      <c r="D873" s="110"/>
      <c r="E873" t="e">
        <f>VLOOKUP(B873,CAC!$A$2:$B$198,2,FALSE)</f>
        <v>#N/A</v>
      </c>
    </row>
    <row r="874" spans="1:5" x14ac:dyDescent="0.25">
      <c r="A874" s="108">
        <v>201510</v>
      </c>
      <c r="B874" s="109" t="s">
        <v>326</v>
      </c>
      <c r="C874" s="108">
        <v>0</v>
      </c>
      <c r="D874" s="110"/>
      <c r="E874" t="e">
        <f>VLOOKUP(B874,CAC!$A$2:$B$198,2,FALSE)</f>
        <v>#N/A</v>
      </c>
    </row>
    <row r="875" spans="1:5" x14ac:dyDescent="0.25">
      <c r="A875" s="108">
        <v>201510</v>
      </c>
      <c r="B875" s="109" t="s">
        <v>231</v>
      </c>
      <c r="C875" s="108">
        <v>0</v>
      </c>
      <c r="D875" s="110"/>
      <c r="E875" t="str">
        <f>VLOOKUP(B875,CAC!$A$2:$B$198,2,FALSE)</f>
        <v>DOILG</v>
      </c>
    </row>
    <row r="876" spans="1:5" x14ac:dyDescent="0.25">
      <c r="A876" s="108">
        <v>201510</v>
      </c>
      <c r="B876" s="109" t="s">
        <v>233</v>
      </c>
      <c r="C876" s="108">
        <v>0</v>
      </c>
      <c r="D876" s="110"/>
      <c r="E876" t="str">
        <f>VLOOKUP(B876,CAC!$A$2:$B$198,2,FALSE)</f>
        <v>DOILG</v>
      </c>
    </row>
    <row r="877" spans="1:5" x14ac:dyDescent="0.25">
      <c r="A877" s="108">
        <v>201510</v>
      </c>
      <c r="B877" s="109" t="s">
        <v>234</v>
      </c>
      <c r="C877" s="108">
        <v>0</v>
      </c>
      <c r="D877" s="110"/>
      <c r="E877" t="str">
        <f>VLOOKUP(B877,CAC!$A$2:$B$198,2,FALSE)</f>
        <v>DOILG</v>
      </c>
    </row>
    <row r="878" spans="1:5" x14ac:dyDescent="0.25">
      <c r="A878" s="108">
        <v>201510</v>
      </c>
      <c r="B878" s="109" t="s">
        <v>235</v>
      </c>
      <c r="C878" s="108">
        <v>0</v>
      </c>
      <c r="D878" s="110"/>
      <c r="E878" t="str">
        <f>VLOOKUP(B878,CAC!$A$2:$B$198,2,FALSE)</f>
        <v>DOILG</v>
      </c>
    </row>
    <row r="879" spans="1:5" x14ac:dyDescent="0.25">
      <c r="A879" s="108">
        <v>201510</v>
      </c>
      <c r="B879" s="109" t="s">
        <v>237</v>
      </c>
      <c r="C879" s="108">
        <v>0</v>
      </c>
      <c r="D879" s="110"/>
      <c r="E879" t="str">
        <f>VLOOKUP(B879,CAC!$A$2:$B$198,2,FALSE)</f>
        <v>DOILG</v>
      </c>
    </row>
    <row r="880" spans="1:5" x14ac:dyDescent="0.25">
      <c r="A880" s="108">
        <v>201510</v>
      </c>
      <c r="B880" s="109" t="s">
        <v>239</v>
      </c>
      <c r="C880" s="108">
        <v>0</v>
      </c>
      <c r="D880" s="110"/>
      <c r="E880" t="str">
        <f>VLOOKUP(B880,CAC!$A$2:$B$198,2,FALSE)</f>
        <v>DOISG</v>
      </c>
    </row>
    <row r="881" spans="1:5" x14ac:dyDescent="0.25">
      <c r="A881" s="108">
        <v>201510</v>
      </c>
      <c r="B881" s="109" t="s">
        <v>247</v>
      </c>
      <c r="C881" s="108">
        <v>0</v>
      </c>
      <c r="D881" s="110"/>
      <c r="E881" t="str">
        <f>VLOOKUP(B881,CAC!$A$2:$B$198,2,FALSE)</f>
        <v>DOIIFP</v>
      </c>
    </row>
    <row r="882" spans="1:5" x14ac:dyDescent="0.25">
      <c r="A882" s="108">
        <v>201510</v>
      </c>
      <c r="B882" s="109" t="s">
        <v>238</v>
      </c>
      <c r="C882" s="108">
        <v>0</v>
      </c>
      <c r="D882" s="110"/>
      <c r="E882" t="str">
        <f>VLOOKUP(B882,CAC!$A$2:$B$198,2,FALSE)</f>
        <v>DOILG</v>
      </c>
    </row>
    <row r="883" spans="1:5" x14ac:dyDescent="0.25">
      <c r="A883" s="108">
        <v>201510</v>
      </c>
      <c r="B883" s="109" t="s">
        <v>248</v>
      </c>
      <c r="C883" s="108">
        <v>0</v>
      </c>
      <c r="D883" s="110"/>
      <c r="E883" t="str">
        <f>VLOOKUP(B883,CAC!$A$2:$B$198,2,FALSE)</f>
        <v>DOIIFP</v>
      </c>
    </row>
    <row r="884" spans="1:5" x14ac:dyDescent="0.25">
      <c r="A884" s="108">
        <v>201510</v>
      </c>
      <c r="B884" s="109" t="s">
        <v>325</v>
      </c>
      <c r="C884" s="108">
        <v>0</v>
      </c>
      <c r="D884" s="110"/>
      <c r="E884" t="e">
        <f>VLOOKUP(B884,CAC!$A$2:$B$198,2,FALSE)</f>
        <v>#N/A</v>
      </c>
    </row>
    <row r="885" spans="1:5" x14ac:dyDescent="0.25">
      <c r="A885" s="108">
        <v>201510</v>
      </c>
      <c r="B885" s="109" t="s">
        <v>255</v>
      </c>
      <c r="C885" s="108">
        <v>0</v>
      </c>
      <c r="D885" s="110"/>
      <c r="E885" t="str">
        <f>VLOOKUP(B885,CAC!$A$2:$B$198,2,FALSE)</f>
        <v>AGDMHC</v>
      </c>
    </row>
    <row r="886" spans="1:5" x14ac:dyDescent="0.25">
      <c r="A886" s="108">
        <v>201510</v>
      </c>
      <c r="B886" s="109" t="s">
        <v>256</v>
      </c>
      <c r="C886" s="108">
        <v>0</v>
      </c>
      <c r="D886" s="110"/>
      <c r="E886" t="str">
        <f>VLOOKUP(B886,CAC!$A$2:$B$198,2,FALSE)</f>
        <v>AGDMHC</v>
      </c>
    </row>
    <row r="887" spans="1:5" x14ac:dyDescent="0.25">
      <c r="A887" s="108">
        <v>201510</v>
      </c>
      <c r="B887" s="109" t="s">
        <v>275</v>
      </c>
      <c r="C887" s="108">
        <v>0</v>
      </c>
      <c r="D887" s="110"/>
      <c r="E887" t="str">
        <f>VLOOKUP(B887,CAC!$A$2:$B$198,2,FALSE)</f>
        <v>AGDMHC</v>
      </c>
    </row>
    <row r="888" spans="1:5" x14ac:dyDescent="0.25">
      <c r="A888" s="108">
        <v>201510</v>
      </c>
      <c r="B888" s="109" t="s">
        <v>257</v>
      </c>
      <c r="C888" s="108">
        <v>0</v>
      </c>
      <c r="D888" s="110"/>
      <c r="E888" t="str">
        <f>VLOOKUP(B888,CAC!$A$2:$B$198,2,FALSE)</f>
        <v>AGDMHC</v>
      </c>
    </row>
    <row r="889" spans="1:5" x14ac:dyDescent="0.25">
      <c r="A889" s="108">
        <v>201510</v>
      </c>
      <c r="B889" s="109" t="s">
        <v>258</v>
      </c>
      <c r="C889" s="108">
        <v>0</v>
      </c>
      <c r="D889" s="110"/>
      <c r="E889" t="str">
        <f>VLOOKUP(B889,CAC!$A$2:$B$198,2,FALSE)</f>
        <v>AGDMHC</v>
      </c>
    </row>
    <row r="890" spans="1:5" x14ac:dyDescent="0.25">
      <c r="A890" s="108">
        <v>201510</v>
      </c>
      <c r="B890" s="109" t="s">
        <v>262</v>
      </c>
      <c r="C890" s="108">
        <v>0</v>
      </c>
      <c r="D890" s="110"/>
      <c r="E890" t="str">
        <f>VLOOKUP(B890,CAC!$A$2:$B$198,2,FALSE)</f>
        <v>AGDMHC</v>
      </c>
    </row>
    <row r="891" spans="1:5" x14ac:dyDescent="0.25">
      <c r="A891" s="108">
        <v>201510</v>
      </c>
      <c r="B891" s="109" t="s">
        <v>269</v>
      </c>
      <c r="C891" s="108">
        <v>0</v>
      </c>
      <c r="D891" s="110"/>
      <c r="E891" t="str">
        <f>VLOOKUP(B891,CAC!$A$2:$B$198,2,FALSE)</f>
        <v>AGDMHC</v>
      </c>
    </row>
    <row r="892" spans="1:5" x14ac:dyDescent="0.25">
      <c r="A892" s="108">
        <v>201510</v>
      </c>
      <c r="B892" s="109" t="s">
        <v>319</v>
      </c>
      <c r="C892" s="108">
        <v>0</v>
      </c>
      <c r="D892" s="110"/>
      <c r="E892" t="e">
        <f>VLOOKUP(B892,CAC!$A$2:$B$198,2,FALSE)</f>
        <v>#N/A</v>
      </c>
    </row>
    <row r="893" spans="1:5" x14ac:dyDescent="0.25">
      <c r="A893" s="108">
        <v>201510</v>
      </c>
      <c r="B893" s="109" t="s">
        <v>265</v>
      </c>
      <c r="C893" s="108">
        <v>0</v>
      </c>
      <c r="D893" s="110"/>
      <c r="E893" t="str">
        <f>VLOOKUP(B893,CAC!$A$2:$B$198,2,FALSE)</f>
        <v>AGDMHC</v>
      </c>
    </row>
    <row r="894" spans="1:5" x14ac:dyDescent="0.25">
      <c r="A894" s="108">
        <v>201510</v>
      </c>
      <c r="B894" s="109" t="s">
        <v>270</v>
      </c>
      <c r="C894" s="108">
        <v>0</v>
      </c>
      <c r="D894" s="110"/>
      <c r="E894" t="str">
        <f>VLOOKUP(B894,CAC!$A$2:$B$198,2,FALSE)</f>
        <v>AGDMHC</v>
      </c>
    </row>
    <row r="895" spans="1:5" x14ac:dyDescent="0.25">
      <c r="A895" s="108">
        <v>201510</v>
      </c>
      <c r="B895" s="109" t="s">
        <v>266</v>
      </c>
      <c r="C895" s="108">
        <v>0</v>
      </c>
      <c r="D895" s="110"/>
      <c r="E895" t="str">
        <f>VLOOKUP(B895,CAC!$A$2:$B$198,2,FALSE)</f>
        <v>AGDMHC</v>
      </c>
    </row>
    <row r="896" spans="1:5" x14ac:dyDescent="0.25">
      <c r="A896" s="108">
        <v>201510</v>
      </c>
      <c r="B896" s="109" t="s">
        <v>267</v>
      </c>
      <c r="C896" s="108">
        <v>0</v>
      </c>
      <c r="D896" s="110"/>
      <c r="E896" t="str">
        <f>VLOOKUP(B896,CAC!$A$2:$B$198,2,FALSE)</f>
        <v>AGDMHC</v>
      </c>
    </row>
    <row r="897" spans="1:5" x14ac:dyDescent="0.25">
      <c r="A897" s="108">
        <v>201510</v>
      </c>
      <c r="B897" s="109" t="s">
        <v>268</v>
      </c>
      <c r="C897" s="108">
        <v>0</v>
      </c>
      <c r="D897" s="110"/>
      <c r="E897" t="str">
        <f>VLOOKUP(B897,CAC!$A$2:$B$198,2,FALSE)</f>
        <v>AGDMHC</v>
      </c>
    </row>
    <row r="898" spans="1:5" x14ac:dyDescent="0.25">
      <c r="A898" s="108">
        <v>201510</v>
      </c>
      <c r="B898" s="109" t="s">
        <v>52</v>
      </c>
      <c r="C898" s="108">
        <v>15469</v>
      </c>
      <c r="D898" s="110"/>
      <c r="E898" t="str">
        <f>VLOOKUP(B898,CAC!$A$2:$B$198,2,FALSE)</f>
        <v>HMOPMR</v>
      </c>
    </row>
    <row r="899" spans="1:5" x14ac:dyDescent="0.25">
      <c r="A899" s="108">
        <v>201510</v>
      </c>
      <c r="B899" s="109" t="s">
        <v>53</v>
      </c>
      <c r="C899" s="108">
        <v>4753</v>
      </c>
      <c r="D899" s="110"/>
      <c r="E899" t="str">
        <f>VLOOKUP(B899,CAC!$A$2:$B$198,2,FALSE)</f>
        <v>HMOPMR</v>
      </c>
    </row>
    <row r="900" spans="1:5" x14ac:dyDescent="0.25">
      <c r="A900" s="108">
        <v>201510</v>
      </c>
      <c r="B900" s="109" t="s">
        <v>54</v>
      </c>
      <c r="C900" s="108">
        <v>6706</v>
      </c>
      <c r="D900" s="110"/>
      <c r="E900" t="str">
        <f>VLOOKUP(B900,CAC!$A$2:$B$198,2,FALSE)</f>
        <v>HMOFEP</v>
      </c>
    </row>
    <row r="901" spans="1:5" x14ac:dyDescent="0.25">
      <c r="A901" s="108">
        <v>201510</v>
      </c>
      <c r="B901" s="109" t="s">
        <v>279</v>
      </c>
      <c r="C901" s="108">
        <v>0</v>
      </c>
      <c r="D901" s="110"/>
      <c r="E901" t="str">
        <f>VLOOKUP(B901,CAC!$A$2:$B$198,2,FALSE)</f>
        <v>PPOFEP</v>
      </c>
    </row>
    <row r="902" spans="1:5" x14ac:dyDescent="0.25">
      <c r="A902" s="108">
        <v>201510</v>
      </c>
      <c r="B902" s="109" t="s">
        <v>202</v>
      </c>
      <c r="C902" s="108">
        <v>0</v>
      </c>
      <c r="D902" s="110"/>
      <c r="E902" t="str">
        <f>VLOOKUP(B902,CAC!$A$2:$B$198,2,FALSE)</f>
        <v>PPOPMR</v>
      </c>
    </row>
    <row r="903" spans="1:5" x14ac:dyDescent="0.25">
      <c r="A903" s="108">
        <v>201510</v>
      </c>
      <c r="B903" s="109" t="s">
        <v>55</v>
      </c>
      <c r="C903" s="108">
        <v>15362</v>
      </c>
      <c r="D903" s="110"/>
      <c r="E903" t="str">
        <f>VLOOKUP(B903,CAC!$A$2:$B$198,2,FALSE)</f>
        <v>HMOPMR</v>
      </c>
    </row>
    <row r="904" spans="1:5" x14ac:dyDescent="0.25">
      <c r="A904" s="108">
        <v>201510</v>
      </c>
      <c r="B904" s="109" t="s">
        <v>56</v>
      </c>
      <c r="C904" s="108">
        <v>154</v>
      </c>
      <c r="D904" s="110"/>
      <c r="E904" t="str">
        <f>VLOOKUP(B904,CAC!$A$2:$B$198,2,FALSE)</f>
        <v>HMOPMR</v>
      </c>
    </row>
    <row r="905" spans="1:5" x14ac:dyDescent="0.25">
      <c r="A905" s="108">
        <v>201510</v>
      </c>
      <c r="B905" s="109" t="s">
        <v>57</v>
      </c>
      <c r="C905" s="108">
        <v>6105</v>
      </c>
      <c r="D905" s="110"/>
      <c r="E905" t="str">
        <f>VLOOKUP(B905,CAC!$A$2:$B$198,2,FALSE)</f>
        <v>HMFLEX</v>
      </c>
    </row>
    <row r="906" spans="1:5" x14ac:dyDescent="0.25">
      <c r="A906" s="108">
        <v>201510</v>
      </c>
      <c r="B906" s="109" t="s">
        <v>58</v>
      </c>
      <c r="C906" s="108">
        <v>401</v>
      </c>
      <c r="D906" s="110"/>
      <c r="E906" t="str">
        <f>VLOOKUP(B906,CAC!$A$2:$B$198,2,FALSE)</f>
        <v>HMFLEX</v>
      </c>
    </row>
    <row r="907" spans="1:5" x14ac:dyDescent="0.25">
      <c r="A907" s="108">
        <v>201510</v>
      </c>
      <c r="B907" s="109" t="s">
        <v>59</v>
      </c>
      <c r="C907" s="108">
        <v>8</v>
      </c>
      <c r="D907" s="110"/>
      <c r="E907" t="str">
        <f>VLOOKUP(B907,CAC!$A$2:$B$198,2,FALSE)</f>
        <v>HMFLEX</v>
      </c>
    </row>
    <row r="908" spans="1:5" x14ac:dyDescent="0.25">
      <c r="A908" s="108">
        <v>201510</v>
      </c>
      <c r="B908" s="109" t="s">
        <v>306</v>
      </c>
      <c r="C908" s="108">
        <v>0</v>
      </c>
      <c r="D908" s="110"/>
      <c r="E908" t="e">
        <f>VLOOKUP(B908,CAC!$A$2:$B$198,2,FALSE)</f>
        <v>#N/A</v>
      </c>
    </row>
    <row r="909" spans="1:5" x14ac:dyDescent="0.25">
      <c r="A909" s="108">
        <v>201510</v>
      </c>
      <c r="B909" s="109" t="s">
        <v>283</v>
      </c>
      <c r="C909" s="108">
        <v>0</v>
      </c>
      <c r="D909" s="110"/>
      <c r="E909" t="str">
        <f>VLOOKUP(B909,CAC!$A$2:$B$198,2,FALSE)</f>
        <v>HMFLEX</v>
      </c>
    </row>
    <row r="910" spans="1:5" x14ac:dyDescent="0.25">
      <c r="A910" s="108">
        <v>201510</v>
      </c>
      <c r="B910" s="109" t="s">
        <v>205</v>
      </c>
      <c r="C910" s="108">
        <v>0</v>
      </c>
      <c r="D910" s="110"/>
      <c r="E910" t="str">
        <f>VLOOKUP(B910,CAC!$A$2:$B$198,2,FALSE)</f>
        <v>PPOPMR</v>
      </c>
    </row>
    <row r="911" spans="1:5" x14ac:dyDescent="0.25">
      <c r="A911" s="108">
        <v>201510</v>
      </c>
      <c r="B911" s="109" t="s">
        <v>286</v>
      </c>
      <c r="C911" s="108">
        <v>0</v>
      </c>
      <c r="D911" s="110"/>
      <c r="E911" t="str">
        <f>VLOOKUP(B911,CAC!$A$2:$B$198,2,FALSE)</f>
        <v>HMFLEX</v>
      </c>
    </row>
    <row r="912" spans="1:5" x14ac:dyDescent="0.25">
      <c r="A912" s="108">
        <v>201510</v>
      </c>
      <c r="B912" s="109" t="s">
        <v>60</v>
      </c>
      <c r="C912" s="108">
        <v>12319</v>
      </c>
      <c r="D912" s="110"/>
      <c r="E912" t="str">
        <f>VLOOKUP(B912,CAC!$A$2:$B$198,2,FALSE)</f>
        <v>HMOLG</v>
      </c>
    </row>
    <row r="913" spans="1:5" x14ac:dyDescent="0.25">
      <c r="A913" s="108">
        <v>201510</v>
      </c>
      <c r="B913" s="109" t="s">
        <v>61</v>
      </c>
      <c r="C913" s="108">
        <v>723</v>
      </c>
      <c r="D913" s="110"/>
      <c r="E913" t="str">
        <f>VLOOKUP(B913,CAC!$A$2:$B$198,2,FALSE)</f>
        <v>HMOLG</v>
      </c>
    </row>
    <row r="914" spans="1:5" x14ac:dyDescent="0.25">
      <c r="A914" s="108">
        <v>201510</v>
      </c>
      <c r="B914" s="109" t="s">
        <v>62</v>
      </c>
      <c r="C914" s="108">
        <v>26767</v>
      </c>
      <c r="D914" s="110"/>
      <c r="E914" t="str">
        <f>VLOOKUP(B914,CAC!$A$2:$B$198,2,FALSE)</f>
        <v>HMOLG</v>
      </c>
    </row>
    <row r="915" spans="1:5" x14ac:dyDescent="0.25">
      <c r="A915" s="108">
        <v>201510</v>
      </c>
      <c r="B915" s="109" t="s">
        <v>63</v>
      </c>
      <c r="C915" s="108">
        <v>307</v>
      </c>
      <c r="D915" s="110"/>
      <c r="E915" t="str">
        <f>VLOOKUP(B915,CAC!$A$2:$B$198,2,FALSE)</f>
        <v>HMOLG</v>
      </c>
    </row>
    <row r="916" spans="1:5" x14ac:dyDescent="0.25">
      <c r="A916" s="108">
        <v>201510</v>
      </c>
      <c r="B916" s="109" t="s">
        <v>64</v>
      </c>
      <c r="C916" s="108">
        <v>0</v>
      </c>
      <c r="D916" s="110"/>
      <c r="E916" t="str">
        <f>VLOOKUP(B916,CAC!$A$2:$B$198,2,FALSE)</f>
        <v>HMOLG</v>
      </c>
    </row>
    <row r="917" spans="1:5" x14ac:dyDescent="0.25">
      <c r="A917" s="108">
        <v>201510</v>
      </c>
      <c r="B917" s="109" t="s">
        <v>65</v>
      </c>
      <c r="C917" s="108">
        <v>223</v>
      </c>
      <c r="D917" s="110"/>
      <c r="E917" t="str">
        <f>VLOOKUP(B917,CAC!$A$2:$B$198,2,FALSE)</f>
        <v>HMFLEX</v>
      </c>
    </row>
    <row r="918" spans="1:5" x14ac:dyDescent="0.25">
      <c r="A918" s="108">
        <v>201510</v>
      </c>
      <c r="B918" s="109" t="s">
        <v>307</v>
      </c>
      <c r="C918" s="108">
        <v>0</v>
      </c>
      <c r="D918" s="110"/>
      <c r="E918" t="e">
        <f>VLOOKUP(B918,CAC!$A$2:$B$198,2,FALSE)</f>
        <v>#N/A</v>
      </c>
    </row>
    <row r="919" spans="1:5" x14ac:dyDescent="0.25">
      <c r="A919" s="108">
        <v>201510</v>
      </c>
      <c r="B919" s="109" t="s">
        <v>308</v>
      </c>
      <c r="C919" s="108">
        <v>0</v>
      </c>
      <c r="D919" s="110"/>
      <c r="E919" t="e">
        <f>VLOOKUP(B919,CAC!$A$2:$B$198,2,FALSE)</f>
        <v>#N/A</v>
      </c>
    </row>
    <row r="920" spans="1:5" x14ac:dyDescent="0.25">
      <c r="A920" s="108">
        <v>201510</v>
      </c>
      <c r="B920" s="109" t="s">
        <v>309</v>
      </c>
      <c r="C920" s="108">
        <v>0</v>
      </c>
      <c r="D920" s="110"/>
      <c r="E920" t="e">
        <f>VLOOKUP(B920,CAC!$A$2:$B$198,2,FALSE)</f>
        <v>#N/A</v>
      </c>
    </row>
    <row r="921" spans="1:5" x14ac:dyDescent="0.25">
      <c r="A921" s="108">
        <v>201510</v>
      </c>
      <c r="B921" s="109" t="s">
        <v>99</v>
      </c>
      <c r="C921" s="108">
        <v>0</v>
      </c>
      <c r="D921" s="110"/>
      <c r="E921" t="str">
        <f>VLOOKUP(B921,CAC!$A$2:$B$198,2,FALSE)</f>
        <v>PPOLG</v>
      </c>
    </row>
    <row r="922" spans="1:5" x14ac:dyDescent="0.25">
      <c r="A922" s="108">
        <v>201510</v>
      </c>
      <c r="B922" s="109" t="s">
        <v>193</v>
      </c>
      <c r="C922" s="108">
        <v>0</v>
      </c>
      <c r="D922" s="110"/>
      <c r="E922" t="str">
        <f>VLOOKUP(B922,CAC!$A$2:$B$198,2,FALSE)</f>
        <v>PPOLG</v>
      </c>
    </row>
    <row r="923" spans="1:5" x14ac:dyDescent="0.25">
      <c r="A923" s="108">
        <v>201510</v>
      </c>
      <c r="B923" s="109" t="s">
        <v>196</v>
      </c>
      <c r="C923" s="108">
        <v>0</v>
      </c>
      <c r="D923" s="110"/>
      <c r="E923" t="str">
        <f>VLOOKUP(B923,CAC!$A$2:$B$198,2,FALSE)</f>
        <v>PPOLG</v>
      </c>
    </row>
    <row r="924" spans="1:5" x14ac:dyDescent="0.25">
      <c r="A924" s="108">
        <v>201510</v>
      </c>
      <c r="B924" s="109" t="s">
        <v>212</v>
      </c>
      <c r="C924" s="108">
        <v>0</v>
      </c>
      <c r="D924" s="110"/>
      <c r="E924" t="str">
        <f>VLOOKUP(B924,CAC!$A$2:$B$198,2,FALSE)</f>
        <v>PPOMM</v>
      </c>
    </row>
    <row r="925" spans="1:5" x14ac:dyDescent="0.25">
      <c r="A925" s="108">
        <v>201510</v>
      </c>
      <c r="B925" s="109" t="s">
        <v>213</v>
      </c>
      <c r="C925" s="108">
        <v>0</v>
      </c>
      <c r="D925" s="110"/>
      <c r="E925" t="str">
        <f>VLOOKUP(B925,CAC!$A$2:$B$198,2,FALSE)</f>
        <v>PPOMM</v>
      </c>
    </row>
    <row r="926" spans="1:5" x14ac:dyDescent="0.25">
      <c r="A926" s="108">
        <v>201510</v>
      </c>
      <c r="B926" s="109" t="s">
        <v>311</v>
      </c>
      <c r="C926" s="108">
        <v>0</v>
      </c>
      <c r="D926" s="110"/>
      <c r="E926" t="e">
        <f>VLOOKUP(B926,CAC!$A$2:$B$198,2,FALSE)</f>
        <v>#N/A</v>
      </c>
    </row>
    <row r="927" spans="1:5" x14ac:dyDescent="0.25">
      <c r="A927" s="108">
        <v>201510</v>
      </c>
      <c r="B927" s="109" t="s">
        <v>320</v>
      </c>
      <c r="C927" s="108">
        <v>0</v>
      </c>
      <c r="D927" s="110"/>
      <c r="E927" t="e">
        <f>VLOOKUP(B927,CAC!$A$2:$B$198,2,FALSE)</f>
        <v>#N/A</v>
      </c>
    </row>
    <row r="928" spans="1:5" x14ac:dyDescent="0.25">
      <c r="A928" s="108">
        <v>201510</v>
      </c>
      <c r="B928" s="109" t="s">
        <v>321</v>
      </c>
      <c r="C928" s="108">
        <v>0</v>
      </c>
      <c r="D928" s="110"/>
      <c r="E928" t="e">
        <f>VLOOKUP(B928,CAC!$A$2:$B$198,2,FALSE)</f>
        <v>#N/A</v>
      </c>
    </row>
    <row r="929" spans="1:5" x14ac:dyDescent="0.25">
      <c r="A929" s="108">
        <v>201510</v>
      </c>
      <c r="B929" s="109" t="s">
        <v>312</v>
      </c>
      <c r="C929" s="108">
        <v>0</v>
      </c>
      <c r="D929" s="110"/>
      <c r="E929" t="e">
        <f>VLOOKUP(B929,CAC!$A$2:$B$198,2,FALSE)</f>
        <v>#N/A</v>
      </c>
    </row>
    <row r="930" spans="1:5" x14ac:dyDescent="0.25">
      <c r="A930" s="108">
        <v>201510</v>
      </c>
      <c r="B930" s="109" t="s">
        <v>313</v>
      </c>
      <c r="C930" s="108">
        <v>0</v>
      </c>
      <c r="D930" s="110"/>
      <c r="E930" t="e">
        <f>VLOOKUP(B930,CAC!$A$2:$B$198,2,FALSE)</f>
        <v>#N/A</v>
      </c>
    </row>
    <row r="931" spans="1:5" x14ac:dyDescent="0.25">
      <c r="A931" s="108">
        <v>201510</v>
      </c>
      <c r="B931" s="109" t="s">
        <v>215</v>
      </c>
      <c r="C931" s="108">
        <v>0</v>
      </c>
      <c r="D931" s="110"/>
      <c r="E931" t="str">
        <f>VLOOKUP(B931,CAC!$A$2:$B$198,2,FALSE)</f>
        <v>PPOMM</v>
      </c>
    </row>
    <row r="932" spans="1:5" x14ac:dyDescent="0.25">
      <c r="A932" s="108">
        <v>201510</v>
      </c>
      <c r="B932" s="109" t="s">
        <v>66</v>
      </c>
      <c r="C932" s="108">
        <v>3775</v>
      </c>
      <c r="D932" s="110"/>
      <c r="E932" t="str">
        <f>VLOOKUP(B932,CAC!$A$2:$B$198,2,FALSE)</f>
        <v>HMOLG</v>
      </c>
    </row>
    <row r="933" spans="1:5" x14ac:dyDescent="0.25">
      <c r="A933" s="108">
        <v>201510</v>
      </c>
      <c r="B933" s="109" t="s">
        <v>82</v>
      </c>
      <c r="C933" s="108">
        <v>0</v>
      </c>
      <c r="D933" s="110"/>
      <c r="E933" t="str">
        <f>VLOOKUP(B933,CAC!$A$2:$B$198,2,FALSE)</f>
        <v>NATPAR</v>
      </c>
    </row>
    <row r="934" spans="1:5" x14ac:dyDescent="0.25">
      <c r="A934" s="108">
        <v>201510</v>
      </c>
      <c r="B934" s="109" t="s">
        <v>67</v>
      </c>
      <c r="C934" s="108">
        <v>140</v>
      </c>
      <c r="D934" s="110"/>
      <c r="E934" t="str">
        <f>VLOOKUP(B934,CAC!$A$2:$B$198,2,FALSE)</f>
        <v>HMOLG</v>
      </c>
    </row>
    <row r="935" spans="1:5" x14ac:dyDescent="0.25">
      <c r="A935" s="108">
        <v>201510</v>
      </c>
      <c r="B935" s="109" t="s">
        <v>68</v>
      </c>
      <c r="C935" s="108">
        <v>281</v>
      </c>
      <c r="D935" s="110"/>
      <c r="E935" t="str">
        <f>VLOOKUP(B935,CAC!$A$2:$B$198,2,FALSE)</f>
        <v>HMOPMR</v>
      </c>
    </row>
    <row r="936" spans="1:5" x14ac:dyDescent="0.25">
      <c r="A936" s="108">
        <v>201510</v>
      </c>
      <c r="B936" s="109" t="s">
        <v>69</v>
      </c>
      <c r="C936" s="108">
        <v>9842</v>
      </c>
      <c r="D936" s="110"/>
      <c r="E936" t="str">
        <f>VLOOKUP(B936,CAC!$A$2:$B$198,2,FALSE)</f>
        <v>HMOPMR</v>
      </c>
    </row>
    <row r="937" spans="1:5" x14ac:dyDescent="0.25">
      <c r="A937" s="108">
        <v>201510</v>
      </c>
      <c r="B937" s="109" t="s">
        <v>70</v>
      </c>
      <c r="C937" s="108">
        <v>4213</v>
      </c>
      <c r="D937" s="110"/>
      <c r="E937" t="str">
        <f>VLOOKUP(B937,CAC!$A$2:$B$198,2,FALSE)</f>
        <v>HMOPMR</v>
      </c>
    </row>
    <row r="938" spans="1:5" x14ac:dyDescent="0.25">
      <c r="A938" s="108">
        <v>201510</v>
      </c>
      <c r="B938" s="109" t="s">
        <v>71</v>
      </c>
      <c r="C938" s="108">
        <v>6642</v>
      </c>
      <c r="D938" s="110"/>
      <c r="E938" t="str">
        <f>VLOOKUP(B938,CAC!$A$2:$B$198,2,FALSE)</f>
        <v>HMOPMR</v>
      </c>
    </row>
    <row r="939" spans="1:5" x14ac:dyDescent="0.25">
      <c r="A939" s="108">
        <v>201510</v>
      </c>
      <c r="B939" s="109" t="s">
        <v>72</v>
      </c>
      <c r="C939" s="108">
        <v>2192</v>
      </c>
      <c r="D939" s="110"/>
      <c r="E939" t="str">
        <f>VLOOKUP(B939,CAC!$A$2:$B$198,2,FALSE)</f>
        <v>HMFLEX</v>
      </c>
    </row>
    <row r="940" spans="1:5" x14ac:dyDescent="0.25">
      <c r="A940" s="108">
        <v>201510</v>
      </c>
      <c r="B940" s="109" t="s">
        <v>314</v>
      </c>
      <c r="C940" s="108">
        <v>0</v>
      </c>
      <c r="D940" s="110"/>
      <c r="E940" t="e">
        <f>VLOOKUP(B940,CAC!$A$2:$B$198,2,FALSE)</f>
        <v>#N/A</v>
      </c>
    </row>
    <row r="941" spans="1:5" x14ac:dyDescent="0.25">
      <c r="A941" s="108">
        <v>201510</v>
      </c>
      <c r="B941" s="109" t="s">
        <v>322</v>
      </c>
      <c r="C941" s="108">
        <v>0</v>
      </c>
      <c r="D941" s="110"/>
      <c r="E941" t="e">
        <f>VLOOKUP(B941,CAC!$A$2:$B$198,2,FALSE)</f>
        <v>#N/A</v>
      </c>
    </row>
    <row r="942" spans="1:5" x14ac:dyDescent="0.25">
      <c r="A942" s="108">
        <v>201510</v>
      </c>
      <c r="B942" s="109" t="s">
        <v>315</v>
      </c>
      <c r="C942" s="108">
        <v>0</v>
      </c>
      <c r="D942" s="110"/>
      <c r="E942" t="e">
        <f>VLOOKUP(B942,CAC!$A$2:$B$198,2,FALSE)</f>
        <v>#N/A</v>
      </c>
    </row>
    <row r="943" spans="1:5" x14ac:dyDescent="0.25">
      <c r="A943" s="108">
        <v>201510</v>
      </c>
      <c r="B943" s="109" t="s">
        <v>112</v>
      </c>
      <c r="C943" s="108">
        <v>0</v>
      </c>
      <c r="D943" s="110"/>
      <c r="E943" t="e">
        <f>VLOOKUP(B943,CAC!$A$2:$B$198,2,FALSE)</f>
        <v>#N/A</v>
      </c>
    </row>
    <row r="944" spans="1:5" x14ac:dyDescent="0.25">
      <c r="A944" s="108">
        <v>201510</v>
      </c>
      <c r="B944" s="109" t="s">
        <v>316</v>
      </c>
      <c r="C944" s="108">
        <v>0</v>
      </c>
      <c r="D944" s="110"/>
      <c r="E944" t="e">
        <f>VLOOKUP(B944,CAC!$A$2:$B$198,2,FALSE)</f>
        <v>#N/A</v>
      </c>
    </row>
    <row r="945" spans="1:5" x14ac:dyDescent="0.25">
      <c r="A945" s="108">
        <v>201510</v>
      </c>
      <c r="B945" s="109" t="s">
        <v>317</v>
      </c>
      <c r="C945" s="108">
        <v>0</v>
      </c>
      <c r="D945" s="110"/>
      <c r="E945" t="e">
        <f>VLOOKUP(B945,CAC!$A$2:$B$198,2,FALSE)</f>
        <v>#N/A</v>
      </c>
    </row>
    <row r="946" spans="1:5" x14ac:dyDescent="0.25">
      <c r="A946" s="108">
        <v>201510</v>
      </c>
      <c r="B946" s="109" t="s">
        <v>113</v>
      </c>
      <c r="C946" s="108">
        <v>0</v>
      </c>
      <c r="D946" s="110"/>
      <c r="E946" t="str">
        <f>VLOOKUP(B946,CAC!$A$2:$B$198,2,FALSE)</f>
        <v>PPOLG</v>
      </c>
    </row>
    <row r="947" spans="1:5" x14ac:dyDescent="0.25">
      <c r="A947" s="108">
        <v>201510</v>
      </c>
      <c r="B947" s="109" t="s">
        <v>294</v>
      </c>
      <c r="C947" s="108">
        <v>0</v>
      </c>
      <c r="D947" s="110"/>
      <c r="E947" t="str">
        <f>VLOOKUP(B947,CAC!$A$2:$B$198,2,FALSE)</f>
        <v>NATPAR</v>
      </c>
    </row>
    <row r="948" spans="1:5" x14ac:dyDescent="0.25">
      <c r="A948" s="108">
        <v>201510</v>
      </c>
      <c r="B948" s="109" t="s">
        <v>208</v>
      </c>
      <c r="C948" s="108">
        <v>0</v>
      </c>
      <c r="D948" s="110"/>
      <c r="E948" t="str">
        <f>VLOOKUP(B948,CAC!$A$2:$B$198,2,FALSE)</f>
        <v>PPOPMR</v>
      </c>
    </row>
    <row r="949" spans="1:5" x14ac:dyDescent="0.25">
      <c r="A949" s="108">
        <v>201510</v>
      </c>
      <c r="B949" s="109" t="s">
        <v>209</v>
      </c>
      <c r="C949" s="108">
        <v>0</v>
      </c>
      <c r="D949" s="110"/>
      <c r="E949" t="str">
        <f>VLOOKUP(B949,CAC!$A$2:$B$198,2,FALSE)</f>
        <v>PPOPMR</v>
      </c>
    </row>
    <row r="950" spans="1:5" x14ac:dyDescent="0.25">
      <c r="A950" s="108">
        <v>201510</v>
      </c>
      <c r="B950" s="109" t="s">
        <v>204</v>
      </c>
      <c r="C950" s="108">
        <v>0</v>
      </c>
      <c r="D950" s="110"/>
      <c r="E950" t="str">
        <f>VLOOKUP(B950,CAC!$A$2:$B$198,2,FALSE)</f>
        <v>PPOPMR</v>
      </c>
    </row>
    <row r="951" spans="1:5" x14ac:dyDescent="0.25">
      <c r="A951" s="108">
        <v>201510</v>
      </c>
      <c r="B951" s="109" t="s">
        <v>73</v>
      </c>
      <c r="C951" s="108">
        <v>33647</v>
      </c>
      <c r="D951" s="108">
        <v>6241</v>
      </c>
      <c r="E951" t="str">
        <f>VLOOKUP(B951,CAC!$A$2:$B$198,2,FALSE)</f>
        <v>HMOPERA</v>
      </c>
    </row>
    <row r="952" spans="1:5" x14ac:dyDescent="0.25">
      <c r="A952" s="108">
        <v>201510</v>
      </c>
      <c r="B952" s="109" t="s">
        <v>74</v>
      </c>
      <c r="C952" s="108">
        <v>3914</v>
      </c>
      <c r="D952" s="108">
        <v>2329</v>
      </c>
      <c r="E952" t="str">
        <f>VLOOKUP(B952,CAC!$A$2:$B$198,2,FALSE)</f>
        <v>PERMEDA</v>
      </c>
    </row>
    <row r="953" spans="1:5" x14ac:dyDescent="0.25">
      <c r="A953" s="108">
        <v>201510</v>
      </c>
      <c r="B953" s="109" t="s">
        <v>75</v>
      </c>
      <c r="C953" s="108">
        <v>39828</v>
      </c>
      <c r="D953" s="108">
        <v>19829</v>
      </c>
      <c r="E953" t="str">
        <f>VLOOKUP(B953,CAC!$A$2:$B$198,2,FALSE)</f>
        <v>HMOPERN</v>
      </c>
    </row>
    <row r="954" spans="1:5" x14ac:dyDescent="0.25">
      <c r="A954" s="108">
        <v>201510</v>
      </c>
      <c r="B954" s="109" t="s">
        <v>76</v>
      </c>
      <c r="C954" s="108">
        <v>549</v>
      </c>
      <c r="D954" s="108">
        <v>1744</v>
      </c>
      <c r="E954" t="str">
        <f>VLOOKUP(B954,CAC!$A$2:$B$198,2,FALSE)</f>
        <v>PERMEDN</v>
      </c>
    </row>
    <row r="955" spans="1:5" x14ac:dyDescent="0.25">
      <c r="A955" s="108">
        <v>201510</v>
      </c>
      <c r="B955" s="109" t="s">
        <v>218</v>
      </c>
      <c r="C955" s="108">
        <v>0</v>
      </c>
      <c r="D955" s="110"/>
      <c r="E955" t="str">
        <f>VLOOKUP(B955,CAC!$A$2:$B$198,2,FALSE)</f>
        <v>HMOPERA</v>
      </c>
    </row>
    <row r="956" spans="1:5" x14ac:dyDescent="0.25">
      <c r="A956" s="108">
        <v>201510</v>
      </c>
      <c r="B956" s="109" t="s">
        <v>181</v>
      </c>
      <c r="C956" s="108">
        <v>0</v>
      </c>
      <c r="D956" s="110"/>
      <c r="E956" t="str">
        <f>VLOOKUP(B956,CAC!$A$2:$B$198,2,FALSE)</f>
        <v>PERMEDA</v>
      </c>
    </row>
    <row r="957" spans="1:5" x14ac:dyDescent="0.25">
      <c r="A957" s="108">
        <v>201510</v>
      </c>
      <c r="B957" s="109" t="s">
        <v>156</v>
      </c>
      <c r="C957" s="108">
        <v>22831</v>
      </c>
      <c r="D957" s="110"/>
      <c r="E957" t="str">
        <f>VLOOKUP(B957,CAC!$A$2:$B$198,2,FALSE)</f>
        <v>HMOMM</v>
      </c>
    </row>
    <row r="958" spans="1:5" x14ac:dyDescent="0.25">
      <c r="A958" s="108">
        <v>201510</v>
      </c>
      <c r="B958" s="109" t="s">
        <v>162</v>
      </c>
      <c r="C958" s="108">
        <v>394</v>
      </c>
      <c r="D958" s="110"/>
      <c r="E958" t="str">
        <f>VLOOKUP(B958,CAC!$A$2:$B$198,2,FALSE)</f>
        <v>HMOMG</v>
      </c>
    </row>
    <row r="959" spans="1:5" x14ac:dyDescent="0.25">
      <c r="A959" s="108">
        <v>201510</v>
      </c>
      <c r="B959" s="109" t="s">
        <v>163</v>
      </c>
      <c r="C959" s="108">
        <v>111</v>
      </c>
      <c r="D959" s="110"/>
      <c r="E959" t="str">
        <f>VLOOKUP(B959,CAC!$A$2:$B$198,2,FALSE)</f>
        <v>HMOMG</v>
      </c>
    </row>
    <row r="960" spans="1:5" x14ac:dyDescent="0.25">
      <c r="A960" s="108">
        <v>201510</v>
      </c>
      <c r="B960" s="109" t="s">
        <v>165</v>
      </c>
      <c r="C960" s="108">
        <v>1</v>
      </c>
      <c r="D960" s="110"/>
      <c r="E960" t="str">
        <f>VLOOKUP(B960,CAC!$A$2:$B$198,2,FALSE)</f>
        <v>HMOMG</v>
      </c>
    </row>
    <row r="961" spans="1:5" x14ac:dyDescent="0.25">
      <c r="A961" s="108">
        <v>201510</v>
      </c>
      <c r="B961" s="109" t="s">
        <v>161</v>
      </c>
      <c r="C961" s="108">
        <v>4278</v>
      </c>
      <c r="D961" s="110"/>
      <c r="E961" t="str">
        <f>VLOOKUP(B961,CAC!$A$2:$B$198,2,FALSE)</f>
        <v>PERMAPD</v>
      </c>
    </row>
    <row r="962" spans="1:5" x14ac:dyDescent="0.25">
      <c r="A962" s="108">
        <v>201510</v>
      </c>
      <c r="B962" s="109" t="s">
        <v>77</v>
      </c>
      <c r="C962" s="108">
        <v>19722</v>
      </c>
      <c r="D962" s="110"/>
      <c r="E962" t="str">
        <f>VLOOKUP(B962,CAC!$A$2:$B$198,2,FALSE)</f>
        <v>HMOSG</v>
      </c>
    </row>
    <row r="963" spans="1:5" x14ac:dyDescent="0.25">
      <c r="A963" s="108">
        <v>201510</v>
      </c>
      <c r="B963" s="109" t="s">
        <v>78</v>
      </c>
      <c r="C963" s="108">
        <v>395</v>
      </c>
      <c r="D963" s="110"/>
      <c r="E963" t="str">
        <f>VLOOKUP(B963,CAC!$A$2:$B$198,2,FALSE)</f>
        <v>HMOSG</v>
      </c>
    </row>
    <row r="964" spans="1:5" x14ac:dyDescent="0.25">
      <c r="A964" s="108">
        <v>201510</v>
      </c>
      <c r="B964" s="109" t="s">
        <v>79</v>
      </c>
      <c r="C964" s="108">
        <v>68</v>
      </c>
      <c r="D964" s="110"/>
      <c r="E964" t="str">
        <f>VLOOKUP(B964,CAC!$A$2:$B$198,2,FALSE)</f>
        <v>HMOSG</v>
      </c>
    </row>
    <row r="965" spans="1:5" x14ac:dyDescent="0.25">
      <c r="A965" s="108">
        <v>201510</v>
      </c>
      <c r="B965" s="109" t="s">
        <v>222</v>
      </c>
      <c r="C965" s="108">
        <v>0</v>
      </c>
      <c r="D965" s="110"/>
      <c r="E965" t="str">
        <f>VLOOKUP(B965,CAC!$A$2:$B$198,2,FALSE)</f>
        <v>PPOSG</v>
      </c>
    </row>
    <row r="966" spans="1:5" x14ac:dyDescent="0.25">
      <c r="A966" s="108">
        <v>201510</v>
      </c>
      <c r="B966" s="109" t="s">
        <v>225</v>
      </c>
      <c r="C966" s="108">
        <v>0</v>
      </c>
      <c r="D966" s="110"/>
      <c r="E966" t="str">
        <f>VLOOKUP(B966,CAC!$A$2:$B$198,2,FALSE)</f>
        <v>PPOSG</v>
      </c>
    </row>
    <row r="967" spans="1:5" x14ac:dyDescent="0.25">
      <c r="A967" s="108">
        <v>201510</v>
      </c>
      <c r="B967" s="109" t="s">
        <v>226</v>
      </c>
      <c r="C967" s="108">
        <v>0</v>
      </c>
      <c r="D967" s="110"/>
      <c r="E967" t="str">
        <f>VLOOKUP(B967,CAC!$A$2:$B$198,2,FALSE)</f>
        <v>PPOSG</v>
      </c>
    </row>
    <row r="968" spans="1:5" x14ac:dyDescent="0.25">
      <c r="A968" s="108">
        <v>201510</v>
      </c>
      <c r="B968" s="109" t="s">
        <v>80</v>
      </c>
      <c r="C968" s="108">
        <v>9</v>
      </c>
      <c r="D968" s="110"/>
      <c r="E968" t="str">
        <f>VLOOKUP(B968,CAC!$A$2:$B$198,2,FALSE)</f>
        <v>HMOIFP</v>
      </c>
    </row>
    <row r="969" spans="1:5" x14ac:dyDescent="0.25">
      <c r="A969" s="108">
        <v>201510</v>
      </c>
      <c r="B969" s="109" t="s">
        <v>186</v>
      </c>
      <c r="C969" s="108">
        <v>0</v>
      </c>
      <c r="D969" s="110"/>
      <c r="E969" t="str">
        <f>VLOOKUP(B969,CAC!$A$2:$B$198,2,FALSE)</f>
        <v>PPOIFP</v>
      </c>
    </row>
    <row r="970" spans="1:5" x14ac:dyDescent="0.25">
      <c r="A970" s="108">
        <v>201510</v>
      </c>
      <c r="B970" s="109" t="s">
        <v>187</v>
      </c>
      <c r="C970" s="108">
        <v>0</v>
      </c>
      <c r="D970" s="110"/>
      <c r="E970" t="str">
        <f>VLOOKUP(B970,CAC!$A$2:$B$198,2,FALSE)</f>
        <v>PPOIFP</v>
      </c>
    </row>
    <row r="971" spans="1:5" x14ac:dyDescent="0.25">
      <c r="A971" s="108">
        <v>201510</v>
      </c>
      <c r="B971" s="109" t="s">
        <v>188</v>
      </c>
      <c r="C971" s="108">
        <v>0</v>
      </c>
      <c r="D971" s="110"/>
      <c r="E971" t="str">
        <f>VLOOKUP(B971,CAC!$A$2:$B$198,2,FALSE)</f>
        <v>PPOIFP</v>
      </c>
    </row>
    <row r="972" spans="1:5" x14ac:dyDescent="0.25">
      <c r="A972" s="108">
        <v>201510</v>
      </c>
      <c r="B972" s="109" t="s">
        <v>189</v>
      </c>
      <c r="C972" s="108">
        <v>0</v>
      </c>
      <c r="D972" s="110"/>
      <c r="E972" t="str">
        <f>VLOOKUP(B972,CAC!$A$2:$B$198,2,FALSE)</f>
        <v>PPOIFP</v>
      </c>
    </row>
    <row r="973" spans="1:5" x14ac:dyDescent="0.25">
      <c r="A973" s="108">
        <v>201510</v>
      </c>
      <c r="B973" s="109" t="s">
        <v>216</v>
      </c>
      <c r="C973" s="108">
        <v>0</v>
      </c>
      <c r="D973" s="110"/>
      <c r="E973" t="str">
        <f>VLOOKUP(B973,CAC!$A$2:$B$198,2,FALSE)</f>
        <v>PPOMM</v>
      </c>
    </row>
    <row r="974" spans="1:5" x14ac:dyDescent="0.25">
      <c r="A974" s="108">
        <v>201510</v>
      </c>
      <c r="B974" s="109" t="s">
        <v>301</v>
      </c>
      <c r="C974" s="108">
        <v>0</v>
      </c>
      <c r="D974" s="110"/>
      <c r="E974" t="str">
        <f>VLOOKUP(B974,CAC!$A$2:$B$198,2,FALSE)</f>
        <v>XXX</v>
      </c>
    </row>
    <row r="975" spans="1:5" x14ac:dyDescent="0.25">
      <c r="A975" s="108">
        <v>201511</v>
      </c>
      <c r="B975" s="109" t="s">
        <v>51</v>
      </c>
      <c r="C975" s="108">
        <v>7</v>
      </c>
      <c r="D975" s="110"/>
      <c r="E975" t="str">
        <f>VLOOKUP(B975,CAC!$A$2:$B$198,2,FALSE)</f>
        <v>XXX</v>
      </c>
    </row>
    <row r="976" spans="1:5" x14ac:dyDescent="0.25">
      <c r="A976" s="108">
        <v>201511</v>
      </c>
      <c r="B976" s="109" t="s">
        <v>303</v>
      </c>
      <c r="C976" s="108">
        <v>0</v>
      </c>
      <c r="D976" s="110"/>
      <c r="E976" t="e">
        <f>VLOOKUP(B976,CAC!$A$2:$B$198,2,FALSE)</f>
        <v>#N/A</v>
      </c>
    </row>
    <row r="977" spans="1:5" x14ac:dyDescent="0.25">
      <c r="A977" s="108">
        <v>201511</v>
      </c>
      <c r="B977" s="109" t="s">
        <v>304</v>
      </c>
      <c r="C977" s="108">
        <v>0</v>
      </c>
      <c r="D977" s="110"/>
      <c r="E977" t="e">
        <f>VLOOKUP(B977,CAC!$A$2:$B$198,2,FALSE)</f>
        <v>#N/A</v>
      </c>
    </row>
    <row r="978" spans="1:5" x14ac:dyDescent="0.25">
      <c r="A978" s="108">
        <v>201511</v>
      </c>
      <c r="B978" s="109" t="s">
        <v>323</v>
      </c>
      <c r="C978" s="108">
        <v>0</v>
      </c>
      <c r="D978" s="110"/>
      <c r="E978" t="e">
        <f>VLOOKUP(B978,CAC!$A$2:$B$198,2,FALSE)</f>
        <v>#N/A</v>
      </c>
    </row>
    <row r="979" spans="1:5" x14ac:dyDescent="0.25">
      <c r="A979" s="108">
        <v>201511</v>
      </c>
      <c r="B979" s="109" t="s">
        <v>305</v>
      </c>
      <c r="C979" s="108">
        <v>0</v>
      </c>
      <c r="D979" s="110"/>
      <c r="E979" t="e">
        <f>VLOOKUP(B979,CAC!$A$2:$B$198,2,FALSE)</f>
        <v>#N/A</v>
      </c>
    </row>
    <row r="980" spans="1:5" x14ac:dyDescent="0.25">
      <c r="A980" s="108">
        <v>201511</v>
      </c>
      <c r="B980" s="109" t="s">
        <v>324</v>
      </c>
      <c r="C980" s="108">
        <v>0</v>
      </c>
      <c r="D980" s="110"/>
      <c r="E980" t="e">
        <f>VLOOKUP(B980,CAC!$A$2:$B$198,2,FALSE)</f>
        <v>#N/A</v>
      </c>
    </row>
    <row r="981" spans="1:5" x14ac:dyDescent="0.25">
      <c r="A981" s="108">
        <v>201511</v>
      </c>
      <c r="B981" s="109" t="s">
        <v>318</v>
      </c>
      <c r="C981" s="108">
        <v>0</v>
      </c>
      <c r="D981" s="110"/>
      <c r="E981" t="e">
        <f>VLOOKUP(B981,CAC!$A$2:$B$198,2,FALSE)</f>
        <v>#N/A</v>
      </c>
    </row>
    <row r="982" spans="1:5" x14ac:dyDescent="0.25">
      <c r="A982" s="108">
        <v>201511</v>
      </c>
      <c r="B982" s="109" t="s">
        <v>326</v>
      </c>
      <c r="C982" s="108">
        <v>0</v>
      </c>
      <c r="D982" s="110"/>
      <c r="E982" t="e">
        <f>VLOOKUP(B982,CAC!$A$2:$B$198,2,FALSE)</f>
        <v>#N/A</v>
      </c>
    </row>
    <row r="983" spans="1:5" x14ac:dyDescent="0.25">
      <c r="A983" s="108">
        <v>201511</v>
      </c>
      <c r="B983" s="109" t="s">
        <v>231</v>
      </c>
      <c r="C983" s="108">
        <v>0</v>
      </c>
      <c r="D983" s="110"/>
      <c r="E983" t="str">
        <f>VLOOKUP(B983,CAC!$A$2:$B$198,2,FALSE)</f>
        <v>DOILG</v>
      </c>
    </row>
    <row r="984" spans="1:5" x14ac:dyDescent="0.25">
      <c r="A984" s="108">
        <v>201511</v>
      </c>
      <c r="B984" s="109" t="s">
        <v>233</v>
      </c>
      <c r="C984" s="108">
        <v>0</v>
      </c>
      <c r="D984" s="110"/>
      <c r="E984" t="str">
        <f>VLOOKUP(B984,CAC!$A$2:$B$198,2,FALSE)</f>
        <v>DOILG</v>
      </c>
    </row>
    <row r="985" spans="1:5" x14ac:dyDescent="0.25">
      <c r="A985" s="108">
        <v>201511</v>
      </c>
      <c r="B985" s="109" t="s">
        <v>234</v>
      </c>
      <c r="C985" s="108">
        <v>0</v>
      </c>
      <c r="D985" s="110"/>
      <c r="E985" t="str">
        <f>VLOOKUP(B985,CAC!$A$2:$B$198,2,FALSE)</f>
        <v>DOILG</v>
      </c>
    </row>
    <row r="986" spans="1:5" x14ac:dyDescent="0.25">
      <c r="A986" s="108">
        <v>201511</v>
      </c>
      <c r="B986" s="109" t="s">
        <v>235</v>
      </c>
      <c r="C986" s="108">
        <v>0</v>
      </c>
      <c r="D986" s="110"/>
      <c r="E986" t="str">
        <f>VLOOKUP(B986,CAC!$A$2:$B$198,2,FALSE)</f>
        <v>DOILG</v>
      </c>
    </row>
    <row r="987" spans="1:5" x14ac:dyDescent="0.25">
      <c r="A987" s="108">
        <v>201511</v>
      </c>
      <c r="B987" s="109" t="s">
        <v>237</v>
      </c>
      <c r="C987" s="108">
        <v>0</v>
      </c>
      <c r="D987" s="110"/>
      <c r="E987" t="str">
        <f>VLOOKUP(B987,CAC!$A$2:$B$198,2,FALSE)</f>
        <v>DOILG</v>
      </c>
    </row>
    <row r="988" spans="1:5" x14ac:dyDescent="0.25">
      <c r="A988" s="108">
        <v>201511</v>
      </c>
      <c r="B988" s="109" t="s">
        <v>239</v>
      </c>
      <c r="C988" s="108">
        <v>0</v>
      </c>
      <c r="D988" s="110"/>
      <c r="E988" t="str">
        <f>VLOOKUP(B988,CAC!$A$2:$B$198,2,FALSE)</f>
        <v>DOISG</v>
      </c>
    </row>
    <row r="989" spans="1:5" x14ac:dyDescent="0.25">
      <c r="A989" s="108">
        <v>201511</v>
      </c>
      <c r="B989" s="109" t="s">
        <v>247</v>
      </c>
      <c r="C989" s="108">
        <v>0</v>
      </c>
      <c r="D989" s="110"/>
      <c r="E989" t="str">
        <f>VLOOKUP(B989,CAC!$A$2:$B$198,2,FALSE)</f>
        <v>DOIIFP</v>
      </c>
    </row>
    <row r="990" spans="1:5" x14ac:dyDescent="0.25">
      <c r="A990" s="108">
        <v>201511</v>
      </c>
      <c r="B990" s="109" t="s">
        <v>238</v>
      </c>
      <c r="C990" s="108">
        <v>0</v>
      </c>
      <c r="D990" s="110"/>
      <c r="E990" t="str">
        <f>VLOOKUP(B990,CAC!$A$2:$B$198,2,FALSE)</f>
        <v>DOILG</v>
      </c>
    </row>
    <row r="991" spans="1:5" x14ac:dyDescent="0.25">
      <c r="A991" s="108">
        <v>201511</v>
      </c>
      <c r="B991" s="109" t="s">
        <v>248</v>
      </c>
      <c r="C991" s="108">
        <v>0</v>
      </c>
      <c r="D991" s="110"/>
      <c r="E991" t="str">
        <f>VLOOKUP(B991,CAC!$A$2:$B$198,2,FALSE)</f>
        <v>DOIIFP</v>
      </c>
    </row>
    <row r="992" spans="1:5" x14ac:dyDescent="0.25">
      <c r="A992" s="108">
        <v>201511</v>
      </c>
      <c r="B992" s="109" t="s">
        <v>325</v>
      </c>
      <c r="C992" s="108">
        <v>0</v>
      </c>
      <c r="D992" s="110"/>
      <c r="E992" t="e">
        <f>VLOOKUP(B992,CAC!$A$2:$B$198,2,FALSE)</f>
        <v>#N/A</v>
      </c>
    </row>
    <row r="993" spans="1:5" x14ac:dyDescent="0.25">
      <c r="A993" s="108">
        <v>201511</v>
      </c>
      <c r="B993" s="109" t="s">
        <v>255</v>
      </c>
      <c r="C993" s="108">
        <v>0</v>
      </c>
      <c r="D993" s="110"/>
      <c r="E993" t="str">
        <f>VLOOKUP(B993,CAC!$A$2:$B$198,2,FALSE)</f>
        <v>AGDMHC</v>
      </c>
    </row>
    <row r="994" spans="1:5" x14ac:dyDescent="0.25">
      <c r="A994" s="108">
        <v>201511</v>
      </c>
      <c r="B994" s="109" t="s">
        <v>256</v>
      </c>
      <c r="C994" s="108">
        <v>0</v>
      </c>
      <c r="D994" s="110"/>
      <c r="E994" t="str">
        <f>VLOOKUP(B994,CAC!$A$2:$B$198,2,FALSE)</f>
        <v>AGDMHC</v>
      </c>
    </row>
    <row r="995" spans="1:5" x14ac:dyDescent="0.25">
      <c r="A995" s="108">
        <v>201511</v>
      </c>
      <c r="B995" s="109" t="s">
        <v>275</v>
      </c>
      <c r="C995" s="108">
        <v>0</v>
      </c>
      <c r="D995" s="110"/>
      <c r="E995" t="str">
        <f>VLOOKUP(B995,CAC!$A$2:$B$198,2,FALSE)</f>
        <v>AGDMHC</v>
      </c>
    </row>
    <row r="996" spans="1:5" x14ac:dyDescent="0.25">
      <c r="A996" s="108">
        <v>201511</v>
      </c>
      <c r="B996" s="109" t="s">
        <v>257</v>
      </c>
      <c r="C996" s="108">
        <v>0</v>
      </c>
      <c r="D996" s="110"/>
      <c r="E996" t="str">
        <f>VLOOKUP(B996,CAC!$A$2:$B$198,2,FALSE)</f>
        <v>AGDMHC</v>
      </c>
    </row>
    <row r="997" spans="1:5" x14ac:dyDescent="0.25">
      <c r="A997" s="108">
        <v>201511</v>
      </c>
      <c r="B997" s="109" t="s">
        <v>258</v>
      </c>
      <c r="C997" s="108">
        <v>0</v>
      </c>
      <c r="D997" s="110"/>
      <c r="E997" t="str">
        <f>VLOOKUP(B997,CAC!$A$2:$B$198,2,FALSE)</f>
        <v>AGDMHC</v>
      </c>
    </row>
    <row r="998" spans="1:5" x14ac:dyDescent="0.25">
      <c r="A998" s="108">
        <v>201511</v>
      </c>
      <c r="B998" s="109" t="s">
        <v>262</v>
      </c>
      <c r="C998" s="108">
        <v>0</v>
      </c>
      <c r="D998" s="110"/>
      <c r="E998" t="str">
        <f>VLOOKUP(B998,CAC!$A$2:$B$198,2,FALSE)</f>
        <v>AGDMHC</v>
      </c>
    </row>
    <row r="999" spans="1:5" x14ac:dyDescent="0.25">
      <c r="A999" s="108">
        <v>201511</v>
      </c>
      <c r="B999" s="109" t="s">
        <v>264</v>
      </c>
      <c r="C999" s="108">
        <v>0</v>
      </c>
      <c r="D999" s="110"/>
      <c r="E999" t="str">
        <f>VLOOKUP(B999,CAC!$A$2:$B$198,2,FALSE)</f>
        <v>AGDMHC</v>
      </c>
    </row>
    <row r="1000" spans="1:5" x14ac:dyDescent="0.25">
      <c r="A1000" s="108">
        <v>201511</v>
      </c>
      <c r="B1000" s="109" t="s">
        <v>269</v>
      </c>
      <c r="C1000" s="108">
        <v>0</v>
      </c>
      <c r="D1000" s="110"/>
      <c r="E1000" t="str">
        <f>VLOOKUP(B1000,CAC!$A$2:$B$198,2,FALSE)</f>
        <v>AGDMHC</v>
      </c>
    </row>
    <row r="1001" spans="1:5" x14ac:dyDescent="0.25">
      <c r="A1001" s="108">
        <v>201511</v>
      </c>
      <c r="B1001" s="109" t="s">
        <v>319</v>
      </c>
      <c r="C1001" s="108">
        <v>0</v>
      </c>
      <c r="D1001" s="110"/>
      <c r="E1001" t="e">
        <f>VLOOKUP(B1001,CAC!$A$2:$B$198,2,FALSE)</f>
        <v>#N/A</v>
      </c>
    </row>
    <row r="1002" spans="1:5" x14ac:dyDescent="0.25">
      <c r="A1002" s="108">
        <v>201511</v>
      </c>
      <c r="B1002" s="109" t="s">
        <v>265</v>
      </c>
      <c r="C1002" s="108">
        <v>0</v>
      </c>
      <c r="D1002" s="110"/>
      <c r="E1002" t="str">
        <f>VLOOKUP(B1002,CAC!$A$2:$B$198,2,FALSE)</f>
        <v>AGDMHC</v>
      </c>
    </row>
    <row r="1003" spans="1:5" x14ac:dyDescent="0.25">
      <c r="A1003" s="108">
        <v>201511</v>
      </c>
      <c r="B1003" s="109" t="s">
        <v>270</v>
      </c>
      <c r="C1003" s="108">
        <v>0</v>
      </c>
      <c r="D1003" s="110"/>
      <c r="E1003" t="str">
        <f>VLOOKUP(B1003,CAC!$A$2:$B$198,2,FALSE)</f>
        <v>AGDMHC</v>
      </c>
    </row>
    <row r="1004" spans="1:5" x14ac:dyDescent="0.25">
      <c r="A1004" s="108">
        <v>201511</v>
      </c>
      <c r="B1004" s="109" t="s">
        <v>266</v>
      </c>
      <c r="C1004" s="108">
        <v>0</v>
      </c>
      <c r="D1004" s="110"/>
      <c r="E1004" t="str">
        <f>VLOOKUP(B1004,CAC!$A$2:$B$198,2,FALSE)</f>
        <v>AGDMHC</v>
      </c>
    </row>
    <row r="1005" spans="1:5" x14ac:dyDescent="0.25">
      <c r="A1005" s="108">
        <v>201511</v>
      </c>
      <c r="B1005" s="109" t="s">
        <v>267</v>
      </c>
      <c r="C1005" s="108">
        <v>0</v>
      </c>
      <c r="D1005" s="110"/>
      <c r="E1005" t="str">
        <f>VLOOKUP(B1005,CAC!$A$2:$B$198,2,FALSE)</f>
        <v>AGDMHC</v>
      </c>
    </row>
    <row r="1006" spans="1:5" x14ac:dyDescent="0.25">
      <c r="A1006" s="108">
        <v>201511</v>
      </c>
      <c r="B1006" s="109" t="s">
        <v>268</v>
      </c>
      <c r="C1006" s="108">
        <v>0</v>
      </c>
      <c r="D1006" s="110"/>
      <c r="E1006" t="str">
        <f>VLOOKUP(B1006,CAC!$A$2:$B$198,2,FALSE)</f>
        <v>AGDMHC</v>
      </c>
    </row>
    <row r="1007" spans="1:5" x14ac:dyDescent="0.25">
      <c r="A1007" s="108">
        <v>201511</v>
      </c>
      <c r="B1007" s="109" t="s">
        <v>52</v>
      </c>
      <c r="C1007" s="108">
        <v>15371</v>
      </c>
      <c r="D1007" s="110"/>
      <c r="E1007" t="str">
        <f>VLOOKUP(B1007,CAC!$A$2:$B$198,2,FALSE)</f>
        <v>HMOPMR</v>
      </c>
    </row>
    <row r="1008" spans="1:5" x14ac:dyDescent="0.25">
      <c r="A1008" s="108">
        <v>201511</v>
      </c>
      <c r="B1008" s="109" t="s">
        <v>53</v>
      </c>
      <c r="C1008" s="108">
        <v>4432</v>
      </c>
      <c r="D1008" s="110"/>
      <c r="E1008" t="str">
        <f>VLOOKUP(B1008,CAC!$A$2:$B$198,2,FALSE)</f>
        <v>HMOPMR</v>
      </c>
    </row>
    <row r="1009" spans="1:5" x14ac:dyDescent="0.25">
      <c r="A1009" s="108">
        <v>201511</v>
      </c>
      <c r="B1009" s="109" t="s">
        <v>54</v>
      </c>
      <c r="C1009" s="108">
        <v>6673</v>
      </c>
      <c r="D1009" s="110"/>
      <c r="E1009" t="str">
        <f>VLOOKUP(B1009,CAC!$A$2:$B$198,2,FALSE)</f>
        <v>HMOFEP</v>
      </c>
    </row>
    <row r="1010" spans="1:5" x14ac:dyDescent="0.25">
      <c r="A1010" s="108">
        <v>201511</v>
      </c>
      <c r="B1010" s="109" t="s">
        <v>279</v>
      </c>
      <c r="C1010" s="108">
        <v>0</v>
      </c>
      <c r="D1010" s="110"/>
      <c r="E1010" t="str">
        <f>VLOOKUP(B1010,CAC!$A$2:$B$198,2,FALSE)</f>
        <v>PPOFEP</v>
      </c>
    </row>
    <row r="1011" spans="1:5" x14ac:dyDescent="0.25">
      <c r="A1011" s="108">
        <v>201511</v>
      </c>
      <c r="B1011" s="109" t="s">
        <v>202</v>
      </c>
      <c r="C1011" s="108">
        <v>0</v>
      </c>
      <c r="D1011" s="110"/>
      <c r="E1011" t="str">
        <f>VLOOKUP(B1011,CAC!$A$2:$B$198,2,FALSE)</f>
        <v>PPOPMR</v>
      </c>
    </row>
    <row r="1012" spans="1:5" x14ac:dyDescent="0.25">
      <c r="A1012" s="108">
        <v>201511</v>
      </c>
      <c r="B1012" s="109" t="s">
        <v>55</v>
      </c>
      <c r="C1012" s="108">
        <v>15253</v>
      </c>
      <c r="D1012" s="110"/>
      <c r="E1012" t="str">
        <f>VLOOKUP(B1012,CAC!$A$2:$B$198,2,FALSE)</f>
        <v>HMOPMR</v>
      </c>
    </row>
    <row r="1013" spans="1:5" x14ac:dyDescent="0.25">
      <c r="A1013" s="108">
        <v>201511</v>
      </c>
      <c r="B1013" s="109" t="s">
        <v>56</v>
      </c>
      <c r="C1013" s="108">
        <v>139</v>
      </c>
      <c r="D1013" s="110"/>
      <c r="E1013" t="str">
        <f>VLOOKUP(B1013,CAC!$A$2:$B$198,2,FALSE)</f>
        <v>HMOPMR</v>
      </c>
    </row>
    <row r="1014" spans="1:5" x14ac:dyDescent="0.25">
      <c r="A1014" s="108">
        <v>201511</v>
      </c>
      <c r="B1014" s="109" t="s">
        <v>57</v>
      </c>
      <c r="C1014" s="108">
        <v>6108</v>
      </c>
      <c r="D1014" s="110"/>
      <c r="E1014" t="str">
        <f>VLOOKUP(B1014,CAC!$A$2:$B$198,2,FALSE)</f>
        <v>HMFLEX</v>
      </c>
    </row>
    <row r="1015" spans="1:5" x14ac:dyDescent="0.25">
      <c r="A1015" s="108">
        <v>201511</v>
      </c>
      <c r="B1015" s="109" t="s">
        <v>58</v>
      </c>
      <c r="C1015" s="108">
        <v>401</v>
      </c>
      <c r="D1015" s="110"/>
      <c r="E1015" t="str">
        <f>VLOOKUP(B1015,CAC!$A$2:$B$198,2,FALSE)</f>
        <v>HMFLEX</v>
      </c>
    </row>
    <row r="1016" spans="1:5" x14ac:dyDescent="0.25">
      <c r="A1016" s="108">
        <v>201511</v>
      </c>
      <c r="B1016" s="109" t="s">
        <v>59</v>
      </c>
      <c r="C1016" s="108">
        <v>8</v>
      </c>
      <c r="D1016" s="110"/>
      <c r="E1016" t="str">
        <f>VLOOKUP(B1016,CAC!$A$2:$B$198,2,FALSE)</f>
        <v>HMFLEX</v>
      </c>
    </row>
    <row r="1017" spans="1:5" x14ac:dyDescent="0.25">
      <c r="A1017" s="108">
        <v>201511</v>
      </c>
      <c r="B1017" s="109" t="s">
        <v>306</v>
      </c>
      <c r="C1017" s="108">
        <v>0</v>
      </c>
      <c r="D1017" s="110"/>
      <c r="E1017" t="e">
        <f>VLOOKUP(B1017,CAC!$A$2:$B$198,2,FALSE)</f>
        <v>#N/A</v>
      </c>
    </row>
    <row r="1018" spans="1:5" x14ac:dyDescent="0.25">
      <c r="A1018" s="108">
        <v>201511</v>
      </c>
      <c r="B1018" s="109" t="s">
        <v>283</v>
      </c>
      <c r="C1018" s="108">
        <v>0</v>
      </c>
      <c r="D1018" s="110"/>
      <c r="E1018" t="str">
        <f>VLOOKUP(B1018,CAC!$A$2:$B$198,2,FALSE)</f>
        <v>HMFLEX</v>
      </c>
    </row>
    <row r="1019" spans="1:5" x14ac:dyDescent="0.25">
      <c r="A1019" s="108">
        <v>201511</v>
      </c>
      <c r="B1019" s="109" t="s">
        <v>205</v>
      </c>
      <c r="C1019" s="108">
        <v>0</v>
      </c>
      <c r="D1019" s="110"/>
      <c r="E1019" t="str">
        <f>VLOOKUP(B1019,CAC!$A$2:$B$198,2,FALSE)</f>
        <v>PPOPMR</v>
      </c>
    </row>
    <row r="1020" spans="1:5" x14ac:dyDescent="0.25">
      <c r="A1020" s="108">
        <v>201511</v>
      </c>
      <c r="B1020" s="109" t="s">
        <v>286</v>
      </c>
      <c r="C1020" s="108">
        <v>0</v>
      </c>
      <c r="D1020" s="110"/>
      <c r="E1020" t="str">
        <f>VLOOKUP(B1020,CAC!$A$2:$B$198,2,FALSE)</f>
        <v>HMFLEX</v>
      </c>
    </row>
    <row r="1021" spans="1:5" x14ac:dyDescent="0.25">
      <c r="A1021" s="108">
        <v>201511</v>
      </c>
      <c r="B1021" s="109" t="s">
        <v>60</v>
      </c>
      <c r="C1021" s="108">
        <v>12369</v>
      </c>
      <c r="D1021" s="110"/>
      <c r="E1021" t="str">
        <f>VLOOKUP(B1021,CAC!$A$2:$B$198,2,FALSE)</f>
        <v>HMOLG</v>
      </c>
    </row>
    <row r="1022" spans="1:5" x14ac:dyDescent="0.25">
      <c r="A1022" s="108">
        <v>201511</v>
      </c>
      <c r="B1022" s="109" t="s">
        <v>61</v>
      </c>
      <c r="C1022" s="108">
        <v>714</v>
      </c>
      <c r="D1022" s="110"/>
      <c r="E1022" t="str">
        <f>VLOOKUP(B1022,CAC!$A$2:$B$198,2,FALSE)</f>
        <v>HMOLG</v>
      </c>
    </row>
    <row r="1023" spans="1:5" x14ac:dyDescent="0.25">
      <c r="A1023" s="108">
        <v>201511</v>
      </c>
      <c r="B1023" s="109" t="s">
        <v>62</v>
      </c>
      <c r="C1023" s="108">
        <v>26029</v>
      </c>
      <c r="D1023" s="110"/>
      <c r="E1023" t="str">
        <f>VLOOKUP(B1023,CAC!$A$2:$B$198,2,FALSE)</f>
        <v>HMOLG</v>
      </c>
    </row>
    <row r="1024" spans="1:5" x14ac:dyDescent="0.25">
      <c r="A1024" s="108">
        <v>201511</v>
      </c>
      <c r="B1024" s="109" t="s">
        <v>63</v>
      </c>
      <c r="C1024" s="108">
        <v>302</v>
      </c>
      <c r="D1024" s="110"/>
      <c r="E1024" t="str">
        <f>VLOOKUP(B1024,CAC!$A$2:$B$198,2,FALSE)</f>
        <v>HMOLG</v>
      </c>
    </row>
    <row r="1025" spans="1:5" x14ac:dyDescent="0.25">
      <c r="A1025" s="108">
        <v>201511</v>
      </c>
      <c r="B1025" s="109" t="s">
        <v>64</v>
      </c>
      <c r="C1025" s="108">
        <v>0</v>
      </c>
      <c r="D1025" s="110"/>
      <c r="E1025" t="str">
        <f>VLOOKUP(B1025,CAC!$A$2:$B$198,2,FALSE)</f>
        <v>HMOLG</v>
      </c>
    </row>
    <row r="1026" spans="1:5" x14ac:dyDescent="0.25">
      <c r="A1026" s="108">
        <v>201511</v>
      </c>
      <c r="B1026" s="109" t="s">
        <v>65</v>
      </c>
      <c r="C1026" s="108">
        <v>218</v>
      </c>
      <c r="D1026" s="110"/>
      <c r="E1026" t="str">
        <f>VLOOKUP(B1026,CAC!$A$2:$B$198,2,FALSE)</f>
        <v>HMFLEX</v>
      </c>
    </row>
    <row r="1027" spans="1:5" x14ac:dyDescent="0.25">
      <c r="A1027" s="108">
        <v>201511</v>
      </c>
      <c r="B1027" s="109" t="s">
        <v>307</v>
      </c>
      <c r="C1027" s="108">
        <v>0</v>
      </c>
      <c r="D1027" s="110"/>
      <c r="E1027" t="e">
        <f>VLOOKUP(B1027,CAC!$A$2:$B$198,2,FALSE)</f>
        <v>#N/A</v>
      </c>
    </row>
    <row r="1028" spans="1:5" x14ac:dyDescent="0.25">
      <c r="A1028" s="108">
        <v>201511</v>
      </c>
      <c r="B1028" s="109" t="s">
        <v>308</v>
      </c>
      <c r="C1028" s="108">
        <v>0</v>
      </c>
      <c r="D1028" s="110"/>
      <c r="E1028" t="e">
        <f>VLOOKUP(B1028,CAC!$A$2:$B$198,2,FALSE)</f>
        <v>#N/A</v>
      </c>
    </row>
    <row r="1029" spans="1:5" x14ac:dyDescent="0.25">
      <c r="A1029" s="108">
        <v>201511</v>
      </c>
      <c r="B1029" s="109" t="s">
        <v>309</v>
      </c>
      <c r="C1029" s="108">
        <v>0</v>
      </c>
      <c r="D1029" s="110"/>
      <c r="E1029" t="e">
        <f>VLOOKUP(B1029,CAC!$A$2:$B$198,2,FALSE)</f>
        <v>#N/A</v>
      </c>
    </row>
    <row r="1030" spans="1:5" x14ac:dyDescent="0.25">
      <c r="A1030" s="108">
        <v>201511</v>
      </c>
      <c r="B1030" s="109" t="s">
        <v>99</v>
      </c>
      <c r="C1030" s="108">
        <v>0</v>
      </c>
      <c r="D1030" s="110"/>
      <c r="E1030" t="str">
        <f>VLOOKUP(B1030,CAC!$A$2:$B$198,2,FALSE)</f>
        <v>PPOLG</v>
      </c>
    </row>
    <row r="1031" spans="1:5" x14ac:dyDescent="0.25">
      <c r="A1031" s="108">
        <v>201511</v>
      </c>
      <c r="B1031" s="109" t="s">
        <v>193</v>
      </c>
      <c r="C1031" s="108">
        <v>0</v>
      </c>
      <c r="D1031" s="110"/>
      <c r="E1031" t="str">
        <f>VLOOKUP(B1031,CAC!$A$2:$B$198,2,FALSE)</f>
        <v>PPOLG</v>
      </c>
    </row>
    <row r="1032" spans="1:5" x14ac:dyDescent="0.25">
      <c r="A1032" s="108">
        <v>201511</v>
      </c>
      <c r="B1032" s="109" t="s">
        <v>196</v>
      </c>
      <c r="C1032" s="108">
        <v>0</v>
      </c>
      <c r="D1032" s="110"/>
      <c r="E1032" t="str">
        <f>VLOOKUP(B1032,CAC!$A$2:$B$198,2,FALSE)</f>
        <v>PPOLG</v>
      </c>
    </row>
    <row r="1033" spans="1:5" x14ac:dyDescent="0.25">
      <c r="A1033" s="108">
        <v>201511</v>
      </c>
      <c r="B1033" s="109" t="s">
        <v>212</v>
      </c>
      <c r="C1033" s="108">
        <v>0</v>
      </c>
      <c r="D1033" s="110"/>
      <c r="E1033" t="str">
        <f>VLOOKUP(B1033,CAC!$A$2:$B$198,2,FALSE)</f>
        <v>PPOMM</v>
      </c>
    </row>
    <row r="1034" spans="1:5" x14ac:dyDescent="0.25">
      <c r="A1034" s="108">
        <v>201511</v>
      </c>
      <c r="B1034" s="109" t="s">
        <v>213</v>
      </c>
      <c r="C1034" s="108">
        <v>0</v>
      </c>
      <c r="D1034" s="110"/>
      <c r="E1034" t="str">
        <f>VLOOKUP(B1034,CAC!$A$2:$B$198,2,FALSE)</f>
        <v>PPOMM</v>
      </c>
    </row>
    <row r="1035" spans="1:5" x14ac:dyDescent="0.25">
      <c r="A1035" s="108">
        <v>201511</v>
      </c>
      <c r="B1035" s="109" t="s">
        <v>311</v>
      </c>
      <c r="C1035" s="108">
        <v>0</v>
      </c>
      <c r="D1035" s="110"/>
      <c r="E1035" t="e">
        <f>VLOOKUP(B1035,CAC!$A$2:$B$198,2,FALSE)</f>
        <v>#N/A</v>
      </c>
    </row>
    <row r="1036" spans="1:5" x14ac:dyDescent="0.25">
      <c r="A1036" s="108">
        <v>201511</v>
      </c>
      <c r="B1036" s="109" t="s">
        <v>320</v>
      </c>
      <c r="C1036" s="108">
        <v>0</v>
      </c>
      <c r="D1036" s="110"/>
      <c r="E1036" t="e">
        <f>VLOOKUP(B1036,CAC!$A$2:$B$198,2,FALSE)</f>
        <v>#N/A</v>
      </c>
    </row>
    <row r="1037" spans="1:5" x14ac:dyDescent="0.25">
      <c r="A1037" s="108">
        <v>201511</v>
      </c>
      <c r="B1037" s="109" t="s">
        <v>321</v>
      </c>
      <c r="C1037" s="108">
        <v>0</v>
      </c>
      <c r="D1037" s="110"/>
      <c r="E1037" t="e">
        <f>VLOOKUP(B1037,CAC!$A$2:$B$198,2,FALSE)</f>
        <v>#N/A</v>
      </c>
    </row>
    <row r="1038" spans="1:5" x14ac:dyDescent="0.25">
      <c r="A1038" s="108">
        <v>201511</v>
      </c>
      <c r="B1038" s="109" t="s">
        <v>312</v>
      </c>
      <c r="C1038" s="108">
        <v>0</v>
      </c>
      <c r="D1038" s="110"/>
      <c r="E1038" t="e">
        <f>VLOOKUP(B1038,CAC!$A$2:$B$198,2,FALSE)</f>
        <v>#N/A</v>
      </c>
    </row>
    <row r="1039" spans="1:5" x14ac:dyDescent="0.25">
      <c r="A1039" s="108">
        <v>201511</v>
      </c>
      <c r="B1039" s="109" t="s">
        <v>313</v>
      </c>
      <c r="C1039" s="108">
        <v>0</v>
      </c>
      <c r="D1039" s="110"/>
      <c r="E1039" t="e">
        <f>VLOOKUP(B1039,CAC!$A$2:$B$198,2,FALSE)</f>
        <v>#N/A</v>
      </c>
    </row>
    <row r="1040" spans="1:5" x14ac:dyDescent="0.25">
      <c r="A1040" s="108">
        <v>201511</v>
      </c>
      <c r="B1040" s="109" t="s">
        <v>215</v>
      </c>
      <c r="C1040" s="108">
        <v>0</v>
      </c>
      <c r="D1040" s="110"/>
      <c r="E1040" t="str">
        <f>VLOOKUP(B1040,CAC!$A$2:$B$198,2,FALSE)</f>
        <v>PPOMM</v>
      </c>
    </row>
    <row r="1041" spans="1:5" x14ac:dyDescent="0.25">
      <c r="A1041" s="108">
        <v>201511</v>
      </c>
      <c r="B1041" s="109" t="s">
        <v>66</v>
      </c>
      <c r="C1041" s="108">
        <v>3476</v>
      </c>
      <c r="D1041" s="110"/>
      <c r="E1041" t="str">
        <f>VLOOKUP(B1041,CAC!$A$2:$B$198,2,FALSE)</f>
        <v>HMOLG</v>
      </c>
    </row>
    <row r="1042" spans="1:5" x14ac:dyDescent="0.25">
      <c r="A1042" s="108">
        <v>201511</v>
      </c>
      <c r="B1042" s="109" t="s">
        <v>82</v>
      </c>
      <c r="C1042" s="108">
        <v>0</v>
      </c>
      <c r="D1042" s="110"/>
      <c r="E1042" t="str">
        <f>VLOOKUP(B1042,CAC!$A$2:$B$198,2,FALSE)</f>
        <v>NATPAR</v>
      </c>
    </row>
    <row r="1043" spans="1:5" x14ac:dyDescent="0.25">
      <c r="A1043" s="108">
        <v>201511</v>
      </c>
      <c r="B1043" s="109" t="s">
        <v>67</v>
      </c>
      <c r="C1043" s="108">
        <v>138</v>
      </c>
      <c r="D1043" s="110"/>
      <c r="E1043" t="str">
        <f>VLOOKUP(B1043,CAC!$A$2:$B$198,2,FALSE)</f>
        <v>HMOLG</v>
      </c>
    </row>
    <row r="1044" spans="1:5" x14ac:dyDescent="0.25">
      <c r="A1044" s="108">
        <v>201511</v>
      </c>
      <c r="B1044" s="109" t="s">
        <v>68</v>
      </c>
      <c r="C1044" s="108">
        <v>266</v>
      </c>
      <c r="D1044" s="110"/>
      <c r="E1044" t="str">
        <f>VLOOKUP(B1044,CAC!$A$2:$B$198,2,FALSE)</f>
        <v>HMOPMR</v>
      </c>
    </row>
    <row r="1045" spans="1:5" x14ac:dyDescent="0.25">
      <c r="A1045" s="108">
        <v>201511</v>
      </c>
      <c r="B1045" s="109" t="s">
        <v>69</v>
      </c>
      <c r="C1045" s="108">
        <v>9847</v>
      </c>
      <c r="D1045" s="110"/>
      <c r="E1045" t="str">
        <f>VLOOKUP(B1045,CAC!$A$2:$B$198,2,FALSE)</f>
        <v>HMOPMR</v>
      </c>
    </row>
    <row r="1046" spans="1:5" x14ac:dyDescent="0.25">
      <c r="A1046" s="108">
        <v>201511</v>
      </c>
      <c r="B1046" s="109" t="s">
        <v>70</v>
      </c>
      <c r="C1046" s="108">
        <v>4087</v>
      </c>
      <c r="D1046" s="110"/>
      <c r="E1046" t="str">
        <f>VLOOKUP(B1046,CAC!$A$2:$B$198,2,FALSE)</f>
        <v>HMOPMR</v>
      </c>
    </row>
    <row r="1047" spans="1:5" x14ac:dyDescent="0.25">
      <c r="A1047" s="108">
        <v>201511</v>
      </c>
      <c r="B1047" s="109" t="s">
        <v>71</v>
      </c>
      <c r="C1047" s="108">
        <v>6559</v>
      </c>
      <c r="D1047" s="110"/>
      <c r="E1047" t="str">
        <f>VLOOKUP(B1047,CAC!$A$2:$B$198,2,FALSE)</f>
        <v>HMOPMR</v>
      </c>
    </row>
    <row r="1048" spans="1:5" x14ac:dyDescent="0.25">
      <c r="A1048" s="108">
        <v>201511</v>
      </c>
      <c r="B1048" s="109" t="s">
        <v>72</v>
      </c>
      <c r="C1048" s="108">
        <v>2154</v>
      </c>
      <c r="D1048" s="110"/>
      <c r="E1048" t="str">
        <f>VLOOKUP(B1048,CAC!$A$2:$B$198,2,FALSE)</f>
        <v>HMFLEX</v>
      </c>
    </row>
    <row r="1049" spans="1:5" x14ac:dyDescent="0.25">
      <c r="A1049" s="108">
        <v>201511</v>
      </c>
      <c r="B1049" s="109" t="s">
        <v>314</v>
      </c>
      <c r="C1049" s="108">
        <v>0</v>
      </c>
      <c r="D1049" s="110"/>
      <c r="E1049" t="e">
        <f>VLOOKUP(B1049,CAC!$A$2:$B$198,2,FALSE)</f>
        <v>#N/A</v>
      </c>
    </row>
    <row r="1050" spans="1:5" x14ac:dyDescent="0.25">
      <c r="A1050" s="108">
        <v>201511</v>
      </c>
      <c r="B1050" s="109" t="s">
        <v>322</v>
      </c>
      <c r="C1050" s="108">
        <v>0</v>
      </c>
      <c r="D1050" s="110"/>
      <c r="E1050" t="e">
        <f>VLOOKUP(B1050,CAC!$A$2:$B$198,2,FALSE)</f>
        <v>#N/A</v>
      </c>
    </row>
    <row r="1051" spans="1:5" x14ac:dyDescent="0.25">
      <c r="A1051" s="108">
        <v>201511</v>
      </c>
      <c r="B1051" s="109" t="s">
        <v>315</v>
      </c>
      <c r="C1051" s="108">
        <v>0</v>
      </c>
      <c r="D1051" s="110"/>
      <c r="E1051" t="e">
        <f>VLOOKUP(B1051,CAC!$A$2:$B$198,2,FALSE)</f>
        <v>#N/A</v>
      </c>
    </row>
    <row r="1052" spans="1:5" x14ac:dyDescent="0.25">
      <c r="A1052" s="108">
        <v>201511</v>
      </c>
      <c r="B1052" s="109" t="s">
        <v>112</v>
      </c>
      <c r="C1052" s="108">
        <v>0</v>
      </c>
      <c r="D1052" s="110"/>
      <c r="E1052" t="e">
        <f>VLOOKUP(B1052,CAC!$A$2:$B$198,2,FALSE)</f>
        <v>#N/A</v>
      </c>
    </row>
    <row r="1053" spans="1:5" x14ac:dyDescent="0.25">
      <c r="A1053" s="108">
        <v>201511</v>
      </c>
      <c r="B1053" s="109" t="s">
        <v>316</v>
      </c>
      <c r="C1053" s="108">
        <v>0</v>
      </c>
      <c r="D1053" s="110"/>
      <c r="E1053" t="e">
        <f>VLOOKUP(B1053,CAC!$A$2:$B$198,2,FALSE)</f>
        <v>#N/A</v>
      </c>
    </row>
    <row r="1054" spans="1:5" x14ac:dyDescent="0.25">
      <c r="A1054" s="108">
        <v>201511</v>
      </c>
      <c r="B1054" s="109" t="s">
        <v>317</v>
      </c>
      <c r="C1054" s="108">
        <v>0</v>
      </c>
      <c r="D1054" s="110"/>
      <c r="E1054" t="e">
        <f>VLOOKUP(B1054,CAC!$A$2:$B$198,2,FALSE)</f>
        <v>#N/A</v>
      </c>
    </row>
    <row r="1055" spans="1:5" x14ac:dyDescent="0.25">
      <c r="A1055" s="108">
        <v>201511</v>
      </c>
      <c r="B1055" s="109" t="s">
        <v>113</v>
      </c>
      <c r="C1055" s="108">
        <v>0</v>
      </c>
      <c r="D1055" s="110"/>
      <c r="E1055" t="str">
        <f>VLOOKUP(B1055,CAC!$A$2:$B$198,2,FALSE)</f>
        <v>PPOLG</v>
      </c>
    </row>
    <row r="1056" spans="1:5" x14ac:dyDescent="0.25">
      <c r="A1056" s="108">
        <v>201511</v>
      </c>
      <c r="B1056" s="109" t="s">
        <v>294</v>
      </c>
      <c r="C1056" s="108">
        <v>0</v>
      </c>
      <c r="D1056" s="110"/>
      <c r="E1056" t="str">
        <f>VLOOKUP(B1056,CAC!$A$2:$B$198,2,FALSE)</f>
        <v>NATPAR</v>
      </c>
    </row>
    <row r="1057" spans="1:5" x14ac:dyDescent="0.25">
      <c r="A1057" s="108">
        <v>201511</v>
      </c>
      <c r="B1057" s="109" t="s">
        <v>208</v>
      </c>
      <c r="C1057" s="108">
        <v>0</v>
      </c>
      <c r="D1057" s="110"/>
      <c r="E1057" t="str">
        <f>VLOOKUP(B1057,CAC!$A$2:$B$198,2,FALSE)</f>
        <v>PPOPMR</v>
      </c>
    </row>
    <row r="1058" spans="1:5" x14ac:dyDescent="0.25">
      <c r="A1058" s="108">
        <v>201511</v>
      </c>
      <c r="B1058" s="109" t="s">
        <v>209</v>
      </c>
      <c r="C1058" s="108">
        <v>0</v>
      </c>
      <c r="D1058" s="110"/>
      <c r="E1058" t="str">
        <f>VLOOKUP(B1058,CAC!$A$2:$B$198,2,FALSE)</f>
        <v>PPOPMR</v>
      </c>
    </row>
    <row r="1059" spans="1:5" x14ac:dyDescent="0.25">
      <c r="A1059" s="108">
        <v>201511</v>
      </c>
      <c r="B1059" s="109" t="s">
        <v>204</v>
      </c>
      <c r="C1059" s="108">
        <v>0</v>
      </c>
      <c r="D1059" s="110"/>
      <c r="E1059" t="str">
        <f>VLOOKUP(B1059,CAC!$A$2:$B$198,2,FALSE)</f>
        <v>PPOPMR</v>
      </c>
    </row>
    <row r="1060" spans="1:5" x14ac:dyDescent="0.25">
      <c r="A1060" s="108">
        <v>201511</v>
      </c>
      <c r="B1060" s="109" t="s">
        <v>73</v>
      </c>
      <c r="C1060" s="108">
        <v>33436</v>
      </c>
      <c r="D1060" s="108">
        <v>6215</v>
      </c>
      <c r="E1060" t="str">
        <f>VLOOKUP(B1060,CAC!$A$2:$B$198,2,FALSE)</f>
        <v>HMOPERA</v>
      </c>
    </row>
    <row r="1061" spans="1:5" x14ac:dyDescent="0.25">
      <c r="A1061" s="108">
        <v>201511</v>
      </c>
      <c r="B1061" s="109" t="s">
        <v>74</v>
      </c>
      <c r="C1061" s="108">
        <v>3925</v>
      </c>
      <c r="D1061" s="108">
        <v>2327</v>
      </c>
      <c r="E1061" t="str">
        <f>VLOOKUP(B1061,CAC!$A$2:$B$198,2,FALSE)</f>
        <v>PERMEDA</v>
      </c>
    </row>
    <row r="1062" spans="1:5" x14ac:dyDescent="0.25">
      <c r="A1062" s="108">
        <v>201511</v>
      </c>
      <c r="B1062" s="109" t="s">
        <v>75</v>
      </c>
      <c r="C1062" s="108">
        <v>39545</v>
      </c>
      <c r="D1062" s="108">
        <v>19720</v>
      </c>
      <c r="E1062" t="str">
        <f>VLOOKUP(B1062,CAC!$A$2:$B$198,2,FALSE)</f>
        <v>HMOPERN</v>
      </c>
    </row>
    <row r="1063" spans="1:5" x14ac:dyDescent="0.25">
      <c r="A1063" s="108">
        <v>201511</v>
      </c>
      <c r="B1063" s="109" t="s">
        <v>76</v>
      </c>
      <c r="C1063" s="108">
        <v>560</v>
      </c>
      <c r="D1063" s="108">
        <v>1762</v>
      </c>
      <c r="E1063" t="str">
        <f>VLOOKUP(B1063,CAC!$A$2:$B$198,2,FALSE)</f>
        <v>PERMEDN</v>
      </c>
    </row>
    <row r="1064" spans="1:5" x14ac:dyDescent="0.25">
      <c r="A1064" s="108">
        <v>201511</v>
      </c>
      <c r="B1064" s="109" t="s">
        <v>218</v>
      </c>
      <c r="C1064" s="108">
        <v>0</v>
      </c>
      <c r="D1064" s="110"/>
      <c r="E1064" t="str">
        <f>VLOOKUP(B1064,CAC!$A$2:$B$198,2,FALSE)</f>
        <v>HMOPERA</v>
      </c>
    </row>
    <row r="1065" spans="1:5" x14ac:dyDescent="0.25">
      <c r="A1065" s="108">
        <v>201511</v>
      </c>
      <c r="B1065" s="109" t="s">
        <v>181</v>
      </c>
      <c r="C1065" s="108">
        <v>0</v>
      </c>
      <c r="D1065" s="110"/>
      <c r="E1065" t="str">
        <f>VLOOKUP(B1065,CAC!$A$2:$B$198,2,FALSE)</f>
        <v>PERMEDA</v>
      </c>
    </row>
    <row r="1066" spans="1:5" x14ac:dyDescent="0.25">
      <c r="A1066" s="108">
        <v>201511</v>
      </c>
      <c r="B1066" s="109" t="s">
        <v>156</v>
      </c>
      <c r="C1066" s="108">
        <v>22837</v>
      </c>
      <c r="D1066" s="110"/>
      <c r="E1066" t="str">
        <f>VLOOKUP(B1066,CAC!$A$2:$B$198,2,FALSE)</f>
        <v>HMOMM</v>
      </c>
    </row>
    <row r="1067" spans="1:5" x14ac:dyDescent="0.25">
      <c r="A1067" s="108">
        <v>201511</v>
      </c>
      <c r="B1067" s="109" t="s">
        <v>162</v>
      </c>
      <c r="C1067" s="108">
        <v>392</v>
      </c>
      <c r="D1067" s="110"/>
      <c r="E1067" t="str">
        <f>VLOOKUP(B1067,CAC!$A$2:$B$198,2,FALSE)</f>
        <v>HMOMG</v>
      </c>
    </row>
    <row r="1068" spans="1:5" x14ac:dyDescent="0.25">
      <c r="A1068" s="108">
        <v>201511</v>
      </c>
      <c r="B1068" s="109" t="s">
        <v>163</v>
      </c>
      <c r="C1068" s="108">
        <v>117</v>
      </c>
      <c r="D1068" s="110"/>
      <c r="E1068" t="str">
        <f>VLOOKUP(B1068,CAC!$A$2:$B$198,2,FALSE)</f>
        <v>HMOMG</v>
      </c>
    </row>
    <row r="1069" spans="1:5" x14ac:dyDescent="0.25">
      <c r="A1069" s="108">
        <v>201511</v>
      </c>
      <c r="B1069" s="109" t="s">
        <v>165</v>
      </c>
      <c r="C1069" s="108">
        <v>1</v>
      </c>
      <c r="D1069" s="110"/>
      <c r="E1069" t="str">
        <f>VLOOKUP(B1069,CAC!$A$2:$B$198,2,FALSE)</f>
        <v>HMOMG</v>
      </c>
    </row>
    <row r="1070" spans="1:5" x14ac:dyDescent="0.25">
      <c r="A1070" s="108">
        <v>201511</v>
      </c>
      <c r="B1070" s="109" t="s">
        <v>161</v>
      </c>
      <c r="C1070" s="108">
        <v>4288</v>
      </c>
      <c r="D1070" s="110"/>
      <c r="E1070" t="str">
        <f>VLOOKUP(B1070,CAC!$A$2:$B$198,2,FALSE)</f>
        <v>PERMAPD</v>
      </c>
    </row>
    <row r="1071" spans="1:5" x14ac:dyDescent="0.25">
      <c r="A1071" s="108">
        <v>201511</v>
      </c>
      <c r="B1071" s="109" t="s">
        <v>77</v>
      </c>
      <c r="C1071" s="108">
        <v>19205</v>
      </c>
      <c r="D1071" s="110"/>
      <c r="E1071" t="str">
        <f>VLOOKUP(B1071,CAC!$A$2:$B$198,2,FALSE)</f>
        <v>HMOSG</v>
      </c>
    </row>
    <row r="1072" spans="1:5" x14ac:dyDescent="0.25">
      <c r="A1072" s="108">
        <v>201511</v>
      </c>
      <c r="B1072" s="109" t="s">
        <v>78</v>
      </c>
      <c r="C1072" s="108">
        <v>367</v>
      </c>
      <c r="D1072" s="110"/>
      <c r="E1072" t="str">
        <f>VLOOKUP(B1072,CAC!$A$2:$B$198,2,FALSE)</f>
        <v>HMOSG</v>
      </c>
    </row>
    <row r="1073" spans="1:5" x14ac:dyDescent="0.25">
      <c r="A1073" s="108">
        <v>201511</v>
      </c>
      <c r="B1073" s="109" t="s">
        <v>79</v>
      </c>
      <c r="C1073" s="108">
        <v>67</v>
      </c>
      <c r="D1073" s="110"/>
      <c r="E1073" t="str">
        <f>VLOOKUP(B1073,CAC!$A$2:$B$198,2,FALSE)</f>
        <v>HMOSG</v>
      </c>
    </row>
    <row r="1074" spans="1:5" x14ac:dyDescent="0.25">
      <c r="A1074" s="108">
        <v>201511</v>
      </c>
      <c r="B1074" s="109" t="s">
        <v>222</v>
      </c>
      <c r="C1074" s="108">
        <v>0</v>
      </c>
      <c r="D1074" s="110"/>
      <c r="E1074" t="str">
        <f>VLOOKUP(B1074,CAC!$A$2:$B$198,2,FALSE)</f>
        <v>PPOSG</v>
      </c>
    </row>
    <row r="1075" spans="1:5" x14ac:dyDescent="0.25">
      <c r="A1075" s="108">
        <v>201511</v>
      </c>
      <c r="B1075" s="109" t="s">
        <v>225</v>
      </c>
      <c r="C1075" s="108">
        <v>0</v>
      </c>
      <c r="D1075" s="110"/>
      <c r="E1075" t="str">
        <f>VLOOKUP(B1075,CAC!$A$2:$B$198,2,FALSE)</f>
        <v>PPOSG</v>
      </c>
    </row>
    <row r="1076" spans="1:5" x14ac:dyDescent="0.25">
      <c r="A1076" s="108">
        <v>201511</v>
      </c>
      <c r="B1076" s="109" t="s">
        <v>226</v>
      </c>
      <c r="C1076" s="108">
        <v>0</v>
      </c>
      <c r="D1076" s="110"/>
      <c r="E1076" t="str">
        <f>VLOOKUP(B1076,CAC!$A$2:$B$198,2,FALSE)</f>
        <v>PPOSG</v>
      </c>
    </row>
    <row r="1077" spans="1:5" x14ac:dyDescent="0.25">
      <c r="A1077" s="108">
        <v>201511</v>
      </c>
      <c r="B1077" s="109" t="s">
        <v>80</v>
      </c>
      <c r="C1077" s="108">
        <v>9</v>
      </c>
      <c r="D1077" s="110"/>
      <c r="E1077" t="str">
        <f>VLOOKUP(B1077,CAC!$A$2:$B$198,2,FALSE)</f>
        <v>HMOIFP</v>
      </c>
    </row>
    <row r="1078" spans="1:5" x14ac:dyDescent="0.25">
      <c r="A1078" s="108">
        <v>201511</v>
      </c>
      <c r="B1078" s="109" t="s">
        <v>186</v>
      </c>
      <c r="C1078" s="108">
        <v>0</v>
      </c>
      <c r="D1078" s="110"/>
      <c r="E1078" t="str">
        <f>VLOOKUP(B1078,CAC!$A$2:$B$198,2,FALSE)</f>
        <v>PPOIFP</v>
      </c>
    </row>
    <row r="1079" spans="1:5" x14ac:dyDescent="0.25">
      <c r="A1079" s="108">
        <v>201511</v>
      </c>
      <c r="B1079" s="109" t="s">
        <v>187</v>
      </c>
      <c r="C1079" s="108">
        <v>0</v>
      </c>
      <c r="D1079" s="110"/>
      <c r="E1079" t="str">
        <f>VLOOKUP(B1079,CAC!$A$2:$B$198,2,FALSE)</f>
        <v>PPOIFP</v>
      </c>
    </row>
    <row r="1080" spans="1:5" x14ac:dyDescent="0.25">
      <c r="A1080" s="108">
        <v>201511</v>
      </c>
      <c r="B1080" s="109" t="s">
        <v>188</v>
      </c>
      <c r="C1080" s="108">
        <v>0</v>
      </c>
      <c r="D1080" s="110"/>
      <c r="E1080" t="str">
        <f>VLOOKUP(B1080,CAC!$A$2:$B$198,2,FALSE)</f>
        <v>PPOIFP</v>
      </c>
    </row>
    <row r="1081" spans="1:5" x14ac:dyDescent="0.25">
      <c r="A1081" s="108">
        <v>201511</v>
      </c>
      <c r="B1081" s="109" t="s">
        <v>189</v>
      </c>
      <c r="C1081" s="108">
        <v>0</v>
      </c>
      <c r="D1081" s="110"/>
      <c r="E1081" t="str">
        <f>VLOOKUP(B1081,CAC!$A$2:$B$198,2,FALSE)</f>
        <v>PPOIFP</v>
      </c>
    </row>
    <row r="1082" spans="1:5" x14ac:dyDescent="0.25">
      <c r="A1082" s="108">
        <v>201511</v>
      </c>
      <c r="B1082" s="109" t="s">
        <v>216</v>
      </c>
      <c r="C1082" s="108">
        <v>0</v>
      </c>
      <c r="D1082" s="110"/>
      <c r="E1082" t="str">
        <f>VLOOKUP(B1082,CAC!$A$2:$B$198,2,FALSE)</f>
        <v>PPOMM</v>
      </c>
    </row>
    <row r="1083" spans="1:5" x14ac:dyDescent="0.25">
      <c r="A1083" s="108">
        <v>201511</v>
      </c>
      <c r="B1083" s="109" t="s">
        <v>301</v>
      </c>
      <c r="C1083" s="108">
        <v>0</v>
      </c>
      <c r="D1083" s="110"/>
      <c r="E1083" t="str">
        <f>VLOOKUP(B1083,CAC!$A$2:$B$198,2,FALSE)</f>
        <v>XXX</v>
      </c>
    </row>
    <row r="1084" spans="1:5" x14ac:dyDescent="0.25">
      <c r="A1084" s="108">
        <v>201512</v>
      </c>
      <c r="B1084" s="109" t="s">
        <v>51</v>
      </c>
      <c r="C1084" s="108">
        <v>18</v>
      </c>
      <c r="D1084" s="110"/>
      <c r="E1084" t="str">
        <f>VLOOKUP(B1084,CAC!$A$2:$B$198,2,FALSE)</f>
        <v>XXX</v>
      </c>
    </row>
    <row r="1085" spans="1:5" x14ac:dyDescent="0.25">
      <c r="A1085" s="108">
        <v>201512</v>
      </c>
      <c r="B1085" s="109" t="s">
        <v>303</v>
      </c>
      <c r="C1085" s="108">
        <v>0</v>
      </c>
      <c r="D1085" s="110"/>
      <c r="E1085" t="e">
        <f>VLOOKUP(B1085,CAC!$A$2:$B$198,2,FALSE)</f>
        <v>#N/A</v>
      </c>
    </row>
    <row r="1086" spans="1:5" x14ac:dyDescent="0.25">
      <c r="A1086" s="108">
        <v>201512</v>
      </c>
      <c r="B1086" s="109" t="s">
        <v>304</v>
      </c>
      <c r="C1086" s="108">
        <v>0</v>
      </c>
      <c r="D1086" s="110"/>
      <c r="E1086" t="e">
        <f>VLOOKUP(B1086,CAC!$A$2:$B$198,2,FALSE)</f>
        <v>#N/A</v>
      </c>
    </row>
    <row r="1087" spans="1:5" x14ac:dyDescent="0.25">
      <c r="A1087" s="108">
        <v>201512</v>
      </c>
      <c r="B1087" s="109" t="s">
        <v>323</v>
      </c>
      <c r="C1087" s="108">
        <v>0</v>
      </c>
      <c r="D1087" s="110"/>
      <c r="E1087" t="e">
        <f>VLOOKUP(B1087,CAC!$A$2:$B$198,2,FALSE)</f>
        <v>#N/A</v>
      </c>
    </row>
    <row r="1088" spans="1:5" x14ac:dyDescent="0.25">
      <c r="A1088" s="108">
        <v>201512</v>
      </c>
      <c r="B1088" s="109" t="s">
        <v>305</v>
      </c>
      <c r="C1088" s="108">
        <v>0</v>
      </c>
      <c r="D1088" s="110"/>
      <c r="E1088" t="e">
        <f>VLOOKUP(B1088,CAC!$A$2:$B$198,2,FALSE)</f>
        <v>#N/A</v>
      </c>
    </row>
    <row r="1089" spans="1:5" x14ac:dyDescent="0.25">
      <c r="A1089" s="108">
        <v>201512</v>
      </c>
      <c r="B1089" s="109" t="s">
        <v>324</v>
      </c>
      <c r="C1089" s="108">
        <v>0</v>
      </c>
      <c r="D1089" s="110"/>
      <c r="E1089" t="e">
        <f>VLOOKUP(B1089,CAC!$A$2:$B$198,2,FALSE)</f>
        <v>#N/A</v>
      </c>
    </row>
    <row r="1090" spans="1:5" x14ac:dyDescent="0.25">
      <c r="A1090" s="108">
        <v>201512</v>
      </c>
      <c r="B1090" s="109" t="s">
        <v>318</v>
      </c>
      <c r="C1090" s="108">
        <v>0</v>
      </c>
      <c r="D1090" s="110"/>
      <c r="E1090" t="e">
        <f>VLOOKUP(B1090,CAC!$A$2:$B$198,2,FALSE)</f>
        <v>#N/A</v>
      </c>
    </row>
    <row r="1091" spans="1:5" x14ac:dyDescent="0.25">
      <c r="A1091" s="108">
        <v>201512</v>
      </c>
      <c r="B1091" s="109" t="s">
        <v>326</v>
      </c>
      <c r="C1091" s="108">
        <v>0</v>
      </c>
      <c r="D1091" s="110"/>
      <c r="E1091" t="e">
        <f>VLOOKUP(B1091,CAC!$A$2:$B$198,2,FALSE)</f>
        <v>#N/A</v>
      </c>
    </row>
    <row r="1092" spans="1:5" x14ac:dyDescent="0.25">
      <c r="A1092" s="108">
        <v>201512</v>
      </c>
      <c r="B1092" s="109" t="s">
        <v>231</v>
      </c>
      <c r="C1092" s="108">
        <v>0</v>
      </c>
      <c r="D1092" s="110"/>
      <c r="E1092" t="str">
        <f>VLOOKUP(B1092,CAC!$A$2:$B$198,2,FALSE)</f>
        <v>DOILG</v>
      </c>
    </row>
    <row r="1093" spans="1:5" x14ac:dyDescent="0.25">
      <c r="A1093" s="108">
        <v>201512</v>
      </c>
      <c r="B1093" s="109" t="s">
        <v>233</v>
      </c>
      <c r="C1093" s="108">
        <v>0</v>
      </c>
      <c r="D1093" s="110"/>
      <c r="E1093" t="str">
        <f>VLOOKUP(B1093,CAC!$A$2:$B$198,2,FALSE)</f>
        <v>DOILG</v>
      </c>
    </row>
    <row r="1094" spans="1:5" x14ac:dyDescent="0.25">
      <c r="A1094" s="108">
        <v>201512</v>
      </c>
      <c r="B1094" s="109" t="s">
        <v>235</v>
      </c>
      <c r="C1094" s="108">
        <v>0</v>
      </c>
      <c r="D1094" s="110"/>
      <c r="E1094" t="str">
        <f>VLOOKUP(B1094,CAC!$A$2:$B$198,2,FALSE)</f>
        <v>DOILG</v>
      </c>
    </row>
    <row r="1095" spans="1:5" x14ac:dyDescent="0.25">
      <c r="A1095" s="108">
        <v>201512</v>
      </c>
      <c r="B1095" s="109" t="s">
        <v>237</v>
      </c>
      <c r="C1095" s="108">
        <v>0</v>
      </c>
      <c r="D1095" s="110"/>
      <c r="E1095" t="str">
        <f>VLOOKUP(B1095,CAC!$A$2:$B$198,2,FALSE)</f>
        <v>DOILG</v>
      </c>
    </row>
    <row r="1096" spans="1:5" x14ac:dyDescent="0.25">
      <c r="A1096" s="108">
        <v>201512</v>
      </c>
      <c r="B1096" s="109" t="s">
        <v>247</v>
      </c>
      <c r="C1096" s="108">
        <v>0</v>
      </c>
      <c r="D1096" s="110"/>
      <c r="E1096" t="str">
        <f>VLOOKUP(B1096,CAC!$A$2:$B$198,2,FALSE)</f>
        <v>DOIIFP</v>
      </c>
    </row>
    <row r="1097" spans="1:5" x14ac:dyDescent="0.25">
      <c r="A1097" s="108">
        <v>201512</v>
      </c>
      <c r="B1097" s="109" t="s">
        <v>238</v>
      </c>
      <c r="C1097" s="108">
        <v>0</v>
      </c>
      <c r="D1097" s="110"/>
      <c r="E1097" t="str">
        <f>VLOOKUP(B1097,CAC!$A$2:$B$198,2,FALSE)</f>
        <v>DOILG</v>
      </c>
    </row>
    <row r="1098" spans="1:5" x14ac:dyDescent="0.25">
      <c r="A1098" s="108">
        <v>201512</v>
      </c>
      <c r="B1098" s="109" t="s">
        <v>248</v>
      </c>
      <c r="C1098" s="108">
        <v>0</v>
      </c>
      <c r="D1098" s="110"/>
      <c r="E1098" t="str">
        <f>VLOOKUP(B1098,CAC!$A$2:$B$198,2,FALSE)</f>
        <v>DOIIFP</v>
      </c>
    </row>
    <row r="1099" spans="1:5" x14ac:dyDescent="0.25">
      <c r="A1099" s="108">
        <v>201512</v>
      </c>
      <c r="B1099" s="109" t="s">
        <v>253</v>
      </c>
      <c r="C1099" s="108">
        <v>0</v>
      </c>
      <c r="D1099" s="110"/>
      <c r="E1099" t="str">
        <f>VLOOKUP(B1099,CAC!$A$2:$B$198,2,FALSE)</f>
        <v>AGDMHC</v>
      </c>
    </row>
    <row r="1100" spans="1:5" x14ac:dyDescent="0.25">
      <c r="A1100" s="108">
        <v>201512</v>
      </c>
      <c r="B1100" s="109" t="s">
        <v>325</v>
      </c>
      <c r="C1100" s="108">
        <v>0</v>
      </c>
      <c r="D1100" s="110"/>
      <c r="E1100" t="e">
        <f>VLOOKUP(B1100,CAC!$A$2:$B$198,2,FALSE)</f>
        <v>#N/A</v>
      </c>
    </row>
    <row r="1101" spans="1:5" x14ac:dyDescent="0.25">
      <c r="A1101" s="108">
        <v>201512</v>
      </c>
      <c r="B1101" s="109" t="s">
        <v>255</v>
      </c>
      <c r="C1101" s="108">
        <v>0</v>
      </c>
      <c r="D1101" s="110"/>
      <c r="E1101" t="str">
        <f>VLOOKUP(B1101,CAC!$A$2:$B$198,2,FALSE)</f>
        <v>AGDMHC</v>
      </c>
    </row>
    <row r="1102" spans="1:5" x14ac:dyDescent="0.25">
      <c r="A1102" s="108">
        <v>201512</v>
      </c>
      <c r="B1102" s="109" t="s">
        <v>256</v>
      </c>
      <c r="C1102" s="108">
        <v>0</v>
      </c>
      <c r="D1102" s="110"/>
      <c r="E1102" t="str">
        <f>VLOOKUP(B1102,CAC!$A$2:$B$198,2,FALSE)</f>
        <v>AGDMHC</v>
      </c>
    </row>
    <row r="1103" spans="1:5" x14ac:dyDescent="0.25">
      <c r="A1103" s="108">
        <v>201512</v>
      </c>
      <c r="B1103" s="109" t="s">
        <v>275</v>
      </c>
      <c r="C1103" s="108">
        <v>0</v>
      </c>
      <c r="D1103" s="110"/>
      <c r="E1103" t="str">
        <f>VLOOKUP(B1103,CAC!$A$2:$B$198,2,FALSE)</f>
        <v>AGDMHC</v>
      </c>
    </row>
    <row r="1104" spans="1:5" x14ac:dyDescent="0.25">
      <c r="A1104" s="108">
        <v>201512</v>
      </c>
      <c r="B1104" s="109" t="s">
        <v>257</v>
      </c>
      <c r="C1104" s="108">
        <v>0</v>
      </c>
      <c r="D1104" s="110"/>
      <c r="E1104" t="str">
        <f>VLOOKUP(B1104,CAC!$A$2:$B$198,2,FALSE)</f>
        <v>AGDMHC</v>
      </c>
    </row>
    <row r="1105" spans="1:5" x14ac:dyDescent="0.25">
      <c r="A1105" s="108">
        <v>201512</v>
      </c>
      <c r="B1105" s="109" t="s">
        <v>258</v>
      </c>
      <c r="C1105" s="108">
        <v>0</v>
      </c>
      <c r="D1105" s="110"/>
      <c r="E1105" t="str">
        <f>VLOOKUP(B1105,CAC!$A$2:$B$198,2,FALSE)</f>
        <v>AGDMHC</v>
      </c>
    </row>
    <row r="1106" spans="1:5" x14ac:dyDescent="0.25">
      <c r="A1106" s="108">
        <v>201512</v>
      </c>
      <c r="B1106" s="109" t="s">
        <v>262</v>
      </c>
      <c r="C1106" s="108">
        <v>0</v>
      </c>
      <c r="D1106" s="110"/>
      <c r="E1106" t="str">
        <f>VLOOKUP(B1106,CAC!$A$2:$B$198,2,FALSE)</f>
        <v>AGDMHC</v>
      </c>
    </row>
    <row r="1107" spans="1:5" x14ac:dyDescent="0.25">
      <c r="A1107" s="108">
        <v>201512</v>
      </c>
      <c r="B1107" s="109" t="s">
        <v>264</v>
      </c>
      <c r="C1107" s="108">
        <v>0</v>
      </c>
      <c r="D1107" s="110"/>
      <c r="E1107" t="str">
        <f>VLOOKUP(B1107,CAC!$A$2:$B$198,2,FALSE)</f>
        <v>AGDMHC</v>
      </c>
    </row>
    <row r="1108" spans="1:5" x14ac:dyDescent="0.25">
      <c r="A1108" s="108">
        <v>201512</v>
      </c>
      <c r="B1108" s="109" t="s">
        <v>269</v>
      </c>
      <c r="C1108" s="108">
        <v>0</v>
      </c>
      <c r="D1108" s="110"/>
      <c r="E1108" t="str">
        <f>VLOOKUP(B1108,CAC!$A$2:$B$198,2,FALSE)</f>
        <v>AGDMHC</v>
      </c>
    </row>
    <row r="1109" spans="1:5" x14ac:dyDescent="0.25">
      <c r="A1109" s="108">
        <v>201512</v>
      </c>
      <c r="B1109" s="109" t="s">
        <v>319</v>
      </c>
      <c r="C1109" s="108">
        <v>0</v>
      </c>
      <c r="D1109" s="110"/>
      <c r="E1109" t="e">
        <f>VLOOKUP(B1109,CAC!$A$2:$B$198,2,FALSE)</f>
        <v>#N/A</v>
      </c>
    </row>
    <row r="1110" spans="1:5" x14ac:dyDescent="0.25">
      <c r="A1110" s="108">
        <v>201512</v>
      </c>
      <c r="B1110" s="109" t="s">
        <v>265</v>
      </c>
      <c r="C1110" s="108">
        <v>0</v>
      </c>
      <c r="D1110" s="110"/>
      <c r="E1110" t="str">
        <f>VLOOKUP(B1110,CAC!$A$2:$B$198,2,FALSE)</f>
        <v>AGDMHC</v>
      </c>
    </row>
    <row r="1111" spans="1:5" x14ac:dyDescent="0.25">
      <c r="A1111" s="108">
        <v>201512</v>
      </c>
      <c r="B1111" s="109" t="s">
        <v>270</v>
      </c>
      <c r="C1111" s="108">
        <v>0</v>
      </c>
      <c r="D1111" s="110"/>
      <c r="E1111" t="str">
        <f>VLOOKUP(B1111,CAC!$A$2:$B$198,2,FALSE)</f>
        <v>AGDMHC</v>
      </c>
    </row>
    <row r="1112" spans="1:5" x14ac:dyDescent="0.25">
      <c r="A1112" s="108">
        <v>201512</v>
      </c>
      <c r="B1112" s="109" t="s">
        <v>266</v>
      </c>
      <c r="C1112" s="108">
        <v>0</v>
      </c>
      <c r="D1112" s="110"/>
      <c r="E1112" t="str">
        <f>VLOOKUP(B1112,CAC!$A$2:$B$198,2,FALSE)</f>
        <v>AGDMHC</v>
      </c>
    </row>
    <row r="1113" spans="1:5" x14ac:dyDescent="0.25">
      <c r="A1113" s="108">
        <v>201512</v>
      </c>
      <c r="B1113" s="109" t="s">
        <v>267</v>
      </c>
      <c r="C1113" s="108">
        <v>0</v>
      </c>
      <c r="D1113" s="110"/>
      <c r="E1113" t="str">
        <f>VLOOKUP(B1113,CAC!$A$2:$B$198,2,FALSE)</f>
        <v>AGDMHC</v>
      </c>
    </row>
    <row r="1114" spans="1:5" x14ac:dyDescent="0.25">
      <c r="A1114" s="108">
        <v>201512</v>
      </c>
      <c r="B1114" s="109" t="s">
        <v>268</v>
      </c>
      <c r="C1114" s="108">
        <v>0</v>
      </c>
      <c r="D1114" s="110"/>
      <c r="E1114" t="str">
        <f>VLOOKUP(B1114,CAC!$A$2:$B$198,2,FALSE)</f>
        <v>AGDMHC</v>
      </c>
    </row>
    <row r="1115" spans="1:5" x14ac:dyDescent="0.25">
      <c r="A1115" s="108">
        <v>201512</v>
      </c>
      <c r="B1115" s="109" t="s">
        <v>52</v>
      </c>
      <c r="C1115" s="108">
        <v>15379</v>
      </c>
      <c r="D1115" s="110"/>
      <c r="E1115" t="str">
        <f>VLOOKUP(B1115,CAC!$A$2:$B$198,2,FALSE)</f>
        <v>HMOPMR</v>
      </c>
    </row>
    <row r="1116" spans="1:5" x14ac:dyDescent="0.25">
      <c r="A1116" s="108">
        <v>201512</v>
      </c>
      <c r="B1116" s="109" t="s">
        <v>53</v>
      </c>
      <c r="C1116" s="108">
        <v>4445</v>
      </c>
      <c r="D1116" s="110"/>
      <c r="E1116" t="str">
        <f>VLOOKUP(B1116,CAC!$A$2:$B$198,2,FALSE)</f>
        <v>HMOPMR</v>
      </c>
    </row>
    <row r="1117" spans="1:5" x14ac:dyDescent="0.25">
      <c r="A1117" s="108">
        <v>201512</v>
      </c>
      <c r="B1117" s="109" t="s">
        <v>54</v>
      </c>
      <c r="C1117" s="108">
        <v>6646</v>
      </c>
      <c r="D1117" s="110"/>
      <c r="E1117" t="str">
        <f>VLOOKUP(B1117,CAC!$A$2:$B$198,2,FALSE)</f>
        <v>HMOFEP</v>
      </c>
    </row>
    <row r="1118" spans="1:5" x14ac:dyDescent="0.25">
      <c r="A1118" s="108">
        <v>201512</v>
      </c>
      <c r="B1118" s="109" t="s">
        <v>279</v>
      </c>
      <c r="C1118" s="108">
        <v>0</v>
      </c>
      <c r="D1118" s="110"/>
      <c r="E1118" t="str">
        <f>VLOOKUP(B1118,CAC!$A$2:$B$198,2,FALSE)</f>
        <v>PPOFEP</v>
      </c>
    </row>
    <row r="1119" spans="1:5" x14ac:dyDescent="0.25">
      <c r="A1119" s="108">
        <v>201512</v>
      </c>
      <c r="B1119" s="109" t="s">
        <v>202</v>
      </c>
      <c r="C1119" s="108">
        <v>0</v>
      </c>
      <c r="D1119" s="110"/>
      <c r="E1119" t="str">
        <f>VLOOKUP(B1119,CAC!$A$2:$B$198,2,FALSE)</f>
        <v>PPOPMR</v>
      </c>
    </row>
    <row r="1120" spans="1:5" x14ac:dyDescent="0.25">
      <c r="A1120" s="108">
        <v>201512</v>
      </c>
      <c r="B1120" s="109" t="s">
        <v>55</v>
      </c>
      <c r="C1120" s="108">
        <v>15180</v>
      </c>
      <c r="D1120" s="110"/>
      <c r="E1120" t="str">
        <f>VLOOKUP(B1120,CAC!$A$2:$B$198,2,FALSE)</f>
        <v>HMOPMR</v>
      </c>
    </row>
    <row r="1121" spans="1:5" x14ac:dyDescent="0.25">
      <c r="A1121" s="108">
        <v>201512</v>
      </c>
      <c r="B1121" s="109" t="s">
        <v>56</v>
      </c>
      <c r="C1121" s="108">
        <v>137</v>
      </c>
      <c r="D1121" s="110"/>
      <c r="E1121" t="str">
        <f>VLOOKUP(B1121,CAC!$A$2:$B$198,2,FALSE)</f>
        <v>HMOPMR</v>
      </c>
    </row>
    <row r="1122" spans="1:5" x14ac:dyDescent="0.25">
      <c r="A1122" s="108">
        <v>201512</v>
      </c>
      <c r="B1122" s="109" t="s">
        <v>57</v>
      </c>
      <c r="C1122" s="108">
        <v>6140</v>
      </c>
      <c r="D1122" s="110"/>
      <c r="E1122" t="str">
        <f>VLOOKUP(B1122,CAC!$A$2:$B$198,2,FALSE)</f>
        <v>HMFLEX</v>
      </c>
    </row>
    <row r="1123" spans="1:5" x14ac:dyDescent="0.25">
      <c r="A1123" s="108">
        <v>201512</v>
      </c>
      <c r="B1123" s="109" t="s">
        <v>58</v>
      </c>
      <c r="C1123" s="108">
        <v>392</v>
      </c>
      <c r="D1123" s="110"/>
      <c r="E1123" t="str">
        <f>VLOOKUP(B1123,CAC!$A$2:$B$198,2,FALSE)</f>
        <v>HMFLEX</v>
      </c>
    </row>
    <row r="1124" spans="1:5" x14ac:dyDescent="0.25">
      <c r="A1124" s="108">
        <v>201512</v>
      </c>
      <c r="B1124" s="109" t="s">
        <v>59</v>
      </c>
      <c r="C1124" s="108">
        <v>8</v>
      </c>
      <c r="D1124" s="110"/>
      <c r="E1124" t="str">
        <f>VLOOKUP(B1124,CAC!$A$2:$B$198,2,FALSE)</f>
        <v>HMFLEX</v>
      </c>
    </row>
    <row r="1125" spans="1:5" x14ac:dyDescent="0.25">
      <c r="A1125" s="108">
        <v>201512</v>
      </c>
      <c r="B1125" s="109" t="s">
        <v>306</v>
      </c>
      <c r="C1125" s="108">
        <v>0</v>
      </c>
      <c r="D1125" s="110"/>
      <c r="E1125" t="e">
        <f>VLOOKUP(B1125,CAC!$A$2:$B$198,2,FALSE)</f>
        <v>#N/A</v>
      </c>
    </row>
    <row r="1126" spans="1:5" x14ac:dyDescent="0.25">
      <c r="A1126" s="108">
        <v>201512</v>
      </c>
      <c r="B1126" s="109" t="s">
        <v>283</v>
      </c>
      <c r="C1126" s="108">
        <v>0</v>
      </c>
      <c r="D1126" s="110"/>
      <c r="E1126" t="str">
        <f>VLOOKUP(B1126,CAC!$A$2:$B$198,2,FALSE)</f>
        <v>HMFLEX</v>
      </c>
    </row>
    <row r="1127" spans="1:5" x14ac:dyDescent="0.25">
      <c r="A1127" s="108">
        <v>201512</v>
      </c>
      <c r="B1127" s="109" t="s">
        <v>205</v>
      </c>
      <c r="C1127" s="108">
        <v>0</v>
      </c>
      <c r="D1127" s="110"/>
      <c r="E1127" t="str">
        <f>VLOOKUP(B1127,CAC!$A$2:$B$198,2,FALSE)</f>
        <v>PPOPMR</v>
      </c>
    </row>
    <row r="1128" spans="1:5" x14ac:dyDescent="0.25">
      <c r="A1128" s="108">
        <v>201512</v>
      </c>
      <c r="B1128" s="109" t="s">
        <v>286</v>
      </c>
      <c r="C1128" s="108">
        <v>0</v>
      </c>
      <c r="D1128" s="110"/>
      <c r="E1128" t="str">
        <f>VLOOKUP(B1128,CAC!$A$2:$B$198,2,FALSE)</f>
        <v>HMFLEX</v>
      </c>
    </row>
    <row r="1129" spans="1:5" x14ac:dyDescent="0.25">
      <c r="A1129" s="108">
        <v>201512</v>
      </c>
      <c r="B1129" s="109" t="s">
        <v>60</v>
      </c>
      <c r="C1129" s="108">
        <v>12410</v>
      </c>
      <c r="D1129" s="110"/>
      <c r="E1129" t="str">
        <f>VLOOKUP(B1129,CAC!$A$2:$B$198,2,FALSE)</f>
        <v>HMOLG</v>
      </c>
    </row>
    <row r="1130" spans="1:5" x14ac:dyDescent="0.25">
      <c r="A1130" s="108">
        <v>201512</v>
      </c>
      <c r="B1130" s="109" t="s">
        <v>61</v>
      </c>
      <c r="C1130" s="108">
        <v>719</v>
      </c>
      <c r="D1130" s="110"/>
      <c r="E1130" t="str">
        <f>VLOOKUP(B1130,CAC!$A$2:$B$198,2,FALSE)</f>
        <v>HMOLG</v>
      </c>
    </row>
    <row r="1131" spans="1:5" x14ac:dyDescent="0.25">
      <c r="A1131" s="108">
        <v>201512</v>
      </c>
      <c r="B1131" s="109" t="s">
        <v>62</v>
      </c>
      <c r="C1131" s="108">
        <v>26222</v>
      </c>
      <c r="D1131" s="110"/>
      <c r="E1131" t="str">
        <f>VLOOKUP(B1131,CAC!$A$2:$B$198,2,FALSE)</f>
        <v>HMOLG</v>
      </c>
    </row>
    <row r="1132" spans="1:5" x14ac:dyDescent="0.25">
      <c r="A1132" s="108">
        <v>201512</v>
      </c>
      <c r="B1132" s="109" t="s">
        <v>63</v>
      </c>
      <c r="C1132" s="108">
        <v>305</v>
      </c>
      <c r="D1132" s="110"/>
      <c r="E1132" t="str">
        <f>VLOOKUP(B1132,CAC!$A$2:$B$198,2,FALSE)</f>
        <v>HMOLG</v>
      </c>
    </row>
    <row r="1133" spans="1:5" x14ac:dyDescent="0.25">
      <c r="A1133" s="108">
        <v>201512</v>
      </c>
      <c r="B1133" s="109" t="s">
        <v>64</v>
      </c>
      <c r="C1133" s="108">
        <v>0</v>
      </c>
      <c r="D1133" s="110"/>
      <c r="E1133" t="str">
        <f>VLOOKUP(B1133,CAC!$A$2:$B$198,2,FALSE)</f>
        <v>HMOLG</v>
      </c>
    </row>
    <row r="1134" spans="1:5" x14ac:dyDescent="0.25">
      <c r="A1134" s="108">
        <v>201512</v>
      </c>
      <c r="B1134" s="109" t="s">
        <v>65</v>
      </c>
      <c r="C1134" s="108">
        <v>219</v>
      </c>
      <c r="D1134" s="110"/>
      <c r="E1134" t="str">
        <f>VLOOKUP(B1134,CAC!$A$2:$B$198,2,FALSE)</f>
        <v>HMFLEX</v>
      </c>
    </row>
    <row r="1135" spans="1:5" x14ac:dyDescent="0.25">
      <c r="A1135" s="108">
        <v>201512</v>
      </c>
      <c r="B1135" s="109" t="s">
        <v>307</v>
      </c>
      <c r="C1135" s="108">
        <v>0</v>
      </c>
      <c r="D1135" s="110"/>
      <c r="E1135" t="e">
        <f>VLOOKUP(B1135,CAC!$A$2:$B$198,2,FALSE)</f>
        <v>#N/A</v>
      </c>
    </row>
    <row r="1136" spans="1:5" x14ac:dyDescent="0.25">
      <c r="A1136" s="108">
        <v>201512</v>
      </c>
      <c r="B1136" s="109" t="s">
        <v>308</v>
      </c>
      <c r="C1136" s="108">
        <v>0</v>
      </c>
      <c r="D1136" s="110"/>
      <c r="E1136" t="e">
        <f>VLOOKUP(B1136,CAC!$A$2:$B$198,2,FALSE)</f>
        <v>#N/A</v>
      </c>
    </row>
    <row r="1137" spans="1:5" x14ac:dyDescent="0.25">
      <c r="A1137" s="108">
        <v>201512</v>
      </c>
      <c r="B1137" s="109" t="s">
        <v>309</v>
      </c>
      <c r="C1137" s="108">
        <v>0</v>
      </c>
      <c r="D1137" s="110"/>
      <c r="E1137" t="e">
        <f>VLOOKUP(B1137,CAC!$A$2:$B$198,2,FALSE)</f>
        <v>#N/A</v>
      </c>
    </row>
    <row r="1138" spans="1:5" x14ac:dyDescent="0.25">
      <c r="A1138" s="108">
        <v>201512</v>
      </c>
      <c r="B1138" s="109" t="s">
        <v>99</v>
      </c>
      <c r="C1138" s="108">
        <v>0</v>
      </c>
      <c r="D1138" s="110"/>
      <c r="E1138" t="str">
        <f>VLOOKUP(B1138,CAC!$A$2:$B$198,2,FALSE)</f>
        <v>PPOLG</v>
      </c>
    </row>
    <row r="1139" spans="1:5" x14ac:dyDescent="0.25">
      <c r="A1139" s="108">
        <v>201512</v>
      </c>
      <c r="B1139" s="109" t="s">
        <v>193</v>
      </c>
      <c r="C1139" s="108">
        <v>0</v>
      </c>
      <c r="D1139" s="110"/>
      <c r="E1139" t="str">
        <f>VLOOKUP(B1139,CAC!$A$2:$B$198,2,FALSE)</f>
        <v>PPOLG</v>
      </c>
    </row>
    <row r="1140" spans="1:5" x14ac:dyDescent="0.25">
      <c r="A1140" s="108">
        <v>201512</v>
      </c>
      <c r="B1140" s="109" t="s">
        <v>196</v>
      </c>
      <c r="C1140" s="108">
        <v>0</v>
      </c>
      <c r="D1140" s="110"/>
      <c r="E1140" t="str">
        <f>VLOOKUP(B1140,CAC!$A$2:$B$198,2,FALSE)</f>
        <v>PPOLG</v>
      </c>
    </row>
    <row r="1141" spans="1:5" x14ac:dyDescent="0.25">
      <c r="A1141" s="108">
        <v>201512</v>
      </c>
      <c r="B1141" s="109" t="s">
        <v>212</v>
      </c>
      <c r="C1141" s="108">
        <v>0</v>
      </c>
      <c r="D1141" s="110"/>
      <c r="E1141" t="str">
        <f>VLOOKUP(B1141,CAC!$A$2:$B$198,2,FALSE)</f>
        <v>PPOMM</v>
      </c>
    </row>
    <row r="1142" spans="1:5" x14ac:dyDescent="0.25">
      <c r="A1142" s="108">
        <v>201512</v>
      </c>
      <c r="B1142" s="109" t="s">
        <v>213</v>
      </c>
      <c r="C1142" s="108">
        <v>0</v>
      </c>
      <c r="D1142" s="110"/>
      <c r="E1142" t="str">
        <f>VLOOKUP(B1142,CAC!$A$2:$B$198,2,FALSE)</f>
        <v>PPOMM</v>
      </c>
    </row>
    <row r="1143" spans="1:5" x14ac:dyDescent="0.25">
      <c r="A1143" s="108">
        <v>201512</v>
      </c>
      <c r="B1143" s="109" t="s">
        <v>311</v>
      </c>
      <c r="C1143" s="108">
        <v>0</v>
      </c>
      <c r="D1143" s="110"/>
      <c r="E1143" t="e">
        <f>VLOOKUP(B1143,CAC!$A$2:$B$198,2,FALSE)</f>
        <v>#N/A</v>
      </c>
    </row>
    <row r="1144" spans="1:5" x14ac:dyDescent="0.25">
      <c r="A1144" s="108">
        <v>201512</v>
      </c>
      <c r="B1144" s="109" t="s">
        <v>320</v>
      </c>
      <c r="C1144" s="108">
        <v>0</v>
      </c>
      <c r="D1144" s="110"/>
      <c r="E1144" t="e">
        <f>VLOOKUP(B1144,CAC!$A$2:$B$198,2,FALSE)</f>
        <v>#N/A</v>
      </c>
    </row>
    <row r="1145" spans="1:5" x14ac:dyDescent="0.25">
      <c r="A1145" s="108">
        <v>201512</v>
      </c>
      <c r="B1145" s="109" t="s">
        <v>321</v>
      </c>
      <c r="C1145" s="108">
        <v>0</v>
      </c>
      <c r="D1145" s="110"/>
      <c r="E1145" t="e">
        <f>VLOOKUP(B1145,CAC!$A$2:$B$198,2,FALSE)</f>
        <v>#N/A</v>
      </c>
    </row>
    <row r="1146" spans="1:5" x14ac:dyDescent="0.25">
      <c r="A1146" s="108">
        <v>201512</v>
      </c>
      <c r="B1146" s="109" t="s">
        <v>312</v>
      </c>
      <c r="C1146" s="108">
        <v>0</v>
      </c>
      <c r="D1146" s="110"/>
      <c r="E1146" t="e">
        <f>VLOOKUP(B1146,CAC!$A$2:$B$198,2,FALSE)</f>
        <v>#N/A</v>
      </c>
    </row>
    <row r="1147" spans="1:5" x14ac:dyDescent="0.25">
      <c r="A1147" s="108">
        <v>201512</v>
      </c>
      <c r="B1147" s="109" t="s">
        <v>313</v>
      </c>
      <c r="C1147" s="108">
        <v>0</v>
      </c>
      <c r="D1147" s="110"/>
      <c r="E1147" t="e">
        <f>VLOOKUP(B1147,CAC!$A$2:$B$198,2,FALSE)</f>
        <v>#N/A</v>
      </c>
    </row>
    <row r="1148" spans="1:5" x14ac:dyDescent="0.25">
      <c r="A1148" s="108">
        <v>201512</v>
      </c>
      <c r="B1148" s="109" t="s">
        <v>215</v>
      </c>
      <c r="C1148" s="108">
        <v>0</v>
      </c>
      <c r="D1148" s="110"/>
      <c r="E1148" t="str">
        <f>VLOOKUP(B1148,CAC!$A$2:$B$198,2,FALSE)</f>
        <v>PPOMM</v>
      </c>
    </row>
    <row r="1149" spans="1:5" x14ac:dyDescent="0.25">
      <c r="A1149" s="108">
        <v>201512</v>
      </c>
      <c r="B1149" s="109" t="s">
        <v>66</v>
      </c>
      <c r="C1149" s="108">
        <v>3485</v>
      </c>
      <c r="D1149" s="110"/>
      <c r="E1149" t="str">
        <f>VLOOKUP(B1149,CAC!$A$2:$B$198,2,FALSE)</f>
        <v>HMOLG</v>
      </c>
    </row>
    <row r="1150" spans="1:5" x14ac:dyDescent="0.25">
      <c r="A1150" s="108">
        <v>201512</v>
      </c>
      <c r="B1150" s="109" t="s">
        <v>82</v>
      </c>
      <c r="C1150" s="108">
        <v>1</v>
      </c>
      <c r="D1150" s="110"/>
      <c r="E1150" t="str">
        <f>VLOOKUP(B1150,CAC!$A$2:$B$198,2,FALSE)</f>
        <v>NATPAR</v>
      </c>
    </row>
    <row r="1151" spans="1:5" x14ac:dyDescent="0.25">
      <c r="A1151" s="108">
        <v>201512</v>
      </c>
      <c r="B1151" s="109" t="s">
        <v>67</v>
      </c>
      <c r="C1151" s="108">
        <v>138</v>
      </c>
      <c r="D1151" s="110"/>
      <c r="E1151" t="str">
        <f>VLOOKUP(B1151,CAC!$A$2:$B$198,2,FALSE)</f>
        <v>HMOLG</v>
      </c>
    </row>
    <row r="1152" spans="1:5" x14ac:dyDescent="0.25">
      <c r="A1152" s="108">
        <v>201512</v>
      </c>
      <c r="B1152" s="109" t="s">
        <v>68</v>
      </c>
      <c r="C1152" s="108">
        <v>266</v>
      </c>
      <c r="D1152" s="110"/>
      <c r="E1152" t="str">
        <f>VLOOKUP(B1152,CAC!$A$2:$B$198,2,FALSE)</f>
        <v>HMOPMR</v>
      </c>
    </row>
    <row r="1153" spans="1:5" x14ac:dyDescent="0.25">
      <c r="A1153" s="108">
        <v>201512</v>
      </c>
      <c r="B1153" s="109" t="s">
        <v>69</v>
      </c>
      <c r="C1153" s="108">
        <v>9836</v>
      </c>
      <c r="D1153" s="110"/>
      <c r="E1153" t="str">
        <f>VLOOKUP(B1153,CAC!$A$2:$B$198,2,FALSE)</f>
        <v>HMOPMR</v>
      </c>
    </row>
    <row r="1154" spans="1:5" x14ac:dyDescent="0.25">
      <c r="A1154" s="108">
        <v>201512</v>
      </c>
      <c r="B1154" s="109" t="s">
        <v>70</v>
      </c>
      <c r="C1154" s="108">
        <v>4091</v>
      </c>
      <c r="D1154" s="110"/>
      <c r="E1154" t="str">
        <f>VLOOKUP(B1154,CAC!$A$2:$B$198,2,FALSE)</f>
        <v>HMOPMR</v>
      </c>
    </row>
    <row r="1155" spans="1:5" x14ac:dyDescent="0.25">
      <c r="A1155" s="108">
        <v>201512</v>
      </c>
      <c r="B1155" s="109" t="s">
        <v>71</v>
      </c>
      <c r="C1155" s="108">
        <v>6590</v>
      </c>
      <c r="D1155" s="110"/>
      <c r="E1155" t="str">
        <f>VLOOKUP(B1155,CAC!$A$2:$B$198,2,FALSE)</f>
        <v>HMOPMR</v>
      </c>
    </row>
    <row r="1156" spans="1:5" x14ac:dyDescent="0.25">
      <c r="A1156" s="108">
        <v>201512</v>
      </c>
      <c r="B1156" s="109" t="s">
        <v>72</v>
      </c>
      <c r="C1156" s="108">
        <v>2156</v>
      </c>
      <c r="D1156" s="110"/>
      <c r="E1156" t="str">
        <f>VLOOKUP(B1156,CAC!$A$2:$B$198,2,FALSE)</f>
        <v>HMFLEX</v>
      </c>
    </row>
    <row r="1157" spans="1:5" x14ac:dyDescent="0.25">
      <c r="A1157" s="108">
        <v>201512</v>
      </c>
      <c r="B1157" s="109" t="s">
        <v>314</v>
      </c>
      <c r="C1157" s="108">
        <v>0</v>
      </c>
      <c r="D1157" s="110"/>
      <c r="E1157" t="e">
        <f>VLOOKUP(B1157,CAC!$A$2:$B$198,2,FALSE)</f>
        <v>#N/A</v>
      </c>
    </row>
    <row r="1158" spans="1:5" x14ac:dyDescent="0.25">
      <c r="A1158" s="108">
        <v>201512</v>
      </c>
      <c r="B1158" s="109" t="s">
        <v>322</v>
      </c>
      <c r="C1158" s="108">
        <v>0</v>
      </c>
      <c r="D1158" s="110"/>
      <c r="E1158" t="e">
        <f>VLOOKUP(B1158,CAC!$A$2:$B$198,2,FALSE)</f>
        <v>#N/A</v>
      </c>
    </row>
    <row r="1159" spans="1:5" x14ac:dyDescent="0.25">
      <c r="A1159" s="108">
        <v>201512</v>
      </c>
      <c r="B1159" s="109" t="s">
        <v>315</v>
      </c>
      <c r="C1159" s="108">
        <v>0</v>
      </c>
      <c r="D1159" s="110"/>
      <c r="E1159" t="e">
        <f>VLOOKUP(B1159,CAC!$A$2:$B$198,2,FALSE)</f>
        <v>#N/A</v>
      </c>
    </row>
    <row r="1160" spans="1:5" x14ac:dyDescent="0.25">
      <c r="A1160" s="108">
        <v>201512</v>
      </c>
      <c r="B1160" s="109" t="s">
        <v>112</v>
      </c>
      <c r="C1160" s="108">
        <v>0</v>
      </c>
      <c r="D1160" s="110"/>
      <c r="E1160" t="e">
        <f>VLOOKUP(B1160,CAC!$A$2:$B$198,2,FALSE)</f>
        <v>#N/A</v>
      </c>
    </row>
    <row r="1161" spans="1:5" x14ac:dyDescent="0.25">
      <c r="A1161" s="108">
        <v>201512</v>
      </c>
      <c r="B1161" s="109" t="s">
        <v>316</v>
      </c>
      <c r="C1161" s="108">
        <v>0</v>
      </c>
      <c r="D1161" s="110"/>
      <c r="E1161" t="e">
        <f>VLOOKUP(B1161,CAC!$A$2:$B$198,2,FALSE)</f>
        <v>#N/A</v>
      </c>
    </row>
    <row r="1162" spans="1:5" x14ac:dyDescent="0.25">
      <c r="A1162" s="108">
        <v>201512</v>
      </c>
      <c r="B1162" s="109" t="s">
        <v>317</v>
      </c>
      <c r="C1162" s="108">
        <v>0</v>
      </c>
      <c r="D1162" s="110"/>
      <c r="E1162" t="e">
        <f>VLOOKUP(B1162,CAC!$A$2:$B$198,2,FALSE)</f>
        <v>#N/A</v>
      </c>
    </row>
    <row r="1163" spans="1:5" x14ac:dyDescent="0.25">
      <c r="A1163" s="108">
        <v>201512</v>
      </c>
      <c r="B1163" s="109" t="s">
        <v>113</v>
      </c>
      <c r="C1163" s="108">
        <v>0</v>
      </c>
      <c r="D1163" s="110"/>
      <c r="E1163" t="str">
        <f>VLOOKUP(B1163,CAC!$A$2:$B$198,2,FALSE)</f>
        <v>PPOLG</v>
      </c>
    </row>
    <row r="1164" spans="1:5" x14ac:dyDescent="0.25">
      <c r="A1164" s="108">
        <v>201512</v>
      </c>
      <c r="B1164" s="109" t="s">
        <v>294</v>
      </c>
      <c r="C1164" s="108">
        <v>0</v>
      </c>
      <c r="D1164" s="110"/>
      <c r="E1164" t="str">
        <f>VLOOKUP(B1164,CAC!$A$2:$B$198,2,FALSE)</f>
        <v>NATPAR</v>
      </c>
    </row>
    <row r="1165" spans="1:5" x14ac:dyDescent="0.25">
      <c r="A1165" s="108">
        <v>201512</v>
      </c>
      <c r="B1165" s="109" t="s">
        <v>208</v>
      </c>
      <c r="C1165" s="108">
        <v>0</v>
      </c>
      <c r="D1165" s="110"/>
      <c r="E1165" t="str">
        <f>VLOOKUP(B1165,CAC!$A$2:$B$198,2,FALSE)</f>
        <v>PPOPMR</v>
      </c>
    </row>
    <row r="1166" spans="1:5" x14ac:dyDescent="0.25">
      <c r="A1166" s="108">
        <v>201512</v>
      </c>
      <c r="B1166" s="109" t="s">
        <v>209</v>
      </c>
      <c r="C1166" s="108">
        <v>0</v>
      </c>
      <c r="D1166" s="110"/>
      <c r="E1166" t="str">
        <f>VLOOKUP(B1166,CAC!$A$2:$B$198,2,FALSE)</f>
        <v>PPOPMR</v>
      </c>
    </row>
    <row r="1167" spans="1:5" x14ac:dyDescent="0.25">
      <c r="A1167" s="108">
        <v>201512</v>
      </c>
      <c r="B1167" s="109" t="s">
        <v>204</v>
      </c>
      <c r="C1167" s="108">
        <v>0</v>
      </c>
      <c r="D1167" s="110"/>
      <c r="E1167" t="str">
        <f>VLOOKUP(B1167,CAC!$A$2:$B$198,2,FALSE)</f>
        <v>PPOPMR</v>
      </c>
    </row>
    <row r="1168" spans="1:5" x14ac:dyDescent="0.25">
      <c r="A1168" s="108">
        <v>201512</v>
      </c>
      <c r="B1168" s="109" t="s">
        <v>73</v>
      </c>
      <c r="C1168" s="108">
        <v>33358</v>
      </c>
      <c r="D1168" s="108">
        <v>6195</v>
      </c>
      <c r="E1168" t="str">
        <f>VLOOKUP(B1168,CAC!$A$2:$B$198,2,FALSE)</f>
        <v>HMOPERA</v>
      </c>
    </row>
    <row r="1169" spans="1:5" x14ac:dyDescent="0.25">
      <c r="A1169" s="108">
        <v>201512</v>
      </c>
      <c r="B1169" s="109" t="s">
        <v>74</v>
      </c>
      <c r="C1169" s="108">
        <v>3934</v>
      </c>
      <c r="D1169" s="108">
        <v>2334</v>
      </c>
      <c r="E1169" t="str">
        <f>VLOOKUP(B1169,CAC!$A$2:$B$198,2,FALSE)</f>
        <v>PERMEDA</v>
      </c>
    </row>
    <row r="1170" spans="1:5" x14ac:dyDescent="0.25">
      <c r="A1170" s="108">
        <v>201512</v>
      </c>
      <c r="B1170" s="109" t="s">
        <v>75</v>
      </c>
      <c r="C1170" s="108">
        <v>39336</v>
      </c>
      <c r="D1170" s="108">
        <v>19655</v>
      </c>
      <c r="E1170" t="str">
        <f>VLOOKUP(B1170,CAC!$A$2:$B$198,2,FALSE)</f>
        <v>HMOPERN</v>
      </c>
    </row>
    <row r="1171" spans="1:5" x14ac:dyDescent="0.25">
      <c r="A1171" s="108">
        <v>201512</v>
      </c>
      <c r="B1171" s="109" t="s">
        <v>76</v>
      </c>
      <c r="C1171" s="108">
        <v>572</v>
      </c>
      <c r="D1171" s="108">
        <v>1780</v>
      </c>
      <c r="E1171" t="str">
        <f>VLOOKUP(B1171,CAC!$A$2:$B$198,2,FALSE)</f>
        <v>PERMEDN</v>
      </c>
    </row>
    <row r="1172" spans="1:5" x14ac:dyDescent="0.25">
      <c r="A1172" s="108">
        <v>201512</v>
      </c>
      <c r="B1172" s="109" t="s">
        <v>218</v>
      </c>
      <c r="C1172" s="108">
        <v>0</v>
      </c>
      <c r="D1172" s="110"/>
      <c r="E1172" t="str">
        <f>VLOOKUP(B1172,CAC!$A$2:$B$198,2,FALSE)</f>
        <v>HMOPERA</v>
      </c>
    </row>
    <row r="1173" spans="1:5" x14ac:dyDescent="0.25">
      <c r="A1173" s="108">
        <v>201512</v>
      </c>
      <c r="B1173" s="109" t="s">
        <v>181</v>
      </c>
      <c r="C1173" s="108">
        <v>0</v>
      </c>
      <c r="D1173" s="110"/>
      <c r="E1173" t="str">
        <f>VLOOKUP(B1173,CAC!$A$2:$B$198,2,FALSE)</f>
        <v>PERMEDA</v>
      </c>
    </row>
    <row r="1174" spans="1:5" x14ac:dyDescent="0.25">
      <c r="A1174" s="108">
        <v>201512</v>
      </c>
      <c r="B1174" s="109" t="s">
        <v>156</v>
      </c>
      <c r="C1174" s="108">
        <v>22925</v>
      </c>
      <c r="D1174" s="110"/>
      <c r="E1174" t="str">
        <f>VLOOKUP(B1174,CAC!$A$2:$B$198,2,FALSE)</f>
        <v>HMOMM</v>
      </c>
    </row>
    <row r="1175" spans="1:5" x14ac:dyDescent="0.25">
      <c r="A1175" s="108">
        <v>201512</v>
      </c>
      <c r="B1175" s="109" t="s">
        <v>162</v>
      </c>
      <c r="C1175" s="108">
        <v>395</v>
      </c>
      <c r="D1175" s="110"/>
      <c r="E1175" t="str">
        <f>VLOOKUP(B1175,CAC!$A$2:$B$198,2,FALSE)</f>
        <v>HMOMG</v>
      </c>
    </row>
    <row r="1176" spans="1:5" x14ac:dyDescent="0.25">
      <c r="A1176" s="108">
        <v>201512</v>
      </c>
      <c r="B1176" s="109" t="s">
        <v>163</v>
      </c>
      <c r="C1176" s="108">
        <v>118</v>
      </c>
      <c r="D1176" s="110"/>
      <c r="E1176" t="str">
        <f>VLOOKUP(B1176,CAC!$A$2:$B$198,2,FALSE)</f>
        <v>HMOMG</v>
      </c>
    </row>
    <row r="1177" spans="1:5" x14ac:dyDescent="0.25">
      <c r="A1177" s="108">
        <v>201512</v>
      </c>
      <c r="B1177" s="109" t="s">
        <v>165</v>
      </c>
      <c r="C1177" s="108">
        <v>0</v>
      </c>
      <c r="D1177" s="110"/>
      <c r="E1177" t="str">
        <f>VLOOKUP(B1177,CAC!$A$2:$B$198,2,FALSE)</f>
        <v>HMOMG</v>
      </c>
    </row>
    <row r="1178" spans="1:5" x14ac:dyDescent="0.25">
      <c r="A1178" s="108">
        <v>201512</v>
      </c>
      <c r="B1178" s="109" t="s">
        <v>161</v>
      </c>
      <c r="C1178" s="108">
        <v>4324</v>
      </c>
      <c r="D1178" s="110"/>
      <c r="E1178" t="str">
        <f>VLOOKUP(B1178,CAC!$A$2:$B$198,2,FALSE)</f>
        <v>PERMAPD</v>
      </c>
    </row>
    <row r="1179" spans="1:5" x14ac:dyDescent="0.25">
      <c r="A1179" s="108">
        <v>201512</v>
      </c>
      <c r="B1179" s="109" t="s">
        <v>77</v>
      </c>
      <c r="C1179" s="108">
        <v>20056</v>
      </c>
      <c r="D1179" s="110"/>
      <c r="E1179" t="str">
        <f>VLOOKUP(B1179,CAC!$A$2:$B$198,2,FALSE)</f>
        <v>HMOSG</v>
      </c>
    </row>
    <row r="1180" spans="1:5" x14ac:dyDescent="0.25">
      <c r="A1180" s="108">
        <v>201512</v>
      </c>
      <c r="B1180" s="109" t="s">
        <v>78</v>
      </c>
      <c r="C1180" s="108">
        <v>379</v>
      </c>
      <c r="D1180" s="110"/>
      <c r="E1180" t="str">
        <f>VLOOKUP(B1180,CAC!$A$2:$B$198,2,FALSE)</f>
        <v>HMOSG</v>
      </c>
    </row>
    <row r="1181" spans="1:5" x14ac:dyDescent="0.25">
      <c r="A1181" s="108">
        <v>201512</v>
      </c>
      <c r="B1181" s="109" t="s">
        <v>79</v>
      </c>
      <c r="C1181" s="108">
        <v>80</v>
      </c>
      <c r="D1181" s="110"/>
      <c r="E1181" t="str">
        <f>VLOOKUP(B1181,CAC!$A$2:$B$198,2,FALSE)</f>
        <v>HMOSG</v>
      </c>
    </row>
    <row r="1182" spans="1:5" x14ac:dyDescent="0.25">
      <c r="A1182" s="108">
        <v>201512</v>
      </c>
      <c r="B1182" s="109" t="s">
        <v>222</v>
      </c>
      <c r="C1182" s="108">
        <v>0</v>
      </c>
      <c r="D1182" s="110"/>
      <c r="E1182" t="str">
        <f>VLOOKUP(B1182,CAC!$A$2:$B$198,2,FALSE)</f>
        <v>PPOSG</v>
      </c>
    </row>
    <row r="1183" spans="1:5" x14ac:dyDescent="0.25">
      <c r="A1183" s="108">
        <v>201512</v>
      </c>
      <c r="B1183" s="109" t="s">
        <v>225</v>
      </c>
      <c r="C1183" s="108">
        <v>0</v>
      </c>
      <c r="D1183" s="110"/>
      <c r="E1183" t="str">
        <f>VLOOKUP(B1183,CAC!$A$2:$B$198,2,FALSE)</f>
        <v>PPOSG</v>
      </c>
    </row>
    <row r="1184" spans="1:5" x14ac:dyDescent="0.25">
      <c r="A1184" s="108">
        <v>201512</v>
      </c>
      <c r="B1184" s="109" t="s">
        <v>226</v>
      </c>
      <c r="C1184" s="108">
        <v>0</v>
      </c>
      <c r="D1184" s="110"/>
      <c r="E1184" t="str">
        <f>VLOOKUP(B1184,CAC!$A$2:$B$198,2,FALSE)</f>
        <v>PPOSG</v>
      </c>
    </row>
    <row r="1185" spans="1:5" x14ac:dyDescent="0.25">
      <c r="A1185" s="108">
        <v>201512</v>
      </c>
      <c r="B1185" s="109" t="s">
        <v>80</v>
      </c>
      <c r="C1185" s="108">
        <v>9</v>
      </c>
      <c r="D1185" s="110"/>
      <c r="E1185" t="str">
        <f>VLOOKUP(B1185,CAC!$A$2:$B$198,2,FALSE)</f>
        <v>HMOIFP</v>
      </c>
    </row>
    <row r="1186" spans="1:5" x14ac:dyDescent="0.25">
      <c r="A1186" s="108">
        <v>201512</v>
      </c>
      <c r="B1186" s="109" t="s">
        <v>186</v>
      </c>
      <c r="C1186" s="108">
        <v>0</v>
      </c>
      <c r="D1186" s="110"/>
      <c r="E1186" t="str">
        <f>VLOOKUP(B1186,CAC!$A$2:$B$198,2,FALSE)</f>
        <v>PPOIFP</v>
      </c>
    </row>
    <row r="1187" spans="1:5" x14ac:dyDescent="0.25">
      <c r="A1187" s="108">
        <v>201512</v>
      </c>
      <c r="B1187" s="109" t="s">
        <v>187</v>
      </c>
      <c r="C1187" s="108">
        <v>0</v>
      </c>
      <c r="D1187" s="110"/>
      <c r="E1187" t="str">
        <f>VLOOKUP(B1187,CAC!$A$2:$B$198,2,FALSE)</f>
        <v>PPOIFP</v>
      </c>
    </row>
    <row r="1188" spans="1:5" x14ac:dyDescent="0.25">
      <c r="A1188" s="108">
        <v>201512</v>
      </c>
      <c r="B1188" s="109" t="s">
        <v>188</v>
      </c>
      <c r="C1188" s="108">
        <v>0</v>
      </c>
      <c r="D1188" s="110"/>
      <c r="E1188" t="str">
        <f>VLOOKUP(B1188,CAC!$A$2:$B$198,2,FALSE)</f>
        <v>PPOIFP</v>
      </c>
    </row>
    <row r="1189" spans="1:5" x14ac:dyDescent="0.25">
      <c r="A1189" s="108">
        <v>201512</v>
      </c>
      <c r="B1189" s="109" t="s">
        <v>189</v>
      </c>
      <c r="C1189" s="108">
        <v>0</v>
      </c>
      <c r="D1189" s="110"/>
      <c r="E1189" t="str">
        <f>VLOOKUP(B1189,CAC!$A$2:$B$198,2,FALSE)</f>
        <v>PPOIFP</v>
      </c>
    </row>
    <row r="1190" spans="1:5" x14ac:dyDescent="0.25">
      <c r="A1190" s="108">
        <v>201512</v>
      </c>
      <c r="B1190" s="109" t="s">
        <v>216</v>
      </c>
      <c r="C1190" s="108">
        <v>0</v>
      </c>
      <c r="D1190" s="110"/>
      <c r="E1190" t="str">
        <f>VLOOKUP(B1190,CAC!$A$2:$B$198,2,FALSE)</f>
        <v>PPOMM</v>
      </c>
    </row>
    <row r="1191" spans="1:5" x14ac:dyDescent="0.25">
      <c r="A1191" s="108">
        <v>201512</v>
      </c>
      <c r="B1191" s="109" t="s">
        <v>301</v>
      </c>
      <c r="C1191" s="108">
        <v>0</v>
      </c>
      <c r="D1191" s="110"/>
      <c r="E1191" t="str">
        <f>VLOOKUP(B1191,CAC!$A$2:$B$198,2,FALSE)</f>
        <v>XXX</v>
      </c>
    </row>
    <row r="1192" spans="1:5" x14ac:dyDescent="0.25">
      <c r="A1192" s="108">
        <v>201601</v>
      </c>
      <c r="B1192" s="109" t="s">
        <v>51</v>
      </c>
      <c r="C1192" s="108">
        <v>44</v>
      </c>
      <c r="D1192" s="110"/>
      <c r="E1192" t="str">
        <f>VLOOKUP(B1192,CAC!$A$2:$B$198,2,FALSE)</f>
        <v>XXX</v>
      </c>
    </row>
    <row r="1193" spans="1:5" x14ac:dyDescent="0.25">
      <c r="A1193" s="108">
        <v>201601</v>
      </c>
      <c r="B1193" s="109" t="s">
        <v>303</v>
      </c>
      <c r="C1193" s="108">
        <v>0</v>
      </c>
      <c r="D1193" s="110"/>
      <c r="E1193" t="e">
        <f>VLOOKUP(B1193,CAC!$A$2:$B$198,2,FALSE)</f>
        <v>#N/A</v>
      </c>
    </row>
    <row r="1194" spans="1:5" x14ac:dyDescent="0.25">
      <c r="A1194" s="108">
        <v>201601</v>
      </c>
      <c r="B1194" s="109" t="s">
        <v>304</v>
      </c>
      <c r="C1194" s="108">
        <v>0</v>
      </c>
      <c r="D1194" s="110"/>
      <c r="E1194" t="e">
        <f>VLOOKUP(B1194,CAC!$A$2:$B$198,2,FALSE)</f>
        <v>#N/A</v>
      </c>
    </row>
    <row r="1195" spans="1:5" x14ac:dyDescent="0.25">
      <c r="A1195" s="108">
        <v>201601</v>
      </c>
      <c r="B1195" s="109" t="s">
        <v>323</v>
      </c>
      <c r="C1195" s="108">
        <v>0</v>
      </c>
      <c r="D1195" s="110"/>
      <c r="E1195" t="e">
        <f>VLOOKUP(B1195,CAC!$A$2:$B$198,2,FALSE)</f>
        <v>#N/A</v>
      </c>
    </row>
    <row r="1196" spans="1:5" x14ac:dyDescent="0.25">
      <c r="A1196" s="108">
        <v>201601</v>
      </c>
      <c r="B1196" s="109" t="s">
        <v>305</v>
      </c>
      <c r="C1196" s="108">
        <v>0</v>
      </c>
      <c r="D1196" s="110"/>
      <c r="E1196" t="e">
        <f>VLOOKUP(B1196,CAC!$A$2:$B$198,2,FALSE)</f>
        <v>#N/A</v>
      </c>
    </row>
    <row r="1197" spans="1:5" x14ac:dyDescent="0.25">
      <c r="A1197" s="108">
        <v>201601</v>
      </c>
      <c r="B1197" s="109" t="s">
        <v>327</v>
      </c>
      <c r="C1197" s="108">
        <v>0</v>
      </c>
      <c r="D1197" s="110"/>
      <c r="E1197" t="e">
        <f>VLOOKUP(B1197,CAC!$A$2:$B$198,2,FALSE)</f>
        <v>#N/A</v>
      </c>
    </row>
    <row r="1198" spans="1:5" x14ac:dyDescent="0.25">
      <c r="A1198" s="108">
        <v>201601</v>
      </c>
      <c r="B1198" s="109" t="s">
        <v>318</v>
      </c>
      <c r="C1198" s="108">
        <v>0</v>
      </c>
      <c r="D1198" s="110"/>
      <c r="E1198" t="e">
        <f>VLOOKUP(B1198,CAC!$A$2:$B$198,2,FALSE)</f>
        <v>#N/A</v>
      </c>
    </row>
    <row r="1199" spans="1:5" x14ac:dyDescent="0.25">
      <c r="A1199" s="108">
        <v>201601</v>
      </c>
      <c r="B1199" s="109" t="s">
        <v>326</v>
      </c>
      <c r="C1199" s="108">
        <v>0</v>
      </c>
      <c r="D1199" s="110"/>
      <c r="E1199" t="e">
        <f>VLOOKUP(B1199,CAC!$A$2:$B$198,2,FALSE)</f>
        <v>#N/A</v>
      </c>
    </row>
    <row r="1200" spans="1:5" x14ac:dyDescent="0.25">
      <c r="A1200" s="108">
        <v>201601</v>
      </c>
      <c r="B1200" s="109" t="s">
        <v>231</v>
      </c>
      <c r="C1200" s="108">
        <v>0</v>
      </c>
      <c r="D1200" s="110"/>
      <c r="E1200" t="str">
        <f>VLOOKUP(B1200,CAC!$A$2:$B$198,2,FALSE)</f>
        <v>DOILG</v>
      </c>
    </row>
    <row r="1201" spans="1:5" x14ac:dyDescent="0.25">
      <c r="A1201" s="108">
        <v>201601</v>
      </c>
      <c r="B1201" s="109" t="s">
        <v>233</v>
      </c>
      <c r="C1201" s="108">
        <v>0</v>
      </c>
      <c r="D1201" s="110"/>
      <c r="E1201" t="str">
        <f>VLOOKUP(B1201,CAC!$A$2:$B$198,2,FALSE)</f>
        <v>DOILG</v>
      </c>
    </row>
    <row r="1202" spans="1:5" x14ac:dyDescent="0.25">
      <c r="A1202" s="108">
        <v>201601</v>
      </c>
      <c r="B1202" s="109" t="s">
        <v>235</v>
      </c>
      <c r="C1202" s="108">
        <v>0</v>
      </c>
      <c r="D1202" s="110"/>
      <c r="E1202" t="str">
        <f>VLOOKUP(B1202,CAC!$A$2:$B$198,2,FALSE)</f>
        <v>DOILG</v>
      </c>
    </row>
    <row r="1203" spans="1:5" x14ac:dyDescent="0.25">
      <c r="A1203" s="108">
        <v>201601</v>
      </c>
      <c r="B1203" s="109" t="s">
        <v>237</v>
      </c>
      <c r="C1203" s="108">
        <v>0</v>
      </c>
      <c r="D1203" s="110"/>
      <c r="E1203" t="str">
        <f>VLOOKUP(B1203,CAC!$A$2:$B$198,2,FALSE)</f>
        <v>DOILG</v>
      </c>
    </row>
    <row r="1204" spans="1:5" x14ac:dyDescent="0.25">
      <c r="A1204" s="108">
        <v>201601</v>
      </c>
      <c r="B1204" s="109" t="s">
        <v>247</v>
      </c>
      <c r="C1204" s="108">
        <v>0</v>
      </c>
      <c r="D1204" s="110"/>
      <c r="E1204" t="str">
        <f>VLOOKUP(B1204,CAC!$A$2:$B$198,2,FALSE)</f>
        <v>DOIIFP</v>
      </c>
    </row>
    <row r="1205" spans="1:5" x14ac:dyDescent="0.25">
      <c r="A1205" s="108">
        <v>201601</v>
      </c>
      <c r="B1205" s="109" t="s">
        <v>238</v>
      </c>
      <c r="C1205" s="108">
        <v>0</v>
      </c>
      <c r="D1205" s="110"/>
      <c r="E1205" t="str">
        <f>VLOOKUP(B1205,CAC!$A$2:$B$198,2,FALSE)</f>
        <v>DOILG</v>
      </c>
    </row>
    <row r="1206" spans="1:5" x14ac:dyDescent="0.25">
      <c r="A1206" s="108">
        <v>201601</v>
      </c>
      <c r="B1206" s="109" t="s">
        <v>248</v>
      </c>
      <c r="C1206" s="108">
        <v>0</v>
      </c>
      <c r="D1206" s="110"/>
      <c r="E1206" t="str">
        <f>VLOOKUP(B1206,CAC!$A$2:$B$198,2,FALSE)</f>
        <v>DOIIFP</v>
      </c>
    </row>
    <row r="1207" spans="1:5" x14ac:dyDescent="0.25">
      <c r="A1207" s="108">
        <v>201601</v>
      </c>
      <c r="B1207" s="109" t="s">
        <v>328</v>
      </c>
      <c r="C1207" s="108">
        <v>0</v>
      </c>
      <c r="D1207" s="110"/>
      <c r="E1207" t="e">
        <f>VLOOKUP(B1207,CAC!$A$2:$B$198,2,FALSE)</f>
        <v>#N/A</v>
      </c>
    </row>
    <row r="1208" spans="1:5" x14ac:dyDescent="0.25">
      <c r="A1208" s="108">
        <v>201601</v>
      </c>
      <c r="B1208" s="109" t="s">
        <v>325</v>
      </c>
      <c r="C1208" s="108">
        <v>0</v>
      </c>
      <c r="D1208" s="110"/>
      <c r="E1208" t="e">
        <f>VLOOKUP(B1208,CAC!$A$2:$B$198,2,FALSE)</f>
        <v>#N/A</v>
      </c>
    </row>
    <row r="1209" spans="1:5" x14ac:dyDescent="0.25">
      <c r="A1209" s="108">
        <v>201601</v>
      </c>
      <c r="B1209" s="109" t="s">
        <v>255</v>
      </c>
      <c r="C1209" s="108">
        <v>0</v>
      </c>
      <c r="D1209" s="110"/>
      <c r="E1209" t="str">
        <f>VLOOKUP(B1209,CAC!$A$2:$B$198,2,FALSE)</f>
        <v>AGDMHC</v>
      </c>
    </row>
    <row r="1210" spans="1:5" x14ac:dyDescent="0.25">
      <c r="A1210" s="108">
        <v>201601</v>
      </c>
      <c r="B1210" s="109" t="s">
        <v>256</v>
      </c>
      <c r="C1210" s="108">
        <v>0</v>
      </c>
      <c r="D1210" s="110"/>
      <c r="E1210" t="str">
        <f>VLOOKUP(B1210,CAC!$A$2:$B$198,2,FALSE)</f>
        <v>AGDMHC</v>
      </c>
    </row>
    <row r="1211" spans="1:5" x14ac:dyDescent="0.25">
      <c r="A1211" s="108">
        <v>201601</v>
      </c>
      <c r="B1211" s="109" t="s">
        <v>257</v>
      </c>
      <c r="C1211" s="108">
        <v>0</v>
      </c>
      <c r="D1211" s="110"/>
      <c r="E1211" t="str">
        <f>VLOOKUP(B1211,CAC!$A$2:$B$198,2,FALSE)</f>
        <v>AGDMHC</v>
      </c>
    </row>
    <row r="1212" spans="1:5" x14ac:dyDescent="0.25">
      <c r="A1212" s="108">
        <v>201601</v>
      </c>
      <c r="B1212" s="109" t="s">
        <v>258</v>
      </c>
      <c r="C1212" s="108">
        <v>0</v>
      </c>
      <c r="D1212" s="110"/>
      <c r="E1212" t="str">
        <f>VLOOKUP(B1212,CAC!$A$2:$B$198,2,FALSE)</f>
        <v>AGDMHC</v>
      </c>
    </row>
    <row r="1213" spans="1:5" x14ac:dyDescent="0.25">
      <c r="A1213" s="108">
        <v>201601</v>
      </c>
      <c r="B1213" s="109" t="s">
        <v>259</v>
      </c>
      <c r="C1213" s="108">
        <v>0</v>
      </c>
      <c r="D1213" s="110"/>
      <c r="E1213" t="str">
        <f>VLOOKUP(B1213,CAC!$A$2:$B$198,2,FALSE)</f>
        <v>AGDMHC</v>
      </c>
    </row>
    <row r="1214" spans="1:5" x14ac:dyDescent="0.25">
      <c r="A1214" s="108">
        <v>201601</v>
      </c>
      <c r="B1214" s="109" t="s">
        <v>329</v>
      </c>
      <c r="C1214" s="108">
        <v>0</v>
      </c>
      <c r="D1214" s="110"/>
      <c r="E1214" t="e">
        <f>VLOOKUP(B1214,CAC!$A$2:$B$198,2,FALSE)</f>
        <v>#N/A</v>
      </c>
    </row>
    <row r="1215" spans="1:5" x14ac:dyDescent="0.25">
      <c r="A1215" s="108">
        <v>201601</v>
      </c>
      <c r="B1215" s="109" t="s">
        <v>262</v>
      </c>
      <c r="C1215" s="108">
        <v>0</v>
      </c>
      <c r="D1215" s="110"/>
      <c r="E1215" t="str">
        <f>VLOOKUP(B1215,CAC!$A$2:$B$198,2,FALSE)</f>
        <v>AGDMHC</v>
      </c>
    </row>
    <row r="1216" spans="1:5" x14ac:dyDescent="0.25">
      <c r="A1216" s="108">
        <v>201601</v>
      </c>
      <c r="B1216" s="109" t="s">
        <v>264</v>
      </c>
      <c r="C1216" s="108">
        <v>0</v>
      </c>
      <c r="D1216" s="110"/>
      <c r="E1216" t="str">
        <f>VLOOKUP(B1216,CAC!$A$2:$B$198,2,FALSE)</f>
        <v>AGDMHC</v>
      </c>
    </row>
    <row r="1217" spans="1:5" x14ac:dyDescent="0.25">
      <c r="A1217" s="108">
        <v>201601</v>
      </c>
      <c r="B1217" s="109" t="s">
        <v>269</v>
      </c>
      <c r="C1217" s="108">
        <v>0</v>
      </c>
      <c r="D1217" s="110"/>
      <c r="E1217" t="str">
        <f>VLOOKUP(B1217,CAC!$A$2:$B$198,2,FALSE)</f>
        <v>AGDMHC</v>
      </c>
    </row>
    <row r="1218" spans="1:5" x14ac:dyDescent="0.25">
      <c r="A1218" s="108">
        <v>201601</v>
      </c>
      <c r="B1218" s="109" t="s">
        <v>319</v>
      </c>
      <c r="C1218" s="108">
        <v>0</v>
      </c>
      <c r="D1218" s="110"/>
      <c r="E1218" t="e">
        <f>VLOOKUP(B1218,CAC!$A$2:$B$198,2,FALSE)</f>
        <v>#N/A</v>
      </c>
    </row>
    <row r="1219" spans="1:5" x14ac:dyDescent="0.25">
      <c r="A1219" s="108">
        <v>201601</v>
      </c>
      <c r="B1219" s="109" t="s">
        <v>266</v>
      </c>
      <c r="C1219" s="108">
        <v>0</v>
      </c>
      <c r="D1219" s="110"/>
      <c r="E1219" t="str">
        <f>VLOOKUP(B1219,CAC!$A$2:$B$198,2,FALSE)</f>
        <v>AGDMHC</v>
      </c>
    </row>
    <row r="1220" spans="1:5" x14ac:dyDescent="0.25">
      <c r="A1220" s="108">
        <v>201601</v>
      </c>
      <c r="B1220" s="109" t="s">
        <v>267</v>
      </c>
      <c r="C1220" s="108">
        <v>0</v>
      </c>
      <c r="D1220" s="110"/>
      <c r="E1220" t="str">
        <f>VLOOKUP(B1220,CAC!$A$2:$B$198,2,FALSE)</f>
        <v>AGDMHC</v>
      </c>
    </row>
    <row r="1221" spans="1:5" x14ac:dyDescent="0.25">
      <c r="A1221" s="108">
        <v>201601</v>
      </c>
      <c r="B1221" s="109" t="s">
        <v>268</v>
      </c>
      <c r="C1221" s="108">
        <v>0</v>
      </c>
      <c r="D1221" s="110"/>
      <c r="E1221" t="str">
        <f>VLOOKUP(B1221,CAC!$A$2:$B$198,2,FALSE)</f>
        <v>AGDMHC</v>
      </c>
    </row>
    <row r="1222" spans="1:5" x14ac:dyDescent="0.25">
      <c r="A1222" s="108">
        <v>201601</v>
      </c>
      <c r="B1222" s="109" t="s">
        <v>52</v>
      </c>
      <c r="C1222" s="108">
        <v>15637</v>
      </c>
      <c r="D1222" s="110"/>
      <c r="E1222" t="str">
        <f>VLOOKUP(B1222,CAC!$A$2:$B$198,2,FALSE)</f>
        <v>HMOPMR</v>
      </c>
    </row>
    <row r="1223" spans="1:5" x14ac:dyDescent="0.25">
      <c r="A1223" s="108">
        <v>201601</v>
      </c>
      <c r="B1223" s="109" t="s">
        <v>53</v>
      </c>
      <c r="C1223" s="108">
        <v>4599</v>
      </c>
      <c r="D1223" s="110"/>
      <c r="E1223" t="str">
        <f>VLOOKUP(B1223,CAC!$A$2:$B$198,2,FALSE)</f>
        <v>HMOPMR</v>
      </c>
    </row>
    <row r="1224" spans="1:5" x14ac:dyDescent="0.25">
      <c r="A1224" s="108">
        <v>201601</v>
      </c>
      <c r="B1224" s="109" t="s">
        <v>54</v>
      </c>
      <c r="C1224" s="108">
        <v>5923</v>
      </c>
      <c r="D1224" s="110"/>
      <c r="E1224" t="str">
        <f>VLOOKUP(B1224,CAC!$A$2:$B$198,2,FALSE)</f>
        <v>HMOFEP</v>
      </c>
    </row>
    <row r="1225" spans="1:5" x14ac:dyDescent="0.25">
      <c r="A1225" s="108">
        <v>201601</v>
      </c>
      <c r="B1225" s="109" t="s">
        <v>279</v>
      </c>
      <c r="C1225" s="108">
        <v>0</v>
      </c>
      <c r="D1225" s="110"/>
      <c r="E1225" t="str">
        <f>VLOOKUP(B1225,CAC!$A$2:$B$198,2,FALSE)</f>
        <v>PPOFEP</v>
      </c>
    </row>
    <row r="1226" spans="1:5" x14ac:dyDescent="0.25">
      <c r="A1226" s="108">
        <v>201601</v>
      </c>
      <c r="B1226" s="109" t="s">
        <v>202</v>
      </c>
      <c r="C1226" s="108">
        <v>0</v>
      </c>
      <c r="D1226" s="110"/>
      <c r="E1226" t="str">
        <f>VLOOKUP(B1226,CAC!$A$2:$B$198,2,FALSE)</f>
        <v>PPOPMR</v>
      </c>
    </row>
    <row r="1227" spans="1:5" x14ac:dyDescent="0.25">
      <c r="A1227" s="108">
        <v>201601</v>
      </c>
      <c r="B1227" s="109" t="s">
        <v>55</v>
      </c>
      <c r="C1227" s="108">
        <v>15070</v>
      </c>
      <c r="D1227" s="110"/>
      <c r="E1227" t="str">
        <f>VLOOKUP(B1227,CAC!$A$2:$B$198,2,FALSE)</f>
        <v>HMOPMR</v>
      </c>
    </row>
    <row r="1228" spans="1:5" x14ac:dyDescent="0.25">
      <c r="A1228" s="108">
        <v>201601</v>
      </c>
      <c r="B1228" s="109" t="s">
        <v>56</v>
      </c>
      <c r="C1228" s="108">
        <v>121</v>
      </c>
      <c r="D1228" s="110"/>
      <c r="E1228" t="str">
        <f>VLOOKUP(B1228,CAC!$A$2:$B$198,2,FALSE)</f>
        <v>HMOPMR</v>
      </c>
    </row>
    <row r="1229" spans="1:5" x14ac:dyDescent="0.25">
      <c r="A1229" s="108">
        <v>201601</v>
      </c>
      <c r="B1229" s="109" t="s">
        <v>83</v>
      </c>
      <c r="C1229" s="108">
        <v>688</v>
      </c>
      <c r="D1229" s="110"/>
      <c r="E1229" t="str">
        <f>VLOOKUP(B1229,CAC!$A$2:$B$198,2,FALSE)</f>
        <v>HMOPMR</v>
      </c>
    </row>
    <row r="1230" spans="1:5" x14ac:dyDescent="0.25">
      <c r="A1230" s="108">
        <v>201601</v>
      </c>
      <c r="B1230" s="109" t="s">
        <v>57</v>
      </c>
      <c r="C1230" s="108">
        <v>6001</v>
      </c>
      <c r="D1230" s="110"/>
      <c r="E1230" t="str">
        <f>VLOOKUP(B1230,CAC!$A$2:$B$198,2,FALSE)</f>
        <v>HMFLEX</v>
      </c>
    </row>
    <row r="1231" spans="1:5" x14ac:dyDescent="0.25">
      <c r="A1231" s="108">
        <v>201601</v>
      </c>
      <c r="B1231" s="109" t="s">
        <v>58</v>
      </c>
      <c r="C1231" s="108">
        <v>372</v>
      </c>
      <c r="D1231" s="110"/>
      <c r="E1231" t="str">
        <f>VLOOKUP(B1231,CAC!$A$2:$B$198,2,FALSE)</f>
        <v>HMFLEX</v>
      </c>
    </row>
    <row r="1232" spans="1:5" x14ac:dyDescent="0.25">
      <c r="A1232" s="108">
        <v>201601</v>
      </c>
      <c r="B1232" s="109" t="s">
        <v>306</v>
      </c>
      <c r="C1232" s="108">
        <v>0</v>
      </c>
      <c r="D1232" s="110"/>
      <c r="E1232" t="e">
        <f>VLOOKUP(B1232,CAC!$A$2:$B$198,2,FALSE)</f>
        <v>#N/A</v>
      </c>
    </row>
    <row r="1233" spans="1:5" x14ac:dyDescent="0.25">
      <c r="A1233" s="108">
        <v>201601</v>
      </c>
      <c r="B1233" s="109" t="s">
        <v>283</v>
      </c>
      <c r="C1233" s="108">
        <v>0</v>
      </c>
      <c r="D1233" s="110"/>
      <c r="E1233" t="str">
        <f>VLOOKUP(B1233,CAC!$A$2:$B$198,2,FALSE)</f>
        <v>HMFLEX</v>
      </c>
    </row>
    <row r="1234" spans="1:5" x14ac:dyDescent="0.25">
      <c r="A1234" s="108">
        <v>201601</v>
      </c>
      <c r="B1234" s="109" t="s">
        <v>205</v>
      </c>
      <c r="C1234" s="108">
        <v>0</v>
      </c>
      <c r="D1234" s="110"/>
      <c r="E1234" t="str">
        <f>VLOOKUP(B1234,CAC!$A$2:$B$198,2,FALSE)</f>
        <v>PPOPMR</v>
      </c>
    </row>
    <row r="1235" spans="1:5" x14ac:dyDescent="0.25">
      <c r="A1235" s="108">
        <v>201601</v>
      </c>
      <c r="B1235" s="109" t="s">
        <v>286</v>
      </c>
      <c r="C1235" s="108">
        <v>0</v>
      </c>
      <c r="D1235" s="110"/>
      <c r="E1235" t="str">
        <f>VLOOKUP(B1235,CAC!$A$2:$B$198,2,FALSE)</f>
        <v>HMFLEX</v>
      </c>
    </row>
    <row r="1236" spans="1:5" x14ac:dyDescent="0.25">
      <c r="A1236" s="108">
        <v>201601</v>
      </c>
      <c r="B1236" s="109" t="s">
        <v>60</v>
      </c>
      <c r="C1236" s="108">
        <v>13625</v>
      </c>
      <c r="D1236" s="110"/>
      <c r="E1236" t="str">
        <f>VLOOKUP(B1236,CAC!$A$2:$B$198,2,FALSE)</f>
        <v>HMOLG</v>
      </c>
    </row>
    <row r="1237" spans="1:5" x14ac:dyDescent="0.25">
      <c r="A1237" s="108">
        <v>201601</v>
      </c>
      <c r="B1237" s="109" t="s">
        <v>61</v>
      </c>
      <c r="C1237" s="108">
        <v>691</v>
      </c>
      <c r="D1237" s="110"/>
      <c r="E1237" t="str">
        <f>VLOOKUP(B1237,CAC!$A$2:$B$198,2,FALSE)</f>
        <v>HMOLG</v>
      </c>
    </row>
    <row r="1238" spans="1:5" x14ac:dyDescent="0.25">
      <c r="A1238" s="108">
        <v>201601</v>
      </c>
      <c r="B1238" s="109" t="s">
        <v>62</v>
      </c>
      <c r="C1238" s="108">
        <v>24875</v>
      </c>
      <c r="D1238" s="110"/>
      <c r="E1238" t="str">
        <f>VLOOKUP(B1238,CAC!$A$2:$B$198,2,FALSE)</f>
        <v>HMOLG</v>
      </c>
    </row>
    <row r="1239" spans="1:5" x14ac:dyDescent="0.25">
      <c r="A1239" s="108">
        <v>201601</v>
      </c>
      <c r="B1239" s="109" t="s">
        <v>63</v>
      </c>
      <c r="C1239" s="108">
        <v>153</v>
      </c>
      <c r="D1239" s="110"/>
      <c r="E1239" t="str">
        <f>VLOOKUP(B1239,CAC!$A$2:$B$198,2,FALSE)</f>
        <v>HMOLG</v>
      </c>
    </row>
    <row r="1240" spans="1:5" x14ac:dyDescent="0.25">
      <c r="A1240" s="108">
        <v>201601</v>
      </c>
      <c r="B1240" s="109" t="s">
        <v>64</v>
      </c>
      <c r="C1240" s="108">
        <v>0</v>
      </c>
      <c r="D1240" s="110"/>
      <c r="E1240" t="str">
        <f>VLOOKUP(B1240,CAC!$A$2:$B$198,2,FALSE)</f>
        <v>HMOLG</v>
      </c>
    </row>
    <row r="1241" spans="1:5" x14ac:dyDescent="0.25">
      <c r="A1241" s="108">
        <v>201601</v>
      </c>
      <c r="B1241" s="109" t="s">
        <v>65</v>
      </c>
      <c r="C1241" s="108">
        <v>223</v>
      </c>
      <c r="D1241" s="110"/>
      <c r="E1241" t="str">
        <f>VLOOKUP(B1241,CAC!$A$2:$B$198,2,FALSE)</f>
        <v>HMFLEX</v>
      </c>
    </row>
    <row r="1242" spans="1:5" x14ac:dyDescent="0.25">
      <c r="A1242" s="108">
        <v>201601</v>
      </c>
      <c r="B1242" s="109" t="s">
        <v>307</v>
      </c>
      <c r="C1242" s="108">
        <v>0</v>
      </c>
      <c r="D1242" s="110"/>
      <c r="E1242" t="e">
        <f>VLOOKUP(B1242,CAC!$A$2:$B$198,2,FALSE)</f>
        <v>#N/A</v>
      </c>
    </row>
    <row r="1243" spans="1:5" x14ac:dyDescent="0.25">
      <c r="A1243" s="108">
        <v>201601</v>
      </c>
      <c r="B1243" s="109" t="s">
        <v>308</v>
      </c>
      <c r="C1243" s="108">
        <v>0</v>
      </c>
      <c r="D1243" s="110"/>
      <c r="E1243" t="e">
        <f>VLOOKUP(B1243,CAC!$A$2:$B$198,2,FALSE)</f>
        <v>#N/A</v>
      </c>
    </row>
    <row r="1244" spans="1:5" x14ac:dyDescent="0.25">
      <c r="A1244" s="108">
        <v>201601</v>
      </c>
      <c r="B1244" s="109" t="s">
        <v>309</v>
      </c>
      <c r="C1244" s="108">
        <v>0</v>
      </c>
      <c r="D1244" s="110"/>
      <c r="E1244" t="e">
        <f>VLOOKUP(B1244,CAC!$A$2:$B$198,2,FALSE)</f>
        <v>#N/A</v>
      </c>
    </row>
    <row r="1245" spans="1:5" x14ac:dyDescent="0.25">
      <c r="A1245" s="108">
        <v>201601</v>
      </c>
      <c r="B1245" s="109" t="s">
        <v>99</v>
      </c>
      <c r="C1245" s="108">
        <v>0</v>
      </c>
      <c r="D1245" s="110"/>
      <c r="E1245" t="str">
        <f>VLOOKUP(B1245,CAC!$A$2:$B$198,2,FALSE)</f>
        <v>PPOLG</v>
      </c>
    </row>
    <row r="1246" spans="1:5" x14ac:dyDescent="0.25">
      <c r="A1246" s="108">
        <v>201601</v>
      </c>
      <c r="B1246" s="109" t="s">
        <v>193</v>
      </c>
      <c r="C1246" s="108">
        <v>0</v>
      </c>
      <c r="D1246" s="110"/>
      <c r="E1246" t="str">
        <f>VLOOKUP(B1246,CAC!$A$2:$B$198,2,FALSE)</f>
        <v>PPOLG</v>
      </c>
    </row>
    <row r="1247" spans="1:5" x14ac:dyDescent="0.25">
      <c r="A1247" s="108">
        <v>201601</v>
      </c>
      <c r="B1247" s="109" t="s">
        <v>196</v>
      </c>
      <c r="C1247" s="108">
        <v>0</v>
      </c>
      <c r="D1247" s="110"/>
      <c r="E1247" t="str">
        <f>VLOOKUP(B1247,CAC!$A$2:$B$198,2,FALSE)</f>
        <v>PPOLG</v>
      </c>
    </row>
    <row r="1248" spans="1:5" x14ac:dyDescent="0.25">
      <c r="A1248" s="108">
        <v>201601</v>
      </c>
      <c r="B1248" s="109" t="s">
        <v>212</v>
      </c>
      <c r="C1248" s="108">
        <v>0</v>
      </c>
      <c r="D1248" s="110"/>
      <c r="E1248" t="str">
        <f>VLOOKUP(B1248,CAC!$A$2:$B$198,2,FALSE)</f>
        <v>PPOMM</v>
      </c>
    </row>
    <row r="1249" spans="1:5" x14ac:dyDescent="0.25">
      <c r="A1249" s="108">
        <v>201601</v>
      </c>
      <c r="B1249" s="109" t="s">
        <v>213</v>
      </c>
      <c r="C1249" s="108">
        <v>0</v>
      </c>
      <c r="D1249" s="110"/>
      <c r="E1249" t="str">
        <f>VLOOKUP(B1249,CAC!$A$2:$B$198,2,FALSE)</f>
        <v>PPOMM</v>
      </c>
    </row>
    <row r="1250" spans="1:5" x14ac:dyDescent="0.25">
      <c r="A1250" s="108">
        <v>201601</v>
      </c>
      <c r="B1250" s="109" t="s">
        <v>311</v>
      </c>
      <c r="C1250" s="108">
        <v>0</v>
      </c>
      <c r="D1250" s="110"/>
      <c r="E1250" t="e">
        <f>VLOOKUP(B1250,CAC!$A$2:$B$198,2,FALSE)</f>
        <v>#N/A</v>
      </c>
    </row>
    <row r="1251" spans="1:5" x14ac:dyDescent="0.25">
      <c r="A1251" s="108">
        <v>201601</v>
      </c>
      <c r="B1251" s="109" t="s">
        <v>320</v>
      </c>
      <c r="C1251" s="108">
        <v>0</v>
      </c>
      <c r="D1251" s="110"/>
      <c r="E1251" t="e">
        <f>VLOOKUP(B1251,CAC!$A$2:$B$198,2,FALSE)</f>
        <v>#N/A</v>
      </c>
    </row>
    <row r="1252" spans="1:5" x14ac:dyDescent="0.25">
      <c r="A1252" s="108">
        <v>201601</v>
      </c>
      <c r="B1252" s="109" t="s">
        <v>321</v>
      </c>
      <c r="C1252" s="108">
        <v>0</v>
      </c>
      <c r="D1252" s="110"/>
      <c r="E1252" t="e">
        <f>VLOOKUP(B1252,CAC!$A$2:$B$198,2,FALSE)</f>
        <v>#N/A</v>
      </c>
    </row>
    <row r="1253" spans="1:5" x14ac:dyDescent="0.25">
      <c r="A1253" s="108">
        <v>201601</v>
      </c>
      <c r="B1253" s="109" t="s">
        <v>312</v>
      </c>
      <c r="C1253" s="108">
        <v>0</v>
      </c>
      <c r="D1253" s="110"/>
      <c r="E1253" t="e">
        <f>VLOOKUP(B1253,CAC!$A$2:$B$198,2,FALSE)</f>
        <v>#N/A</v>
      </c>
    </row>
    <row r="1254" spans="1:5" x14ac:dyDescent="0.25">
      <c r="A1254" s="108">
        <v>201601</v>
      </c>
      <c r="B1254" s="109" t="s">
        <v>215</v>
      </c>
      <c r="C1254" s="108">
        <v>0</v>
      </c>
      <c r="D1254" s="110"/>
      <c r="E1254" t="str">
        <f>VLOOKUP(B1254,CAC!$A$2:$B$198,2,FALSE)</f>
        <v>PPOMM</v>
      </c>
    </row>
    <row r="1255" spans="1:5" x14ac:dyDescent="0.25">
      <c r="A1255" s="108">
        <v>201601</v>
      </c>
      <c r="B1255" s="109" t="s">
        <v>66</v>
      </c>
      <c r="C1255" s="108">
        <v>3897</v>
      </c>
      <c r="D1255" s="110"/>
      <c r="E1255" t="str">
        <f>VLOOKUP(B1255,CAC!$A$2:$B$198,2,FALSE)</f>
        <v>HMOLG</v>
      </c>
    </row>
    <row r="1256" spans="1:5" x14ac:dyDescent="0.25">
      <c r="A1256" s="108">
        <v>201601</v>
      </c>
      <c r="B1256" s="109" t="s">
        <v>82</v>
      </c>
      <c r="C1256" s="108">
        <v>1</v>
      </c>
      <c r="D1256" s="110"/>
      <c r="E1256" t="str">
        <f>VLOOKUP(B1256,CAC!$A$2:$B$198,2,FALSE)</f>
        <v>NATPAR</v>
      </c>
    </row>
    <row r="1257" spans="1:5" x14ac:dyDescent="0.25">
      <c r="A1257" s="108">
        <v>201601</v>
      </c>
      <c r="B1257" s="109" t="s">
        <v>67</v>
      </c>
      <c r="C1257" s="108">
        <v>142</v>
      </c>
      <c r="D1257" s="110"/>
      <c r="E1257" t="str">
        <f>VLOOKUP(B1257,CAC!$A$2:$B$198,2,FALSE)</f>
        <v>HMOLG</v>
      </c>
    </row>
    <row r="1258" spans="1:5" x14ac:dyDescent="0.25">
      <c r="A1258" s="108">
        <v>201601</v>
      </c>
      <c r="B1258" s="109" t="s">
        <v>68</v>
      </c>
      <c r="C1258" s="108">
        <v>262</v>
      </c>
      <c r="D1258" s="110"/>
      <c r="E1258" t="str">
        <f>VLOOKUP(B1258,CAC!$A$2:$B$198,2,FALSE)</f>
        <v>HMOPMR</v>
      </c>
    </row>
    <row r="1259" spans="1:5" x14ac:dyDescent="0.25">
      <c r="A1259" s="108">
        <v>201601</v>
      </c>
      <c r="B1259" s="109" t="s">
        <v>69</v>
      </c>
      <c r="C1259" s="108">
        <v>9710</v>
      </c>
      <c r="D1259" s="110"/>
      <c r="E1259" t="str">
        <f>VLOOKUP(B1259,CAC!$A$2:$B$198,2,FALSE)</f>
        <v>HMOPMR</v>
      </c>
    </row>
    <row r="1260" spans="1:5" x14ac:dyDescent="0.25">
      <c r="A1260" s="108">
        <v>201601</v>
      </c>
      <c r="B1260" s="109" t="s">
        <v>70</v>
      </c>
      <c r="C1260" s="108">
        <v>4052</v>
      </c>
      <c r="D1260" s="110"/>
      <c r="E1260" t="str">
        <f>VLOOKUP(B1260,CAC!$A$2:$B$198,2,FALSE)</f>
        <v>HMOPMR</v>
      </c>
    </row>
    <row r="1261" spans="1:5" x14ac:dyDescent="0.25">
      <c r="A1261" s="108">
        <v>201601</v>
      </c>
      <c r="B1261" s="109" t="s">
        <v>71</v>
      </c>
      <c r="C1261" s="108">
        <v>6611</v>
      </c>
      <c r="D1261" s="110"/>
      <c r="E1261" t="str">
        <f>VLOOKUP(B1261,CAC!$A$2:$B$198,2,FALSE)</f>
        <v>HMOPMR</v>
      </c>
    </row>
    <row r="1262" spans="1:5" x14ac:dyDescent="0.25">
      <c r="A1262" s="108">
        <v>201601</v>
      </c>
      <c r="B1262" s="109" t="s">
        <v>72</v>
      </c>
      <c r="C1262" s="108">
        <v>2119</v>
      </c>
      <c r="D1262" s="110"/>
      <c r="E1262" t="str">
        <f>VLOOKUP(B1262,CAC!$A$2:$B$198,2,FALSE)</f>
        <v>HMFLEX</v>
      </c>
    </row>
    <row r="1263" spans="1:5" x14ac:dyDescent="0.25">
      <c r="A1263" s="108">
        <v>201601</v>
      </c>
      <c r="B1263" s="109" t="s">
        <v>314</v>
      </c>
      <c r="C1263" s="108">
        <v>0</v>
      </c>
      <c r="D1263" s="110"/>
      <c r="E1263" t="e">
        <f>VLOOKUP(B1263,CAC!$A$2:$B$198,2,FALSE)</f>
        <v>#N/A</v>
      </c>
    </row>
    <row r="1264" spans="1:5" x14ac:dyDescent="0.25">
      <c r="A1264" s="108">
        <v>201601</v>
      </c>
      <c r="B1264" s="109" t="s">
        <v>322</v>
      </c>
      <c r="C1264" s="108">
        <v>0</v>
      </c>
      <c r="D1264" s="110"/>
      <c r="E1264" t="e">
        <f>VLOOKUP(B1264,CAC!$A$2:$B$198,2,FALSE)</f>
        <v>#N/A</v>
      </c>
    </row>
    <row r="1265" spans="1:5" x14ac:dyDescent="0.25">
      <c r="A1265" s="108">
        <v>201601</v>
      </c>
      <c r="B1265" s="109" t="s">
        <v>315</v>
      </c>
      <c r="C1265" s="108">
        <v>0</v>
      </c>
      <c r="D1265" s="110"/>
      <c r="E1265" t="e">
        <f>VLOOKUP(B1265,CAC!$A$2:$B$198,2,FALSE)</f>
        <v>#N/A</v>
      </c>
    </row>
    <row r="1266" spans="1:5" x14ac:dyDescent="0.25">
      <c r="A1266" s="108">
        <v>201601</v>
      </c>
      <c r="B1266" s="109" t="s">
        <v>112</v>
      </c>
      <c r="C1266" s="108">
        <v>0</v>
      </c>
      <c r="D1266" s="110"/>
      <c r="E1266" t="e">
        <f>VLOOKUP(B1266,CAC!$A$2:$B$198,2,FALSE)</f>
        <v>#N/A</v>
      </c>
    </row>
    <row r="1267" spans="1:5" x14ac:dyDescent="0.25">
      <c r="A1267" s="108">
        <v>201601</v>
      </c>
      <c r="B1267" s="109" t="s">
        <v>316</v>
      </c>
      <c r="C1267" s="108">
        <v>0</v>
      </c>
      <c r="D1267" s="110"/>
      <c r="E1267" t="e">
        <f>VLOOKUP(B1267,CAC!$A$2:$B$198,2,FALSE)</f>
        <v>#N/A</v>
      </c>
    </row>
    <row r="1268" spans="1:5" x14ac:dyDescent="0.25">
      <c r="A1268" s="108">
        <v>201601</v>
      </c>
      <c r="B1268" s="109" t="s">
        <v>317</v>
      </c>
      <c r="C1268" s="108">
        <v>0</v>
      </c>
      <c r="D1268" s="110"/>
      <c r="E1268" t="e">
        <f>VLOOKUP(B1268,CAC!$A$2:$B$198,2,FALSE)</f>
        <v>#N/A</v>
      </c>
    </row>
    <row r="1269" spans="1:5" x14ac:dyDescent="0.25">
      <c r="A1269" s="108">
        <v>201601</v>
      </c>
      <c r="B1269" s="109" t="s">
        <v>113</v>
      </c>
      <c r="C1269" s="108">
        <v>0</v>
      </c>
      <c r="D1269" s="110"/>
      <c r="E1269" t="str">
        <f>VLOOKUP(B1269,CAC!$A$2:$B$198,2,FALSE)</f>
        <v>PPOLG</v>
      </c>
    </row>
    <row r="1270" spans="1:5" x14ac:dyDescent="0.25">
      <c r="A1270" s="108">
        <v>201601</v>
      </c>
      <c r="B1270" s="109" t="s">
        <v>208</v>
      </c>
      <c r="C1270" s="108">
        <v>0</v>
      </c>
      <c r="D1270" s="110"/>
      <c r="E1270" t="str">
        <f>VLOOKUP(B1270,CAC!$A$2:$B$198,2,FALSE)</f>
        <v>PPOPMR</v>
      </c>
    </row>
    <row r="1271" spans="1:5" x14ac:dyDescent="0.25">
      <c r="A1271" s="108">
        <v>201601</v>
      </c>
      <c r="B1271" s="109" t="s">
        <v>209</v>
      </c>
      <c r="C1271" s="108">
        <v>0</v>
      </c>
      <c r="D1271" s="110"/>
      <c r="E1271" t="str">
        <f>VLOOKUP(B1271,CAC!$A$2:$B$198,2,FALSE)</f>
        <v>PPOPMR</v>
      </c>
    </row>
    <row r="1272" spans="1:5" x14ac:dyDescent="0.25">
      <c r="A1272" s="108">
        <v>201601</v>
      </c>
      <c r="B1272" s="109" t="s">
        <v>204</v>
      </c>
      <c r="C1272" s="108">
        <v>0</v>
      </c>
      <c r="D1272" s="110"/>
      <c r="E1272" t="str">
        <f>VLOOKUP(B1272,CAC!$A$2:$B$198,2,FALSE)</f>
        <v>PPOPMR</v>
      </c>
    </row>
    <row r="1273" spans="1:5" x14ac:dyDescent="0.25">
      <c r="A1273" s="108">
        <v>201601</v>
      </c>
      <c r="B1273" s="109" t="s">
        <v>330</v>
      </c>
      <c r="C1273" s="108">
        <v>0</v>
      </c>
      <c r="D1273" s="110"/>
      <c r="E1273" t="e">
        <f>VLOOKUP(B1273,CAC!$A$2:$B$198,2,FALSE)</f>
        <v>#N/A</v>
      </c>
    </row>
    <row r="1274" spans="1:5" x14ac:dyDescent="0.25">
      <c r="A1274" s="108">
        <v>201601</v>
      </c>
      <c r="B1274" s="109" t="s">
        <v>73</v>
      </c>
      <c r="C1274" s="108">
        <v>32694</v>
      </c>
      <c r="D1274" s="108">
        <v>5532</v>
      </c>
      <c r="E1274" t="str">
        <f>VLOOKUP(B1274,CAC!$A$2:$B$198,2,FALSE)</f>
        <v>HMOPERA</v>
      </c>
    </row>
    <row r="1275" spans="1:5" x14ac:dyDescent="0.25">
      <c r="A1275" s="108">
        <v>201601</v>
      </c>
      <c r="B1275" s="109" t="s">
        <v>75</v>
      </c>
      <c r="C1275" s="108">
        <v>26182</v>
      </c>
      <c r="D1275" s="108">
        <v>12080</v>
      </c>
      <c r="E1275" t="str">
        <f>VLOOKUP(B1275,CAC!$A$2:$B$198,2,FALSE)</f>
        <v>HMOPERN</v>
      </c>
    </row>
    <row r="1276" spans="1:5" x14ac:dyDescent="0.25">
      <c r="A1276" s="108">
        <v>201601</v>
      </c>
      <c r="B1276" s="109" t="s">
        <v>218</v>
      </c>
      <c r="C1276" s="108">
        <v>0</v>
      </c>
      <c r="D1276" s="110"/>
      <c r="E1276" t="str">
        <f>VLOOKUP(B1276,CAC!$A$2:$B$198,2,FALSE)</f>
        <v>HMOPERA</v>
      </c>
    </row>
    <row r="1277" spans="1:5" x14ac:dyDescent="0.25">
      <c r="A1277" s="108">
        <v>201601</v>
      </c>
      <c r="B1277" s="109" t="s">
        <v>156</v>
      </c>
      <c r="C1277" s="108">
        <v>24847</v>
      </c>
      <c r="D1277" s="110"/>
      <c r="E1277" t="str">
        <f>VLOOKUP(B1277,CAC!$A$2:$B$198,2,FALSE)</f>
        <v>HMOMM</v>
      </c>
    </row>
    <row r="1278" spans="1:5" x14ac:dyDescent="0.25">
      <c r="A1278" s="108">
        <v>201601</v>
      </c>
      <c r="B1278" s="109" t="s">
        <v>84</v>
      </c>
      <c r="C1278" s="108">
        <v>6832</v>
      </c>
      <c r="D1278" s="110"/>
      <c r="E1278" t="str">
        <f>VLOOKUP(B1278,CAC!$A$2:$B$198,2,FALSE)</f>
        <v>HMOMM</v>
      </c>
    </row>
    <row r="1279" spans="1:5" x14ac:dyDescent="0.25">
      <c r="A1279" s="108">
        <v>201601</v>
      </c>
      <c r="B1279" s="109" t="s">
        <v>162</v>
      </c>
      <c r="C1279" s="108">
        <v>391</v>
      </c>
      <c r="D1279" s="110"/>
      <c r="E1279" t="str">
        <f>VLOOKUP(B1279,CAC!$A$2:$B$198,2,FALSE)</f>
        <v>HMOMG</v>
      </c>
    </row>
    <row r="1280" spans="1:5" x14ac:dyDescent="0.25">
      <c r="A1280" s="108">
        <v>201601</v>
      </c>
      <c r="B1280" s="109" t="s">
        <v>163</v>
      </c>
      <c r="C1280" s="108">
        <v>99</v>
      </c>
      <c r="D1280" s="110"/>
      <c r="E1280" t="str">
        <f>VLOOKUP(B1280,CAC!$A$2:$B$198,2,FALSE)</f>
        <v>HMOMG</v>
      </c>
    </row>
    <row r="1281" spans="1:5" x14ac:dyDescent="0.25">
      <c r="A1281" s="108">
        <v>201601</v>
      </c>
      <c r="B1281" s="109" t="s">
        <v>165</v>
      </c>
      <c r="C1281" s="108">
        <v>0</v>
      </c>
      <c r="D1281" s="110"/>
      <c r="E1281" t="str">
        <f>VLOOKUP(B1281,CAC!$A$2:$B$198,2,FALSE)</f>
        <v>HMOMG</v>
      </c>
    </row>
    <row r="1282" spans="1:5" x14ac:dyDescent="0.25">
      <c r="A1282" s="108">
        <v>201601</v>
      </c>
      <c r="B1282" s="109" t="s">
        <v>85</v>
      </c>
      <c r="C1282" s="108">
        <v>656</v>
      </c>
      <c r="D1282" s="110"/>
      <c r="E1282" t="str">
        <f>VLOOKUP(B1282,CAC!$A$2:$B$198,2,FALSE)</f>
        <v>HMOMG</v>
      </c>
    </row>
    <row r="1283" spans="1:5" x14ac:dyDescent="0.25">
      <c r="A1283" s="108">
        <v>201601</v>
      </c>
      <c r="B1283" s="109" t="s">
        <v>77</v>
      </c>
      <c r="C1283" s="108">
        <v>20438</v>
      </c>
      <c r="D1283" s="110"/>
      <c r="E1283" t="str">
        <f>VLOOKUP(B1283,CAC!$A$2:$B$198,2,FALSE)</f>
        <v>HMOSG</v>
      </c>
    </row>
    <row r="1284" spans="1:5" x14ac:dyDescent="0.25">
      <c r="A1284" s="108">
        <v>201601</v>
      </c>
      <c r="B1284" s="109" t="s">
        <v>78</v>
      </c>
      <c r="C1284" s="108">
        <v>349</v>
      </c>
      <c r="D1284" s="110"/>
      <c r="E1284" t="str">
        <f>VLOOKUP(B1284,CAC!$A$2:$B$198,2,FALSE)</f>
        <v>HMOSG</v>
      </c>
    </row>
    <row r="1285" spans="1:5" x14ac:dyDescent="0.25">
      <c r="A1285" s="108">
        <v>201601</v>
      </c>
      <c r="B1285" s="109" t="s">
        <v>79</v>
      </c>
      <c r="C1285" s="108">
        <v>85</v>
      </c>
      <c r="D1285" s="110"/>
      <c r="E1285" t="str">
        <f>VLOOKUP(B1285,CAC!$A$2:$B$198,2,FALSE)</f>
        <v>HMOSG</v>
      </c>
    </row>
    <row r="1286" spans="1:5" x14ac:dyDescent="0.25">
      <c r="A1286" s="108">
        <v>201601</v>
      </c>
      <c r="B1286" s="109" t="s">
        <v>222</v>
      </c>
      <c r="C1286" s="108">
        <v>0</v>
      </c>
      <c r="D1286" s="110"/>
      <c r="E1286" t="str">
        <f>VLOOKUP(B1286,CAC!$A$2:$B$198,2,FALSE)</f>
        <v>PPOSG</v>
      </c>
    </row>
    <row r="1287" spans="1:5" x14ac:dyDescent="0.25">
      <c r="A1287" s="108">
        <v>201601</v>
      </c>
      <c r="B1287" s="109" t="s">
        <v>225</v>
      </c>
      <c r="C1287" s="108">
        <v>0</v>
      </c>
      <c r="D1287" s="110"/>
      <c r="E1287" t="str">
        <f>VLOOKUP(B1287,CAC!$A$2:$B$198,2,FALSE)</f>
        <v>PPOSG</v>
      </c>
    </row>
    <row r="1288" spans="1:5" x14ac:dyDescent="0.25">
      <c r="A1288" s="108">
        <v>201601</v>
      </c>
      <c r="B1288" s="109" t="s">
        <v>226</v>
      </c>
      <c r="C1288" s="108">
        <v>0</v>
      </c>
      <c r="D1288" s="110"/>
      <c r="E1288" t="str">
        <f>VLOOKUP(B1288,CAC!$A$2:$B$198,2,FALSE)</f>
        <v>PPOSG</v>
      </c>
    </row>
    <row r="1289" spans="1:5" x14ac:dyDescent="0.25">
      <c r="A1289" s="108">
        <v>201601</v>
      </c>
      <c r="B1289" s="109" t="s">
        <v>186</v>
      </c>
      <c r="C1289" s="108">
        <v>0</v>
      </c>
      <c r="D1289" s="110"/>
      <c r="E1289" t="str">
        <f>VLOOKUP(B1289,CAC!$A$2:$B$198,2,FALSE)</f>
        <v>PPOIFP</v>
      </c>
    </row>
    <row r="1290" spans="1:5" x14ac:dyDescent="0.25">
      <c r="A1290" s="108">
        <v>201601</v>
      </c>
      <c r="B1290" s="109" t="s">
        <v>187</v>
      </c>
      <c r="C1290" s="108">
        <v>0</v>
      </c>
      <c r="D1290" s="110"/>
      <c r="E1290" t="str">
        <f>VLOOKUP(B1290,CAC!$A$2:$B$198,2,FALSE)</f>
        <v>PPOIFP</v>
      </c>
    </row>
    <row r="1291" spans="1:5" x14ac:dyDescent="0.25">
      <c r="A1291" s="108">
        <v>201601</v>
      </c>
      <c r="B1291" s="109" t="s">
        <v>188</v>
      </c>
      <c r="C1291" s="108">
        <v>0</v>
      </c>
      <c r="D1291" s="110"/>
      <c r="E1291" t="str">
        <f>VLOOKUP(B1291,CAC!$A$2:$B$198,2,FALSE)</f>
        <v>PPOIFP</v>
      </c>
    </row>
    <row r="1292" spans="1:5" x14ac:dyDescent="0.25">
      <c r="A1292" s="108">
        <v>201601</v>
      </c>
      <c r="B1292" s="109" t="s">
        <v>189</v>
      </c>
      <c r="C1292" s="108">
        <v>0</v>
      </c>
      <c r="D1292" s="110"/>
      <c r="E1292" t="str">
        <f>VLOOKUP(B1292,CAC!$A$2:$B$198,2,FALSE)</f>
        <v>PPOIFP</v>
      </c>
    </row>
    <row r="1293" spans="1:5" x14ac:dyDescent="0.25">
      <c r="A1293" s="108">
        <v>201601</v>
      </c>
      <c r="B1293" s="109" t="s">
        <v>331</v>
      </c>
      <c r="C1293" s="108">
        <v>0</v>
      </c>
      <c r="D1293" s="110"/>
      <c r="E1293" t="e">
        <f>VLOOKUP(B1293,CAC!$A$2:$B$198,2,FALSE)</f>
        <v>#N/A</v>
      </c>
    </row>
    <row r="1294" spans="1:5" x14ac:dyDescent="0.25">
      <c r="A1294" s="108">
        <v>201601</v>
      </c>
      <c r="B1294" s="109" t="s">
        <v>216</v>
      </c>
      <c r="C1294" s="108">
        <v>0</v>
      </c>
      <c r="D1294" s="110"/>
      <c r="E1294" t="str">
        <f>VLOOKUP(B1294,CAC!$A$2:$B$198,2,FALSE)</f>
        <v>PPOMM</v>
      </c>
    </row>
    <row r="1295" spans="1:5" x14ac:dyDescent="0.25">
      <c r="A1295" s="108">
        <v>201601</v>
      </c>
      <c r="B1295" s="109" t="s">
        <v>301</v>
      </c>
      <c r="C1295" s="108">
        <v>0</v>
      </c>
      <c r="D1295" s="110"/>
      <c r="E1295" t="str">
        <f>VLOOKUP(B1295,CAC!$A$2:$B$198,2,FALSE)</f>
        <v>XXX</v>
      </c>
    </row>
    <row r="1296" spans="1:5" x14ac:dyDescent="0.25">
      <c r="A1296" s="108">
        <v>201602</v>
      </c>
      <c r="B1296" s="109" t="s">
        <v>51</v>
      </c>
      <c r="C1296" s="108">
        <v>44</v>
      </c>
      <c r="D1296" s="110"/>
      <c r="E1296" t="str">
        <f>VLOOKUP(B1296,CAC!$A$2:$B$198,2,FALSE)</f>
        <v>XXX</v>
      </c>
    </row>
    <row r="1297" spans="1:5" x14ac:dyDescent="0.25">
      <c r="A1297" s="108">
        <v>201602</v>
      </c>
      <c r="B1297" s="109" t="s">
        <v>303</v>
      </c>
      <c r="C1297" s="108">
        <v>0</v>
      </c>
      <c r="D1297" s="110"/>
      <c r="E1297" t="e">
        <f>VLOOKUP(B1297,CAC!$A$2:$B$198,2,FALSE)</f>
        <v>#N/A</v>
      </c>
    </row>
    <row r="1298" spans="1:5" x14ac:dyDescent="0.25">
      <c r="A1298" s="108">
        <v>201602</v>
      </c>
      <c r="B1298" s="109" t="s">
        <v>304</v>
      </c>
      <c r="C1298" s="108">
        <v>0</v>
      </c>
      <c r="D1298" s="110"/>
      <c r="E1298" t="e">
        <f>VLOOKUP(B1298,CAC!$A$2:$B$198,2,FALSE)</f>
        <v>#N/A</v>
      </c>
    </row>
    <row r="1299" spans="1:5" x14ac:dyDescent="0.25">
      <c r="A1299" s="108">
        <v>201602</v>
      </c>
      <c r="B1299" s="109" t="s">
        <v>323</v>
      </c>
      <c r="C1299" s="108">
        <v>0</v>
      </c>
      <c r="D1299" s="110"/>
      <c r="E1299" t="e">
        <f>VLOOKUP(B1299,CAC!$A$2:$B$198,2,FALSE)</f>
        <v>#N/A</v>
      </c>
    </row>
    <row r="1300" spans="1:5" x14ac:dyDescent="0.25">
      <c r="A1300" s="108">
        <v>201602</v>
      </c>
      <c r="B1300" s="109" t="s">
        <v>305</v>
      </c>
      <c r="C1300" s="108">
        <v>0</v>
      </c>
      <c r="D1300" s="110"/>
      <c r="E1300" t="e">
        <f>VLOOKUP(B1300,CAC!$A$2:$B$198,2,FALSE)</f>
        <v>#N/A</v>
      </c>
    </row>
    <row r="1301" spans="1:5" x14ac:dyDescent="0.25">
      <c r="A1301" s="108">
        <v>201602</v>
      </c>
      <c r="B1301" s="109" t="s">
        <v>324</v>
      </c>
      <c r="C1301" s="108">
        <v>0</v>
      </c>
      <c r="D1301" s="110"/>
      <c r="E1301" t="e">
        <f>VLOOKUP(B1301,CAC!$A$2:$B$198,2,FALSE)</f>
        <v>#N/A</v>
      </c>
    </row>
    <row r="1302" spans="1:5" x14ac:dyDescent="0.25">
      <c r="A1302" s="108">
        <v>201602</v>
      </c>
      <c r="B1302" s="109" t="s">
        <v>327</v>
      </c>
      <c r="C1302" s="108">
        <v>0</v>
      </c>
      <c r="D1302" s="110"/>
      <c r="E1302" t="e">
        <f>VLOOKUP(B1302,CAC!$A$2:$B$198,2,FALSE)</f>
        <v>#N/A</v>
      </c>
    </row>
    <row r="1303" spans="1:5" x14ac:dyDescent="0.25">
      <c r="A1303" s="108">
        <v>201602</v>
      </c>
      <c r="B1303" s="109" t="s">
        <v>318</v>
      </c>
      <c r="C1303" s="108">
        <v>0</v>
      </c>
      <c r="D1303" s="110"/>
      <c r="E1303" t="e">
        <f>VLOOKUP(B1303,CAC!$A$2:$B$198,2,FALSE)</f>
        <v>#N/A</v>
      </c>
    </row>
    <row r="1304" spans="1:5" x14ac:dyDescent="0.25">
      <c r="A1304" s="108">
        <v>201602</v>
      </c>
      <c r="B1304" s="109" t="s">
        <v>326</v>
      </c>
      <c r="C1304" s="108">
        <v>0</v>
      </c>
      <c r="D1304" s="110"/>
      <c r="E1304" t="e">
        <f>VLOOKUP(B1304,CAC!$A$2:$B$198,2,FALSE)</f>
        <v>#N/A</v>
      </c>
    </row>
    <row r="1305" spans="1:5" x14ac:dyDescent="0.25">
      <c r="A1305" s="108">
        <v>201602</v>
      </c>
      <c r="B1305" s="109" t="s">
        <v>231</v>
      </c>
      <c r="C1305" s="108">
        <v>0</v>
      </c>
      <c r="D1305" s="110"/>
      <c r="E1305" t="str">
        <f>VLOOKUP(B1305,CAC!$A$2:$B$198,2,FALSE)</f>
        <v>DOILG</v>
      </c>
    </row>
    <row r="1306" spans="1:5" x14ac:dyDescent="0.25">
      <c r="A1306" s="108">
        <v>201602</v>
      </c>
      <c r="B1306" s="109" t="s">
        <v>233</v>
      </c>
      <c r="C1306" s="108">
        <v>0</v>
      </c>
      <c r="D1306" s="110"/>
      <c r="E1306" t="str">
        <f>VLOOKUP(B1306,CAC!$A$2:$B$198,2,FALSE)</f>
        <v>DOILG</v>
      </c>
    </row>
    <row r="1307" spans="1:5" x14ac:dyDescent="0.25">
      <c r="A1307" s="108">
        <v>201602</v>
      </c>
      <c r="B1307" s="109" t="s">
        <v>235</v>
      </c>
      <c r="C1307" s="108">
        <v>0</v>
      </c>
      <c r="D1307" s="110"/>
      <c r="E1307" t="str">
        <f>VLOOKUP(B1307,CAC!$A$2:$B$198,2,FALSE)</f>
        <v>DOILG</v>
      </c>
    </row>
    <row r="1308" spans="1:5" x14ac:dyDescent="0.25">
      <c r="A1308" s="108">
        <v>201602</v>
      </c>
      <c r="B1308" s="109" t="s">
        <v>237</v>
      </c>
      <c r="C1308" s="108">
        <v>0</v>
      </c>
      <c r="D1308" s="110"/>
      <c r="E1308" t="str">
        <f>VLOOKUP(B1308,CAC!$A$2:$B$198,2,FALSE)</f>
        <v>DOILG</v>
      </c>
    </row>
    <row r="1309" spans="1:5" x14ac:dyDescent="0.25">
      <c r="A1309" s="108">
        <v>201602</v>
      </c>
      <c r="B1309" s="109" t="s">
        <v>247</v>
      </c>
      <c r="C1309" s="108">
        <v>0</v>
      </c>
      <c r="D1309" s="110"/>
      <c r="E1309" t="str">
        <f>VLOOKUP(B1309,CAC!$A$2:$B$198,2,FALSE)</f>
        <v>DOIIFP</v>
      </c>
    </row>
    <row r="1310" spans="1:5" x14ac:dyDescent="0.25">
      <c r="A1310" s="108">
        <v>201602</v>
      </c>
      <c r="B1310" s="109" t="s">
        <v>238</v>
      </c>
      <c r="C1310" s="108">
        <v>0</v>
      </c>
      <c r="D1310" s="110"/>
      <c r="E1310" t="str">
        <f>VLOOKUP(B1310,CAC!$A$2:$B$198,2,FALSE)</f>
        <v>DOILG</v>
      </c>
    </row>
    <row r="1311" spans="1:5" x14ac:dyDescent="0.25">
      <c r="A1311" s="108">
        <v>201602</v>
      </c>
      <c r="B1311" s="109" t="s">
        <v>248</v>
      </c>
      <c r="C1311" s="108">
        <v>0</v>
      </c>
      <c r="D1311" s="110"/>
      <c r="E1311" t="str">
        <f>VLOOKUP(B1311,CAC!$A$2:$B$198,2,FALSE)</f>
        <v>DOIIFP</v>
      </c>
    </row>
    <row r="1312" spans="1:5" x14ac:dyDescent="0.25">
      <c r="A1312" s="108">
        <v>201602</v>
      </c>
      <c r="B1312" s="109" t="s">
        <v>328</v>
      </c>
      <c r="C1312" s="108">
        <v>0</v>
      </c>
      <c r="D1312" s="110"/>
      <c r="E1312" t="e">
        <f>VLOOKUP(B1312,CAC!$A$2:$B$198,2,FALSE)</f>
        <v>#N/A</v>
      </c>
    </row>
    <row r="1313" spans="1:5" x14ac:dyDescent="0.25">
      <c r="A1313" s="108">
        <v>201602</v>
      </c>
      <c r="B1313" s="109" t="s">
        <v>325</v>
      </c>
      <c r="C1313" s="108">
        <v>0</v>
      </c>
      <c r="D1313" s="110"/>
      <c r="E1313" t="e">
        <f>VLOOKUP(B1313,CAC!$A$2:$B$198,2,FALSE)</f>
        <v>#N/A</v>
      </c>
    </row>
    <row r="1314" spans="1:5" x14ac:dyDescent="0.25">
      <c r="A1314" s="108">
        <v>201602</v>
      </c>
      <c r="B1314" s="109" t="s">
        <v>255</v>
      </c>
      <c r="C1314" s="108">
        <v>0</v>
      </c>
      <c r="D1314" s="110"/>
      <c r="E1314" t="str">
        <f>VLOOKUP(B1314,CAC!$A$2:$B$198,2,FALSE)</f>
        <v>AGDMHC</v>
      </c>
    </row>
    <row r="1315" spans="1:5" x14ac:dyDescent="0.25">
      <c r="A1315" s="108">
        <v>201602</v>
      </c>
      <c r="B1315" s="109" t="s">
        <v>256</v>
      </c>
      <c r="C1315" s="108">
        <v>0</v>
      </c>
      <c r="D1315" s="110"/>
      <c r="E1315" t="str">
        <f>VLOOKUP(B1315,CAC!$A$2:$B$198,2,FALSE)</f>
        <v>AGDMHC</v>
      </c>
    </row>
    <row r="1316" spans="1:5" x14ac:dyDescent="0.25">
      <c r="A1316" s="108">
        <v>201602</v>
      </c>
      <c r="B1316" s="109" t="s">
        <v>257</v>
      </c>
      <c r="C1316" s="108">
        <v>0</v>
      </c>
      <c r="D1316" s="110"/>
      <c r="E1316" t="str">
        <f>VLOOKUP(B1316,CAC!$A$2:$B$198,2,FALSE)</f>
        <v>AGDMHC</v>
      </c>
    </row>
    <row r="1317" spans="1:5" x14ac:dyDescent="0.25">
      <c r="A1317" s="108">
        <v>201602</v>
      </c>
      <c r="B1317" s="109" t="s">
        <v>258</v>
      </c>
      <c r="C1317" s="108">
        <v>0</v>
      </c>
      <c r="D1317" s="110"/>
      <c r="E1317" t="str">
        <f>VLOOKUP(B1317,CAC!$A$2:$B$198,2,FALSE)</f>
        <v>AGDMHC</v>
      </c>
    </row>
    <row r="1318" spans="1:5" x14ac:dyDescent="0.25">
      <c r="A1318" s="108">
        <v>201602</v>
      </c>
      <c r="B1318" s="109" t="s">
        <v>259</v>
      </c>
      <c r="C1318" s="108">
        <v>0</v>
      </c>
      <c r="D1318" s="110"/>
      <c r="E1318" t="str">
        <f>VLOOKUP(B1318,CAC!$A$2:$B$198,2,FALSE)</f>
        <v>AGDMHC</v>
      </c>
    </row>
    <row r="1319" spans="1:5" x14ac:dyDescent="0.25">
      <c r="A1319" s="108">
        <v>201602</v>
      </c>
      <c r="B1319" s="109" t="s">
        <v>329</v>
      </c>
      <c r="C1319" s="108">
        <v>0</v>
      </c>
      <c r="D1319" s="110"/>
      <c r="E1319" t="e">
        <f>VLOOKUP(B1319,CAC!$A$2:$B$198,2,FALSE)</f>
        <v>#N/A</v>
      </c>
    </row>
    <row r="1320" spans="1:5" x14ac:dyDescent="0.25">
      <c r="A1320" s="108">
        <v>201602</v>
      </c>
      <c r="B1320" s="109" t="s">
        <v>262</v>
      </c>
      <c r="C1320" s="108">
        <v>0</v>
      </c>
      <c r="D1320" s="110"/>
      <c r="E1320" t="str">
        <f>VLOOKUP(B1320,CAC!$A$2:$B$198,2,FALSE)</f>
        <v>AGDMHC</v>
      </c>
    </row>
    <row r="1321" spans="1:5" x14ac:dyDescent="0.25">
      <c r="A1321" s="108">
        <v>201602</v>
      </c>
      <c r="B1321" s="109" t="s">
        <v>264</v>
      </c>
      <c r="C1321" s="108">
        <v>0</v>
      </c>
      <c r="D1321" s="110"/>
      <c r="E1321" t="str">
        <f>VLOOKUP(B1321,CAC!$A$2:$B$198,2,FALSE)</f>
        <v>AGDMHC</v>
      </c>
    </row>
    <row r="1322" spans="1:5" x14ac:dyDescent="0.25">
      <c r="A1322" s="108">
        <v>201602</v>
      </c>
      <c r="B1322" s="109" t="s">
        <v>269</v>
      </c>
      <c r="C1322" s="108">
        <v>0</v>
      </c>
      <c r="D1322" s="110"/>
      <c r="E1322" t="str">
        <f>VLOOKUP(B1322,CAC!$A$2:$B$198,2,FALSE)</f>
        <v>AGDMHC</v>
      </c>
    </row>
    <row r="1323" spans="1:5" x14ac:dyDescent="0.25">
      <c r="A1323" s="108">
        <v>201602</v>
      </c>
      <c r="B1323" s="109" t="s">
        <v>319</v>
      </c>
      <c r="C1323" s="108">
        <v>0</v>
      </c>
      <c r="D1323" s="110"/>
      <c r="E1323" t="e">
        <f>VLOOKUP(B1323,CAC!$A$2:$B$198,2,FALSE)</f>
        <v>#N/A</v>
      </c>
    </row>
    <row r="1324" spans="1:5" x14ac:dyDescent="0.25">
      <c r="A1324" s="108">
        <v>201602</v>
      </c>
      <c r="B1324" s="109" t="s">
        <v>265</v>
      </c>
      <c r="C1324" s="108">
        <v>0</v>
      </c>
      <c r="D1324" s="110"/>
      <c r="E1324" t="str">
        <f>VLOOKUP(B1324,CAC!$A$2:$B$198,2,FALSE)</f>
        <v>AGDMHC</v>
      </c>
    </row>
    <row r="1325" spans="1:5" x14ac:dyDescent="0.25">
      <c r="A1325" s="108">
        <v>201602</v>
      </c>
      <c r="B1325" s="109" t="s">
        <v>266</v>
      </c>
      <c r="C1325" s="108">
        <v>0</v>
      </c>
      <c r="D1325" s="110"/>
      <c r="E1325" t="str">
        <f>VLOOKUP(B1325,CAC!$A$2:$B$198,2,FALSE)</f>
        <v>AGDMHC</v>
      </c>
    </row>
    <row r="1326" spans="1:5" x14ac:dyDescent="0.25">
      <c r="A1326" s="108">
        <v>201602</v>
      </c>
      <c r="B1326" s="109" t="s">
        <v>267</v>
      </c>
      <c r="C1326" s="108">
        <v>0</v>
      </c>
      <c r="D1326" s="110"/>
      <c r="E1326" t="str">
        <f>VLOOKUP(B1326,CAC!$A$2:$B$198,2,FALSE)</f>
        <v>AGDMHC</v>
      </c>
    </row>
    <row r="1327" spans="1:5" x14ac:dyDescent="0.25">
      <c r="A1327" s="108">
        <v>201602</v>
      </c>
      <c r="B1327" s="109" t="s">
        <v>268</v>
      </c>
      <c r="C1327" s="108">
        <v>0</v>
      </c>
      <c r="D1327" s="110"/>
      <c r="E1327" t="str">
        <f>VLOOKUP(B1327,CAC!$A$2:$B$198,2,FALSE)</f>
        <v>AGDMHC</v>
      </c>
    </row>
    <row r="1328" spans="1:5" x14ac:dyDescent="0.25">
      <c r="A1328" s="108">
        <v>201602</v>
      </c>
      <c r="B1328" s="109" t="s">
        <v>52</v>
      </c>
      <c r="C1328" s="108">
        <v>15632</v>
      </c>
      <c r="D1328" s="110"/>
      <c r="E1328" t="str">
        <f>VLOOKUP(B1328,CAC!$A$2:$B$198,2,FALSE)</f>
        <v>HMOPMR</v>
      </c>
    </row>
    <row r="1329" spans="1:5" x14ac:dyDescent="0.25">
      <c r="A1329" s="108">
        <v>201602</v>
      </c>
      <c r="B1329" s="109" t="s">
        <v>53</v>
      </c>
      <c r="C1329" s="108">
        <v>4623</v>
      </c>
      <c r="D1329" s="110"/>
      <c r="E1329" t="str">
        <f>VLOOKUP(B1329,CAC!$A$2:$B$198,2,FALSE)</f>
        <v>HMOPMR</v>
      </c>
    </row>
    <row r="1330" spans="1:5" x14ac:dyDescent="0.25">
      <c r="A1330" s="108">
        <v>201602</v>
      </c>
      <c r="B1330" s="109" t="s">
        <v>54</v>
      </c>
      <c r="C1330" s="108">
        <v>6099</v>
      </c>
      <c r="D1330" s="110"/>
      <c r="E1330" t="str">
        <f>VLOOKUP(B1330,CAC!$A$2:$B$198,2,FALSE)</f>
        <v>HMOFEP</v>
      </c>
    </row>
    <row r="1331" spans="1:5" x14ac:dyDescent="0.25">
      <c r="A1331" s="108">
        <v>201602</v>
      </c>
      <c r="B1331" s="109" t="s">
        <v>279</v>
      </c>
      <c r="C1331" s="108">
        <v>0</v>
      </c>
      <c r="D1331" s="110"/>
      <c r="E1331" t="str">
        <f>VLOOKUP(B1331,CAC!$A$2:$B$198,2,FALSE)</f>
        <v>PPOFEP</v>
      </c>
    </row>
    <row r="1332" spans="1:5" x14ac:dyDescent="0.25">
      <c r="A1332" s="108">
        <v>201602</v>
      </c>
      <c r="B1332" s="109" t="s">
        <v>202</v>
      </c>
      <c r="C1332" s="108">
        <v>0</v>
      </c>
      <c r="D1332" s="110"/>
      <c r="E1332" t="str">
        <f>VLOOKUP(B1332,CAC!$A$2:$B$198,2,FALSE)</f>
        <v>PPOPMR</v>
      </c>
    </row>
    <row r="1333" spans="1:5" x14ac:dyDescent="0.25">
      <c r="A1333" s="108">
        <v>201602</v>
      </c>
      <c r="B1333" s="109" t="s">
        <v>55</v>
      </c>
      <c r="C1333" s="108">
        <v>15055</v>
      </c>
      <c r="D1333" s="110"/>
      <c r="E1333" t="str">
        <f>VLOOKUP(B1333,CAC!$A$2:$B$198,2,FALSE)</f>
        <v>HMOPMR</v>
      </c>
    </row>
    <row r="1334" spans="1:5" x14ac:dyDescent="0.25">
      <c r="A1334" s="108">
        <v>201602</v>
      </c>
      <c r="B1334" s="109" t="s">
        <v>56</v>
      </c>
      <c r="C1334" s="108">
        <v>122</v>
      </c>
      <c r="D1334" s="110"/>
      <c r="E1334" t="str">
        <f>VLOOKUP(B1334,CAC!$A$2:$B$198,2,FALSE)</f>
        <v>HMOPMR</v>
      </c>
    </row>
    <row r="1335" spans="1:5" x14ac:dyDescent="0.25">
      <c r="A1335" s="108">
        <v>201602</v>
      </c>
      <c r="B1335" s="109" t="s">
        <v>83</v>
      </c>
      <c r="C1335" s="108">
        <v>695</v>
      </c>
      <c r="D1335" s="110"/>
      <c r="E1335" t="str">
        <f>VLOOKUP(B1335,CAC!$A$2:$B$198,2,FALSE)</f>
        <v>HMOPMR</v>
      </c>
    </row>
    <row r="1336" spans="1:5" x14ac:dyDescent="0.25">
      <c r="A1336" s="108">
        <v>201602</v>
      </c>
      <c r="B1336" s="109" t="s">
        <v>57</v>
      </c>
      <c r="C1336" s="108">
        <v>5997</v>
      </c>
      <c r="D1336" s="110"/>
      <c r="E1336" t="str">
        <f>VLOOKUP(B1336,CAC!$A$2:$B$198,2,FALSE)</f>
        <v>HMFLEX</v>
      </c>
    </row>
    <row r="1337" spans="1:5" x14ac:dyDescent="0.25">
      <c r="A1337" s="108">
        <v>201602</v>
      </c>
      <c r="B1337" s="109" t="s">
        <v>58</v>
      </c>
      <c r="C1337" s="108">
        <v>370</v>
      </c>
      <c r="D1337" s="110"/>
      <c r="E1337" t="str">
        <f>VLOOKUP(B1337,CAC!$A$2:$B$198,2,FALSE)</f>
        <v>HMFLEX</v>
      </c>
    </row>
    <row r="1338" spans="1:5" x14ac:dyDescent="0.25">
      <c r="A1338" s="108">
        <v>201602</v>
      </c>
      <c r="B1338" s="109" t="s">
        <v>306</v>
      </c>
      <c r="C1338" s="108">
        <v>0</v>
      </c>
      <c r="D1338" s="110"/>
      <c r="E1338" t="e">
        <f>VLOOKUP(B1338,CAC!$A$2:$B$198,2,FALSE)</f>
        <v>#N/A</v>
      </c>
    </row>
    <row r="1339" spans="1:5" x14ac:dyDescent="0.25">
      <c r="A1339" s="108">
        <v>201602</v>
      </c>
      <c r="B1339" s="109" t="s">
        <v>283</v>
      </c>
      <c r="C1339" s="108">
        <v>0</v>
      </c>
      <c r="D1339" s="110"/>
      <c r="E1339" t="str">
        <f>VLOOKUP(B1339,CAC!$A$2:$B$198,2,FALSE)</f>
        <v>HMFLEX</v>
      </c>
    </row>
    <row r="1340" spans="1:5" x14ac:dyDescent="0.25">
      <c r="A1340" s="108">
        <v>201602</v>
      </c>
      <c r="B1340" s="109" t="s">
        <v>205</v>
      </c>
      <c r="C1340" s="108">
        <v>0</v>
      </c>
      <c r="D1340" s="110"/>
      <c r="E1340" t="str">
        <f>VLOOKUP(B1340,CAC!$A$2:$B$198,2,FALSE)</f>
        <v>PPOPMR</v>
      </c>
    </row>
    <row r="1341" spans="1:5" x14ac:dyDescent="0.25">
      <c r="A1341" s="108">
        <v>201602</v>
      </c>
      <c r="B1341" s="109" t="s">
        <v>286</v>
      </c>
      <c r="C1341" s="108">
        <v>0</v>
      </c>
      <c r="D1341" s="110"/>
      <c r="E1341" t="str">
        <f>VLOOKUP(B1341,CAC!$A$2:$B$198,2,FALSE)</f>
        <v>HMFLEX</v>
      </c>
    </row>
    <row r="1342" spans="1:5" x14ac:dyDescent="0.25">
      <c r="A1342" s="108">
        <v>201602</v>
      </c>
      <c r="B1342" s="109" t="s">
        <v>60</v>
      </c>
      <c r="C1342" s="108">
        <v>13665</v>
      </c>
      <c r="D1342" s="110"/>
      <c r="E1342" t="str">
        <f>VLOOKUP(B1342,CAC!$A$2:$B$198,2,FALSE)</f>
        <v>HMOLG</v>
      </c>
    </row>
    <row r="1343" spans="1:5" x14ac:dyDescent="0.25">
      <c r="A1343" s="108">
        <v>201602</v>
      </c>
      <c r="B1343" s="109" t="s">
        <v>61</v>
      </c>
      <c r="C1343" s="108">
        <v>684</v>
      </c>
      <c r="D1343" s="110"/>
      <c r="E1343" t="str">
        <f>VLOOKUP(B1343,CAC!$A$2:$B$198,2,FALSE)</f>
        <v>HMOLG</v>
      </c>
    </row>
    <row r="1344" spans="1:5" x14ac:dyDescent="0.25">
      <c r="A1344" s="108">
        <v>201602</v>
      </c>
      <c r="B1344" s="109" t="s">
        <v>62</v>
      </c>
      <c r="C1344" s="108">
        <v>24674</v>
      </c>
      <c r="D1344" s="110"/>
      <c r="E1344" t="str">
        <f>VLOOKUP(B1344,CAC!$A$2:$B$198,2,FALSE)</f>
        <v>HMOLG</v>
      </c>
    </row>
    <row r="1345" spans="1:5" x14ac:dyDescent="0.25">
      <c r="A1345" s="108">
        <v>201602</v>
      </c>
      <c r="B1345" s="109" t="s">
        <v>63</v>
      </c>
      <c r="C1345" s="108">
        <v>154</v>
      </c>
      <c r="D1345" s="110"/>
      <c r="E1345" t="str">
        <f>VLOOKUP(B1345,CAC!$A$2:$B$198,2,FALSE)</f>
        <v>HMOLG</v>
      </c>
    </row>
    <row r="1346" spans="1:5" x14ac:dyDescent="0.25">
      <c r="A1346" s="108">
        <v>201602</v>
      </c>
      <c r="B1346" s="109" t="s">
        <v>64</v>
      </c>
      <c r="C1346" s="108">
        <v>0</v>
      </c>
      <c r="D1346" s="110"/>
      <c r="E1346" t="str">
        <f>VLOOKUP(B1346,CAC!$A$2:$B$198,2,FALSE)</f>
        <v>HMOLG</v>
      </c>
    </row>
    <row r="1347" spans="1:5" x14ac:dyDescent="0.25">
      <c r="A1347" s="108">
        <v>201602</v>
      </c>
      <c r="B1347" s="109" t="s">
        <v>65</v>
      </c>
      <c r="C1347" s="108">
        <v>230</v>
      </c>
      <c r="D1347" s="110"/>
      <c r="E1347" t="str">
        <f>VLOOKUP(B1347,CAC!$A$2:$B$198,2,FALSE)</f>
        <v>HMFLEX</v>
      </c>
    </row>
    <row r="1348" spans="1:5" x14ac:dyDescent="0.25">
      <c r="A1348" s="108">
        <v>201602</v>
      </c>
      <c r="B1348" s="109" t="s">
        <v>307</v>
      </c>
      <c r="C1348" s="108">
        <v>0</v>
      </c>
      <c r="D1348" s="110"/>
      <c r="E1348" t="e">
        <f>VLOOKUP(B1348,CAC!$A$2:$B$198,2,FALSE)</f>
        <v>#N/A</v>
      </c>
    </row>
    <row r="1349" spans="1:5" x14ac:dyDescent="0.25">
      <c r="A1349" s="108">
        <v>201602</v>
      </c>
      <c r="B1349" s="109" t="s">
        <v>308</v>
      </c>
      <c r="C1349" s="108">
        <v>0</v>
      </c>
      <c r="D1349" s="110"/>
      <c r="E1349" t="e">
        <f>VLOOKUP(B1349,CAC!$A$2:$B$198,2,FALSE)</f>
        <v>#N/A</v>
      </c>
    </row>
    <row r="1350" spans="1:5" x14ac:dyDescent="0.25">
      <c r="A1350" s="108">
        <v>201602</v>
      </c>
      <c r="B1350" s="109" t="s">
        <v>309</v>
      </c>
      <c r="C1350" s="108">
        <v>0</v>
      </c>
      <c r="D1350" s="110"/>
      <c r="E1350" t="e">
        <f>VLOOKUP(B1350,CAC!$A$2:$B$198,2,FALSE)</f>
        <v>#N/A</v>
      </c>
    </row>
    <row r="1351" spans="1:5" x14ac:dyDescent="0.25">
      <c r="A1351" s="108">
        <v>201602</v>
      </c>
      <c r="B1351" s="109" t="s">
        <v>99</v>
      </c>
      <c r="C1351" s="108">
        <v>0</v>
      </c>
      <c r="D1351" s="110"/>
      <c r="E1351" t="str">
        <f>VLOOKUP(B1351,CAC!$A$2:$B$198,2,FALSE)</f>
        <v>PPOLG</v>
      </c>
    </row>
    <row r="1352" spans="1:5" x14ac:dyDescent="0.25">
      <c r="A1352" s="108">
        <v>201602</v>
      </c>
      <c r="B1352" s="109" t="s">
        <v>193</v>
      </c>
      <c r="C1352" s="108">
        <v>0</v>
      </c>
      <c r="D1352" s="110"/>
      <c r="E1352" t="str">
        <f>VLOOKUP(B1352,CAC!$A$2:$B$198,2,FALSE)</f>
        <v>PPOLG</v>
      </c>
    </row>
    <row r="1353" spans="1:5" x14ac:dyDescent="0.25">
      <c r="A1353" s="108">
        <v>201602</v>
      </c>
      <c r="B1353" s="109" t="s">
        <v>196</v>
      </c>
      <c r="C1353" s="108">
        <v>0</v>
      </c>
      <c r="D1353" s="110"/>
      <c r="E1353" t="str">
        <f>VLOOKUP(B1353,CAC!$A$2:$B$198,2,FALSE)</f>
        <v>PPOLG</v>
      </c>
    </row>
    <row r="1354" spans="1:5" x14ac:dyDescent="0.25">
      <c r="A1354" s="108">
        <v>201602</v>
      </c>
      <c r="B1354" s="109" t="s">
        <v>212</v>
      </c>
      <c r="C1354" s="108">
        <v>0</v>
      </c>
      <c r="D1354" s="110"/>
      <c r="E1354" t="str">
        <f>VLOOKUP(B1354,CAC!$A$2:$B$198,2,FALSE)</f>
        <v>PPOMM</v>
      </c>
    </row>
    <row r="1355" spans="1:5" x14ac:dyDescent="0.25">
      <c r="A1355" s="108">
        <v>201602</v>
      </c>
      <c r="B1355" s="109" t="s">
        <v>213</v>
      </c>
      <c r="C1355" s="108">
        <v>0</v>
      </c>
      <c r="D1355" s="110"/>
      <c r="E1355" t="str">
        <f>VLOOKUP(B1355,CAC!$A$2:$B$198,2,FALSE)</f>
        <v>PPOMM</v>
      </c>
    </row>
    <row r="1356" spans="1:5" x14ac:dyDescent="0.25">
      <c r="A1356" s="108">
        <v>201602</v>
      </c>
      <c r="B1356" s="109" t="s">
        <v>311</v>
      </c>
      <c r="C1356" s="108">
        <v>0</v>
      </c>
      <c r="D1356" s="110"/>
      <c r="E1356" t="e">
        <f>VLOOKUP(B1356,CAC!$A$2:$B$198,2,FALSE)</f>
        <v>#N/A</v>
      </c>
    </row>
    <row r="1357" spans="1:5" x14ac:dyDescent="0.25">
      <c r="A1357" s="108">
        <v>201602</v>
      </c>
      <c r="B1357" s="109" t="s">
        <v>320</v>
      </c>
      <c r="C1357" s="108">
        <v>0</v>
      </c>
      <c r="D1357" s="110"/>
      <c r="E1357" t="e">
        <f>VLOOKUP(B1357,CAC!$A$2:$B$198,2,FALSE)</f>
        <v>#N/A</v>
      </c>
    </row>
    <row r="1358" spans="1:5" x14ac:dyDescent="0.25">
      <c r="A1358" s="108">
        <v>201602</v>
      </c>
      <c r="B1358" s="109" t="s">
        <v>321</v>
      </c>
      <c r="C1358" s="108">
        <v>0</v>
      </c>
      <c r="D1358" s="110"/>
      <c r="E1358" t="e">
        <f>VLOOKUP(B1358,CAC!$A$2:$B$198,2,FALSE)</f>
        <v>#N/A</v>
      </c>
    </row>
    <row r="1359" spans="1:5" x14ac:dyDescent="0.25">
      <c r="A1359" s="108">
        <v>201602</v>
      </c>
      <c r="B1359" s="109" t="s">
        <v>312</v>
      </c>
      <c r="C1359" s="108">
        <v>0</v>
      </c>
      <c r="D1359" s="110"/>
      <c r="E1359" t="e">
        <f>VLOOKUP(B1359,CAC!$A$2:$B$198,2,FALSE)</f>
        <v>#N/A</v>
      </c>
    </row>
    <row r="1360" spans="1:5" x14ac:dyDescent="0.25">
      <c r="A1360" s="108">
        <v>201602</v>
      </c>
      <c r="B1360" s="109" t="s">
        <v>215</v>
      </c>
      <c r="C1360" s="108">
        <v>0</v>
      </c>
      <c r="D1360" s="110"/>
      <c r="E1360" t="str">
        <f>VLOOKUP(B1360,CAC!$A$2:$B$198,2,FALSE)</f>
        <v>PPOMM</v>
      </c>
    </row>
    <row r="1361" spans="1:5" x14ac:dyDescent="0.25">
      <c r="A1361" s="108">
        <v>201602</v>
      </c>
      <c r="B1361" s="109" t="s">
        <v>66</v>
      </c>
      <c r="C1361" s="108">
        <v>3942</v>
      </c>
      <c r="D1361" s="110"/>
      <c r="E1361" t="str">
        <f>VLOOKUP(B1361,CAC!$A$2:$B$198,2,FALSE)</f>
        <v>HMOLG</v>
      </c>
    </row>
    <row r="1362" spans="1:5" x14ac:dyDescent="0.25">
      <c r="A1362" s="108">
        <v>201602</v>
      </c>
      <c r="B1362" s="109" t="s">
        <v>82</v>
      </c>
      <c r="C1362" s="108">
        <v>2</v>
      </c>
      <c r="D1362" s="110"/>
      <c r="E1362" t="str">
        <f>VLOOKUP(B1362,CAC!$A$2:$B$198,2,FALSE)</f>
        <v>NATPAR</v>
      </c>
    </row>
    <row r="1363" spans="1:5" x14ac:dyDescent="0.25">
      <c r="A1363" s="108">
        <v>201602</v>
      </c>
      <c r="B1363" s="109" t="s">
        <v>67</v>
      </c>
      <c r="C1363" s="108">
        <v>142</v>
      </c>
      <c r="D1363" s="110"/>
      <c r="E1363" t="str">
        <f>VLOOKUP(B1363,CAC!$A$2:$B$198,2,FALSE)</f>
        <v>HMOLG</v>
      </c>
    </row>
    <row r="1364" spans="1:5" x14ac:dyDescent="0.25">
      <c r="A1364" s="108">
        <v>201602</v>
      </c>
      <c r="B1364" s="109" t="s">
        <v>68</v>
      </c>
      <c r="C1364" s="108">
        <v>264</v>
      </c>
      <c r="D1364" s="110"/>
      <c r="E1364" t="str">
        <f>VLOOKUP(B1364,CAC!$A$2:$B$198,2,FALSE)</f>
        <v>HMOPMR</v>
      </c>
    </row>
    <row r="1365" spans="1:5" x14ac:dyDescent="0.25">
      <c r="A1365" s="108">
        <v>201602</v>
      </c>
      <c r="B1365" s="109" t="s">
        <v>69</v>
      </c>
      <c r="C1365" s="108">
        <v>9681</v>
      </c>
      <c r="D1365" s="110"/>
      <c r="E1365" t="str">
        <f>VLOOKUP(B1365,CAC!$A$2:$B$198,2,FALSE)</f>
        <v>HMOPMR</v>
      </c>
    </row>
    <row r="1366" spans="1:5" x14ac:dyDescent="0.25">
      <c r="A1366" s="108">
        <v>201602</v>
      </c>
      <c r="B1366" s="109" t="s">
        <v>70</v>
      </c>
      <c r="C1366" s="108">
        <v>4059</v>
      </c>
      <c r="D1366" s="110"/>
      <c r="E1366" t="str">
        <f>VLOOKUP(B1366,CAC!$A$2:$B$198,2,FALSE)</f>
        <v>HMOPMR</v>
      </c>
    </row>
    <row r="1367" spans="1:5" x14ac:dyDescent="0.25">
      <c r="A1367" s="108">
        <v>201602</v>
      </c>
      <c r="B1367" s="109" t="s">
        <v>71</v>
      </c>
      <c r="C1367" s="108">
        <v>6634</v>
      </c>
      <c r="D1367" s="110"/>
      <c r="E1367" t="str">
        <f>VLOOKUP(B1367,CAC!$A$2:$B$198,2,FALSE)</f>
        <v>HMOPMR</v>
      </c>
    </row>
    <row r="1368" spans="1:5" x14ac:dyDescent="0.25">
      <c r="A1368" s="108">
        <v>201602</v>
      </c>
      <c r="B1368" s="109" t="s">
        <v>72</v>
      </c>
      <c r="C1368" s="108">
        <v>2134</v>
      </c>
      <c r="D1368" s="110"/>
      <c r="E1368" t="str">
        <f>VLOOKUP(B1368,CAC!$A$2:$B$198,2,FALSE)</f>
        <v>HMFLEX</v>
      </c>
    </row>
    <row r="1369" spans="1:5" x14ac:dyDescent="0.25">
      <c r="A1369" s="108">
        <v>201602</v>
      </c>
      <c r="B1369" s="109" t="s">
        <v>314</v>
      </c>
      <c r="C1369" s="108">
        <v>0</v>
      </c>
      <c r="D1369" s="110"/>
      <c r="E1369" t="e">
        <f>VLOOKUP(B1369,CAC!$A$2:$B$198,2,FALSE)</f>
        <v>#N/A</v>
      </c>
    </row>
    <row r="1370" spans="1:5" x14ac:dyDescent="0.25">
      <c r="A1370" s="108">
        <v>201602</v>
      </c>
      <c r="B1370" s="109" t="s">
        <v>322</v>
      </c>
      <c r="C1370" s="108">
        <v>0</v>
      </c>
      <c r="D1370" s="110"/>
      <c r="E1370" t="e">
        <f>VLOOKUP(B1370,CAC!$A$2:$B$198,2,FALSE)</f>
        <v>#N/A</v>
      </c>
    </row>
    <row r="1371" spans="1:5" x14ac:dyDescent="0.25">
      <c r="A1371" s="108">
        <v>201602</v>
      </c>
      <c r="B1371" s="109" t="s">
        <v>315</v>
      </c>
      <c r="C1371" s="108">
        <v>0</v>
      </c>
      <c r="D1371" s="110"/>
      <c r="E1371" t="e">
        <f>VLOOKUP(B1371,CAC!$A$2:$B$198,2,FALSE)</f>
        <v>#N/A</v>
      </c>
    </row>
    <row r="1372" spans="1:5" x14ac:dyDescent="0.25">
      <c r="A1372" s="108">
        <v>201602</v>
      </c>
      <c r="B1372" s="109" t="s">
        <v>112</v>
      </c>
      <c r="C1372" s="108">
        <v>0</v>
      </c>
      <c r="D1372" s="110"/>
      <c r="E1372" t="e">
        <f>VLOOKUP(B1372,CAC!$A$2:$B$198,2,FALSE)</f>
        <v>#N/A</v>
      </c>
    </row>
    <row r="1373" spans="1:5" x14ac:dyDescent="0.25">
      <c r="A1373" s="108">
        <v>201602</v>
      </c>
      <c r="B1373" s="109" t="s">
        <v>316</v>
      </c>
      <c r="C1373" s="108">
        <v>0</v>
      </c>
      <c r="D1373" s="110"/>
      <c r="E1373" t="e">
        <f>VLOOKUP(B1373,CAC!$A$2:$B$198,2,FALSE)</f>
        <v>#N/A</v>
      </c>
    </row>
    <row r="1374" spans="1:5" x14ac:dyDescent="0.25">
      <c r="A1374" s="108">
        <v>201602</v>
      </c>
      <c r="B1374" s="109" t="s">
        <v>317</v>
      </c>
      <c r="C1374" s="108">
        <v>0</v>
      </c>
      <c r="D1374" s="110"/>
      <c r="E1374" t="e">
        <f>VLOOKUP(B1374,CAC!$A$2:$B$198,2,FALSE)</f>
        <v>#N/A</v>
      </c>
    </row>
    <row r="1375" spans="1:5" x14ac:dyDescent="0.25">
      <c r="A1375" s="108">
        <v>201602</v>
      </c>
      <c r="B1375" s="109" t="s">
        <v>113</v>
      </c>
      <c r="C1375" s="108">
        <v>0</v>
      </c>
      <c r="D1375" s="110"/>
      <c r="E1375" t="str">
        <f>VLOOKUP(B1375,CAC!$A$2:$B$198,2,FALSE)</f>
        <v>PPOLG</v>
      </c>
    </row>
    <row r="1376" spans="1:5" x14ac:dyDescent="0.25">
      <c r="A1376" s="108">
        <v>201602</v>
      </c>
      <c r="B1376" s="109" t="s">
        <v>208</v>
      </c>
      <c r="C1376" s="108">
        <v>0</v>
      </c>
      <c r="D1376" s="110"/>
      <c r="E1376" t="str">
        <f>VLOOKUP(B1376,CAC!$A$2:$B$198,2,FALSE)</f>
        <v>PPOPMR</v>
      </c>
    </row>
    <row r="1377" spans="1:5" x14ac:dyDescent="0.25">
      <c r="A1377" s="108">
        <v>201602</v>
      </c>
      <c r="B1377" s="109" t="s">
        <v>209</v>
      </c>
      <c r="C1377" s="108">
        <v>0</v>
      </c>
      <c r="D1377" s="110"/>
      <c r="E1377" t="str">
        <f>VLOOKUP(B1377,CAC!$A$2:$B$198,2,FALSE)</f>
        <v>PPOPMR</v>
      </c>
    </row>
    <row r="1378" spans="1:5" x14ac:dyDescent="0.25">
      <c r="A1378" s="108">
        <v>201602</v>
      </c>
      <c r="B1378" s="109" t="s">
        <v>204</v>
      </c>
      <c r="C1378" s="108">
        <v>0</v>
      </c>
      <c r="D1378" s="110"/>
      <c r="E1378" t="str">
        <f>VLOOKUP(B1378,CAC!$A$2:$B$198,2,FALSE)</f>
        <v>PPOPMR</v>
      </c>
    </row>
    <row r="1379" spans="1:5" x14ac:dyDescent="0.25">
      <c r="A1379" s="108">
        <v>201602</v>
      </c>
      <c r="B1379" s="109" t="s">
        <v>330</v>
      </c>
      <c r="C1379" s="108">
        <v>0</v>
      </c>
      <c r="D1379" s="110"/>
      <c r="E1379" t="e">
        <f>VLOOKUP(B1379,CAC!$A$2:$B$198,2,FALSE)</f>
        <v>#N/A</v>
      </c>
    </row>
    <row r="1380" spans="1:5" x14ac:dyDescent="0.25">
      <c r="A1380" s="108">
        <v>201602</v>
      </c>
      <c r="B1380" s="109" t="s">
        <v>73</v>
      </c>
      <c r="C1380" s="108">
        <v>32591</v>
      </c>
      <c r="D1380" s="108">
        <v>5496</v>
      </c>
      <c r="E1380" t="str">
        <f>VLOOKUP(B1380,CAC!$A$2:$B$198,2,FALSE)</f>
        <v>HMOPERA</v>
      </c>
    </row>
    <row r="1381" spans="1:5" x14ac:dyDescent="0.25">
      <c r="A1381" s="108">
        <v>201602</v>
      </c>
      <c r="B1381" s="109" t="s">
        <v>75</v>
      </c>
      <c r="C1381" s="108">
        <v>25991</v>
      </c>
      <c r="D1381" s="108">
        <v>11932</v>
      </c>
      <c r="E1381" t="str">
        <f>VLOOKUP(B1381,CAC!$A$2:$B$198,2,FALSE)</f>
        <v>HMOPERN</v>
      </c>
    </row>
    <row r="1382" spans="1:5" x14ac:dyDescent="0.25">
      <c r="A1382" s="108">
        <v>201602</v>
      </c>
      <c r="B1382" s="109" t="s">
        <v>218</v>
      </c>
      <c r="C1382" s="108">
        <v>0</v>
      </c>
      <c r="D1382" s="110"/>
      <c r="E1382" t="str">
        <f>VLOOKUP(B1382,CAC!$A$2:$B$198,2,FALSE)</f>
        <v>HMOPERA</v>
      </c>
    </row>
    <row r="1383" spans="1:5" x14ac:dyDescent="0.25">
      <c r="A1383" s="108">
        <v>201602</v>
      </c>
      <c r="B1383" s="109" t="s">
        <v>156</v>
      </c>
      <c r="C1383" s="108">
        <v>24906</v>
      </c>
      <c r="D1383" s="110"/>
      <c r="E1383" t="str">
        <f>VLOOKUP(B1383,CAC!$A$2:$B$198,2,FALSE)</f>
        <v>HMOMM</v>
      </c>
    </row>
    <row r="1384" spans="1:5" x14ac:dyDescent="0.25">
      <c r="A1384" s="108">
        <v>201602</v>
      </c>
      <c r="B1384" s="109" t="s">
        <v>84</v>
      </c>
      <c r="C1384" s="108">
        <v>6807</v>
      </c>
      <c r="D1384" s="110"/>
      <c r="E1384" t="str">
        <f>VLOOKUP(B1384,CAC!$A$2:$B$198,2,FALSE)</f>
        <v>HMOMM</v>
      </c>
    </row>
    <row r="1385" spans="1:5" x14ac:dyDescent="0.25">
      <c r="A1385" s="108">
        <v>201602</v>
      </c>
      <c r="B1385" s="109" t="s">
        <v>162</v>
      </c>
      <c r="C1385" s="108">
        <v>397</v>
      </c>
      <c r="D1385" s="110"/>
      <c r="E1385" t="str">
        <f>VLOOKUP(B1385,CAC!$A$2:$B$198,2,FALSE)</f>
        <v>HMOMG</v>
      </c>
    </row>
    <row r="1386" spans="1:5" x14ac:dyDescent="0.25">
      <c r="A1386" s="108">
        <v>201602</v>
      </c>
      <c r="B1386" s="109" t="s">
        <v>163</v>
      </c>
      <c r="C1386" s="108">
        <v>104</v>
      </c>
      <c r="D1386" s="110"/>
      <c r="E1386" t="str">
        <f>VLOOKUP(B1386,CAC!$A$2:$B$198,2,FALSE)</f>
        <v>HMOMG</v>
      </c>
    </row>
    <row r="1387" spans="1:5" x14ac:dyDescent="0.25">
      <c r="A1387" s="108">
        <v>201602</v>
      </c>
      <c r="B1387" s="109" t="s">
        <v>165</v>
      </c>
      <c r="C1387" s="108">
        <v>0</v>
      </c>
      <c r="D1387" s="110"/>
      <c r="E1387" t="str">
        <f>VLOOKUP(B1387,CAC!$A$2:$B$198,2,FALSE)</f>
        <v>HMOMG</v>
      </c>
    </row>
    <row r="1388" spans="1:5" x14ac:dyDescent="0.25">
      <c r="A1388" s="108">
        <v>201602</v>
      </c>
      <c r="B1388" s="109" t="s">
        <v>85</v>
      </c>
      <c r="C1388" s="108">
        <v>656</v>
      </c>
      <c r="D1388" s="110"/>
      <c r="E1388" t="str">
        <f>VLOOKUP(B1388,CAC!$A$2:$B$198,2,FALSE)</f>
        <v>HMOMG</v>
      </c>
    </row>
    <row r="1389" spans="1:5" x14ac:dyDescent="0.25">
      <c r="A1389" s="108">
        <v>201602</v>
      </c>
      <c r="B1389" s="109" t="s">
        <v>77</v>
      </c>
      <c r="C1389" s="108">
        <v>20614</v>
      </c>
      <c r="D1389" s="110"/>
      <c r="E1389" t="str">
        <f>VLOOKUP(B1389,CAC!$A$2:$B$198,2,FALSE)</f>
        <v>HMOSG</v>
      </c>
    </row>
    <row r="1390" spans="1:5" x14ac:dyDescent="0.25">
      <c r="A1390" s="108">
        <v>201602</v>
      </c>
      <c r="B1390" s="109" t="s">
        <v>78</v>
      </c>
      <c r="C1390" s="108">
        <v>335</v>
      </c>
      <c r="D1390" s="110"/>
      <c r="E1390" t="str">
        <f>VLOOKUP(B1390,CAC!$A$2:$B$198,2,FALSE)</f>
        <v>HMOSG</v>
      </c>
    </row>
    <row r="1391" spans="1:5" x14ac:dyDescent="0.25">
      <c r="A1391" s="108">
        <v>201602</v>
      </c>
      <c r="B1391" s="109" t="s">
        <v>79</v>
      </c>
      <c r="C1391" s="108">
        <v>88</v>
      </c>
      <c r="D1391" s="110"/>
      <c r="E1391" t="str">
        <f>VLOOKUP(B1391,CAC!$A$2:$B$198,2,FALSE)</f>
        <v>HMOSG</v>
      </c>
    </row>
    <row r="1392" spans="1:5" x14ac:dyDescent="0.25">
      <c r="A1392" s="108">
        <v>201602</v>
      </c>
      <c r="B1392" s="109" t="s">
        <v>222</v>
      </c>
      <c r="C1392" s="108">
        <v>0</v>
      </c>
      <c r="D1392" s="110"/>
      <c r="E1392" t="str">
        <f>VLOOKUP(B1392,CAC!$A$2:$B$198,2,FALSE)</f>
        <v>PPOSG</v>
      </c>
    </row>
    <row r="1393" spans="1:5" x14ac:dyDescent="0.25">
      <c r="A1393" s="108">
        <v>201602</v>
      </c>
      <c r="B1393" s="109" t="s">
        <v>225</v>
      </c>
      <c r="C1393" s="108">
        <v>0</v>
      </c>
      <c r="D1393" s="110"/>
      <c r="E1393" t="str">
        <f>VLOOKUP(B1393,CAC!$A$2:$B$198,2,FALSE)</f>
        <v>PPOSG</v>
      </c>
    </row>
    <row r="1394" spans="1:5" x14ac:dyDescent="0.25">
      <c r="A1394" s="108">
        <v>201602</v>
      </c>
      <c r="B1394" s="109" t="s">
        <v>226</v>
      </c>
      <c r="C1394" s="108">
        <v>0</v>
      </c>
      <c r="D1394" s="110"/>
      <c r="E1394" t="str">
        <f>VLOOKUP(B1394,CAC!$A$2:$B$198,2,FALSE)</f>
        <v>PPOSG</v>
      </c>
    </row>
    <row r="1395" spans="1:5" x14ac:dyDescent="0.25">
      <c r="A1395" s="108">
        <v>201602</v>
      </c>
      <c r="B1395" s="109" t="s">
        <v>186</v>
      </c>
      <c r="C1395" s="108">
        <v>0</v>
      </c>
      <c r="D1395" s="110"/>
      <c r="E1395" t="str">
        <f>VLOOKUP(B1395,CAC!$A$2:$B$198,2,FALSE)</f>
        <v>PPOIFP</v>
      </c>
    </row>
    <row r="1396" spans="1:5" x14ac:dyDescent="0.25">
      <c r="A1396" s="108">
        <v>201602</v>
      </c>
      <c r="B1396" s="109" t="s">
        <v>187</v>
      </c>
      <c r="C1396" s="108">
        <v>0</v>
      </c>
      <c r="D1396" s="110"/>
      <c r="E1396" t="str">
        <f>VLOOKUP(B1396,CAC!$A$2:$B$198,2,FALSE)</f>
        <v>PPOIFP</v>
      </c>
    </row>
    <row r="1397" spans="1:5" x14ac:dyDescent="0.25">
      <c r="A1397" s="108">
        <v>201602</v>
      </c>
      <c r="B1397" s="109" t="s">
        <v>188</v>
      </c>
      <c r="C1397" s="108">
        <v>0</v>
      </c>
      <c r="D1397" s="110"/>
      <c r="E1397" t="str">
        <f>VLOOKUP(B1397,CAC!$A$2:$B$198,2,FALSE)</f>
        <v>PPOIFP</v>
      </c>
    </row>
    <row r="1398" spans="1:5" x14ac:dyDescent="0.25">
      <c r="A1398" s="108">
        <v>201602</v>
      </c>
      <c r="B1398" s="109" t="s">
        <v>189</v>
      </c>
      <c r="C1398" s="108">
        <v>0</v>
      </c>
      <c r="D1398" s="110"/>
      <c r="E1398" t="str">
        <f>VLOOKUP(B1398,CAC!$A$2:$B$198,2,FALSE)</f>
        <v>PPOIFP</v>
      </c>
    </row>
    <row r="1399" spans="1:5" x14ac:dyDescent="0.25">
      <c r="A1399" s="108">
        <v>201602</v>
      </c>
      <c r="B1399" s="109" t="s">
        <v>331</v>
      </c>
      <c r="C1399" s="108">
        <v>0</v>
      </c>
      <c r="D1399" s="110"/>
      <c r="E1399" t="e">
        <f>VLOOKUP(B1399,CAC!$A$2:$B$198,2,FALSE)</f>
        <v>#N/A</v>
      </c>
    </row>
    <row r="1400" spans="1:5" x14ac:dyDescent="0.25">
      <c r="A1400" s="108">
        <v>201602</v>
      </c>
      <c r="B1400" s="109" t="s">
        <v>216</v>
      </c>
      <c r="C1400" s="108">
        <v>0</v>
      </c>
      <c r="D1400" s="110"/>
      <c r="E1400" t="str">
        <f>VLOOKUP(B1400,CAC!$A$2:$B$198,2,FALSE)</f>
        <v>PPOMM</v>
      </c>
    </row>
    <row r="1401" spans="1:5" x14ac:dyDescent="0.25">
      <c r="A1401" s="108">
        <v>201602</v>
      </c>
      <c r="B1401" s="109" t="s">
        <v>301</v>
      </c>
      <c r="C1401" s="108">
        <v>0</v>
      </c>
      <c r="D1401" s="110"/>
      <c r="E1401" t="str">
        <f>VLOOKUP(B1401,CAC!$A$2:$B$198,2,FALSE)</f>
        <v>XXX</v>
      </c>
    </row>
    <row r="1402" spans="1:5" x14ac:dyDescent="0.25">
      <c r="A1402" s="108">
        <v>201603</v>
      </c>
      <c r="B1402" s="109" t="s">
        <v>51</v>
      </c>
      <c r="C1402" s="108">
        <v>43</v>
      </c>
      <c r="D1402" s="110"/>
      <c r="E1402" t="str">
        <f>VLOOKUP(B1402,CAC!$A$2:$B$198,2,FALSE)</f>
        <v>XXX</v>
      </c>
    </row>
    <row r="1403" spans="1:5" x14ac:dyDescent="0.25">
      <c r="A1403" s="108">
        <v>201603</v>
      </c>
      <c r="B1403" s="109" t="s">
        <v>303</v>
      </c>
      <c r="C1403" s="108">
        <v>0</v>
      </c>
      <c r="D1403" s="110"/>
      <c r="E1403" t="e">
        <f>VLOOKUP(B1403,CAC!$A$2:$B$198,2,FALSE)</f>
        <v>#N/A</v>
      </c>
    </row>
    <row r="1404" spans="1:5" x14ac:dyDescent="0.25">
      <c r="A1404" s="108">
        <v>201603</v>
      </c>
      <c r="B1404" s="109" t="s">
        <v>304</v>
      </c>
      <c r="C1404" s="108">
        <v>0</v>
      </c>
      <c r="D1404" s="110"/>
      <c r="E1404" t="e">
        <f>VLOOKUP(B1404,CAC!$A$2:$B$198,2,FALSE)</f>
        <v>#N/A</v>
      </c>
    </row>
    <row r="1405" spans="1:5" x14ac:dyDescent="0.25">
      <c r="A1405" s="108">
        <v>201603</v>
      </c>
      <c r="B1405" s="109" t="s">
        <v>323</v>
      </c>
      <c r="C1405" s="108">
        <v>0</v>
      </c>
      <c r="D1405" s="110"/>
      <c r="E1405" t="e">
        <f>VLOOKUP(B1405,CAC!$A$2:$B$198,2,FALSE)</f>
        <v>#N/A</v>
      </c>
    </row>
    <row r="1406" spans="1:5" x14ac:dyDescent="0.25">
      <c r="A1406" s="108">
        <v>201603</v>
      </c>
      <c r="B1406" s="109" t="s">
        <v>305</v>
      </c>
      <c r="C1406" s="108">
        <v>0</v>
      </c>
      <c r="D1406" s="110"/>
      <c r="E1406" t="e">
        <f>VLOOKUP(B1406,CAC!$A$2:$B$198,2,FALSE)</f>
        <v>#N/A</v>
      </c>
    </row>
    <row r="1407" spans="1:5" x14ac:dyDescent="0.25">
      <c r="A1407" s="108">
        <v>201603</v>
      </c>
      <c r="B1407" s="109" t="s">
        <v>324</v>
      </c>
      <c r="C1407" s="108">
        <v>0</v>
      </c>
      <c r="D1407" s="110"/>
      <c r="E1407" t="e">
        <f>VLOOKUP(B1407,CAC!$A$2:$B$198,2,FALSE)</f>
        <v>#N/A</v>
      </c>
    </row>
    <row r="1408" spans="1:5" x14ac:dyDescent="0.25">
      <c r="A1408" s="108">
        <v>201603</v>
      </c>
      <c r="B1408" s="109" t="s">
        <v>327</v>
      </c>
      <c r="C1408" s="108">
        <v>0</v>
      </c>
      <c r="D1408" s="110"/>
      <c r="E1408" t="e">
        <f>VLOOKUP(B1408,CAC!$A$2:$B$198,2,FALSE)</f>
        <v>#N/A</v>
      </c>
    </row>
    <row r="1409" spans="1:5" x14ac:dyDescent="0.25">
      <c r="A1409" s="108">
        <v>201603</v>
      </c>
      <c r="B1409" s="109" t="s">
        <v>318</v>
      </c>
      <c r="C1409" s="108">
        <v>0</v>
      </c>
      <c r="D1409" s="110"/>
      <c r="E1409" t="e">
        <f>VLOOKUP(B1409,CAC!$A$2:$B$198,2,FALSE)</f>
        <v>#N/A</v>
      </c>
    </row>
    <row r="1410" spans="1:5" x14ac:dyDescent="0.25">
      <c r="A1410" s="108">
        <v>201603</v>
      </c>
      <c r="B1410" s="109" t="s">
        <v>326</v>
      </c>
      <c r="C1410" s="108">
        <v>0</v>
      </c>
      <c r="D1410" s="110"/>
      <c r="E1410" t="e">
        <f>VLOOKUP(B1410,CAC!$A$2:$B$198,2,FALSE)</f>
        <v>#N/A</v>
      </c>
    </row>
    <row r="1411" spans="1:5" x14ac:dyDescent="0.25">
      <c r="A1411" s="108">
        <v>201603</v>
      </c>
      <c r="B1411" s="109" t="s">
        <v>231</v>
      </c>
      <c r="C1411" s="108">
        <v>0</v>
      </c>
      <c r="D1411" s="110"/>
      <c r="E1411" t="str">
        <f>VLOOKUP(B1411,CAC!$A$2:$B$198,2,FALSE)</f>
        <v>DOILG</v>
      </c>
    </row>
    <row r="1412" spans="1:5" x14ac:dyDescent="0.25">
      <c r="A1412" s="108">
        <v>201603</v>
      </c>
      <c r="B1412" s="109" t="s">
        <v>233</v>
      </c>
      <c r="C1412" s="108">
        <v>0</v>
      </c>
      <c r="D1412" s="110"/>
      <c r="E1412" t="str">
        <f>VLOOKUP(B1412,CAC!$A$2:$B$198,2,FALSE)</f>
        <v>DOILG</v>
      </c>
    </row>
    <row r="1413" spans="1:5" x14ac:dyDescent="0.25">
      <c r="A1413" s="108">
        <v>201603</v>
      </c>
      <c r="B1413" s="109" t="s">
        <v>235</v>
      </c>
      <c r="C1413" s="108">
        <v>0</v>
      </c>
      <c r="D1413" s="110"/>
      <c r="E1413" t="str">
        <f>VLOOKUP(B1413,CAC!$A$2:$B$198,2,FALSE)</f>
        <v>DOILG</v>
      </c>
    </row>
    <row r="1414" spans="1:5" x14ac:dyDescent="0.25">
      <c r="A1414" s="108">
        <v>201603</v>
      </c>
      <c r="B1414" s="109" t="s">
        <v>237</v>
      </c>
      <c r="C1414" s="108">
        <v>0</v>
      </c>
      <c r="D1414" s="110"/>
      <c r="E1414" t="str">
        <f>VLOOKUP(B1414,CAC!$A$2:$B$198,2,FALSE)</f>
        <v>DOILG</v>
      </c>
    </row>
    <row r="1415" spans="1:5" x14ac:dyDescent="0.25">
      <c r="A1415" s="108">
        <v>201603</v>
      </c>
      <c r="B1415" s="109" t="s">
        <v>247</v>
      </c>
      <c r="C1415" s="108">
        <v>0</v>
      </c>
      <c r="D1415" s="110"/>
      <c r="E1415" t="str">
        <f>VLOOKUP(B1415,CAC!$A$2:$B$198,2,FALSE)</f>
        <v>DOIIFP</v>
      </c>
    </row>
    <row r="1416" spans="1:5" x14ac:dyDescent="0.25">
      <c r="A1416" s="108">
        <v>201603</v>
      </c>
      <c r="B1416" s="109" t="s">
        <v>238</v>
      </c>
      <c r="C1416" s="108">
        <v>0</v>
      </c>
      <c r="D1416" s="110"/>
      <c r="E1416" t="str">
        <f>VLOOKUP(B1416,CAC!$A$2:$B$198,2,FALSE)</f>
        <v>DOILG</v>
      </c>
    </row>
    <row r="1417" spans="1:5" x14ac:dyDescent="0.25">
      <c r="A1417" s="108">
        <v>201603</v>
      </c>
      <c r="B1417" s="109" t="s">
        <v>248</v>
      </c>
      <c r="C1417" s="108">
        <v>0</v>
      </c>
      <c r="D1417" s="110"/>
      <c r="E1417" t="str">
        <f>VLOOKUP(B1417,CAC!$A$2:$B$198,2,FALSE)</f>
        <v>DOIIFP</v>
      </c>
    </row>
    <row r="1418" spans="1:5" x14ac:dyDescent="0.25">
      <c r="A1418" s="108">
        <v>201603</v>
      </c>
      <c r="B1418" s="109" t="s">
        <v>328</v>
      </c>
      <c r="C1418" s="108">
        <v>0</v>
      </c>
      <c r="D1418" s="110"/>
      <c r="E1418" t="e">
        <f>VLOOKUP(B1418,CAC!$A$2:$B$198,2,FALSE)</f>
        <v>#N/A</v>
      </c>
    </row>
    <row r="1419" spans="1:5" x14ac:dyDescent="0.25">
      <c r="A1419" s="108">
        <v>201603</v>
      </c>
      <c r="B1419" s="109" t="s">
        <v>253</v>
      </c>
      <c r="C1419" s="108">
        <v>0</v>
      </c>
      <c r="D1419" s="110"/>
      <c r="E1419" t="str">
        <f>VLOOKUP(B1419,CAC!$A$2:$B$198,2,FALSE)</f>
        <v>AGDMHC</v>
      </c>
    </row>
    <row r="1420" spans="1:5" x14ac:dyDescent="0.25">
      <c r="A1420" s="108">
        <v>201603</v>
      </c>
      <c r="B1420" s="109" t="s">
        <v>325</v>
      </c>
      <c r="C1420" s="108">
        <v>0</v>
      </c>
      <c r="D1420" s="110"/>
      <c r="E1420" t="e">
        <f>VLOOKUP(B1420,CAC!$A$2:$B$198,2,FALSE)</f>
        <v>#N/A</v>
      </c>
    </row>
    <row r="1421" spans="1:5" x14ac:dyDescent="0.25">
      <c r="A1421" s="108">
        <v>201603</v>
      </c>
      <c r="B1421" s="109" t="s">
        <v>255</v>
      </c>
      <c r="C1421" s="108">
        <v>0</v>
      </c>
      <c r="D1421" s="110"/>
      <c r="E1421" t="str">
        <f>VLOOKUP(B1421,CAC!$A$2:$B$198,2,FALSE)</f>
        <v>AGDMHC</v>
      </c>
    </row>
    <row r="1422" spans="1:5" x14ac:dyDescent="0.25">
      <c r="A1422" s="108">
        <v>201603</v>
      </c>
      <c r="B1422" s="109" t="s">
        <v>256</v>
      </c>
      <c r="C1422" s="108">
        <v>0</v>
      </c>
      <c r="D1422" s="110"/>
      <c r="E1422" t="str">
        <f>VLOOKUP(B1422,CAC!$A$2:$B$198,2,FALSE)</f>
        <v>AGDMHC</v>
      </c>
    </row>
    <row r="1423" spans="1:5" x14ac:dyDescent="0.25">
      <c r="A1423" s="108">
        <v>201603</v>
      </c>
      <c r="B1423" s="109" t="s">
        <v>257</v>
      </c>
      <c r="C1423" s="108">
        <v>0</v>
      </c>
      <c r="D1423" s="110"/>
      <c r="E1423" t="str">
        <f>VLOOKUP(B1423,CAC!$A$2:$B$198,2,FALSE)</f>
        <v>AGDMHC</v>
      </c>
    </row>
    <row r="1424" spans="1:5" x14ac:dyDescent="0.25">
      <c r="A1424" s="108">
        <v>201603</v>
      </c>
      <c r="B1424" s="109" t="s">
        <v>258</v>
      </c>
      <c r="C1424" s="108">
        <v>0</v>
      </c>
      <c r="D1424" s="110"/>
      <c r="E1424" t="str">
        <f>VLOOKUP(B1424,CAC!$A$2:$B$198,2,FALSE)</f>
        <v>AGDMHC</v>
      </c>
    </row>
    <row r="1425" spans="1:5" x14ac:dyDescent="0.25">
      <c r="A1425" s="108">
        <v>201603</v>
      </c>
      <c r="B1425" s="109" t="s">
        <v>259</v>
      </c>
      <c r="C1425" s="108">
        <v>0</v>
      </c>
      <c r="D1425" s="110"/>
      <c r="E1425" t="str">
        <f>VLOOKUP(B1425,CAC!$A$2:$B$198,2,FALSE)</f>
        <v>AGDMHC</v>
      </c>
    </row>
    <row r="1426" spans="1:5" x14ac:dyDescent="0.25">
      <c r="A1426" s="108">
        <v>201603</v>
      </c>
      <c r="B1426" s="109" t="s">
        <v>329</v>
      </c>
      <c r="C1426" s="108">
        <v>0</v>
      </c>
      <c r="D1426" s="110"/>
      <c r="E1426" t="e">
        <f>VLOOKUP(B1426,CAC!$A$2:$B$198,2,FALSE)</f>
        <v>#N/A</v>
      </c>
    </row>
    <row r="1427" spans="1:5" x14ac:dyDescent="0.25">
      <c r="A1427" s="108">
        <v>201603</v>
      </c>
      <c r="B1427" s="109" t="s">
        <v>262</v>
      </c>
      <c r="C1427" s="108">
        <v>0</v>
      </c>
      <c r="D1427" s="110"/>
      <c r="E1427" t="str">
        <f>VLOOKUP(B1427,CAC!$A$2:$B$198,2,FALSE)</f>
        <v>AGDMHC</v>
      </c>
    </row>
    <row r="1428" spans="1:5" x14ac:dyDescent="0.25">
      <c r="A1428" s="108">
        <v>201603</v>
      </c>
      <c r="B1428" s="109" t="s">
        <v>264</v>
      </c>
      <c r="C1428" s="108">
        <v>0</v>
      </c>
      <c r="D1428" s="110"/>
      <c r="E1428" t="str">
        <f>VLOOKUP(B1428,CAC!$A$2:$B$198,2,FALSE)</f>
        <v>AGDMHC</v>
      </c>
    </row>
    <row r="1429" spans="1:5" x14ac:dyDescent="0.25">
      <c r="A1429" s="108">
        <v>201603</v>
      </c>
      <c r="B1429" s="109" t="s">
        <v>269</v>
      </c>
      <c r="C1429" s="108">
        <v>0</v>
      </c>
      <c r="D1429" s="110"/>
      <c r="E1429" t="str">
        <f>VLOOKUP(B1429,CAC!$A$2:$B$198,2,FALSE)</f>
        <v>AGDMHC</v>
      </c>
    </row>
    <row r="1430" spans="1:5" x14ac:dyDescent="0.25">
      <c r="A1430" s="108">
        <v>201603</v>
      </c>
      <c r="B1430" s="109" t="s">
        <v>319</v>
      </c>
      <c r="C1430" s="108">
        <v>0</v>
      </c>
      <c r="D1430" s="110"/>
      <c r="E1430" t="e">
        <f>VLOOKUP(B1430,CAC!$A$2:$B$198,2,FALSE)</f>
        <v>#N/A</v>
      </c>
    </row>
    <row r="1431" spans="1:5" x14ac:dyDescent="0.25">
      <c r="A1431" s="108">
        <v>201603</v>
      </c>
      <c r="B1431" s="109" t="s">
        <v>265</v>
      </c>
      <c r="C1431" s="108">
        <v>0</v>
      </c>
      <c r="D1431" s="110"/>
      <c r="E1431" t="str">
        <f>VLOOKUP(B1431,CAC!$A$2:$B$198,2,FALSE)</f>
        <v>AGDMHC</v>
      </c>
    </row>
    <row r="1432" spans="1:5" x14ac:dyDescent="0.25">
      <c r="A1432" s="108">
        <v>201603</v>
      </c>
      <c r="B1432" s="109" t="s">
        <v>266</v>
      </c>
      <c r="C1432" s="108">
        <v>0</v>
      </c>
      <c r="D1432" s="110"/>
      <c r="E1432" t="str">
        <f>VLOOKUP(B1432,CAC!$A$2:$B$198,2,FALSE)</f>
        <v>AGDMHC</v>
      </c>
    </row>
    <row r="1433" spans="1:5" x14ac:dyDescent="0.25">
      <c r="A1433" s="108">
        <v>201603</v>
      </c>
      <c r="B1433" s="109" t="s">
        <v>267</v>
      </c>
      <c r="C1433" s="108">
        <v>0</v>
      </c>
      <c r="D1433" s="110"/>
      <c r="E1433" t="str">
        <f>VLOOKUP(B1433,CAC!$A$2:$B$198,2,FALSE)</f>
        <v>AGDMHC</v>
      </c>
    </row>
    <row r="1434" spans="1:5" x14ac:dyDescent="0.25">
      <c r="A1434" s="108">
        <v>201603</v>
      </c>
      <c r="B1434" s="109" t="s">
        <v>268</v>
      </c>
      <c r="C1434" s="108">
        <v>0</v>
      </c>
      <c r="D1434" s="110"/>
      <c r="E1434" t="str">
        <f>VLOOKUP(B1434,CAC!$A$2:$B$198,2,FALSE)</f>
        <v>AGDMHC</v>
      </c>
    </row>
    <row r="1435" spans="1:5" x14ac:dyDescent="0.25">
      <c r="A1435" s="108">
        <v>201603</v>
      </c>
      <c r="B1435" s="109" t="s">
        <v>52</v>
      </c>
      <c r="C1435" s="108">
        <v>15676</v>
      </c>
      <c r="D1435" s="110"/>
      <c r="E1435" t="str">
        <f>VLOOKUP(B1435,CAC!$A$2:$B$198,2,FALSE)</f>
        <v>HMOPMR</v>
      </c>
    </row>
    <row r="1436" spans="1:5" x14ac:dyDescent="0.25">
      <c r="A1436" s="108">
        <v>201603</v>
      </c>
      <c r="B1436" s="109" t="s">
        <v>53</v>
      </c>
      <c r="C1436" s="108">
        <v>4685</v>
      </c>
      <c r="D1436" s="110"/>
      <c r="E1436" t="str">
        <f>VLOOKUP(B1436,CAC!$A$2:$B$198,2,FALSE)</f>
        <v>HMOPMR</v>
      </c>
    </row>
    <row r="1437" spans="1:5" x14ac:dyDescent="0.25">
      <c r="A1437" s="108">
        <v>201603</v>
      </c>
      <c r="B1437" s="109" t="s">
        <v>54</v>
      </c>
      <c r="C1437" s="108">
        <v>6088</v>
      </c>
      <c r="D1437" s="110"/>
      <c r="E1437" t="str">
        <f>VLOOKUP(B1437,CAC!$A$2:$B$198,2,FALSE)</f>
        <v>HMOFEP</v>
      </c>
    </row>
    <row r="1438" spans="1:5" x14ac:dyDescent="0.25">
      <c r="A1438" s="108">
        <v>201603</v>
      </c>
      <c r="B1438" s="109" t="s">
        <v>279</v>
      </c>
      <c r="C1438" s="108">
        <v>0</v>
      </c>
      <c r="D1438" s="110"/>
      <c r="E1438" t="str">
        <f>VLOOKUP(B1438,CAC!$A$2:$B$198,2,FALSE)</f>
        <v>PPOFEP</v>
      </c>
    </row>
    <row r="1439" spans="1:5" x14ac:dyDescent="0.25">
      <c r="A1439" s="108">
        <v>201603</v>
      </c>
      <c r="B1439" s="109" t="s">
        <v>202</v>
      </c>
      <c r="C1439" s="108">
        <v>0</v>
      </c>
      <c r="D1439" s="110"/>
      <c r="E1439" t="str">
        <f>VLOOKUP(B1439,CAC!$A$2:$B$198,2,FALSE)</f>
        <v>PPOPMR</v>
      </c>
    </row>
    <row r="1440" spans="1:5" x14ac:dyDescent="0.25">
      <c r="A1440" s="108">
        <v>201603</v>
      </c>
      <c r="B1440" s="109" t="s">
        <v>55</v>
      </c>
      <c r="C1440" s="108">
        <v>15065</v>
      </c>
      <c r="D1440" s="110"/>
      <c r="E1440" t="str">
        <f>VLOOKUP(B1440,CAC!$A$2:$B$198,2,FALSE)</f>
        <v>HMOPMR</v>
      </c>
    </row>
    <row r="1441" spans="1:5" x14ac:dyDescent="0.25">
      <c r="A1441" s="108">
        <v>201603</v>
      </c>
      <c r="B1441" s="109" t="s">
        <v>56</v>
      </c>
      <c r="C1441" s="108">
        <v>122</v>
      </c>
      <c r="D1441" s="110"/>
      <c r="E1441" t="str">
        <f>VLOOKUP(B1441,CAC!$A$2:$B$198,2,FALSE)</f>
        <v>HMOPMR</v>
      </c>
    </row>
    <row r="1442" spans="1:5" x14ac:dyDescent="0.25">
      <c r="A1442" s="108">
        <v>201603</v>
      </c>
      <c r="B1442" s="109" t="s">
        <v>83</v>
      </c>
      <c r="C1442" s="108">
        <v>707</v>
      </c>
      <c r="D1442" s="110"/>
      <c r="E1442" t="str">
        <f>VLOOKUP(B1442,CAC!$A$2:$B$198,2,FALSE)</f>
        <v>HMOPMR</v>
      </c>
    </row>
    <row r="1443" spans="1:5" x14ac:dyDescent="0.25">
      <c r="A1443" s="108">
        <v>201603</v>
      </c>
      <c r="B1443" s="109" t="s">
        <v>57</v>
      </c>
      <c r="C1443" s="108">
        <v>6045</v>
      </c>
      <c r="D1443" s="110"/>
      <c r="E1443" t="str">
        <f>VLOOKUP(B1443,CAC!$A$2:$B$198,2,FALSE)</f>
        <v>HMFLEX</v>
      </c>
    </row>
    <row r="1444" spans="1:5" x14ac:dyDescent="0.25">
      <c r="A1444" s="108">
        <v>201603</v>
      </c>
      <c r="B1444" s="109" t="s">
        <v>58</v>
      </c>
      <c r="C1444" s="108">
        <v>368</v>
      </c>
      <c r="D1444" s="110"/>
      <c r="E1444" t="str">
        <f>VLOOKUP(B1444,CAC!$A$2:$B$198,2,FALSE)</f>
        <v>HMFLEX</v>
      </c>
    </row>
    <row r="1445" spans="1:5" x14ac:dyDescent="0.25">
      <c r="A1445" s="108">
        <v>201603</v>
      </c>
      <c r="B1445" s="109" t="s">
        <v>306</v>
      </c>
      <c r="C1445" s="108">
        <v>0</v>
      </c>
      <c r="D1445" s="110"/>
      <c r="E1445" t="e">
        <f>VLOOKUP(B1445,CAC!$A$2:$B$198,2,FALSE)</f>
        <v>#N/A</v>
      </c>
    </row>
    <row r="1446" spans="1:5" x14ac:dyDescent="0.25">
      <c r="A1446" s="108">
        <v>201603</v>
      </c>
      <c r="B1446" s="109" t="s">
        <v>283</v>
      </c>
      <c r="C1446" s="108">
        <v>0</v>
      </c>
      <c r="D1446" s="110"/>
      <c r="E1446" t="str">
        <f>VLOOKUP(B1446,CAC!$A$2:$B$198,2,FALSE)</f>
        <v>HMFLEX</v>
      </c>
    </row>
    <row r="1447" spans="1:5" x14ac:dyDescent="0.25">
      <c r="A1447" s="108">
        <v>201603</v>
      </c>
      <c r="B1447" s="109" t="s">
        <v>205</v>
      </c>
      <c r="C1447" s="108">
        <v>0</v>
      </c>
      <c r="D1447" s="110"/>
      <c r="E1447" t="str">
        <f>VLOOKUP(B1447,CAC!$A$2:$B$198,2,FALSE)</f>
        <v>PPOPMR</v>
      </c>
    </row>
    <row r="1448" spans="1:5" x14ac:dyDescent="0.25">
      <c r="A1448" s="108">
        <v>201603</v>
      </c>
      <c r="B1448" s="109" t="s">
        <v>286</v>
      </c>
      <c r="C1448" s="108">
        <v>0</v>
      </c>
      <c r="D1448" s="110"/>
      <c r="E1448" t="str">
        <f>VLOOKUP(B1448,CAC!$A$2:$B$198,2,FALSE)</f>
        <v>HMFLEX</v>
      </c>
    </row>
    <row r="1449" spans="1:5" x14ac:dyDescent="0.25">
      <c r="A1449" s="108">
        <v>201603</v>
      </c>
      <c r="B1449" s="109" t="s">
        <v>60</v>
      </c>
      <c r="C1449" s="108">
        <v>13671</v>
      </c>
      <c r="D1449" s="110"/>
      <c r="E1449" t="str">
        <f>VLOOKUP(B1449,CAC!$A$2:$B$198,2,FALSE)</f>
        <v>HMOLG</v>
      </c>
    </row>
    <row r="1450" spans="1:5" x14ac:dyDescent="0.25">
      <c r="A1450" s="108">
        <v>201603</v>
      </c>
      <c r="B1450" s="109" t="s">
        <v>61</v>
      </c>
      <c r="C1450" s="108">
        <v>692</v>
      </c>
      <c r="D1450" s="110"/>
      <c r="E1450" t="str">
        <f>VLOOKUP(B1450,CAC!$A$2:$B$198,2,FALSE)</f>
        <v>HMOLG</v>
      </c>
    </row>
    <row r="1451" spans="1:5" x14ac:dyDescent="0.25">
      <c r="A1451" s="108">
        <v>201603</v>
      </c>
      <c r="B1451" s="109" t="s">
        <v>62</v>
      </c>
      <c r="C1451" s="108">
        <v>24337</v>
      </c>
      <c r="D1451" s="110"/>
      <c r="E1451" t="str">
        <f>VLOOKUP(B1451,CAC!$A$2:$B$198,2,FALSE)</f>
        <v>HMOLG</v>
      </c>
    </row>
    <row r="1452" spans="1:5" x14ac:dyDescent="0.25">
      <c r="A1452" s="108">
        <v>201603</v>
      </c>
      <c r="B1452" s="109" t="s">
        <v>63</v>
      </c>
      <c r="C1452" s="108">
        <v>140</v>
      </c>
      <c r="D1452" s="110"/>
      <c r="E1452" t="str">
        <f>VLOOKUP(B1452,CAC!$A$2:$B$198,2,FALSE)</f>
        <v>HMOLG</v>
      </c>
    </row>
    <row r="1453" spans="1:5" x14ac:dyDescent="0.25">
      <c r="A1453" s="108">
        <v>201603</v>
      </c>
      <c r="B1453" s="109" t="s">
        <v>64</v>
      </c>
      <c r="C1453" s="108">
        <v>0</v>
      </c>
      <c r="D1453" s="110"/>
      <c r="E1453" t="str">
        <f>VLOOKUP(B1453,CAC!$A$2:$B$198,2,FALSE)</f>
        <v>HMOLG</v>
      </c>
    </row>
    <row r="1454" spans="1:5" x14ac:dyDescent="0.25">
      <c r="A1454" s="108">
        <v>201603</v>
      </c>
      <c r="B1454" s="109" t="s">
        <v>65</v>
      </c>
      <c r="C1454" s="108">
        <v>230</v>
      </c>
      <c r="D1454" s="110"/>
      <c r="E1454" t="str">
        <f>VLOOKUP(B1454,CAC!$A$2:$B$198,2,FALSE)</f>
        <v>HMFLEX</v>
      </c>
    </row>
    <row r="1455" spans="1:5" x14ac:dyDescent="0.25">
      <c r="A1455" s="108">
        <v>201603</v>
      </c>
      <c r="B1455" s="109" t="s">
        <v>307</v>
      </c>
      <c r="C1455" s="108">
        <v>0</v>
      </c>
      <c r="D1455" s="110"/>
      <c r="E1455" t="e">
        <f>VLOOKUP(B1455,CAC!$A$2:$B$198,2,FALSE)</f>
        <v>#N/A</v>
      </c>
    </row>
    <row r="1456" spans="1:5" x14ac:dyDescent="0.25">
      <c r="A1456" s="108">
        <v>201603</v>
      </c>
      <c r="B1456" s="109" t="s">
        <v>308</v>
      </c>
      <c r="C1456" s="108">
        <v>0</v>
      </c>
      <c r="D1456" s="110"/>
      <c r="E1456" t="e">
        <f>VLOOKUP(B1456,CAC!$A$2:$B$198,2,FALSE)</f>
        <v>#N/A</v>
      </c>
    </row>
    <row r="1457" spans="1:5" x14ac:dyDescent="0.25">
      <c r="A1457" s="108">
        <v>201603</v>
      </c>
      <c r="B1457" s="109" t="s">
        <v>309</v>
      </c>
      <c r="C1457" s="108">
        <v>0</v>
      </c>
      <c r="D1457" s="110"/>
      <c r="E1457" t="e">
        <f>VLOOKUP(B1457,CAC!$A$2:$B$198,2,FALSE)</f>
        <v>#N/A</v>
      </c>
    </row>
    <row r="1458" spans="1:5" x14ac:dyDescent="0.25">
      <c r="A1458" s="108">
        <v>201603</v>
      </c>
      <c r="B1458" s="109" t="s">
        <v>99</v>
      </c>
      <c r="C1458" s="108">
        <v>0</v>
      </c>
      <c r="D1458" s="110"/>
      <c r="E1458" t="str">
        <f>VLOOKUP(B1458,CAC!$A$2:$B$198,2,FALSE)</f>
        <v>PPOLG</v>
      </c>
    </row>
    <row r="1459" spans="1:5" x14ac:dyDescent="0.25">
      <c r="A1459" s="108">
        <v>201603</v>
      </c>
      <c r="B1459" s="109" t="s">
        <v>193</v>
      </c>
      <c r="C1459" s="108">
        <v>0</v>
      </c>
      <c r="D1459" s="110"/>
      <c r="E1459" t="str">
        <f>VLOOKUP(B1459,CAC!$A$2:$B$198,2,FALSE)</f>
        <v>PPOLG</v>
      </c>
    </row>
    <row r="1460" spans="1:5" x14ac:dyDescent="0.25">
      <c r="A1460" s="108">
        <v>201603</v>
      </c>
      <c r="B1460" s="109" t="s">
        <v>196</v>
      </c>
      <c r="C1460" s="108">
        <v>0</v>
      </c>
      <c r="D1460" s="110"/>
      <c r="E1460" t="str">
        <f>VLOOKUP(B1460,CAC!$A$2:$B$198,2,FALSE)</f>
        <v>PPOLG</v>
      </c>
    </row>
    <row r="1461" spans="1:5" x14ac:dyDescent="0.25">
      <c r="A1461" s="108">
        <v>201603</v>
      </c>
      <c r="B1461" s="109" t="s">
        <v>212</v>
      </c>
      <c r="C1461" s="108">
        <v>0</v>
      </c>
      <c r="D1461" s="110"/>
      <c r="E1461" t="str">
        <f>VLOOKUP(B1461,CAC!$A$2:$B$198,2,FALSE)</f>
        <v>PPOMM</v>
      </c>
    </row>
    <row r="1462" spans="1:5" x14ac:dyDescent="0.25">
      <c r="A1462" s="108">
        <v>201603</v>
      </c>
      <c r="B1462" s="109" t="s">
        <v>213</v>
      </c>
      <c r="C1462" s="108">
        <v>0</v>
      </c>
      <c r="D1462" s="110"/>
      <c r="E1462" t="str">
        <f>VLOOKUP(B1462,CAC!$A$2:$B$198,2,FALSE)</f>
        <v>PPOMM</v>
      </c>
    </row>
    <row r="1463" spans="1:5" x14ac:dyDescent="0.25">
      <c r="A1463" s="108">
        <v>201603</v>
      </c>
      <c r="B1463" s="109" t="s">
        <v>311</v>
      </c>
      <c r="C1463" s="108">
        <v>0</v>
      </c>
      <c r="D1463" s="110"/>
      <c r="E1463" t="e">
        <f>VLOOKUP(B1463,CAC!$A$2:$B$198,2,FALSE)</f>
        <v>#N/A</v>
      </c>
    </row>
    <row r="1464" spans="1:5" x14ac:dyDescent="0.25">
      <c r="A1464" s="108">
        <v>201603</v>
      </c>
      <c r="B1464" s="109" t="s">
        <v>320</v>
      </c>
      <c r="C1464" s="108">
        <v>0</v>
      </c>
      <c r="D1464" s="110"/>
      <c r="E1464" t="e">
        <f>VLOOKUP(B1464,CAC!$A$2:$B$198,2,FALSE)</f>
        <v>#N/A</v>
      </c>
    </row>
    <row r="1465" spans="1:5" x14ac:dyDescent="0.25">
      <c r="A1465" s="108">
        <v>201603</v>
      </c>
      <c r="B1465" s="109" t="s">
        <v>321</v>
      </c>
      <c r="C1465" s="108">
        <v>0</v>
      </c>
      <c r="D1465" s="110"/>
      <c r="E1465" t="e">
        <f>VLOOKUP(B1465,CAC!$A$2:$B$198,2,FALSE)</f>
        <v>#N/A</v>
      </c>
    </row>
    <row r="1466" spans="1:5" x14ac:dyDescent="0.25">
      <c r="A1466" s="108">
        <v>201603</v>
      </c>
      <c r="B1466" s="109" t="s">
        <v>312</v>
      </c>
      <c r="C1466" s="108">
        <v>0</v>
      </c>
      <c r="D1466" s="110"/>
      <c r="E1466" t="e">
        <f>VLOOKUP(B1466,CAC!$A$2:$B$198,2,FALSE)</f>
        <v>#N/A</v>
      </c>
    </row>
    <row r="1467" spans="1:5" x14ac:dyDescent="0.25">
      <c r="A1467" s="108">
        <v>201603</v>
      </c>
      <c r="B1467" s="109" t="s">
        <v>215</v>
      </c>
      <c r="C1467" s="108">
        <v>0</v>
      </c>
      <c r="D1467" s="110"/>
      <c r="E1467" t="str">
        <f>VLOOKUP(B1467,CAC!$A$2:$B$198,2,FALSE)</f>
        <v>PPOMM</v>
      </c>
    </row>
    <row r="1468" spans="1:5" x14ac:dyDescent="0.25">
      <c r="A1468" s="108">
        <v>201603</v>
      </c>
      <c r="B1468" s="109" t="s">
        <v>66</v>
      </c>
      <c r="C1468" s="108">
        <v>3980</v>
      </c>
      <c r="D1468" s="110"/>
      <c r="E1468" t="str">
        <f>VLOOKUP(B1468,CAC!$A$2:$B$198,2,FALSE)</f>
        <v>HMOLG</v>
      </c>
    </row>
    <row r="1469" spans="1:5" x14ac:dyDescent="0.25">
      <c r="A1469" s="108">
        <v>201603</v>
      </c>
      <c r="B1469" s="109" t="s">
        <v>82</v>
      </c>
      <c r="C1469" s="108">
        <v>2</v>
      </c>
      <c r="D1469" s="110"/>
      <c r="E1469" t="str">
        <f>VLOOKUP(B1469,CAC!$A$2:$B$198,2,FALSE)</f>
        <v>NATPAR</v>
      </c>
    </row>
    <row r="1470" spans="1:5" x14ac:dyDescent="0.25">
      <c r="A1470" s="108">
        <v>201603</v>
      </c>
      <c r="B1470" s="109" t="s">
        <v>67</v>
      </c>
      <c r="C1470" s="108">
        <v>141</v>
      </c>
      <c r="D1470" s="110"/>
      <c r="E1470" t="str">
        <f>VLOOKUP(B1470,CAC!$A$2:$B$198,2,FALSE)</f>
        <v>HMOLG</v>
      </c>
    </row>
    <row r="1471" spans="1:5" x14ac:dyDescent="0.25">
      <c r="A1471" s="108">
        <v>201603</v>
      </c>
      <c r="B1471" s="109" t="s">
        <v>68</v>
      </c>
      <c r="C1471" s="108">
        <v>268</v>
      </c>
      <c r="D1471" s="110"/>
      <c r="E1471" t="str">
        <f>VLOOKUP(B1471,CAC!$A$2:$B$198,2,FALSE)</f>
        <v>HMOPMR</v>
      </c>
    </row>
    <row r="1472" spans="1:5" x14ac:dyDescent="0.25">
      <c r="A1472" s="108">
        <v>201603</v>
      </c>
      <c r="B1472" s="109" t="s">
        <v>69</v>
      </c>
      <c r="C1472" s="108">
        <v>9680</v>
      </c>
      <c r="D1472" s="110"/>
      <c r="E1472" t="str">
        <f>VLOOKUP(B1472,CAC!$A$2:$B$198,2,FALSE)</f>
        <v>HMOPMR</v>
      </c>
    </row>
    <row r="1473" spans="1:5" x14ac:dyDescent="0.25">
      <c r="A1473" s="108">
        <v>201603</v>
      </c>
      <c r="B1473" s="109" t="s">
        <v>70</v>
      </c>
      <c r="C1473" s="108">
        <v>4076</v>
      </c>
      <c r="D1473" s="110"/>
      <c r="E1473" t="str">
        <f>VLOOKUP(B1473,CAC!$A$2:$B$198,2,FALSE)</f>
        <v>HMOPMR</v>
      </c>
    </row>
    <row r="1474" spans="1:5" x14ac:dyDescent="0.25">
      <c r="A1474" s="108">
        <v>201603</v>
      </c>
      <c r="B1474" s="109" t="s">
        <v>71</v>
      </c>
      <c r="C1474" s="108">
        <v>6665</v>
      </c>
      <c r="D1474" s="110"/>
      <c r="E1474" t="str">
        <f>VLOOKUP(B1474,CAC!$A$2:$B$198,2,FALSE)</f>
        <v>HMOPMR</v>
      </c>
    </row>
    <row r="1475" spans="1:5" x14ac:dyDescent="0.25">
      <c r="A1475" s="108">
        <v>201603</v>
      </c>
      <c r="B1475" s="109" t="s">
        <v>72</v>
      </c>
      <c r="C1475" s="108">
        <v>2146</v>
      </c>
      <c r="D1475" s="110"/>
      <c r="E1475" t="str">
        <f>VLOOKUP(B1475,CAC!$A$2:$B$198,2,FALSE)</f>
        <v>HMFLEX</v>
      </c>
    </row>
    <row r="1476" spans="1:5" x14ac:dyDescent="0.25">
      <c r="A1476" s="108">
        <v>201603</v>
      </c>
      <c r="B1476" s="109" t="s">
        <v>314</v>
      </c>
      <c r="C1476" s="108">
        <v>0</v>
      </c>
      <c r="D1476" s="110"/>
      <c r="E1476" t="e">
        <f>VLOOKUP(B1476,CAC!$A$2:$B$198,2,FALSE)</f>
        <v>#N/A</v>
      </c>
    </row>
    <row r="1477" spans="1:5" x14ac:dyDescent="0.25">
      <c r="A1477" s="108">
        <v>201603</v>
      </c>
      <c r="B1477" s="109" t="s">
        <v>322</v>
      </c>
      <c r="C1477" s="108">
        <v>0</v>
      </c>
      <c r="D1477" s="110"/>
      <c r="E1477" t="e">
        <f>VLOOKUP(B1477,CAC!$A$2:$B$198,2,FALSE)</f>
        <v>#N/A</v>
      </c>
    </row>
    <row r="1478" spans="1:5" x14ac:dyDescent="0.25">
      <c r="A1478" s="108">
        <v>201603</v>
      </c>
      <c r="B1478" s="109" t="s">
        <v>315</v>
      </c>
      <c r="C1478" s="108">
        <v>0</v>
      </c>
      <c r="D1478" s="110"/>
      <c r="E1478" t="e">
        <f>VLOOKUP(B1478,CAC!$A$2:$B$198,2,FALSE)</f>
        <v>#N/A</v>
      </c>
    </row>
    <row r="1479" spans="1:5" x14ac:dyDescent="0.25">
      <c r="A1479" s="108">
        <v>201603</v>
      </c>
      <c r="B1479" s="109" t="s">
        <v>112</v>
      </c>
      <c r="C1479" s="108">
        <v>0</v>
      </c>
      <c r="D1479" s="110"/>
      <c r="E1479" t="e">
        <f>VLOOKUP(B1479,CAC!$A$2:$B$198,2,FALSE)</f>
        <v>#N/A</v>
      </c>
    </row>
    <row r="1480" spans="1:5" x14ac:dyDescent="0.25">
      <c r="A1480" s="108">
        <v>201603</v>
      </c>
      <c r="B1480" s="109" t="s">
        <v>316</v>
      </c>
      <c r="C1480" s="108">
        <v>0</v>
      </c>
      <c r="D1480" s="110"/>
      <c r="E1480" t="e">
        <f>VLOOKUP(B1480,CAC!$A$2:$B$198,2,FALSE)</f>
        <v>#N/A</v>
      </c>
    </row>
    <row r="1481" spans="1:5" x14ac:dyDescent="0.25">
      <c r="A1481" s="108">
        <v>201603</v>
      </c>
      <c r="B1481" s="109" t="s">
        <v>317</v>
      </c>
      <c r="C1481" s="108">
        <v>0</v>
      </c>
      <c r="D1481" s="110"/>
      <c r="E1481" t="e">
        <f>VLOOKUP(B1481,CAC!$A$2:$B$198,2,FALSE)</f>
        <v>#N/A</v>
      </c>
    </row>
    <row r="1482" spans="1:5" x14ac:dyDescent="0.25">
      <c r="A1482" s="108">
        <v>201603</v>
      </c>
      <c r="B1482" s="109" t="s">
        <v>113</v>
      </c>
      <c r="C1482" s="108">
        <v>0</v>
      </c>
      <c r="D1482" s="110"/>
      <c r="E1482" t="str">
        <f>VLOOKUP(B1482,CAC!$A$2:$B$198,2,FALSE)</f>
        <v>PPOLG</v>
      </c>
    </row>
    <row r="1483" spans="1:5" x14ac:dyDescent="0.25">
      <c r="A1483" s="108">
        <v>201603</v>
      </c>
      <c r="B1483" s="109" t="s">
        <v>208</v>
      </c>
      <c r="C1483" s="108">
        <v>0</v>
      </c>
      <c r="D1483" s="110"/>
      <c r="E1483" t="str">
        <f>VLOOKUP(B1483,CAC!$A$2:$B$198,2,FALSE)</f>
        <v>PPOPMR</v>
      </c>
    </row>
    <row r="1484" spans="1:5" x14ac:dyDescent="0.25">
      <c r="A1484" s="108">
        <v>201603</v>
      </c>
      <c r="B1484" s="109" t="s">
        <v>209</v>
      </c>
      <c r="C1484" s="108">
        <v>0</v>
      </c>
      <c r="D1484" s="110"/>
      <c r="E1484" t="str">
        <f>VLOOKUP(B1484,CAC!$A$2:$B$198,2,FALSE)</f>
        <v>PPOPMR</v>
      </c>
    </row>
    <row r="1485" spans="1:5" x14ac:dyDescent="0.25">
      <c r="A1485" s="108">
        <v>201603</v>
      </c>
      <c r="B1485" s="109" t="s">
        <v>204</v>
      </c>
      <c r="C1485" s="108">
        <v>0</v>
      </c>
      <c r="D1485" s="110"/>
      <c r="E1485" t="str">
        <f>VLOOKUP(B1485,CAC!$A$2:$B$198,2,FALSE)</f>
        <v>PPOPMR</v>
      </c>
    </row>
    <row r="1486" spans="1:5" x14ac:dyDescent="0.25">
      <c r="A1486" s="108">
        <v>201603</v>
      </c>
      <c r="B1486" s="109" t="s">
        <v>330</v>
      </c>
      <c r="C1486" s="108">
        <v>0</v>
      </c>
      <c r="D1486" s="110"/>
      <c r="E1486" t="e">
        <f>VLOOKUP(B1486,CAC!$A$2:$B$198,2,FALSE)</f>
        <v>#N/A</v>
      </c>
    </row>
    <row r="1487" spans="1:5" x14ac:dyDescent="0.25">
      <c r="A1487" s="108">
        <v>201603</v>
      </c>
      <c r="B1487" s="109" t="s">
        <v>73</v>
      </c>
      <c r="C1487" s="108">
        <v>32573</v>
      </c>
      <c r="D1487" s="108">
        <v>5475</v>
      </c>
      <c r="E1487" t="str">
        <f>VLOOKUP(B1487,CAC!$A$2:$B$198,2,FALSE)</f>
        <v>HMOPERA</v>
      </c>
    </row>
    <row r="1488" spans="1:5" x14ac:dyDescent="0.25">
      <c r="A1488" s="108">
        <v>201603</v>
      </c>
      <c r="B1488" s="109" t="s">
        <v>75</v>
      </c>
      <c r="C1488" s="108">
        <v>25874</v>
      </c>
      <c r="D1488" s="108">
        <v>11852</v>
      </c>
      <c r="E1488" t="str">
        <f>VLOOKUP(B1488,CAC!$A$2:$B$198,2,FALSE)</f>
        <v>HMOPERN</v>
      </c>
    </row>
    <row r="1489" spans="1:5" x14ac:dyDescent="0.25">
      <c r="A1489" s="108">
        <v>201603</v>
      </c>
      <c r="B1489" s="109" t="s">
        <v>218</v>
      </c>
      <c r="C1489" s="108">
        <v>0</v>
      </c>
      <c r="D1489" s="110"/>
      <c r="E1489" t="str">
        <f>VLOOKUP(B1489,CAC!$A$2:$B$198,2,FALSE)</f>
        <v>HMOPERA</v>
      </c>
    </row>
    <row r="1490" spans="1:5" x14ac:dyDescent="0.25">
      <c r="A1490" s="108">
        <v>201603</v>
      </c>
      <c r="B1490" s="109" t="s">
        <v>156</v>
      </c>
      <c r="C1490" s="108">
        <v>25186</v>
      </c>
      <c r="D1490" s="110"/>
      <c r="E1490" t="str">
        <f>VLOOKUP(B1490,CAC!$A$2:$B$198,2,FALSE)</f>
        <v>HMOMM</v>
      </c>
    </row>
    <row r="1491" spans="1:5" x14ac:dyDescent="0.25">
      <c r="A1491" s="108">
        <v>201603</v>
      </c>
      <c r="B1491" s="109" t="s">
        <v>84</v>
      </c>
      <c r="C1491" s="108">
        <v>6781</v>
      </c>
      <c r="D1491" s="110"/>
      <c r="E1491" t="str">
        <f>VLOOKUP(B1491,CAC!$A$2:$B$198,2,FALSE)</f>
        <v>HMOMM</v>
      </c>
    </row>
    <row r="1492" spans="1:5" x14ac:dyDescent="0.25">
      <c r="A1492" s="108">
        <v>201603</v>
      </c>
      <c r="B1492" s="109" t="s">
        <v>162</v>
      </c>
      <c r="C1492" s="108">
        <v>401</v>
      </c>
      <c r="D1492" s="110"/>
      <c r="E1492" t="str">
        <f>VLOOKUP(B1492,CAC!$A$2:$B$198,2,FALSE)</f>
        <v>HMOMG</v>
      </c>
    </row>
    <row r="1493" spans="1:5" x14ac:dyDescent="0.25">
      <c r="A1493" s="108">
        <v>201603</v>
      </c>
      <c r="B1493" s="109" t="s">
        <v>163</v>
      </c>
      <c r="C1493" s="108">
        <v>107</v>
      </c>
      <c r="D1493" s="110"/>
      <c r="E1493" t="str">
        <f>VLOOKUP(B1493,CAC!$A$2:$B$198,2,FALSE)</f>
        <v>HMOMG</v>
      </c>
    </row>
    <row r="1494" spans="1:5" x14ac:dyDescent="0.25">
      <c r="A1494" s="108">
        <v>201603</v>
      </c>
      <c r="B1494" s="109" t="s">
        <v>165</v>
      </c>
      <c r="C1494" s="108">
        <v>0</v>
      </c>
      <c r="D1494" s="110"/>
      <c r="E1494" t="str">
        <f>VLOOKUP(B1494,CAC!$A$2:$B$198,2,FALSE)</f>
        <v>HMOMG</v>
      </c>
    </row>
    <row r="1495" spans="1:5" x14ac:dyDescent="0.25">
      <c r="A1495" s="108">
        <v>201603</v>
      </c>
      <c r="B1495" s="109" t="s">
        <v>85</v>
      </c>
      <c r="C1495" s="108">
        <v>658</v>
      </c>
      <c r="D1495" s="110"/>
      <c r="E1495" t="str">
        <f>VLOOKUP(B1495,CAC!$A$2:$B$198,2,FALSE)</f>
        <v>HMOMG</v>
      </c>
    </row>
    <row r="1496" spans="1:5" x14ac:dyDescent="0.25">
      <c r="A1496" s="108">
        <v>201603</v>
      </c>
      <c r="B1496" s="109" t="s">
        <v>77</v>
      </c>
      <c r="C1496" s="108">
        <v>20866</v>
      </c>
      <c r="D1496" s="110"/>
      <c r="E1496" t="str">
        <f>VLOOKUP(B1496,CAC!$A$2:$B$198,2,FALSE)</f>
        <v>HMOSG</v>
      </c>
    </row>
    <row r="1497" spans="1:5" x14ac:dyDescent="0.25">
      <c r="A1497" s="108">
        <v>201603</v>
      </c>
      <c r="B1497" s="109" t="s">
        <v>78</v>
      </c>
      <c r="C1497" s="108">
        <v>331</v>
      </c>
      <c r="D1497" s="110"/>
      <c r="E1497" t="str">
        <f>VLOOKUP(B1497,CAC!$A$2:$B$198,2,FALSE)</f>
        <v>HMOSG</v>
      </c>
    </row>
    <row r="1498" spans="1:5" x14ac:dyDescent="0.25">
      <c r="A1498" s="108">
        <v>201603</v>
      </c>
      <c r="B1498" s="109" t="s">
        <v>79</v>
      </c>
      <c r="C1498" s="108">
        <v>87</v>
      </c>
      <c r="D1498" s="110"/>
      <c r="E1498" t="str">
        <f>VLOOKUP(B1498,CAC!$A$2:$B$198,2,FALSE)</f>
        <v>HMOSG</v>
      </c>
    </row>
    <row r="1499" spans="1:5" x14ac:dyDescent="0.25">
      <c r="A1499" s="108">
        <v>201603</v>
      </c>
      <c r="B1499" s="109" t="s">
        <v>222</v>
      </c>
      <c r="C1499" s="108">
        <v>0</v>
      </c>
      <c r="D1499" s="110"/>
      <c r="E1499" t="str">
        <f>VLOOKUP(B1499,CAC!$A$2:$B$198,2,FALSE)</f>
        <v>PPOSG</v>
      </c>
    </row>
    <row r="1500" spans="1:5" x14ac:dyDescent="0.25">
      <c r="A1500" s="108">
        <v>201603</v>
      </c>
      <c r="B1500" s="109" t="s">
        <v>225</v>
      </c>
      <c r="C1500" s="108">
        <v>0</v>
      </c>
      <c r="D1500" s="110"/>
      <c r="E1500" t="str">
        <f>VLOOKUP(B1500,CAC!$A$2:$B$198,2,FALSE)</f>
        <v>PPOSG</v>
      </c>
    </row>
    <row r="1501" spans="1:5" x14ac:dyDescent="0.25">
      <c r="A1501" s="108">
        <v>201603</v>
      </c>
      <c r="B1501" s="109" t="s">
        <v>226</v>
      </c>
      <c r="C1501" s="108">
        <v>0</v>
      </c>
      <c r="D1501" s="110"/>
      <c r="E1501" t="str">
        <f>VLOOKUP(B1501,CAC!$A$2:$B$198,2,FALSE)</f>
        <v>PPOSG</v>
      </c>
    </row>
    <row r="1502" spans="1:5" x14ac:dyDescent="0.25">
      <c r="A1502" s="108">
        <v>201603</v>
      </c>
      <c r="B1502" s="109" t="s">
        <v>186</v>
      </c>
      <c r="C1502" s="108">
        <v>0</v>
      </c>
      <c r="D1502" s="110"/>
      <c r="E1502" t="str">
        <f>VLOOKUP(B1502,CAC!$A$2:$B$198,2,FALSE)</f>
        <v>PPOIFP</v>
      </c>
    </row>
    <row r="1503" spans="1:5" x14ac:dyDescent="0.25">
      <c r="A1503" s="108">
        <v>201603</v>
      </c>
      <c r="B1503" s="109" t="s">
        <v>187</v>
      </c>
      <c r="C1503" s="108">
        <v>0</v>
      </c>
      <c r="D1503" s="110"/>
      <c r="E1503" t="str">
        <f>VLOOKUP(B1503,CAC!$A$2:$B$198,2,FALSE)</f>
        <v>PPOIFP</v>
      </c>
    </row>
    <row r="1504" spans="1:5" x14ac:dyDescent="0.25">
      <c r="A1504" s="108">
        <v>201603</v>
      </c>
      <c r="B1504" s="109" t="s">
        <v>188</v>
      </c>
      <c r="C1504" s="108">
        <v>0</v>
      </c>
      <c r="D1504" s="110"/>
      <c r="E1504" t="str">
        <f>VLOOKUP(B1504,CAC!$A$2:$B$198,2,FALSE)</f>
        <v>PPOIFP</v>
      </c>
    </row>
    <row r="1505" spans="1:5" x14ac:dyDescent="0.25">
      <c r="A1505" s="108">
        <v>201603</v>
      </c>
      <c r="B1505" s="109" t="s">
        <v>189</v>
      </c>
      <c r="C1505" s="108">
        <v>0</v>
      </c>
      <c r="D1505" s="110"/>
      <c r="E1505" t="str">
        <f>VLOOKUP(B1505,CAC!$A$2:$B$198,2,FALSE)</f>
        <v>PPOIFP</v>
      </c>
    </row>
    <row r="1506" spans="1:5" x14ac:dyDescent="0.25">
      <c r="A1506" s="108">
        <v>201603</v>
      </c>
      <c r="B1506" s="109" t="s">
        <v>331</v>
      </c>
      <c r="C1506" s="108">
        <v>0</v>
      </c>
      <c r="D1506" s="110"/>
      <c r="E1506" t="e">
        <f>VLOOKUP(B1506,CAC!$A$2:$B$198,2,FALSE)</f>
        <v>#N/A</v>
      </c>
    </row>
    <row r="1507" spans="1:5" x14ac:dyDescent="0.25">
      <c r="A1507" s="108">
        <v>201603</v>
      </c>
      <c r="B1507" s="109" t="s">
        <v>216</v>
      </c>
      <c r="C1507" s="108">
        <v>0</v>
      </c>
      <c r="D1507" s="110"/>
      <c r="E1507" t="str">
        <f>VLOOKUP(B1507,CAC!$A$2:$B$198,2,FALSE)</f>
        <v>PPOMM</v>
      </c>
    </row>
    <row r="1508" spans="1:5" x14ac:dyDescent="0.25">
      <c r="A1508" s="108">
        <v>201603</v>
      </c>
      <c r="B1508" s="109" t="s">
        <v>301</v>
      </c>
      <c r="C1508" s="108">
        <v>0</v>
      </c>
      <c r="D1508" s="110"/>
      <c r="E1508" t="str">
        <f>VLOOKUP(B1508,CAC!$A$2:$B$198,2,FALSE)</f>
        <v>XXX</v>
      </c>
    </row>
    <row r="1509" spans="1:5" x14ac:dyDescent="0.25">
      <c r="A1509" s="108">
        <v>201604</v>
      </c>
      <c r="B1509" s="109" t="s">
        <v>51</v>
      </c>
      <c r="C1509" s="108">
        <v>41</v>
      </c>
      <c r="D1509" s="110"/>
      <c r="E1509" t="str">
        <f>VLOOKUP(B1509,CAC!$A$2:$B$198,2,FALSE)</f>
        <v>XXX</v>
      </c>
    </row>
    <row r="1510" spans="1:5" x14ac:dyDescent="0.25">
      <c r="A1510" s="108">
        <v>201604</v>
      </c>
      <c r="B1510" s="109" t="s">
        <v>303</v>
      </c>
      <c r="C1510" s="108">
        <v>0</v>
      </c>
      <c r="D1510" s="110"/>
      <c r="E1510" t="e">
        <f>VLOOKUP(B1510,CAC!$A$2:$B$198,2,FALSE)</f>
        <v>#N/A</v>
      </c>
    </row>
    <row r="1511" spans="1:5" x14ac:dyDescent="0.25">
      <c r="A1511" s="108">
        <v>201604</v>
      </c>
      <c r="B1511" s="109" t="s">
        <v>304</v>
      </c>
      <c r="C1511" s="108">
        <v>0</v>
      </c>
      <c r="D1511" s="110"/>
      <c r="E1511" t="e">
        <f>VLOOKUP(B1511,CAC!$A$2:$B$198,2,FALSE)</f>
        <v>#N/A</v>
      </c>
    </row>
    <row r="1512" spans="1:5" x14ac:dyDescent="0.25">
      <c r="A1512" s="108">
        <v>201604</v>
      </c>
      <c r="B1512" s="109" t="s">
        <v>323</v>
      </c>
      <c r="C1512" s="108">
        <v>0</v>
      </c>
      <c r="D1512" s="110"/>
      <c r="E1512" t="e">
        <f>VLOOKUP(B1512,CAC!$A$2:$B$198,2,FALSE)</f>
        <v>#N/A</v>
      </c>
    </row>
    <row r="1513" spans="1:5" x14ac:dyDescent="0.25">
      <c r="A1513" s="108">
        <v>201604</v>
      </c>
      <c r="B1513" s="109" t="s">
        <v>305</v>
      </c>
      <c r="C1513" s="108">
        <v>0</v>
      </c>
      <c r="D1513" s="110"/>
      <c r="E1513" t="e">
        <f>VLOOKUP(B1513,CAC!$A$2:$B$198,2,FALSE)</f>
        <v>#N/A</v>
      </c>
    </row>
    <row r="1514" spans="1:5" x14ac:dyDescent="0.25">
      <c r="A1514" s="108">
        <v>201604</v>
      </c>
      <c r="B1514" s="109" t="s">
        <v>324</v>
      </c>
      <c r="C1514" s="108">
        <v>0</v>
      </c>
      <c r="D1514" s="110"/>
      <c r="E1514" t="e">
        <f>VLOOKUP(B1514,CAC!$A$2:$B$198,2,FALSE)</f>
        <v>#N/A</v>
      </c>
    </row>
    <row r="1515" spans="1:5" x14ac:dyDescent="0.25">
      <c r="A1515" s="108">
        <v>201604</v>
      </c>
      <c r="B1515" s="109" t="s">
        <v>327</v>
      </c>
      <c r="C1515" s="108">
        <v>0</v>
      </c>
      <c r="D1515" s="110"/>
      <c r="E1515" t="e">
        <f>VLOOKUP(B1515,CAC!$A$2:$B$198,2,FALSE)</f>
        <v>#N/A</v>
      </c>
    </row>
    <row r="1516" spans="1:5" x14ac:dyDescent="0.25">
      <c r="A1516" s="108">
        <v>201604</v>
      </c>
      <c r="B1516" s="109" t="s">
        <v>318</v>
      </c>
      <c r="C1516" s="108">
        <v>0</v>
      </c>
      <c r="D1516" s="110"/>
      <c r="E1516" t="e">
        <f>VLOOKUP(B1516,CAC!$A$2:$B$198,2,FALSE)</f>
        <v>#N/A</v>
      </c>
    </row>
    <row r="1517" spans="1:5" x14ac:dyDescent="0.25">
      <c r="A1517" s="108">
        <v>201604</v>
      </c>
      <c r="B1517" s="109" t="s">
        <v>326</v>
      </c>
      <c r="C1517" s="108">
        <v>0</v>
      </c>
      <c r="D1517" s="110"/>
      <c r="E1517" t="e">
        <f>VLOOKUP(B1517,CAC!$A$2:$B$198,2,FALSE)</f>
        <v>#N/A</v>
      </c>
    </row>
    <row r="1518" spans="1:5" x14ac:dyDescent="0.25">
      <c r="A1518" s="108">
        <v>201604</v>
      </c>
      <c r="B1518" s="109" t="s">
        <v>231</v>
      </c>
      <c r="C1518" s="108">
        <v>0</v>
      </c>
      <c r="D1518" s="110"/>
      <c r="E1518" t="str">
        <f>VLOOKUP(B1518,CAC!$A$2:$B$198,2,FALSE)</f>
        <v>DOILG</v>
      </c>
    </row>
    <row r="1519" spans="1:5" x14ac:dyDescent="0.25">
      <c r="A1519" s="108">
        <v>201604</v>
      </c>
      <c r="B1519" s="109" t="s">
        <v>233</v>
      </c>
      <c r="C1519" s="108">
        <v>0</v>
      </c>
      <c r="D1519" s="110"/>
      <c r="E1519" t="str">
        <f>VLOOKUP(B1519,CAC!$A$2:$B$198,2,FALSE)</f>
        <v>DOILG</v>
      </c>
    </row>
    <row r="1520" spans="1:5" x14ac:dyDescent="0.25">
      <c r="A1520" s="108">
        <v>201604</v>
      </c>
      <c r="B1520" s="109" t="s">
        <v>235</v>
      </c>
      <c r="C1520" s="108">
        <v>0</v>
      </c>
      <c r="D1520" s="110"/>
      <c r="E1520" t="str">
        <f>VLOOKUP(B1520,CAC!$A$2:$B$198,2,FALSE)</f>
        <v>DOILG</v>
      </c>
    </row>
    <row r="1521" spans="1:5" x14ac:dyDescent="0.25">
      <c r="A1521" s="108">
        <v>201604</v>
      </c>
      <c r="B1521" s="109" t="s">
        <v>237</v>
      </c>
      <c r="C1521" s="108">
        <v>0</v>
      </c>
      <c r="D1521" s="110"/>
      <c r="E1521" t="str">
        <f>VLOOKUP(B1521,CAC!$A$2:$B$198,2,FALSE)</f>
        <v>DOILG</v>
      </c>
    </row>
    <row r="1522" spans="1:5" x14ac:dyDescent="0.25">
      <c r="A1522" s="108">
        <v>201604</v>
      </c>
      <c r="B1522" s="109" t="s">
        <v>247</v>
      </c>
      <c r="C1522" s="108">
        <v>0</v>
      </c>
      <c r="D1522" s="110"/>
      <c r="E1522" t="str">
        <f>VLOOKUP(B1522,CAC!$A$2:$B$198,2,FALSE)</f>
        <v>DOIIFP</v>
      </c>
    </row>
    <row r="1523" spans="1:5" x14ac:dyDescent="0.25">
      <c r="A1523" s="108">
        <v>201604</v>
      </c>
      <c r="B1523" s="109" t="s">
        <v>238</v>
      </c>
      <c r="C1523" s="108">
        <v>0</v>
      </c>
      <c r="D1523" s="110"/>
      <c r="E1523" t="str">
        <f>VLOOKUP(B1523,CAC!$A$2:$B$198,2,FALSE)</f>
        <v>DOILG</v>
      </c>
    </row>
    <row r="1524" spans="1:5" x14ac:dyDescent="0.25">
      <c r="A1524" s="108">
        <v>201604</v>
      </c>
      <c r="B1524" s="109" t="s">
        <v>248</v>
      </c>
      <c r="C1524" s="108">
        <v>0</v>
      </c>
      <c r="D1524" s="110"/>
      <c r="E1524" t="str">
        <f>VLOOKUP(B1524,CAC!$A$2:$B$198,2,FALSE)</f>
        <v>DOIIFP</v>
      </c>
    </row>
    <row r="1525" spans="1:5" x14ac:dyDescent="0.25">
      <c r="A1525" s="108">
        <v>201604</v>
      </c>
      <c r="B1525" s="109" t="s">
        <v>328</v>
      </c>
      <c r="C1525" s="108">
        <v>0</v>
      </c>
      <c r="D1525" s="110"/>
      <c r="E1525" t="e">
        <f>VLOOKUP(B1525,CAC!$A$2:$B$198,2,FALSE)</f>
        <v>#N/A</v>
      </c>
    </row>
    <row r="1526" spans="1:5" x14ac:dyDescent="0.25">
      <c r="A1526" s="108">
        <v>201604</v>
      </c>
      <c r="B1526" s="109" t="s">
        <v>253</v>
      </c>
      <c r="C1526" s="108">
        <v>0</v>
      </c>
      <c r="D1526" s="110"/>
      <c r="E1526" t="str">
        <f>VLOOKUP(B1526,CAC!$A$2:$B$198,2,FALSE)</f>
        <v>AGDMHC</v>
      </c>
    </row>
    <row r="1527" spans="1:5" x14ac:dyDescent="0.25">
      <c r="A1527" s="108">
        <v>201604</v>
      </c>
      <c r="B1527" s="109" t="s">
        <v>325</v>
      </c>
      <c r="C1527" s="108">
        <v>0</v>
      </c>
      <c r="D1527" s="110"/>
      <c r="E1527" t="e">
        <f>VLOOKUP(B1527,CAC!$A$2:$B$198,2,FALSE)</f>
        <v>#N/A</v>
      </c>
    </row>
    <row r="1528" spans="1:5" x14ac:dyDescent="0.25">
      <c r="A1528" s="108">
        <v>201604</v>
      </c>
      <c r="B1528" s="109" t="s">
        <v>255</v>
      </c>
      <c r="C1528" s="108">
        <v>0</v>
      </c>
      <c r="D1528" s="110"/>
      <c r="E1528" t="str">
        <f>VLOOKUP(B1528,CAC!$A$2:$B$198,2,FALSE)</f>
        <v>AGDMHC</v>
      </c>
    </row>
    <row r="1529" spans="1:5" x14ac:dyDescent="0.25">
      <c r="A1529" s="108">
        <v>201604</v>
      </c>
      <c r="B1529" s="109" t="s">
        <v>256</v>
      </c>
      <c r="C1529" s="108">
        <v>0</v>
      </c>
      <c r="D1529" s="110"/>
      <c r="E1529" t="str">
        <f>VLOOKUP(B1529,CAC!$A$2:$B$198,2,FALSE)</f>
        <v>AGDMHC</v>
      </c>
    </row>
    <row r="1530" spans="1:5" x14ac:dyDescent="0.25">
      <c r="A1530" s="108">
        <v>201604</v>
      </c>
      <c r="B1530" s="109" t="s">
        <v>257</v>
      </c>
      <c r="C1530" s="108">
        <v>0</v>
      </c>
      <c r="D1530" s="110"/>
      <c r="E1530" t="str">
        <f>VLOOKUP(B1530,CAC!$A$2:$B$198,2,FALSE)</f>
        <v>AGDMHC</v>
      </c>
    </row>
    <row r="1531" spans="1:5" x14ac:dyDescent="0.25">
      <c r="A1531" s="108">
        <v>201604</v>
      </c>
      <c r="B1531" s="109" t="s">
        <v>258</v>
      </c>
      <c r="C1531" s="108">
        <v>0</v>
      </c>
      <c r="D1531" s="110"/>
      <c r="E1531" t="str">
        <f>VLOOKUP(B1531,CAC!$A$2:$B$198,2,FALSE)</f>
        <v>AGDMHC</v>
      </c>
    </row>
    <row r="1532" spans="1:5" x14ac:dyDescent="0.25">
      <c r="A1532" s="108">
        <v>201604</v>
      </c>
      <c r="B1532" s="109" t="s">
        <v>329</v>
      </c>
      <c r="C1532" s="108">
        <v>0</v>
      </c>
      <c r="D1532" s="110"/>
      <c r="E1532" t="e">
        <f>VLOOKUP(B1532,CAC!$A$2:$B$198,2,FALSE)</f>
        <v>#N/A</v>
      </c>
    </row>
    <row r="1533" spans="1:5" x14ac:dyDescent="0.25">
      <c r="A1533" s="108">
        <v>201604</v>
      </c>
      <c r="B1533" s="109" t="s">
        <v>262</v>
      </c>
      <c r="C1533" s="108">
        <v>0</v>
      </c>
      <c r="D1533" s="110"/>
      <c r="E1533" t="str">
        <f>VLOOKUP(B1533,CAC!$A$2:$B$198,2,FALSE)</f>
        <v>AGDMHC</v>
      </c>
    </row>
    <row r="1534" spans="1:5" x14ac:dyDescent="0.25">
      <c r="A1534" s="108">
        <v>201604</v>
      </c>
      <c r="B1534" s="109" t="s">
        <v>269</v>
      </c>
      <c r="C1534" s="108">
        <v>0</v>
      </c>
      <c r="D1534" s="110"/>
      <c r="E1534" t="str">
        <f>VLOOKUP(B1534,CAC!$A$2:$B$198,2,FALSE)</f>
        <v>AGDMHC</v>
      </c>
    </row>
    <row r="1535" spans="1:5" x14ac:dyDescent="0.25">
      <c r="A1535" s="108">
        <v>201604</v>
      </c>
      <c r="B1535" s="109" t="s">
        <v>319</v>
      </c>
      <c r="C1535" s="108">
        <v>0</v>
      </c>
      <c r="D1535" s="110"/>
      <c r="E1535" t="e">
        <f>VLOOKUP(B1535,CAC!$A$2:$B$198,2,FALSE)</f>
        <v>#N/A</v>
      </c>
    </row>
    <row r="1536" spans="1:5" x14ac:dyDescent="0.25">
      <c r="A1536" s="108">
        <v>201604</v>
      </c>
      <c r="B1536" s="109" t="s">
        <v>266</v>
      </c>
      <c r="C1536" s="108">
        <v>0</v>
      </c>
      <c r="D1536" s="110"/>
      <c r="E1536" t="str">
        <f>VLOOKUP(B1536,CAC!$A$2:$B$198,2,FALSE)</f>
        <v>AGDMHC</v>
      </c>
    </row>
    <row r="1537" spans="1:5" x14ac:dyDescent="0.25">
      <c r="A1537" s="108">
        <v>201604</v>
      </c>
      <c r="B1537" s="109" t="s">
        <v>267</v>
      </c>
      <c r="C1537" s="108">
        <v>0</v>
      </c>
      <c r="D1537" s="110"/>
      <c r="E1537" t="str">
        <f>VLOOKUP(B1537,CAC!$A$2:$B$198,2,FALSE)</f>
        <v>AGDMHC</v>
      </c>
    </row>
    <row r="1538" spans="1:5" x14ac:dyDescent="0.25">
      <c r="A1538" s="108">
        <v>201604</v>
      </c>
      <c r="B1538" s="109" t="s">
        <v>268</v>
      </c>
      <c r="C1538" s="108">
        <v>0</v>
      </c>
      <c r="D1538" s="110"/>
      <c r="E1538" t="str">
        <f>VLOOKUP(B1538,CAC!$A$2:$B$198,2,FALSE)</f>
        <v>AGDMHC</v>
      </c>
    </row>
    <row r="1539" spans="1:5" x14ac:dyDescent="0.25">
      <c r="A1539" s="108">
        <v>201604</v>
      </c>
      <c r="B1539" s="109" t="s">
        <v>52</v>
      </c>
      <c r="C1539" s="108">
        <v>15704</v>
      </c>
      <c r="D1539" s="110"/>
      <c r="E1539" t="str">
        <f>VLOOKUP(B1539,CAC!$A$2:$B$198,2,FALSE)</f>
        <v>HMOPMR</v>
      </c>
    </row>
    <row r="1540" spans="1:5" x14ac:dyDescent="0.25">
      <c r="A1540" s="108">
        <v>201604</v>
      </c>
      <c r="B1540" s="109" t="s">
        <v>53</v>
      </c>
      <c r="C1540" s="108">
        <v>4686</v>
      </c>
      <c r="D1540" s="110"/>
      <c r="E1540" t="str">
        <f>VLOOKUP(B1540,CAC!$A$2:$B$198,2,FALSE)</f>
        <v>HMOPMR</v>
      </c>
    </row>
    <row r="1541" spans="1:5" x14ac:dyDescent="0.25">
      <c r="A1541" s="108">
        <v>201604</v>
      </c>
      <c r="B1541" s="109" t="s">
        <v>54</v>
      </c>
      <c r="C1541" s="108">
        <v>6067</v>
      </c>
      <c r="D1541" s="110"/>
      <c r="E1541" t="str">
        <f>VLOOKUP(B1541,CAC!$A$2:$B$198,2,FALSE)</f>
        <v>HMOFEP</v>
      </c>
    </row>
    <row r="1542" spans="1:5" x14ac:dyDescent="0.25">
      <c r="A1542" s="108">
        <v>201604</v>
      </c>
      <c r="B1542" s="109" t="s">
        <v>279</v>
      </c>
      <c r="C1542" s="108">
        <v>0</v>
      </c>
      <c r="D1542" s="110"/>
      <c r="E1542" t="str">
        <f>VLOOKUP(B1542,CAC!$A$2:$B$198,2,FALSE)</f>
        <v>PPOFEP</v>
      </c>
    </row>
    <row r="1543" spans="1:5" x14ac:dyDescent="0.25">
      <c r="A1543" s="108">
        <v>201604</v>
      </c>
      <c r="B1543" s="109" t="s">
        <v>202</v>
      </c>
      <c r="C1543" s="108">
        <v>0</v>
      </c>
      <c r="D1543" s="110"/>
      <c r="E1543" t="str">
        <f>VLOOKUP(B1543,CAC!$A$2:$B$198,2,FALSE)</f>
        <v>PPOPMR</v>
      </c>
    </row>
    <row r="1544" spans="1:5" x14ac:dyDescent="0.25">
      <c r="A1544" s="108">
        <v>201604</v>
      </c>
      <c r="B1544" s="109" t="s">
        <v>55</v>
      </c>
      <c r="C1544" s="108">
        <v>14207</v>
      </c>
      <c r="D1544" s="110"/>
      <c r="E1544" t="str">
        <f>VLOOKUP(B1544,CAC!$A$2:$B$198,2,FALSE)</f>
        <v>HMOPMR</v>
      </c>
    </row>
    <row r="1545" spans="1:5" x14ac:dyDescent="0.25">
      <c r="A1545" s="108">
        <v>201604</v>
      </c>
      <c r="B1545" s="109" t="s">
        <v>56</v>
      </c>
      <c r="C1545" s="108">
        <v>123</v>
      </c>
      <c r="D1545" s="110"/>
      <c r="E1545" t="str">
        <f>VLOOKUP(B1545,CAC!$A$2:$B$198,2,FALSE)</f>
        <v>HMOPMR</v>
      </c>
    </row>
    <row r="1546" spans="1:5" x14ac:dyDescent="0.25">
      <c r="A1546" s="108">
        <v>201604</v>
      </c>
      <c r="B1546" s="109" t="s">
        <v>83</v>
      </c>
      <c r="C1546" s="108">
        <v>1962</v>
      </c>
      <c r="D1546" s="110"/>
      <c r="E1546" t="str">
        <f>VLOOKUP(B1546,CAC!$A$2:$B$198,2,FALSE)</f>
        <v>HMOPMR</v>
      </c>
    </row>
    <row r="1547" spans="1:5" x14ac:dyDescent="0.25">
      <c r="A1547" s="108">
        <v>201604</v>
      </c>
      <c r="B1547" s="109" t="s">
        <v>57</v>
      </c>
      <c r="C1547" s="108">
        <v>6095</v>
      </c>
      <c r="D1547" s="110"/>
      <c r="E1547" t="str">
        <f>VLOOKUP(B1547,CAC!$A$2:$B$198,2,FALSE)</f>
        <v>HMFLEX</v>
      </c>
    </row>
    <row r="1548" spans="1:5" x14ac:dyDescent="0.25">
      <c r="A1548" s="108">
        <v>201604</v>
      </c>
      <c r="B1548" s="109" t="s">
        <v>58</v>
      </c>
      <c r="C1548" s="108">
        <v>351</v>
      </c>
      <c r="D1548" s="110"/>
      <c r="E1548" t="str">
        <f>VLOOKUP(B1548,CAC!$A$2:$B$198,2,FALSE)</f>
        <v>HMFLEX</v>
      </c>
    </row>
    <row r="1549" spans="1:5" x14ac:dyDescent="0.25">
      <c r="A1549" s="108">
        <v>201604</v>
      </c>
      <c r="B1549" s="109" t="s">
        <v>306</v>
      </c>
      <c r="C1549" s="108">
        <v>0</v>
      </c>
      <c r="D1549" s="110"/>
      <c r="E1549" t="e">
        <f>VLOOKUP(B1549,CAC!$A$2:$B$198,2,FALSE)</f>
        <v>#N/A</v>
      </c>
    </row>
    <row r="1550" spans="1:5" x14ac:dyDescent="0.25">
      <c r="A1550" s="108">
        <v>201604</v>
      </c>
      <c r="B1550" s="109" t="s">
        <v>283</v>
      </c>
      <c r="C1550" s="108">
        <v>0</v>
      </c>
      <c r="D1550" s="110"/>
      <c r="E1550" t="str">
        <f>VLOOKUP(B1550,CAC!$A$2:$B$198,2,FALSE)</f>
        <v>HMFLEX</v>
      </c>
    </row>
    <row r="1551" spans="1:5" x14ac:dyDescent="0.25">
      <c r="A1551" s="108">
        <v>201604</v>
      </c>
      <c r="B1551" s="109" t="s">
        <v>205</v>
      </c>
      <c r="C1551" s="108">
        <v>0</v>
      </c>
      <c r="D1551" s="110"/>
      <c r="E1551" t="str">
        <f>VLOOKUP(B1551,CAC!$A$2:$B$198,2,FALSE)</f>
        <v>PPOPMR</v>
      </c>
    </row>
    <row r="1552" spans="1:5" x14ac:dyDescent="0.25">
      <c r="A1552" s="108">
        <v>201604</v>
      </c>
      <c r="B1552" s="109" t="s">
        <v>286</v>
      </c>
      <c r="C1552" s="108">
        <v>0</v>
      </c>
      <c r="D1552" s="110"/>
      <c r="E1552" t="str">
        <f>VLOOKUP(B1552,CAC!$A$2:$B$198,2,FALSE)</f>
        <v>HMFLEX</v>
      </c>
    </row>
    <row r="1553" spans="1:5" x14ac:dyDescent="0.25">
      <c r="A1553" s="108">
        <v>201604</v>
      </c>
      <c r="B1553" s="109" t="s">
        <v>60</v>
      </c>
      <c r="C1553" s="108">
        <v>13447</v>
      </c>
      <c r="D1553" s="110"/>
      <c r="E1553" t="str">
        <f>VLOOKUP(B1553,CAC!$A$2:$B$198,2,FALSE)</f>
        <v>HMOLG</v>
      </c>
    </row>
    <row r="1554" spans="1:5" x14ac:dyDescent="0.25">
      <c r="A1554" s="108">
        <v>201604</v>
      </c>
      <c r="B1554" s="109" t="s">
        <v>61</v>
      </c>
      <c r="C1554" s="108">
        <v>691</v>
      </c>
      <c r="D1554" s="110"/>
      <c r="E1554" t="str">
        <f>VLOOKUP(B1554,CAC!$A$2:$B$198,2,FALSE)</f>
        <v>HMOLG</v>
      </c>
    </row>
    <row r="1555" spans="1:5" x14ac:dyDescent="0.25">
      <c r="A1555" s="108">
        <v>201604</v>
      </c>
      <c r="B1555" s="109" t="s">
        <v>62</v>
      </c>
      <c r="C1555" s="108">
        <v>24043</v>
      </c>
      <c r="D1555" s="110"/>
      <c r="E1555" t="str">
        <f>VLOOKUP(B1555,CAC!$A$2:$B$198,2,FALSE)</f>
        <v>HMOLG</v>
      </c>
    </row>
    <row r="1556" spans="1:5" x14ac:dyDescent="0.25">
      <c r="A1556" s="108">
        <v>201604</v>
      </c>
      <c r="B1556" s="109" t="s">
        <v>86</v>
      </c>
      <c r="C1556" s="108">
        <v>281</v>
      </c>
      <c r="D1556" s="110"/>
      <c r="E1556" t="str">
        <f>VLOOKUP(B1556,CAC!$A$2:$B$198,2,FALSE)</f>
        <v>HMOLG</v>
      </c>
    </row>
    <row r="1557" spans="1:5" x14ac:dyDescent="0.25">
      <c r="A1557" s="108">
        <v>201604</v>
      </c>
      <c r="B1557" s="109" t="s">
        <v>63</v>
      </c>
      <c r="C1557" s="108">
        <v>123</v>
      </c>
      <c r="D1557" s="110"/>
      <c r="E1557" t="str">
        <f>VLOOKUP(B1557,CAC!$A$2:$B$198,2,FALSE)</f>
        <v>HMOLG</v>
      </c>
    </row>
    <row r="1558" spans="1:5" x14ac:dyDescent="0.25">
      <c r="A1558" s="108">
        <v>201604</v>
      </c>
      <c r="B1558" s="109" t="s">
        <v>64</v>
      </c>
      <c r="C1558" s="108">
        <v>0</v>
      </c>
      <c r="D1558" s="110"/>
      <c r="E1558" t="str">
        <f>VLOOKUP(B1558,CAC!$A$2:$B$198,2,FALSE)</f>
        <v>HMOLG</v>
      </c>
    </row>
    <row r="1559" spans="1:5" x14ac:dyDescent="0.25">
      <c r="A1559" s="108">
        <v>201604</v>
      </c>
      <c r="B1559" s="109" t="s">
        <v>65</v>
      </c>
      <c r="C1559" s="108">
        <v>227</v>
      </c>
      <c r="D1559" s="110"/>
      <c r="E1559" t="str">
        <f>VLOOKUP(B1559,CAC!$A$2:$B$198,2,FALSE)</f>
        <v>HMFLEX</v>
      </c>
    </row>
    <row r="1560" spans="1:5" x14ac:dyDescent="0.25">
      <c r="A1560" s="108">
        <v>201604</v>
      </c>
      <c r="B1560" s="109" t="s">
        <v>307</v>
      </c>
      <c r="C1560" s="108">
        <v>0</v>
      </c>
      <c r="D1560" s="110"/>
      <c r="E1560" t="e">
        <f>VLOOKUP(B1560,CAC!$A$2:$B$198,2,FALSE)</f>
        <v>#N/A</v>
      </c>
    </row>
    <row r="1561" spans="1:5" x14ac:dyDescent="0.25">
      <c r="A1561" s="108">
        <v>201604</v>
      </c>
      <c r="B1561" s="109" t="s">
        <v>308</v>
      </c>
      <c r="C1561" s="108">
        <v>0</v>
      </c>
      <c r="D1561" s="110"/>
      <c r="E1561" t="e">
        <f>VLOOKUP(B1561,CAC!$A$2:$B$198,2,FALSE)</f>
        <v>#N/A</v>
      </c>
    </row>
    <row r="1562" spans="1:5" x14ac:dyDescent="0.25">
      <c r="A1562" s="108">
        <v>201604</v>
      </c>
      <c r="B1562" s="109" t="s">
        <v>309</v>
      </c>
      <c r="C1562" s="108">
        <v>0</v>
      </c>
      <c r="D1562" s="110"/>
      <c r="E1562" t="e">
        <f>VLOOKUP(B1562,CAC!$A$2:$B$198,2,FALSE)</f>
        <v>#N/A</v>
      </c>
    </row>
    <row r="1563" spans="1:5" x14ac:dyDescent="0.25">
      <c r="A1563" s="108">
        <v>201604</v>
      </c>
      <c r="B1563" s="109" t="s">
        <v>99</v>
      </c>
      <c r="C1563" s="108">
        <v>0</v>
      </c>
      <c r="D1563" s="110"/>
      <c r="E1563" t="str">
        <f>VLOOKUP(B1563,CAC!$A$2:$B$198,2,FALSE)</f>
        <v>PPOLG</v>
      </c>
    </row>
    <row r="1564" spans="1:5" x14ac:dyDescent="0.25">
      <c r="A1564" s="108">
        <v>201604</v>
      </c>
      <c r="B1564" s="109" t="s">
        <v>193</v>
      </c>
      <c r="C1564" s="108">
        <v>0</v>
      </c>
      <c r="D1564" s="110"/>
      <c r="E1564" t="str">
        <f>VLOOKUP(B1564,CAC!$A$2:$B$198,2,FALSE)</f>
        <v>PPOLG</v>
      </c>
    </row>
    <row r="1565" spans="1:5" x14ac:dyDescent="0.25">
      <c r="A1565" s="108">
        <v>201604</v>
      </c>
      <c r="B1565" s="109" t="s">
        <v>196</v>
      </c>
      <c r="C1565" s="108">
        <v>0</v>
      </c>
      <c r="D1565" s="110"/>
      <c r="E1565" t="str">
        <f>VLOOKUP(B1565,CAC!$A$2:$B$198,2,FALSE)</f>
        <v>PPOLG</v>
      </c>
    </row>
    <row r="1566" spans="1:5" x14ac:dyDescent="0.25">
      <c r="A1566" s="108">
        <v>201604</v>
      </c>
      <c r="B1566" s="109" t="s">
        <v>212</v>
      </c>
      <c r="C1566" s="108">
        <v>0</v>
      </c>
      <c r="D1566" s="110"/>
      <c r="E1566" t="str">
        <f>VLOOKUP(B1566,CAC!$A$2:$B$198,2,FALSE)</f>
        <v>PPOMM</v>
      </c>
    </row>
    <row r="1567" spans="1:5" x14ac:dyDescent="0.25">
      <c r="A1567" s="108">
        <v>201604</v>
      </c>
      <c r="B1567" s="109" t="s">
        <v>213</v>
      </c>
      <c r="C1567" s="108">
        <v>0</v>
      </c>
      <c r="D1567" s="110"/>
      <c r="E1567" t="str">
        <f>VLOOKUP(B1567,CAC!$A$2:$B$198,2,FALSE)</f>
        <v>PPOMM</v>
      </c>
    </row>
    <row r="1568" spans="1:5" x14ac:dyDescent="0.25">
      <c r="A1568" s="108">
        <v>201604</v>
      </c>
      <c r="B1568" s="109" t="s">
        <v>311</v>
      </c>
      <c r="C1568" s="108">
        <v>0</v>
      </c>
      <c r="D1568" s="110"/>
      <c r="E1568" t="e">
        <f>VLOOKUP(B1568,CAC!$A$2:$B$198,2,FALSE)</f>
        <v>#N/A</v>
      </c>
    </row>
    <row r="1569" spans="1:5" x14ac:dyDescent="0.25">
      <c r="A1569" s="108">
        <v>201604</v>
      </c>
      <c r="B1569" s="109" t="s">
        <v>320</v>
      </c>
      <c r="C1569" s="108">
        <v>0</v>
      </c>
      <c r="D1569" s="110"/>
      <c r="E1569" t="e">
        <f>VLOOKUP(B1569,CAC!$A$2:$B$198,2,FALSE)</f>
        <v>#N/A</v>
      </c>
    </row>
    <row r="1570" spans="1:5" x14ac:dyDescent="0.25">
      <c r="A1570" s="108">
        <v>201604</v>
      </c>
      <c r="B1570" s="109" t="s">
        <v>321</v>
      </c>
      <c r="C1570" s="108">
        <v>0</v>
      </c>
      <c r="D1570" s="110"/>
      <c r="E1570" t="e">
        <f>VLOOKUP(B1570,CAC!$A$2:$B$198,2,FALSE)</f>
        <v>#N/A</v>
      </c>
    </row>
    <row r="1571" spans="1:5" x14ac:dyDescent="0.25">
      <c r="A1571" s="108">
        <v>201604</v>
      </c>
      <c r="B1571" s="109" t="s">
        <v>312</v>
      </c>
      <c r="C1571" s="108">
        <v>0</v>
      </c>
      <c r="D1571" s="110"/>
      <c r="E1571" t="e">
        <f>VLOOKUP(B1571,CAC!$A$2:$B$198,2,FALSE)</f>
        <v>#N/A</v>
      </c>
    </row>
    <row r="1572" spans="1:5" x14ac:dyDescent="0.25">
      <c r="A1572" s="108">
        <v>201604</v>
      </c>
      <c r="B1572" s="109" t="s">
        <v>215</v>
      </c>
      <c r="C1572" s="108">
        <v>0</v>
      </c>
      <c r="D1572" s="110"/>
      <c r="E1572" t="str">
        <f>VLOOKUP(B1572,CAC!$A$2:$B$198,2,FALSE)</f>
        <v>PPOMM</v>
      </c>
    </row>
    <row r="1573" spans="1:5" x14ac:dyDescent="0.25">
      <c r="A1573" s="108">
        <v>201604</v>
      </c>
      <c r="B1573" s="109" t="s">
        <v>66</v>
      </c>
      <c r="C1573" s="108">
        <v>4045</v>
      </c>
      <c r="D1573" s="110"/>
      <c r="E1573" t="str">
        <f>VLOOKUP(B1573,CAC!$A$2:$B$198,2,FALSE)</f>
        <v>HMOLG</v>
      </c>
    </row>
    <row r="1574" spans="1:5" x14ac:dyDescent="0.25">
      <c r="A1574" s="108">
        <v>201604</v>
      </c>
      <c r="B1574" s="109" t="s">
        <v>82</v>
      </c>
      <c r="C1574" s="108">
        <v>2</v>
      </c>
      <c r="D1574" s="110"/>
      <c r="E1574" t="str">
        <f>VLOOKUP(B1574,CAC!$A$2:$B$198,2,FALSE)</f>
        <v>NATPAR</v>
      </c>
    </row>
    <row r="1575" spans="1:5" x14ac:dyDescent="0.25">
      <c r="A1575" s="108">
        <v>201604</v>
      </c>
      <c r="B1575" s="109" t="s">
        <v>67</v>
      </c>
      <c r="C1575" s="108">
        <v>149</v>
      </c>
      <c r="D1575" s="110"/>
      <c r="E1575" t="str">
        <f>VLOOKUP(B1575,CAC!$A$2:$B$198,2,FALSE)</f>
        <v>HMOLG</v>
      </c>
    </row>
    <row r="1576" spans="1:5" x14ac:dyDescent="0.25">
      <c r="A1576" s="108">
        <v>201604</v>
      </c>
      <c r="B1576" s="109" t="s">
        <v>68</v>
      </c>
      <c r="C1576" s="108">
        <v>269</v>
      </c>
      <c r="D1576" s="110"/>
      <c r="E1576" t="str">
        <f>VLOOKUP(B1576,CAC!$A$2:$B$198,2,FALSE)</f>
        <v>HMOPMR</v>
      </c>
    </row>
    <row r="1577" spans="1:5" x14ac:dyDescent="0.25">
      <c r="A1577" s="108">
        <v>201604</v>
      </c>
      <c r="B1577" s="109" t="s">
        <v>69</v>
      </c>
      <c r="C1577" s="108">
        <v>9693</v>
      </c>
      <c r="D1577" s="110"/>
      <c r="E1577" t="str">
        <f>VLOOKUP(B1577,CAC!$A$2:$B$198,2,FALSE)</f>
        <v>HMOPMR</v>
      </c>
    </row>
    <row r="1578" spans="1:5" x14ac:dyDescent="0.25">
      <c r="A1578" s="108">
        <v>201604</v>
      </c>
      <c r="B1578" s="109" t="s">
        <v>70</v>
      </c>
      <c r="C1578" s="108">
        <v>4075</v>
      </c>
      <c r="D1578" s="110"/>
      <c r="E1578" t="str">
        <f>VLOOKUP(B1578,CAC!$A$2:$B$198,2,FALSE)</f>
        <v>HMOPMR</v>
      </c>
    </row>
    <row r="1579" spans="1:5" x14ac:dyDescent="0.25">
      <c r="A1579" s="108">
        <v>201604</v>
      </c>
      <c r="B1579" s="109" t="s">
        <v>71</v>
      </c>
      <c r="C1579" s="108">
        <v>6673</v>
      </c>
      <c r="D1579" s="110"/>
      <c r="E1579" t="str">
        <f>VLOOKUP(B1579,CAC!$A$2:$B$198,2,FALSE)</f>
        <v>HMOPMR</v>
      </c>
    </row>
    <row r="1580" spans="1:5" x14ac:dyDescent="0.25">
      <c r="A1580" s="108">
        <v>201604</v>
      </c>
      <c r="B1580" s="109" t="s">
        <v>72</v>
      </c>
      <c r="C1580" s="108">
        <v>2172</v>
      </c>
      <c r="D1580" s="110"/>
      <c r="E1580" t="str">
        <f>VLOOKUP(B1580,CAC!$A$2:$B$198,2,FALSE)</f>
        <v>HMFLEX</v>
      </c>
    </row>
    <row r="1581" spans="1:5" x14ac:dyDescent="0.25">
      <c r="A1581" s="108">
        <v>201604</v>
      </c>
      <c r="B1581" s="109" t="s">
        <v>314</v>
      </c>
      <c r="C1581" s="108">
        <v>0</v>
      </c>
      <c r="D1581" s="110"/>
      <c r="E1581" t="e">
        <f>VLOOKUP(B1581,CAC!$A$2:$B$198,2,FALSE)</f>
        <v>#N/A</v>
      </c>
    </row>
    <row r="1582" spans="1:5" x14ac:dyDescent="0.25">
      <c r="A1582" s="108">
        <v>201604</v>
      </c>
      <c r="B1582" s="109" t="s">
        <v>322</v>
      </c>
      <c r="C1582" s="108">
        <v>0</v>
      </c>
      <c r="D1582" s="110"/>
      <c r="E1582" t="e">
        <f>VLOOKUP(B1582,CAC!$A$2:$B$198,2,FALSE)</f>
        <v>#N/A</v>
      </c>
    </row>
    <row r="1583" spans="1:5" x14ac:dyDescent="0.25">
      <c r="A1583" s="108">
        <v>201604</v>
      </c>
      <c r="B1583" s="109" t="s">
        <v>315</v>
      </c>
      <c r="C1583" s="108">
        <v>0</v>
      </c>
      <c r="D1583" s="110"/>
      <c r="E1583" t="e">
        <f>VLOOKUP(B1583,CAC!$A$2:$B$198,2,FALSE)</f>
        <v>#N/A</v>
      </c>
    </row>
    <row r="1584" spans="1:5" x14ac:dyDescent="0.25">
      <c r="A1584" s="108">
        <v>201604</v>
      </c>
      <c r="B1584" s="109" t="s">
        <v>112</v>
      </c>
      <c r="C1584" s="108">
        <v>0</v>
      </c>
      <c r="D1584" s="110"/>
      <c r="E1584" t="e">
        <f>VLOOKUP(B1584,CAC!$A$2:$B$198,2,FALSE)</f>
        <v>#N/A</v>
      </c>
    </row>
    <row r="1585" spans="1:5" x14ac:dyDescent="0.25">
      <c r="A1585" s="108">
        <v>201604</v>
      </c>
      <c r="B1585" s="109" t="s">
        <v>316</v>
      </c>
      <c r="C1585" s="108">
        <v>0</v>
      </c>
      <c r="D1585" s="110"/>
      <c r="E1585" t="e">
        <f>VLOOKUP(B1585,CAC!$A$2:$B$198,2,FALSE)</f>
        <v>#N/A</v>
      </c>
    </row>
    <row r="1586" spans="1:5" x14ac:dyDescent="0.25">
      <c r="A1586" s="108">
        <v>201604</v>
      </c>
      <c r="B1586" s="109" t="s">
        <v>317</v>
      </c>
      <c r="C1586" s="108">
        <v>0</v>
      </c>
      <c r="D1586" s="110"/>
      <c r="E1586" t="e">
        <f>VLOOKUP(B1586,CAC!$A$2:$B$198,2,FALSE)</f>
        <v>#N/A</v>
      </c>
    </row>
    <row r="1587" spans="1:5" x14ac:dyDescent="0.25">
      <c r="A1587" s="108">
        <v>201604</v>
      </c>
      <c r="B1587" s="109" t="s">
        <v>113</v>
      </c>
      <c r="C1587" s="108">
        <v>0</v>
      </c>
      <c r="D1587" s="110"/>
      <c r="E1587" t="str">
        <f>VLOOKUP(B1587,CAC!$A$2:$B$198,2,FALSE)</f>
        <v>PPOLG</v>
      </c>
    </row>
    <row r="1588" spans="1:5" x14ac:dyDescent="0.25">
      <c r="A1588" s="108">
        <v>201604</v>
      </c>
      <c r="B1588" s="109" t="s">
        <v>208</v>
      </c>
      <c r="C1588" s="108">
        <v>0</v>
      </c>
      <c r="D1588" s="110"/>
      <c r="E1588" t="str">
        <f>VLOOKUP(B1588,CAC!$A$2:$B$198,2,FALSE)</f>
        <v>PPOPMR</v>
      </c>
    </row>
    <row r="1589" spans="1:5" x14ac:dyDescent="0.25">
      <c r="A1589" s="108">
        <v>201604</v>
      </c>
      <c r="B1589" s="109" t="s">
        <v>209</v>
      </c>
      <c r="C1589" s="108">
        <v>0</v>
      </c>
      <c r="D1589" s="110"/>
      <c r="E1589" t="str">
        <f>VLOOKUP(B1589,CAC!$A$2:$B$198,2,FALSE)</f>
        <v>PPOPMR</v>
      </c>
    </row>
    <row r="1590" spans="1:5" x14ac:dyDescent="0.25">
      <c r="A1590" s="108">
        <v>201604</v>
      </c>
      <c r="B1590" s="109" t="s">
        <v>204</v>
      </c>
      <c r="C1590" s="108">
        <v>0</v>
      </c>
      <c r="D1590" s="110"/>
      <c r="E1590" t="str">
        <f>VLOOKUP(B1590,CAC!$A$2:$B$198,2,FALSE)</f>
        <v>PPOPMR</v>
      </c>
    </row>
    <row r="1591" spans="1:5" x14ac:dyDescent="0.25">
      <c r="A1591" s="108">
        <v>201604</v>
      </c>
      <c r="B1591" s="109" t="s">
        <v>330</v>
      </c>
      <c r="C1591" s="108">
        <v>0</v>
      </c>
      <c r="D1591" s="110"/>
      <c r="E1591" t="e">
        <f>VLOOKUP(B1591,CAC!$A$2:$B$198,2,FALSE)</f>
        <v>#N/A</v>
      </c>
    </row>
    <row r="1592" spans="1:5" x14ac:dyDescent="0.25">
      <c r="A1592" s="108">
        <v>201604</v>
      </c>
      <c r="B1592" s="109" t="s">
        <v>73</v>
      </c>
      <c r="C1592" s="108">
        <v>32580</v>
      </c>
      <c r="D1592" s="108">
        <v>5460</v>
      </c>
      <c r="E1592" t="str">
        <f>VLOOKUP(B1592,CAC!$A$2:$B$198,2,FALSE)</f>
        <v>HMOPERA</v>
      </c>
    </row>
    <row r="1593" spans="1:5" x14ac:dyDescent="0.25">
      <c r="A1593" s="108">
        <v>201604</v>
      </c>
      <c r="B1593" s="109" t="s">
        <v>75</v>
      </c>
      <c r="C1593" s="108">
        <v>25763</v>
      </c>
      <c r="D1593" s="108">
        <v>11817</v>
      </c>
      <c r="E1593" t="str">
        <f>VLOOKUP(B1593,CAC!$A$2:$B$198,2,FALSE)</f>
        <v>HMOPERN</v>
      </c>
    </row>
    <row r="1594" spans="1:5" x14ac:dyDescent="0.25">
      <c r="A1594" s="108">
        <v>201604</v>
      </c>
      <c r="B1594" s="109" t="s">
        <v>218</v>
      </c>
      <c r="C1594" s="108">
        <v>0</v>
      </c>
      <c r="D1594" s="110"/>
      <c r="E1594" t="str">
        <f>VLOOKUP(B1594,CAC!$A$2:$B$198,2,FALSE)</f>
        <v>HMOPERA</v>
      </c>
    </row>
    <row r="1595" spans="1:5" x14ac:dyDescent="0.25">
      <c r="A1595" s="108">
        <v>201604</v>
      </c>
      <c r="B1595" s="109" t="s">
        <v>156</v>
      </c>
      <c r="C1595" s="108">
        <v>25251</v>
      </c>
      <c r="D1595" s="110"/>
      <c r="E1595" t="str">
        <f>VLOOKUP(B1595,CAC!$A$2:$B$198,2,FALSE)</f>
        <v>HMOMM</v>
      </c>
    </row>
    <row r="1596" spans="1:5" x14ac:dyDescent="0.25">
      <c r="A1596" s="108">
        <v>201604</v>
      </c>
      <c r="B1596" s="109" t="s">
        <v>84</v>
      </c>
      <c r="C1596" s="108">
        <v>6757</v>
      </c>
      <c r="D1596" s="110"/>
      <c r="E1596" t="str">
        <f>VLOOKUP(B1596,CAC!$A$2:$B$198,2,FALSE)</f>
        <v>HMOMM</v>
      </c>
    </row>
    <row r="1597" spans="1:5" x14ac:dyDescent="0.25">
      <c r="A1597" s="108">
        <v>201604</v>
      </c>
      <c r="B1597" s="109" t="s">
        <v>162</v>
      </c>
      <c r="C1597" s="108">
        <v>405</v>
      </c>
      <c r="D1597" s="110"/>
      <c r="E1597" t="str">
        <f>VLOOKUP(B1597,CAC!$A$2:$B$198,2,FALSE)</f>
        <v>HMOMG</v>
      </c>
    </row>
    <row r="1598" spans="1:5" x14ac:dyDescent="0.25">
      <c r="A1598" s="108">
        <v>201604</v>
      </c>
      <c r="B1598" s="109" t="s">
        <v>163</v>
      </c>
      <c r="C1598" s="108">
        <v>108</v>
      </c>
      <c r="D1598" s="110"/>
      <c r="E1598" t="str">
        <f>VLOOKUP(B1598,CAC!$A$2:$B$198,2,FALSE)</f>
        <v>HMOMG</v>
      </c>
    </row>
    <row r="1599" spans="1:5" x14ac:dyDescent="0.25">
      <c r="A1599" s="108">
        <v>201604</v>
      </c>
      <c r="B1599" s="109" t="s">
        <v>165</v>
      </c>
      <c r="C1599" s="108">
        <v>0</v>
      </c>
      <c r="D1599" s="110"/>
      <c r="E1599" t="str">
        <f>VLOOKUP(B1599,CAC!$A$2:$B$198,2,FALSE)</f>
        <v>HMOMG</v>
      </c>
    </row>
    <row r="1600" spans="1:5" x14ac:dyDescent="0.25">
      <c r="A1600" s="108">
        <v>201604</v>
      </c>
      <c r="B1600" s="109" t="s">
        <v>85</v>
      </c>
      <c r="C1600" s="108">
        <v>656</v>
      </c>
      <c r="D1600" s="110"/>
      <c r="E1600" t="str">
        <f>VLOOKUP(B1600,CAC!$A$2:$B$198,2,FALSE)</f>
        <v>HMOMG</v>
      </c>
    </row>
    <row r="1601" spans="1:5" x14ac:dyDescent="0.25">
      <c r="A1601" s="108">
        <v>201604</v>
      </c>
      <c r="B1601" s="109" t="s">
        <v>77</v>
      </c>
      <c r="C1601" s="108">
        <v>21067</v>
      </c>
      <c r="D1601" s="110"/>
      <c r="E1601" t="str">
        <f>VLOOKUP(B1601,CAC!$A$2:$B$198,2,FALSE)</f>
        <v>HMOSG</v>
      </c>
    </row>
    <row r="1602" spans="1:5" x14ac:dyDescent="0.25">
      <c r="A1602" s="108">
        <v>201604</v>
      </c>
      <c r="B1602" s="109" t="s">
        <v>78</v>
      </c>
      <c r="C1602" s="108">
        <v>321</v>
      </c>
      <c r="D1602" s="110"/>
      <c r="E1602" t="str">
        <f>VLOOKUP(B1602,CAC!$A$2:$B$198,2,FALSE)</f>
        <v>HMOSG</v>
      </c>
    </row>
    <row r="1603" spans="1:5" x14ac:dyDescent="0.25">
      <c r="A1603" s="108">
        <v>201604</v>
      </c>
      <c r="B1603" s="109" t="s">
        <v>79</v>
      </c>
      <c r="C1603" s="108">
        <v>86</v>
      </c>
      <c r="D1603" s="110"/>
      <c r="E1603" t="str">
        <f>VLOOKUP(B1603,CAC!$A$2:$B$198,2,FALSE)</f>
        <v>HMOSG</v>
      </c>
    </row>
    <row r="1604" spans="1:5" x14ac:dyDescent="0.25">
      <c r="A1604" s="108">
        <v>201604</v>
      </c>
      <c r="B1604" s="109" t="s">
        <v>222</v>
      </c>
      <c r="C1604" s="108">
        <v>0</v>
      </c>
      <c r="D1604" s="110"/>
      <c r="E1604" t="str">
        <f>VLOOKUP(B1604,CAC!$A$2:$B$198,2,FALSE)</f>
        <v>PPOSG</v>
      </c>
    </row>
    <row r="1605" spans="1:5" x14ac:dyDescent="0.25">
      <c r="A1605" s="108">
        <v>201604</v>
      </c>
      <c r="B1605" s="109" t="s">
        <v>225</v>
      </c>
      <c r="C1605" s="108">
        <v>0</v>
      </c>
      <c r="D1605" s="110"/>
      <c r="E1605" t="str">
        <f>VLOOKUP(B1605,CAC!$A$2:$B$198,2,FALSE)</f>
        <v>PPOSG</v>
      </c>
    </row>
    <row r="1606" spans="1:5" x14ac:dyDescent="0.25">
      <c r="A1606" s="108">
        <v>201604</v>
      </c>
      <c r="B1606" s="109" t="s">
        <v>226</v>
      </c>
      <c r="C1606" s="108">
        <v>0</v>
      </c>
      <c r="D1606" s="110"/>
      <c r="E1606" t="str">
        <f>VLOOKUP(B1606,CAC!$A$2:$B$198,2,FALSE)</f>
        <v>PPOSG</v>
      </c>
    </row>
    <row r="1607" spans="1:5" x14ac:dyDescent="0.25">
      <c r="A1607" s="108">
        <v>201604</v>
      </c>
      <c r="B1607" s="109" t="s">
        <v>186</v>
      </c>
      <c r="C1607" s="108">
        <v>0</v>
      </c>
      <c r="D1607" s="110"/>
      <c r="E1607" t="str">
        <f>VLOOKUP(B1607,CAC!$A$2:$B$198,2,FALSE)</f>
        <v>PPOIFP</v>
      </c>
    </row>
    <row r="1608" spans="1:5" x14ac:dyDescent="0.25">
      <c r="A1608" s="108">
        <v>201604</v>
      </c>
      <c r="B1608" s="109" t="s">
        <v>187</v>
      </c>
      <c r="C1608" s="108">
        <v>0</v>
      </c>
      <c r="D1608" s="110"/>
      <c r="E1608" t="str">
        <f>VLOOKUP(B1608,CAC!$A$2:$B$198,2,FALSE)</f>
        <v>PPOIFP</v>
      </c>
    </row>
    <row r="1609" spans="1:5" x14ac:dyDescent="0.25">
      <c r="A1609" s="108">
        <v>201604</v>
      </c>
      <c r="B1609" s="109" t="s">
        <v>188</v>
      </c>
      <c r="C1609" s="108">
        <v>0</v>
      </c>
      <c r="D1609" s="110"/>
      <c r="E1609" t="str">
        <f>VLOOKUP(B1609,CAC!$A$2:$B$198,2,FALSE)</f>
        <v>PPOIFP</v>
      </c>
    </row>
    <row r="1610" spans="1:5" x14ac:dyDescent="0.25">
      <c r="A1610" s="108">
        <v>201604</v>
      </c>
      <c r="B1610" s="109" t="s">
        <v>189</v>
      </c>
      <c r="C1610" s="108">
        <v>0</v>
      </c>
      <c r="D1610" s="110"/>
      <c r="E1610" t="str">
        <f>VLOOKUP(B1610,CAC!$A$2:$B$198,2,FALSE)</f>
        <v>PPOIFP</v>
      </c>
    </row>
    <row r="1611" spans="1:5" x14ac:dyDescent="0.25">
      <c r="A1611" s="108">
        <v>201604</v>
      </c>
      <c r="B1611" s="109" t="s">
        <v>331</v>
      </c>
      <c r="C1611" s="108">
        <v>0</v>
      </c>
      <c r="D1611" s="110"/>
      <c r="E1611" t="e">
        <f>VLOOKUP(B1611,CAC!$A$2:$B$198,2,FALSE)</f>
        <v>#N/A</v>
      </c>
    </row>
    <row r="1612" spans="1:5" x14ac:dyDescent="0.25">
      <c r="A1612" s="108">
        <v>201604</v>
      </c>
      <c r="B1612" s="109" t="s">
        <v>216</v>
      </c>
      <c r="C1612" s="108">
        <v>0</v>
      </c>
      <c r="D1612" s="110"/>
      <c r="E1612" t="str">
        <f>VLOOKUP(B1612,CAC!$A$2:$B$198,2,FALSE)</f>
        <v>PPOMM</v>
      </c>
    </row>
    <row r="1613" spans="1:5" x14ac:dyDescent="0.25">
      <c r="A1613" s="108">
        <v>201604</v>
      </c>
      <c r="B1613" s="109" t="s">
        <v>301</v>
      </c>
      <c r="C1613" s="108">
        <v>0</v>
      </c>
      <c r="D1613" s="110"/>
      <c r="E1613" t="str">
        <f>VLOOKUP(B1613,CAC!$A$2:$B$198,2,FALSE)</f>
        <v>XXX</v>
      </c>
    </row>
    <row r="1614" spans="1:5" x14ac:dyDescent="0.25">
      <c r="A1614" s="108">
        <v>201605</v>
      </c>
      <c r="B1614" s="109" t="s">
        <v>51</v>
      </c>
      <c r="C1614" s="108">
        <v>44</v>
      </c>
      <c r="D1614" s="110"/>
      <c r="E1614" t="str">
        <f>VLOOKUP(B1614,CAC!$A$2:$B$198,2,FALSE)</f>
        <v>XXX</v>
      </c>
    </row>
    <row r="1615" spans="1:5" x14ac:dyDescent="0.25">
      <c r="A1615" s="108">
        <v>201605</v>
      </c>
      <c r="B1615" s="109" t="s">
        <v>303</v>
      </c>
      <c r="C1615" s="108">
        <v>0</v>
      </c>
      <c r="D1615" s="110"/>
      <c r="E1615" t="e">
        <f>VLOOKUP(B1615,CAC!$A$2:$B$198,2,FALSE)</f>
        <v>#N/A</v>
      </c>
    </row>
    <row r="1616" spans="1:5" x14ac:dyDescent="0.25">
      <c r="A1616" s="108">
        <v>201605</v>
      </c>
      <c r="B1616" s="109" t="s">
        <v>304</v>
      </c>
      <c r="C1616" s="108">
        <v>0</v>
      </c>
      <c r="D1616" s="110"/>
      <c r="E1616" t="e">
        <f>VLOOKUP(B1616,CAC!$A$2:$B$198,2,FALSE)</f>
        <v>#N/A</v>
      </c>
    </row>
    <row r="1617" spans="1:5" x14ac:dyDescent="0.25">
      <c r="A1617" s="108">
        <v>201605</v>
      </c>
      <c r="B1617" s="109" t="s">
        <v>323</v>
      </c>
      <c r="C1617" s="108">
        <v>0</v>
      </c>
      <c r="D1617" s="110"/>
      <c r="E1617" t="e">
        <f>VLOOKUP(B1617,CAC!$A$2:$B$198,2,FALSE)</f>
        <v>#N/A</v>
      </c>
    </row>
    <row r="1618" spans="1:5" x14ac:dyDescent="0.25">
      <c r="A1618" s="108">
        <v>201605</v>
      </c>
      <c r="B1618" s="109" t="s">
        <v>305</v>
      </c>
      <c r="C1618" s="108">
        <v>0</v>
      </c>
      <c r="D1618" s="110"/>
      <c r="E1618" t="e">
        <f>VLOOKUP(B1618,CAC!$A$2:$B$198,2,FALSE)</f>
        <v>#N/A</v>
      </c>
    </row>
    <row r="1619" spans="1:5" x14ac:dyDescent="0.25">
      <c r="A1619" s="108">
        <v>201605</v>
      </c>
      <c r="B1619" s="109" t="s">
        <v>324</v>
      </c>
      <c r="C1619" s="108">
        <v>0</v>
      </c>
      <c r="D1619" s="110"/>
      <c r="E1619" t="e">
        <f>VLOOKUP(B1619,CAC!$A$2:$B$198,2,FALSE)</f>
        <v>#N/A</v>
      </c>
    </row>
    <row r="1620" spans="1:5" x14ac:dyDescent="0.25">
      <c r="A1620" s="108">
        <v>201605</v>
      </c>
      <c r="B1620" s="109" t="s">
        <v>327</v>
      </c>
      <c r="C1620" s="108">
        <v>0</v>
      </c>
      <c r="D1620" s="110"/>
      <c r="E1620" t="e">
        <f>VLOOKUP(B1620,CAC!$A$2:$B$198,2,FALSE)</f>
        <v>#N/A</v>
      </c>
    </row>
    <row r="1621" spans="1:5" x14ac:dyDescent="0.25">
      <c r="A1621" s="108">
        <v>201605</v>
      </c>
      <c r="B1621" s="109" t="s">
        <v>318</v>
      </c>
      <c r="C1621" s="108">
        <v>0</v>
      </c>
      <c r="D1621" s="110"/>
      <c r="E1621" t="e">
        <f>VLOOKUP(B1621,CAC!$A$2:$B$198,2,FALSE)</f>
        <v>#N/A</v>
      </c>
    </row>
    <row r="1622" spans="1:5" x14ac:dyDescent="0.25">
      <c r="A1622" s="108">
        <v>201605</v>
      </c>
      <c r="B1622" s="109" t="s">
        <v>326</v>
      </c>
      <c r="C1622" s="108">
        <v>0</v>
      </c>
      <c r="D1622" s="110"/>
      <c r="E1622" t="e">
        <f>VLOOKUP(B1622,CAC!$A$2:$B$198,2,FALSE)</f>
        <v>#N/A</v>
      </c>
    </row>
    <row r="1623" spans="1:5" x14ac:dyDescent="0.25">
      <c r="A1623" s="108">
        <v>201605</v>
      </c>
      <c r="B1623" s="109" t="s">
        <v>231</v>
      </c>
      <c r="C1623" s="108">
        <v>0</v>
      </c>
      <c r="D1623" s="110"/>
      <c r="E1623" t="str">
        <f>VLOOKUP(B1623,CAC!$A$2:$B$198,2,FALSE)</f>
        <v>DOILG</v>
      </c>
    </row>
    <row r="1624" spans="1:5" x14ac:dyDescent="0.25">
      <c r="A1624" s="108">
        <v>201605</v>
      </c>
      <c r="B1624" s="109" t="s">
        <v>233</v>
      </c>
      <c r="C1624" s="108">
        <v>0</v>
      </c>
      <c r="D1624" s="110"/>
      <c r="E1624" t="str">
        <f>VLOOKUP(B1624,CAC!$A$2:$B$198,2,FALSE)</f>
        <v>DOILG</v>
      </c>
    </row>
    <row r="1625" spans="1:5" x14ac:dyDescent="0.25">
      <c r="A1625" s="108">
        <v>201605</v>
      </c>
      <c r="B1625" s="109" t="s">
        <v>235</v>
      </c>
      <c r="C1625" s="108">
        <v>0</v>
      </c>
      <c r="D1625" s="110"/>
      <c r="E1625" t="str">
        <f>VLOOKUP(B1625,CAC!$A$2:$B$198,2,FALSE)</f>
        <v>DOILG</v>
      </c>
    </row>
    <row r="1626" spans="1:5" x14ac:dyDescent="0.25">
      <c r="A1626" s="108">
        <v>201605</v>
      </c>
      <c r="B1626" s="109" t="s">
        <v>237</v>
      </c>
      <c r="C1626" s="108">
        <v>0</v>
      </c>
      <c r="D1626" s="110"/>
      <c r="E1626" t="str">
        <f>VLOOKUP(B1626,CAC!$A$2:$B$198,2,FALSE)</f>
        <v>DOILG</v>
      </c>
    </row>
    <row r="1627" spans="1:5" x14ac:dyDescent="0.25">
      <c r="A1627" s="108">
        <v>201605</v>
      </c>
      <c r="B1627" s="109" t="s">
        <v>247</v>
      </c>
      <c r="C1627" s="108">
        <v>0</v>
      </c>
      <c r="D1627" s="110"/>
      <c r="E1627" t="str">
        <f>VLOOKUP(B1627,CAC!$A$2:$B$198,2,FALSE)</f>
        <v>DOIIFP</v>
      </c>
    </row>
    <row r="1628" spans="1:5" x14ac:dyDescent="0.25">
      <c r="A1628" s="108">
        <v>201605</v>
      </c>
      <c r="B1628" s="109" t="s">
        <v>238</v>
      </c>
      <c r="C1628" s="108">
        <v>0</v>
      </c>
      <c r="D1628" s="110"/>
      <c r="E1628" t="str">
        <f>VLOOKUP(B1628,CAC!$A$2:$B$198,2,FALSE)</f>
        <v>DOILG</v>
      </c>
    </row>
    <row r="1629" spans="1:5" x14ac:dyDescent="0.25">
      <c r="A1629" s="108">
        <v>201605</v>
      </c>
      <c r="B1629" s="109" t="s">
        <v>248</v>
      </c>
      <c r="C1629" s="108">
        <v>0</v>
      </c>
      <c r="D1629" s="110"/>
      <c r="E1629" t="str">
        <f>VLOOKUP(B1629,CAC!$A$2:$B$198,2,FALSE)</f>
        <v>DOIIFP</v>
      </c>
    </row>
    <row r="1630" spans="1:5" x14ac:dyDescent="0.25">
      <c r="A1630" s="108">
        <v>201605</v>
      </c>
      <c r="B1630" s="109" t="s">
        <v>328</v>
      </c>
      <c r="C1630" s="108">
        <v>0</v>
      </c>
      <c r="D1630" s="110"/>
      <c r="E1630" t="e">
        <f>VLOOKUP(B1630,CAC!$A$2:$B$198,2,FALSE)</f>
        <v>#N/A</v>
      </c>
    </row>
    <row r="1631" spans="1:5" x14ac:dyDescent="0.25">
      <c r="A1631" s="108">
        <v>201605</v>
      </c>
      <c r="B1631" s="109" t="s">
        <v>253</v>
      </c>
      <c r="C1631" s="108">
        <v>0</v>
      </c>
      <c r="D1631" s="110"/>
      <c r="E1631" t="str">
        <f>VLOOKUP(B1631,CAC!$A$2:$B$198,2,FALSE)</f>
        <v>AGDMHC</v>
      </c>
    </row>
    <row r="1632" spans="1:5" x14ac:dyDescent="0.25">
      <c r="A1632" s="108">
        <v>201605</v>
      </c>
      <c r="B1632" s="109" t="s">
        <v>325</v>
      </c>
      <c r="C1632" s="108">
        <v>0</v>
      </c>
      <c r="D1632" s="110"/>
      <c r="E1632" t="e">
        <f>VLOOKUP(B1632,CAC!$A$2:$B$198,2,FALSE)</f>
        <v>#N/A</v>
      </c>
    </row>
    <row r="1633" spans="1:5" x14ac:dyDescent="0.25">
      <c r="A1633" s="108">
        <v>201605</v>
      </c>
      <c r="B1633" s="109" t="s">
        <v>255</v>
      </c>
      <c r="C1633" s="108">
        <v>0</v>
      </c>
      <c r="D1633" s="110"/>
      <c r="E1633" t="str">
        <f>VLOOKUP(B1633,CAC!$A$2:$B$198,2,FALSE)</f>
        <v>AGDMHC</v>
      </c>
    </row>
    <row r="1634" spans="1:5" x14ac:dyDescent="0.25">
      <c r="A1634" s="108">
        <v>201605</v>
      </c>
      <c r="B1634" s="109" t="s">
        <v>256</v>
      </c>
      <c r="C1634" s="108">
        <v>0</v>
      </c>
      <c r="D1634" s="110"/>
      <c r="E1634" t="str">
        <f>VLOOKUP(B1634,CAC!$A$2:$B$198,2,FALSE)</f>
        <v>AGDMHC</v>
      </c>
    </row>
    <row r="1635" spans="1:5" x14ac:dyDescent="0.25">
      <c r="A1635" s="108">
        <v>201605</v>
      </c>
      <c r="B1635" s="109" t="s">
        <v>257</v>
      </c>
      <c r="C1635" s="108">
        <v>0</v>
      </c>
      <c r="D1635" s="110"/>
      <c r="E1635" t="str">
        <f>VLOOKUP(B1635,CAC!$A$2:$B$198,2,FALSE)</f>
        <v>AGDMHC</v>
      </c>
    </row>
    <row r="1636" spans="1:5" x14ac:dyDescent="0.25">
      <c r="A1636" s="108">
        <v>201605</v>
      </c>
      <c r="B1636" s="109" t="s">
        <v>258</v>
      </c>
      <c r="C1636" s="108">
        <v>0</v>
      </c>
      <c r="D1636" s="110"/>
      <c r="E1636" t="str">
        <f>VLOOKUP(B1636,CAC!$A$2:$B$198,2,FALSE)</f>
        <v>AGDMHC</v>
      </c>
    </row>
    <row r="1637" spans="1:5" x14ac:dyDescent="0.25">
      <c r="A1637" s="108">
        <v>201605</v>
      </c>
      <c r="B1637" s="109" t="s">
        <v>329</v>
      </c>
      <c r="C1637" s="108">
        <v>0</v>
      </c>
      <c r="D1637" s="110"/>
      <c r="E1637" t="e">
        <f>VLOOKUP(B1637,CAC!$A$2:$B$198,2,FALSE)</f>
        <v>#N/A</v>
      </c>
    </row>
    <row r="1638" spans="1:5" x14ac:dyDescent="0.25">
      <c r="A1638" s="108">
        <v>201605</v>
      </c>
      <c r="B1638" s="109" t="s">
        <v>262</v>
      </c>
      <c r="C1638" s="108">
        <v>0</v>
      </c>
      <c r="D1638" s="110"/>
      <c r="E1638" t="str">
        <f>VLOOKUP(B1638,CAC!$A$2:$B$198,2,FALSE)</f>
        <v>AGDMHC</v>
      </c>
    </row>
    <row r="1639" spans="1:5" x14ac:dyDescent="0.25">
      <c r="A1639" s="108">
        <v>201605</v>
      </c>
      <c r="B1639" s="109" t="s">
        <v>269</v>
      </c>
      <c r="C1639" s="108">
        <v>0</v>
      </c>
      <c r="D1639" s="110"/>
      <c r="E1639" t="str">
        <f>VLOOKUP(B1639,CAC!$A$2:$B$198,2,FALSE)</f>
        <v>AGDMHC</v>
      </c>
    </row>
    <row r="1640" spans="1:5" x14ac:dyDescent="0.25">
      <c r="A1640" s="108">
        <v>201605</v>
      </c>
      <c r="B1640" s="109" t="s">
        <v>319</v>
      </c>
      <c r="C1640" s="108">
        <v>0</v>
      </c>
      <c r="D1640" s="110"/>
      <c r="E1640" t="e">
        <f>VLOOKUP(B1640,CAC!$A$2:$B$198,2,FALSE)</f>
        <v>#N/A</v>
      </c>
    </row>
    <row r="1641" spans="1:5" x14ac:dyDescent="0.25">
      <c r="A1641" s="108">
        <v>201605</v>
      </c>
      <c r="B1641" s="109" t="s">
        <v>266</v>
      </c>
      <c r="C1641" s="108">
        <v>0</v>
      </c>
      <c r="D1641" s="110"/>
      <c r="E1641" t="str">
        <f>VLOOKUP(B1641,CAC!$A$2:$B$198,2,FALSE)</f>
        <v>AGDMHC</v>
      </c>
    </row>
    <row r="1642" spans="1:5" x14ac:dyDescent="0.25">
      <c r="A1642" s="108">
        <v>201605</v>
      </c>
      <c r="B1642" s="109" t="s">
        <v>267</v>
      </c>
      <c r="C1642" s="108">
        <v>0</v>
      </c>
      <c r="D1642" s="110"/>
      <c r="E1642" t="str">
        <f>VLOOKUP(B1642,CAC!$A$2:$B$198,2,FALSE)</f>
        <v>AGDMHC</v>
      </c>
    </row>
    <row r="1643" spans="1:5" x14ac:dyDescent="0.25">
      <c r="A1643" s="108">
        <v>201605</v>
      </c>
      <c r="B1643" s="109" t="s">
        <v>268</v>
      </c>
      <c r="C1643" s="108">
        <v>0</v>
      </c>
      <c r="D1643" s="110"/>
      <c r="E1643" t="str">
        <f>VLOOKUP(B1643,CAC!$A$2:$B$198,2,FALSE)</f>
        <v>AGDMHC</v>
      </c>
    </row>
    <row r="1644" spans="1:5" x14ac:dyDescent="0.25">
      <c r="A1644" s="108">
        <v>201605</v>
      </c>
      <c r="B1644" s="109" t="s">
        <v>52</v>
      </c>
      <c r="C1644" s="108">
        <v>16067</v>
      </c>
      <c r="D1644" s="110"/>
      <c r="E1644" t="str">
        <f>VLOOKUP(B1644,CAC!$A$2:$B$198,2,FALSE)</f>
        <v>HMOPMR</v>
      </c>
    </row>
    <row r="1645" spans="1:5" x14ac:dyDescent="0.25">
      <c r="A1645" s="108">
        <v>201605</v>
      </c>
      <c r="B1645" s="109" t="s">
        <v>53</v>
      </c>
      <c r="C1645" s="108">
        <v>5129</v>
      </c>
      <c r="D1645" s="110"/>
      <c r="E1645" t="str">
        <f>VLOOKUP(B1645,CAC!$A$2:$B$198,2,FALSE)</f>
        <v>HMOPMR</v>
      </c>
    </row>
    <row r="1646" spans="1:5" x14ac:dyDescent="0.25">
      <c r="A1646" s="108">
        <v>201605</v>
      </c>
      <c r="B1646" s="109" t="s">
        <v>54</v>
      </c>
      <c r="C1646" s="108">
        <v>6178</v>
      </c>
      <c r="D1646" s="110"/>
      <c r="E1646" t="str">
        <f>VLOOKUP(B1646,CAC!$A$2:$B$198,2,FALSE)</f>
        <v>HMOFEP</v>
      </c>
    </row>
    <row r="1647" spans="1:5" x14ac:dyDescent="0.25">
      <c r="A1647" s="108">
        <v>201605</v>
      </c>
      <c r="B1647" s="109" t="s">
        <v>279</v>
      </c>
      <c r="C1647" s="108">
        <v>0</v>
      </c>
      <c r="D1647" s="110"/>
      <c r="E1647" t="str">
        <f>VLOOKUP(B1647,CAC!$A$2:$B$198,2,FALSE)</f>
        <v>PPOFEP</v>
      </c>
    </row>
    <row r="1648" spans="1:5" x14ac:dyDescent="0.25">
      <c r="A1648" s="108">
        <v>201605</v>
      </c>
      <c r="B1648" s="109" t="s">
        <v>202</v>
      </c>
      <c r="C1648" s="108">
        <v>0</v>
      </c>
      <c r="D1648" s="110"/>
      <c r="E1648" t="str">
        <f>VLOOKUP(B1648,CAC!$A$2:$B$198,2,FALSE)</f>
        <v>PPOPMR</v>
      </c>
    </row>
    <row r="1649" spans="1:5" x14ac:dyDescent="0.25">
      <c r="A1649" s="108">
        <v>201605</v>
      </c>
      <c r="B1649" s="109" t="s">
        <v>55</v>
      </c>
      <c r="C1649" s="108">
        <v>14536</v>
      </c>
      <c r="D1649" s="110"/>
      <c r="E1649" t="str">
        <f>VLOOKUP(B1649,CAC!$A$2:$B$198,2,FALSE)</f>
        <v>HMOPMR</v>
      </c>
    </row>
    <row r="1650" spans="1:5" x14ac:dyDescent="0.25">
      <c r="A1650" s="108">
        <v>201605</v>
      </c>
      <c r="B1650" s="109" t="s">
        <v>56</v>
      </c>
      <c r="C1650" s="108">
        <v>125</v>
      </c>
      <c r="D1650" s="110"/>
      <c r="E1650" t="str">
        <f>VLOOKUP(B1650,CAC!$A$2:$B$198,2,FALSE)</f>
        <v>HMOPMR</v>
      </c>
    </row>
    <row r="1651" spans="1:5" x14ac:dyDescent="0.25">
      <c r="A1651" s="108">
        <v>201605</v>
      </c>
      <c r="B1651" s="109" t="s">
        <v>83</v>
      </c>
      <c r="C1651" s="108">
        <v>1966</v>
      </c>
      <c r="D1651" s="110"/>
      <c r="E1651" t="str">
        <f>VLOOKUP(B1651,CAC!$A$2:$B$198,2,FALSE)</f>
        <v>HMOPMR</v>
      </c>
    </row>
    <row r="1652" spans="1:5" x14ac:dyDescent="0.25">
      <c r="A1652" s="108">
        <v>201605</v>
      </c>
      <c r="B1652" s="109" t="s">
        <v>57</v>
      </c>
      <c r="C1652" s="108">
        <v>7556</v>
      </c>
      <c r="D1652" s="110"/>
      <c r="E1652" t="str">
        <f>VLOOKUP(B1652,CAC!$A$2:$B$198,2,FALSE)</f>
        <v>HMFLEX</v>
      </c>
    </row>
    <row r="1653" spans="1:5" x14ac:dyDescent="0.25">
      <c r="A1653" s="108">
        <v>201605</v>
      </c>
      <c r="B1653" s="109" t="s">
        <v>58</v>
      </c>
      <c r="C1653" s="108">
        <v>417</v>
      </c>
      <c r="D1653" s="110"/>
      <c r="E1653" t="str">
        <f>VLOOKUP(B1653,CAC!$A$2:$B$198,2,FALSE)</f>
        <v>HMFLEX</v>
      </c>
    </row>
    <row r="1654" spans="1:5" x14ac:dyDescent="0.25">
      <c r="A1654" s="108">
        <v>201605</v>
      </c>
      <c r="B1654" s="109" t="s">
        <v>306</v>
      </c>
      <c r="C1654" s="108">
        <v>0</v>
      </c>
      <c r="D1654" s="110"/>
      <c r="E1654" t="e">
        <f>VLOOKUP(B1654,CAC!$A$2:$B$198,2,FALSE)</f>
        <v>#N/A</v>
      </c>
    </row>
    <row r="1655" spans="1:5" x14ac:dyDescent="0.25">
      <c r="A1655" s="108">
        <v>201605</v>
      </c>
      <c r="B1655" s="109" t="s">
        <v>283</v>
      </c>
      <c r="C1655" s="108">
        <v>0</v>
      </c>
      <c r="D1655" s="110"/>
      <c r="E1655" t="str">
        <f>VLOOKUP(B1655,CAC!$A$2:$B$198,2,FALSE)</f>
        <v>HMFLEX</v>
      </c>
    </row>
    <row r="1656" spans="1:5" x14ac:dyDescent="0.25">
      <c r="A1656" s="108">
        <v>201605</v>
      </c>
      <c r="B1656" s="109" t="s">
        <v>205</v>
      </c>
      <c r="C1656" s="108">
        <v>0</v>
      </c>
      <c r="D1656" s="110"/>
      <c r="E1656" t="str">
        <f>VLOOKUP(B1656,CAC!$A$2:$B$198,2,FALSE)</f>
        <v>PPOPMR</v>
      </c>
    </row>
    <row r="1657" spans="1:5" x14ac:dyDescent="0.25">
      <c r="A1657" s="108">
        <v>201605</v>
      </c>
      <c r="B1657" s="109" t="s">
        <v>286</v>
      </c>
      <c r="C1657" s="108">
        <v>0</v>
      </c>
      <c r="D1657" s="110"/>
      <c r="E1657" t="str">
        <f>VLOOKUP(B1657,CAC!$A$2:$B$198,2,FALSE)</f>
        <v>HMFLEX</v>
      </c>
    </row>
    <row r="1658" spans="1:5" x14ac:dyDescent="0.25">
      <c r="A1658" s="108">
        <v>201605</v>
      </c>
      <c r="B1658" s="109" t="s">
        <v>60</v>
      </c>
      <c r="C1658" s="108">
        <v>14626</v>
      </c>
      <c r="D1658" s="110"/>
      <c r="E1658" t="str">
        <f>VLOOKUP(B1658,CAC!$A$2:$B$198,2,FALSE)</f>
        <v>HMOLG</v>
      </c>
    </row>
    <row r="1659" spans="1:5" x14ac:dyDescent="0.25">
      <c r="A1659" s="108">
        <v>201605</v>
      </c>
      <c r="B1659" s="109" t="s">
        <v>61</v>
      </c>
      <c r="C1659" s="108">
        <v>734</v>
      </c>
      <c r="D1659" s="110"/>
      <c r="E1659" t="str">
        <f>VLOOKUP(B1659,CAC!$A$2:$B$198,2,FALSE)</f>
        <v>HMOLG</v>
      </c>
    </row>
    <row r="1660" spans="1:5" x14ac:dyDescent="0.25">
      <c r="A1660" s="108">
        <v>201605</v>
      </c>
      <c r="B1660" s="109" t="s">
        <v>62</v>
      </c>
      <c r="C1660" s="108">
        <v>24648</v>
      </c>
      <c r="D1660" s="110"/>
      <c r="E1660" t="str">
        <f>VLOOKUP(B1660,CAC!$A$2:$B$198,2,FALSE)</f>
        <v>HMOLG</v>
      </c>
    </row>
    <row r="1661" spans="1:5" x14ac:dyDescent="0.25">
      <c r="A1661" s="108">
        <v>201605</v>
      </c>
      <c r="B1661" s="109" t="s">
        <v>86</v>
      </c>
      <c r="C1661" s="108">
        <v>298</v>
      </c>
      <c r="D1661" s="110"/>
      <c r="E1661" t="str">
        <f>VLOOKUP(B1661,CAC!$A$2:$B$198,2,FALSE)</f>
        <v>HMOLG</v>
      </c>
    </row>
    <row r="1662" spans="1:5" x14ac:dyDescent="0.25">
      <c r="A1662" s="108">
        <v>201605</v>
      </c>
      <c r="B1662" s="109" t="s">
        <v>63</v>
      </c>
      <c r="C1662" s="108">
        <v>148</v>
      </c>
      <c r="D1662" s="110"/>
      <c r="E1662" t="str">
        <f>VLOOKUP(B1662,CAC!$A$2:$B$198,2,FALSE)</f>
        <v>HMOLG</v>
      </c>
    </row>
    <row r="1663" spans="1:5" x14ac:dyDescent="0.25">
      <c r="A1663" s="108">
        <v>201605</v>
      </c>
      <c r="B1663" s="109" t="s">
        <v>64</v>
      </c>
      <c r="C1663" s="108">
        <v>0</v>
      </c>
      <c r="D1663" s="110"/>
      <c r="E1663" t="str">
        <f>VLOOKUP(B1663,CAC!$A$2:$B$198,2,FALSE)</f>
        <v>HMOLG</v>
      </c>
    </row>
    <row r="1664" spans="1:5" x14ac:dyDescent="0.25">
      <c r="A1664" s="108">
        <v>201605</v>
      </c>
      <c r="B1664" s="109" t="s">
        <v>65</v>
      </c>
      <c r="C1664" s="108">
        <v>231</v>
      </c>
      <c r="D1664" s="110"/>
      <c r="E1664" t="str">
        <f>VLOOKUP(B1664,CAC!$A$2:$B$198,2,FALSE)</f>
        <v>HMFLEX</v>
      </c>
    </row>
    <row r="1665" spans="1:5" x14ac:dyDescent="0.25">
      <c r="A1665" s="108">
        <v>201605</v>
      </c>
      <c r="B1665" s="109" t="s">
        <v>307</v>
      </c>
      <c r="C1665" s="108">
        <v>0</v>
      </c>
      <c r="D1665" s="110"/>
      <c r="E1665" t="e">
        <f>VLOOKUP(B1665,CAC!$A$2:$B$198,2,FALSE)</f>
        <v>#N/A</v>
      </c>
    </row>
    <row r="1666" spans="1:5" x14ac:dyDescent="0.25">
      <c r="A1666" s="108">
        <v>201605</v>
      </c>
      <c r="B1666" s="109" t="s">
        <v>308</v>
      </c>
      <c r="C1666" s="108">
        <v>0</v>
      </c>
      <c r="D1666" s="110"/>
      <c r="E1666" t="e">
        <f>VLOOKUP(B1666,CAC!$A$2:$B$198,2,FALSE)</f>
        <v>#N/A</v>
      </c>
    </row>
    <row r="1667" spans="1:5" x14ac:dyDescent="0.25">
      <c r="A1667" s="108">
        <v>201605</v>
      </c>
      <c r="B1667" s="109" t="s">
        <v>309</v>
      </c>
      <c r="C1667" s="108">
        <v>0</v>
      </c>
      <c r="D1667" s="110"/>
      <c r="E1667" t="e">
        <f>VLOOKUP(B1667,CAC!$A$2:$B$198,2,FALSE)</f>
        <v>#N/A</v>
      </c>
    </row>
    <row r="1668" spans="1:5" x14ac:dyDescent="0.25">
      <c r="A1668" s="108">
        <v>201605</v>
      </c>
      <c r="B1668" s="109" t="s">
        <v>99</v>
      </c>
      <c r="C1668" s="108">
        <v>0</v>
      </c>
      <c r="D1668" s="110"/>
      <c r="E1668" t="str">
        <f>VLOOKUP(B1668,CAC!$A$2:$B$198,2,FALSE)</f>
        <v>PPOLG</v>
      </c>
    </row>
    <row r="1669" spans="1:5" x14ac:dyDescent="0.25">
      <c r="A1669" s="108">
        <v>201605</v>
      </c>
      <c r="B1669" s="109" t="s">
        <v>193</v>
      </c>
      <c r="C1669" s="108">
        <v>0</v>
      </c>
      <c r="D1669" s="110"/>
      <c r="E1669" t="str">
        <f>VLOOKUP(B1669,CAC!$A$2:$B$198,2,FALSE)</f>
        <v>PPOLG</v>
      </c>
    </row>
    <row r="1670" spans="1:5" x14ac:dyDescent="0.25">
      <c r="A1670" s="108">
        <v>201605</v>
      </c>
      <c r="B1670" s="109" t="s">
        <v>196</v>
      </c>
      <c r="C1670" s="108">
        <v>0</v>
      </c>
      <c r="D1670" s="110"/>
      <c r="E1670" t="str">
        <f>VLOOKUP(B1670,CAC!$A$2:$B$198,2,FALSE)</f>
        <v>PPOLG</v>
      </c>
    </row>
    <row r="1671" spans="1:5" x14ac:dyDescent="0.25">
      <c r="A1671" s="108">
        <v>201605</v>
      </c>
      <c r="B1671" s="109" t="s">
        <v>212</v>
      </c>
      <c r="C1671" s="108">
        <v>0</v>
      </c>
      <c r="D1671" s="110"/>
      <c r="E1671" t="str">
        <f>VLOOKUP(B1671,CAC!$A$2:$B$198,2,FALSE)</f>
        <v>PPOMM</v>
      </c>
    </row>
    <row r="1672" spans="1:5" x14ac:dyDescent="0.25">
      <c r="A1672" s="108">
        <v>201605</v>
      </c>
      <c r="B1672" s="109" t="s">
        <v>213</v>
      </c>
      <c r="C1672" s="108">
        <v>0</v>
      </c>
      <c r="D1672" s="110"/>
      <c r="E1672" t="str">
        <f>VLOOKUP(B1672,CAC!$A$2:$B$198,2,FALSE)</f>
        <v>PPOMM</v>
      </c>
    </row>
    <row r="1673" spans="1:5" x14ac:dyDescent="0.25">
      <c r="A1673" s="108">
        <v>201605</v>
      </c>
      <c r="B1673" s="109" t="s">
        <v>311</v>
      </c>
      <c r="C1673" s="108">
        <v>0</v>
      </c>
      <c r="D1673" s="110"/>
      <c r="E1673" t="e">
        <f>VLOOKUP(B1673,CAC!$A$2:$B$198,2,FALSE)</f>
        <v>#N/A</v>
      </c>
    </row>
    <row r="1674" spans="1:5" x14ac:dyDescent="0.25">
      <c r="A1674" s="108">
        <v>201605</v>
      </c>
      <c r="B1674" s="109" t="s">
        <v>320</v>
      </c>
      <c r="C1674" s="108">
        <v>0</v>
      </c>
      <c r="D1674" s="110"/>
      <c r="E1674" t="e">
        <f>VLOOKUP(B1674,CAC!$A$2:$B$198,2,FALSE)</f>
        <v>#N/A</v>
      </c>
    </row>
    <row r="1675" spans="1:5" x14ac:dyDescent="0.25">
      <c r="A1675" s="108">
        <v>201605</v>
      </c>
      <c r="B1675" s="109" t="s">
        <v>321</v>
      </c>
      <c r="C1675" s="108">
        <v>0</v>
      </c>
      <c r="D1675" s="110"/>
      <c r="E1675" t="e">
        <f>VLOOKUP(B1675,CAC!$A$2:$B$198,2,FALSE)</f>
        <v>#N/A</v>
      </c>
    </row>
    <row r="1676" spans="1:5" x14ac:dyDescent="0.25">
      <c r="A1676" s="108">
        <v>201605</v>
      </c>
      <c r="B1676" s="109" t="s">
        <v>312</v>
      </c>
      <c r="C1676" s="108">
        <v>0</v>
      </c>
      <c r="D1676" s="110"/>
      <c r="E1676" t="e">
        <f>VLOOKUP(B1676,CAC!$A$2:$B$198,2,FALSE)</f>
        <v>#N/A</v>
      </c>
    </row>
    <row r="1677" spans="1:5" x14ac:dyDescent="0.25">
      <c r="A1677" s="108">
        <v>201605</v>
      </c>
      <c r="B1677" s="109" t="s">
        <v>215</v>
      </c>
      <c r="C1677" s="108">
        <v>0</v>
      </c>
      <c r="D1677" s="110"/>
      <c r="E1677" t="str">
        <f>VLOOKUP(B1677,CAC!$A$2:$B$198,2,FALSE)</f>
        <v>PPOMM</v>
      </c>
    </row>
    <row r="1678" spans="1:5" x14ac:dyDescent="0.25">
      <c r="A1678" s="108">
        <v>201605</v>
      </c>
      <c r="B1678" s="109" t="s">
        <v>66</v>
      </c>
      <c r="C1678" s="108">
        <v>4278</v>
      </c>
      <c r="D1678" s="110"/>
      <c r="E1678" t="str">
        <f>VLOOKUP(B1678,CAC!$A$2:$B$198,2,FALSE)</f>
        <v>HMOLG</v>
      </c>
    </row>
    <row r="1679" spans="1:5" x14ac:dyDescent="0.25">
      <c r="A1679" s="108">
        <v>201605</v>
      </c>
      <c r="B1679" s="109" t="s">
        <v>82</v>
      </c>
      <c r="C1679" s="108">
        <v>2</v>
      </c>
      <c r="D1679" s="110"/>
      <c r="E1679" t="str">
        <f>VLOOKUP(B1679,CAC!$A$2:$B$198,2,FALSE)</f>
        <v>NATPAR</v>
      </c>
    </row>
    <row r="1680" spans="1:5" x14ac:dyDescent="0.25">
      <c r="A1680" s="108">
        <v>201605</v>
      </c>
      <c r="B1680" s="109" t="s">
        <v>67</v>
      </c>
      <c r="C1680" s="108">
        <v>146</v>
      </c>
      <c r="D1680" s="110"/>
      <c r="E1680" t="str">
        <f>VLOOKUP(B1680,CAC!$A$2:$B$198,2,FALSE)</f>
        <v>HMOLG</v>
      </c>
    </row>
    <row r="1681" spans="1:5" x14ac:dyDescent="0.25">
      <c r="A1681" s="108">
        <v>201605</v>
      </c>
      <c r="B1681" s="109" t="s">
        <v>68</v>
      </c>
      <c r="C1681" s="108">
        <v>272</v>
      </c>
      <c r="D1681" s="110"/>
      <c r="E1681" t="str">
        <f>VLOOKUP(B1681,CAC!$A$2:$B$198,2,FALSE)</f>
        <v>HMOPMR</v>
      </c>
    </row>
    <row r="1682" spans="1:5" x14ac:dyDescent="0.25">
      <c r="A1682" s="108">
        <v>201605</v>
      </c>
      <c r="B1682" s="109" t="s">
        <v>69</v>
      </c>
      <c r="C1682" s="108">
        <v>9775</v>
      </c>
      <c r="D1682" s="110"/>
      <c r="E1682" t="str">
        <f>VLOOKUP(B1682,CAC!$A$2:$B$198,2,FALSE)</f>
        <v>HMOPMR</v>
      </c>
    </row>
    <row r="1683" spans="1:5" x14ac:dyDescent="0.25">
      <c r="A1683" s="108">
        <v>201605</v>
      </c>
      <c r="B1683" s="109" t="s">
        <v>70</v>
      </c>
      <c r="C1683" s="108">
        <v>4480</v>
      </c>
      <c r="D1683" s="110"/>
      <c r="E1683" t="str">
        <f>VLOOKUP(B1683,CAC!$A$2:$B$198,2,FALSE)</f>
        <v>HMOPMR</v>
      </c>
    </row>
    <row r="1684" spans="1:5" x14ac:dyDescent="0.25">
      <c r="A1684" s="108">
        <v>201605</v>
      </c>
      <c r="B1684" s="109" t="s">
        <v>71</v>
      </c>
      <c r="C1684" s="108">
        <v>6785</v>
      </c>
      <c r="D1684" s="110"/>
      <c r="E1684" t="str">
        <f>VLOOKUP(B1684,CAC!$A$2:$B$198,2,FALSE)</f>
        <v>HMOPMR</v>
      </c>
    </row>
    <row r="1685" spans="1:5" x14ac:dyDescent="0.25">
      <c r="A1685" s="108">
        <v>201605</v>
      </c>
      <c r="B1685" s="109" t="s">
        <v>72</v>
      </c>
      <c r="C1685" s="108">
        <v>2533</v>
      </c>
      <c r="D1685" s="110"/>
      <c r="E1685" t="str">
        <f>VLOOKUP(B1685,CAC!$A$2:$B$198,2,FALSE)</f>
        <v>HMFLEX</v>
      </c>
    </row>
    <row r="1686" spans="1:5" x14ac:dyDescent="0.25">
      <c r="A1686" s="108">
        <v>201605</v>
      </c>
      <c r="B1686" s="109" t="s">
        <v>314</v>
      </c>
      <c r="C1686" s="108">
        <v>0</v>
      </c>
      <c r="D1686" s="110"/>
      <c r="E1686" t="e">
        <f>VLOOKUP(B1686,CAC!$A$2:$B$198,2,FALSE)</f>
        <v>#N/A</v>
      </c>
    </row>
    <row r="1687" spans="1:5" x14ac:dyDescent="0.25">
      <c r="A1687" s="108">
        <v>201605</v>
      </c>
      <c r="B1687" s="109" t="s">
        <v>322</v>
      </c>
      <c r="C1687" s="108">
        <v>0</v>
      </c>
      <c r="D1687" s="110"/>
      <c r="E1687" t="e">
        <f>VLOOKUP(B1687,CAC!$A$2:$B$198,2,FALSE)</f>
        <v>#N/A</v>
      </c>
    </row>
    <row r="1688" spans="1:5" x14ac:dyDescent="0.25">
      <c r="A1688" s="108">
        <v>201605</v>
      </c>
      <c r="B1688" s="109" t="s">
        <v>315</v>
      </c>
      <c r="C1688" s="108">
        <v>0</v>
      </c>
      <c r="D1688" s="110"/>
      <c r="E1688" t="e">
        <f>VLOOKUP(B1688,CAC!$A$2:$B$198,2,FALSE)</f>
        <v>#N/A</v>
      </c>
    </row>
    <row r="1689" spans="1:5" x14ac:dyDescent="0.25">
      <c r="A1689" s="108">
        <v>201605</v>
      </c>
      <c r="B1689" s="109" t="s">
        <v>112</v>
      </c>
      <c r="C1689" s="108">
        <v>0</v>
      </c>
      <c r="D1689" s="110"/>
      <c r="E1689" t="e">
        <f>VLOOKUP(B1689,CAC!$A$2:$B$198,2,FALSE)</f>
        <v>#N/A</v>
      </c>
    </row>
    <row r="1690" spans="1:5" x14ac:dyDescent="0.25">
      <c r="A1690" s="108">
        <v>201605</v>
      </c>
      <c r="B1690" s="109" t="s">
        <v>316</v>
      </c>
      <c r="C1690" s="108">
        <v>0</v>
      </c>
      <c r="D1690" s="110"/>
      <c r="E1690" t="e">
        <f>VLOOKUP(B1690,CAC!$A$2:$B$198,2,FALSE)</f>
        <v>#N/A</v>
      </c>
    </row>
    <row r="1691" spans="1:5" x14ac:dyDescent="0.25">
      <c r="A1691" s="108">
        <v>201605</v>
      </c>
      <c r="B1691" s="109" t="s">
        <v>317</v>
      </c>
      <c r="C1691" s="108">
        <v>0</v>
      </c>
      <c r="D1691" s="110"/>
      <c r="E1691" t="e">
        <f>VLOOKUP(B1691,CAC!$A$2:$B$198,2,FALSE)</f>
        <v>#N/A</v>
      </c>
    </row>
    <row r="1692" spans="1:5" x14ac:dyDescent="0.25">
      <c r="A1692" s="108">
        <v>201605</v>
      </c>
      <c r="B1692" s="109" t="s">
        <v>113</v>
      </c>
      <c r="C1692" s="108">
        <v>0</v>
      </c>
      <c r="D1692" s="110"/>
      <c r="E1692" t="str">
        <f>VLOOKUP(B1692,CAC!$A$2:$B$198,2,FALSE)</f>
        <v>PPOLG</v>
      </c>
    </row>
    <row r="1693" spans="1:5" x14ac:dyDescent="0.25">
      <c r="A1693" s="108">
        <v>201605</v>
      </c>
      <c r="B1693" s="109" t="s">
        <v>208</v>
      </c>
      <c r="C1693" s="108">
        <v>0</v>
      </c>
      <c r="D1693" s="110"/>
      <c r="E1693" t="str">
        <f>VLOOKUP(B1693,CAC!$A$2:$B$198,2,FALSE)</f>
        <v>PPOPMR</v>
      </c>
    </row>
    <row r="1694" spans="1:5" x14ac:dyDescent="0.25">
      <c r="A1694" s="108">
        <v>201605</v>
      </c>
      <c r="B1694" s="109" t="s">
        <v>209</v>
      </c>
      <c r="C1694" s="108">
        <v>0</v>
      </c>
      <c r="D1694" s="110"/>
      <c r="E1694" t="str">
        <f>VLOOKUP(B1694,CAC!$A$2:$B$198,2,FALSE)</f>
        <v>PPOPMR</v>
      </c>
    </row>
    <row r="1695" spans="1:5" x14ac:dyDescent="0.25">
      <c r="A1695" s="108">
        <v>201605</v>
      </c>
      <c r="B1695" s="109" t="s">
        <v>204</v>
      </c>
      <c r="C1695" s="108">
        <v>0</v>
      </c>
      <c r="D1695" s="110"/>
      <c r="E1695" t="str">
        <f>VLOOKUP(B1695,CAC!$A$2:$B$198,2,FALSE)</f>
        <v>PPOPMR</v>
      </c>
    </row>
    <row r="1696" spans="1:5" x14ac:dyDescent="0.25">
      <c r="A1696" s="108">
        <v>201605</v>
      </c>
      <c r="B1696" s="109" t="s">
        <v>330</v>
      </c>
      <c r="C1696" s="108">
        <v>0</v>
      </c>
      <c r="D1696" s="110"/>
      <c r="E1696" t="e">
        <f>VLOOKUP(B1696,CAC!$A$2:$B$198,2,FALSE)</f>
        <v>#N/A</v>
      </c>
    </row>
    <row r="1697" spans="1:5" x14ac:dyDescent="0.25">
      <c r="A1697" s="108">
        <v>201605</v>
      </c>
      <c r="B1697" s="109" t="s">
        <v>73</v>
      </c>
      <c r="C1697" s="108">
        <v>35801</v>
      </c>
      <c r="D1697" s="108">
        <v>5459</v>
      </c>
      <c r="E1697" t="str">
        <f>VLOOKUP(B1697,CAC!$A$2:$B$198,2,FALSE)</f>
        <v>HMOPERA</v>
      </c>
    </row>
    <row r="1698" spans="1:5" x14ac:dyDescent="0.25">
      <c r="A1698" s="108">
        <v>201605</v>
      </c>
      <c r="B1698" s="109" t="s">
        <v>75</v>
      </c>
      <c r="C1698" s="108">
        <v>25794</v>
      </c>
      <c r="D1698" s="108">
        <v>11774</v>
      </c>
      <c r="E1698" t="str">
        <f>VLOOKUP(B1698,CAC!$A$2:$B$198,2,FALSE)</f>
        <v>HMOPERN</v>
      </c>
    </row>
    <row r="1699" spans="1:5" x14ac:dyDescent="0.25">
      <c r="A1699" s="108">
        <v>201605</v>
      </c>
      <c r="B1699" s="109" t="s">
        <v>218</v>
      </c>
      <c r="C1699" s="108">
        <v>0</v>
      </c>
      <c r="D1699" s="110"/>
      <c r="E1699" t="str">
        <f>VLOOKUP(B1699,CAC!$A$2:$B$198,2,FALSE)</f>
        <v>HMOPERA</v>
      </c>
    </row>
    <row r="1700" spans="1:5" x14ac:dyDescent="0.25">
      <c r="A1700" s="108">
        <v>201605</v>
      </c>
      <c r="B1700" s="109" t="s">
        <v>156</v>
      </c>
      <c r="C1700" s="108">
        <v>26465</v>
      </c>
      <c r="D1700" s="110"/>
      <c r="E1700" t="str">
        <f>VLOOKUP(B1700,CAC!$A$2:$B$198,2,FALSE)</f>
        <v>HMOMM</v>
      </c>
    </row>
    <row r="1701" spans="1:5" x14ac:dyDescent="0.25">
      <c r="A1701" s="108">
        <v>201605</v>
      </c>
      <c r="B1701" s="109" t="s">
        <v>84</v>
      </c>
      <c r="C1701" s="108">
        <v>6735</v>
      </c>
      <c r="D1701" s="110"/>
      <c r="E1701" t="str">
        <f>VLOOKUP(B1701,CAC!$A$2:$B$198,2,FALSE)</f>
        <v>HMOMM</v>
      </c>
    </row>
    <row r="1702" spans="1:5" x14ac:dyDescent="0.25">
      <c r="A1702" s="108">
        <v>201605</v>
      </c>
      <c r="B1702" s="109" t="s">
        <v>162</v>
      </c>
      <c r="C1702" s="108">
        <v>415</v>
      </c>
      <c r="D1702" s="110"/>
      <c r="E1702" t="str">
        <f>VLOOKUP(B1702,CAC!$A$2:$B$198,2,FALSE)</f>
        <v>HMOMG</v>
      </c>
    </row>
    <row r="1703" spans="1:5" x14ac:dyDescent="0.25">
      <c r="A1703" s="108">
        <v>201605</v>
      </c>
      <c r="B1703" s="109" t="s">
        <v>163</v>
      </c>
      <c r="C1703" s="108">
        <v>108</v>
      </c>
      <c r="D1703" s="110"/>
      <c r="E1703" t="str">
        <f>VLOOKUP(B1703,CAC!$A$2:$B$198,2,FALSE)</f>
        <v>HMOMG</v>
      </c>
    </row>
    <row r="1704" spans="1:5" x14ac:dyDescent="0.25">
      <c r="A1704" s="108">
        <v>201605</v>
      </c>
      <c r="B1704" s="109" t="s">
        <v>165</v>
      </c>
      <c r="C1704" s="108">
        <v>0</v>
      </c>
      <c r="D1704" s="110"/>
      <c r="E1704" t="str">
        <f>VLOOKUP(B1704,CAC!$A$2:$B$198,2,FALSE)</f>
        <v>HMOMG</v>
      </c>
    </row>
    <row r="1705" spans="1:5" x14ac:dyDescent="0.25">
      <c r="A1705" s="108">
        <v>201605</v>
      </c>
      <c r="B1705" s="109" t="s">
        <v>85</v>
      </c>
      <c r="C1705" s="108">
        <v>659</v>
      </c>
      <c r="D1705" s="110"/>
      <c r="E1705" t="str">
        <f>VLOOKUP(B1705,CAC!$A$2:$B$198,2,FALSE)</f>
        <v>HMOMG</v>
      </c>
    </row>
    <row r="1706" spans="1:5" x14ac:dyDescent="0.25">
      <c r="A1706" s="108">
        <v>201605</v>
      </c>
      <c r="B1706" s="109" t="s">
        <v>77</v>
      </c>
      <c r="C1706" s="108">
        <v>22540</v>
      </c>
      <c r="D1706" s="110"/>
      <c r="E1706" t="str">
        <f>VLOOKUP(B1706,CAC!$A$2:$B$198,2,FALSE)</f>
        <v>HMOSG</v>
      </c>
    </row>
    <row r="1707" spans="1:5" x14ac:dyDescent="0.25">
      <c r="A1707" s="108">
        <v>201605</v>
      </c>
      <c r="B1707" s="109" t="s">
        <v>78</v>
      </c>
      <c r="C1707" s="108">
        <v>356</v>
      </c>
      <c r="D1707" s="110"/>
      <c r="E1707" t="str">
        <f>VLOOKUP(B1707,CAC!$A$2:$B$198,2,FALSE)</f>
        <v>HMOSG</v>
      </c>
    </row>
    <row r="1708" spans="1:5" x14ac:dyDescent="0.25">
      <c r="A1708" s="108">
        <v>201605</v>
      </c>
      <c r="B1708" s="109" t="s">
        <v>79</v>
      </c>
      <c r="C1708" s="108">
        <v>103</v>
      </c>
      <c r="D1708" s="110"/>
      <c r="E1708" t="str">
        <f>VLOOKUP(B1708,CAC!$A$2:$B$198,2,FALSE)</f>
        <v>HMOSG</v>
      </c>
    </row>
    <row r="1709" spans="1:5" x14ac:dyDescent="0.25">
      <c r="A1709" s="108">
        <v>201605</v>
      </c>
      <c r="B1709" s="109" t="s">
        <v>222</v>
      </c>
      <c r="C1709" s="108">
        <v>0</v>
      </c>
      <c r="D1709" s="110"/>
      <c r="E1709" t="str">
        <f>VLOOKUP(B1709,CAC!$A$2:$B$198,2,FALSE)</f>
        <v>PPOSG</v>
      </c>
    </row>
    <row r="1710" spans="1:5" x14ac:dyDescent="0.25">
      <c r="A1710" s="108">
        <v>201605</v>
      </c>
      <c r="B1710" s="109" t="s">
        <v>225</v>
      </c>
      <c r="C1710" s="108">
        <v>0</v>
      </c>
      <c r="D1710" s="110"/>
      <c r="E1710" t="str">
        <f>VLOOKUP(B1710,CAC!$A$2:$B$198,2,FALSE)</f>
        <v>PPOSG</v>
      </c>
    </row>
    <row r="1711" spans="1:5" x14ac:dyDescent="0.25">
      <c r="A1711" s="108">
        <v>201605</v>
      </c>
      <c r="B1711" s="109" t="s">
        <v>226</v>
      </c>
      <c r="C1711" s="108">
        <v>0</v>
      </c>
      <c r="D1711" s="110"/>
      <c r="E1711" t="str">
        <f>VLOOKUP(B1711,CAC!$A$2:$B$198,2,FALSE)</f>
        <v>PPOSG</v>
      </c>
    </row>
    <row r="1712" spans="1:5" x14ac:dyDescent="0.25">
      <c r="A1712" s="108">
        <v>201605</v>
      </c>
      <c r="B1712" s="109" t="s">
        <v>186</v>
      </c>
      <c r="C1712" s="108">
        <v>0</v>
      </c>
      <c r="D1712" s="110"/>
      <c r="E1712" t="str">
        <f>VLOOKUP(B1712,CAC!$A$2:$B$198,2,FALSE)</f>
        <v>PPOIFP</v>
      </c>
    </row>
    <row r="1713" spans="1:5" x14ac:dyDescent="0.25">
      <c r="A1713" s="108">
        <v>201605</v>
      </c>
      <c r="B1713" s="109" t="s">
        <v>187</v>
      </c>
      <c r="C1713" s="108">
        <v>0</v>
      </c>
      <c r="D1713" s="110"/>
      <c r="E1713" t="str">
        <f>VLOOKUP(B1713,CAC!$A$2:$B$198,2,FALSE)</f>
        <v>PPOIFP</v>
      </c>
    </row>
    <row r="1714" spans="1:5" x14ac:dyDescent="0.25">
      <c r="A1714" s="108">
        <v>201605</v>
      </c>
      <c r="B1714" s="109" t="s">
        <v>188</v>
      </c>
      <c r="C1714" s="108">
        <v>0</v>
      </c>
      <c r="D1714" s="110"/>
      <c r="E1714" t="str">
        <f>VLOOKUP(B1714,CAC!$A$2:$B$198,2,FALSE)</f>
        <v>PPOIFP</v>
      </c>
    </row>
    <row r="1715" spans="1:5" x14ac:dyDescent="0.25">
      <c r="A1715" s="108">
        <v>201605</v>
      </c>
      <c r="B1715" s="109" t="s">
        <v>189</v>
      </c>
      <c r="C1715" s="108">
        <v>0</v>
      </c>
      <c r="D1715" s="110"/>
      <c r="E1715" t="str">
        <f>VLOOKUP(B1715,CAC!$A$2:$B$198,2,FALSE)</f>
        <v>PPOIFP</v>
      </c>
    </row>
    <row r="1716" spans="1:5" x14ac:dyDescent="0.25">
      <c r="A1716" s="108">
        <v>201605</v>
      </c>
      <c r="B1716" s="109" t="s">
        <v>331</v>
      </c>
      <c r="C1716" s="108">
        <v>0</v>
      </c>
      <c r="D1716" s="110"/>
      <c r="E1716" t="e">
        <f>VLOOKUP(B1716,CAC!$A$2:$B$198,2,FALSE)</f>
        <v>#N/A</v>
      </c>
    </row>
    <row r="1717" spans="1:5" x14ac:dyDescent="0.25">
      <c r="A1717" s="108">
        <v>201605</v>
      </c>
      <c r="B1717" s="109" t="s">
        <v>216</v>
      </c>
      <c r="C1717" s="108">
        <v>0</v>
      </c>
      <c r="D1717" s="110"/>
      <c r="E1717" t="str">
        <f>VLOOKUP(B1717,CAC!$A$2:$B$198,2,FALSE)</f>
        <v>PPOMM</v>
      </c>
    </row>
    <row r="1718" spans="1:5" x14ac:dyDescent="0.25">
      <c r="A1718" s="108">
        <v>201605</v>
      </c>
      <c r="B1718" s="109" t="s">
        <v>301</v>
      </c>
      <c r="C1718" s="108">
        <v>0</v>
      </c>
      <c r="D1718" s="110"/>
      <c r="E1718" t="str">
        <f>VLOOKUP(B1718,CAC!$A$2:$B$198,2,FALSE)</f>
        <v>XXX</v>
      </c>
    </row>
    <row r="1719" spans="1:5" x14ac:dyDescent="0.25">
      <c r="A1719" s="108">
        <v>201606</v>
      </c>
      <c r="B1719" s="109" t="s">
        <v>51</v>
      </c>
      <c r="C1719" s="108">
        <v>40</v>
      </c>
      <c r="D1719" s="110"/>
      <c r="E1719" t="str">
        <f>VLOOKUP(B1719,CAC!$A$2:$B$198,2,FALSE)</f>
        <v>XXX</v>
      </c>
    </row>
    <row r="1720" spans="1:5" x14ac:dyDescent="0.25">
      <c r="A1720" s="108">
        <v>201606</v>
      </c>
      <c r="B1720" s="109" t="s">
        <v>303</v>
      </c>
      <c r="C1720" s="108">
        <v>0</v>
      </c>
      <c r="D1720" s="110"/>
      <c r="E1720" t="e">
        <f>VLOOKUP(B1720,CAC!$A$2:$B$198,2,FALSE)</f>
        <v>#N/A</v>
      </c>
    </row>
    <row r="1721" spans="1:5" x14ac:dyDescent="0.25">
      <c r="A1721" s="108">
        <v>201606</v>
      </c>
      <c r="B1721" s="109" t="s">
        <v>304</v>
      </c>
      <c r="C1721" s="108">
        <v>0</v>
      </c>
      <c r="D1721" s="110"/>
      <c r="E1721" t="e">
        <f>VLOOKUP(B1721,CAC!$A$2:$B$198,2,FALSE)</f>
        <v>#N/A</v>
      </c>
    </row>
    <row r="1722" spans="1:5" x14ac:dyDescent="0.25">
      <c r="A1722" s="108">
        <v>201606</v>
      </c>
      <c r="B1722" s="109" t="s">
        <v>323</v>
      </c>
      <c r="C1722" s="108">
        <v>0</v>
      </c>
      <c r="D1722" s="110"/>
      <c r="E1722" t="e">
        <f>VLOOKUP(B1722,CAC!$A$2:$B$198,2,FALSE)</f>
        <v>#N/A</v>
      </c>
    </row>
    <row r="1723" spans="1:5" x14ac:dyDescent="0.25">
      <c r="A1723" s="108">
        <v>201606</v>
      </c>
      <c r="B1723" s="109" t="s">
        <v>305</v>
      </c>
      <c r="C1723" s="108">
        <v>0</v>
      </c>
      <c r="D1723" s="110"/>
      <c r="E1723" t="e">
        <f>VLOOKUP(B1723,CAC!$A$2:$B$198,2,FALSE)</f>
        <v>#N/A</v>
      </c>
    </row>
    <row r="1724" spans="1:5" x14ac:dyDescent="0.25">
      <c r="A1724" s="108">
        <v>201606</v>
      </c>
      <c r="B1724" s="109" t="s">
        <v>324</v>
      </c>
      <c r="C1724" s="108">
        <v>0</v>
      </c>
      <c r="D1724" s="110"/>
      <c r="E1724" t="e">
        <f>VLOOKUP(B1724,CAC!$A$2:$B$198,2,FALSE)</f>
        <v>#N/A</v>
      </c>
    </row>
    <row r="1725" spans="1:5" x14ac:dyDescent="0.25">
      <c r="A1725" s="108">
        <v>201606</v>
      </c>
      <c r="B1725" s="109" t="s">
        <v>327</v>
      </c>
      <c r="C1725" s="108">
        <v>0</v>
      </c>
      <c r="D1725" s="110"/>
      <c r="E1725" t="e">
        <f>VLOOKUP(B1725,CAC!$A$2:$B$198,2,FALSE)</f>
        <v>#N/A</v>
      </c>
    </row>
    <row r="1726" spans="1:5" x14ac:dyDescent="0.25">
      <c r="A1726" s="108">
        <v>201606</v>
      </c>
      <c r="B1726" s="109" t="s">
        <v>318</v>
      </c>
      <c r="C1726" s="108">
        <v>0</v>
      </c>
      <c r="D1726" s="110"/>
      <c r="E1726" t="e">
        <f>VLOOKUP(B1726,CAC!$A$2:$B$198,2,FALSE)</f>
        <v>#N/A</v>
      </c>
    </row>
    <row r="1727" spans="1:5" x14ac:dyDescent="0.25">
      <c r="A1727" s="108">
        <v>201606</v>
      </c>
      <c r="B1727" s="109" t="s">
        <v>326</v>
      </c>
      <c r="C1727" s="108">
        <v>0</v>
      </c>
      <c r="D1727" s="110"/>
      <c r="E1727" t="e">
        <f>VLOOKUP(B1727,CAC!$A$2:$B$198,2,FALSE)</f>
        <v>#N/A</v>
      </c>
    </row>
    <row r="1728" spans="1:5" x14ac:dyDescent="0.25">
      <c r="A1728" s="108">
        <v>201606</v>
      </c>
      <c r="B1728" s="109" t="s">
        <v>231</v>
      </c>
      <c r="C1728" s="108">
        <v>0</v>
      </c>
      <c r="D1728" s="110"/>
      <c r="E1728" t="str">
        <f>VLOOKUP(B1728,CAC!$A$2:$B$198,2,FALSE)</f>
        <v>DOILG</v>
      </c>
    </row>
    <row r="1729" spans="1:5" x14ac:dyDescent="0.25">
      <c r="A1729" s="108">
        <v>201606</v>
      </c>
      <c r="B1729" s="109" t="s">
        <v>233</v>
      </c>
      <c r="C1729" s="108">
        <v>0</v>
      </c>
      <c r="D1729" s="110"/>
      <c r="E1729" t="str">
        <f>VLOOKUP(B1729,CAC!$A$2:$B$198,2,FALSE)</f>
        <v>DOILG</v>
      </c>
    </row>
    <row r="1730" spans="1:5" x14ac:dyDescent="0.25">
      <c r="A1730" s="108">
        <v>201606</v>
      </c>
      <c r="B1730" s="109" t="s">
        <v>235</v>
      </c>
      <c r="C1730" s="108">
        <v>0</v>
      </c>
      <c r="D1730" s="110"/>
      <c r="E1730" t="str">
        <f>VLOOKUP(B1730,CAC!$A$2:$B$198,2,FALSE)</f>
        <v>DOILG</v>
      </c>
    </row>
    <row r="1731" spans="1:5" x14ac:dyDescent="0.25">
      <c r="A1731" s="108">
        <v>201606</v>
      </c>
      <c r="B1731" s="109" t="s">
        <v>237</v>
      </c>
      <c r="C1731" s="108">
        <v>0</v>
      </c>
      <c r="D1731" s="110"/>
      <c r="E1731" t="str">
        <f>VLOOKUP(B1731,CAC!$A$2:$B$198,2,FALSE)</f>
        <v>DOILG</v>
      </c>
    </row>
    <row r="1732" spans="1:5" x14ac:dyDescent="0.25">
      <c r="A1732" s="108">
        <v>201606</v>
      </c>
      <c r="B1732" s="109" t="s">
        <v>247</v>
      </c>
      <c r="C1732" s="108">
        <v>0</v>
      </c>
      <c r="D1732" s="110"/>
      <c r="E1732" t="str">
        <f>VLOOKUP(B1732,CAC!$A$2:$B$198,2,FALSE)</f>
        <v>DOIIFP</v>
      </c>
    </row>
    <row r="1733" spans="1:5" x14ac:dyDescent="0.25">
      <c r="A1733" s="108">
        <v>201606</v>
      </c>
      <c r="B1733" s="109" t="s">
        <v>238</v>
      </c>
      <c r="C1733" s="108">
        <v>0</v>
      </c>
      <c r="D1733" s="110"/>
      <c r="E1733" t="str">
        <f>VLOOKUP(B1733,CAC!$A$2:$B$198,2,FALSE)</f>
        <v>DOILG</v>
      </c>
    </row>
    <row r="1734" spans="1:5" x14ac:dyDescent="0.25">
      <c r="A1734" s="108">
        <v>201606</v>
      </c>
      <c r="B1734" s="109" t="s">
        <v>248</v>
      </c>
      <c r="C1734" s="108">
        <v>0</v>
      </c>
      <c r="D1734" s="110"/>
      <c r="E1734" t="str">
        <f>VLOOKUP(B1734,CAC!$A$2:$B$198,2,FALSE)</f>
        <v>DOIIFP</v>
      </c>
    </row>
    <row r="1735" spans="1:5" x14ac:dyDescent="0.25">
      <c r="A1735" s="108">
        <v>201606</v>
      </c>
      <c r="B1735" s="109" t="s">
        <v>328</v>
      </c>
      <c r="C1735" s="108">
        <v>0</v>
      </c>
      <c r="D1735" s="110"/>
      <c r="E1735" t="e">
        <f>VLOOKUP(B1735,CAC!$A$2:$B$198,2,FALSE)</f>
        <v>#N/A</v>
      </c>
    </row>
    <row r="1736" spans="1:5" x14ac:dyDescent="0.25">
      <c r="A1736" s="108">
        <v>201606</v>
      </c>
      <c r="B1736" s="109" t="s">
        <v>253</v>
      </c>
      <c r="C1736" s="108">
        <v>0</v>
      </c>
      <c r="D1736" s="110"/>
      <c r="E1736" t="str">
        <f>VLOOKUP(B1736,CAC!$A$2:$B$198,2,FALSE)</f>
        <v>AGDMHC</v>
      </c>
    </row>
    <row r="1737" spans="1:5" x14ac:dyDescent="0.25">
      <c r="A1737" s="108">
        <v>201606</v>
      </c>
      <c r="B1737" s="109" t="s">
        <v>325</v>
      </c>
      <c r="C1737" s="108">
        <v>0</v>
      </c>
      <c r="D1737" s="110"/>
      <c r="E1737" t="e">
        <f>VLOOKUP(B1737,CAC!$A$2:$B$198,2,FALSE)</f>
        <v>#N/A</v>
      </c>
    </row>
    <row r="1738" spans="1:5" x14ac:dyDescent="0.25">
      <c r="A1738" s="108">
        <v>201606</v>
      </c>
      <c r="B1738" s="109" t="s">
        <v>255</v>
      </c>
      <c r="C1738" s="108">
        <v>0</v>
      </c>
      <c r="D1738" s="110"/>
      <c r="E1738" t="str">
        <f>VLOOKUP(B1738,CAC!$A$2:$B$198,2,FALSE)</f>
        <v>AGDMHC</v>
      </c>
    </row>
    <row r="1739" spans="1:5" x14ac:dyDescent="0.25">
      <c r="A1739" s="108">
        <v>201606</v>
      </c>
      <c r="B1739" s="109" t="s">
        <v>256</v>
      </c>
      <c r="C1739" s="108">
        <v>0</v>
      </c>
      <c r="D1739" s="110"/>
      <c r="E1739" t="str">
        <f>VLOOKUP(B1739,CAC!$A$2:$B$198,2,FALSE)</f>
        <v>AGDMHC</v>
      </c>
    </row>
    <row r="1740" spans="1:5" x14ac:dyDescent="0.25">
      <c r="A1740" s="108">
        <v>201606</v>
      </c>
      <c r="B1740" s="109" t="s">
        <v>257</v>
      </c>
      <c r="C1740" s="108">
        <v>0</v>
      </c>
      <c r="D1740" s="110"/>
      <c r="E1740" t="str">
        <f>VLOOKUP(B1740,CAC!$A$2:$B$198,2,FALSE)</f>
        <v>AGDMHC</v>
      </c>
    </row>
    <row r="1741" spans="1:5" x14ac:dyDescent="0.25">
      <c r="A1741" s="108">
        <v>201606</v>
      </c>
      <c r="B1741" s="109" t="s">
        <v>258</v>
      </c>
      <c r="C1741" s="108">
        <v>0</v>
      </c>
      <c r="D1741" s="110"/>
      <c r="E1741" t="str">
        <f>VLOOKUP(B1741,CAC!$A$2:$B$198,2,FALSE)</f>
        <v>AGDMHC</v>
      </c>
    </row>
    <row r="1742" spans="1:5" x14ac:dyDescent="0.25">
      <c r="A1742" s="108">
        <v>201606</v>
      </c>
      <c r="B1742" s="109" t="s">
        <v>329</v>
      </c>
      <c r="C1742" s="108">
        <v>0</v>
      </c>
      <c r="D1742" s="110"/>
      <c r="E1742" t="e">
        <f>VLOOKUP(B1742,CAC!$A$2:$B$198,2,FALSE)</f>
        <v>#N/A</v>
      </c>
    </row>
    <row r="1743" spans="1:5" x14ac:dyDescent="0.25">
      <c r="A1743" s="108">
        <v>201606</v>
      </c>
      <c r="B1743" s="109" t="s">
        <v>262</v>
      </c>
      <c r="C1743" s="108">
        <v>0</v>
      </c>
      <c r="D1743" s="110"/>
      <c r="E1743" t="str">
        <f>VLOOKUP(B1743,CAC!$A$2:$B$198,2,FALSE)</f>
        <v>AGDMHC</v>
      </c>
    </row>
    <row r="1744" spans="1:5" x14ac:dyDescent="0.25">
      <c r="A1744" s="108">
        <v>201606</v>
      </c>
      <c r="B1744" s="109" t="s">
        <v>264</v>
      </c>
      <c r="C1744" s="108">
        <v>0</v>
      </c>
      <c r="D1744" s="110"/>
      <c r="E1744" t="str">
        <f>VLOOKUP(B1744,CAC!$A$2:$B$198,2,FALSE)</f>
        <v>AGDMHC</v>
      </c>
    </row>
    <row r="1745" spans="1:5" x14ac:dyDescent="0.25">
      <c r="A1745" s="108">
        <v>201606</v>
      </c>
      <c r="B1745" s="109" t="s">
        <v>269</v>
      </c>
      <c r="C1745" s="108">
        <v>0</v>
      </c>
      <c r="D1745" s="110"/>
      <c r="E1745" t="str">
        <f>VLOOKUP(B1745,CAC!$A$2:$B$198,2,FALSE)</f>
        <v>AGDMHC</v>
      </c>
    </row>
    <row r="1746" spans="1:5" x14ac:dyDescent="0.25">
      <c r="A1746" s="108">
        <v>201606</v>
      </c>
      <c r="B1746" s="109" t="s">
        <v>319</v>
      </c>
      <c r="C1746" s="108">
        <v>0</v>
      </c>
      <c r="D1746" s="110"/>
      <c r="E1746" t="e">
        <f>VLOOKUP(B1746,CAC!$A$2:$B$198,2,FALSE)</f>
        <v>#N/A</v>
      </c>
    </row>
    <row r="1747" spans="1:5" x14ac:dyDescent="0.25">
      <c r="A1747" s="108">
        <v>201606</v>
      </c>
      <c r="B1747" s="109" t="s">
        <v>266</v>
      </c>
      <c r="C1747" s="108">
        <v>0</v>
      </c>
      <c r="D1747" s="110"/>
      <c r="E1747" t="str">
        <f>VLOOKUP(B1747,CAC!$A$2:$B$198,2,FALSE)</f>
        <v>AGDMHC</v>
      </c>
    </row>
    <row r="1748" spans="1:5" x14ac:dyDescent="0.25">
      <c r="A1748" s="108">
        <v>201606</v>
      </c>
      <c r="B1748" s="109" t="s">
        <v>267</v>
      </c>
      <c r="C1748" s="108">
        <v>0</v>
      </c>
      <c r="D1748" s="110"/>
      <c r="E1748" t="str">
        <f>VLOOKUP(B1748,CAC!$A$2:$B$198,2,FALSE)</f>
        <v>AGDMHC</v>
      </c>
    </row>
    <row r="1749" spans="1:5" x14ac:dyDescent="0.25">
      <c r="A1749" s="108">
        <v>201606</v>
      </c>
      <c r="B1749" s="109" t="s">
        <v>268</v>
      </c>
      <c r="C1749" s="108">
        <v>0</v>
      </c>
      <c r="D1749" s="110"/>
      <c r="E1749" t="str">
        <f>VLOOKUP(B1749,CAC!$A$2:$B$198,2,FALSE)</f>
        <v>AGDMHC</v>
      </c>
    </row>
    <row r="1750" spans="1:5" x14ac:dyDescent="0.25">
      <c r="A1750" s="108">
        <v>201606</v>
      </c>
      <c r="B1750" s="109" t="s">
        <v>52</v>
      </c>
      <c r="C1750" s="108">
        <v>15700</v>
      </c>
      <c r="D1750" s="110"/>
      <c r="E1750" t="str">
        <f>VLOOKUP(B1750,CAC!$A$2:$B$198,2,FALSE)</f>
        <v>HMOPMR</v>
      </c>
    </row>
    <row r="1751" spans="1:5" x14ac:dyDescent="0.25">
      <c r="A1751" s="108">
        <v>201606</v>
      </c>
      <c r="B1751" s="109" t="s">
        <v>53</v>
      </c>
      <c r="C1751" s="108">
        <v>4731</v>
      </c>
      <c r="D1751" s="110"/>
      <c r="E1751" t="str">
        <f>VLOOKUP(B1751,CAC!$A$2:$B$198,2,FALSE)</f>
        <v>HMOPMR</v>
      </c>
    </row>
    <row r="1752" spans="1:5" x14ac:dyDescent="0.25">
      <c r="A1752" s="108">
        <v>201606</v>
      </c>
      <c r="B1752" s="109" t="s">
        <v>54</v>
      </c>
      <c r="C1752" s="108">
        <v>6079</v>
      </c>
      <c r="D1752" s="110"/>
      <c r="E1752" t="str">
        <f>VLOOKUP(B1752,CAC!$A$2:$B$198,2,FALSE)</f>
        <v>HMOFEP</v>
      </c>
    </row>
    <row r="1753" spans="1:5" x14ac:dyDescent="0.25">
      <c r="A1753" s="108">
        <v>201606</v>
      </c>
      <c r="B1753" s="109" t="s">
        <v>279</v>
      </c>
      <c r="C1753" s="108">
        <v>0</v>
      </c>
      <c r="D1753" s="110"/>
      <c r="E1753" t="str">
        <f>VLOOKUP(B1753,CAC!$A$2:$B$198,2,FALSE)</f>
        <v>PPOFEP</v>
      </c>
    </row>
    <row r="1754" spans="1:5" x14ac:dyDescent="0.25">
      <c r="A1754" s="108">
        <v>201606</v>
      </c>
      <c r="B1754" s="109" t="s">
        <v>202</v>
      </c>
      <c r="C1754" s="108">
        <v>0</v>
      </c>
      <c r="D1754" s="110"/>
      <c r="E1754" t="str">
        <f>VLOOKUP(B1754,CAC!$A$2:$B$198,2,FALSE)</f>
        <v>PPOPMR</v>
      </c>
    </row>
    <row r="1755" spans="1:5" x14ac:dyDescent="0.25">
      <c r="A1755" s="108">
        <v>201606</v>
      </c>
      <c r="B1755" s="109" t="s">
        <v>55</v>
      </c>
      <c r="C1755" s="108">
        <v>14266</v>
      </c>
      <c r="D1755" s="110"/>
      <c r="E1755" t="str">
        <f>VLOOKUP(B1755,CAC!$A$2:$B$198,2,FALSE)</f>
        <v>HMOPMR</v>
      </c>
    </row>
    <row r="1756" spans="1:5" x14ac:dyDescent="0.25">
      <c r="A1756" s="108">
        <v>201606</v>
      </c>
      <c r="B1756" s="109" t="s">
        <v>56</v>
      </c>
      <c r="C1756" s="108">
        <v>121</v>
      </c>
      <c r="D1756" s="110"/>
      <c r="E1756" t="str">
        <f>VLOOKUP(B1756,CAC!$A$2:$B$198,2,FALSE)</f>
        <v>HMOPMR</v>
      </c>
    </row>
    <row r="1757" spans="1:5" x14ac:dyDescent="0.25">
      <c r="A1757" s="108">
        <v>201606</v>
      </c>
      <c r="B1757" s="109" t="s">
        <v>83</v>
      </c>
      <c r="C1757" s="108">
        <v>1970</v>
      </c>
      <c r="D1757" s="110"/>
      <c r="E1757" t="str">
        <f>VLOOKUP(B1757,CAC!$A$2:$B$198,2,FALSE)</f>
        <v>HMOPMR</v>
      </c>
    </row>
    <row r="1758" spans="1:5" x14ac:dyDescent="0.25">
      <c r="A1758" s="108">
        <v>201606</v>
      </c>
      <c r="B1758" s="109" t="s">
        <v>57</v>
      </c>
      <c r="C1758" s="108">
        <v>6168</v>
      </c>
      <c r="D1758" s="110"/>
      <c r="E1758" t="str">
        <f>VLOOKUP(B1758,CAC!$A$2:$B$198,2,FALSE)</f>
        <v>HMFLEX</v>
      </c>
    </row>
    <row r="1759" spans="1:5" x14ac:dyDescent="0.25">
      <c r="A1759" s="108">
        <v>201606</v>
      </c>
      <c r="B1759" s="109" t="s">
        <v>58</v>
      </c>
      <c r="C1759" s="108">
        <v>356</v>
      </c>
      <c r="D1759" s="110"/>
      <c r="E1759" t="str">
        <f>VLOOKUP(B1759,CAC!$A$2:$B$198,2,FALSE)</f>
        <v>HMFLEX</v>
      </c>
    </row>
    <row r="1760" spans="1:5" x14ac:dyDescent="0.25">
      <c r="A1760" s="108">
        <v>201606</v>
      </c>
      <c r="B1760" s="109" t="s">
        <v>306</v>
      </c>
      <c r="C1760" s="108">
        <v>0</v>
      </c>
      <c r="D1760" s="110"/>
      <c r="E1760" t="e">
        <f>VLOOKUP(B1760,CAC!$A$2:$B$198,2,FALSE)</f>
        <v>#N/A</v>
      </c>
    </row>
    <row r="1761" spans="1:5" x14ac:dyDescent="0.25">
      <c r="A1761" s="108">
        <v>201606</v>
      </c>
      <c r="B1761" s="109" t="s">
        <v>283</v>
      </c>
      <c r="C1761" s="108">
        <v>0</v>
      </c>
      <c r="D1761" s="110"/>
      <c r="E1761" t="str">
        <f>VLOOKUP(B1761,CAC!$A$2:$B$198,2,FALSE)</f>
        <v>HMFLEX</v>
      </c>
    </row>
    <row r="1762" spans="1:5" x14ac:dyDescent="0.25">
      <c r="A1762" s="108">
        <v>201606</v>
      </c>
      <c r="B1762" s="109" t="s">
        <v>205</v>
      </c>
      <c r="C1762" s="108">
        <v>0</v>
      </c>
      <c r="D1762" s="110"/>
      <c r="E1762" t="str">
        <f>VLOOKUP(B1762,CAC!$A$2:$B$198,2,FALSE)</f>
        <v>PPOPMR</v>
      </c>
    </row>
    <row r="1763" spans="1:5" x14ac:dyDescent="0.25">
      <c r="A1763" s="108">
        <v>201606</v>
      </c>
      <c r="B1763" s="109" t="s">
        <v>286</v>
      </c>
      <c r="C1763" s="108">
        <v>0</v>
      </c>
      <c r="D1763" s="110"/>
      <c r="E1763" t="str">
        <f>VLOOKUP(B1763,CAC!$A$2:$B$198,2,FALSE)</f>
        <v>HMFLEX</v>
      </c>
    </row>
    <row r="1764" spans="1:5" x14ac:dyDescent="0.25">
      <c r="A1764" s="108">
        <v>201606</v>
      </c>
      <c r="B1764" s="109" t="s">
        <v>60</v>
      </c>
      <c r="C1764" s="108">
        <v>13410</v>
      </c>
      <c r="D1764" s="110"/>
      <c r="E1764" t="str">
        <f>VLOOKUP(B1764,CAC!$A$2:$B$198,2,FALSE)</f>
        <v>HMOLG</v>
      </c>
    </row>
    <row r="1765" spans="1:5" x14ac:dyDescent="0.25">
      <c r="A1765" s="108">
        <v>201606</v>
      </c>
      <c r="B1765" s="109" t="s">
        <v>61</v>
      </c>
      <c r="C1765" s="108">
        <v>687</v>
      </c>
      <c r="D1765" s="110"/>
      <c r="E1765" t="str">
        <f>VLOOKUP(B1765,CAC!$A$2:$B$198,2,FALSE)</f>
        <v>HMOLG</v>
      </c>
    </row>
    <row r="1766" spans="1:5" x14ac:dyDescent="0.25">
      <c r="A1766" s="108">
        <v>201606</v>
      </c>
      <c r="B1766" s="109" t="s">
        <v>62</v>
      </c>
      <c r="C1766" s="108">
        <v>23112</v>
      </c>
      <c r="D1766" s="110"/>
      <c r="E1766" t="str">
        <f>VLOOKUP(B1766,CAC!$A$2:$B$198,2,FALSE)</f>
        <v>HMOLG</v>
      </c>
    </row>
    <row r="1767" spans="1:5" x14ac:dyDescent="0.25">
      <c r="A1767" s="108">
        <v>201606</v>
      </c>
      <c r="B1767" s="109" t="s">
        <v>86</v>
      </c>
      <c r="C1767" s="108">
        <v>305</v>
      </c>
      <c r="D1767" s="110"/>
      <c r="E1767" t="str">
        <f>VLOOKUP(B1767,CAC!$A$2:$B$198,2,FALSE)</f>
        <v>HMOLG</v>
      </c>
    </row>
    <row r="1768" spans="1:5" x14ac:dyDescent="0.25">
      <c r="A1768" s="108">
        <v>201606</v>
      </c>
      <c r="B1768" s="109" t="s">
        <v>63</v>
      </c>
      <c r="C1768" s="108">
        <v>101</v>
      </c>
      <c r="D1768" s="110"/>
      <c r="E1768" t="str">
        <f>VLOOKUP(B1768,CAC!$A$2:$B$198,2,FALSE)</f>
        <v>HMOLG</v>
      </c>
    </row>
    <row r="1769" spans="1:5" x14ac:dyDescent="0.25">
      <c r="A1769" s="108">
        <v>201606</v>
      </c>
      <c r="B1769" s="109" t="s">
        <v>64</v>
      </c>
      <c r="C1769" s="108">
        <v>0</v>
      </c>
      <c r="D1769" s="110"/>
      <c r="E1769" t="str">
        <f>VLOOKUP(B1769,CAC!$A$2:$B$198,2,FALSE)</f>
        <v>HMOLG</v>
      </c>
    </row>
    <row r="1770" spans="1:5" x14ac:dyDescent="0.25">
      <c r="A1770" s="108">
        <v>201606</v>
      </c>
      <c r="B1770" s="109" t="s">
        <v>65</v>
      </c>
      <c r="C1770" s="108">
        <v>223</v>
      </c>
      <c r="D1770" s="110"/>
      <c r="E1770" t="str">
        <f>VLOOKUP(B1770,CAC!$A$2:$B$198,2,FALSE)</f>
        <v>HMFLEX</v>
      </c>
    </row>
    <row r="1771" spans="1:5" x14ac:dyDescent="0.25">
      <c r="A1771" s="108">
        <v>201606</v>
      </c>
      <c r="B1771" s="109" t="s">
        <v>307</v>
      </c>
      <c r="C1771" s="108">
        <v>0</v>
      </c>
      <c r="D1771" s="110"/>
      <c r="E1771" t="e">
        <f>VLOOKUP(B1771,CAC!$A$2:$B$198,2,FALSE)</f>
        <v>#N/A</v>
      </c>
    </row>
    <row r="1772" spans="1:5" x14ac:dyDescent="0.25">
      <c r="A1772" s="108">
        <v>201606</v>
      </c>
      <c r="B1772" s="109" t="s">
        <v>308</v>
      </c>
      <c r="C1772" s="108">
        <v>0</v>
      </c>
      <c r="D1772" s="110"/>
      <c r="E1772" t="e">
        <f>VLOOKUP(B1772,CAC!$A$2:$B$198,2,FALSE)</f>
        <v>#N/A</v>
      </c>
    </row>
    <row r="1773" spans="1:5" x14ac:dyDescent="0.25">
      <c r="A1773" s="108">
        <v>201606</v>
      </c>
      <c r="B1773" s="109" t="s">
        <v>309</v>
      </c>
      <c r="C1773" s="108">
        <v>0</v>
      </c>
      <c r="D1773" s="110"/>
      <c r="E1773" t="e">
        <f>VLOOKUP(B1773,CAC!$A$2:$B$198,2,FALSE)</f>
        <v>#N/A</v>
      </c>
    </row>
    <row r="1774" spans="1:5" x14ac:dyDescent="0.25">
      <c r="A1774" s="108">
        <v>201606</v>
      </c>
      <c r="B1774" s="109" t="s">
        <v>99</v>
      </c>
      <c r="C1774" s="108">
        <v>0</v>
      </c>
      <c r="D1774" s="110"/>
      <c r="E1774" t="str">
        <f>VLOOKUP(B1774,CAC!$A$2:$B$198,2,FALSE)</f>
        <v>PPOLG</v>
      </c>
    </row>
    <row r="1775" spans="1:5" x14ac:dyDescent="0.25">
      <c r="A1775" s="108">
        <v>201606</v>
      </c>
      <c r="B1775" s="109" t="s">
        <v>193</v>
      </c>
      <c r="C1775" s="108">
        <v>0</v>
      </c>
      <c r="D1775" s="110"/>
      <c r="E1775" t="str">
        <f>VLOOKUP(B1775,CAC!$A$2:$B$198,2,FALSE)</f>
        <v>PPOLG</v>
      </c>
    </row>
    <row r="1776" spans="1:5" x14ac:dyDescent="0.25">
      <c r="A1776" s="108">
        <v>201606</v>
      </c>
      <c r="B1776" s="109" t="s">
        <v>196</v>
      </c>
      <c r="C1776" s="108">
        <v>0</v>
      </c>
      <c r="D1776" s="110"/>
      <c r="E1776" t="str">
        <f>VLOOKUP(B1776,CAC!$A$2:$B$198,2,FALSE)</f>
        <v>PPOLG</v>
      </c>
    </row>
    <row r="1777" spans="1:5" x14ac:dyDescent="0.25">
      <c r="A1777" s="108">
        <v>201606</v>
      </c>
      <c r="B1777" s="109" t="s">
        <v>212</v>
      </c>
      <c r="C1777" s="108">
        <v>0</v>
      </c>
      <c r="D1777" s="110"/>
      <c r="E1777" t="str">
        <f>VLOOKUP(B1777,CAC!$A$2:$B$198,2,FALSE)</f>
        <v>PPOMM</v>
      </c>
    </row>
    <row r="1778" spans="1:5" x14ac:dyDescent="0.25">
      <c r="A1778" s="108">
        <v>201606</v>
      </c>
      <c r="B1778" s="109" t="s">
        <v>213</v>
      </c>
      <c r="C1778" s="108">
        <v>0</v>
      </c>
      <c r="D1778" s="110"/>
      <c r="E1778" t="str">
        <f>VLOOKUP(B1778,CAC!$A$2:$B$198,2,FALSE)</f>
        <v>PPOMM</v>
      </c>
    </row>
    <row r="1779" spans="1:5" x14ac:dyDescent="0.25">
      <c r="A1779" s="108">
        <v>201606</v>
      </c>
      <c r="B1779" s="109" t="s">
        <v>311</v>
      </c>
      <c r="C1779" s="108">
        <v>0</v>
      </c>
      <c r="D1779" s="110"/>
      <c r="E1779" t="e">
        <f>VLOOKUP(B1779,CAC!$A$2:$B$198,2,FALSE)</f>
        <v>#N/A</v>
      </c>
    </row>
    <row r="1780" spans="1:5" x14ac:dyDescent="0.25">
      <c r="A1780" s="108">
        <v>201606</v>
      </c>
      <c r="B1780" s="109" t="s">
        <v>320</v>
      </c>
      <c r="C1780" s="108">
        <v>0</v>
      </c>
      <c r="D1780" s="110"/>
      <c r="E1780" t="e">
        <f>VLOOKUP(B1780,CAC!$A$2:$B$198,2,FALSE)</f>
        <v>#N/A</v>
      </c>
    </row>
    <row r="1781" spans="1:5" x14ac:dyDescent="0.25">
      <c r="A1781" s="108">
        <v>201606</v>
      </c>
      <c r="B1781" s="109" t="s">
        <v>321</v>
      </c>
      <c r="C1781" s="108">
        <v>0</v>
      </c>
      <c r="D1781" s="110"/>
      <c r="E1781" t="e">
        <f>VLOOKUP(B1781,CAC!$A$2:$B$198,2,FALSE)</f>
        <v>#N/A</v>
      </c>
    </row>
    <row r="1782" spans="1:5" x14ac:dyDescent="0.25">
      <c r="A1782" s="108">
        <v>201606</v>
      </c>
      <c r="B1782" s="109" t="s">
        <v>312</v>
      </c>
      <c r="C1782" s="108">
        <v>0</v>
      </c>
      <c r="D1782" s="110"/>
      <c r="E1782" t="e">
        <f>VLOOKUP(B1782,CAC!$A$2:$B$198,2,FALSE)</f>
        <v>#N/A</v>
      </c>
    </row>
    <row r="1783" spans="1:5" x14ac:dyDescent="0.25">
      <c r="A1783" s="108">
        <v>201606</v>
      </c>
      <c r="B1783" s="109" t="s">
        <v>215</v>
      </c>
      <c r="C1783" s="108">
        <v>0</v>
      </c>
      <c r="D1783" s="110"/>
      <c r="E1783" t="str">
        <f>VLOOKUP(B1783,CAC!$A$2:$B$198,2,FALSE)</f>
        <v>PPOMM</v>
      </c>
    </row>
    <row r="1784" spans="1:5" x14ac:dyDescent="0.25">
      <c r="A1784" s="108">
        <v>201606</v>
      </c>
      <c r="B1784" s="109" t="s">
        <v>66</v>
      </c>
      <c r="C1784" s="108">
        <v>4221</v>
      </c>
      <c r="D1784" s="110"/>
      <c r="E1784" t="str">
        <f>VLOOKUP(B1784,CAC!$A$2:$B$198,2,FALSE)</f>
        <v>HMOLG</v>
      </c>
    </row>
    <row r="1785" spans="1:5" x14ac:dyDescent="0.25">
      <c r="A1785" s="108">
        <v>201606</v>
      </c>
      <c r="B1785" s="109" t="s">
        <v>82</v>
      </c>
      <c r="C1785" s="108">
        <v>2</v>
      </c>
      <c r="D1785" s="110"/>
      <c r="E1785" t="str">
        <f>VLOOKUP(B1785,CAC!$A$2:$B$198,2,FALSE)</f>
        <v>NATPAR</v>
      </c>
    </row>
    <row r="1786" spans="1:5" x14ac:dyDescent="0.25">
      <c r="A1786" s="108">
        <v>201606</v>
      </c>
      <c r="B1786" s="109" t="s">
        <v>67</v>
      </c>
      <c r="C1786" s="108">
        <v>149</v>
      </c>
      <c r="D1786" s="110"/>
      <c r="E1786" t="str">
        <f>VLOOKUP(B1786,CAC!$A$2:$B$198,2,FALSE)</f>
        <v>HMOLG</v>
      </c>
    </row>
    <row r="1787" spans="1:5" x14ac:dyDescent="0.25">
      <c r="A1787" s="108">
        <v>201606</v>
      </c>
      <c r="B1787" s="109" t="s">
        <v>68</v>
      </c>
      <c r="C1787" s="108">
        <v>271</v>
      </c>
      <c r="D1787" s="110"/>
      <c r="E1787" t="str">
        <f>VLOOKUP(B1787,CAC!$A$2:$B$198,2,FALSE)</f>
        <v>HMOPMR</v>
      </c>
    </row>
    <row r="1788" spans="1:5" x14ac:dyDescent="0.25">
      <c r="A1788" s="108">
        <v>201606</v>
      </c>
      <c r="B1788" s="109" t="s">
        <v>69</v>
      </c>
      <c r="C1788" s="108">
        <v>9699</v>
      </c>
      <c r="D1788" s="110"/>
      <c r="E1788" t="str">
        <f>VLOOKUP(B1788,CAC!$A$2:$B$198,2,FALSE)</f>
        <v>HMOPMR</v>
      </c>
    </row>
    <row r="1789" spans="1:5" x14ac:dyDescent="0.25">
      <c r="A1789" s="108">
        <v>201606</v>
      </c>
      <c r="B1789" s="109" t="s">
        <v>70</v>
      </c>
      <c r="C1789" s="108">
        <v>4069</v>
      </c>
      <c r="D1789" s="110"/>
      <c r="E1789" t="str">
        <f>VLOOKUP(B1789,CAC!$A$2:$B$198,2,FALSE)</f>
        <v>HMOPMR</v>
      </c>
    </row>
    <row r="1790" spans="1:5" x14ac:dyDescent="0.25">
      <c r="A1790" s="108">
        <v>201606</v>
      </c>
      <c r="B1790" s="109" t="s">
        <v>71</v>
      </c>
      <c r="C1790" s="108">
        <v>6696</v>
      </c>
      <c r="D1790" s="110"/>
      <c r="E1790" t="str">
        <f>VLOOKUP(B1790,CAC!$A$2:$B$198,2,FALSE)</f>
        <v>HMOPMR</v>
      </c>
    </row>
    <row r="1791" spans="1:5" x14ac:dyDescent="0.25">
      <c r="A1791" s="108">
        <v>201606</v>
      </c>
      <c r="B1791" s="109" t="s">
        <v>72</v>
      </c>
      <c r="C1791" s="108">
        <v>2170</v>
      </c>
      <c r="D1791" s="110"/>
      <c r="E1791" t="str">
        <f>VLOOKUP(B1791,CAC!$A$2:$B$198,2,FALSE)</f>
        <v>HMFLEX</v>
      </c>
    </row>
    <row r="1792" spans="1:5" x14ac:dyDescent="0.25">
      <c r="A1792" s="108">
        <v>201606</v>
      </c>
      <c r="B1792" s="109" t="s">
        <v>314</v>
      </c>
      <c r="C1792" s="108">
        <v>0</v>
      </c>
      <c r="D1792" s="110"/>
      <c r="E1792" t="e">
        <f>VLOOKUP(B1792,CAC!$A$2:$B$198,2,FALSE)</f>
        <v>#N/A</v>
      </c>
    </row>
    <row r="1793" spans="1:5" x14ac:dyDescent="0.25">
      <c r="A1793" s="108">
        <v>201606</v>
      </c>
      <c r="B1793" s="109" t="s">
        <v>322</v>
      </c>
      <c r="C1793" s="108">
        <v>0</v>
      </c>
      <c r="D1793" s="110"/>
      <c r="E1793" t="e">
        <f>VLOOKUP(B1793,CAC!$A$2:$B$198,2,FALSE)</f>
        <v>#N/A</v>
      </c>
    </row>
    <row r="1794" spans="1:5" x14ac:dyDescent="0.25">
      <c r="A1794" s="108">
        <v>201606</v>
      </c>
      <c r="B1794" s="109" t="s">
        <v>315</v>
      </c>
      <c r="C1794" s="108">
        <v>0</v>
      </c>
      <c r="D1794" s="110"/>
      <c r="E1794" t="e">
        <f>VLOOKUP(B1794,CAC!$A$2:$B$198,2,FALSE)</f>
        <v>#N/A</v>
      </c>
    </row>
    <row r="1795" spans="1:5" x14ac:dyDescent="0.25">
      <c r="A1795" s="108">
        <v>201606</v>
      </c>
      <c r="B1795" s="109" t="s">
        <v>112</v>
      </c>
      <c r="C1795" s="108">
        <v>0</v>
      </c>
      <c r="D1795" s="110"/>
      <c r="E1795" t="e">
        <f>VLOOKUP(B1795,CAC!$A$2:$B$198,2,FALSE)</f>
        <v>#N/A</v>
      </c>
    </row>
    <row r="1796" spans="1:5" x14ac:dyDescent="0.25">
      <c r="A1796" s="108">
        <v>201606</v>
      </c>
      <c r="B1796" s="109" t="s">
        <v>316</v>
      </c>
      <c r="C1796" s="108">
        <v>0</v>
      </c>
      <c r="D1796" s="110"/>
      <c r="E1796" t="e">
        <f>VLOOKUP(B1796,CAC!$A$2:$B$198,2,FALSE)</f>
        <v>#N/A</v>
      </c>
    </row>
    <row r="1797" spans="1:5" x14ac:dyDescent="0.25">
      <c r="A1797" s="108">
        <v>201606</v>
      </c>
      <c r="B1797" s="109" t="s">
        <v>317</v>
      </c>
      <c r="C1797" s="108">
        <v>0</v>
      </c>
      <c r="D1797" s="110"/>
      <c r="E1797" t="e">
        <f>VLOOKUP(B1797,CAC!$A$2:$B$198,2,FALSE)</f>
        <v>#N/A</v>
      </c>
    </row>
    <row r="1798" spans="1:5" x14ac:dyDescent="0.25">
      <c r="A1798" s="108">
        <v>201606</v>
      </c>
      <c r="B1798" s="109" t="s">
        <v>113</v>
      </c>
      <c r="C1798" s="108">
        <v>0</v>
      </c>
      <c r="D1798" s="110"/>
      <c r="E1798" t="str">
        <f>VLOOKUP(B1798,CAC!$A$2:$B$198,2,FALSE)</f>
        <v>PPOLG</v>
      </c>
    </row>
    <row r="1799" spans="1:5" x14ac:dyDescent="0.25">
      <c r="A1799" s="108">
        <v>201606</v>
      </c>
      <c r="B1799" s="109" t="s">
        <v>208</v>
      </c>
      <c r="C1799" s="108">
        <v>0</v>
      </c>
      <c r="D1799" s="110"/>
      <c r="E1799" t="str">
        <f>VLOOKUP(B1799,CAC!$A$2:$B$198,2,FALSE)</f>
        <v>PPOPMR</v>
      </c>
    </row>
    <row r="1800" spans="1:5" x14ac:dyDescent="0.25">
      <c r="A1800" s="108">
        <v>201606</v>
      </c>
      <c r="B1800" s="109" t="s">
        <v>209</v>
      </c>
      <c r="C1800" s="108">
        <v>0</v>
      </c>
      <c r="D1800" s="110"/>
      <c r="E1800" t="str">
        <f>VLOOKUP(B1800,CAC!$A$2:$B$198,2,FALSE)</f>
        <v>PPOPMR</v>
      </c>
    </row>
    <row r="1801" spans="1:5" x14ac:dyDescent="0.25">
      <c r="A1801" s="108">
        <v>201606</v>
      </c>
      <c r="B1801" s="109" t="s">
        <v>204</v>
      </c>
      <c r="C1801" s="108">
        <v>0</v>
      </c>
      <c r="D1801" s="110"/>
      <c r="E1801" t="str">
        <f>VLOOKUP(B1801,CAC!$A$2:$B$198,2,FALSE)</f>
        <v>PPOPMR</v>
      </c>
    </row>
    <row r="1802" spans="1:5" x14ac:dyDescent="0.25">
      <c r="A1802" s="108">
        <v>201606</v>
      </c>
      <c r="B1802" s="109" t="s">
        <v>330</v>
      </c>
      <c r="C1802" s="108">
        <v>0</v>
      </c>
      <c r="D1802" s="110"/>
      <c r="E1802" t="e">
        <f>VLOOKUP(B1802,CAC!$A$2:$B$198,2,FALSE)</f>
        <v>#N/A</v>
      </c>
    </row>
    <row r="1803" spans="1:5" x14ac:dyDescent="0.25">
      <c r="A1803" s="108">
        <v>201606</v>
      </c>
      <c r="B1803" s="109" t="s">
        <v>73</v>
      </c>
      <c r="C1803" s="108">
        <v>32450</v>
      </c>
      <c r="D1803" s="108">
        <v>5411</v>
      </c>
      <c r="E1803" t="str">
        <f>VLOOKUP(B1803,CAC!$A$2:$B$198,2,FALSE)</f>
        <v>HMOPERA</v>
      </c>
    </row>
    <row r="1804" spans="1:5" x14ac:dyDescent="0.25">
      <c r="A1804" s="108">
        <v>201606</v>
      </c>
      <c r="B1804" s="109" t="s">
        <v>75</v>
      </c>
      <c r="C1804" s="108">
        <v>25481</v>
      </c>
      <c r="D1804" s="108">
        <v>11702</v>
      </c>
      <c r="E1804" t="str">
        <f>VLOOKUP(B1804,CAC!$A$2:$B$198,2,FALSE)</f>
        <v>HMOPERN</v>
      </c>
    </row>
    <row r="1805" spans="1:5" x14ac:dyDescent="0.25">
      <c r="A1805" s="108">
        <v>201606</v>
      </c>
      <c r="B1805" s="109" t="s">
        <v>218</v>
      </c>
      <c r="C1805" s="108">
        <v>0</v>
      </c>
      <c r="D1805" s="110"/>
      <c r="E1805" t="str">
        <f>VLOOKUP(B1805,CAC!$A$2:$B$198,2,FALSE)</f>
        <v>HMOPERA</v>
      </c>
    </row>
    <row r="1806" spans="1:5" x14ac:dyDescent="0.25">
      <c r="A1806" s="108">
        <v>201606</v>
      </c>
      <c r="B1806" s="109" t="s">
        <v>156</v>
      </c>
      <c r="C1806" s="108">
        <v>25464</v>
      </c>
      <c r="D1806" s="110"/>
      <c r="E1806" t="str">
        <f>VLOOKUP(B1806,CAC!$A$2:$B$198,2,FALSE)</f>
        <v>HMOMM</v>
      </c>
    </row>
    <row r="1807" spans="1:5" x14ac:dyDescent="0.25">
      <c r="A1807" s="108">
        <v>201606</v>
      </c>
      <c r="B1807" s="109" t="s">
        <v>84</v>
      </c>
      <c r="C1807" s="108">
        <v>6708</v>
      </c>
      <c r="D1807" s="110"/>
      <c r="E1807" t="str">
        <f>VLOOKUP(B1807,CAC!$A$2:$B$198,2,FALSE)</f>
        <v>HMOMM</v>
      </c>
    </row>
    <row r="1808" spans="1:5" x14ac:dyDescent="0.25">
      <c r="A1808" s="108">
        <v>201606</v>
      </c>
      <c r="B1808" s="109" t="s">
        <v>162</v>
      </c>
      <c r="C1808" s="108">
        <v>409</v>
      </c>
      <c r="D1808" s="110"/>
      <c r="E1808" t="str">
        <f>VLOOKUP(B1808,CAC!$A$2:$B$198,2,FALSE)</f>
        <v>HMOMG</v>
      </c>
    </row>
    <row r="1809" spans="1:5" x14ac:dyDescent="0.25">
      <c r="A1809" s="108">
        <v>201606</v>
      </c>
      <c r="B1809" s="109" t="s">
        <v>163</v>
      </c>
      <c r="C1809" s="108">
        <v>109</v>
      </c>
      <c r="D1809" s="110"/>
      <c r="E1809" t="str">
        <f>VLOOKUP(B1809,CAC!$A$2:$B$198,2,FALSE)</f>
        <v>HMOMG</v>
      </c>
    </row>
    <row r="1810" spans="1:5" x14ac:dyDescent="0.25">
      <c r="A1810" s="108">
        <v>201606</v>
      </c>
      <c r="B1810" s="109" t="s">
        <v>165</v>
      </c>
      <c r="C1810" s="108">
        <v>0</v>
      </c>
      <c r="D1810" s="110"/>
      <c r="E1810" t="str">
        <f>VLOOKUP(B1810,CAC!$A$2:$B$198,2,FALSE)</f>
        <v>HMOMG</v>
      </c>
    </row>
    <row r="1811" spans="1:5" x14ac:dyDescent="0.25">
      <c r="A1811" s="108">
        <v>201606</v>
      </c>
      <c r="B1811" s="109" t="s">
        <v>85</v>
      </c>
      <c r="C1811" s="108">
        <v>658</v>
      </c>
      <c r="D1811" s="110"/>
      <c r="E1811" t="str">
        <f>VLOOKUP(B1811,CAC!$A$2:$B$198,2,FALSE)</f>
        <v>HMOMG</v>
      </c>
    </row>
    <row r="1812" spans="1:5" x14ac:dyDescent="0.25">
      <c r="A1812" s="108">
        <v>201606</v>
      </c>
      <c r="B1812" s="109" t="s">
        <v>77</v>
      </c>
      <c r="C1812" s="108">
        <v>21402</v>
      </c>
      <c r="D1812" s="110"/>
      <c r="E1812" t="str">
        <f>VLOOKUP(B1812,CAC!$A$2:$B$198,2,FALSE)</f>
        <v>HMOSG</v>
      </c>
    </row>
    <row r="1813" spans="1:5" x14ac:dyDescent="0.25">
      <c r="A1813" s="108">
        <v>201606</v>
      </c>
      <c r="B1813" s="109" t="s">
        <v>78</v>
      </c>
      <c r="C1813" s="108">
        <v>326</v>
      </c>
      <c r="D1813" s="110"/>
      <c r="E1813" t="str">
        <f>VLOOKUP(B1813,CAC!$A$2:$B$198,2,FALSE)</f>
        <v>HMOSG</v>
      </c>
    </row>
    <row r="1814" spans="1:5" x14ac:dyDescent="0.25">
      <c r="A1814" s="108">
        <v>201606</v>
      </c>
      <c r="B1814" s="109" t="s">
        <v>79</v>
      </c>
      <c r="C1814" s="108">
        <v>80</v>
      </c>
      <c r="D1814" s="110"/>
      <c r="E1814" t="str">
        <f>VLOOKUP(B1814,CAC!$A$2:$B$198,2,FALSE)</f>
        <v>HMOSG</v>
      </c>
    </row>
    <row r="1815" spans="1:5" x14ac:dyDescent="0.25">
      <c r="A1815" s="108">
        <v>201606</v>
      </c>
      <c r="B1815" s="109" t="s">
        <v>222</v>
      </c>
      <c r="C1815" s="108">
        <v>0</v>
      </c>
      <c r="D1815" s="110"/>
      <c r="E1815" t="str">
        <f>VLOOKUP(B1815,CAC!$A$2:$B$198,2,FALSE)</f>
        <v>PPOSG</v>
      </c>
    </row>
    <row r="1816" spans="1:5" x14ac:dyDescent="0.25">
      <c r="A1816" s="108">
        <v>201606</v>
      </c>
      <c r="B1816" s="109" t="s">
        <v>225</v>
      </c>
      <c r="C1816" s="108">
        <v>0</v>
      </c>
      <c r="D1816" s="110"/>
      <c r="E1816" t="str">
        <f>VLOOKUP(B1816,CAC!$A$2:$B$198,2,FALSE)</f>
        <v>PPOSG</v>
      </c>
    </row>
    <row r="1817" spans="1:5" x14ac:dyDescent="0.25">
      <c r="A1817" s="108">
        <v>201606</v>
      </c>
      <c r="B1817" s="109" t="s">
        <v>226</v>
      </c>
      <c r="C1817" s="108">
        <v>0</v>
      </c>
      <c r="D1817" s="110"/>
      <c r="E1817" t="str">
        <f>VLOOKUP(B1817,CAC!$A$2:$B$198,2,FALSE)</f>
        <v>PPOSG</v>
      </c>
    </row>
    <row r="1818" spans="1:5" x14ac:dyDescent="0.25">
      <c r="A1818" s="108">
        <v>201606</v>
      </c>
      <c r="B1818" s="109" t="s">
        <v>186</v>
      </c>
      <c r="C1818" s="108">
        <v>0</v>
      </c>
      <c r="D1818" s="110"/>
      <c r="E1818" t="str">
        <f>VLOOKUP(B1818,CAC!$A$2:$B$198,2,FALSE)</f>
        <v>PPOIFP</v>
      </c>
    </row>
    <row r="1819" spans="1:5" x14ac:dyDescent="0.25">
      <c r="A1819" s="108">
        <v>201606</v>
      </c>
      <c r="B1819" s="109" t="s">
        <v>187</v>
      </c>
      <c r="C1819" s="108">
        <v>0</v>
      </c>
      <c r="D1819" s="110"/>
      <c r="E1819" t="str">
        <f>VLOOKUP(B1819,CAC!$A$2:$B$198,2,FALSE)</f>
        <v>PPOIFP</v>
      </c>
    </row>
    <row r="1820" spans="1:5" x14ac:dyDescent="0.25">
      <c r="A1820" s="108">
        <v>201606</v>
      </c>
      <c r="B1820" s="109" t="s">
        <v>188</v>
      </c>
      <c r="C1820" s="108">
        <v>0</v>
      </c>
      <c r="D1820" s="110"/>
      <c r="E1820" t="str">
        <f>VLOOKUP(B1820,CAC!$A$2:$B$198,2,FALSE)</f>
        <v>PPOIFP</v>
      </c>
    </row>
    <row r="1821" spans="1:5" x14ac:dyDescent="0.25">
      <c r="A1821" s="108">
        <v>201606</v>
      </c>
      <c r="B1821" s="109" t="s">
        <v>189</v>
      </c>
      <c r="C1821" s="108">
        <v>0</v>
      </c>
      <c r="D1821" s="110"/>
      <c r="E1821" t="str">
        <f>VLOOKUP(B1821,CAC!$A$2:$B$198,2,FALSE)</f>
        <v>PPOIFP</v>
      </c>
    </row>
    <row r="1822" spans="1:5" x14ac:dyDescent="0.25">
      <c r="A1822" s="108">
        <v>201606</v>
      </c>
      <c r="B1822" s="109" t="s">
        <v>331</v>
      </c>
      <c r="C1822" s="108">
        <v>0</v>
      </c>
      <c r="D1822" s="110"/>
      <c r="E1822" t="e">
        <f>VLOOKUP(B1822,CAC!$A$2:$B$198,2,FALSE)</f>
        <v>#N/A</v>
      </c>
    </row>
    <row r="1823" spans="1:5" x14ac:dyDescent="0.25">
      <c r="A1823" s="108">
        <v>201606</v>
      </c>
      <c r="B1823" s="109" t="s">
        <v>216</v>
      </c>
      <c r="C1823" s="108">
        <v>0</v>
      </c>
      <c r="D1823" s="110"/>
      <c r="E1823" t="str">
        <f>VLOOKUP(B1823,CAC!$A$2:$B$198,2,FALSE)</f>
        <v>PPOMM</v>
      </c>
    </row>
    <row r="1824" spans="1:5" x14ac:dyDescent="0.25">
      <c r="A1824" s="108">
        <v>201606</v>
      </c>
      <c r="B1824" s="109" t="s">
        <v>301</v>
      </c>
      <c r="C1824" s="108">
        <v>0</v>
      </c>
      <c r="D1824" s="110"/>
      <c r="E1824" t="str">
        <f>VLOOKUP(B1824,CAC!$A$2:$B$198,2,FALSE)</f>
        <v>XXX</v>
      </c>
    </row>
    <row r="1825" spans="1:5" x14ac:dyDescent="0.25">
      <c r="A1825" s="108">
        <v>201607</v>
      </c>
      <c r="B1825" s="109" t="s">
        <v>51</v>
      </c>
      <c r="C1825" s="108">
        <v>41</v>
      </c>
      <c r="D1825" s="110"/>
      <c r="E1825" t="str">
        <f>VLOOKUP(B1825,CAC!$A$2:$B$198,2,FALSE)</f>
        <v>XXX</v>
      </c>
    </row>
    <row r="1826" spans="1:5" x14ac:dyDescent="0.25">
      <c r="A1826" s="108">
        <v>201607</v>
      </c>
      <c r="B1826" s="109" t="s">
        <v>303</v>
      </c>
      <c r="C1826" s="108">
        <v>0</v>
      </c>
      <c r="D1826" s="110"/>
      <c r="E1826" t="e">
        <f>VLOOKUP(B1826,CAC!$A$2:$B$198,2,FALSE)</f>
        <v>#N/A</v>
      </c>
    </row>
    <row r="1827" spans="1:5" x14ac:dyDescent="0.25">
      <c r="A1827" s="108">
        <v>201607</v>
      </c>
      <c r="B1827" s="109" t="s">
        <v>304</v>
      </c>
      <c r="C1827" s="108">
        <v>0</v>
      </c>
      <c r="D1827" s="110"/>
      <c r="E1827" t="e">
        <f>VLOOKUP(B1827,CAC!$A$2:$B$198,2,FALSE)</f>
        <v>#N/A</v>
      </c>
    </row>
    <row r="1828" spans="1:5" x14ac:dyDescent="0.25">
      <c r="A1828" s="108">
        <v>201607</v>
      </c>
      <c r="B1828" s="109" t="s">
        <v>323</v>
      </c>
      <c r="C1828" s="108">
        <v>0</v>
      </c>
      <c r="D1828" s="110"/>
      <c r="E1828" t="e">
        <f>VLOOKUP(B1828,CAC!$A$2:$B$198,2,FALSE)</f>
        <v>#N/A</v>
      </c>
    </row>
    <row r="1829" spans="1:5" x14ac:dyDescent="0.25">
      <c r="A1829" s="108">
        <v>201607</v>
      </c>
      <c r="B1829" s="109" t="s">
        <v>305</v>
      </c>
      <c r="C1829" s="108">
        <v>0</v>
      </c>
      <c r="D1829" s="110"/>
      <c r="E1829" t="e">
        <f>VLOOKUP(B1829,CAC!$A$2:$B$198,2,FALSE)</f>
        <v>#N/A</v>
      </c>
    </row>
    <row r="1830" spans="1:5" x14ac:dyDescent="0.25">
      <c r="A1830" s="108">
        <v>201607</v>
      </c>
      <c r="B1830" s="109" t="s">
        <v>324</v>
      </c>
      <c r="C1830" s="108">
        <v>0</v>
      </c>
      <c r="D1830" s="110"/>
      <c r="E1830" t="e">
        <f>VLOOKUP(B1830,CAC!$A$2:$B$198,2,FALSE)</f>
        <v>#N/A</v>
      </c>
    </row>
    <row r="1831" spans="1:5" x14ac:dyDescent="0.25">
      <c r="A1831" s="108">
        <v>201607</v>
      </c>
      <c r="B1831" s="109" t="s">
        <v>327</v>
      </c>
      <c r="C1831" s="108">
        <v>0</v>
      </c>
      <c r="D1831" s="110"/>
      <c r="E1831" t="e">
        <f>VLOOKUP(B1831,CAC!$A$2:$B$198,2,FALSE)</f>
        <v>#N/A</v>
      </c>
    </row>
    <row r="1832" spans="1:5" x14ac:dyDescent="0.25">
      <c r="A1832" s="108">
        <v>201607</v>
      </c>
      <c r="B1832" s="109" t="s">
        <v>318</v>
      </c>
      <c r="C1832" s="108">
        <v>0</v>
      </c>
      <c r="D1832" s="110"/>
      <c r="E1832" t="e">
        <f>VLOOKUP(B1832,CAC!$A$2:$B$198,2,FALSE)</f>
        <v>#N/A</v>
      </c>
    </row>
    <row r="1833" spans="1:5" x14ac:dyDescent="0.25">
      <c r="A1833" s="108">
        <v>201607</v>
      </c>
      <c r="B1833" s="109" t="s">
        <v>326</v>
      </c>
      <c r="C1833" s="108">
        <v>0</v>
      </c>
      <c r="D1833" s="110"/>
      <c r="E1833" t="e">
        <f>VLOOKUP(B1833,CAC!$A$2:$B$198,2,FALSE)</f>
        <v>#N/A</v>
      </c>
    </row>
    <row r="1834" spans="1:5" x14ac:dyDescent="0.25">
      <c r="A1834" s="108">
        <v>201607</v>
      </c>
      <c r="B1834" s="109" t="s">
        <v>231</v>
      </c>
      <c r="C1834" s="108">
        <v>0</v>
      </c>
      <c r="D1834" s="110"/>
      <c r="E1834" t="str">
        <f>VLOOKUP(B1834,CAC!$A$2:$B$198,2,FALSE)</f>
        <v>DOILG</v>
      </c>
    </row>
    <row r="1835" spans="1:5" x14ac:dyDescent="0.25">
      <c r="A1835" s="108">
        <v>201607</v>
      </c>
      <c r="B1835" s="109" t="s">
        <v>233</v>
      </c>
      <c r="C1835" s="108">
        <v>0</v>
      </c>
      <c r="D1835" s="110"/>
      <c r="E1835" t="str">
        <f>VLOOKUP(B1835,CAC!$A$2:$B$198,2,FALSE)</f>
        <v>DOILG</v>
      </c>
    </row>
    <row r="1836" spans="1:5" x14ac:dyDescent="0.25">
      <c r="A1836" s="108">
        <v>201607</v>
      </c>
      <c r="B1836" s="109" t="s">
        <v>235</v>
      </c>
      <c r="C1836" s="108">
        <v>0</v>
      </c>
      <c r="D1836" s="110"/>
      <c r="E1836" t="str">
        <f>VLOOKUP(B1836,CAC!$A$2:$B$198,2,FALSE)</f>
        <v>DOILG</v>
      </c>
    </row>
    <row r="1837" spans="1:5" x14ac:dyDescent="0.25">
      <c r="A1837" s="108">
        <v>201607</v>
      </c>
      <c r="B1837" s="109" t="s">
        <v>237</v>
      </c>
      <c r="C1837" s="108">
        <v>0</v>
      </c>
      <c r="D1837" s="110"/>
      <c r="E1837" t="str">
        <f>VLOOKUP(B1837,CAC!$A$2:$B$198,2,FALSE)</f>
        <v>DOILG</v>
      </c>
    </row>
    <row r="1838" spans="1:5" x14ac:dyDescent="0.25">
      <c r="A1838" s="108">
        <v>201607</v>
      </c>
      <c r="B1838" s="109" t="s">
        <v>247</v>
      </c>
      <c r="C1838" s="108">
        <v>0</v>
      </c>
      <c r="D1838" s="110"/>
      <c r="E1838" t="str">
        <f>VLOOKUP(B1838,CAC!$A$2:$B$198,2,FALSE)</f>
        <v>DOIIFP</v>
      </c>
    </row>
    <row r="1839" spans="1:5" x14ac:dyDescent="0.25">
      <c r="A1839" s="108">
        <v>201607</v>
      </c>
      <c r="B1839" s="109" t="s">
        <v>238</v>
      </c>
      <c r="C1839" s="108">
        <v>0</v>
      </c>
      <c r="D1839" s="110"/>
      <c r="E1839" t="str">
        <f>VLOOKUP(B1839,CAC!$A$2:$B$198,2,FALSE)</f>
        <v>DOILG</v>
      </c>
    </row>
    <row r="1840" spans="1:5" x14ac:dyDescent="0.25">
      <c r="A1840" s="108">
        <v>201607</v>
      </c>
      <c r="B1840" s="109" t="s">
        <v>248</v>
      </c>
      <c r="C1840" s="108">
        <v>0</v>
      </c>
      <c r="D1840" s="110"/>
      <c r="E1840" t="str">
        <f>VLOOKUP(B1840,CAC!$A$2:$B$198,2,FALSE)</f>
        <v>DOIIFP</v>
      </c>
    </row>
    <row r="1841" spans="1:5" x14ac:dyDescent="0.25">
      <c r="A1841" s="108">
        <v>201607</v>
      </c>
      <c r="B1841" s="109" t="s">
        <v>328</v>
      </c>
      <c r="C1841" s="108">
        <v>0</v>
      </c>
      <c r="D1841" s="110"/>
      <c r="E1841" t="e">
        <f>VLOOKUP(B1841,CAC!$A$2:$B$198,2,FALSE)</f>
        <v>#N/A</v>
      </c>
    </row>
    <row r="1842" spans="1:5" x14ac:dyDescent="0.25">
      <c r="A1842" s="108">
        <v>201607</v>
      </c>
      <c r="B1842" s="109" t="s">
        <v>253</v>
      </c>
      <c r="C1842" s="108">
        <v>0</v>
      </c>
      <c r="D1842" s="110"/>
      <c r="E1842" t="str">
        <f>VLOOKUP(B1842,CAC!$A$2:$B$198,2,FALSE)</f>
        <v>AGDMHC</v>
      </c>
    </row>
    <row r="1843" spans="1:5" x14ac:dyDescent="0.25">
      <c r="A1843" s="108">
        <v>201607</v>
      </c>
      <c r="B1843" s="109" t="s">
        <v>325</v>
      </c>
      <c r="C1843" s="108">
        <v>0</v>
      </c>
      <c r="D1843" s="110"/>
      <c r="E1843" t="e">
        <f>VLOOKUP(B1843,CAC!$A$2:$B$198,2,FALSE)</f>
        <v>#N/A</v>
      </c>
    </row>
    <row r="1844" spans="1:5" x14ac:dyDescent="0.25">
      <c r="A1844" s="108">
        <v>201607</v>
      </c>
      <c r="B1844" s="109" t="s">
        <v>255</v>
      </c>
      <c r="C1844" s="108">
        <v>0</v>
      </c>
      <c r="D1844" s="110"/>
      <c r="E1844" t="str">
        <f>VLOOKUP(B1844,CAC!$A$2:$B$198,2,FALSE)</f>
        <v>AGDMHC</v>
      </c>
    </row>
    <row r="1845" spans="1:5" x14ac:dyDescent="0.25">
      <c r="A1845" s="108">
        <v>201607</v>
      </c>
      <c r="B1845" s="109" t="s">
        <v>256</v>
      </c>
      <c r="C1845" s="108">
        <v>0</v>
      </c>
      <c r="D1845" s="110"/>
      <c r="E1845" t="str">
        <f>VLOOKUP(B1845,CAC!$A$2:$B$198,2,FALSE)</f>
        <v>AGDMHC</v>
      </c>
    </row>
    <row r="1846" spans="1:5" x14ac:dyDescent="0.25">
      <c r="A1846" s="108">
        <v>201607</v>
      </c>
      <c r="B1846" s="109" t="s">
        <v>257</v>
      </c>
      <c r="C1846" s="108">
        <v>0</v>
      </c>
      <c r="D1846" s="110"/>
      <c r="E1846" t="str">
        <f>VLOOKUP(B1846,CAC!$A$2:$B$198,2,FALSE)</f>
        <v>AGDMHC</v>
      </c>
    </row>
    <row r="1847" spans="1:5" x14ac:dyDescent="0.25">
      <c r="A1847" s="108">
        <v>201607</v>
      </c>
      <c r="B1847" s="109" t="s">
        <v>258</v>
      </c>
      <c r="C1847" s="108">
        <v>0</v>
      </c>
      <c r="D1847" s="110"/>
      <c r="E1847" t="str">
        <f>VLOOKUP(B1847,CAC!$A$2:$B$198,2,FALSE)</f>
        <v>AGDMHC</v>
      </c>
    </row>
    <row r="1848" spans="1:5" x14ac:dyDescent="0.25">
      <c r="A1848" s="108">
        <v>201607</v>
      </c>
      <c r="B1848" s="109" t="s">
        <v>329</v>
      </c>
      <c r="C1848" s="108">
        <v>0</v>
      </c>
      <c r="D1848" s="110"/>
      <c r="E1848" t="e">
        <f>VLOOKUP(B1848,CAC!$A$2:$B$198,2,FALSE)</f>
        <v>#N/A</v>
      </c>
    </row>
    <row r="1849" spans="1:5" x14ac:dyDescent="0.25">
      <c r="A1849" s="108">
        <v>201607</v>
      </c>
      <c r="B1849" s="109" t="s">
        <v>262</v>
      </c>
      <c r="C1849" s="108">
        <v>0</v>
      </c>
      <c r="D1849" s="110"/>
      <c r="E1849" t="str">
        <f>VLOOKUP(B1849,CAC!$A$2:$B$198,2,FALSE)</f>
        <v>AGDMHC</v>
      </c>
    </row>
    <row r="1850" spans="1:5" x14ac:dyDescent="0.25">
      <c r="A1850" s="108">
        <v>201607</v>
      </c>
      <c r="B1850" s="109" t="s">
        <v>264</v>
      </c>
      <c r="C1850" s="108">
        <v>0</v>
      </c>
      <c r="D1850" s="110"/>
      <c r="E1850" t="str">
        <f>VLOOKUP(B1850,CAC!$A$2:$B$198,2,FALSE)</f>
        <v>AGDMHC</v>
      </c>
    </row>
    <row r="1851" spans="1:5" x14ac:dyDescent="0.25">
      <c r="A1851" s="108">
        <v>201607</v>
      </c>
      <c r="B1851" s="109" t="s">
        <v>269</v>
      </c>
      <c r="C1851" s="108">
        <v>0</v>
      </c>
      <c r="D1851" s="110"/>
      <c r="E1851" t="str">
        <f>VLOOKUP(B1851,CAC!$A$2:$B$198,2,FALSE)</f>
        <v>AGDMHC</v>
      </c>
    </row>
    <row r="1852" spans="1:5" x14ac:dyDescent="0.25">
      <c r="A1852" s="108">
        <v>201607</v>
      </c>
      <c r="B1852" s="109" t="s">
        <v>319</v>
      </c>
      <c r="C1852" s="108">
        <v>0</v>
      </c>
      <c r="D1852" s="110"/>
      <c r="E1852" t="e">
        <f>VLOOKUP(B1852,CAC!$A$2:$B$198,2,FALSE)</f>
        <v>#N/A</v>
      </c>
    </row>
    <row r="1853" spans="1:5" x14ac:dyDescent="0.25">
      <c r="A1853" s="108">
        <v>201607</v>
      </c>
      <c r="B1853" s="109" t="s">
        <v>266</v>
      </c>
      <c r="C1853" s="108">
        <v>0</v>
      </c>
      <c r="D1853" s="110"/>
      <c r="E1853" t="str">
        <f>VLOOKUP(B1853,CAC!$A$2:$B$198,2,FALSE)</f>
        <v>AGDMHC</v>
      </c>
    </row>
    <row r="1854" spans="1:5" x14ac:dyDescent="0.25">
      <c r="A1854" s="108">
        <v>201607</v>
      </c>
      <c r="B1854" s="109" t="s">
        <v>267</v>
      </c>
      <c r="C1854" s="108">
        <v>0</v>
      </c>
      <c r="D1854" s="110"/>
      <c r="E1854" t="str">
        <f>VLOOKUP(B1854,CAC!$A$2:$B$198,2,FALSE)</f>
        <v>AGDMHC</v>
      </c>
    </row>
    <row r="1855" spans="1:5" x14ac:dyDescent="0.25">
      <c r="A1855" s="108">
        <v>201607</v>
      </c>
      <c r="B1855" s="109" t="s">
        <v>268</v>
      </c>
      <c r="C1855" s="108">
        <v>0</v>
      </c>
      <c r="D1855" s="110"/>
      <c r="E1855" t="str">
        <f>VLOOKUP(B1855,CAC!$A$2:$B$198,2,FALSE)</f>
        <v>AGDMHC</v>
      </c>
    </row>
    <row r="1856" spans="1:5" x14ac:dyDescent="0.25">
      <c r="A1856" s="108">
        <v>201607</v>
      </c>
      <c r="B1856" s="109" t="s">
        <v>52</v>
      </c>
      <c r="C1856" s="108">
        <v>15722</v>
      </c>
      <c r="D1856" s="110"/>
      <c r="E1856" t="str">
        <f>VLOOKUP(B1856,CAC!$A$2:$B$198,2,FALSE)</f>
        <v>HMOPMR</v>
      </c>
    </row>
    <row r="1857" spans="1:5" x14ac:dyDescent="0.25">
      <c r="A1857" s="108">
        <v>201607</v>
      </c>
      <c r="B1857" s="109" t="s">
        <v>53</v>
      </c>
      <c r="C1857" s="108">
        <v>4764</v>
      </c>
      <c r="D1857" s="110"/>
      <c r="E1857" t="str">
        <f>VLOOKUP(B1857,CAC!$A$2:$B$198,2,FALSE)</f>
        <v>HMOPMR</v>
      </c>
    </row>
    <row r="1858" spans="1:5" x14ac:dyDescent="0.25">
      <c r="A1858" s="108">
        <v>201607</v>
      </c>
      <c r="B1858" s="109" t="s">
        <v>54</v>
      </c>
      <c r="C1858" s="108">
        <v>6111</v>
      </c>
      <c r="D1858" s="110"/>
      <c r="E1858" t="str">
        <f>VLOOKUP(B1858,CAC!$A$2:$B$198,2,FALSE)</f>
        <v>HMOFEP</v>
      </c>
    </row>
    <row r="1859" spans="1:5" x14ac:dyDescent="0.25">
      <c r="A1859" s="108">
        <v>201607</v>
      </c>
      <c r="B1859" s="109" t="s">
        <v>279</v>
      </c>
      <c r="C1859" s="108">
        <v>0</v>
      </c>
      <c r="D1859" s="110"/>
      <c r="E1859" t="str">
        <f>VLOOKUP(B1859,CAC!$A$2:$B$198,2,FALSE)</f>
        <v>PPOFEP</v>
      </c>
    </row>
    <row r="1860" spans="1:5" x14ac:dyDescent="0.25">
      <c r="A1860" s="108">
        <v>201607</v>
      </c>
      <c r="B1860" s="109" t="s">
        <v>202</v>
      </c>
      <c r="C1860" s="108">
        <v>0</v>
      </c>
      <c r="D1860" s="110"/>
      <c r="E1860" t="str">
        <f>VLOOKUP(B1860,CAC!$A$2:$B$198,2,FALSE)</f>
        <v>PPOPMR</v>
      </c>
    </row>
    <row r="1861" spans="1:5" x14ac:dyDescent="0.25">
      <c r="A1861" s="108">
        <v>201607</v>
      </c>
      <c r="B1861" s="109" t="s">
        <v>55</v>
      </c>
      <c r="C1861" s="108">
        <v>14757</v>
      </c>
      <c r="D1861" s="110"/>
      <c r="E1861" t="str">
        <f>VLOOKUP(B1861,CAC!$A$2:$B$198,2,FALSE)</f>
        <v>HMOPMR</v>
      </c>
    </row>
    <row r="1862" spans="1:5" x14ac:dyDescent="0.25">
      <c r="A1862" s="108">
        <v>201607</v>
      </c>
      <c r="B1862" s="109" t="s">
        <v>56</v>
      </c>
      <c r="C1862" s="108">
        <v>121</v>
      </c>
      <c r="D1862" s="110"/>
      <c r="E1862" t="str">
        <f>VLOOKUP(B1862,CAC!$A$2:$B$198,2,FALSE)</f>
        <v>HMOPMR</v>
      </c>
    </row>
    <row r="1863" spans="1:5" x14ac:dyDescent="0.25">
      <c r="A1863" s="108">
        <v>201607</v>
      </c>
      <c r="B1863" s="109" t="s">
        <v>83</v>
      </c>
      <c r="C1863" s="108">
        <v>1978</v>
      </c>
      <c r="D1863" s="110"/>
      <c r="E1863" t="str">
        <f>VLOOKUP(B1863,CAC!$A$2:$B$198,2,FALSE)</f>
        <v>HMOPMR</v>
      </c>
    </row>
    <row r="1864" spans="1:5" x14ac:dyDescent="0.25">
      <c r="A1864" s="108">
        <v>201607</v>
      </c>
      <c r="B1864" s="109" t="s">
        <v>57</v>
      </c>
      <c r="C1864" s="108">
        <v>7072</v>
      </c>
      <c r="D1864" s="110"/>
      <c r="E1864" t="str">
        <f>VLOOKUP(B1864,CAC!$A$2:$B$198,2,FALSE)</f>
        <v>HMFLEX</v>
      </c>
    </row>
    <row r="1865" spans="1:5" x14ac:dyDescent="0.25">
      <c r="A1865" s="108">
        <v>201607</v>
      </c>
      <c r="B1865" s="109" t="s">
        <v>58</v>
      </c>
      <c r="C1865" s="108">
        <v>351</v>
      </c>
      <c r="D1865" s="110"/>
      <c r="E1865" t="str">
        <f>VLOOKUP(B1865,CAC!$A$2:$B$198,2,FALSE)</f>
        <v>HMFLEX</v>
      </c>
    </row>
    <row r="1866" spans="1:5" x14ac:dyDescent="0.25">
      <c r="A1866" s="108">
        <v>201607</v>
      </c>
      <c r="B1866" s="109" t="s">
        <v>306</v>
      </c>
      <c r="C1866" s="108">
        <v>0</v>
      </c>
      <c r="D1866" s="110"/>
      <c r="E1866" t="e">
        <f>VLOOKUP(B1866,CAC!$A$2:$B$198,2,FALSE)</f>
        <v>#N/A</v>
      </c>
    </row>
    <row r="1867" spans="1:5" x14ac:dyDescent="0.25">
      <c r="A1867" s="108">
        <v>201607</v>
      </c>
      <c r="B1867" s="109" t="s">
        <v>283</v>
      </c>
      <c r="C1867" s="108">
        <v>0</v>
      </c>
      <c r="D1867" s="110"/>
      <c r="E1867" t="str">
        <f>VLOOKUP(B1867,CAC!$A$2:$B$198,2,FALSE)</f>
        <v>HMFLEX</v>
      </c>
    </row>
    <row r="1868" spans="1:5" x14ac:dyDescent="0.25">
      <c r="A1868" s="108">
        <v>201607</v>
      </c>
      <c r="B1868" s="109" t="s">
        <v>205</v>
      </c>
      <c r="C1868" s="108">
        <v>0</v>
      </c>
      <c r="D1868" s="110"/>
      <c r="E1868" t="str">
        <f>VLOOKUP(B1868,CAC!$A$2:$B$198,2,FALSE)</f>
        <v>PPOPMR</v>
      </c>
    </row>
    <row r="1869" spans="1:5" x14ac:dyDescent="0.25">
      <c r="A1869" s="108">
        <v>201607</v>
      </c>
      <c r="B1869" s="109" t="s">
        <v>286</v>
      </c>
      <c r="C1869" s="108">
        <v>0</v>
      </c>
      <c r="D1869" s="110"/>
      <c r="E1869" t="str">
        <f>VLOOKUP(B1869,CAC!$A$2:$B$198,2,FALSE)</f>
        <v>HMFLEX</v>
      </c>
    </row>
    <row r="1870" spans="1:5" x14ac:dyDescent="0.25">
      <c r="A1870" s="108">
        <v>201607</v>
      </c>
      <c r="B1870" s="109" t="s">
        <v>60</v>
      </c>
      <c r="C1870" s="108">
        <v>13402</v>
      </c>
      <c r="D1870" s="110"/>
      <c r="E1870" t="str">
        <f>VLOOKUP(B1870,CAC!$A$2:$B$198,2,FALSE)</f>
        <v>HMOLG</v>
      </c>
    </row>
    <row r="1871" spans="1:5" x14ac:dyDescent="0.25">
      <c r="A1871" s="108">
        <v>201607</v>
      </c>
      <c r="B1871" s="109" t="s">
        <v>61</v>
      </c>
      <c r="C1871" s="108">
        <v>692</v>
      </c>
      <c r="D1871" s="110"/>
      <c r="E1871" t="str">
        <f>VLOOKUP(B1871,CAC!$A$2:$B$198,2,FALSE)</f>
        <v>HMOLG</v>
      </c>
    </row>
    <row r="1872" spans="1:5" x14ac:dyDescent="0.25">
      <c r="A1872" s="108">
        <v>201607</v>
      </c>
      <c r="B1872" s="109" t="s">
        <v>62</v>
      </c>
      <c r="C1872" s="108">
        <v>23010</v>
      </c>
      <c r="D1872" s="110"/>
      <c r="E1872" t="str">
        <f>VLOOKUP(B1872,CAC!$A$2:$B$198,2,FALSE)</f>
        <v>HMOLG</v>
      </c>
    </row>
    <row r="1873" spans="1:5" x14ac:dyDescent="0.25">
      <c r="A1873" s="108">
        <v>201607</v>
      </c>
      <c r="B1873" s="109" t="s">
        <v>86</v>
      </c>
      <c r="C1873" s="108">
        <v>304</v>
      </c>
      <c r="D1873" s="110"/>
      <c r="E1873" t="str">
        <f>VLOOKUP(B1873,CAC!$A$2:$B$198,2,FALSE)</f>
        <v>HMOLG</v>
      </c>
    </row>
    <row r="1874" spans="1:5" x14ac:dyDescent="0.25">
      <c r="A1874" s="108">
        <v>201607</v>
      </c>
      <c r="B1874" s="109" t="s">
        <v>63</v>
      </c>
      <c r="C1874" s="108">
        <v>101</v>
      </c>
      <c r="D1874" s="110"/>
      <c r="E1874" t="str">
        <f>VLOOKUP(B1874,CAC!$A$2:$B$198,2,FALSE)</f>
        <v>HMOLG</v>
      </c>
    </row>
    <row r="1875" spans="1:5" x14ac:dyDescent="0.25">
      <c r="A1875" s="108">
        <v>201607</v>
      </c>
      <c r="B1875" s="109" t="s">
        <v>64</v>
      </c>
      <c r="C1875" s="108">
        <v>0</v>
      </c>
      <c r="D1875" s="110"/>
      <c r="E1875" t="str">
        <f>VLOOKUP(B1875,CAC!$A$2:$B$198,2,FALSE)</f>
        <v>HMOLG</v>
      </c>
    </row>
    <row r="1876" spans="1:5" x14ac:dyDescent="0.25">
      <c r="A1876" s="108">
        <v>201607</v>
      </c>
      <c r="B1876" s="109" t="s">
        <v>65</v>
      </c>
      <c r="C1876" s="108">
        <v>207</v>
      </c>
      <c r="D1876" s="110"/>
      <c r="E1876" t="str">
        <f>VLOOKUP(B1876,CAC!$A$2:$B$198,2,FALSE)</f>
        <v>HMFLEX</v>
      </c>
    </row>
    <row r="1877" spans="1:5" x14ac:dyDescent="0.25">
      <c r="A1877" s="108">
        <v>201607</v>
      </c>
      <c r="B1877" s="109" t="s">
        <v>307</v>
      </c>
      <c r="C1877" s="108">
        <v>0</v>
      </c>
      <c r="D1877" s="110"/>
      <c r="E1877" t="e">
        <f>VLOOKUP(B1877,CAC!$A$2:$B$198,2,FALSE)</f>
        <v>#N/A</v>
      </c>
    </row>
    <row r="1878" spans="1:5" x14ac:dyDescent="0.25">
      <c r="A1878" s="108">
        <v>201607</v>
      </c>
      <c r="B1878" s="109" t="s">
        <v>308</v>
      </c>
      <c r="C1878" s="108">
        <v>0</v>
      </c>
      <c r="D1878" s="110"/>
      <c r="E1878" t="e">
        <f>VLOOKUP(B1878,CAC!$A$2:$B$198,2,FALSE)</f>
        <v>#N/A</v>
      </c>
    </row>
    <row r="1879" spans="1:5" x14ac:dyDescent="0.25">
      <c r="A1879" s="108">
        <v>201607</v>
      </c>
      <c r="B1879" s="109" t="s">
        <v>309</v>
      </c>
      <c r="C1879" s="108">
        <v>0</v>
      </c>
      <c r="D1879" s="110"/>
      <c r="E1879" t="e">
        <f>VLOOKUP(B1879,CAC!$A$2:$B$198,2,FALSE)</f>
        <v>#N/A</v>
      </c>
    </row>
    <row r="1880" spans="1:5" x14ac:dyDescent="0.25">
      <c r="A1880" s="108">
        <v>201607</v>
      </c>
      <c r="B1880" s="109" t="s">
        <v>99</v>
      </c>
      <c r="C1880" s="108">
        <v>0</v>
      </c>
      <c r="D1880" s="110"/>
      <c r="E1880" t="str">
        <f>VLOOKUP(B1880,CAC!$A$2:$B$198,2,FALSE)</f>
        <v>PPOLG</v>
      </c>
    </row>
    <row r="1881" spans="1:5" x14ac:dyDescent="0.25">
      <c r="A1881" s="108">
        <v>201607</v>
      </c>
      <c r="B1881" s="109" t="s">
        <v>193</v>
      </c>
      <c r="C1881" s="108">
        <v>0</v>
      </c>
      <c r="D1881" s="110"/>
      <c r="E1881" t="str">
        <f>VLOOKUP(B1881,CAC!$A$2:$B$198,2,FALSE)</f>
        <v>PPOLG</v>
      </c>
    </row>
    <row r="1882" spans="1:5" x14ac:dyDescent="0.25">
      <c r="A1882" s="108">
        <v>201607</v>
      </c>
      <c r="B1882" s="109" t="s">
        <v>196</v>
      </c>
      <c r="C1882" s="108">
        <v>0</v>
      </c>
      <c r="D1882" s="110"/>
      <c r="E1882" t="str">
        <f>VLOOKUP(B1882,CAC!$A$2:$B$198,2,FALSE)</f>
        <v>PPOLG</v>
      </c>
    </row>
    <row r="1883" spans="1:5" x14ac:dyDescent="0.25">
      <c r="A1883" s="108">
        <v>201607</v>
      </c>
      <c r="B1883" s="109" t="s">
        <v>212</v>
      </c>
      <c r="C1883" s="108">
        <v>0</v>
      </c>
      <c r="D1883" s="110"/>
      <c r="E1883" t="str">
        <f>VLOOKUP(B1883,CAC!$A$2:$B$198,2,FALSE)</f>
        <v>PPOMM</v>
      </c>
    </row>
    <row r="1884" spans="1:5" x14ac:dyDescent="0.25">
      <c r="A1884" s="108">
        <v>201607</v>
      </c>
      <c r="B1884" s="109" t="s">
        <v>213</v>
      </c>
      <c r="C1884" s="108">
        <v>0</v>
      </c>
      <c r="D1884" s="110"/>
      <c r="E1884" t="str">
        <f>VLOOKUP(B1884,CAC!$A$2:$B$198,2,FALSE)</f>
        <v>PPOMM</v>
      </c>
    </row>
    <row r="1885" spans="1:5" x14ac:dyDescent="0.25">
      <c r="A1885" s="108">
        <v>201607</v>
      </c>
      <c r="B1885" s="109" t="s">
        <v>311</v>
      </c>
      <c r="C1885" s="108">
        <v>0</v>
      </c>
      <c r="D1885" s="110"/>
      <c r="E1885" t="e">
        <f>VLOOKUP(B1885,CAC!$A$2:$B$198,2,FALSE)</f>
        <v>#N/A</v>
      </c>
    </row>
    <row r="1886" spans="1:5" x14ac:dyDescent="0.25">
      <c r="A1886" s="108">
        <v>201607</v>
      </c>
      <c r="B1886" s="109" t="s">
        <v>320</v>
      </c>
      <c r="C1886" s="108">
        <v>0</v>
      </c>
      <c r="D1886" s="110"/>
      <c r="E1886" t="e">
        <f>VLOOKUP(B1886,CAC!$A$2:$B$198,2,FALSE)</f>
        <v>#N/A</v>
      </c>
    </row>
    <row r="1887" spans="1:5" x14ac:dyDescent="0.25">
      <c r="A1887" s="108">
        <v>201607</v>
      </c>
      <c r="B1887" s="109" t="s">
        <v>321</v>
      </c>
      <c r="C1887" s="108">
        <v>0</v>
      </c>
      <c r="D1887" s="110"/>
      <c r="E1887" t="e">
        <f>VLOOKUP(B1887,CAC!$A$2:$B$198,2,FALSE)</f>
        <v>#N/A</v>
      </c>
    </row>
    <row r="1888" spans="1:5" x14ac:dyDescent="0.25">
      <c r="A1888" s="108">
        <v>201607</v>
      </c>
      <c r="B1888" s="109" t="s">
        <v>312</v>
      </c>
      <c r="C1888" s="108">
        <v>0</v>
      </c>
      <c r="D1888" s="110"/>
      <c r="E1888" t="e">
        <f>VLOOKUP(B1888,CAC!$A$2:$B$198,2,FALSE)</f>
        <v>#N/A</v>
      </c>
    </row>
    <row r="1889" spans="1:5" x14ac:dyDescent="0.25">
      <c r="A1889" s="108">
        <v>201607</v>
      </c>
      <c r="B1889" s="109" t="s">
        <v>215</v>
      </c>
      <c r="C1889" s="108">
        <v>0</v>
      </c>
      <c r="D1889" s="110"/>
      <c r="E1889" t="str">
        <f>VLOOKUP(B1889,CAC!$A$2:$B$198,2,FALSE)</f>
        <v>PPOMM</v>
      </c>
    </row>
    <row r="1890" spans="1:5" x14ac:dyDescent="0.25">
      <c r="A1890" s="108">
        <v>201607</v>
      </c>
      <c r="B1890" s="109" t="s">
        <v>66</v>
      </c>
      <c r="C1890" s="108">
        <v>4199</v>
      </c>
      <c r="D1890" s="110"/>
      <c r="E1890" t="str">
        <f>VLOOKUP(B1890,CAC!$A$2:$B$198,2,FALSE)</f>
        <v>HMOLG</v>
      </c>
    </row>
    <row r="1891" spans="1:5" x14ac:dyDescent="0.25">
      <c r="A1891" s="108">
        <v>201607</v>
      </c>
      <c r="B1891" s="109" t="s">
        <v>82</v>
      </c>
      <c r="C1891" s="108">
        <v>2</v>
      </c>
      <c r="D1891" s="110"/>
      <c r="E1891" t="str">
        <f>VLOOKUP(B1891,CAC!$A$2:$B$198,2,FALSE)</f>
        <v>NATPAR</v>
      </c>
    </row>
    <row r="1892" spans="1:5" x14ac:dyDescent="0.25">
      <c r="A1892" s="108">
        <v>201607</v>
      </c>
      <c r="B1892" s="109" t="s">
        <v>67</v>
      </c>
      <c r="C1892" s="108">
        <v>149</v>
      </c>
      <c r="D1892" s="110"/>
      <c r="E1892" t="str">
        <f>VLOOKUP(B1892,CAC!$A$2:$B$198,2,FALSE)</f>
        <v>HMOLG</v>
      </c>
    </row>
    <row r="1893" spans="1:5" x14ac:dyDescent="0.25">
      <c r="A1893" s="108">
        <v>201607</v>
      </c>
      <c r="B1893" s="109" t="s">
        <v>68</v>
      </c>
      <c r="C1893" s="108">
        <v>287</v>
      </c>
      <c r="D1893" s="110"/>
      <c r="E1893" t="str">
        <f>VLOOKUP(B1893,CAC!$A$2:$B$198,2,FALSE)</f>
        <v>HMOPMR</v>
      </c>
    </row>
    <row r="1894" spans="1:5" x14ac:dyDescent="0.25">
      <c r="A1894" s="108">
        <v>201607</v>
      </c>
      <c r="B1894" s="109" t="s">
        <v>69</v>
      </c>
      <c r="C1894" s="108">
        <v>9475</v>
      </c>
      <c r="D1894" s="110"/>
      <c r="E1894" t="str">
        <f>VLOOKUP(B1894,CAC!$A$2:$B$198,2,FALSE)</f>
        <v>HMOPMR</v>
      </c>
    </row>
    <row r="1895" spans="1:5" x14ac:dyDescent="0.25">
      <c r="A1895" s="108">
        <v>201607</v>
      </c>
      <c r="B1895" s="109" t="s">
        <v>70</v>
      </c>
      <c r="C1895" s="108">
        <v>4080</v>
      </c>
      <c r="D1895" s="110"/>
      <c r="E1895" t="str">
        <f>VLOOKUP(B1895,CAC!$A$2:$B$198,2,FALSE)</f>
        <v>HMOPMR</v>
      </c>
    </row>
    <row r="1896" spans="1:5" x14ac:dyDescent="0.25">
      <c r="A1896" s="108">
        <v>201607</v>
      </c>
      <c r="B1896" s="109" t="s">
        <v>71</v>
      </c>
      <c r="C1896" s="108">
        <v>6841</v>
      </c>
      <c r="D1896" s="110"/>
      <c r="E1896" t="str">
        <f>VLOOKUP(B1896,CAC!$A$2:$B$198,2,FALSE)</f>
        <v>HMOPMR</v>
      </c>
    </row>
    <row r="1897" spans="1:5" x14ac:dyDescent="0.25">
      <c r="A1897" s="108">
        <v>201607</v>
      </c>
      <c r="B1897" s="109" t="s">
        <v>72</v>
      </c>
      <c r="C1897" s="108">
        <v>2240</v>
      </c>
      <c r="D1897" s="110"/>
      <c r="E1897" t="str">
        <f>VLOOKUP(B1897,CAC!$A$2:$B$198,2,FALSE)</f>
        <v>HMFLEX</v>
      </c>
    </row>
    <row r="1898" spans="1:5" x14ac:dyDescent="0.25">
      <c r="A1898" s="108">
        <v>201607</v>
      </c>
      <c r="B1898" s="109" t="s">
        <v>314</v>
      </c>
      <c r="C1898" s="108">
        <v>0</v>
      </c>
      <c r="D1898" s="110"/>
      <c r="E1898" t="e">
        <f>VLOOKUP(B1898,CAC!$A$2:$B$198,2,FALSE)</f>
        <v>#N/A</v>
      </c>
    </row>
    <row r="1899" spans="1:5" x14ac:dyDescent="0.25">
      <c r="A1899" s="108">
        <v>201607</v>
      </c>
      <c r="B1899" s="109" t="s">
        <v>322</v>
      </c>
      <c r="C1899" s="108">
        <v>0</v>
      </c>
      <c r="D1899" s="110"/>
      <c r="E1899" t="e">
        <f>VLOOKUP(B1899,CAC!$A$2:$B$198,2,FALSE)</f>
        <v>#N/A</v>
      </c>
    </row>
    <row r="1900" spans="1:5" x14ac:dyDescent="0.25">
      <c r="A1900" s="108">
        <v>201607</v>
      </c>
      <c r="B1900" s="109" t="s">
        <v>315</v>
      </c>
      <c r="C1900" s="108">
        <v>0</v>
      </c>
      <c r="D1900" s="110"/>
      <c r="E1900" t="e">
        <f>VLOOKUP(B1900,CAC!$A$2:$B$198,2,FALSE)</f>
        <v>#N/A</v>
      </c>
    </row>
    <row r="1901" spans="1:5" x14ac:dyDescent="0.25">
      <c r="A1901" s="108">
        <v>201607</v>
      </c>
      <c r="B1901" s="109" t="s">
        <v>112</v>
      </c>
      <c r="C1901" s="108">
        <v>0</v>
      </c>
      <c r="D1901" s="110"/>
      <c r="E1901" t="e">
        <f>VLOOKUP(B1901,CAC!$A$2:$B$198,2,FALSE)</f>
        <v>#N/A</v>
      </c>
    </row>
    <row r="1902" spans="1:5" x14ac:dyDescent="0.25">
      <c r="A1902" s="108">
        <v>201607</v>
      </c>
      <c r="B1902" s="109" t="s">
        <v>316</v>
      </c>
      <c r="C1902" s="108">
        <v>0</v>
      </c>
      <c r="D1902" s="110"/>
      <c r="E1902" t="e">
        <f>VLOOKUP(B1902,CAC!$A$2:$B$198,2,FALSE)</f>
        <v>#N/A</v>
      </c>
    </row>
    <row r="1903" spans="1:5" x14ac:dyDescent="0.25">
      <c r="A1903" s="108">
        <v>201607</v>
      </c>
      <c r="B1903" s="109" t="s">
        <v>317</v>
      </c>
      <c r="C1903" s="108">
        <v>0</v>
      </c>
      <c r="D1903" s="110"/>
      <c r="E1903" t="e">
        <f>VLOOKUP(B1903,CAC!$A$2:$B$198,2,FALSE)</f>
        <v>#N/A</v>
      </c>
    </row>
    <row r="1904" spans="1:5" x14ac:dyDescent="0.25">
      <c r="A1904" s="108">
        <v>201607</v>
      </c>
      <c r="B1904" s="109" t="s">
        <v>113</v>
      </c>
      <c r="C1904" s="108">
        <v>0</v>
      </c>
      <c r="D1904" s="110"/>
      <c r="E1904" t="str">
        <f>VLOOKUP(B1904,CAC!$A$2:$B$198,2,FALSE)</f>
        <v>PPOLG</v>
      </c>
    </row>
    <row r="1905" spans="1:5" x14ac:dyDescent="0.25">
      <c r="A1905" s="108">
        <v>201607</v>
      </c>
      <c r="B1905" s="109" t="s">
        <v>208</v>
      </c>
      <c r="C1905" s="108">
        <v>0</v>
      </c>
      <c r="D1905" s="110"/>
      <c r="E1905" t="str">
        <f>VLOOKUP(B1905,CAC!$A$2:$B$198,2,FALSE)</f>
        <v>PPOPMR</v>
      </c>
    </row>
    <row r="1906" spans="1:5" x14ac:dyDescent="0.25">
      <c r="A1906" s="108">
        <v>201607</v>
      </c>
      <c r="B1906" s="109" t="s">
        <v>209</v>
      </c>
      <c r="C1906" s="108">
        <v>0</v>
      </c>
      <c r="D1906" s="110"/>
      <c r="E1906" t="str">
        <f>VLOOKUP(B1906,CAC!$A$2:$B$198,2,FALSE)</f>
        <v>PPOPMR</v>
      </c>
    </row>
    <row r="1907" spans="1:5" x14ac:dyDescent="0.25">
      <c r="A1907" s="108">
        <v>201607</v>
      </c>
      <c r="B1907" s="109" t="s">
        <v>204</v>
      </c>
      <c r="C1907" s="108">
        <v>0</v>
      </c>
      <c r="D1907" s="110"/>
      <c r="E1907" t="str">
        <f>VLOOKUP(B1907,CAC!$A$2:$B$198,2,FALSE)</f>
        <v>PPOPMR</v>
      </c>
    </row>
    <row r="1908" spans="1:5" x14ac:dyDescent="0.25">
      <c r="A1908" s="108">
        <v>201607</v>
      </c>
      <c r="B1908" s="109" t="s">
        <v>330</v>
      </c>
      <c r="C1908" s="108">
        <v>0</v>
      </c>
      <c r="D1908" s="110"/>
      <c r="E1908" t="e">
        <f>VLOOKUP(B1908,CAC!$A$2:$B$198,2,FALSE)</f>
        <v>#N/A</v>
      </c>
    </row>
    <row r="1909" spans="1:5" x14ac:dyDescent="0.25">
      <c r="A1909" s="108">
        <v>201607</v>
      </c>
      <c r="B1909" s="109" t="s">
        <v>73</v>
      </c>
      <c r="C1909" s="108">
        <v>32687</v>
      </c>
      <c r="D1909" s="108">
        <v>5465</v>
      </c>
      <c r="E1909" t="str">
        <f>VLOOKUP(B1909,CAC!$A$2:$B$198,2,FALSE)</f>
        <v>HMOPERA</v>
      </c>
    </row>
    <row r="1910" spans="1:5" x14ac:dyDescent="0.25">
      <c r="A1910" s="108">
        <v>201607</v>
      </c>
      <c r="B1910" s="109" t="s">
        <v>75</v>
      </c>
      <c r="C1910" s="108">
        <v>25358</v>
      </c>
      <c r="D1910" s="108">
        <v>11650</v>
      </c>
      <c r="E1910" t="str">
        <f>VLOOKUP(B1910,CAC!$A$2:$B$198,2,FALSE)</f>
        <v>HMOPERN</v>
      </c>
    </row>
    <row r="1911" spans="1:5" x14ac:dyDescent="0.25">
      <c r="A1911" s="108">
        <v>201607</v>
      </c>
      <c r="B1911" s="109" t="s">
        <v>218</v>
      </c>
      <c r="C1911" s="108">
        <v>0</v>
      </c>
      <c r="D1911" s="110"/>
      <c r="E1911" t="str">
        <f>VLOOKUP(B1911,CAC!$A$2:$B$198,2,FALSE)</f>
        <v>HMOPERA</v>
      </c>
    </row>
    <row r="1912" spans="1:5" x14ac:dyDescent="0.25">
      <c r="A1912" s="108">
        <v>201607</v>
      </c>
      <c r="B1912" s="109" t="s">
        <v>156</v>
      </c>
      <c r="C1912" s="108">
        <v>25612</v>
      </c>
      <c r="D1912" s="110"/>
      <c r="E1912" t="str">
        <f>VLOOKUP(B1912,CAC!$A$2:$B$198,2,FALSE)</f>
        <v>HMOMM</v>
      </c>
    </row>
    <row r="1913" spans="1:5" x14ac:dyDescent="0.25">
      <c r="A1913" s="108">
        <v>201607</v>
      </c>
      <c r="B1913" s="109" t="s">
        <v>84</v>
      </c>
      <c r="C1913" s="108">
        <v>6697</v>
      </c>
      <c r="D1913" s="110"/>
      <c r="E1913" t="str">
        <f>VLOOKUP(B1913,CAC!$A$2:$B$198,2,FALSE)</f>
        <v>HMOMM</v>
      </c>
    </row>
    <row r="1914" spans="1:5" x14ac:dyDescent="0.25">
      <c r="A1914" s="108">
        <v>201607</v>
      </c>
      <c r="B1914" s="109" t="s">
        <v>162</v>
      </c>
      <c r="C1914" s="108">
        <v>413</v>
      </c>
      <c r="D1914" s="110"/>
      <c r="E1914" t="str">
        <f>VLOOKUP(B1914,CAC!$A$2:$B$198,2,FALSE)</f>
        <v>HMOMG</v>
      </c>
    </row>
    <row r="1915" spans="1:5" x14ac:dyDescent="0.25">
      <c r="A1915" s="108">
        <v>201607</v>
      </c>
      <c r="B1915" s="109" t="s">
        <v>163</v>
      </c>
      <c r="C1915" s="108">
        <v>107</v>
      </c>
      <c r="D1915" s="110"/>
      <c r="E1915" t="str">
        <f>VLOOKUP(B1915,CAC!$A$2:$B$198,2,FALSE)</f>
        <v>HMOMG</v>
      </c>
    </row>
    <row r="1916" spans="1:5" x14ac:dyDescent="0.25">
      <c r="A1916" s="108">
        <v>201607</v>
      </c>
      <c r="B1916" s="109" t="s">
        <v>165</v>
      </c>
      <c r="C1916" s="108">
        <v>0</v>
      </c>
      <c r="D1916" s="110"/>
      <c r="E1916" t="str">
        <f>VLOOKUP(B1916,CAC!$A$2:$B$198,2,FALSE)</f>
        <v>HMOMG</v>
      </c>
    </row>
    <row r="1917" spans="1:5" x14ac:dyDescent="0.25">
      <c r="A1917" s="108">
        <v>201607</v>
      </c>
      <c r="B1917" s="109" t="s">
        <v>85</v>
      </c>
      <c r="C1917" s="108">
        <v>656</v>
      </c>
      <c r="D1917" s="110"/>
      <c r="E1917" t="str">
        <f>VLOOKUP(B1917,CAC!$A$2:$B$198,2,FALSE)</f>
        <v>HMOMG</v>
      </c>
    </row>
    <row r="1918" spans="1:5" x14ac:dyDescent="0.25">
      <c r="A1918" s="108">
        <v>201607</v>
      </c>
      <c r="B1918" s="109" t="s">
        <v>77</v>
      </c>
      <c r="C1918" s="108">
        <v>21821</v>
      </c>
      <c r="D1918" s="110"/>
      <c r="E1918" t="str">
        <f>VLOOKUP(B1918,CAC!$A$2:$B$198,2,FALSE)</f>
        <v>HMOSG</v>
      </c>
    </row>
    <row r="1919" spans="1:5" x14ac:dyDescent="0.25">
      <c r="A1919" s="108">
        <v>201607</v>
      </c>
      <c r="B1919" s="109" t="s">
        <v>78</v>
      </c>
      <c r="C1919" s="108">
        <v>323</v>
      </c>
      <c r="D1919" s="110"/>
      <c r="E1919" t="str">
        <f>VLOOKUP(B1919,CAC!$A$2:$B$198,2,FALSE)</f>
        <v>HMOSG</v>
      </c>
    </row>
    <row r="1920" spans="1:5" x14ac:dyDescent="0.25">
      <c r="A1920" s="108">
        <v>201607</v>
      </c>
      <c r="B1920" s="109" t="s">
        <v>79</v>
      </c>
      <c r="C1920" s="108">
        <v>72</v>
      </c>
      <c r="D1920" s="110"/>
      <c r="E1920" t="str">
        <f>VLOOKUP(B1920,CAC!$A$2:$B$198,2,FALSE)</f>
        <v>HMOSG</v>
      </c>
    </row>
    <row r="1921" spans="1:5" x14ac:dyDescent="0.25">
      <c r="A1921" s="108">
        <v>201607</v>
      </c>
      <c r="B1921" s="109" t="s">
        <v>222</v>
      </c>
      <c r="C1921" s="108">
        <v>0</v>
      </c>
      <c r="D1921" s="110"/>
      <c r="E1921" t="str">
        <f>VLOOKUP(B1921,CAC!$A$2:$B$198,2,FALSE)</f>
        <v>PPOSG</v>
      </c>
    </row>
    <row r="1922" spans="1:5" x14ac:dyDescent="0.25">
      <c r="A1922" s="108">
        <v>201607</v>
      </c>
      <c r="B1922" s="109" t="s">
        <v>225</v>
      </c>
      <c r="C1922" s="108">
        <v>0</v>
      </c>
      <c r="D1922" s="110"/>
      <c r="E1922" t="str">
        <f>VLOOKUP(B1922,CAC!$A$2:$B$198,2,FALSE)</f>
        <v>PPOSG</v>
      </c>
    </row>
    <row r="1923" spans="1:5" x14ac:dyDescent="0.25">
      <c r="A1923" s="108">
        <v>201607</v>
      </c>
      <c r="B1923" s="109" t="s">
        <v>226</v>
      </c>
      <c r="C1923" s="108">
        <v>0</v>
      </c>
      <c r="D1923" s="110"/>
      <c r="E1923" t="str">
        <f>VLOOKUP(B1923,CAC!$A$2:$B$198,2,FALSE)</f>
        <v>PPOSG</v>
      </c>
    </row>
    <row r="1924" spans="1:5" x14ac:dyDescent="0.25">
      <c r="A1924" s="108">
        <v>201607</v>
      </c>
      <c r="B1924" s="109" t="s">
        <v>186</v>
      </c>
      <c r="C1924" s="108">
        <v>0</v>
      </c>
      <c r="D1924" s="110"/>
      <c r="E1924" t="str">
        <f>VLOOKUP(B1924,CAC!$A$2:$B$198,2,FALSE)</f>
        <v>PPOIFP</v>
      </c>
    </row>
    <row r="1925" spans="1:5" x14ac:dyDescent="0.25">
      <c r="A1925" s="108">
        <v>201607</v>
      </c>
      <c r="B1925" s="109" t="s">
        <v>187</v>
      </c>
      <c r="C1925" s="108">
        <v>0</v>
      </c>
      <c r="D1925" s="110"/>
      <c r="E1925" t="str">
        <f>VLOOKUP(B1925,CAC!$A$2:$B$198,2,FALSE)</f>
        <v>PPOIFP</v>
      </c>
    </row>
    <row r="1926" spans="1:5" x14ac:dyDescent="0.25">
      <c r="A1926" s="108">
        <v>201607</v>
      </c>
      <c r="B1926" s="109" t="s">
        <v>188</v>
      </c>
      <c r="C1926" s="108">
        <v>0</v>
      </c>
      <c r="D1926" s="110"/>
      <c r="E1926" t="str">
        <f>VLOOKUP(B1926,CAC!$A$2:$B$198,2,FALSE)</f>
        <v>PPOIFP</v>
      </c>
    </row>
    <row r="1927" spans="1:5" x14ac:dyDescent="0.25">
      <c r="A1927" s="108">
        <v>201607</v>
      </c>
      <c r="B1927" s="109" t="s">
        <v>189</v>
      </c>
      <c r="C1927" s="108">
        <v>0</v>
      </c>
      <c r="D1927" s="110"/>
      <c r="E1927" t="str">
        <f>VLOOKUP(B1927,CAC!$A$2:$B$198,2,FALSE)</f>
        <v>PPOIFP</v>
      </c>
    </row>
    <row r="1928" spans="1:5" x14ac:dyDescent="0.25">
      <c r="A1928" s="108">
        <v>201607</v>
      </c>
      <c r="B1928" s="109" t="s">
        <v>331</v>
      </c>
      <c r="C1928" s="108">
        <v>0</v>
      </c>
      <c r="D1928" s="110"/>
      <c r="E1928" t="e">
        <f>VLOOKUP(B1928,CAC!$A$2:$B$198,2,FALSE)</f>
        <v>#N/A</v>
      </c>
    </row>
    <row r="1929" spans="1:5" x14ac:dyDescent="0.25">
      <c r="A1929" s="108">
        <v>201607</v>
      </c>
      <c r="B1929" s="109" t="s">
        <v>216</v>
      </c>
      <c r="C1929" s="108">
        <v>0</v>
      </c>
      <c r="D1929" s="110"/>
      <c r="E1929" t="str">
        <f>VLOOKUP(B1929,CAC!$A$2:$B$198,2,FALSE)</f>
        <v>PPOMM</v>
      </c>
    </row>
    <row r="1930" spans="1:5" x14ac:dyDescent="0.25">
      <c r="A1930" s="108">
        <v>201607</v>
      </c>
      <c r="B1930" s="109" t="s">
        <v>301</v>
      </c>
      <c r="C1930" s="108">
        <v>0</v>
      </c>
      <c r="D1930" s="110"/>
      <c r="E1930" t="str">
        <f>VLOOKUP(B1930,CAC!$A$2:$B$198,2,FALSE)</f>
        <v>XXX</v>
      </c>
    </row>
    <row r="1931" spans="1:5" x14ac:dyDescent="0.25">
      <c r="A1931" s="108">
        <v>201608</v>
      </c>
      <c r="B1931" s="109" t="s">
        <v>51</v>
      </c>
      <c r="C1931" s="108">
        <v>20</v>
      </c>
      <c r="D1931" s="110"/>
      <c r="E1931" t="str">
        <f>VLOOKUP(B1931,CAC!$A$2:$B$198,2,FALSE)</f>
        <v>XXX</v>
      </c>
    </row>
    <row r="1932" spans="1:5" x14ac:dyDescent="0.25">
      <c r="A1932" s="108">
        <v>201608</v>
      </c>
      <c r="B1932" s="109" t="s">
        <v>303</v>
      </c>
      <c r="C1932" s="108">
        <v>0</v>
      </c>
      <c r="D1932" s="110"/>
      <c r="E1932" t="e">
        <f>VLOOKUP(B1932,CAC!$A$2:$B$198,2,FALSE)</f>
        <v>#N/A</v>
      </c>
    </row>
    <row r="1933" spans="1:5" x14ac:dyDescent="0.25">
      <c r="A1933" s="108">
        <v>201608</v>
      </c>
      <c r="B1933" s="109" t="s">
        <v>304</v>
      </c>
      <c r="C1933" s="108">
        <v>0</v>
      </c>
      <c r="D1933" s="110"/>
      <c r="E1933" t="e">
        <f>VLOOKUP(B1933,CAC!$A$2:$B$198,2,FALSE)</f>
        <v>#N/A</v>
      </c>
    </row>
    <row r="1934" spans="1:5" x14ac:dyDescent="0.25">
      <c r="A1934" s="108">
        <v>201608</v>
      </c>
      <c r="B1934" s="109" t="s">
        <v>323</v>
      </c>
      <c r="C1934" s="108">
        <v>0</v>
      </c>
      <c r="D1934" s="110"/>
      <c r="E1934" t="e">
        <f>VLOOKUP(B1934,CAC!$A$2:$B$198,2,FALSE)</f>
        <v>#N/A</v>
      </c>
    </row>
    <row r="1935" spans="1:5" x14ac:dyDescent="0.25">
      <c r="A1935" s="108">
        <v>201608</v>
      </c>
      <c r="B1935" s="109" t="s">
        <v>305</v>
      </c>
      <c r="C1935" s="108">
        <v>0</v>
      </c>
      <c r="D1935" s="110"/>
      <c r="E1935" t="e">
        <f>VLOOKUP(B1935,CAC!$A$2:$B$198,2,FALSE)</f>
        <v>#N/A</v>
      </c>
    </row>
    <row r="1936" spans="1:5" x14ac:dyDescent="0.25">
      <c r="A1936" s="108">
        <v>201608</v>
      </c>
      <c r="B1936" s="109" t="s">
        <v>324</v>
      </c>
      <c r="C1936" s="108">
        <v>0</v>
      </c>
      <c r="D1936" s="110"/>
      <c r="E1936" t="e">
        <f>VLOOKUP(B1936,CAC!$A$2:$B$198,2,FALSE)</f>
        <v>#N/A</v>
      </c>
    </row>
    <row r="1937" spans="1:5" x14ac:dyDescent="0.25">
      <c r="A1937" s="108">
        <v>201608</v>
      </c>
      <c r="B1937" s="109" t="s">
        <v>327</v>
      </c>
      <c r="C1937" s="108">
        <v>0</v>
      </c>
      <c r="D1937" s="110"/>
      <c r="E1937" t="e">
        <f>VLOOKUP(B1937,CAC!$A$2:$B$198,2,FALSE)</f>
        <v>#N/A</v>
      </c>
    </row>
    <row r="1938" spans="1:5" x14ac:dyDescent="0.25">
      <c r="A1938" s="108">
        <v>201608</v>
      </c>
      <c r="B1938" s="109" t="s">
        <v>318</v>
      </c>
      <c r="C1938" s="108">
        <v>0</v>
      </c>
      <c r="D1938" s="110"/>
      <c r="E1938" t="e">
        <f>VLOOKUP(B1938,CAC!$A$2:$B$198,2,FALSE)</f>
        <v>#N/A</v>
      </c>
    </row>
    <row r="1939" spans="1:5" x14ac:dyDescent="0.25">
      <c r="A1939" s="108">
        <v>201608</v>
      </c>
      <c r="B1939" s="109" t="s">
        <v>326</v>
      </c>
      <c r="C1939" s="108">
        <v>0</v>
      </c>
      <c r="D1939" s="110"/>
      <c r="E1939" t="e">
        <f>VLOOKUP(B1939,CAC!$A$2:$B$198,2,FALSE)</f>
        <v>#N/A</v>
      </c>
    </row>
    <row r="1940" spans="1:5" x14ac:dyDescent="0.25">
      <c r="A1940" s="108">
        <v>201608</v>
      </c>
      <c r="B1940" s="109" t="s">
        <v>231</v>
      </c>
      <c r="C1940" s="108">
        <v>0</v>
      </c>
      <c r="D1940" s="110"/>
      <c r="E1940" t="str">
        <f>VLOOKUP(B1940,CAC!$A$2:$B$198,2,FALSE)</f>
        <v>DOILG</v>
      </c>
    </row>
    <row r="1941" spans="1:5" x14ac:dyDescent="0.25">
      <c r="A1941" s="108">
        <v>201608</v>
      </c>
      <c r="B1941" s="109" t="s">
        <v>233</v>
      </c>
      <c r="C1941" s="108">
        <v>0</v>
      </c>
      <c r="D1941" s="110"/>
      <c r="E1941" t="str">
        <f>VLOOKUP(B1941,CAC!$A$2:$B$198,2,FALSE)</f>
        <v>DOILG</v>
      </c>
    </row>
    <row r="1942" spans="1:5" x14ac:dyDescent="0.25">
      <c r="A1942" s="108">
        <v>201608</v>
      </c>
      <c r="B1942" s="109" t="s">
        <v>235</v>
      </c>
      <c r="C1942" s="108">
        <v>0</v>
      </c>
      <c r="D1942" s="110"/>
      <c r="E1942" t="str">
        <f>VLOOKUP(B1942,CAC!$A$2:$B$198,2,FALSE)</f>
        <v>DOILG</v>
      </c>
    </row>
    <row r="1943" spans="1:5" x14ac:dyDescent="0.25">
      <c r="A1943" s="108">
        <v>201608</v>
      </c>
      <c r="B1943" s="109" t="s">
        <v>237</v>
      </c>
      <c r="C1943" s="108">
        <v>0</v>
      </c>
      <c r="D1943" s="110"/>
      <c r="E1943" t="str">
        <f>VLOOKUP(B1943,CAC!$A$2:$B$198,2,FALSE)</f>
        <v>DOILG</v>
      </c>
    </row>
    <row r="1944" spans="1:5" x14ac:dyDescent="0.25">
      <c r="A1944" s="108">
        <v>201608</v>
      </c>
      <c r="B1944" s="109" t="s">
        <v>247</v>
      </c>
      <c r="C1944" s="108">
        <v>0</v>
      </c>
      <c r="D1944" s="110"/>
      <c r="E1944" t="str">
        <f>VLOOKUP(B1944,CAC!$A$2:$B$198,2,FALSE)</f>
        <v>DOIIFP</v>
      </c>
    </row>
    <row r="1945" spans="1:5" x14ac:dyDescent="0.25">
      <c r="A1945" s="108">
        <v>201608</v>
      </c>
      <c r="B1945" s="109" t="s">
        <v>238</v>
      </c>
      <c r="C1945" s="108">
        <v>0</v>
      </c>
      <c r="D1945" s="110"/>
      <c r="E1945" t="str">
        <f>VLOOKUP(B1945,CAC!$A$2:$B$198,2,FALSE)</f>
        <v>DOILG</v>
      </c>
    </row>
    <row r="1946" spans="1:5" x14ac:dyDescent="0.25">
      <c r="A1946" s="108">
        <v>201608</v>
      </c>
      <c r="B1946" s="109" t="s">
        <v>248</v>
      </c>
      <c r="C1946" s="108">
        <v>0</v>
      </c>
      <c r="D1946" s="110"/>
      <c r="E1946" t="str">
        <f>VLOOKUP(B1946,CAC!$A$2:$B$198,2,FALSE)</f>
        <v>DOIIFP</v>
      </c>
    </row>
    <row r="1947" spans="1:5" x14ac:dyDescent="0.25">
      <c r="A1947" s="108">
        <v>201608</v>
      </c>
      <c r="B1947" s="109" t="s">
        <v>328</v>
      </c>
      <c r="C1947" s="108">
        <v>0</v>
      </c>
      <c r="D1947" s="110"/>
      <c r="E1947" t="e">
        <f>VLOOKUP(B1947,CAC!$A$2:$B$198,2,FALSE)</f>
        <v>#N/A</v>
      </c>
    </row>
    <row r="1948" spans="1:5" x14ac:dyDescent="0.25">
      <c r="A1948" s="108">
        <v>201608</v>
      </c>
      <c r="B1948" s="109" t="s">
        <v>253</v>
      </c>
      <c r="C1948" s="108">
        <v>0</v>
      </c>
      <c r="D1948" s="110"/>
      <c r="E1948" t="str">
        <f>VLOOKUP(B1948,CAC!$A$2:$B$198,2,FALSE)</f>
        <v>AGDMHC</v>
      </c>
    </row>
    <row r="1949" spans="1:5" x14ac:dyDescent="0.25">
      <c r="A1949" s="108">
        <v>201608</v>
      </c>
      <c r="B1949" s="109" t="s">
        <v>325</v>
      </c>
      <c r="C1949" s="108">
        <v>0</v>
      </c>
      <c r="D1949" s="110"/>
      <c r="E1949" t="e">
        <f>VLOOKUP(B1949,CAC!$A$2:$B$198,2,FALSE)</f>
        <v>#N/A</v>
      </c>
    </row>
    <row r="1950" spans="1:5" x14ac:dyDescent="0.25">
      <c r="A1950" s="108">
        <v>201608</v>
      </c>
      <c r="B1950" s="109" t="s">
        <v>255</v>
      </c>
      <c r="C1950" s="108">
        <v>0</v>
      </c>
      <c r="D1950" s="110"/>
      <c r="E1950" t="str">
        <f>VLOOKUP(B1950,CAC!$A$2:$B$198,2,FALSE)</f>
        <v>AGDMHC</v>
      </c>
    </row>
    <row r="1951" spans="1:5" x14ac:dyDescent="0.25">
      <c r="A1951" s="108">
        <v>201608</v>
      </c>
      <c r="B1951" s="109" t="s">
        <v>256</v>
      </c>
      <c r="C1951" s="108">
        <v>0</v>
      </c>
      <c r="D1951" s="110"/>
      <c r="E1951" t="str">
        <f>VLOOKUP(B1951,CAC!$A$2:$B$198,2,FALSE)</f>
        <v>AGDMHC</v>
      </c>
    </row>
    <row r="1952" spans="1:5" x14ac:dyDescent="0.25">
      <c r="A1952" s="108">
        <v>201608</v>
      </c>
      <c r="B1952" s="109" t="s">
        <v>257</v>
      </c>
      <c r="C1952" s="108">
        <v>0</v>
      </c>
      <c r="D1952" s="110"/>
      <c r="E1952" t="str">
        <f>VLOOKUP(B1952,CAC!$A$2:$B$198,2,FALSE)</f>
        <v>AGDMHC</v>
      </c>
    </row>
    <row r="1953" spans="1:5" x14ac:dyDescent="0.25">
      <c r="A1953" s="108">
        <v>201608</v>
      </c>
      <c r="B1953" s="109" t="s">
        <v>258</v>
      </c>
      <c r="C1953" s="108">
        <v>0</v>
      </c>
      <c r="D1953" s="110"/>
      <c r="E1953" t="str">
        <f>VLOOKUP(B1953,CAC!$A$2:$B$198,2,FALSE)</f>
        <v>AGDMHC</v>
      </c>
    </row>
    <row r="1954" spans="1:5" x14ac:dyDescent="0.25">
      <c r="A1954" s="108">
        <v>201608</v>
      </c>
      <c r="B1954" s="109" t="s">
        <v>329</v>
      </c>
      <c r="C1954" s="108">
        <v>0</v>
      </c>
      <c r="D1954" s="110"/>
      <c r="E1954" t="e">
        <f>VLOOKUP(B1954,CAC!$A$2:$B$198,2,FALSE)</f>
        <v>#N/A</v>
      </c>
    </row>
    <row r="1955" spans="1:5" x14ac:dyDescent="0.25">
      <c r="A1955" s="108">
        <v>201608</v>
      </c>
      <c r="B1955" s="109" t="s">
        <v>262</v>
      </c>
      <c r="C1955" s="108">
        <v>0</v>
      </c>
      <c r="D1955" s="110"/>
      <c r="E1955" t="str">
        <f>VLOOKUP(B1955,CAC!$A$2:$B$198,2,FALSE)</f>
        <v>AGDMHC</v>
      </c>
    </row>
    <row r="1956" spans="1:5" x14ac:dyDescent="0.25">
      <c r="A1956" s="108">
        <v>201608</v>
      </c>
      <c r="B1956" s="109" t="s">
        <v>269</v>
      </c>
      <c r="C1956" s="108">
        <v>0</v>
      </c>
      <c r="D1956" s="110"/>
      <c r="E1956" t="str">
        <f>VLOOKUP(B1956,CAC!$A$2:$B$198,2,FALSE)</f>
        <v>AGDMHC</v>
      </c>
    </row>
    <row r="1957" spans="1:5" x14ac:dyDescent="0.25">
      <c r="A1957" s="108">
        <v>201608</v>
      </c>
      <c r="B1957" s="109" t="s">
        <v>319</v>
      </c>
      <c r="C1957" s="108">
        <v>0</v>
      </c>
      <c r="D1957" s="110"/>
      <c r="E1957" t="e">
        <f>VLOOKUP(B1957,CAC!$A$2:$B$198,2,FALSE)</f>
        <v>#N/A</v>
      </c>
    </row>
    <row r="1958" spans="1:5" x14ac:dyDescent="0.25">
      <c r="A1958" s="108">
        <v>201608</v>
      </c>
      <c r="B1958" s="109" t="s">
        <v>265</v>
      </c>
      <c r="C1958" s="108">
        <v>0</v>
      </c>
      <c r="D1958" s="110"/>
      <c r="E1958" t="str">
        <f>VLOOKUP(B1958,CAC!$A$2:$B$198,2,FALSE)</f>
        <v>AGDMHC</v>
      </c>
    </row>
    <row r="1959" spans="1:5" x14ac:dyDescent="0.25">
      <c r="A1959" s="108">
        <v>201608</v>
      </c>
      <c r="B1959" s="109" t="s">
        <v>267</v>
      </c>
      <c r="C1959" s="108">
        <v>0</v>
      </c>
      <c r="D1959" s="110"/>
      <c r="E1959" t="str">
        <f>VLOOKUP(B1959,CAC!$A$2:$B$198,2,FALSE)</f>
        <v>AGDMHC</v>
      </c>
    </row>
    <row r="1960" spans="1:5" x14ac:dyDescent="0.25">
      <c r="A1960" s="108">
        <v>201608</v>
      </c>
      <c r="B1960" s="109" t="s">
        <v>268</v>
      </c>
      <c r="C1960" s="108">
        <v>0</v>
      </c>
      <c r="D1960" s="110"/>
      <c r="E1960" t="str">
        <f>VLOOKUP(B1960,CAC!$A$2:$B$198,2,FALSE)</f>
        <v>AGDMHC</v>
      </c>
    </row>
    <row r="1961" spans="1:5" x14ac:dyDescent="0.25">
      <c r="A1961" s="108">
        <v>201608</v>
      </c>
      <c r="B1961" s="109" t="s">
        <v>52</v>
      </c>
      <c r="C1961" s="108">
        <v>15622</v>
      </c>
      <c r="D1961" s="110"/>
      <c r="E1961" t="str">
        <f>VLOOKUP(B1961,CAC!$A$2:$B$198,2,FALSE)</f>
        <v>HMOPMR</v>
      </c>
    </row>
    <row r="1962" spans="1:5" x14ac:dyDescent="0.25">
      <c r="A1962" s="108">
        <v>201608</v>
      </c>
      <c r="B1962" s="109" t="s">
        <v>53</v>
      </c>
      <c r="C1962" s="108">
        <v>4712</v>
      </c>
      <c r="D1962" s="110"/>
      <c r="E1962" t="str">
        <f>VLOOKUP(B1962,CAC!$A$2:$B$198,2,FALSE)</f>
        <v>HMOPMR</v>
      </c>
    </row>
    <row r="1963" spans="1:5" x14ac:dyDescent="0.25">
      <c r="A1963" s="108">
        <v>201608</v>
      </c>
      <c r="B1963" s="109" t="s">
        <v>54</v>
      </c>
      <c r="C1963" s="108">
        <v>6071</v>
      </c>
      <c r="D1963" s="110"/>
      <c r="E1963" t="str">
        <f>VLOOKUP(B1963,CAC!$A$2:$B$198,2,FALSE)</f>
        <v>HMOFEP</v>
      </c>
    </row>
    <row r="1964" spans="1:5" x14ac:dyDescent="0.25">
      <c r="A1964" s="108">
        <v>201608</v>
      </c>
      <c r="B1964" s="109" t="s">
        <v>279</v>
      </c>
      <c r="C1964" s="108">
        <v>0</v>
      </c>
      <c r="D1964" s="110"/>
      <c r="E1964" t="str">
        <f>VLOOKUP(B1964,CAC!$A$2:$B$198,2,FALSE)</f>
        <v>PPOFEP</v>
      </c>
    </row>
    <row r="1965" spans="1:5" x14ac:dyDescent="0.25">
      <c r="A1965" s="108">
        <v>201608</v>
      </c>
      <c r="B1965" s="109" t="s">
        <v>202</v>
      </c>
      <c r="C1965" s="108">
        <v>0</v>
      </c>
      <c r="D1965" s="110"/>
      <c r="E1965" t="str">
        <f>VLOOKUP(B1965,CAC!$A$2:$B$198,2,FALSE)</f>
        <v>PPOPMR</v>
      </c>
    </row>
    <row r="1966" spans="1:5" x14ac:dyDescent="0.25">
      <c r="A1966" s="108">
        <v>201608</v>
      </c>
      <c r="B1966" s="109" t="s">
        <v>55</v>
      </c>
      <c r="C1966" s="108">
        <v>14771</v>
      </c>
      <c r="D1966" s="110"/>
      <c r="E1966" t="str">
        <f>VLOOKUP(B1966,CAC!$A$2:$B$198,2,FALSE)</f>
        <v>HMOPMR</v>
      </c>
    </row>
    <row r="1967" spans="1:5" x14ac:dyDescent="0.25">
      <c r="A1967" s="108">
        <v>201608</v>
      </c>
      <c r="B1967" s="109" t="s">
        <v>56</v>
      </c>
      <c r="C1967" s="108">
        <v>119</v>
      </c>
      <c r="D1967" s="110"/>
      <c r="E1967" t="str">
        <f>VLOOKUP(B1967,CAC!$A$2:$B$198,2,FALSE)</f>
        <v>HMOPMR</v>
      </c>
    </row>
    <row r="1968" spans="1:5" x14ac:dyDescent="0.25">
      <c r="A1968" s="108">
        <v>201608</v>
      </c>
      <c r="B1968" s="109" t="s">
        <v>83</v>
      </c>
      <c r="C1968" s="108">
        <v>1956</v>
      </c>
      <c r="D1968" s="110"/>
      <c r="E1968" t="str">
        <f>VLOOKUP(B1968,CAC!$A$2:$B$198,2,FALSE)</f>
        <v>HMOPMR</v>
      </c>
    </row>
    <row r="1969" spans="1:5" x14ac:dyDescent="0.25">
      <c r="A1969" s="108">
        <v>201608</v>
      </c>
      <c r="B1969" s="109" t="s">
        <v>57</v>
      </c>
      <c r="C1969" s="108">
        <v>4179</v>
      </c>
      <c r="D1969" s="110"/>
      <c r="E1969" t="str">
        <f>VLOOKUP(B1969,CAC!$A$2:$B$198,2,FALSE)</f>
        <v>HMFLEX</v>
      </c>
    </row>
    <row r="1970" spans="1:5" x14ac:dyDescent="0.25">
      <c r="A1970" s="108">
        <v>201608</v>
      </c>
      <c r="B1970" s="109" t="s">
        <v>58</v>
      </c>
      <c r="C1970" s="108">
        <v>367</v>
      </c>
      <c r="D1970" s="110"/>
      <c r="E1970" t="str">
        <f>VLOOKUP(B1970,CAC!$A$2:$B$198,2,FALSE)</f>
        <v>HMFLEX</v>
      </c>
    </row>
    <row r="1971" spans="1:5" x14ac:dyDescent="0.25">
      <c r="A1971" s="108">
        <v>201608</v>
      </c>
      <c r="B1971" s="109" t="s">
        <v>306</v>
      </c>
      <c r="C1971" s="108">
        <v>0</v>
      </c>
      <c r="D1971" s="110"/>
      <c r="E1971" t="e">
        <f>VLOOKUP(B1971,CAC!$A$2:$B$198,2,FALSE)</f>
        <v>#N/A</v>
      </c>
    </row>
    <row r="1972" spans="1:5" x14ac:dyDescent="0.25">
      <c r="A1972" s="108">
        <v>201608</v>
      </c>
      <c r="B1972" s="109" t="s">
        <v>283</v>
      </c>
      <c r="C1972" s="108">
        <v>0</v>
      </c>
      <c r="D1972" s="110"/>
      <c r="E1972" t="str">
        <f>VLOOKUP(B1972,CAC!$A$2:$B$198,2,FALSE)</f>
        <v>HMFLEX</v>
      </c>
    </row>
    <row r="1973" spans="1:5" x14ac:dyDescent="0.25">
      <c r="A1973" s="108">
        <v>201608</v>
      </c>
      <c r="B1973" s="109" t="s">
        <v>205</v>
      </c>
      <c r="C1973" s="108">
        <v>0</v>
      </c>
      <c r="D1973" s="110"/>
      <c r="E1973" t="str">
        <f>VLOOKUP(B1973,CAC!$A$2:$B$198,2,FALSE)</f>
        <v>PPOPMR</v>
      </c>
    </row>
    <row r="1974" spans="1:5" x14ac:dyDescent="0.25">
      <c r="A1974" s="108">
        <v>201608</v>
      </c>
      <c r="B1974" s="109" t="s">
        <v>60</v>
      </c>
      <c r="C1974" s="108">
        <v>13326</v>
      </c>
      <c r="D1974" s="110"/>
      <c r="E1974" t="str">
        <f>VLOOKUP(B1974,CAC!$A$2:$B$198,2,FALSE)</f>
        <v>HMOLG</v>
      </c>
    </row>
    <row r="1975" spans="1:5" x14ac:dyDescent="0.25">
      <c r="A1975" s="108">
        <v>201608</v>
      </c>
      <c r="B1975" s="109" t="s">
        <v>61</v>
      </c>
      <c r="C1975" s="108">
        <v>690</v>
      </c>
      <c r="D1975" s="110"/>
      <c r="E1975" t="str">
        <f>VLOOKUP(B1975,CAC!$A$2:$B$198,2,FALSE)</f>
        <v>HMOLG</v>
      </c>
    </row>
    <row r="1976" spans="1:5" x14ac:dyDescent="0.25">
      <c r="A1976" s="108">
        <v>201608</v>
      </c>
      <c r="B1976" s="109" t="s">
        <v>62</v>
      </c>
      <c r="C1976" s="108">
        <v>22590</v>
      </c>
      <c r="D1976" s="110"/>
      <c r="E1976" t="str">
        <f>VLOOKUP(B1976,CAC!$A$2:$B$198,2,FALSE)</f>
        <v>HMOLG</v>
      </c>
    </row>
    <row r="1977" spans="1:5" x14ac:dyDescent="0.25">
      <c r="A1977" s="108">
        <v>201608</v>
      </c>
      <c r="B1977" s="109" t="s">
        <v>86</v>
      </c>
      <c r="C1977" s="108">
        <v>309</v>
      </c>
      <c r="D1977" s="110"/>
      <c r="E1977" t="str">
        <f>VLOOKUP(B1977,CAC!$A$2:$B$198,2,FALSE)</f>
        <v>HMOLG</v>
      </c>
    </row>
    <row r="1978" spans="1:5" x14ac:dyDescent="0.25">
      <c r="A1978" s="108">
        <v>201608</v>
      </c>
      <c r="B1978" s="109" t="s">
        <v>63</v>
      </c>
      <c r="C1978" s="108">
        <v>104</v>
      </c>
      <c r="D1978" s="110"/>
      <c r="E1978" t="str">
        <f>VLOOKUP(B1978,CAC!$A$2:$B$198,2,FALSE)</f>
        <v>HMOLG</v>
      </c>
    </row>
    <row r="1979" spans="1:5" x14ac:dyDescent="0.25">
      <c r="A1979" s="108">
        <v>201608</v>
      </c>
      <c r="B1979" s="109" t="s">
        <v>64</v>
      </c>
      <c r="C1979" s="108">
        <v>0</v>
      </c>
      <c r="D1979" s="110"/>
      <c r="E1979" t="str">
        <f>VLOOKUP(B1979,CAC!$A$2:$B$198,2,FALSE)</f>
        <v>HMOLG</v>
      </c>
    </row>
    <row r="1980" spans="1:5" x14ac:dyDescent="0.25">
      <c r="A1980" s="108">
        <v>201608</v>
      </c>
      <c r="B1980" s="109" t="s">
        <v>65</v>
      </c>
      <c r="C1980" s="108">
        <v>209</v>
      </c>
      <c r="D1980" s="110"/>
      <c r="E1980" t="str">
        <f>VLOOKUP(B1980,CAC!$A$2:$B$198,2,FALSE)</f>
        <v>HMFLEX</v>
      </c>
    </row>
    <row r="1981" spans="1:5" x14ac:dyDescent="0.25">
      <c r="A1981" s="108">
        <v>201608</v>
      </c>
      <c r="B1981" s="109" t="s">
        <v>307</v>
      </c>
      <c r="C1981" s="108">
        <v>0</v>
      </c>
      <c r="D1981" s="110"/>
      <c r="E1981" t="e">
        <f>VLOOKUP(B1981,CAC!$A$2:$B$198,2,FALSE)</f>
        <v>#N/A</v>
      </c>
    </row>
    <row r="1982" spans="1:5" x14ac:dyDescent="0.25">
      <c r="A1982" s="108">
        <v>201608</v>
      </c>
      <c r="B1982" s="109" t="s">
        <v>308</v>
      </c>
      <c r="C1982" s="108">
        <v>0</v>
      </c>
      <c r="D1982" s="110"/>
      <c r="E1982" t="e">
        <f>VLOOKUP(B1982,CAC!$A$2:$B$198,2,FALSE)</f>
        <v>#N/A</v>
      </c>
    </row>
    <row r="1983" spans="1:5" x14ac:dyDescent="0.25">
      <c r="A1983" s="108">
        <v>201608</v>
      </c>
      <c r="B1983" s="109" t="s">
        <v>309</v>
      </c>
      <c r="C1983" s="108">
        <v>0</v>
      </c>
      <c r="D1983" s="110"/>
      <c r="E1983" t="e">
        <f>VLOOKUP(B1983,CAC!$A$2:$B$198,2,FALSE)</f>
        <v>#N/A</v>
      </c>
    </row>
    <row r="1984" spans="1:5" x14ac:dyDescent="0.25">
      <c r="A1984" s="108">
        <v>201608</v>
      </c>
      <c r="B1984" s="109" t="s">
        <v>99</v>
      </c>
      <c r="C1984" s="108">
        <v>0</v>
      </c>
      <c r="D1984" s="110"/>
      <c r="E1984" t="str">
        <f>VLOOKUP(B1984,CAC!$A$2:$B$198,2,FALSE)</f>
        <v>PPOLG</v>
      </c>
    </row>
    <row r="1985" spans="1:5" x14ac:dyDescent="0.25">
      <c r="A1985" s="108">
        <v>201608</v>
      </c>
      <c r="B1985" s="109" t="s">
        <v>193</v>
      </c>
      <c r="C1985" s="108">
        <v>0</v>
      </c>
      <c r="D1985" s="110"/>
      <c r="E1985" t="str">
        <f>VLOOKUP(B1985,CAC!$A$2:$B$198,2,FALSE)</f>
        <v>PPOLG</v>
      </c>
    </row>
    <row r="1986" spans="1:5" x14ac:dyDescent="0.25">
      <c r="A1986" s="108">
        <v>201608</v>
      </c>
      <c r="B1986" s="109" t="s">
        <v>196</v>
      </c>
      <c r="C1986" s="108">
        <v>0</v>
      </c>
      <c r="D1986" s="110"/>
      <c r="E1986" t="str">
        <f>VLOOKUP(B1986,CAC!$A$2:$B$198,2,FALSE)</f>
        <v>PPOLG</v>
      </c>
    </row>
    <row r="1987" spans="1:5" x14ac:dyDescent="0.25">
      <c r="A1987" s="108">
        <v>201608</v>
      </c>
      <c r="B1987" s="109" t="s">
        <v>212</v>
      </c>
      <c r="C1987" s="108">
        <v>0</v>
      </c>
      <c r="D1987" s="110"/>
      <c r="E1987" t="str">
        <f>VLOOKUP(B1987,CAC!$A$2:$B$198,2,FALSE)</f>
        <v>PPOMM</v>
      </c>
    </row>
    <row r="1988" spans="1:5" x14ac:dyDescent="0.25">
      <c r="A1988" s="108">
        <v>201608</v>
      </c>
      <c r="B1988" s="109" t="s">
        <v>213</v>
      </c>
      <c r="C1988" s="108">
        <v>0</v>
      </c>
      <c r="D1988" s="110"/>
      <c r="E1988" t="str">
        <f>VLOOKUP(B1988,CAC!$A$2:$B$198,2,FALSE)</f>
        <v>PPOMM</v>
      </c>
    </row>
    <row r="1989" spans="1:5" x14ac:dyDescent="0.25">
      <c r="A1989" s="108">
        <v>201608</v>
      </c>
      <c r="B1989" s="109" t="s">
        <v>311</v>
      </c>
      <c r="C1989" s="108">
        <v>0</v>
      </c>
      <c r="D1989" s="110"/>
      <c r="E1989" t="e">
        <f>VLOOKUP(B1989,CAC!$A$2:$B$198,2,FALSE)</f>
        <v>#N/A</v>
      </c>
    </row>
    <row r="1990" spans="1:5" x14ac:dyDescent="0.25">
      <c r="A1990" s="108">
        <v>201608</v>
      </c>
      <c r="B1990" s="109" t="s">
        <v>320</v>
      </c>
      <c r="C1990" s="108">
        <v>0</v>
      </c>
      <c r="D1990" s="110"/>
      <c r="E1990" t="e">
        <f>VLOOKUP(B1990,CAC!$A$2:$B$198,2,FALSE)</f>
        <v>#N/A</v>
      </c>
    </row>
    <row r="1991" spans="1:5" x14ac:dyDescent="0.25">
      <c r="A1991" s="108">
        <v>201608</v>
      </c>
      <c r="B1991" s="109" t="s">
        <v>321</v>
      </c>
      <c r="C1991" s="108">
        <v>0</v>
      </c>
      <c r="D1991" s="110"/>
      <c r="E1991" t="e">
        <f>VLOOKUP(B1991,CAC!$A$2:$B$198,2,FALSE)</f>
        <v>#N/A</v>
      </c>
    </row>
    <row r="1992" spans="1:5" x14ac:dyDescent="0.25">
      <c r="A1992" s="108">
        <v>201608</v>
      </c>
      <c r="B1992" s="109" t="s">
        <v>312</v>
      </c>
      <c r="C1992" s="108">
        <v>0</v>
      </c>
      <c r="D1992" s="110"/>
      <c r="E1992" t="e">
        <f>VLOOKUP(B1992,CAC!$A$2:$B$198,2,FALSE)</f>
        <v>#N/A</v>
      </c>
    </row>
    <row r="1993" spans="1:5" x14ac:dyDescent="0.25">
      <c r="A1993" s="108">
        <v>201608</v>
      </c>
      <c r="B1993" s="109" t="s">
        <v>215</v>
      </c>
      <c r="C1993" s="108">
        <v>0</v>
      </c>
      <c r="D1993" s="110"/>
      <c r="E1993" t="str">
        <f>VLOOKUP(B1993,CAC!$A$2:$B$198,2,FALSE)</f>
        <v>PPOMM</v>
      </c>
    </row>
    <row r="1994" spans="1:5" x14ac:dyDescent="0.25">
      <c r="A1994" s="108">
        <v>201608</v>
      </c>
      <c r="B1994" s="109" t="s">
        <v>66</v>
      </c>
      <c r="C1994" s="108">
        <v>4135</v>
      </c>
      <c r="D1994" s="110"/>
      <c r="E1994" t="str">
        <f>VLOOKUP(B1994,CAC!$A$2:$B$198,2,FALSE)</f>
        <v>HMOLG</v>
      </c>
    </row>
    <row r="1995" spans="1:5" x14ac:dyDescent="0.25">
      <c r="A1995" s="108">
        <v>201608</v>
      </c>
      <c r="B1995" s="109" t="s">
        <v>82</v>
      </c>
      <c r="C1995" s="108">
        <v>2</v>
      </c>
      <c r="D1995" s="110"/>
      <c r="E1995" t="str">
        <f>VLOOKUP(B1995,CAC!$A$2:$B$198,2,FALSE)</f>
        <v>NATPAR</v>
      </c>
    </row>
    <row r="1996" spans="1:5" x14ac:dyDescent="0.25">
      <c r="A1996" s="108">
        <v>201608</v>
      </c>
      <c r="B1996" s="109" t="s">
        <v>67</v>
      </c>
      <c r="C1996" s="108">
        <v>152</v>
      </c>
      <c r="D1996" s="110"/>
      <c r="E1996" t="str">
        <f>VLOOKUP(B1996,CAC!$A$2:$B$198,2,FALSE)</f>
        <v>HMOLG</v>
      </c>
    </row>
    <row r="1997" spans="1:5" x14ac:dyDescent="0.25">
      <c r="A1997" s="108">
        <v>201608</v>
      </c>
      <c r="B1997" s="109" t="s">
        <v>68</v>
      </c>
      <c r="C1997" s="108">
        <v>282</v>
      </c>
      <c r="D1997" s="110"/>
      <c r="E1997" t="str">
        <f>VLOOKUP(B1997,CAC!$A$2:$B$198,2,FALSE)</f>
        <v>HMOPMR</v>
      </c>
    </row>
    <row r="1998" spans="1:5" x14ac:dyDescent="0.25">
      <c r="A1998" s="108">
        <v>201608</v>
      </c>
      <c r="B1998" s="109" t="s">
        <v>69</v>
      </c>
      <c r="C1998" s="108">
        <v>9633</v>
      </c>
      <c r="D1998" s="110"/>
      <c r="E1998" t="str">
        <f>VLOOKUP(B1998,CAC!$A$2:$B$198,2,FALSE)</f>
        <v>HMOPMR</v>
      </c>
    </row>
    <row r="1999" spans="1:5" x14ac:dyDescent="0.25">
      <c r="A1999" s="108">
        <v>201608</v>
      </c>
      <c r="B1999" s="109" t="s">
        <v>70</v>
      </c>
      <c r="C1999" s="108">
        <v>4087</v>
      </c>
      <c r="D1999" s="110"/>
      <c r="E1999" t="str">
        <f>VLOOKUP(B1999,CAC!$A$2:$B$198,2,FALSE)</f>
        <v>HMOPMR</v>
      </c>
    </row>
    <row r="2000" spans="1:5" x14ac:dyDescent="0.25">
      <c r="A2000" s="108">
        <v>201608</v>
      </c>
      <c r="B2000" s="109" t="s">
        <v>71</v>
      </c>
      <c r="C2000" s="108">
        <v>6815</v>
      </c>
      <c r="D2000" s="110"/>
      <c r="E2000" t="str">
        <f>VLOOKUP(B2000,CAC!$A$2:$B$198,2,FALSE)</f>
        <v>HMOPMR</v>
      </c>
    </row>
    <row r="2001" spans="1:5" x14ac:dyDescent="0.25">
      <c r="A2001" s="108">
        <v>201608</v>
      </c>
      <c r="B2001" s="109" t="s">
        <v>72</v>
      </c>
      <c r="C2001" s="108">
        <v>5073</v>
      </c>
      <c r="D2001" s="110"/>
      <c r="E2001" t="str">
        <f>VLOOKUP(B2001,CAC!$A$2:$B$198,2,FALSE)</f>
        <v>HMFLEX</v>
      </c>
    </row>
    <row r="2002" spans="1:5" x14ac:dyDescent="0.25">
      <c r="A2002" s="108">
        <v>201608</v>
      </c>
      <c r="B2002" s="109" t="s">
        <v>314</v>
      </c>
      <c r="C2002" s="108">
        <v>0</v>
      </c>
      <c r="D2002" s="110"/>
      <c r="E2002" t="e">
        <f>VLOOKUP(B2002,CAC!$A$2:$B$198,2,FALSE)</f>
        <v>#N/A</v>
      </c>
    </row>
    <row r="2003" spans="1:5" x14ac:dyDescent="0.25">
      <c r="A2003" s="108">
        <v>201608</v>
      </c>
      <c r="B2003" s="109" t="s">
        <v>322</v>
      </c>
      <c r="C2003" s="108">
        <v>0</v>
      </c>
      <c r="D2003" s="110"/>
      <c r="E2003" t="e">
        <f>VLOOKUP(B2003,CAC!$A$2:$B$198,2,FALSE)</f>
        <v>#N/A</v>
      </c>
    </row>
    <row r="2004" spans="1:5" x14ac:dyDescent="0.25">
      <c r="A2004" s="108">
        <v>201608</v>
      </c>
      <c r="B2004" s="109" t="s">
        <v>315</v>
      </c>
      <c r="C2004" s="108">
        <v>0</v>
      </c>
      <c r="D2004" s="110"/>
      <c r="E2004" t="e">
        <f>VLOOKUP(B2004,CAC!$A$2:$B$198,2,FALSE)</f>
        <v>#N/A</v>
      </c>
    </row>
    <row r="2005" spans="1:5" x14ac:dyDescent="0.25">
      <c r="A2005" s="108">
        <v>201608</v>
      </c>
      <c r="B2005" s="109" t="s">
        <v>112</v>
      </c>
      <c r="C2005" s="108">
        <v>0</v>
      </c>
      <c r="D2005" s="110"/>
      <c r="E2005" t="e">
        <f>VLOOKUP(B2005,CAC!$A$2:$B$198,2,FALSE)</f>
        <v>#N/A</v>
      </c>
    </row>
    <row r="2006" spans="1:5" x14ac:dyDescent="0.25">
      <c r="A2006" s="108">
        <v>201608</v>
      </c>
      <c r="B2006" s="109" t="s">
        <v>316</v>
      </c>
      <c r="C2006" s="108">
        <v>0</v>
      </c>
      <c r="D2006" s="110"/>
      <c r="E2006" t="e">
        <f>VLOOKUP(B2006,CAC!$A$2:$B$198,2,FALSE)</f>
        <v>#N/A</v>
      </c>
    </row>
    <row r="2007" spans="1:5" x14ac:dyDescent="0.25">
      <c r="A2007" s="108">
        <v>201608</v>
      </c>
      <c r="B2007" s="109" t="s">
        <v>317</v>
      </c>
      <c r="C2007" s="108">
        <v>0</v>
      </c>
      <c r="D2007" s="110"/>
      <c r="E2007" t="e">
        <f>VLOOKUP(B2007,CAC!$A$2:$B$198,2,FALSE)</f>
        <v>#N/A</v>
      </c>
    </row>
    <row r="2008" spans="1:5" x14ac:dyDescent="0.25">
      <c r="A2008" s="108">
        <v>201608</v>
      </c>
      <c r="B2008" s="109" t="s">
        <v>113</v>
      </c>
      <c r="C2008" s="108">
        <v>0</v>
      </c>
      <c r="D2008" s="110"/>
      <c r="E2008" t="str">
        <f>VLOOKUP(B2008,CAC!$A$2:$B$198,2,FALSE)</f>
        <v>PPOLG</v>
      </c>
    </row>
    <row r="2009" spans="1:5" x14ac:dyDescent="0.25">
      <c r="A2009" s="108">
        <v>201608</v>
      </c>
      <c r="B2009" s="109" t="s">
        <v>208</v>
      </c>
      <c r="C2009" s="108">
        <v>0</v>
      </c>
      <c r="D2009" s="110"/>
      <c r="E2009" t="str">
        <f>VLOOKUP(B2009,CAC!$A$2:$B$198,2,FALSE)</f>
        <v>PPOPMR</v>
      </c>
    </row>
    <row r="2010" spans="1:5" x14ac:dyDescent="0.25">
      <c r="A2010" s="108">
        <v>201608</v>
      </c>
      <c r="B2010" s="109" t="s">
        <v>291</v>
      </c>
      <c r="C2010" s="108">
        <v>0</v>
      </c>
      <c r="D2010" s="110"/>
      <c r="E2010" t="str">
        <f>VLOOKUP(B2010,CAC!$A$2:$B$198,2,FALSE)</f>
        <v>HMFLEX</v>
      </c>
    </row>
    <row r="2011" spans="1:5" x14ac:dyDescent="0.25">
      <c r="A2011" s="108">
        <v>201608</v>
      </c>
      <c r="B2011" s="109" t="s">
        <v>209</v>
      </c>
      <c r="C2011" s="108">
        <v>0</v>
      </c>
      <c r="D2011" s="110"/>
      <c r="E2011" t="str">
        <f>VLOOKUP(B2011,CAC!$A$2:$B$198,2,FALSE)</f>
        <v>PPOPMR</v>
      </c>
    </row>
    <row r="2012" spans="1:5" x14ac:dyDescent="0.25">
      <c r="A2012" s="108">
        <v>201608</v>
      </c>
      <c r="B2012" s="109" t="s">
        <v>204</v>
      </c>
      <c r="C2012" s="108">
        <v>0</v>
      </c>
      <c r="D2012" s="110"/>
      <c r="E2012" t="str">
        <f>VLOOKUP(B2012,CAC!$A$2:$B$198,2,FALSE)</f>
        <v>PPOPMR</v>
      </c>
    </row>
    <row r="2013" spans="1:5" x14ac:dyDescent="0.25">
      <c r="A2013" s="108">
        <v>201608</v>
      </c>
      <c r="B2013" s="109" t="s">
        <v>330</v>
      </c>
      <c r="C2013" s="108">
        <v>0</v>
      </c>
      <c r="D2013" s="110"/>
      <c r="E2013" t="e">
        <f>VLOOKUP(B2013,CAC!$A$2:$B$198,2,FALSE)</f>
        <v>#N/A</v>
      </c>
    </row>
    <row r="2014" spans="1:5" x14ac:dyDescent="0.25">
      <c r="A2014" s="108">
        <v>201608</v>
      </c>
      <c r="B2014" s="109" t="s">
        <v>73</v>
      </c>
      <c r="C2014" s="108">
        <v>32544</v>
      </c>
      <c r="D2014" s="108">
        <v>5434</v>
      </c>
      <c r="E2014" t="str">
        <f>VLOOKUP(B2014,CAC!$A$2:$B$198,2,FALSE)</f>
        <v>HMOPERA</v>
      </c>
    </row>
    <row r="2015" spans="1:5" x14ac:dyDescent="0.25">
      <c r="A2015" s="108">
        <v>201608</v>
      </c>
      <c r="B2015" s="109" t="s">
        <v>75</v>
      </c>
      <c r="C2015" s="108">
        <v>25217</v>
      </c>
      <c r="D2015" s="108">
        <v>11588</v>
      </c>
      <c r="E2015" t="str">
        <f>VLOOKUP(B2015,CAC!$A$2:$B$198,2,FALSE)</f>
        <v>HMOPERN</v>
      </c>
    </row>
    <row r="2016" spans="1:5" x14ac:dyDescent="0.25">
      <c r="A2016" s="108">
        <v>201608</v>
      </c>
      <c r="B2016" s="109" t="s">
        <v>218</v>
      </c>
      <c r="C2016" s="108">
        <v>0</v>
      </c>
      <c r="D2016" s="110"/>
      <c r="E2016" t="str">
        <f>VLOOKUP(B2016,CAC!$A$2:$B$198,2,FALSE)</f>
        <v>HMOPERA</v>
      </c>
    </row>
    <row r="2017" spans="1:5" x14ac:dyDescent="0.25">
      <c r="A2017" s="108">
        <v>201608</v>
      </c>
      <c r="B2017" s="109" t="s">
        <v>156</v>
      </c>
      <c r="C2017" s="108">
        <v>25694</v>
      </c>
      <c r="D2017" s="110"/>
      <c r="E2017" t="str">
        <f>VLOOKUP(B2017,CAC!$A$2:$B$198,2,FALSE)</f>
        <v>HMOMM</v>
      </c>
    </row>
    <row r="2018" spans="1:5" x14ac:dyDescent="0.25">
      <c r="A2018" s="108">
        <v>201608</v>
      </c>
      <c r="B2018" s="109" t="s">
        <v>84</v>
      </c>
      <c r="C2018" s="108">
        <v>6678</v>
      </c>
      <c r="D2018" s="110"/>
      <c r="E2018" t="str">
        <f>VLOOKUP(B2018,CAC!$A$2:$B$198,2,FALSE)</f>
        <v>HMOMM</v>
      </c>
    </row>
    <row r="2019" spans="1:5" x14ac:dyDescent="0.25">
      <c r="A2019" s="108">
        <v>201608</v>
      </c>
      <c r="B2019" s="109" t="s">
        <v>162</v>
      </c>
      <c r="C2019" s="108">
        <v>414</v>
      </c>
      <c r="D2019" s="110"/>
      <c r="E2019" t="str">
        <f>VLOOKUP(B2019,CAC!$A$2:$B$198,2,FALSE)</f>
        <v>HMOMG</v>
      </c>
    </row>
    <row r="2020" spans="1:5" x14ac:dyDescent="0.25">
      <c r="A2020" s="108">
        <v>201608</v>
      </c>
      <c r="B2020" s="109" t="s">
        <v>163</v>
      </c>
      <c r="C2020" s="108">
        <v>107</v>
      </c>
      <c r="D2020" s="110"/>
      <c r="E2020" t="str">
        <f>VLOOKUP(B2020,CAC!$A$2:$B$198,2,FALSE)</f>
        <v>HMOMG</v>
      </c>
    </row>
    <row r="2021" spans="1:5" x14ac:dyDescent="0.25">
      <c r="A2021" s="108">
        <v>201608</v>
      </c>
      <c r="B2021" s="109" t="s">
        <v>165</v>
      </c>
      <c r="C2021" s="108">
        <v>0</v>
      </c>
      <c r="D2021" s="110"/>
      <c r="E2021" t="str">
        <f>VLOOKUP(B2021,CAC!$A$2:$B$198,2,FALSE)</f>
        <v>HMOMG</v>
      </c>
    </row>
    <row r="2022" spans="1:5" x14ac:dyDescent="0.25">
      <c r="A2022" s="108">
        <v>201608</v>
      </c>
      <c r="B2022" s="109" t="s">
        <v>85</v>
      </c>
      <c r="C2022" s="108">
        <v>660</v>
      </c>
      <c r="D2022" s="110"/>
      <c r="E2022" t="str">
        <f>VLOOKUP(B2022,CAC!$A$2:$B$198,2,FALSE)</f>
        <v>HMOMG</v>
      </c>
    </row>
    <row r="2023" spans="1:5" x14ac:dyDescent="0.25">
      <c r="A2023" s="108">
        <v>201608</v>
      </c>
      <c r="B2023" s="109" t="s">
        <v>77</v>
      </c>
      <c r="C2023" s="108">
        <v>21895</v>
      </c>
      <c r="D2023" s="110"/>
      <c r="E2023" t="str">
        <f>VLOOKUP(B2023,CAC!$A$2:$B$198,2,FALSE)</f>
        <v>HMOSG</v>
      </c>
    </row>
    <row r="2024" spans="1:5" x14ac:dyDescent="0.25">
      <c r="A2024" s="108">
        <v>201608</v>
      </c>
      <c r="B2024" s="109" t="s">
        <v>78</v>
      </c>
      <c r="C2024" s="108">
        <v>330</v>
      </c>
      <c r="D2024" s="110"/>
      <c r="E2024" t="str">
        <f>VLOOKUP(B2024,CAC!$A$2:$B$198,2,FALSE)</f>
        <v>HMOSG</v>
      </c>
    </row>
    <row r="2025" spans="1:5" x14ac:dyDescent="0.25">
      <c r="A2025" s="108">
        <v>201608</v>
      </c>
      <c r="B2025" s="109" t="s">
        <v>79</v>
      </c>
      <c r="C2025" s="108">
        <v>73</v>
      </c>
      <c r="D2025" s="110"/>
      <c r="E2025" t="str">
        <f>VLOOKUP(B2025,CAC!$A$2:$B$198,2,FALSE)</f>
        <v>HMOSG</v>
      </c>
    </row>
    <row r="2026" spans="1:5" x14ac:dyDescent="0.25">
      <c r="A2026" s="108">
        <v>201608</v>
      </c>
      <c r="B2026" s="109" t="s">
        <v>222</v>
      </c>
      <c r="C2026" s="108">
        <v>0</v>
      </c>
      <c r="D2026" s="110"/>
      <c r="E2026" t="str">
        <f>VLOOKUP(B2026,CAC!$A$2:$B$198,2,FALSE)</f>
        <v>PPOSG</v>
      </c>
    </row>
    <row r="2027" spans="1:5" x14ac:dyDescent="0.25">
      <c r="A2027" s="108">
        <v>201608</v>
      </c>
      <c r="B2027" s="109" t="s">
        <v>225</v>
      </c>
      <c r="C2027" s="108">
        <v>0</v>
      </c>
      <c r="D2027" s="110"/>
      <c r="E2027" t="str">
        <f>VLOOKUP(B2027,CAC!$A$2:$B$198,2,FALSE)</f>
        <v>PPOSG</v>
      </c>
    </row>
    <row r="2028" spans="1:5" x14ac:dyDescent="0.25">
      <c r="A2028" s="108">
        <v>201608</v>
      </c>
      <c r="B2028" s="109" t="s">
        <v>226</v>
      </c>
      <c r="C2028" s="108">
        <v>0</v>
      </c>
      <c r="D2028" s="110"/>
      <c r="E2028" t="str">
        <f>VLOOKUP(B2028,CAC!$A$2:$B$198,2,FALSE)</f>
        <v>PPOSG</v>
      </c>
    </row>
    <row r="2029" spans="1:5" x14ac:dyDescent="0.25">
      <c r="A2029" s="108">
        <v>201608</v>
      </c>
      <c r="B2029" s="109" t="s">
        <v>186</v>
      </c>
      <c r="C2029" s="108">
        <v>0</v>
      </c>
      <c r="D2029" s="110"/>
      <c r="E2029" t="str">
        <f>VLOOKUP(B2029,CAC!$A$2:$B$198,2,FALSE)</f>
        <v>PPOIFP</v>
      </c>
    </row>
    <row r="2030" spans="1:5" x14ac:dyDescent="0.25">
      <c r="A2030" s="108">
        <v>201608</v>
      </c>
      <c r="B2030" s="109" t="s">
        <v>187</v>
      </c>
      <c r="C2030" s="108">
        <v>0</v>
      </c>
      <c r="D2030" s="110"/>
      <c r="E2030" t="str">
        <f>VLOOKUP(B2030,CAC!$A$2:$B$198,2,FALSE)</f>
        <v>PPOIFP</v>
      </c>
    </row>
    <row r="2031" spans="1:5" x14ac:dyDescent="0.25">
      <c r="A2031" s="108">
        <v>201608</v>
      </c>
      <c r="B2031" s="109" t="s">
        <v>188</v>
      </c>
      <c r="C2031" s="108">
        <v>0</v>
      </c>
      <c r="D2031" s="110"/>
      <c r="E2031" t="str">
        <f>VLOOKUP(B2031,CAC!$A$2:$B$198,2,FALSE)</f>
        <v>PPOIFP</v>
      </c>
    </row>
    <row r="2032" spans="1:5" x14ac:dyDescent="0.25">
      <c r="A2032" s="108">
        <v>201608</v>
      </c>
      <c r="B2032" s="109" t="s">
        <v>189</v>
      </c>
      <c r="C2032" s="108">
        <v>0</v>
      </c>
      <c r="D2032" s="110"/>
      <c r="E2032" t="str">
        <f>VLOOKUP(B2032,CAC!$A$2:$B$198,2,FALSE)</f>
        <v>PPOIFP</v>
      </c>
    </row>
    <row r="2033" spans="1:5" x14ac:dyDescent="0.25">
      <c r="A2033" s="108">
        <v>201608</v>
      </c>
      <c r="B2033" s="109" t="s">
        <v>331</v>
      </c>
      <c r="C2033" s="108">
        <v>0</v>
      </c>
      <c r="D2033" s="110"/>
      <c r="E2033" t="e">
        <f>VLOOKUP(B2033,CAC!$A$2:$B$198,2,FALSE)</f>
        <v>#N/A</v>
      </c>
    </row>
    <row r="2034" spans="1:5" x14ac:dyDescent="0.25">
      <c r="A2034" s="108">
        <v>201608</v>
      </c>
      <c r="B2034" s="109" t="s">
        <v>216</v>
      </c>
      <c r="C2034" s="108">
        <v>0</v>
      </c>
      <c r="D2034" s="110"/>
      <c r="E2034" t="str">
        <f>VLOOKUP(B2034,CAC!$A$2:$B$198,2,FALSE)</f>
        <v>PPOMM</v>
      </c>
    </row>
    <row r="2035" spans="1:5" x14ac:dyDescent="0.25">
      <c r="A2035" s="108">
        <v>201608</v>
      </c>
      <c r="B2035" s="109" t="s">
        <v>301</v>
      </c>
      <c r="C2035" s="108">
        <v>0</v>
      </c>
      <c r="D2035" s="110"/>
      <c r="E2035" t="str">
        <f>VLOOKUP(B2035,CAC!$A$2:$B$198,2,FALSE)</f>
        <v>XXX</v>
      </c>
    </row>
    <row r="2036" spans="1:5" x14ac:dyDescent="0.25">
      <c r="A2036" s="108">
        <v>201609</v>
      </c>
      <c r="B2036" s="109" t="s">
        <v>51</v>
      </c>
      <c r="C2036" s="108">
        <v>23</v>
      </c>
      <c r="D2036" s="110"/>
      <c r="E2036" t="str">
        <f>VLOOKUP(B2036,CAC!$A$2:$B$198,2,FALSE)</f>
        <v>XXX</v>
      </c>
    </row>
    <row r="2037" spans="1:5" x14ac:dyDescent="0.25">
      <c r="A2037" s="108">
        <v>201609</v>
      </c>
      <c r="B2037" s="109" t="s">
        <v>303</v>
      </c>
      <c r="C2037" s="108">
        <v>0</v>
      </c>
      <c r="D2037" s="110"/>
      <c r="E2037" t="e">
        <f>VLOOKUP(B2037,CAC!$A$2:$B$198,2,FALSE)</f>
        <v>#N/A</v>
      </c>
    </row>
    <row r="2038" spans="1:5" x14ac:dyDescent="0.25">
      <c r="A2038" s="108">
        <v>201609</v>
      </c>
      <c r="B2038" s="109" t="s">
        <v>304</v>
      </c>
      <c r="C2038" s="108">
        <v>0</v>
      </c>
      <c r="D2038" s="110"/>
      <c r="E2038" t="e">
        <f>VLOOKUP(B2038,CAC!$A$2:$B$198,2,FALSE)</f>
        <v>#N/A</v>
      </c>
    </row>
    <row r="2039" spans="1:5" x14ac:dyDescent="0.25">
      <c r="A2039" s="108">
        <v>201609</v>
      </c>
      <c r="B2039" s="109" t="s">
        <v>323</v>
      </c>
      <c r="C2039" s="108">
        <v>0</v>
      </c>
      <c r="D2039" s="110"/>
      <c r="E2039" t="e">
        <f>VLOOKUP(B2039,CAC!$A$2:$B$198,2,FALSE)</f>
        <v>#N/A</v>
      </c>
    </row>
    <row r="2040" spans="1:5" x14ac:dyDescent="0.25">
      <c r="A2040" s="108">
        <v>201609</v>
      </c>
      <c r="B2040" s="109" t="s">
        <v>305</v>
      </c>
      <c r="C2040" s="108">
        <v>0</v>
      </c>
      <c r="D2040" s="110"/>
      <c r="E2040" t="e">
        <f>VLOOKUP(B2040,CAC!$A$2:$B$198,2,FALSE)</f>
        <v>#N/A</v>
      </c>
    </row>
    <row r="2041" spans="1:5" x14ac:dyDescent="0.25">
      <c r="A2041" s="108">
        <v>201609</v>
      </c>
      <c r="B2041" s="109" t="s">
        <v>324</v>
      </c>
      <c r="C2041" s="108">
        <v>0</v>
      </c>
      <c r="D2041" s="110"/>
      <c r="E2041" t="e">
        <f>VLOOKUP(B2041,CAC!$A$2:$B$198,2,FALSE)</f>
        <v>#N/A</v>
      </c>
    </row>
    <row r="2042" spans="1:5" x14ac:dyDescent="0.25">
      <c r="A2042" s="108">
        <v>201609</v>
      </c>
      <c r="B2042" s="109" t="s">
        <v>327</v>
      </c>
      <c r="C2042" s="108">
        <v>0</v>
      </c>
      <c r="D2042" s="110"/>
      <c r="E2042" t="e">
        <f>VLOOKUP(B2042,CAC!$A$2:$B$198,2,FALSE)</f>
        <v>#N/A</v>
      </c>
    </row>
    <row r="2043" spans="1:5" x14ac:dyDescent="0.25">
      <c r="A2043" s="108">
        <v>201609</v>
      </c>
      <c r="B2043" s="109" t="s">
        <v>318</v>
      </c>
      <c r="C2043" s="108">
        <v>0</v>
      </c>
      <c r="D2043" s="110"/>
      <c r="E2043" t="e">
        <f>VLOOKUP(B2043,CAC!$A$2:$B$198,2,FALSE)</f>
        <v>#N/A</v>
      </c>
    </row>
    <row r="2044" spans="1:5" x14ac:dyDescent="0.25">
      <c r="A2044" s="108">
        <v>201609</v>
      </c>
      <c r="B2044" s="109" t="s">
        <v>326</v>
      </c>
      <c r="C2044" s="108">
        <v>0</v>
      </c>
      <c r="D2044" s="110"/>
      <c r="E2044" t="e">
        <f>VLOOKUP(B2044,CAC!$A$2:$B$198,2,FALSE)</f>
        <v>#N/A</v>
      </c>
    </row>
    <row r="2045" spans="1:5" x14ac:dyDescent="0.25">
      <c r="A2045" s="108">
        <v>201609</v>
      </c>
      <c r="B2045" s="109" t="s">
        <v>231</v>
      </c>
      <c r="C2045" s="108">
        <v>0</v>
      </c>
      <c r="D2045" s="110"/>
      <c r="E2045" t="str">
        <f>VLOOKUP(B2045,CAC!$A$2:$B$198,2,FALSE)</f>
        <v>DOILG</v>
      </c>
    </row>
    <row r="2046" spans="1:5" x14ac:dyDescent="0.25">
      <c r="A2046" s="108">
        <v>201609</v>
      </c>
      <c r="B2046" s="109" t="s">
        <v>233</v>
      </c>
      <c r="C2046" s="108">
        <v>0</v>
      </c>
      <c r="D2046" s="110"/>
      <c r="E2046" t="str">
        <f>VLOOKUP(B2046,CAC!$A$2:$B$198,2,FALSE)</f>
        <v>DOILG</v>
      </c>
    </row>
    <row r="2047" spans="1:5" x14ac:dyDescent="0.25">
      <c r="A2047" s="108">
        <v>201609</v>
      </c>
      <c r="B2047" s="109" t="s">
        <v>235</v>
      </c>
      <c r="C2047" s="108">
        <v>0</v>
      </c>
      <c r="D2047" s="110"/>
      <c r="E2047" t="str">
        <f>VLOOKUP(B2047,CAC!$A$2:$B$198,2,FALSE)</f>
        <v>DOILG</v>
      </c>
    </row>
    <row r="2048" spans="1:5" x14ac:dyDescent="0.25">
      <c r="A2048" s="108">
        <v>201609</v>
      </c>
      <c r="B2048" s="109" t="s">
        <v>237</v>
      </c>
      <c r="C2048" s="108">
        <v>0</v>
      </c>
      <c r="D2048" s="110"/>
      <c r="E2048" t="str">
        <f>VLOOKUP(B2048,CAC!$A$2:$B$198,2,FALSE)</f>
        <v>DOILG</v>
      </c>
    </row>
    <row r="2049" spans="1:5" x14ac:dyDescent="0.25">
      <c r="A2049" s="108">
        <v>201609</v>
      </c>
      <c r="B2049" s="109" t="s">
        <v>247</v>
      </c>
      <c r="C2049" s="108">
        <v>0</v>
      </c>
      <c r="D2049" s="110"/>
      <c r="E2049" t="str">
        <f>VLOOKUP(B2049,CAC!$A$2:$B$198,2,FALSE)</f>
        <v>DOIIFP</v>
      </c>
    </row>
    <row r="2050" spans="1:5" x14ac:dyDescent="0.25">
      <c r="A2050" s="108">
        <v>201609</v>
      </c>
      <c r="B2050" s="109" t="s">
        <v>238</v>
      </c>
      <c r="C2050" s="108">
        <v>0</v>
      </c>
      <c r="D2050" s="110"/>
      <c r="E2050" t="str">
        <f>VLOOKUP(B2050,CAC!$A$2:$B$198,2,FALSE)</f>
        <v>DOILG</v>
      </c>
    </row>
    <row r="2051" spans="1:5" x14ac:dyDescent="0.25">
      <c r="A2051" s="108">
        <v>201609</v>
      </c>
      <c r="B2051" s="109" t="s">
        <v>248</v>
      </c>
      <c r="C2051" s="108">
        <v>0</v>
      </c>
      <c r="D2051" s="110"/>
      <c r="E2051" t="str">
        <f>VLOOKUP(B2051,CAC!$A$2:$B$198,2,FALSE)</f>
        <v>DOIIFP</v>
      </c>
    </row>
    <row r="2052" spans="1:5" x14ac:dyDescent="0.25">
      <c r="A2052" s="108">
        <v>201609</v>
      </c>
      <c r="B2052" s="109" t="s">
        <v>273</v>
      </c>
      <c r="C2052" s="108">
        <v>0</v>
      </c>
      <c r="D2052" s="110"/>
      <c r="E2052" t="str">
        <f>VLOOKUP(B2052,CAC!$A$2:$B$198,2,FALSE)</f>
        <v>AGDMHC</v>
      </c>
    </row>
    <row r="2053" spans="1:5" x14ac:dyDescent="0.25">
      <c r="A2053" s="108">
        <v>201609</v>
      </c>
      <c r="B2053" s="109" t="s">
        <v>328</v>
      </c>
      <c r="C2053" s="108">
        <v>0</v>
      </c>
      <c r="D2053" s="110"/>
      <c r="E2053" t="e">
        <f>VLOOKUP(B2053,CAC!$A$2:$B$198,2,FALSE)</f>
        <v>#N/A</v>
      </c>
    </row>
    <row r="2054" spans="1:5" x14ac:dyDescent="0.25">
      <c r="A2054" s="108">
        <v>201609</v>
      </c>
      <c r="B2054" s="109" t="s">
        <v>253</v>
      </c>
      <c r="C2054" s="108">
        <v>0</v>
      </c>
      <c r="D2054" s="110"/>
      <c r="E2054" t="str">
        <f>VLOOKUP(B2054,CAC!$A$2:$B$198,2,FALSE)</f>
        <v>AGDMHC</v>
      </c>
    </row>
    <row r="2055" spans="1:5" x14ac:dyDescent="0.25">
      <c r="A2055" s="108">
        <v>201609</v>
      </c>
      <c r="B2055" s="109" t="s">
        <v>325</v>
      </c>
      <c r="C2055" s="108">
        <v>0</v>
      </c>
      <c r="D2055" s="110"/>
      <c r="E2055" t="e">
        <f>VLOOKUP(B2055,CAC!$A$2:$B$198,2,FALSE)</f>
        <v>#N/A</v>
      </c>
    </row>
    <row r="2056" spans="1:5" x14ac:dyDescent="0.25">
      <c r="A2056" s="108">
        <v>201609</v>
      </c>
      <c r="B2056" s="109" t="s">
        <v>255</v>
      </c>
      <c r="C2056" s="108">
        <v>0</v>
      </c>
      <c r="D2056" s="110"/>
      <c r="E2056" t="str">
        <f>VLOOKUP(B2056,CAC!$A$2:$B$198,2,FALSE)</f>
        <v>AGDMHC</v>
      </c>
    </row>
    <row r="2057" spans="1:5" x14ac:dyDescent="0.25">
      <c r="A2057" s="108">
        <v>201609</v>
      </c>
      <c r="B2057" s="109" t="s">
        <v>256</v>
      </c>
      <c r="C2057" s="108">
        <v>0</v>
      </c>
      <c r="D2057" s="110"/>
      <c r="E2057" t="str">
        <f>VLOOKUP(B2057,CAC!$A$2:$B$198,2,FALSE)</f>
        <v>AGDMHC</v>
      </c>
    </row>
    <row r="2058" spans="1:5" x14ac:dyDescent="0.25">
      <c r="A2058" s="108">
        <v>201609</v>
      </c>
      <c r="B2058" s="109" t="s">
        <v>257</v>
      </c>
      <c r="C2058" s="108">
        <v>0</v>
      </c>
      <c r="D2058" s="110"/>
      <c r="E2058" t="str">
        <f>VLOOKUP(B2058,CAC!$A$2:$B$198,2,FALSE)</f>
        <v>AGDMHC</v>
      </c>
    </row>
    <row r="2059" spans="1:5" x14ac:dyDescent="0.25">
      <c r="A2059" s="108">
        <v>201609</v>
      </c>
      <c r="B2059" s="109" t="s">
        <v>258</v>
      </c>
      <c r="C2059" s="108">
        <v>0</v>
      </c>
      <c r="D2059" s="110"/>
      <c r="E2059" t="str">
        <f>VLOOKUP(B2059,CAC!$A$2:$B$198,2,FALSE)</f>
        <v>AGDMHC</v>
      </c>
    </row>
    <row r="2060" spans="1:5" x14ac:dyDescent="0.25">
      <c r="A2060" s="108">
        <v>201609</v>
      </c>
      <c r="B2060" s="109" t="s">
        <v>259</v>
      </c>
      <c r="C2060" s="108">
        <v>0</v>
      </c>
      <c r="D2060" s="110"/>
      <c r="E2060" t="str">
        <f>VLOOKUP(B2060,CAC!$A$2:$B$198,2,FALSE)</f>
        <v>AGDMHC</v>
      </c>
    </row>
    <row r="2061" spans="1:5" x14ac:dyDescent="0.25">
      <c r="A2061" s="108">
        <v>201609</v>
      </c>
      <c r="B2061" s="109" t="s">
        <v>329</v>
      </c>
      <c r="C2061" s="108">
        <v>0</v>
      </c>
      <c r="D2061" s="110"/>
      <c r="E2061" t="e">
        <f>VLOOKUP(B2061,CAC!$A$2:$B$198,2,FALSE)</f>
        <v>#N/A</v>
      </c>
    </row>
    <row r="2062" spans="1:5" x14ac:dyDescent="0.25">
      <c r="A2062" s="108">
        <v>201609</v>
      </c>
      <c r="B2062" s="109" t="s">
        <v>262</v>
      </c>
      <c r="C2062" s="108">
        <v>0</v>
      </c>
      <c r="D2062" s="110"/>
      <c r="E2062" t="str">
        <f>VLOOKUP(B2062,CAC!$A$2:$B$198,2,FALSE)</f>
        <v>AGDMHC</v>
      </c>
    </row>
    <row r="2063" spans="1:5" x14ac:dyDescent="0.25">
      <c r="A2063" s="108">
        <v>201609</v>
      </c>
      <c r="B2063" s="109" t="s">
        <v>269</v>
      </c>
      <c r="C2063" s="108">
        <v>0</v>
      </c>
      <c r="D2063" s="110"/>
      <c r="E2063" t="str">
        <f>VLOOKUP(B2063,CAC!$A$2:$B$198,2,FALSE)</f>
        <v>AGDMHC</v>
      </c>
    </row>
    <row r="2064" spans="1:5" x14ac:dyDescent="0.25">
      <c r="A2064" s="108">
        <v>201609</v>
      </c>
      <c r="B2064" s="109" t="s">
        <v>319</v>
      </c>
      <c r="C2064" s="108">
        <v>0</v>
      </c>
      <c r="D2064" s="110"/>
      <c r="E2064" t="e">
        <f>VLOOKUP(B2064,CAC!$A$2:$B$198,2,FALSE)</f>
        <v>#N/A</v>
      </c>
    </row>
    <row r="2065" spans="1:5" x14ac:dyDescent="0.25">
      <c r="A2065" s="108">
        <v>201609</v>
      </c>
      <c r="B2065" s="109" t="s">
        <v>267</v>
      </c>
      <c r="C2065" s="108">
        <v>0</v>
      </c>
      <c r="D2065" s="110"/>
      <c r="E2065" t="str">
        <f>VLOOKUP(B2065,CAC!$A$2:$B$198,2,FALSE)</f>
        <v>AGDMHC</v>
      </c>
    </row>
    <row r="2066" spans="1:5" x14ac:dyDescent="0.25">
      <c r="A2066" s="108">
        <v>201609</v>
      </c>
      <c r="B2066" s="109" t="s">
        <v>268</v>
      </c>
      <c r="C2066" s="108">
        <v>0</v>
      </c>
      <c r="D2066" s="110"/>
      <c r="E2066" t="str">
        <f>VLOOKUP(B2066,CAC!$A$2:$B$198,2,FALSE)</f>
        <v>AGDMHC</v>
      </c>
    </row>
    <row r="2067" spans="1:5" x14ac:dyDescent="0.25">
      <c r="A2067" s="108">
        <v>201609</v>
      </c>
      <c r="B2067" s="109" t="s">
        <v>52</v>
      </c>
      <c r="C2067" s="108">
        <v>15637</v>
      </c>
      <c r="D2067" s="110"/>
      <c r="E2067" t="str">
        <f>VLOOKUP(B2067,CAC!$A$2:$B$198,2,FALSE)</f>
        <v>HMOPMR</v>
      </c>
    </row>
    <row r="2068" spans="1:5" x14ac:dyDescent="0.25">
      <c r="A2068" s="108">
        <v>201609</v>
      </c>
      <c r="B2068" s="109" t="s">
        <v>53</v>
      </c>
      <c r="C2068" s="108">
        <v>4706</v>
      </c>
      <c r="D2068" s="110"/>
      <c r="E2068" t="str">
        <f>VLOOKUP(B2068,CAC!$A$2:$B$198,2,FALSE)</f>
        <v>HMOPMR</v>
      </c>
    </row>
    <row r="2069" spans="1:5" x14ac:dyDescent="0.25">
      <c r="A2069" s="108">
        <v>201609</v>
      </c>
      <c r="B2069" s="109" t="s">
        <v>54</v>
      </c>
      <c r="C2069" s="108">
        <v>6060</v>
      </c>
      <c r="D2069" s="110"/>
      <c r="E2069" t="str">
        <f>VLOOKUP(B2069,CAC!$A$2:$B$198,2,FALSE)</f>
        <v>HMOFEP</v>
      </c>
    </row>
    <row r="2070" spans="1:5" x14ac:dyDescent="0.25">
      <c r="A2070" s="108">
        <v>201609</v>
      </c>
      <c r="B2070" s="109" t="s">
        <v>279</v>
      </c>
      <c r="C2070" s="108">
        <v>0</v>
      </c>
      <c r="D2070" s="110"/>
      <c r="E2070" t="str">
        <f>VLOOKUP(B2070,CAC!$A$2:$B$198,2,FALSE)</f>
        <v>PPOFEP</v>
      </c>
    </row>
    <row r="2071" spans="1:5" x14ac:dyDescent="0.25">
      <c r="A2071" s="108">
        <v>201609</v>
      </c>
      <c r="B2071" s="109" t="s">
        <v>202</v>
      </c>
      <c r="C2071" s="108">
        <v>0</v>
      </c>
      <c r="D2071" s="110"/>
      <c r="E2071" t="str">
        <f>VLOOKUP(B2071,CAC!$A$2:$B$198,2,FALSE)</f>
        <v>PPOPMR</v>
      </c>
    </row>
    <row r="2072" spans="1:5" x14ac:dyDescent="0.25">
      <c r="A2072" s="108">
        <v>201609</v>
      </c>
      <c r="B2072" s="109" t="s">
        <v>55</v>
      </c>
      <c r="C2072" s="108">
        <v>14822</v>
      </c>
      <c r="D2072" s="110"/>
      <c r="E2072" t="str">
        <f>VLOOKUP(B2072,CAC!$A$2:$B$198,2,FALSE)</f>
        <v>HMOPMR</v>
      </c>
    </row>
    <row r="2073" spans="1:5" x14ac:dyDescent="0.25">
      <c r="A2073" s="108">
        <v>201609</v>
      </c>
      <c r="B2073" s="109" t="s">
        <v>56</v>
      </c>
      <c r="C2073" s="108">
        <v>123</v>
      </c>
      <c r="D2073" s="110"/>
      <c r="E2073" t="str">
        <f>VLOOKUP(B2073,CAC!$A$2:$B$198,2,FALSE)</f>
        <v>HMOPMR</v>
      </c>
    </row>
    <row r="2074" spans="1:5" x14ac:dyDescent="0.25">
      <c r="A2074" s="108">
        <v>201609</v>
      </c>
      <c r="B2074" s="109" t="s">
        <v>83</v>
      </c>
      <c r="C2074" s="108">
        <v>1974</v>
      </c>
      <c r="D2074" s="110"/>
      <c r="E2074" t="str">
        <f>VLOOKUP(B2074,CAC!$A$2:$B$198,2,FALSE)</f>
        <v>HMOPMR</v>
      </c>
    </row>
    <row r="2075" spans="1:5" x14ac:dyDescent="0.25">
      <c r="A2075" s="108">
        <v>201609</v>
      </c>
      <c r="B2075" s="109" t="s">
        <v>57</v>
      </c>
      <c r="C2075" s="108">
        <v>4215</v>
      </c>
      <c r="D2075" s="110"/>
      <c r="E2075" t="str">
        <f>VLOOKUP(B2075,CAC!$A$2:$B$198,2,FALSE)</f>
        <v>HMFLEX</v>
      </c>
    </row>
    <row r="2076" spans="1:5" x14ac:dyDescent="0.25">
      <c r="A2076" s="108">
        <v>201609</v>
      </c>
      <c r="B2076" s="109" t="s">
        <v>58</v>
      </c>
      <c r="C2076" s="108">
        <v>358</v>
      </c>
      <c r="D2076" s="110"/>
      <c r="E2076" t="str">
        <f>VLOOKUP(B2076,CAC!$A$2:$B$198,2,FALSE)</f>
        <v>HMFLEX</v>
      </c>
    </row>
    <row r="2077" spans="1:5" x14ac:dyDescent="0.25">
      <c r="A2077" s="108">
        <v>201609</v>
      </c>
      <c r="B2077" s="109" t="s">
        <v>306</v>
      </c>
      <c r="C2077" s="108">
        <v>0</v>
      </c>
      <c r="D2077" s="110"/>
      <c r="E2077" t="e">
        <f>VLOOKUP(B2077,CAC!$A$2:$B$198,2,FALSE)</f>
        <v>#N/A</v>
      </c>
    </row>
    <row r="2078" spans="1:5" x14ac:dyDescent="0.25">
      <c r="A2078" s="108">
        <v>201609</v>
      </c>
      <c r="B2078" s="109" t="s">
        <v>283</v>
      </c>
      <c r="C2078" s="108">
        <v>0</v>
      </c>
      <c r="D2078" s="110"/>
      <c r="E2078" t="str">
        <f>VLOOKUP(B2078,CAC!$A$2:$B$198,2,FALSE)</f>
        <v>HMFLEX</v>
      </c>
    </row>
    <row r="2079" spans="1:5" x14ac:dyDescent="0.25">
      <c r="A2079" s="108">
        <v>201609</v>
      </c>
      <c r="B2079" s="109" t="s">
        <v>205</v>
      </c>
      <c r="C2079" s="108">
        <v>0</v>
      </c>
      <c r="D2079" s="110"/>
      <c r="E2079" t="str">
        <f>VLOOKUP(B2079,CAC!$A$2:$B$198,2,FALSE)</f>
        <v>PPOPMR</v>
      </c>
    </row>
    <row r="2080" spans="1:5" x14ac:dyDescent="0.25">
      <c r="A2080" s="108">
        <v>201609</v>
      </c>
      <c r="B2080" s="109" t="s">
        <v>60</v>
      </c>
      <c r="C2080" s="108">
        <v>13252</v>
      </c>
      <c r="D2080" s="110"/>
      <c r="E2080" t="str">
        <f>VLOOKUP(B2080,CAC!$A$2:$B$198,2,FALSE)</f>
        <v>HMOLG</v>
      </c>
    </row>
    <row r="2081" spans="1:5" x14ac:dyDescent="0.25">
      <c r="A2081" s="108">
        <v>201609</v>
      </c>
      <c r="B2081" s="109" t="s">
        <v>61</v>
      </c>
      <c r="C2081" s="108">
        <v>714</v>
      </c>
      <c r="D2081" s="110"/>
      <c r="E2081" t="str">
        <f>VLOOKUP(B2081,CAC!$A$2:$B$198,2,FALSE)</f>
        <v>HMOLG</v>
      </c>
    </row>
    <row r="2082" spans="1:5" x14ac:dyDescent="0.25">
      <c r="A2082" s="108">
        <v>201609</v>
      </c>
      <c r="B2082" s="109" t="s">
        <v>62</v>
      </c>
      <c r="C2082" s="108">
        <v>21994</v>
      </c>
      <c r="D2082" s="110"/>
      <c r="E2082" t="str">
        <f>VLOOKUP(B2082,CAC!$A$2:$B$198,2,FALSE)</f>
        <v>HMOLG</v>
      </c>
    </row>
    <row r="2083" spans="1:5" x14ac:dyDescent="0.25">
      <c r="A2083" s="108">
        <v>201609</v>
      </c>
      <c r="B2083" s="109" t="s">
        <v>86</v>
      </c>
      <c r="C2083" s="108">
        <v>321</v>
      </c>
      <c r="D2083" s="110"/>
      <c r="E2083" t="str">
        <f>VLOOKUP(B2083,CAC!$A$2:$B$198,2,FALSE)</f>
        <v>HMOLG</v>
      </c>
    </row>
    <row r="2084" spans="1:5" x14ac:dyDescent="0.25">
      <c r="A2084" s="108">
        <v>201609</v>
      </c>
      <c r="B2084" s="109" t="s">
        <v>63</v>
      </c>
      <c r="C2084" s="108">
        <v>99</v>
      </c>
      <c r="D2084" s="110"/>
      <c r="E2084" t="str">
        <f>VLOOKUP(B2084,CAC!$A$2:$B$198,2,FALSE)</f>
        <v>HMOLG</v>
      </c>
    </row>
    <row r="2085" spans="1:5" x14ac:dyDescent="0.25">
      <c r="A2085" s="108">
        <v>201609</v>
      </c>
      <c r="B2085" s="109" t="s">
        <v>64</v>
      </c>
      <c r="C2085" s="108">
        <v>0</v>
      </c>
      <c r="D2085" s="110"/>
      <c r="E2085" t="str">
        <f>VLOOKUP(B2085,CAC!$A$2:$B$198,2,FALSE)</f>
        <v>HMOLG</v>
      </c>
    </row>
    <row r="2086" spans="1:5" x14ac:dyDescent="0.25">
      <c r="A2086" s="108">
        <v>201609</v>
      </c>
      <c r="B2086" s="109" t="s">
        <v>65</v>
      </c>
      <c r="C2086" s="108">
        <v>216</v>
      </c>
      <c r="D2086" s="110"/>
      <c r="E2086" t="str">
        <f>VLOOKUP(B2086,CAC!$A$2:$B$198,2,FALSE)</f>
        <v>HMFLEX</v>
      </c>
    </row>
    <row r="2087" spans="1:5" x14ac:dyDescent="0.25">
      <c r="A2087" s="108">
        <v>201609</v>
      </c>
      <c r="B2087" s="109" t="s">
        <v>307</v>
      </c>
      <c r="C2087" s="108">
        <v>0</v>
      </c>
      <c r="D2087" s="110"/>
      <c r="E2087" t="e">
        <f>VLOOKUP(B2087,CAC!$A$2:$B$198,2,FALSE)</f>
        <v>#N/A</v>
      </c>
    </row>
    <row r="2088" spans="1:5" x14ac:dyDescent="0.25">
      <c r="A2088" s="108">
        <v>201609</v>
      </c>
      <c r="B2088" s="109" t="s">
        <v>308</v>
      </c>
      <c r="C2088" s="108">
        <v>0</v>
      </c>
      <c r="D2088" s="110"/>
      <c r="E2088" t="e">
        <f>VLOOKUP(B2088,CAC!$A$2:$B$198,2,FALSE)</f>
        <v>#N/A</v>
      </c>
    </row>
    <row r="2089" spans="1:5" x14ac:dyDescent="0.25">
      <c r="A2089" s="108">
        <v>201609</v>
      </c>
      <c r="B2089" s="109" t="s">
        <v>309</v>
      </c>
      <c r="C2089" s="108">
        <v>0</v>
      </c>
      <c r="D2089" s="110"/>
      <c r="E2089" t="e">
        <f>VLOOKUP(B2089,CAC!$A$2:$B$198,2,FALSE)</f>
        <v>#N/A</v>
      </c>
    </row>
    <row r="2090" spans="1:5" x14ac:dyDescent="0.25">
      <c r="A2090" s="108">
        <v>201609</v>
      </c>
      <c r="B2090" s="109" t="s">
        <v>99</v>
      </c>
      <c r="C2090" s="108">
        <v>0</v>
      </c>
      <c r="D2090" s="110"/>
      <c r="E2090" t="str">
        <f>VLOOKUP(B2090,CAC!$A$2:$B$198,2,FALSE)</f>
        <v>PPOLG</v>
      </c>
    </row>
    <row r="2091" spans="1:5" x14ac:dyDescent="0.25">
      <c r="A2091" s="108">
        <v>201609</v>
      </c>
      <c r="B2091" s="109" t="s">
        <v>193</v>
      </c>
      <c r="C2091" s="108">
        <v>0</v>
      </c>
      <c r="D2091" s="110"/>
      <c r="E2091" t="str">
        <f>VLOOKUP(B2091,CAC!$A$2:$B$198,2,FALSE)</f>
        <v>PPOLG</v>
      </c>
    </row>
    <row r="2092" spans="1:5" x14ac:dyDescent="0.25">
      <c r="A2092" s="108">
        <v>201609</v>
      </c>
      <c r="B2092" s="109" t="s">
        <v>196</v>
      </c>
      <c r="C2092" s="108">
        <v>0</v>
      </c>
      <c r="D2092" s="110"/>
      <c r="E2092" t="str">
        <f>VLOOKUP(B2092,CAC!$A$2:$B$198,2,FALSE)</f>
        <v>PPOLG</v>
      </c>
    </row>
    <row r="2093" spans="1:5" x14ac:dyDescent="0.25">
      <c r="A2093" s="108">
        <v>201609</v>
      </c>
      <c r="B2093" s="109" t="s">
        <v>212</v>
      </c>
      <c r="C2093" s="108">
        <v>0</v>
      </c>
      <c r="D2093" s="110"/>
      <c r="E2093" t="str">
        <f>VLOOKUP(B2093,CAC!$A$2:$B$198,2,FALSE)</f>
        <v>PPOMM</v>
      </c>
    </row>
    <row r="2094" spans="1:5" x14ac:dyDescent="0.25">
      <c r="A2094" s="108">
        <v>201609</v>
      </c>
      <c r="B2094" s="109" t="s">
        <v>213</v>
      </c>
      <c r="C2094" s="108">
        <v>0</v>
      </c>
      <c r="D2094" s="110"/>
      <c r="E2094" t="str">
        <f>VLOOKUP(B2094,CAC!$A$2:$B$198,2,FALSE)</f>
        <v>PPOMM</v>
      </c>
    </row>
    <row r="2095" spans="1:5" x14ac:dyDescent="0.25">
      <c r="A2095" s="108">
        <v>201609</v>
      </c>
      <c r="B2095" s="109" t="s">
        <v>311</v>
      </c>
      <c r="C2095" s="108">
        <v>0</v>
      </c>
      <c r="D2095" s="110"/>
      <c r="E2095" t="e">
        <f>VLOOKUP(B2095,CAC!$A$2:$B$198,2,FALSE)</f>
        <v>#N/A</v>
      </c>
    </row>
    <row r="2096" spans="1:5" x14ac:dyDescent="0.25">
      <c r="A2096" s="108">
        <v>201609</v>
      </c>
      <c r="B2096" s="109" t="s">
        <v>320</v>
      </c>
      <c r="C2096" s="108">
        <v>0</v>
      </c>
      <c r="D2096" s="110"/>
      <c r="E2096" t="e">
        <f>VLOOKUP(B2096,CAC!$A$2:$B$198,2,FALSE)</f>
        <v>#N/A</v>
      </c>
    </row>
    <row r="2097" spans="1:5" x14ac:dyDescent="0.25">
      <c r="A2097" s="108">
        <v>201609</v>
      </c>
      <c r="B2097" s="109" t="s">
        <v>321</v>
      </c>
      <c r="C2097" s="108">
        <v>0</v>
      </c>
      <c r="D2097" s="110"/>
      <c r="E2097" t="e">
        <f>VLOOKUP(B2097,CAC!$A$2:$B$198,2,FALSE)</f>
        <v>#N/A</v>
      </c>
    </row>
    <row r="2098" spans="1:5" x14ac:dyDescent="0.25">
      <c r="A2098" s="108">
        <v>201609</v>
      </c>
      <c r="B2098" s="109" t="s">
        <v>312</v>
      </c>
      <c r="C2098" s="108">
        <v>0</v>
      </c>
      <c r="D2098" s="110"/>
      <c r="E2098" t="e">
        <f>VLOOKUP(B2098,CAC!$A$2:$B$198,2,FALSE)</f>
        <v>#N/A</v>
      </c>
    </row>
    <row r="2099" spans="1:5" x14ac:dyDescent="0.25">
      <c r="A2099" s="108">
        <v>201609</v>
      </c>
      <c r="B2099" s="109" t="s">
        <v>215</v>
      </c>
      <c r="C2099" s="108">
        <v>0</v>
      </c>
      <c r="D2099" s="110"/>
      <c r="E2099" t="str">
        <f>VLOOKUP(B2099,CAC!$A$2:$B$198,2,FALSE)</f>
        <v>PPOMM</v>
      </c>
    </row>
    <row r="2100" spans="1:5" x14ac:dyDescent="0.25">
      <c r="A2100" s="108">
        <v>201609</v>
      </c>
      <c r="B2100" s="109" t="s">
        <v>66</v>
      </c>
      <c r="C2100" s="108">
        <v>4123</v>
      </c>
      <c r="D2100" s="110"/>
      <c r="E2100" t="str">
        <f>VLOOKUP(B2100,CAC!$A$2:$B$198,2,FALSE)</f>
        <v>HMOLG</v>
      </c>
    </row>
    <row r="2101" spans="1:5" x14ac:dyDescent="0.25">
      <c r="A2101" s="108">
        <v>201609</v>
      </c>
      <c r="B2101" s="109" t="s">
        <v>82</v>
      </c>
      <c r="C2101" s="108">
        <v>2</v>
      </c>
      <c r="D2101" s="110"/>
      <c r="E2101" t="str">
        <f>VLOOKUP(B2101,CAC!$A$2:$B$198,2,FALSE)</f>
        <v>NATPAR</v>
      </c>
    </row>
    <row r="2102" spans="1:5" x14ac:dyDescent="0.25">
      <c r="A2102" s="108">
        <v>201609</v>
      </c>
      <c r="B2102" s="109" t="s">
        <v>67</v>
      </c>
      <c r="C2102" s="108">
        <v>151</v>
      </c>
      <c r="D2102" s="110"/>
      <c r="E2102" t="str">
        <f>VLOOKUP(B2102,CAC!$A$2:$B$198,2,FALSE)</f>
        <v>HMOLG</v>
      </c>
    </row>
    <row r="2103" spans="1:5" x14ac:dyDescent="0.25">
      <c r="A2103" s="108">
        <v>201609</v>
      </c>
      <c r="B2103" s="109" t="s">
        <v>68</v>
      </c>
      <c r="C2103" s="108">
        <v>278</v>
      </c>
      <c r="D2103" s="110"/>
      <c r="E2103" t="str">
        <f>VLOOKUP(B2103,CAC!$A$2:$B$198,2,FALSE)</f>
        <v>HMOPMR</v>
      </c>
    </row>
    <row r="2104" spans="1:5" x14ac:dyDescent="0.25">
      <c r="A2104" s="108">
        <v>201609</v>
      </c>
      <c r="B2104" s="109" t="s">
        <v>69</v>
      </c>
      <c r="C2104" s="108">
        <v>9669</v>
      </c>
      <c r="D2104" s="110"/>
      <c r="E2104" t="str">
        <f>VLOOKUP(B2104,CAC!$A$2:$B$198,2,FALSE)</f>
        <v>HMOPMR</v>
      </c>
    </row>
    <row r="2105" spans="1:5" x14ac:dyDescent="0.25">
      <c r="A2105" s="108">
        <v>201609</v>
      </c>
      <c r="B2105" s="109" t="s">
        <v>70</v>
      </c>
      <c r="C2105" s="108">
        <v>4113</v>
      </c>
      <c r="D2105" s="110"/>
      <c r="E2105" t="str">
        <f>VLOOKUP(B2105,CAC!$A$2:$B$198,2,FALSE)</f>
        <v>HMOPMR</v>
      </c>
    </row>
    <row r="2106" spans="1:5" x14ac:dyDescent="0.25">
      <c r="A2106" s="108">
        <v>201609</v>
      </c>
      <c r="B2106" s="109" t="s">
        <v>71</v>
      </c>
      <c r="C2106" s="108">
        <v>6812</v>
      </c>
      <c r="D2106" s="110"/>
      <c r="E2106" t="str">
        <f>VLOOKUP(B2106,CAC!$A$2:$B$198,2,FALSE)</f>
        <v>HMOPMR</v>
      </c>
    </row>
    <row r="2107" spans="1:5" x14ac:dyDescent="0.25">
      <c r="A2107" s="108">
        <v>201609</v>
      </c>
      <c r="B2107" s="109" t="s">
        <v>72</v>
      </c>
      <c r="C2107" s="108">
        <v>5143</v>
      </c>
      <c r="D2107" s="110"/>
      <c r="E2107" t="str">
        <f>VLOOKUP(B2107,CAC!$A$2:$B$198,2,FALSE)</f>
        <v>HMFLEX</v>
      </c>
    </row>
    <row r="2108" spans="1:5" x14ac:dyDescent="0.25">
      <c r="A2108" s="108">
        <v>201609</v>
      </c>
      <c r="B2108" s="109" t="s">
        <v>314</v>
      </c>
      <c r="C2108" s="108">
        <v>0</v>
      </c>
      <c r="D2108" s="110"/>
      <c r="E2108" t="e">
        <f>VLOOKUP(B2108,CAC!$A$2:$B$198,2,FALSE)</f>
        <v>#N/A</v>
      </c>
    </row>
    <row r="2109" spans="1:5" x14ac:dyDescent="0.25">
      <c r="A2109" s="108">
        <v>201609</v>
      </c>
      <c r="B2109" s="109" t="s">
        <v>322</v>
      </c>
      <c r="C2109" s="108">
        <v>0</v>
      </c>
      <c r="D2109" s="110"/>
      <c r="E2109" t="e">
        <f>VLOOKUP(B2109,CAC!$A$2:$B$198,2,FALSE)</f>
        <v>#N/A</v>
      </c>
    </row>
    <row r="2110" spans="1:5" x14ac:dyDescent="0.25">
      <c r="A2110" s="108">
        <v>201609</v>
      </c>
      <c r="B2110" s="109" t="s">
        <v>315</v>
      </c>
      <c r="C2110" s="108">
        <v>0</v>
      </c>
      <c r="D2110" s="110"/>
      <c r="E2110" t="e">
        <f>VLOOKUP(B2110,CAC!$A$2:$B$198,2,FALSE)</f>
        <v>#N/A</v>
      </c>
    </row>
    <row r="2111" spans="1:5" x14ac:dyDescent="0.25">
      <c r="A2111" s="108">
        <v>201609</v>
      </c>
      <c r="B2111" s="109" t="s">
        <v>112</v>
      </c>
      <c r="C2111" s="108">
        <v>0</v>
      </c>
      <c r="D2111" s="110"/>
      <c r="E2111" t="e">
        <f>VLOOKUP(B2111,CAC!$A$2:$B$198,2,FALSE)</f>
        <v>#N/A</v>
      </c>
    </row>
    <row r="2112" spans="1:5" x14ac:dyDescent="0.25">
      <c r="A2112" s="108">
        <v>201609</v>
      </c>
      <c r="B2112" s="109" t="s">
        <v>316</v>
      </c>
      <c r="C2112" s="108">
        <v>0</v>
      </c>
      <c r="D2112" s="110"/>
      <c r="E2112" t="e">
        <f>VLOOKUP(B2112,CAC!$A$2:$B$198,2,FALSE)</f>
        <v>#N/A</v>
      </c>
    </row>
    <row r="2113" spans="1:5" x14ac:dyDescent="0.25">
      <c r="A2113" s="108">
        <v>201609</v>
      </c>
      <c r="B2113" s="109" t="s">
        <v>317</v>
      </c>
      <c r="C2113" s="108">
        <v>0</v>
      </c>
      <c r="D2113" s="110"/>
      <c r="E2113" t="e">
        <f>VLOOKUP(B2113,CAC!$A$2:$B$198,2,FALSE)</f>
        <v>#N/A</v>
      </c>
    </row>
    <row r="2114" spans="1:5" x14ac:dyDescent="0.25">
      <c r="A2114" s="108">
        <v>201609</v>
      </c>
      <c r="B2114" s="109" t="s">
        <v>113</v>
      </c>
      <c r="C2114" s="108">
        <v>0</v>
      </c>
      <c r="D2114" s="110"/>
      <c r="E2114" t="str">
        <f>VLOOKUP(B2114,CAC!$A$2:$B$198,2,FALSE)</f>
        <v>PPOLG</v>
      </c>
    </row>
    <row r="2115" spans="1:5" x14ac:dyDescent="0.25">
      <c r="A2115" s="108">
        <v>201609</v>
      </c>
      <c r="B2115" s="109" t="s">
        <v>208</v>
      </c>
      <c r="C2115" s="108">
        <v>0</v>
      </c>
      <c r="D2115" s="110"/>
      <c r="E2115" t="str">
        <f>VLOOKUP(B2115,CAC!$A$2:$B$198,2,FALSE)</f>
        <v>PPOPMR</v>
      </c>
    </row>
    <row r="2116" spans="1:5" x14ac:dyDescent="0.25">
      <c r="A2116" s="108">
        <v>201609</v>
      </c>
      <c r="B2116" s="109" t="s">
        <v>291</v>
      </c>
      <c r="C2116" s="108">
        <v>0</v>
      </c>
      <c r="D2116" s="110"/>
      <c r="E2116" t="str">
        <f>VLOOKUP(B2116,CAC!$A$2:$B$198,2,FALSE)</f>
        <v>HMFLEX</v>
      </c>
    </row>
    <row r="2117" spans="1:5" x14ac:dyDescent="0.25">
      <c r="A2117" s="108">
        <v>201609</v>
      </c>
      <c r="B2117" s="109" t="s">
        <v>209</v>
      </c>
      <c r="C2117" s="108">
        <v>0</v>
      </c>
      <c r="D2117" s="110"/>
      <c r="E2117" t="str">
        <f>VLOOKUP(B2117,CAC!$A$2:$B$198,2,FALSE)</f>
        <v>PPOPMR</v>
      </c>
    </row>
    <row r="2118" spans="1:5" x14ac:dyDescent="0.25">
      <c r="A2118" s="108">
        <v>201609</v>
      </c>
      <c r="B2118" s="109" t="s">
        <v>204</v>
      </c>
      <c r="C2118" s="108">
        <v>0</v>
      </c>
      <c r="D2118" s="110"/>
      <c r="E2118" t="str">
        <f>VLOOKUP(B2118,CAC!$A$2:$B$198,2,FALSE)</f>
        <v>PPOPMR</v>
      </c>
    </row>
    <row r="2119" spans="1:5" x14ac:dyDescent="0.25">
      <c r="A2119" s="108">
        <v>201609</v>
      </c>
      <c r="B2119" s="109" t="s">
        <v>330</v>
      </c>
      <c r="C2119" s="108">
        <v>0</v>
      </c>
      <c r="D2119" s="110"/>
      <c r="E2119" t="e">
        <f>VLOOKUP(B2119,CAC!$A$2:$B$198,2,FALSE)</f>
        <v>#N/A</v>
      </c>
    </row>
    <row r="2120" spans="1:5" x14ac:dyDescent="0.25">
      <c r="A2120" s="108">
        <v>201609</v>
      </c>
      <c r="B2120" s="109" t="s">
        <v>73</v>
      </c>
      <c r="C2120" s="108">
        <v>32449</v>
      </c>
      <c r="D2120" s="108">
        <v>5459</v>
      </c>
      <c r="E2120" t="str">
        <f>VLOOKUP(B2120,CAC!$A$2:$B$198,2,FALSE)</f>
        <v>HMOPERA</v>
      </c>
    </row>
    <row r="2121" spans="1:5" x14ac:dyDescent="0.25">
      <c r="A2121" s="108">
        <v>201609</v>
      </c>
      <c r="B2121" s="109" t="s">
        <v>75</v>
      </c>
      <c r="C2121" s="108">
        <v>24980</v>
      </c>
      <c r="D2121" s="108">
        <v>11522</v>
      </c>
      <c r="E2121" t="str">
        <f>VLOOKUP(B2121,CAC!$A$2:$B$198,2,FALSE)</f>
        <v>HMOPERN</v>
      </c>
    </row>
    <row r="2122" spans="1:5" x14ac:dyDescent="0.25">
      <c r="A2122" s="108">
        <v>201609</v>
      </c>
      <c r="B2122" s="109" t="s">
        <v>218</v>
      </c>
      <c r="C2122" s="108">
        <v>0</v>
      </c>
      <c r="D2122" s="110"/>
      <c r="E2122" t="str">
        <f>VLOOKUP(B2122,CAC!$A$2:$B$198,2,FALSE)</f>
        <v>HMOPERA</v>
      </c>
    </row>
    <row r="2123" spans="1:5" x14ac:dyDescent="0.25">
      <c r="A2123" s="108">
        <v>201609</v>
      </c>
      <c r="B2123" s="109" t="s">
        <v>156</v>
      </c>
      <c r="C2123" s="108">
        <v>25838</v>
      </c>
      <c r="D2123" s="110"/>
      <c r="E2123" t="str">
        <f>VLOOKUP(B2123,CAC!$A$2:$B$198,2,FALSE)</f>
        <v>HMOMM</v>
      </c>
    </row>
    <row r="2124" spans="1:5" x14ac:dyDescent="0.25">
      <c r="A2124" s="108">
        <v>201609</v>
      </c>
      <c r="B2124" s="109" t="s">
        <v>84</v>
      </c>
      <c r="C2124" s="108">
        <v>6632</v>
      </c>
      <c r="D2124" s="110"/>
      <c r="E2124" t="str">
        <f>VLOOKUP(B2124,CAC!$A$2:$B$198,2,FALSE)</f>
        <v>HMOMM</v>
      </c>
    </row>
    <row r="2125" spans="1:5" x14ac:dyDescent="0.25">
      <c r="A2125" s="108">
        <v>201609</v>
      </c>
      <c r="B2125" s="109" t="s">
        <v>162</v>
      </c>
      <c r="C2125" s="108">
        <v>414</v>
      </c>
      <c r="D2125" s="110"/>
      <c r="E2125" t="str">
        <f>VLOOKUP(B2125,CAC!$A$2:$B$198,2,FALSE)</f>
        <v>HMOMG</v>
      </c>
    </row>
    <row r="2126" spans="1:5" x14ac:dyDescent="0.25">
      <c r="A2126" s="108">
        <v>201609</v>
      </c>
      <c r="B2126" s="109" t="s">
        <v>163</v>
      </c>
      <c r="C2126" s="108">
        <v>107</v>
      </c>
      <c r="D2126" s="110"/>
      <c r="E2126" t="str">
        <f>VLOOKUP(B2126,CAC!$A$2:$B$198,2,FALSE)</f>
        <v>HMOMG</v>
      </c>
    </row>
    <row r="2127" spans="1:5" x14ac:dyDescent="0.25">
      <c r="A2127" s="108">
        <v>201609</v>
      </c>
      <c r="B2127" s="109" t="s">
        <v>165</v>
      </c>
      <c r="C2127" s="108">
        <v>0</v>
      </c>
      <c r="D2127" s="110"/>
      <c r="E2127" t="str">
        <f>VLOOKUP(B2127,CAC!$A$2:$B$198,2,FALSE)</f>
        <v>HMOMG</v>
      </c>
    </row>
    <row r="2128" spans="1:5" x14ac:dyDescent="0.25">
      <c r="A2128" s="108">
        <v>201609</v>
      </c>
      <c r="B2128" s="109" t="s">
        <v>85</v>
      </c>
      <c r="C2128" s="108">
        <v>653</v>
      </c>
      <c r="D2128" s="110"/>
      <c r="E2128" t="str">
        <f>VLOOKUP(B2128,CAC!$A$2:$B$198,2,FALSE)</f>
        <v>HMOMG</v>
      </c>
    </row>
    <row r="2129" spans="1:5" x14ac:dyDescent="0.25">
      <c r="A2129" s="108">
        <v>201609</v>
      </c>
      <c r="B2129" s="109" t="s">
        <v>77</v>
      </c>
      <c r="C2129" s="108">
        <v>21998</v>
      </c>
      <c r="D2129" s="110"/>
      <c r="E2129" t="str">
        <f>VLOOKUP(B2129,CAC!$A$2:$B$198,2,FALSE)</f>
        <v>HMOSG</v>
      </c>
    </row>
    <row r="2130" spans="1:5" x14ac:dyDescent="0.25">
      <c r="A2130" s="108">
        <v>201609</v>
      </c>
      <c r="B2130" s="109" t="s">
        <v>78</v>
      </c>
      <c r="C2130" s="108">
        <v>344</v>
      </c>
      <c r="D2130" s="110"/>
      <c r="E2130" t="str">
        <f>VLOOKUP(B2130,CAC!$A$2:$B$198,2,FALSE)</f>
        <v>HMOSG</v>
      </c>
    </row>
    <row r="2131" spans="1:5" x14ac:dyDescent="0.25">
      <c r="A2131" s="108">
        <v>201609</v>
      </c>
      <c r="B2131" s="109" t="s">
        <v>79</v>
      </c>
      <c r="C2131" s="108">
        <v>73</v>
      </c>
      <c r="D2131" s="110"/>
      <c r="E2131" t="str">
        <f>VLOOKUP(B2131,CAC!$A$2:$B$198,2,FALSE)</f>
        <v>HMOSG</v>
      </c>
    </row>
    <row r="2132" spans="1:5" x14ac:dyDescent="0.25">
      <c r="A2132" s="108">
        <v>201609</v>
      </c>
      <c r="B2132" s="109" t="s">
        <v>222</v>
      </c>
      <c r="C2132" s="108">
        <v>0</v>
      </c>
      <c r="D2132" s="110"/>
      <c r="E2132" t="str">
        <f>VLOOKUP(B2132,CAC!$A$2:$B$198,2,FALSE)</f>
        <v>PPOSG</v>
      </c>
    </row>
    <row r="2133" spans="1:5" x14ac:dyDescent="0.25">
      <c r="A2133" s="108">
        <v>201609</v>
      </c>
      <c r="B2133" s="109" t="s">
        <v>225</v>
      </c>
      <c r="C2133" s="108">
        <v>0</v>
      </c>
      <c r="D2133" s="110"/>
      <c r="E2133" t="str">
        <f>VLOOKUP(B2133,CAC!$A$2:$B$198,2,FALSE)</f>
        <v>PPOSG</v>
      </c>
    </row>
    <row r="2134" spans="1:5" x14ac:dyDescent="0.25">
      <c r="A2134" s="108">
        <v>201609</v>
      </c>
      <c r="B2134" s="109" t="s">
        <v>226</v>
      </c>
      <c r="C2134" s="108">
        <v>0</v>
      </c>
      <c r="D2134" s="110"/>
      <c r="E2134" t="str">
        <f>VLOOKUP(B2134,CAC!$A$2:$B$198,2,FALSE)</f>
        <v>PPOSG</v>
      </c>
    </row>
    <row r="2135" spans="1:5" x14ac:dyDescent="0.25">
      <c r="A2135" s="108">
        <v>201609</v>
      </c>
      <c r="B2135" s="109" t="s">
        <v>186</v>
      </c>
      <c r="C2135" s="108">
        <v>0</v>
      </c>
      <c r="D2135" s="110"/>
      <c r="E2135" t="str">
        <f>VLOOKUP(B2135,CAC!$A$2:$B$198,2,FALSE)</f>
        <v>PPOIFP</v>
      </c>
    </row>
    <row r="2136" spans="1:5" x14ac:dyDescent="0.25">
      <c r="A2136" s="108">
        <v>201609</v>
      </c>
      <c r="B2136" s="109" t="s">
        <v>187</v>
      </c>
      <c r="C2136" s="108">
        <v>0</v>
      </c>
      <c r="D2136" s="110"/>
      <c r="E2136" t="str">
        <f>VLOOKUP(B2136,CAC!$A$2:$B$198,2,FALSE)</f>
        <v>PPOIFP</v>
      </c>
    </row>
    <row r="2137" spans="1:5" x14ac:dyDescent="0.25">
      <c r="A2137" s="108">
        <v>201609</v>
      </c>
      <c r="B2137" s="109" t="s">
        <v>188</v>
      </c>
      <c r="C2137" s="108">
        <v>0</v>
      </c>
      <c r="D2137" s="110"/>
      <c r="E2137" t="str">
        <f>VLOOKUP(B2137,CAC!$A$2:$B$198,2,FALSE)</f>
        <v>PPOIFP</v>
      </c>
    </row>
    <row r="2138" spans="1:5" x14ac:dyDescent="0.25">
      <c r="A2138" s="108">
        <v>201609</v>
      </c>
      <c r="B2138" s="109" t="s">
        <v>189</v>
      </c>
      <c r="C2138" s="108">
        <v>0</v>
      </c>
      <c r="D2138" s="110"/>
      <c r="E2138" t="str">
        <f>VLOOKUP(B2138,CAC!$A$2:$B$198,2,FALSE)</f>
        <v>PPOIFP</v>
      </c>
    </row>
    <row r="2139" spans="1:5" x14ac:dyDescent="0.25">
      <c r="A2139" s="108">
        <v>201609</v>
      </c>
      <c r="B2139" s="109" t="s">
        <v>331</v>
      </c>
      <c r="C2139" s="108">
        <v>0</v>
      </c>
      <c r="D2139" s="110"/>
      <c r="E2139" t="e">
        <f>VLOOKUP(B2139,CAC!$A$2:$B$198,2,FALSE)</f>
        <v>#N/A</v>
      </c>
    </row>
    <row r="2140" spans="1:5" x14ac:dyDescent="0.25">
      <c r="A2140" s="108">
        <v>201609</v>
      </c>
      <c r="B2140" s="109" t="s">
        <v>216</v>
      </c>
      <c r="C2140" s="108">
        <v>0</v>
      </c>
      <c r="D2140" s="110"/>
      <c r="E2140" t="str">
        <f>VLOOKUP(B2140,CAC!$A$2:$B$198,2,FALSE)</f>
        <v>PPOMM</v>
      </c>
    </row>
    <row r="2141" spans="1:5" x14ac:dyDescent="0.25">
      <c r="A2141" s="108">
        <v>201609</v>
      </c>
      <c r="B2141" s="109" t="s">
        <v>301</v>
      </c>
      <c r="C2141" s="108">
        <v>0</v>
      </c>
      <c r="D2141" s="110"/>
      <c r="E2141" t="str">
        <f>VLOOKUP(B2141,CAC!$A$2:$B$198,2,FALSE)</f>
        <v>XXX</v>
      </c>
    </row>
    <row r="2142" spans="1:5" x14ac:dyDescent="0.25">
      <c r="A2142" s="108">
        <v>201610</v>
      </c>
      <c r="B2142" s="109" t="s">
        <v>51</v>
      </c>
      <c r="C2142" s="108">
        <v>18</v>
      </c>
      <c r="D2142" s="110"/>
      <c r="E2142" t="str">
        <f>VLOOKUP(B2142,CAC!$A$2:$B$198,2,FALSE)</f>
        <v>XXX</v>
      </c>
    </row>
    <row r="2143" spans="1:5" x14ac:dyDescent="0.25">
      <c r="A2143" s="108">
        <v>201610</v>
      </c>
      <c r="B2143" s="109" t="s">
        <v>303</v>
      </c>
      <c r="C2143" s="108">
        <v>0</v>
      </c>
      <c r="D2143" s="110"/>
      <c r="E2143" t="e">
        <f>VLOOKUP(B2143,CAC!$A$2:$B$198,2,FALSE)</f>
        <v>#N/A</v>
      </c>
    </row>
    <row r="2144" spans="1:5" x14ac:dyDescent="0.25">
      <c r="A2144" s="108">
        <v>201610</v>
      </c>
      <c r="B2144" s="109" t="s">
        <v>304</v>
      </c>
      <c r="C2144" s="108">
        <v>0</v>
      </c>
      <c r="D2144" s="110"/>
      <c r="E2144" t="e">
        <f>VLOOKUP(B2144,CAC!$A$2:$B$198,2,FALSE)</f>
        <v>#N/A</v>
      </c>
    </row>
    <row r="2145" spans="1:5" x14ac:dyDescent="0.25">
      <c r="A2145" s="108">
        <v>201610</v>
      </c>
      <c r="B2145" s="109" t="s">
        <v>323</v>
      </c>
      <c r="C2145" s="108">
        <v>0</v>
      </c>
      <c r="D2145" s="110"/>
      <c r="E2145" t="e">
        <f>VLOOKUP(B2145,CAC!$A$2:$B$198,2,FALSE)</f>
        <v>#N/A</v>
      </c>
    </row>
    <row r="2146" spans="1:5" x14ac:dyDescent="0.25">
      <c r="A2146" s="108">
        <v>201610</v>
      </c>
      <c r="B2146" s="109" t="s">
        <v>305</v>
      </c>
      <c r="C2146" s="108">
        <v>0</v>
      </c>
      <c r="D2146" s="110"/>
      <c r="E2146" t="e">
        <f>VLOOKUP(B2146,CAC!$A$2:$B$198,2,FALSE)</f>
        <v>#N/A</v>
      </c>
    </row>
    <row r="2147" spans="1:5" x14ac:dyDescent="0.25">
      <c r="A2147" s="108">
        <v>201610</v>
      </c>
      <c r="B2147" s="109" t="s">
        <v>324</v>
      </c>
      <c r="C2147" s="108">
        <v>0</v>
      </c>
      <c r="D2147" s="110"/>
      <c r="E2147" t="e">
        <f>VLOOKUP(B2147,CAC!$A$2:$B$198,2,FALSE)</f>
        <v>#N/A</v>
      </c>
    </row>
    <row r="2148" spans="1:5" x14ac:dyDescent="0.25">
      <c r="A2148" s="108">
        <v>201610</v>
      </c>
      <c r="B2148" s="109" t="s">
        <v>327</v>
      </c>
      <c r="C2148" s="108">
        <v>0</v>
      </c>
      <c r="D2148" s="110"/>
      <c r="E2148" t="e">
        <f>VLOOKUP(B2148,CAC!$A$2:$B$198,2,FALSE)</f>
        <v>#N/A</v>
      </c>
    </row>
    <row r="2149" spans="1:5" x14ac:dyDescent="0.25">
      <c r="A2149" s="108">
        <v>201610</v>
      </c>
      <c r="B2149" s="109" t="s">
        <v>318</v>
      </c>
      <c r="C2149" s="108">
        <v>0</v>
      </c>
      <c r="D2149" s="110"/>
      <c r="E2149" t="e">
        <f>VLOOKUP(B2149,CAC!$A$2:$B$198,2,FALSE)</f>
        <v>#N/A</v>
      </c>
    </row>
    <row r="2150" spans="1:5" x14ac:dyDescent="0.25">
      <c r="A2150" s="108">
        <v>201610</v>
      </c>
      <c r="B2150" s="109" t="s">
        <v>326</v>
      </c>
      <c r="C2150" s="108">
        <v>0</v>
      </c>
      <c r="D2150" s="110"/>
      <c r="E2150" t="e">
        <f>VLOOKUP(B2150,CAC!$A$2:$B$198,2,FALSE)</f>
        <v>#N/A</v>
      </c>
    </row>
    <row r="2151" spans="1:5" x14ac:dyDescent="0.25">
      <c r="A2151" s="108">
        <v>201610</v>
      </c>
      <c r="B2151" s="109" t="s">
        <v>231</v>
      </c>
      <c r="C2151" s="108">
        <v>0</v>
      </c>
      <c r="D2151" s="110"/>
      <c r="E2151" t="str">
        <f>VLOOKUP(B2151,CAC!$A$2:$B$198,2,FALSE)</f>
        <v>DOILG</v>
      </c>
    </row>
    <row r="2152" spans="1:5" x14ac:dyDescent="0.25">
      <c r="A2152" s="108">
        <v>201610</v>
      </c>
      <c r="B2152" s="109" t="s">
        <v>233</v>
      </c>
      <c r="C2152" s="108">
        <v>0</v>
      </c>
      <c r="D2152" s="110"/>
      <c r="E2152" t="str">
        <f>VLOOKUP(B2152,CAC!$A$2:$B$198,2,FALSE)</f>
        <v>DOILG</v>
      </c>
    </row>
    <row r="2153" spans="1:5" x14ac:dyDescent="0.25">
      <c r="A2153" s="108">
        <v>201610</v>
      </c>
      <c r="B2153" s="109" t="s">
        <v>235</v>
      </c>
      <c r="C2153" s="108">
        <v>0</v>
      </c>
      <c r="D2153" s="110"/>
      <c r="E2153" t="str">
        <f>VLOOKUP(B2153,CAC!$A$2:$B$198,2,FALSE)</f>
        <v>DOILG</v>
      </c>
    </row>
    <row r="2154" spans="1:5" x14ac:dyDescent="0.25">
      <c r="A2154" s="108">
        <v>201610</v>
      </c>
      <c r="B2154" s="109" t="s">
        <v>237</v>
      </c>
      <c r="C2154" s="108">
        <v>0</v>
      </c>
      <c r="D2154" s="110"/>
      <c r="E2154" t="str">
        <f>VLOOKUP(B2154,CAC!$A$2:$B$198,2,FALSE)</f>
        <v>DOILG</v>
      </c>
    </row>
    <row r="2155" spans="1:5" x14ac:dyDescent="0.25">
      <c r="A2155" s="108">
        <v>201610</v>
      </c>
      <c r="B2155" s="109" t="s">
        <v>247</v>
      </c>
      <c r="C2155" s="108">
        <v>0</v>
      </c>
      <c r="D2155" s="110"/>
      <c r="E2155" t="str">
        <f>VLOOKUP(B2155,CAC!$A$2:$B$198,2,FALSE)</f>
        <v>DOIIFP</v>
      </c>
    </row>
    <row r="2156" spans="1:5" x14ac:dyDescent="0.25">
      <c r="A2156" s="108">
        <v>201610</v>
      </c>
      <c r="B2156" s="109" t="s">
        <v>238</v>
      </c>
      <c r="C2156" s="108">
        <v>0</v>
      </c>
      <c r="D2156" s="110"/>
      <c r="E2156" t="str">
        <f>VLOOKUP(B2156,CAC!$A$2:$B$198,2,FALSE)</f>
        <v>DOILG</v>
      </c>
    </row>
    <row r="2157" spans="1:5" x14ac:dyDescent="0.25">
      <c r="A2157" s="108">
        <v>201610</v>
      </c>
      <c r="B2157" s="109" t="s">
        <v>248</v>
      </c>
      <c r="C2157" s="108">
        <v>0</v>
      </c>
      <c r="D2157" s="110"/>
      <c r="E2157" t="str">
        <f>VLOOKUP(B2157,CAC!$A$2:$B$198,2,FALSE)</f>
        <v>DOIIFP</v>
      </c>
    </row>
    <row r="2158" spans="1:5" x14ac:dyDescent="0.25">
      <c r="A2158" s="108">
        <v>201610</v>
      </c>
      <c r="B2158" s="109" t="s">
        <v>273</v>
      </c>
      <c r="C2158" s="108">
        <v>0</v>
      </c>
      <c r="D2158" s="110"/>
      <c r="E2158" t="str">
        <f>VLOOKUP(B2158,CAC!$A$2:$B$198,2,FALSE)</f>
        <v>AGDMHC</v>
      </c>
    </row>
    <row r="2159" spans="1:5" x14ac:dyDescent="0.25">
      <c r="A2159" s="108">
        <v>201610</v>
      </c>
      <c r="B2159" s="109" t="s">
        <v>328</v>
      </c>
      <c r="C2159" s="108">
        <v>0</v>
      </c>
      <c r="D2159" s="110"/>
      <c r="E2159" t="e">
        <f>VLOOKUP(B2159,CAC!$A$2:$B$198,2,FALSE)</f>
        <v>#N/A</v>
      </c>
    </row>
    <row r="2160" spans="1:5" x14ac:dyDescent="0.25">
      <c r="A2160" s="108">
        <v>201610</v>
      </c>
      <c r="B2160" s="109" t="s">
        <v>253</v>
      </c>
      <c r="C2160" s="108">
        <v>0</v>
      </c>
      <c r="D2160" s="110"/>
      <c r="E2160" t="str">
        <f>VLOOKUP(B2160,CAC!$A$2:$B$198,2,FALSE)</f>
        <v>AGDMHC</v>
      </c>
    </row>
    <row r="2161" spans="1:5" x14ac:dyDescent="0.25">
      <c r="A2161" s="108">
        <v>201610</v>
      </c>
      <c r="B2161" s="109" t="s">
        <v>325</v>
      </c>
      <c r="C2161" s="108">
        <v>0</v>
      </c>
      <c r="D2161" s="110"/>
      <c r="E2161" t="e">
        <f>VLOOKUP(B2161,CAC!$A$2:$B$198,2,FALSE)</f>
        <v>#N/A</v>
      </c>
    </row>
    <row r="2162" spans="1:5" x14ac:dyDescent="0.25">
      <c r="A2162" s="108">
        <v>201610</v>
      </c>
      <c r="B2162" s="109" t="s">
        <v>255</v>
      </c>
      <c r="C2162" s="108">
        <v>0</v>
      </c>
      <c r="D2162" s="110"/>
      <c r="E2162" t="str">
        <f>VLOOKUP(B2162,CAC!$A$2:$B$198,2,FALSE)</f>
        <v>AGDMHC</v>
      </c>
    </row>
    <row r="2163" spans="1:5" x14ac:dyDescent="0.25">
      <c r="A2163" s="108">
        <v>201610</v>
      </c>
      <c r="B2163" s="109" t="s">
        <v>256</v>
      </c>
      <c r="C2163" s="108">
        <v>0</v>
      </c>
      <c r="D2163" s="110"/>
      <c r="E2163" t="str">
        <f>VLOOKUP(B2163,CAC!$A$2:$B$198,2,FALSE)</f>
        <v>AGDMHC</v>
      </c>
    </row>
    <row r="2164" spans="1:5" x14ac:dyDescent="0.25">
      <c r="A2164" s="108">
        <v>201610</v>
      </c>
      <c r="B2164" s="109" t="s">
        <v>257</v>
      </c>
      <c r="C2164" s="108">
        <v>0</v>
      </c>
      <c r="D2164" s="110"/>
      <c r="E2164" t="str">
        <f>VLOOKUP(B2164,CAC!$A$2:$B$198,2,FALSE)</f>
        <v>AGDMHC</v>
      </c>
    </row>
    <row r="2165" spans="1:5" x14ac:dyDescent="0.25">
      <c r="A2165" s="108">
        <v>201610</v>
      </c>
      <c r="B2165" s="109" t="s">
        <v>258</v>
      </c>
      <c r="C2165" s="108">
        <v>0</v>
      </c>
      <c r="D2165" s="110"/>
      <c r="E2165" t="str">
        <f>VLOOKUP(B2165,CAC!$A$2:$B$198,2,FALSE)</f>
        <v>AGDMHC</v>
      </c>
    </row>
    <row r="2166" spans="1:5" x14ac:dyDescent="0.25">
      <c r="A2166" s="108">
        <v>201610</v>
      </c>
      <c r="B2166" s="109" t="s">
        <v>259</v>
      </c>
      <c r="C2166" s="108">
        <v>0</v>
      </c>
      <c r="D2166" s="110"/>
      <c r="E2166" t="str">
        <f>VLOOKUP(B2166,CAC!$A$2:$B$198,2,FALSE)</f>
        <v>AGDMHC</v>
      </c>
    </row>
    <row r="2167" spans="1:5" x14ac:dyDescent="0.25">
      <c r="A2167" s="108">
        <v>201610</v>
      </c>
      <c r="B2167" s="109" t="s">
        <v>329</v>
      </c>
      <c r="C2167" s="108">
        <v>0</v>
      </c>
      <c r="D2167" s="110"/>
      <c r="E2167" t="e">
        <f>VLOOKUP(B2167,CAC!$A$2:$B$198,2,FALSE)</f>
        <v>#N/A</v>
      </c>
    </row>
    <row r="2168" spans="1:5" x14ac:dyDescent="0.25">
      <c r="A2168" s="108">
        <v>201610</v>
      </c>
      <c r="B2168" s="109" t="s">
        <v>262</v>
      </c>
      <c r="C2168" s="108">
        <v>0</v>
      </c>
      <c r="D2168" s="110"/>
      <c r="E2168" t="str">
        <f>VLOOKUP(B2168,CAC!$A$2:$B$198,2,FALSE)</f>
        <v>AGDMHC</v>
      </c>
    </row>
    <row r="2169" spans="1:5" x14ac:dyDescent="0.25">
      <c r="A2169" s="108">
        <v>201610</v>
      </c>
      <c r="B2169" s="109" t="s">
        <v>269</v>
      </c>
      <c r="C2169" s="108">
        <v>0</v>
      </c>
      <c r="D2169" s="110"/>
      <c r="E2169" t="str">
        <f>VLOOKUP(B2169,CAC!$A$2:$B$198,2,FALSE)</f>
        <v>AGDMHC</v>
      </c>
    </row>
    <row r="2170" spans="1:5" x14ac:dyDescent="0.25">
      <c r="A2170" s="108">
        <v>201610</v>
      </c>
      <c r="B2170" s="109" t="s">
        <v>319</v>
      </c>
      <c r="C2170" s="108">
        <v>0</v>
      </c>
      <c r="D2170" s="110"/>
      <c r="E2170" t="e">
        <f>VLOOKUP(B2170,CAC!$A$2:$B$198,2,FALSE)</f>
        <v>#N/A</v>
      </c>
    </row>
    <row r="2171" spans="1:5" x14ac:dyDescent="0.25">
      <c r="A2171" s="108">
        <v>201610</v>
      </c>
      <c r="B2171" s="109" t="s">
        <v>267</v>
      </c>
      <c r="C2171" s="108">
        <v>0</v>
      </c>
      <c r="D2171" s="110"/>
      <c r="E2171" t="str">
        <f>VLOOKUP(B2171,CAC!$A$2:$B$198,2,FALSE)</f>
        <v>AGDMHC</v>
      </c>
    </row>
    <row r="2172" spans="1:5" x14ac:dyDescent="0.25">
      <c r="A2172" s="108">
        <v>201610</v>
      </c>
      <c r="B2172" s="109" t="s">
        <v>268</v>
      </c>
      <c r="C2172" s="108">
        <v>0</v>
      </c>
      <c r="D2172" s="110"/>
      <c r="E2172" t="str">
        <f>VLOOKUP(B2172,CAC!$A$2:$B$198,2,FALSE)</f>
        <v>AGDMHC</v>
      </c>
    </row>
    <row r="2173" spans="1:5" x14ac:dyDescent="0.25">
      <c r="A2173" s="108">
        <v>201610</v>
      </c>
      <c r="B2173" s="109" t="s">
        <v>52</v>
      </c>
      <c r="C2173" s="108">
        <v>15614</v>
      </c>
      <c r="D2173" s="110"/>
      <c r="E2173" t="str">
        <f>VLOOKUP(B2173,CAC!$A$2:$B$198,2,FALSE)</f>
        <v>HMOPMR</v>
      </c>
    </row>
    <row r="2174" spans="1:5" x14ac:dyDescent="0.25">
      <c r="A2174" s="108">
        <v>201610</v>
      </c>
      <c r="B2174" s="109" t="s">
        <v>53</v>
      </c>
      <c r="C2174" s="108">
        <v>4731</v>
      </c>
      <c r="D2174" s="110"/>
      <c r="E2174" t="str">
        <f>VLOOKUP(B2174,CAC!$A$2:$B$198,2,FALSE)</f>
        <v>HMOPMR</v>
      </c>
    </row>
    <row r="2175" spans="1:5" x14ac:dyDescent="0.25">
      <c r="A2175" s="108">
        <v>201610</v>
      </c>
      <c r="B2175" s="109" t="s">
        <v>54</v>
      </c>
      <c r="C2175" s="108">
        <v>5999</v>
      </c>
      <c r="D2175" s="110"/>
      <c r="E2175" t="str">
        <f>VLOOKUP(B2175,CAC!$A$2:$B$198,2,FALSE)</f>
        <v>HMOFEP</v>
      </c>
    </row>
    <row r="2176" spans="1:5" x14ac:dyDescent="0.25">
      <c r="A2176" s="108">
        <v>201610</v>
      </c>
      <c r="B2176" s="109" t="s">
        <v>279</v>
      </c>
      <c r="C2176" s="108">
        <v>0</v>
      </c>
      <c r="D2176" s="110"/>
      <c r="E2176" t="str">
        <f>VLOOKUP(B2176,CAC!$A$2:$B$198,2,FALSE)</f>
        <v>PPOFEP</v>
      </c>
    </row>
    <row r="2177" spans="1:5" x14ac:dyDescent="0.25">
      <c r="A2177" s="108">
        <v>201610</v>
      </c>
      <c r="B2177" s="109" t="s">
        <v>202</v>
      </c>
      <c r="C2177" s="108">
        <v>0</v>
      </c>
      <c r="D2177" s="110"/>
      <c r="E2177" t="str">
        <f>VLOOKUP(B2177,CAC!$A$2:$B$198,2,FALSE)</f>
        <v>PPOPMR</v>
      </c>
    </row>
    <row r="2178" spans="1:5" x14ac:dyDescent="0.25">
      <c r="A2178" s="108">
        <v>201610</v>
      </c>
      <c r="B2178" s="109" t="s">
        <v>55</v>
      </c>
      <c r="C2178" s="108">
        <v>14703</v>
      </c>
      <c r="D2178" s="110"/>
      <c r="E2178" t="str">
        <f>VLOOKUP(B2178,CAC!$A$2:$B$198,2,FALSE)</f>
        <v>HMOPMR</v>
      </c>
    </row>
    <row r="2179" spans="1:5" x14ac:dyDescent="0.25">
      <c r="A2179" s="108">
        <v>201610</v>
      </c>
      <c r="B2179" s="109" t="s">
        <v>56</v>
      </c>
      <c r="C2179" s="108">
        <v>118</v>
      </c>
      <c r="D2179" s="110"/>
      <c r="E2179" t="str">
        <f>VLOOKUP(B2179,CAC!$A$2:$B$198,2,FALSE)</f>
        <v>HMOPMR</v>
      </c>
    </row>
    <row r="2180" spans="1:5" x14ac:dyDescent="0.25">
      <c r="A2180" s="108">
        <v>201610</v>
      </c>
      <c r="B2180" s="109" t="s">
        <v>83</v>
      </c>
      <c r="C2180" s="108">
        <v>1975</v>
      </c>
      <c r="D2180" s="110"/>
      <c r="E2180" t="str">
        <f>VLOOKUP(B2180,CAC!$A$2:$B$198,2,FALSE)</f>
        <v>HMOPMR</v>
      </c>
    </row>
    <row r="2181" spans="1:5" x14ac:dyDescent="0.25">
      <c r="A2181" s="108">
        <v>201610</v>
      </c>
      <c r="B2181" s="109" t="s">
        <v>57</v>
      </c>
      <c r="C2181" s="108">
        <v>4059</v>
      </c>
      <c r="D2181" s="110"/>
      <c r="E2181" t="str">
        <f>VLOOKUP(B2181,CAC!$A$2:$B$198,2,FALSE)</f>
        <v>HMFLEX</v>
      </c>
    </row>
    <row r="2182" spans="1:5" x14ac:dyDescent="0.25">
      <c r="A2182" s="108">
        <v>201610</v>
      </c>
      <c r="B2182" s="109" t="s">
        <v>58</v>
      </c>
      <c r="C2182" s="108">
        <v>355</v>
      </c>
      <c r="D2182" s="110"/>
      <c r="E2182" t="str">
        <f>VLOOKUP(B2182,CAC!$A$2:$B$198,2,FALSE)</f>
        <v>HMFLEX</v>
      </c>
    </row>
    <row r="2183" spans="1:5" x14ac:dyDescent="0.25">
      <c r="A2183" s="108">
        <v>201610</v>
      </c>
      <c r="B2183" s="109" t="s">
        <v>306</v>
      </c>
      <c r="C2183" s="108">
        <v>0</v>
      </c>
      <c r="D2183" s="110"/>
      <c r="E2183" t="e">
        <f>VLOOKUP(B2183,CAC!$A$2:$B$198,2,FALSE)</f>
        <v>#N/A</v>
      </c>
    </row>
    <row r="2184" spans="1:5" x14ac:dyDescent="0.25">
      <c r="A2184" s="108">
        <v>201610</v>
      </c>
      <c r="B2184" s="109" t="s">
        <v>283</v>
      </c>
      <c r="C2184" s="108">
        <v>0</v>
      </c>
      <c r="D2184" s="110"/>
      <c r="E2184" t="str">
        <f>VLOOKUP(B2184,CAC!$A$2:$B$198,2,FALSE)</f>
        <v>HMFLEX</v>
      </c>
    </row>
    <row r="2185" spans="1:5" x14ac:dyDescent="0.25">
      <c r="A2185" s="108">
        <v>201610</v>
      </c>
      <c r="B2185" s="109" t="s">
        <v>205</v>
      </c>
      <c r="C2185" s="108">
        <v>0</v>
      </c>
      <c r="D2185" s="110"/>
      <c r="E2185" t="str">
        <f>VLOOKUP(B2185,CAC!$A$2:$B$198,2,FALSE)</f>
        <v>PPOPMR</v>
      </c>
    </row>
    <row r="2186" spans="1:5" x14ac:dyDescent="0.25">
      <c r="A2186" s="108">
        <v>201610</v>
      </c>
      <c r="B2186" s="109" t="s">
        <v>60</v>
      </c>
      <c r="C2186" s="108">
        <v>12719</v>
      </c>
      <c r="D2186" s="110"/>
      <c r="E2186" t="str">
        <f>VLOOKUP(B2186,CAC!$A$2:$B$198,2,FALSE)</f>
        <v>HMOLG</v>
      </c>
    </row>
    <row r="2187" spans="1:5" x14ac:dyDescent="0.25">
      <c r="A2187" s="108">
        <v>201610</v>
      </c>
      <c r="B2187" s="109" t="s">
        <v>61</v>
      </c>
      <c r="C2187" s="108">
        <v>708</v>
      </c>
      <c r="D2187" s="110"/>
      <c r="E2187" t="str">
        <f>VLOOKUP(B2187,CAC!$A$2:$B$198,2,FALSE)</f>
        <v>HMOLG</v>
      </c>
    </row>
    <row r="2188" spans="1:5" x14ac:dyDescent="0.25">
      <c r="A2188" s="108">
        <v>201610</v>
      </c>
      <c r="B2188" s="109" t="s">
        <v>62</v>
      </c>
      <c r="C2188" s="108">
        <v>21098</v>
      </c>
      <c r="D2188" s="110"/>
      <c r="E2188" t="str">
        <f>VLOOKUP(B2188,CAC!$A$2:$B$198,2,FALSE)</f>
        <v>HMOLG</v>
      </c>
    </row>
    <row r="2189" spans="1:5" x14ac:dyDescent="0.25">
      <c r="A2189" s="108">
        <v>201610</v>
      </c>
      <c r="B2189" s="109" t="s">
        <v>86</v>
      </c>
      <c r="C2189" s="108">
        <v>1354</v>
      </c>
      <c r="D2189" s="110"/>
      <c r="E2189" t="str">
        <f>VLOOKUP(B2189,CAC!$A$2:$B$198,2,FALSE)</f>
        <v>HMOLG</v>
      </c>
    </row>
    <row r="2190" spans="1:5" x14ac:dyDescent="0.25">
      <c r="A2190" s="108">
        <v>201610</v>
      </c>
      <c r="B2190" s="109" t="s">
        <v>63</v>
      </c>
      <c r="C2190" s="108">
        <v>98</v>
      </c>
      <c r="D2190" s="110"/>
      <c r="E2190" t="str">
        <f>VLOOKUP(B2190,CAC!$A$2:$B$198,2,FALSE)</f>
        <v>HMOLG</v>
      </c>
    </row>
    <row r="2191" spans="1:5" x14ac:dyDescent="0.25">
      <c r="A2191" s="108">
        <v>201610</v>
      </c>
      <c r="B2191" s="109" t="s">
        <v>64</v>
      </c>
      <c r="C2191" s="108">
        <v>0</v>
      </c>
      <c r="D2191" s="110"/>
      <c r="E2191" t="str">
        <f>VLOOKUP(B2191,CAC!$A$2:$B$198,2,FALSE)</f>
        <v>HMOLG</v>
      </c>
    </row>
    <row r="2192" spans="1:5" x14ac:dyDescent="0.25">
      <c r="A2192" s="108">
        <v>201610</v>
      </c>
      <c r="B2192" s="109" t="s">
        <v>65</v>
      </c>
      <c r="C2192" s="108">
        <v>215</v>
      </c>
      <c r="D2192" s="110"/>
      <c r="E2192" t="str">
        <f>VLOOKUP(B2192,CAC!$A$2:$B$198,2,FALSE)</f>
        <v>HMFLEX</v>
      </c>
    </row>
    <row r="2193" spans="1:5" x14ac:dyDescent="0.25">
      <c r="A2193" s="108">
        <v>201610</v>
      </c>
      <c r="B2193" s="109" t="s">
        <v>307</v>
      </c>
      <c r="C2193" s="108">
        <v>0</v>
      </c>
      <c r="D2193" s="110"/>
      <c r="E2193" t="e">
        <f>VLOOKUP(B2193,CAC!$A$2:$B$198,2,FALSE)</f>
        <v>#N/A</v>
      </c>
    </row>
    <row r="2194" spans="1:5" x14ac:dyDescent="0.25">
      <c r="A2194" s="108">
        <v>201610</v>
      </c>
      <c r="B2194" s="109" t="s">
        <v>308</v>
      </c>
      <c r="C2194" s="108">
        <v>0</v>
      </c>
      <c r="D2194" s="110"/>
      <c r="E2194" t="e">
        <f>VLOOKUP(B2194,CAC!$A$2:$B$198,2,FALSE)</f>
        <v>#N/A</v>
      </c>
    </row>
    <row r="2195" spans="1:5" x14ac:dyDescent="0.25">
      <c r="A2195" s="108">
        <v>201610</v>
      </c>
      <c r="B2195" s="109" t="s">
        <v>309</v>
      </c>
      <c r="C2195" s="108">
        <v>0</v>
      </c>
      <c r="D2195" s="110"/>
      <c r="E2195" t="e">
        <f>VLOOKUP(B2195,CAC!$A$2:$B$198,2,FALSE)</f>
        <v>#N/A</v>
      </c>
    </row>
    <row r="2196" spans="1:5" x14ac:dyDescent="0.25">
      <c r="A2196" s="108">
        <v>201610</v>
      </c>
      <c r="B2196" s="109" t="s">
        <v>99</v>
      </c>
      <c r="C2196" s="108">
        <v>0</v>
      </c>
      <c r="D2196" s="110"/>
      <c r="E2196" t="str">
        <f>VLOOKUP(B2196,CAC!$A$2:$B$198,2,FALSE)</f>
        <v>PPOLG</v>
      </c>
    </row>
    <row r="2197" spans="1:5" x14ac:dyDescent="0.25">
      <c r="A2197" s="108">
        <v>201610</v>
      </c>
      <c r="B2197" s="109" t="s">
        <v>193</v>
      </c>
      <c r="C2197" s="108">
        <v>0</v>
      </c>
      <c r="D2197" s="110"/>
      <c r="E2197" t="str">
        <f>VLOOKUP(B2197,CAC!$A$2:$B$198,2,FALSE)</f>
        <v>PPOLG</v>
      </c>
    </row>
    <row r="2198" spans="1:5" x14ac:dyDescent="0.25">
      <c r="A2198" s="108">
        <v>201610</v>
      </c>
      <c r="B2198" s="109" t="s">
        <v>196</v>
      </c>
      <c r="C2198" s="108">
        <v>0</v>
      </c>
      <c r="D2198" s="110"/>
      <c r="E2198" t="str">
        <f>VLOOKUP(B2198,CAC!$A$2:$B$198,2,FALSE)</f>
        <v>PPOLG</v>
      </c>
    </row>
    <row r="2199" spans="1:5" x14ac:dyDescent="0.25">
      <c r="A2199" s="108">
        <v>201610</v>
      </c>
      <c r="B2199" s="109" t="s">
        <v>212</v>
      </c>
      <c r="C2199" s="108">
        <v>0</v>
      </c>
      <c r="D2199" s="110"/>
      <c r="E2199" t="str">
        <f>VLOOKUP(B2199,CAC!$A$2:$B$198,2,FALSE)</f>
        <v>PPOMM</v>
      </c>
    </row>
    <row r="2200" spans="1:5" x14ac:dyDescent="0.25">
      <c r="A2200" s="108">
        <v>201610</v>
      </c>
      <c r="B2200" s="109" t="s">
        <v>213</v>
      </c>
      <c r="C2200" s="108">
        <v>0</v>
      </c>
      <c r="D2200" s="110"/>
      <c r="E2200" t="str">
        <f>VLOOKUP(B2200,CAC!$A$2:$B$198,2,FALSE)</f>
        <v>PPOMM</v>
      </c>
    </row>
    <row r="2201" spans="1:5" x14ac:dyDescent="0.25">
      <c r="A2201" s="108">
        <v>201610</v>
      </c>
      <c r="B2201" s="109" t="s">
        <v>311</v>
      </c>
      <c r="C2201" s="108">
        <v>0</v>
      </c>
      <c r="D2201" s="110"/>
      <c r="E2201" t="e">
        <f>VLOOKUP(B2201,CAC!$A$2:$B$198,2,FALSE)</f>
        <v>#N/A</v>
      </c>
    </row>
    <row r="2202" spans="1:5" x14ac:dyDescent="0.25">
      <c r="A2202" s="108">
        <v>201610</v>
      </c>
      <c r="B2202" s="109" t="s">
        <v>320</v>
      </c>
      <c r="C2202" s="108">
        <v>0</v>
      </c>
      <c r="D2202" s="110"/>
      <c r="E2202" t="e">
        <f>VLOOKUP(B2202,CAC!$A$2:$B$198,2,FALSE)</f>
        <v>#N/A</v>
      </c>
    </row>
    <row r="2203" spans="1:5" x14ac:dyDescent="0.25">
      <c r="A2203" s="108">
        <v>201610</v>
      </c>
      <c r="B2203" s="109" t="s">
        <v>321</v>
      </c>
      <c r="C2203" s="108">
        <v>0</v>
      </c>
      <c r="D2203" s="110"/>
      <c r="E2203" t="e">
        <f>VLOOKUP(B2203,CAC!$A$2:$B$198,2,FALSE)</f>
        <v>#N/A</v>
      </c>
    </row>
    <row r="2204" spans="1:5" x14ac:dyDescent="0.25">
      <c r="A2204" s="108">
        <v>201610</v>
      </c>
      <c r="B2204" s="109" t="s">
        <v>312</v>
      </c>
      <c r="C2204" s="108">
        <v>0</v>
      </c>
      <c r="D2204" s="110"/>
      <c r="E2204" t="e">
        <f>VLOOKUP(B2204,CAC!$A$2:$B$198,2,FALSE)</f>
        <v>#N/A</v>
      </c>
    </row>
    <row r="2205" spans="1:5" x14ac:dyDescent="0.25">
      <c r="A2205" s="108">
        <v>201610</v>
      </c>
      <c r="B2205" s="109" t="s">
        <v>215</v>
      </c>
      <c r="C2205" s="108">
        <v>0</v>
      </c>
      <c r="D2205" s="110"/>
      <c r="E2205" t="str">
        <f>VLOOKUP(B2205,CAC!$A$2:$B$198,2,FALSE)</f>
        <v>PPOMM</v>
      </c>
    </row>
    <row r="2206" spans="1:5" x14ac:dyDescent="0.25">
      <c r="A2206" s="108">
        <v>201610</v>
      </c>
      <c r="B2206" s="109" t="s">
        <v>66</v>
      </c>
      <c r="C2206" s="108">
        <v>4114</v>
      </c>
      <c r="D2206" s="110"/>
      <c r="E2206" t="str">
        <f>VLOOKUP(B2206,CAC!$A$2:$B$198,2,FALSE)</f>
        <v>HMOLG</v>
      </c>
    </row>
    <row r="2207" spans="1:5" x14ac:dyDescent="0.25">
      <c r="A2207" s="108">
        <v>201610</v>
      </c>
      <c r="B2207" s="109" t="s">
        <v>82</v>
      </c>
      <c r="C2207" s="108">
        <v>2</v>
      </c>
      <c r="D2207" s="110"/>
      <c r="E2207" t="str">
        <f>VLOOKUP(B2207,CAC!$A$2:$B$198,2,FALSE)</f>
        <v>NATPAR</v>
      </c>
    </row>
    <row r="2208" spans="1:5" x14ac:dyDescent="0.25">
      <c r="A2208" s="108">
        <v>201610</v>
      </c>
      <c r="B2208" s="109" t="s">
        <v>67</v>
      </c>
      <c r="C2208" s="108">
        <v>150</v>
      </c>
      <c r="D2208" s="110"/>
      <c r="E2208" t="str">
        <f>VLOOKUP(B2208,CAC!$A$2:$B$198,2,FALSE)</f>
        <v>HMOLG</v>
      </c>
    </row>
    <row r="2209" spans="1:5" x14ac:dyDescent="0.25">
      <c r="A2209" s="108">
        <v>201610</v>
      </c>
      <c r="B2209" s="109" t="s">
        <v>68</v>
      </c>
      <c r="C2209" s="108">
        <v>277</v>
      </c>
      <c r="D2209" s="110"/>
      <c r="E2209" t="str">
        <f>VLOOKUP(B2209,CAC!$A$2:$B$198,2,FALSE)</f>
        <v>HMOPMR</v>
      </c>
    </row>
    <row r="2210" spans="1:5" x14ac:dyDescent="0.25">
      <c r="A2210" s="108">
        <v>201610</v>
      </c>
      <c r="B2210" s="109" t="s">
        <v>69</v>
      </c>
      <c r="C2210" s="108">
        <v>9669</v>
      </c>
      <c r="D2210" s="110"/>
      <c r="E2210" t="str">
        <f>VLOOKUP(B2210,CAC!$A$2:$B$198,2,FALSE)</f>
        <v>HMOPMR</v>
      </c>
    </row>
    <row r="2211" spans="1:5" x14ac:dyDescent="0.25">
      <c r="A2211" s="108">
        <v>201610</v>
      </c>
      <c r="B2211" s="109" t="s">
        <v>70</v>
      </c>
      <c r="C2211" s="108">
        <v>4109</v>
      </c>
      <c r="D2211" s="110"/>
      <c r="E2211" t="str">
        <f>VLOOKUP(B2211,CAC!$A$2:$B$198,2,FALSE)</f>
        <v>HMOPMR</v>
      </c>
    </row>
    <row r="2212" spans="1:5" x14ac:dyDescent="0.25">
      <c r="A2212" s="108">
        <v>201610</v>
      </c>
      <c r="B2212" s="109" t="s">
        <v>71</v>
      </c>
      <c r="C2212" s="108">
        <v>6828</v>
      </c>
      <c r="D2212" s="110"/>
      <c r="E2212" t="str">
        <f>VLOOKUP(B2212,CAC!$A$2:$B$198,2,FALSE)</f>
        <v>HMOPMR</v>
      </c>
    </row>
    <row r="2213" spans="1:5" x14ac:dyDescent="0.25">
      <c r="A2213" s="108">
        <v>201610</v>
      </c>
      <c r="B2213" s="109" t="s">
        <v>72</v>
      </c>
      <c r="C2213" s="108">
        <v>5084</v>
      </c>
      <c r="D2213" s="110"/>
      <c r="E2213" t="str">
        <f>VLOOKUP(B2213,CAC!$A$2:$B$198,2,FALSE)</f>
        <v>HMFLEX</v>
      </c>
    </row>
    <row r="2214" spans="1:5" x14ac:dyDescent="0.25">
      <c r="A2214" s="108">
        <v>201610</v>
      </c>
      <c r="B2214" s="109" t="s">
        <v>314</v>
      </c>
      <c r="C2214" s="108">
        <v>0</v>
      </c>
      <c r="D2214" s="110"/>
      <c r="E2214" t="e">
        <f>VLOOKUP(B2214,CAC!$A$2:$B$198,2,FALSE)</f>
        <v>#N/A</v>
      </c>
    </row>
    <row r="2215" spans="1:5" x14ac:dyDescent="0.25">
      <c r="A2215" s="108">
        <v>201610</v>
      </c>
      <c r="B2215" s="109" t="s">
        <v>322</v>
      </c>
      <c r="C2215" s="108">
        <v>0</v>
      </c>
      <c r="D2215" s="110"/>
      <c r="E2215" t="e">
        <f>VLOOKUP(B2215,CAC!$A$2:$B$198,2,FALSE)</f>
        <v>#N/A</v>
      </c>
    </row>
    <row r="2216" spans="1:5" x14ac:dyDescent="0.25">
      <c r="A2216" s="108">
        <v>201610</v>
      </c>
      <c r="B2216" s="109" t="s">
        <v>315</v>
      </c>
      <c r="C2216" s="108">
        <v>0</v>
      </c>
      <c r="D2216" s="110"/>
      <c r="E2216" t="e">
        <f>VLOOKUP(B2216,CAC!$A$2:$B$198,2,FALSE)</f>
        <v>#N/A</v>
      </c>
    </row>
    <row r="2217" spans="1:5" x14ac:dyDescent="0.25">
      <c r="A2217" s="108">
        <v>201610</v>
      </c>
      <c r="B2217" s="109" t="s">
        <v>112</v>
      </c>
      <c r="C2217" s="108">
        <v>0</v>
      </c>
      <c r="D2217" s="110"/>
      <c r="E2217" t="e">
        <f>VLOOKUP(B2217,CAC!$A$2:$B$198,2,FALSE)</f>
        <v>#N/A</v>
      </c>
    </row>
    <row r="2218" spans="1:5" x14ac:dyDescent="0.25">
      <c r="A2218" s="108">
        <v>201610</v>
      </c>
      <c r="B2218" s="109" t="s">
        <v>316</v>
      </c>
      <c r="C2218" s="108">
        <v>0</v>
      </c>
      <c r="D2218" s="110"/>
      <c r="E2218" t="e">
        <f>VLOOKUP(B2218,CAC!$A$2:$B$198,2,FALSE)</f>
        <v>#N/A</v>
      </c>
    </row>
    <row r="2219" spans="1:5" x14ac:dyDescent="0.25">
      <c r="A2219" s="108">
        <v>201610</v>
      </c>
      <c r="B2219" s="109" t="s">
        <v>317</v>
      </c>
      <c r="C2219" s="108">
        <v>0</v>
      </c>
      <c r="D2219" s="110"/>
      <c r="E2219" t="e">
        <f>VLOOKUP(B2219,CAC!$A$2:$B$198,2,FALSE)</f>
        <v>#N/A</v>
      </c>
    </row>
    <row r="2220" spans="1:5" x14ac:dyDescent="0.25">
      <c r="A2220" s="108">
        <v>201610</v>
      </c>
      <c r="B2220" s="109" t="s">
        <v>113</v>
      </c>
      <c r="C2220" s="108">
        <v>0</v>
      </c>
      <c r="D2220" s="110"/>
      <c r="E2220" t="str">
        <f>VLOOKUP(B2220,CAC!$A$2:$B$198,2,FALSE)</f>
        <v>PPOLG</v>
      </c>
    </row>
    <row r="2221" spans="1:5" x14ac:dyDescent="0.25">
      <c r="A2221" s="108">
        <v>201610</v>
      </c>
      <c r="B2221" s="109" t="s">
        <v>208</v>
      </c>
      <c r="C2221" s="108">
        <v>0</v>
      </c>
      <c r="D2221" s="110"/>
      <c r="E2221" t="str">
        <f>VLOOKUP(B2221,CAC!$A$2:$B$198,2,FALSE)</f>
        <v>PPOPMR</v>
      </c>
    </row>
    <row r="2222" spans="1:5" x14ac:dyDescent="0.25">
      <c r="A2222" s="108">
        <v>201610</v>
      </c>
      <c r="B2222" s="109" t="s">
        <v>291</v>
      </c>
      <c r="C2222" s="108">
        <v>0</v>
      </c>
      <c r="D2222" s="110"/>
      <c r="E2222" t="str">
        <f>VLOOKUP(B2222,CAC!$A$2:$B$198,2,FALSE)</f>
        <v>HMFLEX</v>
      </c>
    </row>
    <row r="2223" spans="1:5" x14ac:dyDescent="0.25">
      <c r="A2223" s="108">
        <v>201610</v>
      </c>
      <c r="B2223" s="109" t="s">
        <v>209</v>
      </c>
      <c r="C2223" s="108">
        <v>0</v>
      </c>
      <c r="D2223" s="110"/>
      <c r="E2223" t="str">
        <f>VLOOKUP(B2223,CAC!$A$2:$B$198,2,FALSE)</f>
        <v>PPOPMR</v>
      </c>
    </row>
    <row r="2224" spans="1:5" x14ac:dyDescent="0.25">
      <c r="A2224" s="108">
        <v>201610</v>
      </c>
      <c r="B2224" s="109" t="s">
        <v>204</v>
      </c>
      <c r="C2224" s="108">
        <v>0</v>
      </c>
      <c r="D2224" s="110"/>
      <c r="E2224" t="str">
        <f>VLOOKUP(B2224,CAC!$A$2:$B$198,2,FALSE)</f>
        <v>PPOPMR</v>
      </c>
    </row>
    <row r="2225" spans="1:5" x14ac:dyDescent="0.25">
      <c r="A2225" s="108">
        <v>201610</v>
      </c>
      <c r="B2225" s="109" t="s">
        <v>330</v>
      </c>
      <c r="C2225" s="108">
        <v>0</v>
      </c>
      <c r="D2225" s="110"/>
      <c r="E2225" t="e">
        <f>VLOOKUP(B2225,CAC!$A$2:$B$198,2,FALSE)</f>
        <v>#N/A</v>
      </c>
    </row>
    <row r="2226" spans="1:5" x14ac:dyDescent="0.25">
      <c r="A2226" s="108">
        <v>201610</v>
      </c>
      <c r="B2226" s="109" t="s">
        <v>73</v>
      </c>
      <c r="C2226" s="108">
        <v>32376</v>
      </c>
      <c r="D2226" s="108">
        <v>5437</v>
      </c>
      <c r="E2226" t="str">
        <f>VLOOKUP(B2226,CAC!$A$2:$B$198,2,FALSE)</f>
        <v>HMOPERA</v>
      </c>
    </row>
    <row r="2227" spans="1:5" x14ac:dyDescent="0.25">
      <c r="A2227" s="108">
        <v>201610</v>
      </c>
      <c r="B2227" s="109" t="s">
        <v>75</v>
      </c>
      <c r="C2227" s="108">
        <v>24688</v>
      </c>
      <c r="D2227" s="108">
        <v>11382</v>
      </c>
      <c r="E2227" t="str">
        <f>VLOOKUP(B2227,CAC!$A$2:$B$198,2,FALSE)</f>
        <v>HMOPERN</v>
      </c>
    </row>
    <row r="2228" spans="1:5" x14ac:dyDescent="0.25">
      <c r="A2228" s="108">
        <v>201610</v>
      </c>
      <c r="B2228" s="109" t="s">
        <v>218</v>
      </c>
      <c r="C2228" s="108">
        <v>0</v>
      </c>
      <c r="D2228" s="110"/>
      <c r="E2228" t="str">
        <f>VLOOKUP(B2228,CAC!$A$2:$B$198,2,FALSE)</f>
        <v>HMOPERA</v>
      </c>
    </row>
    <row r="2229" spans="1:5" x14ac:dyDescent="0.25">
      <c r="A2229" s="108">
        <v>201610</v>
      </c>
      <c r="B2229" s="109" t="s">
        <v>156</v>
      </c>
      <c r="C2229" s="108">
        <v>25734</v>
      </c>
      <c r="D2229" s="110"/>
      <c r="E2229" t="str">
        <f>VLOOKUP(B2229,CAC!$A$2:$B$198,2,FALSE)</f>
        <v>HMOMM</v>
      </c>
    </row>
    <row r="2230" spans="1:5" x14ac:dyDescent="0.25">
      <c r="A2230" s="108">
        <v>201610</v>
      </c>
      <c r="B2230" s="109" t="s">
        <v>84</v>
      </c>
      <c r="C2230" s="108">
        <v>6069</v>
      </c>
      <c r="D2230" s="110"/>
      <c r="E2230" t="str">
        <f>VLOOKUP(B2230,CAC!$A$2:$B$198,2,FALSE)</f>
        <v>HMOMM</v>
      </c>
    </row>
    <row r="2231" spans="1:5" x14ac:dyDescent="0.25">
      <c r="A2231" s="108">
        <v>201610</v>
      </c>
      <c r="B2231" s="109" t="s">
        <v>162</v>
      </c>
      <c r="C2231" s="108">
        <v>414</v>
      </c>
      <c r="D2231" s="110"/>
      <c r="E2231" t="str">
        <f>VLOOKUP(B2231,CAC!$A$2:$B$198,2,FALSE)</f>
        <v>HMOMG</v>
      </c>
    </row>
    <row r="2232" spans="1:5" x14ac:dyDescent="0.25">
      <c r="A2232" s="108">
        <v>201610</v>
      </c>
      <c r="B2232" s="109" t="s">
        <v>163</v>
      </c>
      <c r="C2232" s="108">
        <v>103</v>
      </c>
      <c r="D2232" s="110"/>
      <c r="E2232" t="str">
        <f>VLOOKUP(B2232,CAC!$A$2:$B$198,2,FALSE)</f>
        <v>HMOMG</v>
      </c>
    </row>
    <row r="2233" spans="1:5" x14ac:dyDescent="0.25">
      <c r="A2233" s="108">
        <v>201610</v>
      </c>
      <c r="B2233" s="109" t="s">
        <v>164</v>
      </c>
      <c r="C2233" s="108">
        <v>0</v>
      </c>
      <c r="D2233" s="110"/>
      <c r="E2233" t="str">
        <f>VLOOKUP(B2233,CAC!$A$2:$B$198,2,FALSE)</f>
        <v>HMOMG</v>
      </c>
    </row>
    <row r="2234" spans="1:5" x14ac:dyDescent="0.25">
      <c r="A2234" s="108">
        <v>201610</v>
      </c>
      <c r="B2234" s="109" t="s">
        <v>85</v>
      </c>
      <c r="C2234" s="108">
        <v>651</v>
      </c>
      <c r="D2234" s="110"/>
      <c r="E2234" t="str">
        <f>VLOOKUP(B2234,CAC!$A$2:$B$198,2,FALSE)</f>
        <v>HMOMG</v>
      </c>
    </row>
    <row r="2235" spans="1:5" x14ac:dyDescent="0.25">
      <c r="A2235" s="108">
        <v>201610</v>
      </c>
      <c r="B2235" s="109" t="s">
        <v>77</v>
      </c>
      <c r="C2235" s="108">
        <v>22478</v>
      </c>
      <c r="D2235" s="110"/>
      <c r="E2235" t="str">
        <f>VLOOKUP(B2235,CAC!$A$2:$B$198,2,FALSE)</f>
        <v>HMOSG</v>
      </c>
    </row>
    <row r="2236" spans="1:5" x14ac:dyDescent="0.25">
      <c r="A2236" s="108">
        <v>201610</v>
      </c>
      <c r="B2236" s="109" t="s">
        <v>78</v>
      </c>
      <c r="C2236" s="108">
        <v>335</v>
      </c>
      <c r="D2236" s="110"/>
      <c r="E2236" t="str">
        <f>VLOOKUP(B2236,CAC!$A$2:$B$198,2,FALSE)</f>
        <v>HMOSG</v>
      </c>
    </row>
    <row r="2237" spans="1:5" x14ac:dyDescent="0.25">
      <c r="A2237" s="108">
        <v>201610</v>
      </c>
      <c r="B2237" s="109" t="s">
        <v>79</v>
      </c>
      <c r="C2237" s="108">
        <v>80</v>
      </c>
      <c r="D2237" s="110"/>
      <c r="E2237" t="str">
        <f>VLOOKUP(B2237,CAC!$A$2:$B$198,2,FALSE)</f>
        <v>HMOSG</v>
      </c>
    </row>
    <row r="2238" spans="1:5" x14ac:dyDescent="0.25">
      <c r="A2238" s="108">
        <v>201610</v>
      </c>
      <c r="B2238" s="109" t="s">
        <v>222</v>
      </c>
      <c r="C2238" s="108">
        <v>0</v>
      </c>
      <c r="D2238" s="110"/>
      <c r="E2238" t="str">
        <f>VLOOKUP(B2238,CAC!$A$2:$B$198,2,FALSE)</f>
        <v>PPOSG</v>
      </c>
    </row>
    <row r="2239" spans="1:5" x14ac:dyDescent="0.25">
      <c r="A2239" s="108">
        <v>201610</v>
      </c>
      <c r="B2239" s="109" t="s">
        <v>225</v>
      </c>
      <c r="C2239" s="108">
        <v>0</v>
      </c>
      <c r="D2239" s="110"/>
      <c r="E2239" t="str">
        <f>VLOOKUP(B2239,CAC!$A$2:$B$198,2,FALSE)</f>
        <v>PPOSG</v>
      </c>
    </row>
    <row r="2240" spans="1:5" x14ac:dyDescent="0.25">
      <c r="A2240" s="108">
        <v>201610</v>
      </c>
      <c r="B2240" s="109" t="s">
        <v>226</v>
      </c>
      <c r="C2240" s="108">
        <v>0</v>
      </c>
      <c r="D2240" s="110"/>
      <c r="E2240" t="str">
        <f>VLOOKUP(B2240,CAC!$A$2:$B$198,2,FALSE)</f>
        <v>PPOSG</v>
      </c>
    </row>
    <row r="2241" spans="1:5" x14ac:dyDescent="0.25">
      <c r="A2241" s="108">
        <v>201610</v>
      </c>
      <c r="B2241" s="109" t="s">
        <v>186</v>
      </c>
      <c r="C2241" s="108">
        <v>0</v>
      </c>
      <c r="D2241" s="110"/>
      <c r="E2241" t="str">
        <f>VLOOKUP(B2241,CAC!$A$2:$B$198,2,FALSE)</f>
        <v>PPOIFP</v>
      </c>
    </row>
    <row r="2242" spans="1:5" x14ac:dyDescent="0.25">
      <c r="A2242" s="108">
        <v>201610</v>
      </c>
      <c r="B2242" s="109" t="s">
        <v>187</v>
      </c>
      <c r="C2242" s="108">
        <v>0</v>
      </c>
      <c r="D2242" s="110"/>
      <c r="E2242" t="str">
        <f>VLOOKUP(B2242,CAC!$A$2:$B$198,2,FALSE)</f>
        <v>PPOIFP</v>
      </c>
    </row>
    <row r="2243" spans="1:5" x14ac:dyDescent="0.25">
      <c r="A2243" s="108">
        <v>201610</v>
      </c>
      <c r="B2243" s="109" t="s">
        <v>188</v>
      </c>
      <c r="C2243" s="108">
        <v>0</v>
      </c>
      <c r="D2243" s="110"/>
      <c r="E2243" t="str">
        <f>VLOOKUP(B2243,CAC!$A$2:$B$198,2,FALSE)</f>
        <v>PPOIFP</v>
      </c>
    </row>
    <row r="2244" spans="1:5" x14ac:dyDescent="0.25">
      <c r="A2244" s="108">
        <v>201610</v>
      </c>
      <c r="B2244" s="109" t="s">
        <v>189</v>
      </c>
      <c r="C2244" s="108">
        <v>0</v>
      </c>
      <c r="D2244" s="110"/>
      <c r="E2244" t="str">
        <f>VLOOKUP(B2244,CAC!$A$2:$B$198,2,FALSE)</f>
        <v>PPOIFP</v>
      </c>
    </row>
    <row r="2245" spans="1:5" x14ac:dyDescent="0.25">
      <c r="A2245" s="108">
        <v>201610</v>
      </c>
      <c r="B2245" s="109" t="s">
        <v>331</v>
      </c>
      <c r="C2245" s="108">
        <v>0</v>
      </c>
      <c r="D2245" s="110"/>
      <c r="E2245" t="e">
        <f>VLOOKUP(B2245,CAC!$A$2:$B$198,2,FALSE)</f>
        <v>#N/A</v>
      </c>
    </row>
    <row r="2246" spans="1:5" x14ac:dyDescent="0.25">
      <c r="A2246" s="108">
        <v>201610</v>
      </c>
      <c r="B2246" s="109" t="s">
        <v>216</v>
      </c>
      <c r="C2246" s="108">
        <v>0</v>
      </c>
      <c r="D2246" s="110"/>
      <c r="E2246" t="str">
        <f>VLOOKUP(B2246,CAC!$A$2:$B$198,2,FALSE)</f>
        <v>PPOMM</v>
      </c>
    </row>
    <row r="2247" spans="1:5" x14ac:dyDescent="0.25">
      <c r="A2247" s="108">
        <v>201610</v>
      </c>
      <c r="B2247" s="109" t="s">
        <v>301</v>
      </c>
      <c r="C2247" s="108">
        <v>0</v>
      </c>
      <c r="D2247" s="110"/>
      <c r="E2247" t="str">
        <f>VLOOKUP(B2247,CAC!$A$2:$B$198,2,FALSE)</f>
        <v>XXX</v>
      </c>
    </row>
    <row r="2248" spans="1:5" x14ac:dyDescent="0.25">
      <c r="A2248" s="108">
        <v>201611</v>
      </c>
      <c r="B2248" s="109" t="s">
        <v>51</v>
      </c>
      <c r="C2248" s="108">
        <v>18</v>
      </c>
      <c r="D2248" s="110"/>
      <c r="E2248" t="str">
        <f>VLOOKUP(B2248,CAC!$A$2:$B$198,2,FALSE)</f>
        <v>XXX</v>
      </c>
    </row>
    <row r="2249" spans="1:5" x14ac:dyDescent="0.25">
      <c r="A2249" s="108">
        <v>201611</v>
      </c>
      <c r="B2249" s="109" t="s">
        <v>303</v>
      </c>
      <c r="C2249" s="108">
        <v>0</v>
      </c>
      <c r="D2249" s="110"/>
      <c r="E2249" t="e">
        <f>VLOOKUP(B2249,CAC!$A$2:$B$198,2,FALSE)</f>
        <v>#N/A</v>
      </c>
    </row>
    <row r="2250" spans="1:5" x14ac:dyDescent="0.25">
      <c r="A2250" s="108">
        <v>201611</v>
      </c>
      <c r="B2250" s="109" t="s">
        <v>304</v>
      </c>
      <c r="C2250" s="108">
        <v>0</v>
      </c>
      <c r="D2250" s="110"/>
      <c r="E2250" t="e">
        <f>VLOOKUP(B2250,CAC!$A$2:$B$198,2,FALSE)</f>
        <v>#N/A</v>
      </c>
    </row>
    <row r="2251" spans="1:5" x14ac:dyDescent="0.25">
      <c r="A2251" s="108">
        <v>201611</v>
      </c>
      <c r="B2251" s="109" t="s">
        <v>323</v>
      </c>
      <c r="C2251" s="108">
        <v>0</v>
      </c>
      <c r="D2251" s="110"/>
      <c r="E2251" t="e">
        <f>VLOOKUP(B2251,CAC!$A$2:$B$198,2,FALSE)</f>
        <v>#N/A</v>
      </c>
    </row>
    <row r="2252" spans="1:5" x14ac:dyDescent="0.25">
      <c r="A2252" s="108">
        <v>201611</v>
      </c>
      <c r="B2252" s="109" t="s">
        <v>305</v>
      </c>
      <c r="C2252" s="108">
        <v>0</v>
      </c>
      <c r="D2252" s="110"/>
      <c r="E2252" t="e">
        <f>VLOOKUP(B2252,CAC!$A$2:$B$198,2,FALSE)</f>
        <v>#N/A</v>
      </c>
    </row>
    <row r="2253" spans="1:5" x14ac:dyDescent="0.25">
      <c r="A2253" s="108">
        <v>201611</v>
      </c>
      <c r="B2253" s="109" t="s">
        <v>324</v>
      </c>
      <c r="C2253" s="108">
        <v>0</v>
      </c>
      <c r="D2253" s="110"/>
      <c r="E2253" t="e">
        <f>VLOOKUP(B2253,CAC!$A$2:$B$198,2,FALSE)</f>
        <v>#N/A</v>
      </c>
    </row>
    <row r="2254" spans="1:5" x14ac:dyDescent="0.25">
      <c r="A2254" s="108">
        <v>201611</v>
      </c>
      <c r="B2254" s="109" t="s">
        <v>327</v>
      </c>
      <c r="C2254" s="108">
        <v>0</v>
      </c>
      <c r="D2254" s="110"/>
      <c r="E2254" t="e">
        <f>VLOOKUP(B2254,CAC!$A$2:$B$198,2,FALSE)</f>
        <v>#N/A</v>
      </c>
    </row>
    <row r="2255" spans="1:5" x14ac:dyDescent="0.25">
      <c r="A2255" s="108">
        <v>201611</v>
      </c>
      <c r="B2255" s="109" t="s">
        <v>318</v>
      </c>
      <c r="C2255" s="108">
        <v>0</v>
      </c>
      <c r="D2255" s="110"/>
      <c r="E2255" t="e">
        <f>VLOOKUP(B2255,CAC!$A$2:$B$198,2,FALSE)</f>
        <v>#N/A</v>
      </c>
    </row>
    <row r="2256" spans="1:5" x14ac:dyDescent="0.25">
      <c r="A2256" s="108">
        <v>201611</v>
      </c>
      <c r="B2256" s="109" t="s">
        <v>326</v>
      </c>
      <c r="C2256" s="108">
        <v>0</v>
      </c>
      <c r="D2256" s="110"/>
      <c r="E2256" t="e">
        <f>VLOOKUP(B2256,CAC!$A$2:$B$198,2,FALSE)</f>
        <v>#N/A</v>
      </c>
    </row>
    <row r="2257" spans="1:5" x14ac:dyDescent="0.25">
      <c r="A2257" s="108">
        <v>201611</v>
      </c>
      <c r="B2257" s="109" t="s">
        <v>231</v>
      </c>
      <c r="C2257" s="108">
        <v>0</v>
      </c>
      <c r="D2257" s="110"/>
      <c r="E2257" t="str">
        <f>VLOOKUP(B2257,CAC!$A$2:$B$198,2,FALSE)</f>
        <v>DOILG</v>
      </c>
    </row>
    <row r="2258" spans="1:5" x14ac:dyDescent="0.25">
      <c r="A2258" s="108">
        <v>201611</v>
      </c>
      <c r="B2258" s="109" t="s">
        <v>233</v>
      </c>
      <c r="C2258" s="108">
        <v>0</v>
      </c>
      <c r="D2258" s="110"/>
      <c r="E2258" t="str">
        <f>VLOOKUP(B2258,CAC!$A$2:$B$198,2,FALSE)</f>
        <v>DOILG</v>
      </c>
    </row>
    <row r="2259" spans="1:5" x14ac:dyDescent="0.25">
      <c r="A2259" s="108">
        <v>201611</v>
      </c>
      <c r="B2259" s="109" t="s">
        <v>235</v>
      </c>
      <c r="C2259" s="108">
        <v>0</v>
      </c>
      <c r="D2259" s="110"/>
      <c r="E2259" t="str">
        <f>VLOOKUP(B2259,CAC!$A$2:$B$198,2,FALSE)</f>
        <v>DOILG</v>
      </c>
    </row>
    <row r="2260" spans="1:5" x14ac:dyDescent="0.25">
      <c r="A2260" s="108">
        <v>201611</v>
      </c>
      <c r="B2260" s="109" t="s">
        <v>237</v>
      </c>
      <c r="C2260" s="108">
        <v>0</v>
      </c>
      <c r="D2260" s="110"/>
      <c r="E2260" t="str">
        <f>VLOOKUP(B2260,CAC!$A$2:$B$198,2,FALSE)</f>
        <v>DOILG</v>
      </c>
    </row>
    <row r="2261" spans="1:5" x14ac:dyDescent="0.25">
      <c r="A2261" s="108">
        <v>201611</v>
      </c>
      <c r="B2261" s="109" t="s">
        <v>247</v>
      </c>
      <c r="C2261" s="108">
        <v>0</v>
      </c>
      <c r="D2261" s="110"/>
      <c r="E2261" t="str">
        <f>VLOOKUP(B2261,CAC!$A$2:$B$198,2,FALSE)</f>
        <v>DOIIFP</v>
      </c>
    </row>
    <row r="2262" spans="1:5" x14ac:dyDescent="0.25">
      <c r="A2262" s="108">
        <v>201611</v>
      </c>
      <c r="B2262" s="109" t="s">
        <v>238</v>
      </c>
      <c r="C2262" s="108">
        <v>0</v>
      </c>
      <c r="D2262" s="110"/>
      <c r="E2262" t="str">
        <f>VLOOKUP(B2262,CAC!$A$2:$B$198,2,FALSE)</f>
        <v>DOILG</v>
      </c>
    </row>
    <row r="2263" spans="1:5" x14ac:dyDescent="0.25">
      <c r="A2263" s="108">
        <v>201611</v>
      </c>
      <c r="B2263" s="109" t="s">
        <v>248</v>
      </c>
      <c r="C2263" s="108">
        <v>0</v>
      </c>
      <c r="D2263" s="110"/>
      <c r="E2263" t="str">
        <f>VLOOKUP(B2263,CAC!$A$2:$B$198,2,FALSE)</f>
        <v>DOIIFP</v>
      </c>
    </row>
    <row r="2264" spans="1:5" x14ac:dyDescent="0.25">
      <c r="A2264" s="108">
        <v>201611</v>
      </c>
      <c r="B2264" s="109" t="s">
        <v>273</v>
      </c>
      <c r="C2264" s="108">
        <v>0</v>
      </c>
      <c r="D2264" s="110"/>
      <c r="E2264" t="str">
        <f>VLOOKUP(B2264,CAC!$A$2:$B$198,2,FALSE)</f>
        <v>AGDMHC</v>
      </c>
    </row>
    <row r="2265" spans="1:5" x14ac:dyDescent="0.25">
      <c r="A2265" s="108">
        <v>201611</v>
      </c>
      <c r="B2265" s="109" t="s">
        <v>328</v>
      </c>
      <c r="C2265" s="108">
        <v>0</v>
      </c>
      <c r="D2265" s="110"/>
      <c r="E2265" t="e">
        <f>VLOOKUP(B2265,CAC!$A$2:$B$198,2,FALSE)</f>
        <v>#N/A</v>
      </c>
    </row>
    <row r="2266" spans="1:5" x14ac:dyDescent="0.25">
      <c r="A2266" s="108">
        <v>201611</v>
      </c>
      <c r="B2266" s="109" t="s">
        <v>253</v>
      </c>
      <c r="C2266" s="108">
        <v>0</v>
      </c>
      <c r="D2266" s="110"/>
      <c r="E2266" t="str">
        <f>VLOOKUP(B2266,CAC!$A$2:$B$198,2,FALSE)</f>
        <v>AGDMHC</v>
      </c>
    </row>
    <row r="2267" spans="1:5" x14ac:dyDescent="0.25">
      <c r="A2267" s="108">
        <v>201611</v>
      </c>
      <c r="B2267" s="109" t="s">
        <v>325</v>
      </c>
      <c r="C2267" s="108">
        <v>0</v>
      </c>
      <c r="D2267" s="110"/>
      <c r="E2267" t="e">
        <f>VLOOKUP(B2267,CAC!$A$2:$B$198,2,FALSE)</f>
        <v>#N/A</v>
      </c>
    </row>
    <row r="2268" spans="1:5" x14ac:dyDescent="0.25">
      <c r="A2268" s="108">
        <v>201611</v>
      </c>
      <c r="B2268" s="109" t="s">
        <v>255</v>
      </c>
      <c r="C2268" s="108">
        <v>0</v>
      </c>
      <c r="D2268" s="110"/>
      <c r="E2268" t="str">
        <f>VLOOKUP(B2268,CAC!$A$2:$B$198,2,FALSE)</f>
        <v>AGDMHC</v>
      </c>
    </row>
    <row r="2269" spans="1:5" x14ac:dyDescent="0.25">
      <c r="A2269" s="108">
        <v>201611</v>
      </c>
      <c r="B2269" s="109" t="s">
        <v>256</v>
      </c>
      <c r="C2269" s="108">
        <v>0</v>
      </c>
      <c r="D2269" s="110"/>
      <c r="E2269" t="str">
        <f>VLOOKUP(B2269,CAC!$A$2:$B$198,2,FALSE)</f>
        <v>AGDMHC</v>
      </c>
    </row>
    <row r="2270" spans="1:5" x14ac:dyDescent="0.25">
      <c r="A2270" s="108">
        <v>201611</v>
      </c>
      <c r="B2270" s="109" t="s">
        <v>257</v>
      </c>
      <c r="C2270" s="108">
        <v>0</v>
      </c>
      <c r="D2270" s="110"/>
      <c r="E2270" t="str">
        <f>VLOOKUP(B2270,CAC!$A$2:$B$198,2,FALSE)</f>
        <v>AGDMHC</v>
      </c>
    </row>
    <row r="2271" spans="1:5" x14ac:dyDescent="0.25">
      <c r="A2271" s="108">
        <v>201611</v>
      </c>
      <c r="B2271" s="109" t="s">
        <v>258</v>
      </c>
      <c r="C2271" s="108">
        <v>0</v>
      </c>
      <c r="D2271" s="110"/>
      <c r="E2271" t="str">
        <f>VLOOKUP(B2271,CAC!$A$2:$B$198,2,FALSE)</f>
        <v>AGDMHC</v>
      </c>
    </row>
    <row r="2272" spans="1:5" x14ac:dyDescent="0.25">
      <c r="A2272" s="108">
        <v>201611</v>
      </c>
      <c r="B2272" s="109" t="s">
        <v>259</v>
      </c>
      <c r="C2272" s="108">
        <v>0</v>
      </c>
      <c r="D2272" s="110"/>
      <c r="E2272" t="str">
        <f>VLOOKUP(B2272,CAC!$A$2:$B$198,2,FALSE)</f>
        <v>AGDMHC</v>
      </c>
    </row>
    <row r="2273" spans="1:5" x14ac:dyDescent="0.25">
      <c r="A2273" s="108">
        <v>201611</v>
      </c>
      <c r="B2273" s="109" t="s">
        <v>329</v>
      </c>
      <c r="C2273" s="108">
        <v>0</v>
      </c>
      <c r="D2273" s="110"/>
      <c r="E2273" t="e">
        <f>VLOOKUP(B2273,CAC!$A$2:$B$198,2,FALSE)</f>
        <v>#N/A</v>
      </c>
    </row>
    <row r="2274" spans="1:5" x14ac:dyDescent="0.25">
      <c r="A2274" s="108">
        <v>201611</v>
      </c>
      <c r="B2274" s="109" t="s">
        <v>262</v>
      </c>
      <c r="C2274" s="108">
        <v>0</v>
      </c>
      <c r="D2274" s="110"/>
      <c r="E2274" t="str">
        <f>VLOOKUP(B2274,CAC!$A$2:$B$198,2,FALSE)</f>
        <v>AGDMHC</v>
      </c>
    </row>
    <row r="2275" spans="1:5" x14ac:dyDescent="0.25">
      <c r="A2275" s="108">
        <v>201611</v>
      </c>
      <c r="B2275" s="109" t="s">
        <v>264</v>
      </c>
      <c r="C2275" s="108">
        <v>0</v>
      </c>
      <c r="D2275" s="110"/>
      <c r="E2275" t="str">
        <f>VLOOKUP(B2275,CAC!$A$2:$B$198,2,FALSE)</f>
        <v>AGDMHC</v>
      </c>
    </row>
    <row r="2276" spans="1:5" x14ac:dyDescent="0.25">
      <c r="A2276" s="108">
        <v>201611</v>
      </c>
      <c r="B2276" s="109" t="s">
        <v>269</v>
      </c>
      <c r="C2276" s="108">
        <v>0</v>
      </c>
      <c r="D2276" s="110"/>
      <c r="E2276" t="str">
        <f>VLOOKUP(B2276,CAC!$A$2:$B$198,2,FALSE)</f>
        <v>AGDMHC</v>
      </c>
    </row>
    <row r="2277" spans="1:5" x14ac:dyDescent="0.25">
      <c r="A2277" s="108">
        <v>201611</v>
      </c>
      <c r="B2277" s="109" t="s">
        <v>319</v>
      </c>
      <c r="C2277" s="108">
        <v>0</v>
      </c>
      <c r="D2277" s="110"/>
      <c r="E2277" t="e">
        <f>VLOOKUP(B2277,CAC!$A$2:$B$198,2,FALSE)</f>
        <v>#N/A</v>
      </c>
    </row>
    <row r="2278" spans="1:5" x14ac:dyDescent="0.25">
      <c r="A2278" s="108">
        <v>201611</v>
      </c>
      <c r="B2278" s="109" t="s">
        <v>267</v>
      </c>
      <c r="C2278" s="108">
        <v>0</v>
      </c>
      <c r="D2278" s="110"/>
      <c r="E2278" t="str">
        <f>VLOOKUP(B2278,CAC!$A$2:$B$198,2,FALSE)</f>
        <v>AGDMHC</v>
      </c>
    </row>
    <row r="2279" spans="1:5" x14ac:dyDescent="0.25">
      <c r="A2279" s="108">
        <v>201611</v>
      </c>
      <c r="B2279" s="109" t="s">
        <v>268</v>
      </c>
      <c r="C2279" s="108">
        <v>0</v>
      </c>
      <c r="D2279" s="110"/>
      <c r="E2279" t="str">
        <f>VLOOKUP(B2279,CAC!$A$2:$B$198,2,FALSE)</f>
        <v>AGDMHC</v>
      </c>
    </row>
    <row r="2280" spans="1:5" x14ac:dyDescent="0.25">
      <c r="A2280" s="108">
        <v>201611</v>
      </c>
      <c r="B2280" s="109" t="s">
        <v>52</v>
      </c>
      <c r="C2280" s="108">
        <v>15645</v>
      </c>
      <c r="D2280" s="110"/>
      <c r="E2280" t="str">
        <f>VLOOKUP(B2280,CAC!$A$2:$B$198,2,FALSE)</f>
        <v>HMOPMR</v>
      </c>
    </row>
    <row r="2281" spans="1:5" x14ac:dyDescent="0.25">
      <c r="A2281" s="108">
        <v>201611</v>
      </c>
      <c r="B2281" s="109" t="s">
        <v>53</v>
      </c>
      <c r="C2281" s="108">
        <v>4749</v>
      </c>
      <c r="D2281" s="110"/>
      <c r="E2281" t="str">
        <f>VLOOKUP(B2281,CAC!$A$2:$B$198,2,FALSE)</f>
        <v>HMOPMR</v>
      </c>
    </row>
    <row r="2282" spans="1:5" x14ac:dyDescent="0.25">
      <c r="A2282" s="108">
        <v>201611</v>
      </c>
      <c r="B2282" s="109" t="s">
        <v>54</v>
      </c>
      <c r="C2282" s="108">
        <v>5978</v>
      </c>
      <c r="D2282" s="110"/>
      <c r="E2282" t="str">
        <f>VLOOKUP(B2282,CAC!$A$2:$B$198,2,FALSE)</f>
        <v>HMOFEP</v>
      </c>
    </row>
    <row r="2283" spans="1:5" x14ac:dyDescent="0.25">
      <c r="A2283" s="108">
        <v>201611</v>
      </c>
      <c r="B2283" s="109" t="s">
        <v>279</v>
      </c>
      <c r="C2283" s="108">
        <v>0</v>
      </c>
      <c r="D2283" s="110"/>
      <c r="E2283" t="str">
        <f>VLOOKUP(B2283,CAC!$A$2:$B$198,2,FALSE)</f>
        <v>PPOFEP</v>
      </c>
    </row>
    <row r="2284" spans="1:5" x14ac:dyDescent="0.25">
      <c r="A2284" s="108">
        <v>201611</v>
      </c>
      <c r="B2284" s="109" t="s">
        <v>202</v>
      </c>
      <c r="C2284" s="108">
        <v>0</v>
      </c>
      <c r="D2284" s="110"/>
      <c r="E2284" t="str">
        <f>VLOOKUP(B2284,CAC!$A$2:$B$198,2,FALSE)</f>
        <v>PPOPMR</v>
      </c>
    </row>
    <row r="2285" spans="1:5" x14ac:dyDescent="0.25">
      <c r="A2285" s="108">
        <v>201611</v>
      </c>
      <c r="B2285" s="109" t="s">
        <v>55</v>
      </c>
      <c r="C2285" s="108">
        <v>14755</v>
      </c>
      <c r="D2285" s="110"/>
      <c r="E2285" t="str">
        <f>VLOOKUP(B2285,CAC!$A$2:$B$198,2,FALSE)</f>
        <v>HMOPMR</v>
      </c>
    </row>
    <row r="2286" spans="1:5" x14ac:dyDescent="0.25">
      <c r="A2286" s="108">
        <v>201611</v>
      </c>
      <c r="B2286" s="109" t="s">
        <v>56</v>
      </c>
      <c r="C2286" s="108">
        <v>112</v>
      </c>
      <c r="D2286" s="110"/>
      <c r="E2286" t="str">
        <f>VLOOKUP(B2286,CAC!$A$2:$B$198,2,FALSE)</f>
        <v>HMOPMR</v>
      </c>
    </row>
    <row r="2287" spans="1:5" x14ac:dyDescent="0.25">
      <c r="A2287" s="108">
        <v>201611</v>
      </c>
      <c r="B2287" s="109" t="s">
        <v>83</v>
      </c>
      <c r="C2287" s="108">
        <v>1976</v>
      </c>
      <c r="D2287" s="110"/>
      <c r="E2287" t="str">
        <f>VLOOKUP(B2287,CAC!$A$2:$B$198,2,FALSE)</f>
        <v>HMOPMR</v>
      </c>
    </row>
    <row r="2288" spans="1:5" x14ac:dyDescent="0.25">
      <c r="A2288" s="108">
        <v>201611</v>
      </c>
      <c r="B2288" s="109" t="s">
        <v>57</v>
      </c>
      <c r="C2288" s="108">
        <v>4060</v>
      </c>
      <c r="D2288" s="110"/>
      <c r="E2288" t="str">
        <f>VLOOKUP(B2288,CAC!$A$2:$B$198,2,FALSE)</f>
        <v>HMFLEX</v>
      </c>
    </row>
    <row r="2289" spans="1:5" x14ac:dyDescent="0.25">
      <c r="A2289" s="108">
        <v>201611</v>
      </c>
      <c r="B2289" s="109" t="s">
        <v>58</v>
      </c>
      <c r="C2289" s="108">
        <v>352</v>
      </c>
      <c r="D2289" s="110"/>
      <c r="E2289" t="str">
        <f>VLOOKUP(B2289,CAC!$A$2:$B$198,2,FALSE)</f>
        <v>HMFLEX</v>
      </c>
    </row>
    <row r="2290" spans="1:5" x14ac:dyDescent="0.25">
      <c r="A2290" s="108">
        <v>201611</v>
      </c>
      <c r="B2290" s="109" t="s">
        <v>306</v>
      </c>
      <c r="C2290" s="108">
        <v>0</v>
      </c>
      <c r="D2290" s="110"/>
      <c r="E2290" t="e">
        <f>VLOOKUP(B2290,CAC!$A$2:$B$198,2,FALSE)</f>
        <v>#N/A</v>
      </c>
    </row>
    <row r="2291" spans="1:5" x14ac:dyDescent="0.25">
      <c r="A2291" s="108">
        <v>201611</v>
      </c>
      <c r="B2291" s="109" t="s">
        <v>283</v>
      </c>
      <c r="C2291" s="108">
        <v>0</v>
      </c>
      <c r="D2291" s="110"/>
      <c r="E2291" t="str">
        <f>VLOOKUP(B2291,CAC!$A$2:$B$198,2,FALSE)</f>
        <v>HMFLEX</v>
      </c>
    </row>
    <row r="2292" spans="1:5" x14ac:dyDescent="0.25">
      <c r="A2292" s="108">
        <v>201611</v>
      </c>
      <c r="B2292" s="109" t="s">
        <v>205</v>
      </c>
      <c r="C2292" s="108">
        <v>0</v>
      </c>
      <c r="D2292" s="110"/>
      <c r="E2292" t="str">
        <f>VLOOKUP(B2292,CAC!$A$2:$B$198,2,FALSE)</f>
        <v>PPOPMR</v>
      </c>
    </row>
    <row r="2293" spans="1:5" x14ac:dyDescent="0.25">
      <c r="A2293" s="108">
        <v>201611</v>
      </c>
      <c r="B2293" s="109" t="s">
        <v>60</v>
      </c>
      <c r="C2293" s="108">
        <v>11627</v>
      </c>
      <c r="D2293" s="110"/>
      <c r="E2293" t="str">
        <f>VLOOKUP(B2293,CAC!$A$2:$B$198,2,FALSE)</f>
        <v>HMOLG</v>
      </c>
    </row>
    <row r="2294" spans="1:5" x14ac:dyDescent="0.25">
      <c r="A2294" s="108">
        <v>201611</v>
      </c>
      <c r="B2294" s="109" t="s">
        <v>61</v>
      </c>
      <c r="C2294" s="108">
        <v>600</v>
      </c>
      <c r="D2294" s="110"/>
      <c r="E2294" t="str">
        <f>VLOOKUP(B2294,CAC!$A$2:$B$198,2,FALSE)</f>
        <v>HMOLG</v>
      </c>
    </row>
    <row r="2295" spans="1:5" x14ac:dyDescent="0.25">
      <c r="A2295" s="108">
        <v>201611</v>
      </c>
      <c r="B2295" s="109" t="s">
        <v>62</v>
      </c>
      <c r="C2295" s="108">
        <v>21031</v>
      </c>
      <c r="D2295" s="110"/>
      <c r="E2295" t="str">
        <f>VLOOKUP(B2295,CAC!$A$2:$B$198,2,FALSE)</f>
        <v>HMOLG</v>
      </c>
    </row>
    <row r="2296" spans="1:5" x14ac:dyDescent="0.25">
      <c r="A2296" s="108">
        <v>201611</v>
      </c>
      <c r="B2296" s="109" t="s">
        <v>86</v>
      </c>
      <c r="C2296" s="108">
        <v>2249</v>
      </c>
      <c r="D2296" s="110"/>
      <c r="E2296" t="str">
        <f>VLOOKUP(B2296,CAC!$A$2:$B$198,2,FALSE)</f>
        <v>HMOLG</v>
      </c>
    </row>
    <row r="2297" spans="1:5" x14ac:dyDescent="0.25">
      <c r="A2297" s="108">
        <v>201611</v>
      </c>
      <c r="B2297" s="109" t="s">
        <v>63</v>
      </c>
      <c r="C2297" s="108">
        <v>99</v>
      </c>
      <c r="D2297" s="110"/>
      <c r="E2297" t="str">
        <f>VLOOKUP(B2297,CAC!$A$2:$B$198,2,FALSE)</f>
        <v>HMOLG</v>
      </c>
    </row>
    <row r="2298" spans="1:5" x14ac:dyDescent="0.25">
      <c r="A2298" s="108">
        <v>201611</v>
      </c>
      <c r="B2298" s="109" t="s">
        <v>64</v>
      </c>
      <c r="C2298" s="108">
        <v>0</v>
      </c>
      <c r="D2298" s="110"/>
      <c r="E2298" t="str">
        <f>VLOOKUP(B2298,CAC!$A$2:$B$198,2,FALSE)</f>
        <v>HMOLG</v>
      </c>
    </row>
    <row r="2299" spans="1:5" x14ac:dyDescent="0.25">
      <c r="A2299" s="108">
        <v>201611</v>
      </c>
      <c r="B2299" s="109" t="s">
        <v>65</v>
      </c>
      <c r="C2299" s="108">
        <v>219</v>
      </c>
      <c r="D2299" s="110"/>
      <c r="E2299" t="str">
        <f>VLOOKUP(B2299,CAC!$A$2:$B$198,2,FALSE)</f>
        <v>HMFLEX</v>
      </c>
    </row>
    <row r="2300" spans="1:5" x14ac:dyDescent="0.25">
      <c r="A2300" s="108">
        <v>201611</v>
      </c>
      <c r="B2300" s="109" t="s">
        <v>307</v>
      </c>
      <c r="C2300" s="108">
        <v>0</v>
      </c>
      <c r="D2300" s="110"/>
      <c r="E2300" t="e">
        <f>VLOOKUP(B2300,CAC!$A$2:$B$198,2,FALSE)</f>
        <v>#N/A</v>
      </c>
    </row>
    <row r="2301" spans="1:5" x14ac:dyDescent="0.25">
      <c r="A2301" s="108">
        <v>201611</v>
      </c>
      <c r="B2301" s="109" t="s">
        <v>308</v>
      </c>
      <c r="C2301" s="108">
        <v>0</v>
      </c>
      <c r="D2301" s="110"/>
      <c r="E2301" t="e">
        <f>VLOOKUP(B2301,CAC!$A$2:$B$198,2,FALSE)</f>
        <v>#N/A</v>
      </c>
    </row>
    <row r="2302" spans="1:5" x14ac:dyDescent="0.25">
      <c r="A2302" s="108">
        <v>201611</v>
      </c>
      <c r="B2302" s="109" t="s">
        <v>309</v>
      </c>
      <c r="C2302" s="108">
        <v>0</v>
      </c>
      <c r="D2302" s="110"/>
      <c r="E2302" t="e">
        <f>VLOOKUP(B2302,CAC!$A$2:$B$198,2,FALSE)</f>
        <v>#N/A</v>
      </c>
    </row>
    <row r="2303" spans="1:5" x14ac:dyDescent="0.25">
      <c r="A2303" s="108">
        <v>201611</v>
      </c>
      <c r="B2303" s="109" t="s">
        <v>99</v>
      </c>
      <c r="C2303" s="108">
        <v>0</v>
      </c>
      <c r="D2303" s="110"/>
      <c r="E2303" t="str">
        <f>VLOOKUP(B2303,CAC!$A$2:$B$198,2,FALSE)</f>
        <v>PPOLG</v>
      </c>
    </row>
    <row r="2304" spans="1:5" x14ac:dyDescent="0.25">
      <c r="A2304" s="108">
        <v>201611</v>
      </c>
      <c r="B2304" s="109" t="s">
        <v>193</v>
      </c>
      <c r="C2304" s="108">
        <v>0</v>
      </c>
      <c r="D2304" s="110"/>
      <c r="E2304" t="str">
        <f>VLOOKUP(B2304,CAC!$A$2:$B$198,2,FALSE)</f>
        <v>PPOLG</v>
      </c>
    </row>
    <row r="2305" spans="1:5" x14ac:dyDescent="0.25">
      <c r="A2305" s="108">
        <v>201611</v>
      </c>
      <c r="B2305" s="109" t="s">
        <v>196</v>
      </c>
      <c r="C2305" s="108">
        <v>0</v>
      </c>
      <c r="D2305" s="110"/>
      <c r="E2305" t="str">
        <f>VLOOKUP(B2305,CAC!$A$2:$B$198,2,FALSE)</f>
        <v>PPOLG</v>
      </c>
    </row>
    <row r="2306" spans="1:5" x14ac:dyDescent="0.25">
      <c r="A2306" s="108">
        <v>201611</v>
      </c>
      <c r="B2306" s="109" t="s">
        <v>212</v>
      </c>
      <c r="C2306" s="108">
        <v>0</v>
      </c>
      <c r="D2306" s="110"/>
      <c r="E2306" t="str">
        <f>VLOOKUP(B2306,CAC!$A$2:$B$198,2,FALSE)</f>
        <v>PPOMM</v>
      </c>
    </row>
    <row r="2307" spans="1:5" x14ac:dyDescent="0.25">
      <c r="A2307" s="108">
        <v>201611</v>
      </c>
      <c r="B2307" s="109" t="s">
        <v>213</v>
      </c>
      <c r="C2307" s="108">
        <v>0</v>
      </c>
      <c r="D2307" s="110"/>
      <c r="E2307" t="str">
        <f>VLOOKUP(B2307,CAC!$A$2:$B$198,2,FALSE)</f>
        <v>PPOMM</v>
      </c>
    </row>
    <row r="2308" spans="1:5" x14ac:dyDescent="0.25">
      <c r="A2308" s="108">
        <v>201611</v>
      </c>
      <c r="B2308" s="109" t="s">
        <v>311</v>
      </c>
      <c r="C2308" s="108">
        <v>0</v>
      </c>
      <c r="D2308" s="110"/>
      <c r="E2308" t="e">
        <f>VLOOKUP(B2308,CAC!$A$2:$B$198,2,FALSE)</f>
        <v>#N/A</v>
      </c>
    </row>
    <row r="2309" spans="1:5" x14ac:dyDescent="0.25">
      <c r="A2309" s="108">
        <v>201611</v>
      </c>
      <c r="B2309" s="109" t="s">
        <v>320</v>
      </c>
      <c r="C2309" s="108">
        <v>0</v>
      </c>
      <c r="D2309" s="110"/>
      <c r="E2309" t="e">
        <f>VLOOKUP(B2309,CAC!$A$2:$B$198,2,FALSE)</f>
        <v>#N/A</v>
      </c>
    </row>
    <row r="2310" spans="1:5" x14ac:dyDescent="0.25">
      <c r="A2310" s="108">
        <v>201611</v>
      </c>
      <c r="B2310" s="109" t="s">
        <v>321</v>
      </c>
      <c r="C2310" s="108">
        <v>0</v>
      </c>
      <c r="D2310" s="110"/>
      <c r="E2310" t="e">
        <f>VLOOKUP(B2310,CAC!$A$2:$B$198,2,FALSE)</f>
        <v>#N/A</v>
      </c>
    </row>
    <row r="2311" spans="1:5" x14ac:dyDescent="0.25">
      <c r="A2311" s="108">
        <v>201611</v>
      </c>
      <c r="B2311" s="109" t="s">
        <v>312</v>
      </c>
      <c r="C2311" s="108">
        <v>0</v>
      </c>
      <c r="D2311" s="110"/>
      <c r="E2311" t="e">
        <f>VLOOKUP(B2311,CAC!$A$2:$B$198,2,FALSE)</f>
        <v>#N/A</v>
      </c>
    </row>
    <row r="2312" spans="1:5" x14ac:dyDescent="0.25">
      <c r="A2312" s="108">
        <v>201611</v>
      </c>
      <c r="B2312" s="109" t="s">
        <v>215</v>
      </c>
      <c r="C2312" s="108">
        <v>0</v>
      </c>
      <c r="D2312" s="110"/>
      <c r="E2312" t="str">
        <f>VLOOKUP(B2312,CAC!$A$2:$B$198,2,FALSE)</f>
        <v>PPOMM</v>
      </c>
    </row>
    <row r="2313" spans="1:5" x14ac:dyDescent="0.25">
      <c r="A2313" s="108">
        <v>201611</v>
      </c>
      <c r="B2313" s="109" t="s">
        <v>66</v>
      </c>
      <c r="C2313" s="108">
        <v>4033</v>
      </c>
      <c r="D2313" s="110"/>
      <c r="E2313" t="str">
        <f>VLOOKUP(B2313,CAC!$A$2:$B$198,2,FALSE)</f>
        <v>HMOLG</v>
      </c>
    </row>
    <row r="2314" spans="1:5" x14ac:dyDescent="0.25">
      <c r="A2314" s="108">
        <v>201611</v>
      </c>
      <c r="B2314" s="109" t="s">
        <v>82</v>
      </c>
      <c r="C2314" s="108">
        <v>1</v>
      </c>
      <c r="D2314" s="110"/>
      <c r="E2314" t="str">
        <f>VLOOKUP(B2314,CAC!$A$2:$B$198,2,FALSE)</f>
        <v>NATPAR</v>
      </c>
    </row>
    <row r="2315" spans="1:5" x14ac:dyDescent="0.25">
      <c r="A2315" s="108">
        <v>201611</v>
      </c>
      <c r="B2315" s="109" t="s">
        <v>67</v>
      </c>
      <c r="C2315" s="108">
        <v>151</v>
      </c>
      <c r="D2315" s="110"/>
      <c r="E2315" t="str">
        <f>VLOOKUP(B2315,CAC!$A$2:$B$198,2,FALSE)</f>
        <v>HMOLG</v>
      </c>
    </row>
    <row r="2316" spans="1:5" x14ac:dyDescent="0.25">
      <c r="A2316" s="108">
        <v>201611</v>
      </c>
      <c r="B2316" s="109" t="s">
        <v>68</v>
      </c>
      <c r="C2316" s="108">
        <v>279</v>
      </c>
      <c r="D2316" s="110"/>
      <c r="E2316" t="str">
        <f>VLOOKUP(B2316,CAC!$A$2:$B$198,2,FALSE)</f>
        <v>HMOPMR</v>
      </c>
    </row>
    <row r="2317" spans="1:5" x14ac:dyDescent="0.25">
      <c r="A2317" s="108">
        <v>201611</v>
      </c>
      <c r="B2317" s="109" t="s">
        <v>69</v>
      </c>
      <c r="C2317" s="108">
        <v>9650</v>
      </c>
      <c r="D2317" s="110"/>
      <c r="E2317" t="str">
        <f>VLOOKUP(B2317,CAC!$A$2:$B$198,2,FALSE)</f>
        <v>HMOPMR</v>
      </c>
    </row>
    <row r="2318" spans="1:5" x14ac:dyDescent="0.25">
      <c r="A2318" s="108">
        <v>201611</v>
      </c>
      <c r="B2318" s="109" t="s">
        <v>70</v>
      </c>
      <c r="C2318" s="108">
        <v>4087</v>
      </c>
      <c r="D2318" s="110"/>
      <c r="E2318" t="str">
        <f>VLOOKUP(B2318,CAC!$A$2:$B$198,2,FALSE)</f>
        <v>HMOPMR</v>
      </c>
    </row>
    <row r="2319" spans="1:5" x14ac:dyDescent="0.25">
      <c r="A2319" s="108">
        <v>201611</v>
      </c>
      <c r="B2319" s="109" t="s">
        <v>71</v>
      </c>
      <c r="C2319" s="108">
        <v>6814</v>
      </c>
      <c r="D2319" s="110"/>
      <c r="E2319" t="str">
        <f>VLOOKUP(B2319,CAC!$A$2:$B$198,2,FALSE)</f>
        <v>HMOPMR</v>
      </c>
    </row>
    <row r="2320" spans="1:5" x14ac:dyDescent="0.25">
      <c r="A2320" s="108">
        <v>201611</v>
      </c>
      <c r="B2320" s="109" t="s">
        <v>72</v>
      </c>
      <c r="C2320" s="108">
        <v>5125</v>
      </c>
      <c r="D2320" s="110"/>
      <c r="E2320" t="str">
        <f>VLOOKUP(B2320,CAC!$A$2:$B$198,2,FALSE)</f>
        <v>HMFLEX</v>
      </c>
    </row>
    <row r="2321" spans="1:5" x14ac:dyDescent="0.25">
      <c r="A2321" s="108">
        <v>201611</v>
      </c>
      <c r="B2321" s="109" t="s">
        <v>314</v>
      </c>
      <c r="C2321" s="108">
        <v>0</v>
      </c>
      <c r="D2321" s="110"/>
      <c r="E2321" t="e">
        <f>VLOOKUP(B2321,CAC!$A$2:$B$198,2,FALSE)</f>
        <v>#N/A</v>
      </c>
    </row>
    <row r="2322" spans="1:5" x14ac:dyDescent="0.25">
      <c r="A2322" s="108">
        <v>201611</v>
      </c>
      <c r="B2322" s="109" t="s">
        <v>322</v>
      </c>
      <c r="C2322" s="108">
        <v>0</v>
      </c>
      <c r="D2322" s="110"/>
      <c r="E2322" t="e">
        <f>VLOOKUP(B2322,CAC!$A$2:$B$198,2,FALSE)</f>
        <v>#N/A</v>
      </c>
    </row>
    <row r="2323" spans="1:5" x14ac:dyDescent="0.25">
      <c r="A2323" s="108">
        <v>201611</v>
      </c>
      <c r="B2323" s="109" t="s">
        <v>315</v>
      </c>
      <c r="C2323" s="108">
        <v>0</v>
      </c>
      <c r="D2323" s="110"/>
      <c r="E2323" t="e">
        <f>VLOOKUP(B2323,CAC!$A$2:$B$198,2,FALSE)</f>
        <v>#N/A</v>
      </c>
    </row>
    <row r="2324" spans="1:5" x14ac:dyDescent="0.25">
      <c r="A2324" s="108">
        <v>201611</v>
      </c>
      <c r="B2324" s="109" t="s">
        <v>112</v>
      </c>
      <c r="C2324" s="108">
        <v>0</v>
      </c>
      <c r="D2324" s="110"/>
      <c r="E2324" t="e">
        <f>VLOOKUP(B2324,CAC!$A$2:$B$198,2,FALSE)</f>
        <v>#N/A</v>
      </c>
    </row>
    <row r="2325" spans="1:5" x14ac:dyDescent="0.25">
      <c r="A2325" s="108">
        <v>201611</v>
      </c>
      <c r="B2325" s="109" t="s">
        <v>316</v>
      </c>
      <c r="C2325" s="108">
        <v>0</v>
      </c>
      <c r="D2325" s="110"/>
      <c r="E2325" t="e">
        <f>VLOOKUP(B2325,CAC!$A$2:$B$198,2,FALSE)</f>
        <v>#N/A</v>
      </c>
    </row>
    <row r="2326" spans="1:5" x14ac:dyDescent="0.25">
      <c r="A2326" s="108">
        <v>201611</v>
      </c>
      <c r="B2326" s="109" t="s">
        <v>317</v>
      </c>
      <c r="C2326" s="108">
        <v>0</v>
      </c>
      <c r="D2326" s="110"/>
      <c r="E2326" t="e">
        <f>VLOOKUP(B2326,CAC!$A$2:$B$198,2,FALSE)</f>
        <v>#N/A</v>
      </c>
    </row>
    <row r="2327" spans="1:5" x14ac:dyDescent="0.25">
      <c r="A2327" s="108">
        <v>201611</v>
      </c>
      <c r="B2327" s="109" t="s">
        <v>113</v>
      </c>
      <c r="C2327" s="108">
        <v>0</v>
      </c>
      <c r="D2327" s="110"/>
      <c r="E2327" t="str">
        <f>VLOOKUP(B2327,CAC!$A$2:$B$198,2,FALSE)</f>
        <v>PPOLG</v>
      </c>
    </row>
    <row r="2328" spans="1:5" x14ac:dyDescent="0.25">
      <c r="A2328" s="108">
        <v>201611</v>
      </c>
      <c r="B2328" s="109" t="s">
        <v>208</v>
      </c>
      <c r="C2328" s="108">
        <v>0</v>
      </c>
      <c r="D2328" s="110"/>
      <c r="E2328" t="str">
        <f>VLOOKUP(B2328,CAC!$A$2:$B$198,2,FALSE)</f>
        <v>PPOPMR</v>
      </c>
    </row>
    <row r="2329" spans="1:5" x14ac:dyDescent="0.25">
      <c r="A2329" s="108">
        <v>201611</v>
      </c>
      <c r="B2329" s="109" t="s">
        <v>291</v>
      </c>
      <c r="C2329" s="108">
        <v>0</v>
      </c>
      <c r="D2329" s="110"/>
      <c r="E2329" t="str">
        <f>VLOOKUP(B2329,CAC!$A$2:$B$198,2,FALSE)</f>
        <v>HMFLEX</v>
      </c>
    </row>
    <row r="2330" spans="1:5" x14ac:dyDescent="0.25">
      <c r="A2330" s="108">
        <v>201611</v>
      </c>
      <c r="B2330" s="109" t="s">
        <v>209</v>
      </c>
      <c r="C2330" s="108">
        <v>0</v>
      </c>
      <c r="D2330" s="110"/>
      <c r="E2330" t="str">
        <f>VLOOKUP(B2330,CAC!$A$2:$B$198,2,FALSE)</f>
        <v>PPOPMR</v>
      </c>
    </row>
    <row r="2331" spans="1:5" x14ac:dyDescent="0.25">
      <c r="A2331" s="108">
        <v>201611</v>
      </c>
      <c r="B2331" s="109" t="s">
        <v>204</v>
      </c>
      <c r="C2331" s="108">
        <v>0</v>
      </c>
      <c r="D2331" s="110"/>
      <c r="E2331" t="str">
        <f>VLOOKUP(B2331,CAC!$A$2:$B$198,2,FALSE)</f>
        <v>PPOPMR</v>
      </c>
    </row>
    <row r="2332" spans="1:5" x14ac:dyDescent="0.25">
      <c r="A2332" s="108">
        <v>201611</v>
      </c>
      <c r="B2332" s="109" t="s">
        <v>330</v>
      </c>
      <c r="C2332" s="108">
        <v>0</v>
      </c>
      <c r="D2332" s="110"/>
      <c r="E2332" t="e">
        <f>VLOOKUP(B2332,CAC!$A$2:$B$198,2,FALSE)</f>
        <v>#N/A</v>
      </c>
    </row>
    <row r="2333" spans="1:5" x14ac:dyDescent="0.25">
      <c r="A2333" s="108">
        <v>201611</v>
      </c>
      <c r="B2333" s="109" t="s">
        <v>73</v>
      </c>
      <c r="C2333" s="108">
        <v>32297</v>
      </c>
      <c r="D2333" s="108">
        <v>5413</v>
      </c>
      <c r="E2333" t="str">
        <f>VLOOKUP(B2333,CAC!$A$2:$B$198,2,FALSE)</f>
        <v>HMOPERA</v>
      </c>
    </row>
    <row r="2334" spans="1:5" x14ac:dyDescent="0.25">
      <c r="A2334" s="108">
        <v>201611</v>
      </c>
      <c r="B2334" s="109" t="s">
        <v>75</v>
      </c>
      <c r="C2334" s="108">
        <v>24475</v>
      </c>
      <c r="D2334" s="108">
        <v>11302</v>
      </c>
      <c r="E2334" t="str">
        <f>VLOOKUP(B2334,CAC!$A$2:$B$198,2,FALSE)</f>
        <v>HMOPERN</v>
      </c>
    </row>
    <row r="2335" spans="1:5" x14ac:dyDescent="0.25">
      <c r="A2335" s="108">
        <v>201611</v>
      </c>
      <c r="B2335" s="109" t="s">
        <v>218</v>
      </c>
      <c r="C2335" s="108">
        <v>0</v>
      </c>
      <c r="D2335" s="110"/>
      <c r="E2335" t="str">
        <f>VLOOKUP(B2335,CAC!$A$2:$B$198,2,FALSE)</f>
        <v>HMOPERA</v>
      </c>
    </row>
    <row r="2336" spans="1:5" x14ac:dyDescent="0.25">
      <c r="A2336" s="108">
        <v>201611</v>
      </c>
      <c r="B2336" s="109" t="s">
        <v>156</v>
      </c>
      <c r="C2336" s="108">
        <v>25779</v>
      </c>
      <c r="D2336" s="110"/>
      <c r="E2336" t="str">
        <f>VLOOKUP(B2336,CAC!$A$2:$B$198,2,FALSE)</f>
        <v>HMOMM</v>
      </c>
    </row>
    <row r="2337" spans="1:5" x14ac:dyDescent="0.25">
      <c r="A2337" s="108">
        <v>201611</v>
      </c>
      <c r="B2337" s="109" t="s">
        <v>84</v>
      </c>
      <c r="C2337" s="108">
        <v>6037</v>
      </c>
      <c r="D2337" s="110"/>
      <c r="E2337" t="str">
        <f>VLOOKUP(B2337,CAC!$A$2:$B$198,2,FALSE)</f>
        <v>HMOMM</v>
      </c>
    </row>
    <row r="2338" spans="1:5" x14ac:dyDescent="0.25">
      <c r="A2338" s="108">
        <v>201611</v>
      </c>
      <c r="B2338" s="109" t="s">
        <v>162</v>
      </c>
      <c r="C2338" s="108">
        <v>417</v>
      </c>
      <c r="D2338" s="110"/>
      <c r="E2338" t="str">
        <f>VLOOKUP(B2338,CAC!$A$2:$B$198,2,FALSE)</f>
        <v>HMOMG</v>
      </c>
    </row>
    <row r="2339" spans="1:5" x14ac:dyDescent="0.25">
      <c r="A2339" s="108">
        <v>201611</v>
      </c>
      <c r="B2339" s="109" t="s">
        <v>163</v>
      </c>
      <c r="C2339" s="108">
        <v>105</v>
      </c>
      <c r="D2339" s="110"/>
      <c r="E2339" t="str">
        <f>VLOOKUP(B2339,CAC!$A$2:$B$198,2,FALSE)</f>
        <v>HMOMG</v>
      </c>
    </row>
    <row r="2340" spans="1:5" x14ac:dyDescent="0.25">
      <c r="A2340" s="108">
        <v>201611</v>
      </c>
      <c r="B2340" s="109" t="s">
        <v>164</v>
      </c>
      <c r="C2340" s="108">
        <v>0</v>
      </c>
      <c r="D2340" s="110"/>
      <c r="E2340" t="str">
        <f>VLOOKUP(B2340,CAC!$A$2:$B$198,2,FALSE)</f>
        <v>HMOMG</v>
      </c>
    </row>
    <row r="2341" spans="1:5" x14ac:dyDescent="0.25">
      <c r="A2341" s="108">
        <v>201611</v>
      </c>
      <c r="B2341" s="109" t="s">
        <v>85</v>
      </c>
      <c r="C2341" s="108">
        <v>654</v>
      </c>
      <c r="D2341" s="110"/>
      <c r="E2341" t="str">
        <f>VLOOKUP(B2341,CAC!$A$2:$B$198,2,FALSE)</f>
        <v>HMOMG</v>
      </c>
    </row>
    <row r="2342" spans="1:5" x14ac:dyDescent="0.25">
      <c r="A2342" s="108">
        <v>201611</v>
      </c>
      <c r="B2342" s="109" t="s">
        <v>77</v>
      </c>
      <c r="C2342" s="108">
        <v>22634</v>
      </c>
      <c r="D2342" s="110"/>
      <c r="E2342" t="str">
        <f>VLOOKUP(B2342,CAC!$A$2:$B$198,2,FALSE)</f>
        <v>HMOSG</v>
      </c>
    </row>
    <row r="2343" spans="1:5" x14ac:dyDescent="0.25">
      <c r="A2343" s="108">
        <v>201611</v>
      </c>
      <c r="B2343" s="109" t="s">
        <v>78</v>
      </c>
      <c r="C2343" s="108">
        <v>323</v>
      </c>
      <c r="D2343" s="110"/>
      <c r="E2343" t="str">
        <f>VLOOKUP(B2343,CAC!$A$2:$B$198,2,FALSE)</f>
        <v>HMOSG</v>
      </c>
    </row>
    <row r="2344" spans="1:5" x14ac:dyDescent="0.25">
      <c r="A2344" s="108">
        <v>201611</v>
      </c>
      <c r="B2344" s="109" t="s">
        <v>79</v>
      </c>
      <c r="C2344" s="108">
        <v>82</v>
      </c>
      <c r="D2344" s="110"/>
      <c r="E2344" t="str">
        <f>VLOOKUP(B2344,CAC!$A$2:$B$198,2,FALSE)</f>
        <v>HMOSG</v>
      </c>
    </row>
    <row r="2345" spans="1:5" x14ac:dyDescent="0.25">
      <c r="A2345" s="108">
        <v>201611</v>
      </c>
      <c r="B2345" s="109" t="s">
        <v>222</v>
      </c>
      <c r="C2345" s="108">
        <v>0</v>
      </c>
      <c r="D2345" s="110"/>
      <c r="E2345" t="str">
        <f>VLOOKUP(B2345,CAC!$A$2:$B$198,2,FALSE)</f>
        <v>PPOSG</v>
      </c>
    </row>
    <row r="2346" spans="1:5" x14ac:dyDescent="0.25">
      <c r="A2346" s="108">
        <v>201611</v>
      </c>
      <c r="B2346" s="109" t="s">
        <v>225</v>
      </c>
      <c r="C2346" s="108">
        <v>0</v>
      </c>
      <c r="D2346" s="110"/>
      <c r="E2346" t="str">
        <f>VLOOKUP(B2346,CAC!$A$2:$B$198,2,FALSE)</f>
        <v>PPOSG</v>
      </c>
    </row>
    <row r="2347" spans="1:5" x14ac:dyDescent="0.25">
      <c r="A2347" s="108">
        <v>201611</v>
      </c>
      <c r="B2347" s="109" t="s">
        <v>226</v>
      </c>
      <c r="C2347" s="108">
        <v>0</v>
      </c>
      <c r="D2347" s="110"/>
      <c r="E2347" t="str">
        <f>VLOOKUP(B2347,CAC!$A$2:$B$198,2,FALSE)</f>
        <v>PPOSG</v>
      </c>
    </row>
    <row r="2348" spans="1:5" x14ac:dyDescent="0.25">
      <c r="A2348" s="108">
        <v>201611</v>
      </c>
      <c r="B2348" s="109" t="s">
        <v>186</v>
      </c>
      <c r="C2348" s="108">
        <v>0</v>
      </c>
      <c r="D2348" s="110"/>
      <c r="E2348" t="str">
        <f>VLOOKUP(B2348,CAC!$A$2:$B$198,2,FALSE)</f>
        <v>PPOIFP</v>
      </c>
    </row>
    <row r="2349" spans="1:5" x14ac:dyDescent="0.25">
      <c r="A2349" s="108">
        <v>201611</v>
      </c>
      <c r="B2349" s="109" t="s">
        <v>187</v>
      </c>
      <c r="C2349" s="108">
        <v>0</v>
      </c>
      <c r="D2349" s="110"/>
      <c r="E2349" t="str">
        <f>VLOOKUP(B2349,CAC!$A$2:$B$198,2,FALSE)</f>
        <v>PPOIFP</v>
      </c>
    </row>
    <row r="2350" spans="1:5" x14ac:dyDescent="0.25">
      <c r="A2350" s="108">
        <v>201611</v>
      </c>
      <c r="B2350" s="109" t="s">
        <v>188</v>
      </c>
      <c r="C2350" s="108">
        <v>0</v>
      </c>
      <c r="D2350" s="110"/>
      <c r="E2350" t="str">
        <f>VLOOKUP(B2350,CAC!$A$2:$B$198,2,FALSE)</f>
        <v>PPOIFP</v>
      </c>
    </row>
    <row r="2351" spans="1:5" x14ac:dyDescent="0.25">
      <c r="A2351" s="108">
        <v>201611</v>
      </c>
      <c r="B2351" s="109" t="s">
        <v>189</v>
      </c>
      <c r="C2351" s="108">
        <v>0</v>
      </c>
      <c r="D2351" s="110"/>
      <c r="E2351" t="str">
        <f>VLOOKUP(B2351,CAC!$A$2:$B$198,2,FALSE)</f>
        <v>PPOIFP</v>
      </c>
    </row>
    <row r="2352" spans="1:5" x14ac:dyDescent="0.25">
      <c r="A2352" s="108">
        <v>201611</v>
      </c>
      <c r="B2352" s="109" t="s">
        <v>331</v>
      </c>
      <c r="C2352" s="108">
        <v>0</v>
      </c>
      <c r="D2352" s="110"/>
      <c r="E2352" t="e">
        <f>VLOOKUP(B2352,CAC!$A$2:$B$198,2,FALSE)</f>
        <v>#N/A</v>
      </c>
    </row>
    <row r="2353" spans="1:5" x14ac:dyDescent="0.25">
      <c r="A2353" s="108">
        <v>201611</v>
      </c>
      <c r="B2353" s="109" t="s">
        <v>216</v>
      </c>
      <c r="C2353" s="108">
        <v>0</v>
      </c>
      <c r="D2353" s="110"/>
      <c r="E2353" t="str">
        <f>VLOOKUP(B2353,CAC!$A$2:$B$198,2,FALSE)</f>
        <v>PPOMM</v>
      </c>
    </row>
    <row r="2354" spans="1:5" x14ac:dyDescent="0.25">
      <c r="A2354" s="108">
        <v>201611</v>
      </c>
      <c r="B2354" s="109" t="s">
        <v>301</v>
      </c>
      <c r="C2354" s="108">
        <v>0</v>
      </c>
      <c r="D2354" s="110"/>
      <c r="E2354" t="str">
        <f>VLOOKUP(B2354,CAC!$A$2:$B$198,2,FALSE)</f>
        <v>XXX</v>
      </c>
    </row>
    <row r="2355" spans="1:5" x14ac:dyDescent="0.25">
      <c r="A2355" s="108">
        <v>201612</v>
      </c>
      <c r="B2355" s="109" t="s">
        <v>51</v>
      </c>
      <c r="C2355" s="108">
        <v>25</v>
      </c>
      <c r="D2355" s="110"/>
      <c r="E2355" t="str">
        <f>VLOOKUP(B2355,CAC!$A$2:$B$198,2,FALSE)</f>
        <v>XXX</v>
      </c>
    </row>
    <row r="2356" spans="1:5" x14ac:dyDescent="0.25">
      <c r="A2356" s="108">
        <v>201612</v>
      </c>
      <c r="B2356" s="109" t="s">
        <v>303</v>
      </c>
      <c r="C2356" s="108">
        <v>0</v>
      </c>
      <c r="D2356" s="110"/>
      <c r="E2356" t="e">
        <f>VLOOKUP(B2356,CAC!$A$2:$B$198,2,FALSE)</f>
        <v>#N/A</v>
      </c>
    </row>
    <row r="2357" spans="1:5" x14ac:dyDescent="0.25">
      <c r="A2357" s="108">
        <v>201612</v>
      </c>
      <c r="B2357" s="109" t="s">
        <v>304</v>
      </c>
      <c r="C2357" s="108">
        <v>0</v>
      </c>
      <c r="D2357" s="110"/>
      <c r="E2357" t="e">
        <f>VLOOKUP(B2357,CAC!$A$2:$B$198,2,FALSE)</f>
        <v>#N/A</v>
      </c>
    </row>
    <row r="2358" spans="1:5" x14ac:dyDescent="0.25">
      <c r="A2358" s="108">
        <v>201612</v>
      </c>
      <c r="B2358" s="109" t="s">
        <v>323</v>
      </c>
      <c r="C2358" s="108">
        <v>0</v>
      </c>
      <c r="D2358" s="110"/>
      <c r="E2358" t="e">
        <f>VLOOKUP(B2358,CAC!$A$2:$B$198,2,FALSE)</f>
        <v>#N/A</v>
      </c>
    </row>
    <row r="2359" spans="1:5" x14ac:dyDescent="0.25">
      <c r="A2359" s="108">
        <v>201612</v>
      </c>
      <c r="B2359" s="109" t="s">
        <v>305</v>
      </c>
      <c r="C2359" s="108">
        <v>0</v>
      </c>
      <c r="D2359" s="110"/>
      <c r="E2359" t="e">
        <f>VLOOKUP(B2359,CAC!$A$2:$B$198,2,FALSE)</f>
        <v>#N/A</v>
      </c>
    </row>
    <row r="2360" spans="1:5" x14ac:dyDescent="0.25">
      <c r="A2360" s="108">
        <v>201612</v>
      </c>
      <c r="B2360" s="109" t="s">
        <v>324</v>
      </c>
      <c r="C2360" s="108">
        <v>0</v>
      </c>
      <c r="D2360" s="110"/>
      <c r="E2360" t="e">
        <f>VLOOKUP(B2360,CAC!$A$2:$B$198,2,FALSE)</f>
        <v>#N/A</v>
      </c>
    </row>
    <row r="2361" spans="1:5" x14ac:dyDescent="0.25">
      <c r="A2361" s="108">
        <v>201612</v>
      </c>
      <c r="B2361" s="109" t="s">
        <v>327</v>
      </c>
      <c r="C2361" s="108">
        <v>0</v>
      </c>
      <c r="D2361" s="110"/>
      <c r="E2361" t="e">
        <f>VLOOKUP(B2361,CAC!$A$2:$B$198,2,FALSE)</f>
        <v>#N/A</v>
      </c>
    </row>
    <row r="2362" spans="1:5" x14ac:dyDescent="0.25">
      <c r="A2362" s="108">
        <v>201612</v>
      </c>
      <c r="B2362" s="109" t="s">
        <v>318</v>
      </c>
      <c r="C2362" s="108">
        <v>0</v>
      </c>
      <c r="D2362" s="110"/>
      <c r="E2362" t="e">
        <f>VLOOKUP(B2362,CAC!$A$2:$B$198,2,FALSE)</f>
        <v>#N/A</v>
      </c>
    </row>
    <row r="2363" spans="1:5" x14ac:dyDescent="0.25">
      <c r="A2363" s="108">
        <v>201612</v>
      </c>
      <c r="B2363" s="109" t="s">
        <v>326</v>
      </c>
      <c r="C2363" s="108">
        <v>0</v>
      </c>
      <c r="D2363" s="110"/>
      <c r="E2363" t="e">
        <f>VLOOKUP(B2363,CAC!$A$2:$B$198,2,FALSE)</f>
        <v>#N/A</v>
      </c>
    </row>
    <row r="2364" spans="1:5" x14ac:dyDescent="0.25">
      <c r="A2364" s="108">
        <v>201612</v>
      </c>
      <c r="B2364" s="109" t="s">
        <v>231</v>
      </c>
      <c r="C2364" s="108">
        <v>0</v>
      </c>
      <c r="D2364" s="110"/>
      <c r="E2364" t="str">
        <f>VLOOKUP(B2364,CAC!$A$2:$B$198,2,FALSE)</f>
        <v>DOILG</v>
      </c>
    </row>
    <row r="2365" spans="1:5" x14ac:dyDescent="0.25">
      <c r="A2365" s="108">
        <v>201612</v>
      </c>
      <c r="B2365" s="109" t="s">
        <v>233</v>
      </c>
      <c r="C2365" s="108">
        <v>0</v>
      </c>
      <c r="D2365" s="110"/>
      <c r="E2365" t="str">
        <f>VLOOKUP(B2365,CAC!$A$2:$B$198,2,FALSE)</f>
        <v>DOILG</v>
      </c>
    </row>
    <row r="2366" spans="1:5" x14ac:dyDescent="0.25">
      <c r="A2366" s="108">
        <v>201612</v>
      </c>
      <c r="B2366" s="109" t="s">
        <v>235</v>
      </c>
      <c r="C2366" s="108">
        <v>0</v>
      </c>
      <c r="D2366" s="110"/>
      <c r="E2366" t="str">
        <f>VLOOKUP(B2366,CAC!$A$2:$B$198,2,FALSE)</f>
        <v>DOILG</v>
      </c>
    </row>
    <row r="2367" spans="1:5" x14ac:dyDescent="0.25">
      <c r="A2367" s="108">
        <v>201612</v>
      </c>
      <c r="B2367" s="109" t="s">
        <v>237</v>
      </c>
      <c r="C2367" s="108">
        <v>0</v>
      </c>
      <c r="D2367" s="110"/>
      <c r="E2367" t="str">
        <f>VLOOKUP(B2367,CAC!$A$2:$B$198,2,FALSE)</f>
        <v>DOILG</v>
      </c>
    </row>
    <row r="2368" spans="1:5" x14ac:dyDescent="0.25">
      <c r="A2368" s="108">
        <v>201612</v>
      </c>
      <c r="B2368" s="109" t="s">
        <v>247</v>
      </c>
      <c r="C2368" s="108">
        <v>0</v>
      </c>
      <c r="D2368" s="110"/>
      <c r="E2368" t="str">
        <f>VLOOKUP(B2368,CAC!$A$2:$B$198,2,FALSE)</f>
        <v>DOIIFP</v>
      </c>
    </row>
    <row r="2369" spans="1:5" x14ac:dyDescent="0.25">
      <c r="A2369" s="108">
        <v>201612</v>
      </c>
      <c r="B2369" s="109" t="s">
        <v>238</v>
      </c>
      <c r="C2369" s="108">
        <v>0</v>
      </c>
      <c r="D2369" s="110"/>
      <c r="E2369" t="str">
        <f>VLOOKUP(B2369,CAC!$A$2:$B$198,2,FALSE)</f>
        <v>DOILG</v>
      </c>
    </row>
    <row r="2370" spans="1:5" x14ac:dyDescent="0.25">
      <c r="A2370" s="108">
        <v>201612</v>
      </c>
      <c r="B2370" s="109" t="s">
        <v>248</v>
      </c>
      <c r="C2370" s="108">
        <v>0</v>
      </c>
      <c r="D2370" s="110"/>
      <c r="E2370" t="str">
        <f>VLOOKUP(B2370,CAC!$A$2:$B$198,2,FALSE)</f>
        <v>DOIIFP</v>
      </c>
    </row>
    <row r="2371" spans="1:5" x14ac:dyDescent="0.25">
      <c r="A2371" s="108">
        <v>201612</v>
      </c>
      <c r="B2371" s="109" t="s">
        <v>273</v>
      </c>
      <c r="C2371" s="108">
        <v>0</v>
      </c>
      <c r="D2371" s="110"/>
      <c r="E2371" t="str">
        <f>VLOOKUP(B2371,CAC!$A$2:$B$198,2,FALSE)</f>
        <v>AGDMHC</v>
      </c>
    </row>
    <row r="2372" spans="1:5" x14ac:dyDescent="0.25">
      <c r="A2372" s="108">
        <v>201612</v>
      </c>
      <c r="B2372" s="109" t="s">
        <v>328</v>
      </c>
      <c r="C2372" s="108">
        <v>0</v>
      </c>
      <c r="D2372" s="110"/>
      <c r="E2372" t="e">
        <f>VLOOKUP(B2372,CAC!$A$2:$B$198,2,FALSE)</f>
        <v>#N/A</v>
      </c>
    </row>
    <row r="2373" spans="1:5" x14ac:dyDescent="0.25">
      <c r="A2373" s="108">
        <v>201612</v>
      </c>
      <c r="B2373" s="109" t="s">
        <v>253</v>
      </c>
      <c r="C2373" s="108">
        <v>0</v>
      </c>
      <c r="D2373" s="110"/>
      <c r="E2373" t="str">
        <f>VLOOKUP(B2373,CAC!$A$2:$B$198,2,FALSE)</f>
        <v>AGDMHC</v>
      </c>
    </row>
    <row r="2374" spans="1:5" x14ac:dyDescent="0.25">
      <c r="A2374" s="108">
        <v>201612</v>
      </c>
      <c r="B2374" s="109" t="s">
        <v>325</v>
      </c>
      <c r="C2374" s="108">
        <v>0</v>
      </c>
      <c r="D2374" s="110"/>
      <c r="E2374" t="e">
        <f>VLOOKUP(B2374,CAC!$A$2:$B$198,2,FALSE)</f>
        <v>#N/A</v>
      </c>
    </row>
    <row r="2375" spans="1:5" x14ac:dyDescent="0.25">
      <c r="A2375" s="108">
        <v>201612</v>
      </c>
      <c r="B2375" s="109" t="s">
        <v>255</v>
      </c>
      <c r="C2375" s="108">
        <v>0</v>
      </c>
      <c r="D2375" s="110"/>
      <c r="E2375" t="str">
        <f>VLOOKUP(B2375,CAC!$A$2:$B$198,2,FALSE)</f>
        <v>AGDMHC</v>
      </c>
    </row>
    <row r="2376" spans="1:5" x14ac:dyDescent="0.25">
      <c r="A2376" s="108">
        <v>201612</v>
      </c>
      <c r="B2376" s="109" t="s">
        <v>256</v>
      </c>
      <c r="C2376" s="108">
        <v>0</v>
      </c>
      <c r="D2376" s="110"/>
      <c r="E2376" t="str">
        <f>VLOOKUP(B2376,CAC!$A$2:$B$198,2,FALSE)</f>
        <v>AGDMHC</v>
      </c>
    </row>
    <row r="2377" spans="1:5" x14ac:dyDescent="0.25">
      <c r="A2377" s="108">
        <v>201612</v>
      </c>
      <c r="B2377" s="109" t="s">
        <v>257</v>
      </c>
      <c r="C2377" s="108">
        <v>0</v>
      </c>
      <c r="D2377" s="110"/>
      <c r="E2377" t="str">
        <f>VLOOKUP(B2377,CAC!$A$2:$B$198,2,FALSE)</f>
        <v>AGDMHC</v>
      </c>
    </row>
    <row r="2378" spans="1:5" x14ac:dyDescent="0.25">
      <c r="A2378" s="108">
        <v>201612</v>
      </c>
      <c r="B2378" s="109" t="s">
        <v>258</v>
      </c>
      <c r="C2378" s="108">
        <v>0</v>
      </c>
      <c r="D2378" s="110"/>
      <c r="E2378" t="str">
        <f>VLOOKUP(B2378,CAC!$A$2:$B$198,2,FALSE)</f>
        <v>AGDMHC</v>
      </c>
    </row>
    <row r="2379" spans="1:5" x14ac:dyDescent="0.25">
      <c r="A2379" s="108">
        <v>201612</v>
      </c>
      <c r="B2379" s="109" t="s">
        <v>259</v>
      </c>
      <c r="C2379" s="108">
        <v>0</v>
      </c>
      <c r="D2379" s="110"/>
      <c r="E2379" t="str">
        <f>VLOOKUP(B2379,CAC!$A$2:$B$198,2,FALSE)</f>
        <v>AGDMHC</v>
      </c>
    </row>
    <row r="2380" spans="1:5" x14ac:dyDescent="0.25">
      <c r="A2380" s="108">
        <v>201612</v>
      </c>
      <c r="B2380" s="109" t="s">
        <v>329</v>
      </c>
      <c r="C2380" s="108">
        <v>0</v>
      </c>
      <c r="D2380" s="110"/>
      <c r="E2380" t="e">
        <f>VLOOKUP(B2380,CAC!$A$2:$B$198,2,FALSE)</f>
        <v>#N/A</v>
      </c>
    </row>
    <row r="2381" spans="1:5" x14ac:dyDescent="0.25">
      <c r="A2381" s="108">
        <v>201612</v>
      </c>
      <c r="B2381" s="109" t="s">
        <v>262</v>
      </c>
      <c r="C2381" s="108">
        <v>0</v>
      </c>
      <c r="D2381" s="110"/>
      <c r="E2381" t="str">
        <f>VLOOKUP(B2381,CAC!$A$2:$B$198,2,FALSE)</f>
        <v>AGDMHC</v>
      </c>
    </row>
    <row r="2382" spans="1:5" x14ac:dyDescent="0.25">
      <c r="A2382" s="108">
        <v>201612</v>
      </c>
      <c r="B2382" s="109" t="s">
        <v>264</v>
      </c>
      <c r="C2382" s="108">
        <v>0</v>
      </c>
      <c r="D2382" s="110"/>
      <c r="E2382" t="str">
        <f>VLOOKUP(B2382,CAC!$A$2:$B$198,2,FALSE)</f>
        <v>AGDMHC</v>
      </c>
    </row>
    <row r="2383" spans="1:5" x14ac:dyDescent="0.25">
      <c r="A2383" s="108">
        <v>201612</v>
      </c>
      <c r="B2383" s="109" t="s">
        <v>269</v>
      </c>
      <c r="C2383" s="108">
        <v>0</v>
      </c>
      <c r="D2383" s="110"/>
      <c r="E2383" t="str">
        <f>VLOOKUP(B2383,CAC!$A$2:$B$198,2,FALSE)</f>
        <v>AGDMHC</v>
      </c>
    </row>
    <row r="2384" spans="1:5" x14ac:dyDescent="0.25">
      <c r="A2384" s="108">
        <v>201612</v>
      </c>
      <c r="B2384" s="109" t="s">
        <v>319</v>
      </c>
      <c r="C2384" s="108">
        <v>0</v>
      </c>
      <c r="D2384" s="110"/>
      <c r="E2384" t="e">
        <f>VLOOKUP(B2384,CAC!$A$2:$B$198,2,FALSE)</f>
        <v>#N/A</v>
      </c>
    </row>
    <row r="2385" spans="1:5" x14ac:dyDescent="0.25">
      <c r="A2385" s="108">
        <v>201612</v>
      </c>
      <c r="B2385" s="109" t="s">
        <v>265</v>
      </c>
      <c r="C2385" s="108">
        <v>0</v>
      </c>
      <c r="D2385" s="110"/>
      <c r="E2385" t="str">
        <f>VLOOKUP(B2385,CAC!$A$2:$B$198,2,FALSE)</f>
        <v>AGDMHC</v>
      </c>
    </row>
    <row r="2386" spans="1:5" x14ac:dyDescent="0.25">
      <c r="A2386" s="108">
        <v>201612</v>
      </c>
      <c r="B2386" s="109" t="s">
        <v>267</v>
      </c>
      <c r="C2386" s="108">
        <v>0</v>
      </c>
      <c r="D2386" s="110"/>
      <c r="E2386" t="str">
        <f>VLOOKUP(B2386,CAC!$A$2:$B$198,2,FALSE)</f>
        <v>AGDMHC</v>
      </c>
    </row>
    <row r="2387" spans="1:5" x14ac:dyDescent="0.25">
      <c r="A2387" s="108">
        <v>201612</v>
      </c>
      <c r="B2387" s="109" t="s">
        <v>268</v>
      </c>
      <c r="C2387" s="108">
        <v>0</v>
      </c>
      <c r="D2387" s="110"/>
      <c r="E2387" t="str">
        <f>VLOOKUP(B2387,CAC!$A$2:$B$198,2,FALSE)</f>
        <v>AGDMHC</v>
      </c>
    </row>
    <row r="2388" spans="1:5" x14ac:dyDescent="0.25">
      <c r="A2388" s="108">
        <v>201612</v>
      </c>
      <c r="B2388" s="109" t="s">
        <v>52</v>
      </c>
      <c r="C2388" s="108">
        <v>15670</v>
      </c>
      <c r="D2388" s="110"/>
      <c r="E2388" t="str">
        <f>VLOOKUP(B2388,CAC!$A$2:$B$198,2,FALSE)</f>
        <v>HMOPMR</v>
      </c>
    </row>
    <row r="2389" spans="1:5" x14ac:dyDescent="0.25">
      <c r="A2389" s="108">
        <v>201612</v>
      </c>
      <c r="B2389" s="109" t="s">
        <v>53</v>
      </c>
      <c r="C2389" s="108">
        <v>4746</v>
      </c>
      <c r="D2389" s="110"/>
      <c r="E2389" t="str">
        <f>VLOOKUP(B2389,CAC!$A$2:$B$198,2,FALSE)</f>
        <v>HMOPMR</v>
      </c>
    </row>
    <row r="2390" spans="1:5" x14ac:dyDescent="0.25">
      <c r="A2390" s="108">
        <v>201612</v>
      </c>
      <c r="B2390" s="109" t="s">
        <v>54</v>
      </c>
      <c r="C2390" s="108">
        <v>5949</v>
      </c>
      <c r="D2390" s="110"/>
      <c r="E2390" t="str">
        <f>VLOOKUP(B2390,CAC!$A$2:$B$198,2,FALSE)</f>
        <v>HMOFEP</v>
      </c>
    </row>
    <row r="2391" spans="1:5" x14ac:dyDescent="0.25">
      <c r="A2391" s="108">
        <v>201612</v>
      </c>
      <c r="B2391" s="109" t="s">
        <v>279</v>
      </c>
      <c r="C2391" s="108">
        <v>0</v>
      </c>
      <c r="D2391" s="110"/>
      <c r="E2391" t="str">
        <f>VLOOKUP(B2391,CAC!$A$2:$B$198,2,FALSE)</f>
        <v>PPOFEP</v>
      </c>
    </row>
    <row r="2392" spans="1:5" x14ac:dyDescent="0.25">
      <c r="A2392" s="108">
        <v>201612</v>
      </c>
      <c r="B2392" s="109" t="s">
        <v>202</v>
      </c>
      <c r="C2392" s="108">
        <v>0</v>
      </c>
      <c r="D2392" s="110"/>
      <c r="E2392" t="str">
        <f>VLOOKUP(B2392,CAC!$A$2:$B$198,2,FALSE)</f>
        <v>PPOPMR</v>
      </c>
    </row>
    <row r="2393" spans="1:5" x14ac:dyDescent="0.25">
      <c r="A2393" s="108">
        <v>201612</v>
      </c>
      <c r="B2393" s="109" t="s">
        <v>55</v>
      </c>
      <c r="C2393" s="108">
        <v>14743</v>
      </c>
      <c r="D2393" s="110"/>
      <c r="E2393" t="str">
        <f>VLOOKUP(B2393,CAC!$A$2:$B$198,2,FALSE)</f>
        <v>HMOPMR</v>
      </c>
    </row>
    <row r="2394" spans="1:5" x14ac:dyDescent="0.25">
      <c r="A2394" s="108">
        <v>201612</v>
      </c>
      <c r="B2394" s="109" t="s">
        <v>56</v>
      </c>
      <c r="C2394" s="108">
        <v>111</v>
      </c>
      <c r="D2394" s="110"/>
      <c r="E2394" t="str">
        <f>VLOOKUP(B2394,CAC!$A$2:$B$198,2,FALSE)</f>
        <v>HMOPMR</v>
      </c>
    </row>
    <row r="2395" spans="1:5" x14ac:dyDescent="0.25">
      <c r="A2395" s="108">
        <v>201612</v>
      </c>
      <c r="B2395" s="109" t="s">
        <v>83</v>
      </c>
      <c r="C2395" s="108">
        <v>1972</v>
      </c>
      <c r="D2395" s="110"/>
      <c r="E2395" t="str">
        <f>VLOOKUP(B2395,CAC!$A$2:$B$198,2,FALSE)</f>
        <v>HMOPMR</v>
      </c>
    </row>
    <row r="2396" spans="1:5" x14ac:dyDescent="0.25">
      <c r="A2396" s="108">
        <v>201612</v>
      </c>
      <c r="B2396" s="109" t="s">
        <v>57</v>
      </c>
      <c r="C2396" s="108">
        <v>4057</v>
      </c>
      <c r="D2396" s="110"/>
      <c r="E2396" t="str">
        <f>VLOOKUP(B2396,CAC!$A$2:$B$198,2,FALSE)</f>
        <v>HMFLEX</v>
      </c>
    </row>
    <row r="2397" spans="1:5" x14ac:dyDescent="0.25">
      <c r="A2397" s="108">
        <v>201612</v>
      </c>
      <c r="B2397" s="109" t="s">
        <v>58</v>
      </c>
      <c r="C2397" s="108">
        <v>345</v>
      </c>
      <c r="D2397" s="110"/>
      <c r="E2397" t="str">
        <f>VLOOKUP(B2397,CAC!$A$2:$B$198,2,FALSE)</f>
        <v>HMFLEX</v>
      </c>
    </row>
    <row r="2398" spans="1:5" x14ac:dyDescent="0.25">
      <c r="A2398" s="108">
        <v>201612</v>
      </c>
      <c r="B2398" s="109" t="s">
        <v>306</v>
      </c>
      <c r="C2398" s="108">
        <v>0</v>
      </c>
      <c r="D2398" s="110"/>
      <c r="E2398" t="e">
        <f>VLOOKUP(B2398,CAC!$A$2:$B$198,2,FALSE)</f>
        <v>#N/A</v>
      </c>
    </row>
    <row r="2399" spans="1:5" x14ac:dyDescent="0.25">
      <c r="A2399" s="108">
        <v>201612</v>
      </c>
      <c r="B2399" s="109" t="s">
        <v>283</v>
      </c>
      <c r="C2399" s="108">
        <v>0</v>
      </c>
      <c r="D2399" s="110"/>
      <c r="E2399" t="str">
        <f>VLOOKUP(B2399,CAC!$A$2:$B$198,2,FALSE)</f>
        <v>HMFLEX</v>
      </c>
    </row>
    <row r="2400" spans="1:5" x14ac:dyDescent="0.25">
      <c r="A2400" s="108">
        <v>201612</v>
      </c>
      <c r="B2400" s="109" t="s">
        <v>205</v>
      </c>
      <c r="C2400" s="108">
        <v>0</v>
      </c>
      <c r="D2400" s="110"/>
      <c r="E2400" t="str">
        <f>VLOOKUP(B2400,CAC!$A$2:$B$198,2,FALSE)</f>
        <v>PPOPMR</v>
      </c>
    </row>
    <row r="2401" spans="1:5" x14ac:dyDescent="0.25">
      <c r="A2401" s="108">
        <v>201612</v>
      </c>
      <c r="B2401" s="109" t="s">
        <v>60</v>
      </c>
      <c r="C2401" s="108">
        <v>10749</v>
      </c>
      <c r="D2401" s="110"/>
      <c r="E2401" t="str">
        <f>VLOOKUP(B2401,CAC!$A$2:$B$198,2,FALSE)</f>
        <v>HMOLG</v>
      </c>
    </row>
    <row r="2402" spans="1:5" x14ac:dyDescent="0.25">
      <c r="A2402" s="108">
        <v>201612</v>
      </c>
      <c r="B2402" s="109" t="s">
        <v>61</v>
      </c>
      <c r="C2402" s="108">
        <v>596</v>
      </c>
      <c r="D2402" s="110"/>
      <c r="E2402" t="str">
        <f>VLOOKUP(B2402,CAC!$A$2:$B$198,2,FALSE)</f>
        <v>HMOLG</v>
      </c>
    </row>
    <row r="2403" spans="1:5" x14ac:dyDescent="0.25">
      <c r="A2403" s="108">
        <v>201612</v>
      </c>
      <c r="B2403" s="109" t="s">
        <v>62</v>
      </c>
      <c r="C2403" s="108">
        <v>17889</v>
      </c>
      <c r="D2403" s="110"/>
      <c r="E2403" t="str">
        <f>VLOOKUP(B2403,CAC!$A$2:$B$198,2,FALSE)</f>
        <v>HMOLG</v>
      </c>
    </row>
    <row r="2404" spans="1:5" x14ac:dyDescent="0.25">
      <c r="A2404" s="108">
        <v>201612</v>
      </c>
      <c r="B2404" s="109" t="s">
        <v>86</v>
      </c>
      <c r="C2404" s="108">
        <v>2250</v>
      </c>
      <c r="D2404" s="110"/>
      <c r="E2404" t="str">
        <f>VLOOKUP(B2404,CAC!$A$2:$B$198,2,FALSE)</f>
        <v>HMOLG</v>
      </c>
    </row>
    <row r="2405" spans="1:5" x14ac:dyDescent="0.25">
      <c r="A2405" s="108">
        <v>201612</v>
      </c>
      <c r="B2405" s="109" t="s">
        <v>63</v>
      </c>
      <c r="C2405" s="108">
        <v>54</v>
      </c>
      <c r="D2405" s="110"/>
      <c r="E2405" t="str">
        <f>VLOOKUP(B2405,CAC!$A$2:$B$198,2,FALSE)</f>
        <v>HMOLG</v>
      </c>
    </row>
    <row r="2406" spans="1:5" x14ac:dyDescent="0.25">
      <c r="A2406" s="108">
        <v>201612</v>
      </c>
      <c r="B2406" s="109" t="s">
        <v>64</v>
      </c>
      <c r="C2406" s="108">
        <v>0</v>
      </c>
      <c r="D2406" s="110"/>
      <c r="E2406" t="str">
        <f>VLOOKUP(B2406,CAC!$A$2:$B$198,2,FALSE)</f>
        <v>HMOLG</v>
      </c>
    </row>
    <row r="2407" spans="1:5" x14ac:dyDescent="0.25">
      <c r="A2407" s="108">
        <v>201612</v>
      </c>
      <c r="B2407" s="109" t="s">
        <v>65</v>
      </c>
      <c r="C2407" s="108">
        <v>220</v>
      </c>
      <c r="D2407" s="110"/>
      <c r="E2407" t="str">
        <f>VLOOKUP(B2407,CAC!$A$2:$B$198,2,FALSE)</f>
        <v>HMFLEX</v>
      </c>
    </row>
    <row r="2408" spans="1:5" x14ac:dyDescent="0.25">
      <c r="A2408" s="108">
        <v>201612</v>
      </c>
      <c r="B2408" s="109" t="s">
        <v>307</v>
      </c>
      <c r="C2408" s="108">
        <v>0</v>
      </c>
      <c r="D2408" s="110"/>
      <c r="E2408" t="e">
        <f>VLOOKUP(B2408,CAC!$A$2:$B$198,2,FALSE)</f>
        <v>#N/A</v>
      </c>
    </row>
    <row r="2409" spans="1:5" x14ac:dyDescent="0.25">
      <c r="A2409" s="108">
        <v>201612</v>
      </c>
      <c r="B2409" s="109" t="s">
        <v>308</v>
      </c>
      <c r="C2409" s="108">
        <v>0</v>
      </c>
      <c r="D2409" s="110"/>
      <c r="E2409" t="e">
        <f>VLOOKUP(B2409,CAC!$A$2:$B$198,2,FALSE)</f>
        <v>#N/A</v>
      </c>
    </row>
    <row r="2410" spans="1:5" x14ac:dyDescent="0.25">
      <c r="A2410" s="108">
        <v>201612</v>
      </c>
      <c r="B2410" s="109" t="s">
        <v>309</v>
      </c>
      <c r="C2410" s="108">
        <v>0</v>
      </c>
      <c r="D2410" s="110"/>
      <c r="E2410" t="e">
        <f>VLOOKUP(B2410,CAC!$A$2:$B$198,2,FALSE)</f>
        <v>#N/A</v>
      </c>
    </row>
    <row r="2411" spans="1:5" x14ac:dyDescent="0.25">
      <c r="A2411" s="108">
        <v>201612</v>
      </c>
      <c r="B2411" s="109" t="s">
        <v>99</v>
      </c>
      <c r="C2411" s="108">
        <v>0</v>
      </c>
      <c r="D2411" s="110"/>
      <c r="E2411" t="str">
        <f>VLOOKUP(B2411,CAC!$A$2:$B$198,2,FALSE)</f>
        <v>PPOLG</v>
      </c>
    </row>
    <row r="2412" spans="1:5" x14ac:dyDescent="0.25">
      <c r="A2412" s="108">
        <v>201612</v>
      </c>
      <c r="B2412" s="109" t="s">
        <v>193</v>
      </c>
      <c r="C2412" s="108">
        <v>0</v>
      </c>
      <c r="D2412" s="110"/>
      <c r="E2412" t="str">
        <f>VLOOKUP(B2412,CAC!$A$2:$B$198,2,FALSE)</f>
        <v>PPOLG</v>
      </c>
    </row>
    <row r="2413" spans="1:5" x14ac:dyDescent="0.25">
      <c r="A2413" s="108">
        <v>201612</v>
      </c>
      <c r="B2413" s="109" t="s">
        <v>196</v>
      </c>
      <c r="C2413" s="108">
        <v>0</v>
      </c>
      <c r="D2413" s="110"/>
      <c r="E2413" t="str">
        <f>VLOOKUP(B2413,CAC!$A$2:$B$198,2,FALSE)</f>
        <v>PPOLG</v>
      </c>
    </row>
    <row r="2414" spans="1:5" x14ac:dyDescent="0.25">
      <c r="A2414" s="108">
        <v>201612</v>
      </c>
      <c r="B2414" s="109" t="s">
        <v>212</v>
      </c>
      <c r="C2414" s="108">
        <v>0</v>
      </c>
      <c r="D2414" s="110"/>
      <c r="E2414" t="str">
        <f>VLOOKUP(B2414,CAC!$A$2:$B$198,2,FALSE)</f>
        <v>PPOMM</v>
      </c>
    </row>
    <row r="2415" spans="1:5" x14ac:dyDescent="0.25">
      <c r="A2415" s="108">
        <v>201612</v>
      </c>
      <c r="B2415" s="109" t="s">
        <v>213</v>
      </c>
      <c r="C2415" s="108">
        <v>0</v>
      </c>
      <c r="D2415" s="110"/>
      <c r="E2415" t="str">
        <f>VLOOKUP(B2415,CAC!$A$2:$B$198,2,FALSE)</f>
        <v>PPOMM</v>
      </c>
    </row>
    <row r="2416" spans="1:5" x14ac:dyDescent="0.25">
      <c r="A2416" s="108">
        <v>201612</v>
      </c>
      <c r="B2416" s="109" t="s">
        <v>311</v>
      </c>
      <c r="C2416" s="108">
        <v>0</v>
      </c>
      <c r="D2416" s="110"/>
      <c r="E2416" t="e">
        <f>VLOOKUP(B2416,CAC!$A$2:$B$198,2,FALSE)</f>
        <v>#N/A</v>
      </c>
    </row>
    <row r="2417" spans="1:5" x14ac:dyDescent="0.25">
      <c r="A2417" s="108">
        <v>201612</v>
      </c>
      <c r="B2417" s="109" t="s">
        <v>320</v>
      </c>
      <c r="C2417" s="108">
        <v>0</v>
      </c>
      <c r="D2417" s="110"/>
      <c r="E2417" t="e">
        <f>VLOOKUP(B2417,CAC!$A$2:$B$198,2,FALSE)</f>
        <v>#N/A</v>
      </c>
    </row>
    <row r="2418" spans="1:5" x14ac:dyDescent="0.25">
      <c r="A2418" s="108">
        <v>201612</v>
      </c>
      <c r="B2418" s="109" t="s">
        <v>321</v>
      </c>
      <c r="C2418" s="108">
        <v>0</v>
      </c>
      <c r="D2418" s="110"/>
      <c r="E2418" t="e">
        <f>VLOOKUP(B2418,CAC!$A$2:$B$198,2,FALSE)</f>
        <v>#N/A</v>
      </c>
    </row>
    <row r="2419" spans="1:5" x14ac:dyDescent="0.25">
      <c r="A2419" s="108">
        <v>201612</v>
      </c>
      <c r="B2419" s="109" t="s">
        <v>312</v>
      </c>
      <c r="C2419" s="108">
        <v>0</v>
      </c>
      <c r="D2419" s="110"/>
      <c r="E2419" t="e">
        <f>VLOOKUP(B2419,CAC!$A$2:$B$198,2,FALSE)</f>
        <v>#N/A</v>
      </c>
    </row>
    <row r="2420" spans="1:5" x14ac:dyDescent="0.25">
      <c r="A2420" s="108">
        <v>201612</v>
      </c>
      <c r="B2420" s="109" t="s">
        <v>215</v>
      </c>
      <c r="C2420" s="108">
        <v>0</v>
      </c>
      <c r="D2420" s="110"/>
      <c r="E2420" t="str">
        <f>VLOOKUP(B2420,CAC!$A$2:$B$198,2,FALSE)</f>
        <v>PPOMM</v>
      </c>
    </row>
    <row r="2421" spans="1:5" x14ac:dyDescent="0.25">
      <c r="A2421" s="108">
        <v>201612</v>
      </c>
      <c r="B2421" s="109" t="s">
        <v>66</v>
      </c>
      <c r="C2421" s="108">
        <v>3993</v>
      </c>
      <c r="D2421" s="110"/>
      <c r="E2421" t="str">
        <f>VLOOKUP(B2421,CAC!$A$2:$B$198,2,FALSE)</f>
        <v>HMOLG</v>
      </c>
    </row>
    <row r="2422" spans="1:5" x14ac:dyDescent="0.25">
      <c r="A2422" s="108">
        <v>201612</v>
      </c>
      <c r="B2422" s="109" t="s">
        <v>82</v>
      </c>
      <c r="C2422" s="108">
        <v>1</v>
      </c>
      <c r="D2422" s="110"/>
      <c r="E2422" t="str">
        <f>VLOOKUP(B2422,CAC!$A$2:$B$198,2,FALSE)</f>
        <v>NATPAR</v>
      </c>
    </row>
    <row r="2423" spans="1:5" x14ac:dyDescent="0.25">
      <c r="A2423" s="108">
        <v>201612</v>
      </c>
      <c r="B2423" s="109" t="s">
        <v>67</v>
      </c>
      <c r="C2423" s="108">
        <v>154</v>
      </c>
      <c r="D2423" s="110"/>
      <c r="E2423" t="str">
        <f>VLOOKUP(B2423,CAC!$A$2:$B$198,2,FALSE)</f>
        <v>HMOLG</v>
      </c>
    </row>
    <row r="2424" spans="1:5" x14ac:dyDescent="0.25">
      <c r="A2424" s="108">
        <v>201612</v>
      </c>
      <c r="B2424" s="109" t="s">
        <v>68</v>
      </c>
      <c r="C2424" s="108">
        <v>279</v>
      </c>
      <c r="D2424" s="110"/>
      <c r="E2424" t="str">
        <f>VLOOKUP(B2424,CAC!$A$2:$B$198,2,FALSE)</f>
        <v>HMOPMR</v>
      </c>
    </row>
    <row r="2425" spans="1:5" x14ac:dyDescent="0.25">
      <c r="A2425" s="108">
        <v>201612</v>
      </c>
      <c r="B2425" s="109" t="s">
        <v>69</v>
      </c>
      <c r="C2425" s="108">
        <v>9658</v>
      </c>
      <c r="D2425" s="110"/>
      <c r="E2425" t="str">
        <f>VLOOKUP(B2425,CAC!$A$2:$B$198,2,FALSE)</f>
        <v>HMOPMR</v>
      </c>
    </row>
    <row r="2426" spans="1:5" x14ac:dyDescent="0.25">
      <c r="A2426" s="108">
        <v>201612</v>
      </c>
      <c r="B2426" s="109" t="s">
        <v>70</v>
      </c>
      <c r="C2426" s="108">
        <v>4070</v>
      </c>
      <c r="D2426" s="110"/>
      <c r="E2426" t="str">
        <f>VLOOKUP(B2426,CAC!$A$2:$B$198,2,FALSE)</f>
        <v>HMOPMR</v>
      </c>
    </row>
    <row r="2427" spans="1:5" x14ac:dyDescent="0.25">
      <c r="A2427" s="108">
        <v>201612</v>
      </c>
      <c r="B2427" s="109" t="s">
        <v>71</v>
      </c>
      <c r="C2427" s="108">
        <v>6832</v>
      </c>
      <c r="D2427" s="110"/>
      <c r="E2427" t="str">
        <f>VLOOKUP(B2427,CAC!$A$2:$B$198,2,FALSE)</f>
        <v>HMOPMR</v>
      </c>
    </row>
    <row r="2428" spans="1:5" x14ac:dyDescent="0.25">
      <c r="A2428" s="108">
        <v>201612</v>
      </c>
      <c r="B2428" s="109" t="s">
        <v>72</v>
      </c>
      <c r="C2428" s="108">
        <v>5140</v>
      </c>
      <c r="D2428" s="110"/>
      <c r="E2428" t="str">
        <f>VLOOKUP(B2428,CAC!$A$2:$B$198,2,FALSE)</f>
        <v>HMFLEX</v>
      </c>
    </row>
    <row r="2429" spans="1:5" x14ac:dyDescent="0.25">
      <c r="A2429" s="108">
        <v>201612</v>
      </c>
      <c r="B2429" s="109" t="s">
        <v>314</v>
      </c>
      <c r="C2429" s="108">
        <v>0</v>
      </c>
      <c r="D2429" s="110"/>
      <c r="E2429" t="e">
        <f>VLOOKUP(B2429,CAC!$A$2:$B$198,2,FALSE)</f>
        <v>#N/A</v>
      </c>
    </row>
    <row r="2430" spans="1:5" x14ac:dyDescent="0.25">
      <c r="A2430" s="108">
        <v>201612</v>
      </c>
      <c r="B2430" s="109" t="s">
        <v>322</v>
      </c>
      <c r="C2430" s="108">
        <v>0</v>
      </c>
      <c r="D2430" s="110"/>
      <c r="E2430" t="e">
        <f>VLOOKUP(B2430,CAC!$A$2:$B$198,2,FALSE)</f>
        <v>#N/A</v>
      </c>
    </row>
    <row r="2431" spans="1:5" x14ac:dyDescent="0.25">
      <c r="A2431" s="108">
        <v>201612</v>
      </c>
      <c r="B2431" s="109" t="s">
        <v>315</v>
      </c>
      <c r="C2431" s="108">
        <v>0</v>
      </c>
      <c r="D2431" s="110"/>
      <c r="E2431" t="e">
        <f>VLOOKUP(B2431,CAC!$A$2:$B$198,2,FALSE)</f>
        <v>#N/A</v>
      </c>
    </row>
    <row r="2432" spans="1:5" x14ac:dyDescent="0.25">
      <c r="A2432" s="108">
        <v>201612</v>
      </c>
      <c r="B2432" s="109" t="s">
        <v>112</v>
      </c>
      <c r="C2432" s="108">
        <v>0</v>
      </c>
      <c r="D2432" s="110"/>
      <c r="E2432" t="e">
        <f>VLOOKUP(B2432,CAC!$A$2:$B$198,2,FALSE)</f>
        <v>#N/A</v>
      </c>
    </row>
    <row r="2433" spans="1:5" x14ac:dyDescent="0.25">
      <c r="A2433" s="108">
        <v>201612</v>
      </c>
      <c r="B2433" s="109" t="s">
        <v>316</v>
      </c>
      <c r="C2433" s="108">
        <v>0</v>
      </c>
      <c r="D2433" s="110"/>
      <c r="E2433" t="e">
        <f>VLOOKUP(B2433,CAC!$A$2:$B$198,2,FALSE)</f>
        <v>#N/A</v>
      </c>
    </row>
    <row r="2434" spans="1:5" x14ac:dyDescent="0.25">
      <c r="A2434" s="108">
        <v>201612</v>
      </c>
      <c r="B2434" s="109" t="s">
        <v>317</v>
      </c>
      <c r="C2434" s="108">
        <v>0</v>
      </c>
      <c r="D2434" s="110"/>
      <c r="E2434" t="e">
        <f>VLOOKUP(B2434,CAC!$A$2:$B$198,2,FALSE)</f>
        <v>#N/A</v>
      </c>
    </row>
    <row r="2435" spans="1:5" x14ac:dyDescent="0.25">
      <c r="A2435" s="108">
        <v>201612</v>
      </c>
      <c r="B2435" s="109" t="s">
        <v>113</v>
      </c>
      <c r="C2435" s="108">
        <v>0</v>
      </c>
      <c r="D2435" s="110"/>
      <c r="E2435" t="str">
        <f>VLOOKUP(B2435,CAC!$A$2:$B$198,2,FALSE)</f>
        <v>PPOLG</v>
      </c>
    </row>
    <row r="2436" spans="1:5" x14ac:dyDescent="0.25">
      <c r="A2436" s="108">
        <v>201612</v>
      </c>
      <c r="B2436" s="109" t="s">
        <v>208</v>
      </c>
      <c r="C2436" s="108">
        <v>0</v>
      </c>
      <c r="D2436" s="110"/>
      <c r="E2436" t="str">
        <f>VLOOKUP(B2436,CAC!$A$2:$B$198,2,FALSE)</f>
        <v>PPOPMR</v>
      </c>
    </row>
    <row r="2437" spans="1:5" x14ac:dyDescent="0.25">
      <c r="A2437" s="108">
        <v>201612</v>
      </c>
      <c r="B2437" s="109" t="s">
        <v>291</v>
      </c>
      <c r="C2437" s="108">
        <v>0</v>
      </c>
      <c r="D2437" s="110"/>
      <c r="E2437" t="str">
        <f>VLOOKUP(B2437,CAC!$A$2:$B$198,2,FALSE)</f>
        <v>HMFLEX</v>
      </c>
    </row>
    <row r="2438" spans="1:5" x14ac:dyDescent="0.25">
      <c r="A2438" s="108">
        <v>201612</v>
      </c>
      <c r="B2438" s="109" t="s">
        <v>209</v>
      </c>
      <c r="C2438" s="108">
        <v>0</v>
      </c>
      <c r="D2438" s="110"/>
      <c r="E2438" t="str">
        <f>VLOOKUP(B2438,CAC!$A$2:$B$198,2,FALSE)</f>
        <v>PPOPMR</v>
      </c>
    </row>
    <row r="2439" spans="1:5" x14ac:dyDescent="0.25">
      <c r="A2439" s="108">
        <v>201612</v>
      </c>
      <c r="B2439" s="109" t="s">
        <v>204</v>
      </c>
      <c r="C2439" s="108">
        <v>0</v>
      </c>
      <c r="D2439" s="110"/>
      <c r="E2439" t="str">
        <f>VLOOKUP(B2439,CAC!$A$2:$B$198,2,FALSE)</f>
        <v>PPOPMR</v>
      </c>
    </row>
    <row r="2440" spans="1:5" x14ac:dyDescent="0.25">
      <c r="A2440" s="108">
        <v>201612</v>
      </c>
      <c r="B2440" s="109" t="s">
        <v>330</v>
      </c>
      <c r="C2440" s="108">
        <v>0</v>
      </c>
      <c r="D2440" s="110"/>
      <c r="E2440" t="e">
        <f>VLOOKUP(B2440,CAC!$A$2:$B$198,2,FALSE)</f>
        <v>#N/A</v>
      </c>
    </row>
    <row r="2441" spans="1:5" x14ac:dyDescent="0.25">
      <c r="A2441" s="108">
        <v>201612</v>
      </c>
      <c r="B2441" s="109" t="s">
        <v>73</v>
      </c>
      <c r="C2441" s="108">
        <v>32271</v>
      </c>
      <c r="D2441" s="108">
        <v>5419</v>
      </c>
      <c r="E2441" t="str">
        <f>VLOOKUP(B2441,CAC!$A$2:$B$198,2,FALSE)</f>
        <v>HMOPERA</v>
      </c>
    </row>
    <row r="2442" spans="1:5" x14ac:dyDescent="0.25">
      <c r="A2442" s="108">
        <v>201612</v>
      </c>
      <c r="B2442" s="109" t="s">
        <v>75</v>
      </c>
      <c r="C2442" s="108">
        <v>24344</v>
      </c>
      <c r="D2442" s="108">
        <v>11197</v>
      </c>
      <c r="E2442" t="str">
        <f>VLOOKUP(B2442,CAC!$A$2:$B$198,2,FALSE)</f>
        <v>HMOPERN</v>
      </c>
    </row>
    <row r="2443" spans="1:5" x14ac:dyDescent="0.25">
      <c r="A2443" s="108">
        <v>201612</v>
      </c>
      <c r="B2443" s="109" t="s">
        <v>218</v>
      </c>
      <c r="C2443" s="108">
        <v>0</v>
      </c>
      <c r="D2443" s="110"/>
      <c r="E2443" t="str">
        <f>VLOOKUP(B2443,CAC!$A$2:$B$198,2,FALSE)</f>
        <v>HMOPERA</v>
      </c>
    </row>
    <row r="2444" spans="1:5" x14ac:dyDescent="0.25">
      <c r="A2444" s="108">
        <v>201612</v>
      </c>
      <c r="B2444" s="109" t="s">
        <v>156</v>
      </c>
      <c r="C2444" s="108">
        <v>25835</v>
      </c>
      <c r="D2444" s="110"/>
      <c r="E2444" t="str">
        <f>VLOOKUP(B2444,CAC!$A$2:$B$198,2,FALSE)</f>
        <v>HMOMM</v>
      </c>
    </row>
    <row r="2445" spans="1:5" x14ac:dyDescent="0.25">
      <c r="A2445" s="108">
        <v>201612</v>
      </c>
      <c r="B2445" s="109" t="s">
        <v>84</v>
      </c>
      <c r="C2445" s="108">
        <v>5998</v>
      </c>
      <c r="D2445" s="110"/>
      <c r="E2445" t="str">
        <f>VLOOKUP(B2445,CAC!$A$2:$B$198,2,FALSE)</f>
        <v>HMOMM</v>
      </c>
    </row>
    <row r="2446" spans="1:5" x14ac:dyDescent="0.25">
      <c r="A2446" s="108">
        <v>201612</v>
      </c>
      <c r="B2446" s="109" t="s">
        <v>162</v>
      </c>
      <c r="C2446" s="108">
        <v>418</v>
      </c>
      <c r="D2446" s="110"/>
      <c r="E2446" t="str">
        <f>VLOOKUP(B2446,CAC!$A$2:$B$198,2,FALSE)</f>
        <v>HMOMG</v>
      </c>
    </row>
    <row r="2447" spans="1:5" x14ac:dyDescent="0.25">
      <c r="A2447" s="108">
        <v>201612</v>
      </c>
      <c r="B2447" s="109" t="s">
        <v>163</v>
      </c>
      <c r="C2447" s="108">
        <v>104</v>
      </c>
      <c r="D2447" s="110"/>
      <c r="E2447" t="str">
        <f>VLOOKUP(B2447,CAC!$A$2:$B$198,2,FALSE)</f>
        <v>HMOMG</v>
      </c>
    </row>
    <row r="2448" spans="1:5" x14ac:dyDescent="0.25">
      <c r="A2448" s="108">
        <v>201612</v>
      </c>
      <c r="B2448" s="109" t="s">
        <v>164</v>
      </c>
      <c r="C2448" s="108">
        <v>0</v>
      </c>
      <c r="D2448" s="110"/>
      <c r="E2448" t="str">
        <f>VLOOKUP(B2448,CAC!$A$2:$B$198,2,FALSE)</f>
        <v>HMOMG</v>
      </c>
    </row>
    <row r="2449" spans="1:5" x14ac:dyDescent="0.25">
      <c r="A2449" s="108">
        <v>201612</v>
      </c>
      <c r="B2449" s="109" t="s">
        <v>85</v>
      </c>
      <c r="C2449" s="108">
        <v>655</v>
      </c>
      <c r="D2449" s="110"/>
      <c r="E2449" t="str">
        <f>VLOOKUP(B2449,CAC!$A$2:$B$198,2,FALSE)</f>
        <v>HMOMG</v>
      </c>
    </row>
    <row r="2450" spans="1:5" x14ac:dyDescent="0.25">
      <c r="A2450" s="108">
        <v>201612</v>
      </c>
      <c r="B2450" s="109" t="s">
        <v>77</v>
      </c>
      <c r="C2450" s="108">
        <v>25856</v>
      </c>
      <c r="D2450" s="110"/>
      <c r="E2450" t="str">
        <f>VLOOKUP(B2450,CAC!$A$2:$B$198,2,FALSE)</f>
        <v>HMOSG</v>
      </c>
    </row>
    <row r="2451" spans="1:5" x14ac:dyDescent="0.25">
      <c r="A2451" s="108">
        <v>201612</v>
      </c>
      <c r="B2451" s="109" t="s">
        <v>78</v>
      </c>
      <c r="C2451" s="108">
        <v>312</v>
      </c>
      <c r="D2451" s="110"/>
      <c r="E2451" t="str">
        <f>VLOOKUP(B2451,CAC!$A$2:$B$198,2,FALSE)</f>
        <v>HMOSG</v>
      </c>
    </row>
    <row r="2452" spans="1:5" x14ac:dyDescent="0.25">
      <c r="A2452" s="108">
        <v>201612</v>
      </c>
      <c r="B2452" s="109" t="s">
        <v>79</v>
      </c>
      <c r="C2452" s="108">
        <v>84</v>
      </c>
      <c r="D2452" s="110"/>
      <c r="E2452" t="str">
        <f>VLOOKUP(B2452,CAC!$A$2:$B$198,2,FALSE)</f>
        <v>HMOSG</v>
      </c>
    </row>
    <row r="2453" spans="1:5" x14ac:dyDescent="0.25">
      <c r="A2453" s="108">
        <v>201612</v>
      </c>
      <c r="B2453" s="109" t="s">
        <v>222</v>
      </c>
      <c r="C2453" s="108">
        <v>0</v>
      </c>
      <c r="D2453" s="110"/>
      <c r="E2453" t="str">
        <f>VLOOKUP(B2453,CAC!$A$2:$B$198,2,FALSE)</f>
        <v>PPOSG</v>
      </c>
    </row>
    <row r="2454" spans="1:5" x14ac:dyDescent="0.25">
      <c r="A2454" s="108">
        <v>201612</v>
      </c>
      <c r="B2454" s="109" t="s">
        <v>225</v>
      </c>
      <c r="C2454" s="108">
        <v>0</v>
      </c>
      <c r="D2454" s="110"/>
      <c r="E2454" t="str">
        <f>VLOOKUP(B2454,CAC!$A$2:$B$198,2,FALSE)</f>
        <v>PPOSG</v>
      </c>
    </row>
    <row r="2455" spans="1:5" x14ac:dyDescent="0.25">
      <c r="A2455" s="108">
        <v>201612</v>
      </c>
      <c r="B2455" s="109" t="s">
        <v>226</v>
      </c>
      <c r="C2455" s="108">
        <v>0</v>
      </c>
      <c r="D2455" s="110"/>
      <c r="E2455" t="str">
        <f>VLOOKUP(B2455,CAC!$A$2:$B$198,2,FALSE)</f>
        <v>PPOSG</v>
      </c>
    </row>
    <row r="2456" spans="1:5" x14ac:dyDescent="0.25">
      <c r="A2456" s="108">
        <v>201612</v>
      </c>
      <c r="B2456" s="109" t="s">
        <v>186</v>
      </c>
      <c r="C2456" s="108">
        <v>0</v>
      </c>
      <c r="D2456" s="110"/>
      <c r="E2456" t="str">
        <f>VLOOKUP(B2456,CAC!$A$2:$B$198,2,FALSE)</f>
        <v>PPOIFP</v>
      </c>
    </row>
    <row r="2457" spans="1:5" x14ac:dyDescent="0.25">
      <c r="A2457" s="108">
        <v>201612</v>
      </c>
      <c r="B2457" s="109" t="s">
        <v>187</v>
      </c>
      <c r="C2457" s="108">
        <v>0</v>
      </c>
      <c r="D2457" s="110"/>
      <c r="E2457" t="str">
        <f>VLOOKUP(B2457,CAC!$A$2:$B$198,2,FALSE)</f>
        <v>PPOIFP</v>
      </c>
    </row>
    <row r="2458" spans="1:5" x14ac:dyDescent="0.25">
      <c r="A2458" s="108">
        <v>201612</v>
      </c>
      <c r="B2458" s="109" t="s">
        <v>188</v>
      </c>
      <c r="C2458" s="108">
        <v>0</v>
      </c>
      <c r="D2458" s="110"/>
      <c r="E2458" t="str">
        <f>VLOOKUP(B2458,CAC!$A$2:$B$198,2,FALSE)</f>
        <v>PPOIFP</v>
      </c>
    </row>
    <row r="2459" spans="1:5" x14ac:dyDescent="0.25">
      <c r="A2459" s="108">
        <v>201612</v>
      </c>
      <c r="B2459" s="109" t="s">
        <v>189</v>
      </c>
      <c r="C2459" s="108">
        <v>0</v>
      </c>
      <c r="D2459" s="110"/>
      <c r="E2459" t="str">
        <f>VLOOKUP(B2459,CAC!$A$2:$B$198,2,FALSE)</f>
        <v>PPOIFP</v>
      </c>
    </row>
    <row r="2460" spans="1:5" x14ac:dyDescent="0.25">
      <c r="A2460" s="108">
        <v>201612</v>
      </c>
      <c r="B2460" s="109" t="s">
        <v>331</v>
      </c>
      <c r="C2460" s="108">
        <v>0</v>
      </c>
      <c r="D2460" s="110"/>
      <c r="E2460" t="e">
        <f>VLOOKUP(B2460,CAC!$A$2:$B$198,2,FALSE)</f>
        <v>#N/A</v>
      </c>
    </row>
    <row r="2461" spans="1:5" x14ac:dyDescent="0.25">
      <c r="A2461" s="108">
        <v>201612</v>
      </c>
      <c r="B2461" s="109" t="s">
        <v>216</v>
      </c>
      <c r="C2461" s="108">
        <v>0</v>
      </c>
      <c r="D2461" s="110"/>
      <c r="E2461" t="str">
        <f>VLOOKUP(B2461,CAC!$A$2:$B$198,2,FALSE)</f>
        <v>PPOMM</v>
      </c>
    </row>
    <row r="2462" spans="1:5" x14ac:dyDescent="0.25">
      <c r="A2462" s="108">
        <v>201612</v>
      </c>
      <c r="B2462" s="109" t="s">
        <v>301</v>
      </c>
      <c r="C2462" s="108">
        <v>0</v>
      </c>
      <c r="D2462" s="110"/>
      <c r="E2462" t="str">
        <f>VLOOKUP(B2462,CAC!$A$2:$B$198,2,FALSE)</f>
        <v>XXX</v>
      </c>
    </row>
    <row r="2463" spans="1:5" x14ac:dyDescent="0.25">
      <c r="A2463" s="108">
        <v>201701</v>
      </c>
      <c r="B2463" s="109" t="s">
        <v>51</v>
      </c>
      <c r="C2463" s="108">
        <v>20</v>
      </c>
      <c r="D2463" s="110"/>
      <c r="E2463" t="str">
        <f>VLOOKUP(B2463,CAC!$A$2:$B$198,2,FALSE)</f>
        <v>XXX</v>
      </c>
    </row>
    <row r="2464" spans="1:5" x14ac:dyDescent="0.25">
      <c r="A2464" s="108">
        <v>201701</v>
      </c>
      <c r="B2464" s="109" t="s">
        <v>303</v>
      </c>
      <c r="C2464" s="108">
        <v>0</v>
      </c>
      <c r="D2464" s="110"/>
      <c r="E2464" t="e">
        <f>VLOOKUP(B2464,CAC!$A$2:$B$198,2,FALSE)</f>
        <v>#N/A</v>
      </c>
    </row>
    <row r="2465" spans="1:5" x14ac:dyDescent="0.25">
      <c r="A2465" s="108">
        <v>201701</v>
      </c>
      <c r="B2465" s="109" t="s">
        <v>304</v>
      </c>
      <c r="C2465" s="108">
        <v>0</v>
      </c>
      <c r="D2465" s="110"/>
      <c r="E2465" t="e">
        <f>VLOOKUP(B2465,CAC!$A$2:$B$198,2,FALSE)</f>
        <v>#N/A</v>
      </c>
    </row>
    <row r="2466" spans="1:5" x14ac:dyDescent="0.25">
      <c r="A2466" s="108">
        <v>201701</v>
      </c>
      <c r="B2466" s="109" t="s">
        <v>323</v>
      </c>
      <c r="C2466" s="108">
        <v>0</v>
      </c>
      <c r="D2466" s="110"/>
      <c r="E2466" t="e">
        <f>VLOOKUP(B2466,CAC!$A$2:$B$198,2,FALSE)</f>
        <v>#N/A</v>
      </c>
    </row>
    <row r="2467" spans="1:5" x14ac:dyDescent="0.25">
      <c r="A2467" s="108">
        <v>201701</v>
      </c>
      <c r="B2467" s="109" t="s">
        <v>305</v>
      </c>
      <c r="C2467" s="108">
        <v>0</v>
      </c>
      <c r="D2467" s="110"/>
      <c r="E2467" t="e">
        <f>VLOOKUP(B2467,CAC!$A$2:$B$198,2,FALSE)</f>
        <v>#N/A</v>
      </c>
    </row>
    <row r="2468" spans="1:5" x14ac:dyDescent="0.25">
      <c r="A2468" s="108">
        <v>201701</v>
      </c>
      <c r="B2468" s="109" t="s">
        <v>327</v>
      </c>
      <c r="C2468" s="108">
        <v>0</v>
      </c>
      <c r="D2468" s="110"/>
      <c r="E2468" t="e">
        <f>VLOOKUP(B2468,CAC!$A$2:$B$198,2,FALSE)</f>
        <v>#N/A</v>
      </c>
    </row>
    <row r="2469" spans="1:5" x14ac:dyDescent="0.25">
      <c r="A2469" s="108">
        <v>201701</v>
      </c>
      <c r="B2469" s="109" t="s">
        <v>326</v>
      </c>
      <c r="C2469" s="108">
        <v>0</v>
      </c>
      <c r="D2469" s="110"/>
      <c r="E2469" t="e">
        <f>VLOOKUP(B2469,CAC!$A$2:$B$198,2,FALSE)</f>
        <v>#N/A</v>
      </c>
    </row>
    <row r="2470" spans="1:5" x14ac:dyDescent="0.25">
      <c r="A2470" s="108">
        <v>201701</v>
      </c>
      <c r="B2470" s="109" t="s">
        <v>231</v>
      </c>
      <c r="C2470" s="108">
        <v>0</v>
      </c>
      <c r="D2470" s="110"/>
      <c r="E2470" t="str">
        <f>VLOOKUP(B2470,CAC!$A$2:$B$198,2,FALSE)</f>
        <v>DOILG</v>
      </c>
    </row>
    <row r="2471" spans="1:5" x14ac:dyDescent="0.25">
      <c r="A2471" s="108">
        <v>201701</v>
      </c>
      <c r="B2471" s="109" t="s">
        <v>237</v>
      </c>
      <c r="C2471" s="108">
        <v>0</v>
      </c>
      <c r="D2471" s="110"/>
      <c r="E2471" t="str">
        <f>VLOOKUP(B2471,CAC!$A$2:$B$198,2,FALSE)</f>
        <v>DOILG</v>
      </c>
    </row>
    <row r="2472" spans="1:5" x14ac:dyDescent="0.25">
      <c r="A2472" s="108">
        <v>201701</v>
      </c>
      <c r="B2472" s="109" t="s">
        <v>247</v>
      </c>
      <c r="C2472" s="108">
        <v>0</v>
      </c>
      <c r="D2472" s="110"/>
      <c r="E2472" t="str">
        <f>VLOOKUP(B2472,CAC!$A$2:$B$198,2,FALSE)</f>
        <v>DOIIFP</v>
      </c>
    </row>
    <row r="2473" spans="1:5" x14ac:dyDescent="0.25">
      <c r="A2473" s="108">
        <v>201701</v>
      </c>
      <c r="B2473" s="109" t="s">
        <v>238</v>
      </c>
      <c r="C2473" s="108">
        <v>0</v>
      </c>
      <c r="D2473" s="110"/>
      <c r="E2473" t="str">
        <f>VLOOKUP(B2473,CAC!$A$2:$B$198,2,FALSE)</f>
        <v>DOILG</v>
      </c>
    </row>
    <row r="2474" spans="1:5" x14ac:dyDescent="0.25">
      <c r="A2474" s="108">
        <v>201701</v>
      </c>
      <c r="B2474" s="109" t="s">
        <v>328</v>
      </c>
      <c r="C2474" s="108">
        <v>0</v>
      </c>
      <c r="D2474" s="110"/>
      <c r="E2474" t="e">
        <f>VLOOKUP(B2474,CAC!$A$2:$B$198,2,FALSE)</f>
        <v>#N/A</v>
      </c>
    </row>
    <row r="2475" spans="1:5" x14ac:dyDescent="0.25">
      <c r="A2475" s="108">
        <v>201701</v>
      </c>
      <c r="B2475" s="109" t="s">
        <v>253</v>
      </c>
      <c r="C2475" s="108">
        <v>0</v>
      </c>
      <c r="D2475" s="110"/>
      <c r="E2475" t="str">
        <f>VLOOKUP(B2475,CAC!$A$2:$B$198,2,FALSE)</f>
        <v>AGDMHC</v>
      </c>
    </row>
    <row r="2476" spans="1:5" x14ac:dyDescent="0.25">
      <c r="A2476" s="108">
        <v>201701</v>
      </c>
      <c r="B2476" s="109" t="s">
        <v>325</v>
      </c>
      <c r="C2476" s="108">
        <v>0</v>
      </c>
      <c r="D2476" s="110"/>
      <c r="E2476" t="e">
        <f>VLOOKUP(B2476,CAC!$A$2:$B$198,2,FALSE)</f>
        <v>#N/A</v>
      </c>
    </row>
    <row r="2477" spans="1:5" x14ac:dyDescent="0.25">
      <c r="A2477" s="108">
        <v>201701</v>
      </c>
      <c r="B2477" s="109" t="s">
        <v>255</v>
      </c>
      <c r="C2477" s="108">
        <v>0</v>
      </c>
      <c r="D2477" s="110"/>
      <c r="E2477" t="str">
        <f>VLOOKUP(B2477,CAC!$A$2:$B$198,2,FALSE)</f>
        <v>AGDMHC</v>
      </c>
    </row>
    <row r="2478" spans="1:5" x14ac:dyDescent="0.25">
      <c r="A2478" s="108">
        <v>201701</v>
      </c>
      <c r="B2478" s="109" t="s">
        <v>256</v>
      </c>
      <c r="C2478" s="108">
        <v>0</v>
      </c>
      <c r="D2478" s="110"/>
      <c r="E2478" t="str">
        <f>VLOOKUP(B2478,CAC!$A$2:$B$198,2,FALSE)</f>
        <v>AGDMHC</v>
      </c>
    </row>
    <row r="2479" spans="1:5" x14ac:dyDescent="0.25">
      <c r="A2479" s="108">
        <v>201701</v>
      </c>
      <c r="B2479" s="109" t="s">
        <v>257</v>
      </c>
      <c r="C2479" s="108">
        <v>0</v>
      </c>
      <c r="D2479" s="110"/>
      <c r="E2479" t="str">
        <f>VLOOKUP(B2479,CAC!$A$2:$B$198,2,FALSE)</f>
        <v>AGDMHC</v>
      </c>
    </row>
    <row r="2480" spans="1:5" x14ac:dyDescent="0.25">
      <c r="A2480" s="108">
        <v>201701</v>
      </c>
      <c r="B2480" s="109" t="s">
        <v>258</v>
      </c>
      <c r="C2480" s="108">
        <v>0</v>
      </c>
      <c r="D2480" s="110"/>
      <c r="E2480" t="str">
        <f>VLOOKUP(B2480,CAC!$A$2:$B$198,2,FALSE)</f>
        <v>AGDMHC</v>
      </c>
    </row>
    <row r="2481" spans="1:5" x14ac:dyDescent="0.25">
      <c r="A2481" s="108">
        <v>201701</v>
      </c>
      <c r="B2481" s="109" t="s">
        <v>329</v>
      </c>
      <c r="C2481" s="108">
        <v>0</v>
      </c>
      <c r="D2481" s="110"/>
      <c r="E2481" t="e">
        <f>VLOOKUP(B2481,CAC!$A$2:$B$198,2,FALSE)</f>
        <v>#N/A</v>
      </c>
    </row>
    <row r="2482" spans="1:5" x14ac:dyDescent="0.25">
      <c r="A2482" s="108">
        <v>201701</v>
      </c>
      <c r="B2482" s="109" t="s">
        <v>262</v>
      </c>
      <c r="C2482" s="108">
        <v>0</v>
      </c>
      <c r="D2482" s="110"/>
      <c r="E2482" t="str">
        <f>VLOOKUP(B2482,CAC!$A$2:$B$198,2,FALSE)</f>
        <v>AGDMHC</v>
      </c>
    </row>
    <row r="2483" spans="1:5" x14ac:dyDescent="0.25">
      <c r="A2483" s="108">
        <v>201701</v>
      </c>
      <c r="B2483" s="109" t="s">
        <v>264</v>
      </c>
      <c r="C2483" s="108">
        <v>0</v>
      </c>
      <c r="D2483" s="110"/>
      <c r="E2483" t="str">
        <f>VLOOKUP(B2483,CAC!$A$2:$B$198,2,FALSE)</f>
        <v>AGDMHC</v>
      </c>
    </row>
    <row r="2484" spans="1:5" x14ac:dyDescent="0.25">
      <c r="A2484" s="108">
        <v>201701</v>
      </c>
      <c r="B2484" s="109" t="s">
        <v>269</v>
      </c>
      <c r="C2484" s="108">
        <v>0</v>
      </c>
      <c r="D2484" s="110"/>
      <c r="E2484" t="str">
        <f>VLOOKUP(B2484,CAC!$A$2:$B$198,2,FALSE)</f>
        <v>AGDMHC</v>
      </c>
    </row>
    <row r="2485" spans="1:5" x14ac:dyDescent="0.25">
      <c r="A2485" s="108">
        <v>201701</v>
      </c>
      <c r="B2485" s="109" t="s">
        <v>319</v>
      </c>
      <c r="C2485" s="108">
        <v>0</v>
      </c>
      <c r="D2485" s="110"/>
      <c r="E2485" t="e">
        <f>VLOOKUP(B2485,CAC!$A$2:$B$198,2,FALSE)</f>
        <v>#N/A</v>
      </c>
    </row>
    <row r="2486" spans="1:5" x14ac:dyDescent="0.25">
      <c r="A2486" s="108">
        <v>201701</v>
      </c>
      <c r="B2486" s="109" t="s">
        <v>267</v>
      </c>
      <c r="C2486" s="108">
        <v>0</v>
      </c>
      <c r="D2486" s="110"/>
      <c r="E2486" t="str">
        <f>VLOOKUP(B2486,CAC!$A$2:$B$198,2,FALSE)</f>
        <v>AGDMHC</v>
      </c>
    </row>
    <row r="2487" spans="1:5" x14ac:dyDescent="0.25">
      <c r="A2487" s="108">
        <v>201701</v>
      </c>
      <c r="B2487" s="109" t="s">
        <v>268</v>
      </c>
      <c r="C2487" s="108">
        <v>0</v>
      </c>
      <c r="D2487" s="110"/>
      <c r="E2487" t="str">
        <f>VLOOKUP(B2487,CAC!$A$2:$B$198,2,FALSE)</f>
        <v>AGDMHC</v>
      </c>
    </row>
    <row r="2488" spans="1:5" x14ac:dyDescent="0.25">
      <c r="A2488" s="108">
        <v>201701</v>
      </c>
      <c r="B2488" s="109" t="s">
        <v>52</v>
      </c>
      <c r="C2488" s="108">
        <v>16156</v>
      </c>
      <c r="D2488" s="110"/>
      <c r="E2488" t="str">
        <f>VLOOKUP(B2488,CAC!$A$2:$B$198,2,FALSE)</f>
        <v>HMOPMR</v>
      </c>
    </row>
    <row r="2489" spans="1:5" x14ac:dyDescent="0.25">
      <c r="A2489" s="108">
        <v>201701</v>
      </c>
      <c r="B2489" s="109" t="s">
        <v>53</v>
      </c>
      <c r="C2489" s="108">
        <v>4810</v>
      </c>
      <c r="D2489" s="110"/>
      <c r="E2489" t="str">
        <f>VLOOKUP(B2489,CAC!$A$2:$B$198,2,FALSE)</f>
        <v>HMOPMR</v>
      </c>
    </row>
    <row r="2490" spans="1:5" x14ac:dyDescent="0.25">
      <c r="A2490" s="108">
        <v>201701</v>
      </c>
      <c r="B2490" s="109" t="s">
        <v>54</v>
      </c>
      <c r="C2490" s="108">
        <v>5553</v>
      </c>
      <c r="D2490" s="110"/>
      <c r="E2490" t="str">
        <f>VLOOKUP(B2490,CAC!$A$2:$B$198,2,FALSE)</f>
        <v>HMOFEP</v>
      </c>
    </row>
    <row r="2491" spans="1:5" x14ac:dyDescent="0.25">
      <c r="A2491" s="108">
        <v>201701</v>
      </c>
      <c r="B2491" s="109" t="s">
        <v>279</v>
      </c>
      <c r="C2491" s="108">
        <v>0</v>
      </c>
      <c r="D2491" s="110"/>
      <c r="E2491" t="str">
        <f>VLOOKUP(B2491,CAC!$A$2:$B$198,2,FALSE)</f>
        <v>PPOFEP</v>
      </c>
    </row>
    <row r="2492" spans="1:5" x14ac:dyDescent="0.25">
      <c r="A2492" s="108">
        <v>201701</v>
      </c>
      <c r="B2492" s="109" t="s">
        <v>202</v>
      </c>
      <c r="C2492" s="108">
        <v>0</v>
      </c>
      <c r="D2492" s="110"/>
      <c r="E2492" t="str">
        <f>VLOOKUP(B2492,CAC!$A$2:$B$198,2,FALSE)</f>
        <v>PPOPMR</v>
      </c>
    </row>
    <row r="2493" spans="1:5" x14ac:dyDescent="0.25">
      <c r="A2493" s="108">
        <v>201701</v>
      </c>
      <c r="B2493" s="109" t="s">
        <v>55</v>
      </c>
      <c r="C2493" s="108">
        <v>16468</v>
      </c>
      <c r="D2493" s="110"/>
      <c r="E2493" t="str">
        <f>VLOOKUP(B2493,CAC!$A$2:$B$198,2,FALSE)</f>
        <v>HMOPMR</v>
      </c>
    </row>
    <row r="2494" spans="1:5" x14ac:dyDescent="0.25">
      <c r="A2494" s="108">
        <v>201701</v>
      </c>
      <c r="B2494" s="109" t="s">
        <v>56</v>
      </c>
      <c r="C2494" s="108">
        <v>57</v>
      </c>
      <c r="D2494" s="110"/>
      <c r="E2494" t="str">
        <f>VLOOKUP(B2494,CAC!$A$2:$B$198,2,FALSE)</f>
        <v>HMOPMR</v>
      </c>
    </row>
    <row r="2495" spans="1:5" x14ac:dyDescent="0.25">
      <c r="A2495" s="108">
        <v>201701</v>
      </c>
      <c r="B2495" s="109" t="s">
        <v>83</v>
      </c>
      <c r="C2495" s="108">
        <v>1244</v>
      </c>
      <c r="D2495" s="110"/>
      <c r="E2495" t="str">
        <f>VLOOKUP(B2495,CAC!$A$2:$B$198,2,FALSE)</f>
        <v>HMOPMR</v>
      </c>
    </row>
    <row r="2496" spans="1:5" x14ac:dyDescent="0.25">
      <c r="A2496" s="108">
        <v>201701</v>
      </c>
      <c r="B2496" s="109" t="s">
        <v>57</v>
      </c>
      <c r="C2496" s="108">
        <v>4048</v>
      </c>
      <c r="D2496" s="110"/>
      <c r="E2496" t="str">
        <f>VLOOKUP(B2496,CAC!$A$2:$B$198,2,FALSE)</f>
        <v>HMFLEX</v>
      </c>
    </row>
    <row r="2497" spans="1:5" x14ac:dyDescent="0.25">
      <c r="A2497" s="108">
        <v>201701</v>
      </c>
      <c r="B2497" s="109" t="s">
        <v>58</v>
      </c>
      <c r="C2497" s="108">
        <v>344</v>
      </c>
      <c r="D2497" s="110"/>
      <c r="E2497" t="str">
        <f>VLOOKUP(B2497,CAC!$A$2:$B$198,2,FALSE)</f>
        <v>HMFLEX</v>
      </c>
    </row>
    <row r="2498" spans="1:5" x14ac:dyDescent="0.25">
      <c r="A2498" s="108">
        <v>201701</v>
      </c>
      <c r="B2498" s="109" t="s">
        <v>306</v>
      </c>
      <c r="C2498" s="108">
        <v>0</v>
      </c>
      <c r="D2498" s="110"/>
      <c r="E2498" t="e">
        <f>VLOOKUP(B2498,CAC!$A$2:$B$198,2,FALSE)</f>
        <v>#N/A</v>
      </c>
    </row>
    <row r="2499" spans="1:5" x14ac:dyDescent="0.25">
      <c r="A2499" s="108">
        <v>201701</v>
      </c>
      <c r="B2499" s="109" t="s">
        <v>283</v>
      </c>
      <c r="C2499" s="108">
        <v>0</v>
      </c>
      <c r="D2499" s="110"/>
      <c r="E2499" t="str">
        <f>VLOOKUP(B2499,CAC!$A$2:$B$198,2,FALSE)</f>
        <v>HMFLEX</v>
      </c>
    </row>
    <row r="2500" spans="1:5" x14ac:dyDescent="0.25">
      <c r="A2500" s="108">
        <v>201701</v>
      </c>
      <c r="B2500" s="109" t="s">
        <v>205</v>
      </c>
      <c r="C2500" s="108">
        <v>0</v>
      </c>
      <c r="D2500" s="110"/>
      <c r="E2500" t="str">
        <f>VLOOKUP(B2500,CAC!$A$2:$B$198,2,FALSE)</f>
        <v>PPOPMR</v>
      </c>
    </row>
    <row r="2501" spans="1:5" x14ac:dyDescent="0.25">
      <c r="A2501" s="108">
        <v>201701</v>
      </c>
      <c r="B2501" s="109" t="s">
        <v>60</v>
      </c>
      <c r="C2501" s="108">
        <v>8773</v>
      </c>
      <c r="D2501" s="110"/>
      <c r="E2501" t="str">
        <f>VLOOKUP(B2501,CAC!$A$2:$B$198,2,FALSE)</f>
        <v>HMOLG</v>
      </c>
    </row>
    <row r="2502" spans="1:5" x14ac:dyDescent="0.25">
      <c r="A2502" s="108">
        <v>201701</v>
      </c>
      <c r="B2502" s="109" t="s">
        <v>61</v>
      </c>
      <c r="C2502" s="108">
        <v>519</v>
      </c>
      <c r="D2502" s="110"/>
      <c r="E2502" t="str">
        <f>VLOOKUP(B2502,CAC!$A$2:$B$198,2,FALSE)</f>
        <v>HMOLG</v>
      </c>
    </row>
    <row r="2503" spans="1:5" x14ac:dyDescent="0.25">
      <c r="A2503" s="108">
        <v>201701</v>
      </c>
      <c r="B2503" s="109" t="s">
        <v>62</v>
      </c>
      <c r="C2503" s="108">
        <v>15812</v>
      </c>
      <c r="D2503" s="110"/>
      <c r="E2503" t="str">
        <f>VLOOKUP(B2503,CAC!$A$2:$B$198,2,FALSE)</f>
        <v>HMOLG</v>
      </c>
    </row>
    <row r="2504" spans="1:5" x14ac:dyDescent="0.25">
      <c r="A2504" s="108">
        <v>201701</v>
      </c>
      <c r="B2504" s="109" t="s">
        <v>86</v>
      </c>
      <c r="C2504" s="108">
        <v>2260</v>
      </c>
      <c r="D2504" s="110"/>
      <c r="E2504" t="str">
        <f>VLOOKUP(B2504,CAC!$A$2:$B$198,2,FALSE)</f>
        <v>HMOLG</v>
      </c>
    </row>
    <row r="2505" spans="1:5" x14ac:dyDescent="0.25">
      <c r="A2505" s="108">
        <v>201701</v>
      </c>
      <c r="B2505" s="109" t="s">
        <v>63</v>
      </c>
      <c r="C2505" s="108">
        <v>49</v>
      </c>
      <c r="D2505" s="110"/>
      <c r="E2505" t="str">
        <f>VLOOKUP(B2505,CAC!$A$2:$B$198,2,FALSE)</f>
        <v>HMOLG</v>
      </c>
    </row>
    <row r="2506" spans="1:5" x14ac:dyDescent="0.25">
      <c r="A2506" s="108">
        <v>201701</v>
      </c>
      <c r="B2506" s="109" t="s">
        <v>64</v>
      </c>
      <c r="C2506" s="108">
        <v>0</v>
      </c>
      <c r="D2506" s="110"/>
      <c r="E2506" t="str">
        <f>VLOOKUP(B2506,CAC!$A$2:$B$198,2,FALSE)</f>
        <v>HMOLG</v>
      </c>
    </row>
    <row r="2507" spans="1:5" x14ac:dyDescent="0.25">
      <c r="A2507" s="108">
        <v>201701</v>
      </c>
      <c r="B2507" s="109" t="s">
        <v>65</v>
      </c>
      <c r="C2507" s="108">
        <v>220</v>
      </c>
      <c r="D2507" s="110"/>
      <c r="E2507" t="str">
        <f>VLOOKUP(B2507,CAC!$A$2:$B$198,2,FALSE)</f>
        <v>HMFLEX</v>
      </c>
    </row>
    <row r="2508" spans="1:5" x14ac:dyDescent="0.25">
      <c r="A2508" s="108">
        <v>201701</v>
      </c>
      <c r="B2508" s="109" t="s">
        <v>307</v>
      </c>
      <c r="C2508" s="108">
        <v>0</v>
      </c>
      <c r="D2508" s="110"/>
      <c r="E2508" t="e">
        <f>VLOOKUP(B2508,CAC!$A$2:$B$198,2,FALSE)</f>
        <v>#N/A</v>
      </c>
    </row>
    <row r="2509" spans="1:5" x14ac:dyDescent="0.25">
      <c r="A2509" s="108">
        <v>201701</v>
      </c>
      <c r="B2509" s="109" t="s">
        <v>308</v>
      </c>
      <c r="C2509" s="108">
        <v>0</v>
      </c>
      <c r="D2509" s="110"/>
      <c r="E2509" t="e">
        <f>VLOOKUP(B2509,CAC!$A$2:$B$198,2,FALSE)</f>
        <v>#N/A</v>
      </c>
    </row>
    <row r="2510" spans="1:5" x14ac:dyDescent="0.25">
      <c r="A2510" s="108">
        <v>201701</v>
      </c>
      <c r="B2510" s="109" t="s">
        <v>309</v>
      </c>
      <c r="C2510" s="108">
        <v>0</v>
      </c>
      <c r="D2510" s="110"/>
      <c r="E2510" t="e">
        <f>VLOOKUP(B2510,CAC!$A$2:$B$198,2,FALSE)</f>
        <v>#N/A</v>
      </c>
    </row>
    <row r="2511" spans="1:5" x14ac:dyDescent="0.25">
      <c r="A2511" s="108">
        <v>201701</v>
      </c>
      <c r="B2511" s="109" t="s">
        <v>99</v>
      </c>
      <c r="C2511" s="108">
        <v>0</v>
      </c>
      <c r="D2511" s="110"/>
      <c r="E2511" t="str">
        <f>VLOOKUP(B2511,CAC!$A$2:$B$198,2,FALSE)</f>
        <v>PPOLG</v>
      </c>
    </row>
    <row r="2512" spans="1:5" x14ac:dyDescent="0.25">
      <c r="A2512" s="108">
        <v>201701</v>
      </c>
      <c r="B2512" s="109" t="s">
        <v>193</v>
      </c>
      <c r="C2512" s="108">
        <v>0</v>
      </c>
      <c r="D2512" s="110"/>
      <c r="E2512" t="str">
        <f>VLOOKUP(B2512,CAC!$A$2:$B$198,2,FALSE)</f>
        <v>PPOLG</v>
      </c>
    </row>
    <row r="2513" spans="1:5" x14ac:dyDescent="0.25">
      <c r="A2513" s="108">
        <v>201701</v>
      </c>
      <c r="B2513" s="109" t="s">
        <v>196</v>
      </c>
      <c r="C2513" s="108">
        <v>0</v>
      </c>
      <c r="D2513" s="110"/>
      <c r="E2513" t="str">
        <f>VLOOKUP(B2513,CAC!$A$2:$B$198,2,FALSE)</f>
        <v>PPOLG</v>
      </c>
    </row>
    <row r="2514" spans="1:5" x14ac:dyDescent="0.25">
      <c r="A2514" s="108">
        <v>201701</v>
      </c>
      <c r="B2514" s="109" t="s">
        <v>212</v>
      </c>
      <c r="C2514" s="108">
        <v>0</v>
      </c>
      <c r="D2514" s="110"/>
      <c r="E2514" t="str">
        <f>VLOOKUP(B2514,CAC!$A$2:$B$198,2,FALSE)</f>
        <v>PPOMM</v>
      </c>
    </row>
    <row r="2515" spans="1:5" x14ac:dyDescent="0.25">
      <c r="A2515" s="108">
        <v>201701</v>
      </c>
      <c r="B2515" s="109" t="s">
        <v>213</v>
      </c>
      <c r="C2515" s="108">
        <v>0</v>
      </c>
      <c r="D2515" s="110"/>
      <c r="E2515" t="str">
        <f>VLOOKUP(B2515,CAC!$A$2:$B$198,2,FALSE)</f>
        <v>PPOMM</v>
      </c>
    </row>
    <row r="2516" spans="1:5" x14ac:dyDescent="0.25">
      <c r="A2516" s="108">
        <v>201701</v>
      </c>
      <c r="B2516" s="109" t="s">
        <v>311</v>
      </c>
      <c r="C2516" s="108">
        <v>0</v>
      </c>
      <c r="D2516" s="110"/>
      <c r="E2516" t="e">
        <f>VLOOKUP(B2516,CAC!$A$2:$B$198,2,FALSE)</f>
        <v>#N/A</v>
      </c>
    </row>
    <row r="2517" spans="1:5" x14ac:dyDescent="0.25">
      <c r="A2517" s="108">
        <v>201701</v>
      </c>
      <c r="B2517" s="109" t="s">
        <v>321</v>
      </c>
      <c r="C2517" s="108">
        <v>0</v>
      </c>
      <c r="D2517" s="110"/>
      <c r="E2517" t="e">
        <f>VLOOKUP(B2517,CAC!$A$2:$B$198,2,FALSE)</f>
        <v>#N/A</v>
      </c>
    </row>
    <row r="2518" spans="1:5" x14ac:dyDescent="0.25">
      <c r="A2518" s="108">
        <v>201701</v>
      </c>
      <c r="B2518" s="109" t="s">
        <v>312</v>
      </c>
      <c r="C2518" s="108">
        <v>0</v>
      </c>
      <c r="D2518" s="110"/>
      <c r="E2518" t="e">
        <f>VLOOKUP(B2518,CAC!$A$2:$B$198,2,FALSE)</f>
        <v>#N/A</v>
      </c>
    </row>
    <row r="2519" spans="1:5" x14ac:dyDescent="0.25">
      <c r="A2519" s="108">
        <v>201701</v>
      </c>
      <c r="B2519" s="109" t="s">
        <v>215</v>
      </c>
      <c r="C2519" s="108">
        <v>0</v>
      </c>
      <c r="D2519" s="110"/>
      <c r="E2519" t="str">
        <f>VLOOKUP(B2519,CAC!$A$2:$B$198,2,FALSE)</f>
        <v>PPOMM</v>
      </c>
    </row>
    <row r="2520" spans="1:5" x14ac:dyDescent="0.25">
      <c r="A2520" s="108">
        <v>201701</v>
      </c>
      <c r="B2520" s="109" t="s">
        <v>66</v>
      </c>
      <c r="C2520" s="108">
        <v>4878</v>
      </c>
      <c r="D2520" s="110"/>
      <c r="E2520" t="str">
        <f>VLOOKUP(B2520,CAC!$A$2:$B$198,2,FALSE)</f>
        <v>HMOLG</v>
      </c>
    </row>
    <row r="2521" spans="1:5" x14ac:dyDescent="0.25">
      <c r="A2521" s="108">
        <v>201701</v>
      </c>
      <c r="B2521" s="109" t="s">
        <v>82</v>
      </c>
      <c r="C2521" s="108">
        <v>1</v>
      </c>
      <c r="D2521" s="110"/>
      <c r="E2521" t="str">
        <f>VLOOKUP(B2521,CAC!$A$2:$B$198,2,FALSE)</f>
        <v>NATPAR</v>
      </c>
    </row>
    <row r="2522" spans="1:5" x14ac:dyDescent="0.25">
      <c r="A2522" s="108">
        <v>201701</v>
      </c>
      <c r="B2522" s="109" t="s">
        <v>67</v>
      </c>
      <c r="C2522" s="108">
        <v>156</v>
      </c>
      <c r="D2522" s="110"/>
      <c r="E2522" t="str">
        <f>VLOOKUP(B2522,CAC!$A$2:$B$198,2,FALSE)</f>
        <v>HMOLG</v>
      </c>
    </row>
    <row r="2523" spans="1:5" x14ac:dyDescent="0.25">
      <c r="A2523" s="108">
        <v>201701</v>
      </c>
      <c r="B2523" s="109" t="s">
        <v>68</v>
      </c>
      <c r="C2523" s="108">
        <v>277</v>
      </c>
      <c r="D2523" s="110"/>
      <c r="E2523" t="str">
        <f>VLOOKUP(B2523,CAC!$A$2:$B$198,2,FALSE)</f>
        <v>HMOPMR</v>
      </c>
    </row>
    <row r="2524" spans="1:5" x14ac:dyDescent="0.25">
      <c r="A2524" s="108">
        <v>201701</v>
      </c>
      <c r="B2524" s="109" t="s">
        <v>69</v>
      </c>
      <c r="C2524" s="108">
        <v>9683</v>
      </c>
      <c r="D2524" s="110"/>
      <c r="E2524" t="str">
        <f>VLOOKUP(B2524,CAC!$A$2:$B$198,2,FALSE)</f>
        <v>HMOPMR</v>
      </c>
    </row>
    <row r="2525" spans="1:5" x14ac:dyDescent="0.25">
      <c r="A2525" s="108">
        <v>201701</v>
      </c>
      <c r="B2525" s="109" t="s">
        <v>70</v>
      </c>
      <c r="C2525" s="108">
        <v>945</v>
      </c>
      <c r="D2525" s="110"/>
      <c r="E2525" t="str">
        <f>VLOOKUP(B2525,CAC!$A$2:$B$198,2,FALSE)</f>
        <v>HMOPMR</v>
      </c>
    </row>
    <row r="2526" spans="1:5" x14ac:dyDescent="0.25">
      <c r="A2526" s="108">
        <v>201701</v>
      </c>
      <c r="B2526" s="109" t="s">
        <v>71</v>
      </c>
      <c r="C2526" s="108">
        <v>5622</v>
      </c>
      <c r="D2526" s="110"/>
      <c r="E2526" t="str">
        <f>VLOOKUP(B2526,CAC!$A$2:$B$198,2,FALSE)</f>
        <v>HMOPMR</v>
      </c>
    </row>
    <row r="2527" spans="1:5" x14ac:dyDescent="0.25">
      <c r="A2527" s="108">
        <v>201701</v>
      </c>
      <c r="B2527" s="109" t="s">
        <v>72</v>
      </c>
      <c r="C2527" s="108">
        <v>5061</v>
      </c>
      <c r="D2527" s="110"/>
      <c r="E2527" t="str">
        <f>VLOOKUP(B2527,CAC!$A$2:$B$198,2,FALSE)</f>
        <v>HMFLEX</v>
      </c>
    </row>
    <row r="2528" spans="1:5" x14ac:dyDescent="0.25">
      <c r="A2528" s="108">
        <v>201701</v>
      </c>
      <c r="B2528" s="109" t="s">
        <v>314</v>
      </c>
      <c r="C2528" s="108">
        <v>0</v>
      </c>
      <c r="D2528" s="110"/>
      <c r="E2528" t="e">
        <f>VLOOKUP(B2528,CAC!$A$2:$B$198,2,FALSE)</f>
        <v>#N/A</v>
      </c>
    </row>
    <row r="2529" spans="1:5" x14ac:dyDescent="0.25">
      <c r="A2529" s="108">
        <v>201701</v>
      </c>
      <c r="B2529" s="109" t="s">
        <v>315</v>
      </c>
      <c r="C2529" s="108">
        <v>0</v>
      </c>
      <c r="D2529" s="110"/>
      <c r="E2529" t="e">
        <f>VLOOKUP(B2529,CAC!$A$2:$B$198,2,FALSE)</f>
        <v>#N/A</v>
      </c>
    </row>
    <row r="2530" spans="1:5" x14ac:dyDescent="0.25">
      <c r="A2530" s="108">
        <v>201701</v>
      </c>
      <c r="B2530" s="109" t="s">
        <v>112</v>
      </c>
      <c r="C2530" s="108">
        <v>0</v>
      </c>
      <c r="D2530" s="110"/>
      <c r="E2530" t="e">
        <f>VLOOKUP(B2530,CAC!$A$2:$B$198,2,FALSE)</f>
        <v>#N/A</v>
      </c>
    </row>
    <row r="2531" spans="1:5" x14ac:dyDescent="0.25">
      <c r="A2531" s="108">
        <v>201701</v>
      </c>
      <c r="B2531" s="109" t="s">
        <v>316</v>
      </c>
      <c r="C2531" s="108">
        <v>0</v>
      </c>
      <c r="D2531" s="110"/>
      <c r="E2531" t="e">
        <f>VLOOKUP(B2531,CAC!$A$2:$B$198,2,FALSE)</f>
        <v>#N/A</v>
      </c>
    </row>
    <row r="2532" spans="1:5" x14ac:dyDescent="0.25">
      <c r="A2532" s="108">
        <v>201701</v>
      </c>
      <c r="B2532" s="109" t="s">
        <v>317</v>
      </c>
      <c r="C2532" s="108">
        <v>0</v>
      </c>
      <c r="D2532" s="110"/>
      <c r="E2532" t="e">
        <f>VLOOKUP(B2532,CAC!$A$2:$B$198,2,FALSE)</f>
        <v>#N/A</v>
      </c>
    </row>
    <row r="2533" spans="1:5" x14ac:dyDescent="0.25">
      <c r="A2533" s="108">
        <v>201701</v>
      </c>
      <c r="B2533" s="109" t="s">
        <v>113</v>
      </c>
      <c r="C2533" s="108">
        <v>0</v>
      </c>
      <c r="D2533" s="110"/>
      <c r="E2533" t="str">
        <f>VLOOKUP(B2533,CAC!$A$2:$B$198,2,FALSE)</f>
        <v>PPOLG</v>
      </c>
    </row>
    <row r="2534" spans="1:5" x14ac:dyDescent="0.25">
      <c r="A2534" s="108">
        <v>201701</v>
      </c>
      <c r="B2534" s="109" t="s">
        <v>208</v>
      </c>
      <c r="C2534" s="108">
        <v>0</v>
      </c>
      <c r="D2534" s="110"/>
      <c r="E2534" t="str">
        <f>VLOOKUP(B2534,CAC!$A$2:$B$198,2,FALSE)</f>
        <v>PPOPMR</v>
      </c>
    </row>
    <row r="2535" spans="1:5" x14ac:dyDescent="0.25">
      <c r="A2535" s="108">
        <v>201701</v>
      </c>
      <c r="B2535" s="109" t="s">
        <v>291</v>
      </c>
      <c r="C2535" s="108">
        <v>0</v>
      </c>
      <c r="D2535" s="110"/>
      <c r="E2535" t="str">
        <f>VLOOKUP(B2535,CAC!$A$2:$B$198,2,FALSE)</f>
        <v>HMFLEX</v>
      </c>
    </row>
    <row r="2536" spans="1:5" x14ac:dyDescent="0.25">
      <c r="A2536" s="108">
        <v>201701</v>
      </c>
      <c r="B2536" s="109" t="s">
        <v>204</v>
      </c>
      <c r="C2536" s="108">
        <v>0</v>
      </c>
      <c r="D2536" s="110"/>
      <c r="E2536" t="str">
        <f>VLOOKUP(B2536,CAC!$A$2:$B$198,2,FALSE)</f>
        <v>PPOPMR</v>
      </c>
    </row>
    <row r="2537" spans="1:5" x14ac:dyDescent="0.25">
      <c r="A2537" s="108">
        <v>201701</v>
      </c>
      <c r="B2537" s="109" t="s">
        <v>330</v>
      </c>
      <c r="C2537" s="108">
        <v>0</v>
      </c>
      <c r="D2537" s="110"/>
      <c r="E2537" t="e">
        <f>VLOOKUP(B2537,CAC!$A$2:$B$198,2,FALSE)</f>
        <v>#N/A</v>
      </c>
    </row>
    <row r="2538" spans="1:5" x14ac:dyDescent="0.25">
      <c r="A2538" s="108">
        <v>201701</v>
      </c>
      <c r="B2538" s="109" t="s">
        <v>73</v>
      </c>
      <c r="C2538" s="108">
        <v>36652</v>
      </c>
      <c r="D2538" s="108">
        <v>12080</v>
      </c>
      <c r="E2538" t="str">
        <f>VLOOKUP(B2538,CAC!$A$2:$B$198,2,FALSE)</f>
        <v>HMOPERA</v>
      </c>
    </row>
    <row r="2539" spans="1:5" x14ac:dyDescent="0.25">
      <c r="A2539" s="108">
        <v>201701</v>
      </c>
      <c r="B2539" s="109" t="s">
        <v>218</v>
      </c>
      <c r="C2539" s="108">
        <v>0</v>
      </c>
      <c r="D2539" s="110"/>
      <c r="E2539" t="str">
        <f>VLOOKUP(B2539,CAC!$A$2:$B$198,2,FALSE)</f>
        <v>HMOPERA</v>
      </c>
    </row>
    <row r="2540" spans="1:5" x14ac:dyDescent="0.25">
      <c r="A2540" s="108">
        <v>201701</v>
      </c>
      <c r="B2540" s="109" t="s">
        <v>156</v>
      </c>
      <c r="C2540" s="108">
        <v>27208</v>
      </c>
      <c r="D2540" s="110"/>
      <c r="E2540" t="str">
        <f>VLOOKUP(B2540,CAC!$A$2:$B$198,2,FALSE)</f>
        <v>HMOMM</v>
      </c>
    </row>
    <row r="2541" spans="1:5" x14ac:dyDescent="0.25">
      <c r="A2541" s="108">
        <v>201701</v>
      </c>
      <c r="B2541" s="109" t="s">
        <v>84</v>
      </c>
      <c r="C2541" s="108">
        <v>5879</v>
      </c>
      <c r="D2541" s="110"/>
      <c r="E2541" t="str">
        <f>VLOOKUP(B2541,CAC!$A$2:$B$198,2,FALSE)</f>
        <v>HMOMM</v>
      </c>
    </row>
    <row r="2542" spans="1:5" x14ac:dyDescent="0.25">
      <c r="A2542" s="108">
        <v>201701</v>
      </c>
      <c r="B2542" s="109" t="s">
        <v>162</v>
      </c>
      <c r="C2542" s="108">
        <v>419</v>
      </c>
      <c r="D2542" s="110"/>
      <c r="E2542" t="str">
        <f>VLOOKUP(B2542,CAC!$A$2:$B$198,2,FALSE)</f>
        <v>HMOMG</v>
      </c>
    </row>
    <row r="2543" spans="1:5" x14ac:dyDescent="0.25">
      <c r="A2543" s="108">
        <v>201701</v>
      </c>
      <c r="B2543" s="109" t="s">
        <v>163</v>
      </c>
      <c r="C2543" s="108">
        <v>69</v>
      </c>
      <c r="D2543" s="110"/>
      <c r="E2543" t="str">
        <f>VLOOKUP(B2543,CAC!$A$2:$B$198,2,FALSE)</f>
        <v>HMOMG</v>
      </c>
    </row>
    <row r="2544" spans="1:5" x14ac:dyDescent="0.25">
      <c r="A2544" s="108">
        <v>201701</v>
      </c>
      <c r="B2544" s="109" t="s">
        <v>164</v>
      </c>
      <c r="C2544" s="108">
        <v>0</v>
      </c>
      <c r="D2544" s="110"/>
      <c r="E2544" t="str">
        <f>VLOOKUP(B2544,CAC!$A$2:$B$198,2,FALSE)</f>
        <v>HMOMG</v>
      </c>
    </row>
    <row r="2545" spans="1:5" x14ac:dyDescent="0.25">
      <c r="A2545" s="108">
        <v>201701</v>
      </c>
      <c r="B2545" s="109" t="s">
        <v>85</v>
      </c>
      <c r="C2545" s="108">
        <v>659</v>
      </c>
      <c r="D2545" s="110"/>
      <c r="E2545" t="str">
        <f>VLOOKUP(B2545,CAC!$A$2:$B$198,2,FALSE)</f>
        <v>HMOMG</v>
      </c>
    </row>
    <row r="2546" spans="1:5" x14ac:dyDescent="0.25">
      <c r="A2546" s="108">
        <v>201701</v>
      </c>
      <c r="B2546" s="109" t="s">
        <v>77</v>
      </c>
      <c r="C2546" s="108">
        <v>26472</v>
      </c>
      <c r="D2546" s="110"/>
      <c r="E2546" t="str">
        <f>VLOOKUP(B2546,CAC!$A$2:$B$198,2,FALSE)</f>
        <v>HMOSG</v>
      </c>
    </row>
    <row r="2547" spans="1:5" x14ac:dyDescent="0.25">
      <c r="A2547" s="108">
        <v>201701</v>
      </c>
      <c r="B2547" s="109" t="s">
        <v>78</v>
      </c>
      <c r="C2547" s="108">
        <v>307</v>
      </c>
      <c r="D2547" s="110"/>
      <c r="E2547" t="str">
        <f>VLOOKUP(B2547,CAC!$A$2:$B$198,2,FALSE)</f>
        <v>HMOSG</v>
      </c>
    </row>
    <row r="2548" spans="1:5" x14ac:dyDescent="0.25">
      <c r="A2548" s="108">
        <v>201701</v>
      </c>
      <c r="B2548" s="109" t="s">
        <v>79</v>
      </c>
      <c r="C2548" s="108">
        <v>86</v>
      </c>
      <c r="D2548" s="110"/>
      <c r="E2548" t="str">
        <f>VLOOKUP(B2548,CAC!$A$2:$B$198,2,FALSE)</f>
        <v>HMOSG</v>
      </c>
    </row>
    <row r="2549" spans="1:5" x14ac:dyDescent="0.25">
      <c r="A2549" s="108">
        <v>201701</v>
      </c>
      <c r="B2549" s="109" t="s">
        <v>222</v>
      </c>
      <c r="C2549" s="108">
        <v>0</v>
      </c>
      <c r="D2549" s="110"/>
      <c r="E2549" t="str">
        <f>VLOOKUP(B2549,CAC!$A$2:$B$198,2,FALSE)</f>
        <v>PPOSG</v>
      </c>
    </row>
    <row r="2550" spans="1:5" x14ac:dyDescent="0.25">
      <c r="A2550" s="108">
        <v>201701</v>
      </c>
      <c r="B2550" s="109" t="s">
        <v>225</v>
      </c>
      <c r="C2550" s="108">
        <v>0</v>
      </c>
      <c r="D2550" s="110"/>
      <c r="E2550" t="str">
        <f>VLOOKUP(B2550,CAC!$A$2:$B$198,2,FALSE)</f>
        <v>PPOSG</v>
      </c>
    </row>
    <row r="2551" spans="1:5" x14ac:dyDescent="0.25">
      <c r="A2551" s="108">
        <v>201701</v>
      </c>
      <c r="B2551" s="109" t="s">
        <v>226</v>
      </c>
      <c r="C2551" s="108">
        <v>0</v>
      </c>
      <c r="D2551" s="110"/>
      <c r="E2551" t="str">
        <f>VLOOKUP(B2551,CAC!$A$2:$B$198,2,FALSE)</f>
        <v>PPOSG</v>
      </c>
    </row>
    <row r="2552" spans="1:5" x14ac:dyDescent="0.25">
      <c r="A2552" s="108">
        <v>201701</v>
      </c>
      <c r="B2552" s="109" t="s">
        <v>89</v>
      </c>
      <c r="C2552" s="108">
        <v>776</v>
      </c>
      <c r="D2552" s="110"/>
      <c r="E2552" t="str">
        <f>VLOOKUP(B2552,CAC!$A$2:$B$198,2,FALSE)</f>
        <v>HMOIFP</v>
      </c>
    </row>
    <row r="2553" spans="1:5" x14ac:dyDescent="0.25">
      <c r="A2553" s="108">
        <v>201701</v>
      </c>
      <c r="B2553" s="109" t="s">
        <v>90</v>
      </c>
      <c r="C2553" s="108">
        <v>354</v>
      </c>
      <c r="D2553" s="110"/>
      <c r="E2553" t="str">
        <f>VLOOKUP(B2553,CAC!$A$2:$B$198,2,FALSE)</f>
        <v>HMOIFP</v>
      </c>
    </row>
    <row r="2554" spans="1:5" x14ac:dyDescent="0.25">
      <c r="A2554" s="108">
        <v>201701</v>
      </c>
      <c r="B2554" s="109" t="s">
        <v>186</v>
      </c>
      <c r="C2554" s="108">
        <v>0</v>
      </c>
      <c r="D2554" s="110"/>
      <c r="E2554" t="str">
        <f>VLOOKUP(B2554,CAC!$A$2:$B$198,2,FALSE)</f>
        <v>PPOIFP</v>
      </c>
    </row>
    <row r="2555" spans="1:5" x14ac:dyDescent="0.25">
      <c r="A2555" s="108">
        <v>201701</v>
      </c>
      <c r="B2555" s="109" t="s">
        <v>188</v>
      </c>
      <c r="C2555" s="108">
        <v>0</v>
      </c>
      <c r="D2555" s="110"/>
      <c r="E2555" t="str">
        <f>VLOOKUP(B2555,CAC!$A$2:$B$198,2,FALSE)</f>
        <v>PPOIFP</v>
      </c>
    </row>
    <row r="2556" spans="1:5" x14ac:dyDescent="0.25">
      <c r="A2556" s="108">
        <v>201701</v>
      </c>
      <c r="B2556" s="109" t="s">
        <v>189</v>
      </c>
      <c r="C2556" s="108">
        <v>0</v>
      </c>
      <c r="D2556" s="110"/>
      <c r="E2556" t="str">
        <f>VLOOKUP(B2556,CAC!$A$2:$B$198,2,FALSE)</f>
        <v>PPOIFP</v>
      </c>
    </row>
    <row r="2557" spans="1:5" x14ac:dyDescent="0.25">
      <c r="A2557" s="108">
        <v>201701</v>
      </c>
      <c r="B2557" s="109" t="s">
        <v>331</v>
      </c>
      <c r="C2557" s="108">
        <v>0</v>
      </c>
      <c r="D2557" s="110"/>
      <c r="E2557" t="e">
        <f>VLOOKUP(B2557,CAC!$A$2:$B$198,2,FALSE)</f>
        <v>#N/A</v>
      </c>
    </row>
    <row r="2558" spans="1:5" x14ac:dyDescent="0.25">
      <c r="A2558" s="108">
        <v>201701</v>
      </c>
      <c r="B2558" s="109" t="s">
        <v>216</v>
      </c>
      <c r="C2558" s="108">
        <v>0</v>
      </c>
      <c r="D2558" s="110"/>
      <c r="E2558" t="str">
        <f>VLOOKUP(B2558,CAC!$A$2:$B$198,2,FALSE)</f>
        <v>PPOMM</v>
      </c>
    </row>
    <row r="2559" spans="1:5" x14ac:dyDescent="0.25">
      <c r="A2559" s="108">
        <v>201701</v>
      </c>
      <c r="B2559" s="109" t="s">
        <v>301</v>
      </c>
      <c r="C2559" s="108">
        <v>0</v>
      </c>
      <c r="D2559" s="110"/>
      <c r="E2559" t="str">
        <f>VLOOKUP(B2559,CAC!$A$2:$B$198,2,FALSE)</f>
        <v>XXX</v>
      </c>
    </row>
    <row r="2560" spans="1:5" x14ac:dyDescent="0.25">
      <c r="A2560" s="108">
        <v>201702</v>
      </c>
      <c r="B2560" s="109" t="s">
        <v>51</v>
      </c>
      <c r="C2560" s="108">
        <v>19</v>
      </c>
      <c r="D2560" s="110"/>
      <c r="E2560" t="str">
        <f>VLOOKUP(B2560,CAC!$A$2:$B$198,2,FALSE)</f>
        <v>XXX</v>
      </c>
    </row>
    <row r="2561" spans="1:5" x14ac:dyDescent="0.25">
      <c r="A2561" s="108">
        <v>201702</v>
      </c>
      <c r="B2561" s="109" t="s">
        <v>303</v>
      </c>
      <c r="C2561" s="108">
        <v>0</v>
      </c>
      <c r="D2561" s="110"/>
      <c r="E2561" t="e">
        <f>VLOOKUP(B2561,CAC!$A$2:$B$198,2,FALSE)</f>
        <v>#N/A</v>
      </c>
    </row>
    <row r="2562" spans="1:5" x14ac:dyDescent="0.25">
      <c r="A2562" s="108">
        <v>201702</v>
      </c>
      <c r="B2562" s="109" t="s">
        <v>304</v>
      </c>
      <c r="C2562" s="108">
        <v>0</v>
      </c>
      <c r="D2562" s="110"/>
      <c r="E2562" t="e">
        <f>VLOOKUP(B2562,CAC!$A$2:$B$198,2,FALSE)</f>
        <v>#N/A</v>
      </c>
    </row>
    <row r="2563" spans="1:5" x14ac:dyDescent="0.25">
      <c r="A2563" s="108">
        <v>201702</v>
      </c>
      <c r="B2563" s="109" t="s">
        <v>323</v>
      </c>
      <c r="C2563" s="108">
        <v>0</v>
      </c>
      <c r="D2563" s="110"/>
      <c r="E2563" t="e">
        <f>VLOOKUP(B2563,CAC!$A$2:$B$198,2,FALSE)</f>
        <v>#N/A</v>
      </c>
    </row>
    <row r="2564" spans="1:5" x14ac:dyDescent="0.25">
      <c r="A2564" s="108">
        <v>201702</v>
      </c>
      <c r="B2564" s="109" t="s">
        <v>305</v>
      </c>
      <c r="C2564" s="108">
        <v>0</v>
      </c>
      <c r="D2564" s="110"/>
      <c r="E2564" t="e">
        <f>VLOOKUP(B2564,CAC!$A$2:$B$198,2,FALSE)</f>
        <v>#N/A</v>
      </c>
    </row>
    <row r="2565" spans="1:5" x14ac:dyDescent="0.25">
      <c r="A2565" s="108">
        <v>201702</v>
      </c>
      <c r="B2565" s="109" t="s">
        <v>327</v>
      </c>
      <c r="C2565" s="108">
        <v>0</v>
      </c>
      <c r="D2565" s="110"/>
      <c r="E2565" t="e">
        <f>VLOOKUP(B2565,CAC!$A$2:$B$198,2,FALSE)</f>
        <v>#N/A</v>
      </c>
    </row>
    <row r="2566" spans="1:5" x14ac:dyDescent="0.25">
      <c r="A2566" s="108">
        <v>201702</v>
      </c>
      <c r="B2566" s="109" t="s">
        <v>326</v>
      </c>
      <c r="C2566" s="108">
        <v>0</v>
      </c>
      <c r="D2566" s="110"/>
      <c r="E2566" t="e">
        <f>VLOOKUP(B2566,CAC!$A$2:$B$198,2,FALSE)</f>
        <v>#N/A</v>
      </c>
    </row>
    <row r="2567" spans="1:5" x14ac:dyDescent="0.25">
      <c r="A2567" s="108">
        <v>201702</v>
      </c>
      <c r="B2567" s="109" t="s">
        <v>231</v>
      </c>
      <c r="C2567" s="108">
        <v>0</v>
      </c>
      <c r="D2567" s="110"/>
      <c r="E2567" t="str">
        <f>VLOOKUP(B2567,CAC!$A$2:$B$198,2,FALSE)</f>
        <v>DOILG</v>
      </c>
    </row>
    <row r="2568" spans="1:5" x14ac:dyDescent="0.25">
      <c r="A2568" s="108">
        <v>201702</v>
      </c>
      <c r="B2568" s="109" t="s">
        <v>237</v>
      </c>
      <c r="C2568" s="108">
        <v>0</v>
      </c>
      <c r="D2568" s="110"/>
      <c r="E2568" t="str">
        <f>VLOOKUP(B2568,CAC!$A$2:$B$198,2,FALSE)</f>
        <v>DOILG</v>
      </c>
    </row>
    <row r="2569" spans="1:5" x14ac:dyDescent="0.25">
      <c r="A2569" s="108">
        <v>201702</v>
      </c>
      <c r="B2569" s="109" t="s">
        <v>247</v>
      </c>
      <c r="C2569" s="108">
        <v>0</v>
      </c>
      <c r="D2569" s="110"/>
      <c r="E2569" t="str">
        <f>VLOOKUP(B2569,CAC!$A$2:$B$198,2,FALSE)</f>
        <v>DOIIFP</v>
      </c>
    </row>
    <row r="2570" spans="1:5" x14ac:dyDescent="0.25">
      <c r="A2570" s="108">
        <v>201702</v>
      </c>
      <c r="B2570" s="109" t="s">
        <v>238</v>
      </c>
      <c r="C2570" s="108">
        <v>0</v>
      </c>
      <c r="D2570" s="110"/>
      <c r="E2570" t="str">
        <f>VLOOKUP(B2570,CAC!$A$2:$B$198,2,FALSE)</f>
        <v>DOILG</v>
      </c>
    </row>
    <row r="2571" spans="1:5" x14ac:dyDescent="0.25">
      <c r="A2571" s="108">
        <v>201702</v>
      </c>
      <c r="B2571" s="109" t="s">
        <v>273</v>
      </c>
      <c r="C2571" s="108">
        <v>0</v>
      </c>
      <c r="D2571" s="110"/>
      <c r="E2571" t="str">
        <f>VLOOKUP(B2571,CAC!$A$2:$B$198,2,FALSE)</f>
        <v>AGDMHC</v>
      </c>
    </row>
    <row r="2572" spans="1:5" x14ac:dyDescent="0.25">
      <c r="A2572" s="108">
        <v>201702</v>
      </c>
      <c r="B2572" s="109" t="s">
        <v>328</v>
      </c>
      <c r="C2572" s="108">
        <v>0</v>
      </c>
      <c r="D2572" s="110"/>
      <c r="E2572" t="e">
        <f>VLOOKUP(B2572,CAC!$A$2:$B$198,2,FALSE)</f>
        <v>#N/A</v>
      </c>
    </row>
    <row r="2573" spans="1:5" x14ac:dyDescent="0.25">
      <c r="A2573" s="108">
        <v>201702</v>
      </c>
      <c r="B2573" s="109" t="s">
        <v>253</v>
      </c>
      <c r="C2573" s="108">
        <v>0</v>
      </c>
      <c r="D2573" s="110"/>
      <c r="E2573" t="str">
        <f>VLOOKUP(B2573,CAC!$A$2:$B$198,2,FALSE)</f>
        <v>AGDMHC</v>
      </c>
    </row>
    <row r="2574" spans="1:5" x14ac:dyDescent="0.25">
      <c r="A2574" s="108">
        <v>201702</v>
      </c>
      <c r="B2574" s="109" t="s">
        <v>325</v>
      </c>
      <c r="C2574" s="108">
        <v>0</v>
      </c>
      <c r="D2574" s="110"/>
      <c r="E2574" t="e">
        <f>VLOOKUP(B2574,CAC!$A$2:$B$198,2,FALSE)</f>
        <v>#N/A</v>
      </c>
    </row>
    <row r="2575" spans="1:5" x14ac:dyDescent="0.25">
      <c r="A2575" s="108">
        <v>201702</v>
      </c>
      <c r="B2575" s="109" t="s">
        <v>255</v>
      </c>
      <c r="C2575" s="108">
        <v>0</v>
      </c>
      <c r="D2575" s="110"/>
      <c r="E2575" t="str">
        <f>VLOOKUP(B2575,CAC!$A$2:$B$198,2,FALSE)</f>
        <v>AGDMHC</v>
      </c>
    </row>
    <row r="2576" spans="1:5" x14ac:dyDescent="0.25">
      <c r="A2576" s="108">
        <v>201702</v>
      </c>
      <c r="B2576" s="109" t="s">
        <v>256</v>
      </c>
      <c r="C2576" s="108">
        <v>0</v>
      </c>
      <c r="D2576" s="110"/>
      <c r="E2576" t="str">
        <f>VLOOKUP(B2576,CAC!$A$2:$B$198,2,FALSE)</f>
        <v>AGDMHC</v>
      </c>
    </row>
    <row r="2577" spans="1:5" x14ac:dyDescent="0.25">
      <c r="A2577" s="108">
        <v>201702</v>
      </c>
      <c r="B2577" s="109" t="s">
        <v>257</v>
      </c>
      <c r="C2577" s="108">
        <v>0</v>
      </c>
      <c r="D2577" s="110"/>
      <c r="E2577" t="str">
        <f>VLOOKUP(B2577,CAC!$A$2:$B$198,2,FALSE)</f>
        <v>AGDMHC</v>
      </c>
    </row>
    <row r="2578" spans="1:5" x14ac:dyDescent="0.25">
      <c r="A2578" s="108">
        <v>201702</v>
      </c>
      <c r="B2578" s="109" t="s">
        <v>258</v>
      </c>
      <c r="C2578" s="108">
        <v>0</v>
      </c>
      <c r="D2578" s="110"/>
      <c r="E2578" t="str">
        <f>VLOOKUP(B2578,CAC!$A$2:$B$198,2,FALSE)</f>
        <v>AGDMHC</v>
      </c>
    </row>
    <row r="2579" spans="1:5" x14ac:dyDescent="0.25">
      <c r="A2579" s="108">
        <v>201702</v>
      </c>
      <c r="B2579" s="109" t="s">
        <v>329</v>
      </c>
      <c r="C2579" s="108">
        <v>0</v>
      </c>
      <c r="D2579" s="110"/>
      <c r="E2579" t="e">
        <f>VLOOKUP(B2579,CAC!$A$2:$B$198,2,FALSE)</f>
        <v>#N/A</v>
      </c>
    </row>
    <row r="2580" spans="1:5" x14ac:dyDescent="0.25">
      <c r="A2580" s="108">
        <v>201702</v>
      </c>
      <c r="B2580" s="109" t="s">
        <v>262</v>
      </c>
      <c r="C2580" s="108">
        <v>0</v>
      </c>
      <c r="D2580" s="110"/>
      <c r="E2580" t="str">
        <f>VLOOKUP(B2580,CAC!$A$2:$B$198,2,FALSE)</f>
        <v>AGDMHC</v>
      </c>
    </row>
    <row r="2581" spans="1:5" x14ac:dyDescent="0.25">
      <c r="A2581" s="108">
        <v>201702</v>
      </c>
      <c r="B2581" s="109" t="s">
        <v>264</v>
      </c>
      <c r="C2581" s="108">
        <v>0</v>
      </c>
      <c r="D2581" s="110"/>
      <c r="E2581" t="str">
        <f>VLOOKUP(B2581,CAC!$A$2:$B$198,2,FALSE)</f>
        <v>AGDMHC</v>
      </c>
    </row>
    <row r="2582" spans="1:5" x14ac:dyDescent="0.25">
      <c r="A2582" s="108">
        <v>201702</v>
      </c>
      <c r="B2582" s="109" t="s">
        <v>269</v>
      </c>
      <c r="C2582" s="108">
        <v>0</v>
      </c>
      <c r="D2582" s="110"/>
      <c r="E2582" t="str">
        <f>VLOOKUP(B2582,CAC!$A$2:$B$198,2,FALSE)</f>
        <v>AGDMHC</v>
      </c>
    </row>
    <row r="2583" spans="1:5" x14ac:dyDescent="0.25">
      <c r="A2583" s="108">
        <v>201702</v>
      </c>
      <c r="B2583" s="109" t="s">
        <v>319</v>
      </c>
      <c r="C2583" s="108">
        <v>0</v>
      </c>
      <c r="D2583" s="110"/>
      <c r="E2583" t="e">
        <f>VLOOKUP(B2583,CAC!$A$2:$B$198,2,FALSE)</f>
        <v>#N/A</v>
      </c>
    </row>
    <row r="2584" spans="1:5" x14ac:dyDescent="0.25">
      <c r="A2584" s="108">
        <v>201702</v>
      </c>
      <c r="B2584" s="109" t="s">
        <v>267</v>
      </c>
      <c r="C2584" s="108">
        <v>0</v>
      </c>
      <c r="D2584" s="110"/>
      <c r="E2584" t="str">
        <f>VLOOKUP(B2584,CAC!$A$2:$B$198,2,FALSE)</f>
        <v>AGDMHC</v>
      </c>
    </row>
    <row r="2585" spans="1:5" x14ac:dyDescent="0.25">
      <c r="A2585" s="108">
        <v>201702</v>
      </c>
      <c r="B2585" s="109" t="s">
        <v>268</v>
      </c>
      <c r="C2585" s="108">
        <v>0</v>
      </c>
      <c r="D2585" s="110"/>
      <c r="E2585" t="str">
        <f>VLOOKUP(B2585,CAC!$A$2:$B$198,2,FALSE)</f>
        <v>AGDMHC</v>
      </c>
    </row>
    <row r="2586" spans="1:5" x14ac:dyDescent="0.25">
      <c r="A2586" s="108">
        <v>201702</v>
      </c>
      <c r="B2586" s="109" t="s">
        <v>52</v>
      </c>
      <c r="C2586" s="108">
        <v>16209</v>
      </c>
      <c r="D2586" s="110"/>
      <c r="E2586" t="str">
        <f>VLOOKUP(B2586,CAC!$A$2:$B$198,2,FALSE)</f>
        <v>HMOPMR</v>
      </c>
    </row>
    <row r="2587" spans="1:5" x14ac:dyDescent="0.25">
      <c r="A2587" s="108">
        <v>201702</v>
      </c>
      <c r="B2587" s="109" t="s">
        <v>53</v>
      </c>
      <c r="C2587" s="108">
        <v>4807</v>
      </c>
      <c r="D2587" s="110"/>
      <c r="E2587" t="str">
        <f>VLOOKUP(B2587,CAC!$A$2:$B$198,2,FALSE)</f>
        <v>HMOPMR</v>
      </c>
    </row>
    <row r="2588" spans="1:5" x14ac:dyDescent="0.25">
      <c r="A2588" s="108">
        <v>201702</v>
      </c>
      <c r="B2588" s="109" t="s">
        <v>54</v>
      </c>
      <c r="C2588" s="108">
        <v>5692</v>
      </c>
      <c r="D2588" s="110"/>
      <c r="E2588" t="str">
        <f>VLOOKUP(B2588,CAC!$A$2:$B$198,2,FALSE)</f>
        <v>HMOFEP</v>
      </c>
    </row>
    <row r="2589" spans="1:5" x14ac:dyDescent="0.25">
      <c r="A2589" s="108">
        <v>201702</v>
      </c>
      <c r="B2589" s="109" t="s">
        <v>279</v>
      </c>
      <c r="C2589" s="108">
        <v>0</v>
      </c>
      <c r="D2589" s="110"/>
      <c r="E2589" t="str">
        <f>VLOOKUP(B2589,CAC!$A$2:$B$198,2,FALSE)</f>
        <v>PPOFEP</v>
      </c>
    </row>
    <row r="2590" spans="1:5" x14ac:dyDescent="0.25">
      <c r="A2590" s="108">
        <v>201702</v>
      </c>
      <c r="B2590" s="109" t="s">
        <v>202</v>
      </c>
      <c r="C2590" s="108">
        <v>0</v>
      </c>
      <c r="D2590" s="110"/>
      <c r="E2590" t="str">
        <f>VLOOKUP(B2590,CAC!$A$2:$B$198,2,FALSE)</f>
        <v>PPOPMR</v>
      </c>
    </row>
    <row r="2591" spans="1:5" x14ac:dyDescent="0.25">
      <c r="A2591" s="108">
        <v>201702</v>
      </c>
      <c r="B2591" s="109" t="s">
        <v>55</v>
      </c>
      <c r="C2591" s="108">
        <v>16231</v>
      </c>
      <c r="D2591" s="110"/>
      <c r="E2591" t="str">
        <f>VLOOKUP(B2591,CAC!$A$2:$B$198,2,FALSE)</f>
        <v>HMOPMR</v>
      </c>
    </row>
    <row r="2592" spans="1:5" x14ac:dyDescent="0.25">
      <c r="A2592" s="108">
        <v>201702</v>
      </c>
      <c r="B2592" s="109" t="s">
        <v>56</v>
      </c>
      <c r="C2592" s="108">
        <v>44</v>
      </c>
      <c r="D2592" s="110"/>
      <c r="E2592" t="str">
        <f>VLOOKUP(B2592,CAC!$A$2:$B$198,2,FALSE)</f>
        <v>HMOPMR</v>
      </c>
    </row>
    <row r="2593" spans="1:5" x14ac:dyDescent="0.25">
      <c r="A2593" s="108">
        <v>201702</v>
      </c>
      <c r="B2593" s="109" t="s">
        <v>83</v>
      </c>
      <c r="C2593" s="108">
        <v>1237</v>
      </c>
      <c r="D2593" s="110"/>
      <c r="E2593" t="str">
        <f>VLOOKUP(B2593,CAC!$A$2:$B$198,2,FALSE)</f>
        <v>HMOPMR</v>
      </c>
    </row>
    <row r="2594" spans="1:5" x14ac:dyDescent="0.25">
      <c r="A2594" s="108">
        <v>201702</v>
      </c>
      <c r="B2594" s="109" t="s">
        <v>57</v>
      </c>
      <c r="C2594" s="108">
        <v>4039</v>
      </c>
      <c r="D2594" s="110"/>
      <c r="E2594" t="str">
        <f>VLOOKUP(B2594,CAC!$A$2:$B$198,2,FALSE)</f>
        <v>HMFLEX</v>
      </c>
    </row>
    <row r="2595" spans="1:5" x14ac:dyDescent="0.25">
      <c r="A2595" s="108">
        <v>201702</v>
      </c>
      <c r="B2595" s="109" t="s">
        <v>58</v>
      </c>
      <c r="C2595" s="108">
        <v>343</v>
      </c>
      <c r="D2595" s="110"/>
      <c r="E2595" t="str">
        <f>VLOOKUP(B2595,CAC!$A$2:$B$198,2,FALSE)</f>
        <v>HMFLEX</v>
      </c>
    </row>
    <row r="2596" spans="1:5" x14ac:dyDescent="0.25">
      <c r="A2596" s="108">
        <v>201702</v>
      </c>
      <c r="B2596" s="109" t="s">
        <v>306</v>
      </c>
      <c r="C2596" s="108">
        <v>0</v>
      </c>
      <c r="D2596" s="110"/>
      <c r="E2596" t="e">
        <f>VLOOKUP(B2596,CAC!$A$2:$B$198,2,FALSE)</f>
        <v>#N/A</v>
      </c>
    </row>
    <row r="2597" spans="1:5" x14ac:dyDescent="0.25">
      <c r="A2597" s="108">
        <v>201702</v>
      </c>
      <c r="B2597" s="109" t="s">
        <v>283</v>
      </c>
      <c r="C2597" s="108">
        <v>0</v>
      </c>
      <c r="D2597" s="110"/>
      <c r="E2597" t="str">
        <f>VLOOKUP(B2597,CAC!$A$2:$B$198,2,FALSE)</f>
        <v>HMFLEX</v>
      </c>
    </row>
    <row r="2598" spans="1:5" x14ac:dyDescent="0.25">
      <c r="A2598" s="108">
        <v>201702</v>
      </c>
      <c r="B2598" s="109" t="s">
        <v>205</v>
      </c>
      <c r="C2598" s="108">
        <v>0</v>
      </c>
      <c r="D2598" s="110"/>
      <c r="E2598" t="str">
        <f>VLOOKUP(B2598,CAC!$A$2:$B$198,2,FALSE)</f>
        <v>PPOPMR</v>
      </c>
    </row>
    <row r="2599" spans="1:5" x14ac:dyDescent="0.25">
      <c r="A2599" s="108">
        <v>201702</v>
      </c>
      <c r="B2599" s="109" t="s">
        <v>60</v>
      </c>
      <c r="C2599" s="108">
        <v>8649</v>
      </c>
      <c r="D2599" s="110"/>
      <c r="E2599" t="str">
        <f>VLOOKUP(B2599,CAC!$A$2:$B$198,2,FALSE)</f>
        <v>HMOLG</v>
      </c>
    </row>
    <row r="2600" spans="1:5" x14ac:dyDescent="0.25">
      <c r="A2600" s="108">
        <v>201702</v>
      </c>
      <c r="B2600" s="109" t="s">
        <v>61</v>
      </c>
      <c r="C2600" s="108">
        <v>516</v>
      </c>
      <c r="D2600" s="110"/>
      <c r="E2600" t="str">
        <f>VLOOKUP(B2600,CAC!$A$2:$B$198,2,FALSE)</f>
        <v>HMOLG</v>
      </c>
    </row>
    <row r="2601" spans="1:5" x14ac:dyDescent="0.25">
      <c r="A2601" s="108">
        <v>201702</v>
      </c>
      <c r="B2601" s="109" t="s">
        <v>62</v>
      </c>
      <c r="C2601" s="108">
        <v>15931</v>
      </c>
      <c r="D2601" s="110"/>
      <c r="E2601" t="str">
        <f>VLOOKUP(B2601,CAC!$A$2:$B$198,2,FALSE)</f>
        <v>HMOLG</v>
      </c>
    </row>
    <row r="2602" spans="1:5" x14ac:dyDescent="0.25">
      <c r="A2602" s="108">
        <v>201702</v>
      </c>
      <c r="B2602" s="109" t="s">
        <v>86</v>
      </c>
      <c r="C2602" s="108">
        <v>2258</v>
      </c>
      <c r="D2602" s="110"/>
      <c r="E2602" t="str">
        <f>VLOOKUP(B2602,CAC!$A$2:$B$198,2,FALSE)</f>
        <v>HMOLG</v>
      </c>
    </row>
    <row r="2603" spans="1:5" x14ac:dyDescent="0.25">
      <c r="A2603" s="108">
        <v>201702</v>
      </c>
      <c r="B2603" s="109" t="s">
        <v>63</v>
      </c>
      <c r="C2603" s="108">
        <v>49</v>
      </c>
      <c r="D2603" s="110"/>
      <c r="E2603" t="str">
        <f>VLOOKUP(B2603,CAC!$A$2:$B$198,2,FALSE)</f>
        <v>HMOLG</v>
      </c>
    </row>
    <row r="2604" spans="1:5" x14ac:dyDescent="0.25">
      <c r="A2604" s="108">
        <v>201702</v>
      </c>
      <c r="B2604" s="109" t="s">
        <v>64</v>
      </c>
      <c r="C2604" s="108">
        <v>0</v>
      </c>
      <c r="D2604" s="110"/>
      <c r="E2604" t="str">
        <f>VLOOKUP(B2604,CAC!$A$2:$B$198,2,FALSE)</f>
        <v>HMOLG</v>
      </c>
    </row>
    <row r="2605" spans="1:5" x14ac:dyDescent="0.25">
      <c r="A2605" s="108">
        <v>201702</v>
      </c>
      <c r="B2605" s="109" t="s">
        <v>65</v>
      </c>
      <c r="C2605" s="108">
        <v>220</v>
      </c>
      <c r="D2605" s="110"/>
      <c r="E2605" t="str">
        <f>VLOOKUP(B2605,CAC!$A$2:$B$198,2,FALSE)</f>
        <v>HMFLEX</v>
      </c>
    </row>
    <row r="2606" spans="1:5" x14ac:dyDescent="0.25">
      <c r="A2606" s="108">
        <v>201702</v>
      </c>
      <c r="B2606" s="109" t="s">
        <v>307</v>
      </c>
      <c r="C2606" s="108">
        <v>0</v>
      </c>
      <c r="D2606" s="110"/>
      <c r="E2606" t="e">
        <f>VLOOKUP(B2606,CAC!$A$2:$B$198,2,FALSE)</f>
        <v>#N/A</v>
      </c>
    </row>
    <row r="2607" spans="1:5" x14ac:dyDescent="0.25">
      <c r="A2607" s="108">
        <v>201702</v>
      </c>
      <c r="B2607" s="109" t="s">
        <v>308</v>
      </c>
      <c r="C2607" s="108">
        <v>0</v>
      </c>
      <c r="D2607" s="110"/>
      <c r="E2607" t="e">
        <f>VLOOKUP(B2607,CAC!$A$2:$B$198,2,FALSE)</f>
        <v>#N/A</v>
      </c>
    </row>
    <row r="2608" spans="1:5" x14ac:dyDescent="0.25">
      <c r="A2608" s="108">
        <v>201702</v>
      </c>
      <c r="B2608" s="109" t="s">
        <v>309</v>
      </c>
      <c r="C2608" s="108">
        <v>0</v>
      </c>
      <c r="D2608" s="110"/>
      <c r="E2608" t="e">
        <f>VLOOKUP(B2608,CAC!$A$2:$B$198,2,FALSE)</f>
        <v>#N/A</v>
      </c>
    </row>
    <row r="2609" spans="1:5" x14ac:dyDescent="0.25">
      <c r="A2609" s="108">
        <v>201702</v>
      </c>
      <c r="B2609" s="109" t="s">
        <v>99</v>
      </c>
      <c r="C2609" s="108">
        <v>0</v>
      </c>
      <c r="D2609" s="110"/>
      <c r="E2609" t="str">
        <f>VLOOKUP(B2609,CAC!$A$2:$B$198,2,FALSE)</f>
        <v>PPOLG</v>
      </c>
    </row>
    <row r="2610" spans="1:5" x14ac:dyDescent="0.25">
      <c r="A2610" s="108">
        <v>201702</v>
      </c>
      <c r="B2610" s="109" t="s">
        <v>193</v>
      </c>
      <c r="C2610" s="108">
        <v>0</v>
      </c>
      <c r="D2610" s="110"/>
      <c r="E2610" t="str">
        <f>VLOOKUP(B2610,CAC!$A$2:$B$198,2,FALSE)</f>
        <v>PPOLG</v>
      </c>
    </row>
    <row r="2611" spans="1:5" x14ac:dyDescent="0.25">
      <c r="A2611" s="108">
        <v>201702</v>
      </c>
      <c r="B2611" s="109" t="s">
        <v>196</v>
      </c>
      <c r="C2611" s="108">
        <v>0</v>
      </c>
      <c r="D2611" s="110"/>
      <c r="E2611" t="str">
        <f>VLOOKUP(B2611,CAC!$A$2:$B$198,2,FALSE)</f>
        <v>PPOLG</v>
      </c>
    </row>
    <row r="2612" spans="1:5" x14ac:dyDescent="0.25">
      <c r="A2612" s="108">
        <v>201702</v>
      </c>
      <c r="B2612" s="109" t="s">
        <v>212</v>
      </c>
      <c r="C2612" s="108">
        <v>0</v>
      </c>
      <c r="D2612" s="110"/>
      <c r="E2612" t="str">
        <f>VLOOKUP(B2612,CAC!$A$2:$B$198,2,FALSE)</f>
        <v>PPOMM</v>
      </c>
    </row>
    <row r="2613" spans="1:5" x14ac:dyDescent="0.25">
      <c r="A2613" s="108">
        <v>201702</v>
      </c>
      <c r="B2613" s="109" t="s">
        <v>213</v>
      </c>
      <c r="C2613" s="108">
        <v>0</v>
      </c>
      <c r="D2613" s="110"/>
      <c r="E2613" t="str">
        <f>VLOOKUP(B2613,CAC!$A$2:$B$198,2,FALSE)</f>
        <v>PPOMM</v>
      </c>
    </row>
    <row r="2614" spans="1:5" x14ac:dyDescent="0.25">
      <c r="A2614" s="108">
        <v>201702</v>
      </c>
      <c r="B2614" s="109" t="s">
        <v>311</v>
      </c>
      <c r="C2614" s="108">
        <v>0</v>
      </c>
      <c r="D2614" s="110"/>
      <c r="E2614" t="e">
        <f>VLOOKUP(B2614,CAC!$A$2:$B$198,2,FALSE)</f>
        <v>#N/A</v>
      </c>
    </row>
    <row r="2615" spans="1:5" x14ac:dyDescent="0.25">
      <c r="A2615" s="108">
        <v>201702</v>
      </c>
      <c r="B2615" s="109" t="s">
        <v>321</v>
      </c>
      <c r="C2615" s="108">
        <v>0</v>
      </c>
      <c r="D2615" s="110"/>
      <c r="E2615" t="e">
        <f>VLOOKUP(B2615,CAC!$A$2:$B$198,2,FALSE)</f>
        <v>#N/A</v>
      </c>
    </row>
    <row r="2616" spans="1:5" x14ac:dyDescent="0.25">
      <c r="A2616" s="108">
        <v>201702</v>
      </c>
      <c r="B2616" s="109" t="s">
        <v>312</v>
      </c>
      <c r="C2616" s="108">
        <v>0</v>
      </c>
      <c r="D2616" s="110"/>
      <c r="E2616" t="e">
        <f>VLOOKUP(B2616,CAC!$A$2:$B$198,2,FALSE)</f>
        <v>#N/A</v>
      </c>
    </row>
    <row r="2617" spans="1:5" x14ac:dyDescent="0.25">
      <c r="A2617" s="108">
        <v>201702</v>
      </c>
      <c r="B2617" s="109" t="s">
        <v>215</v>
      </c>
      <c r="C2617" s="108">
        <v>0</v>
      </c>
      <c r="D2617" s="110"/>
      <c r="E2617" t="str">
        <f>VLOOKUP(B2617,CAC!$A$2:$B$198,2,FALSE)</f>
        <v>PPOMM</v>
      </c>
    </row>
    <row r="2618" spans="1:5" x14ac:dyDescent="0.25">
      <c r="A2618" s="108">
        <v>201702</v>
      </c>
      <c r="B2618" s="109" t="s">
        <v>66</v>
      </c>
      <c r="C2618" s="108">
        <v>4925</v>
      </c>
      <c r="D2618" s="110"/>
      <c r="E2618" t="str">
        <f>VLOOKUP(B2618,CAC!$A$2:$B$198,2,FALSE)</f>
        <v>HMOLG</v>
      </c>
    </row>
    <row r="2619" spans="1:5" x14ac:dyDescent="0.25">
      <c r="A2619" s="108">
        <v>201702</v>
      </c>
      <c r="B2619" s="109" t="s">
        <v>82</v>
      </c>
      <c r="C2619" s="108">
        <v>1</v>
      </c>
      <c r="D2619" s="110"/>
      <c r="E2619" t="str">
        <f>VLOOKUP(B2619,CAC!$A$2:$B$198,2,FALSE)</f>
        <v>NATPAR</v>
      </c>
    </row>
    <row r="2620" spans="1:5" x14ac:dyDescent="0.25">
      <c r="A2620" s="108">
        <v>201702</v>
      </c>
      <c r="B2620" s="109" t="s">
        <v>67</v>
      </c>
      <c r="C2620" s="108">
        <v>154</v>
      </c>
      <c r="D2620" s="110"/>
      <c r="E2620" t="str">
        <f>VLOOKUP(B2620,CAC!$A$2:$B$198,2,FALSE)</f>
        <v>HMOLG</v>
      </c>
    </row>
    <row r="2621" spans="1:5" x14ac:dyDescent="0.25">
      <c r="A2621" s="108">
        <v>201702</v>
      </c>
      <c r="B2621" s="109" t="s">
        <v>68</v>
      </c>
      <c r="C2621" s="108">
        <v>276</v>
      </c>
      <c r="D2621" s="110"/>
      <c r="E2621" t="str">
        <f>VLOOKUP(B2621,CAC!$A$2:$B$198,2,FALSE)</f>
        <v>HMOPMR</v>
      </c>
    </row>
    <row r="2622" spans="1:5" x14ac:dyDescent="0.25">
      <c r="A2622" s="108">
        <v>201702</v>
      </c>
      <c r="B2622" s="109" t="s">
        <v>69</v>
      </c>
      <c r="C2622" s="108">
        <v>9739</v>
      </c>
      <c r="D2622" s="110"/>
      <c r="E2622" t="str">
        <f>VLOOKUP(B2622,CAC!$A$2:$B$198,2,FALSE)</f>
        <v>HMOPMR</v>
      </c>
    </row>
    <row r="2623" spans="1:5" x14ac:dyDescent="0.25">
      <c r="A2623" s="108">
        <v>201702</v>
      </c>
      <c r="B2623" s="109" t="s">
        <v>70</v>
      </c>
      <c r="C2623" s="108">
        <v>941</v>
      </c>
      <c r="D2623" s="110"/>
      <c r="E2623" t="str">
        <f>VLOOKUP(B2623,CAC!$A$2:$B$198,2,FALSE)</f>
        <v>HMOPMR</v>
      </c>
    </row>
    <row r="2624" spans="1:5" x14ac:dyDescent="0.25">
      <c r="A2624" s="108">
        <v>201702</v>
      </c>
      <c r="B2624" s="109" t="s">
        <v>71</v>
      </c>
      <c r="C2624" s="108">
        <v>5623</v>
      </c>
      <c r="D2624" s="110"/>
      <c r="E2624" t="str">
        <f>VLOOKUP(B2624,CAC!$A$2:$B$198,2,FALSE)</f>
        <v>HMOPMR</v>
      </c>
    </row>
    <row r="2625" spans="1:5" x14ac:dyDescent="0.25">
      <c r="A2625" s="108">
        <v>201702</v>
      </c>
      <c r="B2625" s="109" t="s">
        <v>72</v>
      </c>
      <c r="C2625" s="108">
        <v>5116</v>
      </c>
      <c r="D2625" s="110"/>
      <c r="E2625" t="str">
        <f>VLOOKUP(B2625,CAC!$A$2:$B$198,2,FALSE)</f>
        <v>HMFLEX</v>
      </c>
    </row>
    <row r="2626" spans="1:5" x14ac:dyDescent="0.25">
      <c r="A2626" s="108">
        <v>201702</v>
      </c>
      <c r="B2626" s="109" t="s">
        <v>314</v>
      </c>
      <c r="C2626" s="108">
        <v>0</v>
      </c>
      <c r="D2626" s="110"/>
      <c r="E2626" t="e">
        <f>VLOOKUP(B2626,CAC!$A$2:$B$198,2,FALSE)</f>
        <v>#N/A</v>
      </c>
    </row>
    <row r="2627" spans="1:5" x14ac:dyDescent="0.25">
      <c r="A2627" s="108">
        <v>201702</v>
      </c>
      <c r="B2627" s="109" t="s">
        <v>315</v>
      </c>
      <c r="C2627" s="108">
        <v>0</v>
      </c>
      <c r="D2627" s="110"/>
      <c r="E2627" t="e">
        <f>VLOOKUP(B2627,CAC!$A$2:$B$198,2,FALSE)</f>
        <v>#N/A</v>
      </c>
    </row>
    <row r="2628" spans="1:5" x14ac:dyDescent="0.25">
      <c r="A2628" s="108">
        <v>201702</v>
      </c>
      <c r="B2628" s="109" t="s">
        <v>112</v>
      </c>
      <c r="C2628" s="108">
        <v>0</v>
      </c>
      <c r="D2628" s="110"/>
      <c r="E2628" t="e">
        <f>VLOOKUP(B2628,CAC!$A$2:$B$198,2,FALSE)</f>
        <v>#N/A</v>
      </c>
    </row>
    <row r="2629" spans="1:5" x14ac:dyDescent="0.25">
      <c r="A2629" s="108">
        <v>201702</v>
      </c>
      <c r="B2629" s="109" t="s">
        <v>316</v>
      </c>
      <c r="C2629" s="108">
        <v>0</v>
      </c>
      <c r="D2629" s="110"/>
      <c r="E2629" t="e">
        <f>VLOOKUP(B2629,CAC!$A$2:$B$198,2,FALSE)</f>
        <v>#N/A</v>
      </c>
    </row>
    <row r="2630" spans="1:5" x14ac:dyDescent="0.25">
      <c r="A2630" s="108">
        <v>201702</v>
      </c>
      <c r="B2630" s="109" t="s">
        <v>317</v>
      </c>
      <c r="C2630" s="108">
        <v>0</v>
      </c>
      <c r="D2630" s="110"/>
      <c r="E2630" t="e">
        <f>VLOOKUP(B2630,CAC!$A$2:$B$198,2,FALSE)</f>
        <v>#N/A</v>
      </c>
    </row>
    <row r="2631" spans="1:5" x14ac:dyDescent="0.25">
      <c r="A2631" s="108">
        <v>201702</v>
      </c>
      <c r="B2631" s="109" t="s">
        <v>113</v>
      </c>
      <c r="C2631" s="108">
        <v>0</v>
      </c>
      <c r="D2631" s="110"/>
      <c r="E2631" t="str">
        <f>VLOOKUP(B2631,CAC!$A$2:$B$198,2,FALSE)</f>
        <v>PPOLG</v>
      </c>
    </row>
    <row r="2632" spans="1:5" x14ac:dyDescent="0.25">
      <c r="A2632" s="108">
        <v>201702</v>
      </c>
      <c r="B2632" s="109" t="s">
        <v>208</v>
      </c>
      <c r="C2632" s="108">
        <v>0</v>
      </c>
      <c r="D2632" s="110"/>
      <c r="E2632" t="str">
        <f>VLOOKUP(B2632,CAC!$A$2:$B$198,2,FALSE)</f>
        <v>PPOPMR</v>
      </c>
    </row>
    <row r="2633" spans="1:5" x14ac:dyDescent="0.25">
      <c r="A2633" s="108">
        <v>201702</v>
      </c>
      <c r="B2633" s="109" t="s">
        <v>291</v>
      </c>
      <c r="C2633" s="108">
        <v>0</v>
      </c>
      <c r="D2633" s="110"/>
      <c r="E2633" t="str">
        <f>VLOOKUP(B2633,CAC!$A$2:$B$198,2,FALSE)</f>
        <v>HMFLEX</v>
      </c>
    </row>
    <row r="2634" spans="1:5" x14ac:dyDescent="0.25">
      <c r="A2634" s="108">
        <v>201702</v>
      </c>
      <c r="B2634" s="109" t="s">
        <v>204</v>
      </c>
      <c r="C2634" s="108">
        <v>0</v>
      </c>
      <c r="D2634" s="110"/>
      <c r="E2634" t="str">
        <f>VLOOKUP(B2634,CAC!$A$2:$B$198,2,FALSE)</f>
        <v>PPOPMR</v>
      </c>
    </row>
    <row r="2635" spans="1:5" x14ac:dyDescent="0.25">
      <c r="A2635" s="108">
        <v>201702</v>
      </c>
      <c r="B2635" s="109" t="s">
        <v>330</v>
      </c>
      <c r="C2635" s="108">
        <v>0</v>
      </c>
      <c r="D2635" s="110"/>
      <c r="E2635" t="e">
        <f>VLOOKUP(B2635,CAC!$A$2:$B$198,2,FALSE)</f>
        <v>#N/A</v>
      </c>
    </row>
    <row r="2636" spans="1:5" x14ac:dyDescent="0.25">
      <c r="A2636" s="108">
        <v>201702</v>
      </c>
      <c r="B2636" s="109" t="s">
        <v>73</v>
      </c>
      <c r="C2636" s="108">
        <v>36394</v>
      </c>
      <c r="D2636" s="108">
        <v>11978</v>
      </c>
      <c r="E2636" t="str">
        <f>VLOOKUP(B2636,CAC!$A$2:$B$198,2,FALSE)</f>
        <v>HMOPERA</v>
      </c>
    </row>
    <row r="2637" spans="1:5" x14ac:dyDescent="0.25">
      <c r="A2637" s="108">
        <v>201702</v>
      </c>
      <c r="B2637" s="109" t="s">
        <v>218</v>
      </c>
      <c r="C2637" s="108">
        <v>0</v>
      </c>
      <c r="D2637" s="110"/>
      <c r="E2637" t="str">
        <f>VLOOKUP(B2637,CAC!$A$2:$B$198,2,FALSE)</f>
        <v>HMOPERA</v>
      </c>
    </row>
    <row r="2638" spans="1:5" x14ac:dyDescent="0.25">
      <c r="A2638" s="108">
        <v>201702</v>
      </c>
      <c r="B2638" s="109" t="s">
        <v>156</v>
      </c>
      <c r="C2638" s="108">
        <v>27135</v>
      </c>
      <c r="D2638" s="110"/>
      <c r="E2638" t="str">
        <f>VLOOKUP(B2638,CAC!$A$2:$B$198,2,FALSE)</f>
        <v>HMOMM</v>
      </c>
    </row>
    <row r="2639" spans="1:5" x14ac:dyDescent="0.25">
      <c r="A2639" s="108">
        <v>201702</v>
      </c>
      <c r="B2639" s="109" t="s">
        <v>84</v>
      </c>
      <c r="C2639" s="108">
        <v>5841</v>
      </c>
      <c r="D2639" s="110"/>
      <c r="E2639" t="str">
        <f>VLOOKUP(B2639,CAC!$A$2:$B$198,2,FALSE)</f>
        <v>HMOMM</v>
      </c>
    </row>
    <row r="2640" spans="1:5" x14ac:dyDescent="0.25">
      <c r="A2640" s="108">
        <v>201702</v>
      </c>
      <c r="B2640" s="109" t="s">
        <v>162</v>
      </c>
      <c r="C2640" s="108">
        <v>419</v>
      </c>
      <c r="D2640" s="110"/>
      <c r="E2640" t="str">
        <f>VLOOKUP(B2640,CAC!$A$2:$B$198,2,FALSE)</f>
        <v>HMOMG</v>
      </c>
    </row>
    <row r="2641" spans="1:5" x14ac:dyDescent="0.25">
      <c r="A2641" s="108">
        <v>201702</v>
      </c>
      <c r="B2641" s="109" t="s">
        <v>163</v>
      </c>
      <c r="C2641" s="108">
        <v>68</v>
      </c>
      <c r="D2641" s="110"/>
      <c r="E2641" t="str">
        <f>VLOOKUP(B2641,CAC!$A$2:$B$198,2,FALSE)</f>
        <v>HMOMG</v>
      </c>
    </row>
    <row r="2642" spans="1:5" x14ac:dyDescent="0.25">
      <c r="A2642" s="108">
        <v>201702</v>
      </c>
      <c r="B2642" s="109" t="s">
        <v>164</v>
      </c>
      <c r="C2642" s="108">
        <v>0</v>
      </c>
      <c r="D2642" s="110"/>
      <c r="E2642" t="str">
        <f>VLOOKUP(B2642,CAC!$A$2:$B$198,2,FALSE)</f>
        <v>HMOMG</v>
      </c>
    </row>
    <row r="2643" spans="1:5" x14ac:dyDescent="0.25">
      <c r="A2643" s="108">
        <v>201702</v>
      </c>
      <c r="B2643" s="109" t="s">
        <v>85</v>
      </c>
      <c r="C2643" s="108">
        <v>659</v>
      </c>
      <c r="D2643" s="110"/>
      <c r="E2643" t="str">
        <f>VLOOKUP(B2643,CAC!$A$2:$B$198,2,FALSE)</f>
        <v>HMOMG</v>
      </c>
    </row>
    <row r="2644" spans="1:5" x14ac:dyDescent="0.25">
      <c r="A2644" s="108">
        <v>201702</v>
      </c>
      <c r="B2644" s="109" t="s">
        <v>77</v>
      </c>
      <c r="C2644" s="108">
        <v>26410</v>
      </c>
      <c r="D2644" s="110"/>
      <c r="E2644" t="str">
        <f>VLOOKUP(B2644,CAC!$A$2:$B$198,2,FALSE)</f>
        <v>HMOSG</v>
      </c>
    </row>
    <row r="2645" spans="1:5" x14ac:dyDescent="0.25">
      <c r="A2645" s="108">
        <v>201702</v>
      </c>
      <c r="B2645" s="109" t="s">
        <v>78</v>
      </c>
      <c r="C2645" s="108">
        <v>325</v>
      </c>
      <c r="D2645" s="110"/>
      <c r="E2645" t="str">
        <f>VLOOKUP(B2645,CAC!$A$2:$B$198,2,FALSE)</f>
        <v>HMOSG</v>
      </c>
    </row>
    <row r="2646" spans="1:5" x14ac:dyDescent="0.25">
      <c r="A2646" s="108">
        <v>201702</v>
      </c>
      <c r="B2646" s="109" t="s">
        <v>79</v>
      </c>
      <c r="C2646" s="108">
        <v>80</v>
      </c>
      <c r="D2646" s="110"/>
      <c r="E2646" t="str">
        <f>VLOOKUP(B2646,CAC!$A$2:$B$198,2,FALSE)</f>
        <v>HMOSG</v>
      </c>
    </row>
    <row r="2647" spans="1:5" x14ac:dyDescent="0.25">
      <c r="A2647" s="108">
        <v>201702</v>
      </c>
      <c r="B2647" s="109" t="s">
        <v>222</v>
      </c>
      <c r="C2647" s="108">
        <v>0</v>
      </c>
      <c r="D2647" s="110"/>
      <c r="E2647" t="str">
        <f>VLOOKUP(B2647,CAC!$A$2:$B$198,2,FALSE)</f>
        <v>PPOSG</v>
      </c>
    </row>
    <row r="2648" spans="1:5" x14ac:dyDescent="0.25">
      <c r="A2648" s="108">
        <v>201702</v>
      </c>
      <c r="B2648" s="109" t="s">
        <v>225</v>
      </c>
      <c r="C2648" s="108">
        <v>0</v>
      </c>
      <c r="D2648" s="110"/>
      <c r="E2648" t="str">
        <f>VLOOKUP(B2648,CAC!$A$2:$B$198,2,FALSE)</f>
        <v>PPOSG</v>
      </c>
    </row>
    <row r="2649" spans="1:5" x14ac:dyDescent="0.25">
      <c r="A2649" s="108">
        <v>201702</v>
      </c>
      <c r="B2649" s="109" t="s">
        <v>226</v>
      </c>
      <c r="C2649" s="108">
        <v>0</v>
      </c>
      <c r="D2649" s="110"/>
      <c r="E2649" t="str">
        <f>VLOOKUP(B2649,CAC!$A$2:$B$198,2,FALSE)</f>
        <v>PPOSG</v>
      </c>
    </row>
    <row r="2650" spans="1:5" x14ac:dyDescent="0.25">
      <c r="A2650" s="108">
        <v>201702</v>
      </c>
      <c r="B2650" s="109" t="s">
        <v>89</v>
      </c>
      <c r="C2650" s="108">
        <v>971</v>
      </c>
      <c r="D2650" s="110"/>
      <c r="E2650" t="str">
        <f>VLOOKUP(B2650,CAC!$A$2:$B$198,2,FALSE)</f>
        <v>HMOIFP</v>
      </c>
    </row>
    <row r="2651" spans="1:5" x14ac:dyDescent="0.25">
      <c r="A2651" s="108">
        <v>201702</v>
      </c>
      <c r="B2651" s="109" t="s">
        <v>90</v>
      </c>
      <c r="C2651" s="108">
        <v>475</v>
      </c>
      <c r="D2651" s="110"/>
      <c r="E2651" t="str">
        <f>VLOOKUP(B2651,CAC!$A$2:$B$198,2,FALSE)</f>
        <v>HMOIFP</v>
      </c>
    </row>
    <row r="2652" spans="1:5" x14ac:dyDescent="0.25">
      <c r="A2652" s="108">
        <v>201702</v>
      </c>
      <c r="B2652" s="109" t="s">
        <v>186</v>
      </c>
      <c r="C2652" s="108">
        <v>0</v>
      </c>
      <c r="D2652" s="110"/>
      <c r="E2652" t="str">
        <f>VLOOKUP(B2652,CAC!$A$2:$B$198,2,FALSE)</f>
        <v>PPOIFP</v>
      </c>
    </row>
    <row r="2653" spans="1:5" x14ac:dyDescent="0.25">
      <c r="A2653" s="108">
        <v>201702</v>
      </c>
      <c r="B2653" s="109" t="s">
        <v>188</v>
      </c>
      <c r="C2653" s="108">
        <v>0</v>
      </c>
      <c r="D2653" s="110"/>
      <c r="E2653" t="str">
        <f>VLOOKUP(B2653,CAC!$A$2:$B$198,2,FALSE)</f>
        <v>PPOIFP</v>
      </c>
    </row>
    <row r="2654" spans="1:5" x14ac:dyDescent="0.25">
      <c r="A2654" s="108">
        <v>201702</v>
      </c>
      <c r="B2654" s="109" t="s">
        <v>189</v>
      </c>
      <c r="C2654" s="108">
        <v>0</v>
      </c>
      <c r="D2654" s="110"/>
      <c r="E2654" t="str">
        <f>VLOOKUP(B2654,CAC!$A$2:$B$198,2,FALSE)</f>
        <v>PPOIFP</v>
      </c>
    </row>
    <row r="2655" spans="1:5" x14ac:dyDescent="0.25">
      <c r="A2655" s="108">
        <v>201702</v>
      </c>
      <c r="B2655" s="109" t="s">
        <v>331</v>
      </c>
      <c r="C2655" s="108">
        <v>0</v>
      </c>
      <c r="D2655" s="110"/>
      <c r="E2655" t="e">
        <f>VLOOKUP(B2655,CAC!$A$2:$B$198,2,FALSE)</f>
        <v>#N/A</v>
      </c>
    </row>
    <row r="2656" spans="1:5" x14ac:dyDescent="0.25">
      <c r="A2656" s="108">
        <v>201702</v>
      </c>
      <c r="B2656" s="109" t="s">
        <v>216</v>
      </c>
      <c r="C2656" s="108">
        <v>0</v>
      </c>
      <c r="D2656" s="110"/>
      <c r="E2656" t="str">
        <f>VLOOKUP(B2656,CAC!$A$2:$B$198,2,FALSE)</f>
        <v>PPOMM</v>
      </c>
    </row>
    <row r="2657" spans="1:5" x14ac:dyDescent="0.25">
      <c r="A2657" s="108">
        <v>201702</v>
      </c>
      <c r="B2657" s="109" t="s">
        <v>301</v>
      </c>
      <c r="C2657" s="108">
        <v>0</v>
      </c>
      <c r="D2657" s="110"/>
      <c r="E2657" t="str">
        <f>VLOOKUP(B2657,CAC!$A$2:$B$198,2,FALSE)</f>
        <v>XXX</v>
      </c>
    </row>
    <row r="2658" spans="1:5" x14ac:dyDescent="0.25">
      <c r="A2658" s="108">
        <v>201703</v>
      </c>
      <c r="B2658" s="109" t="s">
        <v>51</v>
      </c>
      <c r="C2658" s="108">
        <v>20</v>
      </c>
      <c r="D2658" s="110"/>
      <c r="E2658" t="str">
        <f>VLOOKUP(B2658,CAC!$A$2:$B$198,2,FALSE)</f>
        <v>XXX</v>
      </c>
    </row>
    <row r="2659" spans="1:5" x14ac:dyDescent="0.25">
      <c r="A2659" s="108">
        <v>201703</v>
      </c>
      <c r="B2659" s="109" t="s">
        <v>303</v>
      </c>
      <c r="C2659" s="108">
        <v>0</v>
      </c>
      <c r="D2659" s="110"/>
      <c r="E2659" t="e">
        <f>VLOOKUP(B2659,CAC!$A$2:$B$198,2,FALSE)</f>
        <v>#N/A</v>
      </c>
    </row>
    <row r="2660" spans="1:5" x14ac:dyDescent="0.25">
      <c r="A2660" s="108">
        <v>201703</v>
      </c>
      <c r="B2660" s="109" t="s">
        <v>304</v>
      </c>
      <c r="C2660" s="108">
        <v>0</v>
      </c>
      <c r="D2660" s="110"/>
      <c r="E2660" t="e">
        <f>VLOOKUP(B2660,CAC!$A$2:$B$198,2,FALSE)</f>
        <v>#N/A</v>
      </c>
    </row>
    <row r="2661" spans="1:5" x14ac:dyDescent="0.25">
      <c r="A2661" s="108">
        <v>201703</v>
      </c>
      <c r="B2661" s="109" t="s">
        <v>323</v>
      </c>
      <c r="C2661" s="108">
        <v>0</v>
      </c>
      <c r="D2661" s="110"/>
      <c r="E2661" t="e">
        <f>VLOOKUP(B2661,CAC!$A$2:$B$198,2,FALSE)</f>
        <v>#N/A</v>
      </c>
    </row>
    <row r="2662" spans="1:5" x14ac:dyDescent="0.25">
      <c r="A2662" s="108">
        <v>201703</v>
      </c>
      <c r="B2662" s="109" t="s">
        <v>305</v>
      </c>
      <c r="C2662" s="108">
        <v>0</v>
      </c>
      <c r="D2662" s="110"/>
      <c r="E2662" t="e">
        <f>VLOOKUP(B2662,CAC!$A$2:$B$198,2,FALSE)</f>
        <v>#N/A</v>
      </c>
    </row>
    <row r="2663" spans="1:5" x14ac:dyDescent="0.25">
      <c r="A2663" s="108">
        <v>201703</v>
      </c>
      <c r="B2663" s="109" t="s">
        <v>327</v>
      </c>
      <c r="C2663" s="108">
        <v>0</v>
      </c>
      <c r="D2663" s="110"/>
      <c r="E2663" t="e">
        <f>VLOOKUP(B2663,CAC!$A$2:$B$198,2,FALSE)</f>
        <v>#N/A</v>
      </c>
    </row>
    <row r="2664" spans="1:5" x14ac:dyDescent="0.25">
      <c r="A2664" s="108">
        <v>201703</v>
      </c>
      <c r="B2664" s="109" t="s">
        <v>326</v>
      </c>
      <c r="C2664" s="108">
        <v>0</v>
      </c>
      <c r="D2664" s="110"/>
      <c r="E2664" t="e">
        <f>VLOOKUP(B2664,CAC!$A$2:$B$198,2,FALSE)</f>
        <v>#N/A</v>
      </c>
    </row>
    <row r="2665" spans="1:5" x14ac:dyDescent="0.25">
      <c r="A2665" s="108">
        <v>201703</v>
      </c>
      <c r="B2665" s="109" t="s">
        <v>231</v>
      </c>
      <c r="C2665" s="108">
        <v>0</v>
      </c>
      <c r="D2665" s="110"/>
      <c r="E2665" t="str">
        <f>VLOOKUP(B2665,CAC!$A$2:$B$198,2,FALSE)</f>
        <v>DOILG</v>
      </c>
    </row>
    <row r="2666" spans="1:5" x14ac:dyDescent="0.25">
      <c r="A2666" s="108">
        <v>201703</v>
      </c>
      <c r="B2666" s="109" t="s">
        <v>237</v>
      </c>
      <c r="C2666" s="108">
        <v>0</v>
      </c>
      <c r="D2666" s="110"/>
      <c r="E2666" t="str">
        <f>VLOOKUP(B2666,CAC!$A$2:$B$198,2,FALSE)</f>
        <v>DOILG</v>
      </c>
    </row>
    <row r="2667" spans="1:5" x14ac:dyDescent="0.25">
      <c r="A2667" s="108">
        <v>201703</v>
      </c>
      <c r="B2667" s="109" t="s">
        <v>247</v>
      </c>
      <c r="C2667" s="108">
        <v>0</v>
      </c>
      <c r="D2667" s="110"/>
      <c r="E2667" t="str">
        <f>VLOOKUP(B2667,CAC!$A$2:$B$198,2,FALSE)</f>
        <v>DOIIFP</v>
      </c>
    </row>
    <row r="2668" spans="1:5" x14ac:dyDescent="0.25">
      <c r="A2668" s="108">
        <v>201703</v>
      </c>
      <c r="B2668" s="109" t="s">
        <v>238</v>
      </c>
      <c r="C2668" s="108">
        <v>0</v>
      </c>
      <c r="D2668" s="110"/>
      <c r="E2668" t="str">
        <f>VLOOKUP(B2668,CAC!$A$2:$B$198,2,FALSE)</f>
        <v>DOILG</v>
      </c>
    </row>
    <row r="2669" spans="1:5" x14ac:dyDescent="0.25">
      <c r="A2669" s="108">
        <v>201703</v>
      </c>
      <c r="B2669" s="109" t="s">
        <v>273</v>
      </c>
      <c r="C2669" s="108">
        <v>0</v>
      </c>
      <c r="D2669" s="110"/>
      <c r="E2669" t="str">
        <f>VLOOKUP(B2669,CAC!$A$2:$B$198,2,FALSE)</f>
        <v>AGDMHC</v>
      </c>
    </row>
    <row r="2670" spans="1:5" x14ac:dyDescent="0.25">
      <c r="A2670" s="108">
        <v>201703</v>
      </c>
      <c r="B2670" s="109" t="s">
        <v>328</v>
      </c>
      <c r="C2670" s="108">
        <v>0</v>
      </c>
      <c r="D2670" s="110"/>
      <c r="E2670" t="e">
        <f>VLOOKUP(B2670,CAC!$A$2:$B$198,2,FALSE)</f>
        <v>#N/A</v>
      </c>
    </row>
    <row r="2671" spans="1:5" x14ac:dyDescent="0.25">
      <c r="A2671" s="108">
        <v>201703</v>
      </c>
      <c r="B2671" s="109" t="s">
        <v>253</v>
      </c>
      <c r="C2671" s="108">
        <v>0</v>
      </c>
      <c r="D2671" s="110"/>
      <c r="E2671" t="str">
        <f>VLOOKUP(B2671,CAC!$A$2:$B$198,2,FALSE)</f>
        <v>AGDMHC</v>
      </c>
    </row>
    <row r="2672" spans="1:5" x14ac:dyDescent="0.25">
      <c r="A2672" s="108">
        <v>201703</v>
      </c>
      <c r="B2672" s="109" t="s">
        <v>325</v>
      </c>
      <c r="C2672" s="108">
        <v>0</v>
      </c>
      <c r="D2672" s="110"/>
      <c r="E2672" t="e">
        <f>VLOOKUP(B2672,CAC!$A$2:$B$198,2,FALSE)</f>
        <v>#N/A</v>
      </c>
    </row>
    <row r="2673" spans="1:5" x14ac:dyDescent="0.25">
      <c r="A2673" s="108">
        <v>201703</v>
      </c>
      <c r="B2673" s="109" t="s">
        <v>255</v>
      </c>
      <c r="C2673" s="108">
        <v>0</v>
      </c>
      <c r="D2673" s="110"/>
      <c r="E2673" t="str">
        <f>VLOOKUP(B2673,CAC!$A$2:$B$198,2,FALSE)</f>
        <v>AGDMHC</v>
      </c>
    </row>
    <row r="2674" spans="1:5" x14ac:dyDescent="0.25">
      <c r="A2674" s="108">
        <v>201703</v>
      </c>
      <c r="B2674" s="109" t="s">
        <v>256</v>
      </c>
      <c r="C2674" s="108">
        <v>0</v>
      </c>
      <c r="D2674" s="110"/>
      <c r="E2674" t="str">
        <f>VLOOKUP(B2674,CAC!$A$2:$B$198,2,FALSE)</f>
        <v>AGDMHC</v>
      </c>
    </row>
    <row r="2675" spans="1:5" x14ac:dyDescent="0.25">
      <c r="A2675" s="108">
        <v>201703</v>
      </c>
      <c r="B2675" s="109" t="s">
        <v>257</v>
      </c>
      <c r="C2675" s="108">
        <v>0</v>
      </c>
      <c r="D2675" s="110"/>
      <c r="E2675" t="str">
        <f>VLOOKUP(B2675,CAC!$A$2:$B$198,2,FALSE)</f>
        <v>AGDMHC</v>
      </c>
    </row>
    <row r="2676" spans="1:5" x14ac:dyDescent="0.25">
      <c r="A2676" s="108">
        <v>201703</v>
      </c>
      <c r="B2676" s="109" t="s">
        <v>258</v>
      </c>
      <c r="C2676" s="108">
        <v>0</v>
      </c>
      <c r="D2676" s="110"/>
      <c r="E2676" t="str">
        <f>VLOOKUP(B2676,CAC!$A$2:$B$198,2,FALSE)</f>
        <v>AGDMHC</v>
      </c>
    </row>
    <row r="2677" spans="1:5" x14ac:dyDescent="0.25">
      <c r="A2677" s="108">
        <v>201703</v>
      </c>
      <c r="B2677" s="109" t="s">
        <v>259</v>
      </c>
      <c r="C2677" s="108">
        <v>0</v>
      </c>
      <c r="D2677" s="110"/>
      <c r="E2677" t="str">
        <f>VLOOKUP(B2677,CAC!$A$2:$B$198,2,FALSE)</f>
        <v>AGDMHC</v>
      </c>
    </row>
    <row r="2678" spans="1:5" x14ac:dyDescent="0.25">
      <c r="A2678" s="108">
        <v>201703</v>
      </c>
      <c r="B2678" s="109" t="s">
        <v>329</v>
      </c>
      <c r="C2678" s="108">
        <v>0</v>
      </c>
      <c r="D2678" s="110"/>
      <c r="E2678" t="e">
        <f>VLOOKUP(B2678,CAC!$A$2:$B$198,2,FALSE)</f>
        <v>#N/A</v>
      </c>
    </row>
    <row r="2679" spans="1:5" x14ac:dyDescent="0.25">
      <c r="A2679" s="108">
        <v>201703</v>
      </c>
      <c r="B2679" s="109" t="s">
        <v>262</v>
      </c>
      <c r="C2679" s="108">
        <v>0</v>
      </c>
      <c r="D2679" s="110"/>
      <c r="E2679" t="str">
        <f>VLOOKUP(B2679,CAC!$A$2:$B$198,2,FALSE)</f>
        <v>AGDMHC</v>
      </c>
    </row>
    <row r="2680" spans="1:5" x14ac:dyDescent="0.25">
      <c r="A2680" s="108">
        <v>201703</v>
      </c>
      <c r="B2680" s="109" t="s">
        <v>264</v>
      </c>
      <c r="C2680" s="108">
        <v>0</v>
      </c>
      <c r="D2680" s="110"/>
      <c r="E2680" t="str">
        <f>VLOOKUP(B2680,CAC!$A$2:$B$198,2,FALSE)</f>
        <v>AGDMHC</v>
      </c>
    </row>
    <row r="2681" spans="1:5" x14ac:dyDescent="0.25">
      <c r="A2681" s="108">
        <v>201703</v>
      </c>
      <c r="B2681" s="109" t="s">
        <v>269</v>
      </c>
      <c r="C2681" s="108">
        <v>0</v>
      </c>
      <c r="D2681" s="110"/>
      <c r="E2681" t="str">
        <f>VLOOKUP(B2681,CAC!$A$2:$B$198,2,FALSE)</f>
        <v>AGDMHC</v>
      </c>
    </row>
    <row r="2682" spans="1:5" x14ac:dyDescent="0.25">
      <c r="A2682" s="108">
        <v>201703</v>
      </c>
      <c r="B2682" s="109" t="s">
        <v>319</v>
      </c>
      <c r="C2682" s="108">
        <v>0</v>
      </c>
      <c r="D2682" s="110"/>
      <c r="E2682" t="e">
        <f>VLOOKUP(B2682,CAC!$A$2:$B$198,2,FALSE)</f>
        <v>#N/A</v>
      </c>
    </row>
    <row r="2683" spans="1:5" x14ac:dyDescent="0.25">
      <c r="A2683" s="108">
        <v>201703</v>
      </c>
      <c r="B2683" s="109" t="s">
        <v>267</v>
      </c>
      <c r="C2683" s="108">
        <v>0</v>
      </c>
      <c r="D2683" s="110"/>
      <c r="E2683" t="str">
        <f>VLOOKUP(B2683,CAC!$A$2:$B$198,2,FALSE)</f>
        <v>AGDMHC</v>
      </c>
    </row>
    <row r="2684" spans="1:5" x14ac:dyDescent="0.25">
      <c r="A2684" s="108">
        <v>201703</v>
      </c>
      <c r="B2684" s="109" t="s">
        <v>268</v>
      </c>
      <c r="C2684" s="108">
        <v>0</v>
      </c>
      <c r="D2684" s="110"/>
      <c r="E2684" t="str">
        <f>VLOOKUP(B2684,CAC!$A$2:$B$198,2,FALSE)</f>
        <v>AGDMHC</v>
      </c>
    </row>
    <row r="2685" spans="1:5" x14ac:dyDescent="0.25">
      <c r="A2685" s="108">
        <v>201703</v>
      </c>
      <c r="B2685" s="109" t="s">
        <v>52</v>
      </c>
      <c r="C2685" s="108">
        <v>16184</v>
      </c>
      <c r="D2685" s="110"/>
      <c r="E2685" t="str">
        <f>VLOOKUP(B2685,CAC!$A$2:$B$198,2,FALSE)</f>
        <v>HMOPMR</v>
      </c>
    </row>
    <row r="2686" spans="1:5" x14ac:dyDescent="0.25">
      <c r="A2686" s="108">
        <v>201703</v>
      </c>
      <c r="B2686" s="109" t="s">
        <v>53</v>
      </c>
      <c r="C2686" s="108">
        <v>4804</v>
      </c>
      <c r="D2686" s="110"/>
      <c r="E2686" t="str">
        <f>VLOOKUP(B2686,CAC!$A$2:$B$198,2,FALSE)</f>
        <v>HMOPMR</v>
      </c>
    </row>
    <row r="2687" spans="1:5" x14ac:dyDescent="0.25">
      <c r="A2687" s="108">
        <v>201703</v>
      </c>
      <c r="B2687" s="109" t="s">
        <v>54</v>
      </c>
      <c r="C2687" s="108">
        <v>5713</v>
      </c>
      <c r="D2687" s="110"/>
      <c r="E2687" t="str">
        <f>VLOOKUP(B2687,CAC!$A$2:$B$198,2,FALSE)</f>
        <v>HMOFEP</v>
      </c>
    </row>
    <row r="2688" spans="1:5" x14ac:dyDescent="0.25">
      <c r="A2688" s="108">
        <v>201703</v>
      </c>
      <c r="B2688" s="109" t="s">
        <v>279</v>
      </c>
      <c r="C2688" s="108">
        <v>0</v>
      </c>
      <c r="D2688" s="110"/>
      <c r="E2688" t="str">
        <f>VLOOKUP(B2688,CAC!$A$2:$B$198,2,FALSE)</f>
        <v>PPOFEP</v>
      </c>
    </row>
    <row r="2689" spans="1:5" x14ac:dyDescent="0.25">
      <c r="A2689" s="108">
        <v>201703</v>
      </c>
      <c r="B2689" s="109" t="s">
        <v>202</v>
      </c>
      <c r="C2689" s="108">
        <v>0</v>
      </c>
      <c r="D2689" s="110"/>
      <c r="E2689" t="str">
        <f>VLOOKUP(B2689,CAC!$A$2:$B$198,2,FALSE)</f>
        <v>PPOPMR</v>
      </c>
    </row>
    <row r="2690" spans="1:5" x14ac:dyDescent="0.25">
      <c r="A2690" s="108">
        <v>201703</v>
      </c>
      <c r="B2690" s="109" t="s">
        <v>55</v>
      </c>
      <c r="C2690" s="108">
        <v>16123</v>
      </c>
      <c r="D2690" s="110"/>
      <c r="E2690" t="str">
        <f>VLOOKUP(B2690,CAC!$A$2:$B$198,2,FALSE)</f>
        <v>HMOPMR</v>
      </c>
    </row>
    <row r="2691" spans="1:5" x14ac:dyDescent="0.25">
      <c r="A2691" s="108">
        <v>201703</v>
      </c>
      <c r="B2691" s="109" t="s">
        <v>56</v>
      </c>
      <c r="C2691" s="108">
        <v>37</v>
      </c>
      <c r="D2691" s="110"/>
      <c r="E2691" t="str">
        <f>VLOOKUP(B2691,CAC!$A$2:$B$198,2,FALSE)</f>
        <v>HMOPMR</v>
      </c>
    </row>
    <row r="2692" spans="1:5" x14ac:dyDescent="0.25">
      <c r="A2692" s="108">
        <v>201703</v>
      </c>
      <c r="B2692" s="109" t="s">
        <v>83</v>
      </c>
      <c r="C2692" s="108">
        <v>1236</v>
      </c>
      <c r="D2692" s="110"/>
      <c r="E2692" t="str">
        <f>VLOOKUP(B2692,CAC!$A$2:$B$198,2,FALSE)</f>
        <v>HMOPMR</v>
      </c>
    </row>
    <row r="2693" spans="1:5" x14ac:dyDescent="0.25">
      <c r="A2693" s="108">
        <v>201703</v>
      </c>
      <c r="B2693" s="109" t="s">
        <v>57</v>
      </c>
      <c r="C2693" s="108">
        <v>4047</v>
      </c>
      <c r="D2693" s="110"/>
      <c r="E2693" t="str">
        <f>VLOOKUP(B2693,CAC!$A$2:$B$198,2,FALSE)</f>
        <v>HMFLEX</v>
      </c>
    </row>
    <row r="2694" spans="1:5" x14ac:dyDescent="0.25">
      <c r="A2694" s="108">
        <v>201703</v>
      </c>
      <c r="B2694" s="109" t="s">
        <v>58</v>
      </c>
      <c r="C2694" s="108">
        <v>351</v>
      </c>
      <c r="D2694" s="110"/>
      <c r="E2694" t="str">
        <f>VLOOKUP(B2694,CAC!$A$2:$B$198,2,FALSE)</f>
        <v>HMFLEX</v>
      </c>
    </row>
    <row r="2695" spans="1:5" x14ac:dyDescent="0.25">
      <c r="A2695" s="108">
        <v>201703</v>
      </c>
      <c r="B2695" s="109" t="s">
        <v>306</v>
      </c>
      <c r="C2695" s="108">
        <v>0</v>
      </c>
      <c r="D2695" s="110"/>
      <c r="E2695" t="e">
        <f>VLOOKUP(B2695,CAC!$A$2:$B$198,2,FALSE)</f>
        <v>#N/A</v>
      </c>
    </row>
    <row r="2696" spans="1:5" x14ac:dyDescent="0.25">
      <c r="A2696" s="108">
        <v>201703</v>
      </c>
      <c r="B2696" s="109" t="s">
        <v>283</v>
      </c>
      <c r="C2696" s="108">
        <v>0</v>
      </c>
      <c r="D2696" s="110"/>
      <c r="E2696" t="str">
        <f>VLOOKUP(B2696,CAC!$A$2:$B$198,2,FALSE)</f>
        <v>HMFLEX</v>
      </c>
    </row>
    <row r="2697" spans="1:5" x14ac:dyDescent="0.25">
      <c r="A2697" s="108">
        <v>201703</v>
      </c>
      <c r="B2697" s="109" t="s">
        <v>205</v>
      </c>
      <c r="C2697" s="108">
        <v>0</v>
      </c>
      <c r="D2697" s="110"/>
      <c r="E2697" t="str">
        <f>VLOOKUP(B2697,CAC!$A$2:$B$198,2,FALSE)</f>
        <v>PPOPMR</v>
      </c>
    </row>
    <row r="2698" spans="1:5" x14ac:dyDescent="0.25">
      <c r="A2698" s="108">
        <v>201703</v>
      </c>
      <c r="B2698" s="109" t="s">
        <v>60</v>
      </c>
      <c r="C2698" s="108">
        <v>8845</v>
      </c>
      <c r="D2698" s="110"/>
      <c r="E2698" t="str">
        <f>VLOOKUP(B2698,CAC!$A$2:$B$198,2,FALSE)</f>
        <v>HMOLG</v>
      </c>
    </row>
    <row r="2699" spans="1:5" x14ac:dyDescent="0.25">
      <c r="A2699" s="108">
        <v>201703</v>
      </c>
      <c r="B2699" s="109" t="s">
        <v>61</v>
      </c>
      <c r="C2699" s="108">
        <v>517</v>
      </c>
      <c r="D2699" s="110"/>
      <c r="E2699" t="str">
        <f>VLOOKUP(B2699,CAC!$A$2:$B$198,2,FALSE)</f>
        <v>HMOLG</v>
      </c>
    </row>
    <row r="2700" spans="1:5" x14ac:dyDescent="0.25">
      <c r="A2700" s="108">
        <v>201703</v>
      </c>
      <c r="B2700" s="109" t="s">
        <v>62</v>
      </c>
      <c r="C2700" s="108">
        <v>15777</v>
      </c>
      <c r="D2700" s="110"/>
      <c r="E2700" t="str">
        <f>VLOOKUP(B2700,CAC!$A$2:$B$198,2,FALSE)</f>
        <v>HMOLG</v>
      </c>
    </row>
    <row r="2701" spans="1:5" x14ac:dyDescent="0.25">
      <c r="A2701" s="108">
        <v>201703</v>
      </c>
      <c r="B2701" s="109" t="s">
        <v>86</v>
      </c>
      <c r="C2701" s="108">
        <v>2261</v>
      </c>
      <c r="D2701" s="110"/>
      <c r="E2701" t="str">
        <f>VLOOKUP(B2701,CAC!$A$2:$B$198,2,FALSE)</f>
        <v>HMOLG</v>
      </c>
    </row>
    <row r="2702" spans="1:5" x14ac:dyDescent="0.25">
      <c r="A2702" s="108">
        <v>201703</v>
      </c>
      <c r="B2702" s="109" t="s">
        <v>63</v>
      </c>
      <c r="C2702" s="108">
        <v>50</v>
      </c>
      <c r="D2702" s="110"/>
      <c r="E2702" t="str">
        <f>VLOOKUP(B2702,CAC!$A$2:$B$198,2,FALSE)</f>
        <v>HMOLG</v>
      </c>
    </row>
    <row r="2703" spans="1:5" x14ac:dyDescent="0.25">
      <c r="A2703" s="108">
        <v>201703</v>
      </c>
      <c r="B2703" s="109" t="s">
        <v>64</v>
      </c>
      <c r="C2703" s="108">
        <v>0</v>
      </c>
      <c r="D2703" s="110"/>
      <c r="E2703" t="str">
        <f>VLOOKUP(B2703,CAC!$A$2:$B$198,2,FALSE)</f>
        <v>HMOLG</v>
      </c>
    </row>
    <row r="2704" spans="1:5" x14ac:dyDescent="0.25">
      <c r="A2704" s="108">
        <v>201703</v>
      </c>
      <c r="B2704" s="109" t="s">
        <v>65</v>
      </c>
      <c r="C2704" s="108">
        <v>220</v>
      </c>
      <c r="D2704" s="110"/>
      <c r="E2704" t="str">
        <f>VLOOKUP(B2704,CAC!$A$2:$B$198,2,FALSE)</f>
        <v>HMFLEX</v>
      </c>
    </row>
    <row r="2705" spans="1:5" x14ac:dyDescent="0.25">
      <c r="A2705" s="108">
        <v>201703</v>
      </c>
      <c r="B2705" s="109" t="s">
        <v>307</v>
      </c>
      <c r="C2705" s="108">
        <v>0</v>
      </c>
      <c r="D2705" s="110"/>
      <c r="E2705" t="e">
        <f>VLOOKUP(B2705,CAC!$A$2:$B$198,2,FALSE)</f>
        <v>#N/A</v>
      </c>
    </row>
    <row r="2706" spans="1:5" x14ac:dyDescent="0.25">
      <c r="A2706" s="108">
        <v>201703</v>
      </c>
      <c r="B2706" s="109" t="s">
        <v>308</v>
      </c>
      <c r="C2706" s="108">
        <v>0</v>
      </c>
      <c r="D2706" s="110"/>
      <c r="E2706" t="e">
        <f>VLOOKUP(B2706,CAC!$A$2:$B$198,2,FALSE)</f>
        <v>#N/A</v>
      </c>
    </row>
    <row r="2707" spans="1:5" x14ac:dyDescent="0.25">
      <c r="A2707" s="108">
        <v>201703</v>
      </c>
      <c r="B2707" s="109" t="s">
        <v>309</v>
      </c>
      <c r="C2707" s="108">
        <v>0</v>
      </c>
      <c r="D2707" s="110"/>
      <c r="E2707" t="e">
        <f>VLOOKUP(B2707,CAC!$A$2:$B$198,2,FALSE)</f>
        <v>#N/A</v>
      </c>
    </row>
    <row r="2708" spans="1:5" x14ac:dyDescent="0.25">
      <c r="A2708" s="108">
        <v>201703</v>
      </c>
      <c r="B2708" s="109" t="s">
        <v>99</v>
      </c>
      <c r="C2708" s="108">
        <v>0</v>
      </c>
      <c r="D2708" s="110"/>
      <c r="E2708" t="str">
        <f>VLOOKUP(B2708,CAC!$A$2:$B$198,2,FALSE)</f>
        <v>PPOLG</v>
      </c>
    </row>
    <row r="2709" spans="1:5" x14ac:dyDescent="0.25">
      <c r="A2709" s="108">
        <v>201703</v>
      </c>
      <c r="B2709" s="109" t="s">
        <v>193</v>
      </c>
      <c r="C2709" s="108">
        <v>0</v>
      </c>
      <c r="D2709" s="110"/>
      <c r="E2709" t="str">
        <f>VLOOKUP(B2709,CAC!$A$2:$B$198,2,FALSE)</f>
        <v>PPOLG</v>
      </c>
    </row>
    <row r="2710" spans="1:5" x14ac:dyDescent="0.25">
      <c r="A2710" s="108">
        <v>201703</v>
      </c>
      <c r="B2710" s="109" t="s">
        <v>196</v>
      </c>
      <c r="C2710" s="108">
        <v>0</v>
      </c>
      <c r="D2710" s="110"/>
      <c r="E2710" t="str">
        <f>VLOOKUP(B2710,CAC!$A$2:$B$198,2,FALSE)</f>
        <v>PPOLG</v>
      </c>
    </row>
    <row r="2711" spans="1:5" x14ac:dyDescent="0.25">
      <c r="A2711" s="108">
        <v>201703</v>
      </c>
      <c r="B2711" s="109" t="s">
        <v>212</v>
      </c>
      <c r="C2711" s="108">
        <v>0</v>
      </c>
      <c r="D2711" s="110"/>
      <c r="E2711" t="str">
        <f>VLOOKUP(B2711,CAC!$A$2:$B$198,2,FALSE)</f>
        <v>PPOMM</v>
      </c>
    </row>
    <row r="2712" spans="1:5" x14ac:dyDescent="0.25">
      <c r="A2712" s="108">
        <v>201703</v>
      </c>
      <c r="B2712" s="109" t="s">
        <v>213</v>
      </c>
      <c r="C2712" s="108">
        <v>0</v>
      </c>
      <c r="D2712" s="110"/>
      <c r="E2712" t="str">
        <f>VLOOKUP(B2712,CAC!$A$2:$B$198,2,FALSE)</f>
        <v>PPOMM</v>
      </c>
    </row>
    <row r="2713" spans="1:5" x14ac:dyDescent="0.25">
      <c r="A2713" s="108">
        <v>201703</v>
      </c>
      <c r="B2713" s="109" t="s">
        <v>311</v>
      </c>
      <c r="C2713" s="108">
        <v>0</v>
      </c>
      <c r="D2713" s="110"/>
      <c r="E2713" t="e">
        <f>VLOOKUP(B2713,CAC!$A$2:$B$198,2,FALSE)</f>
        <v>#N/A</v>
      </c>
    </row>
    <row r="2714" spans="1:5" x14ac:dyDescent="0.25">
      <c r="A2714" s="108">
        <v>201703</v>
      </c>
      <c r="B2714" s="109" t="s">
        <v>321</v>
      </c>
      <c r="C2714" s="108">
        <v>0</v>
      </c>
      <c r="D2714" s="110"/>
      <c r="E2714" t="e">
        <f>VLOOKUP(B2714,CAC!$A$2:$B$198,2,FALSE)</f>
        <v>#N/A</v>
      </c>
    </row>
    <row r="2715" spans="1:5" x14ac:dyDescent="0.25">
      <c r="A2715" s="108">
        <v>201703</v>
      </c>
      <c r="B2715" s="109" t="s">
        <v>312</v>
      </c>
      <c r="C2715" s="108">
        <v>0</v>
      </c>
      <c r="D2715" s="110"/>
      <c r="E2715" t="e">
        <f>VLOOKUP(B2715,CAC!$A$2:$B$198,2,FALSE)</f>
        <v>#N/A</v>
      </c>
    </row>
    <row r="2716" spans="1:5" x14ac:dyDescent="0.25">
      <c r="A2716" s="108">
        <v>201703</v>
      </c>
      <c r="B2716" s="109" t="s">
        <v>215</v>
      </c>
      <c r="C2716" s="108">
        <v>0</v>
      </c>
      <c r="D2716" s="110"/>
      <c r="E2716" t="str">
        <f>VLOOKUP(B2716,CAC!$A$2:$B$198,2,FALSE)</f>
        <v>PPOMM</v>
      </c>
    </row>
    <row r="2717" spans="1:5" x14ac:dyDescent="0.25">
      <c r="A2717" s="108">
        <v>201703</v>
      </c>
      <c r="B2717" s="109" t="s">
        <v>66</v>
      </c>
      <c r="C2717" s="108">
        <v>5137</v>
      </c>
      <c r="D2717" s="110"/>
      <c r="E2717" t="str">
        <f>VLOOKUP(B2717,CAC!$A$2:$B$198,2,FALSE)</f>
        <v>HMOLG</v>
      </c>
    </row>
    <row r="2718" spans="1:5" x14ac:dyDescent="0.25">
      <c r="A2718" s="108">
        <v>201703</v>
      </c>
      <c r="B2718" s="109" t="s">
        <v>82</v>
      </c>
      <c r="C2718" s="108">
        <v>1</v>
      </c>
      <c r="D2718" s="110"/>
      <c r="E2718" t="str">
        <f>VLOOKUP(B2718,CAC!$A$2:$B$198,2,FALSE)</f>
        <v>NATPAR</v>
      </c>
    </row>
    <row r="2719" spans="1:5" x14ac:dyDescent="0.25">
      <c r="A2719" s="108">
        <v>201703</v>
      </c>
      <c r="B2719" s="109" t="s">
        <v>67</v>
      </c>
      <c r="C2719" s="108">
        <v>159</v>
      </c>
      <c r="D2719" s="110"/>
      <c r="E2719" t="str">
        <f>VLOOKUP(B2719,CAC!$A$2:$B$198,2,FALSE)</f>
        <v>HMOLG</v>
      </c>
    </row>
    <row r="2720" spans="1:5" x14ac:dyDescent="0.25">
      <c r="A2720" s="108">
        <v>201703</v>
      </c>
      <c r="B2720" s="109" t="s">
        <v>68</v>
      </c>
      <c r="C2720" s="108">
        <v>280</v>
      </c>
      <c r="D2720" s="110"/>
      <c r="E2720" t="str">
        <f>VLOOKUP(B2720,CAC!$A$2:$B$198,2,FALSE)</f>
        <v>HMOPMR</v>
      </c>
    </row>
    <row r="2721" spans="1:5" x14ac:dyDescent="0.25">
      <c r="A2721" s="108">
        <v>201703</v>
      </c>
      <c r="B2721" s="109" t="s">
        <v>69</v>
      </c>
      <c r="C2721" s="108">
        <v>9759</v>
      </c>
      <c r="D2721" s="110"/>
      <c r="E2721" t="str">
        <f>VLOOKUP(B2721,CAC!$A$2:$B$198,2,FALSE)</f>
        <v>HMOPMR</v>
      </c>
    </row>
    <row r="2722" spans="1:5" x14ac:dyDescent="0.25">
      <c r="A2722" s="108">
        <v>201703</v>
      </c>
      <c r="B2722" s="109" t="s">
        <v>70</v>
      </c>
      <c r="C2722" s="108">
        <v>932</v>
      </c>
      <c r="D2722" s="110"/>
      <c r="E2722" t="str">
        <f>VLOOKUP(B2722,CAC!$A$2:$B$198,2,FALSE)</f>
        <v>HMOPMR</v>
      </c>
    </row>
    <row r="2723" spans="1:5" x14ac:dyDescent="0.25">
      <c r="A2723" s="108">
        <v>201703</v>
      </c>
      <c r="B2723" s="109" t="s">
        <v>71</v>
      </c>
      <c r="C2723" s="108">
        <v>5626</v>
      </c>
      <c r="D2723" s="110"/>
      <c r="E2723" t="str">
        <f>VLOOKUP(B2723,CAC!$A$2:$B$198,2,FALSE)</f>
        <v>HMOPMR</v>
      </c>
    </row>
    <row r="2724" spans="1:5" x14ac:dyDescent="0.25">
      <c r="A2724" s="108">
        <v>201703</v>
      </c>
      <c r="B2724" s="109" t="s">
        <v>72</v>
      </c>
      <c r="C2724" s="108">
        <v>5154</v>
      </c>
      <c r="D2724" s="110"/>
      <c r="E2724" t="str">
        <f>VLOOKUP(B2724,CAC!$A$2:$B$198,2,FALSE)</f>
        <v>HMFLEX</v>
      </c>
    </row>
    <row r="2725" spans="1:5" x14ac:dyDescent="0.25">
      <c r="A2725" s="108">
        <v>201703</v>
      </c>
      <c r="B2725" s="109" t="s">
        <v>314</v>
      </c>
      <c r="C2725" s="108">
        <v>0</v>
      </c>
      <c r="D2725" s="110"/>
      <c r="E2725" t="e">
        <f>VLOOKUP(B2725,CAC!$A$2:$B$198,2,FALSE)</f>
        <v>#N/A</v>
      </c>
    </row>
    <row r="2726" spans="1:5" x14ac:dyDescent="0.25">
      <c r="A2726" s="108">
        <v>201703</v>
      </c>
      <c r="B2726" s="109" t="s">
        <v>315</v>
      </c>
      <c r="C2726" s="108">
        <v>0</v>
      </c>
      <c r="D2726" s="110"/>
      <c r="E2726" t="e">
        <f>VLOOKUP(B2726,CAC!$A$2:$B$198,2,FALSE)</f>
        <v>#N/A</v>
      </c>
    </row>
    <row r="2727" spans="1:5" x14ac:dyDescent="0.25">
      <c r="A2727" s="108">
        <v>201703</v>
      </c>
      <c r="B2727" s="109" t="s">
        <v>112</v>
      </c>
      <c r="C2727" s="108">
        <v>0</v>
      </c>
      <c r="D2727" s="110"/>
      <c r="E2727" t="e">
        <f>VLOOKUP(B2727,CAC!$A$2:$B$198,2,FALSE)</f>
        <v>#N/A</v>
      </c>
    </row>
    <row r="2728" spans="1:5" x14ac:dyDescent="0.25">
      <c r="A2728" s="108">
        <v>201703</v>
      </c>
      <c r="B2728" s="109" t="s">
        <v>316</v>
      </c>
      <c r="C2728" s="108">
        <v>0</v>
      </c>
      <c r="D2728" s="110"/>
      <c r="E2728" t="e">
        <f>VLOOKUP(B2728,CAC!$A$2:$B$198,2,FALSE)</f>
        <v>#N/A</v>
      </c>
    </row>
    <row r="2729" spans="1:5" x14ac:dyDescent="0.25">
      <c r="A2729" s="108">
        <v>201703</v>
      </c>
      <c r="B2729" s="109" t="s">
        <v>317</v>
      </c>
      <c r="C2729" s="108">
        <v>0</v>
      </c>
      <c r="D2729" s="110"/>
      <c r="E2729" t="e">
        <f>VLOOKUP(B2729,CAC!$A$2:$B$198,2,FALSE)</f>
        <v>#N/A</v>
      </c>
    </row>
    <row r="2730" spans="1:5" x14ac:dyDescent="0.25">
      <c r="A2730" s="108">
        <v>201703</v>
      </c>
      <c r="B2730" s="109" t="s">
        <v>113</v>
      </c>
      <c r="C2730" s="108">
        <v>0</v>
      </c>
      <c r="D2730" s="110"/>
      <c r="E2730" t="str">
        <f>VLOOKUP(B2730,CAC!$A$2:$B$198,2,FALSE)</f>
        <v>PPOLG</v>
      </c>
    </row>
    <row r="2731" spans="1:5" x14ac:dyDescent="0.25">
      <c r="A2731" s="108">
        <v>201703</v>
      </c>
      <c r="B2731" s="109" t="s">
        <v>208</v>
      </c>
      <c r="C2731" s="108">
        <v>0</v>
      </c>
      <c r="D2731" s="110"/>
      <c r="E2731" t="str">
        <f>VLOOKUP(B2731,CAC!$A$2:$B$198,2,FALSE)</f>
        <v>PPOPMR</v>
      </c>
    </row>
    <row r="2732" spans="1:5" x14ac:dyDescent="0.25">
      <c r="A2732" s="108">
        <v>201703</v>
      </c>
      <c r="B2732" s="109" t="s">
        <v>291</v>
      </c>
      <c r="C2732" s="108">
        <v>0</v>
      </c>
      <c r="D2732" s="110"/>
      <c r="E2732" t="str">
        <f>VLOOKUP(B2732,CAC!$A$2:$B$198,2,FALSE)</f>
        <v>HMFLEX</v>
      </c>
    </row>
    <row r="2733" spans="1:5" x14ac:dyDescent="0.25">
      <c r="A2733" s="108">
        <v>201703</v>
      </c>
      <c r="B2733" s="109" t="s">
        <v>204</v>
      </c>
      <c r="C2733" s="108">
        <v>0</v>
      </c>
      <c r="D2733" s="110"/>
      <c r="E2733" t="str">
        <f>VLOOKUP(B2733,CAC!$A$2:$B$198,2,FALSE)</f>
        <v>PPOPMR</v>
      </c>
    </row>
    <row r="2734" spans="1:5" x14ac:dyDescent="0.25">
      <c r="A2734" s="108">
        <v>201703</v>
      </c>
      <c r="B2734" s="109" t="s">
        <v>330</v>
      </c>
      <c r="C2734" s="108">
        <v>0</v>
      </c>
      <c r="D2734" s="110"/>
      <c r="E2734" t="e">
        <f>VLOOKUP(B2734,CAC!$A$2:$B$198,2,FALSE)</f>
        <v>#N/A</v>
      </c>
    </row>
    <row r="2735" spans="1:5" x14ac:dyDescent="0.25">
      <c r="A2735" s="108">
        <v>201703</v>
      </c>
      <c r="B2735" s="109" t="s">
        <v>73</v>
      </c>
      <c r="C2735" s="108">
        <v>36215</v>
      </c>
      <c r="D2735" s="108">
        <v>11860</v>
      </c>
      <c r="E2735" t="str">
        <f>VLOOKUP(B2735,CAC!$A$2:$B$198,2,FALSE)</f>
        <v>HMOPERA</v>
      </c>
    </row>
    <row r="2736" spans="1:5" x14ac:dyDescent="0.25">
      <c r="A2736" s="108">
        <v>201703</v>
      </c>
      <c r="B2736" s="109" t="s">
        <v>218</v>
      </c>
      <c r="C2736" s="108">
        <v>0</v>
      </c>
      <c r="D2736" s="110"/>
      <c r="E2736" t="str">
        <f>VLOOKUP(B2736,CAC!$A$2:$B$198,2,FALSE)</f>
        <v>HMOPERA</v>
      </c>
    </row>
    <row r="2737" spans="1:5" x14ac:dyDescent="0.25">
      <c r="A2737" s="108">
        <v>201703</v>
      </c>
      <c r="B2737" s="109" t="s">
        <v>156</v>
      </c>
      <c r="C2737" s="108">
        <v>27143</v>
      </c>
      <c r="D2737" s="110"/>
      <c r="E2737" t="str">
        <f>VLOOKUP(B2737,CAC!$A$2:$B$198,2,FALSE)</f>
        <v>HMOMM</v>
      </c>
    </row>
    <row r="2738" spans="1:5" x14ac:dyDescent="0.25">
      <c r="A2738" s="108">
        <v>201703</v>
      </c>
      <c r="B2738" s="109" t="s">
        <v>84</v>
      </c>
      <c r="C2738" s="108">
        <v>5804</v>
      </c>
      <c r="D2738" s="110"/>
      <c r="E2738" t="str">
        <f>VLOOKUP(B2738,CAC!$A$2:$B$198,2,FALSE)</f>
        <v>HMOMM</v>
      </c>
    </row>
    <row r="2739" spans="1:5" x14ac:dyDescent="0.25">
      <c r="A2739" s="108">
        <v>201703</v>
      </c>
      <c r="B2739" s="109" t="s">
        <v>162</v>
      </c>
      <c r="C2739" s="108">
        <v>416</v>
      </c>
      <c r="D2739" s="110"/>
      <c r="E2739" t="str">
        <f>VLOOKUP(B2739,CAC!$A$2:$B$198,2,FALSE)</f>
        <v>HMOMG</v>
      </c>
    </row>
    <row r="2740" spans="1:5" x14ac:dyDescent="0.25">
      <c r="A2740" s="108">
        <v>201703</v>
      </c>
      <c r="B2740" s="109" t="s">
        <v>163</v>
      </c>
      <c r="C2740" s="108">
        <v>69</v>
      </c>
      <c r="D2740" s="110"/>
      <c r="E2740" t="str">
        <f>VLOOKUP(B2740,CAC!$A$2:$B$198,2,FALSE)</f>
        <v>HMOMG</v>
      </c>
    </row>
    <row r="2741" spans="1:5" x14ac:dyDescent="0.25">
      <c r="A2741" s="108">
        <v>201703</v>
      </c>
      <c r="B2741" s="109" t="s">
        <v>164</v>
      </c>
      <c r="C2741" s="108">
        <v>0</v>
      </c>
      <c r="D2741" s="110"/>
      <c r="E2741" t="str">
        <f>VLOOKUP(B2741,CAC!$A$2:$B$198,2,FALSE)</f>
        <v>HMOMG</v>
      </c>
    </row>
    <row r="2742" spans="1:5" x14ac:dyDescent="0.25">
      <c r="A2742" s="108">
        <v>201703</v>
      </c>
      <c r="B2742" s="109" t="s">
        <v>85</v>
      </c>
      <c r="C2742" s="108">
        <v>660</v>
      </c>
      <c r="D2742" s="110"/>
      <c r="E2742" t="str">
        <f>VLOOKUP(B2742,CAC!$A$2:$B$198,2,FALSE)</f>
        <v>HMOMG</v>
      </c>
    </row>
    <row r="2743" spans="1:5" x14ac:dyDescent="0.25">
      <c r="A2743" s="108">
        <v>201703</v>
      </c>
      <c r="B2743" s="109" t="s">
        <v>77</v>
      </c>
      <c r="C2743" s="108">
        <v>26543</v>
      </c>
      <c r="D2743" s="110"/>
      <c r="E2743" t="str">
        <f>VLOOKUP(B2743,CAC!$A$2:$B$198,2,FALSE)</f>
        <v>HMOSG</v>
      </c>
    </row>
    <row r="2744" spans="1:5" x14ac:dyDescent="0.25">
      <c r="A2744" s="108">
        <v>201703</v>
      </c>
      <c r="B2744" s="109" t="s">
        <v>78</v>
      </c>
      <c r="C2744" s="108">
        <v>337</v>
      </c>
      <c r="D2744" s="110"/>
      <c r="E2744" t="str">
        <f>VLOOKUP(B2744,CAC!$A$2:$B$198,2,FALSE)</f>
        <v>HMOSG</v>
      </c>
    </row>
    <row r="2745" spans="1:5" x14ac:dyDescent="0.25">
      <c r="A2745" s="108">
        <v>201703</v>
      </c>
      <c r="B2745" s="109" t="s">
        <v>79</v>
      </c>
      <c r="C2745" s="108">
        <v>87</v>
      </c>
      <c r="D2745" s="110"/>
      <c r="E2745" t="str">
        <f>VLOOKUP(B2745,CAC!$A$2:$B$198,2,FALSE)</f>
        <v>HMOSG</v>
      </c>
    </row>
    <row r="2746" spans="1:5" x14ac:dyDescent="0.25">
      <c r="A2746" s="108">
        <v>201703</v>
      </c>
      <c r="B2746" s="109" t="s">
        <v>222</v>
      </c>
      <c r="C2746" s="108">
        <v>0</v>
      </c>
      <c r="D2746" s="110"/>
      <c r="E2746" t="str">
        <f>VLOOKUP(B2746,CAC!$A$2:$B$198,2,FALSE)</f>
        <v>PPOSG</v>
      </c>
    </row>
    <row r="2747" spans="1:5" x14ac:dyDescent="0.25">
      <c r="A2747" s="108">
        <v>201703</v>
      </c>
      <c r="B2747" s="109" t="s">
        <v>225</v>
      </c>
      <c r="C2747" s="108">
        <v>0</v>
      </c>
      <c r="D2747" s="110"/>
      <c r="E2747" t="str">
        <f>VLOOKUP(B2747,CAC!$A$2:$B$198,2,FALSE)</f>
        <v>PPOSG</v>
      </c>
    </row>
    <row r="2748" spans="1:5" x14ac:dyDescent="0.25">
      <c r="A2748" s="108">
        <v>201703</v>
      </c>
      <c r="B2748" s="109" t="s">
        <v>226</v>
      </c>
      <c r="C2748" s="108">
        <v>0</v>
      </c>
      <c r="D2748" s="110"/>
      <c r="E2748" t="str">
        <f>VLOOKUP(B2748,CAC!$A$2:$B$198,2,FALSE)</f>
        <v>PPOSG</v>
      </c>
    </row>
    <row r="2749" spans="1:5" x14ac:dyDescent="0.25">
      <c r="A2749" s="108">
        <v>201703</v>
      </c>
      <c r="B2749" s="109" t="s">
        <v>89</v>
      </c>
      <c r="C2749" s="108">
        <v>1136</v>
      </c>
      <c r="D2749" s="110"/>
      <c r="E2749" t="str">
        <f>VLOOKUP(B2749,CAC!$A$2:$B$198,2,FALSE)</f>
        <v>HMOIFP</v>
      </c>
    </row>
    <row r="2750" spans="1:5" x14ac:dyDescent="0.25">
      <c r="A2750" s="108">
        <v>201703</v>
      </c>
      <c r="B2750" s="109" t="s">
        <v>90</v>
      </c>
      <c r="C2750" s="108">
        <v>608</v>
      </c>
      <c r="D2750" s="110"/>
      <c r="E2750" t="str">
        <f>VLOOKUP(B2750,CAC!$A$2:$B$198,2,FALSE)</f>
        <v>HMOIFP</v>
      </c>
    </row>
    <row r="2751" spans="1:5" x14ac:dyDescent="0.25">
      <c r="A2751" s="108">
        <v>201703</v>
      </c>
      <c r="B2751" s="109" t="s">
        <v>186</v>
      </c>
      <c r="C2751" s="108">
        <v>0</v>
      </c>
      <c r="D2751" s="110"/>
      <c r="E2751" t="str">
        <f>VLOOKUP(B2751,CAC!$A$2:$B$198,2,FALSE)</f>
        <v>PPOIFP</v>
      </c>
    </row>
    <row r="2752" spans="1:5" x14ac:dyDescent="0.25">
      <c r="A2752" s="108">
        <v>201703</v>
      </c>
      <c r="B2752" s="109" t="s">
        <v>188</v>
      </c>
      <c r="C2752" s="108">
        <v>0</v>
      </c>
      <c r="D2752" s="110"/>
      <c r="E2752" t="str">
        <f>VLOOKUP(B2752,CAC!$A$2:$B$198,2,FALSE)</f>
        <v>PPOIFP</v>
      </c>
    </row>
    <row r="2753" spans="1:5" x14ac:dyDescent="0.25">
      <c r="A2753" s="108">
        <v>201703</v>
      </c>
      <c r="B2753" s="109" t="s">
        <v>189</v>
      </c>
      <c r="C2753" s="108">
        <v>0</v>
      </c>
      <c r="D2753" s="110"/>
      <c r="E2753" t="str">
        <f>VLOOKUP(B2753,CAC!$A$2:$B$198,2,FALSE)</f>
        <v>PPOIFP</v>
      </c>
    </row>
    <row r="2754" spans="1:5" x14ac:dyDescent="0.25">
      <c r="A2754" s="108">
        <v>201703</v>
      </c>
      <c r="B2754" s="109" t="s">
        <v>331</v>
      </c>
      <c r="C2754" s="108">
        <v>0</v>
      </c>
      <c r="D2754" s="110"/>
      <c r="E2754" t="e">
        <f>VLOOKUP(B2754,CAC!$A$2:$B$198,2,FALSE)</f>
        <v>#N/A</v>
      </c>
    </row>
    <row r="2755" spans="1:5" x14ac:dyDescent="0.25">
      <c r="A2755" s="108">
        <v>201703</v>
      </c>
      <c r="B2755" s="109" t="s">
        <v>216</v>
      </c>
      <c r="C2755" s="108">
        <v>0</v>
      </c>
      <c r="D2755" s="110"/>
      <c r="E2755" t="str">
        <f>VLOOKUP(B2755,CAC!$A$2:$B$198,2,FALSE)</f>
        <v>PPOMM</v>
      </c>
    </row>
    <row r="2756" spans="1:5" x14ac:dyDescent="0.25">
      <c r="A2756" s="108">
        <v>201703</v>
      </c>
      <c r="B2756" s="109" t="s">
        <v>301</v>
      </c>
      <c r="C2756" s="108">
        <v>0</v>
      </c>
      <c r="D2756" s="110"/>
      <c r="E2756" t="str">
        <f>VLOOKUP(B2756,CAC!$A$2:$B$198,2,FALSE)</f>
        <v>XXX</v>
      </c>
    </row>
    <row r="2757" spans="1:5" x14ac:dyDescent="0.25">
      <c r="A2757" s="108">
        <v>201704</v>
      </c>
      <c r="B2757" s="109" t="s">
        <v>51</v>
      </c>
      <c r="C2757" s="108">
        <v>20</v>
      </c>
      <c r="D2757" s="110"/>
      <c r="E2757" t="str">
        <f>VLOOKUP(B2757,CAC!$A$2:$B$198,2,FALSE)</f>
        <v>XXX</v>
      </c>
    </row>
    <row r="2758" spans="1:5" x14ac:dyDescent="0.25">
      <c r="A2758" s="108">
        <v>201704</v>
      </c>
      <c r="B2758" s="109" t="s">
        <v>303</v>
      </c>
      <c r="C2758" s="108">
        <v>0</v>
      </c>
      <c r="D2758" s="110"/>
      <c r="E2758" t="e">
        <f>VLOOKUP(B2758,CAC!$A$2:$B$198,2,FALSE)</f>
        <v>#N/A</v>
      </c>
    </row>
    <row r="2759" spans="1:5" x14ac:dyDescent="0.25">
      <c r="A2759" s="108">
        <v>201704</v>
      </c>
      <c r="B2759" s="109" t="s">
        <v>304</v>
      </c>
      <c r="C2759" s="108">
        <v>0</v>
      </c>
      <c r="D2759" s="110"/>
      <c r="E2759" t="e">
        <f>VLOOKUP(B2759,CAC!$A$2:$B$198,2,FALSE)</f>
        <v>#N/A</v>
      </c>
    </row>
    <row r="2760" spans="1:5" x14ac:dyDescent="0.25">
      <c r="A2760" s="108">
        <v>201704</v>
      </c>
      <c r="B2760" s="109" t="s">
        <v>323</v>
      </c>
      <c r="C2760" s="108">
        <v>0</v>
      </c>
      <c r="D2760" s="110"/>
      <c r="E2760" t="e">
        <f>VLOOKUP(B2760,CAC!$A$2:$B$198,2,FALSE)</f>
        <v>#N/A</v>
      </c>
    </row>
    <row r="2761" spans="1:5" x14ac:dyDescent="0.25">
      <c r="A2761" s="108">
        <v>201704</v>
      </c>
      <c r="B2761" s="109" t="s">
        <v>305</v>
      </c>
      <c r="C2761" s="108">
        <v>0</v>
      </c>
      <c r="D2761" s="110"/>
      <c r="E2761" t="e">
        <f>VLOOKUP(B2761,CAC!$A$2:$B$198,2,FALSE)</f>
        <v>#N/A</v>
      </c>
    </row>
    <row r="2762" spans="1:5" x14ac:dyDescent="0.25">
      <c r="A2762" s="108">
        <v>201704</v>
      </c>
      <c r="B2762" s="109" t="s">
        <v>327</v>
      </c>
      <c r="C2762" s="108">
        <v>0</v>
      </c>
      <c r="D2762" s="110"/>
      <c r="E2762" t="e">
        <f>VLOOKUP(B2762,CAC!$A$2:$B$198,2,FALSE)</f>
        <v>#N/A</v>
      </c>
    </row>
    <row r="2763" spans="1:5" x14ac:dyDescent="0.25">
      <c r="A2763" s="108">
        <v>201704</v>
      </c>
      <c r="B2763" s="109" t="s">
        <v>326</v>
      </c>
      <c r="C2763" s="108">
        <v>0</v>
      </c>
      <c r="D2763" s="110"/>
      <c r="E2763" t="e">
        <f>VLOOKUP(B2763,CAC!$A$2:$B$198,2,FALSE)</f>
        <v>#N/A</v>
      </c>
    </row>
    <row r="2764" spans="1:5" x14ac:dyDescent="0.25">
      <c r="A2764" s="108">
        <v>201704</v>
      </c>
      <c r="B2764" s="109" t="s">
        <v>231</v>
      </c>
      <c r="C2764" s="108">
        <v>0</v>
      </c>
      <c r="D2764" s="110"/>
      <c r="E2764" t="str">
        <f>VLOOKUP(B2764,CAC!$A$2:$B$198,2,FALSE)</f>
        <v>DOILG</v>
      </c>
    </row>
    <row r="2765" spans="1:5" x14ac:dyDescent="0.25">
      <c r="A2765" s="108">
        <v>201704</v>
      </c>
      <c r="B2765" s="109" t="s">
        <v>237</v>
      </c>
      <c r="C2765" s="108">
        <v>0</v>
      </c>
      <c r="D2765" s="110"/>
      <c r="E2765" t="str">
        <f>VLOOKUP(B2765,CAC!$A$2:$B$198,2,FALSE)</f>
        <v>DOILG</v>
      </c>
    </row>
    <row r="2766" spans="1:5" x14ac:dyDescent="0.25">
      <c r="A2766" s="108">
        <v>201704</v>
      </c>
      <c r="B2766" s="109" t="s">
        <v>247</v>
      </c>
      <c r="C2766" s="108">
        <v>0</v>
      </c>
      <c r="D2766" s="110"/>
      <c r="E2766" t="str">
        <f>VLOOKUP(B2766,CAC!$A$2:$B$198,2,FALSE)</f>
        <v>DOIIFP</v>
      </c>
    </row>
    <row r="2767" spans="1:5" x14ac:dyDescent="0.25">
      <c r="A2767" s="108">
        <v>201704</v>
      </c>
      <c r="B2767" s="109" t="s">
        <v>238</v>
      </c>
      <c r="C2767" s="108">
        <v>0</v>
      </c>
      <c r="D2767" s="110"/>
      <c r="E2767" t="str">
        <f>VLOOKUP(B2767,CAC!$A$2:$B$198,2,FALSE)</f>
        <v>DOILG</v>
      </c>
    </row>
    <row r="2768" spans="1:5" x14ac:dyDescent="0.25">
      <c r="A2768" s="108">
        <v>201704</v>
      </c>
      <c r="B2768" s="109" t="s">
        <v>273</v>
      </c>
      <c r="C2768" s="108">
        <v>0</v>
      </c>
      <c r="D2768" s="110"/>
      <c r="E2768" t="str">
        <f>VLOOKUP(B2768,CAC!$A$2:$B$198,2,FALSE)</f>
        <v>AGDMHC</v>
      </c>
    </row>
    <row r="2769" spans="1:5" x14ac:dyDescent="0.25">
      <c r="A2769" s="108">
        <v>201704</v>
      </c>
      <c r="B2769" s="109" t="s">
        <v>328</v>
      </c>
      <c r="C2769" s="108">
        <v>0</v>
      </c>
      <c r="D2769" s="110"/>
      <c r="E2769" t="e">
        <f>VLOOKUP(B2769,CAC!$A$2:$B$198,2,FALSE)</f>
        <v>#N/A</v>
      </c>
    </row>
    <row r="2770" spans="1:5" x14ac:dyDescent="0.25">
      <c r="A2770" s="108">
        <v>201704</v>
      </c>
      <c r="B2770" s="109" t="s">
        <v>325</v>
      </c>
      <c r="C2770" s="108">
        <v>0</v>
      </c>
      <c r="D2770" s="110"/>
      <c r="E2770" t="e">
        <f>VLOOKUP(B2770,CAC!$A$2:$B$198,2,FALSE)</f>
        <v>#N/A</v>
      </c>
    </row>
    <row r="2771" spans="1:5" x14ac:dyDescent="0.25">
      <c r="A2771" s="108">
        <v>201704</v>
      </c>
      <c r="B2771" s="109" t="s">
        <v>255</v>
      </c>
      <c r="C2771" s="108">
        <v>0</v>
      </c>
      <c r="D2771" s="110"/>
      <c r="E2771" t="str">
        <f>VLOOKUP(B2771,CAC!$A$2:$B$198,2,FALSE)</f>
        <v>AGDMHC</v>
      </c>
    </row>
    <row r="2772" spans="1:5" x14ac:dyDescent="0.25">
      <c r="A2772" s="108">
        <v>201704</v>
      </c>
      <c r="B2772" s="109" t="s">
        <v>256</v>
      </c>
      <c r="C2772" s="108">
        <v>0</v>
      </c>
      <c r="D2772" s="110"/>
      <c r="E2772" t="str">
        <f>VLOOKUP(B2772,CAC!$A$2:$B$198,2,FALSE)</f>
        <v>AGDMHC</v>
      </c>
    </row>
    <row r="2773" spans="1:5" x14ac:dyDescent="0.25">
      <c r="A2773" s="108">
        <v>201704</v>
      </c>
      <c r="B2773" s="109" t="s">
        <v>257</v>
      </c>
      <c r="C2773" s="108">
        <v>0</v>
      </c>
      <c r="D2773" s="110"/>
      <c r="E2773" t="str">
        <f>VLOOKUP(B2773,CAC!$A$2:$B$198,2,FALSE)</f>
        <v>AGDMHC</v>
      </c>
    </row>
    <row r="2774" spans="1:5" x14ac:dyDescent="0.25">
      <c r="A2774" s="108">
        <v>201704</v>
      </c>
      <c r="B2774" s="109" t="s">
        <v>258</v>
      </c>
      <c r="C2774" s="108">
        <v>0</v>
      </c>
      <c r="D2774" s="110"/>
      <c r="E2774" t="str">
        <f>VLOOKUP(B2774,CAC!$A$2:$B$198,2,FALSE)</f>
        <v>AGDMHC</v>
      </c>
    </row>
    <row r="2775" spans="1:5" x14ac:dyDescent="0.25">
      <c r="A2775" s="108">
        <v>201704</v>
      </c>
      <c r="B2775" s="109" t="s">
        <v>259</v>
      </c>
      <c r="C2775" s="108">
        <v>0</v>
      </c>
      <c r="D2775" s="110"/>
      <c r="E2775" t="str">
        <f>VLOOKUP(B2775,CAC!$A$2:$B$198,2,FALSE)</f>
        <v>AGDMHC</v>
      </c>
    </row>
    <row r="2776" spans="1:5" x14ac:dyDescent="0.25">
      <c r="A2776" s="108">
        <v>201704</v>
      </c>
      <c r="B2776" s="109" t="s">
        <v>329</v>
      </c>
      <c r="C2776" s="108">
        <v>0</v>
      </c>
      <c r="D2776" s="110"/>
      <c r="E2776" t="e">
        <f>VLOOKUP(B2776,CAC!$A$2:$B$198,2,FALSE)</f>
        <v>#N/A</v>
      </c>
    </row>
    <row r="2777" spans="1:5" x14ac:dyDescent="0.25">
      <c r="A2777" s="108">
        <v>201704</v>
      </c>
      <c r="B2777" s="109" t="s">
        <v>262</v>
      </c>
      <c r="C2777" s="108">
        <v>0</v>
      </c>
      <c r="D2777" s="110"/>
      <c r="E2777" t="str">
        <f>VLOOKUP(B2777,CAC!$A$2:$B$198,2,FALSE)</f>
        <v>AGDMHC</v>
      </c>
    </row>
    <row r="2778" spans="1:5" x14ac:dyDescent="0.25">
      <c r="A2778" s="108">
        <v>201704</v>
      </c>
      <c r="B2778" s="109" t="s">
        <v>264</v>
      </c>
      <c r="C2778" s="108">
        <v>0</v>
      </c>
      <c r="D2778" s="110"/>
      <c r="E2778" t="str">
        <f>VLOOKUP(B2778,CAC!$A$2:$B$198,2,FALSE)</f>
        <v>AGDMHC</v>
      </c>
    </row>
    <row r="2779" spans="1:5" x14ac:dyDescent="0.25">
      <c r="A2779" s="108">
        <v>201704</v>
      </c>
      <c r="B2779" s="109" t="s">
        <v>269</v>
      </c>
      <c r="C2779" s="108">
        <v>0</v>
      </c>
      <c r="D2779" s="110"/>
      <c r="E2779" t="str">
        <f>VLOOKUP(B2779,CAC!$A$2:$B$198,2,FALSE)</f>
        <v>AGDMHC</v>
      </c>
    </row>
    <row r="2780" spans="1:5" x14ac:dyDescent="0.25">
      <c r="A2780" s="108">
        <v>201704</v>
      </c>
      <c r="B2780" s="109" t="s">
        <v>319</v>
      </c>
      <c r="C2780" s="108">
        <v>0</v>
      </c>
      <c r="D2780" s="110"/>
      <c r="E2780" t="e">
        <f>VLOOKUP(B2780,CAC!$A$2:$B$198,2,FALSE)</f>
        <v>#N/A</v>
      </c>
    </row>
    <row r="2781" spans="1:5" x14ac:dyDescent="0.25">
      <c r="A2781" s="108">
        <v>201704</v>
      </c>
      <c r="B2781" s="109" t="s">
        <v>267</v>
      </c>
      <c r="C2781" s="108">
        <v>0</v>
      </c>
      <c r="D2781" s="110"/>
      <c r="E2781" t="str">
        <f>VLOOKUP(B2781,CAC!$A$2:$B$198,2,FALSE)</f>
        <v>AGDMHC</v>
      </c>
    </row>
    <row r="2782" spans="1:5" x14ac:dyDescent="0.25">
      <c r="A2782" s="108">
        <v>201704</v>
      </c>
      <c r="B2782" s="109" t="s">
        <v>268</v>
      </c>
      <c r="C2782" s="108">
        <v>0</v>
      </c>
      <c r="D2782" s="110"/>
      <c r="E2782" t="str">
        <f>VLOOKUP(B2782,CAC!$A$2:$B$198,2,FALSE)</f>
        <v>AGDMHC</v>
      </c>
    </row>
    <row r="2783" spans="1:5" x14ac:dyDescent="0.25">
      <c r="A2783" s="108">
        <v>201704</v>
      </c>
      <c r="B2783" s="109" t="s">
        <v>52</v>
      </c>
      <c r="C2783" s="108">
        <v>16158</v>
      </c>
      <c r="D2783" s="110"/>
      <c r="E2783" t="str">
        <f>VLOOKUP(B2783,CAC!$A$2:$B$198,2,FALSE)</f>
        <v>HMOPMR</v>
      </c>
    </row>
    <row r="2784" spans="1:5" x14ac:dyDescent="0.25">
      <c r="A2784" s="108">
        <v>201704</v>
      </c>
      <c r="B2784" s="109" t="s">
        <v>53</v>
      </c>
      <c r="C2784" s="108">
        <v>4833</v>
      </c>
      <c r="D2784" s="110"/>
      <c r="E2784" t="str">
        <f>VLOOKUP(B2784,CAC!$A$2:$B$198,2,FALSE)</f>
        <v>HMOPMR</v>
      </c>
    </row>
    <row r="2785" spans="1:5" x14ac:dyDescent="0.25">
      <c r="A2785" s="108">
        <v>201704</v>
      </c>
      <c r="B2785" s="109" t="s">
        <v>54</v>
      </c>
      <c r="C2785" s="108">
        <v>5700</v>
      </c>
      <c r="D2785" s="110"/>
      <c r="E2785" t="str">
        <f>VLOOKUP(B2785,CAC!$A$2:$B$198,2,FALSE)</f>
        <v>HMOFEP</v>
      </c>
    </row>
    <row r="2786" spans="1:5" x14ac:dyDescent="0.25">
      <c r="A2786" s="108">
        <v>201704</v>
      </c>
      <c r="B2786" s="109" t="s">
        <v>279</v>
      </c>
      <c r="C2786" s="108">
        <v>0</v>
      </c>
      <c r="D2786" s="110"/>
      <c r="E2786" t="str">
        <f>VLOOKUP(B2786,CAC!$A$2:$B$198,2,FALSE)</f>
        <v>PPOFEP</v>
      </c>
    </row>
    <row r="2787" spans="1:5" x14ac:dyDescent="0.25">
      <c r="A2787" s="108">
        <v>201704</v>
      </c>
      <c r="B2787" s="109" t="s">
        <v>202</v>
      </c>
      <c r="C2787" s="108">
        <v>0</v>
      </c>
      <c r="D2787" s="110"/>
      <c r="E2787" t="str">
        <f>VLOOKUP(B2787,CAC!$A$2:$B$198,2,FALSE)</f>
        <v>PPOPMR</v>
      </c>
    </row>
    <row r="2788" spans="1:5" x14ac:dyDescent="0.25">
      <c r="A2788" s="108">
        <v>201704</v>
      </c>
      <c r="B2788" s="109" t="s">
        <v>55</v>
      </c>
      <c r="C2788" s="108">
        <v>17363</v>
      </c>
      <c r="D2788" s="110"/>
      <c r="E2788" t="str">
        <f>VLOOKUP(B2788,CAC!$A$2:$B$198,2,FALSE)</f>
        <v>HMOPMR</v>
      </c>
    </row>
    <row r="2789" spans="1:5" x14ac:dyDescent="0.25">
      <c r="A2789" s="108">
        <v>201704</v>
      </c>
      <c r="B2789" s="109" t="s">
        <v>56</v>
      </c>
      <c r="C2789" s="108">
        <v>37</v>
      </c>
      <c r="D2789" s="110"/>
      <c r="E2789" t="str">
        <f>VLOOKUP(B2789,CAC!$A$2:$B$198,2,FALSE)</f>
        <v>HMOPMR</v>
      </c>
    </row>
    <row r="2790" spans="1:5" x14ac:dyDescent="0.25">
      <c r="A2790" s="108">
        <v>201704</v>
      </c>
      <c r="B2790" s="109" t="s">
        <v>57</v>
      </c>
      <c r="C2790" s="108">
        <v>4069</v>
      </c>
      <c r="D2790" s="110"/>
      <c r="E2790" t="str">
        <f>VLOOKUP(B2790,CAC!$A$2:$B$198,2,FALSE)</f>
        <v>HMFLEX</v>
      </c>
    </row>
    <row r="2791" spans="1:5" x14ac:dyDescent="0.25">
      <c r="A2791" s="108">
        <v>201704</v>
      </c>
      <c r="B2791" s="109" t="s">
        <v>58</v>
      </c>
      <c r="C2791" s="108">
        <v>339</v>
      </c>
      <c r="D2791" s="110"/>
      <c r="E2791" t="str">
        <f>VLOOKUP(B2791,CAC!$A$2:$B$198,2,FALSE)</f>
        <v>HMFLEX</v>
      </c>
    </row>
    <row r="2792" spans="1:5" x14ac:dyDescent="0.25">
      <c r="A2792" s="108">
        <v>201704</v>
      </c>
      <c r="B2792" s="109" t="s">
        <v>306</v>
      </c>
      <c r="C2792" s="108">
        <v>0</v>
      </c>
      <c r="D2792" s="110"/>
      <c r="E2792" t="e">
        <f>VLOOKUP(B2792,CAC!$A$2:$B$198,2,FALSE)</f>
        <v>#N/A</v>
      </c>
    </row>
    <row r="2793" spans="1:5" x14ac:dyDescent="0.25">
      <c r="A2793" s="108">
        <v>201704</v>
      </c>
      <c r="B2793" s="109" t="s">
        <v>283</v>
      </c>
      <c r="C2793" s="108">
        <v>0</v>
      </c>
      <c r="D2793" s="110"/>
      <c r="E2793" t="str">
        <f>VLOOKUP(B2793,CAC!$A$2:$B$198,2,FALSE)</f>
        <v>HMFLEX</v>
      </c>
    </row>
    <row r="2794" spans="1:5" x14ac:dyDescent="0.25">
      <c r="A2794" s="108">
        <v>201704</v>
      </c>
      <c r="B2794" s="109" t="s">
        <v>205</v>
      </c>
      <c r="C2794" s="108">
        <v>0</v>
      </c>
      <c r="D2794" s="110"/>
      <c r="E2794" t="str">
        <f>VLOOKUP(B2794,CAC!$A$2:$B$198,2,FALSE)</f>
        <v>PPOPMR</v>
      </c>
    </row>
    <row r="2795" spans="1:5" x14ac:dyDescent="0.25">
      <c r="A2795" s="108">
        <v>201704</v>
      </c>
      <c r="B2795" s="109" t="s">
        <v>60</v>
      </c>
      <c r="C2795" s="108">
        <v>9109</v>
      </c>
      <c r="D2795" s="110"/>
      <c r="E2795" t="str">
        <f>VLOOKUP(B2795,CAC!$A$2:$B$198,2,FALSE)</f>
        <v>HMOLG</v>
      </c>
    </row>
    <row r="2796" spans="1:5" x14ac:dyDescent="0.25">
      <c r="A2796" s="108">
        <v>201704</v>
      </c>
      <c r="B2796" s="109" t="s">
        <v>61</v>
      </c>
      <c r="C2796" s="108">
        <v>915</v>
      </c>
      <c r="D2796" s="110"/>
      <c r="E2796" t="str">
        <f>VLOOKUP(B2796,CAC!$A$2:$B$198,2,FALSE)</f>
        <v>HMOLG</v>
      </c>
    </row>
    <row r="2797" spans="1:5" x14ac:dyDescent="0.25">
      <c r="A2797" s="108">
        <v>201704</v>
      </c>
      <c r="B2797" s="109" t="s">
        <v>62</v>
      </c>
      <c r="C2797" s="108">
        <v>15885</v>
      </c>
      <c r="D2797" s="110"/>
      <c r="E2797" t="str">
        <f>VLOOKUP(B2797,CAC!$A$2:$B$198,2,FALSE)</f>
        <v>HMOLG</v>
      </c>
    </row>
    <row r="2798" spans="1:5" x14ac:dyDescent="0.25">
      <c r="A2798" s="108">
        <v>201704</v>
      </c>
      <c r="B2798" s="109" t="s">
        <v>86</v>
      </c>
      <c r="C2798" s="108">
        <v>1950</v>
      </c>
      <c r="D2798" s="110"/>
      <c r="E2798" t="str">
        <f>VLOOKUP(B2798,CAC!$A$2:$B$198,2,FALSE)</f>
        <v>HMOLG</v>
      </c>
    </row>
    <row r="2799" spans="1:5" x14ac:dyDescent="0.25">
      <c r="A2799" s="108">
        <v>201704</v>
      </c>
      <c r="B2799" s="109" t="s">
        <v>63</v>
      </c>
      <c r="C2799" s="108">
        <v>57</v>
      </c>
      <c r="D2799" s="110"/>
      <c r="E2799" t="str">
        <f>VLOOKUP(B2799,CAC!$A$2:$B$198,2,FALSE)</f>
        <v>HMOLG</v>
      </c>
    </row>
    <row r="2800" spans="1:5" x14ac:dyDescent="0.25">
      <c r="A2800" s="108">
        <v>201704</v>
      </c>
      <c r="B2800" s="109" t="s">
        <v>64</v>
      </c>
      <c r="C2800" s="108">
        <v>0</v>
      </c>
      <c r="D2800" s="110"/>
      <c r="E2800" t="str">
        <f>VLOOKUP(B2800,CAC!$A$2:$B$198,2,FALSE)</f>
        <v>HMOLG</v>
      </c>
    </row>
    <row r="2801" spans="1:5" x14ac:dyDescent="0.25">
      <c r="A2801" s="108">
        <v>201704</v>
      </c>
      <c r="B2801" s="109" t="s">
        <v>65</v>
      </c>
      <c r="C2801" s="108">
        <v>221</v>
      </c>
      <c r="D2801" s="110"/>
      <c r="E2801" t="str">
        <f>VLOOKUP(B2801,CAC!$A$2:$B$198,2,FALSE)</f>
        <v>HMFLEX</v>
      </c>
    </row>
    <row r="2802" spans="1:5" x14ac:dyDescent="0.25">
      <c r="A2802" s="108">
        <v>201704</v>
      </c>
      <c r="B2802" s="109" t="s">
        <v>307</v>
      </c>
      <c r="C2802" s="108">
        <v>0</v>
      </c>
      <c r="D2802" s="110"/>
      <c r="E2802" t="e">
        <f>VLOOKUP(B2802,CAC!$A$2:$B$198,2,FALSE)</f>
        <v>#N/A</v>
      </c>
    </row>
    <row r="2803" spans="1:5" x14ac:dyDescent="0.25">
      <c r="A2803" s="108">
        <v>201704</v>
      </c>
      <c r="B2803" s="109" t="s">
        <v>308</v>
      </c>
      <c r="C2803" s="108">
        <v>0</v>
      </c>
      <c r="D2803" s="110"/>
      <c r="E2803" t="e">
        <f>VLOOKUP(B2803,CAC!$A$2:$B$198,2,FALSE)</f>
        <v>#N/A</v>
      </c>
    </row>
    <row r="2804" spans="1:5" x14ac:dyDescent="0.25">
      <c r="A2804" s="108">
        <v>201704</v>
      </c>
      <c r="B2804" s="109" t="s">
        <v>309</v>
      </c>
      <c r="C2804" s="108">
        <v>0</v>
      </c>
      <c r="D2804" s="110"/>
      <c r="E2804" t="e">
        <f>VLOOKUP(B2804,CAC!$A$2:$B$198,2,FALSE)</f>
        <v>#N/A</v>
      </c>
    </row>
    <row r="2805" spans="1:5" x14ac:dyDescent="0.25">
      <c r="A2805" s="108">
        <v>201704</v>
      </c>
      <c r="B2805" s="109" t="s">
        <v>99</v>
      </c>
      <c r="C2805" s="108">
        <v>0</v>
      </c>
      <c r="D2805" s="110"/>
      <c r="E2805" t="str">
        <f>VLOOKUP(B2805,CAC!$A$2:$B$198,2,FALSE)</f>
        <v>PPOLG</v>
      </c>
    </row>
    <row r="2806" spans="1:5" x14ac:dyDescent="0.25">
      <c r="A2806" s="108">
        <v>201704</v>
      </c>
      <c r="B2806" s="109" t="s">
        <v>193</v>
      </c>
      <c r="C2806" s="108">
        <v>0</v>
      </c>
      <c r="D2806" s="110"/>
      <c r="E2806" t="str">
        <f>VLOOKUP(B2806,CAC!$A$2:$B$198,2,FALSE)</f>
        <v>PPOLG</v>
      </c>
    </row>
    <row r="2807" spans="1:5" x14ac:dyDescent="0.25">
      <c r="A2807" s="108">
        <v>201704</v>
      </c>
      <c r="B2807" s="109" t="s">
        <v>196</v>
      </c>
      <c r="C2807" s="108">
        <v>0</v>
      </c>
      <c r="D2807" s="110"/>
      <c r="E2807" t="str">
        <f>VLOOKUP(B2807,CAC!$A$2:$B$198,2,FALSE)</f>
        <v>PPOLG</v>
      </c>
    </row>
    <row r="2808" spans="1:5" x14ac:dyDescent="0.25">
      <c r="A2808" s="108">
        <v>201704</v>
      </c>
      <c r="B2808" s="109" t="s">
        <v>212</v>
      </c>
      <c r="C2808" s="108">
        <v>0</v>
      </c>
      <c r="D2808" s="110"/>
      <c r="E2808" t="str">
        <f>VLOOKUP(B2808,CAC!$A$2:$B$198,2,FALSE)</f>
        <v>PPOMM</v>
      </c>
    </row>
    <row r="2809" spans="1:5" x14ac:dyDescent="0.25">
      <c r="A2809" s="108">
        <v>201704</v>
      </c>
      <c r="B2809" s="109" t="s">
        <v>213</v>
      </c>
      <c r="C2809" s="108">
        <v>0</v>
      </c>
      <c r="D2809" s="110"/>
      <c r="E2809" t="str">
        <f>VLOOKUP(B2809,CAC!$A$2:$B$198,2,FALSE)</f>
        <v>PPOMM</v>
      </c>
    </row>
    <row r="2810" spans="1:5" x14ac:dyDescent="0.25">
      <c r="A2810" s="108">
        <v>201704</v>
      </c>
      <c r="B2810" s="109" t="s">
        <v>311</v>
      </c>
      <c r="C2810" s="108">
        <v>0</v>
      </c>
      <c r="D2810" s="110"/>
      <c r="E2810" t="e">
        <f>VLOOKUP(B2810,CAC!$A$2:$B$198,2,FALSE)</f>
        <v>#N/A</v>
      </c>
    </row>
    <row r="2811" spans="1:5" x14ac:dyDescent="0.25">
      <c r="A2811" s="108">
        <v>201704</v>
      </c>
      <c r="B2811" s="109" t="s">
        <v>321</v>
      </c>
      <c r="C2811" s="108">
        <v>0</v>
      </c>
      <c r="D2811" s="110"/>
      <c r="E2811" t="e">
        <f>VLOOKUP(B2811,CAC!$A$2:$B$198,2,FALSE)</f>
        <v>#N/A</v>
      </c>
    </row>
    <row r="2812" spans="1:5" x14ac:dyDescent="0.25">
      <c r="A2812" s="108">
        <v>201704</v>
      </c>
      <c r="B2812" s="109" t="s">
        <v>312</v>
      </c>
      <c r="C2812" s="108">
        <v>0</v>
      </c>
      <c r="D2812" s="110"/>
      <c r="E2812" t="e">
        <f>VLOOKUP(B2812,CAC!$A$2:$B$198,2,FALSE)</f>
        <v>#N/A</v>
      </c>
    </row>
    <row r="2813" spans="1:5" x14ac:dyDescent="0.25">
      <c r="A2813" s="108">
        <v>201704</v>
      </c>
      <c r="B2813" s="109" t="s">
        <v>215</v>
      </c>
      <c r="C2813" s="108">
        <v>0</v>
      </c>
      <c r="D2813" s="110"/>
      <c r="E2813" t="str">
        <f>VLOOKUP(B2813,CAC!$A$2:$B$198,2,FALSE)</f>
        <v>PPOMM</v>
      </c>
    </row>
    <row r="2814" spans="1:5" x14ac:dyDescent="0.25">
      <c r="A2814" s="108">
        <v>201704</v>
      </c>
      <c r="B2814" s="109" t="s">
        <v>66</v>
      </c>
      <c r="C2814" s="108">
        <v>5157</v>
      </c>
      <c r="D2814" s="110"/>
      <c r="E2814" t="str">
        <f>VLOOKUP(B2814,CAC!$A$2:$B$198,2,FALSE)</f>
        <v>HMOLG</v>
      </c>
    </row>
    <row r="2815" spans="1:5" x14ac:dyDescent="0.25">
      <c r="A2815" s="108">
        <v>201704</v>
      </c>
      <c r="B2815" s="109" t="s">
        <v>82</v>
      </c>
      <c r="C2815" s="108">
        <v>1</v>
      </c>
      <c r="D2815" s="110"/>
      <c r="E2815" t="str">
        <f>VLOOKUP(B2815,CAC!$A$2:$B$198,2,FALSE)</f>
        <v>NATPAR</v>
      </c>
    </row>
    <row r="2816" spans="1:5" x14ac:dyDescent="0.25">
      <c r="A2816" s="108">
        <v>201704</v>
      </c>
      <c r="B2816" s="109" t="s">
        <v>67</v>
      </c>
      <c r="C2816" s="108">
        <v>175</v>
      </c>
      <c r="D2816" s="110"/>
      <c r="E2816" t="str">
        <f>VLOOKUP(B2816,CAC!$A$2:$B$198,2,FALSE)</f>
        <v>HMOLG</v>
      </c>
    </row>
    <row r="2817" spans="1:5" x14ac:dyDescent="0.25">
      <c r="A2817" s="108">
        <v>201704</v>
      </c>
      <c r="B2817" s="109" t="s">
        <v>68</v>
      </c>
      <c r="C2817" s="108">
        <v>281</v>
      </c>
      <c r="D2817" s="110"/>
      <c r="E2817" t="str">
        <f>VLOOKUP(B2817,CAC!$A$2:$B$198,2,FALSE)</f>
        <v>HMOPMR</v>
      </c>
    </row>
    <row r="2818" spans="1:5" x14ac:dyDescent="0.25">
      <c r="A2818" s="108">
        <v>201704</v>
      </c>
      <c r="B2818" s="109" t="s">
        <v>69</v>
      </c>
      <c r="C2818" s="108">
        <v>9856</v>
      </c>
      <c r="D2818" s="110"/>
      <c r="E2818" t="str">
        <f>VLOOKUP(B2818,CAC!$A$2:$B$198,2,FALSE)</f>
        <v>HMOPMR</v>
      </c>
    </row>
    <row r="2819" spans="1:5" x14ac:dyDescent="0.25">
      <c r="A2819" s="108">
        <v>201704</v>
      </c>
      <c r="B2819" s="109" t="s">
        <v>70</v>
      </c>
      <c r="C2819" s="108">
        <v>948</v>
      </c>
      <c r="D2819" s="110"/>
      <c r="E2819" t="str">
        <f>VLOOKUP(B2819,CAC!$A$2:$B$198,2,FALSE)</f>
        <v>HMOPMR</v>
      </c>
    </row>
    <row r="2820" spans="1:5" x14ac:dyDescent="0.25">
      <c r="A2820" s="108">
        <v>201704</v>
      </c>
      <c r="B2820" s="109" t="s">
        <v>71</v>
      </c>
      <c r="C2820" s="108">
        <v>5618</v>
      </c>
      <c r="D2820" s="110"/>
      <c r="E2820" t="str">
        <f>VLOOKUP(B2820,CAC!$A$2:$B$198,2,FALSE)</f>
        <v>HMOPMR</v>
      </c>
    </row>
    <row r="2821" spans="1:5" x14ac:dyDescent="0.25">
      <c r="A2821" s="108">
        <v>201704</v>
      </c>
      <c r="B2821" s="109" t="s">
        <v>72</v>
      </c>
      <c r="C2821" s="108">
        <v>5122</v>
      </c>
      <c r="D2821" s="110"/>
      <c r="E2821" t="str">
        <f>VLOOKUP(B2821,CAC!$A$2:$B$198,2,FALSE)</f>
        <v>HMFLEX</v>
      </c>
    </row>
    <row r="2822" spans="1:5" x14ac:dyDescent="0.25">
      <c r="A2822" s="108">
        <v>201704</v>
      </c>
      <c r="B2822" s="109" t="s">
        <v>314</v>
      </c>
      <c r="C2822" s="108">
        <v>0</v>
      </c>
      <c r="D2822" s="110"/>
      <c r="E2822" t="e">
        <f>VLOOKUP(B2822,CAC!$A$2:$B$198,2,FALSE)</f>
        <v>#N/A</v>
      </c>
    </row>
    <row r="2823" spans="1:5" x14ac:dyDescent="0.25">
      <c r="A2823" s="108">
        <v>201704</v>
      </c>
      <c r="B2823" s="109" t="s">
        <v>315</v>
      </c>
      <c r="C2823" s="108">
        <v>0</v>
      </c>
      <c r="D2823" s="110"/>
      <c r="E2823" t="e">
        <f>VLOOKUP(B2823,CAC!$A$2:$B$198,2,FALSE)</f>
        <v>#N/A</v>
      </c>
    </row>
    <row r="2824" spans="1:5" x14ac:dyDescent="0.25">
      <c r="A2824" s="108">
        <v>201704</v>
      </c>
      <c r="B2824" s="109" t="s">
        <v>112</v>
      </c>
      <c r="C2824" s="108">
        <v>0</v>
      </c>
      <c r="D2824" s="110"/>
      <c r="E2824" t="e">
        <f>VLOOKUP(B2824,CAC!$A$2:$B$198,2,FALSE)</f>
        <v>#N/A</v>
      </c>
    </row>
    <row r="2825" spans="1:5" x14ac:dyDescent="0.25">
      <c r="A2825" s="108">
        <v>201704</v>
      </c>
      <c r="B2825" s="109" t="s">
        <v>316</v>
      </c>
      <c r="C2825" s="108">
        <v>0</v>
      </c>
      <c r="D2825" s="110"/>
      <c r="E2825" t="e">
        <f>VLOOKUP(B2825,CAC!$A$2:$B$198,2,FALSE)</f>
        <v>#N/A</v>
      </c>
    </row>
    <row r="2826" spans="1:5" x14ac:dyDescent="0.25">
      <c r="A2826" s="108">
        <v>201704</v>
      </c>
      <c r="B2826" s="109" t="s">
        <v>317</v>
      </c>
      <c r="C2826" s="108">
        <v>0</v>
      </c>
      <c r="D2826" s="110"/>
      <c r="E2826" t="e">
        <f>VLOOKUP(B2826,CAC!$A$2:$B$198,2,FALSE)</f>
        <v>#N/A</v>
      </c>
    </row>
    <row r="2827" spans="1:5" x14ac:dyDescent="0.25">
      <c r="A2827" s="108">
        <v>201704</v>
      </c>
      <c r="B2827" s="109" t="s">
        <v>113</v>
      </c>
      <c r="C2827" s="108">
        <v>0</v>
      </c>
      <c r="D2827" s="110"/>
      <c r="E2827" t="str">
        <f>VLOOKUP(B2827,CAC!$A$2:$B$198,2,FALSE)</f>
        <v>PPOLG</v>
      </c>
    </row>
    <row r="2828" spans="1:5" x14ac:dyDescent="0.25">
      <c r="A2828" s="108">
        <v>201704</v>
      </c>
      <c r="B2828" s="109" t="s">
        <v>208</v>
      </c>
      <c r="C2828" s="108">
        <v>0</v>
      </c>
      <c r="D2828" s="110"/>
      <c r="E2828" t="str">
        <f>VLOOKUP(B2828,CAC!$A$2:$B$198,2,FALSE)</f>
        <v>PPOPMR</v>
      </c>
    </row>
    <row r="2829" spans="1:5" x14ac:dyDescent="0.25">
      <c r="A2829" s="108">
        <v>201704</v>
      </c>
      <c r="B2829" s="109" t="s">
        <v>291</v>
      </c>
      <c r="C2829" s="108">
        <v>0</v>
      </c>
      <c r="D2829" s="110"/>
      <c r="E2829" t="str">
        <f>VLOOKUP(B2829,CAC!$A$2:$B$198,2,FALSE)</f>
        <v>HMFLEX</v>
      </c>
    </row>
    <row r="2830" spans="1:5" x14ac:dyDescent="0.25">
      <c r="A2830" s="108">
        <v>201704</v>
      </c>
      <c r="B2830" s="109" t="s">
        <v>204</v>
      </c>
      <c r="C2830" s="108">
        <v>0</v>
      </c>
      <c r="D2830" s="110"/>
      <c r="E2830" t="str">
        <f>VLOOKUP(B2830,CAC!$A$2:$B$198,2,FALSE)</f>
        <v>PPOPMR</v>
      </c>
    </row>
    <row r="2831" spans="1:5" x14ac:dyDescent="0.25">
      <c r="A2831" s="108">
        <v>201704</v>
      </c>
      <c r="B2831" s="109" t="s">
        <v>330</v>
      </c>
      <c r="C2831" s="108">
        <v>0</v>
      </c>
      <c r="D2831" s="110"/>
      <c r="E2831" t="e">
        <f>VLOOKUP(B2831,CAC!$A$2:$B$198,2,FALSE)</f>
        <v>#N/A</v>
      </c>
    </row>
    <row r="2832" spans="1:5" x14ac:dyDescent="0.25">
      <c r="A2832" s="108">
        <v>201704</v>
      </c>
      <c r="B2832" s="109" t="s">
        <v>73</v>
      </c>
      <c r="C2832" s="108">
        <v>36106</v>
      </c>
      <c r="D2832" s="108">
        <v>11769</v>
      </c>
      <c r="E2832" t="str">
        <f>VLOOKUP(B2832,CAC!$A$2:$B$198,2,FALSE)</f>
        <v>HMOPERA</v>
      </c>
    </row>
    <row r="2833" spans="1:5" x14ac:dyDescent="0.25">
      <c r="A2833" s="108">
        <v>201704</v>
      </c>
      <c r="B2833" s="109" t="s">
        <v>218</v>
      </c>
      <c r="C2833" s="108">
        <v>0</v>
      </c>
      <c r="D2833" s="110"/>
      <c r="E2833" t="str">
        <f>VLOOKUP(B2833,CAC!$A$2:$B$198,2,FALSE)</f>
        <v>HMOPERA</v>
      </c>
    </row>
    <row r="2834" spans="1:5" x14ac:dyDescent="0.25">
      <c r="A2834" s="108">
        <v>201704</v>
      </c>
      <c r="B2834" s="109" t="s">
        <v>156</v>
      </c>
      <c r="C2834" s="108">
        <v>27209</v>
      </c>
      <c r="D2834" s="110"/>
      <c r="E2834" t="str">
        <f>VLOOKUP(B2834,CAC!$A$2:$B$198,2,FALSE)</f>
        <v>HMOMM</v>
      </c>
    </row>
    <row r="2835" spans="1:5" x14ac:dyDescent="0.25">
      <c r="A2835" s="108">
        <v>201704</v>
      </c>
      <c r="B2835" s="109" t="s">
        <v>84</v>
      </c>
      <c r="C2835" s="108">
        <v>5794</v>
      </c>
      <c r="D2835" s="110"/>
      <c r="E2835" t="str">
        <f>VLOOKUP(B2835,CAC!$A$2:$B$198,2,FALSE)</f>
        <v>HMOMM</v>
      </c>
    </row>
    <row r="2836" spans="1:5" x14ac:dyDescent="0.25">
      <c r="A2836" s="108">
        <v>201704</v>
      </c>
      <c r="B2836" s="109" t="s">
        <v>162</v>
      </c>
      <c r="C2836" s="108">
        <v>419</v>
      </c>
      <c r="D2836" s="110"/>
      <c r="E2836" t="str">
        <f>VLOOKUP(B2836,CAC!$A$2:$B$198,2,FALSE)</f>
        <v>HMOMG</v>
      </c>
    </row>
    <row r="2837" spans="1:5" x14ac:dyDescent="0.25">
      <c r="A2837" s="108">
        <v>201704</v>
      </c>
      <c r="B2837" s="109" t="s">
        <v>163</v>
      </c>
      <c r="C2837" s="108">
        <v>72</v>
      </c>
      <c r="D2837" s="110"/>
      <c r="E2837" t="str">
        <f>VLOOKUP(B2837,CAC!$A$2:$B$198,2,FALSE)</f>
        <v>HMOMG</v>
      </c>
    </row>
    <row r="2838" spans="1:5" x14ac:dyDescent="0.25">
      <c r="A2838" s="108">
        <v>201704</v>
      </c>
      <c r="B2838" s="109" t="s">
        <v>164</v>
      </c>
      <c r="C2838" s="108">
        <v>0</v>
      </c>
      <c r="D2838" s="110"/>
      <c r="E2838" t="str">
        <f>VLOOKUP(B2838,CAC!$A$2:$B$198,2,FALSE)</f>
        <v>HMOMG</v>
      </c>
    </row>
    <row r="2839" spans="1:5" x14ac:dyDescent="0.25">
      <c r="A2839" s="108">
        <v>201704</v>
      </c>
      <c r="B2839" s="109" t="s">
        <v>85</v>
      </c>
      <c r="C2839" s="108">
        <v>664</v>
      </c>
      <c r="D2839" s="110"/>
      <c r="E2839" t="str">
        <f>VLOOKUP(B2839,CAC!$A$2:$B$198,2,FALSE)</f>
        <v>HMOMG</v>
      </c>
    </row>
    <row r="2840" spans="1:5" x14ac:dyDescent="0.25">
      <c r="A2840" s="108">
        <v>201704</v>
      </c>
      <c r="B2840" s="109" t="s">
        <v>77</v>
      </c>
      <c r="C2840" s="108">
        <v>26554</v>
      </c>
      <c r="D2840" s="110"/>
      <c r="E2840" t="str">
        <f>VLOOKUP(B2840,CAC!$A$2:$B$198,2,FALSE)</f>
        <v>HMOSG</v>
      </c>
    </row>
    <row r="2841" spans="1:5" x14ac:dyDescent="0.25">
      <c r="A2841" s="108">
        <v>201704</v>
      </c>
      <c r="B2841" s="109" t="s">
        <v>78</v>
      </c>
      <c r="C2841" s="108">
        <v>359</v>
      </c>
      <c r="D2841" s="110"/>
      <c r="E2841" t="str">
        <f>VLOOKUP(B2841,CAC!$A$2:$B$198,2,FALSE)</f>
        <v>HMOSG</v>
      </c>
    </row>
    <row r="2842" spans="1:5" x14ac:dyDescent="0.25">
      <c r="A2842" s="108">
        <v>201704</v>
      </c>
      <c r="B2842" s="109" t="s">
        <v>79</v>
      </c>
      <c r="C2842" s="108">
        <v>88</v>
      </c>
      <c r="D2842" s="110"/>
      <c r="E2842" t="str">
        <f>VLOOKUP(B2842,CAC!$A$2:$B$198,2,FALSE)</f>
        <v>HMOSG</v>
      </c>
    </row>
    <row r="2843" spans="1:5" x14ac:dyDescent="0.25">
      <c r="A2843" s="108">
        <v>201704</v>
      </c>
      <c r="B2843" s="109" t="s">
        <v>222</v>
      </c>
      <c r="C2843" s="108">
        <v>0</v>
      </c>
      <c r="D2843" s="110"/>
      <c r="E2843" t="str">
        <f>VLOOKUP(B2843,CAC!$A$2:$B$198,2,FALSE)</f>
        <v>PPOSG</v>
      </c>
    </row>
    <row r="2844" spans="1:5" x14ac:dyDescent="0.25">
      <c r="A2844" s="108">
        <v>201704</v>
      </c>
      <c r="B2844" s="109" t="s">
        <v>225</v>
      </c>
      <c r="C2844" s="108">
        <v>0</v>
      </c>
      <c r="D2844" s="110"/>
      <c r="E2844" t="str">
        <f>VLOOKUP(B2844,CAC!$A$2:$B$198,2,FALSE)</f>
        <v>PPOSG</v>
      </c>
    </row>
    <row r="2845" spans="1:5" x14ac:dyDescent="0.25">
      <c r="A2845" s="108">
        <v>201704</v>
      </c>
      <c r="B2845" s="109" t="s">
        <v>226</v>
      </c>
      <c r="C2845" s="108">
        <v>0</v>
      </c>
      <c r="D2845" s="110"/>
      <c r="E2845" t="str">
        <f>VLOOKUP(B2845,CAC!$A$2:$B$198,2,FALSE)</f>
        <v>PPOSG</v>
      </c>
    </row>
    <row r="2846" spans="1:5" x14ac:dyDescent="0.25">
      <c r="A2846" s="108">
        <v>201704</v>
      </c>
      <c r="B2846" s="109" t="s">
        <v>89</v>
      </c>
      <c r="C2846" s="108">
        <v>1202</v>
      </c>
      <c r="D2846" s="110"/>
      <c r="E2846" t="str">
        <f>VLOOKUP(B2846,CAC!$A$2:$B$198,2,FALSE)</f>
        <v>HMOIFP</v>
      </c>
    </row>
    <row r="2847" spans="1:5" x14ac:dyDescent="0.25">
      <c r="A2847" s="108">
        <v>201704</v>
      </c>
      <c r="B2847" s="109" t="s">
        <v>90</v>
      </c>
      <c r="C2847" s="108">
        <v>645</v>
      </c>
      <c r="D2847" s="110"/>
      <c r="E2847" t="str">
        <f>VLOOKUP(B2847,CAC!$A$2:$B$198,2,FALSE)</f>
        <v>HMOIFP</v>
      </c>
    </row>
    <row r="2848" spans="1:5" x14ac:dyDescent="0.25">
      <c r="A2848" s="108">
        <v>201704</v>
      </c>
      <c r="B2848" s="109" t="s">
        <v>186</v>
      </c>
      <c r="C2848" s="108">
        <v>0</v>
      </c>
      <c r="D2848" s="110"/>
      <c r="E2848" t="str">
        <f>VLOOKUP(B2848,CAC!$A$2:$B$198,2,FALSE)</f>
        <v>PPOIFP</v>
      </c>
    </row>
    <row r="2849" spans="1:5" x14ac:dyDescent="0.25">
      <c r="A2849" s="108">
        <v>201704</v>
      </c>
      <c r="B2849" s="109" t="s">
        <v>188</v>
      </c>
      <c r="C2849" s="108">
        <v>0</v>
      </c>
      <c r="D2849" s="110"/>
      <c r="E2849" t="str">
        <f>VLOOKUP(B2849,CAC!$A$2:$B$198,2,FALSE)</f>
        <v>PPOIFP</v>
      </c>
    </row>
    <row r="2850" spans="1:5" x14ac:dyDescent="0.25">
      <c r="A2850" s="108">
        <v>201704</v>
      </c>
      <c r="B2850" s="109" t="s">
        <v>189</v>
      </c>
      <c r="C2850" s="108">
        <v>0</v>
      </c>
      <c r="D2850" s="110"/>
      <c r="E2850" t="str">
        <f>VLOOKUP(B2850,CAC!$A$2:$B$198,2,FALSE)</f>
        <v>PPOIFP</v>
      </c>
    </row>
    <row r="2851" spans="1:5" x14ac:dyDescent="0.25">
      <c r="A2851" s="108">
        <v>201704</v>
      </c>
      <c r="B2851" s="109" t="s">
        <v>331</v>
      </c>
      <c r="C2851" s="108">
        <v>0</v>
      </c>
      <c r="D2851" s="110"/>
      <c r="E2851" t="e">
        <f>VLOOKUP(B2851,CAC!$A$2:$B$198,2,FALSE)</f>
        <v>#N/A</v>
      </c>
    </row>
    <row r="2852" spans="1:5" x14ac:dyDescent="0.25">
      <c r="A2852" s="108">
        <v>201704</v>
      </c>
      <c r="B2852" s="109" t="s">
        <v>216</v>
      </c>
      <c r="C2852" s="108">
        <v>0</v>
      </c>
      <c r="D2852" s="110"/>
      <c r="E2852" t="str">
        <f>VLOOKUP(B2852,CAC!$A$2:$B$198,2,FALSE)</f>
        <v>PPOMM</v>
      </c>
    </row>
    <row r="2853" spans="1:5" x14ac:dyDescent="0.25">
      <c r="A2853" s="108">
        <v>201704</v>
      </c>
      <c r="B2853" s="109" t="s">
        <v>301</v>
      </c>
      <c r="C2853" s="108">
        <v>0</v>
      </c>
      <c r="D2853" s="110"/>
      <c r="E2853" t="str">
        <f>VLOOKUP(B2853,CAC!$A$2:$B$198,2,FALSE)</f>
        <v>XXX</v>
      </c>
    </row>
    <row r="2854" spans="1:5" x14ac:dyDescent="0.25">
      <c r="A2854" s="108">
        <v>201705</v>
      </c>
      <c r="B2854" s="109" t="s">
        <v>51</v>
      </c>
      <c r="C2854" s="108">
        <v>21</v>
      </c>
      <c r="D2854" s="110"/>
      <c r="E2854" t="str">
        <f>VLOOKUP(B2854,CAC!$A$2:$B$198,2,FALSE)</f>
        <v>XXX</v>
      </c>
    </row>
    <row r="2855" spans="1:5" x14ac:dyDescent="0.25">
      <c r="A2855" s="108">
        <v>201705</v>
      </c>
      <c r="B2855" s="109" t="s">
        <v>303</v>
      </c>
      <c r="C2855" s="108">
        <v>0</v>
      </c>
      <c r="D2855" s="110"/>
      <c r="E2855" t="e">
        <f>VLOOKUP(B2855,CAC!$A$2:$B$198,2,FALSE)</f>
        <v>#N/A</v>
      </c>
    </row>
    <row r="2856" spans="1:5" x14ac:dyDescent="0.25">
      <c r="A2856" s="108">
        <v>201705</v>
      </c>
      <c r="B2856" s="109" t="s">
        <v>304</v>
      </c>
      <c r="C2856" s="108">
        <v>0</v>
      </c>
      <c r="D2856" s="110"/>
      <c r="E2856" t="e">
        <f>VLOOKUP(B2856,CAC!$A$2:$B$198,2,FALSE)</f>
        <v>#N/A</v>
      </c>
    </row>
    <row r="2857" spans="1:5" x14ac:dyDescent="0.25">
      <c r="A2857" s="108">
        <v>201705</v>
      </c>
      <c r="B2857" s="109" t="s">
        <v>323</v>
      </c>
      <c r="C2857" s="108">
        <v>0</v>
      </c>
      <c r="D2857" s="110"/>
      <c r="E2857" t="e">
        <f>VLOOKUP(B2857,CAC!$A$2:$B$198,2,FALSE)</f>
        <v>#N/A</v>
      </c>
    </row>
    <row r="2858" spans="1:5" x14ac:dyDescent="0.25">
      <c r="A2858" s="108">
        <v>201705</v>
      </c>
      <c r="B2858" s="109" t="s">
        <v>305</v>
      </c>
      <c r="C2858" s="108">
        <v>0</v>
      </c>
      <c r="D2858" s="110"/>
      <c r="E2858" t="e">
        <f>VLOOKUP(B2858,CAC!$A$2:$B$198,2,FALSE)</f>
        <v>#N/A</v>
      </c>
    </row>
    <row r="2859" spans="1:5" x14ac:dyDescent="0.25">
      <c r="A2859" s="108">
        <v>201705</v>
      </c>
      <c r="B2859" s="109" t="s">
        <v>327</v>
      </c>
      <c r="C2859" s="108">
        <v>0</v>
      </c>
      <c r="D2859" s="110"/>
      <c r="E2859" t="e">
        <f>VLOOKUP(B2859,CAC!$A$2:$B$198,2,FALSE)</f>
        <v>#N/A</v>
      </c>
    </row>
    <row r="2860" spans="1:5" x14ac:dyDescent="0.25">
      <c r="A2860" s="108">
        <v>201705</v>
      </c>
      <c r="B2860" s="109" t="s">
        <v>326</v>
      </c>
      <c r="C2860" s="108">
        <v>0</v>
      </c>
      <c r="D2860" s="110"/>
      <c r="E2860" t="e">
        <f>VLOOKUP(B2860,CAC!$A$2:$B$198,2,FALSE)</f>
        <v>#N/A</v>
      </c>
    </row>
    <row r="2861" spans="1:5" x14ac:dyDescent="0.25">
      <c r="A2861" s="108">
        <v>201705</v>
      </c>
      <c r="B2861" s="109" t="s">
        <v>231</v>
      </c>
      <c r="C2861" s="108">
        <v>0</v>
      </c>
      <c r="D2861" s="110"/>
      <c r="E2861" t="str">
        <f>VLOOKUP(B2861,CAC!$A$2:$B$198,2,FALSE)</f>
        <v>DOILG</v>
      </c>
    </row>
    <row r="2862" spans="1:5" x14ac:dyDescent="0.25">
      <c r="A2862" s="108">
        <v>201705</v>
      </c>
      <c r="B2862" s="109" t="s">
        <v>237</v>
      </c>
      <c r="C2862" s="108">
        <v>0</v>
      </c>
      <c r="D2862" s="110"/>
      <c r="E2862" t="str">
        <f>VLOOKUP(B2862,CAC!$A$2:$B$198,2,FALSE)</f>
        <v>DOILG</v>
      </c>
    </row>
    <row r="2863" spans="1:5" x14ac:dyDescent="0.25">
      <c r="A2863" s="108">
        <v>201705</v>
      </c>
      <c r="B2863" s="109" t="s">
        <v>247</v>
      </c>
      <c r="C2863" s="108">
        <v>0</v>
      </c>
      <c r="D2863" s="110"/>
      <c r="E2863" t="str">
        <f>VLOOKUP(B2863,CAC!$A$2:$B$198,2,FALSE)</f>
        <v>DOIIFP</v>
      </c>
    </row>
    <row r="2864" spans="1:5" x14ac:dyDescent="0.25">
      <c r="A2864" s="108">
        <v>201705</v>
      </c>
      <c r="B2864" s="109" t="s">
        <v>238</v>
      </c>
      <c r="C2864" s="108">
        <v>0</v>
      </c>
      <c r="D2864" s="110"/>
      <c r="E2864" t="str">
        <f>VLOOKUP(B2864,CAC!$A$2:$B$198,2,FALSE)</f>
        <v>DOILG</v>
      </c>
    </row>
    <row r="2865" spans="1:5" x14ac:dyDescent="0.25">
      <c r="A2865" s="108">
        <v>201705</v>
      </c>
      <c r="B2865" s="109" t="s">
        <v>273</v>
      </c>
      <c r="C2865" s="108">
        <v>0</v>
      </c>
      <c r="D2865" s="110"/>
      <c r="E2865" t="str">
        <f>VLOOKUP(B2865,CAC!$A$2:$B$198,2,FALSE)</f>
        <v>AGDMHC</v>
      </c>
    </row>
    <row r="2866" spans="1:5" x14ac:dyDescent="0.25">
      <c r="A2866" s="108">
        <v>201705</v>
      </c>
      <c r="B2866" s="109" t="s">
        <v>328</v>
      </c>
      <c r="C2866" s="108">
        <v>0</v>
      </c>
      <c r="D2866" s="110"/>
      <c r="E2866" t="e">
        <f>VLOOKUP(B2866,CAC!$A$2:$B$198,2,FALSE)</f>
        <v>#N/A</v>
      </c>
    </row>
    <row r="2867" spans="1:5" x14ac:dyDescent="0.25">
      <c r="A2867" s="108">
        <v>201705</v>
      </c>
      <c r="B2867" s="109" t="s">
        <v>325</v>
      </c>
      <c r="C2867" s="108">
        <v>0</v>
      </c>
      <c r="D2867" s="110"/>
      <c r="E2867" t="e">
        <f>VLOOKUP(B2867,CAC!$A$2:$B$198,2,FALSE)</f>
        <v>#N/A</v>
      </c>
    </row>
    <row r="2868" spans="1:5" x14ac:dyDescent="0.25">
      <c r="A2868" s="108">
        <v>201705</v>
      </c>
      <c r="B2868" s="109" t="s">
        <v>255</v>
      </c>
      <c r="C2868" s="108">
        <v>0</v>
      </c>
      <c r="D2868" s="110"/>
      <c r="E2868" t="str">
        <f>VLOOKUP(B2868,CAC!$A$2:$B$198,2,FALSE)</f>
        <v>AGDMHC</v>
      </c>
    </row>
    <row r="2869" spans="1:5" x14ac:dyDescent="0.25">
      <c r="A2869" s="108">
        <v>201705</v>
      </c>
      <c r="B2869" s="109" t="s">
        <v>256</v>
      </c>
      <c r="C2869" s="108">
        <v>0</v>
      </c>
      <c r="D2869" s="110"/>
      <c r="E2869" t="str">
        <f>VLOOKUP(B2869,CAC!$A$2:$B$198,2,FALSE)</f>
        <v>AGDMHC</v>
      </c>
    </row>
    <row r="2870" spans="1:5" x14ac:dyDescent="0.25">
      <c r="A2870" s="108">
        <v>201705</v>
      </c>
      <c r="B2870" s="109" t="s">
        <v>257</v>
      </c>
      <c r="C2870" s="108">
        <v>0</v>
      </c>
      <c r="D2870" s="110"/>
      <c r="E2870" t="str">
        <f>VLOOKUP(B2870,CAC!$A$2:$B$198,2,FALSE)</f>
        <v>AGDMHC</v>
      </c>
    </row>
    <row r="2871" spans="1:5" x14ac:dyDescent="0.25">
      <c r="A2871" s="108">
        <v>201705</v>
      </c>
      <c r="B2871" s="109" t="s">
        <v>258</v>
      </c>
      <c r="C2871" s="108">
        <v>0</v>
      </c>
      <c r="D2871" s="110"/>
      <c r="E2871" t="str">
        <f>VLOOKUP(B2871,CAC!$A$2:$B$198,2,FALSE)</f>
        <v>AGDMHC</v>
      </c>
    </row>
    <row r="2872" spans="1:5" x14ac:dyDescent="0.25">
      <c r="A2872" s="108">
        <v>201705</v>
      </c>
      <c r="B2872" s="109" t="s">
        <v>259</v>
      </c>
      <c r="C2872" s="108">
        <v>0</v>
      </c>
      <c r="D2872" s="110"/>
      <c r="E2872" t="str">
        <f>VLOOKUP(B2872,CAC!$A$2:$B$198,2,FALSE)</f>
        <v>AGDMHC</v>
      </c>
    </row>
    <row r="2873" spans="1:5" x14ac:dyDescent="0.25">
      <c r="A2873" s="108">
        <v>201705</v>
      </c>
      <c r="B2873" s="109" t="s">
        <v>329</v>
      </c>
      <c r="C2873" s="108">
        <v>0</v>
      </c>
      <c r="D2873" s="110"/>
      <c r="E2873" t="e">
        <f>VLOOKUP(B2873,CAC!$A$2:$B$198,2,FALSE)</f>
        <v>#N/A</v>
      </c>
    </row>
    <row r="2874" spans="1:5" x14ac:dyDescent="0.25">
      <c r="A2874" s="108">
        <v>201705</v>
      </c>
      <c r="B2874" s="109" t="s">
        <v>262</v>
      </c>
      <c r="C2874" s="108">
        <v>0</v>
      </c>
      <c r="D2874" s="110"/>
      <c r="E2874" t="str">
        <f>VLOOKUP(B2874,CAC!$A$2:$B$198,2,FALSE)</f>
        <v>AGDMHC</v>
      </c>
    </row>
    <row r="2875" spans="1:5" x14ac:dyDescent="0.25">
      <c r="A2875" s="108">
        <v>201705</v>
      </c>
      <c r="B2875" s="109" t="s">
        <v>264</v>
      </c>
      <c r="C2875" s="108">
        <v>0</v>
      </c>
      <c r="D2875" s="110"/>
      <c r="E2875" t="str">
        <f>VLOOKUP(B2875,CAC!$A$2:$B$198,2,FALSE)</f>
        <v>AGDMHC</v>
      </c>
    </row>
    <row r="2876" spans="1:5" x14ac:dyDescent="0.25">
      <c r="A2876" s="108">
        <v>201705</v>
      </c>
      <c r="B2876" s="109" t="s">
        <v>269</v>
      </c>
      <c r="C2876" s="108">
        <v>0</v>
      </c>
      <c r="D2876" s="110"/>
      <c r="E2876" t="str">
        <f>VLOOKUP(B2876,CAC!$A$2:$B$198,2,FALSE)</f>
        <v>AGDMHC</v>
      </c>
    </row>
    <row r="2877" spans="1:5" x14ac:dyDescent="0.25">
      <c r="A2877" s="108">
        <v>201705</v>
      </c>
      <c r="B2877" s="109" t="s">
        <v>319</v>
      </c>
      <c r="C2877" s="108">
        <v>0</v>
      </c>
      <c r="D2877" s="110"/>
      <c r="E2877" t="e">
        <f>VLOOKUP(B2877,CAC!$A$2:$B$198,2,FALSE)</f>
        <v>#N/A</v>
      </c>
    </row>
    <row r="2878" spans="1:5" x14ac:dyDescent="0.25">
      <c r="A2878" s="108">
        <v>201705</v>
      </c>
      <c r="B2878" s="109" t="s">
        <v>267</v>
      </c>
      <c r="C2878" s="108">
        <v>0</v>
      </c>
      <c r="D2878" s="110"/>
      <c r="E2878" t="str">
        <f>VLOOKUP(B2878,CAC!$A$2:$B$198,2,FALSE)</f>
        <v>AGDMHC</v>
      </c>
    </row>
    <row r="2879" spans="1:5" x14ac:dyDescent="0.25">
      <c r="A2879" s="108">
        <v>201705</v>
      </c>
      <c r="B2879" s="109" t="s">
        <v>268</v>
      </c>
      <c r="C2879" s="108">
        <v>0</v>
      </c>
      <c r="D2879" s="110"/>
      <c r="E2879" t="str">
        <f>VLOOKUP(B2879,CAC!$A$2:$B$198,2,FALSE)</f>
        <v>AGDMHC</v>
      </c>
    </row>
    <row r="2880" spans="1:5" x14ac:dyDescent="0.25">
      <c r="A2880" s="108">
        <v>201705</v>
      </c>
      <c r="B2880" s="109" t="s">
        <v>52</v>
      </c>
      <c r="C2880" s="108">
        <v>16143</v>
      </c>
      <c r="D2880" s="110"/>
      <c r="E2880" t="str">
        <f>VLOOKUP(B2880,CAC!$A$2:$B$198,2,FALSE)</f>
        <v>HMOPMR</v>
      </c>
    </row>
    <row r="2881" spans="1:5" x14ac:dyDescent="0.25">
      <c r="A2881" s="108">
        <v>201705</v>
      </c>
      <c r="B2881" s="109" t="s">
        <v>53</v>
      </c>
      <c r="C2881" s="108">
        <v>4816</v>
      </c>
      <c r="D2881" s="110"/>
      <c r="E2881" t="str">
        <f>VLOOKUP(B2881,CAC!$A$2:$B$198,2,FALSE)</f>
        <v>HMOPMR</v>
      </c>
    </row>
    <row r="2882" spans="1:5" x14ac:dyDescent="0.25">
      <c r="A2882" s="108">
        <v>201705</v>
      </c>
      <c r="B2882" s="109" t="s">
        <v>54</v>
      </c>
      <c r="C2882" s="108">
        <v>5708</v>
      </c>
      <c r="D2882" s="110"/>
      <c r="E2882" t="str">
        <f>VLOOKUP(B2882,CAC!$A$2:$B$198,2,FALSE)</f>
        <v>HMOFEP</v>
      </c>
    </row>
    <row r="2883" spans="1:5" x14ac:dyDescent="0.25">
      <c r="A2883" s="108">
        <v>201705</v>
      </c>
      <c r="B2883" s="109" t="s">
        <v>279</v>
      </c>
      <c r="C2883" s="108">
        <v>0</v>
      </c>
      <c r="D2883" s="110"/>
      <c r="E2883" t="str">
        <f>VLOOKUP(B2883,CAC!$A$2:$B$198,2,FALSE)</f>
        <v>PPOFEP</v>
      </c>
    </row>
    <row r="2884" spans="1:5" x14ac:dyDescent="0.25">
      <c r="A2884" s="108">
        <v>201705</v>
      </c>
      <c r="B2884" s="109" t="s">
        <v>202</v>
      </c>
      <c r="C2884" s="108">
        <v>0</v>
      </c>
      <c r="D2884" s="110"/>
      <c r="E2884" t="str">
        <f>VLOOKUP(B2884,CAC!$A$2:$B$198,2,FALSE)</f>
        <v>PPOPMR</v>
      </c>
    </row>
    <row r="2885" spans="1:5" x14ac:dyDescent="0.25">
      <c r="A2885" s="108">
        <v>201705</v>
      </c>
      <c r="B2885" s="109" t="s">
        <v>55</v>
      </c>
      <c r="C2885" s="108">
        <v>17468</v>
      </c>
      <c r="D2885" s="110"/>
      <c r="E2885" t="str">
        <f>VLOOKUP(B2885,CAC!$A$2:$B$198,2,FALSE)</f>
        <v>HMOPMR</v>
      </c>
    </row>
    <row r="2886" spans="1:5" x14ac:dyDescent="0.25">
      <c r="A2886" s="108">
        <v>201705</v>
      </c>
      <c r="B2886" s="109" t="s">
        <v>56</v>
      </c>
      <c r="C2886" s="108">
        <v>39</v>
      </c>
      <c r="D2886" s="110"/>
      <c r="E2886" t="str">
        <f>VLOOKUP(B2886,CAC!$A$2:$B$198,2,FALSE)</f>
        <v>HMOPMR</v>
      </c>
    </row>
    <row r="2887" spans="1:5" x14ac:dyDescent="0.25">
      <c r="A2887" s="108">
        <v>201705</v>
      </c>
      <c r="B2887" s="109" t="s">
        <v>57</v>
      </c>
      <c r="C2887" s="108">
        <v>4062</v>
      </c>
      <c r="D2887" s="110"/>
      <c r="E2887" t="str">
        <f>VLOOKUP(B2887,CAC!$A$2:$B$198,2,FALSE)</f>
        <v>HMFLEX</v>
      </c>
    </row>
    <row r="2888" spans="1:5" x14ac:dyDescent="0.25">
      <c r="A2888" s="108">
        <v>201705</v>
      </c>
      <c r="B2888" s="109" t="s">
        <v>58</v>
      </c>
      <c r="C2888" s="108">
        <v>336</v>
      </c>
      <c r="D2888" s="110"/>
      <c r="E2888" t="str">
        <f>VLOOKUP(B2888,CAC!$A$2:$B$198,2,FALSE)</f>
        <v>HMFLEX</v>
      </c>
    </row>
    <row r="2889" spans="1:5" x14ac:dyDescent="0.25">
      <c r="A2889" s="108">
        <v>201705</v>
      </c>
      <c r="B2889" s="109" t="s">
        <v>306</v>
      </c>
      <c r="C2889" s="108">
        <v>0</v>
      </c>
      <c r="D2889" s="110"/>
      <c r="E2889" t="e">
        <f>VLOOKUP(B2889,CAC!$A$2:$B$198,2,FALSE)</f>
        <v>#N/A</v>
      </c>
    </row>
    <row r="2890" spans="1:5" x14ac:dyDescent="0.25">
      <c r="A2890" s="108">
        <v>201705</v>
      </c>
      <c r="B2890" s="109" t="s">
        <v>283</v>
      </c>
      <c r="C2890" s="108">
        <v>0</v>
      </c>
      <c r="D2890" s="110"/>
      <c r="E2890" t="str">
        <f>VLOOKUP(B2890,CAC!$A$2:$B$198,2,FALSE)</f>
        <v>HMFLEX</v>
      </c>
    </row>
    <row r="2891" spans="1:5" x14ac:dyDescent="0.25">
      <c r="A2891" s="108">
        <v>201705</v>
      </c>
      <c r="B2891" s="109" t="s">
        <v>205</v>
      </c>
      <c r="C2891" s="108">
        <v>0</v>
      </c>
      <c r="D2891" s="110"/>
      <c r="E2891" t="str">
        <f>VLOOKUP(B2891,CAC!$A$2:$B$198,2,FALSE)</f>
        <v>PPOPMR</v>
      </c>
    </row>
    <row r="2892" spans="1:5" x14ac:dyDescent="0.25">
      <c r="A2892" s="108">
        <v>201705</v>
      </c>
      <c r="B2892" s="109" t="s">
        <v>60</v>
      </c>
      <c r="C2892" s="108">
        <v>9268</v>
      </c>
      <c r="D2892" s="110"/>
      <c r="E2892" t="str">
        <f>VLOOKUP(B2892,CAC!$A$2:$B$198,2,FALSE)</f>
        <v>HMOLG</v>
      </c>
    </row>
    <row r="2893" spans="1:5" x14ac:dyDescent="0.25">
      <c r="A2893" s="108">
        <v>201705</v>
      </c>
      <c r="B2893" s="109" t="s">
        <v>61</v>
      </c>
      <c r="C2893" s="108">
        <v>903</v>
      </c>
      <c r="D2893" s="110"/>
      <c r="E2893" t="str">
        <f>VLOOKUP(B2893,CAC!$A$2:$B$198,2,FALSE)</f>
        <v>HMOLG</v>
      </c>
    </row>
    <row r="2894" spans="1:5" x14ac:dyDescent="0.25">
      <c r="A2894" s="108">
        <v>201705</v>
      </c>
      <c r="B2894" s="109" t="s">
        <v>62</v>
      </c>
      <c r="C2894" s="108">
        <v>16313</v>
      </c>
      <c r="D2894" s="110"/>
      <c r="E2894" t="str">
        <f>VLOOKUP(B2894,CAC!$A$2:$B$198,2,FALSE)</f>
        <v>HMOLG</v>
      </c>
    </row>
    <row r="2895" spans="1:5" x14ac:dyDescent="0.25">
      <c r="A2895" s="108">
        <v>201705</v>
      </c>
      <c r="B2895" s="109" t="s">
        <v>86</v>
      </c>
      <c r="C2895" s="108">
        <v>1948</v>
      </c>
      <c r="D2895" s="110"/>
      <c r="E2895" t="str">
        <f>VLOOKUP(B2895,CAC!$A$2:$B$198,2,FALSE)</f>
        <v>HMOLG</v>
      </c>
    </row>
    <row r="2896" spans="1:5" x14ac:dyDescent="0.25">
      <c r="A2896" s="108">
        <v>201705</v>
      </c>
      <c r="B2896" s="109" t="s">
        <v>63</v>
      </c>
      <c r="C2896" s="108">
        <v>59</v>
      </c>
      <c r="D2896" s="110"/>
      <c r="E2896" t="str">
        <f>VLOOKUP(B2896,CAC!$A$2:$B$198,2,FALSE)</f>
        <v>HMOLG</v>
      </c>
    </row>
    <row r="2897" spans="1:5" x14ac:dyDescent="0.25">
      <c r="A2897" s="108">
        <v>201705</v>
      </c>
      <c r="B2897" s="109" t="s">
        <v>64</v>
      </c>
      <c r="C2897" s="108">
        <v>0</v>
      </c>
      <c r="D2897" s="110"/>
      <c r="E2897" t="str">
        <f>VLOOKUP(B2897,CAC!$A$2:$B$198,2,FALSE)</f>
        <v>HMOLG</v>
      </c>
    </row>
    <row r="2898" spans="1:5" x14ac:dyDescent="0.25">
      <c r="A2898" s="108">
        <v>201705</v>
      </c>
      <c r="B2898" s="109" t="s">
        <v>65</v>
      </c>
      <c r="C2898" s="108">
        <v>223</v>
      </c>
      <c r="D2898" s="110"/>
      <c r="E2898" t="str">
        <f>VLOOKUP(B2898,CAC!$A$2:$B$198,2,FALSE)</f>
        <v>HMFLEX</v>
      </c>
    </row>
    <row r="2899" spans="1:5" x14ac:dyDescent="0.25">
      <c r="A2899" s="108">
        <v>201705</v>
      </c>
      <c r="B2899" s="109" t="s">
        <v>307</v>
      </c>
      <c r="C2899" s="108">
        <v>0</v>
      </c>
      <c r="D2899" s="110"/>
      <c r="E2899" t="e">
        <f>VLOOKUP(B2899,CAC!$A$2:$B$198,2,FALSE)</f>
        <v>#N/A</v>
      </c>
    </row>
    <row r="2900" spans="1:5" x14ac:dyDescent="0.25">
      <c r="A2900" s="108">
        <v>201705</v>
      </c>
      <c r="B2900" s="109" t="s">
        <v>308</v>
      </c>
      <c r="C2900" s="108">
        <v>0</v>
      </c>
      <c r="D2900" s="110"/>
      <c r="E2900" t="e">
        <f>VLOOKUP(B2900,CAC!$A$2:$B$198,2,FALSE)</f>
        <v>#N/A</v>
      </c>
    </row>
    <row r="2901" spans="1:5" x14ac:dyDescent="0.25">
      <c r="A2901" s="108">
        <v>201705</v>
      </c>
      <c r="B2901" s="109" t="s">
        <v>309</v>
      </c>
      <c r="C2901" s="108">
        <v>0</v>
      </c>
      <c r="D2901" s="110"/>
      <c r="E2901" t="e">
        <f>VLOOKUP(B2901,CAC!$A$2:$B$198,2,FALSE)</f>
        <v>#N/A</v>
      </c>
    </row>
    <row r="2902" spans="1:5" x14ac:dyDescent="0.25">
      <c r="A2902" s="108">
        <v>201705</v>
      </c>
      <c r="B2902" s="109" t="s">
        <v>99</v>
      </c>
      <c r="C2902" s="108">
        <v>0</v>
      </c>
      <c r="D2902" s="110"/>
      <c r="E2902" t="str">
        <f>VLOOKUP(B2902,CAC!$A$2:$B$198,2,FALSE)</f>
        <v>PPOLG</v>
      </c>
    </row>
    <row r="2903" spans="1:5" x14ac:dyDescent="0.25">
      <c r="A2903" s="108">
        <v>201705</v>
      </c>
      <c r="B2903" s="109" t="s">
        <v>193</v>
      </c>
      <c r="C2903" s="108">
        <v>0</v>
      </c>
      <c r="D2903" s="110"/>
      <c r="E2903" t="str">
        <f>VLOOKUP(B2903,CAC!$A$2:$B$198,2,FALSE)</f>
        <v>PPOLG</v>
      </c>
    </row>
    <row r="2904" spans="1:5" x14ac:dyDescent="0.25">
      <c r="A2904" s="108">
        <v>201705</v>
      </c>
      <c r="B2904" s="109" t="s">
        <v>196</v>
      </c>
      <c r="C2904" s="108">
        <v>0</v>
      </c>
      <c r="D2904" s="110"/>
      <c r="E2904" t="str">
        <f>VLOOKUP(B2904,CAC!$A$2:$B$198,2,FALSE)</f>
        <v>PPOLG</v>
      </c>
    </row>
    <row r="2905" spans="1:5" x14ac:dyDescent="0.25">
      <c r="A2905" s="108">
        <v>201705</v>
      </c>
      <c r="B2905" s="109" t="s">
        <v>212</v>
      </c>
      <c r="C2905" s="108">
        <v>0</v>
      </c>
      <c r="D2905" s="110"/>
      <c r="E2905" t="str">
        <f>VLOOKUP(B2905,CAC!$A$2:$B$198,2,FALSE)</f>
        <v>PPOMM</v>
      </c>
    </row>
    <row r="2906" spans="1:5" x14ac:dyDescent="0.25">
      <c r="A2906" s="108">
        <v>201705</v>
      </c>
      <c r="B2906" s="109" t="s">
        <v>213</v>
      </c>
      <c r="C2906" s="108">
        <v>0</v>
      </c>
      <c r="D2906" s="110"/>
      <c r="E2906" t="str">
        <f>VLOOKUP(B2906,CAC!$A$2:$B$198,2,FALSE)</f>
        <v>PPOMM</v>
      </c>
    </row>
    <row r="2907" spans="1:5" x14ac:dyDescent="0.25">
      <c r="A2907" s="108">
        <v>201705</v>
      </c>
      <c r="B2907" s="109" t="s">
        <v>311</v>
      </c>
      <c r="C2907" s="108">
        <v>0</v>
      </c>
      <c r="D2907" s="110"/>
      <c r="E2907" t="e">
        <f>VLOOKUP(B2907,CAC!$A$2:$B$198,2,FALSE)</f>
        <v>#N/A</v>
      </c>
    </row>
    <row r="2908" spans="1:5" x14ac:dyDescent="0.25">
      <c r="A2908" s="108">
        <v>201705</v>
      </c>
      <c r="B2908" s="109" t="s">
        <v>321</v>
      </c>
      <c r="C2908" s="108">
        <v>0</v>
      </c>
      <c r="D2908" s="110"/>
      <c r="E2908" t="e">
        <f>VLOOKUP(B2908,CAC!$A$2:$B$198,2,FALSE)</f>
        <v>#N/A</v>
      </c>
    </row>
    <row r="2909" spans="1:5" x14ac:dyDescent="0.25">
      <c r="A2909" s="108">
        <v>201705</v>
      </c>
      <c r="B2909" s="109" t="s">
        <v>312</v>
      </c>
      <c r="C2909" s="108">
        <v>0</v>
      </c>
      <c r="D2909" s="110"/>
      <c r="E2909" t="e">
        <f>VLOOKUP(B2909,CAC!$A$2:$B$198,2,FALSE)</f>
        <v>#N/A</v>
      </c>
    </row>
    <row r="2910" spans="1:5" x14ac:dyDescent="0.25">
      <c r="A2910" s="108">
        <v>201705</v>
      </c>
      <c r="B2910" s="109" t="s">
        <v>215</v>
      </c>
      <c r="C2910" s="108">
        <v>0</v>
      </c>
      <c r="D2910" s="110"/>
      <c r="E2910" t="str">
        <f>VLOOKUP(B2910,CAC!$A$2:$B$198,2,FALSE)</f>
        <v>PPOMM</v>
      </c>
    </row>
    <row r="2911" spans="1:5" x14ac:dyDescent="0.25">
      <c r="A2911" s="108">
        <v>201705</v>
      </c>
      <c r="B2911" s="109" t="s">
        <v>66</v>
      </c>
      <c r="C2911" s="108">
        <v>5157</v>
      </c>
      <c r="D2911" s="110"/>
      <c r="E2911" t="str">
        <f>VLOOKUP(B2911,CAC!$A$2:$B$198,2,FALSE)</f>
        <v>HMOLG</v>
      </c>
    </row>
    <row r="2912" spans="1:5" x14ac:dyDescent="0.25">
      <c r="A2912" s="108">
        <v>201705</v>
      </c>
      <c r="B2912" s="109" t="s">
        <v>82</v>
      </c>
      <c r="C2912" s="108">
        <v>1</v>
      </c>
      <c r="D2912" s="110"/>
      <c r="E2912" t="str">
        <f>VLOOKUP(B2912,CAC!$A$2:$B$198,2,FALSE)</f>
        <v>NATPAR</v>
      </c>
    </row>
    <row r="2913" spans="1:5" x14ac:dyDescent="0.25">
      <c r="A2913" s="108">
        <v>201705</v>
      </c>
      <c r="B2913" s="109" t="s">
        <v>67</v>
      </c>
      <c r="C2913" s="108">
        <v>175</v>
      </c>
      <c r="D2913" s="110"/>
      <c r="E2913" t="str">
        <f>VLOOKUP(B2913,CAC!$A$2:$B$198,2,FALSE)</f>
        <v>HMOLG</v>
      </c>
    </row>
    <row r="2914" spans="1:5" x14ac:dyDescent="0.25">
      <c r="A2914" s="108">
        <v>201705</v>
      </c>
      <c r="B2914" s="109" t="s">
        <v>68</v>
      </c>
      <c r="C2914" s="108">
        <v>280</v>
      </c>
      <c r="D2914" s="110"/>
      <c r="E2914" t="str">
        <f>VLOOKUP(B2914,CAC!$A$2:$B$198,2,FALSE)</f>
        <v>HMOPMR</v>
      </c>
    </row>
    <row r="2915" spans="1:5" x14ac:dyDescent="0.25">
      <c r="A2915" s="108">
        <v>201705</v>
      </c>
      <c r="B2915" s="109" t="s">
        <v>69</v>
      </c>
      <c r="C2915" s="108">
        <v>9851</v>
      </c>
      <c r="D2915" s="110"/>
      <c r="E2915" t="str">
        <f>VLOOKUP(B2915,CAC!$A$2:$B$198,2,FALSE)</f>
        <v>HMOPMR</v>
      </c>
    </row>
    <row r="2916" spans="1:5" x14ac:dyDescent="0.25">
      <c r="A2916" s="108">
        <v>201705</v>
      </c>
      <c r="B2916" s="109" t="s">
        <v>70</v>
      </c>
      <c r="C2916" s="108">
        <v>963</v>
      </c>
      <c r="D2916" s="110"/>
      <c r="E2916" t="str">
        <f>VLOOKUP(B2916,CAC!$A$2:$B$198,2,FALSE)</f>
        <v>HMOPMR</v>
      </c>
    </row>
    <row r="2917" spans="1:5" x14ac:dyDescent="0.25">
      <c r="A2917" s="108">
        <v>201705</v>
      </c>
      <c r="B2917" s="109" t="s">
        <v>71</v>
      </c>
      <c r="C2917" s="108">
        <v>5623</v>
      </c>
      <c r="D2917" s="110"/>
      <c r="E2917" t="str">
        <f>VLOOKUP(B2917,CAC!$A$2:$B$198,2,FALSE)</f>
        <v>HMOPMR</v>
      </c>
    </row>
    <row r="2918" spans="1:5" x14ac:dyDescent="0.25">
      <c r="A2918" s="108">
        <v>201705</v>
      </c>
      <c r="B2918" s="109" t="s">
        <v>72</v>
      </c>
      <c r="C2918" s="108">
        <v>5136</v>
      </c>
      <c r="D2918" s="110"/>
      <c r="E2918" t="str">
        <f>VLOOKUP(B2918,CAC!$A$2:$B$198,2,FALSE)</f>
        <v>HMFLEX</v>
      </c>
    </row>
    <row r="2919" spans="1:5" x14ac:dyDescent="0.25">
      <c r="A2919" s="108">
        <v>201705</v>
      </c>
      <c r="B2919" s="109" t="s">
        <v>314</v>
      </c>
      <c r="C2919" s="108">
        <v>0</v>
      </c>
      <c r="D2919" s="110"/>
      <c r="E2919" t="e">
        <f>VLOOKUP(B2919,CAC!$A$2:$B$198,2,FALSE)</f>
        <v>#N/A</v>
      </c>
    </row>
    <row r="2920" spans="1:5" x14ac:dyDescent="0.25">
      <c r="A2920" s="108">
        <v>201705</v>
      </c>
      <c r="B2920" s="109" t="s">
        <v>315</v>
      </c>
      <c r="C2920" s="108">
        <v>0</v>
      </c>
      <c r="D2920" s="110"/>
      <c r="E2920" t="e">
        <f>VLOOKUP(B2920,CAC!$A$2:$B$198,2,FALSE)</f>
        <v>#N/A</v>
      </c>
    </row>
    <row r="2921" spans="1:5" x14ac:dyDescent="0.25">
      <c r="A2921" s="108">
        <v>201705</v>
      </c>
      <c r="B2921" s="109" t="s">
        <v>112</v>
      </c>
      <c r="C2921" s="108">
        <v>0</v>
      </c>
      <c r="D2921" s="110"/>
      <c r="E2921" t="e">
        <f>VLOOKUP(B2921,CAC!$A$2:$B$198,2,FALSE)</f>
        <v>#N/A</v>
      </c>
    </row>
    <row r="2922" spans="1:5" x14ac:dyDescent="0.25">
      <c r="A2922" s="108">
        <v>201705</v>
      </c>
      <c r="B2922" s="109" t="s">
        <v>316</v>
      </c>
      <c r="C2922" s="108">
        <v>0</v>
      </c>
      <c r="D2922" s="110"/>
      <c r="E2922" t="e">
        <f>VLOOKUP(B2922,CAC!$A$2:$B$198,2,FALSE)</f>
        <v>#N/A</v>
      </c>
    </row>
    <row r="2923" spans="1:5" x14ac:dyDescent="0.25">
      <c r="A2923" s="108">
        <v>201705</v>
      </c>
      <c r="B2923" s="109" t="s">
        <v>317</v>
      </c>
      <c r="C2923" s="108">
        <v>0</v>
      </c>
      <c r="D2923" s="110"/>
      <c r="E2923" t="e">
        <f>VLOOKUP(B2923,CAC!$A$2:$B$198,2,FALSE)</f>
        <v>#N/A</v>
      </c>
    </row>
    <row r="2924" spans="1:5" x14ac:dyDescent="0.25">
      <c r="A2924" s="108">
        <v>201705</v>
      </c>
      <c r="B2924" s="109" t="s">
        <v>113</v>
      </c>
      <c r="C2924" s="108">
        <v>0</v>
      </c>
      <c r="D2924" s="110"/>
      <c r="E2924" t="str">
        <f>VLOOKUP(B2924,CAC!$A$2:$B$198,2,FALSE)</f>
        <v>PPOLG</v>
      </c>
    </row>
    <row r="2925" spans="1:5" x14ac:dyDescent="0.25">
      <c r="A2925" s="108">
        <v>201705</v>
      </c>
      <c r="B2925" s="109" t="s">
        <v>208</v>
      </c>
      <c r="C2925" s="108">
        <v>0</v>
      </c>
      <c r="D2925" s="110"/>
      <c r="E2925" t="str">
        <f>VLOOKUP(B2925,CAC!$A$2:$B$198,2,FALSE)</f>
        <v>PPOPMR</v>
      </c>
    </row>
    <row r="2926" spans="1:5" x14ac:dyDescent="0.25">
      <c r="A2926" s="108">
        <v>201705</v>
      </c>
      <c r="B2926" s="109" t="s">
        <v>291</v>
      </c>
      <c r="C2926" s="108">
        <v>0</v>
      </c>
      <c r="D2926" s="110"/>
      <c r="E2926" t="str">
        <f>VLOOKUP(B2926,CAC!$A$2:$B$198,2,FALSE)</f>
        <v>HMFLEX</v>
      </c>
    </row>
    <row r="2927" spans="1:5" x14ac:dyDescent="0.25">
      <c r="A2927" s="108">
        <v>201705</v>
      </c>
      <c r="B2927" s="109" t="s">
        <v>204</v>
      </c>
      <c r="C2927" s="108">
        <v>0</v>
      </c>
      <c r="D2927" s="110"/>
      <c r="E2927" t="str">
        <f>VLOOKUP(B2927,CAC!$A$2:$B$198,2,FALSE)</f>
        <v>PPOPMR</v>
      </c>
    </row>
    <row r="2928" spans="1:5" x14ac:dyDescent="0.25">
      <c r="A2928" s="108">
        <v>201705</v>
      </c>
      <c r="B2928" s="109" t="s">
        <v>330</v>
      </c>
      <c r="C2928" s="108">
        <v>0</v>
      </c>
      <c r="D2928" s="110"/>
      <c r="E2928" t="e">
        <f>VLOOKUP(B2928,CAC!$A$2:$B$198,2,FALSE)</f>
        <v>#N/A</v>
      </c>
    </row>
    <row r="2929" spans="1:5" x14ac:dyDescent="0.25">
      <c r="A2929" s="108">
        <v>201705</v>
      </c>
      <c r="B2929" s="109" t="s">
        <v>73</v>
      </c>
      <c r="C2929" s="108">
        <v>36017</v>
      </c>
      <c r="D2929" s="108">
        <v>11722</v>
      </c>
      <c r="E2929" t="str">
        <f>VLOOKUP(B2929,CAC!$A$2:$B$198,2,FALSE)</f>
        <v>HMOPERA</v>
      </c>
    </row>
    <row r="2930" spans="1:5" x14ac:dyDescent="0.25">
      <c r="A2930" s="108">
        <v>201705</v>
      </c>
      <c r="B2930" s="109" t="s">
        <v>218</v>
      </c>
      <c r="C2930" s="108">
        <v>0</v>
      </c>
      <c r="D2930" s="110"/>
      <c r="E2930" t="str">
        <f>VLOOKUP(B2930,CAC!$A$2:$B$198,2,FALSE)</f>
        <v>HMOPERA</v>
      </c>
    </row>
    <row r="2931" spans="1:5" x14ac:dyDescent="0.25">
      <c r="A2931" s="108">
        <v>201705</v>
      </c>
      <c r="B2931" s="109" t="s">
        <v>156</v>
      </c>
      <c r="C2931" s="108">
        <v>27214</v>
      </c>
      <c r="D2931" s="110"/>
      <c r="E2931" t="str">
        <f>VLOOKUP(B2931,CAC!$A$2:$B$198,2,FALSE)</f>
        <v>HMOMM</v>
      </c>
    </row>
    <row r="2932" spans="1:5" x14ac:dyDescent="0.25">
      <c r="A2932" s="108">
        <v>201705</v>
      </c>
      <c r="B2932" s="109" t="s">
        <v>84</v>
      </c>
      <c r="C2932" s="108">
        <v>5774</v>
      </c>
      <c r="D2932" s="110"/>
      <c r="E2932" t="str">
        <f>VLOOKUP(B2932,CAC!$A$2:$B$198,2,FALSE)</f>
        <v>HMOMM</v>
      </c>
    </row>
    <row r="2933" spans="1:5" x14ac:dyDescent="0.25">
      <c r="A2933" s="108">
        <v>201705</v>
      </c>
      <c r="B2933" s="109" t="s">
        <v>162</v>
      </c>
      <c r="C2933" s="108">
        <v>417</v>
      </c>
      <c r="D2933" s="110"/>
      <c r="E2933" t="str">
        <f>VLOOKUP(B2933,CAC!$A$2:$B$198,2,FALSE)</f>
        <v>HMOMG</v>
      </c>
    </row>
    <row r="2934" spans="1:5" x14ac:dyDescent="0.25">
      <c r="A2934" s="108">
        <v>201705</v>
      </c>
      <c r="B2934" s="109" t="s">
        <v>163</v>
      </c>
      <c r="C2934" s="108">
        <v>71</v>
      </c>
      <c r="D2934" s="110"/>
      <c r="E2934" t="str">
        <f>VLOOKUP(B2934,CAC!$A$2:$B$198,2,FALSE)</f>
        <v>HMOMG</v>
      </c>
    </row>
    <row r="2935" spans="1:5" x14ac:dyDescent="0.25">
      <c r="A2935" s="108">
        <v>201705</v>
      </c>
      <c r="B2935" s="109" t="s">
        <v>164</v>
      </c>
      <c r="C2935" s="108">
        <v>0</v>
      </c>
      <c r="D2935" s="110"/>
      <c r="E2935" t="str">
        <f>VLOOKUP(B2935,CAC!$A$2:$B$198,2,FALSE)</f>
        <v>HMOMG</v>
      </c>
    </row>
    <row r="2936" spans="1:5" x14ac:dyDescent="0.25">
      <c r="A2936" s="108">
        <v>201705</v>
      </c>
      <c r="B2936" s="109" t="s">
        <v>85</v>
      </c>
      <c r="C2936" s="108">
        <v>664</v>
      </c>
      <c r="D2936" s="110"/>
      <c r="E2936" t="str">
        <f>VLOOKUP(B2936,CAC!$A$2:$B$198,2,FALSE)</f>
        <v>HMOMG</v>
      </c>
    </row>
    <row r="2937" spans="1:5" x14ac:dyDescent="0.25">
      <c r="A2937" s="108">
        <v>201705</v>
      </c>
      <c r="B2937" s="109" t="s">
        <v>77</v>
      </c>
      <c r="C2937" s="108">
        <v>26489</v>
      </c>
      <c r="D2937" s="110"/>
      <c r="E2937" t="str">
        <f>VLOOKUP(B2937,CAC!$A$2:$B$198,2,FALSE)</f>
        <v>HMOSG</v>
      </c>
    </row>
    <row r="2938" spans="1:5" x14ac:dyDescent="0.25">
      <c r="A2938" s="108">
        <v>201705</v>
      </c>
      <c r="B2938" s="109" t="s">
        <v>78</v>
      </c>
      <c r="C2938" s="108">
        <v>353</v>
      </c>
      <c r="D2938" s="110"/>
      <c r="E2938" t="str">
        <f>VLOOKUP(B2938,CAC!$A$2:$B$198,2,FALSE)</f>
        <v>HMOSG</v>
      </c>
    </row>
    <row r="2939" spans="1:5" x14ac:dyDescent="0.25">
      <c r="A2939" s="108">
        <v>201705</v>
      </c>
      <c r="B2939" s="109" t="s">
        <v>79</v>
      </c>
      <c r="C2939" s="108">
        <v>93</v>
      </c>
      <c r="D2939" s="110"/>
      <c r="E2939" t="str">
        <f>VLOOKUP(B2939,CAC!$A$2:$B$198,2,FALSE)</f>
        <v>HMOSG</v>
      </c>
    </row>
    <row r="2940" spans="1:5" x14ac:dyDescent="0.25">
      <c r="A2940" s="108">
        <v>201705</v>
      </c>
      <c r="B2940" s="109" t="s">
        <v>222</v>
      </c>
      <c r="C2940" s="108">
        <v>0</v>
      </c>
      <c r="D2940" s="110"/>
      <c r="E2940" t="str">
        <f>VLOOKUP(B2940,CAC!$A$2:$B$198,2,FALSE)</f>
        <v>PPOSG</v>
      </c>
    </row>
    <row r="2941" spans="1:5" x14ac:dyDescent="0.25">
      <c r="A2941" s="108">
        <v>201705</v>
      </c>
      <c r="B2941" s="109" t="s">
        <v>225</v>
      </c>
      <c r="C2941" s="108">
        <v>0</v>
      </c>
      <c r="D2941" s="110"/>
      <c r="E2941" t="str">
        <f>VLOOKUP(B2941,CAC!$A$2:$B$198,2,FALSE)</f>
        <v>PPOSG</v>
      </c>
    </row>
    <row r="2942" spans="1:5" x14ac:dyDescent="0.25">
      <c r="A2942" s="108">
        <v>201705</v>
      </c>
      <c r="B2942" s="109" t="s">
        <v>226</v>
      </c>
      <c r="C2942" s="108">
        <v>0</v>
      </c>
      <c r="D2942" s="110"/>
      <c r="E2942" t="str">
        <f>VLOOKUP(B2942,CAC!$A$2:$B$198,2,FALSE)</f>
        <v>PPOSG</v>
      </c>
    </row>
    <row r="2943" spans="1:5" x14ac:dyDescent="0.25">
      <c r="A2943" s="108">
        <v>201705</v>
      </c>
      <c r="B2943" s="109" t="s">
        <v>89</v>
      </c>
      <c r="C2943" s="108">
        <v>1240</v>
      </c>
      <c r="D2943" s="110"/>
      <c r="E2943" t="str">
        <f>VLOOKUP(B2943,CAC!$A$2:$B$198,2,FALSE)</f>
        <v>HMOIFP</v>
      </c>
    </row>
    <row r="2944" spans="1:5" x14ac:dyDescent="0.25">
      <c r="A2944" s="108">
        <v>201705</v>
      </c>
      <c r="B2944" s="109" t="s">
        <v>90</v>
      </c>
      <c r="C2944" s="108">
        <v>696</v>
      </c>
      <c r="D2944" s="110"/>
      <c r="E2944" t="str">
        <f>VLOOKUP(B2944,CAC!$A$2:$B$198,2,FALSE)</f>
        <v>HMOIFP</v>
      </c>
    </row>
    <row r="2945" spans="1:5" x14ac:dyDescent="0.25">
      <c r="A2945" s="108">
        <v>201705</v>
      </c>
      <c r="B2945" s="109" t="s">
        <v>186</v>
      </c>
      <c r="C2945" s="108">
        <v>0</v>
      </c>
      <c r="D2945" s="110"/>
      <c r="E2945" t="str">
        <f>VLOOKUP(B2945,CAC!$A$2:$B$198,2,FALSE)</f>
        <v>PPOIFP</v>
      </c>
    </row>
    <row r="2946" spans="1:5" x14ac:dyDescent="0.25">
      <c r="A2946" s="108">
        <v>201705</v>
      </c>
      <c r="B2946" s="109" t="s">
        <v>188</v>
      </c>
      <c r="C2946" s="108">
        <v>0</v>
      </c>
      <c r="D2946" s="110"/>
      <c r="E2946" t="str">
        <f>VLOOKUP(B2946,CAC!$A$2:$B$198,2,FALSE)</f>
        <v>PPOIFP</v>
      </c>
    </row>
    <row r="2947" spans="1:5" x14ac:dyDescent="0.25">
      <c r="A2947" s="108">
        <v>201705</v>
      </c>
      <c r="B2947" s="109" t="s">
        <v>189</v>
      </c>
      <c r="C2947" s="108">
        <v>0</v>
      </c>
      <c r="D2947" s="110"/>
      <c r="E2947" t="str">
        <f>VLOOKUP(B2947,CAC!$A$2:$B$198,2,FALSE)</f>
        <v>PPOIFP</v>
      </c>
    </row>
    <row r="2948" spans="1:5" x14ac:dyDescent="0.25">
      <c r="A2948" s="108">
        <v>201705</v>
      </c>
      <c r="B2948" s="109" t="s">
        <v>331</v>
      </c>
      <c r="C2948" s="108">
        <v>0</v>
      </c>
      <c r="D2948" s="110"/>
      <c r="E2948" t="e">
        <f>VLOOKUP(B2948,CAC!$A$2:$B$198,2,FALSE)</f>
        <v>#N/A</v>
      </c>
    </row>
    <row r="2949" spans="1:5" x14ac:dyDescent="0.25">
      <c r="A2949" s="108">
        <v>201705</v>
      </c>
      <c r="B2949" s="109" t="s">
        <v>216</v>
      </c>
      <c r="C2949" s="108">
        <v>0</v>
      </c>
      <c r="D2949" s="110"/>
      <c r="E2949" t="str">
        <f>VLOOKUP(B2949,CAC!$A$2:$B$198,2,FALSE)</f>
        <v>PPOMM</v>
      </c>
    </row>
    <row r="2950" spans="1:5" x14ac:dyDescent="0.25">
      <c r="A2950" s="108">
        <v>201705</v>
      </c>
      <c r="B2950" s="109" t="s">
        <v>301</v>
      </c>
      <c r="C2950" s="108">
        <v>0</v>
      </c>
      <c r="D2950" s="110"/>
      <c r="E2950" t="str">
        <f>VLOOKUP(B2950,CAC!$A$2:$B$198,2,FALSE)</f>
        <v>XXX</v>
      </c>
    </row>
    <row r="2951" spans="1:5" x14ac:dyDescent="0.25">
      <c r="A2951" s="108">
        <v>201706</v>
      </c>
      <c r="B2951" s="109" t="s">
        <v>51</v>
      </c>
      <c r="C2951" s="108">
        <v>18</v>
      </c>
      <c r="D2951" s="110"/>
      <c r="E2951" t="str">
        <f>VLOOKUP(B2951,CAC!$A$2:$B$198,2,FALSE)</f>
        <v>XXX</v>
      </c>
    </row>
    <row r="2952" spans="1:5" x14ac:dyDescent="0.25">
      <c r="A2952" s="108">
        <v>201706</v>
      </c>
      <c r="B2952" s="109" t="s">
        <v>303</v>
      </c>
      <c r="C2952" s="108">
        <v>0</v>
      </c>
      <c r="D2952" s="110"/>
      <c r="E2952" t="e">
        <f>VLOOKUP(B2952,CAC!$A$2:$B$198,2,FALSE)</f>
        <v>#N/A</v>
      </c>
    </row>
    <row r="2953" spans="1:5" x14ac:dyDescent="0.25">
      <c r="A2953" s="108">
        <v>201706</v>
      </c>
      <c r="B2953" s="109" t="s">
        <v>304</v>
      </c>
      <c r="C2953" s="108">
        <v>0</v>
      </c>
      <c r="D2953" s="110"/>
      <c r="E2953" t="e">
        <f>VLOOKUP(B2953,CAC!$A$2:$B$198,2,FALSE)</f>
        <v>#N/A</v>
      </c>
    </row>
    <row r="2954" spans="1:5" x14ac:dyDescent="0.25">
      <c r="A2954" s="108">
        <v>201706</v>
      </c>
      <c r="B2954" s="109" t="s">
        <v>323</v>
      </c>
      <c r="C2954" s="108">
        <v>0</v>
      </c>
      <c r="D2954" s="110"/>
      <c r="E2954" t="e">
        <f>VLOOKUP(B2954,CAC!$A$2:$B$198,2,FALSE)</f>
        <v>#N/A</v>
      </c>
    </row>
    <row r="2955" spans="1:5" x14ac:dyDescent="0.25">
      <c r="A2955" s="108">
        <v>201706</v>
      </c>
      <c r="B2955" s="109" t="s">
        <v>305</v>
      </c>
      <c r="C2955" s="108">
        <v>0</v>
      </c>
      <c r="D2955" s="110"/>
      <c r="E2955" t="e">
        <f>VLOOKUP(B2955,CAC!$A$2:$B$198,2,FALSE)</f>
        <v>#N/A</v>
      </c>
    </row>
    <row r="2956" spans="1:5" x14ac:dyDescent="0.25">
      <c r="A2956" s="108">
        <v>201706</v>
      </c>
      <c r="B2956" s="109" t="s">
        <v>327</v>
      </c>
      <c r="C2956" s="108">
        <v>0</v>
      </c>
      <c r="D2956" s="110"/>
      <c r="E2956" t="e">
        <f>VLOOKUP(B2956,CAC!$A$2:$B$198,2,FALSE)</f>
        <v>#N/A</v>
      </c>
    </row>
    <row r="2957" spans="1:5" x14ac:dyDescent="0.25">
      <c r="A2957" s="108">
        <v>201706</v>
      </c>
      <c r="B2957" s="109" t="s">
        <v>326</v>
      </c>
      <c r="C2957" s="108">
        <v>0</v>
      </c>
      <c r="D2957" s="110"/>
      <c r="E2957" t="e">
        <f>VLOOKUP(B2957,CAC!$A$2:$B$198,2,FALSE)</f>
        <v>#N/A</v>
      </c>
    </row>
    <row r="2958" spans="1:5" x14ac:dyDescent="0.25">
      <c r="A2958" s="108">
        <v>201706</v>
      </c>
      <c r="B2958" s="109" t="s">
        <v>231</v>
      </c>
      <c r="C2958" s="108">
        <v>0</v>
      </c>
      <c r="D2958" s="110"/>
      <c r="E2958" t="str">
        <f>VLOOKUP(B2958,CAC!$A$2:$B$198,2,FALSE)</f>
        <v>DOILG</v>
      </c>
    </row>
    <row r="2959" spans="1:5" x14ac:dyDescent="0.25">
      <c r="A2959" s="108">
        <v>201706</v>
      </c>
      <c r="B2959" s="109" t="s">
        <v>237</v>
      </c>
      <c r="C2959" s="108">
        <v>0</v>
      </c>
      <c r="D2959" s="110"/>
      <c r="E2959" t="str">
        <f>VLOOKUP(B2959,CAC!$A$2:$B$198,2,FALSE)</f>
        <v>DOILG</v>
      </c>
    </row>
    <row r="2960" spans="1:5" x14ac:dyDescent="0.25">
      <c r="A2960" s="108">
        <v>201706</v>
      </c>
      <c r="B2960" s="109" t="s">
        <v>247</v>
      </c>
      <c r="C2960" s="108">
        <v>0</v>
      </c>
      <c r="D2960" s="110"/>
      <c r="E2960" t="str">
        <f>VLOOKUP(B2960,CAC!$A$2:$B$198,2,FALSE)</f>
        <v>DOIIFP</v>
      </c>
    </row>
    <row r="2961" spans="1:5" x14ac:dyDescent="0.25">
      <c r="A2961" s="108">
        <v>201706</v>
      </c>
      <c r="B2961" s="109" t="s">
        <v>238</v>
      </c>
      <c r="C2961" s="108">
        <v>0</v>
      </c>
      <c r="D2961" s="110"/>
      <c r="E2961" t="str">
        <f>VLOOKUP(B2961,CAC!$A$2:$B$198,2,FALSE)</f>
        <v>DOILG</v>
      </c>
    </row>
    <row r="2962" spans="1:5" x14ac:dyDescent="0.25">
      <c r="A2962" s="108">
        <v>201706</v>
      </c>
      <c r="B2962" s="109" t="s">
        <v>273</v>
      </c>
      <c r="C2962" s="108">
        <v>0</v>
      </c>
      <c r="D2962" s="110"/>
      <c r="E2962" t="str">
        <f>VLOOKUP(B2962,CAC!$A$2:$B$198,2,FALSE)</f>
        <v>AGDMHC</v>
      </c>
    </row>
    <row r="2963" spans="1:5" x14ac:dyDescent="0.25">
      <c r="A2963" s="108">
        <v>201706</v>
      </c>
      <c r="B2963" s="109" t="s">
        <v>328</v>
      </c>
      <c r="C2963" s="108">
        <v>0</v>
      </c>
      <c r="D2963" s="110"/>
      <c r="E2963" t="e">
        <f>VLOOKUP(B2963,CAC!$A$2:$B$198,2,FALSE)</f>
        <v>#N/A</v>
      </c>
    </row>
    <row r="2964" spans="1:5" x14ac:dyDescent="0.25">
      <c r="A2964" s="108">
        <v>201706</v>
      </c>
      <c r="B2964" s="109" t="s">
        <v>253</v>
      </c>
      <c r="C2964" s="108">
        <v>0</v>
      </c>
      <c r="D2964" s="110"/>
      <c r="E2964" t="str">
        <f>VLOOKUP(B2964,CAC!$A$2:$B$198,2,FALSE)</f>
        <v>AGDMHC</v>
      </c>
    </row>
    <row r="2965" spans="1:5" x14ac:dyDescent="0.25">
      <c r="A2965" s="108">
        <v>201706</v>
      </c>
      <c r="B2965" s="109" t="s">
        <v>325</v>
      </c>
      <c r="C2965" s="108">
        <v>0</v>
      </c>
      <c r="D2965" s="110"/>
      <c r="E2965" t="e">
        <f>VLOOKUP(B2965,CAC!$A$2:$B$198,2,FALSE)</f>
        <v>#N/A</v>
      </c>
    </row>
    <row r="2966" spans="1:5" x14ac:dyDescent="0.25">
      <c r="A2966" s="108">
        <v>201706</v>
      </c>
      <c r="B2966" s="109" t="s">
        <v>255</v>
      </c>
      <c r="C2966" s="108">
        <v>0</v>
      </c>
      <c r="D2966" s="110"/>
      <c r="E2966" t="str">
        <f>VLOOKUP(B2966,CAC!$A$2:$B$198,2,FALSE)</f>
        <v>AGDMHC</v>
      </c>
    </row>
    <row r="2967" spans="1:5" x14ac:dyDescent="0.25">
      <c r="A2967" s="108">
        <v>201706</v>
      </c>
      <c r="B2967" s="109" t="s">
        <v>256</v>
      </c>
      <c r="C2967" s="108">
        <v>0</v>
      </c>
      <c r="D2967" s="110"/>
      <c r="E2967" t="str">
        <f>VLOOKUP(B2967,CAC!$A$2:$B$198,2,FALSE)</f>
        <v>AGDMHC</v>
      </c>
    </row>
    <row r="2968" spans="1:5" x14ac:dyDescent="0.25">
      <c r="A2968" s="108">
        <v>201706</v>
      </c>
      <c r="B2968" s="109" t="s">
        <v>257</v>
      </c>
      <c r="C2968" s="108">
        <v>0</v>
      </c>
      <c r="D2968" s="110"/>
      <c r="E2968" t="str">
        <f>VLOOKUP(B2968,CAC!$A$2:$B$198,2,FALSE)</f>
        <v>AGDMHC</v>
      </c>
    </row>
    <row r="2969" spans="1:5" x14ac:dyDescent="0.25">
      <c r="A2969" s="108">
        <v>201706</v>
      </c>
      <c r="B2969" s="109" t="s">
        <v>258</v>
      </c>
      <c r="C2969" s="108">
        <v>0</v>
      </c>
      <c r="D2969" s="110"/>
      <c r="E2969" t="str">
        <f>VLOOKUP(B2969,CAC!$A$2:$B$198,2,FALSE)</f>
        <v>AGDMHC</v>
      </c>
    </row>
    <row r="2970" spans="1:5" x14ac:dyDescent="0.25">
      <c r="A2970" s="108">
        <v>201706</v>
      </c>
      <c r="B2970" s="109" t="s">
        <v>329</v>
      </c>
      <c r="C2970" s="108">
        <v>0</v>
      </c>
      <c r="D2970" s="110"/>
      <c r="E2970" t="e">
        <f>VLOOKUP(B2970,CAC!$A$2:$B$198,2,FALSE)</f>
        <v>#N/A</v>
      </c>
    </row>
    <row r="2971" spans="1:5" x14ac:dyDescent="0.25">
      <c r="A2971" s="108">
        <v>201706</v>
      </c>
      <c r="B2971" s="109" t="s">
        <v>262</v>
      </c>
      <c r="C2971" s="108">
        <v>0</v>
      </c>
      <c r="D2971" s="110"/>
      <c r="E2971" t="str">
        <f>VLOOKUP(B2971,CAC!$A$2:$B$198,2,FALSE)</f>
        <v>AGDMHC</v>
      </c>
    </row>
    <row r="2972" spans="1:5" x14ac:dyDescent="0.25">
      <c r="A2972" s="108">
        <v>201706</v>
      </c>
      <c r="B2972" s="109" t="s">
        <v>264</v>
      </c>
      <c r="C2972" s="108">
        <v>0</v>
      </c>
      <c r="D2972" s="110"/>
      <c r="E2972" t="str">
        <f>VLOOKUP(B2972,CAC!$A$2:$B$198,2,FALSE)</f>
        <v>AGDMHC</v>
      </c>
    </row>
    <row r="2973" spans="1:5" x14ac:dyDescent="0.25">
      <c r="A2973" s="108">
        <v>201706</v>
      </c>
      <c r="B2973" s="109" t="s">
        <v>269</v>
      </c>
      <c r="C2973" s="108">
        <v>0</v>
      </c>
      <c r="D2973" s="110"/>
      <c r="E2973" t="str">
        <f>VLOOKUP(B2973,CAC!$A$2:$B$198,2,FALSE)</f>
        <v>AGDMHC</v>
      </c>
    </row>
    <row r="2974" spans="1:5" x14ac:dyDescent="0.25">
      <c r="A2974" s="108">
        <v>201706</v>
      </c>
      <c r="B2974" s="109" t="s">
        <v>319</v>
      </c>
      <c r="C2974" s="108">
        <v>0</v>
      </c>
      <c r="D2974" s="110"/>
      <c r="E2974" t="e">
        <f>VLOOKUP(B2974,CAC!$A$2:$B$198,2,FALSE)</f>
        <v>#N/A</v>
      </c>
    </row>
    <row r="2975" spans="1:5" x14ac:dyDescent="0.25">
      <c r="A2975" s="108">
        <v>201706</v>
      </c>
      <c r="B2975" s="109" t="s">
        <v>267</v>
      </c>
      <c r="C2975" s="108">
        <v>0</v>
      </c>
      <c r="D2975" s="110"/>
      <c r="E2975" t="str">
        <f>VLOOKUP(B2975,CAC!$A$2:$B$198,2,FALSE)</f>
        <v>AGDMHC</v>
      </c>
    </row>
    <row r="2976" spans="1:5" x14ac:dyDescent="0.25">
      <c r="A2976" s="108">
        <v>201706</v>
      </c>
      <c r="B2976" s="109" t="s">
        <v>268</v>
      </c>
      <c r="C2976" s="108">
        <v>0</v>
      </c>
      <c r="D2976" s="110"/>
      <c r="E2976" t="str">
        <f>VLOOKUP(B2976,CAC!$A$2:$B$198,2,FALSE)</f>
        <v>AGDMHC</v>
      </c>
    </row>
    <row r="2977" spans="1:5" x14ac:dyDescent="0.25">
      <c r="A2977" s="108">
        <v>201706</v>
      </c>
      <c r="B2977" s="109" t="s">
        <v>52</v>
      </c>
      <c r="C2977" s="108">
        <v>16291</v>
      </c>
      <c r="D2977" s="110"/>
      <c r="E2977" t="str">
        <f>VLOOKUP(B2977,CAC!$A$2:$B$198,2,FALSE)</f>
        <v>HMOPMR</v>
      </c>
    </row>
    <row r="2978" spans="1:5" x14ac:dyDescent="0.25">
      <c r="A2978" s="108">
        <v>201706</v>
      </c>
      <c r="B2978" s="109" t="s">
        <v>53</v>
      </c>
      <c r="C2978" s="108">
        <v>4848</v>
      </c>
      <c r="D2978" s="110"/>
      <c r="E2978" t="str">
        <f>VLOOKUP(B2978,CAC!$A$2:$B$198,2,FALSE)</f>
        <v>HMOPMR</v>
      </c>
    </row>
    <row r="2979" spans="1:5" x14ac:dyDescent="0.25">
      <c r="A2979" s="108">
        <v>201706</v>
      </c>
      <c r="B2979" s="109" t="s">
        <v>54</v>
      </c>
      <c r="C2979" s="108">
        <v>5713</v>
      </c>
      <c r="D2979" s="110"/>
      <c r="E2979" t="str">
        <f>VLOOKUP(B2979,CAC!$A$2:$B$198,2,FALSE)</f>
        <v>HMOFEP</v>
      </c>
    </row>
    <row r="2980" spans="1:5" x14ac:dyDescent="0.25">
      <c r="A2980" s="108">
        <v>201706</v>
      </c>
      <c r="B2980" s="109" t="s">
        <v>279</v>
      </c>
      <c r="C2980" s="108">
        <v>0</v>
      </c>
      <c r="D2980" s="110"/>
      <c r="E2980" t="str">
        <f>VLOOKUP(B2980,CAC!$A$2:$B$198,2,FALSE)</f>
        <v>PPOFEP</v>
      </c>
    </row>
    <row r="2981" spans="1:5" x14ac:dyDescent="0.25">
      <c r="A2981" s="108">
        <v>201706</v>
      </c>
      <c r="B2981" s="109" t="s">
        <v>202</v>
      </c>
      <c r="C2981" s="108">
        <v>0</v>
      </c>
      <c r="D2981" s="110"/>
      <c r="E2981" t="str">
        <f>VLOOKUP(B2981,CAC!$A$2:$B$198,2,FALSE)</f>
        <v>PPOPMR</v>
      </c>
    </row>
    <row r="2982" spans="1:5" x14ac:dyDescent="0.25">
      <c r="A2982" s="108">
        <v>201706</v>
      </c>
      <c r="B2982" s="109" t="s">
        <v>55</v>
      </c>
      <c r="C2982" s="108">
        <v>17463</v>
      </c>
      <c r="D2982" s="110"/>
      <c r="E2982" t="str">
        <f>VLOOKUP(B2982,CAC!$A$2:$B$198,2,FALSE)</f>
        <v>HMOPMR</v>
      </c>
    </row>
    <row r="2983" spans="1:5" x14ac:dyDescent="0.25">
      <c r="A2983" s="108">
        <v>201706</v>
      </c>
      <c r="B2983" s="109" t="s">
        <v>56</v>
      </c>
      <c r="C2983" s="108">
        <v>39</v>
      </c>
      <c r="D2983" s="110"/>
      <c r="E2983" t="str">
        <f>VLOOKUP(B2983,CAC!$A$2:$B$198,2,FALSE)</f>
        <v>HMOPMR</v>
      </c>
    </row>
    <row r="2984" spans="1:5" x14ac:dyDescent="0.25">
      <c r="A2984" s="108">
        <v>201706</v>
      </c>
      <c r="B2984" s="109" t="s">
        <v>57</v>
      </c>
      <c r="C2984" s="108">
        <v>4047</v>
      </c>
      <c r="D2984" s="110"/>
      <c r="E2984" t="str">
        <f>VLOOKUP(B2984,CAC!$A$2:$B$198,2,FALSE)</f>
        <v>HMFLEX</v>
      </c>
    </row>
    <row r="2985" spans="1:5" x14ac:dyDescent="0.25">
      <c r="A2985" s="108">
        <v>201706</v>
      </c>
      <c r="B2985" s="109" t="s">
        <v>58</v>
      </c>
      <c r="C2985" s="108">
        <v>340</v>
      </c>
      <c r="D2985" s="110"/>
      <c r="E2985" t="str">
        <f>VLOOKUP(B2985,CAC!$A$2:$B$198,2,FALSE)</f>
        <v>HMFLEX</v>
      </c>
    </row>
    <row r="2986" spans="1:5" x14ac:dyDescent="0.25">
      <c r="A2986" s="108">
        <v>201706</v>
      </c>
      <c r="B2986" s="109" t="s">
        <v>306</v>
      </c>
      <c r="C2986" s="108">
        <v>0</v>
      </c>
      <c r="D2986" s="110"/>
      <c r="E2986" t="e">
        <f>VLOOKUP(B2986,CAC!$A$2:$B$198,2,FALSE)</f>
        <v>#N/A</v>
      </c>
    </row>
    <row r="2987" spans="1:5" x14ac:dyDescent="0.25">
      <c r="A2987" s="108">
        <v>201706</v>
      </c>
      <c r="B2987" s="109" t="s">
        <v>283</v>
      </c>
      <c r="C2987" s="108">
        <v>0</v>
      </c>
      <c r="D2987" s="110"/>
      <c r="E2987" t="str">
        <f>VLOOKUP(B2987,CAC!$A$2:$B$198,2,FALSE)</f>
        <v>HMFLEX</v>
      </c>
    </row>
    <row r="2988" spans="1:5" x14ac:dyDescent="0.25">
      <c r="A2988" s="108">
        <v>201706</v>
      </c>
      <c r="B2988" s="109" t="s">
        <v>205</v>
      </c>
      <c r="C2988" s="108">
        <v>0</v>
      </c>
      <c r="D2988" s="110"/>
      <c r="E2988" t="str">
        <f>VLOOKUP(B2988,CAC!$A$2:$B$198,2,FALSE)</f>
        <v>PPOPMR</v>
      </c>
    </row>
    <row r="2989" spans="1:5" x14ac:dyDescent="0.25">
      <c r="A2989" s="108">
        <v>201706</v>
      </c>
      <c r="B2989" s="109" t="s">
        <v>60</v>
      </c>
      <c r="C2989" s="108">
        <v>9342</v>
      </c>
      <c r="D2989" s="110"/>
      <c r="E2989" t="str">
        <f>VLOOKUP(B2989,CAC!$A$2:$B$198,2,FALSE)</f>
        <v>HMOLG</v>
      </c>
    </row>
    <row r="2990" spans="1:5" x14ac:dyDescent="0.25">
      <c r="A2990" s="108">
        <v>201706</v>
      </c>
      <c r="B2990" s="109" t="s">
        <v>61</v>
      </c>
      <c r="C2990" s="108">
        <v>903</v>
      </c>
      <c r="D2990" s="110"/>
      <c r="E2990" t="str">
        <f>VLOOKUP(B2990,CAC!$A$2:$B$198,2,FALSE)</f>
        <v>HMOLG</v>
      </c>
    </row>
    <row r="2991" spans="1:5" x14ac:dyDescent="0.25">
      <c r="A2991" s="108">
        <v>201706</v>
      </c>
      <c r="B2991" s="109" t="s">
        <v>62</v>
      </c>
      <c r="C2991" s="108">
        <v>16760</v>
      </c>
      <c r="D2991" s="110"/>
      <c r="E2991" t="str">
        <f>VLOOKUP(B2991,CAC!$A$2:$B$198,2,FALSE)</f>
        <v>HMOLG</v>
      </c>
    </row>
    <row r="2992" spans="1:5" x14ac:dyDescent="0.25">
      <c r="A2992" s="108">
        <v>201706</v>
      </c>
      <c r="B2992" s="109" t="s">
        <v>86</v>
      </c>
      <c r="C2992" s="108">
        <v>1955</v>
      </c>
      <c r="D2992" s="110"/>
      <c r="E2992" t="str">
        <f>VLOOKUP(B2992,CAC!$A$2:$B$198,2,FALSE)</f>
        <v>HMOLG</v>
      </c>
    </row>
    <row r="2993" spans="1:5" x14ac:dyDescent="0.25">
      <c r="A2993" s="108">
        <v>201706</v>
      </c>
      <c r="B2993" s="109" t="s">
        <v>63</v>
      </c>
      <c r="C2993" s="108">
        <v>59</v>
      </c>
      <c r="D2993" s="110"/>
      <c r="E2993" t="str">
        <f>VLOOKUP(B2993,CAC!$A$2:$B$198,2,FALSE)</f>
        <v>HMOLG</v>
      </c>
    </row>
    <row r="2994" spans="1:5" x14ac:dyDescent="0.25">
      <c r="A2994" s="108">
        <v>201706</v>
      </c>
      <c r="B2994" s="109" t="s">
        <v>64</v>
      </c>
      <c r="C2994" s="108">
        <v>0</v>
      </c>
      <c r="D2994" s="110"/>
      <c r="E2994" t="str">
        <f>VLOOKUP(B2994,CAC!$A$2:$B$198,2,FALSE)</f>
        <v>HMOLG</v>
      </c>
    </row>
    <row r="2995" spans="1:5" x14ac:dyDescent="0.25">
      <c r="A2995" s="108">
        <v>201706</v>
      </c>
      <c r="B2995" s="109" t="s">
        <v>65</v>
      </c>
      <c r="C2995" s="108">
        <v>222</v>
      </c>
      <c r="D2995" s="110"/>
      <c r="E2995" t="str">
        <f>VLOOKUP(B2995,CAC!$A$2:$B$198,2,FALSE)</f>
        <v>HMFLEX</v>
      </c>
    </row>
    <row r="2996" spans="1:5" x14ac:dyDescent="0.25">
      <c r="A2996" s="108">
        <v>201706</v>
      </c>
      <c r="B2996" s="109" t="s">
        <v>307</v>
      </c>
      <c r="C2996" s="108">
        <v>0</v>
      </c>
      <c r="D2996" s="110"/>
      <c r="E2996" t="e">
        <f>VLOOKUP(B2996,CAC!$A$2:$B$198,2,FALSE)</f>
        <v>#N/A</v>
      </c>
    </row>
    <row r="2997" spans="1:5" x14ac:dyDescent="0.25">
      <c r="A2997" s="108">
        <v>201706</v>
      </c>
      <c r="B2997" s="109" t="s">
        <v>308</v>
      </c>
      <c r="C2997" s="108">
        <v>0</v>
      </c>
      <c r="D2997" s="110"/>
      <c r="E2997" t="e">
        <f>VLOOKUP(B2997,CAC!$A$2:$B$198,2,FALSE)</f>
        <v>#N/A</v>
      </c>
    </row>
    <row r="2998" spans="1:5" x14ac:dyDescent="0.25">
      <c r="A2998" s="108">
        <v>201706</v>
      </c>
      <c r="B2998" s="109" t="s">
        <v>309</v>
      </c>
      <c r="C2998" s="108">
        <v>0</v>
      </c>
      <c r="D2998" s="110"/>
      <c r="E2998" t="e">
        <f>VLOOKUP(B2998,CAC!$A$2:$B$198,2,FALSE)</f>
        <v>#N/A</v>
      </c>
    </row>
    <row r="2999" spans="1:5" x14ac:dyDescent="0.25">
      <c r="A2999" s="108">
        <v>201706</v>
      </c>
      <c r="B2999" s="109" t="s">
        <v>99</v>
      </c>
      <c r="C2999" s="108">
        <v>0</v>
      </c>
      <c r="D2999" s="110"/>
      <c r="E2999" t="str">
        <f>VLOOKUP(B2999,CAC!$A$2:$B$198,2,FALSE)</f>
        <v>PPOLG</v>
      </c>
    </row>
    <row r="3000" spans="1:5" x14ac:dyDescent="0.25">
      <c r="A3000" s="108">
        <v>201706</v>
      </c>
      <c r="B3000" s="109" t="s">
        <v>193</v>
      </c>
      <c r="C3000" s="108">
        <v>0</v>
      </c>
      <c r="D3000" s="110"/>
      <c r="E3000" t="str">
        <f>VLOOKUP(B3000,CAC!$A$2:$B$198,2,FALSE)</f>
        <v>PPOLG</v>
      </c>
    </row>
    <row r="3001" spans="1:5" x14ac:dyDescent="0.25">
      <c r="A3001" s="108">
        <v>201706</v>
      </c>
      <c r="B3001" s="109" t="s">
        <v>196</v>
      </c>
      <c r="C3001" s="108">
        <v>0</v>
      </c>
      <c r="D3001" s="110"/>
      <c r="E3001" t="str">
        <f>VLOOKUP(B3001,CAC!$A$2:$B$198,2,FALSE)</f>
        <v>PPOLG</v>
      </c>
    </row>
    <row r="3002" spans="1:5" x14ac:dyDescent="0.25">
      <c r="A3002" s="108">
        <v>201706</v>
      </c>
      <c r="B3002" s="109" t="s">
        <v>212</v>
      </c>
      <c r="C3002" s="108">
        <v>0</v>
      </c>
      <c r="D3002" s="110"/>
      <c r="E3002" t="str">
        <f>VLOOKUP(B3002,CAC!$A$2:$B$198,2,FALSE)</f>
        <v>PPOMM</v>
      </c>
    </row>
    <row r="3003" spans="1:5" x14ac:dyDescent="0.25">
      <c r="A3003" s="108">
        <v>201706</v>
      </c>
      <c r="B3003" s="109" t="s">
        <v>213</v>
      </c>
      <c r="C3003" s="108">
        <v>0</v>
      </c>
      <c r="D3003" s="110"/>
      <c r="E3003" t="str">
        <f>VLOOKUP(B3003,CAC!$A$2:$B$198,2,FALSE)</f>
        <v>PPOMM</v>
      </c>
    </row>
    <row r="3004" spans="1:5" x14ac:dyDescent="0.25">
      <c r="A3004" s="108">
        <v>201706</v>
      </c>
      <c r="B3004" s="109" t="s">
        <v>311</v>
      </c>
      <c r="C3004" s="108">
        <v>0</v>
      </c>
      <c r="D3004" s="110"/>
      <c r="E3004" t="e">
        <f>VLOOKUP(B3004,CAC!$A$2:$B$198,2,FALSE)</f>
        <v>#N/A</v>
      </c>
    </row>
    <row r="3005" spans="1:5" x14ac:dyDescent="0.25">
      <c r="A3005" s="108">
        <v>201706</v>
      </c>
      <c r="B3005" s="109" t="s">
        <v>321</v>
      </c>
      <c r="C3005" s="108">
        <v>0</v>
      </c>
      <c r="D3005" s="110"/>
      <c r="E3005" t="e">
        <f>VLOOKUP(B3005,CAC!$A$2:$B$198,2,FALSE)</f>
        <v>#N/A</v>
      </c>
    </row>
    <row r="3006" spans="1:5" x14ac:dyDescent="0.25">
      <c r="A3006" s="108">
        <v>201706</v>
      </c>
      <c r="B3006" s="109" t="s">
        <v>312</v>
      </c>
      <c r="C3006" s="108">
        <v>0</v>
      </c>
      <c r="D3006" s="110"/>
      <c r="E3006" t="e">
        <f>VLOOKUP(B3006,CAC!$A$2:$B$198,2,FALSE)</f>
        <v>#N/A</v>
      </c>
    </row>
    <row r="3007" spans="1:5" x14ac:dyDescent="0.25">
      <c r="A3007" s="108">
        <v>201706</v>
      </c>
      <c r="B3007" s="109" t="s">
        <v>215</v>
      </c>
      <c r="C3007" s="108">
        <v>0</v>
      </c>
      <c r="D3007" s="110"/>
      <c r="E3007" t="str">
        <f>VLOOKUP(B3007,CAC!$A$2:$B$198,2,FALSE)</f>
        <v>PPOMM</v>
      </c>
    </row>
    <row r="3008" spans="1:5" x14ac:dyDescent="0.25">
      <c r="A3008" s="108">
        <v>201706</v>
      </c>
      <c r="B3008" s="109" t="s">
        <v>66</v>
      </c>
      <c r="C3008" s="108">
        <v>5339</v>
      </c>
      <c r="D3008" s="110"/>
      <c r="E3008" t="str">
        <f>VLOOKUP(B3008,CAC!$A$2:$B$198,2,FALSE)</f>
        <v>HMOLG</v>
      </c>
    </row>
    <row r="3009" spans="1:5" x14ac:dyDescent="0.25">
      <c r="A3009" s="108">
        <v>201706</v>
      </c>
      <c r="B3009" s="109" t="s">
        <v>82</v>
      </c>
      <c r="C3009" s="108">
        <v>1</v>
      </c>
      <c r="D3009" s="110"/>
      <c r="E3009" t="str">
        <f>VLOOKUP(B3009,CAC!$A$2:$B$198,2,FALSE)</f>
        <v>NATPAR</v>
      </c>
    </row>
    <row r="3010" spans="1:5" x14ac:dyDescent="0.25">
      <c r="A3010" s="108">
        <v>201706</v>
      </c>
      <c r="B3010" s="109" t="s">
        <v>67</v>
      </c>
      <c r="C3010" s="108">
        <v>162</v>
      </c>
      <c r="D3010" s="110"/>
      <c r="E3010" t="str">
        <f>VLOOKUP(B3010,CAC!$A$2:$B$198,2,FALSE)</f>
        <v>HMOLG</v>
      </c>
    </row>
    <row r="3011" spans="1:5" x14ac:dyDescent="0.25">
      <c r="A3011" s="108">
        <v>201706</v>
      </c>
      <c r="B3011" s="109" t="s">
        <v>68</v>
      </c>
      <c r="C3011" s="108">
        <v>280</v>
      </c>
      <c r="D3011" s="110"/>
      <c r="E3011" t="str">
        <f>VLOOKUP(B3011,CAC!$A$2:$B$198,2,FALSE)</f>
        <v>HMOPMR</v>
      </c>
    </row>
    <row r="3012" spans="1:5" x14ac:dyDescent="0.25">
      <c r="A3012" s="108">
        <v>201706</v>
      </c>
      <c r="B3012" s="109" t="s">
        <v>69</v>
      </c>
      <c r="C3012" s="108">
        <v>9812</v>
      </c>
      <c r="D3012" s="110"/>
      <c r="E3012" t="str">
        <f>VLOOKUP(B3012,CAC!$A$2:$B$198,2,FALSE)</f>
        <v>HMOPMR</v>
      </c>
    </row>
    <row r="3013" spans="1:5" x14ac:dyDescent="0.25">
      <c r="A3013" s="108">
        <v>201706</v>
      </c>
      <c r="B3013" s="109" t="s">
        <v>70</v>
      </c>
      <c r="C3013" s="108">
        <v>845</v>
      </c>
      <c r="D3013" s="110"/>
      <c r="E3013" t="str">
        <f>VLOOKUP(B3013,CAC!$A$2:$B$198,2,FALSE)</f>
        <v>HMOPMR</v>
      </c>
    </row>
    <row r="3014" spans="1:5" x14ac:dyDescent="0.25">
      <c r="A3014" s="108">
        <v>201706</v>
      </c>
      <c r="B3014" s="109" t="s">
        <v>71</v>
      </c>
      <c r="C3014" s="108">
        <v>5622</v>
      </c>
      <c r="D3014" s="110"/>
      <c r="E3014" t="str">
        <f>VLOOKUP(B3014,CAC!$A$2:$B$198,2,FALSE)</f>
        <v>HMOPMR</v>
      </c>
    </row>
    <row r="3015" spans="1:5" x14ac:dyDescent="0.25">
      <c r="A3015" s="108">
        <v>201706</v>
      </c>
      <c r="B3015" s="109" t="s">
        <v>72</v>
      </c>
      <c r="C3015" s="108">
        <v>5110</v>
      </c>
      <c r="D3015" s="110"/>
      <c r="E3015" t="str">
        <f>VLOOKUP(B3015,CAC!$A$2:$B$198,2,FALSE)</f>
        <v>HMFLEX</v>
      </c>
    </row>
    <row r="3016" spans="1:5" x14ac:dyDescent="0.25">
      <c r="A3016" s="108">
        <v>201706</v>
      </c>
      <c r="B3016" s="109" t="s">
        <v>314</v>
      </c>
      <c r="C3016" s="108">
        <v>0</v>
      </c>
      <c r="D3016" s="110"/>
      <c r="E3016" t="e">
        <f>VLOOKUP(B3016,CAC!$A$2:$B$198,2,FALSE)</f>
        <v>#N/A</v>
      </c>
    </row>
    <row r="3017" spans="1:5" x14ac:dyDescent="0.25">
      <c r="A3017" s="108">
        <v>201706</v>
      </c>
      <c r="B3017" s="109" t="s">
        <v>315</v>
      </c>
      <c r="C3017" s="108">
        <v>0</v>
      </c>
      <c r="D3017" s="110"/>
      <c r="E3017" t="e">
        <f>VLOOKUP(B3017,CAC!$A$2:$B$198,2,FALSE)</f>
        <v>#N/A</v>
      </c>
    </row>
    <row r="3018" spans="1:5" x14ac:dyDescent="0.25">
      <c r="A3018" s="108">
        <v>201706</v>
      </c>
      <c r="B3018" s="109" t="s">
        <v>112</v>
      </c>
      <c r="C3018" s="108">
        <v>0</v>
      </c>
      <c r="D3018" s="110"/>
      <c r="E3018" t="e">
        <f>VLOOKUP(B3018,CAC!$A$2:$B$198,2,FALSE)</f>
        <v>#N/A</v>
      </c>
    </row>
    <row r="3019" spans="1:5" x14ac:dyDescent="0.25">
      <c r="A3019" s="108">
        <v>201706</v>
      </c>
      <c r="B3019" s="109" t="s">
        <v>316</v>
      </c>
      <c r="C3019" s="108">
        <v>0</v>
      </c>
      <c r="D3019" s="110"/>
      <c r="E3019" t="e">
        <f>VLOOKUP(B3019,CAC!$A$2:$B$198,2,FALSE)</f>
        <v>#N/A</v>
      </c>
    </row>
    <row r="3020" spans="1:5" x14ac:dyDescent="0.25">
      <c r="A3020" s="108">
        <v>201706</v>
      </c>
      <c r="B3020" s="109" t="s">
        <v>317</v>
      </c>
      <c r="C3020" s="108">
        <v>0</v>
      </c>
      <c r="D3020" s="110"/>
      <c r="E3020" t="e">
        <f>VLOOKUP(B3020,CAC!$A$2:$B$198,2,FALSE)</f>
        <v>#N/A</v>
      </c>
    </row>
    <row r="3021" spans="1:5" x14ac:dyDescent="0.25">
      <c r="A3021" s="108">
        <v>201706</v>
      </c>
      <c r="B3021" s="109" t="s">
        <v>113</v>
      </c>
      <c r="C3021" s="108">
        <v>0</v>
      </c>
      <c r="D3021" s="110"/>
      <c r="E3021" t="str">
        <f>VLOOKUP(B3021,CAC!$A$2:$B$198,2,FALSE)</f>
        <v>PPOLG</v>
      </c>
    </row>
    <row r="3022" spans="1:5" x14ac:dyDescent="0.25">
      <c r="A3022" s="108">
        <v>201706</v>
      </c>
      <c r="B3022" s="109" t="s">
        <v>208</v>
      </c>
      <c r="C3022" s="108">
        <v>0</v>
      </c>
      <c r="D3022" s="110"/>
      <c r="E3022" t="str">
        <f>VLOOKUP(B3022,CAC!$A$2:$B$198,2,FALSE)</f>
        <v>PPOPMR</v>
      </c>
    </row>
    <row r="3023" spans="1:5" x14ac:dyDescent="0.25">
      <c r="A3023" s="108">
        <v>201706</v>
      </c>
      <c r="B3023" s="109" t="s">
        <v>291</v>
      </c>
      <c r="C3023" s="108">
        <v>0</v>
      </c>
      <c r="D3023" s="110"/>
      <c r="E3023" t="str">
        <f>VLOOKUP(B3023,CAC!$A$2:$B$198,2,FALSE)</f>
        <v>HMFLEX</v>
      </c>
    </row>
    <row r="3024" spans="1:5" x14ac:dyDescent="0.25">
      <c r="A3024" s="108">
        <v>201706</v>
      </c>
      <c r="B3024" s="109" t="s">
        <v>204</v>
      </c>
      <c r="C3024" s="108">
        <v>0</v>
      </c>
      <c r="D3024" s="110"/>
      <c r="E3024" t="str">
        <f>VLOOKUP(B3024,CAC!$A$2:$B$198,2,FALSE)</f>
        <v>PPOPMR</v>
      </c>
    </row>
    <row r="3025" spans="1:5" x14ac:dyDescent="0.25">
      <c r="A3025" s="108">
        <v>201706</v>
      </c>
      <c r="B3025" s="109" t="s">
        <v>330</v>
      </c>
      <c r="C3025" s="108">
        <v>0</v>
      </c>
      <c r="D3025" s="110"/>
      <c r="E3025" t="e">
        <f>VLOOKUP(B3025,CAC!$A$2:$B$198,2,FALSE)</f>
        <v>#N/A</v>
      </c>
    </row>
    <row r="3026" spans="1:5" x14ac:dyDescent="0.25">
      <c r="A3026" s="108">
        <v>201706</v>
      </c>
      <c r="B3026" s="109" t="s">
        <v>73</v>
      </c>
      <c r="C3026" s="108">
        <v>35896</v>
      </c>
      <c r="D3026" s="108">
        <v>11661</v>
      </c>
      <c r="E3026" t="str">
        <f>VLOOKUP(B3026,CAC!$A$2:$B$198,2,FALSE)</f>
        <v>HMOPERA</v>
      </c>
    </row>
    <row r="3027" spans="1:5" x14ac:dyDescent="0.25">
      <c r="A3027" s="108">
        <v>201706</v>
      </c>
      <c r="B3027" s="109" t="s">
        <v>218</v>
      </c>
      <c r="C3027" s="108">
        <v>0</v>
      </c>
      <c r="D3027" s="110"/>
      <c r="E3027" t="str">
        <f>VLOOKUP(B3027,CAC!$A$2:$B$198,2,FALSE)</f>
        <v>HMOPERA</v>
      </c>
    </row>
    <row r="3028" spans="1:5" x14ac:dyDescent="0.25">
      <c r="A3028" s="108">
        <v>201706</v>
      </c>
      <c r="B3028" s="109" t="s">
        <v>156</v>
      </c>
      <c r="C3028" s="108">
        <v>27260</v>
      </c>
      <c r="D3028" s="110"/>
      <c r="E3028" t="str">
        <f>VLOOKUP(B3028,CAC!$A$2:$B$198,2,FALSE)</f>
        <v>HMOMM</v>
      </c>
    </row>
    <row r="3029" spans="1:5" x14ac:dyDescent="0.25">
      <c r="A3029" s="108">
        <v>201706</v>
      </c>
      <c r="B3029" s="109" t="s">
        <v>84</v>
      </c>
      <c r="C3029" s="108">
        <v>5761</v>
      </c>
      <c r="D3029" s="110"/>
      <c r="E3029" t="str">
        <f>VLOOKUP(B3029,CAC!$A$2:$B$198,2,FALSE)</f>
        <v>HMOMM</v>
      </c>
    </row>
    <row r="3030" spans="1:5" x14ac:dyDescent="0.25">
      <c r="A3030" s="108">
        <v>201706</v>
      </c>
      <c r="B3030" s="109" t="s">
        <v>162</v>
      </c>
      <c r="C3030" s="108">
        <v>416</v>
      </c>
      <c r="D3030" s="110"/>
      <c r="E3030" t="str">
        <f>VLOOKUP(B3030,CAC!$A$2:$B$198,2,FALSE)</f>
        <v>HMOMG</v>
      </c>
    </row>
    <row r="3031" spans="1:5" x14ac:dyDescent="0.25">
      <c r="A3031" s="108">
        <v>201706</v>
      </c>
      <c r="B3031" s="109" t="s">
        <v>163</v>
      </c>
      <c r="C3031" s="108">
        <v>73</v>
      </c>
      <c r="D3031" s="110"/>
      <c r="E3031" t="str">
        <f>VLOOKUP(B3031,CAC!$A$2:$B$198,2,FALSE)</f>
        <v>HMOMG</v>
      </c>
    </row>
    <row r="3032" spans="1:5" x14ac:dyDescent="0.25">
      <c r="A3032" s="108">
        <v>201706</v>
      </c>
      <c r="B3032" s="109" t="s">
        <v>164</v>
      </c>
      <c r="C3032" s="108">
        <v>0</v>
      </c>
      <c r="D3032" s="110"/>
      <c r="E3032" t="str">
        <f>VLOOKUP(B3032,CAC!$A$2:$B$198,2,FALSE)</f>
        <v>HMOMG</v>
      </c>
    </row>
    <row r="3033" spans="1:5" x14ac:dyDescent="0.25">
      <c r="A3033" s="108">
        <v>201706</v>
      </c>
      <c r="B3033" s="109" t="s">
        <v>85</v>
      </c>
      <c r="C3033" s="108">
        <v>667</v>
      </c>
      <c r="D3033" s="110"/>
      <c r="E3033" t="str">
        <f>VLOOKUP(B3033,CAC!$A$2:$B$198,2,FALSE)</f>
        <v>HMOMG</v>
      </c>
    </row>
    <row r="3034" spans="1:5" x14ac:dyDescent="0.25">
      <c r="A3034" s="108">
        <v>201706</v>
      </c>
      <c r="B3034" s="109" t="s">
        <v>77</v>
      </c>
      <c r="C3034" s="108">
        <v>26450</v>
      </c>
      <c r="D3034" s="110"/>
      <c r="E3034" t="str">
        <f>VLOOKUP(B3034,CAC!$A$2:$B$198,2,FALSE)</f>
        <v>HMOSG</v>
      </c>
    </row>
    <row r="3035" spans="1:5" x14ac:dyDescent="0.25">
      <c r="A3035" s="108">
        <v>201706</v>
      </c>
      <c r="B3035" s="109" t="s">
        <v>78</v>
      </c>
      <c r="C3035" s="108">
        <v>372</v>
      </c>
      <c r="D3035" s="110"/>
      <c r="E3035" t="str">
        <f>VLOOKUP(B3035,CAC!$A$2:$B$198,2,FALSE)</f>
        <v>HMOSG</v>
      </c>
    </row>
    <row r="3036" spans="1:5" x14ac:dyDescent="0.25">
      <c r="A3036" s="108">
        <v>201706</v>
      </c>
      <c r="B3036" s="109" t="s">
        <v>79</v>
      </c>
      <c r="C3036" s="108">
        <v>102</v>
      </c>
      <c r="D3036" s="110"/>
      <c r="E3036" t="str">
        <f>VLOOKUP(B3036,CAC!$A$2:$B$198,2,FALSE)</f>
        <v>HMOSG</v>
      </c>
    </row>
    <row r="3037" spans="1:5" x14ac:dyDescent="0.25">
      <c r="A3037" s="108">
        <v>201706</v>
      </c>
      <c r="B3037" s="109" t="s">
        <v>222</v>
      </c>
      <c r="C3037" s="108">
        <v>0</v>
      </c>
      <c r="D3037" s="110"/>
      <c r="E3037" t="str">
        <f>VLOOKUP(B3037,CAC!$A$2:$B$198,2,FALSE)</f>
        <v>PPOSG</v>
      </c>
    </row>
    <row r="3038" spans="1:5" x14ac:dyDescent="0.25">
      <c r="A3038" s="108">
        <v>201706</v>
      </c>
      <c r="B3038" s="109" t="s">
        <v>225</v>
      </c>
      <c r="C3038" s="108">
        <v>0</v>
      </c>
      <c r="D3038" s="110"/>
      <c r="E3038" t="str">
        <f>VLOOKUP(B3038,CAC!$A$2:$B$198,2,FALSE)</f>
        <v>PPOSG</v>
      </c>
    </row>
    <row r="3039" spans="1:5" x14ac:dyDescent="0.25">
      <c r="A3039" s="108">
        <v>201706</v>
      </c>
      <c r="B3039" s="109" t="s">
        <v>226</v>
      </c>
      <c r="C3039" s="108">
        <v>0</v>
      </c>
      <c r="D3039" s="110"/>
      <c r="E3039" t="str">
        <f>VLOOKUP(B3039,CAC!$A$2:$B$198,2,FALSE)</f>
        <v>PPOSG</v>
      </c>
    </row>
    <row r="3040" spans="1:5" x14ac:dyDescent="0.25">
      <c r="A3040" s="108">
        <v>201706</v>
      </c>
      <c r="B3040" s="109" t="s">
        <v>89</v>
      </c>
      <c r="C3040" s="108">
        <v>1279</v>
      </c>
      <c r="D3040" s="110"/>
      <c r="E3040" t="str">
        <f>VLOOKUP(B3040,CAC!$A$2:$B$198,2,FALSE)</f>
        <v>HMOIFP</v>
      </c>
    </row>
    <row r="3041" spans="1:5" x14ac:dyDescent="0.25">
      <c r="A3041" s="108">
        <v>201706</v>
      </c>
      <c r="B3041" s="109" t="s">
        <v>90</v>
      </c>
      <c r="C3041" s="108">
        <v>743</v>
      </c>
      <c r="D3041" s="110"/>
      <c r="E3041" t="str">
        <f>VLOOKUP(B3041,CAC!$A$2:$B$198,2,FALSE)</f>
        <v>HMOIFP</v>
      </c>
    </row>
    <row r="3042" spans="1:5" x14ac:dyDescent="0.25">
      <c r="A3042" s="108">
        <v>201706</v>
      </c>
      <c r="B3042" s="109" t="s">
        <v>186</v>
      </c>
      <c r="C3042" s="108">
        <v>0</v>
      </c>
      <c r="D3042" s="110"/>
      <c r="E3042" t="str">
        <f>VLOOKUP(B3042,CAC!$A$2:$B$198,2,FALSE)</f>
        <v>PPOIFP</v>
      </c>
    </row>
    <row r="3043" spans="1:5" x14ac:dyDescent="0.25">
      <c r="A3043" s="108">
        <v>201706</v>
      </c>
      <c r="B3043" s="109" t="s">
        <v>188</v>
      </c>
      <c r="C3043" s="108">
        <v>0</v>
      </c>
      <c r="D3043" s="110"/>
      <c r="E3043" t="str">
        <f>VLOOKUP(B3043,CAC!$A$2:$B$198,2,FALSE)</f>
        <v>PPOIFP</v>
      </c>
    </row>
    <row r="3044" spans="1:5" x14ac:dyDescent="0.25">
      <c r="A3044" s="108">
        <v>201706</v>
      </c>
      <c r="B3044" s="109" t="s">
        <v>189</v>
      </c>
      <c r="C3044" s="108">
        <v>0</v>
      </c>
      <c r="D3044" s="110"/>
      <c r="E3044" t="str">
        <f>VLOOKUP(B3044,CAC!$A$2:$B$198,2,FALSE)</f>
        <v>PPOIFP</v>
      </c>
    </row>
    <row r="3045" spans="1:5" x14ac:dyDescent="0.25">
      <c r="A3045" s="108">
        <v>201706</v>
      </c>
      <c r="B3045" s="109" t="s">
        <v>331</v>
      </c>
      <c r="C3045" s="108">
        <v>0</v>
      </c>
      <c r="D3045" s="110"/>
      <c r="E3045" t="e">
        <f>VLOOKUP(B3045,CAC!$A$2:$B$198,2,FALSE)</f>
        <v>#N/A</v>
      </c>
    </row>
    <row r="3046" spans="1:5" x14ac:dyDescent="0.25">
      <c r="A3046" s="108">
        <v>201706</v>
      </c>
      <c r="B3046" s="109" t="s">
        <v>216</v>
      </c>
      <c r="C3046" s="108">
        <v>0</v>
      </c>
      <c r="D3046" s="110"/>
      <c r="E3046" t="str">
        <f>VLOOKUP(B3046,CAC!$A$2:$B$198,2,FALSE)</f>
        <v>PPOMM</v>
      </c>
    </row>
    <row r="3047" spans="1:5" x14ac:dyDescent="0.25">
      <c r="A3047" s="108">
        <v>201706</v>
      </c>
      <c r="B3047" s="109" t="s">
        <v>301</v>
      </c>
      <c r="C3047" s="108">
        <v>0</v>
      </c>
      <c r="D3047" s="110"/>
      <c r="E3047" t="str">
        <f>VLOOKUP(B3047,CAC!$A$2:$B$198,2,FALSE)</f>
        <v>XXX</v>
      </c>
    </row>
    <row r="3048" spans="1:5" x14ac:dyDescent="0.25">
      <c r="A3048" s="108">
        <v>201707</v>
      </c>
      <c r="B3048" s="109" t="s">
        <v>51</v>
      </c>
      <c r="C3048" s="108">
        <v>18</v>
      </c>
      <c r="D3048" s="110"/>
      <c r="E3048" t="str">
        <f>VLOOKUP(B3048,CAC!$A$2:$B$198,2,FALSE)</f>
        <v>XXX</v>
      </c>
    </row>
    <row r="3049" spans="1:5" x14ac:dyDescent="0.25">
      <c r="A3049" s="108">
        <v>201707</v>
      </c>
      <c r="B3049" s="109" t="s">
        <v>303</v>
      </c>
      <c r="C3049" s="108">
        <v>0</v>
      </c>
      <c r="D3049" s="110"/>
      <c r="E3049" t="e">
        <f>VLOOKUP(B3049,CAC!$A$2:$B$198,2,FALSE)</f>
        <v>#N/A</v>
      </c>
    </row>
    <row r="3050" spans="1:5" x14ac:dyDescent="0.25">
      <c r="A3050" s="108">
        <v>201707</v>
      </c>
      <c r="B3050" s="109" t="s">
        <v>304</v>
      </c>
      <c r="C3050" s="108">
        <v>0</v>
      </c>
      <c r="D3050" s="110"/>
      <c r="E3050" t="e">
        <f>VLOOKUP(B3050,CAC!$A$2:$B$198,2,FALSE)</f>
        <v>#N/A</v>
      </c>
    </row>
    <row r="3051" spans="1:5" x14ac:dyDescent="0.25">
      <c r="A3051" s="108">
        <v>201707</v>
      </c>
      <c r="B3051" s="109" t="s">
        <v>323</v>
      </c>
      <c r="C3051" s="108">
        <v>0</v>
      </c>
      <c r="D3051" s="110"/>
      <c r="E3051" t="e">
        <f>VLOOKUP(B3051,CAC!$A$2:$B$198,2,FALSE)</f>
        <v>#N/A</v>
      </c>
    </row>
    <row r="3052" spans="1:5" x14ac:dyDescent="0.25">
      <c r="A3052" s="108">
        <v>201707</v>
      </c>
      <c r="B3052" s="109" t="s">
        <v>305</v>
      </c>
      <c r="C3052" s="108">
        <v>0</v>
      </c>
      <c r="D3052" s="110"/>
      <c r="E3052" t="e">
        <f>VLOOKUP(B3052,CAC!$A$2:$B$198,2,FALSE)</f>
        <v>#N/A</v>
      </c>
    </row>
    <row r="3053" spans="1:5" x14ac:dyDescent="0.25">
      <c r="A3053" s="108">
        <v>201707</v>
      </c>
      <c r="B3053" s="109" t="s">
        <v>326</v>
      </c>
      <c r="C3053" s="108">
        <v>0</v>
      </c>
      <c r="D3053" s="110"/>
      <c r="E3053" t="e">
        <f>VLOOKUP(B3053,CAC!$A$2:$B$198,2,FALSE)</f>
        <v>#N/A</v>
      </c>
    </row>
    <row r="3054" spans="1:5" x14ac:dyDescent="0.25">
      <c r="A3054" s="108">
        <v>201707</v>
      </c>
      <c r="B3054" s="109" t="s">
        <v>231</v>
      </c>
      <c r="C3054" s="108">
        <v>0</v>
      </c>
      <c r="D3054" s="110"/>
      <c r="E3054" t="str">
        <f>VLOOKUP(B3054,CAC!$A$2:$B$198,2,FALSE)</f>
        <v>DOILG</v>
      </c>
    </row>
    <row r="3055" spans="1:5" x14ac:dyDescent="0.25">
      <c r="A3055" s="108">
        <v>201707</v>
      </c>
      <c r="B3055" s="109" t="s">
        <v>237</v>
      </c>
      <c r="C3055" s="108">
        <v>0</v>
      </c>
      <c r="D3055" s="110"/>
      <c r="E3055" t="str">
        <f>VLOOKUP(B3055,CAC!$A$2:$B$198,2,FALSE)</f>
        <v>DOILG</v>
      </c>
    </row>
    <row r="3056" spans="1:5" x14ac:dyDescent="0.25">
      <c r="A3056" s="108">
        <v>201707</v>
      </c>
      <c r="B3056" s="109" t="s">
        <v>247</v>
      </c>
      <c r="C3056" s="108">
        <v>0</v>
      </c>
      <c r="D3056" s="110"/>
      <c r="E3056" t="str">
        <f>VLOOKUP(B3056,CAC!$A$2:$B$198,2,FALSE)</f>
        <v>DOIIFP</v>
      </c>
    </row>
    <row r="3057" spans="1:5" x14ac:dyDescent="0.25">
      <c r="A3057" s="108">
        <v>201707</v>
      </c>
      <c r="B3057" s="109" t="s">
        <v>238</v>
      </c>
      <c r="C3057" s="108">
        <v>0</v>
      </c>
      <c r="D3057" s="110"/>
      <c r="E3057" t="str">
        <f>VLOOKUP(B3057,CAC!$A$2:$B$198,2,FALSE)</f>
        <v>DOILG</v>
      </c>
    </row>
    <row r="3058" spans="1:5" x14ac:dyDescent="0.25">
      <c r="A3058" s="108">
        <v>201707</v>
      </c>
      <c r="B3058" s="109" t="s">
        <v>273</v>
      </c>
      <c r="C3058" s="108">
        <v>0</v>
      </c>
      <c r="D3058" s="110"/>
      <c r="E3058" t="str">
        <f>VLOOKUP(B3058,CAC!$A$2:$B$198,2,FALSE)</f>
        <v>AGDMHC</v>
      </c>
    </row>
    <row r="3059" spans="1:5" x14ac:dyDescent="0.25">
      <c r="A3059" s="108">
        <v>201707</v>
      </c>
      <c r="B3059" s="109" t="s">
        <v>328</v>
      </c>
      <c r="C3059" s="108">
        <v>0</v>
      </c>
      <c r="D3059" s="110"/>
      <c r="E3059" t="e">
        <f>VLOOKUP(B3059,CAC!$A$2:$B$198,2,FALSE)</f>
        <v>#N/A</v>
      </c>
    </row>
    <row r="3060" spans="1:5" x14ac:dyDescent="0.25">
      <c r="A3060" s="108">
        <v>201707</v>
      </c>
      <c r="B3060" s="109" t="s">
        <v>253</v>
      </c>
      <c r="C3060" s="108">
        <v>0</v>
      </c>
      <c r="D3060" s="110"/>
      <c r="E3060" t="str">
        <f>VLOOKUP(B3060,CAC!$A$2:$B$198,2,FALSE)</f>
        <v>AGDMHC</v>
      </c>
    </row>
    <row r="3061" spans="1:5" x14ac:dyDescent="0.25">
      <c r="A3061" s="108">
        <v>201707</v>
      </c>
      <c r="B3061" s="109" t="s">
        <v>325</v>
      </c>
      <c r="C3061" s="108">
        <v>0</v>
      </c>
      <c r="D3061" s="110"/>
      <c r="E3061" t="e">
        <f>VLOOKUP(B3061,CAC!$A$2:$B$198,2,FALSE)</f>
        <v>#N/A</v>
      </c>
    </row>
    <row r="3062" spans="1:5" x14ac:dyDescent="0.25">
      <c r="A3062" s="108">
        <v>201707</v>
      </c>
      <c r="B3062" s="109" t="s">
        <v>255</v>
      </c>
      <c r="C3062" s="108">
        <v>0</v>
      </c>
      <c r="D3062" s="110"/>
      <c r="E3062" t="str">
        <f>VLOOKUP(B3062,CAC!$A$2:$B$198,2,FALSE)</f>
        <v>AGDMHC</v>
      </c>
    </row>
    <row r="3063" spans="1:5" x14ac:dyDescent="0.25">
      <c r="A3063" s="108">
        <v>201707</v>
      </c>
      <c r="B3063" s="109" t="s">
        <v>256</v>
      </c>
      <c r="C3063" s="108">
        <v>0</v>
      </c>
      <c r="D3063" s="110"/>
      <c r="E3063" t="str">
        <f>VLOOKUP(B3063,CAC!$A$2:$B$198,2,FALSE)</f>
        <v>AGDMHC</v>
      </c>
    </row>
    <row r="3064" spans="1:5" x14ac:dyDescent="0.25">
      <c r="A3064" s="108">
        <v>201707</v>
      </c>
      <c r="B3064" s="109" t="s">
        <v>257</v>
      </c>
      <c r="C3064" s="108">
        <v>0</v>
      </c>
      <c r="D3064" s="110"/>
      <c r="E3064" t="str">
        <f>VLOOKUP(B3064,CAC!$A$2:$B$198,2,FALSE)</f>
        <v>AGDMHC</v>
      </c>
    </row>
    <row r="3065" spans="1:5" x14ac:dyDescent="0.25">
      <c r="A3065" s="108">
        <v>201707</v>
      </c>
      <c r="B3065" s="109" t="s">
        <v>258</v>
      </c>
      <c r="C3065" s="108">
        <v>0</v>
      </c>
      <c r="D3065" s="110"/>
      <c r="E3065" t="str">
        <f>VLOOKUP(B3065,CAC!$A$2:$B$198,2,FALSE)</f>
        <v>AGDMHC</v>
      </c>
    </row>
    <row r="3066" spans="1:5" x14ac:dyDescent="0.25">
      <c r="A3066" s="108">
        <v>201707</v>
      </c>
      <c r="B3066" s="109" t="s">
        <v>329</v>
      </c>
      <c r="C3066" s="108">
        <v>0</v>
      </c>
      <c r="D3066" s="110"/>
      <c r="E3066" t="e">
        <f>VLOOKUP(B3066,CAC!$A$2:$B$198,2,FALSE)</f>
        <v>#N/A</v>
      </c>
    </row>
    <row r="3067" spans="1:5" x14ac:dyDescent="0.25">
      <c r="A3067" s="108">
        <v>201707</v>
      </c>
      <c r="B3067" s="109" t="s">
        <v>262</v>
      </c>
      <c r="C3067" s="108">
        <v>0</v>
      </c>
      <c r="D3067" s="110"/>
      <c r="E3067" t="str">
        <f>VLOOKUP(B3067,CAC!$A$2:$B$198,2,FALSE)</f>
        <v>AGDMHC</v>
      </c>
    </row>
    <row r="3068" spans="1:5" x14ac:dyDescent="0.25">
      <c r="A3068" s="108">
        <v>201707</v>
      </c>
      <c r="B3068" s="109" t="s">
        <v>264</v>
      </c>
      <c r="C3068" s="108">
        <v>0</v>
      </c>
      <c r="D3068" s="110"/>
      <c r="E3068" t="str">
        <f>VLOOKUP(B3068,CAC!$A$2:$B$198,2,FALSE)</f>
        <v>AGDMHC</v>
      </c>
    </row>
    <row r="3069" spans="1:5" x14ac:dyDescent="0.25">
      <c r="A3069" s="108">
        <v>201707</v>
      </c>
      <c r="B3069" s="109" t="s">
        <v>269</v>
      </c>
      <c r="C3069" s="108">
        <v>0</v>
      </c>
      <c r="D3069" s="110"/>
      <c r="E3069" t="str">
        <f>VLOOKUP(B3069,CAC!$A$2:$B$198,2,FALSE)</f>
        <v>AGDMHC</v>
      </c>
    </row>
    <row r="3070" spans="1:5" x14ac:dyDescent="0.25">
      <c r="A3070" s="108">
        <v>201707</v>
      </c>
      <c r="B3070" s="109" t="s">
        <v>319</v>
      </c>
      <c r="C3070" s="108">
        <v>0</v>
      </c>
      <c r="D3070" s="110"/>
      <c r="E3070" t="e">
        <f>VLOOKUP(B3070,CAC!$A$2:$B$198,2,FALSE)</f>
        <v>#N/A</v>
      </c>
    </row>
    <row r="3071" spans="1:5" x14ac:dyDescent="0.25">
      <c r="A3071" s="108">
        <v>201707</v>
      </c>
      <c r="B3071" s="109" t="s">
        <v>267</v>
      </c>
      <c r="C3071" s="108">
        <v>0</v>
      </c>
      <c r="D3071" s="110"/>
      <c r="E3071" t="str">
        <f>VLOOKUP(B3071,CAC!$A$2:$B$198,2,FALSE)</f>
        <v>AGDMHC</v>
      </c>
    </row>
    <row r="3072" spans="1:5" x14ac:dyDescent="0.25">
      <c r="A3072" s="108">
        <v>201707</v>
      </c>
      <c r="B3072" s="109" t="s">
        <v>268</v>
      </c>
      <c r="C3072" s="108">
        <v>0</v>
      </c>
      <c r="D3072" s="110"/>
      <c r="E3072" t="str">
        <f>VLOOKUP(B3072,CAC!$A$2:$B$198,2,FALSE)</f>
        <v>AGDMHC</v>
      </c>
    </row>
    <row r="3073" spans="1:5" x14ac:dyDescent="0.25">
      <c r="A3073" s="108">
        <v>201707</v>
      </c>
      <c r="B3073" s="109" t="s">
        <v>52</v>
      </c>
      <c r="C3073" s="108">
        <v>16286</v>
      </c>
      <c r="D3073" s="110"/>
      <c r="E3073" t="str">
        <f>VLOOKUP(B3073,CAC!$A$2:$B$198,2,FALSE)</f>
        <v>HMOPMR</v>
      </c>
    </row>
    <row r="3074" spans="1:5" x14ac:dyDescent="0.25">
      <c r="A3074" s="108">
        <v>201707</v>
      </c>
      <c r="B3074" s="109" t="s">
        <v>53</v>
      </c>
      <c r="C3074" s="108">
        <v>4842</v>
      </c>
      <c r="D3074" s="110"/>
      <c r="E3074" t="str">
        <f>VLOOKUP(B3074,CAC!$A$2:$B$198,2,FALSE)</f>
        <v>HMOPMR</v>
      </c>
    </row>
    <row r="3075" spans="1:5" x14ac:dyDescent="0.25">
      <c r="A3075" s="108">
        <v>201707</v>
      </c>
      <c r="B3075" s="109" t="s">
        <v>54</v>
      </c>
      <c r="C3075" s="108">
        <v>5668</v>
      </c>
      <c r="D3075" s="110"/>
      <c r="E3075" t="str">
        <f>VLOOKUP(B3075,CAC!$A$2:$B$198,2,FALSE)</f>
        <v>HMOFEP</v>
      </c>
    </row>
    <row r="3076" spans="1:5" x14ac:dyDescent="0.25">
      <c r="A3076" s="108">
        <v>201707</v>
      </c>
      <c r="B3076" s="109" t="s">
        <v>279</v>
      </c>
      <c r="C3076" s="108">
        <v>0</v>
      </c>
      <c r="D3076" s="110"/>
      <c r="E3076" t="str">
        <f>VLOOKUP(B3076,CAC!$A$2:$B$198,2,FALSE)</f>
        <v>PPOFEP</v>
      </c>
    </row>
    <row r="3077" spans="1:5" x14ac:dyDescent="0.25">
      <c r="A3077" s="108">
        <v>201707</v>
      </c>
      <c r="B3077" s="109" t="s">
        <v>202</v>
      </c>
      <c r="C3077" s="108">
        <v>0</v>
      </c>
      <c r="D3077" s="110"/>
      <c r="E3077" t="str">
        <f>VLOOKUP(B3077,CAC!$A$2:$B$198,2,FALSE)</f>
        <v>PPOPMR</v>
      </c>
    </row>
    <row r="3078" spans="1:5" x14ac:dyDescent="0.25">
      <c r="A3078" s="108">
        <v>201707</v>
      </c>
      <c r="B3078" s="109" t="s">
        <v>55</v>
      </c>
      <c r="C3078" s="108">
        <v>17624</v>
      </c>
      <c r="D3078" s="110"/>
      <c r="E3078" t="str">
        <f>VLOOKUP(B3078,CAC!$A$2:$B$198,2,FALSE)</f>
        <v>HMOPMR</v>
      </c>
    </row>
    <row r="3079" spans="1:5" x14ac:dyDescent="0.25">
      <c r="A3079" s="108">
        <v>201707</v>
      </c>
      <c r="B3079" s="109" t="s">
        <v>56</v>
      </c>
      <c r="C3079" s="108">
        <v>38</v>
      </c>
      <c r="D3079" s="110"/>
      <c r="E3079" t="str">
        <f>VLOOKUP(B3079,CAC!$A$2:$B$198,2,FALSE)</f>
        <v>HMOPMR</v>
      </c>
    </row>
    <row r="3080" spans="1:5" x14ac:dyDescent="0.25">
      <c r="A3080" s="108">
        <v>201707</v>
      </c>
      <c r="B3080" s="109" t="s">
        <v>57</v>
      </c>
      <c r="C3080" s="108">
        <v>9896</v>
      </c>
      <c r="D3080" s="110"/>
      <c r="E3080" t="str">
        <f>VLOOKUP(B3080,CAC!$A$2:$B$198,2,FALSE)</f>
        <v>HMFLEX</v>
      </c>
    </row>
    <row r="3081" spans="1:5" x14ac:dyDescent="0.25">
      <c r="A3081" s="108">
        <v>201707</v>
      </c>
      <c r="B3081" s="109" t="s">
        <v>58</v>
      </c>
      <c r="C3081" s="108">
        <v>328</v>
      </c>
      <c r="D3081" s="110"/>
      <c r="E3081" t="str">
        <f>VLOOKUP(B3081,CAC!$A$2:$B$198,2,FALSE)</f>
        <v>HMFLEX</v>
      </c>
    </row>
    <row r="3082" spans="1:5" x14ac:dyDescent="0.25">
      <c r="A3082" s="108">
        <v>201707</v>
      </c>
      <c r="B3082" s="109" t="s">
        <v>306</v>
      </c>
      <c r="C3082" s="108">
        <v>0</v>
      </c>
      <c r="D3082" s="110"/>
      <c r="E3082" t="e">
        <f>VLOOKUP(B3082,CAC!$A$2:$B$198,2,FALSE)</f>
        <v>#N/A</v>
      </c>
    </row>
    <row r="3083" spans="1:5" x14ac:dyDescent="0.25">
      <c r="A3083" s="108">
        <v>201707</v>
      </c>
      <c r="B3083" s="109" t="s">
        <v>283</v>
      </c>
      <c r="C3083" s="108">
        <v>0</v>
      </c>
      <c r="D3083" s="110"/>
      <c r="E3083" t="str">
        <f>VLOOKUP(B3083,CAC!$A$2:$B$198,2,FALSE)</f>
        <v>HMFLEX</v>
      </c>
    </row>
    <row r="3084" spans="1:5" x14ac:dyDescent="0.25">
      <c r="A3084" s="108">
        <v>201707</v>
      </c>
      <c r="B3084" s="109" t="s">
        <v>205</v>
      </c>
      <c r="C3084" s="108">
        <v>0</v>
      </c>
      <c r="D3084" s="110"/>
      <c r="E3084" t="str">
        <f>VLOOKUP(B3084,CAC!$A$2:$B$198,2,FALSE)</f>
        <v>PPOPMR</v>
      </c>
    </row>
    <row r="3085" spans="1:5" x14ac:dyDescent="0.25">
      <c r="A3085" s="108">
        <v>201707</v>
      </c>
      <c r="B3085" s="109" t="s">
        <v>60</v>
      </c>
      <c r="C3085" s="108">
        <v>10132</v>
      </c>
      <c r="D3085" s="110"/>
      <c r="E3085" t="str">
        <f>VLOOKUP(B3085,CAC!$A$2:$B$198,2,FALSE)</f>
        <v>HMOLG</v>
      </c>
    </row>
    <row r="3086" spans="1:5" x14ac:dyDescent="0.25">
      <c r="A3086" s="108">
        <v>201707</v>
      </c>
      <c r="B3086" s="109" t="s">
        <v>61</v>
      </c>
      <c r="C3086" s="108">
        <v>1174</v>
      </c>
      <c r="D3086" s="110"/>
      <c r="E3086" t="str">
        <f>VLOOKUP(B3086,CAC!$A$2:$B$198,2,FALSE)</f>
        <v>HMOLG</v>
      </c>
    </row>
    <row r="3087" spans="1:5" x14ac:dyDescent="0.25">
      <c r="A3087" s="108">
        <v>201707</v>
      </c>
      <c r="B3087" s="109" t="s">
        <v>62</v>
      </c>
      <c r="C3087" s="108">
        <v>16977</v>
      </c>
      <c r="D3087" s="110"/>
      <c r="E3087" t="str">
        <f>VLOOKUP(B3087,CAC!$A$2:$B$198,2,FALSE)</f>
        <v>HMOLG</v>
      </c>
    </row>
    <row r="3088" spans="1:5" x14ac:dyDescent="0.25">
      <c r="A3088" s="108">
        <v>201707</v>
      </c>
      <c r="B3088" s="109" t="s">
        <v>86</v>
      </c>
      <c r="C3088" s="108">
        <v>1959</v>
      </c>
      <c r="D3088" s="110"/>
      <c r="E3088" t="str">
        <f>VLOOKUP(B3088,CAC!$A$2:$B$198,2,FALSE)</f>
        <v>HMOLG</v>
      </c>
    </row>
    <row r="3089" spans="1:5" x14ac:dyDescent="0.25">
      <c r="A3089" s="108">
        <v>201707</v>
      </c>
      <c r="B3089" s="109" t="s">
        <v>63</v>
      </c>
      <c r="C3089" s="108">
        <v>60</v>
      </c>
      <c r="D3089" s="110"/>
      <c r="E3089" t="str">
        <f>VLOOKUP(B3089,CAC!$A$2:$B$198,2,FALSE)</f>
        <v>HMOLG</v>
      </c>
    </row>
    <row r="3090" spans="1:5" x14ac:dyDescent="0.25">
      <c r="A3090" s="108">
        <v>201707</v>
      </c>
      <c r="B3090" s="109" t="s">
        <v>64</v>
      </c>
      <c r="C3090" s="108">
        <v>0</v>
      </c>
      <c r="D3090" s="110"/>
      <c r="E3090" t="str">
        <f>VLOOKUP(B3090,CAC!$A$2:$B$198,2,FALSE)</f>
        <v>HMOLG</v>
      </c>
    </row>
    <row r="3091" spans="1:5" x14ac:dyDescent="0.25">
      <c r="A3091" s="108">
        <v>201707</v>
      </c>
      <c r="B3091" s="109" t="s">
        <v>91</v>
      </c>
      <c r="C3091" s="108">
        <v>221</v>
      </c>
      <c r="D3091" s="110"/>
      <c r="E3091" t="str">
        <f>VLOOKUP(B3091,CAC!$A$2:$B$198,2,FALSE)</f>
        <v>HMFLEX</v>
      </c>
    </row>
    <row r="3092" spans="1:5" x14ac:dyDescent="0.25">
      <c r="A3092" s="108">
        <v>201707</v>
      </c>
      <c r="B3092" s="109" t="s">
        <v>307</v>
      </c>
      <c r="C3092" s="108">
        <v>0</v>
      </c>
      <c r="D3092" s="110"/>
      <c r="E3092" t="e">
        <f>VLOOKUP(B3092,CAC!$A$2:$B$198,2,FALSE)</f>
        <v>#N/A</v>
      </c>
    </row>
    <row r="3093" spans="1:5" x14ac:dyDescent="0.25">
      <c r="A3093" s="108">
        <v>201707</v>
      </c>
      <c r="B3093" s="109" t="s">
        <v>308</v>
      </c>
      <c r="C3093" s="108">
        <v>0</v>
      </c>
      <c r="D3093" s="110"/>
      <c r="E3093" t="e">
        <f>VLOOKUP(B3093,CAC!$A$2:$B$198,2,FALSE)</f>
        <v>#N/A</v>
      </c>
    </row>
    <row r="3094" spans="1:5" x14ac:dyDescent="0.25">
      <c r="A3094" s="108">
        <v>201707</v>
      </c>
      <c r="B3094" s="109" t="s">
        <v>309</v>
      </c>
      <c r="C3094" s="108">
        <v>0</v>
      </c>
      <c r="D3094" s="110"/>
      <c r="E3094" t="e">
        <f>VLOOKUP(B3094,CAC!$A$2:$B$198,2,FALSE)</f>
        <v>#N/A</v>
      </c>
    </row>
    <row r="3095" spans="1:5" x14ac:dyDescent="0.25">
      <c r="A3095" s="108">
        <v>201707</v>
      </c>
      <c r="B3095" s="109" t="s">
        <v>99</v>
      </c>
      <c r="C3095" s="108">
        <v>0</v>
      </c>
      <c r="D3095" s="110"/>
      <c r="E3095" t="str">
        <f>VLOOKUP(B3095,CAC!$A$2:$B$198,2,FALSE)</f>
        <v>PPOLG</v>
      </c>
    </row>
    <row r="3096" spans="1:5" x14ac:dyDescent="0.25">
      <c r="A3096" s="108">
        <v>201707</v>
      </c>
      <c r="B3096" s="109" t="s">
        <v>193</v>
      </c>
      <c r="C3096" s="108">
        <v>0</v>
      </c>
      <c r="D3096" s="110"/>
      <c r="E3096" t="str">
        <f>VLOOKUP(B3096,CAC!$A$2:$B$198,2,FALSE)</f>
        <v>PPOLG</v>
      </c>
    </row>
    <row r="3097" spans="1:5" x14ac:dyDescent="0.25">
      <c r="A3097" s="108">
        <v>201707</v>
      </c>
      <c r="B3097" s="109" t="s">
        <v>196</v>
      </c>
      <c r="C3097" s="108">
        <v>0</v>
      </c>
      <c r="D3097" s="110"/>
      <c r="E3097" t="str">
        <f>VLOOKUP(B3097,CAC!$A$2:$B$198,2,FALSE)</f>
        <v>PPOLG</v>
      </c>
    </row>
    <row r="3098" spans="1:5" x14ac:dyDescent="0.25">
      <c r="A3098" s="108">
        <v>201707</v>
      </c>
      <c r="B3098" s="109" t="s">
        <v>212</v>
      </c>
      <c r="C3098" s="108">
        <v>0</v>
      </c>
      <c r="D3098" s="110"/>
      <c r="E3098" t="str">
        <f>VLOOKUP(B3098,CAC!$A$2:$B$198,2,FALSE)</f>
        <v>PPOMM</v>
      </c>
    </row>
    <row r="3099" spans="1:5" x14ac:dyDescent="0.25">
      <c r="A3099" s="108">
        <v>201707</v>
      </c>
      <c r="B3099" s="109" t="s">
        <v>213</v>
      </c>
      <c r="C3099" s="108">
        <v>0</v>
      </c>
      <c r="D3099" s="110"/>
      <c r="E3099" t="str">
        <f>VLOOKUP(B3099,CAC!$A$2:$B$198,2,FALSE)</f>
        <v>PPOMM</v>
      </c>
    </row>
    <row r="3100" spans="1:5" x14ac:dyDescent="0.25">
      <c r="A3100" s="108">
        <v>201707</v>
      </c>
      <c r="B3100" s="109" t="s">
        <v>311</v>
      </c>
      <c r="C3100" s="108">
        <v>0</v>
      </c>
      <c r="D3100" s="110"/>
      <c r="E3100" t="e">
        <f>VLOOKUP(B3100,CAC!$A$2:$B$198,2,FALSE)</f>
        <v>#N/A</v>
      </c>
    </row>
    <row r="3101" spans="1:5" x14ac:dyDescent="0.25">
      <c r="A3101" s="108">
        <v>201707</v>
      </c>
      <c r="B3101" s="109" t="s">
        <v>321</v>
      </c>
      <c r="C3101" s="108">
        <v>0</v>
      </c>
      <c r="D3101" s="110"/>
      <c r="E3101" t="e">
        <f>VLOOKUP(B3101,CAC!$A$2:$B$198,2,FALSE)</f>
        <v>#N/A</v>
      </c>
    </row>
    <row r="3102" spans="1:5" x14ac:dyDescent="0.25">
      <c r="A3102" s="108">
        <v>201707</v>
      </c>
      <c r="B3102" s="109" t="s">
        <v>312</v>
      </c>
      <c r="C3102" s="108">
        <v>0</v>
      </c>
      <c r="D3102" s="110"/>
      <c r="E3102" t="e">
        <f>VLOOKUP(B3102,CAC!$A$2:$B$198,2,FALSE)</f>
        <v>#N/A</v>
      </c>
    </row>
    <row r="3103" spans="1:5" x14ac:dyDescent="0.25">
      <c r="A3103" s="108">
        <v>201707</v>
      </c>
      <c r="B3103" s="109" t="s">
        <v>215</v>
      </c>
      <c r="C3103" s="108">
        <v>0</v>
      </c>
      <c r="D3103" s="110"/>
      <c r="E3103" t="str">
        <f>VLOOKUP(B3103,CAC!$A$2:$B$198,2,FALSE)</f>
        <v>PPOMM</v>
      </c>
    </row>
    <row r="3104" spans="1:5" x14ac:dyDescent="0.25">
      <c r="A3104" s="108">
        <v>201707</v>
      </c>
      <c r="B3104" s="109" t="s">
        <v>66</v>
      </c>
      <c r="C3104" s="108">
        <v>6657</v>
      </c>
      <c r="D3104" s="110"/>
      <c r="E3104" t="str">
        <f>VLOOKUP(B3104,CAC!$A$2:$B$198,2,FALSE)</f>
        <v>HMOLG</v>
      </c>
    </row>
    <row r="3105" spans="1:5" x14ac:dyDescent="0.25">
      <c r="A3105" s="108">
        <v>201707</v>
      </c>
      <c r="B3105" s="109" t="s">
        <v>82</v>
      </c>
      <c r="C3105" s="108">
        <v>1</v>
      </c>
      <c r="D3105" s="110"/>
      <c r="E3105" t="str">
        <f>VLOOKUP(B3105,CAC!$A$2:$B$198,2,FALSE)</f>
        <v>NATPAR</v>
      </c>
    </row>
    <row r="3106" spans="1:5" x14ac:dyDescent="0.25">
      <c r="A3106" s="108">
        <v>201707</v>
      </c>
      <c r="B3106" s="109" t="s">
        <v>67</v>
      </c>
      <c r="C3106" s="108">
        <v>161</v>
      </c>
      <c r="D3106" s="110"/>
      <c r="E3106" t="str">
        <f>VLOOKUP(B3106,CAC!$A$2:$B$198,2,FALSE)</f>
        <v>HMOLG</v>
      </c>
    </row>
    <row r="3107" spans="1:5" x14ac:dyDescent="0.25">
      <c r="A3107" s="108">
        <v>201707</v>
      </c>
      <c r="B3107" s="109" t="s">
        <v>69</v>
      </c>
      <c r="C3107" s="108">
        <v>9573</v>
      </c>
      <c r="D3107" s="110"/>
      <c r="E3107" t="str">
        <f>VLOOKUP(B3107,CAC!$A$2:$B$198,2,FALSE)</f>
        <v>HMOPMR</v>
      </c>
    </row>
    <row r="3108" spans="1:5" x14ac:dyDescent="0.25">
      <c r="A3108" s="108">
        <v>201707</v>
      </c>
      <c r="B3108" s="109" t="s">
        <v>70</v>
      </c>
      <c r="C3108" s="108">
        <v>824</v>
      </c>
      <c r="D3108" s="110"/>
      <c r="E3108" t="str">
        <f>VLOOKUP(B3108,CAC!$A$2:$B$198,2,FALSE)</f>
        <v>HMOPMR</v>
      </c>
    </row>
    <row r="3109" spans="1:5" x14ac:dyDescent="0.25">
      <c r="A3109" s="108">
        <v>201707</v>
      </c>
      <c r="B3109" s="109" t="s">
        <v>71</v>
      </c>
      <c r="C3109" s="108">
        <v>4239</v>
      </c>
      <c r="D3109" s="110"/>
      <c r="E3109" t="str">
        <f>VLOOKUP(B3109,CAC!$A$2:$B$198,2,FALSE)</f>
        <v>HMOPMR</v>
      </c>
    </row>
    <row r="3110" spans="1:5" x14ac:dyDescent="0.25">
      <c r="A3110" s="108">
        <v>201707</v>
      </c>
      <c r="B3110" s="109" t="s">
        <v>72</v>
      </c>
      <c r="C3110" s="108">
        <v>5121</v>
      </c>
      <c r="D3110" s="110"/>
      <c r="E3110" t="str">
        <f>VLOOKUP(B3110,CAC!$A$2:$B$198,2,FALSE)</f>
        <v>HMFLEX</v>
      </c>
    </row>
    <row r="3111" spans="1:5" x14ac:dyDescent="0.25">
      <c r="A3111" s="108">
        <v>201707</v>
      </c>
      <c r="B3111" s="109" t="s">
        <v>314</v>
      </c>
      <c r="C3111" s="108">
        <v>0</v>
      </c>
      <c r="D3111" s="110"/>
      <c r="E3111" t="e">
        <f>VLOOKUP(B3111,CAC!$A$2:$B$198,2,FALSE)</f>
        <v>#N/A</v>
      </c>
    </row>
    <row r="3112" spans="1:5" x14ac:dyDescent="0.25">
      <c r="A3112" s="108">
        <v>201707</v>
      </c>
      <c r="B3112" s="109" t="s">
        <v>315</v>
      </c>
      <c r="C3112" s="108">
        <v>0</v>
      </c>
      <c r="D3112" s="110"/>
      <c r="E3112" t="e">
        <f>VLOOKUP(B3112,CAC!$A$2:$B$198,2,FALSE)</f>
        <v>#N/A</v>
      </c>
    </row>
    <row r="3113" spans="1:5" x14ac:dyDescent="0.25">
      <c r="A3113" s="108">
        <v>201707</v>
      </c>
      <c r="B3113" s="109" t="s">
        <v>112</v>
      </c>
      <c r="C3113" s="108">
        <v>0</v>
      </c>
      <c r="D3113" s="110"/>
      <c r="E3113" t="e">
        <f>VLOOKUP(B3113,CAC!$A$2:$B$198,2,FALSE)</f>
        <v>#N/A</v>
      </c>
    </row>
    <row r="3114" spans="1:5" x14ac:dyDescent="0.25">
      <c r="A3114" s="108">
        <v>201707</v>
      </c>
      <c r="B3114" s="109" t="s">
        <v>316</v>
      </c>
      <c r="C3114" s="108">
        <v>0</v>
      </c>
      <c r="D3114" s="110"/>
      <c r="E3114" t="e">
        <f>VLOOKUP(B3114,CAC!$A$2:$B$198,2,FALSE)</f>
        <v>#N/A</v>
      </c>
    </row>
    <row r="3115" spans="1:5" x14ac:dyDescent="0.25">
      <c r="A3115" s="108">
        <v>201707</v>
      </c>
      <c r="B3115" s="109" t="s">
        <v>317</v>
      </c>
      <c r="C3115" s="108">
        <v>0</v>
      </c>
      <c r="D3115" s="110"/>
      <c r="E3115" t="e">
        <f>VLOOKUP(B3115,CAC!$A$2:$B$198,2,FALSE)</f>
        <v>#N/A</v>
      </c>
    </row>
    <row r="3116" spans="1:5" x14ac:dyDescent="0.25">
      <c r="A3116" s="108">
        <v>201707</v>
      </c>
      <c r="B3116" s="109" t="s">
        <v>113</v>
      </c>
      <c r="C3116" s="108">
        <v>0</v>
      </c>
      <c r="D3116" s="110"/>
      <c r="E3116" t="str">
        <f>VLOOKUP(B3116,CAC!$A$2:$B$198,2,FALSE)</f>
        <v>PPOLG</v>
      </c>
    </row>
    <row r="3117" spans="1:5" x14ac:dyDescent="0.25">
      <c r="A3117" s="108">
        <v>201707</v>
      </c>
      <c r="B3117" s="109" t="s">
        <v>208</v>
      </c>
      <c r="C3117" s="108">
        <v>0</v>
      </c>
      <c r="D3117" s="110"/>
      <c r="E3117" t="str">
        <f>VLOOKUP(B3117,CAC!$A$2:$B$198,2,FALSE)</f>
        <v>PPOPMR</v>
      </c>
    </row>
    <row r="3118" spans="1:5" x14ac:dyDescent="0.25">
      <c r="A3118" s="108">
        <v>201707</v>
      </c>
      <c r="B3118" s="109" t="s">
        <v>291</v>
      </c>
      <c r="C3118" s="108">
        <v>0</v>
      </c>
      <c r="D3118" s="110"/>
      <c r="E3118" t="str">
        <f>VLOOKUP(B3118,CAC!$A$2:$B$198,2,FALSE)</f>
        <v>HMFLEX</v>
      </c>
    </row>
    <row r="3119" spans="1:5" x14ac:dyDescent="0.25">
      <c r="A3119" s="108">
        <v>201707</v>
      </c>
      <c r="B3119" s="109" t="s">
        <v>204</v>
      </c>
      <c r="C3119" s="108">
        <v>0</v>
      </c>
      <c r="D3119" s="110"/>
      <c r="E3119" t="str">
        <f>VLOOKUP(B3119,CAC!$A$2:$B$198,2,FALSE)</f>
        <v>PPOPMR</v>
      </c>
    </row>
    <row r="3120" spans="1:5" x14ac:dyDescent="0.25">
      <c r="A3120" s="108">
        <v>201707</v>
      </c>
      <c r="B3120" s="109" t="s">
        <v>330</v>
      </c>
      <c r="C3120" s="108">
        <v>0</v>
      </c>
      <c r="D3120" s="110"/>
      <c r="E3120" t="e">
        <f>VLOOKUP(B3120,CAC!$A$2:$B$198,2,FALSE)</f>
        <v>#N/A</v>
      </c>
    </row>
    <row r="3121" spans="1:5" x14ac:dyDescent="0.25">
      <c r="A3121" s="108">
        <v>201707</v>
      </c>
      <c r="B3121" s="109" t="s">
        <v>73</v>
      </c>
      <c r="C3121" s="108">
        <v>35704</v>
      </c>
      <c r="D3121" s="108">
        <v>11622</v>
      </c>
      <c r="E3121" t="str">
        <f>VLOOKUP(B3121,CAC!$A$2:$B$198,2,FALSE)</f>
        <v>HMOPERA</v>
      </c>
    </row>
    <row r="3122" spans="1:5" x14ac:dyDescent="0.25">
      <c r="A3122" s="108">
        <v>201707</v>
      </c>
      <c r="B3122" s="109" t="s">
        <v>218</v>
      </c>
      <c r="C3122" s="108">
        <v>0</v>
      </c>
      <c r="D3122" s="110"/>
      <c r="E3122" t="str">
        <f>VLOOKUP(B3122,CAC!$A$2:$B$198,2,FALSE)</f>
        <v>HMOPERA</v>
      </c>
    </row>
    <row r="3123" spans="1:5" x14ac:dyDescent="0.25">
      <c r="A3123" s="108">
        <v>201707</v>
      </c>
      <c r="B3123" s="109" t="s">
        <v>156</v>
      </c>
      <c r="C3123" s="108">
        <v>27371</v>
      </c>
      <c r="D3123" s="110"/>
      <c r="E3123" t="str">
        <f>VLOOKUP(B3123,CAC!$A$2:$B$198,2,FALSE)</f>
        <v>HMOMM</v>
      </c>
    </row>
    <row r="3124" spans="1:5" x14ac:dyDescent="0.25">
      <c r="A3124" s="108">
        <v>201707</v>
      </c>
      <c r="B3124" s="109" t="s">
        <v>84</v>
      </c>
      <c r="C3124" s="108">
        <v>5762</v>
      </c>
      <c r="D3124" s="110"/>
      <c r="E3124" t="str">
        <f>VLOOKUP(B3124,CAC!$A$2:$B$198,2,FALSE)</f>
        <v>HMOMM</v>
      </c>
    </row>
    <row r="3125" spans="1:5" x14ac:dyDescent="0.25">
      <c r="A3125" s="108">
        <v>201707</v>
      </c>
      <c r="B3125" s="109" t="s">
        <v>162</v>
      </c>
      <c r="C3125" s="108">
        <v>412</v>
      </c>
      <c r="D3125" s="110"/>
      <c r="E3125" t="str">
        <f>VLOOKUP(B3125,CAC!$A$2:$B$198,2,FALSE)</f>
        <v>HMOMG</v>
      </c>
    </row>
    <row r="3126" spans="1:5" x14ac:dyDescent="0.25">
      <c r="A3126" s="108">
        <v>201707</v>
      </c>
      <c r="B3126" s="109" t="s">
        <v>163</v>
      </c>
      <c r="C3126" s="108">
        <v>71</v>
      </c>
      <c r="D3126" s="110"/>
      <c r="E3126" t="str">
        <f>VLOOKUP(B3126,CAC!$A$2:$B$198,2,FALSE)</f>
        <v>HMOMG</v>
      </c>
    </row>
    <row r="3127" spans="1:5" x14ac:dyDescent="0.25">
      <c r="A3127" s="108">
        <v>201707</v>
      </c>
      <c r="B3127" s="109" t="s">
        <v>164</v>
      </c>
      <c r="C3127" s="108">
        <v>0</v>
      </c>
      <c r="D3127" s="110"/>
      <c r="E3127" t="str">
        <f>VLOOKUP(B3127,CAC!$A$2:$B$198,2,FALSE)</f>
        <v>HMOMG</v>
      </c>
    </row>
    <row r="3128" spans="1:5" x14ac:dyDescent="0.25">
      <c r="A3128" s="108">
        <v>201707</v>
      </c>
      <c r="B3128" s="109" t="s">
        <v>85</v>
      </c>
      <c r="C3128" s="108">
        <v>669</v>
      </c>
      <c r="D3128" s="110"/>
      <c r="E3128" t="str">
        <f>VLOOKUP(B3128,CAC!$A$2:$B$198,2,FALSE)</f>
        <v>HMOMG</v>
      </c>
    </row>
    <row r="3129" spans="1:5" x14ac:dyDescent="0.25">
      <c r="A3129" s="108">
        <v>201707</v>
      </c>
      <c r="B3129" s="109" t="s">
        <v>77</v>
      </c>
      <c r="C3129" s="108">
        <v>26299</v>
      </c>
      <c r="D3129" s="110"/>
      <c r="E3129" t="str">
        <f>VLOOKUP(B3129,CAC!$A$2:$B$198,2,FALSE)</f>
        <v>HMOSG</v>
      </c>
    </row>
    <row r="3130" spans="1:5" x14ac:dyDescent="0.25">
      <c r="A3130" s="108">
        <v>201707</v>
      </c>
      <c r="B3130" s="109" t="s">
        <v>78</v>
      </c>
      <c r="C3130" s="108">
        <v>361</v>
      </c>
      <c r="D3130" s="110"/>
      <c r="E3130" t="str">
        <f>VLOOKUP(B3130,CAC!$A$2:$B$198,2,FALSE)</f>
        <v>HMOSG</v>
      </c>
    </row>
    <row r="3131" spans="1:5" x14ac:dyDescent="0.25">
      <c r="A3131" s="108">
        <v>201707</v>
      </c>
      <c r="B3131" s="109" t="s">
        <v>79</v>
      </c>
      <c r="C3131" s="108">
        <v>128</v>
      </c>
      <c r="D3131" s="110"/>
      <c r="E3131" t="str">
        <f>VLOOKUP(B3131,CAC!$A$2:$B$198,2,FALSE)</f>
        <v>HMOSG</v>
      </c>
    </row>
    <row r="3132" spans="1:5" x14ac:dyDescent="0.25">
      <c r="A3132" s="108">
        <v>201707</v>
      </c>
      <c r="B3132" s="109" t="s">
        <v>222</v>
      </c>
      <c r="C3132" s="108">
        <v>0</v>
      </c>
      <c r="D3132" s="110"/>
      <c r="E3132" t="str">
        <f>VLOOKUP(B3132,CAC!$A$2:$B$198,2,FALSE)</f>
        <v>PPOSG</v>
      </c>
    </row>
    <row r="3133" spans="1:5" x14ac:dyDescent="0.25">
      <c r="A3133" s="108">
        <v>201707</v>
      </c>
      <c r="B3133" s="109" t="s">
        <v>225</v>
      </c>
      <c r="C3133" s="108">
        <v>0</v>
      </c>
      <c r="D3133" s="110"/>
      <c r="E3133" t="str">
        <f>VLOOKUP(B3133,CAC!$A$2:$B$198,2,FALSE)</f>
        <v>PPOSG</v>
      </c>
    </row>
    <row r="3134" spans="1:5" x14ac:dyDescent="0.25">
      <c r="A3134" s="108">
        <v>201707</v>
      </c>
      <c r="B3134" s="109" t="s">
        <v>226</v>
      </c>
      <c r="C3134" s="108">
        <v>0</v>
      </c>
      <c r="D3134" s="110"/>
      <c r="E3134" t="str">
        <f>VLOOKUP(B3134,CAC!$A$2:$B$198,2,FALSE)</f>
        <v>PPOSG</v>
      </c>
    </row>
    <row r="3135" spans="1:5" x14ac:dyDescent="0.25">
      <c r="A3135" s="108">
        <v>201707</v>
      </c>
      <c r="B3135" s="109" t="s">
        <v>89</v>
      </c>
      <c r="C3135" s="108">
        <v>1313</v>
      </c>
      <c r="D3135" s="110"/>
      <c r="E3135" t="str">
        <f>VLOOKUP(B3135,CAC!$A$2:$B$198,2,FALSE)</f>
        <v>HMOIFP</v>
      </c>
    </row>
    <row r="3136" spans="1:5" x14ac:dyDescent="0.25">
      <c r="A3136" s="108">
        <v>201707</v>
      </c>
      <c r="B3136" s="109" t="s">
        <v>90</v>
      </c>
      <c r="C3136" s="108">
        <v>758</v>
      </c>
      <c r="D3136" s="110"/>
      <c r="E3136" t="str">
        <f>VLOOKUP(B3136,CAC!$A$2:$B$198,2,FALSE)</f>
        <v>HMOIFP</v>
      </c>
    </row>
    <row r="3137" spans="1:5" x14ac:dyDescent="0.25">
      <c r="A3137" s="108">
        <v>201707</v>
      </c>
      <c r="B3137" s="109" t="s">
        <v>186</v>
      </c>
      <c r="C3137" s="108">
        <v>0</v>
      </c>
      <c r="D3137" s="110"/>
      <c r="E3137" t="str">
        <f>VLOOKUP(B3137,CAC!$A$2:$B$198,2,FALSE)</f>
        <v>PPOIFP</v>
      </c>
    </row>
    <row r="3138" spans="1:5" x14ac:dyDescent="0.25">
      <c r="A3138" s="108">
        <v>201707</v>
      </c>
      <c r="B3138" s="109" t="s">
        <v>188</v>
      </c>
      <c r="C3138" s="108">
        <v>0</v>
      </c>
      <c r="D3138" s="110"/>
      <c r="E3138" t="str">
        <f>VLOOKUP(B3138,CAC!$A$2:$B$198,2,FALSE)</f>
        <v>PPOIFP</v>
      </c>
    </row>
    <row r="3139" spans="1:5" x14ac:dyDescent="0.25">
      <c r="A3139" s="108">
        <v>201707</v>
      </c>
      <c r="B3139" s="109" t="s">
        <v>189</v>
      </c>
      <c r="C3139" s="108">
        <v>0</v>
      </c>
      <c r="D3139" s="110"/>
      <c r="E3139" t="str">
        <f>VLOOKUP(B3139,CAC!$A$2:$B$198,2,FALSE)</f>
        <v>PPOIFP</v>
      </c>
    </row>
    <row r="3140" spans="1:5" x14ac:dyDescent="0.25">
      <c r="A3140" s="108">
        <v>201707</v>
      </c>
      <c r="B3140" s="109" t="s">
        <v>331</v>
      </c>
      <c r="C3140" s="108">
        <v>0</v>
      </c>
      <c r="D3140" s="110"/>
      <c r="E3140" t="e">
        <f>VLOOKUP(B3140,CAC!$A$2:$B$198,2,FALSE)</f>
        <v>#N/A</v>
      </c>
    </row>
    <row r="3141" spans="1:5" x14ac:dyDescent="0.25">
      <c r="A3141" s="108">
        <v>201707</v>
      </c>
      <c r="B3141" s="109" t="s">
        <v>216</v>
      </c>
      <c r="C3141" s="108">
        <v>0</v>
      </c>
      <c r="D3141" s="110"/>
      <c r="E3141" t="str">
        <f>VLOOKUP(B3141,CAC!$A$2:$B$198,2,FALSE)</f>
        <v>PPOMM</v>
      </c>
    </row>
    <row r="3142" spans="1:5" x14ac:dyDescent="0.25">
      <c r="A3142" s="108">
        <v>201707</v>
      </c>
      <c r="B3142" s="109" t="s">
        <v>301</v>
      </c>
      <c r="C3142" s="108">
        <v>0</v>
      </c>
      <c r="D3142" s="110"/>
      <c r="E3142" t="str">
        <f>VLOOKUP(B3142,CAC!$A$2:$B$198,2,FALSE)</f>
        <v>XXX</v>
      </c>
    </row>
    <row r="3143" spans="1:5" x14ac:dyDescent="0.25">
      <c r="A3143" s="108">
        <v>201708</v>
      </c>
      <c r="B3143" s="109" t="s">
        <v>51</v>
      </c>
      <c r="C3143" s="108">
        <v>17</v>
      </c>
      <c r="D3143" s="110"/>
      <c r="E3143" t="str">
        <f>VLOOKUP(B3143,CAC!$A$2:$B$198,2,FALSE)</f>
        <v>XXX</v>
      </c>
    </row>
    <row r="3144" spans="1:5" x14ac:dyDescent="0.25">
      <c r="A3144" s="108">
        <v>201708</v>
      </c>
      <c r="B3144" s="109" t="s">
        <v>303</v>
      </c>
      <c r="C3144" s="108">
        <v>0</v>
      </c>
      <c r="D3144" s="110"/>
      <c r="E3144" t="e">
        <f>VLOOKUP(B3144,CAC!$A$2:$B$198,2,FALSE)</f>
        <v>#N/A</v>
      </c>
    </row>
    <row r="3145" spans="1:5" x14ac:dyDescent="0.25">
      <c r="A3145" s="108">
        <v>201708</v>
      </c>
      <c r="B3145" s="109" t="s">
        <v>304</v>
      </c>
      <c r="C3145" s="108">
        <v>0</v>
      </c>
      <c r="D3145" s="110"/>
      <c r="E3145" t="e">
        <f>VLOOKUP(B3145,CAC!$A$2:$B$198,2,FALSE)</f>
        <v>#N/A</v>
      </c>
    </row>
    <row r="3146" spans="1:5" x14ac:dyDescent="0.25">
      <c r="A3146" s="108">
        <v>201708</v>
      </c>
      <c r="B3146" s="109" t="s">
        <v>323</v>
      </c>
      <c r="C3146" s="108">
        <v>0</v>
      </c>
      <c r="D3146" s="110"/>
      <c r="E3146" t="e">
        <f>VLOOKUP(B3146,CAC!$A$2:$B$198,2,FALSE)</f>
        <v>#N/A</v>
      </c>
    </row>
    <row r="3147" spans="1:5" x14ac:dyDescent="0.25">
      <c r="A3147" s="108">
        <v>201708</v>
      </c>
      <c r="B3147" s="109" t="s">
        <v>305</v>
      </c>
      <c r="C3147" s="108">
        <v>0</v>
      </c>
      <c r="D3147" s="110"/>
      <c r="E3147" t="e">
        <f>VLOOKUP(B3147,CAC!$A$2:$B$198,2,FALSE)</f>
        <v>#N/A</v>
      </c>
    </row>
    <row r="3148" spans="1:5" x14ac:dyDescent="0.25">
      <c r="A3148" s="108">
        <v>201708</v>
      </c>
      <c r="B3148" s="109" t="s">
        <v>327</v>
      </c>
      <c r="C3148" s="108">
        <v>0</v>
      </c>
      <c r="D3148" s="110"/>
      <c r="E3148" t="e">
        <f>VLOOKUP(B3148,CAC!$A$2:$B$198,2,FALSE)</f>
        <v>#N/A</v>
      </c>
    </row>
    <row r="3149" spans="1:5" x14ac:dyDescent="0.25">
      <c r="A3149" s="108">
        <v>201708</v>
      </c>
      <c r="B3149" s="109" t="s">
        <v>326</v>
      </c>
      <c r="C3149" s="108">
        <v>0</v>
      </c>
      <c r="D3149" s="110"/>
      <c r="E3149" t="e">
        <f>VLOOKUP(B3149,CAC!$A$2:$B$198,2,FALSE)</f>
        <v>#N/A</v>
      </c>
    </row>
    <row r="3150" spans="1:5" x14ac:dyDescent="0.25">
      <c r="A3150" s="108">
        <v>201708</v>
      </c>
      <c r="B3150" s="109" t="s">
        <v>231</v>
      </c>
      <c r="C3150" s="108">
        <v>0</v>
      </c>
      <c r="D3150" s="110"/>
      <c r="E3150" t="str">
        <f>VLOOKUP(B3150,CAC!$A$2:$B$198,2,FALSE)</f>
        <v>DOILG</v>
      </c>
    </row>
    <row r="3151" spans="1:5" x14ac:dyDescent="0.25">
      <c r="A3151" s="108">
        <v>201708</v>
      </c>
      <c r="B3151" s="109" t="s">
        <v>237</v>
      </c>
      <c r="C3151" s="108">
        <v>0</v>
      </c>
      <c r="D3151" s="110"/>
      <c r="E3151" t="str">
        <f>VLOOKUP(B3151,CAC!$A$2:$B$198,2,FALSE)</f>
        <v>DOILG</v>
      </c>
    </row>
    <row r="3152" spans="1:5" x14ac:dyDescent="0.25">
      <c r="A3152" s="108">
        <v>201708</v>
      </c>
      <c r="B3152" s="109" t="s">
        <v>247</v>
      </c>
      <c r="C3152" s="108">
        <v>0</v>
      </c>
      <c r="D3152" s="110"/>
      <c r="E3152" t="str">
        <f>VLOOKUP(B3152,CAC!$A$2:$B$198,2,FALSE)</f>
        <v>DOIIFP</v>
      </c>
    </row>
    <row r="3153" spans="1:5" x14ac:dyDescent="0.25">
      <c r="A3153" s="108">
        <v>201708</v>
      </c>
      <c r="B3153" s="109" t="s">
        <v>238</v>
      </c>
      <c r="C3153" s="108">
        <v>0</v>
      </c>
      <c r="D3153" s="110"/>
      <c r="E3153" t="str">
        <f>VLOOKUP(B3153,CAC!$A$2:$B$198,2,FALSE)</f>
        <v>DOILG</v>
      </c>
    </row>
    <row r="3154" spans="1:5" x14ac:dyDescent="0.25">
      <c r="A3154" s="108">
        <v>201708</v>
      </c>
      <c r="B3154" s="109" t="s">
        <v>273</v>
      </c>
      <c r="C3154" s="108">
        <v>0</v>
      </c>
      <c r="D3154" s="110"/>
      <c r="E3154" t="str">
        <f>VLOOKUP(B3154,CAC!$A$2:$B$198,2,FALSE)</f>
        <v>AGDMHC</v>
      </c>
    </row>
    <row r="3155" spans="1:5" x14ac:dyDescent="0.25">
      <c r="A3155" s="108">
        <v>201708</v>
      </c>
      <c r="B3155" s="109" t="s">
        <v>328</v>
      </c>
      <c r="C3155" s="108">
        <v>0</v>
      </c>
      <c r="D3155" s="110"/>
      <c r="E3155" t="e">
        <f>VLOOKUP(B3155,CAC!$A$2:$B$198,2,FALSE)</f>
        <v>#N/A</v>
      </c>
    </row>
    <row r="3156" spans="1:5" x14ac:dyDescent="0.25">
      <c r="A3156" s="108">
        <v>201708</v>
      </c>
      <c r="B3156" s="109" t="s">
        <v>253</v>
      </c>
      <c r="C3156" s="108">
        <v>0</v>
      </c>
      <c r="D3156" s="110"/>
      <c r="E3156" t="str">
        <f>VLOOKUP(B3156,CAC!$A$2:$B$198,2,FALSE)</f>
        <v>AGDMHC</v>
      </c>
    </row>
    <row r="3157" spans="1:5" x14ac:dyDescent="0.25">
      <c r="A3157" s="108">
        <v>201708</v>
      </c>
      <c r="B3157" s="109" t="s">
        <v>325</v>
      </c>
      <c r="C3157" s="108">
        <v>0</v>
      </c>
      <c r="D3157" s="110"/>
      <c r="E3157" t="e">
        <f>VLOOKUP(B3157,CAC!$A$2:$B$198,2,FALSE)</f>
        <v>#N/A</v>
      </c>
    </row>
    <row r="3158" spans="1:5" x14ac:dyDescent="0.25">
      <c r="A3158" s="108">
        <v>201708</v>
      </c>
      <c r="B3158" s="109" t="s">
        <v>255</v>
      </c>
      <c r="C3158" s="108">
        <v>0</v>
      </c>
      <c r="D3158" s="110"/>
      <c r="E3158" t="str">
        <f>VLOOKUP(B3158,CAC!$A$2:$B$198,2,FALSE)</f>
        <v>AGDMHC</v>
      </c>
    </row>
    <row r="3159" spans="1:5" x14ac:dyDescent="0.25">
      <c r="A3159" s="108">
        <v>201708</v>
      </c>
      <c r="B3159" s="109" t="s">
        <v>256</v>
      </c>
      <c r="C3159" s="108">
        <v>0</v>
      </c>
      <c r="D3159" s="110"/>
      <c r="E3159" t="str">
        <f>VLOOKUP(B3159,CAC!$A$2:$B$198,2,FALSE)</f>
        <v>AGDMHC</v>
      </c>
    </row>
    <row r="3160" spans="1:5" x14ac:dyDescent="0.25">
      <c r="A3160" s="108">
        <v>201708</v>
      </c>
      <c r="B3160" s="109" t="s">
        <v>257</v>
      </c>
      <c r="C3160" s="108">
        <v>0</v>
      </c>
      <c r="D3160" s="110"/>
      <c r="E3160" t="str">
        <f>VLOOKUP(B3160,CAC!$A$2:$B$198,2,FALSE)</f>
        <v>AGDMHC</v>
      </c>
    </row>
    <row r="3161" spans="1:5" x14ac:dyDescent="0.25">
      <c r="A3161" s="108">
        <v>201708</v>
      </c>
      <c r="B3161" s="109" t="s">
        <v>258</v>
      </c>
      <c r="C3161" s="108">
        <v>0</v>
      </c>
      <c r="D3161" s="110"/>
      <c r="E3161" t="str">
        <f>VLOOKUP(B3161,CAC!$A$2:$B$198,2,FALSE)</f>
        <v>AGDMHC</v>
      </c>
    </row>
    <row r="3162" spans="1:5" x14ac:dyDescent="0.25">
      <c r="A3162" s="108">
        <v>201708</v>
      </c>
      <c r="B3162" s="109" t="s">
        <v>329</v>
      </c>
      <c r="C3162" s="108">
        <v>0</v>
      </c>
      <c r="D3162" s="110"/>
      <c r="E3162" t="e">
        <f>VLOOKUP(B3162,CAC!$A$2:$B$198,2,FALSE)</f>
        <v>#N/A</v>
      </c>
    </row>
    <row r="3163" spans="1:5" x14ac:dyDescent="0.25">
      <c r="A3163" s="108">
        <v>201708</v>
      </c>
      <c r="B3163" s="109" t="s">
        <v>262</v>
      </c>
      <c r="C3163" s="108">
        <v>0</v>
      </c>
      <c r="D3163" s="110"/>
      <c r="E3163" t="str">
        <f>VLOOKUP(B3163,CAC!$A$2:$B$198,2,FALSE)</f>
        <v>AGDMHC</v>
      </c>
    </row>
    <row r="3164" spans="1:5" x14ac:dyDescent="0.25">
      <c r="A3164" s="108">
        <v>201708</v>
      </c>
      <c r="B3164" s="109" t="s">
        <v>264</v>
      </c>
      <c r="C3164" s="108">
        <v>0</v>
      </c>
      <c r="D3164" s="110"/>
      <c r="E3164" t="str">
        <f>VLOOKUP(B3164,CAC!$A$2:$B$198,2,FALSE)</f>
        <v>AGDMHC</v>
      </c>
    </row>
    <row r="3165" spans="1:5" x14ac:dyDescent="0.25">
      <c r="A3165" s="108">
        <v>201708</v>
      </c>
      <c r="B3165" s="109" t="s">
        <v>269</v>
      </c>
      <c r="C3165" s="108">
        <v>0</v>
      </c>
      <c r="D3165" s="110"/>
      <c r="E3165" t="str">
        <f>VLOOKUP(B3165,CAC!$A$2:$B$198,2,FALSE)</f>
        <v>AGDMHC</v>
      </c>
    </row>
    <row r="3166" spans="1:5" x14ac:dyDescent="0.25">
      <c r="A3166" s="108">
        <v>201708</v>
      </c>
      <c r="B3166" s="109" t="s">
        <v>319</v>
      </c>
      <c r="C3166" s="108">
        <v>0</v>
      </c>
      <c r="D3166" s="110"/>
      <c r="E3166" t="e">
        <f>VLOOKUP(B3166,CAC!$A$2:$B$198,2,FALSE)</f>
        <v>#N/A</v>
      </c>
    </row>
    <row r="3167" spans="1:5" x14ac:dyDescent="0.25">
      <c r="A3167" s="108">
        <v>201708</v>
      </c>
      <c r="B3167" s="109" t="s">
        <v>267</v>
      </c>
      <c r="C3167" s="108">
        <v>0</v>
      </c>
      <c r="D3167" s="110"/>
      <c r="E3167" t="str">
        <f>VLOOKUP(B3167,CAC!$A$2:$B$198,2,FALSE)</f>
        <v>AGDMHC</v>
      </c>
    </row>
    <row r="3168" spans="1:5" x14ac:dyDescent="0.25">
      <c r="A3168" s="108">
        <v>201708</v>
      </c>
      <c r="B3168" s="109" t="s">
        <v>52</v>
      </c>
      <c r="C3168" s="108">
        <v>16322</v>
      </c>
      <c r="D3168" s="110"/>
      <c r="E3168" t="str">
        <f>VLOOKUP(B3168,CAC!$A$2:$B$198,2,FALSE)</f>
        <v>HMOPMR</v>
      </c>
    </row>
    <row r="3169" spans="1:5" x14ac:dyDescent="0.25">
      <c r="A3169" s="108">
        <v>201708</v>
      </c>
      <c r="B3169" s="109" t="s">
        <v>53</v>
      </c>
      <c r="C3169" s="108">
        <v>4810</v>
      </c>
      <c r="D3169" s="110"/>
      <c r="E3169" t="str">
        <f>VLOOKUP(B3169,CAC!$A$2:$B$198,2,FALSE)</f>
        <v>HMOPMR</v>
      </c>
    </row>
    <row r="3170" spans="1:5" x14ac:dyDescent="0.25">
      <c r="A3170" s="108">
        <v>201708</v>
      </c>
      <c r="B3170" s="109" t="s">
        <v>54</v>
      </c>
      <c r="C3170" s="108">
        <v>5671</v>
      </c>
      <c r="D3170" s="110"/>
      <c r="E3170" t="str">
        <f>VLOOKUP(B3170,CAC!$A$2:$B$198,2,FALSE)</f>
        <v>HMOFEP</v>
      </c>
    </row>
    <row r="3171" spans="1:5" x14ac:dyDescent="0.25">
      <c r="A3171" s="108">
        <v>201708</v>
      </c>
      <c r="B3171" s="109" t="s">
        <v>279</v>
      </c>
      <c r="C3171" s="108">
        <v>0</v>
      </c>
      <c r="D3171" s="110"/>
      <c r="E3171" t="str">
        <f>VLOOKUP(B3171,CAC!$A$2:$B$198,2,FALSE)</f>
        <v>PPOFEP</v>
      </c>
    </row>
    <row r="3172" spans="1:5" x14ac:dyDescent="0.25">
      <c r="A3172" s="108">
        <v>201708</v>
      </c>
      <c r="B3172" s="109" t="s">
        <v>202</v>
      </c>
      <c r="C3172" s="108">
        <v>0</v>
      </c>
      <c r="D3172" s="110"/>
      <c r="E3172" t="str">
        <f>VLOOKUP(B3172,CAC!$A$2:$B$198,2,FALSE)</f>
        <v>PPOPMR</v>
      </c>
    </row>
    <row r="3173" spans="1:5" x14ac:dyDescent="0.25">
      <c r="A3173" s="108">
        <v>201708</v>
      </c>
      <c r="B3173" s="109" t="s">
        <v>55</v>
      </c>
      <c r="C3173" s="108">
        <v>17703</v>
      </c>
      <c r="D3173" s="110"/>
      <c r="E3173" t="str">
        <f>VLOOKUP(B3173,CAC!$A$2:$B$198,2,FALSE)</f>
        <v>HMOPMR</v>
      </c>
    </row>
    <row r="3174" spans="1:5" x14ac:dyDescent="0.25">
      <c r="A3174" s="108">
        <v>201708</v>
      </c>
      <c r="B3174" s="109" t="s">
        <v>56</v>
      </c>
      <c r="C3174" s="108">
        <v>38</v>
      </c>
      <c r="D3174" s="110"/>
      <c r="E3174" t="str">
        <f>VLOOKUP(B3174,CAC!$A$2:$B$198,2,FALSE)</f>
        <v>HMOPMR</v>
      </c>
    </row>
    <row r="3175" spans="1:5" x14ac:dyDescent="0.25">
      <c r="A3175" s="108">
        <v>201708</v>
      </c>
      <c r="B3175" s="109" t="s">
        <v>57</v>
      </c>
      <c r="C3175" s="108">
        <v>9957</v>
      </c>
      <c r="D3175" s="110"/>
      <c r="E3175" t="str">
        <f>VLOOKUP(B3175,CAC!$A$2:$B$198,2,FALSE)</f>
        <v>HMFLEX</v>
      </c>
    </row>
    <row r="3176" spans="1:5" x14ac:dyDescent="0.25">
      <c r="A3176" s="108">
        <v>201708</v>
      </c>
      <c r="B3176" s="109" t="s">
        <v>58</v>
      </c>
      <c r="C3176" s="108">
        <v>328</v>
      </c>
      <c r="D3176" s="110"/>
      <c r="E3176" t="str">
        <f>VLOOKUP(B3176,CAC!$A$2:$B$198,2,FALSE)</f>
        <v>HMFLEX</v>
      </c>
    </row>
    <row r="3177" spans="1:5" x14ac:dyDescent="0.25">
      <c r="A3177" s="108">
        <v>201708</v>
      </c>
      <c r="B3177" s="109" t="s">
        <v>306</v>
      </c>
      <c r="C3177" s="108">
        <v>0</v>
      </c>
      <c r="D3177" s="110"/>
      <c r="E3177" t="e">
        <f>VLOOKUP(B3177,CAC!$A$2:$B$198,2,FALSE)</f>
        <v>#N/A</v>
      </c>
    </row>
    <row r="3178" spans="1:5" x14ac:dyDescent="0.25">
      <c r="A3178" s="108">
        <v>201708</v>
      </c>
      <c r="B3178" s="109" t="s">
        <v>283</v>
      </c>
      <c r="C3178" s="108">
        <v>0</v>
      </c>
      <c r="D3178" s="110"/>
      <c r="E3178" t="str">
        <f>VLOOKUP(B3178,CAC!$A$2:$B$198,2,FALSE)</f>
        <v>HMFLEX</v>
      </c>
    </row>
    <row r="3179" spans="1:5" x14ac:dyDescent="0.25">
      <c r="A3179" s="108">
        <v>201708</v>
      </c>
      <c r="B3179" s="109" t="s">
        <v>205</v>
      </c>
      <c r="C3179" s="108">
        <v>0</v>
      </c>
      <c r="D3179" s="110"/>
      <c r="E3179" t="str">
        <f>VLOOKUP(B3179,CAC!$A$2:$B$198,2,FALSE)</f>
        <v>PPOPMR</v>
      </c>
    </row>
    <row r="3180" spans="1:5" x14ac:dyDescent="0.25">
      <c r="A3180" s="108">
        <v>201708</v>
      </c>
      <c r="B3180" s="109" t="s">
        <v>60</v>
      </c>
      <c r="C3180" s="108">
        <v>10146</v>
      </c>
      <c r="D3180" s="110"/>
      <c r="E3180" t="str">
        <f>VLOOKUP(B3180,CAC!$A$2:$B$198,2,FALSE)</f>
        <v>HMOLG</v>
      </c>
    </row>
    <row r="3181" spans="1:5" x14ac:dyDescent="0.25">
      <c r="A3181" s="108">
        <v>201708</v>
      </c>
      <c r="B3181" s="109" t="s">
        <v>61</v>
      </c>
      <c r="C3181" s="108">
        <v>1170</v>
      </c>
      <c r="D3181" s="110"/>
      <c r="E3181" t="str">
        <f>VLOOKUP(B3181,CAC!$A$2:$B$198,2,FALSE)</f>
        <v>HMOLG</v>
      </c>
    </row>
    <row r="3182" spans="1:5" x14ac:dyDescent="0.25">
      <c r="A3182" s="108">
        <v>201708</v>
      </c>
      <c r="B3182" s="109" t="s">
        <v>62</v>
      </c>
      <c r="C3182" s="108">
        <v>17321</v>
      </c>
      <c r="D3182" s="110"/>
      <c r="E3182" t="str">
        <f>VLOOKUP(B3182,CAC!$A$2:$B$198,2,FALSE)</f>
        <v>HMOLG</v>
      </c>
    </row>
    <row r="3183" spans="1:5" x14ac:dyDescent="0.25">
      <c r="A3183" s="108">
        <v>201708</v>
      </c>
      <c r="B3183" s="109" t="s">
        <v>86</v>
      </c>
      <c r="C3183" s="108">
        <v>1962</v>
      </c>
      <c r="D3183" s="110"/>
      <c r="E3183" t="str">
        <f>VLOOKUP(B3183,CAC!$A$2:$B$198,2,FALSE)</f>
        <v>HMOLG</v>
      </c>
    </row>
    <row r="3184" spans="1:5" x14ac:dyDescent="0.25">
      <c r="A3184" s="108">
        <v>201708</v>
      </c>
      <c r="B3184" s="109" t="s">
        <v>63</v>
      </c>
      <c r="C3184" s="108">
        <v>58</v>
      </c>
      <c r="D3184" s="110"/>
      <c r="E3184" t="str">
        <f>VLOOKUP(B3184,CAC!$A$2:$B$198,2,FALSE)</f>
        <v>HMOLG</v>
      </c>
    </row>
    <row r="3185" spans="1:5" x14ac:dyDescent="0.25">
      <c r="A3185" s="108">
        <v>201708</v>
      </c>
      <c r="B3185" s="109" t="s">
        <v>64</v>
      </c>
      <c r="C3185" s="108">
        <v>0</v>
      </c>
      <c r="D3185" s="110"/>
      <c r="E3185" t="str">
        <f>VLOOKUP(B3185,CAC!$A$2:$B$198,2,FALSE)</f>
        <v>HMOLG</v>
      </c>
    </row>
    <row r="3186" spans="1:5" x14ac:dyDescent="0.25">
      <c r="A3186" s="108">
        <v>201708</v>
      </c>
      <c r="B3186" s="109" t="s">
        <v>91</v>
      </c>
      <c r="C3186" s="108">
        <v>228</v>
      </c>
      <c r="D3186" s="110"/>
      <c r="E3186" t="str">
        <f>VLOOKUP(B3186,CAC!$A$2:$B$198,2,FALSE)</f>
        <v>HMFLEX</v>
      </c>
    </row>
    <row r="3187" spans="1:5" x14ac:dyDescent="0.25">
      <c r="A3187" s="108">
        <v>201708</v>
      </c>
      <c r="B3187" s="109" t="s">
        <v>307</v>
      </c>
      <c r="C3187" s="108">
        <v>0</v>
      </c>
      <c r="D3187" s="110"/>
      <c r="E3187" t="e">
        <f>VLOOKUP(B3187,CAC!$A$2:$B$198,2,FALSE)</f>
        <v>#N/A</v>
      </c>
    </row>
    <row r="3188" spans="1:5" x14ac:dyDescent="0.25">
      <c r="A3188" s="108">
        <v>201708</v>
      </c>
      <c r="B3188" s="109" t="s">
        <v>308</v>
      </c>
      <c r="C3188" s="108">
        <v>0</v>
      </c>
      <c r="D3188" s="110"/>
      <c r="E3188" t="e">
        <f>VLOOKUP(B3188,CAC!$A$2:$B$198,2,FALSE)</f>
        <v>#N/A</v>
      </c>
    </row>
    <row r="3189" spans="1:5" x14ac:dyDescent="0.25">
      <c r="A3189" s="108">
        <v>201708</v>
      </c>
      <c r="B3189" s="109" t="s">
        <v>309</v>
      </c>
      <c r="C3189" s="108">
        <v>0</v>
      </c>
      <c r="D3189" s="110"/>
      <c r="E3189" t="e">
        <f>VLOOKUP(B3189,CAC!$A$2:$B$198,2,FALSE)</f>
        <v>#N/A</v>
      </c>
    </row>
    <row r="3190" spans="1:5" x14ac:dyDescent="0.25">
      <c r="A3190" s="108">
        <v>201708</v>
      </c>
      <c r="B3190" s="109" t="s">
        <v>99</v>
      </c>
      <c r="C3190" s="108">
        <v>0</v>
      </c>
      <c r="D3190" s="110"/>
      <c r="E3190" t="str">
        <f>VLOOKUP(B3190,CAC!$A$2:$B$198,2,FALSE)</f>
        <v>PPOLG</v>
      </c>
    </row>
    <row r="3191" spans="1:5" x14ac:dyDescent="0.25">
      <c r="A3191" s="108">
        <v>201708</v>
      </c>
      <c r="B3191" s="109" t="s">
        <v>193</v>
      </c>
      <c r="C3191" s="108">
        <v>0</v>
      </c>
      <c r="D3191" s="110"/>
      <c r="E3191" t="str">
        <f>VLOOKUP(B3191,CAC!$A$2:$B$198,2,FALSE)</f>
        <v>PPOLG</v>
      </c>
    </row>
    <row r="3192" spans="1:5" x14ac:dyDescent="0.25">
      <c r="A3192" s="108">
        <v>201708</v>
      </c>
      <c r="B3192" s="109" t="s">
        <v>196</v>
      </c>
      <c r="C3192" s="108">
        <v>0</v>
      </c>
      <c r="D3192" s="110"/>
      <c r="E3192" t="str">
        <f>VLOOKUP(B3192,CAC!$A$2:$B$198,2,FALSE)</f>
        <v>PPOLG</v>
      </c>
    </row>
    <row r="3193" spans="1:5" x14ac:dyDescent="0.25">
      <c r="A3193" s="108">
        <v>201708</v>
      </c>
      <c r="B3193" s="109" t="s">
        <v>212</v>
      </c>
      <c r="C3193" s="108">
        <v>0</v>
      </c>
      <c r="D3193" s="110"/>
      <c r="E3193" t="str">
        <f>VLOOKUP(B3193,CAC!$A$2:$B$198,2,FALSE)</f>
        <v>PPOMM</v>
      </c>
    </row>
    <row r="3194" spans="1:5" x14ac:dyDescent="0.25">
      <c r="A3194" s="108">
        <v>201708</v>
      </c>
      <c r="B3194" s="109" t="s">
        <v>213</v>
      </c>
      <c r="C3194" s="108">
        <v>0</v>
      </c>
      <c r="D3194" s="110"/>
      <c r="E3194" t="str">
        <f>VLOOKUP(B3194,CAC!$A$2:$B$198,2,FALSE)</f>
        <v>PPOMM</v>
      </c>
    </row>
    <row r="3195" spans="1:5" x14ac:dyDescent="0.25">
      <c r="A3195" s="108">
        <v>201708</v>
      </c>
      <c r="B3195" s="109" t="s">
        <v>311</v>
      </c>
      <c r="C3195" s="108">
        <v>0</v>
      </c>
      <c r="D3195" s="110"/>
      <c r="E3195" t="e">
        <f>VLOOKUP(B3195,CAC!$A$2:$B$198,2,FALSE)</f>
        <v>#N/A</v>
      </c>
    </row>
    <row r="3196" spans="1:5" x14ac:dyDescent="0.25">
      <c r="A3196" s="108">
        <v>201708</v>
      </c>
      <c r="B3196" s="109" t="s">
        <v>321</v>
      </c>
      <c r="C3196" s="108">
        <v>0</v>
      </c>
      <c r="D3196" s="110"/>
      <c r="E3196" t="e">
        <f>VLOOKUP(B3196,CAC!$A$2:$B$198,2,FALSE)</f>
        <v>#N/A</v>
      </c>
    </row>
    <row r="3197" spans="1:5" x14ac:dyDescent="0.25">
      <c r="A3197" s="108">
        <v>201708</v>
      </c>
      <c r="B3197" s="109" t="s">
        <v>312</v>
      </c>
      <c r="C3197" s="108">
        <v>0</v>
      </c>
      <c r="D3197" s="110"/>
      <c r="E3197" t="e">
        <f>VLOOKUP(B3197,CAC!$A$2:$B$198,2,FALSE)</f>
        <v>#N/A</v>
      </c>
    </row>
    <row r="3198" spans="1:5" x14ac:dyDescent="0.25">
      <c r="A3198" s="108">
        <v>201708</v>
      </c>
      <c r="B3198" s="109" t="s">
        <v>215</v>
      </c>
      <c r="C3198" s="108">
        <v>0</v>
      </c>
      <c r="D3198" s="110"/>
      <c r="E3198" t="str">
        <f>VLOOKUP(B3198,CAC!$A$2:$B$198,2,FALSE)</f>
        <v>PPOMM</v>
      </c>
    </row>
    <row r="3199" spans="1:5" x14ac:dyDescent="0.25">
      <c r="A3199" s="108">
        <v>201708</v>
      </c>
      <c r="B3199" s="109" t="s">
        <v>66</v>
      </c>
      <c r="C3199" s="108">
        <v>6935</v>
      </c>
      <c r="D3199" s="110"/>
      <c r="E3199" t="str">
        <f>VLOOKUP(B3199,CAC!$A$2:$B$198,2,FALSE)</f>
        <v>HMOLG</v>
      </c>
    </row>
    <row r="3200" spans="1:5" x14ac:dyDescent="0.25">
      <c r="A3200" s="108">
        <v>201708</v>
      </c>
      <c r="B3200" s="109" t="s">
        <v>82</v>
      </c>
      <c r="C3200" s="108">
        <v>1</v>
      </c>
      <c r="D3200" s="110"/>
      <c r="E3200" t="str">
        <f>VLOOKUP(B3200,CAC!$A$2:$B$198,2,FALSE)</f>
        <v>NATPAR</v>
      </c>
    </row>
    <row r="3201" spans="1:5" x14ac:dyDescent="0.25">
      <c r="A3201" s="108">
        <v>201708</v>
      </c>
      <c r="B3201" s="109" t="s">
        <v>67</v>
      </c>
      <c r="C3201" s="108">
        <v>102</v>
      </c>
      <c r="D3201" s="110"/>
      <c r="E3201" t="str">
        <f>VLOOKUP(B3201,CAC!$A$2:$B$198,2,FALSE)</f>
        <v>HMOLG</v>
      </c>
    </row>
    <row r="3202" spans="1:5" x14ac:dyDescent="0.25">
      <c r="A3202" s="108">
        <v>201708</v>
      </c>
      <c r="B3202" s="109" t="s">
        <v>69</v>
      </c>
      <c r="C3202" s="108">
        <v>9762</v>
      </c>
      <c r="D3202" s="110"/>
      <c r="E3202" t="str">
        <f>VLOOKUP(B3202,CAC!$A$2:$B$198,2,FALSE)</f>
        <v>HMOPMR</v>
      </c>
    </row>
    <row r="3203" spans="1:5" x14ac:dyDescent="0.25">
      <c r="A3203" s="108">
        <v>201708</v>
      </c>
      <c r="B3203" s="109" t="s">
        <v>70</v>
      </c>
      <c r="C3203" s="108">
        <v>835</v>
      </c>
      <c r="D3203" s="110"/>
      <c r="E3203" t="str">
        <f>VLOOKUP(B3203,CAC!$A$2:$B$198,2,FALSE)</f>
        <v>HMOPMR</v>
      </c>
    </row>
    <row r="3204" spans="1:5" x14ac:dyDescent="0.25">
      <c r="A3204" s="108">
        <v>201708</v>
      </c>
      <c r="B3204" s="109" t="s">
        <v>71</v>
      </c>
      <c r="C3204" s="108">
        <v>4261</v>
      </c>
      <c r="D3204" s="110"/>
      <c r="E3204" t="str">
        <f>VLOOKUP(B3204,CAC!$A$2:$B$198,2,FALSE)</f>
        <v>HMOPMR</v>
      </c>
    </row>
    <row r="3205" spans="1:5" x14ac:dyDescent="0.25">
      <c r="A3205" s="108">
        <v>201708</v>
      </c>
      <c r="B3205" s="109" t="s">
        <v>72</v>
      </c>
      <c r="C3205" s="108">
        <v>5145</v>
      </c>
      <c r="D3205" s="110"/>
      <c r="E3205" t="str">
        <f>VLOOKUP(B3205,CAC!$A$2:$B$198,2,FALSE)</f>
        <v>HMFLEX</v>
      </c>
    </row>
    <row r="3206" spans="1:5" x14ac:dyDescent="0.25">
      <c r="A3206" s="108">
        <v>201708</v>
      </c>
      <c r="B3206" s="109" t="s">
        <v>314</v>
      </c>
      <c r="C3206" s="108">
        <v>0</v>
      </c>
      <c r="D3206" s="110"/>
      <c r="E3206" t="e">
        <f>VLOOKUP(B3206,CAC!$A$2:$B$198,2,FALSE)</f>
        <v>#N/A</v>
      </c>
    </row>
    <row r="3207" spans="1:5" x14ac:dyDescent="0.25">
      <c r="A3207" s="108">
        <v>201708</v>
      </c>
      <c r="B3207" s="109" t="s">
        <v>315</v>
      </c>
      <c r="C3207" s="108">
        <v>0</v>
      </c>
      <c r="D3207" s="110"/>
      <c r="E3207" t="e">
        <f>VLOOKUP(B3207,CAC!$A$2:$B$198,2,FALSE)</f>
        <v>#N/A</v>
      </c>
    </row>
    <row r="3208" spans="1:5" x14ac:dyDescent="0.25">
      <c r="A3208" s="108">
        <v>201708</v>
      </c>
      <c r="B3208" s="109" t="s">
        <v>112</v>
      </c>
      <c r="C3208" s="108">
        <v>0</v>
      </c>
      <c r="D3208" s="110"/>
      <c r="E3208" t="e">
        <f>VLOOKUP(B3208,CAC!$A$2:$B$198,2,FALSE)</f>
        <v>#N/A</v>
      </c>
    </row>
    <row r="3209" spans="1:5" x14ac:dyDescent="0.25">
      <c r="A3209" s="108">
        <v>201708</v>
      </c>
      <c r="B3209" s="109" t="s">
        <v>316</v>
      </c>
      <c r="C3209" s="108">
        <v>0</v>
      </c>
      <c r="D3209" s="110"/>
      <c r="E3209" t="e">
        <f>VLOOKUP(B3209,CAC!$A$2:$B$198,2,FALSE)</f>
        <v>#N/A</v>
      </c>
    </row>
    <row r="3210" spans="1:5" x14ac:dyDescent="0.25">
      <c r="A3210" s="108">
        <v>201708</v>
      </c>
      <c r="B3210" s="109" t="s">
        <v>317</v>
      </c>
      <c r="C3210" s="108">
        <v>0</v>
      </c>
      <c r="D3210" s="110"/>
      <c r="E3210" t="e">
        <f>VLOOKUP(B3210,CAC!$A$2:$B$198,2,FALSE)</f>
        <v>#N/A</v>
      </c>
    </row>
    <row r="3211" spans="1:5" x14ac:dyDescent="0.25">
      <c r="A3211" s="108">
        <v>201708</v>
      </c>
      <c r="B3211" s="109" t="s">
        <v>113</v>
      </c>
      <c r="C3211" s="108">
        <v>0</v>
      </c>
      <c r="D3211" s="110"/>
      <c r="E3211" t="str">
        <f>VLOOKUP(B3211,CAC!$A$2:$B$198,2,FALSE)</f>
        <v>PPOLG</v>
      </c>
    </row>
    <row r="3212" spans="1:5" x14ac:dyDescent="0.25">
      <c r="A3212" s="108">
        <v>201708</v>
      </c>
      <c r="B3212" s="109" t="s">
        <v>208</v>
      </c>
      <c r="C3212" s="108">
        <v>0</v>
      </c>
      <c r="D3212" s="110"/>
      <c r="E3212" t="str">
        <f>VLOOKUP(B3212,CAC!$A$2:$B$198,2,FALSE)</f>
        <v>PPOPMR</v>
      </c>
    </row>
    <row r="3213" spans="1:5" x14ac:dyDescent="0.25">
      <c r="A3213" s="108">
        <v>201708</v>
      </c>
      <c r="B3213" s="109" t="s">
        <v>291</v>
      </c>
      <c r="C3213" s="108">
        <v>0</v>
      </c>
      <c r="D3213" s="110"/>
      <c r="E3213" t="str">
        <f>VLOOKUP(B3213,CAC!$A$2:$B$198,2,FALSE)</f>
        <v>HMFLEX</v>
      </c>
    </row>
    <row r="3214" spans="1:5" x14ac:dyDescent="0.25">
      <c r="A3214" s="108">
        <v>201708</v>
      </c>
      <c r="B3214" s="109" t="s">
        <v>204</v>
      </c>
      <c r="C3214" s="108">
        <v>0</v>
      </c>
      <c r="D3214" s="110"/>
      <c r="E3214" t="str">
        <f>VLOOKUP(B3214,CAC!$A$2:$B$198,2,FALSE)</f>
        <v>PPOPMR</v>
      </c>
    </row>
    <row r="3215" spans="1:5" x14ac:dyDescent="0.25">
      <c r="A3215" s="108">
        <v>201708</v>
      </c>
      <c r="B3215" s="109" t="s">
        <v>330</v>
      </c>
      <c r="C3215" s="108">
        <v>0</v>
      </c>
      <c r="D3215" s="110"/>
      <c r="E3215" t="e">
        <f>VLOOKUP(B3215,CAC!$A$2:$B$198,2,FALSE)</f>
        <v>#N/A</v>
      </c>
    </row>
    <row r="3216" spans="1:5" x14ac:dyDescent="0.25">
      <c r="A3216" s="108">
        <v>201708</v>
      </c>
      <c r="B3216" s="109" t="s">
        <v>73</v>
      </c>
      <c r="C3216" s="108">
        <v>35557</v>
      </c>
      <c r="D3216" s="108">
        <v>11594</v>
      </c>
      <c r="E3216" t="str">
        <f>VLOOKUP(B3216,CAC!$A$2:$B$198,2,FALSE)</f>
        <v>HMOPERA</v>
      </c>
    </row>
    <row r="3217" spans="1:5" x14ac:dyDescent="0.25">
      <c r="A3217" s="108">
        <v>201708</v>
      </c>
      <c r="B3217" s="109" t="s">
        <v>218</v>
      </c>
      <c r="C3217" s="108">
        <v>0</v>
      </c>
      <c r="D3217" s="110"/>
      <c r="E3217" t="str">
        <f>VLOOKUP(B3217,CAC!$A$2:$B$198,2,FALSE)</f>
        <v>HMOPERA</v>
      </c>
    </row>
    <row r="3218" spans="1:5" x14ac:dyDescent="0.25">
      <c r="A3218" s="108">
        <v>201708</v>
      </c>
      <c r="B3218" s="109" t="s">
        <v>156</v>
      </c>
      <c r="C3218" s="108">
        <v>27476</v>
      </c>
      <c r="D3218" s="110"/>
      <c r="E3218" t="str">
        <f>VLOOKUP(B3218,CAC!$A$2:$B$198,2,FALSE)</f>
        <v>HMOMM</v>
      </c>
    </row>
    <row r="3219" spans="1:5" x14ac:dyDescent="0.25">
      <c r="A3219" s="108">
        <v>201708</v>
      </c>
      <c r="B3219" s="109" t="s">
        <v>84</v>
      </c>
      <c r="C3219" s="108">
        <v>5747</v>
      </c>
      <c r="D3219" s="110"/>
      <c r="E3219" t="str">
        <f>VLOOKUP(B3219,CAC!$A$2:$B$198,2,FALSE)</f>
        <v>HMOMM</v>
      </c>
    </row>
    <row r="3220" spans="1:5" x14ac:dyDescent="0.25">
      <c r="A3220" s="108">
        <v>201708</v>
      </c>
      <c r="B3220" s="109" t="s">
        <v>162</v>
      </c>
      <c r="C3220" s="108">
        <v>416</v>
      </c>
      <c r="D3220" s="110"/>
      <c r="E3220" t="str">
        <f>VLOOKUP(B3220,CAC!$A$2:$B$198,2,FALSE)</f>
        <v>HMOMG</v>
      </c>
    </row>
    <row r="3221" spans="1:5" x14ac:dyDescent="0.25">
      <c r="A3221" s="108">
        <v>201708</v>
      </c>
      <c r="B3221" s="109" t="s">
        <v>163</v>
      </c>
      <c r="C3221" s="108">
        <v>71</v>
      </c>
      <c r="D3221" s="110"/>
      <c r="E3221" t="str">
        <f>VLOOKUP(B3221,CAC!$A$2:$B$198,2,FALSE)</f>
        <v>HMOMG</v>
      </c>
    </row>
    <row r="3222" spans="1:5" x14ac:dyDescent="0.25">
      <c r="A3222" s="108">
        <v>201708</v>
      </c>
      <c r="B3222" s="109" t="s">
        <v>164</v>
      </c>
      <c r="C3222" s="108">
        <v>0</v>
      </c>
      <c r="D3222" s="110"/>
      <c r="E3222" t="str">
        <f>VLOOKUP(B3222,CAC!$A$2:$B$198,2,FALSE)</f>
        <v>HMOMG</v>
      </c>
    </row>
    <row r="3223" spans="1:5" x14ac:dyDescent="0.25">
      <c r="A3223" s="108">
        <v>201708</v>
      </c>
      <c r="B3223" s="109" t="s">
        <v>85</v>
      </c>
      <c r="C3223" s="108">
        <v>672</v>
      </c>
      <c r="D3223" s="110"/>
      <c r="E3223" t="str">
        <f>VLOOKUP(B3223,CAC!$A$2:$B$198,2,FALSE)</f>
        <v>HMOMG</v>
      </c>
    </row>
    <row r="3224" spans="1:5" x14ac:dyDescent="0.25">
      <c r="A3224" s="108">
        <v>201708</v>
      </c>
      <c r="B3224" s="109" t="s">
        <v>77</v>
      </c>
      <c r="C3224" s="108">
        <v>26433</v>
      </c>
      <c r="D3224" s="110"/>
      <c r="E3224" t="str">
        <f>VLOOKUP(B3224,CAC!$A$2:$B$198,2,FALSE)</f>
        <v>HMOSG</v>
      </c>
    </row>
    <row r="3225" spans="1:5" x14ac:dyDescent="0.25">
      <c r="A3225" s="108">
        <v>201708</v>
      </c>
      <c r="B3225" s="109" t="s">
        <v>78</v>
      </c>
      <c r="C3225" s="108">
        <v>371</v>
      </c>
      <c r="D3225" s="110"/>
      <c r="E3225" t="str">
        <f>VLOOKUP(B3225,CAC!$A$2:$B$198,2,FALSE)</f>
        <v>HMOSG</v>
      </c>
    </row>
    <row r="3226" spans="1:5" x14ac:dyDescent="0.25">
      <c r="A3226" s="108">
        <v>201708</v>
      </c>
      <c r="B3226" s="109" t="s">
        <v>79</v>
      </c>
      <c r="C3226" s="108">
        <v>130</v>
      </c>
      <c r="D3226" s="110"/>
      <c r="E3226" t="str">
        <f>VLOOKUP(B3226,CAC!$A$2:$B$198,2,FALSE)</f>
        <v>HMOSG</v>
      </c>
    </row>
    <row r="3227" spans="1:5" x14ac:dyDescent="0.25">
      <c r="A3227" s="108">
        <v>201708</v>
      </c>
      <c r="B3227" s="109" t="s">
        <v>222</v>
      </c>
      <c r="C3227" s="108">
        <v>0</v>
      </c>
      <c r="D3227" s="110"/>
      <c r="E3227" t="str">
        <f>VLOOKUP(B3227,CAC!$A$2:$B$198,2,FALSE)</f>
        <v>PPOSG</v>
      </c>
    </row>
    <row r="3228" spans="1:5" x14ac:dyDescent="0.25">
      <c r="A3228" s="108">
        <v>201708</v>
      </c>
      <c r="B3228" s="109" t="s">
        <v>225</v>
      </c>
      <c r="C3228" s="108">
        <v>0</v>
      </c>
      <c r="D3228" s="110"/>
      <c r="E3228" t="str">
        <f>VLOOKUP(B3228,CAC!$A$2:$B$198,2,FALSE)</f>
        <v>PPOSG</v>
      </c>
    </row>
    <row r="3229" spans="1:5" x14ac:dyDescent="0.25">
      <c r="A3229" s="108">
        <v>201708</v>
      </c>
      <c r="B3229" s="109" t="s">
        <v>226</v>
      </c>
      <c r="C3229" s="108">
        <v>0</v>
      </c>
      <c r="D3229" s="110"/>
      <c r="E3229" t="str">
        <f>VLOOKUP(B3229,CAC!$A$2:$B$198,2,FALSE)</f>
        <v>PPOSG</v>
      </c>
    </row>
    <row r="3230" spans="1:5" x14ac:dyDescent="0.25">
      <c r="A3230" s="108">
        <v>201708</v>
      </c>
      <c r="B3230" s="109" t="s">
        <v>89</v>
      </c>
      <c r="C3230" s="108">
        <v>1374</v>
      </c>
      <c r="D3230" s="110"/>
      <c r="E3230" t="str">
        <f>VLOOKUP(B3230,CAC!$A$2:$B$198,2,FALSE)</f>
        <v>HMOIFP</v>
      </c>
    </row>
    <row r="3231" spans="1:5" x14ac:dyDescent="0.25">
      <c r="A3231" s="108">
        <v>201708</v>
      </c>
      <c r="B3231" s="109" t="s">
        <v>90</v>
      </c>
      <c r="C3231" s="108">
        <v>777</v>
      </c>
      <c r="D3231" s="110"/>
      <c r="E3231" t="str">
        <f>VLOOKUP(B3231,CAC!$A$2:$B$198,2,FALSE)</f>
        <v>HMOIFP</v>
      </c>
    </row>
    <row r="3232" spans="1:5" x14ac:dyDescent="0.25">
      <c r="A3232" s="108">
        <v>201708</v>
      </c>
      <c r="B3232" s="109" t="s">
        <v>186</v>
      </c>
      <c r="C3232" s="108">
        <v>0</v>
      </c>
      <c r="D3232" s="110"/>
      <c r="E3232" t="str">
        <f>VLOOKUP(B3232,CAC!$A$2:$B$198,2,FALSE)</f>
        <v>PPOIFP</v>
      </c>
    </row>
    <row r="3233" spans="1:5" x14ac:dyDescent="0.25">
      <c r="A3233" s="108">
        <v>201708</v>
      </c>
      <c r="B3233" s="109" t="s">
        <v>188</v>
      </c>
      <c r="C3233" s="108">
        <v>0</v>
      </c>
      <c r="D3233" s="110"/>
      <c r="E3233" t="str">
        <f>VLOOKUP(B3233,CAC!$A$2:$B$198,2,FALSE)</f>
        <v>PPOIFP</v>
      </c>
    </row>
    <row r="3234" spans="1:5" x14ac:dyDescent="0.25">
      <c r="A3234" s="108">
        <v>201708</v>
      </c>
      <c r="B3234" s="109" t="s">
        <v>189</v>
      </c>
      <c r="C3234" s="108">
        <v>0</v>
      </c>
      <c r="D3234" s="110"/>
      <c r="E3234" t="str">
        <f>VLOOKUP(B3234,CAC!$A$2:$B$198,2,FALSE)</f>
        <v>PPOIFP</v>
      </c>
    </row>
    <row r="3235" spans="1:5" x14ac:dyDescent="0.25">
      <c r="A3235" s="108">
        <v>201708</v>
      </c>
      <c r="B3235" s="109" t="s">
        <v>331</v>
      </c>
      <c r="C3235" s="108">
        <v>0</v>
      </c>
      <c r="D3235" s="110"/>
      <c r="E3235" t="e">
        <f>VLOOKUP(B3235,CAC!$A$2:$B$198,2,FALSE)</f>
        <v>#N/A</v>
      </c>
    </row>
    <row r="3236" spans="1:5" x14ac:dyDescent="0.25">
      <c r="A3236" s="108">
        <v>201708</v>
      </c>
      <c r="B3236" s="109" t="s">
        <v>216</v>
      </c>
      <c r="C3236" s="108">
        <v>0</v>
      </c>
      <c r="D3236" s="110"/>
      <c r="E3236" t="str">
        <f>VLOOKUP(B3236,CAC!$A$2:$B$198,2,FALSE)</f>
        <v>PPOMM</v>
      </c>
    </row>
    <row r="3237" spans="1:5" x14ac:dyDescent="0.25">
      <c r="A3237" s="108">
        <v>201708</v>
      </c>
      <c r="B3237" s="109" t="s">
        <v>301</v>
      </c>
      <c r="C3237" s="108">
        <v>0</v>
      </c>
      <c r="D3237" s="110"/>
      <c r="E3237" t="str">
        <f>VLOOKUP(B3237,CAC!$A$2:$B$198,2,FALSE)</f>
        <v>XXX</v>
      </c>
    </row>
    <row r="3238" spans="1:5" x14ac:dyDescent="0.25">
      <c r="A3238" s="108">
        <v>201709</v>
      </c>
      <c r="B3238" s="109" t="s">
        <v>51</v>
      </c>
      <c r="C3238" s="108">
        <v>21</v>
      </c>
      <c r="D3238" s="110"/>
      <c r="E3238" t="str">
        <f>VLOOKUP(B3238,CAC!$A$2:$B$198,2,FALSE)</f>
        <v>XXX</v>
      </c>
    </row>
    <row r="3239" spans="1:5" x14ac:dyDescent="0.25">
      <c r="A3239" s="108">
        <v>201709</v>
      </c>
      <c r="B3239" s="109" t="s">
        <v>303</v>
      </c>
      <c r="C3239" s="108">
        <v>0</v>
      </c>
      <c r="D3239" s="110"/>
      <c r="E3239" t="e">
        <f>VLOOKUP(B3239,CAC!$A$2:$B$198,2,FALSE)</f>
        <v>#N/A</v>
      </c>
    </row>
    <row r="3240" spans="1:5" x14ac:dyDescent="0.25">
      <c r="A3240" s="108">
        <v>201709</v>
      </c>
      <c r="B3240" s="109" t="s">
        <v>304</v>
      </c>
      <c r="C3240" s="108">
        <v>0</v>
      </c>
      <c r="D3240" s="110"/>
      <c r="E3240" t="e">
        <f>VLOOKUP(B3240,CAC!$A$2:$B$198,2,FALSE)</f>
        <v>#N/A</v>
      </c>
    </row>
    <row r="3241" spans="1:5" x14ac:dyDescent="0.25">
      <c r="A3241" s="108">
        <v>201709</v>
      </c>
      <c r="B3241" s="109" t="s">
        <v>323</v>
      </c>
      <c r="C3241" s="108">
        <v>0</v>
      </c>
      <c r="D3241" s="110"/>
      <c r="E3241" t="e">
        <f>VLOOKUP(B3241,CAC!$A$2:$B$198,2,FALSE)</f>
        <v>#N/A</v>
      </c>
    </row>
    <row r="3242" spans="1:5" x14ac:dyDescent="0.25">
      <c r="A3242" s="108">
        <v>201709</v>
      </c>
      <c r="B3242" s="109" t="s">
        <v>305</v>
      </c>
      <c r="C3242" s="108">
        <v>0</v>
      </c>
      <c r="D3242" s="110"/>
      <c r="E3242" t="e">
        <f>VLOOKUP(B3242,CAC!$A$2:$B$198,2,FALSE)</f>
        <v>#N/A</v>
      </c>
    </row>
    <row r="3243" spans="1:5" x14ac:dyDescent="0.25">
      <c r="A3243" s="108">
        <v>201709</v>
      </c>
      <c r="B3243" s="109" t="s">
        <v>327</v>
      </c>
      <c r="C3243" s="108">
        <v>0</v>
      </c>
      <c r="D3243" s="110"/>
      <c r="E3243" t="e">
        <f>VLOOKUP(B3243,CAC!$A$2:$B$198,2,FALSE)</f>
        <v>#N/A</v>
      </c>
    </row>
    <row r="3244" spans="1:5" x14ac:dyDescent="0.25">
      <c r="A3244" s="108">
        <v>201709</v>
      </c>
      <c r="B3244" s="109" t="s">
        <v>326</v>
      </c>
      <c r="C3244" s="108">
        <v>0</v>
      </c>
      <c r="D3244" s="110"/>
      <c r="E3244" t="e">
        <f>VLOOKUP(B3244,CAC!$A$2:$B$198,2,FALSE)</f>
        <v>#N/A</v>
      </c>
    </row>
    <row r="3245" spans="1:5" x14ac:dyDescent="0.25">
      <c r="A3245" s="108">
        <v>201709</v>
      </c>
      <c r="B3245" s="109" t="s">
        <v>231</v>
      </c>
      <c r="C3245" s="108">
        <v>0</v>
      </c>
      <c r="D3245" s="110"/>
      <c r="E3245" t="str">
        <f>VLOOKUP(B3245,CAC!$A$2:$B$198,2,FALSE)</f>
        <v>DOILG</v>
      </c>
    </row>
    <row r="3246" spans="1:5" x14ac:dyDescent="0.25">
      <c r="A3246" s="108">
        <v>201709</v>
      </c>
      <c r="B3246" s="109" t="s">
        <v>237</v>
      </c>
      <c r="C3246" s="108">
        <v>0</v>
      </c>
      <c r="D3246" s="110"/>
      <c r="E3246" t="str">
        <f>VLOOKUP(B3246,CAC!$A$2:$B$198,2,FALSE)</f>
        <v>DOILG</v>
      </c>
    </row>
    <row r="3247" spans="1:5" x14ac:dyDescent="0.25">
      <c r="A3247" s="108">
        <v>201709</v>
      </c>
      <c r="B3247" s="109" t="s">
        <v>247</v>
      </c>
      <c r="C3247" s="108">
        <v>0</v>
      </c>
      <c r="D3247" s="110"/>
      <c r="E3247" t="str">
        <f>VLOOKUP(B3247,CAC!$A$2:$B$198,2,FALSE)</f>
        <v>DOIIFP</v>
      </c>
    </row>
    <row r="3248" spans="1:5" x14ac:dyDescent="0.25">
      <c r="A3248" s="108">
        <v>201709</v>
      </c>
      <c r="B3248" s="109" t="s">
        <v>238</v>
      </c>
      <c r="C3248" s="108">
        <v>0</v>
      </c>
      <c r="D3248" s="110"/>
      <c r="E3248" t="str">
        <f>VLOOKUP(B3248,CAC!$A$2:$B$198,2,FALSE)</f>
        <v>DOILG</v>
      </c>
    </row>
    <row r="3249" spans="1:5" x14ac:dyDescent="0.25">
      <c r="A3249" s="108">
        <v>201709</v>
      </c>
      <c r="B3249" s="109" t="s">
        <v>273</v>
      </c>
      <c r="C3249" s="108">
        <v>0</v>
      </c>
      <c r="D3249" s="110"/>
      <c r="E3249" t="str">
        <f>VLOOKUP(B3249,CAC!$A$2:$B$198,2,FALSE)</f>
        <v>AGDMHC</v>
      </c>
    </row>
    <row r="3250" spans="1:5" x14ac:dyDescent="0.25">
      <c r="A3250" s="108">
        <v>201709</v>
      </c>
      <c r="B3250" s="109" t="s">
        <v>328</v>
      </c>
      <c r="C3250" s="108">
        <v>0</v>
      </c>
      <c r="D3250" s="110"/>
      <c r="E3250" t="e">
        <f>VLOOKUP(B3250,CAC!$A$2:$B$198,2,FALSE)</f>
        <v>#N/A</v>
      </c>
    </row>
    <row r="3251" spans="1:5" x14ac:dyDescent="0.25">
      <c r="A3251" s="108">
        <v>201709</v>
      </c>
      <c r="B3251" s="109" t="s">
        <v>253</v>
      </c>
      <c r="C3251" s="108">
        <v>0</v>
      </c>
      <c r="D3251" s="110"/>
      <c r="E3251" t="str">
        <f>VLOOKUP(B3251,CAC!$A$2:$B$198,2,FALSE)</f>
        <v>AGDMHC</v>
      </c>
    </row>
    <row r="3252" spans="1:5" x14ac:dyDescent="0.25">
      <c r="A3252" s="108">
        <v>201709</v>
      </c>
      <c r="B3252" s="109" t="s">
        <v>325</v>
      </c>
      <c r="C3252" s="108">
        <v>0</v>
      </c>
      <c r="D3252" s="110"/>
      <c r="E3252" t="e">
        <f>VLOOKUP(B3252,CAC!$A$2:$B$198,2,FALSE)</f>
        <v>#N/A</v>
      </c>
    </row>
    <row r="3253" spans="1:5" x14ac:dyDescent="0.25">
      <c r="A3253" s="108">
        <v>201709</v>
      </c>
      <c r="B3253" s="109" t="s">
        <v>255</v>
      </c>
      <c r="C3253" s="108">
        <v>0</v>
      </c>
      <c r="D3253" s="110"/>
      <c r="E3253" t="str">
        <f>VLOOKUP(B3253,CAC!$A$2:$B$198,2,FALSE)</f>
        <v>AGDMHC</v>
      </c>
    </row>
    <row r="3254" spans="1:5" x14ac:dyDescent="0.25">
      <c r="A3254" s="108">
        <v>201709</v>
      </c>
      <c r="B3254" s="109" t="s">
        <v>256</v>
      </c>
      <c r="C3254" s="108">
        <v>0</v>
      </c>
      <c r="D3254" s="110"/>
      <c r="E3254" t="str">
        <f>VLOOKUP(B3254,CAC!$A$2:$B$198,2,FALSE)</f>
        <v>AGDMHC</v>
      </c>
    </row>
    <row r="3255" spans="1:5" x14ac:dyDescent="0.25">
      <c r="A3255" s="108">
        <v>201709</v>
      </c>
      <c r="B3255" s="109" t="s">
        <v>257</v>
      </c>
      <c r="C3255" s="108">
        <v>0</v>
      </c>
      <c r="D3255" s="110"/>
      <c r="E3255" t="str">
        <f>VLOOKUP(B3255,CAC!$A$2:$B$198,2,FALSE)</f>
        <v>AGDMHC</v>
      </c>
    </row>
    <row r="3256" spans="1:5" x14ac:dyDescent="0.25">
      <c r="A3256" s="108">
        <v>201709</v>
      </c>
      <c r="B3256" s="109" t="s">
        <v>258</v>
      </c>
      <c r="C3256" s="108">
        <v>0</v>
      </c>
      <c r="D3256" s="110"/>
      <c r="E3256" t="str">
        <f>VLOOKUP(B3256,CAC!$A$2:$B$198,2,FALSE)</f>
        <v>AGDMHC</v>
      </c>
    </row>
    <row r="3257" spans="1:5" x14ac:dyDescent="0.25">
      <c r="A3257" s="108">
        <v>201709</v>
      </c>
      <c r="B3257" s="109" t="s">
        <v>329</v>
      </c>
      <c r="C3257" s="108">
        <v>0</v>
      </c>
      <c r="D3257" s="110"/>
      <c r="E3257" t="e">
        <f>VLOOKUP(B3257,CAC!$A$2:$B$198,2,FALSE)</f>
        <v>#N/A</v>
      </c>
    </row>
    <row r="3258" spans="1:5" x14ac:dyDescent="0.25">
      <c r="A3258" s="108">
        <v>201709</v>
      </c>
      <c r="B3258" s="109" t="s">
        <v>262</v>
      </c>
      <c r="C3258" s="108">
        <v>0</v>
      </c>
      <c r="D3258" s="110"/>
      <c r="E3258" t="str">
        <f>VLOOKUP(B3258,CAC!$A$2:$B$198,2,FALSE)</f>
        <v>AGDMHC</v>
      </c>
    </row>
    <row r="3259" spans="1:5" x14ac:dyDescent="0.25">
      <c r="A3259" s="108">
        <v>201709</v>
      </c>
      <c r="B3259" s="109" t="s">
        <v>269</v>
      </c>
      <c r="C3259" s="108">
        <v>0</v>
      </c>
      <c r="D3259" s="110"/>
      <c r="E3259" t="str">
        <f>VLOOKUP(B3259,CAC!$A$2:$B$198,2,FALSE)</f>
        <v>AGDMHC</v>
      </c>
    </row>
    <row r="3260" spans="1:5" x14ac:dyDescent="0.25">
      <c r="A3260" s="108">
        <v>201709</v>
      </c>
      <c r="B3260" s="109" t="s">
        <v>319</v>
      </c>
      <c r="C3260" s="108">
        <v>0</v>
      </c>
      <c r="D3260" s="110"/>
      <c r="E3260" t="e">
        <f>VLOOKUP(B3260,CAC!$A$2:$B$198,2,FALSE)</f>
        <v>#N/A</v>
      </c>
    </row>
    <row r="3261" spans="1:5" x14ac:dyDescent="0.25">
      <c r="A3261" s="108">
        <v>201709</v>
      </c>
      <c r="B3261" s="109" t="s">
        <v>267</v>
      </c>
      <c r="C3261" s="108">
        <v>0</v>
      </c>
      <c r="D3261" s="110"/>
      <c r="E3261" t="str">
        <f>VLOOKUP(B3261,CAC!$A$2:$B$198,2,FALSE)</f>
        <v>AGDMHC</v>
      </c>
    </row>
    <row r="3262" spans="1:5" x14ac:dyDescent="0.25">
      <c r="A3262" s="108">
        <v>201709</v>
      </c>
      <c r="B3262" s="109" t="s">
        <v>52</v>
      </c>
      <c r="C3262" s="108">
        <v>16272</v>
      </c>
      <c r="D3262" s="110"/>
      <c r="E3262" t="str">
        <f>VLOOKUP(B3262,CAC!$A$2:$B$198,2,FALSE)</f>
        <v>HMOPMR</v>
      </c>
    </row>
    <row r="3263" spans="1:5" x14ac:dyDescent="0.25">
      <c r="A3263" s="108">
        <v>201709</v>
      </c>
      <c r="B3263" s="109" t="s">
        <v>53</v>
      </c>
      <c r="C3263" s="108">
        <v>4831</v>
      </c>
      <c r="D3263" s="110"/>
      <c r="E3263" t="str">
        <f>VLOOKUP(B3263,CAC!$A$2:$B$198,2,FALSE)</f>
        <v>HMOPMR</v>
      </c>
    </row>
    <row r="3264" spans="1:5" x14ac:dyDescent="0.25">
      <c r="A3264" s="108">
        <v>201709</v>
      </c>
      <c r="B3264" s="109" t="s">
        <v>54</v>
      </c>
      <c r="C3264" s="108">
        <v>5656</v>
      </c>
      <c r="D3264" s="110"/>
      <c r="E3264" t="str">
        <f>VLOOKUP(B3264,CAC!$A$2:$B$198,2,FALSE)</f>
        <v>HMOFEP</v>
      </c>
    </row>
    <row r="3265" spans="1:5" x14ac:dyDescent="0.25">
      <c r="A3265" s="108">
        <v>201709</v>
      </c>
      <c r="B3265" s="109" t="s">
        <v>279</v>
      </c>
      <c r="C3265" s="108">
        <v>0</v>
      </c>
      <c r="D3265" s="110"/>
      <c r="E3265" t="str">
        <f>VLOOKUP(B3265,CAC!$A$2:$B$198,2,FALSE)</f>
        <v>PPOFEP</v>
      </c>
    </row>
    <row r="3266" spans="1:5" x14ac:dyDescent="0.25">
      <c r="A3266" s="108">
        <v>201709</v>
      </c>
      <c r="B3266" s="109" t="s">
        <v>202</v>
      </c>
      <c r="C3266" s="108">
        <v>0</v>
      </c>
      <c r="D3266" s="110"/>
      <c r="E3266" t="str">
        <f>VLOOKUP(B3266,CAC!$A$2:$B$198,2,FALSE)</f>
        <v>PPOPMR</v>
      </c>
    </row>
    <row r="3267" spans="1:5" x14ac:dyDescent="0.25">
      <c r="A3267" s="108">
        <v>201709</v>
      </c>
      <c r="B3267" s="109" t="s">
        <v>55</v>
      </c>
      <c r="C3267" s="108">
        <v>17788</v>
      </c>
      <c r="D3267" s="110"/>
      <c r="E3267" t="str">
        <f>VLOOKUP(B3267,CAC!$A$2:$B$198,2,FALSE)</f>
        <v>HMOPMR</v>
      </c>
    </row>
    <row r="3268" spans="1:5" x14ac:dyDescent="0.25">
      <c r="A3268" s="108">
        <v>201709</v>
      </c>
      <c r="B3268" s="109" t="s">
        <v>56</v>
      </c>
      <c r="C3268" s="108">
        <v>38</v>
      </c>
      <c r="D3268" s="110"/>
      <c r="E3268" t="str">
        <f>VLOOKUP(B3268,CAC!$A$2:$B$198,2,FALSE)</f>
        <v>HMOPMR</v>
      </c>
    </row>
    <row r="3269" spans="1:5" x14ac:dyDescent="0.25">
      <c r="A3269" s="108">
        <v>201709</v>
      </c>
      <c r="B3269" s="109" t="s">
        <v>57</v>
      </c>
      <c r="C3269" s="108">
        <v>10069</v>
      </c>
      <c r="D3269" s="110"/>
      <c r="E3269" t="str">
        <f>VLOOKUP(B3269,CAC!$A$2:$B$198,2,FALSE)</f>
        <v>HMFLEX</v>
      </c>
    </row>
    <row r="3270" spans="1:5" x14ac:dyDescent="0.25">
      <c r="A3270" s="108">
        <v>201709</v>
      </c>
      <c r="B3270" s="109" t="s">
        <v>58</v>
      </c>
      <c r="C3270" s="108">
        <v>319</v>
      </c>
      <c r="D3270" s="110"/>
      <c r="E3270" t="str">
        <f>VLOOKUP(B3270,CAC!$A$2:$B$198,2,FALSE)</f>
        <v>HMFLEX</v>
      </c>
    </row>
    <row r="3271" spans="1:5" x14ac:dyDescent="0.25">
      <c r="A3271" s="108">
        <v>201709</v>
      </c>
      <c r="B3271" s="109" t="s">
        <v>306</v>
      </c>
      <c r="C3271" s="108">
        <v>0</v>
      </c>
      <c r="D3271" s="110"/>
      <c r="E3271" t="e">
        <f>VLOOKUP(B3271,CAC!$A$2:$B$198,2,FALSE)</f>
        <v>#N/A</v>
      </c>
    </row>
    <row r="3272" spans="1:5" x14ac:dyDescent="0.25">
      <c r="A3272" s="108">
        <v>201709</v>
      </c>
      <c r="B3272" s="109" t="s">
        <v>283</v>
      </c>
      <c r="C3272" s="108">
        <v>0</v>
      </c>
      <c r="D3272" s="110"/>
      <c r="E3272" t="str">
        <f>VLOOKUP(B3272,CAC!$A$2:$B$198,2,FALSE)</f>
        <v>HMFLEX</v>
      </c>
    </row>
    <row r="3273" spans="1:5" x14ac:dyDescent="0.25">
      <c r="A3273" s="108">
        <v>201709</v>
      </c>
      <c r="B3273" s="109" t="s">
        <v>205</v>
      </c>
      <c r="C3273" s="108">
        <v>0</v>
      </c>
      <c r="D3273" s="110"/>
      <c r="E3273" t="str">
        <f>VLOOKUP(B3273,CAC!$A$2:$B$198,2,FALSE)</f>
        <v>PPOPMR</v>
      </c>
    </row>
    <row r="3274" spans="1:5" x14ac:dyDescent="0.25">
      <c r="A3274" s="108">
        <v>201709</v>
      </c>
      <c r="B3274" s="109" t="s">
        <v>60</v>
      </c>
      <c r="C3274" s="108">
        <v>10652</v>
      </c>
      <c r="D3274" s="110"/>
      <c r="E3274" t="str">
        <f>VLOOKUP(B3274,CAC!$A$2:$B$198,2,FALSE)</f>
        <v>HMOLG</v>
      </c>
    </row>
    <row r="3275" spans="1:5" x14ac:dyDescent="0.25">
      <c r="A3275" s="108">
        <v>201709</v>
      </c>
      <c r="B3275" s="109" t="s">
        <v>61</v>
      </c>
      <c r="C3275" s="108">
        <v>1173</v>
      </c>
      <c r="D3275" s="110"/>
      <c r="E3275" t="str">
        <f>VLOOKUP(B3275,CAC!$A$2:$B$198,2,FALSE)</f>
        <v>HMOLG</v>
      </c>
    </row>
    <row r="3276" spans="1:5" x14ac:dyDescent="0.25">
      <c r="A3276" s="108">
        <v>201709</v>
      </c>
      <c r="B3276" s="109" t="s">
        <v>62</v>
      </c>
      <c r="C3276" s="108">
        <v>17759</v>
      </c>
      <c r="D3276" s="110"/>
      <c r="E3276" t="str">
        <f>VLOOKUP(B3276,CAC!$A$2:$B$198,2,FALSE)</f>
        <v>HMOLG</v>
      </c>
    </row>
    <row r="3277" spans="1:5" x14ac:dyDescent="0.25">
      <c r="A3277" s="108">
        <v>201709</v>
      </c>
      <c r="B3277" s="109" t="s">
        <v>86</v>
      </c>
      <c r="C3277" s="108">
        <v>1957</v>
      </c>
      <c r="D3277" s="110"/>
      <c r="E3277" t="str">
        <f>VLOOKUP(B3277,CAC!$A$2:$B$198,2,FALSE)</f>
        <v>HMOLG</v>
      </c>
    </row>
    <row r="3278" spans="1:5" x14ac:dyDescent="0.25">
      <c r="A3278" s="108">
        <v>201709</v>
      </c>
      <c r="B3278" s="109" t="s">
        <v>63</v>
      </c>
      <c r="C3278" s="108">
        <v>58</v>
      </c>
      <c r="D3278" s="110"/>
      <c r="E3278" t="str">
        <f>VLOOKUP(B3278,CAC!$A$2:$B$198,2,FALSE)</f>
        <v>HMOLG</v>
      </c>
    </row>
    <row r="3279" spans="1:5" x14ac:dyDescent="0.25">
      <c r="A3279" s="108">
        <v>201709</v>
      </c>
      <c r="B3279" s="109" t="s">
        <v>64</v>
      </c>
      <c r="C3279" s="108">
        <v>0</v>
      </c>
      <c r="D3279" s="110"/>
      <c r="E3279" t="str">
        <f>VLOOKUP(B3279,CAC!$A$2:$B$198,2,FALSE)</f>
        <v>HMOLG</v>
      </c>
    </row>
    <row r="3280" spans="1:5" x14ac:dyDescent="0.25">
      <c r="A3280" s="108">
        <v>201709</v>
      </c>
      <c r="B3280" s="109" t="s">
        <v>91</v>
      </c>
      <c r="C3280" s="108">
        <v>230</v>
      </c>
      <c r="D3280" s="110"/>
      <c r="E3280" t="str">
        <f>VLOOKUP(B3280,CAC!$A$2:$B$198,2,FALSE)</f>
        <v>HMFLEX</v>
      </c>
    </row>
    <row r="3281" spans="1:5" x14ac:dyDescent="0.25">
      <c r="A3281" s="108">
        <v>201709</v>
      </c>
      <c r="B3281" s="109" t="s">
        <v>307</v>
      </c>
      <c r="C3281" s="108">
        <v>0</v>
      </c>
      <c r="D3281" s="110"/>
      <c r="E3281" t="e">
        <f>VLOOKUP(B3281,CAC!$A$2:$B$198,2,FALSE)</f>
        <v>#N/A</v>
      </c>
    </row>
    <row r="3282" spans="1:5" x14ac:dyDescent="0.25">
      <c r="A3282" s="108">
        <v>201709</v>
      </c>
      <c r="B3282" s="109" t="s">
        <v>308</v>
      </c>
      <c r="C3282" s="108">
        <v>0</v>
      </c>
      <c r="D3282" s="110"/>
      <c r="E3282" t="e">
        <f>VLOOKUP(B3282,CAC!$A$2:$B$198,2,FALSE)</f>
        <v>#N/A</v>
      </c>
    </row>
    <row r="3283" spans="1:5" x14ac:dyDescent="0.25">
      <c r="A3283" s="108">
        <v>201709</v>
      </c>
      <c r="B3283" s="109" t="s">
        <v>309</v>
      </c>
      <c r="C3283" s="108">
        <v>0</v>
      </c>
      <c r="D3283" s="110"/>
      <c r="E3283" t="e">
        <f>VLOOKUP(B3283,CAC!$A$2:$B$198,2,FALSE)</f>
        <v>#N/A</v>
      </c>
    </row>
    <row r="3284" spans="1:5" x14ac:dyDescent="0.25">
      <c r="A3284" s="108">
        <v>201709</v>
      </c>
      <c r="B3284" s="109" t="s">
        <v>99</v>
      </c>
      <c r="C3284" s="108">
        <v>0</v>
      </c>
      <c r="D3284" s="110"/>
      <c r="E3284" t="str">
        <f>VLOOKUP(B3284,CAC!$A$2:$B$198,2,FALSE)</f>
        <v>PPOLG</v>
      </c>
    </row>
    <row r="3285" spans="1:5" x14ac:dyDescent="0.25">
      <c r="A3285" s="108">
        <v>201709</v>
      </c>
      <c r="B3285" s="109" t="s">
        <v>193</v>
      </c>
      <c r="C3285" s="108">
        <v>0</v>
      </c>
      <c r="D3285" s="110"/>
      <c r="E3285" t="str">
        <f>VLOOKUP(B3285,CAC!$A$2:$B$198,2,FALSE)</f>
        <v>PPOLG</v>
      </c>
    </row>
    <row r="3286" spans="1:5" x14ac:dyDescent="0.25">
      <c r="A3286" s="108">
        <v>201709</v>
      </c>
      <c r="B3286" s="109" t="s">
        <v>196</v>
      </c>
      <c r="C3286" s="108">
        <v>0</v>
      </c>
      <c r="D3286" s="110"/>
      <c r="E3286" t="str">
        <f>VLOOKUP(B3286,CAC!$A$2:$B$198,2,FALSE)</f>
        <v>PPOLG</v>
      </c>
    </row>
    <row r="3287" spans="1:5" x14ac:dyDescent="0.25">
      <c r="A3287" s="108">
        <v>201709</v>
      </c>
      <c r="B3287" s="109" t="s">
        <v>212</v>
      </c>
      <c r="C3287" s="108">
        <v>0</v>
      </c>
      <c r="D3287" s="110"/>
      <c r="E3287" t="str">
        <f>VLOOKUP(B3287,CAC!$A$2:$B$198,2,FALSE)</f>
        <v>PPOMM</v>
      </c>
    </row>
    <row r="3288" spans="1:5" x14ac:dyDescent="0.25">
      <c r="A3288" s="108">
        <v>201709</v>
      </c>
      <c r="B3288" s="109" t="s">
        <v>213</v>
      </c>
      <c r="C3288" s="108">
        <v>0</v>
      </c>
      <c r="D3288" s="110"/>
      <c r="E3288" t="str">
        <f>VLOOKUP(B3288,CAC!$A$2:$B$198,2,FALSE)</f>
        <v>PPOMM</v>
      </c>
    </row>
    <row r="3289" spans="1:5" x14ac:dyDescent="0.25">
      <c r="A3289" s="108">
        <v>201709</v>
      </c>
      <c r="B3289" s="109" t="s">
        <v>311</v>
      </c>
      <c r="C3289" s="108">
        <v>0</v>
      </c>
      <c r="D3289" s="110"/>
      <c r="E3289" t="e">
        <f>VLOOKUP(B3289,CAC!$A$2:$B$198,2,FALSE)</f>
        <v>#N/A</v>
      </c>
    </row>
    <row r="3290" spans="1:5" x14ac:dyDescent="0.25">
      <c r="A3290" s="108">
        <v>201709</v>
      </c>
      <c r="B3290" s="109" t="s">
        <v>321</v>
      </c>
      <c r="C3290" s="108">
        <v>0</v>
      </c>
      <c r="D3290" s="110"/>
      <c r="E3290" t="e">
        <f>VLOOKUP(B3290,CAC!$A$2:$B$198,2,FALSE)</f>
        <v>#N/A</v>
      </c>
    </row>
    <row r="3291" spans="1:5" x14ac:dyDescent="0.25">
      <c r="A3291" s="108">
        <v>201709</v>
      </c>
      <c r="B3291" s="109" t="s">
        <v>312</v>
      </c>
      <c r="C3291" s="108">
        <v>0</v>
      </c>
      <c r="D3291" s="110"/>
      <c r="E3291" t="e">
        <f>VLOOKUP(B3291,CAC!$A$2:$B$198,2,FALSE)</f>
        <v>#N/A</v>
      </c>
    </row>
    <row r="3292" spans="1:5" x14ac:dyDescent="0.25">
      <c r="A3292" s="108">
        <v>201709</v>
      </c>
      <c r="B3292" s="109" t="s">
        <v>215</v>
      </c>
      <c r="C3292" s="108">
        <v>0</v>
      </c>
      <c r="D3292" s="110"/>
      <c r="E3292" t="str">
        <f>VLOOKUP(B3292,CAC!$A$2:$B$198,2,FALSE)</f>
        <v>PPOMM</v>
      </c>
    </row>
    <row r="3293" spans="1:5" x14ac:dyDescent="0.25">
      <c r="A3293" s="108">
        <v>201709</v>
      </c>
      <c r="B3293" s="109" t="s">
        <v>66</v>
      </c>
      <c r="C3293" s="108">
        <v>6999</v>
      </c>
      <c r="D3293" s="110"/>
      <c r="E3293" t="str">
        <f>VLOOKUP(B3293,CAC!$A$2:$B$198,2,FALSE)</f>
        <v>HMOLG</v>
      </c>
    </row>
    <row r="3294" spans="1:5" x14ac:dyDescent="0.25">
      <c r="A3294" s="108">
        <v>201709</v>
      </c>
      <c r="B3294" s="109" t="s">
        <v>82</v>
      </c>
      <c r="C3294" s="108">
        <v>0</v>
      </c>
      <c r="D3294" s="110"/>
      <c r="E3294" t="str">
        <f>VLOOKUP(B3294,CAC!$A$2:$B$198,2,FALSE)</f>
        <v>NATPAR</v>
      </c>
    </row>
    <row r="3295" spans="1:5" x14ac:dyDescent="0.25">
      <c r="A3295" s="108">
        <v>201709</v>
      </c>
      <c r="B3295" s="109" t="s">
        <v>67</v>
      </c>
      <c r="C3295" s="108">
        <v>106</v>
      </c>
      <c r="D3295" s="110"/>
      <c r="E3295" t="str">
        <f>VLOOKUP(B3295,CAC!$A$2:$B$198,2,FALSE)</f>
        <v>HMOLG</v>
      </c>
    </row>
    <row r="3296" spans="1:5" x14ac:dyDescent="0.25">
      <c r="A3296" s="108">
        <v>201709</v>
      </c>
      <c r="B3296" s="109" t="s">
        <v>69</v>
      </c>
      <c r="C3296" s="108">
        <v>9819</v>
      </c>
      <c r="D3296" s="110"/>
      <c r="E3296" t="str">
        <f>VLOOKUP(B3296,CAC!$A$2:$B$198,2,FALSE)</f>
        <v>HMOPMR</v>
      </c>
    </row>
    <row r="3297" spans="1:5" x14ac:dyDescent="0.25">
      <c r="A3297" s="108">
        <v>201709</v>
      </c>
      <c r="B3297" s="109" t="s">
        <v>70</v>
      </c>
      <c r="C3297" s="108">
        <v>844</v>
      </c>
      <c r="D3297" s="110"/>
      <c r="E3297" t="str">
        <f>VLOOKUP(B3297,CAC!$A$2:$B$198,2,FALSE)</f>
        <v>HMOPMR</v>
      </c>
    </row>
    <row r="3298" spans="1:5" x14ac:dyDescent="0.25">
      <c r="A3298" s="108">
        <v>201709</v>
      </c>
      <c r="B3298" s="109" t="s">
        <v>71</v>
      </c>
      <c r="C3298" s="108">
        <v>4269</v>
      </c>
      <c r="D3298" s="110"/>
      <c r="E3298" t="str">
        <f>VLOOKUP(B3298,CAC!$A$2:$B$198,2,FALSE)</f>
        <v>HMOPMR</v>
      </c>
    </row>
    <row r="3299" spans="1:5" x14ac:dyDescent="0.25">
      <c r="A3299" s="108">
        <v>201709</v>
      </c>
      <c r="B3299" s="109" t="s">
        <v>72</v>
      </c>
      <c r="C3299" s="108">
        <v>5130</v>
      </c>
      <c r="D3299" s="110"/>
      <c r="E3299" t="str">
        <f>VLOOKUP(B3299,CAC!$A$2:$B$198,2,FALSE)</f>
        <v>HMFLEX</v>
      </c>
    </row>
    <row r="3300" spans="1:5" x14ac:dyDescent="0.25">
      <c r="A3300" s="108">
        <v>201709</v>
      </c>
      <c r="B3300" s="109" t="s">
        <v>314</v>
      </c>
      <c r="C3300" s="108">
        <v>0</v>
      </c>
      <c r="D3300" s="110"/>
      <c r="E3300" t="e">
        <f>VLOOKUP(B3300,CAC!$A$2:$B$198,2,FALSE)</f>
        <v>#N/A</v>
      </c>
    </row>
    <row r="3301" spans="1:5" x14ac:dyDescent="0.25">
      <c r="A3301" s="108">
        <v>201709</v>
      </c>
      <c r="B3301" s="109" t="s">
        <v>315</v>
      </c>
      <c r="C3301" s="108">
        <v>0</v>
      </c>
      <c r="D3301" s="110"/>
      <c r="E3301" t="e">
        <f>VLOOKUP(B3301,CAC!$A$2:$B$198,2,FALSE)</f>
        <v>#N/A</v>
      </c>
    </row>
    <row r="3302" spans="1:5" x14ac:dyDescent="0.25">
      <c r="A3302" s="108">
        <v>201709</v>
      </c>
      <c r="B3302" s="109" t="s">
        <v>112</v>
      </c>
      <c r="C3302" s="108">
        <v>0</v>
      </c>
      <c r="D3302" s="110"/>
      <c r="E3302" t="e">
        <f>VLOOKUP(B3302,CAC!$A$2:$B$198,2,FALSE)</f>
        <v>#N/A</v>
      </c>
    </row>
    <row r="3303" spans="1:5" x14ac:dyDescent="0.25">
      <c r="A3303" s="108">
        <v>201709</v>
      </c>
      <c r="B3303" s="109" t="s">
        <v>316</v>
      </c>
      <c r="C3303" s="108">
        <v>0</v>
      </c>
      <c r="D3303" s="110"/>
      <c r="E3303" t="e">
        <f>VLOOKUP(B3303,CAC!$A$2:$B$198,2,FALSE)</f>
        <v>#N/A</v>
      </c>
    </row>
    <row r="3304" spans="1:5" x14ac:dyDescent="0.25">
      <c r="A3304" s="108">
        <v>201709</v>
      </c>
      <c r="B3304" s="109" t="s">
        <v>317</v>
      </c>
      <c r="C3304" s="108">
        <v>0</v>
      </c>
      <c r="D3304" s="110"/>
      <c r="E3304" t="e">
        <f>VLOOKUP(B3304,CAC!$A$2:$B$198,2,FALSE)</f>
        <v>#N/A</v>
      </c>
    </row>
    <row r="3305" spans="1:5" x14ac:dyDescent="0.25">
      <c r="A3305" s="108">
        <v>201709</v>
      </c>
      <c r="B3305" s="109" t="s">
        <v>113</v>
      </c>
      <c r="C3305" s="108">
        <v>0</v>
      </c>
      <c r="D3305" s="110"/>
      <c r="E3305" t="str">
        <f>VLOOKUP(B3305,CAC!$A$2:$B$198,2,FALSE)</f>
        <v>PPOLG</v>
      </c>
    </row>
    <row r="3306" spans="1:5" x14ac:dyDescent="0.25">
      <c r="A3306" s="108">
        <v>201709</v>
      </c>
      <c r="B3306" s="109" t="s">
        <v>208</v>
      </c>
      <c r="C3306" s="108">
        <v>0</v>
      </c>
      <c r="D3306" s="110"/>
      <c r="E3306" t="str">
        <f>VLOOKUP(B3306,CAC!$A$2:$B$198,2,FALSE)</f>
        <v>PPOPMR</v>
      </c>
    </row>
    <row r="3307" spans="1:5" x14ac:dyDescent="0.25">
      <c r="A3307" s="108">
        <v>201709</v>
      </c>
      <c r="B3307" s="109" t="s">
        <v>291</v>
      </c>
      <c r="C3307" s="108">
        <v>0</v>
      </c>
      <c r="D3307" s="110"/>
      <c r="E3307" t="str">
        <f>VLOOKUP(B3307,CAC!$A$2:$B$198,2,FALSE)</f>
        <v>HMFLEX</v>
      </c>
    </row>
    <row r="3308" spans="1:5" x14ac:dyDescent="0.25">
      <c r="A3308" s="108">
        <v>201709</v>
      </c>
      <c r="B3308" s="109" t="s">
        <v>204</v>
      </c>
      <c r="C3308" s="108">
        <v>0</v>
      </c>
      <c r="D3308" s="110"/>
      <c r="E3308" t="str">
        <f>VLOOKUP(B3308,CAC!$A$2:$B$198,2,FALSE)</f>
        <v>PPOPMR</v>
      </c>
    </row>
    <row r="3309" spans="1:5" x14ac:dyDescent="0.25">
      <c r="A3309" s="108">
        <v>201709</v>
      </c>
      <c r="B3309" s="109" t="s">
        <v>330</v>
      </c>
      <c r="C3309" s="108">
        <v>0</v>
      </c>
      <c r="D3309" s="110"/>
      <c r="E3309" t="e">
        <f>VLOOKUP(B3309,CAC!$A$2:$B$198,2,FALSE)</f>
        <v>#N/A</v>
      </c>
    </row>
    <row r="3310" spans="1:5" x14ac:dyDescent="0.25">
      <c r="A3310" s="108">
        <v>201709</v>
      </c>
      <c r="B3310" s="109" t="s">
        <v>73</v>
      </c>
      <c r="C3310" s="108">
        <v>35380</v>
      </c>
      <c r="D3310" s="108">
        <v>11924</v>
      </c>
      <c r="E3310" t="str">
        <f>VLOOKUP(B3310,CAC!$A$2:$B$198,2,FALSE)</f>
        <v>HMOPERA</v>
      </c>
    </row>
    <row r="3311" spans="1:5" x14ac:dyDescent="0.25">
      <c r="A3311" s="108">
        <v>201709</v>
      </c>
      <c r="B3311" s="109" t="s">
        <v>218</v>
      </c>
      <c r="C3311" s="108">
        <v>0</v>
      </c>
      <c r="D3311" s="110"/>
      <c r="E3311" t="str">
        <f>VLOOKUP(B3311,CAC!$A$2:$B$198,2,FALSE)</f>
        <v>HMOPERA</v>
      </c>
    </row>
    <row r="3312" spans="1:5" x14ac:dyDescent="0.25">
      <c r="A3312" s="108">
        <v>201709</v>
      </c>
      <c r="B3312" s="109" t="s">
        <v>156</v>
      </c>
      <c r="C3312" s="108">
        <v>27569</v>
      </c>
      <c r="D3312" s="110"/>
      <c r="E3312" t="str">
        <f>VLOOKUP(B3312,CAC!$A$2:$B$198,2,FALSE)</f>
        <v>HMOMM</v>
      </c>
    </row>
    <row r="3313" spans="1:5" x14ac:dyDescent="0.25">
      <c r="A3313" s="108">
        <v>201709</v>
      </c>
      <c r="B3313" s="109" t="s">
        <v>84</v>
      </c>
      <c r="C3313" s="108">
        <v>5732</v>
      </c>
      <c r="D3313" s="110"/>
      <c r="E3313" t="str">
        <f>VLOOKUP(B3313,CAC!$A$2:$B$198,2,FALSE)</f>
        <v>HMOMM</v>
      </c>
    </row>
    <row r="3314" spans="1:5" x14ac:dyDescent="0.25">
      <c r="A3314" s="108">
        <v>201709</v>
      </c>
      <c r="B3314" s="109" t="s">
        <v>162</v>
      </c>
      <c r="C3314" s="108">
        <v>419</v>
      </c>
      <c r="D3314" s="110"/>
      <c r="E3314" t="str">
        <f>VLOOKUP(B3314,CAC!$A$2:$B$198,2,FALSE)</f>
        <v>HMOMG</v>
      </c>
    </row>
    <row r="3315" spans="1:5" x14ac:dyDescent="0.25">
      <c r="A3315" s="108">
        <v>201709</v>
      </c>
      <c r="B3315" s="109" t="s">
        <v>163</v>
      </c>
      <c r="C3315" s="108">
        <v>71</v>
      </c>
      <c r="D3315" s="110"/>
      <c r="E3315" t="str">
        <f>VLOOKUP(B3315,CAC!$A$2:$B$198,2,FALSE)</f>
        <v>HMOMG</v>
      </c>
    </row>
    <row r="3316" spans="1:5" x14ac:dyDescent="0.25">
      <c r="A3316" s="108">
        <v>201709</v>
      </c>
      <c r="B3316" s="109" t="s">
        <v>164</v>
      </c>
      <c r="C3316" s="108">
        <v>0</v>
      </c>
      <c r="D3316" s="110"/>
      <c r="E3316" t="str">
        <f>VLOOKUP(B3316,CAC!$A$2:$B$198,2,FALSE)</f>
        <v>HMOMG</v>
      </c>
    </row>
    <row r="3317" spans="1:5" x14ac:dyDescent="0.25">
      <c r="A3317" s="108">
        <v>201709</v>
      </c>
      <c r="B3317" s="109" t="s">
        <v>85</v>
      </c>
      <c r="C3317" s="108">
        <v>673</v>
      </c>
      <c r="D3317" s="110"/>
      <c r="E3317" t="str">
        <f>VLOOKUP(B3317,CAC!$A$2:$B$198,2,FALSE)</f>
        <v>HMOMG</v>
      </c>
    </row>
    <row r="3318" spans="1:5" x14ac:dyDescent="0.25">
      <c r="A3318" s="108">
        <v>201709</v>
      </c>
      <c r="B3318" s="109" t="s">
        <v>77</v>
      </c>
      <c r="C3318" s="108">
        <v>26285</v>
      </c>
      <c r="D3318" s="110"/>
      <c r="E3318" t="str">
        <f>VLOOKUP(B3318,CAC!$A$2:$B$198,2,FALSE)</f>
        <v>HMOSG</v>
      </c>
    </row>
    <row r="3319" spans="1:5" x14ac:dyDescent="0.25">
      <c r="A3319" s="108">
        <v>201709</v>
      </c>
      <c r="B3319" s="109" t="s">
        <v>78</v>
      </c>
      <c r="C3319" s="108">
        <v>364</v>
      </c>
      <c r="D3319" s="110"/>
      <c r="E3319" t="str">
        <f>VLOOKUP(B3319,CAC!$A$2:$B$198,2,FALSE)</f>
        <v>HMOSG</v>
      </c>
    </row>
    <row r="3320" spans="1:5" x14ac:dyDescent="0.25">
      <c r="A3320" s="108">
        <v>201709</v>
      </c>
      <c r="B3320" s="109" t="s">
        <v>79</v>
      </c>
      <c r="C3320" s="108">
        <v>115</v>
      </c>
      <c r="D3320" s="110"/>
      <c r="E3320" t="str">
        <f>VLOOKUP(B3320,CAC!$A$2:$B$198,2,FALSE)</f>
        <v>HMOSG</v>
      </c>
    </row>
    <row r="3321" spans="1:5" x14ac:dyDescent="0.25">
      <c r="A3321" s="108">
        <v>201709</v>
      </c>
      <c r="B3321" s="109" t="s">
        <v>222</v>
      </c>
      <c r="C3321" s="108">
        <v>0</v>
      </c>
      <c r="D3321" s="110"/>
      <c r="E3321" t="str">
        <f>VLOOKUP(B3321,CAC!$A$2:$B$198,2,FALSE)</f>
        <v>PPOSG</v>
      </c>
    </row>
    <row r="3322" spans="1:5" x14ac:dyDescent="0.25">
      <c r="A3322" s="108">
        <v>201709</v>
      </c>
      <c r="B3322" s="109" t="s">
        <v>225</v>
      </c>
      <c r="C3322" s="108">
        <v>0</v>
      </c>
      <c r="D3322" s="110"/>
      <c r="E3322" t="str">
        <f>VLOOKUP(B3322,CAC!$A$2:$B$198,2,FALSE)</f>
        <v>PPOSG</v>
      </c>
    </row>
    <row r="3323" spans="1:5" x14ac:dyDescent="0.25">
      <c r="A3323" s="108">
        <v>201709</v>
      </c>
      <c r="B3323" s="109" t="s">
        <v>226</v>
      </c>
      <c r="C3323" s="108">
        <v>0</v>
      </c>
      <c r="D3323" s="110"/>
      <c r="E3323" t="str">
        <f>VLOOKUP(B3323,CAC!$A$2:$B$198,2,FALSE)</f>
        <v>PPOSG</v>
      </c>
    </row>
    <row r="3324" spans="1:5" x14ac:dyDescent="0.25">
      <c r="A3324" s="108">
        <v>201709</v>
      </c>
      <c r="B3324" s="109" t="s">
        <v>89</v>
      </c>
      <c r="C3324" s="108">
        <v>1434</v>
      </c>
      <c r="D3324" s="110"/>
      <c r="E3324" t="str">
        <f>VLOOKUP(B3324,CAC!$A$2:$B$198,2,FALSE)</f>
        <v>HMOIFP</v>
      </c>
    </row>
    <row r="3325" spans="1:5" x14ac:dyDescent="0.25">
      <c r="A3325" s="108">
        <v>201709</v>
      </c>
      <c r="B3325" s="109" t="s">
        <v>90</v>
      </c>
      <c r="C3325" s="108">
        <v>815</v>
      </c>
      <c r="D3325" s="110"/>
      <c r="E3325" t="str">
        <f>VLOOKUP(B3325,CAC!$A$2:$B$198,2,FALSE)</f>
        <v>HMOIFP</v>
      </c>
    </row>
    <row r="3326" spans="1:5" x14ac:dyDescent="0.25">
      <c r="A3326" s="108">
        <v>201709</v>
      </c>
      <c r="B3326" s="109" t="s">
        <v>186</v>
      </c>
      <c r="C3326" s="108">
        <v>0</v>
      </c>
      <c r="D3326" s="110"/>
      <c r="E3326" t="str">
        <f>VLOOKUP(B3326,CAC!$A$2:$B$198,2,FALSE)</f>
        <v>PPOIFP</v>
      </c>
    </row>
    <row r="3327" spans="1:5" x14ac:dyDescent="0.25">
      <c r="A3327" s="108">
        <v>201709</v>
      </c>
      <c r="B3327" s="109" t="s">
        <v>188</v>
      </c>
      <c r="C3327" s="108">
        <v>0</v>
      </c>
      <c r="D3327" s="110"/>
      <c r="E3327" t="str">
        <f>VLOOKUP(B3327,CAC!$A$2:$B$198,2,FALSE)</f>
        <v>PPOIFP</v>
      </c>
    </row>
    <row r="3328" spans="1:5" x14ac:dyDescent="0.25">
      <c r="A3328" s="108">
        <v>201709</v>
      </c>
      <c r="B3328" s="109" t="s">
        <v>189</v>
      </c>
      <c r="C3328" s="108">
        <v>0</v>
      </c>
      <c r="D3328" s="110"/>
      <c r="E3328" t="str">
        <f>VLOOKUP(B3328,CAC!$A$2:$B$198,2,FALSE)</f>
        <v>PPOIFP</v>
      </c>
    </row>
    <row r="3329" spans="1:5" x14ac:dyDescent="0.25">
      <c r="A3329" s="108">
        <v>201709</v>
      </c>
      <c r="B3329" s="109" t="s">
        <v>331</v>
      </c>
      <c r="C3329" s="108">
        <v>0</v>
      </c>
      <c r="D3329" s="110"/>
      <c r="E3329" t="e">
        <f>VLOOKUP(B3329,CAC!$A$2:$B$198,2,FALSE)</f>
        <v>#N/A</v>
      </c>
    </row>
    <row r="3330" spans="1:5" x14ac:dyDescent="0.25">
      <c r="A3330" s="108">
        <v>201709</v>
      </c>
      <c r="B3330" s="109" t="s">
        <v>216</v>
      </c>
      <c r="C3330" s="108">
        <v>0</v>
      </c>
      <c r="D3330" s="110"/>
      <c r="E3330" t="str">
        <f>VLOOKUP(B3330,CAC!$A$2:$B$198,2,FALSE)</f>
        <v>PPOMM</v>
      </c>
    </row>
    <row r="3331" spans="1:5" x14ac:dyDescent="0.25">
      <c r="A3331" s="108">
        <v>201709</v>
      </c>
      <c r="B3331" s="109" t="s">
        <v>301</v>
      </c>
      <c r="C3331" s="108">
        <v>0</v>
      </c>
      <c r="D3331" s="110"/>
      <c r="E3331" t="str">
        <f>VLOOKUP(B3331,CAC!$A$2:$B$198,2,FALSE)</f>
        <v>XXX</v>
      </c>
    </row>
    <row r="3332" spans="1:5" x14ac:dyDescent="0.25">
      <c r="A3332" s="108">
        <v>201710</v>
      </c>
      <c r="B3332" s="109" t="s">
        <v>51</v>
      </c>
      <c r="C3332" s="108">
        <v>23</v>
      </c>
      <c r="D3332" s="110"/>
      <c r="E3332" t="str">
        <f>VLOOKUP(B3332,CAC!$A$2:$B$198,2,FALSE)</f>
        <v>XXX</v>
      </c>
    </row>
    <row r="3333" spans="1:5" x14ac:dyDescent="0.25">
      <c r="A3333" s="108">
        <v>201710</v>
      </c>
      <c r="B3333" s="109" t="s">
        <v>303</v>
      </c>
      <c r="C3333" s="108">
        <v>0</v>
      </c>
      <c r="D3333" s="110"/>
      <c r="E3333" t="e">
        <f>VLOOKUP(B3333,CAC!$A$2:$B$198,2,FALSE)</f>
        <v>#N/A</v>
      </c>
    </row>
    <row r="3334" spans="1:5" x14ac:dyDescent="0.25">
      <c r="A3334" s="108">
        <v>201710</v>
      </c>
      <c r="B3334" s="109" t="s">
        <v>304</v>
      </c>
      <c r="C3334" s="108">
        <v>0</v>
      </c>
      <c r="D3334" s="110"/>
      <c r="E3334" t="e">
        <f>VLOOKUP(B3334,CAC!$A$2:$B$198,2,FALSE)</f>
        <v>#N/A</v>
      </c>
    </row>
    <row r="3335" spans="1:5" x14ac:dyDescent="0.25">
      <c r="A3335" s="108">
        <v>201710</v>
      </c>
      <c r="B3335" s="109" t="s">
        <v>323</v>
      </c>
      <c r="C3335" s="108">
        <v>0</v>
      </c>
      <c r="D3335" s="110"/>
      <c r="E3335" t="e">
        <f>VLOOKUP(B3335,CAC!$A$2:$B$198,2,FALSE)</f>
        <v>#N/A</v>
      </c>
    </row>
    <row r="3336" spans="1:5" x14ac:dyDescent="0.25">
      <c r="A3336" s="108">
        <v>201710</v>
      </c>
      <c r="B3336" s="109" t="s">
        <v>305</v>
      </c>
      <c r="C3336" s="108">
        <v>0</v>
      </c>
      <c r="D3336" s="110"/>
      <c r="E3336" t="e">
        <f>VLOOKUP(B3336,CAC!$A$2:$B$198,2,FALSE)</f>
        <v>#N/A</v>
      </c>
    </row>
    <row r="3337" spans="1:5" x14ac:dyDescent="0.25">
      <c r="A3337" s="108">
        <v>201710</v>
      </c>
      <c r="B3337" s="109" t="s">
        <v>327</v>
      </c>
      <c r="C3337" s="108">
        <v>0</v>
      </c>
      <c r="D3337" s="110"/>
      <c r="E3337" t="e">
        <f>VLOOKUP(B3337,CAC!$A$2:$B$198,2,FALSE)</f>
        <v>#N/A</v>
      </c>
    </row>
    <row r="3338" spans="1:5" x14ac:dyDescent="0.25">
      <c r="A3338" s="108">
        <v>201710</v>
      </c>
      <c r="B3338" s="109" t="s">
        <v>326</v>
      </c>
      <c r="C3338" s="108">
        <v>0</v>
      </c>
      <c r="D3338" s="110"/>
      <c r="E3338" t="e">
        <f>VLOOKUP(B3338,CAC!$A$2:$B$198,2,FALSE)</f>
        <v>#N/A</v>
      </c>
    </row>
    <row r="3339" spans="1:5" x14ac:dyDescent="0.25">
      <c r="A3339" s="108">
        <v>201710</v>
      </c>
      <c r="B3339" s="109" t="s">
        <v>231</v>
      </c>
      <c r="C3339" s="108">
        <v>0</v>
      </c>
      <c r="D3339" s="110"/>
      <c r="E3339" t="str">
        <f>VLOOKUP(B3339,CAC!$A$2:$B$198,2,FALSE)</f>
        <v>DOILG</v>
      </c>
    </row>
    <row r="3340" spans="1:5" x14ac:dyDescent="0.25">
      <c r="A3340" s="108">
        <v>201710</v>
      </c>
      <c r="B3340" s="109" t="s">
        <v>237</v>
      </c>
      <c r="C3340" s="108">
        <v>0</v>
      </c>
      <c r="D3340" s="110"/>
      <c r="E3340" t="str">
        <f>VLOOKUP(B3340,CAC!$A$2:$B$198,2,FALSE)</f>
        <v>DOILG</v>
      </c>
    </row>
    <row r="3341" spans="1:5" x14ac:dyDescent="0.25">
      <c r="A3341" s="108">
        <v>201710</v>
      </c>
      <c r="B3341" s="109" t="s">
        <v>247</v>
      </c>
      <c r="C3341" s="108">
        <v>0</v>
      </c>
      <c r="D3341" s="110"/>
      <c r="E3341" t="str">
        <f>VLOOKUP(B3341,CAC!$A$2:$B$198,2,FALSE)</f>
        <v>DOIIFP</v>
      </c>
    </row>
    <row r="3342" spans="1:5" x14ac:dyDescent="0.25">
      <c r="A3342" s="108">
        <v>201710</v>
      </c>
      <c r="B3342" s="109" t="s">
        <v>238</v>
      </c>
      <c r="C3342" s="108">
        <v>0</v>
      </c>
      <c r="D3342" s="110"/>
      <c r="E3342" t="str">
        <f>VLOOKUP(B3342,CAC!$A$2:$B$198,2,FALSE)</f>
        <v>DOILG</v>
      </c>
    </row>
    <row r="3343" spans="1:5" x14ac:dyDescent="0.25">
      <c r="A3343" s="108">
        <v>201710</v>
      </c>
      <c r="B3343" s="109" t="s">
        <v>273</v>
      </c>
      <c r="C3343" s="108">
        <v>0</v>
      </c>
      <c r="D3343" s="110"/>
      <c r="E3343" t="str">
        <f>VLOOKUP(B3343,CAC!$A$2:$B$198,2,FALSE)</f>
        <v>AGDMHC</v>
      </c>
    </row>
    <row r="3344" spans="1:5" x14ac:dyDescent="0.25">
      <c r="A3344" s="108">
        <v>201710</v>
      </c>
      <c r="B3344" s="109" t="s">
        <v>328</v>
      </c>
      <c r="C3344" s="108">
        <v>0</v>
      </c>
      <c r="D3344" s="110"/>
      <c r="E3344" t="e">
        <f>VLOOKUP(B3344,CAC!$A$2:$B$198,2,FALSE)</f>
        <v>#N/A</v>
      </c>
    </row>
    <row r="3345" spans="1:5" x14ac:dyDescent="0.25">
      <c r="A3345" s="108">
        <v>201710</v>
      </c>
      <c r="B3345" s="109" t="s">
        <v>253</v>
      </c>
      <c r="C3345" s="108">
        <v>0</v>
      </c>
      <c r="D3345" s="110"/>
      <c r="E3345" t="str">
        <f>VLOOKUP(B3345,CAC!$A$2:$B$198,2,FALSE)</f>
        <v>AGDMHC</v>
      </c>
    </row>
    <row r="3346" spans="1:5" x14ac:dyDescent="0.25">
      <c r="A3346" s="108">
        <v>201710</v>
      </c>
      <c r="B3346" s="109" t="s">
        <v>325</v>
      </c>
      <c r="C3346" s="108">
        <v>0</v>
      </c>
      <c r="D3346" s="110"/>
      <c r="E3346" t="e">
        <f>VLOOKUP(B3346,CAC!$A$2:$B$198,2,FALSE)</f>
        <v>#N/A</v>
      </c>
    </row>
    <row r="3347" spans="1:5" x14ac:dyDescent="0.25">
      <c r="A3347" s="108">
        <v>201710</v>
      </c>
      <c r="B3347" s="109" t="s">
        <v>255</v>
      </c>
      <c r="C3347" s="108">
        <v>0</v>
      </c>
      <c r="D3347" s="110"/>
      <c r="E3347" t="str">
        <f>VLOOKUP(B3347,CAC!$A$2:$B$198,2,FALSE)</f>
        <v>AGDMHC</v>
      </c>
    </row>
    <row r="3348" spans="1:5" x14ac:dyDescent="0.25">
      <c r="A3348" s="108">
        <v>201710</v>
      </c>
      <c r="B3348" s="109" t="s">
        <v>256</v>
      </c>
      <c r="C3348" s="108">
        <v>0</v>
      </c>
      <c r="D3348" s="110"/>
      <c r="E3348" t="str">
        <f>VLOOKUP(B3348,CAC!$A$2:$B$198,2,FALSE)</f>
        <v>AGDMHC</v>
      </c>
    </row>
    <row r="3349" spans="1:5" x14ac:dyDescent="0.25">
      <c r="A3349" s="108">
        <v>201710</v>
      </c>
      <c r="B3349" s="109" t="s">
        <v>257</v>
      </c>
      <c r="C3349" s="108">
        <v>0</v>
      </c>
      <c r="D3349" s="110"/>
      <c r="E3349" t="str">
        <f>VLOOKUP(B3349,CAC!$A$2:$B$198,2,FALSE)</f>
        <v>AGDMHC</v>
      </c>
    </row>
    <row r="3350" spans="1:5" x14ac:dyDescent="0.25">
      <c r="A3350" s="108">
        <v>201710</v>
      </c>
      <c r="B3350" s="109" t="s">
        <v>258</v>
      </c>
      <c r="C3350" s="108">
        <v>0</v>
      </c>
      <c r="D3350" s="110"/>
      <c r="E3350" t="str">
        <f>VLOOKUP(B3350,CAC!$A$2:$B$198,2,FALSE)</f>
        <v>AGDMHC</v>
      </c>
    </row>
    <row r="3351" spans="1:5" x14ac:dyDescent="0.25">
      <c r="A3351" s="108">
        <v>201710</v>
      </c>
      <c r="B3351" s="109" t="s">
        <v>329</v>
      </c>
      <c r="C3351" s="108">
        <v>0</v>
      </c>
      <c r="D3351" s="110"/>
      <c r="E3351" t="e">
        <f>VLOOKUP(B3351,CAC!$A$2:$B$198,2,FALSE)</f>
        <v>#N/A</v>
      </c>
    </row>
    <row r="3352" spans="1:5" x14ac:dyDescent="0.25">
      <c r="A3352" s="108">
        <v>201710</v>
      </c>
      <c r="B3352" s="109" t="s">
        <v>262</v>
      </c>
      <c r="C3352" s="108">
        <v>0</v>
      </c>
      <c r="D3352" s="110"/>
      <c r="E3352" t="str">
        <f>VLOOKUP(B3352,CAC!$A$2:$B$198,2,FALSE)</f>
        <v>AGDMHC</v>
      </c>
    </row>
    <row r="3353" spans="1:5" x14ac:dyDescent="0.25">
      <c r="A3353" s="108">
        <v>201710</v>
      </c>
      <c r="B3353" s="109" t="s">
        <v>264</v>
      </c>
      <c r="C3353" s="108">
        <v>0</v>
      </c>
      <c r="D3353" s="110"/>
      <c r="E3353" t="str">
        <f>VLOOKUP(B3353,CAC!$A$2:$B$198,2,FALSE)</f>
        <v>AGDMHC</v>
      </c>
    </row>
    <row r="3354" spans="1:5" x14ac:dyDescent="0.25">
      <c r="A3354" s="108">
        <v>201710</v>
      </c>
      <c r="B3354" s="109" t="s">
        <v>269</v>
      </c>
      <c r="C3354" s="108">
        <v>0</v>
      </c>
      <c r="D3354" s="110"/>
      <c r="E3354" t="str">
        <f>VLOOKUP(B3354,CAC!$A$2:$B$198,2,FALSE)</f>
        <v>AGDMHC</v>
      </c>
    </row>
    <row r="3355" spans="1:5" x14ac:dyDescent="0.25">
      <c r="A3355" s="108">
        <v>201710</v>
      </c>
      <c r="B3355" s="109" t="s">
        <v>319</v>
      </c>
      <c r="C3355" s="108">
        <v>0</v>
      </c>
      <c r="D3355" s="110"/>
      <c r="E3355" t="e">
        <f>VLOOKUP(B3355,CAC!$A$2:$B$198,2,FALSE)</f>
        <v>#N/A</v>
      </c>
    </row>
    <row r="3356" spans="1:5" x14ac:dyDescent="0.25">
      <c r="A3356" s="108">
        <v>201710</v>
      </c>
      <c r="B3356" s="109" t="s">
        <v>267</v>
      </c>
      <c r="C3356" s="108">
        <v>0</v>
      </c>
      <c r="D3356" s="110"/>
      <c r="E3356" t="str">
        <f>VLOOKUP(B3356,CAC!$A$2:$B$198,2,FALSE)</f>
        <v>AGDMHC</v>
      </c>
    </row>
    <row r="3357" spans="1:5" x14ac:dyDescent="0.25">
      <c r="A3357" s="108">
        <v>201710</v>
      </c>
      <c r="B3357" s="109" t="s">
        <v>52</v>
      </c>
      <c r="C3357" s="108">
        <v>16284</v>
      </c>
      <c r="D3357" s="110"/>
      <c r="E3357" t="str">
        <f>VLOOKUP(B3357,CAC!$A$2:$B$198,2,FALSE)</f>
        <v>HMOPMR</v>
      </c>
    </row>
    <row r="3358" spans="1:5" x14ac:dyDescent="0.25">
      <c r="A3358" s="108">
        <v>201710</v>
      </c>
      <c r="B3358" s="109" t="s">
        <v>53</v>
      </c>
      <c r="C3358" s="108">
        <v>4860</v>
      </c>
      <c r="D3358" s="110"/>
      <c r="E3358" t="str">
        <f>VLOOKUP(B3358,CAC!$A$2:$B$198,2,FALSE)</f>
        <v>HMOPMR</v>
      </c>
    </row>
    <row r="3359" spans="1:5" x14ac:dyDescent="0.25">
      <c r="A3359" s="108">
        <v>201710</v>
      </c>
      <c r="B3359" s="109" t="s">
        <v>54</v>
      </c>
      <c r="C3359" s="108">
        <v>5639</v>
      </c>
      <c r="D3359" s="110"/>
      <c r="E3359" t="str">
        <f>VLOOKUP(B3359,CAC!$A$2:$B$198,2,FALSE)</f>
        <v>HMOFEP</v>
      </c>
    </row>
    <row r="3360" spans="1:5" x14ac:dyDescent="0.25">
      <c r="A3360" s="108">
        <v>201710</v>
      </c>
      <c r="B3360" s="109" t="s">
        <v>279</v>
      </c>
      <c r="C3360" s="108">
        <v>0</v>
      </c>
      <c r="D3360" s="110"/>
      <c r="E3360" t="str">
        <f>VLOOKUP(B3360,CAC!$A$2:$B$198,2,FALSE)</f>
        <v>PPOFEP</v>
      </c>
    </row>
    <row r="3361" spans="1:5" x14ac:dyDescent="0.25">
      <c r="A3361" s="108">
        <v>201710</v>
      </c>
      <c r="B3361" s="109" t="s">
        <v>202</v>
      </c>
      <c r="C3361" s="108">
        <v>0</v>
      </c>
      <c r="D3361" s="110"/>
      <c r="E3361" t="str">
        <f>VLOOKUP(B3361,CAC!$A$2:$B$198,2,FALSE)</f>
        <v>PPOPMR</v>
      </c>
    </row>
    <row r="3362" spans="1:5" x14ac:dyDescent="0.25">
      <c r="A3362" s="108">
        <v>201710</v>
      </c>
      <c r="B3362" s="109" t="s">
        <v>55</v>
      </c>
      <c r="C3362" s="108">
        <v>17785</v>
      </c>
      <c r="D3362" s="110"/>
      <c r="E3362" t="str">
        <f>VLOOKUP(B3362,CAC!$A$2:$B$198,2,FALSE)</f>
        <v>HMOPMR</v>
      </c>
    </row>
    <row r="3363" spans="1:5" x14ac:dyDescent="0.25">
      <c r="A3363" s="108">
        <v>201710</v>
      </c>
      <c r="B3363" s="109" t="s">
        <v>56</v>
      </c>
      <c r="C3363" s="108">
        <v>38</v>
      </c>
      <c r="D3363" s="110"/>
      <c r="E3363" t="str">
        <f>VLOOKUP(B3363,CAC!$A$2:$B$198,2,FALSE)</f>
        <v>HMOPMR</v>
      </c>
    </row>
    <row r="3364" spans="1:5" x14ac:dyDescent="0.25">
      <c r="A3364" s="108">
        <v>201710</v>
      </c>
      <c r="B3364" s="109" t="s">
        <v>57</v>
      </c>
      <c r="C3364" s="108">
        <v>10457</v>
      </c>
      <c r="D3364" s="110"/>
      <c r="E3364" t="str">
        <f>VLOOKUP(B3364,CAC!$A$2:$B$198,2,FALSE)</f>
        <v>HMFLEX</v>
      </c>
    </row>
    <row r="3365" spans="1:5" x14ac:dyDescent="0.25">
      <c r="A3365" s="108">
        <v>201710</v>
      </c>
      <c r="B3365" s="109" t="s">
        <v>58</v>
      </c>
      <c r="C3365" s="108">
        <v>330</v>
      </c>
      <c r="D3365" s="110"/>
      <c r="E3365" t="str">
        <f>VLOOKUP(B3365,CAC!$A$2:$B$198,2,FALSE)</f>
        <v>HMFLEX</v>
      </c>
    </row>
    <row r="3366" spans="1:5" x14ac:dyDescent="0.25">
      <c r="A3366" s="108">
        <v>201710</v>
      </c>
      <c r="B3366" s="109" t="s">
        <v>306</v>
      </c>
      <c r="C3366" s="108">
        <v>0</v>
      </c>
      <c r="D3366" s="110"/>
      <c r="E3366" t="e">
        <f>VLOOKUP(B3366,CAC!$A$2:$B$198,2,FALSE)</f>
        <v>#N/A</v>
      </c>
    </row>
    <row r="3367" spans="1:5" x14ac:dyDescent="0.25">
      <c r="A3367" s="108">
        <v>201710</v>
      </c>
      <c r="B3367" s="109" t="s">
        <v>283</v>
      </c>
      <c r="C3367" s="108">
        <v>0</v>
      </c>
      <c r="D3367" s="110"/>
      <c r="E3367" t="str">
        <f>VLOOKUP(B3367,CAC!$A$2:$B$198,2,FALSE)</f>
        <v>HMFLEX</v>
      </c>
    </row>
    <row r="3368" spans="1:5" x14ac:dyDescent="0.25">
      <c r="A3368" s="108">
        <v>201710</v>
      </c>
      <c r="B3368" s="109" t="s">
        <v>205</v>
      </c>
      <c r="C3368" s="108">
        <v>0</v>
      </c>
      <c r="D3368" s="110"/>
      <c r="E3368" t="str">
        <f>VLOOKUP(B3368,CAC!$A$2:$B$198,2,FALSE)</f>
        <v>PPOPMR</v>
      </c>
    </row>
    <row r="3369" spans="1:5" x14ac:dyDescent="0.25">
      <c r="A3369" s="108">
        <v>201710</v>
      </c>
      <c r="B3369" s="109" t="s">
        <v>60</v>
      </c>
      <c r="C3369" s="108">
        <v>12463</v>
      </c>
      <c r="D3369" s="110"/>
      <c r="E3369" t="str">
        <f>VLOOKUP(B3369,CAC!$A$2:$B$198,2,FALSE)</f>
        <v>HMOLG</v>
      </c>
    </row>
    <row r="3370" spans="1:5" x14ac:dyDescent="0.25">
      <c r="A3370" s="108">
        <v>201710</v>
      </c>
      <c r="B3370" s="109" t="s">
        <v>61</v>
      </c>
      <c r="C3370" s="108">
        <v>1147</v>
      </c>
      <c r="D3370" s="110"/>
      <c r="E3370" t="str">
        <f>VLOOKUP(B3370,CAC!$A$2:$B$198,2,FALSE)</f>
        <v>HMOLG</v>
      </c>
    </row>
    <row r="3371" spans="1:5" x14ac:dyDescent="0.25">
      <c r="A3371" s="108">
        <v>201710</v>
      </c>
      <c r="B3371" s="109" t="s">
        <v>62</v>
      </c>
      <c r="C3371" s="108">
        <v>18780</v>
      </c>
      <c r="D3371" s="110"/>
      <c r="E3371" t="str">
        <f>VLOOKUP(B3371,CAC!$A$2:$B$198,2,FALSE)</f>
        <v>HMOLG</v>
      </c>
    </row>
    <row r="3372" spans="1:5" x14ac:dyDescent="0.25">
      <c r="A3372" s="108">
        <v>201710</v>
      </c>
      <c r="B3372" s="109" t="s">
        <v>86</v>
      </c>
      <c r="C3372" s="108">
        <v>884</v>
      </c>
      <c r="D3372" s="110"/>
      <c r="E3372" t="str">
        <f>VLOOKUP(B3372,CAC!$A$2:$B$198,2,FALSE)</f>
        <v>HMOLG</v>
      </c>
    </row>
    <row r="3373" spans="1:5" x14ac:dyDescent="0.25">
      <c r="A3373" s="108">
        <v>201710</v>
      </c>
      <c r="B3373" s="109" t="s">
        <v>63</v>
      </c>
      <c r="C3373" s="108">
        <v>56</v>
      </c>
      <c r="D3373" s="110"/>
      <c r="E3373" t="str">
        <f>VLOOKUP(B3373,CAC!$A$2:$B$198,2,FALSE)</f>
        <v>HMOLG</v>
      </c>
    </row>
    <row r="3374" spans="1:5" x14ac:dyDescent="0.25">
      <c r="A3374" s="108">
        <v>201710</v>
      </c>
      <c r="B3374" s="109" t="s">
        <v>64</v>
      </c>
      <c r="C3374" s="108">
        <v>0</v>
      </c>
      <c r="D3374" s="110"/>
      <c r="E3374" t="str">
        <f>VLOOKUP(B3374,CAC!$A$2:$B$198,2,FALSE)</f>
        <v>HMOLG</v>
      </c>
    </row>
    <row r="3375" spans="1:5" x14ac:dyDescent="0.25">
      <c r="A3375" s="108">
        <v>201710</v>
      </c>
      <c r="B3375" s="109" t="s">
        <v>91</v>
      </c>
      <c r="C3375" s="108">
        <v>233</v>
      </c>
      <c r="D3375" s="110"/>
      <c r="E3375" t="str">
        <f>VLOOKUP(B3375,CAC!$A$2:$B$198,2,FALSE)</f>
        <v>HMFLEX</v>
      </c>
    </row>
    <row r="3376" spans="1:5" x14ac:dyDescent="0.25">
      <c r="A3376" s="108">
        <v>201710</v>
      </c>
      <c r="B3376" s="109" t="s">
        <v>307</v>
      </c>
      <c r="C3376" s="108">
        <v>0</v>
      </c>
      <c r="D3376" s="110"/>
      <c r="E3376" t="e">
        <f>VLOOKUP(B3376,CAC!$A$2:$B$198,2,FALSE)</f>
        <v>#N/A</v>
      </c>
    </row>
    <row r="3377" spans="1:5" x14ac:dyDescent="0.25">
      <c r="A3377" s="108">
        <v>201710</v>
      </c>
      <c r="B3377" s="109" t="s">
        <v>308</v>
      </c>
      <c r="C3377" s="108">
        <v>0</v>
      </c>
      <c r="D3377" s="110"/>
      <c r="E3377" t="e">
        <f>VLOOKUP(B3377,CAC!$A$2:$B$198,2,FALSE)</f>
        <v>#N/A</v>
      </c>
    </row>
    <row r="3378" spans="1:5" x14ac:dyDescent="0.25">
      <c r="A3378" s="108">
        <v>201710</v>
      </c>
      <c r="B3378" s="109" t="s">
        <v>309</v>
      </c>
      <c r="C3378" s="108">
        <v>0</v>
      </c>
      <c r="D3378" s="110"/>
      <c r="E3378" t="e">
        <f>VLOOKUP(B3378,CAC!$A$2:$B$198,2,FALSE)</f>
        <v>#N/A</v>
      </c>
    </row>
    <row r="3379" spans="1:5" x14ac:dyDescent="0.25">
      <c r="A3379" s="108">
        <v>201710</v>
      </c>
      <c r="B3379" s="109" t="s">
        <v>99</v>
      </c>
      <c r="C3379" s="108">
        <v>0</v>
      </c>
      <c r="D3379" s="110"/>
      <c r="E3379" t="str">
        <f>VLOOKUP(B3379,CAC!$A$2:$B$198,2,FALSE)</f>
        <v>PPOLG</v>
      </c>
    </row>
    <row r="3380" spans="1:5" x14ac:dyDescent="0.25">
      <c r="A3380" s="108">
        <v>201710</v>
      </c>
      <c r="B3380" s="109" t="s">
        <v>193</v>
      </c>
      <c r="C3380" s="108">
        <v>0</v>
      </c>
      <c r="D3380" s="110"/>
      <c r="E3380" t="str">
        <f>VLOOKUP(B3380,CAC!$A$2:$B$198,2,FALSE)</f>
        <v>PPOLG</v>
      </c>
    </row>
    <row r="3381" spans="1:5" x14ac:dyDescent="0.25">
      <c r="A3381" s="108">
        <v>201710</v>
      </c>
      <c r="B3381" s="109" t="s">
        <v>196</v>
      </c>
      <c r="C3381" s="108">
        <v>0</v>
      </c>
      <c r="D3381" s="110"/>
      <c r="E3381" t="str">
        <f>VLOOKUP(B3381,CAC!$A$2:$B$198,2,FALSE)</f>
        <v>PPOLG</v>
      </c>
    </row>
    <row r="3382" spans="1:5" x14ac:dyDescent="0.25">
      <c r="A3382" s="108">
        <v>201710</v>
      </c>
      <c r="B3382" s="109" t="s">
        <v>212</v>
      </c>
      <c r="C3382" s="108">
        <v>0</v>
      </c>
      <c r="D3382" s="110"/>
      <c r="E3382" t="str">
        <f>VLOOKUP(B3382,CAC!$A$2:$B$198,2,FALSE)</f>
        <v>PPOMM</v>
      </c>
    </row>
    <row r="3383" spans="1:5" x14ac:dyDescent="0.25">
      <c r="A3383" s="108">
        <v>201710</v>
      </c>
      <c r="B3383" s="109" t="s">
        <v>213</v>
      </c>
      <c r="C3383" s="108">
        <v>0</v>
      </c>
      <c r="D3383" s="110"/>
      <c r="E3383" t="str">
        <f>VLOOKUP(B3383,CAC!$A$2:$B$198,2,FALSE)</f>
        <v>PPOMM</v>
      </c>
    </row>
    <row r="3384" spans="1:5" x14ac:dyDescent="0.25">
      <c r="A3384" s="108">
        <v>201710</v>
      </c>
      <c r="B3384" s="109" t="s">
        <v>311</v>
      </c>
      <c r="C3384" s="108">
        <v>0</v>
      </c>
      <c r="D3384" s="110"/>
      <c r="E3384" t="e">
        <f>VLOOKUP(B3384,CAC!$A$2:$B$198,2,FALSE)</f>
        <v>#N/A</v>
      </c>
    </row>
    <row r="3385" spans="1:5" x14ac:dyDescent="0.25">
      <c r="A3385" s="108">
        <v>201710</v>
      </c>
      <c r="B3385" s="109" t="s">
        <v>321</v>
      </c>
      <c r="C3385" s="108">
        <v>0</v>
      </c>
      <c r="D3385" s="110"/>
      <c r="E3385" t="e">
        <f>VLOOKUP(B3385,CAC!$A$2:$B$198,2,FALSE)</f>
        <v>#N/A</v>
      </c>
    </row>
    <row r="3386" spans="1:5" x14ac:dyDescent="0.25">
      <c r="A3386" s="108">
        <v>201710</v>
      </c>
      <c r="B3386" s="109" t="s">
        <v>312</v>
      </c>
      <c r="C3386" s="108">
        <v>0</v>
      </c>
      <c r="D3386" s="110"/>
      <c r="E3386" t="e">
        <f>VLOOKUP(B3386,CAC!$A$2:$B$198,2,FALSE)</f>
        <v>#N/A</v>
      </c>
    </row>
    <row r="3387" spans="1:5" x14ac:dyDescent="0.25">
      <c r="A3387" s="108">
        <v>201710</v>
      </c>
      <c r="B3387" s="109" t="s">
        <v>215</v>
      </c>
      <c r="C3387" s="108">
        <v>0</v>
      </c>
      <c r="D3387" s="110"/>
      <c r="E3387" t="str">
        <f>VLOOKUP(B3387,CAC!$A$2:$B$198,2,FALSE)</f>
        <v>PPOMM</v>
      </c>
    </row>
    <row r="3388" spans="1:5" x14ac:dyDescent="0.25">
      <c r="A3388" s="108">
        <v>201710</v>
      </c>
      <c r="B3388" s="109" t="s">
        <v>66</v>
      </c>
      <c r="C3388" s="108">
        <v>7062</v>
      </c>
      <c r="D3388" s="110"/>
      <c r="E3388" t="str">
        <f>VLOOKUP(B3388,CAC!$A$2:$B$198,2,FALSE)</f>
        <v>HMOLG</v>
      </c>
    </row>
    <row r="3389" spans="1:5" x14ac:dyDescent="0.25">
      <c r="A3389" s="108">
        <v>201710</v>
      </c>
      <c r="B3389" s="109" t="s">
        <v>82</v>
      </c>
      <c r="C3389" s="108">
        <v>0</v>
      </c>
      <c r="D3389" s="110"/>
      <c r="E3389" t="str">
        <f>VLOOKUP(B3389,CAC!$A$2:$B$198,2,FALSE)</f>
        <v>NATPAR</v>
      </c>
    </row>
    <row r="3390" spans="1:5" x14ac:dyDescent="0.25">
      <c r="A3390" s="108">
        <v>201710</v>
      </c>
      <c r="B3390" s="109" t="s">
        <v>67</v>
      </c>
      <c r="C3390" s="108">
        <v>107</v>
      </c>
      <c r="D3390" s="110"/>
      <c r="E3390" t="str">
        <f>VLOOKUP(B3390,CAC!$A$2:$B$198,2,FALSE)</f>
        <v>HMOLG</v>
      </c>
    </row>
    <row r="3391" spans="1:5" x14ac:dyDescent="0.25">
      <c r="A3391" s="108">
        <v>201710</v>
      </c>
      <c r="B3391" s="109" t="s">
        <v>69</v>
      </c>
      <c r="C3391" s="108">
        <v>9812</v>
      </c>
      <c r="D3391" s="110"/>
      <c r="E3391" t="str">
        <f>VLOOKUP(B3391,CAC!$A$2:$B$198,2,FALSE)</f>
        <v>HMOPMR</v>
      </c>
    </row>
    <row r="3392" spans="1:5" x14ac:dyDescent="0.25">
      <c r="A3392" s="108">
        <v>201710</v>
      </c>
      <c r="B3392" s="109" t="s">
        <v>70</v>
      </c>
      <c r="C3392" s="108">
        <v>831</v>
      </c>
      <c r="D3392" s="110"/>
      <c r="E3392" t="str">
        <f>VLOOKUP(B3392,CAC!$A$2:$B$198,2,FALSE)</f>
        <v>HMOPMR</v>
      </c>
    </row>
    <row r="3393" spans="1:5" x14ac:dyDescent="0.25">
      <c r="A3393" s="108">
        <v>201710</v>
      </c>
      <c r="B3393" s="109" t="s">
        <v>71</v>
      </c>
      <c r="C3393" s="108">
        <v>4267</v>
      </c>
      <c r="D3393" s="110"/>
      <c r="E3393" t="str">
        <f>VLOOKUP(B3393,CAC!$A$2:$B$198,2,FALSE)</f>
        <v>HMOPMR</v>
      </c>
    </row>
    <row r="3394" spans="1:5" x14ac:dyDescent="0.25">
      <c r="A3394" s="108">
        <v>201710</v>
      </c>
      <c r="B3394" s="109" t="s">
        <v>72</v>
      </c>
      <c r="C3394" s="108">
        <v>5079</v>
      </c>
      <c r="D3394" s="110"/>
      <c r="E3394" t="str">
        <f>VLOOKUP(B3394,CAC!$A$2:$B$198,2,FALSE)</f>
        <v>HMFLEX</v>
      </c>
    </row>
    <row r="3395" spans="1:5" x14ac:dyDescent="0.25">
      <c r="A3395" s="108">
        <v>201710</v>
      </c>
      <c r="B3395" s="109" t="s">
        <v>314</v>
      </c>
      <c r="C3395" s="108">
        <v>0</v>
      </c>
      <c r="D3395" s="110"/>
      <c r="E3395" t="e">
        <f>VLOOKUP(B3395,CAC!$A$2:$B$198,2,FALSE)</f>
        <v>#N/A</v>
      </c>
    </row>
    <row r="3396" spans="1:5" x14ac:dyDescent="0.25">
      <c r="A3396" s="108">
        <v>201710</v>
      </c>
      <c r="B3396" s="109" t="s">
        <v>315</v>
      </c>
      <c r="C3396" s="108">
        <v>0</v>
      </c>
      <c r="D3396" s="110"/>
      <c r="E3396" t="e">
        <f>VLOOKUP(B3396,CAC!$A$2:$B$198,2,FALSE)</f>
        <v>#N/A</v>
      </c>
    </row>
    <row r="3397" spans="1:5" x14ac:dyDescent="0.25">
      <c r="A3397" s="108">
        <v>201710</v>
      </c>
      <c r="B3397" s="109" t="s">
        <v>112</v>
      </c>
      <c r="C3397" s="108">
        <v>0</v>
      </c>
      <c r="D3397" s="110"/>
      <c r="E3397" t="e">
        <f>VLOOKUP(B3397,CAC!$A$2:$B$198,2,FALSE)</f>
        <v>#N/A</v>
      </c>
    </row>
    <row r="3398" spans="1:5" x14ac:dyDescent="0.25">
      <c r="A3398" s="108">
        <v>201710</v>
      </c>
      <c r="B3398" s="109" t="s">
        <v>316</v>
      </c>
      <c r="C3398" s="108">
        <v>0</v>
      </c>
      <c r="D3398" s="110"/>
      <c r="E3398" t="e">
        <f>VLOOKUP(B3398,CAC!$A$2:$B$198,2,FALSE)</f>
        <v>#N/A</v>
      </c>
    </row>
    <row r="3399" spans="1:5" x14ac:dyDescent="0.25">
      <c r="A3399" s="108">
        <v>201710</v>
      </c>
      <c r="B3399" s="109" t="s">
        <v>317</v>
      </c>
      <c r="C3399" s="108">
        <v>0</v>
      </c>
      <c r="D3399" s="110"/>
      <c r="E3399" t="e">
        <f>VLOOKUP(B3399,CAC!$A$2:$B$198,2,FALSE)</f>
        <v>#N/A</v>
      </c>
    </row>
    <row r="3400" spans="1:5" x14ac:dyDescent="0.25">
      <c r="A3400" s="108">
        <v>201710</v>
      </c>
      <c r="B3400" s="109" t="s">
        <v>113</v>
      </c>
      <c r="C3400" s="108">
        <v>0</v>
      </c>
      <c r="D3400" s="110"/>
      <c r="E3400" t="str">
        <f>VLOOKUP(B3400,CAC!$A$2:$B$198,2,FALSE)</f>
        <v>PPOLG</v>
      </c>
    </row>
    <row r="3401" spans="1:5" x14ac:dyDescent="0.25">
      <c r="A3401" s="108">
        <v>201710</v>
      </c>
      <c r="B3401" s="109" t="s">
        <v>208</v>
      </c>
      <c r="C3401" s="108">
        <v>0</v>
      </c>
      <c r="D3401" s="110"/>
      <c r="E3401" t="str">
        <f>VLOOKUP(B3401,CAC!$A$2:$B$198,2,FALSE)</f>
        <v>PPOPMR</v>
      </c>
    </row>
    <row r="3402" spans="1:5" x14ac:dyDescent="0.25">
      <c r="A3402" s="108">
        <v>201710</v>
      </c>
      <c r="B3402" s="109" t="s">
        <v>291</v>
      </c>
      <c r="C3402" s="108">
        <v>0</v>
      </c>
      <c r="D3402" s="110"/>
      <c r="E3402" t="str">
        <f>VLOOKUP(B3402,CAC!$A$2:$B$198,2,FALSE)</f>
        <v>HMFLEX</v>
      </c>
    </row>
    <row r="3403" spans="1:5" x14ac:dyDescent="0.25">
      <c r="A3403" s="108">
        <v>201710</v>
      </c>
      <c r="B3403" s="109" t="s">
        <v>204</v>
      </c>
      <c r="C3403" s="108">
        <v>0</v>
      </c>
      <c r="D3403" s="110"/>
      <c r="E3403" t="str">
        <f>VLOOKUP(B3403,CAC!$A$2:$B$198,2,FALSE)</f>
        <v>PPOPMR</v>
      </c>
    </row>
    <row r="3404" spans="1:5" x14ac:dyDescent="0.25">
      <c r="A3404" s="108">
        <v>201710</v>
      </c>
      <c r="B3404" s="109" t="s">
        <v>330</v>
      </c>
      <c r="C3404" s="108">
        <v>0</v>
      </c>
      <c r="D3404" s="110"/>
      <c r="E3404" t="e">
        <f>VLOOKUP(B3404,CAC!$A$2:$B$198,2,FALSE)</f>
        <v>#N/A</v>
      </c>
    </row>
    <row r="3405" spans="1:5" x14ac:dyDescent="0.25">
      <c r="A3405" s="108">
        <v>201710</v>
      </c>
      <c r="B3405" s="109" t="s">
        <v>73</v>
      </c>
      <c r="C3405" s="108">
        <v>35130</v>
      </c>
      <c r="D3405" s="108">
        <v>11870</v>
      </c>
      <c r="E3405" t="str">
        <f>VLOOKUP(B3405,CAC!$A$2:$B$198,2,FALSE)</f>
        <v>HMOPERA</v>
      </c>
    </row>
    <row r="3406" spans="1:5" x14ac:dyDescent="0.25">
      <c r="A3406" s="108">
        <v>201710</v>
      </c>
      <c r="B3406" s="109" t="s">
        <v>218</v>
      </c>
      <c r="C3406" s="108">
        <v>0</v>
      </c>
      <c r="D3406" s="110"/>
      <c r="E3406" t="str">
        <f>VLOOKUP(B3406,CAC!$A$2:$B$198,2,FALSE)</f>
        <v>HMOPERA</v>
      </c>
    </row>
    <row r="3407" spans="1:5" x14ac:dyDescent="0.25">
      <c r="A3407" s="108">
        <v>201710</v>
      </c>
      <c r="B3407" s="109" t="s">
        <v>156</v>
      </c>
      <c r="C3407" s="108">
        <v>27659</v>
      </c>
      <c r="D3407" s="110"/>
      <c r="E3407" t="str">
        <f>VLOOKUP(B3407,CAC!$A$2:$B$198,2,FALSE)</f>
        <v>HMOMM</v>
      </c>
    </row>
    <row r="3408" spans="1:5" x14ac:dyDescent="0.25">
      <c r="A3408" s="108">
        <v>201710</v>
      </c>
      <c r="B3408" s="109" t="s">
        <v>84</v>
      </c>
      <c r="C3408" s="108">
        <v>5702</v>
      </c>
      <c r="D3408" s="110"/>
      <c r="E3408" t="str">
        <f>VLOOKUP(B3408,CAC!$A$2:$B$198,2,FALSE)</f>
        <v>HMOMM</v>
      </c>
    </row>
    <row r="3409" spans="1:5" x14ac:dyDescent="0.25">
      <c r="A3409" s="108">
        <v>201710</v>
      </c>
      <c r="B3409" s="109" t="s">
        <v>162</v>
      </c>
      <c r="C3409" s="108">
        <v>422</v>
      </c>
      <c r="D3409" s="110"/>
      <c r="E3409" t="str">
        <f>VLOOKUP(B3409,CAC!$A$2:$B$198,2,FALSE)</f>
        <v>HMOMG</v>
      </c>
    </row>
    <row r="3410" spans="1:5" x14ac:dyDescent="0.25">
      <c r="A3410" s="108">
        <v>201710</v>
      </c>
      <c r="B3410" s="109" t="s">
        <v>163</v>
      </c>
      <c r="C3410" s="108">
        <v>69</v>
      </c>
      <c r="D3410" s="110"/>
      <c r="E3410" t="str">
        <f>VLOOKUP(B3410,CAC!$A$2:$B$198,2,FALSE)</f>
        <v>HMOMG</v>
      </c>
    </row>
    <row r="3411" spans="1:5" x14ac:dyDescent="0.25">
      <c r="A3411" s="108">
        <v>201710</v>
      </c>
      <c r="B3411" s="109" t="s">
        <v>164</v>
      </c>
      <c r="C3411" s="108">
        <v>0</v>
      </c>
      <c r="D3411" s="110"/>
      <c r="E3411" t="str">
        <f>VLOOKUP(B3411,CAC!$A$2:$B$198,2,FALSE)</f>
        <v>HMOMG</v>
      </c>
    </row>
    <row r="3412" spans="1:5" x14ac:dyDescent="0.25">
      <c r="A3412" s="108">
        <v>201710</v>
      </c>
      <c r="B3412" s="109" t="s">
        <v>85</v>
      </c>
      <c r="C3412" s="108">
        <v>680</v>
      </c>
      <c r="D3412" s="110"/>
      <c r="E3412" t="str">
        <f>VLOOKUP(B3412,CAC!$A$2:$B$198,2,FALSE)</f>
        <v>HMOMG</v>
      </c>
    </row>
    <row r="3413" spans="1:5" x14ac:dyDescent="0.25">
      <c r="A3413" s="108">
        <v>201710</v>
      </c>
      <c r="B3413" s="109" t="s">
        <v>77</v>
      </c>
      <c r="C3413" s="108">
        <v>26980</v>
      </c>
      <c r="D3413" s="110"/>
      <c r="E3413" t="str">
        <f>VLOOKUP(B3413,CAC!$A$2:$B$198,2,FALSE)</f>
        <v>HMOSG</v>
      </c>
    </row>
    <row r="3414" spans="1:5" x14ac:dyDescent="0.25">
      <c r="A3414" s="108">
        <v>201710</v>
      </c>
      <c r="B3414" s="109" t="s">
        <v>78</v>
      </c>
      <c r="C3414" s="108">
        <v>406</v>
      </c>
      <c r="D3414" s="110"/>
      <c r="E3414" t="str">
        <f>VLOOKUP(B3414,CAC!$A$2:$B$198,2,FALSE)</f>
        <v>HMOSG</v>
      </c>
    </row>
    <row r="3415" spans="1:5" x14ac:dyDescent="0.25">
      <c r="A3415" s="108">
        <v>201710</v>
      </c>
      <c r="B3415" s="109" t="s">
        <v>79</v>
      </c>
      <c r="C3415" s="108">
        <v>181</v>
      </c>
      <c r="D3415" s="110"/>
      <c r="E3415" t="str">
        <f>VLOOKUP(B3415,CAC!$A$2:$B$198,2,FALSE)</f>
        <v>HMOSG</v>
      </c>
    </row>
    <row r="3416" spans="1:5" x14ac:dyDescent="0.25">
      <c r="A3416" s="108">
        <v>201710</v>
      </c>
      <c r="B3416" s="109" t="s">
        <v>222</v>
      </c>
      <c r="C3416" s="108">
        <v>0</v>
      </c>
      <c r="D3416" s="110"/>
      <c r="E3416" t="str">
        <f>VLOOKUP(B3416,CAC!$A$2:$B$198,2,FALSE)</f>
        <v>PPOSG</v>
      </c>
    </row>
    <row r="3417" spans="1:5" x14ac:dyDescent="0.25">
      <c r="A3417" s="108">
        <v>201710</v>
      </c>
      <c r="B3417" s="109" t="s">
        <v>225</v>
      </c>
      <c r="C3417" s="108">
        <v>0</v>
      </c>
      <c r="D3417" s="110"/>
      <c r="E3417" t="str">
        <f>VLOOKUP(B3417,CAC!$A$2:$B$198,2,FALSE)</f>
        <v>PPOSG</v>
      </c>
    </row>
    <row r="3418" spans="1:5" x14ac:dyDescent="0.25">
      <c r="A3418" s="108">
        <v>201710</v>
      </c>
      <c r="B3418" s="109" t="s">
        <v>226</v>
      </c>
      <c r="C3418" s="108">
        <v>0</v>
      </c>
      <c r="D3418" s="110"/>
      <c r="E3418" t="str">
        <f>VLOOKUP(B3418,CAC!$A$2:$B$198,2,FALSE)</f>
        <v>PPOSG</v>
      </c>
    </row>
    <row r="3419" spans="1:5" x14ac:dyDescent="0.25">
      <c r="A3419" s="108">
        <v>201710</v>
      </c>
      <c r="B3419" s="109" t="s">
        <v>89</v>
      </c>
      <c r="C3419" s="108">
        <v>1470</v>
      </c>
      <c r="D3419" s="110"/>
      <c r="E3419" t="str">
        <f>VLOOKUP(B3419,CAC!$A$2:$B$198,2,FALSE)</f>
        <v>HMOIFP</v>
      </c>
    </row>
    <row r="3420" spans="1:5" x14ac:dyDescent="0.25">
      <c r="A3420" s="108">
        <v>201710</v>
      </c>
      <c r="B3420" s="109" t="s">
        <v>90</v>
      </c>
      <c r="C3420" s="108">
        <v>833</v>
      </c>
      <c r="D3420" s="110"/>
      <c r="E3420" t="str">
        <f>VLOOKUP(B3420,CAC!$A$2:$B$198,2,FALSE)</f>
        <v>HMOIFP</v>
      </c>
    </row>
    <row r="3421" spans="1:5" x14ac:dyDescent="0.25">
      <c r="A3421" s="108">
        <v>201710</v>
      </c>
      <c r="B3421" s="109" t="s">
        <v>186</v>
      </c>
      <c r="C3421" s="108">
        <v>0</v>
      </c>
      <c r="D3421" s="110"/>
      <c r="E3421" t="str">
        <f>VLOOKUP(B3421,CAC!$A$2:$B$198,2,FALSE)</f>
        <v>PPOIFP</v>
      </c>
    </row>
    <row r="3422" spans="1:5" x14ac:dyDescent="0.25">
      <c r="A3422" s="108">
        <v>201710</v>
      </c>
      <c r="B3422" s="109" t="s">
        <v>188</v>
      </c>
      <c r="C3422" s="108">
        <v>0</v>
      </c>
      <c r="D3422" s="110"/>
      <c r="E3422" t="str">
        <f>VLOOKUP(B3422,CAC!$A$2:$B$198,2,FALSE)</f>
        <v>PPOIFP</v>
      </c>
    </row>
    <row r="3423" spans="1:5" x14ac:dyDescent="0.25">
      <c r="A3423" s="108">
        <v>201710</v>
      </c>
      <c r="B3423" s="109" t="s">
        <v>189</v>
      </c>
      <c r="C3423" s="108">
        <v>0</v>
      </c>
      <c r="D3423" s="110"/>
      <c r="E3423" t="str">
        <f>VLOOKUP(B3423,CAC!$A$2:$B$198,2,FALSE)</f>
        <v>PPOIFP</v>
      </c>
    </row>
    <row r="3424" spans="1:5" x14ac:dyDescent="0.25">
      <c r="A3424" s="108">
        <v>201710</v>
      </c>
      <c r="B3424" s="109" t="s">
        <v>331</v>
      </c>
      <c r="C3424" s="108">
        <v>0</v>
      </c>
      <c r="D3424" s="110"/>
      <c r="E3424" t="e">
        <f>VLOOKUP(B3424,CAC!$A$2:$B$198,2,FALSE)</f>
        <v>#N/A</v>
      </c>
    </row>
    <row r="3425" spans="1:5" x14ac:dyDescent="0.25">
      <c r="A3425" s="108">
        <v>201710</v>
      </c>
      <c r="B3425" s="109" t="s">
        <v>216</v>
      </c>
      <c r="C3425" s="108">
        <v>0</v>
      </c>
      <c r="D3425" s="110"/>
      <c r="E3425" t="str">
        <f>VLOOKUP(B3425,CAC!$A$2:$B$198,2,FALSE)</f>
        <v>PPOMM</v>
      </c>
    </row>
    <row r="3426" spans="1:5" x14ac:dyDescent="0.25">
      <c r="A3426" s="108">
        <v>201710</v>
      </c>
      <c r="B3426" s="109" t="s">
        <v>301</v>
      </c>
      <c r="C3426" s="108">
        <v>0</v>
      </c>
      <c r="D3426" s="110"/>
      <c r="E3426" t="str">
        <f>VLOOKUP(B3426,CAC!$A$2:$B$198,2,FALSE)</f>
        <v>XXX</v>
      </c>
    </row>
    <row r="3427" spans="1:5" x14ac:dyDescent="0.25">
      <c r="A3427" s="108">
        <v>201711</v>
      </c>
      <c r="B3427" s="109" t="s">
        <v>51</v>
      </c>
      <c r="C3427" s="108">
        <v>30</v>
      </c>
      <c r="D3427" s="110"/>
      <c r="E3427" t="str">
        <f>VLOOKUP(B3427,CAC!$A$2:$B$198,2,FALSE)</f>
        <v>XXX</v>
      </c>
    </row>
    <row r="3428" spans="1:5" x14ac:dyDescent="0.25">
      <c r="A3428" s="108">
        <v>201711</v>
      </c>
      <c r="B3428" s="109" t="s">
        <v>303</v>
      </c>
      <c r="C3428" s="108">
        <v>0</v>
      </c>
      <c r="D3428" s="110"/>
      <c r="E3428" t="e">
        <f>VLOOKUP(B3428,CAC!$A$2:$B$198,2,FALSE)</f>
        <v>#N/A</v>
      </c>
    </row>
    <row r="3429" spans="1:5" x14ac:dyDescent="0.25">
      <c r="A3429" s="108">
        <v>201711</v>
      </c>
      <c r="B3429" s="109" t="s">
        <v>304</v>
      </c>
      <c r="C3429" s="108">
        <v>0</v>
      </c>
      <c r="D3429" s="110"/>
      <c r="E3429" t="e">
        <f>VLOOKUP(B3429,CAC!$A$2:$B$198,2,FALSE)</f>
        <v>#N/A</v>
      </c>
    </row>
    <row r="3430" spans="1:5" x14ac:dyDescent="0.25">
      <c r="A3430" s="108">
        <v>201711</v>
      </c>
      <c r="B3430" s="109" t="s">
        <v>323</v>
      </c>
      <c r="C3430" s="108">
        <v>0</v>
      </c>
      <c r="D3430" s="110"/>
      <c r="E3430" t="e">
        <f>VLOOKUP(B3430,CAC!$A$2:$B$198,2,FALSE)</f>
        <v>#N/A</v>
      </c>
    </row>
    <row r="3431" spans="1:5" x14ac:dyDescent="0.25">
      <c r="A3431" s="108">
        <v>201711</v>
      </c>
      <c r="B3431" s="109" t="s">
        <v>305</v>
      </c>
      <c r="C3431" s="108">
        <v>0</v>
      </c>
      <c r="D3431" s="110"/>
      <c r="E3431" t="e">
        <f>VLOOKUP(B3431,CAC!$A$2:$B$198,2,FALSE)</f>
        <v>#N/A</v>
      </c>
    </row>
    <row r="3432" spans="1:5" x14ac:dyDescent="0.25">
      <c r="A3432" s="108">
        <v>201711</v>
      </c>
      <c r="B3432" s="109" t="s">
        <v>327</v>
      </c>
      <c r="C3432" s="108">
        <v>0</v>
      </c>
      <c r="D3432" s="110"/>
      <c r="E3432" t="e">
        <f>VLOOKUP(B3432,CAC!$A$2:$B$198,2,FALSE)</f>
        <v>#N/A</v>
      </c>
    </row>
    <row r="3433" spans="1:5" x14ac:dyDescent="0.25">
      <c r="A3433" s="108">
        <v>201711</v>
      </c>
      <c r="B3433" s="109" t="s">
        <v>326</v>
      </c>
      <c r="C3433" s="108">
        <v>0</v>
      </c>
      <c r="D3433" s="110"/>
      <c r="E3433" t="e">
        <f>VLOOKUP(B3433,CAC!$A$2:$B$198,2,FALSE)</f>
        <v>#N/A</v>
      </c>
    </row>
    <row r="3434" spans="1:5" x14ac:dyDescent="0.25">
      <c r="A3434" s="108">
        <v>201711</v>
      </c>
      <c r="B3434" s="109" t="s">
        <v>231</v>
      </c>
      <c r="C3434" s="108">
        <v>0</v>
      </c>
      <c r="D3434" s="110"/>
      <c r="E3434" t="str">
        <f>VLOOKUP(B3434,CAC!$A$2:$B$198,2,FALSE)</f>
        <v>DOILG</v>
      </c>
    </row>
    <row r="3435" spans="1:5" x14ac:dyDescent="0.25">
      <c r="A3435" s="108">
        <v>201711</v>
      </c>
      <c r="B3435" s="109" t="s">
        <v>237</v>
      </c>
      <c r="C3435" s="108">
        <v>0</v>
      </c>
      <c r="D3435" s="110"/>
      <c r="E3435" t="str">
        <f>VLOOKUP(B3435,CAC!$A$2:$B$198,2,FALSE)</f>
        <v>DOILG</v>
      </c>
    </row>
    <row r="3436" spans="1:5" x14ac:dyDescent="0.25">
      <c r="A3436" s="108">
        <v>201711</v>
      </c>
      <c r="B3436" s="109" t="s">
        <v>247</v>
      </c>
      <c r="C3436" s="108">
        <v>0</v>
      </c>
      <c r="D3436" s="110"/>
      <c r="E3436" t="str">
        <f>VLOOKUP(B3436,CAC!$A$2:$B$198,2,FALSE)</f>
        <v>DOIIFP</v>
      </c>
    </row>
    <row r="3437" spans="1:5" x14ac:dyDescent="0.25">
      <c r="A3437" s="108">
        <v>201711</v>
      </c>
      <c r="B3437" s="109" t="s">
        <v>238</v>
      </c>
      <c r="C3437" s="108">
        <v>0</v>
      </c>
      <c r="D3437" s="110"/>
      <c r="E3437" t="str">
        <f>VLOOKUP(B3437,CAC!$A$2:$B$198,2,FALSE)</f>
        <v>DOILG</v>
      </c>
    </row>
    <row r="3438" spans="1:5" x14ac:dyDescent="0.25">
      <c r="A3438" s="108">
        <v>201711</v>
      </c>
      <c r="B3438" s="109" t="s">
        <v>273</v>
      </c>
      <c r="C3438" s="108">
        <v>0</v>
      </c>
      <c r="D3438" s="110"/>
      <c r="E3438" t="str">
        <f>VLOOKUP(B3438,CAC!$A$2:$B$198,2,FALSE)</f>
        <v>AGDMHC</v>
      </c>
    </row>
    <row r="3439" spans="1:5" x14ac:dyDescent="0.25">
      <c r="A3439" s="108">
        <v>201711</v>
      </c>
      <c r="B3439" s="109" t="s">
        <v>328</v>
      </c>
      <c r="C3439" s="108">
        <v>0</v>
      </c>
      <c r="D3439" s="110"/>
      <c r="E3439" t="e">
        <f>VLOOKUP(B3439,CAC!$A$2:$B$198,2,FALSE)</f>
        <v>#N/A</v>
      </c>
    </row>
    <row r="3440" spans="1:5" x14ac:dyDescent="0.25">
      <c r="A3440" s="108">
        <v>201711</v>
      </c>
      <c r="B3440" s="109" t="s">
        <v>253</v>
      </c>
      <c r="C3440" s="108">
        <v>0</v>
      </c>
      <c r="D3440" s="110"/>
      <c r="E3440" t="str">
        <f>VLOOKUP(B3440,CAC!$A$2:$B$198,2,FALSE)</f>
        <v>AGDMHC</v>
      </c>
    </row>
    <row r="3441" spans="1:5" x14ac:dyDescent="0.25">
      <c r="A3441" s="108">
        <v>201711</v>
      </c>
      <c r="B3441" s="109" t="s">
        <v>325</v>
      </c>
      <c r="C3441" s="108">
        <v>0</v>
      </c>
      <c r="D3441" s="110"/>
      <c r="E3441" t="e">
        <f>VLOOKUP(B3441,CAC!$A$2:$B$198,2,FALSE)</f>
        <v>#N/A</v>
      </c>
    </row>
    <row r="3442" spans="1:5" x14ac:dyDescent="0.25">
      <c r="A3442" s="108">
        <v>201711</v>
      </c>
      <c r="B3442" s="109" t="s">
        <v>255</v>
      </c>
      <c r="C3442" s="108">
        <v>0</v>
      </c>
      <c r="D3442" s="110"/>
      <c r="E3442" t="str">
        <f>VLOOKUP(B3442,CAC!$A$2:$B$198,2,FALSE)</f>
        <v>AGDMHC</v>
      </c>
    </row>
    <row r="3443" spans="1:5" x14ac:dyDescent="0.25">
      <c r="A3443" s="108">
        <v>201711</v>
      </c>
      <c r="B3443" s="109" t="s">
        <v>256</v>
      </c>
      <c r="C3443" s="108">
        <v>0</v>
      </c>
      <c r="D3443" s="110"/>
      <c r="E3443" t="str">
        <f>VLOOKUP(B3443,CAC!$A$2:$B$198,2,FALSE)</f>
        <v>AGDMHC</v>
      </c>
    </row>
    <row r="3444" spans="1:5" x14ac:dyDescent="0.25">
      <c r="A3444" s="108">
        <v>201711</v>
      </c>
      <c r="B3444" s="109" t="s">
        <v>257</v>
      </c>
      <c r="C3444" s="108">
        <v>0</v>
      </c>
      <c r="D3444" s="110"/>
      <c r="E3444" t="str">
        <f>VLOOKUP(B3444,CAC!$A$2:$B$198,2,FALSE)</f>
        <v>AGDMHC</v>
      </c>
    </row>
    <row r="3445" spans="1:5" x14ac:dyDescent="0.25">
      <c r="A3445" s="108">
        <v>201711</v>
      </c>
      <c r="B3445" s="109" t="s">
        <v>258</v>
      </c>
      <c r="C3445" s="108">
        <v>0</v>
      </c>
      <c r="D3445" s="110"/>
      <c r="E3445" t="str">
        <f>VLOOKUP(B3445,CAC!$A$2:$B$198,2,FALSE)</f>
        <v>AGDMHC</v>
      </c>
    </row>
    <row r="3446" spans="1:5" x14ac:dyDescent="0.25">
      <c r="A3446" s="108">
        <v>201711</v>
      </c>
      <c r="B3446" s="109" t="s">
        <v>329</v>
      </c>
      <c r="C3446" s="108">
        <v>0</v>
      </c>
      <c r="D3446" s="110"/>
      <c r="E3446" t="e">
        <f>VLOOKUP(B3446,CAC!$A$2:$B$198,2,FALSE)</f>
        <v>#N/A</v>
      </c>
    </row>
    <row r="3447" spans="1:5" x14ac:dyDescent="0.25">
      <c r="A3447" s="108">
        <v>201711</v>
      </c>
      <c r="B3447" s="109" t="s">
        <v>262</v>
      </c>
      <c r="C3447" s="108">
        <v>0</v>
      </c>
      <c r="D3447" s="110"/>
      <c r="E3447" t="str">
        <f>VLOOKUP(B3447,CAC!$A$2:$B$198,2,FALSE)</f>
        <v>AGDMHC</v>
      </c>
    </row>
    <row r="3448" spans="1:5" x14ac:dyDescent="0.25">
      <c r="A3448" s="108">
        <v>201711</v>
      </c>
      <c r="B3448" s="109" t="s">
        <v>264</v>
      </c>
      <c r="C3448" s="108">
        <v>0</v>
      </c>
      <c r="D3448" s="110"/>
      <c r="E3448" t="str">
        <f>VLOOKUP(B3448,CAC!$A$2:$B$198,2,FALSE)</f>
        <v>AGDMHC</v>
      </c>
    </row>
    <row r="3449" spans="1:5" x14ac:dyDescent="0.25">
      <c r="A3449" s="108">
        <v>201711</v>
      </c>
      <c r="B3449" s="109" t="s">
        <v>269</v>
      </c>
      <c r="C3449" s="108">
        <v>0</v>
      </c>
      <c r="D3449" s="110"/>
      <c r="E3449" t="str">
        <f>VLOOKUP(B3449,CAC!$A$2:$B$198,2,FALSE)</f>
        <v>AGDMHC</v>
      </c>
    </row>
    <row r="3450" spans="1:5" x14ac:dyDescent="0.25">
      <c r="A3450" s="108">
        <v>201711</v>
      </c>
      <c r="B3450" s="109" t="s">
        <v>319</v>
      </c>
      <c r="C3450" s="108">
        <v>0</v>
      </c>
      <c r="D3450" s="110"/>
      <c r="E3450" t="e">
        <f>VLOOKUP(B3450,CAC!$A$2:$B$198,2,FALSE)</f>
        <v>#N/A</v>
      </c>
    </row>
    <row r="3451" spans="1:5" x14ac:dyDescent="0.25">
      <c r="A3451" s="108">
        <v>201711</v>
      </c>
      <c r="B3451" s="109" t="s">
        <v>52</v>
      </c>
      <c r="C3451" s="108">
        <v>16268</v>
      </c>
      <c r="D3451" s="110"/>
      <c r="E3451" t="str">
        <f>VLOOKUP(B3451,CAC!$A$2:$B$198,2,FALSE)</f>
        <v>HMOPMR</v>
      </c>
    </row>
    <row r="3452" spans="1:5" x14ac:dyDescent="0.25">
      <c r="A3452" s="108">
        <v>201711</v>
      </c>
      <c r="B3452" s="109" t="s">
        <v>53</v>
      </c>
      <c r="C3452" s="108">
        <v>4873</v>
      </c>
      <c r="D3452" s="110"/>
      <c r="E3452" t="str">
        <f>VLOOKUP(B3452,CAC!$A$2:$B$198,2,FALSE)</f>
        <v>HMOPMR</v>
      </c>
    </row>
    <row r="3453" spans="1:5" x14ac:dyDescent="0.25">
      <c r="A3453" s="108">
        <v>201711</v>
      </c>
      <c r="B3453" s="109" t="s">
        <v>54</v>
      </c>
      <c r="C3453" s="108">
        <v>5619</v>
      </c>
      <c r="D3453" s="110"/>
      <c r="E3453" t="str">
        <f>VLOOKUP(B3453,CAC!$A$2:$B$198,2,FALSE)</f>
        <v>HMOFEP</v>
      </c>
    </row>
    <row r="3454" spans="1:5" x14ac:dyDescent="0.25">
      <c r="A3454" s="108">
        <v>201711</v>
      </c>
      <c r="B3454" s="109" t="s">
        <v>279</v>
      </c>
      <c r="C3454" s="108">
        <v>0</v>
      </c>
      <c r="D3454" s="110"/>
      <c r="E3454" t="str">
        <f>VLOOKUP(B3454,CAC!$A$2:$B$198,2,FALSE)</f>
        <v>PPOFEP</v>
      </c>
    </row>
    <row r="3455" spans="1:5" x14ac:dyDescent="0.25">
      <c r="A3455" s="108">
        <v>201711</v>
      </c>
      <c r="B3455" s="109" t="s">
        <v>202</v>
      </c>
      <c r="C3455" s="108">
        <v>0</v>
      </c>
      <c r="D3455" s="110"/>
      <c r="E3455" t="str">
        <f>VLOOKUP(B3455,CAC!$A$2:$B$198,2,FALSE)</f>
        <v>PPOPMR</v>
      </c>
    </row>
    <row r="3456" spans="1:5" x14ac:dyDescent="0.25">
      <c r="A3456" s="108">
        <v>201711</v>
      </c>
      <c r="B3456" s="109" t="s">
        <v>55</v>
      </c>
      <c r="C3456" s="108">
        <v>17830</v>
      </c>
      <c r="D3456" s="110"/>
      <c r="E3456" t="str">
        <f>VLOOKUP(B3456,CAC!$A$2:$B$198,2,FALSE)</f>
        <v>HMOPMR</v>
      </c>
    </row>
    <row r="3457" spans="1:5" x14ac:dyDescent="0.25">
      <c r="A3457" s="108">
        <v>201711</v>
      </c>
      <c r="B3457" s="109" t="s">
        <v>56</v>
      </c>
      <c r="C3457" s="108">
        <v>37</v>
      </c>
      <c r="D3457" s="110"/>
      <c r="E3457" t="str">
        <f>VLOOKUP(B3457,CAC!$A$2:$B$198,2,FALSE)</f>
        <v>HMOPMR</v>
      </c>
    </row>
    <row r="3458" spans="1:5" x14ac:dyDescent="0.25">
      <c r="A3458" s="108">
        <v>201711</v>
      </c>
      <c r="B3458" s="109" t="s">
        <v>57</v>
      </c>
      <c r="C3458" s="108">
        <v>10498</v>
      </c>
      <c r="D3458" s="110"/>
      <c r="E3458" t="str">
        <f>VLOOKUP(B3458,CAC!$A$2:$B$198,2,FALSE)</f>
        <v>HMFLEX</v>
      </c>
    </row>
    <row r="3459" spans="1:5" x14ac:dyDescent="0.25">
      <c r="A3459" s="108">
        <v>201711</v>
      </c>
      <c r="B3459" s="109" t="s">
        <v>58</v>
      </c>
      <c r="C3459" s="108">
        <v>344</v>
      </c>
      <c r="D3459" s="110"/>
      <c r="E3459" t="str">
        <f>VLOOKUP(B3459,CAC!$A$2:$B$198,2,FALSE)</f>
        <v>HMFLEX</v>
      </c>
    </row>
    <row r="3460" spans="1:5" x14ac:dyDescent="0.25">
      <c r="A3460" s="108">
        <v>201711</v>
      </c>
      <c r="B3460" s="109" t="s">
        <v>306</v>
      </c>
      <c r="C3460" s="108">
        <v>0</v>
      </c>
      <c r="D3460" s="110"/>
      <c r="E3460" t="e">
        <f>VLOOKUP(B3460,CAC!$A$2:$B$198,2,FALSE)</f>
        <v>#N/A</v>
      </c>
    </row>
    <row r="3461" spans="1:5" x14ac:dyDescent="0.25">
      <c r="A3461" s="108">
        <v>201711</v>
      </c>
      <c r="B3461" s="109" t="s">
        <v>283</v>
      </c>
      <c r="C3461" s="108">
        <v>0</v>
      </c>
      <c r="D3461" s="110"/>
      <c r="E3461" t="str">
        <f>VLOOKUP(B3461,CAC!$A$2:$B$198,2,FALSE)</f>
        <v>HMFLEX</v>
      </c>
    </row>
    <row r="3462" spans="1:5" x14ac:dyDescent="0.25">
      <c r="A3462" s="108">
        <v>201711</v>
      </c>
      <c r="B3462" s="109" t="s">
        <v>205</v>
      </c>
      <c r="C3462" s="108">
        <v>0</v>
      </c>
      <c r="D3462" s="110"/>
      <c r="E3462" t="str">
        <f>VLOOKUP(B3462,CAC!$A$2:$B$198,2,FALSE)</f>
        <v>PPOPMR</v>
      </c>
    </row>
    <row r="3463" spans="1:5" x14ac:dyDescent="0.25">
      <c r="A3463" s="108">
        <v>201711</v>
      </c>
      <c r="B3463" s="109" t="s">
        <v>60</v>
      </c>
      <c r="C3463" s="108">
        <v>13801</v>
      </c>
      <c r="D3463" s="110"/>
      <c r="E3463" t="str">
        <f>VLOOKUP(B3463,CAC!$A$2:$B$198,2,FALSE)</f>
        <v>HMOLG</v>
      </c>
    </row>
    <row r="3464" spans="1:5" x14ac:dyDescent="0.25">
      <c r="A3464" s="108">
        <v>201711</v>
      </c>
      <c r="B3464" s="109" t="s">
        <v>61</v>
      </c>
      <c r="C3464" s="108">
        <v>1142</v>
      </c>
      <c r="D3464" s="110"/>
      <c r="E3464" t="str">
        <f>VLOOKUP(B3464,CAC!$A$2:$B$198,2,FALSE)</f>
        <v>HMOLG</v>
      </c>
    </row>
    <row r="3465" spans="1:5" x14ac:dyDescent="0.25">
      <c r="A3465" s="108">
        <v>201711</v>
      </c>
      <c r="B3465" s="109" t="s">
        <v>62</v>
      </c>
      <c r="C3465" s="108">
        <v>19519</v>
      </c>
      <c r="D3465" s="110"/>
      <c r="E3465" t="str">
        <f>VLOOKUP(B3465,CAC!$A$2:$B$198,2,FALSE)</f>
        <v>HMOLG</v>
      </c>
    </row>
    <row r="3466" spans="1:5" x14ac:dyDescent="0.25">
      <c r="A3466" s="108">
        <v>201711</v>
      </c>
      <c r="B3466" s="109" t="s">
        <v>86</v>
      </c>
      <c r="C3466" s="108">
        <v>18</v>
      </c>
      <c r="D3466" s="110"/>
      <c r="E3466" t="str">
        <f>VLOOKUP(B3466,CAC!$A$2:$B$198,2,FALSE)</f>
        <v>HMOLG</v>
      </c>
    </row>
    <row r="3467" spans="1:5" x14ac:dyDescent="0.25">
      <c r="A3467" s="108">
        <v>201711</v>
      </c>
      <c r="B3467" s="109" t="s">
        <v>63</v>
      </c>
      <c r="C3467" s="108">
        <v>57</v>
      </c>
      <c r="D3467" s="110"/>
      <c r="E3467" t="str">
        <f>VLOOKUP(B3467,CAC!$A$2:$B$198,2,FALSE)</f>
        <v>HMOLG</v>
      </c>
    </row>
    <row r="3468" spans="1:5" x14ac:dyDescent="0.25">
      <c r="A3468" s="108">
        <v>201711</v>
      </c>
      <c r="B3468" s="109" t="s">
        <v>64</v>
      </c>
      <c r="C3468" s="108">
        <v>0</v>
      </c>
      <c r="D3468" s="110"/>
      <c r="E3468" t="str">
        <f>VLOOKUP(B3468,CAC!$A$2:$B$198,2,FALSE)</f>
        <v>HMOLG</v>
      </c>
    </row>
    <row r="3469" spans="1:5" x14ac:dyDescent="0.25">
      <c r="A3469" s="108">
        <v>201711</v>
      </c>
      <c r="B3469" s="109" t="s">
        <v>91</v>
      </c>
      <c r="C3469" s="108">
        <v>233</v>
      </c>
      <c r="D3469" s="110"/>
      <c r="E3469" t="str">
        <f>VLOOKUP(B3469,CAC!$A$2:$B$198,2,FALSE)</f>
        <v>HMFLEX</v>
      </c>
    </row>
    <row r="3470" spans="1:5" x14ac:dyDescent="0.25">
      <c r="A3470" s="108">
        <v>201711</v>
      </c>
      <c r="B3470" s="109" t="s">
        <v>307</v>
      </c>
      <c r="C3470" s="108">
        <v>0</v>
      </c>
      <c r="D3470" s="110"/>
      <c r="E3470" t="e">
        <f>VLOOKUP(B3470,CAC!$A$2:$B$198,2,FALSE)</f>
        <v>#N/A</v>
      </c>
    </row>
    <row r="3471" spans="1:5" x14ac:dyDescent="0.25">
      <c r="A3471" s="108">
        <v>201711</v>
      </c>
      <c r="B3471" s="109" t="s">
        <v>308</v>
      </c>
      <c r="C3471" s="108">
        <v>0</v>
      </c>
      <c r="D3471" s="110"/>
      <c r="E3471" t="e">
        <f>VLOOKUP(B3471,CAC!$A$2:$B$198,2,FALSE)</f>
        <v>#N/A</v>
      </c>
    </row>
    <row r="3472" spans="1:5" x14ac:dyDescent="0.25">
      <c r="A3472" s="108">
        <v>201711</v>
      </c>
      <c r="B3472" s="109" t="s">
        <v>309</v>
      </c>
      <c r="C3472" s="108">
        <v>0</v>
      </c>
      <c r="D3472" s="110"/>
      <c r="E3472" t="e">
        <f>VLOOKUP(B3472,CAC!$A$2:$B$198,2,FALSE)</f>
        <v>#N/A</v>
      </c>
    </row>
    <row r="3473" spans="1:5" x14ac:dyDescent="0.25">
      <c r="A3473" s="108">
        <v>201711</v>
      </c>
      <c r="B3473" s="109" t="s">
        <v>99</v>
      </c>
      <c r="C3473" s="108">
        <v>0</v>
      </c>
      <c r="D3473" s="110"/>
      <c r="E3473" t="str">
        <f>VLOOKUP(B3473,CAC!$A$2:$B$198,2,FALSE)</f>
        <v>PPOLG</v>
      </c>
    </row>
    <row r="3474" spans="1:5" x14ac:dyDescent="0.25">
      <c r="A3474" s="108">
        <v>201711</v>
      </c>
      <c r="B3474" s="109" t="s">
        <v>193</v>
      </c>
      <c r="C3474" s="108">
        <v>0</v>
      </c>
      <c r="D3474" s="110"/>
      <c r="E3474" t="str">
        <f>VLOOKUP(B3474,CAC!$A$2:$B$198,2,FALSE)</f>
        <v>PPOLG</v>
      </c>
    </row>
    <row r="3475" spans="1:5" x14ac:dyDescent="0.25">
      <c r="A3475" s="108">
        <v>201711</v>
      </c>
      <c r="B3475" s="109" t="s">
        <v>196</v>
      </c>
      <c r="C3475" s="108">
        <v>0</v>
      </c>
      <c r="D3475" s="110"/>
      <c r="E3475" t="str">
        <f>VLOOKUP(B3475,CAC!$A$2:$B$198,2,FALSE)</f>
        <v>PPOLG</v>
      </c>
    </row>
    <row r="3476" spans="1:5" x14ac:dyDescent="0.25">
      <c r="A3476" s="108">
        <v>201711</v>
      </c>
      <c r="B3476" s="109" t="s">
        <v>212</v>
      </c>
      <c r="C3476" s="108">
        <v>0</v>
      </c>
      <c r="D3476" s="110"/>
      <c r="E3476" t="str">
        <f>VLOOKUP(B3476,CAC!$A$2:$B$198,2,FALSE)</f>
        <v>PPOMM</v>
      </c>
    </row>
    <row r="3477" spans="1:5" x14ac:dyDescent="0.25">
      <c r="A3477" s="108">
        <v>201711</v>
      </c>
      <c r="B3477" s="109" t="s">
        <v>213</v>
      </c>
      <c r="C3477" s="108">
        <v>0</v>
      </c>
      <c r="D3477" s="110"/>
      <c r="E3477" t="str">
        <f>VLOOKUP(B3477,CAC!$A$2:$B$198,2,FALSE)</f>
        <v>PPOMM</v>
      </c>
    </row>
    <row r="3478" spans="1:5" x14ac:dyDescent="0.25">
      <c r="A3478" s="108">
        <v>201711</v>
      </c>
      <c r="B3478" s="109" t="s">
        <v>311</v>
      </c>
      <c r="C3478" s="108">
        <v>0</v>
      </c>
      <c r="D3478" s="110"/>
      <c r="E3478" t="e">
        <f>VLOOKUP(B3478,CAC!$A$2:$B$198,2,FALSE)</f>
        <v>#N/A</v>
      </c>
    </row>
    <row r="3479" spans="1:5" x14ac:dyDescent="0.25">
      <c r="A3479" s="108">
        <v>201711</v>
      </c>
      <c r="B3479" s="109" t="s">
        <v>321</v>
      </c>
      <c r="C3479" s="108">
        <v>0</v>
      </c>
      <c r="D3479" s="110"/>
      <c r="E3479" t="e">
        <f>VLOOKUP(B3479,CAC!$A$2:$B$198,2,FALSE)</f>
        <v>#N/A</v>
      </c>
    </row>
    <row r="3480" spans="1:5" x14ac:dyDescent="0.25">
      <c r="A3480" s="108">
        <v>201711</v>
      </c>
      <c r="B3480" s="109" t="s">
        <v>312</v>
      </c>
      <c r="C3480" s="108">
        <v>0</v>
      </c>
      <c r="D3480" s="110"/>
      <c r="E3480" t="e">
        <f>VLOOKUP(B3480,CAC!$A$2:$B$198,2,FALSE)</f>
        <v>#N/A</v>
      </c>
    </row>
    <row r="3481" spans="1:5" x14ac:dyDescent="0.25">
      <c r="A3481" s="108">
        <v>201711</v>
      </c>
      <c r="B3481" s="109" t="s">
        <v>215</v>
      </c>
      <c r="C3481" s="108">
        <v>0</v>
      </c>
      <c r="D3481" s="110"/>
      <c r="E3481" t="str">
        <f>VLOOKUP(B3481,CAC!$A$2:$B$198,2,FALSE)</f>
        <v>PPOMM</v>
      </c>
    </row>
    <row r="3482" spans="1:5" x14ac:dyDescent="0.25">
      <c r="A3482" s="108">
        <v>201711</v>
      </c>
      <c r="B3482" s="109" t="s">
        <v>66</v>
      </c>
      <c r="C3482" s="108">
        <v>7068</v>
      </c>
      <c r="D3482" s="110"/>
      <c r="E3482" t="str">
        <f>VLOOKUP(B3482,CAC!$A$2:$B$198,2,FALSE)</f>
        <v>HMOLG</v>
      </c>
    </row>
    <row r="3483" spans="1:5" x14ac:dyDescent="0.25">
      <c r="A3483" s="108">
        <v>201711</v>
      </c>
      <c r="B3483" s="109" t="s">
        <v>82</v>
      </c>
      <c r="C3483" s="108">
        <v>0</v>
      </c>
      <c r="D3483" s="110"/>
      <c r="E3483" t="str">
        <f>VLOOKUP(B3483,CAC!$A$2:$B$198,2,FALSE)</f>
        <v>NATPAR</v>
      </c>
    </row>
    <row r="3484" spans="1:5" x14ac:dyDescent="0.25">
      <c r="A3484" s="108">
        <v>201711</v>
      </c>
      <c r="B3484" s="109" t="s">
        <v>67</v>
      </c>
      <c r="C3484" s="108">
        <v>106</v>
      </c>
      <c r="D3484" s="110"/>
      <c r="E3484" t="str">
        <f>VLOOKUP(B3484,CAC!$A$2:$B$198,2,FALSE)</f>
        <v>HMOLG</v>
      </c>
    </row>
    <row r="3485" spans="1:5" x14ac:dyDescent="0.25">
      <c r="A3485" s="108">
        <v>201711</v>
      </c>
      <c r="B3485" s="109" t="s">
        <v>69</v>
      </c>
      <c r="C3485" s="108">
        <v>9818</v>
      </c>
      <c r="D3485" s="110"/>
      <c r="E3485" t="str">
        <f>VLOOKUP(B3485,CAC!$A$2:$B$198,2,FALSE)</f>
        <v>HMOPMR</v>
      </c>
    </row>
    <row r="3486" spans="1:5" x14ac:dyDescent="0.25">
      <c r="A3486" s="108">
        <v>201711</v>
      </c>
      <c r="B3486" s="109" t="s">
        <v>70</v>
      </c>
      <c r="C3486" s="108">
        <v>829</v>
      </c>
      <c r="D3486" s="110"/>
      <c r="E3486" t="str">
        <f>VLOOKUP(B3486,CAC!$A$2:$B$198,2,FALSE)</f>
        <v>HMOPMR</v>
      </c>
    </row>
    <row r="3487" spans="1:5" x14ac:dyDescent="0.25">
      <c r="A3487" s="108">
        <v>201711</v>
      </c>
      <c r="B3487" s="109" t="s">
        <v>71</v>
      </c>
      <c r="C3487" s="108">
        <v>4270</v>
      </c>
      <c r="D3487" s="110"/>
      <c r="E3487" t="str">
        <f>VLOOKUP(B3487,CAC!$A$2:$B$198,2,FALSE)</f>
        <v>HMOPMR</v>
      </c>
    </row>
    <row r="3488" spans="1:5" x14ac:dyDescent="0.25">
      <c r="A3488" s="108">
        <v>201711</v>
      </c>
      <c r="B3488" s="109" t="s">
        <v>72</v>
      </c>
      <c r="C3488" s="108">
        <v>5195</v>
      </c>
      <c r="D3488" s="110"/>
      <c r="E3488" t="str">
        <f>VLOOKUP(B3488,CAC!$A$2:$B$198,2,FALSE)</f>
        <v>HMFLEX</v>
      </c>
    </row>
    <row r="3489" spans="1:5" x14ac:dyDescent="0.25">
      <c r="A3489" s="108">
        <v>201711</v>
      </c>
      <c r="B3489" s="109" t="s">
        <v>314</v>
      </c>
      <c r="C3489" s="108">
        <v>0</v>
      </c>
      <c r="D3489" s="110"/>
      <c r="E3489" t="e">
        <f>VLOOKUP(B3489,CAC!$A$2:$B$198,2,FALSE)</f>
        <v>#N/A</v>
      </c>
    </row>
    <row r="3490" spans="1:5" x14ac:dyDescent="0.25">
      <c r="A3490" s="108">
        <v>201711</v>
      </c>
      <c r="B3490" s="109" t="s">
        <v>315</v>
      </c>
      <c r="C3490" s="108">
        <v>0</v>
      </c>
      <c r="D3490" s="110"/>
      <c r="E3490" t="e">
        <f>VLOOKUP(B3490,CAC!$A$2:$B$198,2,FALSE)</f>
        <v>#N/A</v>
      </c>
    </row>
    <row r="3491" spans="1:5" x14ac:dyDescent="0.25">
      <c r="A3491" s="108">
        <v>201711</v>
      </c>
      <c r="B3491" s="109" t="s">
        <v>112</v>
      </c>
      <c r="C3491" s="108">
        <v>0</v>
      </c>
      <c r="D3491" s="110"/>
      <c r="E3491" t="e">
        <f>VLOOKUP(B3491,CAC!$A$2:$B$198,2,FALSE)</f>
        <v>#N/A</v>
      </c>
    </row>
    <row r="3492" spans="1:5" x14ac:dyDescent="0.25">
      <c r="A3492" s="108">
        <v>201711</v>
      </c>
      <c r="B3492" s="109" t="s">
        <v>316</v>
      </c>
      <c r="C3492" s="108">
        <v>0</v>
      </c>
      <c r="D3492" s="110"/>
      <c r="E3492" t="e">
        <f>VLOOKUP(B3492,CAC!$A$2:$B$198,2,FALSE)</f>
        <v>#N/A</v>
      </c>
    </row>
    <row r="3493" spans="1:5" x14ac:dyDescent="0.25">
      <c r="A3493" s="108">
        <v>201711</v>
      </c>
      <c r="B3493" s="109" t="s">
        <v>317</v>
      </c>
      <c r="C3493" s="108">
        <v>0</v>
      </c>
      <c r="D3493" s="110"/>
      <c r="E3493" t="e">
        <f>VLOOKUP(B3493,CAC!$A$2:$B$198,2,FALSE)</f>
        <v>#N/A</v>
      </c>
    </row>
    <row r="3494" spans="1:5" x14ac:dyDescent="0.25">
      <c r="A3494" s="108">
        <v>201711</v>
      </c>
      <c r="B3494" s="109" t="s">
        <v>113</v>
      </c>
      <c r="C3494" s="108">
        <v>0</v>
      </c>
      <c r="D3494" s="110"/>
      <c r="E3494" t="str">
        <f>VLOOKUP(B3494,CAC!$A$2:$B$198,2,FALSE)</f>
        <v>PPOLG</v>
      </c>
    </row>
    <row r="3495" spans="1:5" x14ac:dyDescent="0.25">
      <c r="A3495" s="108">
        <v>201711</v>
      </c>
      <c r="B3495" s="109" t="s">
        <v>208</v>
      </c>
      <c r="C3495" s="108">
        <v>0</v>
      </c>
      <c r="D3495" s="110"/>
      <c r="E3495" t="str">
        <f>VLOOKUP(B3495,CAC!$A$2:$B$198,2,FALSE)</f>
        <v>PPOPMR</v>
      </c>
    </row>
    <row r="3496" spans="1:5" x14ac:dyDescent="0.25">
      <c r="A3496" s="108">
        <v>201711</v>
      </c>
      <c r="B3496" s="109" t="s">
        <v>291</v>
      </c>
      <c r="C3496" s="108">
        <v>0</v>
      </c>
      <c r="D3496" s="110"/>
      <c r="E3496" t="str">
        <f>VLOOKUP(B3496,CAC!$A$2:$B$198,2,FALSE)</f>
        <v>HMFLEX</v>
      </c>
    </row>
    <row r="3497" spans="1:5" x14ac:dyDescent="0.25">
      <c r="A3497" s="108">
        <v>201711</v>
      </c>
      <c r="B3497" s="109" t="s">
        <v>204</v>
      </c>
      <c r="C3497" s="108">
        <v>0</v>
      </c>
      <c r="D3497" s="110"/>
      <c r="E3497" t="str">
        <f>VLOOKUP(B3497,CAC!$A$2:$B$198,2,FALSE)</f>
        <v>PPOPMR</v>
      </c>
    </row>
    <row r="3498" spans="1:5" x14ac:dyDescent="0.25">
      <c r="A3498" s="108">
        <v>201711</v>
      </c>
      <c r="B3498" s="109" t="s">
        <v>330</v>
      </c>
      <c r="C3498" s="108">
        <v>0</v>
      </c>
      <c r="D3498" s="110"/>
      <c r="E3498" t="e">
        <f>VLOOKUP(B3498,CAC!$A$2:$B$198,2,FALSE)</f>
        <v>#N/A</v>
      </c>
    </row>
    <row r="3499" spans="1:5" x14ac:dyDescent="0.25">
      <c r="A3499" s="108">
        <v>201711</v>
      </c>
      <c r="B3499" s="109" t="s">
        <v>73</v>
      </c>
      <c r="C3499" s="108">
        <v>34928</v>
      </c>
      <c r="D3499" s="108">
        <v>11754</v>
      </c>
      <c r="E3499" t="str">
        <f>VLOOKUP(B3499,CAC!$A$2:$B$198,2,FALSE)</f>
        <v>HMOPERA</v>
      </c>
    </row>
    <row r="3500" spans="1:5" x14ac:dyDescent="0.25">
      <c r="A3500" s="108">
        <v>201711</v>
      </c>
      <c r="B3500" s="109" t="s">
        <v>218</v>
      </c>
      <c r="C3500" s="108">
        <v>0</v>
      </c>
      <c r="D3500" s="110"/>
      <c r="E3500" t="str">
        <f>VLOOKUP(B3500,CAC!$A$2:$B$198,2,FALSE)</f>
        <v>HMOPERA</v>
      </c>
    </row>
    <row r="3501" spans="1:5" x14ac:dyDescent="0.25">
      <c r="A3501" s="108">
        <v>201711</v>
      </c>
      <c r="B3501" s="109" t="s">
        <v>156</v>
      </c>
      <c r="C3501" s="108">
        <v>27663</v>
      </c>
      <c r="D3501" s="110"/>
      <c r="E3501" t="str">
        <f>VLOOKUP(B3501,CAC!$A$2:$B$198,2,FALSE)</f>
        <v>HMOMM</v>
      </c>
    </row>
    <row r="3502" spans="1:5" x14ac:dyDescent="0.25">
      <c r="A3502" s="108">
        <v>201711</v>
      </c>
      <c r="B3502" s="109" t="s">
        <v>84</v>
      </c>
      <c r="C3502" s="108">
        <v>5678</v>
      </c>
      <c r="D3502" s="110"/>
      <c r="E3502" t="str">
        <f>VLOOKUP(B3502,CAC!$A$2:$B$198,2,FALSE)</f>
        <v>HMOMM</v>
      </c>
    </row>
    <row r="3503" spans="1:5" x14ac:dyDescent="0.25">
      <c r="A3503" s="108">
        <v>201711</v>
      </c>
      <c r="B3503" s="109" t="s">
        <v>162</v>
      </c>
      <c r="C3503" s="108">
        <v>421</v>
      </c>
      <c r="D3503" s="110"/>
      <c r="E3503" t="str">
        <f>VLOOKUP(B3503,CAC!$A$2:$B$198,2,FALSE)</f>
        <v>HMOMG</v>
      </c>
    </row>
    <row r="3504" spans="1:5" x14ac:dyDescent="0.25">
      <c r="A3504" s="108">
        <v>201711</v>
      </c>
      <c r="B3504" s="109" t="s">
        <v>163</v>
      </c>
      <c r="C3504" s="108">
        <v>69</v>
      </c>
      <c r="D3504" s="110"/>
      <c r="E3504" t="str">
        <f>VLOOKUP(B3504,CAC!$A$2:$B$198,2,FALSE)</f>
        <v>HMOMG</v>
      </c>
    </row>
    <row r="3505" spans="1:5" x14ac:dyDescent="0.25">
      <c r="A3505" s="108">
        <v>201711</v>
      </c>
      <c r="B3505" s="109" t="s">
        <v>164</v>
      </c>
      <c r="C3505" s="108">
        <v>0</v>
      </c>
      <c r="D3505" s="110"/>
      <c r="E3505" t="str">
        <f>VLOOKUP(B3505,CAC!$A$2:$B$198,2,FALSE)</f>
        <v>HMOMG</v>
      </c>
    </row>
    <row r="3506" spans="1:5" x14ac:dyDescent="0.25">
      <c r="A3506" s="108">
        <v>201711</v>
      </c>
      <c r="B3506" s="109" t="s">
        <v>85</v>
      </c>
      <c r="C3506" s="108">
        <v>679</v>
      </c>
      <c r="D3506" s="110"/>
      <c r="E3506" t="str">
        <f>VLOOKUP(B3506,CAC!$A$2:$B$198,2,FALSE)</f>
        <v>HMOMG</v>
      </c>
    </row>
    <row r="3507" spans="1:5" x14ac:dyDescent="0.25">
      <c r="A3507" s="108">
        <v>201711</v>
      </c>
      <c r="B3507" s="109" t="s">
        <v>77</v>
      </c>
      <c r="C3507" s="108">
        <v>27659</v>
      </c>
      <c r="D3507" s="110"/>
      <c r="E3507" t="str">
        <f>VLOOKUP(B3507,CAC!$A$2:$B$198,2,FALSE)</f>
        <v>HMOSG</v>
      </c>
    </row>
    <row r="3508" spans="1:5" x14ac:dyDescent="0.25">
      <c r="A3508" s="108">
        <v>201711</v>
      </c>
      <c r="B3508" s="109" t="s">
        <v>78</v>
      </c>
      <c r="C3508" s="108">
        <v>453</v>
      </c>
      <c r="D3508" s="110"/>
      <c r="E3508" t="str">
        <f>VLOOKUP(B3508,CAC!$A$2:$B$198,2,FALSE)</f>
        <v>HMOSG</v>
      </c>
    </row>
    <row r="3509" spans="1:5" x14ac:dyDescent="0.25">
      <c r="A3509" s="108">
        <v>201711</v>
      </c>
      <c r="B3509" s="109" t="s">
        <v>79</v>
      </c>
      <c r="C3509" s="108">
        <v>196</v>
      </c>
      <c r="D3509" s="110"/>
      <c r="E3509" t="str">
        <f>VLOOKUP(B3509,CAC!$A$2:$B$198,2,FALSE)</f>
        <v>HMOSG</v>
      </c>
    </row>
    <row r="3510" spans="1:5" x14ac:dyDescent="0.25">
      <c r="A3510" s="108">
        <v>201711</v>
      </c>
      <c r="B3510" s="109" t="s">
        <v>222</v>
      </c>
      <c r="C3510" s="108">
        <v>0</v>
      </c>
      <c r="D3510" s="110"/>
      <c r="E3510" t="str">
        <f>VLOOKUP(B3510,CAC!$A$2:$B$198,2,FALSE)</f>
        <v>PPOSG</v>
      </c>
    </row>
    <row r="3511" spans="1:5" x14ac:dyDescent="0.25">
      <c r="A3511" s="108">
        <v>201711</v>
      </c>
      <c r="B3511" s="109" t="s">
        <v>225</v>
      </c>
      <c r="C3511" s="108">
        <v>0</v>
      </c>
      <c r="D3511" s="110"/>
      <c r="E3511" t="str">
        <f>VLOOKUP(B3511,CAC!$A$2:$B$198,2,FALSE)</f>
        <v>PPOSG</v>
      </c>
    </row>
    <row r="3512" spans="1:5" x14ac:dyDescent="0.25">
      <c r="A3512" s="108">
        <v>201711</v>
      </c>
      <c r="B3512" s="109" t="s">
        <v>226</v>
      </c>
      <c r="C3512" s="108">
        <v>0</v>
      </c>
      <c r="D3512" s="110"/>
      <c r="E3512" t="str">
        <f>VLOOKUP(B3512,CAC!$A$2:$B$198,2,FALSE)</f>
        <v>PPOSG</v>
      </c>
    </row>
    <row r="3513" spans="1:5" x14ac:dyDescent="0.25">
      <c r="A3513" s="108">
        <v>201711</v>
      </c>
      <c r="B3513" s="109" t="s">
        <v>89</v>
      </c>
      <c r="C3513" s="108">
        <v>1504</v>
      </c>
      <c r="D3513" s="110"/>
      <c r="E3513" t="str">
        <f>VLOOKUP(B3513,CAC!$A$2:$B$198,2,FALSE)</f>
        <v>HMOIFP</v>
      </c>
    </row>
    <row r="3514" spans="1:5" x14ac:dyDescent="0.25">
      <c r="A3514" s="108">
        <v>201711</v>
      </c>
      <c r="B3514" s="109" t="s">
        <v>90</v>
      </c>
      <c r="C3514" s="108">
        <v>839</v>
      </c>
      <c r="D3514" s="110"/>
      <c r="E3514" t="str">
        <f>VLOOKUP(B3514,CAC!$A$2:$B$198,2,FALSE)</f>
        <v>HMOIFP</v>
      </c>
    </row>
    <row r="3515" spans="1:5" x14ac:dyDescent="0.25">
      <c r="A3515" s="108">
        <v>201711</v>
      </c>
      <c r="B3515" s="109" t="s">
        <v>186</v>
      </c>
      <c r="C3515" s="108">
        <v>0</v>
      </c>
      <c r="D3515" s="110"/>
      <c r="E3515" t="str">
        <f>VLOOKUP(B3515,CAC!$A$2:$B$198,2,FALSE)</f>
        <v>PPOIFP</v>
      </c>
    </row>
    <row r="3516" spans="1:5" x14ac:dyDescent="0.25">
      <c r="A3516" s="108">
        <v>201711</v>
      </c>
      <c r="B3516" s="109" t="s">
        <v>188</v>
      </c>
      <c r="C3516" s="108">
        <v>0</v>
      </c>
      <c r="D3516" s="110"/>
      <c r="E3516" t="str">
        <f>VLOOKUP(B3516,CAC!$A$2:$B$198,2,FALSE)</f>
        <v>PPOIFP</v>
      </c>
    </row>
    <row r="3517" spans="1:5" x14ac:dyDescent="0.25">
      <c r="A3517" s="108">
        <v>201711</v>
      </c>
      <c r="B3517" s="109" t="s">
        <v>189</v>
      </c>
      <c r="C3517" s="108">
        <v>0</v>
      </c>
      <c r="D3517" s="110"/>
      <c r="E3517" t="str">
        <f>VLOOKUP(B3517,CAC!$A$2:$B$198,2,FALSE)</f>
        <v>PPOIFP</v>
      </c>
    </row>
    <row r="3518" spans="1:5" x14ac:dyDescent="0.25">
      <c r="A3518" s="108">
        <v>201711</v>
      </c>
      <c r="B3518" s="109" t="s">
        <v>331</v>
      </c>
      <c r="C3518" s="108">
        <v>0</v>
      </c>
      <c r="D3518" s="110"/>
      <c r="E3518" t="e">
        <f>VLOOKUP(B3518,CAC!$A$2:$B$198,2,FALSE)</f>
        <v>#N/A</v>
      </c>
    </row>
    <row r="3519" spans="1:5" x14ac:dyDescent="0.25">
      <c r="A3519" s="108">
        <v>201711</v>
      </c>
      <c r="B3519" s="109" t="s">
        <v>216</v>
      </c>
      <c r="C3519" s="108">
        <v>0</v>
      </c>
      <c r="D3519" s="110"/>
      <c r="E3519" t="str">
        <f>VLOOKUP(B3519,CAC!$A$2:$B$198,2,FALSE)</f>
        <v>PPOMM</v>
      </c>
    </row>
    <row r="3520" spans="1:5" x14ac:dyDescent="0.25">
      <c r="A3520" s="108">
        <v>201711</v>
      </c>
      <c r="B3520" s="109" t="s">
        <v>301</v>
      </c>
      <c r="C3520" s="108">
        <v>0</v>
      </c>
      <c r="D3520" s="110"/>
      <c r="E3520" t="str">
        <f>VLOOKUP(B3520,CAC!$A$2:$B$198,2,FALSE)</f>
        <v>XXX</v>
      </c>
    </row>
    <row r="3521" spans="1:5" x14ac:dyDescent="0.25">
      <c r="A3521" s="108">
        <v>201712</v>
      </c>
      <c r="B3521" s="109" t="s">
        <v>51</v>
      </c>
      <c r="C3521" s="108">
        <v>32</v>
      </c>
      <c r="D3521" s="110"/>
      <c r="E3521" t="str">
        <f>VLOOKUP(B3521,CAC!$A$2:$B$198,2,FALSE)</f>
        <v>XXX</v>
      </c>
    </row>
    <row r="3522" spans="1:5" x14ac:dyDescent="0.25">
      <c r="A3522" s="108">
        <v>201712</v>
      </c>
      <c r="B3522" s="109" t="s">
        <v>303</v>
      </c>
      <c r="C3522" s="108">
        <v>0</v>
      </c>
      <c r="D3522" s="110"/>
      <c r="E3522" t="e">
        <f>VLOOKUP(B3522,CAC!$A$2:$B$198,2,FALSE)</f>
        <v>#N/A</v>
      </c>
    </row>
    <row r="3523" spans="1:5" x14ac:dyDescent="0.25">
      <c r="A3523" s="108">
        <v>201712</v>
      </c>
      <c r="B3523" s="109" t="s">
        <v>304</v>
      </c>
      <c r="C3523" s="108">
        <v>0</v>
      </c>
      <c r="D3523" s="110"/>
      <c r="E3523" t="e">
        <f>VLOOKUP(B3523,CAC!$A$2:$B$198,2,FALSE)</f>
        <v>#N/A</v>
      </c>
    </row>
    <row r="3524" spans="1:5" x14ac:dyDescent="0.25">
      <c r="A3524" s="108">
        <v>201712</v>
      </c>
      <c r="B3524" s="109" t="s">
        <v>323</v>
      </c>
      <c r="C3524" s="108">
        <v>0</v>
      </c>
      <c r="D3524" s="110"/>
      <c r="E3524" t="e">
        <f>VLOOKUP(B3524,CAC!$A$2:$B$198,2,FALSE)</f>
        <v>#N/A</v>
      </c>
    </row>
    <row r="3525" spans="1:5" x14ac:dyDescent="0.25">
      <c r="A3525" s="108">
        <v>201712</v>
      </c>
      <c r="B3525" s="109" t="s">
        <v>305</v>
      </c>
      <c r="C3525" s="108">
        <v>0</v>
      </c>
      <c r="D3525" s="110"/>
      <c r="E3525" t="e">
        <f>VLOOKUP(B3525,CAC!$A$2:$B$198,2,FALSE)</f>
        <v>#N/A</v>
      </c>
    </row>
    <row r="3526" spans="1:5" x14ac:dyDescent="0.25">
      <c r="A3526" s="108">
        <v>201712</v>
      </c>
      <c r="B3526" s="109" t="s">
        <v>327</v>
      </c>
      <c r="C3526" s="108">
        <v>0</v>
      </c>
      <c r="D3526" s="110"/>
      <c r="E3526" t="e">
        <f>VLOOKUP(B3526,CAC!$A$2:$B$198,2,FALSE)</f>
        <v>#N/A</v>
      </c>
    </row>
    <row r="3527" spans="1:5" x14ac:dyDescent="0.25">
      <c r="A3527" s="108">
        <v>201712</v>
      </c>
      <c r="B3527" s="109" t="s">
        <v>326</v>
      </c>
      <c r="C3527" s="108">
        <v>0</v>
      </c>
      <c r="D3527" s="110"/>
      <c r="E3527" t="e">
        <f>VLOOKUP(B3527,CAC!$A$2:$B$198,2,FALSE)</f>
        <v>#N/A</v>
      </c>
    </row>
    <row r="3528" spans="1:5" x14ac:dyDescent="0.25">
      <c r="A3528" s="108">
        <v>201712</v>
      </c>
      <c r="B3528" s="109" t="s">
        <v>231</v>
      </c>
      <c r="C3528" s="108">
        <v>0</v>
      </c>
      <c r="D3528" s="110"/>
      <c r="E3528" t="str">
        <f>VLOOKUP(B3528,CAC!$A$2:$B$198,2,FALSE)</f>
        <v>DOILG</v>
      </c>
    </row>
    <row r="3529" spans="1:5" x14ac:dyDescent="0.25">
      <c r="A3529" s="108">
        <v>201712</v>
      </c>
      <c r="B3529" s="109" t="s">
        <v>237</v>
      </c>
      <c r="C3529" s="108">
        <v>0</v>
      </c>
      <c r="D3529" s="110"/>
      <c r="E3529" t="str">
        <f>VLOOKUP(B3529,CAC!$A$2:$B$198,2,FALSE)</f>
        <v>DOILG</v>
      </c>
    </row>
    <row r="3530" spans="1:5" x14ac:dyDescent="0.25">
      <c r="A3530" s="108">
        <v>201712</v>
      </c>
      <c r="B3530" s="109" t="s">
        <v>247</v>
      </c>
      <c r="C3530" s="108">
        <v>0</v>
      </c>
      <c r="D3530" s="110"/>
      <c r="E3530" t="str">
        <f>VLOOKUP(B3530,CAC!$A$2:$B$198,2,FALSE)</f>
        <v>DOIIFP</v>
      </c>
    </row>
    <row r="3531" spans="1:5" x14ac:dyDescent="0.25">
      <c r="A3531" s="108">
        <v>201712</v>
      </c>
      <c r="B3531" s="109" t="s">
        <v>238</v>
      </c>
      <c r="C3531" s="108">
        <v>0</v>
      </c>
      <c r="D3531" s="110"/>
      <c r="E3531" t="str">
        <f>VLOOKUP(B3531,CAC!$A$2:$B$198,2,FALSE)</f>
        <v>DOILG</v>
      </c>
    </row>
    <row r="3532" spans="1:5" x14ac:dyDescent="0.25">
      <c r="A3532" s="108">
        <v>201712</v>
      </c>
      <c r="B3532" s="109" t="s">
        <v>273</v>
      </c>
      <c r="C3532" s="108">
        <v>0</v>
      </c>
      <c r="D3532" s="110"/>
      <c r="E3532" t="str">
        <f>VLOOKUP(B3532,CAC!$A$2:$B$198,2,FALSE)</f>
        <v>AGDMHC</v>
      </c>
    </row>
    <row r="3533" spans="1:5" x14ac:dyDescent="0.25">
      <c r="A3533" s="108">
        <v>201712</v>
      </c>
      <c r="B3533" s="109" t="s">
        <v>328</v>
      </c>
      <c r="C3533" s="108">
        <v>0</v>
      </c>
      <c r="D3533" s="110"/>
      <c r="E3533" t="e">
        <f>VLOOKUP(B3533,CAC!$A$2:$B$198,2,FALSE)</f>
        <v>#N/A</v>
      </c>
    </row>
    <row r="3534" spans="1:5" x14ac:dyDescent="0.25">
      <c r="A3534" s="108">
        <v>201712</v>
      </c>
      <c r="B3534" s="109" t="s">
        <v>253</v>
      </c>
      <c r="C3534" s="108">
        <v>0</v>
      </c>
      <c r="D3534" s="110"/>
      <c r="E3534" t="str">
        <f>VLOOKUP(B3534,CAC!$A$2:$B$198,2,FALSE)</f>
        <v>AGDMHC</v>
      </c>
    </row>
    <row r="3535" spans="1:5" x14ac:dyDescent="0.25">
      <c r="A3535" s="108">
        <v>201712</v>
      </c>
      <c r="B3535" s="109" t="s">
        <v>325</v>
      </c>
      <c r="C3535" s="108">
        <v>0</v>
      </c>
      <c r="D3535" s="110"/>
      <c r="E3535" t="e">
        <f>VLOOKUP(B3535,CAC!$A$2:$B$198,2,FALSE)</f>
        <v>#N/A</v>
      </c>
    </row>
    <row r="3536" spans="1:5" x14ac:dyDescent="0.25">
      <c r="A3536" s="108">
        <v>201712</v>
      </c>
      <c r="B3536" s="109" t="s">
        <v>255</v>
      </c>
      <c r="C3536" s="108">
        <v>0</v>
      </c>
      <c r="D3536" s="110"/>
      <c r="E3536" t="str">
        <f>VLOOKUP(B3536,CAC!$A$2:$B$198,2,FALSE)</f>
        <v>AGDMHC</v>
      </c>
    </row>
    <row r="3537" spans="1:5" x14ac:dyDescent="0.25">
      <c r="A3537" s="108">
        <v>201712</v>
      </c>
      <c r="B3537" s="109" t="s">
        <v>256</v>
      </c>
      <c r="C3537" s="108">
        <v>0</v>
      </c>
      <c r="D3537" s="110"/>
      <c r="E3537" t="str">
        <f>VLOOKUP(B3537,CAC!$A$2:$B$198,2,FALSE)</f>
        <v>AGDMHC</v>
      </c>
    </row>
    <row r="3538" spans="1:5" x14ac:dyDescent="0.25">
      <c r="A3538" s="108">
        <v>201712</v>
      </c>
      <c r="B3538" s="109" t="s">
        <v>257</v>
      </c>
      <c r="C3538" s="108">
        <v>0</v>
      </c>
      <c r="D3538" s="110"/>
      <c r="E3538" t="str">
        <f>VLOOKUP(B3538,CAC!$A$2:$B$198,2,FALSE)</f>
        <v>AGDMHC</v>
      </c>
    </row>
    <row r="3539" spans="1:5" x14ac:dyDescent="0.25">
      <c r="A3539" s="108">
        <v>201712</v>
      </c>
      <c r="B3539" s="109" t="s">
        <v>258</v>
      </c>
      <c r="C3539" s="108">
        <v>0</v>
      </c>
      <c r="D3539" s="110"/>
      <c r="E3539" t="str">
        <f>VLOOKUP(B3539,CAC!$A$2:$B$198,2,FALSE)</f>
        <v>AGDMHC</v>
      </c>
    </row>
    <row r="3540" spans="1:5" x14ac:dyDescent="0.25">
      <c r="A3540" s="108">
        <v>201712</v>
      </c>
      <c r="B3540" s="109" t="s">
        <v>329</v>
      </c>
      <c r="C3540" s="108">
        <v>0</v>
      </c>
      <c r="D3540" s="110"/>
      <c r="E3540" t="e">
        <f>VLOOKUP(B3540,CAC!$A$2:$B$198,2,FALSE)</f>
        <v>#N/A</v>
      </c>
    </row>
    <row r="3541" spans="1:5" x14ac:dyDescent="0.25">
      <c r="A3541" s="108">
        <v>201712</v>
      </c>
      <c r="B3541" s="109" t="s">
        <v>262</v>
      </c>
      <c r="C3541" s="108">
        <v>0</v>
      </c>
      <c r="D3541" s="110"/>
      <c r="E3541" t="str">
        <f>VLOOKUP(B3541,CAC!$A$2:$B$198,2,FALSE)</f>
        <v>AGDMHC</v>
      </c>
    </row>
    <row r="3542" spans="1:5" x14ac:dyDescent="0.25">
      <c r="A3542" s="108">
        <v>201712</v>
      </c>
      <c r="B3542" s="109" t="s">
        <v>264</v>
      </c>
      <c r="C3542" s="108">
        <v>0</v>
      </c>
      <c r="D3542" s="110"/>
      <c r="E3542" t="str">
        <f>VLOOKUP(B3542,CAC!$A$2:$B$198,2,FALSE)</f>
        <v>AGDMHC</v>
      </c>
    </row>
    <row r="3543" spans="1:5" x14ac:dyDescent="0.25">
      <c r="A3543" s="108">
        <v>201712</v>
      </c>
      <c r="B3543" s="109" t="s">
        <v>269</v>
      </c>
      <c r="C3543" s="108">
        <v>0</v>
      </c>
      <c r="D3543" s="110"/>
      <c r="E3543" t="str">
        <f>VLOOKUP(B3543,CAC!$A$2:$B$198,2,FALSE)</f>
        <v>AGDMHC</v>
      </c>
    </row>
    <row r="3544" spans="1:5" x14ac:dyDescent="0.25">
      <c r="A3544" s="108">
        <v>201712</v>
      </c>
      <c r="B3544" s="109" t="s">
        <v>319</v>
      </c>
      <c r="C3544" s="108">
        <v>0</v>
      </c>
      <c r="D3544" s="110"/>
      <c r="E3544" t="e">
        <f>VLOOKUP(B3544,CAC!$A$2:$B$198,2,FALSE)</f>
        <v>#N/A</v>
      </c>
    </row>
    <row r="3545" spans="1:5" x14ac:dyDescent="0.25">
      <c r="A3545" s="108">
        <v>201712</v>
      </c>
      <c r="B3545" s="109" t="s">
        <v>52</v>
      </c>
      <c r="C3545" s="108">
        <v>16269</v>
      </c>
      <c r="D3545" s="110"/>
      <c r="E3545" t="str">
        <f>VLOOKUP(B3545,CAC!$A$2:$B$198,2,FALSE)</f>
        <v>HMOPMR</v>
      </c>
    </row>
    <row r="3546" spans="1:5" x14ac:dyDescent="0.25">
      <c r="A3546" s="108">
        <v>201712</v>
      </c>
      <c r="B3546" s="109" t="s">
        <v>53</v>
      </c>
      <c r="C3546" s="108">
        <v>4856</v>
      </c>
      <c r="D3546" s="110"/>
      <c r="E3546" t="str">
        <f>VLOOKUP(B3546,CAC!$A$2:$B$198,2,FALSE)</f>
        <v>HMOPMR</v>
      </c>
    </row>
    <row r="3547" spans="1:5" x14ac:dyDescent="0.25">
      <c r="A3547" s="108">
        <v>201712</v>
      </c>
      <c r="B3547" s="109" t="s">
        <v>54</v>
      </c>
      <c r="C3547" s="108">
        <v>5581</v>
      </c>
      <c r="D3547" s="110"/>
      <c r="E3547" t="str">
        <f>VLOOKUP(B3547,CAC!$A$2:$B$198,2,FALSE)</f>
        <v>HMOFEP</v>
      </c>
    </row>
    <row r="3548" spans="1:5" x14ac:dyDescent="0.25">
      <c r="A3548" s="108">
        <v>201712</v>
      </c>
      <c r="B3548" s="109" t="s">
        <v>279</v>
      </c>
      <c r="C3548" s="108">
        <v>0</v>
      </c>
      <c r="D3548" s="110"/>
      <c r="E3548" t="str">
        <f>VLOOKUP(B3548,CAC!$A$2:$B$198,2,FALSE)</f>
        <v>PPOFEP</v>
      </c>
    </row>
    <row r="3549" spans="1:5" x14ac:dyDescent="0.25">
      <c r="A3549" s="108">
        <v>201712</v>
      </c>
      <c r="B3549" s="109" t="s">
        <v>202</v>
      </c>
      <c r="C3549" s="108">
        <v>0</v>
      </c>
      <c r="D3549" s="110"/>
      <c r="E3549" t="str">
        <f>VLOOKUP(B3549,CAC!$A$2:$B$198,2,FALSE)</f>
        <v>PPOPMR</v>
      </c>
    </row>
    <row r="3550" spans="1:5" x14ac:dyDescent="0.25">
      <c r="A3550" s="108">
        <v>201712</v>
      </c>
      <c r="B3550" s="109" t="s">
        <v>55</v>
      </c>
      <c r="C3550" s="108">
        <v>17907</v>
      </c>
      <c r="D3550" s="110"/>
      <c r="E3550" t="str">
        <f>VLOOKUP(B3550,CAC!$A$2:$B$198,2,FALSE)</f>
        <v>HMOPMR</v>
      </c>
    </row>
    <row r="3551" spans="1:5" x14ac:dyDescent="0.25">
      <c r="A3551" s="108">
        <v>201712</v>
      </c>
      <c r="B3551" s="109" t="s">
        <v>56</v>
      </c>
      <c r="C3551" s="108">
        <v>35</v>
      </c>
      <c r="D3551" s="110"/>
      <c r="E3551" t="str">
        <f>VLOOKUP(B3551,CAC!$A$2:$B$198,2,FALSE)</f>
        <v>HMOPMR</v>
      </c>
    </row>
    <row r="3552" spans="1:5" x14ac:dyDescent="0.25">
      <c r="A3552" s="108">
        <v>201712</v>
      </c>
      <c r="B3552" s="109" t="s">
        <v>57</v>
      </c>
      <c r="C3552" s="108">
        <v>10618</v>
      </c>
      <c r="D3552" s="110"/>
      <c r="E3552" t="str">
        <f>VLOOKUP(B3552,CAC!$A$2:$B$198,2,FALSE)</f>
        <v>HMFLEX</v>
      </c>
    </row>
    <row r="3553" spans="1:5" x14ac:dyDescent="0.25">
      <c r="A3553" s="108">
        <v>201712</v>
      </c>
      <c r="B3553" s="109" t="s">
        <v>58</v>
      </c>
      <c r="C3553" s="108">
        <v>337</v>
      </c>
      <c r="D3553" s="110"/>
      <c r="E3553" t="str">
        <f>VLOOKUP(B3553,CAC!$A$2:$B$198,2,FALSE)</f>
        <v>HMFLEX</v>
      </c>
    </row>
    <row r="3554" spans="1:5" x14ac:dyDescent="0.25">
      <c r="A3554" s="108">
        <v>201712</v>
      </c>
      <c r="B3554" s="109" t="s">
        <v>306</v>
      </c>
      <c r="C3554" s="108">
        <v>0</v>
      </c>
      <c r="D3554" s="110"/>
      <c r="E3554" t="e">
        <f>VLOOKUP(B3554,CAC!$A$2:$B$198,2,FALSE)</f>
        <v>#N/A</v>
      </c>
    </row>
    <row r="3555" spans="1:5" x14ac:dyDescent="0.25">
      <c r="A3555" s="108">
        <v>201712</v>
      </c>
      <c r="B3555" s="109" t="s">
        <v>283</v>
      </c>
      <c r="C3555" s="108">
        <v>0</v>
      </c>
      <c r="D3555" s="110"/>
      <c r="E3555" t="str">
        <f>VLOOKUP(B3555,CAC!$A$2:$B$198,2,FALSE)</f>
        <v>HMFLEX</v>
      </c>
    </row>
    <row r="3556" spans="1:5" x14ac:dyDescent="0.25">
      <c r="A3556" s="108">
        <v>201712</v>
      </c>
      <c r="B3556" s="109" t="s">
        <v>205</v>
      </c>
      <c r="C3556" s="108">
        <v>0</v>
      </c>
      <c r="D3556" s="110"/>
      <c r="E3556" t="str">
        <f>VLOOKUP(B3556,CAC!$A$2:$B$198,2,FALSE)</f>
        <v>PPOPMR</v>
      </c>
    </row>
    <row r="3557" spans="1:5" x14ac:dyDescent="0.25">
      <c r="A3557" s="108">
        <v>201712</v>
      </c>
      <c r="B3557" s="109" t="s">
        <v>60</v>
      </c>
      <c r="C3557" s="108">
        <v>14067</v>
      </c>
      <c r="D3557" s="110"/>
      <c r="E3557" t="str">
        <f>VLOOKUP(B3557,CAC!$A$2:$B$198,2,FALSE)</f>
        <v>HMOLG</v>
      </c>
    </row>
    <row r="3558" spans="1:5" x14ac:dyDescent="0.25">
      <c r="A3558" s="108">
        <v>201712</v>
      </c>
      <c r="B3558" s="109" t="s">
        <v>61</v>
      </c>
      <c r="C3558" s="108">
        <v>1149</v>
      </c>
      <c r="D3558" s="110"/>
      <c r="E3558" t="str">
        <f>VLOOKUP(B3558,CAC!$A$2:$B$198,2,FALSE)</f>
        <v>HMOLG</v>
      </c>
    </row>
    <row r="3559" spans="1:5" x14ac:dyDescent="0.25">
      <c r="A3559" s="108">
        <v>201712</v>
      </c>
      <c r="B3559" s="109" t="s">
        <v>62</v>
      </c>
      <c r="C3559" s="108">
        <v>19695</v>
      </c>
      <c r="D3559" s="110"/>
      <c r="E3559" t="str">
        <f>VLOOKUP(B3559,CAC!$A$2:$B$198,2,FALSE)</f>
        <v>HMOLG</v>
      </c>
    </row>
    <row r="3560" spans="1:5" x14ac:dyDescent="0.25">
      <c r="A3560" s="108">
        <v>201712</v>
      </c>
      <c r="B3560" s="109" t="s">
        <v>86</v>
      </c>
      <c r="C3560" s="108">
        <v>20</v>
      </c>
      <c r="D3560" s="110"/>
      <c r="E3560" t="str">
        <f>VLOOKUP(B3560,CAC!$A$2:$B$198,2,FALSE)</f>
        <v>HMOLG</v>
      </c>
    </row>
    <row r="3561" spans="1:5" x14ac:dyDescent="0.25">
      <c r="A3561" s="108">
        <v>201712</v>
      </c>
      <c r="B3561" s="109" t="s">
        <v>63</v>
      </c>
      <c r="C3561" s="108">
        <v>54</v>
      </c>
      <c r="D3561" s="110"/>
      <c r="E3561" t="str">
        <f>VLOOKUP(B3561,CAC!$A$2:$B$198,2,FALSE)</f>
        <v>HMOLG</v>
      </c>
    </row>
    <row r="3562" spans="1:5" x14ac:dyDescent="0.25">
      <c r="A3562" s="108">
        <v>201712</v>
      </c>
      <c r="B3562" s="109" t="s">
        <v>64</v>
      </c>
      <c r="C3562" s="108">
        <v>0</v>
      </c>
      <c r="D3562" s="110"/>
      <c r="E3562" t="str">
        <f>VLOOKUP(B3562,CAC!$A$2:$B$198,2,FALSE)</f>
        <v>HMOLG</v>
      </c>
    </row>
    <row r="3563" spans="1:5" x14ac:dyDescent="0.25">
      <c r="A3563" s="108">
        <v>201712</v>
      </c>
      <c r="B3563" s="109" t="s">
        <v>91</v>
      </c>
      <c r="C3563" s="108">
        <v>234</v>
      </c>
      <c r="D3563" s="110"/>
      <c r="E3563" t="str">
        <f>VLOOKUP(B3563,CAC!$A$2:$B$198,2,FALSE)</f>
        <v>HMFLEX</v>
      </c>
    </row>
    <row r="3564" spans="1:5" x14ac:dyDescent="0.25">
      <c r="A3564" s="108">
        <v>201712</v>
      </c>
      <c r="B3564" s="109" t="s">
        <v>307</v>
      </c>
      <c r="C3564" s="108">
        <v>0</v>
      </c>
      <c r="D3564" s="110"/>
      <c r="E3564" t="e">
        <f>VLOOKUP(B3564,CAC!$A$2:$B$198,2,FALSE)</f>
        <v>#N/A</v>
      </c>
    </row>
    <row r="3565" spans="1:5" x14ac:dyDescent="0.25">
      <c r="A3565" s="108">
        <v>201712</v>
      </c>
      <c r="B3565" s="109" t="s">
        <v>308</v>
      </c>
      <c r="C3565" s="108">
        <v>0</v>
      </c>
      <c r="D3565" s="110"/>
      <c r="E3565" t="e">
        <f>VLOOKUP(B3565,CAC!$A$2:$B$198,2,FALSE)</f>
        <v>#N/A</v>
      </c>
    </row>
    <row r="3566" spans="1:5" x14ac:dyDescent="0.25">
      <c r="A3566" s="108">
        <v>201712</v>
      </c>
      <c r="B3566" s="109" t="s">
        <v>309</v>
      </c>
      <c r="C3566" s="108">
        <v>0</v>
      </c>
      <c r="D3566" s="110"/>
      <c r="E3566" t="e">
        <f>VLOOKUP(B3566,CAC!$A$2:$B$198,2,FALSE)</f>
        <v>#N/A</v>
      </c>
    </row>
    <row r="3567" spans="1:5" x14ac:dyDescent="0.25">
      <c r="A3567" s="108">
        <v>201712</v>
      </c>
      <c r="B3567" s="109" t="s">
        <v>99</v>
      </c>
      <c r="C3567" s="108">
        <v>0</v>
      </c>
      <c r="D3567" s="110"/>
      <c r="E3567" t="str">
        <f>VLOOKUP(B3567,CAC!$A$2:$B$198,2,FALSE)</f>
        <v>PPOLG</v>
      </c>
    </row>
    <row r="3568" spans="1:5" x14ac:dyDescent="0.25">
      <c r="A3568" s="108">
        <v>201712</v>
      </c>
      <c r="B3568" s="109" t="s">
        <v>193</v>
      </c>
      <c r="C3568" s="108">
        <v>0</v>
      </c>
      <c r="D3568" s="110"/>
      <c r="E3568" t="str">
        <f>VLOOKUP(B3568,CAC!$A$2:$B$198,2,FALSE)</f>
        <v>PPOLG</v>
      </c>
    </row>
    <row r="3569" spans="1:5" x14ac:dyDescent="0.25">
      <c r="A3569" s="108">
        <v>201712</v>
      </c>
      <c r="B3569" s="109" t="s">
        <v>196</v>
      </c>
      <c r="C3569" s="108">
        <v>0</v>
      </c>
      <c r="D3569" s="110"/>
      <c r="E3569" t="str">
        <f>VLOOKUP(B3569,CAC!$A$2:$B$198,2,FALSE)</f>
        <v>PPOLG</v>
      </c>
    </row>
    <row r="3570" spans="1:5" x14ac:dyDescent="0.25">
      <c r="A3570" s="108">
        <v>201712</v>
      </c>
      <c r="B3570" s="109" t="s">
        <v>212</v>
      </c>
      <c r="C3570" s="108">
        <v>0</v>
      </c>
      <c r="D3570" s="110"/>
      <c r="E3570" t="str">
        <f>VLOOKUP(B3570,CAC!$A$2:$B$198,2,FALSE)</f>
        <v>PPOMM</v>
      </c>
    </row>
    <row r="3571" spans="1:5" x14ac:dyDescent="0.25">
      <c r="A3571" s="108">
        <v>201712</v>
      </c>
      <c r="B3571" s="109" t="s">
        <v>213</v>
      </c>
      <c r="C3571" s="108">
        <v>0</v>
      </c>
      <c r="D3571" s="110"/>
      <c r="E3571" t="str">
        <f>VLOOKUP(B3571,CAC!$A$2:$B$198,2,FALSE)</f>
        <v>PPOMM</v>
      </c>
    </row>
    <row r="3572" spans="1:5" x14ac:dyDescent="0.25">
      <c r="A3572" s="108">
        <v>201712</v>
      </c>
      <c r="B3572" s="109" t="s">
        <v>311</v>
      </c>
      <c r="C3572" s="108">
        <v>0</v>
      </c>
      <c r="D3572" s="110"/>
      <c r="E3572" t="e">
        <f>VLOOKUP(B3572,CAC!$A$2:$B$198,2,FALSE)</f>
        <v>#N/A</v>
      </c>
    </row>
    <row r="3573" spans="1:5" x14ac:dyDescent="0.25">
      <c r="A3573" s="108">
        <v>201712</v>
      </c>
      <c r="B3573" s="109" t="s">
        <v>321</v>
      </c>
      <c r="C3573" s="108">
        <v>0</v>
      </c>
      <c r="D3573" s="110"/>
      <c r="E3573" t="e">
        <f>VLOOKUP(B3573,CAC!$A$2:$B$198,2,FALSE)</f>
        <v>#N/A</v>
      </c>
    </row>
    <row r="3574" spans="1:5" x14ac:dyDescent="0.25">
      <c r="A3574" s="108">
        <v>201712</v>
      </c>
      <c r="B3574" s="109" t="s">
        <v>312</v>
      </c>
      <c r="C3574" s="108">
        <v>0</v>
      </c>
      <c r="D3574" s="110"/>
      <c r="E3574" t="e">
        <f>VLOOKUP(B3574,CAC!$A$2:$B$198,2,FALSE)</f>
        <v>#N/A</v>
      </c>
    </row>
    <row r="3575" spans="1:5" x14ac:dyDescent="0.25">
      <c r="A3575" s="108">
        <v>201712</v>
      </c>
      <c r="B3575" s="109" t="s">
        <v>215</v>
      </c>
      <c r="C3575" s="108">
        <v>0</v>
      </c>
      <c r="D3575" s="110"/>
      <c r="E3575" t="str">
        <f>VLOOKUP(B3575,CAC!$A$2:$B$198,2,FALSE)</f>
        <v>PPOMM</v>
      </c>
    </row>
    <row r="3576" spans="1:5" x14ac:dyDescent="0.25">
      <c r="A3576" s="108">
        <v>201712</v>
      </c>
      <c r="B3576" s="109" t="s">
        <v>66</v>
      </c>
      <c r="C3576" s="108">
        <v>7273</v>
      </c>
      <c r="D3576" s="110"/>
      <c r="E3576" t="str">
        <f>VLOOKUP(B3576,CAC!$A$2:$B$198,2,FALSE)</f>
        <v>HMOLG</v>
      </c>
    </row>
    <row r="3577" spans="1:5" x14ac:dyDescent="0.25">
      <c r="A3577" s="108">
        <v>201712</v>
      </c>
      <c r="B3577" s="109" t="s">
        <v>82</v>
      </c>
      <c r="C3577" s="108">
        <v>3</v>
      </c>
      <c r="D3577" s="110"/>
      <c r="E3577" t="str">
        <f>VLOOKUP(B3577,CAC!$A$2:$B$198,2,FALSE)</f>
        <v>NATPAR</v>
      </c>
    </row>
    <row r="3578" spans="1:5" x14ac:dyDescent="0.25">
      <c r="A3578" s="108">
        <v>201712</v>
      </c>
      <c r="B3578" s="109" t="s">
        <v>67</v>
      </c>
      <c r="C3578" s="108">
        <v>104</v>
      </c>
      <c r="D3578" s="110"/>
      <c r="E3578" t="str">
        <f>VLOOKUP(B3578,CAC!$A$2:$B$198,2,FALSE)</f>
        <v>HMOLG</v>
      </c>
    </row>
    <row r="3579" spans="1:5" x14ac:dyDescent="0.25">
      <c r="A3579" s="108">
        <v>201712</v>
      </c>
      <c r="B3579" s="109" t="s">
        <v>69</v>
      </c>
      <c r="C3579" s="108">
        <v>9975</v>
      </c>
      <c r="D3579" s="110"/>
      <c r="E3579" t="str">
        <f>VLOOKUP(B3579,CAC!$A$2:$B$198,2,FALSE)</f>
        <v>HMOPMR</v>
      </c>
    </row>
    <row r="3580" spans="1:5" x14ac:dyDescent="0.25">
      <c r="A3580" s="108">
        <v>201712</v>
      </c>
      <c r="B3580" s="109" t="s">
        <v>70</v>
      </c>
      <c r="C3580" s="108">
        <v>827</v>
      </c>
      <c r="D3580" s="110"/>
      <c r="E3580" t="str">
        <f>VLOOKUP(B3580,CAC!$A$2:$B$198,2,FALSE)</f>
        <v>HMOPMR</v>
      </c>
    </row>
    <row r="3581" spans="1:5" x14ac:dyDescent="0.25">
      <c r="A3581" s="108">
        <v>201712</v>
      </c>
      <c r="B3581" s="109" t="s">
        <v>71</v>
      </c>
      <c r="C3581" s="108">
        <v>4305</v>
      </c>
      <c r="D3581" s="110"/>
      <c r="E3581" t="str">
        <f>VLOOKUP(B3581,CAC!$A$2:$B$198,2,FALSE)</f>
        <v>HMOPMR</v>
      </c>
    </row>
    <row r="3582" spans="1:5" x14ac:dyDescent="0.25">
      <c r="A3582" s="108">
        <v>201712</v>
      </c>
      <c r="B3582" s="109" t="s">
        <v>72</v>
      </c>
      <c r="C3582" s="108">
        <v>5228</v>
      </c>
      <c r="D3582" s="110"/>
      <c r="E3582" t="str">
        <f>VLOOKUP(B3582,CAC!$A$2:$B$198,2,FALSE)</f>
        <v>HMFLEX</v>
      </c>
    </row>
    <row r="3583" spans="1:5" x14ac:dyDescent="0.25">
      <c r="A3583" s="108">
        <v>201712</v>
      </c>
      <c r="B3583" s="109" t="s">
        <v>314</v>
      </c>
      <c r="C3583" s="108">
        <v>0</v>
      </c>
      <c r="D3583" s="110"/>
      <c r="E3583" t="e">
        <f>VLOOKUP(B3583,CAC!$A$2:$B$198,2,FALSE)</f>
        <v>#N/A</v>
      </c>
    </row>
    <row r="3584" spans="1:5" x14ac:dyDescent="0.25">
      <c r="A3584" s="108">
        <v>201712</v>
      </c>
      <c r="B3584" s="109" t="s">
        <v>315</v>
      </c>
      <c r="C3584" s="108">
        <v>0</v>
      </c>
      <c r="D3584" s="110"/>
      <c r="E3584" t="e">
        <f>VLOOKUP(B3584,CAC!$A$2:$B$198,2,FALSE)</f>
        <v>#N/A</v>
      </c>
    </row>
    <row r="3585" spans="1:5" x14ac:dyDescent="0.25">
      <c r="A3585" s="108">
        <v>201712</v>
      </c>
      <c r="B3585" s="109" t="s">
        <v>112</v>
      </c>
      <c r="C3585" s="108">
        <v>0</v>
      </c>
      <c r="D3585" s="110"/>
      <c r="E3585" t="e">
        <f>VLOOKUP(B3585,CAC!$A$2:$B$198,2,FALSE)</f>
        <v>#N/A</v>
      </c>
    </row>
    <row r="3586" spans="1:5" x14ac:dyDescent="0.25">
      <c r="A3586" s="108">
        <v>201712</v>
      </c>
      <c r="B3586" s="109" t="s">
        <v>316</v>
      </c>
      <c r="C3586" s="108">
        <v>0</v>
      </c>
      <c r="D3586" s="110"/>
      <c r="E3586" t="e">
        <f>VLOOKUP(B3586,CAC!$A$2:$B$198,2,FALSE)</f>
        <v>#N/A</v>
      </c>
    </row>
    <row r="3587" spans="1:5" x14ac:dyDescent="0.25">
      <c r="A3587" s="108">
        <v>201712</v>
      </c>
      <c r="B3587" s="109" t="s">
        <v>317</v>
      </c>
      <c r="C3587" s="108">
        <v>0</v>
      </c>
      <c r="D3587" s="110"/>
      <c r="E3587" t="e">
        <f>VLOOKUP(B3587,CAC!$A$2:$B$198,2,FALSE)</f>
        <v>#N/A</v>
      </c>
    </row>
    <row r="3588" spans="1:5" x14ac:dyDescent="0.25">
      <c r="A3588" s="108">
        <v>201712</v>
      </c>
      <c r="B3588" s="109" t="s">
        <v>113</v>
      </c>
      <c r="C3588" s="108">
        <v>0</v>
      </c>
      <c r="D3588" s="110"/>
      <c r="E3588" t="str">
        <f>VLOOKUP(B3588,CAC!$A$2:$B$198,2,FALSE)</f>
        <v>PPOLG</v>
      </c>
    </row>
    <row r="3589" spans="1:5" x14ac:dyDescent="0.25">
      <c r="A3589" s="108">
        <v>201712</v>
      </c>
      <c r="B3589" s="109" t="s">
        <v>208</v>
      </c>
      <c r="C3589" s="108">
        <v>0</v>
      </c>
      <c r="D3589" s="110"/>
      <c r="E3589" t="str">
        <f>VLOOKUP(B3589,CAC!$A$2:$B$198,2,FALSE)</f>
        <v>PPOPMR</v>
      </c>
    </row>
    <row r="3590" spans="1:5" x14ac:dyDescent="0.25">
      <c r="A3590" s="108">
        <v>201712</v>
      </c>
      <c r="B3590" s="109" t="s">
        <v>291</v>
      </c>
      <c r="C3590" s="108">
        <v>0</v>
      </c>
      <c r="D3590" s="110"/>
      <c r="E3590" t="str">
        <f>VLOOKUP(B3590,CAC!$A$2:$B$198,2,FALSE)</f>
        <v>HMFLEX</v>
      </c>
    </row>
    <row r="3591" spans="1:5" x14ac:dyDescent="0.25">
      <c r="A3591" s="108">
        <v>201712</v>
      </c>
      <c r="B3591" s="109" t="s">
        <v>204</v>
      </c>
      <c r="C3591" s="108">
        <v>0</v>
      </c>
      <c r="D3591" s="110"/>
      <c r="E3591" t="str">
        <f>VLOOKUP(B3591,CAC!$A$2:$B$198,2,FALSE)</f>
        <v>PPOPMR</v>
      </c>
    </row>
    <row r="3592" spans="1:5" x14ac:dyDescent="0.25">
      <c r="A3592" s="108">
        <v>201712</v>
      </c>
      <c r="B3592" s="109" t="s">
        <v>330</v>
      </c>
      <c r="C3592" s="108">
        <v>0</v>
      </c>
      <c r="D3592" s="110"/>
      <c r="E3592" t="e">
        <f>VLOOKUP(B3592,CAC!$A$2:$B$198,2,FALSE)</f>
        <v>#N/A</v>
      </c>
    </row>
    <row r="3593" spans="1:5" x14ac:dyDescent="0.25">
      <c r="A3593" s="108">
        <v>201712</v>
      </c>
      <c r="B3593" s="109" t="s">
        <v>73</v>
      </c>
      <c r="C3593" s="108">
        <v>34778</v>
      </c>
      <c r="D3593" s="108">
        <v>11572</v>
      </c>
      <c r="E3593" t="str">
        <f>VLOOKUP(B3593,CAC!$A$2:$B$198,2,FALSE)</f>
        <v>HMOPERA</v>
      </c>
    </row>
    <row r="3594" spans="1:5" x14ac:dyDescent="0.25">
      <c r="A3594" s="108">
        <v>201712</v>
      </c>
      <c r="B3594" s="109" t="s">
        <v>218</v>
      </c>
      <c r="C3594" s="108">
        <v>0</v>
      </c>
      <c r="D3594" s="110"/>
      <c r="E3594" t="str">
        <f>VLOOKUP(B3594,CAC!$A$2:$B$198,2,FALSE)</f>
        <v>HMOPERA</v>
      </c>
    </row>
    <row r="3595" spans="1:5" x14ac:dyDescent="0.25">
      <c r="A3595" s="108">
        <v>201712</v>
      </c>
      <c r="B3595" s="109" t="s">
        <v>156</v>
      </c>
      <c r="C3595" s="108">
        <v>27647</v>
      </c>
      <c r="D3595" s="110"/>
      <c r="E3595" t="str">
        <f>VLOOKUP(B3595,CAC!$A$2:$B$198,2,FALSE)</f>
        <v>HMOMM</v>
      </c>
    </row>
    <row r="3596" spans="1:5" x14ac:dyDescent="0.25">
      <c r="A3596" s="108">
        <v>201712</v>
      </c>
      <c r="B3596" s="109" t="s">
        <v>84</v>
      </c>
      <c r="C3596" s="108">
        <v>5657</v>
      </c>
      <c r="D3596" s="110"/>
      <c r="E3596" t="str">
        <f>VLOOKUP(B3596,CAC!$A$2:$B$198,2,FALSE)</f>
        <v>HMOMM</v>
      </c>
    </row>
    <row r="3597" spans="1:5" x14ac:dyDescent="0.25">
      <c r="A3597" s="108">
        <v>201712</v>
      </c>
      <c r="B3597" s="109" t="s">
        <v>162</v>
      </c>
      <c r="C3597" s="108">
        <v>424</v>
      </c>
      <c r="D3597" s="110"/>
      <c r="E3597" t="str">
        <f>VLOOKUP(B3597,CAC!$A$2:$B$198,2,FALSE)</f>
        <v>HMOMG</v>
      </c>
    </row>
    <row r="3598" spans="1:5" x14ac:dyDescent="0.25">
      <c r="A3598" s="108">
        <v>201712</v>
      </c>
      <c r="B3598" s="109" t="s">
        <v>163</v>
      </c>
      <c r="C3598" s="108">
        <v>70</v>
      </c>
      <c r="D3598" s="110"/>
      <c r="E3598" t="str">
        <f>VLOOKUP(B3598,CAC!$A$2:$B$198,2,FALSE)</f>
        <v>HMOMG</v>
      </c>
    </row>
    <row r="3599" spans="1:5" x14ac:dyDescent="0.25">
      <c r="A3599" s="108">
        <v>201712</v>
      </c>
      <c r="B3599" s="109" t="s">
        <v>164</v>
      </c>
      <c r="C3599" s="108">
        <v>0</v>
      </c>
      <c r="D3599" s="110"/>
      <c r="E3599" t="str">
        <f>VLOOKUP(B3599,CAC!$A$2:$B$198,2,FALSE)</f>
        <v>HMOMG</v>
      </c>
    </row>
    <row r="3600" spans="1:5" x14ac:dyDescent="0.25">
      <c r="A3600" s="108">
        <v>201712</v>
      </c>
      <c r="B3600" s="109" t="s">
        <v>85</v>
      </c>
      <c r="C3600" s="108">
        <v>679</v>
      </c>
      <c r="D3600" s="110"/>
      <c r="E3600" t="str">
        <f>VLOOKUP(B3600,CAC!$A$2:$B$198,2,FALSE)</f>
        <v>HMOMG</v>
      </c>
    </row>
    <row r="3601" spans="1:5" x14ac:dyDescent="0.25">
      <c r="A3601" s="108">
        <v>201712</v>
      </c>
      <c r="B3601" s="109" t="s">
        <v>77</v>
      </c>
      <c r="C3601" s="108">
        <v>33261</v>
      </c>
      <c r="D3601" s="110"/>
      <c r="E3601" t="str">
        <f>VLOOKUP(B3601,CAC!$A$2:$B$198,2,FALSE)</f>
        <v>HMOSG</v>
      </c>
    </row>
    <row r="3602" spans="1:5" x14ac:dyDescent="0.25">
      <c r="A3602" s="108">
        <v>201712</v>
      </c>
      <c r="B3602" s="109" t="s">
        <v>78</v>
      </c>
      <c r="C3602" s="108">
        <v>648</v>
      </c>
      <c r="D3602" s="110"/>
      <c r="E3602" t="str">
        <f>VLOOKUP(B3602,CAC!$A$2:$B$198,2,FALSE)</f>
        <v>HMOSG</v>
      </c>
    </row>
    <row r="3603" spans="1:5" x14ac:dyDescent="0.25">
      <c r="A3603" s="108">
        <v>201712</v>
      </c>
      <c r="B3603" s="109" t="s">
        <v>79</v>
      </c>
      <c r="C3603" s="108">
        <v>341</v>
      </c>
      <c r="D3603" s="110"/>
      <c r="E3603" t="str">
        <f>VLOOKUP(B3603,CAC!$A$2:$B$198,2,FALSE)</f>
        <v>HMOSG</v>
      </c>
    </row>
    <row r="3604" spans="1:5" x14ac:dyDescent="0.25">
      <c r="A3604" s="108">
        <v>201712</v>
      </c>
      <c r="B3604" s="109" t="s">
        <v>222</v>
      </c>
      <c r="C3604" s="108">
        <v>0</v>
      </c>
      <c r="D3604" s="110"/>
      <c r="E3604" t="str">
        <f>VLOOKUP(B3604,CAC!$A$2:$B$198,2,FALSE)</f>
        <v>PPOSG</v>
      </c>
    </row>
    <row r="3605" spans="1:5" x14ac:dyDescent="0.25">
      <c r="A3605" s="108">
        <v>201712</v>
      </c>
      <c r="B3605" s="109" t="s">
        <v>225</v>
      </c>
      <c r="C3605" s="108">
        <v>0</v>
      </c>
      <c r="D3605" s="110"/>
      <c r="E3605" t="str">
        <f>VLOOKUP(B3605,CAC!$A$2:$B$198,2,FALSE)</f>
        <v>PPOSG</v>
      </c>
    </row>
    <row r="3606" spans="1:5" x14ac:dyDescent="0.25">
      <c r="A3606" s="108">
        <v>201712</v>
      </c>
      <c r="B3606" s="109" t="s">
        <v>226</v>
      </c>
      <c r="C3606" s="108">
        <v>0</v>
      </c>
      <c r="D3606" s="110"/>
      <c r="E3606" t="str">
        <f>VLOOKUP(B3606,CAC!$A$2:$B$198,2,FALSE)</f>
        <v>PPOSG</v>
      </c>
    </row>
    <row r="3607" spans="1:5" x14ac:dyDescent="0.25">
      <c r="A3607" s="108">
        <v>201712</v>
      </c>
      <c r="B3607" s="109" t="s">
        <v>89</v>
      </c>
      <c r="C3607" s="108">
        <v>1512</v>
      </c>
      <c r="D3607" s="110"/>
      <c r="E3607" t="str">
        <f>VLOOKUP(B3607,CAC!$A$2:$B$198,2,FALSE)</f>
        <v>HMOIFP</v>
      </c>
    </row>
    <row r="3608" spans="1:5" x14ac:dyDescent="0.25">
      <c r="A3608" s="108">
        <v>201712</v>
      </c>
      <c r="B3608" s="109" t="s">
        <v>90</v>
      </c>
      <c r="C3608" s="108">
        <v>851</v>
      </c>
      <c r="D3608" s="110"/>
      <c r="E3608" t="str">
        <f>VLOOKUP(B3608,CAC!$A$2:$B$198,2,FALSE)</f>
        <v>HMOIFP</v>
      </c>
    </row>
    <row r="3609" spans="1:5" x14ac:dyDescent="0.25">
      <c r="A3609" s="108">
        <v>201712</v>
      </c>
      <c r="B3609" s="109" t="s">
        <v>186</v>
      </c>
      <c r="C3609" s="108">
        <v>0</v>
      </c>
      <c r="D3609" s="110"/>
      <c r="E3609" t="str">
        <f>VLOOKUP(B3609,CAC!$A$2:$B$198,2,FALSE)</f>
        <v>PPOIFP</v>
      </c>
    </row>
    <row r="3610" spans="1:5" x14ac:dyDescent="0.25">
      <c r="A3610" s="108">
        <v>201712</v>
      </c>
      <c r="B3610" s="109" t="s">
        <v>188</v>
      </c>
      <c r="C3610" s="108">
        <v>0</v>
      </c>
      <c r="D3610" s="110"/>
      <c r="E3610" t="str">
        <f>VLOOKUP(B3610,CAC!$A$2:$B$198,2,FALSE)</f>
        <v>PPOIFP</v>
      </c>
    </row>
    <row r="3611" spans="1:5" x14ac:dyDescent="0.25">
      <c r="A3611" s="108">
        <v>201712</v>
      </c>
      <c r="B3611" s="109" t="s">
        <v>189</v>
      </c>
      <c r="C3611" s="108">
        <v>0</v>
      </c>
      <c r="D3611" s="110"/>
      <c r="E3611" t="str">
        <f>VLOOKUP(B3611,CAC!$A$2:$B$198,2,FALSE)</f>
        <v>PPOIFP</v>
      </c>
    </row>
    <row r="3612" spans="1:5" x14ac:dyDescent="0.25">
      <c r="A3612" s="108">
        <v>201712</v>
      </c>
      <c r="B3612" s="109" t="s">
        <v>331</v>
      </c>
      <c r="C3612" s="108">
        <v>0</v>
      </c>
      <c r="D3612" s="110"/>
      <c r="E3612" t="e">
        <f>VLOOKUP(B3612,CAC!$A$2:$B$198,2,FALSE)</f>
        <v>#N/A</v>
      </c>
    </row>
    <row r="3613" spans="1:5" x14ac:dyDescent="0.25">
      <c r="A3613" s="108">
        <v>201712</v>
      </c>
      <c r="B3613" s="109" t="s">
        <v>216</v>
      </c>
      <c r="C3613" s="108">
        <v>0</v>
      </c>
      <c r="D3613" s="110"/>
      <c r="E3613" t="str">
        <f>VLOOKUP(B3613,CAC!$A$2:$B$198,2,FALSE)</f>
        <v>PPOMM</v>
      </c>
    </row>
    <row r="3614" spans="1:5" x14ac:dyDescent="0.25">
      <c r="A3614" s="108">
        <v>201712</v>
      </c>
      <c r="B3614" s="109" t="s">
        <v>301</v>
      </c>
      <c r="C3614" s="108">
        <v>0</v>
      </c>
      <c r="D3614" s="110"/>
      <c r="E3614" t="str">
        <f>VLOOKUP(B3614,CAC!$A$2:$B$198,2,FALSE)</f>
        <v>XXX</v>
      </c>
    </row>
    <row r="3615" spans="1:5" x14ac:dyDescent="0.25">
      <c r="A3615" s="108">
        <v>201801</v>
      </c>
      <c r="B3615" s="109" t="s">
        <v>51</v>
      </c>
      <c r="C3615" s="108">
        <v>28</v>
      </c>
      <c r="D3615" s="110"/>
      <c r="E3615" t="str">
        <f>VLOOKUP(B3615,CAC!$A$2:$B$198,2,FALSE)</f>
        <v>XXX</v>
      </c>
    </row>
    <row r="3616" spans="1:5" x14ac:dyDescent="0.25">
      <c r="A3616" s="108">
        <v>201801</v>
      </c>
      <c r="B3616" s="109" t="s">
        <v>303</v>
      </c>
      <c r="C3616" s="108">
        <v>0</v>
      </c>
      <c r="D3616" s="110"/>
      <c r="E3616" t="e">
        <f>VLOOKUP(B3616,CAC!$A$2:$B$198,2,FALSE)</f>
        <v>#N/A</v>
      </c>
    </row>
    <row r="3617" spans="1:5" x14ac:dyDescent="0.25">
      <c r="A3617" s="108">
        <v>201801</v>
      </c>
      <c r="B3617" s="109" t="s">
        <v>304</v>
      </c>
      <c r="C3617" s="108">
        <v>0</v>
      </c>
      <c r="D3617" s="110"/>
      <c r="E3617" t="e">
        <f>VLOOKUP(B3617,CAC!$A$2:$B$198,2,FALSE)</f>
        <v>#N/A</v>
      </c>
    </row>
    <row r="3618" spans="1:5" x14ac:dyDescent="0.25">
      <c r="A3618" s="108">
        <v>201801</v>
      </c>
      <c r="B3618" s="109" t="s">
        <v>305</v>
      </c>
      <c r="C3618" s="108">
        <v>0</v>
      </c>
      <c r="D3618" s="110"/>
      <c r="E3618" t="e">
        <f>VLOOKUP(B3618,CAC!$A$2:$B$198,2,FALSE)</f>
        <v>#N/A</v>
      </c>
    </row>
    <row r="3619" spans="1:5" x14ac:dyDescent="0.25">
      <c r="A3619" s="108">
        <v>201801</v>
      </c>
      <c r="B3619" s="109" t="s">
        <v>324</v>
      </c>
      <c r="C3619" s="108">
        <v>0</v>
      </c>
      <c r="D3619" s="110"/>
      <c r="E3619" t="e">
        <f>VLOOKUP(B3619,CAC!$A$2:$B$198,2,FALSE)</f>
        <v>#N/A</v>
      </c>
    </row>
    <row r="3620" spans="1:5" x14ac:dyDescent="0.25">
      <c r="A3620" s="108">
        <v>201801</v>
      </c>
      <c r="B3620" s="109" t="s">
        <v>326</v>
      </c>
      <c r="C3620" s="108">
        <v>0</v>
      </c>
      <c r="D3620" s="110"/>
      <c r="E3620" t="e">
        <f>VLOOKUP(B3620,CAC!$A$2:$B$198,2,FALSE)</f>
        <v>#N/A</v>
      </c>
    </row>
    <row r="3621" spans="1:5" x14ac:dyDescent="0.25">
      <c r="A3621" s="108">
        <v>201801</v>
      </c>
      <c r="B3621" s="109" t="s">
        <v>231</v>
      </c>
      <c r="C3621" s="108">
        <v>0</v>
      </c>
      <c r="D3621" s="110"/>
      <c r="E3621" t="str">
        <f>VLOOKUP(B3621,CAC!$A$2:$B$198,2,FALSE)</f>
        <v>DOILG</v>
      </c>
    </row>
    <row r="3622" spans="1:5" x14ac:dyDescent="0.25">
      <c r="A3622" s="108">
        <v>201801</v>
      </c>
      <c r="B3622" s="109" t="s">
        <v>237</v>
      </c>
      <c r="C3622" s="108">
        <v>0</v>
      </c>
      <c r="D3622" s="110"/>
      <c r="E3622" t="str">
        <f>VLOOKUP(B3622,CAC!$A$2:$B$198,2,FALSE)</f>
        <v>DOILG</v>
      </c>
    </row>
    <row r="3623" spans="1:5" x14ac:dyDescent="0.25">
      <c r="A3623" s="108">
        <v>201801</v>
      </c>
      <c r="B3623" s="109" t="s">
        <v>247</v>
      </c>
      <c r="C3623" s="108">
        <v>0</v>
      </c>
      <c r="D3623" s="110"/>
      <c r="E3623" t="str">
        <f>VLOOKUP(B3623,CAC!$A$2:$B$198,2,FALSE)</f>
        <v>DOIIFP</v>
      </c>
    </row>
    <row r="3624" spans="1:5" x14ac:dyDescent="0.25">
      <c r="A3624" s="108">
        <v>201801</v>
      </c>
      <c r="B3624" s="109" t="s">
        <v>238</v>
      </c>
      <c r="C3624" s="108">
        <v>0</v>
      </c>
      <c r="D3624" s="110"/>
      <c r="E3624" t="str">
        <f>VLOOKUP(B3624,CAC!$A$2:$B$198,2,FALSE)</f>
        <v>DOILG</v>
      </c>
    </row>
    <row r="3625" spans="1:5" x14ac:dyDescent="0.25">
      <c r="A3625" s="108">
        <v>201801</v>
      </c>
      <c r="B3625" s="109" t="s">
        <v>273</v>
      </c>
      <c r="C3625" s="108">
        <v>0</v>
      </c>
      <c r="D3625" s="110"/>
      <c r="E3625" t="str">
        <f>VLOOKUP(B3625,CAC!$A$2:$B$198,2,FALSE)</f>
        <v>AGDMHC</v>
      </c>
    </row>
    <row r="3626" spans="1:5" x14ac:dyDescent="0.25">
      <c r="A3626" s="108">
        <v>201801</v>
      </c>
      <c r="B3626" s="109" t="s">
        <v>328</v>
      </c>
      <c r="C3626" s="108">
        <v>0</v>
      </c>
      <c r="D3626" s="110"/>
      <c r="E3626" t="e">
        <f>VLOOKUP(B3626,CAC!$A$2:$B$198,2,FALSE)</f>
        <v>#N/A</v>
      </c>
    </row>
    <row r="3627" spans="1:5" x14ac:dyDescent="0.25">
      <c r="A3627" s="108">
        <v>201801</v>
      </c>
      <c r="B3627" s="109" t="s">
        <v>253</v>
      </c>
      <c r="C3627" s="108">
        <v>0</v>
      </c>
      <c r="D3627" s="110"/>
      <c r="E3627" t="str">
        <f>VLOOKUP(B3627,CAC!$A$2:$B$198,2,FALSE)</f>
        <v>AGDMHC</v>
      </c>
    </row>
    <row r="3628" spans="1:5" x14ac:dyDescent="0.25">
      <c r="A3628" s="108">
        <v>201801</v>
      </c>
      <c r="B3628" s="109" t="s">
        <v>325</v>
      </c>
      <c r="C3628" s="108">
        <v>0</v>
      </c>
      <c r="D3628" s="110"/>
      <c r="E3628" t="e">
        <f>VLOOKUP(B3628,CAC!$A$2:$B$198,2,FALSE)</f>
        <v>#N/A</v>
      </c>
    </row>
    <row r="3629" spans="1:5" x14ac:dyDescent="0.25">
      <c r="A3629" s="108">
        <v>201801</v>
      </c>
      <c r="B3629" s="109" t="s">
        <v>255</v>
      </c>
      <c r="C3629" s="108">
        <v>0</v>
      </c>
      <c r="D3629" s="110"/>
      <c r="E3629" t="str">
        <f>VLOOKUP(B3629,CAC!$A$2:$B$198,2,FALSE)</f>
        <v>AGDMHC</v>
      </c>
    </row>
    <row r="3630" spans="1:5" x14ac:dyDescent="0.25">
      <c r="A3630" s="108">
        <v>201801</v>
      </c>
      <c r="B3630" s="109" t="s">
        <v>256</v>
      </c>
      <c r="C3630" s="108">
        <v>0</v>
      </c>
      <c r="D3630" s="110"/>
      <c r="E3630" t="str">
        <f>VLOOKUP(B3630,CAC!$A$2:$B$198,2,FALSE)</f>
        <v>AGDMHC</v>
      </c>
    </row>
    <row r="3631" spans="1:5" x14ac:dyDescent="0.25">
      <c r="A3631" s="108">
        <v>201801</v>
      </c>
      <c r="B3631" s="109" t="s">
        <v>257</v>
      </c>
      <c r="C3631" s="108">
        <v>0</v>
      </c>
      <c r="D3631" s="110"/>
      <c r="E3631" t="str">
        <f>VLOOKUP(B3631,CAC!$A$2:$B$198,2,FALSE)</f>
        <v>AGDMHC</v>
      </c>
    </row>
    <row r="3632" spans="1:5" x14ac:dyDescent="0.25">
      <c r="A3632" s="108">
        <v>201801</v>
      </c>
      <c r="B3632" s="109" t="s">
        <v>258</v>
      </c>
      <c r="C3632" s="108">
        <v>0</v>
      </c>
      <c r="D3632" s="110"/>
      <c r="E3632" t="str">
        <f>VLOOKUP(B3632,CAC!$A$2:$B$198,2,FALSE)</f>
        <v>AGDMHC</v>
      </c>
    </row>
    <row r="3633" spans="1:5" x14ac:dyDescent="0.25">
      <c r="A3633" s="108">
        <v>201801</v>
      </c>
      <c r="B3633" s="109" t="s">
        <v>329</v>
      </c>
      <c r="C3633" s="108">
        <v>0</v>
      </c>
      <c r="D3633" s="110"/>
      <c r="E3633" t="e">
        <f>VLOOKUP(B3633,CAC!$A$2:$B$198,2,FALSE)</f>
        <v>#N/A</v>
      </c>
    </row>
    <row r="3634" spans="1:5" x14ac:dyDescent="0.25">
      <c r="A3634" s="108">
        <v>201801</v>
      </c>
      <c r="B3634" s="109" t="s">
        <v>261</v>
      </c>
      <c r="C3634" s="108">
        <v>0</v>
      </c>
      <c r="D3634" s="110"/>
      <c r="E3634" t="str">
        <f>VLOOKUP(B3634,CAC!$A$2:$B$198,2,FALSE)</f>
        <v>AGDMHC</v>
      </c>
    </row>
    <row r="3635" spans="1:5" x14ac:dyDescent="0.25">
      <c r="A3635" s="108">
        <v>201801</v>
      </c>
      <c r="B3635" s="109" t="s">
        <v>262</v>
      </c>
      <c r="C3635" s="108">
        <v>0</v>
      </c>
      <c r="D3635" s="110"/>
      <c r="E3635" t="str">
        <f>VLOOKUP(B3635,CAC!$A$2:$B$198,2,FALSE)</f>
        <v>AGDMHC</v>
      </c>
    </row>
    <row r="3636" spans="1:5" x14ac:dyDescent="0.25">
      <c r="A3636" s="108">
        <v>201801</v>
      </c>
      <c r="B3636" s="109" t="s">
        <v>264</v>
      </c>
      <c r="C3636" s="108">
        <v>0</v>
      </c>
      <c r="D3636" s="110"/>
      <c r="E3636" t="str">
        <f>VLOOKUP(B3636,CAC!$A$2:$B$198,2,FALSE)</f>
        <v>AGDMHC</v>
      </c>
    </row>
    <row r="3637" spans="1:5" x14ac:dyDescent="0.25">
      <c r="A3637" s="108">
        <v>201801</v>
      </c>
      <c r="B3637" s="109" t="s">
        <v>319</v>
      </c>
      <c r="C3637" s="108">
        <v>0</v>
      </c>
      <c r="D3637" s="110"/>
      <c r="E3637" t="e">
        <f>VLOOKUP(B3637,CAC!$A$2:$B$198,2,FALSE)</f>
        <v>#N/A</v>
      </c>
    </row>
    <row r="3638" spans="1:5" x14ac:dyDescent="0.25">
      <c r="A3638" s="108">
        <v>201801</v>
      </c>
      <c r="B3638" s="109" t="s">
        <v>588</v>
      </c>
      <c r="C3638" s="108">
        <v>0</v>
      </c>
      <c r="D3638" s="110"/>
      <c r="E3638" t="e">
        <f>VLOOKUP(B3638,CAC!$A$2:$B$198,2,FALSE)</f>
        <v>#N/A</v>
      </c>
    </row>
    <row r="3639" spans="1:5" x14ac:dyDescent="0.25">
      <c r="A3639" s="108">
        <v>201801</v>
      </c>
      <c r="B3639" s="109" t="s">
        <v>267</v>
      </c>
      <c r="C3639" s="108">
        <v>0</v>
      </c>
      <c r="D3639" s="110"/>
      <c r="E3639" t="str">
        <f>VLOOKUP(B3639,CAC!$A$2:$B$198,2,FALSE)</f>
        <v>AGDMHC</v>
      </c>
    </row>
    <row r="3640" spans="1:5" x14ac:dyDescent="0.25">
      <c r="A3640" s="108">
        <v>201801</v>
      </c>
      <c r="B3640" s="109" t="s">
        <v>52</v>
      </c>
      <c r="C3640" s="108">
        <v>17176</v>
      </c>
      <c r="D3640" s="110"/>
      <c r="E3640" t="str">
        <f>VLOOKUP(B3640,CAC!$A$2:$B$198,2,FALSE)</f>
        <v>HMOPMR</v>
      </c>
    </row>
    <row r="3641" spans="1:5" x14ac:dyDescent="0.25">
      <c r="A3641" s="108">
        <v>201801</v>
      </c>
      <c r="B3641" s="109" t="s">
        <v>53</v>
      </c>
      <c r="C3641" s="108">
        <v>4830</v>
      </c>
      <c r="D3641" s="110"/>
      <c r="E3641" t="str">
        <f>VLOOKUP(B3641,CAC!$A$2:$B$198,2,FALSE)</f>
        <v>HMOPMR</v>
      </c>
    </row>
    <row r="3642" spans="1:5" x14ac:dyDescent="0.25">
      <c r="A3642" s="108">
        <v>201801</v>
      </c>
      <c r="B3642" s="109" t="s">
        <v>54</v>
      </c>
      <c r="C3642" s="108">
        <v>5330</v>
      </c>
      <c r="D3642" s="110"/>
      <c r="E3642" t="str">
        <f>VLOOKUP(B3642,CAC!$A$2:$B$198,2,FALSE)</f>
        <v>HMOFEP</v>
      </c>
    </row>
    <row r="3643" spans="1:5" x14ac:dyDescent="0.25">
      <c r="A3643" s="108">
        <v>201801</v>
      </c>
      <c r="B3643" s="109" t="s">
        <v>279</v>
      </c>
      <c r="C3643" s="108">
        <v>0</v>
      </c>
      <c r="D3643" s="110"/>
      <c r="E3643" t="str">
        <f>VLOOKUP(B3643,CAC!$A$2:$B$198,2,FALSE)</f>
        <v>PPOFEP</v>
      </c>
    </row>
    <row r="3644" spans="1:5" x14ac:dyDescent="0.25">
      <c r="A3644" s="108">
        <v>201801</v>
      </c>
      <c r="B3644" s="109" t="s">
        <v>202</v>
      </c>
      <c r="C3644" s="108">
        <v>0</v>
      </c>
      <c r="D3644" s="110"/>
      <c r="E3644" t="str">
        <f>VLOOKUP(B3644,CAC!$A$2:$B$198,2,FALSE)</f>
        <v>PPOPMR</v>
      </c>
    </row>
    <row r="3645" spans="1:5" x14ac:dyDescent="0.25">
      <c r="A3645" s="108">
        <v>201801</v>
      </c>
      <c r="B3645" s="109" t="s">
        <v>55</v>
      </c>
      <c r="C3645" s="108">
        <v>38173</v>
      </c>
      <c r="D3645" s="110"/>
      <c r="E3645" t="str">
        <f>VLOOKUP(B3645,CAC!$A$2:$B$198,2,FALSE)</f>
        <v>HMOPMR</v>
      </c>
    </row>
    <row r="3646" spans="1:5" x14ac:dyDescent="0.25">
      <c r="A3646" s="108">
        <v>201801</v>
      </c>
      <c r="B3646" s="109" t="s">
        <v>56</v>
      </c>
      <c r="C3646" s="108">
        <v>960</v>
      </c>
      <c r="D3646" s="110"/>
      <c r="E3646" t="str">
        <f>VLOOKUP(B3646,CAC!$A$2:$B$198,2,FALSE)</f>
        <v>HMOPMR</v>
      </c>
    </row>
    <row r="3647" spans="1:5" x14ac:dyDescent="0.25">
      <c r="A3647" s="108">
        <v>201801</v>
      </c>
      <c r="B3647" s="109" t="s">
        <v>57</v>
      </c>
      <c r="C3647" s="108">
        <v>10598</v>
      </c>
      <c r="D3647" s="110"/>
      <c r="E3647" t="str">
        <f>VLOOKUP(B3647,CAC!$A$2:$B$198,2,FALSE)</f>
        <v>HMFLEX</v>
      </c>
    </row>
    <row r="3648" spans="1:5" x14ac:dyDescent="0.25">
      <c r="A3648" s="108">
        <v>201801</v>
      </c>
      <c r="B3648" s="109" t="s">
        <v>58</v>
      </c>
      <c r="C3648" s="108">
        <v>370</v>
      </c>
      <c r="D3648" s="110"/>
      <c r="E3648" t="str">
        <f>VLOOKUP(B3648,CAC!$A$2:$B$198,2,FALSE)</f>
        <v>HMFLEX</v>
      </c>
    </row>
    <row r="3649" spans="1:5" x14ac:dyDescent="0.25">
      <c r="A3649" s="108">
        <v>201801</v>
      </c>
      <c r="B3649" s="109" t="s">
        <v>306</v>
      </c>
      <c r="C3649" s="108">
        <v>0</v>
      </c>
      <c r="D3649" s="110"/>
      <c r="E3649" t="e">
        <f>VLOOKUP(B3649,CAC!$A$2:$B$198,2,FALSE)</f>
        <v>#N/A</v>
      </c>
    </row>
    <row r="3650" spans="1:5" x14ac:dyDescent="0.25">
      <c r="A3650" s="108">
        <v>201801</v>
      </c>
      <c r="B3650" s="109" t="s">
        <v>283</v>
      </c>
      <c r="C3650" s="108">
        <v>0</v>
      </c>
      <c r="D3650" s="110"/>
      <c r="E3650" t="str">
        <f>VLOOKUP(B3650,CAC!$A$2:$B$198,2,FALSE)</f>
        <v>HMFLEX</v>
      </c>
    </row>
    <row r="3651" spans="1:5" x14ac:dyDescent="0.25">
      <c r="A3651" s="108">
        <v>201801</v>
      </c>
      <c r="B3651" s="109" t="s">
        <v>205</v>
      </c>
      <c r="C3651" s="108">
        <v>0</v>
      </c>
      <c r="D3651" s="110"/>
      <c r="E3651" t="str">
        <f>VLOOKUP(B3651,CAC!$A$2:$B$198,2,FALSE)</f>
        <v>PPOPMR</v>
      </c>
    </row>
    <row r="3652" spans="1:5" x14ac:dyDescent="0.25">
      <c r="A3652" s="108">
        <v>201801</v>
      </c>
      <c r="B3652" s="109" t="s">
        <v>60</v>
      </c>
      <c r="C3652" s="108">
        <v>17854</v>
      </c>
      <c r="D3652" s="110"/>
      <c r="E3652" t="str">
        <f>VLOOKUP(B3652,CAC!$A$2:$B$198,2,FALSE)</f>
        <v>HMOLG</v>
      </c>
    </row>
    <row r="3653" spans="1:5" x14ac:dyDescent="0.25">
      <c r="A3653" s="108">
        <v>201801</v>
      </c>
      <c r="B3653" s="109" t="s">
        <v>61</v>
      </c>
      <c r="C3653" s="108">
        <v>1079</v>
      </c>
      <c r="D3653" s="110"/>
      <c r="E3653" t="str">
        <f>VLOOKUP(B3653,CAC!$A$2:$B$198,2,FALSE)</f>
        <v>HMOLG</v>
      </c>
    </row>
    <row r="3654" spans="1:5" x14ac:dyDescent="0.25">
      <c r="A3654" s="108">
        <v>201801</v>
      </c>
      <c r="B3654" s="109" t="s">
        <v>62</v>
      </c>
      <c r="C3654" s="108">
        <v>20505</v>
      </c>
      <c r="D3654" s="110"/>
      <c r="E3654" t="str">
        <f>VLOOKUP(B3654,CAC!$A$2:$B$198,2,FALSE)</f>
        <v>HMOLG</v>
      </c>
    </row>
    <row r="3655" spans="1:5" x14ac:dyDescent="0.25">
      <c r="A3655" s="108">
        <v>201801</v>
      </c>
      <c r="B3655" s="109" t="s">
        <v>63</v>
      </c>
      <c r="C3655" s="108">
        <v>52</v>
      </c>
      <c r="D3655" s="110"/>
      <c r="E3655" t="str">
        <f>VLOOKUP(B3655,CAC!$A$2:$B$198,2,FALSE)</f>
        <v>HMOLG</v>
      </c>
    </row>
    <row r="3656" spans="1:5" x14ac:dyDescent="0.25">
      <c r="A3656" s="108">
        <v>201801</v>
      </c>
      <c r="B3656" s="109" t="s">
        <v>64</v>
      </c>
      <c r="C3656" s="108">
        <v>0</v>
      </c>
      <c r="D3656" s="110"/>
      <c r="E3656" t="str">
        <f>VLOOKUP(B3656,CAC!$A$2:$B$198,2,FALSE)</f>
        <v>HMOLG</v>
      </c>
    </row>
    <row r="3657" spans="1:5" x14ac:dyDescent="0.25">
      <c r="A3657" s="108">
        <v>201801</v>
      </c>
      <c r="B3657" s="109" t="s">
        <v>91</v>
      </c>
      <c r="C3657" s="108">
        <v>237</v>
      </c>
      <c r="D3657" s="110"/>
      <c r="E3657" t="str">
        <f>VLOOKUP(B3657,CAC!$A$2:$B$198,2,FALSE)</f>
        <v>HMFLEX</v>
      </c>
    </row>
    <row r="3658" spans="1:5" x14ac:dyDescent="0.25">
      <c r="A3658" s="108">
        <v>201801</v>
      </c>
      <c r="B3658" s="109" t="s">
        <v>307</v>
      </c>
      <c r="C3658" s="108">
        <v>0</v>
      </c>
      <c r="D3658" s="110"/>
      <c r="E3658" t="e">
        <f>VLOOKUP(B3658,CAC!$A$2:$B$198,2,FALSE)</f>
        <v>#N/A</v>
      </c>
    </row>
    <row r="3659" spans="1:5" x14ac:dyDescent="0.25">
      <c r="A3659" s="108">
        <v>201801</v>
      </c>
      <c r="B3659" s="109" t="s">
        <v>308</v>
      </c>
      <c r="C3659" s="108">
        <v>0</v>
      </c>
      <c r="D3659" s="110"/>
      <c r="E3659" t="e">
        <f>VLOOKUP(B3659,CAC!$A$2:$B$198,2,FALSE)</f>
        <v>#N/A</v>
      </c>
    </row>
    <row r="3660" spans="1:5" x14ac:dyDescent="0.25">
      <c r="A3660" s="108">
        <v>201801</v>
      </c>
      <c r="B3660" s="109" t="s">
        <v>309</v>
      </c>
      <c r="C3660" s="108">
        <v>0</v>
      </c>
      <c r="D3660" s="110"/>
      <c r="E3660" t="e">
        <f>VLOOKUP(B3660,CAC!$A$2:$B$198,2,FALSE)</f>
        <v>#N/A</v>
      </c>
    </row>
    <row r="3661" spans="1:5" x14ac:dyDescent="0.25">
      <c r="A3661" s="108">
        <v>201801</v>
      </c>
      <c r="B3661" s="109" t="s">
        <v>99</v>
      </c>
      <c r="C3661" s="108">
        <v>0</v>
      </c>
      <c r="D3661" s="110"/>
      <c r="E3661" t="str">
        <f>VLOOKUP(B3661,CAC!$A$2:$B$198,2,FALSE)</f>
        <v>PPOLG</v>
      </c>
    </row>
    <row r="3662" spans="1:5" x14ac:dyDescent="0.25">
      <c r="A3662" s="108">
        <v>201801</v>
      </c>
      <c r="B3662" s="109" t="s">
        <v>193</v>
      </c>
      <c r="C3662" s="108">
        <v>0</v>
      </c>
      <c r="D3662" s="110"/>
      <c r="E3662" t="str">
        <f>VLOOKUP(B3662,CAC!$A$2:$B$198,2,FALSE)</f>
        <v>PPOLG</v>
      </c>
    </row>
    <row r="3663" spans="1:5" x14ac:dyDescent="0.25">
      <c r="A3663" s="108">
        <v>201801</v>
      </c>
      <c r="B3663" s="109" t="s">
        <v>196</v>
      </c>
      <c r="C3663" s="108">
        <v>0</v>
      </c>
      <c r="D3663" s="110"/>
      <c r="E3663" t="str">
        <f>VLOOKUP(B3663,CAC!$A$2:$B$198,2,FALSE)</f>
        <v>PPOLG</v>
      </c>
    </row>
    <row r="3664" spans="1:5" x14ac:dyDescent="0.25">
      <c r="A3664" s="108">
        <v>201801</v>
      </c>
      <c r="B3664" s="109" t="s">
        <v>212</v>
      </c>
      <c r="C3664" s="108">
        <v>0</v>
      </c>
      <c r="D3664" s="110"/>
      <c r="E3664" t="str">
        <f>VLOOKUP(B3664,CAC!$A$2:$B$198,2,FALSE)</f>
        <v>PPOMM</v>
      </c>
    </row>
    <row r="3665" spans="1:5" x14ac:dyDescent="0.25">
      <c r="A3665" s="108">
        <v>201801</v>
      </c>
      <c r="B3665" s="109" t="s">
        <v>213</v>
      </c>
      <c r="C3665" s="108">
        <v>0</v>
      </c>
      <c r="D3665" s="110"/>
      <c r="E3665" t="str">
        <f>VLOOKUP(B3665,CAC!$A$2:$B$198,2,FALSE)</f>
        <v>PPOMM</v>
      </c>
    </row>
    <row r="3666" spans="1:5" x14ac:dyDescent="0.25">
      <c r="A3666" s="108">
        <v>201801</v>
      </c>
      <c r="B3666" s="109" t="s">
        <v>311</v>
      </c>
      <c r="C3666" s="108">
        <v>0</v>
      </c>
      <c r="D3666" s="110"/>
      <c r="E3666" t="e">
        <f>VLOOKUP(B3666,CAC!$A$2:$B$198,2,FALSE)</f>
        <v>#N/A</v>
      </c>
    </row>
    <row r="3667" spans="1:5" x14ac:dyDescent="0.25">
      <c r="A3667" s="108">
        <v>201801</v>
      </c>
      <c r="B3667" s="109" t="s">
        <v>321</v>
      </c>
      <c r="C3667" s="108">
        <v>0</v>
      </c>
      <c r="D3667" s="110"/>
      <c r="E3667" t="e">
        <f>VLOOKUP(B3667,CAC!$A$2:$B$198,2,FALSE)</f>
        <v>#N/A</v>
      </c>
    </row>
    <row r="3668" spans="1:5" x14ac:dyDescent="0.25">
      <c r="A3668" s="108">
        <v>201801</v>
      </c>
      <c r="B3668" s="109" t="s">
        <v>312</v>
      </c>
      <c r="C3668" s="108">
        <v>0</v>
      </c>
      <c r="D3668" s="110"/>
      <c r="E3668" t="e">
        <f>VLOOKUP(B3668,CAC!$A$2:$B$198,2,FALSE)</f>
        <v>#N/A</v>
      </c>
    </row>
    <row r="3669" spans="1:5" x14ac:dyDescent="0.25">
      <c r="A3669" s="108">
        <v>201801</v>
      </c>
      <c r="B3669" s="109" t="s">
        <v>215</v>
      </c>
      <c r="C3669" s="108">
        <v>0</v>
      </c>
      <c r="D3669" s="110"/>
      <c r="E3669" t="str">
        <f>VLOOKUP(B3669,CAC!$A$2:$B$198,2,FALSE)</f>
        <v>PPOMM</v>
      </c>
    </row>
    <row r="3670" spans="1:5" x14ac:dyDescent="0.25">
      <c r="A3670" s="108">
        <v>201801</v>
      </c>
      <c r="B3670" s="109" t="s">
        <v>66</v>
      </c>
      <c r="C3670" s="108">
        <v>7242</v>
      </c>
      <c r="D3670" s="110"/>
      <c r="E3670" t="str">
        <f>VLOOKUP(B3670,CAC!$A$2:$B$198,2,FALSE)</f>
        <v>HMOLG</v>
      </c>
    </row>
    <row r="3671" spans="1:5" x14ac:dyDescent="0.25">
      <c r="A3671" s="108">
        <v>201801</v>
      </c>
      <c r="B3671" s="109" t="s">
        <v>82</v>
      </c>
      <c r="C3671" s="108">
        <v>3</v>
      </c>
      <c r="D3671" s="110"/>
      <c r="E3671" t="str">
        <f>VLOOKUP(B3671,CAC!$A$2:$B$198,2,FALSE)</f>
        <v>NATPAR</v>
      </c>
    </row>
    <row r="3672" spans="1:5" x14ac:dyDescent="0.25">
      <c r="A3672" s="108">
        <v>201801</v>
      </c>
      <c r="B3672" s="109" t="s">
        <v>67</v>
      </c>
      <c r="C3672" s="108">
        <v>103</v>
      </c>
      <c r="D3672" s="110"/>
      <c r="E3672" t="str">
        <f>VLOOKUP(B3672,CAC!$A$2:$B$198,2,FALSE)</f>
        <v>HMOLG</v>
      </c>
    </row>
    <row r="3673" spans="1:5" x14ac:dyDescent="0.25">
      <c r="A3673" s="108">
        <v>201801</v>
      </c>
      <c r="B3673" s="109" t="s">
        <v>69</v>
      </c>
      <c r="C3673" s="108">
        <v>9938</v>
      </c>
      <c r="D3673" s="110"/>
      <c r="E3673" t="str">
        <f>VLOOKUP(B3673,CAC!$A$2:$B$198,2,FALSE)</f>
        <v>HMOPMR</v>
      </c>
    </row>
    <row r="3674" spans="1:5" x14ac:dyDescent="0.25">
      <c r="A3674" s="108">
        <v>201801</v>
      </c>
      <c r="B3674" s="109" t="s">
        <v>70</v>
      </c>
      <c r="C3674" s="108">
        <v>819</v>
      </c>
      <c r="D3674" s="110"/>
      <c r="E3674" t="str">
        <f>VLOOKUP(B3674,CAC!$A$2:$B$198,2,FALSE)</f>
        <v>HMOPMR</v>
      </c>
    </row>
    <row r="3675" spans="1:5" x14ac:dyDescent="0.25">
      <c r="A3675" s="108">
        <v>201801</v>
      </c>
      <c r="B3675" s="109" t="s">
        <v>71</v>
      </c>
      <c r="C3675" s="108">
        <v>4154</v>
      </c>
      <c r="D3675" s="110"/>
      <c r="E3675" t="str">
        <f>VLOOKUP(B3675,CAC!$A$2:$B$198,2,FALSE)</f>
        <v>HMOPMR</v>
      </c>
    </row>
    <row r="3676" spans="1:5" x14ac:dyDescent="0.25">
      <c r="A3676" s="108">
        <v>201801</v>
      </c>
      <c r="B3676" s="109" t="s">
        <v>72</v>
      </c>
      <c r="C3676" s="108">
        <v>5154</v>
      </c>
      <c r="D3676" s="110"/>
      <c r="E3676" t="str">
        <f>VLOOKUP(B3676,CAC!$A$2:$B$198,2,FALSE)</f>
        <v>HMFLEX</v>
      </c>
    </row>
    <row r="3677" spans="1:5" x14ac:dyDescent="0.25">
      <c r="A3677" s="108">
        <v>201801</v>
      </c>
      <c r="B3677" s="109" t="s">
        <v>314</v>
      </c>
      <c r="C3677" s="108">
        <v>0</v>
      </c>
      <c r="D3677" s="110"/>
      <c r="E3677" t="e">
        <f>VLOOKUP(B3677,CAC!$A$2:$B$198,2,FALSE)</f>
        <v>#N/A</v>
      </c>
    </row>
    <row r="3678" spans="1:5" x14ac:dyDescent="0.25">
      <c r="A3678" s="108">
        <v>201801</v>
      </c>
      <c r="B3678" s="109" t="s">
        <v>315</v>
      </c>
      <c r="C3678" s="108">
        <v>0</v>
      </c>
      <c r="D3678" s="110"/>
      <c r="E3678" t="e">
        <f>VLOOKUP(B3678,CAC!$A$2:$B$198,2,FALSE)</f>
        <v>#N/A</v>
      </c>
    </row>
    <row r="3679" spans="1:5" x14ac:dyDescent="0.25">
      <c r="A3679" s="108">
        <v>201801</v>
      </c>
      <c r="B3679" s="109" t="s">
        <v>112</v>
      </c>
      <c r="C3679" s="108">
        <v>0</v>
      </c>
      <c r="D3679" s="110"/>
      <c r="E3679" t="e">
        <f>VLOOKUP(B3679,CAC!$A$2:$B$198,2,FALSE)</f>
        <v>#N/A</v>
      </c>
    </row>
    <row r="3680" spans="1:5" x14ac:dyDescent="0.25">
      <c r="A3680" s="108">
        <v>201801</v>
      </c>
      <c r="B3680" s="109" t="s">
        <v>316</v>
      </c>
      <c r="C3680" s="108">
        <v>0</v>
      </c>
      <c r="D3680" s="110"/>
      <c r="E3680" t="e">
        <f>VLOOKUP(B3680,CAC!$A$2:$B$198,2,FALSE)</f>
        <v>#N/A</v>
      </c>
    </row>
    <row r="3681" spans="1:5" x14ac:dyDescent="0.25">
      <c r="A3681" s="108">
        <v>201801</v>
      </c>
      <c r="B3681" s="109" t="s">
        <v>317</v>
      </c>
      <c r="C3681" s="108">
        <v>0</v>
      </c>
      <c r="D3681" s="110"/>
      <c r="E3681" t="e">
        <f>VLOOKUP(B3681,CAC!$A$2:$B$198,2,FALSE)</f>
        <v>#N/A</v>
      </c>
    </row>
    <row r="3682" spans="1:5" x14ac:dyDescent="0.25">
      <c r="A3682" s="108">
        <v>201801</v>
      </c>
      <c r="B3682" s="109" t="s">
        <v>113</v>
      </c>
      <c r="C3682" s="108">
        <v>0</v>
      </c>
      <c r="D3682" s="110"/>
      <c r="E3682" t="str">
        <f>VLOOKUP(B3682,CAC!$A$2:$B$198,2,FALSE)</f>
        <v>PPOLG</v>
      </c>
    </row>
    <row r="3683" spans="1:5" x14ac:dyDescent="0.25">
      <c r="A3683" s="108">
        <v>201801</v>
      </c>
      <c r="B3683" s="109" t="s">
        <v>208</v>
      </c>
      <c r="C3683" s="108">
        <v>0</v>
      </c>
      <c r="D3683" s="110"/>
      <c r="E3683" t="str">
        <f>VLOOKUP(B3683,CAC!$A$2:$B$198,2,FALSE)</f>
        <v>PPOPMR</v>
      </c>
    </row>
    <row r="3684" spans="1:5" x14ac:dyDescent="0.25">
      <c r="A3684" s="108">
        <v>201801</v>
      </c>
      <c r="B3684" s="109" t="s">
        <v>291</v>
      </c>
      <c r="C3684" s="108">
        <v>0</v>
      </c>
      <c r="D3684" s="110"/>
      <c r="E3684" t="str">
        <f>VLOOKUP(B3684,CAC!$A$2:$B$198,2,FALSE)</f>
        <v>HMFLEX</v>
      </c>
    </row>
    <row r="3685" spans="1:5" x14ac:dyDescent="0.25">
      <c r="A3685" s="108">
        <v>201801</v>
      </c>
      <c r="B3685" s="109" t="s">
        <v>204</v>
      </c>
      <c r="C3685" s="108">
        <v>0</v>
      </c>
      <c r="D3685" s="110"/>
      <c r="E3685" t="str">
        <f>VLOOKUP(B3685,CAC!$A$2:$B$198,2,FALSE)</f>
        <v>PPOPMR</v>
      </c>
    </row>
    <row r="3686" spans="1:5" x14ac:dyDescent="0.25">
      <c r="A3686" s="108">
        <v>201801</v>
      </c>
      <c r="B3686" s="109" t="s">
        <v>330</v>
      </c>
      <c r="C3686" s="108">
        <v>0</v>
      </c>
      <c r="D3686" s="110"/>
      <c r="E3686" t="e">
        <f>VLOOKUP(B3686,CAC!$A$2:$B$198,2,FALSE)</f>
        <v>#N/A</v>
      </c>
    </row>
    <row r="3687" spans="1:5" x14ac:dyDescent="0.25">
      <c r="A3687" s="108">
        <v>201801</v>
      </c>
      <c r="B3687" s="109" t="s">
        <v>73</v>
      </c>
      <c r="C3687" s="108">
        <v>37162</v>
      </c>
      <c r="D3687" s="108">
        <v>13095</v>
      </c>
      <c r="E3687" t="str">
        <f>VLOOKUP(B3687,CAC!$A$2:$B$198,2,FALSE)</f>
        <v>HMOPERA</v>
      </c>
    </row>
    <row r="3688" spans="1:5" x14ac:dyDescent="0.25">
      <c r="A3688" s="108">
        <v>201801</v>
      </c>
      <c r="B3688" s="109" t="s">
        <v>218</v>
      </c>
      <c r="C3688" s="108">
        <v>0</v>
      </c>
      <c r="D3688" s="110"/>
      <c r="E3688" t="str">
        <f>VLOOKUP(B3688,CAC!$A$2:$B$198,2,FALSE)</f>
        <v>HMOPERA</v>
      </c>
    </row>
    <row r="3689" spans="1:5" x14ac:dyDescent="0.25">
      <c r="A3689" s="108">
        <v>201801</v>
      </c>
      <c r="B3689" s="109" t="s">
        <v>156</v>
      </c>
      <c r="C3689" s="108">
        <v>32372</v>
      </c>
      <c r="D3689" s="110"/>
      <c r="E3689" t="str">
        <f>VLOOKUP(B3689,CAC!$A$2:$B$198,2,FALSE)</f>
        <v>HMOMM</v>
      </c>
    </row>
    <row r="3690" spans="1:5" x14ac:dyDescent="0.25">
      <c r="A3690" s="108">
        <v>201801</v>
      </c>
      <c r="B3690" s="109" t="s">
        <v>84</v>
      </c>
      <c r="C3690" s="108">
        <v>12</v>
      </c>
      <c r="D3690" s="110"/>
      <c r="E3690" t="str">
        <f>VLOOKUP(B3690,CAC!$A$2:$B$198,2,FALSE)</f>
        <v>HMOMM</v>
      </c>
    </row>
    <row r="3691" spans="1:5" x14ac:dyDescent="0.25">
      <c r="A3691" s="108">
        <v>201801</v>
      </c>
      <c r="B3691" s="109" t="s">
        <v>162</v>
      </c>
      <c r="C3691" s="108">
        <v>415</v>
      </c>
      <c r="D3691" s="110"/>
      <c r="E3691" t="str">
        <f>VLOOKUP(B3691,CAC!$A$2:$B$198,2,FALSE)</f>
        <v>HMOMG</v>
      </c>
    </row>
    <row r="3692" spans="1:5" x14ac:dyDescent="0.25">
      <c r="A3692" s="108">
        <v>201801</v>
      </c>
      <c r="B3692" s="109" t="s">
        <v>163</v>
      </c>
      <c r="C3692" s="108">
        <v>70</v>
      </c>
      <c r="D3692" s="110"/>
      <c r="E3692" t="str">
        <f>VLOOKUP(B3692,CAC!$A$2:$B$198,2,FALSE)</f>
        <v>HMOMG</v>
      </c>
    </row>
    <row r="3693" spans="1:5" x14ac:dyDescent="0.25">
      <c r="A3693" s="108">
        <v>201801</v>
      </c>
      <c r="B3693" s="109" t="s">
        <v>164</v>
      </c>
      <c r="C3693" s="108">
        <v>0</v>
      </c>
      <c r="D3693" s="110"/>
      <c r="E3693" t="str">
        <f>VLOOKUP(B3693,CAC!$A$2:$B$198,2,FALSE)</f>
        <v>HMOMG</v>
      </c>
    </row>
    <row r="3694" spans="1:5" x14ac:dyDescent="0.25">
      <c r="A3694" s="108">
        <v>201801</v>
      </c>
      <c r="B3694" s="109" t="s">
        <v>85</v>
      </c>
      <c r="C3694" s="108">
        <v>684</v>
      </c>
      <c r="D3694" s="110"/>
      <c r="E3694" t="str">
        <f>VLOOKUP(B3694,CAC!$A$2:$B$198,2,FALSE)</f>
        <v>HMOMG</v>
      </c>
    </row>
    <row r="3695" spans="1:5" x14ac:dyDescent="0.25">
      <c r="A3695" s="108">
        <v>201801</v>
      </c>
      <c r="B3695" s="109" t="s">
        <v>77</v>
      </c>
      <c r="C3695" s="108">
        <v>35901</v>
      </c>
      <c r="D3695" s="110"/>
      <c r="E3695" t="str">
        <f>VLOOKUP(B3695,CAC!$A$2:$B$198,2,FALSE)</f>
        <v>HMOSG</v>
      </c>
    </row>
    <row r="3696" spans="1:5" x14ac:dyDescent="0.25">
      <c r="A3696" s="108">
        <v>201801</v>
      </c>
      <c r="B3696" s="109" t="s">
        <v>78</v>
      </c>
      <c r="C3696" s="108">
        <v>777</v>
      </c>
      <c r="D3696" s="110"/>
      <c r="E3696" t="str">
        <f>VLOOKUP(B3696,CAC!$A$2:$B$198,2,FALSE)</f>
        <v>HMOSG</v>
      </c>
    </row>
    <row r="3697" spans="1:5" x14ac:dyDescent="0.25">
      <c r="A3697" s="108">
        <v>201801</v>
      </c>
      <c r="B3697" s="109" t="s">
        <v>79</v>
      </c>
      <c r="C3697" s="108">
        <v>509</v>
      </c>
      <c r="D3697" s="110"/>
      <c r="E3697" t="str">
        <f>VLOOKUP(B3697,CAC!$A$2:$B$198,2,FALSE)</f>
        <v>HMOSG</v>
      </c>
    </row>
    <row r="3698" spans="1:5" x14ac:dyDescent="0.25">
      <c r="A3698" s="108">
        <v>201801</v>
      </c>
      <c r="B3698" s="109" t="s">
        <v>222</v>
      </c>
      <c r="C3698" s="108">
        <v>0</v>
      </c>
      <c r="D3698" s="110"/>
      <c r="E3698" t="str">
        <f>VLOOKUP(B3698,CAC!$A$2:$B$198,2,FALSE)</f>
        <v>PPOSG</v>
      </c>
    </row>
    <row r="3699" spans="1:5" x14ac:dyDescent="0.25">
      <c r="A3699" s="108">
        <v>201801</v>
      </c>
      <c r="B3699" s="109" t="s">
        <v>225</v>
      </c>
      <c r="C3699" s="108">
        <v>0</v>
      </c>
      <c r="D3699" s="110"/>
      <c r="E3699" t="str">
        <f>VLOOKUP(B3699,CAC!$A$2:$B$198,2,FALSE)</f>
        <v>PPOSG</v>
      </c>
    </row>
    <row r="3700" spans="1:5" x14ac:dyDescent="0.25">
      <c r="A3700" s="108">
        <v>201801</v>
      </c>
      <c r="B3700" s="109" t="s">
        <v>226</v>
      </c>
      <c r="C3700" s="108">
        <v>0</v>
      </c>
      <c r="D3700" s="110"/>
      <c r="E3700" t="str">
        <f>VLOOKUP(B3700,CAC!$A$2:$B$198,2,FALSE)</f>
        <v>PPOSG</v>
      </c>
    </row>
    <row r="3701" spans="1:5" x14ac:dyDescent="0.25">
      <c r="A3701" s="108">
        <v>201801</v>
      </c>
      <c r="B3701" s="109" t="s">
        <v>89</v>
      </c>
      <c r="C3701" s="108">
        <v>13908</v>
      </c>
      <c r="D3701" s="110"/>
      <c r="E3701" t="str">
        <f>VLOOKUP(B3701,CAC!$A$2:$B$198,2,FALSE)</f>
        <v>HMOIFP</v>
      </c>
    </row>
    <row r="3702" spans="1:5" x14ac:dyDescent="0.25">
      <c r="A3702" s="108">
        <v>201801</v>
      </c>
      <c r="B3702" s="109" t="s">
        <v>90</v>
      </c>
      <c r="C3702" s="108">
        <v>4378</v>
      </c>
      <c r="D3702" s="110"/>
      <c r="E3702" t="str">
        <f>VLOOKUP(B3702,CAC!$A$2:$B$198,2,FALSE)</f>
        <v>HMOIFP</v>
      </c>
    </row>
    <row r="3703" spans="1:5" x14ac:dyDescent="0.25">
      <c r="A3703" s="108">
        <v>201801</v>
      </c>
      <c r="B3703" s="109" t="s">
        <v>186</v>
      </c>
      <c r="C3703" s="108">
        <v>0</v>
      </c>
      <c r="D3703" s="110"/>
      <c r="E3703" t="str">
        <f>VLOOKUP(B3703,CAC!$A$2:$B$198,2,FALSE)</f>
        <v>PPOIFP</v>
      </c>
    </row>
    <row r="3704" spans="1:5" x14ac:dyDescent="0.25">
      <c r="A3704" s="108">
        <v>201801</v>
      </c>
      <c r="B3704" s="109" t="s">
        <v>188</v>
      </c>
      <c r="C3704" s="108">
        <v>0</v>
      </c>
      <c r="D3704" s="110"/>
      <c r="E3704" t="str">
        <f>VLOOKUP(B3704,CAC!$A$2:$B$198,2,FALSE)</f>
        <v>PPOIFP</v>
      </c>
    </row>
    <row r="3705" spans="1:5" x14ac:dyDescent="0.25">
      <c r="A3705" s="108">
        <v>201801</v>
      </c>
      <c r="B3705" s="109" t="s">
        <v>189</v>
      </c>
      <c r="C3705" s="108">
        <v>0</v>
      </c>
      <c r="D3705" s="110"/>
      <c r="E3705" t="str">
        <f>VLOOKUP(B3705,CAC!$A$2:$B$198,2,FALSE)</f>
        <v>PPOIFP</v>
      </c>
    </row>
    <row r="3706" spans="1:5" x14ac:dyDescent="0.25">
      <c r="A3706" s="108">
        <v>201801</v>
      </c>
      <c r="B3706" s="109" t="s">
        <v>331</v>
      </c>
      <c r="C3706" s="108">
        <v>0</v>
      </c>
      <c r="D3706" s="110"/>
      <c r="E3706" t="e">
        <f>VLOOKUP(B3706,CAC!$A$2:$B$198,2,FALSE)</f>
        <v>#N/A</v>
      </c>
    </row>
    <row r="3707" spans="1:5" x14ac:dyDescent="0.25">
      <c r="A3707" s="108">
        <v>201801</v>
      </c>
      <c r="B3707" s="109" t="s">
        <v>216</v>
      </c>
      <c r="C3707" s="108">
        <v>0</v>
      </c>
      <c r="D3707" s="110"/>
      <c r="E3707" t="str">
        <f>VLOOKUP(B3707,CAC!$A$2:$B$198,2,FALSE)</f>
        <v>PPOMM</v>
      </c>
    </row>
    <row r="3708" spans="1:5" x14ac:dyDescent="0.25">
      <c r="A3708" s="108">
        <v>201801</v>
      </c>
      <c r="B3708" s="109" t="s">
        <v>301</v>
      </c>
      <c r="C3708" s="108">
        <v>0</v>
      </c>
      <c r="D3708" s="110"/>
      <c r="E3708" t="str">
        <f>VLOOKUP(B3708,CAC!$A$2:$B$198,2,FALSE)</f>
        <v>XXX</v>
      </c>
    </row>
    <row r="3709" spans="1:5" x14ac:dyDescent="0.25">
      <c r="A3709" s="66"/>
      <c r="B3709" s="67"/>
      <c r="C3709" s="66"/>
      <c r="D3709" s="68"/>
    </row>
    <row r="3710" spans="1:5" x14ac:dyDescent="0.25">
      <c r="A3710" s="66"/>
      <c r="B3710" s="67"/>
      <c r="C3710" s="66"/>
      <c r="D3710" s="68"/>
    </row>
    <row r="3711" spans="1:5" x14ac:dyDescent="0.25">
      <c r="A3711" s="66"/>
      <c r="B3711" s="67"/>
      <c r="C3711" s="66"/>
      <c r="D3711" s="68"/>
    </row>
    <row r="3712" spans="1:5" x14ac:dyDescent="0.25">
      <c r="A3712" s="66"/>
      <c r="B3712" s="67"/>
      <c r="C3712" s="66"/>
      <c r="D3712" s="68"/>
    </row>
    <row r="3713" spans="1:4" x14ac:dyDescent="0.25">
      <c r="A3713" s="66"/>
      <c r="B3713" s="67"/>
      <c r="C3713" s="66"/>
      <c r="D3713" s="68"/>
    </row>
    <row r="3714" spans="1:4" x14ac:dyDescent="0.25">
      <c r="A3714" s="66"/>
      <c r="B3714" s="67"/>
      <c r="C3714" s="66"/>
      <c r="D3714" s="68"/>
    </row>
    <row r="3715" spans="1:4" x14ac:dyDescent="0.25">
      <c r="A3715" s="66"/>
      <c r="B3715" s="67"/>
      <c r="C3715" s="66"/>
      <c r="D3715" s="68"/>
    </row>
    <row r="3716" spans="1:4" x14ac:dyDescent="0.25">
      <c r="A3716" s="66"/>
      <c r="B3716" s="67"/>
      <c r="C3716" s="66"/>
      <c r="D3716" s="68"/>
    </row>
    <row r="3717" spans="1:4" x14ac:dyDescent="0.25">
      <c r="A3717" s="66"/>
      <c r="B3717" s="67"/>
      <c r="C3717" s="66"/>
      <c r="D3717" s="68"/>
    </row>
    <row r="3718" spans="1:4" x14ac:dyDescent="0.25">
      <c r="A3718" s="66"/>
      <c r="B3718" s="67"/>
      <c r="C3718" s="66"/>
      <c r="D3718" s="68"/>
    </row>
    <row r="3719" spans="1:4" x14ac:dyDescent="0.25">
      <c r="A3719" s="66"/>
      <c r="B3719" s="67"/>
      <c r="C3719" s="66"/>
      <c r="D3719" s="68"/>
    </row>
    <row r="3720" spans="1:4" x14ac:dyDescent="0.25">
      <c r="A3720" s="66"/>
      <c r="B3720" s="67"/>
      <c r="C3720" s="66"/>
      <c r="D3720" s="68"/>
    </row>
    <row r="3721" spans="1:4" x14ac:dyDescent="0.25">
      <c r="A3721" s="66"/>
      <c r="B3721" s="67"/>
      <c r="C3721" s="66"/>
      <c r="D3721" s="68"/>
    </row>
    <row r="3722" spans="1:4" x14ac:dyDescent="0.25">
      <c r="A3722" s="66"/>
      <c r="B3722" s="67"/>
      <c r="C3722" s="66"/>
      <c r="D3722" s="68"/>
    </row>
    <row r="3723" spans="1:4" x14ac:dyDescent="0.25">
      <c r="A3723" s="66"/>
      <c r="B3723" s="67"/>
      <c r="C3723" s="66"/>
      <c r="D3723" s="68"/>
    </row>
    <row r="3724" spans="1:4" x14ac:dyDescent="0.25">
      <c r="A3724" s="66"/>
      <c r="B3724" s="67"/>
      <c r="C3724" s="66"/>
      <c r="D3724" s="68"/>
    </row>
    <row r="3725" spans="1:4" x14ac:dyDescent="0.25">
      <c r="A3725" s="66"/>
      <c r="B3725" s="67"/>
      <c r="C3725" s="66"/>
      <c r="D3725" s="68"/>
    </row>
    <row r="3726" spans="1:4" x14ac:dyDescent="0.25">
      <c r="A3726" s="66"/>
      <c r="B3726" s="67"/>
      <c r="C3726" s="66"/>
      <c r="D3726" s="68"/>
    </row>
    <row r="3727" spans="1:4" x14ac:dyDescent="0.25">
      <c r="A3727" s="66"/>
      <c r="B3727" s="67"/>
      <c r="C3727" s="66"/>
      <c r="D3727" s="68"/>
    </row>
    <row r="3728" spans="1:4" x14ac:dyDescent="0.25">
      <c r="A3728" s="66"/>
      <c r="B3728" s="67"/>
      <c r="C3728" s="66"/>
      <c r="D3728" s="68"/>
    </row>
    <row r="3729" spans="1:4" x14ac:dyDescent="0.25">
      <c r="A3729" s="66"/>
      <c r="B3729" s="67"/>
      <c r="C3729" s="66"/>
      <c r="D3729" s="68"/>
    </row>
    <row r="3730" spans="1:4" x14ac:dyDescent="0.25">
      <c r="A3730" s="66"/>
      <c r="B3730" s="67"/>
      <c r="C3730" s="66"/>
      <c r="D3730" s="68"/>
    </row>
    <row r="3731" spans="1:4" x14ac:dyDescent="0.25">
      <c r="A3731" s="66"/>
      <c r="B3731" s="67"/>
      <c r="C3731" s="66"/>
      <c r="D3731" s="68"/>
    </row>
    <row r="3732" spans="1:4" x14ac:dyDescent="0.25">
      <c r="A3732" s="66"/>
      <c r="B3732" s="67"/>
      <c r="C3732" s="66"/>
      <c r="D3732" s="68"/>
    </row>
    <row r="3733" spans="1:4" x14ac:dyDescent="0.25">
      <c r="A3733" s="66"/>
      <c r="B3733" s="67"/>
      <c r="C3733" s="66"/>
      <c r="D3733" s="68"/>
    </row>
    <row r="3734" spans="1:4" x14ac:dyDescent="0.25">
      <c r="A3734" s="66"/>
      <c r="B3734" s="67"/>
      <c r="C3734" s="66"/>
      <c r="D3734" s="68"/>
    </row>
    <row r="3735" spans="1:4" x14ac:dyDescent="0.25">
      <c r="A3735" s="66"/>
      <c r="B3735" s="67"/>
      <c r="C3735" s="66"/>
      <c r="D3735" s="68"/>
    </row>
    <row r="3736" spans="1:4" x14ac:dyDescent="0.25">
      <c r="A3736" s="66"/>
      <c r="B3736" s="67"/>
      <c r="C3736" s="66"/>
      <c r="D3736" s="68"/>
    </row>
    <row r="3737" spans="1:4" x14ac:dyDescent="0.25">
      <c r="A3737" s="66"/>
      <c r="B3737" s="67"/>
      <c r="C3737" s="66"/>
      <c r="D3737" s="68"/>
    </row>
    <row r="3738" spans="1:4" x14ac:dyDescent="0.25">
      <c r="A3738" s="66"/>
      <c r="B3738" s="67"/>
      <c r="C3738" s="66"/>
      <c r="D3738" s="68"/>
    </row>
    <row r="3739" spans="1:4" x14ac:dyDescent="0.25">
      <c r="A3739" s="66"/>
      <c r="B3739" s="67"/>
      <c r="C3739" s="66"/>
      <c r="D3739" s="68"/>
    </row>
    <row r="3740" spans="1:4" x14ac:dyDescent="0.25">
      <c r="A3740" s="66"/>
      <c r="B3740" s="67"/>
      <c r="C3740" s="66"/>
      <c r="D3740" s="68"/>
    </row>
    <row r="3741" spans="1:4" x14ac:dyDescent="0.25">
      <c r="A3741" s="66"/>
      <c r="B3741" s="67"/>
      <c r="C3741" s="66"/>
      <c r="D3741" s="68"/>
    </row>
    <row r="3742" spans="1:4" x14ac:dyDescent="0.25">
      <c r="A3742" s="66"/>
      <c r="B3742" s="67"/>
      <c r="C3742" s="66"/>
      <c r="D3742" s="68"/>
    </row>
    <row r="3743" spans="1:4" x14ac:dyDescent="0.25">
      <c r="A3743" s="66"/>
      <c r="B3743" s="67"/>
      <c r="C3743" s="66"/>
      <c r="D3743" s="68"/>
    </row>
    <row r="3744" spans="1:4" x14ac:dyDescent="0.25">
      <c r="A3744" s="66"/>
      <c r="B3744" s="67"/>
      <c r="C3744" s="66"/>
      <c r="D3744" s="68"/>
    </row>
    <row r="3745" spans="1:4" x14ac:dyDescent="0.25">
      <c r="A3745" s="66"/>
      <c r="B3745" s="67"/>
      <c r="C3745" s="66"/>
      <c r="D3745" s="68"/>
    </row>
    <row r="3746" spans="1:4" x14ac:dyDescent="0.25">
      <c r="A3746" s="66"/>
      <c r="B3746" s="67"/>
      <c r="C3746" s="66"/>
      <c r="D3746" s="68"/>
    </row>
    <row r="3747" spans="1:4" x14ac:dyDescent="0.25">
      <c r="A3747" s="66"/>
      <c r="B3747" s="67"/>
      <c r="C3747" s="66"/>
      <c r="D3747" s="68"/>
    </row>
    <row r="3748" spans="1:4" x14ac:dyDescent="0.25">
      <c r="A3748" s="66"/>
      <c r="B3748" s="67"/>
      <c r="C3748" s="66"/>
      <c r="D3748" s="68"/>
    </row>
    <row r="3749" spans="1:4" x14ac:dyDescent="0.25">
      <c r="A3749" s="66"/>
      <c r="B3749" s="67"/>
      <c r="C3749" s="66"/>
      <c r="D3749" s="68"/>
    </row>
    <row r="3750" spans="1:4" x14ac:dyDescent="0.25">
      <c r="A3750" s="66"/>
      <c r="B3750" s="67"/>
      <c r="C3750" s="66"/>
      <c r="D3750" s="68"/>
    </row>
    <row r="3751" spans="1:4" x14ac:dyDescent="0.25">
      <c r="A3751" s="66"/>
      <c r="B3751" s="67"/>
      <c r="C3751" s="66"/>
      <c r="D3751" s="68"/>
    </row>
    <row r="3752" spans="1:4" x14ac:dyDescent="0.25">
      <c r="A3752" s="66"/>
      <c r="B3752" s="67"/>
      <c r="C3752" s="66"/>
      <c r="D3752" s="68"/>
    </row>
    <row r="3753" spans="1:4" x14ac:dyDescent="0.25">
      <c r="A3753" s="66"/>
      <c r="B3753" s="67"/>
      <c r="C3753" s="66"/>
      <c r="D3753" s="68"/>
    </row>
    <row r="3754" spans="1:4" x14ac:dyDescent="0.25">
      <c r="A3754" s="66"/>
      <c r="B3754" s="67"/>
      <c r="C3754" s="66"/>
      <c r="D3754" s="68"/>
    </row>
    <row r="3755" spans="1:4" x14ac:dyDescent="0.25">
      <c r="A3755" s="66"/>
      <c r="B3755" s="67"/>
      <c r="C3755" s="66"/>
      <c r="D3755" s="68"/>
    </row>
    <row r="3756" spans="1:4" x14ac:dyDescent="0.25">
      <c r="A3756" s="66"/>
      <c r="B3756" s="67"/>
      <c r="C3756" s="66"/>
      <c r="D3756" s="68"/>
    </row>
    <row r="3757" spans="1:4" x14ac:dyDescent="0.25">
      <c r="A3757" s="66"/>
      <c r="B3757" s="67"/>
      <c r="C3757" s="66"/>
      <c r="D3757" s="68"/>
    </row>
    <row r="3758" spans="1:4" x14ac:dyDescent="0.25">
      <c r="A3758" s="66"/>
      <c r="B3758" s="67"/>
      <c r="C3758" s="66"/>
      <c r="D3758" s="68"/>
    </row>
    <row r="3759" spans="1:4" x14ac:dyDescent="0.25">
      <c r="A3759" s="66"/>
      <c r="B3759" s="67"/>
      <c r="C3759" s="66"/>
      <c r="D3759" s="68"/>
    </row>
    <row r="3760" spans="1:4" x14ac:dyDescent="0.25">
      <c r="A3760" s="66"/>
      <c r="B3760" s="67"/>
      <c r="C3760" s="66"/>
      <c r="D3760" s="68"/>
    </row>
    <row r="3761" spans="1:4" x14ac:dyDescent="0.25">
      <c r="A3761" s="66"/>
      <c r="B3761" s="67"/>
      <c r="C3761" s="66"/>
      <c r="D3761" s="68"/>
    </row>
    <row r="3762" spans="1:4" x14ac:dyDescent="0.25">
      <c r="A3762" s="66"/>
      <c r="B3762" s="67"/>
      <c r="C3762" s="66"/>
      <c r="D3762" s="66"/>
    </row>
    <row r="3763" spans="1:4" x14ac:dyDescent="0.25">
      <c r="A3763" s="66"/>
      <c r="B3763" s="67"/>
      <c r="C3763" s="66"/>
      <c r="D3763" s="68"/>
    </row>
    <row r="3764" spans="1:4" x14ac:dyDescent="0.25">
      <c r="A3764" s="66"/>
      <c r="B3764" s="67"/>
      <c r="C3764" s="66"/>
      <c r="D3764" s="68"/>
    </row>
    <row r="3765" spans="1:4" x14ac:dyDescent="0.25">
      <c r="A3765" s="66"/>
      <c r="B3765" s="67"/>
      <c r="C3765" s="66"/>
      <c r="D3765" s="68"/>
    </row>
    <row r="3766" spans="1:4" x14ac:dyDescent="0.25">
      <c r="A3766" s="66"/>
      <c r="B3766" s="67"/>
      <c r="C3766" s="66"/>
      <c r="D3766" s="68"/>
    </row>
    <row r="3767" spans="1:4" x14ac:dyDescent="0.25">
      <c r="A3767" s="66"/>
      <c r="B3767" s="67"/>
      <c r="C3767" s="66"/>
      <c r="D3767" s="68"/>
    </row>
    <row r="3768" spans="1:4" x14ac:dyDescent="0.25">
      <c r="A3768" s="66"/>
      <c r="B3768" s="67"/>
      <c r="C3768" s="66"/>
      <c r="D3768" s="68"/>
    </row>
    <row r="3769" spans="1:4" x14ac:dyDescent="0.25">
      <c r="A3769" s="66"/>
      <c r="B3769" s="67"/>
      <c r="C3769" s="66"/>
      <c r="D3769" s="68"/>
    </row>
    <row r="3770" spans="1:4" x14ac:dyDescent="0.25">
      <c r="A3770" s="66"/>
      <c r="B3770" s="67"/>
      <c r="C3770" s="66"/>
      <c r="D3770" s="68"/>
    </row>
    <row r="3771" spans="1:4" x14ac:dyDescent="0.25">
      <c r="A3771" s="66"/>
      <c r="B3771" s="67"/>
      <c r="C3771" s="66"/>
      <c r="D3771" s="68"/>
    </row>
    <row r="3772" spans="1:4" x14ac:dyDescent="0.25">
      <c r="A3772" s="66"/>
      <c r="B3772" s="67"/>
      <c r="C3772" s="66"/>
      <c r="D3772" s="68"/>
    </row>
    <row r="3773" spans="1:4" x14ac:dyDescent="0.25">
      <c r="A3773" s="66"/>
      <c r="B3773" s="67"/>
      <c r="C3773" s="66"/>
      <c r="D3773" s="68"/>
    </row>
    <row r="3774" spans="1:4" x14ac:dyDescent="0.25">
      <c r="A3774" s="66"/>
      <c r="B3774" s="67"/>
      <c r="C3774" s="66"/>
      <c r="D3774" s="68"/>
    </row>
    <row r="3775" spans="1:4" x14ac:dyDescent="0.25">
      <c r="A3775" s="66"/>
      <c r="B3775" s="67"/>
      <c r="C3775" s="66"/>
      <c r="D3775" s="68"/>
    </row>
    <row r="3776" spans="1:4" x14ac:dyDescent="0.25">
      <c r="A3776" s="66"/>
      <c r="B3776" s="67"/>
      <c r="C3776" s="66"/>
      <c r="D3776" s="68"/>
    </row>
    <row r="3777" spans="1:4" x14ac:dyDescent="0.25">
      <c r="A3777" s="66"/>
      <c r="B3777" s="67"/>
      <c r="C3777" s="66"/>
      <c r="D3777" s="68"/>
    </row>
    <row r="3778" spans="1:4" x14ac:dyDescent="0.25">
      <c r="A3778" s="66"/>
      <c r="B3778" s="67"/>
      <c r="C3778" s="66"/>
      <c r="D3778" s="68"/>
    </row>
    <row r="3779" spans="1:4" x14ac:dyDescent="0.25">
      <c r="A3779" s="66"/>
      <c r="B3779" s="67"/>
      <c r="C3779" s="66"/>
      <c r="D3779" s="66"/>
    </row>
    <row r="3780" spans="1:4" x14ac:dyDescent="0.25">
      <c r="A3780" s="66"/>
      <c r="B3780" s="67"/>
      <c r="C3780" s="66"/>
      <c r="D3780" s="66"/>
    </row>
    <row r="3781" spans="1:4" x14ac:dyDescent="0.25">
      <c r="A3781" s="66"/>
      <c r="B3781" s="67"/>
      <c r="C3781" s="66"/>
      <c r="D3781" s="66"/>
    </row>
    <row r="3782" spans="1:4" x14ac:dyDescent="0.25">
      <c r="A3782" s="66"/>
      <c r="B3782" s="67"/>
      <c r="C3782" s="66"/>
      <c r="D3782" s="66"/>
    </row>
    <row r="3783" spans="1:4" x14ac:dyDescent="0.25">
      <c r="A3783" s="66"/>
      <c r="B3783" s="67"/>
      <c r="C3783" s="66"/>
      <c r="D3783" s="66"/>
    </row>
    <row r="3784" spans="1:4" x14ac:dyDescent="0.25">
      <c r="A3784" s="66"/>
      <c r="B3784" s="67"/>
      <c r="C3784" s="66"/>
      <c r="D3784" s="66"/>
    </row>
    <row r="3785" spans="1:4" x14ac:dyDescent="0.25">
      <c r="A3785" s="66"/>
      <c r="B3785" s="67"/>
      <c r="C3785" s="66"/>
      <c r="D3785" s="66"/>
    </row>
    <row r="3786" spans="1:4" x14ac:dyDescent="0.25">
      <c r="A3786" s="66"/>
      <c r="B3786" s="67"/>
      <c r="C3786" s="66"/>
      <c r="D3786" s="66"/>
    </row>
    <row r="3787" spans="1:4" x14ac:dyDescent="0.25">
      <c r="A3787" s="66"/>
      <c r="B3787" s="67"/>
      <c r="C3787" s="66"/>
      <c r="D3787" s="66"/>
    </row>
    <row r="3788" spans="1:4" x14ac:dyDescent="0.25">
      <c r="A3788" s="66"/>
      <c r="B3788" s="67"/>
      <c r="C3788" s="66"/>
      <c r="D3788" s="66"/>
    </row>
    <row r="3789" spans="1:4" x14ac:dyDescent="0.25">
      <c r="A3789" s="66"/>
      <c r="B3789" s="67"/>
      <c r="C3789" s="66"/>
      <c r="D3789" s="66"/>
    </row>
    <row r="3790" spans="1:4" x14ac:dyDescent="0.25">
      <c r="A3790" s="66"/>
      <c r="B3790" s="67"/>
      <c r="C3790" s="66"/>
      <c r="D3790" s="66"/>
    </row>
    <row r="3791" spans="1:4" x14ac:dyDescent="0.25">
      <c r="A3791" s="66"/>
      <c r="B3791" s="67"/>
      <c r="C3791" s="66"/>
      <c r="D3791" s="66"/>
    </row>
    <row r="3792" spans="1:4" x14ac:dyDescent="0.25">
      <c r="A3792" s="66"/>
      <c r="B3792" s="67"/>
      <c r="C3792" s="66"/>
      <c r="D3792" s="66"/>
    </row>
    <row r="3793" spans="1:4" x14ac:dyDescent="0.25">
      <c r="A3793" s="66"/>
      <c r="B3793" s="67"/>
      <c r="C3793" s="66"/>
      <c r="D3793" s="66"/>
    </row>
    <row r="3794" spans="1:4" x14ac:dyDescent="0.25">
      <c r="A3794" s="66"/>
      <c r="B3794" s="67"/>
      <c r="C3794" s="66"/>
      <c r="D3794" s="66"/>
    </row>
    <row r="3795" spans="1:4" x14ac:dyDescent="0.25">
      <c r="A3795" s="66"/>
      <c r="B3795" s="67"/>
      <c r="C3795" s="66"/>
      <c r="D3795" s="66"/>
    </row>
    <row r="3796" spans="1:4" x14ac:dyDescent="0.25">
      <c r="A3796" s="66"/>
      <c r="B3796" s="67"/>
      <c r="C3796" s="66"/>
      <c r="D3796" s="68"/>
    </row>
    <row r="3797" spans="1:4" x14ac:dyDescent="0.25">
      <c r="A3797" s="66"/>
      <c r="B3797" s="67"/>
      <c r="C3797" s="66"/>
      <c r="D3797" s="68"/>
    </row>
    <row r="3798" spans="1:4" x14ac:dyDescent="0.25">
      <c r="A3798" s="66"/>
      <c r="B3798" s="67"/>
      <c r="C3798" s="66"/>
      <c r="D3798" s="68"/>
    </row>
    <row r="3799" spans="1:4" x14ac:dyDescent="0.25">
      <c r="A3799" s="66"/>
      <c r="B3799" s="67"/>
      <c r="C3799" s="66"/>
      <c r="D3799" s="68"/>
    </row>
    <row r="3800" spans="1:4" x14ac:dyDescent="0.25">
      <c r="A3800" s="66"/>
      <c r="B3800" s="67"/>
      <c r="C3800" s="66"/>
      <c r="D3800" s="68"/>
    </row>
    <row r="3801" spans="1:4" x14ac:dyDescent="0.25">
      <c r="A3801" s="66"/>
      <c r="B3801" s="67"/>
      <c r="C3801" s="66"/>
      <c r="D3801" s="68"/>
    </row>
    <row r="3802" spans="1:4" x14ac:dyDescent="0.25">
      <c r="A3802" s="66"/>
      <c r="B3802" s="67"/>
      <c r="C3802" s="66"/>
      <c r="D3802" s="68"/>
    </row>
    <row r="3803" spans="1:4" x14ac:dyDescent="0.25">
      <c r="A3803" s="66"/>
      <c r="B3803" s="67"/>
      <c r="C3803" s="66"/>
      <c r="D3803" s="68"/>
    </row>
    <row r="3804" spans="1:4" x14ac:dyDescent="0.25">
      <c r="A3804" s="66"/>
      <c r="B3804" s="67"/>
      <c r="C3804" s="66"/>
      <c r="D3804" s="68"/>
    </row>
    <row r="3805" spans="1:4" x14ac:dyDescent="0.25">
      <c r="A3805" s="66"/>
      <c r="B3805" s="67"/>
      <c r="C3805" s="66"/>
      <c r="D3805" s="68"/>
    </row>
    <row r="3806" spans="1:4" x14ac:dyDescent="0.25">
      <c r="A3806" s="66"/>
      <c r="B3806" s="67"/>
      <c r="C3806" s="66"/>
      <c r="D3806" s="68"/>
    </row>
    <row r="3807" spans="1:4" x14ac:dyDescent="0.25">
      <c r="A3807" s="66"/>
      <c r="B3807" s="67"/>
      <c r="C3807" s="66"/>
      <c r="D3807" s="68"/>
    </row>
    <row r="3808" spans="1:4" x14ac:dyDescent="0.25">
      <c r="A3808" s="66"/>
      <c r="B3808" s="67"/>
      <c r="C3808" s="66"/>
      <c r="D3808" s="68"/>
    </row>
    <row r="3809" spans="1:4" x14ac:dyDescent="0.25">
      <c r="A3809" s="66"/>
      <c r="B3809" s="67"/>
      <c r="C3809" s="66"/>
      <c r="D3809" s="68"/>
    </row>
    <row r="3810" spans="1:4" x14ac:dyDescent="0.25">
      <c r="A3810" s="66"/>
      <c r="B3810" s="67"/>
      <c r="C3810" s="66"/>
      <c r="D3810" s="68"/>
    </row>
    <row r="3811" spans="1:4" x14ac:dyDescent="0.25">
      <c r="A3811" s="66"/>
      <c r="B3811" s="67"/>
      <c r="C3811" s="66"/>
      <c r="D3811" s="68"/>
    </row>
    <row r="3812" spans="1:4" x14ac:dyDescent="0.25">
      <c r="A3812" s="66"/>
      <c r="B3812" s="67"/>
      <c r="C3812" s="66"/>
      <c r="D3812" s="68"/>
    </row>
    <row r="3813" spans="1:4" x14ac:dyDescent="0.25">
      <c r="A3813" s="66"/>
      <c r="B3813" s="67"/>
      <c r="C3813" s="66"/>
      <c r="D3813" s="68"/>
    </row>
    <row r="3814" spans="1:4" x14ac:dyDescent="0.25">
      <c r="A3814" s="66"/>
      <c r="B3814" s="67"/>
      <c r="C3814" s="66"/>
      <c r="D3814" s="68"/>
    </row>
    <row r="3815" spans="1:4" x14ac:dyDescent="0.25">
      <c r="A3815" s="66"/>
      <c r="B3815" s="67"/>
      <c r="C3815" s="66"/>
      <c r="D3815" s="68"/>
    </row>
    <row r="3816" spans="1:4" x14ac:dyDescent="0.25">
      <c r="A3816" s="66"/>
      <c r="B3816" s="67"/>
      <c r="C3816" s="66"/>
      <c r="D3816" s="68"/>
    </row>
    <row r="3817" spans="1:4" x14ac:dyDescent="0.25">
      <c r="A3817" s="66"/>
      <c r="B3817" s="67"/>
      <c r="C3817" s="66"/>
      <c r="D3817" s="68"/>
    </row>
    <row r="3818" spans="1:4" x14ac:dyDescent="0.25">
      <c r="A3818" s="66"/>
      <c r="B3818" s="67"/>
      <c r="C3818" s="66"/>
      <c r="D3818" s="68"/>
    </row>
    <row r="3819" spans="1:4" x14ac:dyDescent="0.25">
      <c r="A3819" s="66"/>
      <c r="B3819" s="67"/>
      <c r="C3819" s="66"/>
      <c r="D3819" s="68"/>
    </row>
    <row r="3820" spans="1:4" x14ac:dyDescent="0.25">
      <c r="A3820" s="66"/>
      <c r="B3820" s="67"/>
      <c r="C3820" s="66"/>
      <c r="D3820" s="68"/>
    </row>
    <row r="3821" spans="1:4" x14ac:dyDescent="0.25">
      <c r="A3821" s="66"/>
      <c r="B3821" s="67"/>
      <c r="C3821" s="66"/>
      <c r="D3821" s="68"/>
    </row>
    <row r="3822" spans="1:4" x14ac:dyDescent="0.25">
      <c r="A3822" s="66"/>
      <c r="B3822" s="67"/>
      <c r="C3822" s="66"/>
      <c r="D3822" s="68"/>
    </row>
    <row r="3823" spans="1:4" x14ac:dyDescent="0.25">
      <c r="A3823" s="66"/>
      <c r="B3823" s="67"/>
      <c r="C3823" s="66"/>
      <c r="D3823" s="68"/>
    </row>
    <row r="3824" spans="1:4" x14ac:dyDescent="0.25">
      <c r="A3824" s="66"/>
      <c r="B3824" s="67"/>
      <c r="C3824" s="66"/>
      <c r="D3824" s="68"/>
    </row>
    <row r="3825" spans="1:4" x14ac:dyDescent="0.25">
      <c r="A3825" s="66"/>
      <c r="B3825" s="67"/>
      <c r="C3825" s="66"/>
      <c r="D3825" s="68"/>
    </row>
    <row r="3826" spans="1:4" x14ac:dyDescent="0.25">
      <c r="A3826" s="66"/>
      <c r="B3826" s="67"/>
      <c r="C3826" s="66"/>
      <c r="D3826" s="68"/>
    </row>
    <row r="3827" spans="1:4" x14ac:dyDescent="0.25">
      <c r="A3827" s="66"/>
      <c r="B3827" s="67"/>
      <c r="C3827" s="66"/>
      <c r="D3827" s="68"/>
    </row>
    <row r="3828" spans="1:4" x14ac:dyDescent="0.25">
      <c r="A3828" s="66"/>
      <c r="B3828" s="67"/>
      <c r="C3828" s="66"/>
      <c r="D3828" s="68"/>
    </row>
    <row r="3829" spans="1:4" x14ac:dyDescent="0.25">
      <c r="A3829" s="66"/>
      <c r="B3829" s="67"/>
      <c r="C3829" s="66"/>
      <c r="D3829" s="68"/>
    </row>
    <row r="3830" spans="1:4" x14ac:dyDescent="0.25">
      <c r="A3830" s="66"/>
      <c r="B3830" s="67"/>
      <c r="C3830" s="66"/>
      <c r="D3830" s="68"/>
    </row>
    <row r="3831" spans="1:4" x14ac:dyDescent="0.25">
      <c r="A3831" s="66"/>
      <c r="B3831" s="67"/>
      <c r="C3831" s="66"/>
      <c r="D3831" s="68"/>
    </row>
    <row r="3832" spans="1:4" x14ac:dyDescent="0.25">
      <c r="A3832" s="66"/>
      <c r="B3832" s="67"/>
      <c r="C3832" s="66"/>
      <c r="D3832" s="68"/>
    </row>
    <row r="3833" spans="1:4" x14ac:dyDescent="0.25">
      <c r="A3833" s="66"/>
      <c r="B3833" s="67"/>
      <c r="C3833" s="66"/>
      <c r="D3833" s="68"/>
    </row>
    <row r="3834" spans="1:4" x14ac:dyDescent="0.25">
      <c r="A3834" s="66"/>
      <c r="B3834" s="67"/>
      <c r="C3834" s="66"/>
      <c r="D3834" s="68"/>
    </row>
    <row r="3835" spans="1:4" x14ac:dyDescent="0.25">
      <c r="A3835" s="66"/>
      <c r="B3835" s="67"/>
      <c r="C3835" s="66"/>
      <c r="D3835" s="68"/>
    </row>
    <row r="3836" spans="1:4" x14ac:dyDescent="0.25">
      <c r="A3836" s="66"/>
      <c r="B3836" s="67"/>
      <c r="C3836" s="66"/>
      <c r="D3836" s="68"/>
    </row>
    <row r="3837" spans="1:4" x14ac:dyDescent="0.25">
      <c r="A3837" s="66"/>
      <c r="B3837" s="67"/>
      <c r="C3837" s="66"/>
      <c r="D3837" s="68"/>
    </row>
    <row r="3838" spans="1:4" x14ac:dyDescent="0.25">
      <c r="A3838" s="66"/>
      <c r="B3838" s="67"/>
      <c r="C3838" s="66"/>
      <c r="D3838" s="68"/>
    </row>
    <row r="3839" spans="1:4" x14ac:dyDescent="0.25">
      <c r="A3839" s="66"/>
      <c r="B3839" s="67"/>
      <c r="C3839" s="66"/>
      <c r="D3839" s="68"/>
    </row>
    <row r="3840" spans="1:4" x14ac:dyDescent="0.25">
      <c r="A3840" s="66"/>
      <c r="B3840" s="67"/>
      <c r="C3840" s="66"/>
      <c r="D3840" s="68"/>
    </row>
    <row r="3841" spans="1:4" x14ac:dyDescent="0.25">
      <c r="A3841" s="66"/>
      <c r="B3841" s="67"/>
      <c r="C3841" s="66"/>
      <c r="D3841" s="68"/>
    </row>
    <row r="3842" spans="1:4" x14ac:dyDescent="0.25">
      <c r="A3842" s="66"/>
      <c r="B3842" s="67"/>
      <c r="C3842" s="66"/>
      <c r="D3842" s="68"/>
    </row>
    <row r="3843" spans="1:4" x14ac:dyDescent="0.25">
      <c r="A3843" s="66"/>
      <c r="B3843" s="67"/>
      <c r="C3843" s="66"/>
      <c r="D3843" s="68"/>
    </row>
    <row r="3844" spans="1:4" x14ac:dyDescent="0.25">
      <c r="A3844" s="66"/>
      <c r="B3844" s="67"/>
      <c r="C3844" s="66"/>
      <c r="D3844" s="68"/>
    </row>
    <row r="3845" spans="1:4" x14ac:dyDescent="0.25">
      <c r="A3845" s="66"/>
      <c r="B3845" s="67"/>
      <c r="C3845" s="66"/>
      <c r="D3845" s="68"/>
    </row>
    <row r="3846" spans="1:4" x14ac:dyDescent="0.25">
      <c r="A3846" s="66"/>
      <c r="B3846" s="67"/>
      <c r="C3846" s="66"/>
      <c r="D3846" s="68"/>
    </row>
    <row r="3847" spans="1:4" x14ac:dyDescent="0.25">
      <c r="A3847" s="66"/>
      <c r="B3847" s="67"/>
      <c r="C3847" s="66"/>
      <c r="D3847" s="68"/>
    </row>
    <row r="3848" spans="1:4" x14ac:dyDescent="0.25">
      <c r="A3848" s="66"/>
      <c r="B3848" s="67"/>
      <c r="C3848" s="66"/>
      <c r="D3848" s="68"/>
    </row>
    <row r="3849" spans="1:4" x14ac:dyDescent="0.25">
      <c r="A3849" s="66"/>
      <c r="B3849" s="67"/>
      <c r="C3849" s="66"/>
      <c r="D3849" s="68"/>
    </row>
    <row r="3850" spans="1:4" x14ac:dyDescent="0.25">
      <c r="A3850" s="66"/>
      <c r="B3850" s="67"/>
      <c r="C3850" s="66"/>
      <c r="D3850" s="68"/>
    </row>
    <row r="3851" spans="1:4" x14ac:dyDescent="0.25">
      <c r="A3851" s="66"/>
      <c r="B3851" s="67"/>
      <c r="C3851" s="66"/>
      <c r="D3851" s="68"/>
    </row>
    <row r="3852" spans="1:4" x14ac:dyDescent="0.25">
      <c r="A3852" s="66"/>
      <c r="B3852" s="67"/>
      <c r="C3852" s="66"/>
      <c r="D3852" s="68"/>
    </row>
    <row r="3853" spans="1:4" x14ac:dyDescent="0.25">
      <c r="A3853" s="66"/>
      <c r="B3853" s="67"/>
      <c r="C3853" s="66"/>
      <c r="D3853" s="68"/>
    </row>
    <row r="3854" spans="1:4" x14ac:dyDescent="0.25">
      <c r="A3854" s="66"/>
      <c r="B3854" s="67"/>
      <c r="C3854" s="66"/>
      <c r="D3854" s="68"/>
    </row>
    <row r="3855" spans="1:4" x14ac:dyDescent="0.25">
      <c r="A3855" s="66"/>
      <c r="B3855" s="67"/>
      <c r="C3855" s="66"/>
      <c r="D3855" s="68"/>
    </row>
    <row r="3856" spans="1:4" x14ac:dyDescent="0.25">
      <c r="A3856" s="66"/>
      <c r="B3856" s="67"/>
      <c r="C3856" s="66"/>
      <c r="D3856" s="68"/>
    </row>
    <row r="3857" spans="1:4" x14ac:dyDescent="0.25">
      <c r="A3857" s="66"/>
      <c r="B3857" s="67"/>
      <c r="C3857" s="66"/>
      <c r="D3857" s="68"/>
    </row>
    <row r="3858" spans="1:4" x14ac:dyDescent="0.25">
      <c r="A3858" s="66"/>
      <c r="B3858" s="67"/>
      <c r="C3858" s="66"/>
      <c r="D3858" s="68"/>
    </row>
    <row r="3859" spans="1:4" x14ac:dyDescent="0.25">
      <c r="A3859" s="66"/>
      <c r="B3859" s="67"/>
      <c r="C3859" s="66"/>
      <c r="D3859" s="68"/>
    </row>
    <row r="3860" spans="1:4" x14ac:dyDescent="0.25">
      <c r="A3860" s="66"/>
      <c r="B3860" s="67"/>
      <c r="C3860" s="66"/>
      <c r="D3860" s="68"/>
    </row>
    <row r="3861" spans="1:4" x14ac:dyDescent="0.25">
      <c r="A3861" s="66"/>
      <c r="B3861" s="67"/>
      <c r="C3861" s="66"/>
      <c r="D3861" s="68"/>
    </row>
    <row r="3862" spans="1:4" x14ac:dyDescent="0.25">
      <c r="A3862" s="66"/>
      <c r="B3862" s="67"/>
      <c r="C3862" s="66"/>
      <c r="D3862" s="68"/>
    </row>
    <row r="3863" spans="1:4" x14ac:dyDescent="0.25">
      <c r="A3863" s="66"/>
      <c r="B3863" s="67"/>
      <c r="C3863" s="66"/>
      <c r="D3863" s="68"/>
    </row>
    <row r="3864" spans="1:4" x14ac:dyDescent="0.25">
      <c r="A3864" s="66"/>
      <c r="B3864" s="67"/>
      <c r="C3864" s="66"/>
      <c r="D3864" s="68"/>
    </row>
    <row r="3865" spans="1:4" x14ac:dyDescent="0.25">
      <c r="A3865" s="66"/>
      <c r="B3865" s="67"/>
      <c r="C3865" s="66"/>
      <c r="D3865" s="68"/>
    </row>
    <row r="3866" spans="1:4" x14ac:dyDescent="0.25">
      <c r="A3866" s="66"/>
      <c r="B3866" s="67"/>
      <c r="C3866" s="66"/>
      <c r="D3866" s="66"/>
    </row>
    <row r="3867" spans="1:4" x14ac:dyDescent="0.25">
      <c r="A3867" s="66"/>
      <c r="B3867" s="67"/>
      <c r="C3867" s="66"/>
      <c r="D3867" s="68"/>
    </row>
    <row r="3868" spans="1:4" x14ac:dyDescent="0.25">
      <c r="A3868" s="66"/>
      <c r="B3868" s="67"/>
      <c r="C3868" s="66"/>
      <c r="D3868" s="68"/>
    </row>
    <row r="3869" spans="1:4" x14ac:dyDescent="0.25">
      <c r="A3869" s="66"/>
      <c r="B3869" s="67"/>
      <c r="C3869" s="66"/>
      <c r="D3869" s="68"/>
    </row>
    <row r="3870" spans="1:4" x14ac:dyDescent="0.25">
      <c r="A3870" s="66"/>
      <c r="B3870" s="67"/>
      <c r="C3870" s="66"/>
      <c r="D3870" s="68"/>
    </row>
    <row r="3871" spans="1:4" x14ac:dyDescent="0.25">
      <c r="A3871" s="66"/>
      <c r="B3871" s="67"/>
      <c r="C3871" s="66"/>
      <c r="D3871" s="68"/>
    </row>
    <row r="3872" spans="1:4" x14ac:dyDescent="0.25">
      <c r="A3872" s="66"/>
      <c r="B3872" s="67"/>
      <c r="C3872" s="66"/>
      <c r="D3872" s="68"/>
    </row>
    <row r="3873" spans="1:4" x14ac:dyDescent="0.25">
      <c r="A3873" s="66"/>
      <c r="B3873" s="67"/>
      <c r="C3873" s="66"/>
      <c r="D3873" s="68"/>
    </row>
    <row r="3874" spans="1:4" x14ac:dyDescent="0.25">
      <c r="A3874" s="66"/>
      <c r="B3874" s="67"/>
      <c r="C3874" s="66"/>
      <c r="D3874" s="68"/>
    </row>
    <row r="3875" spans="1:4" x14ac:dyDescent="0.25">
      <c r="A3875" s="66"/>
      <c r="B3875" s="67"/>
      <c r="C3875" s="66"/>
      <c r="D3875" s="68"/>
    </row>
    <row r="3876" spans="1:4" x14ac:dyDescent="0.25">
      <c r="A3876" s="66"/>
      <c r="B3876" s="67"/>
      <c r="C3876" s="66"/>
      <c r="D3876" s="68"/>
    </row>
    <row r="3877" spans="1:4" x14ac:dyDescent="0.25">
      <c r="A3877" s="66"/>
      <c r="B3877" s="67"/>
      <c r="C3877" s="66"/>
      <c r="D3877" s="68"/>
    </row>
    <row r="3878" spans="1:4" x14ac:dyDescent="0.25">
      <c r="A3878" s="66"/>
      <c r="B3878" s="67"/>
      <c r="C3878" s="66"/>
      <c r="D3878" s="68"/>
    </row>
    <row r="3879" spans="1:4" x14ac:dyDescent="0.25">
      <c r="A3879" s="66"/>
      <c r="B3879" s="67"/>
      <c r="C3879" s="66"/>
      <c r="D3879" s="68"/>
    </row>
    <row r="3880" spans="1:4" x14ac:dyDescent="0.25">
      <c r="A3880" s="66"/>
      <c r="B3880" s="67"/>
      <c r="C3880" s="66"/>
      <c r="D3880" s="68"/>
    </row>
    <row r="3881" spans="1:4" x14ac:dyDescent="0.25">
      <c r="A3881" s="66"/>
      <c r="B3881" s="67"/>
      <c r="C3881" s="66"/>
      <c r="D3881" s="68"/>
    </row>
    <row r="3882" spans="1:4" x14ac:dyDescent="0.25">
      <c r="A3882" s="66"/>
      <c r="B3882" s="67"/>
      <c r="C3882" s="66"/>
      <c r="D3882" s="68"/>
    </row>
    <row r="3883" spans="1:4" x14ac:dyDescent="0.25">
      <c r="A3883" s="66"/>
      <c r="B3883" s="67"/>
      <c r="C3883" s="66"/>
      <c r="D3883" s="66"/>
    </row>
    <row r="3884" spans="1:4" x14ac:dyDescent="0.25">
      <c r="A3884" s="66"/>
      <c r="B3884" s="67"/>
      <c r="C3884" s="66"/>
      <c r="D3884" s="66"/>
    </row>
    <row r="3885" spans="1:4" x14ac:dyDescent="0.25">
      <c r="A3885" s="66"/>
      <c r="B3885" s="67"/>
      <c r="C3885" s="66"/>
      <c r="D3885" s="66"/>
    </row>
    <row r="3886" spans="1:4" x14ac:dyDescent="0.25">
      <c r="A3886" s="66"/>
      <c r="B3886" s="67"/>
      <c r="C3886" s="66"/>
      <c r="D3886" s="66"/>
    </row>
    <row r="3887" spans="1:4" x14ac:dyDescent="0.25">
      <c r="A3887" s="66"/>
      <c r="B3887" s="67"/>
      <c r="C3887" s="66"/>
      <c r="D3887" s="66"/>
    </row>
    <row r="3888" spans="1:4" x14ac:dyDescent="0.25">
      <c r="A3888" s="66"/>
      <c r="B3888" s="67"/>
      <c r="C3888" s="66"/>
      <c r="D3888" s="66"/>
    </row>
    <row r="3889" spans="1:4" x14ac:dyDescent="0.25">
      <c r="A3889" s="66"/>
      <c r="B3889" s="67"/>
      <c r="C3889" s="66"/>
      <c r="D3889" s="66"/>
    </row>
    <row r="3890" spans="1:4" x14ac:dyDescent="0.25">
      <c r="A3890" s="66"/>
      <c r="B3890" s="67"/>
      <c r="C3890" s="66"/>
      <c r="D3890" s="66"/>
    </row>
    <row r="3891" spans="1:4" x14ac:dyDescent="0.25">
      <c r="A3891" s="66"/>
      <c r="B3891" s="67"/>
      <c r="C3891" s="66"/>
      <c r="D3891" s="66"/>
    </row>
    <row r="3892" spans="1:4" x14ac:dyDescent="0.25">
      <c r="A3892" s="66"/>
      <c r="B3892" s="67"/>
      <c r="C3892" s="66"/>
      <c r="D3892" s="66"/>
    </row>
    <row r="3893" spans="1:4" x14ac:dyDescent="0.25">
      <c r="A3893" s="66"/>
      <c r="B3893" s="67"/>
      <c r="C3893" s="66"/>
      <c r="D3893" s="66"/>
    </row>
    <row r="3894" spans="1:4" x14ac:dyDescent="0.25">
      <c r="A3894" s="66"/>
      <c r="B3894" s="67"/>
      <c r="C3894" s="66"/>
      <c r="D3894" s="66"/>
    </row>
    <row r="3895" spans="1:4" x14ac:dyDescent="0.25">
      <c r="A3895" s="66"/>
      <c r="B3895" s="67"/>
      <c r="C3895" s="66"/>
      <c r="D3895" s="66"/>
    </row>
    <row r="3896" spans="1:4" x14ac:dyDescent="0.25">
      <c r="A3896" s="66"/>
      <c r="B3896" s="67"/>
      <c r="C3896" s="66"/>
      <c r="D3896" s="66"/>
    </row>
    <row r="3897" spans="1:4" x14ac:dyDescent="0.25">
      <c r="A3897" s="66"/>
      <c r="B3897" s="67"/>
      <c r="C3897" s="66"/>
      <c r="D3897" s="66"/>
    </row>
    <row r="3898" spans="1:4" x14ac:dyDescent="0.25">
      <c r="A3898" s="66"/>
      <c r="B3898" s="67"/>
      <c r="C3898" s="66"/>
      <c r="D3898" s="66"/>
    </row>
    <row r="3899" spans="1:4" x14ac:dyDescent="0.25">
      <c r="A3899" s="66"/>
      <c r="B3899" s="67"/>
      <c r="C3899" s="66"/>
      <c r="D3899" s="66"/>
    </row>
    <row r="3900" spans="1:4" x14ac:dyDescent="0.25">
      <c r="A3900" s="66"/>
      <c r="B3900" s="67"/>
      <c r="C3900" s="66"/>
      <c r="D3900" s="68"/>
    </row>
    <row r="3901" spans="1:4" x14ac:dyDescent="0.25">
      <c r="A3901" s="66"/>
      <c r="B3901" s="67"/>
      <c r="C3901" s="66"/>
      <c r="D3901" s="68"/>
    </row>
    <row r="3902" spans="1:4" x14ac:dyDescent="0.25">
      <c r="A3902" s="66"/>
      <c r="B3902" s="67"/>
      <c r="C3902" s="66"/>
      <c r="D3902" s="68"/>
    </row>
    <row r="3903" spans="1:4" x14ac:dyDescent="0.25">
      <c r="A3903" s="66"/>
      <c r="B3903" s="67"/>
      <c r="C3903" s="66"/>
      <c r="D3903" s="68"/>
    </row>
    <row r="3904" spans="1:4" x14ac:dyDescent="0.25">
      <c r="A3904" s="66"/>
      <c r="B3904" s="67"/>
      <c r="C3904" s="66"/>
      <c r="D3904" s="68"/>
    </row>
    <row r="3905" spans="1:4" x14ac:dyDescent="0.25">
      <c r="A3905" s="66"/>
      <c r="B3905" s="67"/>
      <c r="C3905" s="66"/>
      <c r="D3905" s="68"/>
    </row>
    <row r="3906" spans="1:4" x14ac:dyDescent="0.25">
      <c r="A3906" s="66"/>
      <c r="B3906" s="67"/>
      <c r="C3906" s="66"/>
      <c r="D3906" s="68"/>
    </row>
    <row r="3907" spans="1:4" x14ac:dyDescent="0.25">
      <c r="A3907" s="66"/>
      <c r="B3907" s="67"/>
      <c r="C3907" s="66"/>
      <c r="D3907" s="68"/>
    </row>
    <row r="3908" spans="1:4" x14ac:dyDescent="0.25">
      <c r="A3908" s="66"/>
      <c r="B3908" s="67"/>
      <c r="C3908" s="66"/>
      <c r="D3908" s="68"/>
    </row>
    <row r="3909" spans="1:4" x14ac:dyDescent="0.25">
      <c r="A3909" s="66"/>
      <c r="B3909" s="67"/>
      <c r="C3909" s="66"/>
      <c r="D3909" s="68"/>
    </row>
    <row r="3910" spans="1:4" x14ac:dyDescent="0.25">
      <c r="A3910" s="66"/>
      <c r="B3910" s="67"/>
      <c r="C3910" s="66"/>
      <c r="D3910" s="68"/>
    </row>
    <row r="3911" spans="1:4" x14ac:dyDescent="0.25">
      <c r="A3911" s="66"/>
      <c r="B3911" s="67"/>
      <c r="C3911" s="66"/>
      <c r="D3911" s="68"/>
    </row>
    <row r="3912" spans="1:4" x14ac:dyDescent="0.25">
      <c r="A3912" s="66"/>
      <c r="B3912" s="67"/>
      <c r="C3912" s="66"/>
      <c r="D3912" s="68"/>
    </row>
    <row r="3913" spans="1:4" x14ac:dyDescent="0.25">
      <c r="A3913" s="66"/>
      <c r="B3913" s="67"/>
      <c r="C3913" s="66"/>
      <c r="D3913" s="68"/>
    </row>
    <row r="3914" spans="1:4" x14ac:dyDescent="0.25">
      <c r="A3914" s="66"/>
      <c r="B3914" s="67"/>
      <c r="C3914" s="66"/>
      <c r="D3914" s="68"/>
    </row>
    <row r="3915" spans="1:4" x14ac:dyDescent="0.25">
      <c r="A3915" s="66"/>
      <c r="B3915" s="67"/>
      <c r="C3915" s="66"/>
      <c r="D3915" s="68"/>
    </row>
    <row r="3916" spans="1:4" x14ac:dyDescent="0.25">
      <c r="A3916" s="66"/>
      <c r="B3916" s="67"/>
      <c r="C3916" s="66"/>
      <c r="D3916" s="68"/>
    </row>
    <row r="3917" spans="1:4" x14ac:dyDescent="0.25">
      <c r="A3917" s="66"/>
      <c r="B3917" s="67"/>
      <c r="C3917" s="66"/>
      <c r="D3917" s="68"/>
    </row>
    <row r="3918" spans="1:4" x14ac:dyDescent="0.25">
      <c r="A3918" s="66"/>
      <c r="B3918" s="67"/>
      <c r="C3918" s="66"/>
      <c r="D3918" s="68"/>
    </row>
    <row r="3919" spans="1:4" x14ac:dyDescent="0.25">
      <c r="A3919" s="66"/>
      <c r="B3919" s="67"/>
      <c r="C3919" s="66"/>
      <c r="D3919" s="68"/>
    </row>
    <row r="3920" spans="1:4" x14ac:dyDescent="0.25">
      <c r="A3920" s="66"/>
      <c r="B3920" s="67"/>
      <c r="C3920" s="66"/>
      <c r="D3920" s="68"/>
    </row>
    <row r="3921" spans="1:4" x14ac:dyDescent="0.25">
      <c r="A3921" s="66"/>
      <c r="B3921" s="67"/>
      <c r="C3921" s="66"/>
      <c r="D3921" s="68"/>
    </row>
    <row r="3922" spans="1:4" x14ac:dyDescent="0.25">
      <c r="A3922" s="66"/>
      <c r="B3922" s="67"/>
      <c r="C3922" s="66"/>
      <c r="D3922" s="68"/>
    </row>
    <row r="3923" spans="1:4" x14ac:dyDescent="0.25">
      <c r="A3923" s="66"/>
      <c r="B3923" s="67"/>
      <c r="C3923" s="66"/>
      <c r="D3923" s="68"/>
    </row>
    <row r="3924" spans="1:4" x14ac:dyDescent="0.25">
      <c r="A3924" s="66"/>
      <c r="B3924" s="67"/>
      <c r="C3924" s="66"/>
      <c r="D3924" s="68"/>
    </row>
    <row r="3925" spans="1:4" x14ac:dyDescent="0.25">
      <c r="A3925" s="66"/>
      <c r="B3925" s="67"/>
      <c r="C3925" s="66"/>
      <c r="D3925" s="68"/>
    </row>
    <row r="3926" spans="1:4" x14ac:dyDescent="0.25">
      <c r="A3926" s="66"/>
      <c r="B3926" s="67"/>
      <c r="C3926" s="66"/>
      <c r="D3926" s="68"/>
    </row>
    <row r="3927" spans="1:4" x14ac:dyDescent="0.25">
      <c r="A3927" s="66"/>
      <c r="B3927" s="67"/>
      <c r="C3927" s="66"/>
      <c r="D3927" s="68"/>
    </row>
    <row r="3928" spans="1:4" x14ac:dyDescent="0.25">
      <c r="A3928" s="66"/>
      <c r="B3928" s="67"/>
      <c r="C3928" s="66"/>
      <c r="D3928" s="68"/>
    </row>
    <row r="3929" spans="1:4" x14ac:dyDescent="0.25">
      <c r="A3929" s="66"/>
      <c r="B3929" s="67"/>
      <c r="C3929" s="66"/>
      <c r="D3929" s="68"/>
    </row>
    <row r="3930" spans="1:4" x14ac:dyDescent="0.25">
      <c r="A3930" s="66"/>
      <c r="B3930" s="67"/>
      <c r="C3930" s="66"/>
      <c r="D3930" s="68"/>
    </row>
    <row r="3931" spans="1:4" x14ac:dyDescent="0.25">
      <c r="A3931" s="66"/>
      <c r="B3931" s="67"/>
      <c r="C3931" s="66"/>
      <c r="D3931" s="68"/>
    </row>
    <row r="3932" spans="1:4" x14ac:dyDescent="0.25">
      <c r="A3932" s="66"/>
      <c r="B3932" s="67"/>
      <c r="C3932" s="66"/>
      <c r="D3932" s="68"/>
    </row>
    <row r="3933" spans="1:4" x14ac:dyDescent="0.25">
      <c r="A3933" s="66"/>
      <c r="B3933" s="67"/>
      <c r="C3933" s="66"/>
      <c r="D3933" s="68"/>
    </row>
    <row r="3934" spans="1:4" x14ac:dyDescent="0.25">
      <c r="A3934" s="66"/>
      <c r="B3934" s="67"/>
      <c r="C3934" s="66"/>
      <c r="D3934" s="68"/>
    </row>
    <row r="3935" spans="1:4" x14ac:dyDescent="0.25">
      <c r="A3935" s="66"/>
      <c r="B3935" s="67"/>
      <c r="C3935" s="66"/>
      <c r="D3935" s="68"/>
    </row>
    <row r="3936" spans="1:4" x14ac:dyDescent="0.25">
      <c r="A3936" s="66"/>
      <c r="B3936" s="67"/>
      <c r="C3936" s="66"/>
      <c r="D3936" s="68"/>
    </row>
    <row r="3937" spans="1:4" x14ac:dyDescent="0.25">
      <c r="A3937" s="66"/>
      <c r="B3937" s="67"/>
      <c r="C3937" s="66"/>
      <c r="D3937" s="68"/>
    </row>
    <row r="3938" spans="1:4" x14ac:dyDescent="0.25">
      <c r="A3938" s="66"/>
      <c r="B3938" s="67"/>
      <c r="C3938" s="66"/>
      <c r="D3938" s="68"/>
    </row>
    <row r="3939" spans="1:4" x14ac:dyDescent="0.25">
      <c r="A3939" s="66"/>
      <c r="B3939" s="67"/>
      <c r="C3939" s="66"/>
      <c r="D3939" s="68"/>
    </row>
    <row r="3940" spans="1:4" x14ac:dyDescent="0.25">
      <c r="A3940" s="66"/>
      <c r="B3940" s="67"/>
      <c r="C3940" s="66"/>
      <c r="D3940" s="68"/>
    </row>
    <row r="3941" spans="1:4" x14ac:dyDescent="0.25">
      <c r="A3941" s="66"/>
      <c r="B3941" s="67"/>
      <c r="C3941" s="66"/>
      <c r="D3941" s="68"/>
    </row>
    <row r="3942" spans="1:4" x14ac:dyDescent="0.25">
      <c r="A3942" s="66"/>
      <c r="B3942" s="67"/>
      <c r="C3942" s="66"/>
      <c r="D3942" s="68"/>
    </row>
    <row r="3943" spans="1:4" x14ac:dyDescent="0.25">
      <c r="A3943" s="66"/>
      <c r="B3943" s="67"/>
      <c r="C3943" s="66"/>
      <c r="D3943" s="68"/>
    </row>
    <row r="3944" spans="1:4" x14ac:dyDescent="0.25">
      <c r="A3944" s="66"/>
      <c r="B3944" s="67"/>
      <c r="C3944" s="66"/>
      <c r="D3944" s="68"/>
    </row>
    <row r="3945" spans="1:4" x14ac:dyDescent="0.25">
      <c r="A3945" s="66"/>
      <c r="B3945" s="67"/>
      <c r="C3945" s="66"/>
      <c r="D3945" s="68"/>
    </row>
    <row r="3946" spans="1:4" x14ac:dyDescent="0.25">
      <c r="A3946" s="66"/>
      <c r="B3946" s="67"/>
      <c r="C3946" s="66"/>
      <c r="D3946" s="68"/>
    </row>
    <row r="3947" spans="1:4" x14ac:dyDescent="0.25">
      <c r="A3947" s="66"/>
      <c r="B3947" s="67"/>
      <c r="C3947" s="66"/>
      <c r="D3947" s="68"/>
    </row>
    <row r="3948" spans="1:4" x14ac:dyDescent="0.25">
      <c r="A3948" s="66"/>
      <c r="B3948" s="67"/>
      <c r="C3948" s="66"/>
      <c r="D3948" s="68"/>
    </row>
    <row r="3949" spans="1:4" x14ac:dyDescent="0.25">
      <c r="A3949" s="66"/>
      <c r="B3949" s="67"/>
      <c r="C3949" s="66"/>
      <c r="D3949" s="68"/>
    </row>
    <row r="3950" spans="1:4" x14ac:dyDescent="0.25">
      <c r="A3950" s="66"/>
      <c r="B3950" s="67"/>
      <c r="C3950" s="66"/>
      <c r="D3950" s="68"/>
    </row>
    <row r="3951" spans="1:4" x14ac:dyDescent="0.25">
      <c r="A3951" s="66"/>
      <c r="B3951" s="67"/>
      <c r="C3951" s="66"/>
      <c r="D3951" s="68"/>
    </row>
    <row r="3952" spans="1:4" x14ac:dyDescent="0.25">
      <c r="A3952" s="66"/>
      <c r="B3952" s="67"/>
      <c r="C3952" s="66"/>
      <c r="D3952" s="68"/>
    </row>
    <row r="3953" spans="1:4" x14ac:dyDescent="0.25">
      <c r="A3953" s="66"/>
      <c r="B3953" s="67"/>
      <c r="C3953" s="66"/>
      <c r="D3953" s="68"/>
    </row>
    <row r="3954" spans="1:4" x14ac:dyDescent="0.25">
      <c r="A3954" s="66"/>
      <c r="B3954" s="67"/>
      <c r="C3954" s="66"/>
      <c r="D3954" s="68"/>
    </row>
    <row r="3955" spans="1:4" x14ac:dyDescent="0.25">
      <c r="A3955" s="66"/>
      <c r="B3955" s="67"/>
      <c r="C3955" s="66"/>
      <c r="D3955" s="68"/>
    </row>
    <row r="3956" spans="1:4" x14ac:dyDescent="0.25">
      <c r="A3956" s="66"/>
      <c r="B3956" s="67"/>
      <c r="C3956" s="66"/>
      <c r="D3956" s="68"/>
    </row>
    <row r="3957" spans="1:4" x14ac:dyDescent="0.25">
      <c r="A3957" s="66"/>
      <c r="B3957" s="67"/>
      <c r="C3957" s="66"/>
      <c r="D3957" s="68"/>
    </row>
    <row r="3958" spans="1:4" x14ac:dyDescent="0.25">
      <c r="A3958" s="66"/>
      <c r="B3958" s="67"/>
      <c r="C3958" s="66"/>
      <c r="D3958" s="68"/>
    </row>
    <row r="3959" spans="1:4" x14ac:dyDescent="0.25">
      <c r="A3959" s="66"/>
      <c r="B3959" s="67"/>
      <c r="C3959" s="66"/>
      <c r="D3959" s="68"/>
    </row>
    <row r="3960" spans="1:4" x14ac:dyDescent="0.25">
      <c r="A3960" s="66"/>
      <c r="B3960" s="67"/>
      <c r="C3960" s="66"/>
      <c r="D3960" s="68"/>
    </row>
    <row r="3961" spans="1:4" x14ac:dyDescent="0.25">
      <c r="A3961" s="66"/>
      <c r="B3961" s="67"/>
      <c r="C3961" s="66"/>
      <c r="D3961" s="68"/>
    </row>
    <row r="3962" spans="1:4" x14ac:dyDescent="0.25">
      <c r="A3962" s="66"/>
      <c r="B3962" s="67"/>
      <c r="C3962" s="66"/>
      <c r="D3962" s="68"/>
    </row>
    <row r="3963" spans="1:4" x14ac:dyDescent="0.25">
      <c r="A3963" s="66"/>
      <c r="B3963" s="67"/>
      <c r="C3963" s="66"/>
      <c r="D3963" s="68"/>
    </row>
    <row r="3964" spans="1:4" x14ac:dyDescent="0.25">
      <c r="A3964" s="66"/>
      <c r="B3964" s="67"/>
      <c r="C3964" s="66"/>
      <c r="D3964" s="68"/>
    </row>
    <row r="3965" spans="1:4" x14ac:dyDescent="0.25">
      <c r="A3965" s="66"/>
      <c r="B3965" s="67"/>
      <c r="C3965" s="66"/>
      <c r="D3965" s="68"/>
    </row>
    <row r="3966" spans="1:4" x14ac:dyDescent="0.25">
      <c r="A3966" s="66"/>
      <c r="B3966" s="67"/>
      <c r="C3966" s="66"/>
      <c r="D3966" s="68"/>
    </row>
    <row r="3967" spans="1:4" x14ac:dyDescent="0.25">
      <c r="A3967" s="66"/>
      <c r="B3967" s="67"/>
      <c r="C3967" s="66"/>
      <c r="D3967" s="68"/>
    </row>
    <row r="3968" spans="1:4" x14ac:dyDescent="0.25">
      <c r="A3968" s="66"/>
      <c r="B3968" s="67"/>
      <c r="C3968" s="66"/>
      <c r="D3968" s="68"/>
    </row>
    <row r="3969" spans="1:4" x14ac:dyDescent="0.25">
      <c r="A3969" s="66"/>
      <c r="B3969" s="67"/>
      <c r="C3969" s="66"/>
      <c r="D3969" s="68"/>
    </row>
    <row r="3970" spans="1:4" x14ac:dyDescent="0.25">
      <c r="A3970" s="66"/>
      <c r="B3970" s="67"/>
      <c r="C3970" s="66"/>
      <c r="D3970" s="66"/>
    </row>
    <row r="3971" spans="1:4" x14ac:dyDescent="0.25">
      <c r="A3971" s="66"/>
      <c r="B3971" s="67"/>
      <c r="C3971" s="66"/>
      <c r="D3971" s="68"/>
    </row>
    <row r="3972" spans="1:4" x14ac:dyDescent="0.25">
      <c r="A3972" s="66"/>
      <c r="B3972" s="67"/>
      <c r="C3972" s="66"/>
      <c r="D3972" s="68"/>
    </row>
    <row r="3973" spans="1:4" x14ac:dyDescent="0.25">
      <c r="A3973" s="66"/>
      <c r="B3973" s="67"/>
      <c r="C3973" s="66"/>
      <c r="D3973" s="68"/>
    </row>
    <row r="3974" spans="1:4" x14ac:dyDescent="0.25">
      <c r="A3974" s="66"/>
      <c r="B3974" s="67"/>
      <c r="C3974" s="66"/>
      <c r="D3974" s="68"/>
    </row>
    <row r="3975" spans="1:4" x14ac:dyDescent="0.25">
      <c r="A3975" s="66"/>
      <c r="B3975" s="67"/>
      <c r="C3975" s="66"/>
      <c r="D3975" s="68"/>
    </row>
    <row r="3976" spans="1:4" x14ac:dyDescent="0.25">
      <c r="A3976" s="66"/>
      <c r="B3976" s="67"/>
      <c r="C3976" s="66"/>
      <c r="D3976" s="68"/>
    </row>
    <row r="3977" spans="1:4" x14ac:dyDescent="0.25">
      <c r="A3977" s="66"/>
      <c r="B3977" s="67"/>
      <c r="C3977" s="66"/>
      <c r="D3977" s="68"/>
    </row>
    <row r="3978" spans="1:4" x14ac:dyDescent="0.25">
      <c r="A3978" s="66"/>
      <c r="B3978" s="67"/>
      <c r="C3978" s="66"/>
      <c r="D3978" s="68"/>
    </row>
    <row r="3979" spans="1:4" x14ac:dyDescent="0.25">
      <c r="A3979" s="66"/>
      <c r="B3979" s="67"/>
      <c r="C3979" s="66"/>
      <c r="D3979" s="68"/>
    </row>
    <row r="3980" spans="1:4" x14ac:dyDescent="0.25">
      <c r="A3980" s="66"/>
      <c r="B3980" s="67"/>
      <c r="C3980" s="66"/>
      <c r="D3980" s="68"/>
    </row>
    <row r="3981" spans="1:4" x14ac:dyDescent="0.25">
      <c r="A3981" s="66"/>
      <c r="B3981" s="67"/>
      <c r="C3981" s="66"/>
      <c r="D3981" s="68"/>
    </row>
    <row r="3982" spans="1:4" x14ac:dyDescent="0.25">
      <c r="A3982" s="66"/>
      <c r="B3982" s="67"/>
      <c r="C3982" s="66"/>
      <c r="D3982" s="68"/>
    </row>
    <row r="3983" spans="1:4" x14ac:dyDescent="0.25">
      <c r="A3983" s="66"/>
      <c r="B3983" s="67"/>
      <c r="C3983" s="66"/>
      <c r="D3983" s="68"/>
    </row>
    <row r="3984" spans="1:4" x14ac:dyDescent="0.25">
      <c r="A3984" s="66"/>
      <c r="B3984" s="67"/>
      <c r="C3984" s="66"/>
      <c r="D3984" s="68"/>
    </row>
    <row r="3985" spans="1:4" x14ac:dyDescent="0.25">
      <c r="A3985" s="66"/>
      <c r="B3985" s="67"/>
      <c r="C3985" s="66"/>
      <c r="D3985" s="68"/>
    </row>
    <row r="3986" spans="1:4" x14ac:dyDescent="0.25">
      <c r="A3986" s="66"/>
      <c r="B3986" s="67"/>
      <c r="C3986" s="66"/>
      <c r="D3986" s="68"/>
    </row>
    <row r="3987" spans="1:4" x14ac:dyDescent="0.25">
      <c r="A3987" s="66"/>
      <c r="B3987" s="67"/>
      <c r="C3987" s="66"/>
      <c r="D3987" s="66"/>
    </row>
    <row r="3988" spans="1:4" x14ac:dyDescent="0.25">
      <c r="A3988" s="66"/>
      <c r="B3988" s="67"/>
      <c r="C3988" s="66"/>
      <c r="D3988" s="66"/>
    </row>
    <row r="3989" spans="1:4" x14ac:dyDescent="0.25">
      <c r="A3989" s="66"/>
      <c r="B3989" s="67"/>
      <c r="C3989" s="66"/>
      <c r="D3989" s="66"/>
    </row>
    <row r="3990" spans="1:4" x14ac:dyDescent="0.25">
      <c r="A3990" s="66"/>
      <c r="B3990" s="67"/>
      <c r="C3990" s="66"/>
      <c r="D3990" s="66"/>
    </row>
    <row r="3991" spans="1:4" x14ac:dyDescent="0.25">
      <c r="A3991" s="66"/>
      <c r="B3991" s="67"/>
      <c r="C3991" s="66"/>
      <c r="D3991" s="66"/>
    </row>
    <row r="3992" spans="1:4" x14ac:dyDescent="0.25">
      <c r="A3992" s="66"/>
      <c r="B3992" s="67"/>
      <c r="C3992" s="66"/>
      <c r="D3992" s="66"/>
    </row>
    <row r="3993" spans="1:4" x14ac:dyDescent="0.25">
      <c r="A3993" s="66"/>
      <c r="B3993" s="67"/>
      <c r="C3993" s="66"/>
      <c r="D3993" s="66"/>
    </row>
    <row r="3994" spans="1:4" x14ac:dyDescent="0.25">
      <c r="A3994" s="66"/>
      <c r="B3994" s="67"/>
      <c r="C3994" s="66"/>
      <c r="D3994" s="66"/>
    </row>
    <row r="3995" spans="1:4" x14ac:dyDescent="0.25">
      <c r="A3995" s="66"/>
      <c r="B3995" s="67"/>
      <c r="C3995" s="66"/>
      <c r="D3995" s="66"/>
    </row>
    <row r="3996" spans="1:4" x14ac:dyDescent="0.25">
      <c r="A3996" s="66"/>
      <c r="B3996" s="67"/>
      <c r="C3996" s="66"/>
      <c r="D3996" s="66"/>
    </row>
    <row r="3997" spans="1:4" x14ac:dyDescent="0.25">
      <c r="A3997" s="66"/>
      <c r="B3997" s="67"/>
      <c r="C3997" s="66"/>
      <c r="D3997" s="66"/>
    </row>
    <row r="3998" spans="1:4" x14ac:dyDescent="0.25">
      <c r="A3998" s="66"/>
      <c r="B3998" s="67"/>
      <c r="C3998" s="66"/>
      <c r="D3998" s="66"/>
    </row>
    <row r="3999" spans="1:4" x14ac:dyDescent="0.25">
      <c r="A3999" s="66"/>
      <c r="B3999" s="67"/>
      <c r="C3999" s="66"/>
      <c r="D3999" s="66"/>
    </row>
    <row r="4000" spans="1:4" x14ac:dyDescent="0.25">
      <c r="A4000" s="66"/>
      <c r="B4000" s="67"/>
      <c r="C4000" s="66"/>
      <c r="D4000" s="66"/>
    </row>
    <row r="4001" spans="1:4" x14ac:dyDescent="0.25">
      <c r="A4001" s="66"/>
      <c r="B4001" s="67"/>
      <c r="C4001" s="66"/>
      <c r="D4001" s="66"/>
    </row>
    <row r="4002" spans="1:4" x14ac:dyDescent="0.25">
      <c r="A4002" s="66"/>
      <c r="B4002" s="67"/>
      <c r="C4002" s="66"/>
      <c r="D4002" s="66"/>
    </row>
    <row r="4003" spans="1:4" x14ac:dyDescent="0.25">
      <c r="A4003" s="66"/>
      <c r="B4003" s="67"/>
      <c r="C4003" s="66"/>
      <c r="D4003" s="66"/>
    </row>
    <row r="4004" spans="1:4" x14ac:dyDescent="0.25">
      <c r="A4004" s="66"/>
      <c r="B4004" s="67"/>
      <c r="C4004" s="66"/>
      <c r="D4004" s="68"/>
    </row>
    <row r="4005" spans="1:4" x14ac:dyDescent="0.25">
      <c r="A4005" s="66"/>
      <c r="B4005" s="67"/>
      <c r="C4005" s="66"/>
      <c r="D4005" s="68"/>
    </row>
    <row r="4006" spans="1:4" x14ac:dyDescent="0.25">
      <c r="A4006" s="66"/>
      <c r="B4006" s="67"/>
      <c r="C4006" s="66"/>
      <c r="D4006" s="68"/>
    </row>
    <row r="4007" spans="1:4" x14ac:dyDescent="0.25">
      <c r="A4007" s="66"/>
      <c r="B4007" s="67"/>
      <c r="C4007" s="66"/>
      <c r="D4007" s="68"/>
    </row>
    <row r="4008" spans="1:4" x14ac:dyDescent="0.25">
      <c r="A4008" s="66"/>
      <c r="B4008" s="67"/>
      <c r="C4008" s="66"/>
      <c r="D4008" s="68"/>
    </row>
    <row r="4009" spans="1:4" x14ac:dyDescent="0.25">
      <c r="A4009" s="66"/>
      <c r="B4009" s="67"/>
      <c r="C4009" s="66"/>
      <c r="D4009" s="68"/>
    </row>
    <row r="4010" spans="1:4" x14ac:dyDescent="0.25">
      <c r="A4010" s="66"/>
      <c r="B4010" s="67"/>
      <c r="C4010" s="66"/>
      <c r="D4010" s="68"/>
    </row>
    <row r="4011" spans="1:4" x14ac:dyDescent="0.25">
      <c r="A4011" s="66"/>
      <c r="B4011" s="67"/>
      <c r="C4011" s="66"/>
      <c r="D4011" s="68"/>
    </row>
    <row r="4012" spans="1:4" x14ac:dyDescent="0.25">
      <c r="A4012" s="66"/>
      <c r="B4012" s="67"/>
      <c r="C4012" s="66"/>
      <c r="D4012" s="68"/>
    </row>
    <row r="4013" spans="1:4" x14ac:dyDescent="0.25">
      <c r="A4013" s="66"/>
      <c r="B4013" s="67"/>
      <c r="C4013" s="66"/>
      <c r="D4013" s="68"/>
    </row>
    <row r="4014" spans="1:4" x14ac:dyDescent="0.25">
      <c r="A4014" s="66"/>
      <c r="B4014" s="67"/>
      <c r="C4014" s="66"/>
      <c r="D4014" s="68"/>
    </row>
    <row r="4015" spans="1:4" x14ac:dyDescent="0.25">
      <c r="A4015" s="66"/>
      <c r="B4015" s="67"/>
      <c r="C4015" s="66"/>
      <c r="D4015" s="68"/>
    </row>
    <row r="4016" spans="1:4" x14ac:dyDescent="0.25">
      <c r="A4016" s="66"/>
      <c r="B4016" s="67"/>
      <c r="C4016" s="66"/>
      <c r="D4016" s="68"/>
    </row>
    <row r="4017" spans="1:4" x14ac:dyDescent="0.25">
      <c r="A4017" s="66"/>
      <c r="B4017" s="67"/>
      <c r="C4017" s="66"/>
      <c r="D4017" s="68"/>
    </row>
    <row r="4018" spans="1:4" x14ac:dyDescent="0.25">
      <c r="A4018" s="66"/>
      <c r="B4018" s="67"/>
      <c r="C4018" s="66"/>
      <c r="D4018" s="68"/>
    </row>
    <row r="4019" spans="1:4" x14ac:dyDescent="0.25">
      <c r="A4019" s="66"/>
      <c r="B4019" s="67"/>
      <c r="C4019" s="66"/>
      <c r="D4019" s="68"/>
    </row>
    <row r="4020" spans="1:4" x14ac:dyDescent="0.25">
      <c r="A4020" s="66"/>
      <c r="B4020" s="67"/>
      <c r="C4020" s="66"/>
      <c r="D4020" s="68"/>
    </row>
    <row r="4021" spans="1:4" x14ac:dyDescent="0.25">
      <c r="A4021" s="66"/>
      <c r="B4021" s="67"/>
      <c r="C4021" s="66"/>
      <c r="D4021" s="68"/>
    </row>
    <row r="4022" spans="1:4" x14ac:dyDescent="0.25">
      <c r="A4022" s="66"/>
      <c r="B4022" s="67"/>
      <c r="C4022" s="66"/>
      <c r="D4022" s="68"/>
    </row>
    <row r="4023" spans="1:4" x14ac:dyDescent="0.25">
      <c r="A4023" s="66"/>
      <c r="B4023" s="67"/>
      <c r="C4023" s="66"/>
      <c r="D4023" s="68"/>
    </row>
    <row r="4024" spans="1:4" x14ac:dyDescent="0.25">
      <c r="A4024" s="66"/>
      <c r="B4024" s="67"/>
      <c r="C4024" s="66"/>
      <c r="D4024" s="68"/>
    </row>
    <row r="4025" spans="1:4" x14ac:dyDescent="0.25">
      <c r="A4025" s="66"/>
      <c r="B4025" s="67"/>
      <c r="C4025" s="66"/>
      <c r="D4025" s="68"/>
    </row>
    <row r="4026" spans="1:4" x14ac:dyDescent="0.25">
      <c r="A4026" s="66"/>
      <c r="B4026" s="67"/>
      <c r="C4026" s="66"/>
      <c r="D4026" s="68"/>
    </row>
    <row r="4027" spans="1:4" x14ac:dyDescent="0.25">
      <c r="A4027" s="66"/>
      <c r="B4027" s="67"/>
      <c r="C4027" s="66"/>
      <c r="D4027" s="68"/>
    </row>
    <row r="4028" spans="1:4" x14ac:dyDescent="0.25">
      <c r="A4028" s="66"/>
      <c r="B4028" s="67"/>
      <c r="C4028" s="66"/>
      <c r="D4028" s="68"/>
    </row>
    <row r="4029" spans="1:4" x14ac:dyDescent="0.25">
      <c r="A4029" s="66"/>
      <c r="B4029" s="67"/>
      <c r="C4029" s="66"/>
      <c r="D4029" s="68"/>
    </row>
    <row r="4030" spans="1:4" x14ac:dyDescent="0.25">
      <c r="A4030" s="66"/>
      <c r="B4030" s="67"/>
      <c r="C4030" s="66"/>
      <c r="D4030" s="68"/>
    </row>
    <row r="4031" spans="1:4" x14ac:dyDescent="0.25">
      <c r="A4031" s="66"/>
      <c r="B4031" s="67"/>
      <c r="C4031" s="66"/>
      <c r="D4031" s="68"/>
    </row>
    <row r="4032" spans="1:4" x14ac:dyDescent="0.25">
      <c r="A4032" s="66"/>
      <c r="B4032" s="67"/>
      <c r="C4032" s="66"/>
      <c r="D4032" s="68"/>
    </row>
    <row r="4033" spans="1:4" x14ac:dyDescent="0.25">
      <c r="A4033" s="66"/>
      <c r="B4033" s="67"/>
      <c r="C4033" s="66"/>
      <c r="D4033" s="68"/>
    </row>
    <row r="4034" spans="1:4" x14ac:dyDescent="0.25">
      <c r="A4034" s="66"/>
      <c r="B4034" s="67"/>
      <c r="C4034" s="66"/>
      <c r="D4034" s="68"/>
    </row>
    <row r="4035" spans="1:4" x14ac:dyDescent="0.25">
      <c r="A4035" s="66"/>
      <c r="B4035" s="67"/>
      <c r="C4035" s="66"/>
      <c r="D4035" s="68"/>
    </row>
    <row r="4036" spans="1:4" x14ac:dyDescent="0.25">
      <c r="A4036" s="66"/>
      <c r="B4036" s="67"/>
      <c r="C4036" s="66"/>
      <c r="D4036" s="68"/>
    </row>
    <row r="4037" spans="1:4" x14ac:dyDescent="0.25">
      <c r="A4037" s="66"/>
      <c r="B4037" s="67"/>
      <c r="C4037" s="66"/>
      <c r="D4037" s="68"/>
    </row>
    <row r="4038" spans="1:4" x14ac:dyDescent="0.25">
      <c r="A4038" s="66"/>
      <c r="B4038" s="67"/>
      <c r="C4038" s="66"/>
      <c r="D4038" s="68"/>
    </row>
    <row r="4039" spans="1:4" x14ac:dyDescent="0.25">
      <c r="A4039" s="66"/>
      <c r="B4039" s="67"/>
      <c r="C4039" s="66"/>
      <c r="D4039" s="68"/>
    </row>
    <row r="4040" spans="1:4" x14ac:dyDescent="0.25">
      <c r="A4040" s="66"/>
      <c r="B4040" s="67"/>
      <c r="C4040" s="66"/>
      <c r="D4040" s="68"/>
    </row>
    <row r="4041" spans="1:4" x14ac:dyDescent="0.25">
      <c r="A4041" s="66"/>
      <c r="B4041" s="67"/>
      <c r="C4041" s="66"/>
      <c r="D4041" s="68"/>
    </row>
    <row r="4042" spans="1:4" x14ac:dyDescent="0.25">
      <c r="A4042" s="66"/>
      <c r="B4042" s="67"/>
      <c r="C4042" s="66"/>
      <c r="D4042" s="68"/>
    </row>
    <row r="4043" spans="1:4" x14ac:dyDescent="0.25">
      <c r="A4043" s="66"/>
      <c r="B4043" s="67"/>
      <c r="C4043" s="66"/>
      <c r="D4043" s="68"/>
    </row>
    <row r="4044" spans="1:4" x14ac:dyDescent="0.25">
      <c r="A4044" s="66"/>
      <c r="B4044" s="67"/>
      <c r="C4044" s="66"/>
      <c r="D4044" s="68"/>
    </row>
    <row r="4045" spans="1:4" x14ac:dyDescent="0.25">
      <c r="A4045" s="66"/>
      <c r="B4045" s="67"/>
      <c r="C4045" s="66"/>
      <c r="D4045" s="68"/>
    </row>
    <row r="4046" spans="1:4" x14ac:dyDescent="0.25">
      <c r="A4046" s="66"/>
      <c r="B4046" s="67"/>
      <c r="C4046" s="66"/>
      <c r="D4046" s="68"/>
    </row>
    <row r="4047" spans="1:4" x14ac:dyDescent="0.25">
      <c r="A4047" s="66"/>
      <c r="B4047" s="67"/>
      <c r="C4047" s="66"/>
      <c r="D4047" s="68"/>
    </row>
    <row r="4048" spans="1:4" x14ac:dyDescent="0.25">
      <c r="A4048" s="66"/>
      <c r="B4048" s="67"/>
      <c r="C4048" s="66"/>
      <c r="D4048" s="68"/>
    </row>
    <row r="4049" spans="1:4" x14ac:dyDescent="0.25">
      <c r="A4049" s="66"/>
      <c r="B4049" s="67"/>
      <c r="C4049" s="66"/>
      <c r="D4049" s="68"/>
    </row>
    <row r="4050" spans="1:4" x14ac:dyDescent="0.25">
      <c r="A4050" s="66"/>
      <c r="B4050" s="67"/>
      <c r="C4050" s="66"/>
      <c r="D4050" s="68"/>
    </row>
    <row r="4051" spans="1:4" x14ac:dyDescent="0.25">
      <c r="A4051" s="66"/>
      <c r="B4051" s="67"/>
      <c r="C4051" s="66"/>
      <c r="D4051" s="68"/>
    </row>
    <row r="4052" spans="1:4" x14ac:dyDescent="0.25">
      <c r="A4052" s="66"/>
      <c r="B4052" s="67"/>
      <c r="C4052" s="66"/>
      <c r="D4052" s="68"/>
    </row>
    <row r="4053" spans="1:4" x14ac:dyDescent="0.25">
      <c r="A4053" s="66"/>
      <c r="B4053" s="67"/>
      <c r="C4053" s="66"/>
      <c r="D4053" s="68"/>
    </row>
    <row r="4054" spans="1:4" x14ac:dyDescent="0.25">
      <c r="A4054" s="66"/>
      <c r="B4054" s="67"/>
      <c r="C4054" s="66"/>
      <c r="D4054" s="68"/>
    </row>
    <row r="4055" spans="1:4" x14ac:dyDescent="0.25">
      <c r="A4055" s="66"/>
      <c r="B4055" s="67"/>
      <c r="C4055" s="66"/>
      <c r="D4055" s="68"/>
    </row>
    <row r="4056" spans="1:4" x14ac:dyDescent="0.25">
      <c r="A4056" s="66"/>
      <c r="B4056" s="67"/>
      <c r="C4056" s="66"/>
      <c r="D4056" s="68"/>
    </row>
    <row r="4057" spans="1:4" x14ac:dyDescent="0.25">
      <c r="A4057" s="66"/>
      <c r="B4057" s="67"/>
      <c r="C4057" s="66"/>
      <c r="D4057" s="68"/>
    </row>
    <row r="4058" spans="1:4" x14ac:dyDescent="0.25">
      <c r="A4058" s="66"/>
      <c r="B4058" s="67"/>
      <c r="C4058" s="66"/>
      <c r="D4058" s="68"/>
    </row>
    <row r="4059" spans="1:4" x14ac:dyDescent="0.25">
      <c r="A4059" s="66"/>
      <c r="B4059" s="67"/>
      <c r="C4059" s="66"/>
      <c r="D4059" s="68"/>
    </row>
    <row r="4060" spans="1:4" x14ac:dyDescent="0.25">
      <c r="A4060" s="66"/>
      <c r="B4060" s="67"/>
      <c r="C4060" s="66"/>
      <c r="D4060" s="68"/>
    </row>
    <row r="4061" spans="1:4" x14ac:dyDescent="0.25">
      <c r="A4061" s="66"/>
      <c r="B4061" s="67"/>
      <c r="C4061" s="66"/>
      <c r="D4061" s="68"/>
    </row>
    <row r="4062" spans="1:4" x14ac:dyDescent="0.25">
      <c r="A4062" s="66"/>
      <c r="B4062" s="67"/>
      <c r="C4062" s="66"/>
      <c r="D4062" s="68"/>
    </row>
    <row r="4063" spans="1:4" x14ac:dyDescent="0.25">
      <c r="A4063" s="66"/>
      <c r="B4063" s="67"/>
      <c r="C4063" s="66"/>
      <c r="D4063" s="68"/>
    </row>
    <row r="4064" spans="1:4" x14ac:dyDescent="0.25">
      <c r="A4064" s="66"/>
      <c r="B4064" s="67"/>
      <c r="C4064" s="66"/>
      <c r="D4064" s="68"/>
    </row>
    <row r="4065" spans="1:4" x14ac:dyDescent="0.25">
      <c r="A4065" s="66"/>
      <c r="B4065" s="67"/>
      <c r="C4065" s="66"/>
      <c r="D4065" s="68"/>
    </row>
    <row r="4066" spans="1:4" x14ac:dyDescent="0.25">
      <c r="A4066" s="66"/>
      <c r="B4066" s="67"/>
      <c r="C4066" s="66"/>
      <c r="D4066" s="68"/>
    </row>
    <row r="4067" spans="1:4" x14ac:dyDescent="0.25">
      <c r="A4067" s="66"/>
      <c r="B4067" s="67"/>
      <c r="C4067" s="66"/>
      <c r="D4067" s="68"/>
    </row>
    <row r="4068" spans="1:4" x14ac:dyDescent="0.25">
      <c r="A4068" s="66"/>
      <c r="B4068" s="67"/>
      <c r="C4068" s="66"/>
      <c r="D4068" s="68"/>
    </row>
    <row r="4069" spans="1:4" x14ac:dyDescent="0.25">
      <c r="A4069" s="66"/>
      <c r="B4069" s="67"/>
      <c r="C4069" s="66"/>
      <c r="D4069" s="68"/>
    </row>
    <row r="4070" spans="1:4" x14ac:dyDescent="0.25">
      <c r="A4070" s="66"/>
      <c r="B4070" s="67"/>
      <c r="C4070" s="66"/>
      <c r="D4070" s="68"/>
    </row>
    <row r="4071" spans="1:4" x14ac:dyDescent="0.25">
      <c r="A4071" s="66"/>
      <c r="B4071" s="67"/>
      <c r="C4071" s="66"/>
      <c r="D4071" s="68"/>
    </row>
    <row r="4072" spans="1:4" x14ac:dyDescent="0.25">
      <c r="A4072" s="66"/>
      <c r="B4072" s="67"/>
      <c r="C4072" s="66"/>
      <c r="D4072" s="68"/>
    </row>
    <row r="4073" spans="1:4" x14ac:dyDescent="0.25">
      <c r="A4073" s="66"/>
      <c r="B4073" s="67"/>
      <c r="C4073" s="66"/>
      <c r="D4073" s="68"/>
    </row>
    <row r="4074" spans="1:4" x14ac:dyDescent="0.25">
      <c r="A4074" s="66"/>
      <c r="B4074" s="67"/>
      <c r="C4074" s="66"/>
      <c r="D4074" s="66"/>
    </row>
    <row r="4075" spans="1:4" x14ac:dyDescent="0.25">
      <c r="A4075" s="66"/>
      <c r="B4075" s="67"/>
      <c r="C4075" s="66"/>
      <c r="D4075" s="68"/>
    </row>
    <row r="4076" spans="1:4" x14ac:dyDescent="0.25">
      <c r="A4076" s="66"/>
      <c r="B4076" s="67"/>
      <c r="C4076" s="66"/>
      <c r="D4076" s="68"/>
    </row>
    <row r="4077" spans="1:4" x14ac:dyDescent="0.25">
      <c r="A4077" s="66"/>
      <c r="B4077" s="67"/>
      <c r="C4077" s="66"/>
      <c r="D4077" s="68"/>
    </row>
    <row r="4078" spans="1:4" x14ac:dyDescent="0.25">
      <c r="A4078" s="66"/>
      <c r="B4078" s="67"/>
      <c r="C4078" s="66"/>
      <c r="D4078" s="68"/>
    </row>
    <row r="4079" spans="1:4" x14ac:dyDescent="0.25">
      <c r="A4079" s="66"/>
      <c r="B4079" s="67"/>
      <c r="C4079" s="66"/>
      <c r="D4079" s="68"/>
    </row>
    <row r="4080" spans="1:4" x14ac:dyDescent="0.25">
      <c r="A4080" s="66"/>
      <c r="B4080" s="67"/>
      <c r="C4080" s="66"/>
      <c r="D4080" s="68"/>
    </row>
    <row r="4081" spans="1:4" x14ac:dyDescent="0.25">
      <c r="A4081" s="66"/>
      <c r="B4081" s="67"/>
      <c r="C4081" s="66"/>
      <c r="D4081" s="68"/>
    </row>
    <row r="4082" spans="1:4" x14ac:dyDescent="0.25">
      <c r="A4082" s="66"/>
      <c r="B4082" s="67"/>
      <c r="C4082" s="66"/>
      <c r="D4082" s="68"/>
    </row>
    <row r="4083" spans="1:4" x14ac:dyDescent="0.25">
      <c r="A4083" s="66"/>
      <c r="B4083" s="67"/>
      <c r="C4083" s="66"/>
      <c r="D4083" s="68"/>
    </row>
    <row r="4084" spans="1:4" x14ac:dyDescent="0.25">
      <c r="A4084" s="66"/>
      <c r="B4084" s="67"/>
      <c r="C4084" s="66"/>
      <c r="D4084" s="68"/>
    </row>
    <row r="4085" spans="1:4" x14ac:dyDescent="0.25">
      <c r="A4085" s="66"/>
      <c r="B4085" s="67"/>
      <c r="C4085" s="66"/>
      <c r="D4085" s="68"/>
    </row>
    <row r="4086" spans="1:4" x14ac:dyDescent="0.25">
      <c r="A4086" s="66"/>
      <c r="B4086" s="67"/>
      <c r="C4086" s="66"/>
      <c r="D4086" s="68"/>
    </row>
    <row r="4087" spans="1:4" x14ac:dyDescent="0.25">
      <c r="A4087" s="66"/>
      <c r="B4087" s="67"/>
      <c r="C4087" s="66"/>
      <c r="D4087" s="68"/>
    </row>
    <row r="4088" spans="1:4" x14ac:dyDescent="0.25">
      <c r="A4088" s="66"/>
      <c r="B4088" s="67"/>
      <c r="C4088" s="66"/>
      <c r="D4088" s="68"/>
    </row>
    <row r="4089" spans="1:4" x14ac:dyDescent="0.25">
      <c r="A4089" s="66"/>
      <c r="B4089" s="67"/>
      <c r="C4089" s="66"/>
      <c r="D4089" s="68"/>
    </row>
    <row r="4090" spans="1:4" x14ac:dyDescent="0.25">
      <c r="A4090" s="66"/>
      <c r="B4090" s="67"/>
      <c r="C4090" s="66"/>
      <c r="D4090" s="68"/>
    </row>
    <row r="4091" spans="1:4" x14ac:dyDescent="0.25">
      <c r="A4091" s="66"/>
      <c r="B4091" s="67"/>
      <c r="C4091" s="66"/>
      <c r="D4091" s="66"/>
    </row>
  </sheetData>
  <hyperlinks>
    <hyperlink ref="A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499"/>
  <sheetViews>
    <sheetView showGridLines="0" workbookViewId="0"/>
  </sheetViews>
  <sheetFormatPr defaultRowHeight="15" x14ac:dyDescent="0.25"/>
  <cols>
    <col min="1" max="1" width="51.28515625" customWidth="1"/>
    <col min="2" max="2" width="7.140625" customWidth="1"/>
    <col min="3" max="3" width="101.7109375" style="70" customWidth="1"/>
    <col min="4" max="4" width="9.140625" style="70"/>
    <col min="5" max="5" width="14.85546875" style="70" bestFit="1" customWidth="1"/>
    <col min="6" max="6" width="14.7109375" style="70" bestFit="1" customWidth="1"/>
    <col min="7" max="7" width="12.5703125" bestFit="1" customWidth="1"/>
    <col min="8" max="8" width="12" bestFit="1" customWidth="1"/>
    <col min="9" max="9" width="19.42578125" bestFit="1" customWidth="1"/>
    <col min="10" max="10" width="3.5703125" customWidth="1"/>
    <col min="11" max="11" width="14.5703125" bestFit="1" customWidth="1"/>
    <col min="12" max="13" width="5.5703125" bestFit="1" customWidth="1"/>
    <col min="14" max="14" width="10.140625" bestFit="1" customWidth="1"/>
    <col min="15" max="15" width="3.7109375" customWidth="1"/>
    <col min="16" max="16" width="9" style="99" bestFit="1" customWidth="1"/>
    <col min="17" max="17" width="10.140625" bestFit="1" customWidth="1"/>
  </cols>
  <sheetData>
    <row r="1" spans="1:32" x14ac:dyDescent="0.25">
      <c r="A1" s="51" t="s">
        <v>934</v>
      </c>
      <c r="C1" s="51" t="s">
        <v>11474</v>
      </c>
      <c r="E1" s="104">
        <v>43150.583796990744</v>
      </c>
      <c r="P1" s="51" t="s">
        <v>960</v>
      </c>
    </row>
    <row r="2" spans="1:32" x14ac:dyDescent="0.25">
      <c r="A2" s="88" t="s">
        <v>17</v>
      </c>
      <c r="B2" s="70"/>
      <c r="C2" s="28" t="s">
        <v>17</v>
      </c>
      <c r="E2" s="41" t="s">
        <v>946</v>
      </c>
      <c r="F2" s="41" t="s">
        <v>339</v>
      </c>
      <c r="G2" s="41" t="s">
        <v>340</v>
      </c>
      <c r="H2" s="41" t="s">
        <v>341</v>
      </c>
      <c r="I2" s="41" t="s">
        <v>947</v>
      </c>
      <c r="K2" s="71" t="s">
        <v>372</v>
      </c>
      <c r="L2" s="71" t="s">
        <v>140</v>
      </c>
      <c r="M2" s="71" t="s">
        <v>859</v>
      </c>
      <c r="N2" s="71" t="s">
        <v>141</v>
      </c>
      <c r="P2" s="2" t="s">
        <v>959</v>
      </c>
      <c r="Q2" s="1" t="s">
        <v>0</v>
      </c>
      <c r="R2" s="2" t="s">
        <v>1</v>
      </c>
      <c r="S2" s="3" t="s">
        <v>2</v>
      </c>
      <c r="T2" s="4" t="s">
        <v>3</v>
      </c>
      <c r="U2" s="5" t="s">
        <v>4</v>
      </c>
      <c r="V2" s="6" t="s">
        <v>5</v>
      </c>
      <c r="W2" s="7" t="s">
        <v>6</v>
      </c>
      <c r="X2" s="8" t="s">
        <v>7</v>
      </c>
      <c r="Y2" s="8" t="s">
        <v>8</v>
      </c>
      <c r="Z2" s="9" t="s">
        <v>9</v>
      </c>
      <c r="AA2" s="10" t="s">
        <v>10</v>
      </c>
      <c r="AB2" s="5" t="s">
        <v>11</v>
      </c>
      <c r="AC2" s="5" t="s">
        <v>12</v>
      </c>
      <c r="AD2" s="5" t="s">
        <v>13</v>
      </c>
      <c r="AE2" s="5" t="s">
        <v>14</v>
      </c>
      <c r="AF2" s="5" t="s">
        <v>15</v>
      </c>
    </row>
    <row r="3" spans="1:32" x14ac:dyDescent="0.25">
      <c r="A3" s="89" t="s">
        <v>18</v>
      </c>
      <c r="B3" s="70"/>
      <c r="C3" s="29" t="s">
        <v>18</v>
      </c>
      <c r="E3" s="136">
        <v>201801</v>
      </c>
      <c r="F3" s="138" t="s">
        <v>413</v>
      </c>
      <c r="G3" s="138" t="s">
        <v>359</v>
      </c>
      <c r="H3" s="138" t="s">
        <v>344</v>
      </c>
      <c r="I3" s="139">
        <v>0</v>
      </c>
      <c r="K3" s="94" t="str">
        <f>F3&amp;"-"&amp;G3&amp;"-"&amp;H3</f>
        <v>0008-1005-0012</v>
      </c>
      <c r="L3" s="94" t="str">
        <f>VLOOKUP(K3,COA!$A$3:$B$337,2,FALSE)</f>
        <v>C73</v>
      </c>
      <c r="M3" s="94" t="str">
        <f>IF(ISNA(L3),"XXX",L3)</f>
        <v>C73</v>
      </c>
      <c r="N3" s="94" t="str">
        <f>VLOOKUP(M3,CAC!$A$2:$B$198,2,FALSE)</f>
        <v>DOILG</v>
      </c>
      <c r="P3" s="52">
        <f>SUM(R3:AC3)</f>
        <v>0</v>
      </c>
      <c r="Q3" s="55">
        <v>201501</v>
      </c>
      <c r="R3" s="52">
        <f t="shared" ref="R3:AF12" si="0">SUMIFS($I$3:$I$4995,$E$3:$E$4995,$Q3,$N$3:$N$4995,R$2)</f>
        <v>0</v>
      </c>
      <c r="S3" s="53">
        <f t="shared" si="0"/>
        <v>0</v>
      </c>
      <c r="T3" s="53">
        <f t="shared" si="0"/>
        <v>0</v>
      </c>
      <c r="U3" s="53">
        <f t="shared" si="0"/>
        <v>0</v>
      </c>
      <c r="V3" s="53">
        <f t="shared" si="0"/>
        <v>0</v>
      </c>
      <c r="W3" s="53">
        <f t="shared" si="0"/>
        <v>0</v>
      </c>
      <c r="X3" s="53">
        <f t="shared" si="0"/>
        <v>0</v>
      </c>
      <c r="Y3" s="53">
        <f t="shared" si="0"/>
        <v>0</v>
      </c>
      <c r="Z3" s="53">
        <f t="shared" si="0"/>
        <v>0</v>
      </c>
      <c r="AA3" s="53">
        <f t="shared" si="0"/>
        <v>0</v>
      </c>
      <c r="AB3" s="53">
        <f t="shared" si="0"/>
        <v>0</v>
      </c>
      <c r="AC3" s="54">
        <f t="shared" si="0"/>
        <v>0</v>
      </c>
      <c r="AD3" s="53">
        <f t="shared" si="0"/>
        <v>0</v>
      </c>
      <c r="AE3" s="53">
        <f t="shared" si="0"/>
        <v>0</v>
      </c>
      <c r="AF3" s="54">
        <f t="shared" si="0"/>
        <v>0</v>
      </c>
    </row>
    <row r="4" spans="1:32" x14ac:dyDescent="0.25">
      <c r="A4" s="89" t="s">
        <v>19</v>
      </c>
      <c r="B4" s="70"/>
      <c r="C4" s="29" t="s">
        <v>19</v>
      </c>
      <c r="E4" s="136">
        <v>201506</v>
      </c>
      <c r="F4" s="138" t="s">
        <v>345</v>
      </c>
      <c r="G4" s="138" t="s">
        <v>361</v>
      </c>
      <c r="H4" s="138" t="s">
        <v>344</v>
      </c>
      <c r="I4" s="139">
        <v>9</v>
      </c>
      <c r="K4" s="94" t="str">
        <f t="shared" ref="K4:K66" si="1">F4&amp;"-"&amp;G4&amp;"-"&amp;H4</f>
        <v>0011-1003-0012</v>
      </c>
      <c r="L4" s="94" t="str">
        <f>VLOOKUP(K4,COA!$A$3:$B$337,2,FALSE)</f>
        <v>N16</v>
      </c>
      <c r="M4" s="94" t="str">
        <f t="shared" ref="M4:M67" si="2">IF(ISNA(L4),"XXX",L4)</f>
        <v>N16</v>
      </c>
      <c r="N4" s="94" t="str">
        <f>VLOOKUP(M4,CAC!$A$2:$B$198,2,FALSE)</f>
        <v>HMOPMR</v>
      </c>
      <c r="P4" s="12">
        <f t="shared" ref="P4:P38" si="3">SUM(R4:AC4)</f>
        <v>59408.830000000009</v>
      </c>
      <c r="Q4" s="11">
        <v>201502</v>
      </c>
      <c r="R4" s="12">
        <f t="shared" si="0"/>
        <v>27440.780000000002</v>
      </c>
      <c r="S4" s="13">
        <f t="shared" si="0"/>
        <v>7100.82</v>
      </c>
      <c r="T4" s="13">
        <f t="shared" si="0"/>
        <v>6625.3</v>
      </c>
      <c r="U4" s="13">
        <f t="shared" si="0"/>
        <v>415</v>
      </c>
      <c r="V4" s="13">
        <f t="shared" si="0"/>
        <v>0</v>
      </c>
      <c r="W4" s="13">
        <f t="shared" si="0"/>
        <v>0</v>
      </c>
      <c r="X4" s="13">
        <f t="shared" si="0"/>
        <v>0</v>
      </c>
      <c r="Y4" s="13">
        <f t="shared" si="0"/>
        <v>0</v>
      </c>
      <c r="Z4" s="13">
        <f t="shared" si="0"/>
        <v>17826.93</v>
      </c>
      <c r="AA4" s="13">
        <f t="shared" si="0"/>
        <v>0</v>
      </c>
      <c r="AB4" s="13">
        <f t="shared" si="0"/>
        <v>0</v>
      </c>
      <c r="AC4" s="14">
        <f t="shared" si="0"/>
        <v>0</v>
      </c>
      <c r="AD4" s="13">
        <f t="shared" si="0"/>
        <v>5621</v>
      </c>
      <c r="AE4" s="13">
        <f t="shared" si="0"/>
        <v>35664</v>
      </c>
      <c r="AF4" s="14">
        <f t="shared" si="0"/>
        <v>776</v>
      </c>
    </row>
    <row r="5" spans="1:32" x14ac:dyDescent="0.25">
      <c r="A5" s="89" t="s">
        <v>20</v>
      </c>
      <c r="B5" s="70"/>
      <c r="C5" s="29" t="s">
        <v>20</v>
      </c>
      <c r="E5" s="136">
        <v>201506</v>
      </c>
      <c r="F5" s="138" t="s">
        <v>344</v>
      </c>
      <c r="G5" s="138" t="s">
        <v>359</v>
      </c>
      <c r="H5" s="138" t="s">
        <v>344</v>
      </c>
      <c r="I5" s="139">
        <v>58</v>
      </c>
      <c r="K5" s="94" t="str">
        <f t="shared" si="1"/>
        <v>0012-1005-0012</v>
      </c>
      <c r="L5" s="94" t="str">
        <f>VLOOKUP(K5,COA!$A$3:$B$337,2,FALSE)</f>
        <v>N13</v>
      </c>
      <c r="M5" s="94" t="str">
        <f t="shared" si="2"/>
        <v>N13</v>
      </c>
      <c r="N5" s="94" t="str">
        <f>VLOOKUP(M5,CAC!$A$2:$B$198,2,FALSE)</f>
        <v>HMOLG</v>
      </c>
      <c r="P5" s="12">
        <f t="shared" si="3"/>
        <v>64545.45</v>
      </c>
      <c r="Q5" s="11">
        <v>201503</v>
      </c>
      <c r="R5" s="12">
        <f t="shared" si="0"/>
        <v>32205.86</v>
      </c>
      <c r="S5" s="13">
        <f t="shared" si="0"/>
        <v>7246</v>
      </c>
      <c r="T5" s="13">
        <f t="shared" si="0"/>
        <v>6645.33</v>
      </c>
      <c r="U5" s="13">
        <f t="shared" si="0"/>
        <v>426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18022.259999999998</v>
      </c>
      <c r="AA5" s="13">
        <f t="shared" si="0"/>
        <v>0</v>
      </c>
      <c r="AB5" s="13">
        <f t="shared" si="0"/>
        <v>0</v>
      </c>
      <c r="AC5" s="14">
        <f t="shared" si="0"/>
        <v>0</v>
      </c>
      <c r="AD5" s="13">
        <f t="shared" si="0"/>
        <v>5672</v>
      </c>
      <c r="AE5" s="13">
        <f t="shared" si="0"/>
        <v>35923</v>
      </c>
      <c r="AF5" s="14">
        <f t="shared" si="0"/>
        <v>787</v>
      </c>
    </row>
    <row r="6" spans="1:32" x14ac:dyDescent="0.25">
      <c r="A6" s="89" t="s">
        <v>21</v>
      </c>
      <c r="B6" s="70"/>
      <c r="C6" s="29" t="s">
        <v>21</v>
      </c>
      <c r="E6" s="136">
        <v>201509</v>
      </c>
      <c r="F6" s="138" t="s">
        <v>524</v>
      </c>
      <c r="G6" s="138" t="s">
        <v>361</v>
      </c>
      <c r="H6" s="138" t="s">
        <v>672</v>
      </c>
      <c r="I6" s="139">
        <v>0</v>
      </c>
      <c r="K6" s="94" t="str">
        <f t="shared" si="1"/>
        <v>0025-1003-0058</v>
      </c>
      <c r="L6" s="94" t="str">
        <f>VLOOKUP(K6,COA!$A$3:$B$337,2,FALSE)</f>
        <v>N45</v>
      </c>
      <c r="M6" s="94" t="str">
        <f t="shared" si="2"/>
        <v>N45</v>
      </c>
      <c r="N6" s="94" t="e">
        <f>VLOOKUP(M6,CAC!$A$2:$B$198,2,FALSE)</f>
        <v>#N/A</v>
      </c>
      <c r="P6" s="12">
        <f t="shared" si="3"/>
        <v>64129.81</v>
      </c>
      <c r="Q6" s="11">
        <v>201504</v>
      </c>
      <c r="R6" s="12">
        <f t="shared" si="0"/>
        <v>31754.05</v>
      </c>
      <c r="S6" s="13">
        <f t="shared" si="0"/>
        <v>7190</v>
      </c>
      <c r="T6" s="13">
        <f t="shared" si="0"/>
        <v>6626.95</v>
      </c>
      <c r="U6" s="13">
        <f t="shared" si="0"/>
        <v>418</v>
      </c>
      <c r="V6" s="13">
        <f t="shared" si="0"/>
        <v>0</v>
      </c>
      <c r="W6" s="13">
        <f t="shared" si="0"/>
        <v>0</v>
      </c>
      <c r="X6" s="13">
        <f t="shared" si="0"/>
        <v>0</v>
      </c>
      <c r="Y6" s="13">
        <f t="shared" si="0"/>
        <v>0</v>
      </c>
      <c r="Z6" s="13">
        <f t="shared" si="0"/>
        <v>18140.810000000001</v>
      </c>
      <c r="AA6" s="13">
        <f t="shared" si="0"/>
        <v>0</v>
      </c>
      <c r="AB6" s="13">
        <f t="shared" si="0"/>
        <v>0</v>
      </c>
      <c r="AC6" s="14">
        <f t="shared" si="0"/>
        <v>0</v>
      </c>
      <c r="AD6" s="13">
        <f t="shared" si="0"/>
        <v>5680</v>
      </c>
      <c r="AE6" s="13">
        <f t="shared" si="0"/>
        <v>36017</v>
      </c>
      <c r="AF6" s="14">
        <f t="shared" si="0"/>
        <v>785</v>
      </c>
    </row>
    <row r="7" spans="1:32" x14ac:dyDescent="0.25">
      <c r="A7" s="90" t="s">
        <v>22</v>
      </c>
      <c r="B7" s="70"/>
      <c r="C7" s="30" t="s">
        <v>22</v>
      </c>
      <c r="E7" s="136">
        <v>201703</v>
      </c>
      <c r="F7" s="138" t="s">
        <v>563</v>
      </c>
      <c r="G7" s="138" t="s">
        <v>369</v>
      </c>
      <c r="H7" s="138" t="s">
        <v>353</v>
      </c>
      <c r="I7" s="139">
        <v>0</v>
      </c>
      <c r="K7" s="94" t="str">
        <f t="shared" si="1"/>
        <v>0003-1009-0023</v>
      </c>
      <c r="L7" s="94" t="e">
        <f>VLOOKUP(K7,COA!$A$3:$B$337,2,FALSE)</f>
        <v>#N/A</v>
      </c>
      <c r="M7" s="94" t="str">
        <f t="shared" si="2"/>
        <v>XXX</v>
      </c>
      <c r="N7" s="94" t="str">
        <f>VLOOKUP(M7,CAC!$A$2:$B$198,2,FALSE)</f>
        <v>XXX</v>
      </c>
      <c r="P7" s="12">
        <f t="shared" si="3"/>
        <v>66192.13</v>
      </c>
      <c r="Q7" s="11">
        <v>201505</v>
      </c>
      <c r="R7" s="12">
        <f t="shared" si="0"/>
        <v>33687.96</v>
      </c>
      <c r="S7" s="13">
        <f t="shared" si="0"/>
        <v>7044.2</v>
      </c>
      <c r="T7" s="13">
        <f t="shared" si="0"/>
        <v>6604.23</v>
      </c>
      <c r="U7" s="13">
        <f t="shared" si="0"/>
        <v>410.68</v>
      </c>
      <c r="V7" s="13">
        <f t="shared" si="0"/>
        <v>0</v>
      </c>
      <c r="W7" s="13">
        <f t="shared" si="0"/>
        <v>0</v>
      </c>
      <c r="X7" s="13">
        <f t="shared" si="0"/>
        <v>0</v>
      </c>
      <c r="Y7" s="13">
        <f t="shared" si="0"/>
        <v>0</v>
      </c>
      <c r="Z7" s="13">
        <f t="shared" si="0"/>
        <v>18445.060000000001</v>
      </c>
      <c r="AA7" s="13">
        <f t="shared" si="0"/>
        <v>0</v>
      </c>
      <c r="AB7" s="13">
        <f t="shared" si="0"/>
        <v>0</v>
      </c>
      <c r="AC7" s="14">
        <f t="shared" si="0"/>
        <v>0</v>
      </c>
      <c r="AD7" s="13">
        <f t="shared" si="0"/>
        <v>5781</v>
      </c>
      <c r="AE7" s="13">
        <f t="shared" si="0"/>
        <v>36431.58</v>
      </c>
      <c r="AF7" s="14">
        <f t="shared" si="0"/>
        <v>785</v>
      </c>
    </row>
    <row r="8" spans="1:32" x14ac:dyDescent="0.25">
      <c r="A8" s="90" t="s">
        <v>23</v>
      </c>
      <c r="B8" s="70"/>
      <c r="C8" s="30" t="s">
        <v>23</v>
      </c>
      <c r="E8" s="136">
        <v>201710</v>
      </c>
      <c r="F8" s="138" t="s">
        <v>506</v>
      </c>
      <c r="G8" s="138" t="s">
        <v>354</v>
      </c>
      <c r="H8" s="138" t="s">
        <v>592</v>
      </c>
      <c r="I8" s="139">
        <v>0</v>
      </c>
      <c r="K8" s="94" t="str">
        <f t="shared" si="1"/>
        <v>0013-1013-0035</v>
      </c>
      <c r="L8" s="94" t="str">
        <f>VLOOKUP(K8,COA!$A$3:$B$337,2,FALSE)</f>
        <v>N44</v>
      </c>
      <c r="M8" s="94" t="str">
        <f t="shared" si="2"/>
        <v>N44</v>
      </c>
      <c r="N8" s="94" t="e">
        <f>VLOOKUP(M8,CAC!$A$2:$B$198,2,FALSE)</f>
        <v>#N/A</v>
      </c>
      <c r="P8" s="12">
        <f t="shared" si="3"/>
        <v>66682.889999999985</v>
      </c>
      <c r="Q8" s="11">
        <v>201506</v>
      </c>
      <c r="R8" s="12">
        <f t="shared" si="0"/>
        <v>33839.149999999994</v>
      </c>
      <c r="S8" s="13">
        <f t="shared" si="0"/>
        <v>7176.6</v>
      </c>
      <c r="T8" s="13">
        <f t="shared" si="0"/>
        <v>6598.16</v>
      </c>
      <c r="U8" s="13">
        <f t="shared" si="0"/>
        <v>421</v>
      </c>
      <c r="V8" s="13">
        <f t="shared" si="0"/>
        <v>0</v>
      </c>
      <c r="W8" s="13">
        <f t="shared" si="0"/>
        <v>0</v>
      </c>
      <c r="X8" s="13">
        <f t="shared" si="0"/>
        <v>0</v>
      </c>
      <c r="Y8" s="13">
        <f t="shared" si="0"/>
        <v>0</v>
      </c>
      <c r="Z8" s="13">
        <f t="shared" si="0"/>
        <v>18647.98</v>
      </c>
      <c r="AA8" s="13">
        <f t="shared" si="0"/>
        <v>0</v>
      </c>
      <c r="AB8" s="13">
        <f t="shared" si="0"/>
        <v>0</v>
      </c>
      <c r="AC8" s="14">
        <f t="shared" si="0"/>
        <v>0</v>
      </c>
      <c r="AD8" s="13">
        <f t="shared" si="0"/>
        <v>5825</v>
      </c>
      <c r="AE8" s="13">
        <f t="shared" si="0"/>
        <v>36644</v>
      </c>
      <c r="AF8" s="14">
        <f t="shared" si="0"/>
        <v>775</v>
      </c>
    </row>
    <row r="9" spans="1:32" x14ac:dyDescent="0.25">
      <c r="A9" s="90" t="s">
        <v>338</v>
      </c>
      <c r="B9" s="70"/>
      <c r="C9" s="30" t="s">
        <v>338</v>
      </c>
      <c r="E9" s="136">
        <v>201605</v>
      </c>
      <c r="F9" s="138" t="s">
        <v>344</v>
      </c>
      <c r="G9" s="138" t="s">
        <v>356</v>
      </c>
      <c r="H9" s="138" t="s">
        <v>344</v>
      </c>
      <c r="I9" s="139">
        <v>4196.26</v>
      </c>
      <c r="K9" s="94" t="str">
        <f t="shared" si="1"/>
        <v>0012-1002-0012</v>
      </c>
      <c r="L9" s="94" t="str">
        <f>VLOOKUP(K9,COA!$A$3:$B$337,2,FALSE)</f>
        <v>F22</v>
      </c>
      <c r="M9" s="94" t="str">
        <f t="shared" si="2"/>
        <v>F22</v>
      </c>
      <c r="N9" s="94" t="str">
        <f>VLOOKUP(M9,CAC!$A$2:$B$198,2,FALSE)</f>
        <v>HMOPMR</v>
      </c>
      <c r="P9" s="12">
        <f t="shared" si="3"/>
        <v>193600.99</v>
      </c>
      <c r="Q9" s="11">
        <v>201507</v>
      </c>
      <c r="R9" s="12">
        <f t="shared" si="0"/>
        <v>34546.31</v>
      </c>
      <c r="S9" s="13">
        <f t="shared" si="0"/>
        <v>24623.18</v>
      </c>
      <c r="T9" s="13">
        <f t="shared" si="0"/>
        <v>6596.65</v>
      </c>
      <c r="U9" s="13">
        <f t="shared" si="0"/>
        <v>1010</v>
      </c>
      <c r="V9" s="13">
        <f t="shared" si="0"/>
        <v>39830.42</v>
      </c>
      <c r="W9" s="13">
        <f t="shared" si="0"/>
        <v>59927.44</v>
      </c>
      <c r="X9" s="13">
        <f t="shared" si="0"/>
        <v>6196</v>
      </c>
      <c r="Y9" s="13">
        <f t="shared" si="0"/>
        <v>2254</v>
      </c>
      <c r="Z9" s="13">
        <f t="shared" si="0"/>
        <v>18616.990000000002</v>
      </c>
      <c r="AA9" s="13">
        <f t="shared" si="0"/>
        <v>0</v>
      </c>
      <c r="AB9" s="13">
        <f t="shared" si="0"/>
        <v>0</v>
      </c>
      <c r="AC9" s="14">
        <f t="shared" si="0"/>
        <v>0</v>
      </c>
      <c r="AD9" s="13">
        <f t="shared" si="0"/>
        <v>5890</v>
      </c>
      <c r="AE9" s="13">
        <f t="shared" si="0"/>
        <v>36875</v>
      </c>
      <c r="AF9" s="14">
        <f t="shared" si="0"/>
        <v>708</v>
      </c>
    </row>
    <row r="10" spans="1:32" x14ac:dyDescent="0.25">
      <c r="A10" s="90" t="s">
        <v>24</v>
      </c>
      <c r="B10" s="70"/>
      <c r="C10" s="30" t="s">
        <v>24</v>
      </c>
      <c r="E10" s="136">
        <v>201702</v>
      </c>
      <c r="F10" s="138" t="s">
        <v>563</v>
      </c>
      <c r="G10" s="138" t="s">
        <v>352</v>
      </c>
      <c r="H10" s="138" t="s">
        <v>344</v>
      </c>
      <c r="I10" s="139">
        <v>0</v>
      </c>
      <c r="K10" s="94" t="str">
        <f t="shared" si="1"/>
        <v>0003-1004-0012</v>
      </c>
      <c r="L10" s="94" t="str">
        <f>VLOOKUP(K10,COA!$A$3:$B$337,2,FALSE)</f>
        <v>L51</v>
      </c>
      <c r="M10" s="94" t="str">
        <f t="shared" si="2"/>
        <v>L51</v>
      </c>
      <c r="N10" s="94" t="str">
        <f>VLOOKUP(M10,CAC!$A$2:$B$198,2,FALSE)</f>
        <v>PPOLG</v>
      </c>
      <c r="P10" s="12">
        <f t="shared" si="3"/>
        <v>193255.7</v>
      </c>
      <c r="Q10" s="11">
        <v>201508</v>
      </c>
      <c r="R10" s="12">
        <f t="shared" si="0"/>
        <v>34607.42</v>
      </c>
      <c r="S10" s="13">
        <f t="shared" si="0"/>
        <v>24553.739999999998</v>
      </c>
      <c r="T10" s="13">
        <f t="shared" si="0"/>
        <v>6581.45</v>
      </c>
      <c r="U10" s="13">
        <f t="shared" si="0"/>
        <v>1004.0899999999999</v>
      </c>
      <c r="V10" s="13">
        <f t="shared" si="0"/>
        <v>39642.71</v>
      </c>
      <c r="W10" s="13">
        <f t="shared" si="0"/>
        <v>59653.9</v>
      </c>
      <c r="X10" s="13">
        <f t="shared" si="0"/>
        <v>6205</v>
      </c>
      <c r="Y10" s="13">
        <f t="shared" si="0"/>
        <v>2284</v>
      </c>
      <c r="Z10" s="13">
        <f t="shared" si="0"/>
        <v>18723.39</v>
      </c>
      <c r="AA10" s="13">
        <f t="shared" si="0"/>
        <v>0</v>
      </c>
      <c r="AB10" s="13">
        <f t="shared" si="0"/>
        <v>0</v>
      </c>
      <c r="AC10" s="14">
        <f t="shared" si="0"/>
        <v>0</v>
      </c>
      <c r="AD10" s="13">
        <f t="shared" si="0"/>
        <v>5926</v>
      </c>
      <c r="AE10" s="13">
        <f t="shared" si="0"/>
        <v>36994</v>
      </c>
      <c r="AF10" s="14">
        <f t="shared" si="0"/>
        <v>715</v>
      </c>
    </row>
    <row r="11" spans="1:32" x14ac:dyDescent="0.25">
      <c r="A11" s="90" t="s">
        <v>25</v>
      </c>
      <c r="B11" s="70"/>
      <c r="C11" s="30" t="s">
        <v>25</v>
      </c>
      <c r="E11" s="136">
        <v>201509</v>
      </c>
      <c r="F11" s="138" t="s">
        <v>345</v>
      </c>
      <c r="G11" s="138" t="s">
        <v>346</v>
      </c>
      <c r="H11" s="138" t="s">
        <v>347</v>
      </c>
      <c r="I11" s="139">
        <v>8</v>
      </c>
      <c r="K11" s="94" t="str">
        <f t="shared" si="1"/>
        <v>0011-1014-0039</v>
      </c>
      <c r="L11" s="94" t="str">
        <f>VLOOKUP(K11,COA!$A$3:$B$337,2,FALSE)</f>
        <v>K24</v>
      </c>
      <c r="M11" s="94" t="str">
        <f t="shared" si="2"/>
        <v>K24</v>
      </c>
      <c r="N11" s="94" t="str">
        <f>VLOOKUP(M11,CAC!$A$2:$B$198,2,FALSE)</f>
        <v>HMFLEX</v>
      </c>
      <c r="P11" s="12">
        <f t="shared" si="3"/>
        <v>210390.65999999997</v>
      </c>
      <c r="Q11" s="11">
        <v>201509</v>
      </c>
      <c r="R11" s="12">
        <f t="shared" si="0"/>
        <v>38368.729999999996</v>
      </c>
      <c r="S11" s="13">
        <f t="shared" si="0"/>
        <v>32749.87</v>
      </c>
      <c r="T11" s="13">
        <f t="shared" si="0"/>
        <v>6542.71</v>
      </c>
      <c r="U11" s="13">
        <f t="shared" si="0"/>
        <v>5753.83</v>
      </c>
      <c r="V11" s="13">
        <f t="shared" si="0"/>
        <v>39484.230000000003</v>
      </c>
      <c r="W11" s="13">
        <f t="shared" si="0"/>
        <v>59514.8</v>
      </c>
      <c r="X11" s="13">
        <f t="shared" si="0"/>
        <v>6228</v>
      </c>
      <c r="Y11" s="13">
        <f t="shared" si="0"/>
        <v>2304</v>
      </c>
      <c r="Z11" s="13">
        <f t="shared" si="0"/>
        <v>19444.490000000002</v>
      </c>
      <c r="AA11" s="13">
        <f t="shared" si="0"/>
        <v>0</v>
      </c>
      <c r="AB11" s="13">
        <f t="shared" si="0"/>
        <v>0</v>
      </c>
      <c r="AC11" s="14">
        <f t="shared" si="0"/>
        <v>0</v>
      </c>
      <c r="AD11" s="13">
        <f t="shared" si="0"/>
        <v>5958</v>
      </c>
      <c r="AE11" s="13">
        <f t="shared" si="0"/>
        <v>37092</v>
      </c>
      <c r="AF11" s="14">
        <f t="shared" si="0"/>
        <v>718</v>
      </c>
    </row>
    <row r="12" spans="1:32" x14ac:dyDescent="0.25">
      <c r="A12" s="91" t="s">
        <v>33</v>
      </c>
      <c r="B12" s="70"/>
      <c r="C12" s="86" t="s">
        <v>33</v>
      </c>
      <c r="E12" s="136">
        <v>201705</v>
      </c>
      <c r="F12" s="138" t="s">
        <v>405</v>
      </c>
      <c r="G12" s="138" t="s">
        <v>362</v>
      </c>
      <c r="H12" s="138" t="s">
        <v>342</v>
      </c>
      <c r="I12" s="139">
        <v>0</v>
      </c>
      <c r="K12" s="94" t="str">
        <f t="shared" si="1"/>
        <v>0019-1008-0031</v>
      </c>
      <c r="L12" s="94" t="str">
        <f>VLOOKUP(K12,COA!$A$3:$B$337,2,FALSE)</f>
        <v>P53</v>
      </c>
      <c r="M12" s="94" t="str">
        <f t="shared" si="2"/>
        <v>P53</v>
      </c>
      <c r="N12" s="94" t="str">
        <f>VLOOKUP(M12,CAC!$A$2:$B$198,2,FALSE)</f>
        <v>HMOPERA</v>
      </c>
      <c r="P12" s="12">
        <f t="shared" si="3"/>
        <v>212067.90000000002</v>
      </c>
      <c r="Q12" s="11">
        <v>201510</v>
      </c>
      <c r="R12" s="12">
        <f t="shared" si="0"/>
        <v>39558.910000000003</v>
      </c>
      <c r="S12" s="13">
        <f t="shared" si="0"/>
        <v>32925.520000000004</v>
      </c>
      <c r="T12" s="13">
        <f t="shared" si="0"/>
        <v>6684.26</v>
      </c>
      <c r="U12" s="13">
        <f t="shared" si="0"/>
        <v>5623.8</v>
      </c>
      <c r="V12" s="13">
        <f t="shared" si="0"/>
        <v>39561</v>
      </c>
      <c r="W12" s="13">
        <f t="shared" si="0"/>
        <v>59279.839999999997</v>
      </c>
      <c r="X12" s="13">
        <f t="shared" si="0"/>
        <v>6318</v>
      </c>
      <c r="Y12" s="13">
        <f t="shared" si="0"/>
        <v>2332</v>
      </c>
      <c r="Z12" s="13">
        <f t="shared" si="0"/>
        <v>19784.57</v>
      </c>
      <c r="AA12" s="13">
        <f t="shared" si="0"/>
        <v>0</v>
      </c>
      <c r="AB12" s="13">
        <f t="shared" si="0"/>
        <v>0</v>
      </c>
      <c r="AC12" s="14">
        <f t="shared" si="0"/>
        <v>0</v>
      </c>
      <c r="AD12" s="13">
        <f t="shared" si="0"/>
        <v>5950</v>
      </c>
      <c r="AE12" s="13">
        <f t="shared" si="0"/>
        <v>37140</v>
      </c>
      <c r="AF12" s="14">
        <f t="shared" si="0"/>
        <v>717</v>
      </c>
    </row>
    <row r="13" spans="1:32" x14ac:dyDescent="0.25">
      <c r="A13" s="91" t="s">
        <v>866</v>
      </c>
      <c r="B13" s="70"/>
      <c r="C13" s="86" t="s">
        <v>866</v>
      </c>
      <c r="E13" s="136">
        <v>201503</v>
      </c>
      <c r="F13" s="138" t="s">
        <v>563</v>
      </c>
      <c r="G13" s="138" t="s">
        <v>354</v>
      </c>
      <c r="H13" s="138" t="s">
        <v>344</v>
      </c>
      <c r="I13" s="139">
        <v>0</v>
      </c>
      <c r="K13" s="94" t="str">
        <f t="shared" si="1"/>
        <v>0003-1013-0012</v>
      </c>
      <c r="L13" s="94" t="str">
        <f>VLOOKUP(K13,COA!$A$3:$B$337,2,FALSE)</f>
        <v>N55</v>
      </c>
      <c r="M13" s="94" t="str">
        <f t="shared" si="2"/>
        <v>N55</v>
      </c>
      <c r="N13" s="94" t="str">
        <f>VLOOKUP(M13,CAC!$A$2:$B$198,2,FALSE)</f>
        <v>PPOPMR</v>
      </c>
      <c r="P13" s="12">
        <f t="shared" si="3"/>
        <v>225872.31999999998</v>
      </c>
      <c r="Q13" s="11">
        <v>201511</v>
      </c>
      <c r="R13" s="12">
        <f t="shared" ref="R13:AF22" si="4">SUMIFS($I$3:$I$4995,$E$3:$E$4995,$Q13,$N$3:$N$4995,R$2)</f>
        <v>42623.47</v>
      </c>
      <c r="S13" s="13">
        <f t="shared" si="4"/>
        <v>41567.57</v>
      </c>
      <c r="T13" s="13">
        <f t="shared" si="4"/>
        <v>6687.34</v>
      </c>
      <c r="U13" s="13">
        <f t="shared" si="4"/>
        <v>7094.79</v>
      </c>
      <c r="V13" s="13">
        <f t="shared" si="4"/>
        <v>39773.06</v>
      </c>
      <c r="W13" s="13">
        <f t="shared" si="4"/>
        <v>59480.55</v>
      </c>
      <c r="X13" s="13">
        <f t="shared" si="4"/>
        <v>6326</v>
      </c>
      <c r="Y13" s="13">
        <f t="shared" si="4"/>
        <v>2364</v>
      </c>
      <c r="Z13" s="13">
        <f t="shared" si="4"/>
        <v>19955.54</v>
      </c>
      <c r="AA13" s="13">
        <f t="shared" si="4"/>
        <v>0</v>
      </c>
      <c r="AB13" s="13">
        <f t="shared" si="4"/>
        <v>0</v>
      </c>
      <c r="AC13" s="14">
        <f t="shared" si="4"/>
        <v>0</v>
      </c>
      <c r="AD13" s="13">
        <f t="shared" si="4"/>
        <v>5951</v>
      </c>
      <c r="AE13" s="13">
        <f t="shared" si="4"/>
        <v>37215</v>
      </c>
      <c r="AF13" s="14">
        <f t="shared" si="4"/>
        <v>727</v>
      </c>
    </row>
    <row r="14" spans="1:32" x14ac:dyDescent="0.25">
      <c r="A14" s="91" t="s">
        <v>867</v>
      </c>
      <c r="B14" s="70"/>
      <c r="C14" s="93" t="s">
        <v>939</v>
      </c>
      <c r="E14" s="136">
        <v>201505</v>
      </c>
      <c r="F14" s="138" t="s">
        <v>345</v>
      </c>
      <c r="G14" s="138" t="s">
        <v>354</v>
      </c>
      <c r="H14" s="138" t="s">
        <v>344</v>
      </c>
      <c r="I14" s="139">
        <v>95</v>
      </c>
      <c r="K14" s="94" t="str">
        <f t="shared" si="1"/>
        <v>0011-1013-0012</v>
      </c>
      <c r="L14" s="94" t="str">
        <f>VLOOKUP(K14,COA!$A$3:$B$337,2,FALSE)</f>
        <v>N20</v>
      </c>
      <c r="M14" s="94" t="str">
        <f t="shared" si="2"/>
        <v>N20</v>
      </c>
      <c r="N14" s="94" t="str">
        <f>VLOOKUP(M14,CAC!$A$2:$B$198,2,FALSE)</f>
        <v>HMOPMR</v>
      </c>
      <c r="P14" s="35">
        <f t="shared" si="3"/>
        <v>226710.28000000003</v>
      </c>
      <c r="Q14" s="34">
        <v>201512</v>
      </c>
      <c r="R14" s="35">
        <f t="shared" si="4"/>
        <v>42869.11</v>
      </c>
      <c r="S14" s="36">
        <f t="shared" si="4"/>
        <v>41682.720000000001</v>
      </c>
      <c r="T14" s="36">
        <f t="shared" si="4"/>
        <v>6679.35</v>
      </c>
      <c r="U14" s="36">
        <f t="shared" si="4"/>
        <v>7125.38</v>
      </c>
      <c r="V14" s="36">
        <f t="shared" si="4"/>
        <v>39659.519999999997</v>
      </c>
      <c r="W14" s="36">
        <f t="shared" si="4"/>
        <v>59214.080000000002</v>
      </c>
      <c r="X14" s="36">
        <f t="shared" si="4"/>
        <v>6343.03</v>
      </c>
      <c r="Y14" s="36">
        <f t="shared" si="4"/>
        <v>2393</v>
      </c>
      <c r="Z14" s="36">
        <f t="shared" si="4"/>
        <v>20744.09</v>
      </c>
      <c r="AA14" s="36">
        <f t="shared" si="4"/>
        <v>0</v>
      </c>
      <c r="AB14" s="36">
        <f t="shared" si="4"/>
        <v>0</v>
      </c>
      <c r="AC14" s="37">
        <f t="shared" si="4"/>
        <v>0</v>
      </c>
      <c r="AD14" s="36">
        <f t="shared" si="4"/>
        <v>5980</v>
      </c>
      <c r="AE14" s="36">
        <f t="shared" si="4"/>
        <v>37263</v>
      </c>
      <c r="AF14" s="37">
        <f t="shared" si="4"/>
        <v>728</v>
      </c>
    </row>
    <row r="15" spans="1:32" x14ac:dyDescent="0.25">
      <c r="A15" s="91" t="s">
        <v>868</v>
      </c>
      <c r="B15" s="70"/>
      <c r="C15" s="93" t="s">
        <v>940</v>
      </c>
      <c r="E15" s="136">
        <v>201510</v>
      </c>
      <c r="F15" s="138" t="s">
        <v>345</v>
      </c>
      <c r="G15" s="138" t="s">
        <v>362</v>
      </c>
      <c r="H15" s="138" t="s">
        <v>370</v>
      </c>
      <c r="I15" s="139">
        <v>2332</v>
      </c>
      <c r="K15" s="94" t="str">
        <f t="shared" si="1"/>
        <v>0011-1008-0055</v>
      </c>
      <c r="L15" s="94" t="str">
        <f>VLOOKUP(K15,COA!$A$3:$B$337,2,FALSE)</f>
        <v>P28</v>
      </c>
      <c r="M15" s="94" t="str">
        <f t="shared" si="2"/>
        <v>P28</v>
      </c>
      <c r="N15" s="94" t="str">
        <f>VLOOKUP(M15,CAC!$A$2:$B$198,2,FALSE)</f>
        <v>PERMEDN</v>
      </c>
      <c r="P15" s="52">
        <f t="shared" si="3"/>
        <v>211676.38</v>
      </c>
      <c r="Q15" s="55">
        <v>201601</v>
      </c>
      <c r="R15" s="52">
        <f t="shared" si="4"/>
        <v>42984.959999999999</v>
      </c>
      <c r="S15" s="53">
        <f t="shared" si="4"/>
        <v>56270.46</v>
      </c>
      <c r="T15" s="53">
        <f t="shared" si="4"/>
        <v>6066.57</v>
      </c>
      <c r="U15" s="53">
        <f t="shared" si="4"/>
        <v>8742.91</v>
      </c>
      <c r="V15" s="53">
        <f t="shared" si="4"/>
        <v>38364.35</v>
      </c>
      <c r="W15" s="53">
        <f t="shared" si="4"/>
        <v>38476.800000000003</v>
      </c>
      <c r="X15" s="53">
        <f t="shared" si="4"/>
        <v>0</v>
      </c>
      <c r="Y15" s="53">
        <f t="shared" si="4"/>
        <v>0</v>
      </c>
      <c r="Z15" s="53">
        <f t="shared" si="4"/>
        <v>20770.330000000002</v>
      </c>
      <c r="AA15" s="53">
        <f t="shared" si="4"/>
        <v>0</v>
      </c>
      <c r="AB15" s="53">
        <f t="shared" si="4"/>
        <v>0</v>
      </c>
      <c r="AC15" s="54">
        <f t="shared" si="4"/>
        <v>0</v>
      </c>
      <c r="AD15" s="53">
        <f t="shared" si="4"/>
        <v>0</v>
      </c>
      <c r="AE15" s="53">
        <f t="shared" si="4"/>
        <v>39239</v>
      </c>
      <c r="AF15" s="54">
        <f t="shared" si="4"/>
        <v>728</v>
      </c>
    </row>
    <row r="16" spans="1:32" x14ac:dyDescent="0.25">
      <c r="A16" s="91" t="s">
        <v>869</v>
      </c>
      <c r="B16" s="70"/>
      <c r="C16" s="93" t="s">
        <v>941</v>
      </c>
      <c r="E16" s="136">
        <v>201609</v>
      </c>
      <c r="F16" s="138" t="s">
        <v>563</v>
      </c>
      <c r="G16" s="138" t="s">
        <v>369</v>
      </c>
      <c r="H16" s="138" t="s">
        <v>345</v>
      </c>
      <c r="I16" s="139">
        <v>0</v>
      </c>
      <c r="K16" s="94" t="str">
        <f t="shared" si="1"/>
        <v>0003-1009-0011</v>
      </c>
      <c r="L16" s="94" t="str">
        <f>VLOOKUP(K16,COA!$A$3:$B$337,2,FALSE)</f>
        <v>V91</v>
      </c>
      <c r="M16" s="94" t="str">
        <f t="shared" si="2"/>
        <v>V91</v>
      </c>
      <c r="N16" s="94" t="str">
        <f>VLOOKUP(M16,CAC!$A$2:$B$198,2,FALSE)</f>
        <v>PPOMM</v>
      </c>
      <c r="P16" s="12">
        <f t="shared" si="3"/>
        <v>211380.27000000002</v>
      </c>
      <c r="Q16" s="11">
        <v>201602</v>
      </c>
      <c r="R16" s="12">
        <f t="shared" si="4"/>
        <v>42883.88</v>
      </c>
      <c r="S16" s="13">
        <f t="shared" si="4"/>
        <v>56295.560000000005</v>
      </c>
      <c r="T16" s="13">
        <f t="shared" si="4"/>
        <v>6108.42</v>
      </c>
      <c r="U16" s="13">
        <f t="shared" si="4"/>
        <v>8760.35</v>
      </c>
      <c r="V16" s="13">
        <f t="shared" si="4"/>
        <v>38255.4</v>
      </c>
      <c r="W16" s="13">
        <f t="shared" si="4"/>
        <v>38114</v>
      </c>
      <c r="X16" s="13">
        <f t="shared" si="4"/>
        <v>0</v>
      </c>
      <c r="Y16" s="13">
        <f t="shared" si="4"/>
        <v>0</v>
      </c>
      <c r="Z16" s="13">
        <f t="shared" si="4"/>
        <v>20962.66</v>
      </c>
      <c r="AA16" s="13">
        <f t="shared" si="4"/>
        <v>0</v>
      </c>
      <c r="AB16" s="13">
        <f t="shared" si="4"/>
        <v>0</v>
      </c>
      <c r="AC16" s="14">
        <f t="shared" si="4"/>
        <v>0</v>
      </c>
      <c r="AD16" s="13">
        <f t="shared" si="4"/>
        <v>0</v>
      </c>
      <c r="AE16" s="13">
        <f t="shared" si="4"/>
        <v>39222.94</v>
      </c>
      <c r="AF16" s="14">
        <f t="shared" si="4"/>
        <v>737</v>
      </c>
    </row>
    <row r="17" spans="1:32" x14ac:dyDescent="0.25">
      <c r="A17" s="91" t="s">
        <v>865</v>
      </c>
      <c r="B17" s="70"/>
      <c r="C17" s="86" t="s">
        <v>869</v>
      </c>
      <c r="E17" s="136">
        <v>201607</v>
      </c>
      <c r="F17" s="138" t="s">
        <v>413</v>
      </c>
      <c r="G17" s="138" t="s">
        <v>365</v>
      </c>
      <c r="H17" s="138" t="s">
        <v>344</v>
      </c>
      <c r="I17" s="139">
        <v>0</v>
      </c>
      <c r="K17" s="94" t="str">
        <f t="shared" si="1"/>
        <v>0008-1001-0012</v>
      </c>
      <c r="L17" s="94" t="str">
        <f>VLOOKUP(K17,COA!$A$3:$B$337,2,FALSE)</f>
        <v>C95</v>
      </c>
      <c r="M17" s="94" t="str">
        <f t="shared" si="2"/>
        <v>C95</v>
      </c>
      <c r="N17" s="94" t="str">
        <f>VLOOKUP(M17,CAC!$A$2:$B$198,2,FALSE)</f>
        <v>DOIIFP</v>
      </c>
      <c r="P17" s="12">
        <f t="shared" si="3"/>
        <v>211228.34</v>
      </c>
      <c r="Q17" s="11">
        <v>201603</v>
      </c>
      <c r="R17" s="12">
        <f t="shared" si="4"/>
        <v>42537.18</v>
      </c>
      <c r="S17" s="13">
        <f t="shared" si="4"/>
        <v>56407.049999999996</v>
      </c>
      <c r="T17" s="13">
        <f t="shared" si="4"/>
        <v>6106.8</v>
      </c>
      <c r="U17" s="13">
        <f t="shared" si="4"/>
        <v>8807.18</v>
      </c>
      <c r="V17" s="13">
        <f t="shared" si="4"/>
        <v>38217.65</v>
      </c>
      <c r="W17" s="13">
        <f t="shared" si="4"/>
        <v>37940</v>
      </c>
      <c r="X17" s="13">
        <f t="shared" si="4"/>
        <v>0</v>
      </c>
      <c r="Y17" s="13">
        <f t="shared" si="4"/>
        <v>0</v>
      </c>
      <c r="Z17" s="13">
        <f t="shared" si="4"/>
        <v>21212.48</v>
      </c>
      <c r="AA17" s="13">
        <f t="shared" si="4"/>
        <v>0</v>
      </c>
      <c r="AB17" s="13">
        <f t="shared" si="4"/>
        <v>0</v>
      </c>
      <c r="AC17" s="14">
        <f t="shared" si="4"/>
        <v>0</v>
      </c>
      <c r="AD17" s="13">
        <f t="shared" si="4"/>
        <v>0</v>
      </c>
      <c r="AE17" s="13">
        <f t="shared" si="4"/>
        <v>39266.03</v>
      </c>
      <c r="AF17" s="14">
        <f t="shared" si="4"/>
        <v>744</v>
      </c>
    </row>
    <row r="18" spans="1:32" x14ac:dyDescent="0.25">
      <c r="A18" s="91" t="s">
        <v>25</v>
      </c>
      <c r="B18" s="70"/>
      <c r="C18" s="86" t="s">
        <v>865</v>
      </c>
      <c r="E18" s="136">
        <v>201611</v>
      </c>
      <c r="F18" s="138" t="s">
        <v>344</v>
      </c>
      <c r="G18" s="138" t="s">
        <v>361</v>
      </c>
      <c r="H18" s="138" t="s">
        <v>344</v>
      </c>
      <c r="I18" s="139">
        <v>9538.1200000000008</v>
      </c>
      <c r="K18" s="94" t="str">
        <f t="shared" si="1"/>
        <v>0012-1003-0012</v>
      </c>
      <c r="L18" s="94" t="str">
        <f>VLOOKUP(K18,COA!$A$3:$B$337,2,FALSE)</f>
        <v>N15</v>
      </c>
      <c r="M18" s="94" t="str">
        <f t="shared" si="2"/>
        <v>N15</v>
      </c>
      <c r="N18" s="94" t="str">
        <f>VLOOKUP(M18,CAC!$A$2:$B$198,2,FALSE)</f>
        <v>HMOPMR</v>
      </c>
      <c r="P18" s="12">
        <f t="shared" si="3"/>
        <v>211512.65</v>
      </c>
      <c r="Q18" s="11">
        <v>201604</v>
      </c>
      <c r="R18" s="12">
        <f t="shared" si="4"/>
        <v>42381.66</v>
      </c>
      <c r="S18" s="13">
        <f t="shared" si="4"/>
        <v>56881.34</v>
      </c>
      <c r="T18" s="13">
        <f t="shared" si="4"/>
        <v>6089.74</v>
      </c>
      <c r="U18" s="13">
        <f t="shared" si="4"/>
        <v>8855.39</v>
      </c>
      <c r="V18" s="13">
        <f t="shared" si="4"/>
        <v>38124.6</v>
      </c>
      <c r="W18" s="13">
        <f t="shared" si="4"/>
        <v>37716.39</v>
      </c>
      <c r="X18" s="13">
        <f t="shared" si="4"/>
        <v>0</v>
      </c>
      <c r="Y18" s="13">
        <f t="shared" si="4"/>
        <v>0</v>
      </c>
      <c r="Z18" s="13">
        <f t="shared" si="4"/>
        <v>21463.53</v>
      </c>
      <c r="AA18" s="13">
        <f t="shared" si="4"/>
        <v>0</v>
      </c>
      <c r="AB18" s="13">
        <f t="shared" si="4"/>
        <v>0</v>
      </c>
      <c r="AC18" s="14">
        <f t="shared" si="4"/>
        <v>0</v>
      </c>
      <c r="AD18" s="13">
        <f t="shared" si="4"/>
        <v>0</v>
      </c>
      <c r="AE18" s="13">
        <f t="shared" si="4"/>
        <v>39298</v>
      </c>
      <c r="AF18" s="14">
        <f t="shared" si="4"/>
        <v>753</v>
      </c>
    </row>
    <row r="19" spans="1:32" x14ac:dyDescent="0.25">
      <c r="A19" s="91" t="s">
        <v>863</v>
      </c>
      <c r="B19" s="70"/>
      <c r="C19" s="86" t="s">
        <v>25</v>
      </c>
      <c r="E19" s="136">
        <v>201602</v>
      </c>
      <c r="F19" s="138" t="s">
        <v>344</v>
      </c>
      <c r="G19" s="138" t="s">
        <v>352</v>
      </c>
      <c r="H19" s="138" t="s">
        <v>360</v>
      </c>
      <c r="I19" s="139">
        <v>230</v>
      </c>
      <c r="K19" s="94" t="str">
        <f t="shared" si="1"/>
        <v>0012-1004-0048</v>
      </c>
      <c r="L19" s="94" t="str">
        <f>VLOOKUP(K19,COA!$A$3:$B$337,2,FALSE)</f>
        <v>L22</v>
      </c>
      <c r="M19" s="94" t="str">
        <f t="shared" si="2"/>
        <v>L22</v>
      </c>
      <c r="N19" s="94" t="str">
        <f>VLOOKUP(M19,CAC!$A$2:$B$198,2,FALSE)</f>
        <v>HMFLEX</v>
      </c>
      <c r="P19" s="12">
        <f t="shared" si="3"/>
        <v>210846.12</v>
      </c>
      <c r="Q19" s="11">
        <v>201605</v>
      </c>
      <c r="R19" s="12">
        <f t="shared" si="4"/>
        <v>41988.899999999994</v>
      </c>
      <c r="S19" s="13">
        <f t="shared" si="4"/>
        <v>56697.020000000004</v>
      </c>
      <c r="T19" s="13">
        <f t="shared" si="4"/>
        <v>6085.52</v>
      </c>
      <c r="U19" s="13">
        <f t="shared" si="4"/>
        <v>8948</v>
      </c>
      <c r="V19" s="13">
        <f t="shared" si="4"/>
        <v>38031.089999999997</v>
      </c>
      <c r="W19" s="13">
        <f t="shared" si="4"/>
        <v>37444</v>
      </c>
      <c r="X19" s="13">
        <f t="shared" si="4"/>
        <v>0</v>
      </c>
      <c r="Y19" s="13">
        <f t="shared" si="4"/>
        <v>0</v>
      </c>
      <c r="Z19" s="13">
        <f t="shared" si="4"/>
        <v>21651.59</v>
      </c>
      <c r="AA19" s="13">
        <f t="shared" si="4"/>
        <v>0</v>
      </c>
      <c r="AB19" s="13">
        <f t="shared" si="4"/>
        <v>0</v>
      </c>
      <c r="AC19" s="14">
        <f t="shared" si="4"/>
        <v>0</v>
      </c>
      <c r="AD19" s="13">
        <f t="shared" si="4"/>
        <v>0</v>
      </c>
      <c r="AE19" s="13">
        <f t="shared" si="4"/>
        <v>39410</v>
      </c>
      <c r="AF19" s="14">
        <f t="shared" si="4"/>
        <v>762</v>
      </c>
    </row>
    <row r="20" spans="1:32" x14ac:dyDescent="0.25">
      <c r="A20" s="91" t="s">
        <v>870</v>
      </c>
      <c r="B20" s="70"/>
      <c r="C20" s="86" t="s">
        <v>863</v>
      </c>
      <c r="E20" s="136">
        <v>201801</v>
      </c>
      <c r="F20" s="138" t="s">
        <v>345</v>
      </c>
      <c r="G20" s="138" t="s">
        <v>352</v>
      </c>
      <c r="H20" s="138" t="s">
        <v>360</v>
      </c>
      <c r="I20" s="139">
        <v>234</v>
      </c>
      <c r="K20" s="94" t="str">
        <f t="shared" si="1"/>
        <v>0011-1004-0048</v>
      </c>
      <c r="L20" s="94" t="str">
        <f>VLOOKUP(K20,COA!$A$3:$B$337,2,FALSE)</f>
        <v>L21</v>
      </c>
      <c r="M20" s="94" t="str">
        <f t="shared" si="2"/>
        <v>L21</v>
      </c>
      <c r="N20" s="94" t="str">
        <f>VLOOKUP(M20,CAC!$A$2:$B$198,2,FALSE)</f>
        <v>HMFLEX</v>
      </c>
      <c r="P20" s="12">
        <f t="shared" si="3"/>
        <v>209712.31999999998</v>
      </c>
      <c r="Q20" s="11">
        <v>201606</v>
      </c>
      <c r="R20" s="12">
        <f t="shared" si="4"/>
        <v>41525.360000000001</v>
      </c>
      <c r="S20" s="13">
        <f t="shared" si="4"/>
        <v>56462.619999999995</v>
      </c>
      <c r="T20" s="13">
        <f t="shared" si="4"/>
        <v>6048.86</v>
      </c>
      <c r="U20" s="13">
        <f t="shared" si="4"/>
        <v>8928.5399999999991</v>
      </c>
      <c r="V20" s="13">
        <f t="shared" si="4"/>
        <v>37791.360000000001</v>
      </c>
      <c r="W20" s="13">
        <f t="shared" si="4"/>
        <v>37177.089999999997</v>
      </c>
      <c r="X20" s="13">
        <f t="shared" si="4"/>
        <v>0</v>
      </c>
      <c r="Y20" s="13">
        <f t="shared" si="4"/>
        <v>0</v>
      </c>
      <c r="Z20" s="13">
        <f t="shared" si="4"/>
        <v>21778.489999999998</v>
      </c>
      <c r="AA20" s="13">
        <f t="shared" si="4"/>
        <v>0</v>
      </c>
      <c r="AB20" s="13">
        <f t="shared" si="4"/>
        <v>0</v>
      </c>
      <c r="AC20" s="14">
        <f t="shared" si="4"/>
        <v>0</v>
      </c>
      <c r="AD20" s="13">
        <f t="shared" si="4"/>
        <v>0</v>
      </c>
      <c r="AE20" s="13">
        <f t="shared" si="4"/>
        <v>39481</v>
      </c>
      <c r="AF20" s="14">
        <f t="shared" si="4"/>
        <v>764</v>
      </c>
    </row>
    <row r="21" spans="1:32" x14ac:dyDescent="0.25">
      <c r="A21" s="91" t="s">
        <v>871</v>
      </c>
      <c r="B21" s="70"/>
      <c r="C21" s="86" t="s">
        <v>870</v>
      </c>
      <c r="E21" s="136">
        <v>201705</v>
      </c>
      <c r="F21" s="138" t="s">
        <v>344</v>
      </c>
      <c r="G21" s="138" t="s">
        <v>355</v>
      </c>
      <c r="H21" s="138" t="s">
        <v>344</v>
      </c>
      <c r="I21" s="139">
        <v>54</v>
      </c>
      <c r="K21" s="94" t="str">
        <f t="shared" si="1"/>
        <v>0012-1006-0012</v>
      </c>
      <c r="L21" s="94" t="str">
        <f>VLOOKUP(K21,COA!$A$3:$B$337,2,FALSE)</f>
        <v>L16</v>
      </c>
      <c r="M21" s="94" t="str">
        <f t="shared" si="2"/>
        <v>L16</v>
      </c>
      <c r="N21" s="94" t="str">
        <f>VLOOKUP(M21,CAC!$A$2:$B$198,2,FALSE)</f>
        <v>HMOLG</v>
      </c>
      <c r="P21" s="12">
        <f t="shared" si="3"/>
        <v>205284.78</v>
      </c>
      <c r="Q21" s="11">
        <v>201607</v>
      </c>
      <c r="R21" s="12">
        <f t="shared" si="4"/>
        <v>41469.660000000003</v>
      </c>
      <c r="S21" s="13">
        <f t="shared" si="4"/>
        <v>50569.279999999999</v>
      </c>
      <c r="T21" s="13">
        <f t="shared" si="4"/>
        <v>6094.98</v>
      </c>
      <c r="U21" s="13">
        <f t="shared" si="4"/>
        <v>9883.7199999999993</v>
      </c>
      <c r="V21" s="13">
        <f t="shared" si="4"/>
        <v>38074.67</v>
      </c>
      <c r="W21" s="13">
        <f t="shared" si="4"/>
        <v>37011.480000000003</v>
      </c>
      <c r="X21" s="13">
        <f t="shared" si="4"/>
        <v>0</v>
      </c>
      <c r="Y21" s="13">
        <f t="shared" si="4"/>
        <v>0</v>
      </c>
      <c r="Z21" s="13">
        <f t="shared" si="4"/>
        <v>22180.99</v>
      </c>
      <c r="AA21" s="13">
        <f t="shared" si="4"/>
        <v>0</v>
      </c>
      <c r="AB21" s="13">
        <f t="shared" si="4"/>
        <v>0</v>
      </c>
      <c r="AC21" s="14">
        <f t="shared" si="4"/>
        <v>0</v>
      </c>
      <c r="AD21" s="13">
        <f t="shared" si="4"/>
        <v>0</v>
      </c>
      <c r="AE21" s="13">
        <f t="shared" si="4"/>
        <v>39632</v>
      </c>
      <c r="AF21" s="14">
        <f t="shared" si="4"/>
        <v>766</v>
      </c>
    </row>
    <row r="22" spans="1:32" x14ac:dyDescent="0.25">
      <c r="A22" s="91" t="s">
        <v>889</v>
      </c>
      <c r="B22" s="70"/>
      <c r="C22" s="86" t="s">
        <v>871</v>
      </c>
      <c r="E22" s="136">
        <v>201712</v>
      </c>
      <c r="F22" s="138" t="s">
        <v>345</v>
      </c>
      <c r="G22" s="138" t="s">
        <v>350</v>
      </c>
      <c r="H22" s="138" t="s">
        <v>344</v>
      </c>
      <c r="I22" s="139">
        <v>17850.740000000002</v>
      </c>
      <c r="K22" s="94" t="str">
        <f t="shared" si="1"/>
        <v>0011-1012-0012</v>
      </c>
      <c r="L22" s="94" t="str">
        <f>VLOOKUP(K22,COA!$A$3:$B$337,2,FALSE)</f>
        <v>K11</v>
      </c>
      <c r="M22" s="94" t="str">
        <f t="shared" si="2"/>
        <v>K11</v>
      </c>
      <c r="N22" s="94" t="str">
        <f>VLOOKUP(M22,CAC!$A$2:$B$198,2,FALSE)</f>
        <v>HMOPMR</v>
      </c>
      <c r="P22" s="12">
        <f t="shared" si="3"/>
        <v>210841.3</v>
      </c>
      <c r="Q22" s="11">
        <v>201608</v>
      </c>
      <c r="R22" s="12">
        <f t="shared" si="4"/>
        <v>40836.81</v>
      </c>
      <c r="S22" s="13">
        <f t="shared" si="4"/>
        <v>57117.48</v>
      </c>
      <c r="T22" s="13">
        <f t="shared" si="4"/>
        <v>6060.52</v>
      </c>
      <c r="U22" s="13">
        <f t="shared" si="4"/>
        <v>9894.06</v>
      </c>
      <c r="V22" s="13">
        <f t="shared" si="4"/>
        <v>37856.81</v>
      </c>
      <c r="W22" s="13">
        <f t="shared" si="4"/>
        <v>36840.71</v>
      </c>
      <c r="X22" s="13">
        <f t="shared" si="4"/>
        <v>0</v>
      </c>
      <c r="Y22" s="13">
        <f t="shared" si="4"/>
        <v>0</v>
      </c>
      <c r="Z22" s="13">
        <f t="shared" si="4"/>
        <v>22234.91</v>
      </c>
      <c r="AA22" s="13">
        <f t="shared" si="4"/>
        <v>0</v>
      </c>
      <c r="AB22" s="13">
        <f t="shared" si="4"/>
        <v>0</v>
      </c>
      <c r="AC22" s="14">
        <f t="shared" si="4"/>
        <v>0</v>
      </c>
      <c r="AD22" s="13">
        <f t="shared" si="4"/>
        <v>0</v>
      </c>
      <c r="AE22" s="13">
        <f t="shared" si="4"/>
        <v>39717</v>
      </c>
      <c r="AF22" s="14">
        <f t="shared" si="4"/>
        <v>767</v>
      </c>
    </row>
    <row r="23" spans="1:32" x14ac:dyDescent="0.25">
      <c r="A23" s="91" t="s">
        <v>872</v>
      </c>
      <c r="B23" s="70"/>
      <c r="C23" s="86" t="s">
        <v>889</v>
      </c>
      <c r="E23" s="136">
        <v>201604</v>
      </c>
      <c r="F23" s="138" t="s">
        <v>563</v>
      </c>
      <c r="G23" s="138" t="s">
        <v>350</v>
      </c>
      <c r="H23" s="138" t="s">
        <v>344</v>
      </c>
      <c r="I23" s="139">
        <v>0</v>
      </c>
      <c r="K23" s="94" t="str">
        <f t="shared" si="1"/>
        <v>0003-1012-0012</v>
      </c>
      <c r="L23" s="94" t="str">
        <f>VLOOKUP(K23,COA!$A$3:$B$337,2,FALSE)</f>
        <v>K51</v>
      </c>
      <c r="M23" s="94" t="str">
        <f t="shared" si="2"/>
        <v>K51</v>
      </c>
      <c r="N23" s="94" t="str">
        <f>VLOOKUP(M23,CAC!$A$2:$B$198,2,FALSE)</f>
        <v>PPOPMR</v>
      </c>
      <c r="P23" s="12">
        <f t="shared" si="3"/>
        <v>209639.67999999999</v>
      </c>
      <c r="Q23" s="11">
        <v>201609</v>
      </c>
      <c r="R23" s="12">
        <f t="shared" ref="R23:AF32" si="5">SUMIFS($I$3:$I$4995,$E$3:$E$4995,$Q23,$N$3:$N$4995,R$2)</f>
        <v>40070.61</v>
      </c>
      <c r="S23" s="13">
        <f t="shared" si="5"/>
        <v>57125.48</v>
      </c>
      <c r="T23" s="13">
        <f t="shared" si="5"/>
        <v>6034.99</v>
      </c>
      <c r="U23" s="13">
        <f t="shared" si="5"/>
        <v>9938.7999999999993</v>
      </c>
      <c r="V23" s="13">
        <f t="shared" si="5"/>
        <v>37692.019999999997</v>
      </c>
      <c r="W23" s="13">
        <f t="shared" si="5"/>
        <v>36485.79</v>
      </c>
      <c r="X23" s="13">
        <f t="shared" si="5"/>
        <v>0</v>
      </c>
      <c r="Y23" s="13">
        <f t="shared" si="5"/>
        <v>0</v>
      </c>
      <c r="Z23" s="13">
        <f t="shared" si="5"/>
        <v>22291.99</v>
      </c>
      <c r="AA23" s="13">
        <f t="shared" si="5"/>
        <v>0</v>
      </c>
      <c r="AB23" s="13">
        <f t="shared" si="5"/>
        <v>0</v>
      </c>
      <c r="AC23" s="14">
        <f t="shared" si="5"/>
        <v>0</v>
      </c>
      <c r="AD23" s="13">
        <f t="shared" si="5"/>
        <v>0</v>
      </c>
      <c r="AE23" s="13">
        <f t="shared" si="5"/>
        <v>39849</v>
      </c>
      <c r="AF23" s="14">
        <f t="shared" si="5"/>
        <v>773</v>
      </c>
    </row>
    <row r="24" spans="1:32" x14ac:dyDescent="0.25">
      <c r="A24" s="91" t="s">
        <v>873</v>
      </c>
      <c r="B24" s="70"/>
      <c r="C24" s="86" t="s">
        <v>873</v>
      </c>
      <c r="E24" s="136">
        <v>201601</v>
      </c>
      <c r="F24" s="138" t="s">
        <v>506</v>
      </c>
      <c r="G24" s="138" t="s">
        <v>361</v>
      </c>
      <c r="H24" s="138" t="s">
        <v>592</v>
      </c>
      <c r="I24" s="139">
        <v>0</v>
      </c>
      <c r="K24" s="94" t="str">
        <f t="shared" si="1"/>
        <v>0013-1003-0035</v>
      </c>
      <c r="L24" s="94" t="str">
        <f>VLOOKUP(K24,COA!$A$3:$B$337,2,FALSE)</f>
        <v>N32</v>
      </c>
      <c r="M24" s="94" t="str">
        <f t="shared" si="2"/>
        <v>N32</v>
      </c>
      <c r="N24" s="94" t="e">
        <f>VLOOKUP(M24,CAC!$A$2:$B$198,2,FALSE)</f>
        <v>#N/A</v>
      </c>
      <c r="P24" s="12">
        <f t="shared" si="3"/>
        <v>208621.67</v>
      </c>
      <c r="Q24" s="11">
        <v>201610</v>
      </c>
      <c r="R24" s="12">
        <f t="shared" si="5"/>
        <v>39661.630000000005</v>
      </c>
      <c r="S24" s="13">
        <f t="shared" si="5"/>
        <v>57088.79</v>
      </c>
      <c r="T24" s="13">
        <f t="shared" si="5"/>
        <v>5997.27</v>
      </c>
      <c r="U24" s="13">
        <f t="shared" si="5"/>
        <v>9632</v>
      </c>
      <c r="V24" s="13">
        <f t="shared" si="5"/>
        <v>37510.61</v>
      </c>
      <c r="W24" s="13">
        <f t="shared" si="5"/>
        <v>35996.959999999999</v>
      </c>
      <c r="X24" s="13">
        <f t="shared" si="5"/>
        <v>0</v>
      </c>
      <c r="Y24" s="13">
        <f t="shared" si="5"/>
        <v>0</v>
      </c>
      <c r="Z24" s="13">
        <f t="shared" si="5"/>
        <v>22734.41</v>
      </c>
      <c r="AA24" s="13">
        <f t="shared" si="5"/>
        <v>0</v>
      </c>
      <c r="AB24" s="13">
        <f t="shared" si="5"/>
        <v>0</v>
      </c>
      <c r="AC24" s="14">
        <f t="shared" si="5"/>
        <v>0</v>
      </c>
      <c r="AD24" s="13">
        <f t="shared" si="5"/>
        <v>0</v>
      </c>
      <c r="AE24" s="13">
        <f t="shared" si="5"/>
        <v>45622</v>
      </c>
      <c r="AF24" s="14">
        <f t="shared" si="5"/>
        <v>1392</v>
      </c>
    </row>
    <row r="25" spans="1:32" x14ac:dyDescent="0.25">
      <c r="A25" s="91" t="s">
        <v>874</v>
      </c>
      <c r="B25" s="70"/>
      <c r="C25" s="86" t="s">
        <v>874</v>
      </c>
      <c r="E25" s="136">
        <v>201512</v>
      </c>
      <c r="F25" s="138" t="s">
        <v>345</v>
      </c>
      <c r="G25" s="138" t="s">
        <v>354</v>
      </c>
      <c r="H25" s="138" t="s">
        <v>360</v>
      </c>
      <c r="I25" s="139">
        <v>605</v>
      </c>
      <c r="K25" s="94" t="str">
        <f t="shared" si="1"/>
        <v>0011-1013-0048</v>
      </c>
      <c r="L25" s="94" t="str">
        <f>VLOOKUP(K25,COA!$A$3:$B$337,2,FALSE)</f>
        <v>N21</v>
      </c>
      <c r="M25" s="94" t="str">
        <f t="shared" si="2"/>
        <v>N21</v>
      </c>
      <c r="N25" s="94" t="str">
        <f>VLOOKUP(M25,CAC!$A$2:$B$198,2,FALSE)</f>
        <v>HMFLEX</v>
      </c>
      <c r="P25" s="12">
        <f t="shared" si="3"/>
        <v>208120.08999999997</v>
      </c>
      <c r="Q25" s="11">
        <v>201611</v>
      </c>
      <c r="R25" s="12">
        <f t="shared" si="5"/>
        <v>39257.730000000003</v>
      </c>
      <c r="S25" s="13">
        <f t="shared" si="5"/>
        <v>57208.569999999992</v>
      </c>
      <c r="T25" s="13">
        <f t="shared" si="5"/>
        <v>5970.4</v>
      </c>
      <c r="U25" s="13">
        <f t="shared" si="5"/>
        <v>9664.0300000000007</v>
      </c>
      <c r="V25" s="13">
        <f t="shared" si="5"/>
        <v>37430</v>
      </c>
      <c r="W25" s="13">
        <f t="shared" si="5"/>
        <v>35683.339999999997</v>
      </c>
      <c r="X25" s="13">
        <f t="shared" si="5"/>
        <v>0</v>
      </c>
      <c r="Y25" s="13">
        <f t="shared" si="5"/>
        <v>0</v>
      </c>
      <c r="Z25" s="13">
        <f t="shared" si="5"/>
        <v>22906.02</v>
      </c>
      <c r="AA25" s="13">
        <f t="shared" si="5"/>
        <v>0</v>
      </c>
      <c r="AB25" s="13">
        <f t="shared" si="5"/>
        <v>0</v>
      </c>
      <c r="AC25" s="14">
        <f t="shared" si="5"/>
        <v>0</v>
      </c>
      <c r="AD25" s="13">
        <f t="shared" si="5"/>
        <v>0</v>
      </c>
      <c r="AE25" s="13">
        <f t="shared" si="5"/>
        <v>45640</v>
      </c>
      <c r="AF25" s="14">
        <f t="shared" si="5"/>
        <v>1400</v>
      </c>
    </row>
    <row r="26" spans="1:32" x14ac:dyDescent="0.25">
      <c r="A26" s="91" t="s">
        <v>929</v>
      </c>
      <c r="B26" s="70"/>
      <c r="C26" s="93" t="s">
        <v>936</v>
      </c>
      <c r="E26" s="136">
        <v>201603</v>
      </c>
      <c r="F26" s="138" t="s">
        <v>345</v>
      </c>
      <c r="G26" s="138" t="s">
        <v>350</v>
      </c>
      <c r="H26" s="138" t="s">
        <v>360</v>
      </c>
      <c r="I26" s="139">
        <v>6032.24</v>
      </c>
      <c r="K26" s="94" t="str">
        <f t="shared" si="1"/>
        <v>0011-1012-0048</v>
      </c>
      <c r="L26" s="94" t="str">
        <f>VLOOKUP(K26,COA!$A$3:$B$337,2,FALSE)</f>
        <v>K21</v>
      </c>
      <c r="M26" s="94" t="str">
        <f t="shared" si="2"/>
        <v>K21</v>
      </c>
      <c r="N26" s="94" t="str">
        <f>VLOOKUP(M26,CAC!$A$2:$B$198,2,FALSE)</f>
        <v>HMFLEX</v>
      </c>
      <c r="P26" s="35">
        <f t="shared" si="3"/>
        <v>206785.71999999997</v>
      </c>
      <c r="Q26" s="34">
        <v>201612</v>
      </c>
      <c r="R26" s="35">
        <f t="shared" si="5"/>
        <v>35166.61</v>
      </c>
      <c r="S26" s="36">
        <f t="shared" si="5"/>
        <v>57181.070000000007</v>
      </c>
      <c r="T26" s="36">
        <f t="shared" si="5"/>
        <v>5945.53</v>
      </c>
      <c r="U26" s="36">
        <f t="shared" si="5"/>
        <v>9669.9699999999993</v>
      </c>
      <c r="V26" s="36">
        <f t="shared" si="5"/>
        <v>37373.06</v>
      </c>
      <c r="W26" s="36">
        <f t="shared" si="5"/>
        <v>35378.519999999997</v>
      </c>
      <c r="X26" s="36">
        <f t="shared" si="5"/>
        <v>0</v>
      </c>
      <c r="Y26" s="36">
        <f t="shared" si="5"/>
        <v>0</v>
      </c>
      <c r="Z26" s="36">
        <f t="shared" si="5"/>
        <v>26070.960000000003</v>
      </c>
      <c r="AA26" s="36">
        <f t="shared" si="5"/>
        <v>0</v>
      </c>
      <c r="AB26" s="36">
        <f t="shared" si="5"/>
        <v>0</v>
      </c>
      <c r="AC26" s="37">
        <f t="shared" si="5"/>
        <v>0</v>
      </c>
      <c r="AD26" s="36">
        <f t="shared" si="5"/>
        <v>0</v>
      </c>
      <c r="AE26" s="36">
        <f t="shared" si="5"/>
        <v>45675</v>
      </c>
      <c r="AF26" s="37">
        <f t="shared" si="5"/>
        <v>1405</v>
      </c>
    </row>
    <row r="27" spans="1:32" x14ac:dyDescent="0.25">
      <c r="A27" s="91" t="s">
        <v>930</v>
      </c>
      <c r="B27" s="70"/>
      <c r="C27" s="93" t="s">
        <v>937</v>
      </c>
      <c r="E27" s="136">
        <v>201602</v>
      </c>
      <c r="F27" s="138" t="s">
        <v>413</v>
      </c>
      <c r="G27" s="138" t="s">
        <v>352</v>
      </c>
      <c r="H27" s="138" t="s">
        <v>344</v>
      </c>
      <c r="I27" s="139">
        <v>0</v>
      </c>
      <c r="K27" s="94" t="str">
        <f t="shared" si="1"/>
        <v>0008-1004-0012</v>
      </c>
      <c r="L27" s="94" t="str">
        <f>VLOOKUP(K27,COA!$A$3:$B$337,2,FALSE)</f>
        <v>C93</v>
      </c>
      <c r="M27" s="94" t="str">
        <f t="shared" si="2"/>
        <v>C93</v>
      </c>
      <c r="N27" s="94" t="str">
        <f>VLOOKUP(M27,CAC!$A$2:$B$198,2,FALSE)</f>
        <v>DOILG</v>
      </c>
      <c r="P27" s="52">
        <f t="shared" si="3"/>
        <v>177969.24</v>
      </c>
      <c r="Q27" s="55">
        <v>201701</v>
      </c>
      <c r="R27" s="52">
        <f t="shared" si="5"/>
        <v>32056.3</v>
      </c>
      <c r="S27" s="53">
        <f t="shared" si="5"/>
        <v>54413.85</v>
      </c>
      <c r="T27" s="53">
        <f t="shared" si="5"/>
        <v>5618.91</v>
      </c>
      <c r="U27" s="53">
        <f t="shared" si="5"/>
        <v>9619</v>
      </c>
      <c r="V27" s="53">
        <f t="shared" si="5"/>
        <v>48471.8</v>
      </c>
      <c r="W27" s="53">
        <f t="shared" si="5"/>
        <v>0</v>
      </c>
      <c r="X27" s="53">
        <f t="shared" si="5"/>
        <v>0</v>
      </c>
      <c r="Y27" s="53">
        <f t="shared" si="5"/>
        <v>0</v>
      </c>
      <c r="Z27" s="53">
        <f t="shared" si="5"/>
        <v>26737.35</v>
      </c>
      <c r="AA27" s="53">
        <f t="shared" si="5"/>
        <v>1052.03</v>
      </c>
      <c r="AB27" s="53">
        <f t="shared" si="5"/>
        <v>0</v>
      </c>
      <c r="AC27" s="54">
        <f t="shared" si="5"/>
        <v>0</v>
      </c>
      <c r="AD27" s="53">
        <f t="shared" si="5"/>
        <v>0</v>
      </c>
      <c r="AE27" s="53">
        <f t="shared" si="5"/>
        <v>48398</v>
      </c>
      <c r="AF27" s="54">
        <f t="shared" si="5"/>
        <v>1382</v>
      </c>
    </row>
    <row r="28" spans="1:32" x14ac:dyDescent="0.25">
      <c r="A28" s="91" t="s">
        <v>875</v>
      </c>
      <c r="B28" s="70"/>
      <c r="C28" s="93" t="s">
        <v>938</v>
      </c>
      <c r="E28" s="136">
        <v>201509</v>
      </c>
      <c r="F28" s="138" t="s">
        <v>413</v>
      </c>
      <c r="G28" s="138" t="s">
        <v>352</v>
      </c>
      <c r="H28" s="138" t="s">
        <v>344</v>
      </c>
      <c r="I28" s="139">
        <v>0</v>
      </c>
      <c r="K28" s="94" t="str">
        <f t="shared" si="1"/>
        <v>0008-1004-0012</v>
      </c>
      <c r="L28" s="94" t="str">
        <f>VLOOKUP(K28,COA!$A$3:$B$337,2,FALSE)</f>
        <v>C93</v>
      </c>
      <c r="M28" s="94" t="str">
        <f t="shared" si="2"/>
        <v>C93</v>
      </c>
      <c r="N28" s="94" t="str">
        <f>VLOOKUP(M28,CAC!$A$2:$B$198,2,FALSE)</f>
        <v>DOILG</v>
      </c>
      <c r="P28" s="32">
        <f t="shared" si="3"/>
        <v>177889.8</v>
      </c>
      <c r="Q28" s="11">
        <v>201702</v>
      </c>
      <c r="R28" s="32">
        <f t="shared" si="5"/>
        <v>32092.83</v>
      </c>
      <c r="S28" s="33">
        <f t="shared" si="5"/>
        <v>54263.12</v>
      </c>
      <c r="T28" s="33">
        <f t="shared" si="5"/>
        <v>5690.31</v>
      </c>
      <c r="U28" s="33">
        <f t="shared" si="5"/>
        <v>9661</v>
      </c>
      <c r="V28" s="33">
        <f t="shared" si="5"/>
        <v>48114.18</v>
      </c>
      <c r="W28" s="33">
        <f t="shared" si="5"/>
        <v>0</v>
      </c>
      <c r="X28" s="33">
        <f t="shared" si="5"/>
        <v>0</v>
      </c>
      <c r="Y28" s="33">
        <f t="shared" si="5"/>
        <v>0</v>
      </c>
      <c r="Z28" s="33">
        <f t="shared" si="5"/>
        <v>26691.25</v>
      </c>
      <c r="AA28" s="13">
        <f t="shared" si="5"/>
        <v>1377.1100000000001</v>
      </c>
      <c r="AB28" s="13">
        <f t="shared" si="5"/>
        <v>0</v>
      </c>
      <c r="AC28" s="14">
        <f t="shared" si="5"/>
        <v>0</v>
      </c>
      <c r="AD28" s="13">
        <f t="shared" si="5"/>
        <v>0</v>
      </c>
      <c r="AE28" s="13">
        <f t="shared" si="5"/>
        <v>48345</v>
      </c>
      <c r="AF28" s="14">
        <f t="shared" si="5"/>
        <v>1381</v>
      </c>
    </row>
    <row r="29" spans="1:32" x14ac:dyDescent="0.25">
      <c r="A29" s="91" t="s">
        <v>876</v>
      </c>
      <c r="B29" s="70"/>
      <c r="C29" s="86" t="s">
        <v>929</v>
      </c>
      <c r="E29" s="136">
        <v>201502</v>
      </c>
      <c r="F29" s="138" t="s">
        <v>746</v>
      </c>
      <c r="G29" s="138" t="s">
        <v>354</v>
      </c>
      <c r="H29" s="138" t="s">
        <v>344</v>
      </c>
      <c r="I29" s="139">
        <v>78</v>
      </c>
      <c r="K29" s="94" t="str">
        <f t="shared" si="1"/>
        <v>0016-1013-0012</v>
      </c>
      <c r="L29" s="94" t="str">
        <f>VLOOKUP(K29,COA!$A$3:$B$337,2,FALSE)</f>
        <v>R19</v>
      </c>
      <c r="M29" s="94" t="str">
        <f t="shared" si="2"/>
        <v>R19</v>
      </c>
      <c r="N29" s="94" t="str">
        <f>VLOOKUP(M29,CAC!$A$2:$B$198,2,FALSE)</f>
        <v>HMOMG</v>
      </c>
      <c r="P29" s="12">
        <f t="shared" si="3"/>
        <v>178321.3</v>
      </c>
      <c r="Q29" s="11">
        <v>201703</v>
      </c>
      <c r="R29" s="12">
        <f t="shared" si="5"/>
        <v>32394.58</v>
      </c>
      <c r="S29" s="13">
        <f t="shared" si="5"/>
        <v>54156.12999999999</v>
      </c>
      <c r="T29" s="13">
        <f t="shared" si="5"/>
        <v>5704.72</v>
      </c>
      <c r="U29" s="13">
        <f t="shared" si="5"/>
        <v>9717</v>
      </c>
      <c r="V29" s="13">
        <f t="shared" si="5"/>
        <v>47829.35</v>
      </c>
      <c r="W29" s="13">
        <f t="shared" si="5"/>
        <v>0</v>
      </c>
      <c r="X29" s="13">
        <f t="shared" si="5"/>
        <v>0</v>
      </c>
      <c r="Y29" s="13">
        <f t="shared" si="5"/>
        <v>0</v>
      </c>
      <c r="Z29" s="13">
        <f t="shared" si="5"/>
        <v>26829.71</v>
      </c>
      <c r="AA29" s="13">
        <f t="shared" si="5"/>
        <v>1689.81</v>
      </c>
      <c r="AB29" s="13">
        <f t="shared" si="5"/>
        <v>0</v>
      </c>
      <c r="AC29" s="14">
        <f t="shared" si="5"/>
        <v>0</v>
      </c>
      <c r="AD29" s="13">
        <f t="shared" si="5"/>
        <v>0</v>
      </c>
      <c r="AE29" s="13">
        <f t="shared" si="5"/>
        <v>48299</v>
      </c>
      <c r="AF29" s="14">
        <f t="shared" si="5"/>
        <v>1383</v>
      </c>
    </row>
    <row r="30" spans="1:32" x14ac:dyDescent="0.25">
      <c r="A30" s="91" t="s">
        <v>26</v>
      </c>
      <c r="B30" s="70"/>
      <c r="C30" s="86" t="s">
        <v>930</v>
      </c>
      <c r="E30" s="136">
        <v>201612</v>
      </c>
      <c r="F30" s="138" t="s">
        <v>563</v>
      </c>
      <c r="G30" s="138" t="s">
        <v>354</v>
      </c>
      <c r="H30" s="138" t="s">
        <v>344</v>
      </c>
      <c r="I30" s="139">
        <v>0</v>
      </c>
      <c r="K30" s="94" t="str">
        <f t="shared" si="1"/>
        <v>0003-1013-0012</v>
      </c>
      <c r="L30" s="94" t="str">
        <f>VLOOKUP(K30,COA!$A$3:$B$337,2,FALSE)</f>
        <v>N55</v>
      </c>
      <c r="M30" s="94" t="str">
        <f t="shared" si="2"/>
        <v>N55</v>
      </c>
      <c r="N30" s="94" t="str">
        <f>VLOOKUP(M30,CAC!$A$2:$B$198,2,FALSE)</f>
        <v>PPOPMR</v>
      </c>
      <c r="P30" s="12">
        <f t="shared" si="3"/>
        <v>179401.27000000002</v>
      </c>
      <c r="Q30" s="11">
        <v>201704</v>
      </c>
      <c r="R30" s="12">
        <f t="shared" si="5"/>
        <v>33192.880000000005</v>
      </c>
      <c r="S30" s="13">
        <f t="shared" si="5"/>
        <v>54368.11</v>
      </c>
      <c r="T30" s="13">
        <f t="shared" si="5"/>
        <v>5699.01</v>
      </c>
      <c r="U30" s="13">
        <f t="shared" si="5"/>
        <v>9709</v>
      </c>
      <c r="V30" s="13">
        <f t="shared" si="5"/>
        <v>47696.5</v>
      </c>
      <c r="W30" s="13">
        <f t="shared" si="5"/>
        <v>0</v>
      </c>
      <c r="X30" s="13">
        <f t="shared" si="5"/>
        <v>0</v>
      </c>
      <c r="Y30" s="13">
        <f t="shared" si="5"/>
        <v>0</v>
      </c>
      <c r="Z30" s="13">
        <f t="shared" si="5"/>
        <v>26917.13</v>
      </c>
      <c r="AA30" s="13">
        <f t="shared" si="5"/>
        <v>1818.6399999999999</v>
      </c>
      <c r="AB30" s="13">
        <f t="shared" si="5"/>
        <v>0</v>
      </c>
      <c r="AC30" s="14">
        <f t="shared" si="5"/>
        <v>0</v>
      </c>
      <c r="AD30" s="13">
        <f t="shared" si="5"/>
        <v>0</v>
      </c>
      <c r="AE30" s="13">
        <f t="shared" si="5"/>
        <v>49190</v>
      </c>
      <c r="AF30" s="14">
        <f t="shared" si="5"/>
        <v>1402</v>
      </c>
    </row>
    <row r="31" spans="1:32" x14ac:dyDescent="0.25">
      <c r="A31" s="91" t="s">
        <v>877</v>
      </c>
      <c r="B31" s="51" t="s">
        <v>864</v>
      </c>
      <c r="C31" s="86" t="s">
        <v>875</v>
      </c>
      <c r="E31" s="136">
        <v>201504</v>
      </c>
      <c r="F31" s="138" t="s">
        <v>563</v>
      </c>
      <c r="G31" s="138" t="s">
        <v>348</v>
      </c>
      <c r="H31" s="138" t="s">
        <v>349</v>
      </c>
      <c r="I31" s="139">
        <v>0</v>
      </c>
      <c r="K31" s="94" t="str">
        <f t="shared" si="1"/>
        <v>0003-1010-0017</v>
      </c>
      <c r="L31" s="94" t="str">
        <f>VLOOKUP(K31,COA!$A$3:$B$337,2,FALSE)</f>
        <v>S51</v>
      </c>
      <c r="M31" s="94" t="str">
        <f t="shared" si="2"/>
        <v>S51</v>
      </c>
      <c r="N31" s="94" t="str">
        <f>VLOOKUP(M31,CAC!$A$2:$B$198,2,FALSE)</f>
        <v>PPOSG</v>
      </c>
      <c r="P31" s="12">
        <f t="shared" si="3"/>
        <v>179803.41</v>
      </c>
      <c r="Q31" s="11">
        <v>201705</v>
      </c>
      <c r="R31" s="12">
        <f t="shared" si="5"/>
        <v>33747.81</v>
      </c>
      <c r="S31" s="13">
        <f t="shared" si="5"/>
        <v>54335.219999999994</v>
      </c>
      <c r="T31" s="13">
        <f t="shared" si="5"/>
        <v>5706.26</v>
      </c>
      <c r="U31" s="13">
        <f t="shared" si="5"/>
        <v>9715.16</v>
      </c>
      <c r="V31" s="13">
        <f t="shared" si="5"/>
        <v>47549.36</v>
      </c>
      <c r="W31" s="13">
        <f t="shared" si="5"/>
        <v>0</v>
      </c>
      <c r="X31" s="13">
        <f t="shared" si="5"/>
        <v>0</v>
      </c>
      <c r="Y31" s="13">
        <f t="shared" si="5"/>
        <v>0</v>
      </c>
      <c r="Z31" s="13">
        <f t="shared" si="5"/>
        <v>26831.26</v>
      </c>
      <c r="AA31" s="13">
        <f t="shared" si="5"/>
        <v>1918.3400000000001</v>
      </c>
      <c r="AB31" s="13">
        <f t="shared" si="5"/>
        <v>0</v>
      </c>
      <c r="AC31" s="14">
        <f t="shared" si="5"/>
        <v>0</v>
      </c>
      <c r="AD31" s="13">
        <f t="shared" si="5"/>
        <v>0</v>
      </c>
      <c r="AE31" s="13">
        <f t="shared" si="5"/>
        <v>49199</v>
      </c>
      <c r="AF31" s="14">
        <f t="shared" si="5"/>
        <v>1403</v>
      </c>
    </row>
    <row r="32" spans="1:32" x14ac:dyDescent="0.25">
      <c r="A32" s="91" t="s">
        <v>878</v>
      </c>
      <c r="B32" s="70"/>
      <c r="C32" s="86" t="s">
        <v>876</v>
      </c>
      <c r="E32" s="136">
        <v>201711</v>
      </c>
      <c r="F32" s="138" t="s">
        <v>563</v>
      </c>
      <c r="G32" s="138" t="s">
        <v>354</v>
      </c>
      <c r="H32" s="138" t="s">
        <v>344</v>
      </c>
      <c r="I32" s="139">
        <v>0</v>
      </c>
      <c r="K32" s="94" t="str">
        <f t="shared" si="1"/>
        <v>0003-1013-0012</v>
      </c>
      <c r="L32" s="94" t="str">
        <f>VLOOKUP(K32,COA!$A$3:$B$337,2,FALSE)</f>
        <v>N55</v>
      </c>
      <c r="M32" s="94" t="str">
        <f t="shared" si="2"/>
        <v>N55</v>
      </c>
      <c r="N32" s="94" t="str">
        <f>VLOOKUP(M32,CAC!$A$2:$B$198,2,FALSE)</f>
        <v>PPOPMR</v>
      </c>
      <c r="P32" s="12">
        <f t="shared" si="3"/>
        <v>180489.87</v>
      </c>
      <c r="Q32" s="11">
        <v>201706</v>
      </c>
      <c r="R32" s="12">
        <f t="shared" si="5"/>
        <v>34415.1</v>
      </c>
      <c r="S32" s="13">
        <f t="shared" si="5"/>
        <v>54514.770000000004</v>
      </c>
      <c r="T32" s="13">
        <f t="shared" si="5"/>
        <v>5717.66</v>
      </c>
      <c r="U32" s="13">
        <f t="shared" si="5"/>
        <v>9660</v>
      </c>
      <c r="V32" s="13">
        <f t="shared" si="5"/>
        <v>47360</v>
      </c>
      <c r="W32" s="13">
        <f t="shared" si="5"/>
        <v>0</v>
      </c>
      <c r="X32" s="13">
        <f t="shared" si="5"/>
        <v>0</v>
      </c>
      <c r="Y32" s="13">
        <f t="shared" si="5"/>
        <v>0</v>
      </c>
      <c r="Z32" s="13">
        <f t="shared" si="5"/>
        <v>26816.13</v>
      </c>
      <c r="AA32" s="13">
        <f t="shared" si="5"/>
        <v>2006.21</v>
      </c>
      <c r="AB32" s="13">
        <f t="shared" si="5"/>
        <v>0</v>
      </c>
      <c r="AC32" s="14">
        <f t="shared" si="5"/>
        <v>0</v>
      </c>
      <c r="AD32" s="13">
        <f t="shared" si="5"/>
        <v>0</v>
      </c>
      <c r="AE32" s="13">
        <f t="shared" si="5"/>
        <v>49227</v>
      </c>
      <c r="AF32" s="14">
        <f t="shared" si="5"/>
        <v>1408</v>
      </c>
    </row>
    <row r="33" spans="1:32" x14ac:dyDescent="0.25">
      <c r="A33" s="91" t="s">
        <v>879</v>
      </c>
      <c r="B33" s="70"/>
      <c r="C33" s="86" t="s">
        <v>26</v>
      </c>
      <c r="E33" s="136">
        <v>201508</v>
      </c>
      <c r="F33" s="138" t="s">
        <v>563</v>
      </c>
      <c r="G33" s="138" t="s">
        <v>352</v>
      </c>
      <c r="H33" s="138" t="s">
        <v>653</v>
      </c>
      <c r="I33" s="139">
        <v>0</v>
      </c>
      <c r="K33" s="94" t="str">
        <f t="shared" si="1"/>
        <v>0003-1004-0047</v>
      </c>
      <c r="L33" s="94" t="str">
        <f>VLOOKUP(K33,COA!$A$3:$B$337,2,FALSE)</f>
        <v>L57</v>
      </c>
      <c r="M33" s="94" t="str">
        <f t="shared" si="2"/>
        <v>L57</v>
      </c>
      <c r="N33" s="94" t="str">
        <f>VLOOKUP(M33,CAC!$A$2:$B$198,2,FALSE)</f>
        <v>PPOLG</v>
      </c>
      <c r="P33" s="12">
        <f t="shared" si="3"/>
        <v>180511.72999999998</v>
      </c>
      <c r="Q33" s="11">
        <v>201707</v>
      </c>
      <c r="R33" s="12">
        <f t="shared" ref="R33:AF39" si="6">SUMIFS($I$3:$I$4995,$E$3:$E$4995,$Q33,$N$3:$N$4995,R$2)</f>
        <v>36971.699999999997</v>
      </c>
      <c r="S33" s="13">
        <f t="shared" si="6"/>
        <v>46494.18</v>
      </c>
      <c r="T33" s="13">
        <f t="shared" si="6"/>
        <v>5670.25</v>
      </c>
      <c r="U33" s="13">
        <f t="shared" si="6"/>
        <v>15500.15</v>
      </c>
      <c r="V33" s="13">
        <f t="shared" si="6"/>
        <v>47137.95</v>
      </c>
      <c r="W33" s="13">
        <f t="shared" si="6"/>
        <v>0</v>
      </c>
      <c r="X33" s="13">
        <f t="shared" si="6"/>
        <v>0</v>
      </c>
      <c r="Y33" s="13">
        <f t="shared" si="6"/>
        <v>0</v>
      </c>
      <c r="Z33" s="13">
        <f t="shared" si="6"/>
        <v>26664.52</v>
      </c>
      <c r="AA33" s="13">
        <f t="shared" si="6"/>
        <v>2072.98</v>
      </c>
      <c r="AB33" s="13">
        <f t="shared" si="6"/>
        <v>0</v>
      </c>
      <c r="AC33" s="14">
        <f t="shared" si="6"/>
        <v>0</v>
      </c>
      <c r="AD33" s="13">
        <f t="shared" si="6"/>
        <v>0</v>
      </c>
      <c r="AE33" s="13">
        <f t="shared" si="6"/>
        <v>49373</v>
      </c>
      <c r="AF33" s="14">
        <f t="shared" si="6"/>
        <v>1407</v>
      </c>
    </row>
    <row r="34" spans="1:32" x14ac:dyDescent="0.25">
      <c r="A34" s="91" t="s">
        <v>880</v>
      </c>
      <c r="B34" s="70"/>
      <c r="C34" s="86" t="s">
        <v>877</v>
      </c>
      <c r="E34" s="136">
        <v>201507</v>
      </c>
      <c r="F34" s="138" t="s">
        <v>563</v>
      </c>
      <c r="G34" s="138" t="s">
        <v>348</v>
      </c>
      <c r="H34" s="138" t="s">
        <v>353</v>
      </c>
      <c r="I34" s="139">
        <v>0</v>
      </c>
      <c r="K34" s="94" t="str">
        <f t="shared" si="1"/>
        <v>0003-1010-0023</v>
      </c>
      <c r="L34" s="94" t="str">
        <f>VLOOKUP(K34,COA!$A$3:$B$337,2,FALSE)</f>
        <v>S54</v>
      </c>
      <c r="M34" s="94" t="str">
        <f t="shared" si="2"/>
        <v>S54</v>
      </c>
      <c r="N34" s="94" t="str">
        <f>VLOOKUP(M34,CAC!$A$2:$B$198,2,FALSE)</f>
        <v>PPOSG</v>
      </c>
      <c r="P34" s="12">
        <f t="shared" si="3"/>
        <v>187582.39</v>
      </c>
      <c r="Q34" s="11">
        <v>201708</v>
      </c>
      <c r="R34" s="12">
        <f t="shared" si="6"/>
        <v>37556.26</v>
      </c>
      <c r="S34" s="13">
        <f t="shared" si="6"/>
        <v>52883.400000000009</v>
      </c>
      <c r="T34" s="13">
        <f t="shared" si="6"/>
        <v>5667.78</v>
      </c>
      <c r="U34" s="13">
        <f t="shared" si="6"/>
        <v>15589.55</v>
      </c>
      <c r="V34" s="13">
        <f t="shared" si="6"/>
        <v>46959.839999999997</v>
      </c>
      <c r="W34" s="13">
        <f t="shared" si="6"/>
        <v>0</v>
      </c>
      <c r="X34" s="13">
        <f t="shared" si="6"/>
        <v>0</v>
      </c>
      <c r="Y34" s="13">
        <f t="shared" si="6"/>
        <v>0</v>
      </c>
      <c r="Z34" s="13">
        <f t="shared" si="6"/>
        <v>26780.66</v>
      </c>
      <c r="AA34" s="13">
        <f t="shared" si="6"/>
        <v>2144.9</v>
      </c>
      <c r="AB34" s="13">
        <f t="shared" si="6"/>
        <v>0</v>
      </c>
      <c r="AC34" s="14">
        <f t="shared" si="6"/>
        <v>0</v>
      </c>
      <c r="AD34" s="13">
        <f t="shared" si="6"/>
        <v>0</v>
      </c>
      <c r="AE34" s="13">
        <f t="shared" si="6"/>
        <v>49473.97</v>
      </c>
      <c r="AF34" s="14">
        <f t="shared" si="6"/>
        <v>1410</v>
      </c>
    </row>
    <row r="35" spans="1:32" x14ac:dyDescent="0.25">
      <c r="A35" s="91" t="s">
        <v>881</v>
      </c>
      <c r="C35" s="86" t="s">
        <v>878</v>
      </c>
      <c r="E35" s="136">
        <v>201607</v>
      </c>
      <c r="F35" s="138" t="s">
        <v>345</v>
      </c>
      <c r="G35" s="138" t="s">
        <v>354</v>
      </c>
      <c r="H35" s="138" t="s">
        <v>344</v>
      </c>
      <c r="I35" s="139">
        <v>6862.55</v>
      </c>
      <c r="K35" s="94" t="str">
        <f t="shared" si="1"/>
        <v>0011-1013-0012</v>
      </c>
      <c r="L35" s="94" t="str">
        <f>VLOOKUP(K35,COA!$A$3:$B$337,2,FALSE)</f>
        <v>N20</v>
      </c>
      <c r="M35" s="94" t="str">
        <f t="shared" si="2"/>
        <v>N20</v>
      </c>
      <c r="N35" s="94" t="str">
        <f>VLOOKUP(M35,CAC!$A$2:$B$198,2,FALSE)</f>
        <v>HMOPMR</v>
      </c>
      <c r="P35" s="12">
        <f t="shared" si="3"/>
        <v>188943.47999999998</v>
      </c>
      <c r="Q35" s="11">
        <v>201709</v>
      </c>
      <c r="R35" s="12">
        <f t="shared" si="6"/>
        <v>38567.15</v>
      </c>
      <c r="S35" s="13">
        <f t="shared" si="6"/>
        <v>53024.22</v>
      </c>
      <c r="T35" s="13">
        <f t="shared" si="6"/>
        <v>5649.21</v>
      </c>
      <c r="U35" s="13">
        <f t="shared" si="6"/>
        <v>15696</v>
      </c>
      <c r="V35" s="13">
        <f t="shared" si="6"/>
        <v>47129.599999999999</v>
      </c>
      <c r="W35" s="13">
        <f t="shared" si="6"/>
        <v>0</v>
      </c>
      <c r="X35" s="13">
        <f t="shared" si="6"/>
        <v>0</v>
      </c>
      <c r="Y35" s="13">
        <f t="shared" si="6"/>
        <v>0</v>
      </c>
      <c r="Z35" s="13">
        <f t="shared" si="6"/>
        <v>26634.3</v>
      </c>
      <c r="AA35" s="13">
        <f t="shared" si="6"/>
        <v>2243</v>
      </c>
      <c r="AB35" s="13">
        <f t="shared" si="6"/>
        <v>0</v>
      </c>
      <c r="AC35" s="14">
        <f t="shared" si="6"/>
        <v>0</v>
      </c>
      <c r="AD35" s="13">
        <f t="shared" si="6"/>
        <v>0</v>
      </c>
      <c r="AE35" s="13">
        <f t="shared" si="6"/>
        <v>49480</v>
      </c>
      <c r="AF35" s="14">
        <f t="shared" si="6"/>
        <v>1419</v>
      </c>
    </row>
    <row r="36" spans="1:32" x14ac:dyDescent="0.25">
      <c r="A36" s="91" t="s">
        <v>882</v>
      </c>
      <c r="C36" s="86" t="s">
        <v>879</v>
      </c>
      <c r="E36" s="136">
        <v>201711</v>
      </c>
      <c r="F36" s="138" t="s">
        <v>563</v>
      </c>
      <c r="G36" s="138" t="s">
        <v>350</v>
      </c>
      <c r="H36" s="138" t="s">
        <v>344</v>
      </c>
      <c r="I36" s="139">
        <v>0</v>
      </c>
      <c r="K36" s="94" t="str">
        <f t="shared" si="1"/>
        <v>0003-1012-0012</v>
      </c>
      <c r="L36" s="94" t="str">
        <f>VLOOKUP(K36,COA!$A$3:$B$337,2,FALSE)</f>
        <v>K51</v>
      </c>
      <c r="M36" s="94" t="str">
        <f t="shared" si="2"/>
        <v>K51</v>
      </c>
      <c r="N36" s="94" t="str">
        <f>VLOOKUP(M36,CAC!$A$2:$B$198,2,FALSE)</f>
        <v>PPOPMR</v>
      </c>
      <c r="P36" s="12">
        <f t="shared" si="3"/>
        <v>191706.88</v>
      </c>
      <c r="Q36" s="11">
        <v>201710</v>
      </c>
      <c r="R36" s="12">
        <f t="shared" si="6"/>
        <v>40380.519999999997</v>
      </c>
      <c r="S36" s="13">
        <f t="shared" si="6"/>
        <v>53102.91</v>
      </c>
      <c r="T36" s="13">
        <f t="shared" si="6"/>
        <v>5641.91</v>
      </c>
      <c r="U36" s="13">
        <f t="shared" si="6"/>
        <v>16045</v>
      </c>
      <c r="V36" s="13">
        <f t="shared" si="6"/>
        <v>46791.07</v>
      </c>
      <c r="W36" s="13">
        <f t="shared" si="6"/>
        <v>0</v>
      </c>
      <c r="X36" s="13">
        <f t="shared" si="6"/>
        <v>0</v>
      </c>
      <c r="Y36" s="13">
        <f t="shared" si="6"/>
        <v>0</v>
      </c>
      <c r="Z36" s="13">
        <f t="shared" si="6"/>
        <v>27449.599999999999</v>
      </c>
      <c r="AA36" s="13">
        <f t="shared" si="6"/>
        <v>2295.87</v>
      </c>
      <c r="AB36" s="13">
        <f t="shared" si="6"/>
        <v>0</v>
      </c>
      <c r="AC36" s="14">
        <f t="shared" si="6"/>
        <v>0</v>
      </c>
      <c r="AD36" s="13">
        <f t="shared" si="6"/>
        <v>0</v>
      </c>
      <c r="AE36" s="13">
        <f t="shared" si="6"/>
        <v>49559</v>
      </c>
      <c r="AF36" s="14">
        <f t="shared" si="6"/>
        <v>1431</v>
      </c>
    </row>
    <row r="37" spans="1:32" x14ac:dyDescent="0.25">
      <c r="A37" s="91" t="s">
        <v>883</v>
      </c>
      <c r="C37" s="86" t="s">
        <v>880</v>
      </c>
      <c r="E37" s="136">
        <v>201703</v>
      </c>
      <c r="F37" s="138" t="s">
        <v>405</v>
      </c>
      <c r="G37" s="138" t="s">
        <v>362</v>
      </c>
      <c r="H37" s="138" t="s">
        <v>342</v>
      </c>
      <c r="I37" s="139">
        <v>0</v>
      </c>
      <c r="K37" s="94" t="str">
        <f t="shared" si="1"/>
        <v>0019-1008-0031</v>
      </c>
      <c r="L37" s="94" t="str">
        <f>VLOOKUP(K37,COA!$A$3:$B$337,2,FALSE)</f>
        <v>P53</v>
      </c>
      <c r="M37" s="94" t="str">
        <f t="shared" si="2"/>
        <v>P53</v>
      </c>
      <c r="N37" s="94" t="str">
        <f>VLOOKUP(M37,CAC!$A$2:$B$198,2,FALSE)</f>
        <v>HMOPERA</v>
      </c>
      <c r="P37" s="12">
        <f t="shared" si="3"/>
        <v>193464.04000000004</v>
      </c>
      <c r="Q37" s="11">
        <v>201711</v>
      </c>
      <c r="R37" s="12">
        <f t="shared" si="6"/>
        <v>41510.29</v>
      </c>
      <c r="S37" s="13">
        <f t="shared" si="6"/>
        <v>53153.72</v>
      </c>
      <c r="T37" s="13">
        <f t="shared" si="6"/>
        <v>5607.92</v>
      </c>
      <c r="U37" s="13">
        <f t="shared" si="6"/>
        <v>16204.93</v>
      </c>
      <c r="V37" s="13">
        <f t="shared" si="6"/>
        <v>46480.47</v>
      </c>
      <c r="W37" s="13">
        <f t="shared" si="6"/>
        <v>0</v>
      </c>
      <c r="X37" s="13">
        <f t="shared" si="6"/>
        <v>0</v>
      </c>
      <c r="Y37" s="13">
        <f t="shared" si="6"/>
        <v>0</v>
      </c>
      <c r="Z37" s="13">
        <f t="shared" si="6"/>
        <v>28176.14</v>
      </c>
      <c r="AA37" s="13">
        <f t="shared" si="6"/>
        <v>2330.5700000000002</v>
      </c>
      <c r="AB37" s="13">
        <f t="shared" si="6"/>
        <v>0</v>
      </c>
      <c r="AC37" s="14">
        <f t="shared" si="6"/>
        <v>0</v>
      </c>
      <c r="AD37" s="13">
        <f t="shared" si="6"/>
        <v>0</v>
      </c>
      <c r="AE37" s="13">
        <f t="shared" si="6"/>
        <v>49315</v>
      </c>
      <c r="AF37" s="14">
        <f t="shared" si="6"/>
        <v>1423</v>
      </c>
    </row>
    <row r="38" spans="1:32" x14ac:dyDescent="0.25">
      <c r="A38" s="91" t="s">
        <v>884</v>
      </c>
      <c r="C38" s="86" t="s">
        <v>881</v>
      </c>
      <c r="E38" s="136">
        <v>201604</v>
      </c>
      <c r="F38" s="138" t="s">
        <v>746</v>
      </c>
      <c r="G38" s="138" t="s">
        <v>356</v>
      </c>
      <c r="H38" s="138" t="s">
        <v>764</v>
      </c>
      <c r="I38" s="139">
        <v>8</v>
      </c>
      <c r="K38" s="94" t="str">
        <f t="shared" si="1"/>
        <v>0016-1002-0064</v>
      </c>
      <c r="L38" s="94" t="str">
        <f>VLOOKUP(K38,COA!$A$3:$B$337,2,FALSE)</f>
        <v>R25</v>
      </c>
      <c r="M38" s="94" t="str">
        <f t="shared" si="2"/>
        <v>R25</v>
      </c>
      <c r="N38" s="94" t="str">
        <f>VLOOKUP(M38,CAC!$A$2:$B$198,2,FALSE)</f>
        <v>HMOMG</v>
      </c>
      <c r="P38" s="35">
        <f t="shared" si="3"/>
        <v>199885.41</v>
      </c>
      <c r="Q38" s="34">
        <v>201712</v>
      </c>
      <c r="R38" s="35">
        <f t="shared" si="6"/>
        <v>42147.44</v>
      </c>
      <c r="S38" s="36">
        <f t="shared" si="6"/>
        <v>53364.57</v>
      </c>
      <c r="T38" s="36">
        <f t="shared" si="6"/>
        <v>5573.43</v>
      </c>
      <c r="U38" s="36">
        <f t="shared" si="6"/>
        <v>16344</v>
      </c>
      <c r="V38" s="36">
        <f t="shared" si="6"/>
        <v>46140.87</v>
      </c>
      <c r="W38" s="36">
        <f t="shared" si="6"/>
        <v>0</v>
      </c>
      <c r="X38" s="36">
        <f t="shared" si="6"/>
        <v>0</v>
      </c>
      <c r="Y38" s="36">
        <f t="shared" si="6"/>
        <v>0</v>
      </c>
      <c r="Z38" s="36">
        <f t="shared" si="6"/>
        <v>33987.31</v>
      </c>
      <c r="AA38" s="36">
        <f t="shared" si="6"/>
        <v>2327.79</v>
      </c>
      <c r="AB38" s="36">
        <f t="shared" si="6"/>
        <v>0</v>
      </c>
      <c r="AC38" s="37">
        <f t="shared" si="6"/>
        <v>0</v>
      </c>
      <c r="AD38" s="36">
        <f t="shared" si="6"/>
        <v>0</v>
      </c>
      <c r="AE38" s="36">
        <f t="shared" si="6"/>
        <v>49210.97</v>
      </c>
      <c r="AF38" s="37">
        <f t="shared" si="6"/>
        <v>1418</v>
      </c>
    </row>
    <row r="39" spans="1:32" x14ac:dyDescent="0.25">
      <c r="A39" s="91" t="s">
        <v>27</v>
      </c>
      <c r="C39" s="86" t="s">
        <v>882</v>
      </c>
      <c r="E39" s="136">
        <v>201607</v>
      </c>
      <c r="F39" s="138" t="s">
        <v>563</v>
      </c>
      <c r="G39" s="138" t="s">
        <v>356</v>
      </c>
      <c r="H39" s="138" t="s">
        <v>344</v>
      </c>
      <c r="I39" s="139">
        <v>0</v>
      </c>
      <c r="K39" s="94" t="str">
        <f t="shared" si="1"/>
        <v>0003-1002-0012</v>
      </c>
      <c r="L39" s="94" t="str">
        <f>VLOOKUP(K39,COA!$A$3:$B$337,2,FALSE)</f>
        <v>F61</v>
      </c>
      <c r="M39" s="94" t="str">
        <f t="shared" si="2"/>
        <v>F61</v>
      </c>
      <c r="N39" s="94" t="str">
        <f>VLOOKUP(M39,CAC!$A$2:$B$198,2,FALSE)</f>
        <v>PPOPMR</v>
      </c>
      <c r="P39" s="35">
        <f t="shared" ref="P39" si="7">SUM(R39:AC39)</f>
        <v>243511.19000000003</v>
      </c>
      <c r="Q39" s="34">
        <v>201801</v>
      </c>
      <c r="R39" s="35">
        <f t="shared" si="6"/>
        <v>45420.91</v>
      </c>
      <c r="S39" s="36">
        <f t="shared" si="6"/>
        <v>74791.670000000013</v>
      </c>
      <c r="T39" s="36">
        <f t="shared" si="6"/>
        <v>5304.06</v>
      </c>
      <c r="U39" s="36">
        <f t="shared" si="6"/>
        <v>16268</v>
      </c>
      <c r="V39" s="36">
        <f t="shared" si="6"/>
        <v>50005.89</v>
      </c>
      <c r="W39" s="36">
        <f t="shared" si="6"/>
        <v>0</v>
      </c>
      <c r="X39" s="36">
        <f t="shared" si="6"/>
        <v>0</v>
      </c>
      <c r="Y39" s="36">
        <f t="shared" si="6"/>
        <v>0</v>
      </c>
      <c r="Z39" s="36">
        <f t="shared" si="6"/>
        <v>36660.83</v>
      </c>
      <c r="AA39" s="36">
        <f t="shared" si="6"/>
        <v>15059.83</v>
      </c>
      <c r="AB39" s="36">
        <f t="shared" si="6"/>
        <v>0</v>
      </c>
      <c r="AC39" s="37">
        <f t="shared" si="6"/>
        <v>0</v>
      </c>
      <c r="AD39" s="36">
        <f t="shared" si="6"/>
        <v>0</v>
      </c>
      <c r="AE39" s="36">
        <f t="shared" si="6"/>
        <v>43072</v>
      </c>
      <c r="AF39" s="37">
        <f t="shared" si="6"/>
        <v>1397</v>
      </c>
    </row>
    <row r="40" spans="1:32" x14ac:dyDescent="0.25">
      <c r="A40" s="91" t="s">
        <v>885</v>
      </c>
      <c r="C40" s="86" t="s">
        <v>883</v>
      </c>
      <c r="E40" s="136">
        <v>201509</v>
      </c>
      <c r="F40" s="138" t="s">
        <v>563</v>
      </c>
      <c r="G40" s="138" t="s">
        <v>365</v>
      </c>
      <c r="H40" s="138" t="s">
        <v>411</v>
      </c>
      <c r="I40" s="139">
        <v>0</v>
      </c>
      <c r="K40" s="94" t="str">
        <f t="shared" si="1"/>
        <v>0003-1001-0007</v>
      </c>
      <c r="L40" s="94" t="str">
        <f>VLOOKUP(K40,COA!$A$3:$B$337,2,FALSE)</f>
        <v>V52</v>
      </c>
      <c r="M40" s="94" t="str">
        <f t="shared" si="2"/>
        <v>V52</v>
      </c>
      <c r="N40" s="94" t="str">
        <f>VLOOKUP(M40,CAC!$A$2:$B$198,2,FALSE)</f>
        <v>PPOIFP</v>
      </c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</row>
    <row r="41" spans="1:32" x14ac:dyDescent="0.25">
      <c r="A41" s="91" t="s">
        <v>886</v>
      </c>
      <c r="C41" s="86" t="s">
        <v>884</v>
      </c>
      <c r="E41" s="136">
        <v>201602</v>
      </c>
      <c r="F41" s="138" t="s">
        <v>413</v>
      </c>
      <c r="G41" s="138" t="s">
        <v>365</v>
      </c>
      <c r="H41" s="138" t="s">
        <v>411</v>
      </c>
      <c r="I41" s="139">
        <v>0</v>
      </c>
      <c r="K41" s="94" t="str">
        <f t="shared" si="1"/>
        <v>0008-1001-0007</v>
      </c>
      <c r="L41" s="94" t="str">
        <f>VLOOKUP(K41,COA!$A$3:$B$337,2,FALSE)</f>
        <v>C99</v>
      </c>
      <c r="M41" s="94" t="str">
        <f t="shared" si="2"/>
        <v>C99</v>
      </c>
      <c r="N41" s="94" t="str">
        <f>VLOOKUP(M41,CAC!$A$2:$B$198,2,FALSE)</f>
        <v>DOIIFP</v>
      </c>
      <c r="Q41" s="94"/>
      <c r="R41" s="4">
        <v>201603</v>
      </c>
      <c r="S41" s="4">
        <v>201709</v>
      </c>
      <c r="T41" s="4">
        <v>201801</v>
      </c>
      <c r="U41" s="4">
        <v>2017</v>
      </c>
      <c r="V41" s="4">
        <v>2016</v>
      </c>
      <c r="W41" s="94"/>
      <c r="X41" s="94"/>
      <c r="Y41" s="94"/>
      <c r="Z41" s="94"/>
      <c r="AA41" s="94"/>
      <c r="AB41" s="94"/>
      <c r="AC41" s="94"/>
      <c r="AD41" s="94"/>
      <c r="AE41" s="94"/>
      <c r="AF41" s="94"/>
    </row>
    <row r="42" spans="1:32" x14ac:dyDescent="0.25">
      <c r="A42" s="91" t="s">
        <v>887</v>
      </c>
      <c r="C42" s="86" t="s">
        <v>27</v>
      </c>
      <c r="E42" s="136">
        <v>201507</v>
      </c>
      <c r="F42" s="138" t="s">
        <v>563</v>
      </c>
      <c r="G42" s="138" t="s">
        <v>365</v>
      </c>
      <c r="H42" s="138" t="s">
        <v>366</v>
      </c>
      <c r="I42" s="139">
        <v>0</v>
      </c>
      <c r="K42" s="94" t="str">
        <f t="shared" si="1"/>
        <v>0003-1001-0021</v>
      </c>
      <c r="L42" s="94" t="str">
        <f>VLOOKUP(K42,COA!$A$3:$B$337,2,FALSE)</f>
        <v>V53</v>
      </c>
      <c r="M42" s="94" t="str">
        <f t="shared" si="2"/>
        <v>V53</v>
      </c>
      <c r="N42" s="94" t="str">
        <f>VLOOKUP(M42,CAC!$A$2:$B$198,2,FALSE)</f>
        <v>PPOIFP</v>
      </c>
      <c r="Q42" s="16" t="s">
        <v>10</v>
      </c>
      <c r="R42" s="19">
        <f t="shared" ref="R42:R51" si="8">SUMIFS($R$17:$AA$17,$R$2:$AA$2,$Q42)</f>
        <v>0</v>
      </c>
      <c r="S42" s="20">
        <f t="shared" ref="S42:S51" si="9">SUMIFS($R$35:$AA$35,$R$2:$AA$2,$Q42)</f>
        <v>2243</v>
      </c>
      <c r="T42" s="21">
        <f>SUMIFS($R$39:$AA$39,$R$2:$AA$2,$Q42)</f>
        <v>15059.83</v>
      </c>
      <c r="U42" s="21">
        <f t="shared" ref="U42:U51" si="10">SUMPRODUCT($R$27:$AC$38*($R$2:$AC$2=$Q42))</f>
        <v>23277.25</v>
      </c>
      <c r="V42" s="21">
        <f>SUMPRODUCT($R$15:$AC$26*($R$2:$AC$2=$Q42))</f>
        <v>0</v>
      </c>
      <c r="W42" s="94"/>
      <c r="X42" s="94"/>
      <c r="Y42" s="94"/>
      <c r="Z42" s="94"/>
      <c r="AA42" s="94"/>
      <c r="AB42" s="94"/>
      <c r="AC42" s="94"/>
      <c r="AD42" s="94"/>
      <c r="AE42" s="94"/>
      <c r="AF42" s="94"/>
    </row>
    <row r="43" spans="1:32" x14ac:dyDescent="0.25">
      <c r="A43" s="91" t="s">
        <v>888</v>
      </c>
      <c r="C43" s="87" t="s">
        <v>962</v>
      </c>
      <c r="E43" s="136">
        <v>201712</v>
      </c>
      <c r="F43" s="138" t="s">
        <v>345</v>
      </c>
      <c r="G43" s="138" t="s">
        <v>354</v>
      </c>
      <c r="H43" s="138" t="s">
        <v>344</v>
      </c>
      <c r="I43" s="139">
        <v>4283</v>
      </c>
      <c r="K43" s="94" t="str">
        <f t="shared" si="1"/>
        <v>0011-1013-0012</v>
      </c>
      <c r="L43" s="94" t="str">
        <f>VLOOKUP(K43,COA!$A$3:$B$337,2,FALSE)</f>
        <v>N20</v>
      </c>
      <c r="M43" s="94" t="str">
        <f t="shared" si="2"/>
        <v>N20</v>
      </c>
      <c r="N43" s="94" t="str">
        <f>VLOOKUP(M43,CAC!$A$2:$B$198,2,FALSE)</f>
        <v>HMOPMR</v>
      </c>
      <c r="Q43" s="17" t="s">
        <v>9</v>
      </c>
      <c r="R43" s="22">
        <f t="shared" si="8"/>
        <v>21212.48</v>
      </c>
      <c r="S43" s="23">
        <f t="shared" si="9"/>
        <v>26634.3</v>
      </c>
      <c r="T43" s="24">
        <f t="shared" ref="T43:T51" si="11">SUMIFS($R$39:$AA$39,$R$2:$AA$2,$Q43)</f>
        <v>36660.83</v>
      </c>
      <c r="U43" s="24">
        <f t="shared" si="10"/>
        <v>330515.36</v>
      </c>
      <c r="V43" s="24">
        <f t="shared" ref="V43:V51" si="12">SUMPRODUCT($R$15:$AC$26*($R$2:$AC$2=$Q43))</f>
        <v>266258.36</v>
      </c>
      <c r="W43" s="94"/>
      <c r="X43" s="94"/>
      <c r="Y43" s="94"/>
      <c r="Z43" s="94"/>
      <c r="AA43" s="94"/>
      <c r="AB43" s="94"/>
      <c r="AC43" s="94"/>
      <c r="AD43" s="94"/>
      <c r="AE43" s="94"/>
      <c r="AF43" s="94"/>
    </row>
    <row r="44" spans="1:32" x14ac:dyDescent="0.25">
      <c r="A44" s="91" t="s">
        <v>29</v>
      </c>
      <c r="C44" s="86" t="s">
        <v>29</v>
      </c>
      <c r="E44" s="136">
        <v>201511</v>
      </c>
      <c r="F44" s="138" t="s">
        <v>563</v>
      </c>
      <c r="G44" s="138" t="s">
        <v>348</v>
      </c>
      <c r="H44" s="138" t="s">
        <v>353</v>
      </c>
      <c r="I44" s="139">
        <v>0</v>
      </c>
      <c r="K44" s="94" t="str">
        <f t="shared" si="1"/>
        <v>0003-1010-0023</v>
      </c>
      <c r="L44" s="94" t="str">
        <f>VLOOKUP(K44,COA!$A$3:$B$337,2,FALSE)</f>
        <v>S54</v>
      </c>
      <c r="M44" s="94" t="str">
        <f t="shared" si="2"/>
        <v>S54</v>
      </c>
      <c r="N44" s="94" t="str">
        <f>VLOOKUP(M44,CAC!$A$2:$B$198,2,FALSE)</f>
        <v>PPOSG</v>
      </c>
      <c r="Q44" s="17" t="s">
        <v>1</v>
      </c>
      <c r="R44" s="22">
        <f t="shared" si="8"/>
        <v>42537.18</v>
      </c>
      <c r="S44" s="23">
        <f t="shared" si="9"/>
        <v>38567.15</v>
      </c>
      <c r="T44" s="24">
        <f t="shared" si="11"/>
        <v>45420.91</v>
      </c>
      <c r="U44" s="24">
        <f t="shared" si="10"/>
        <v>435032.86000000004</v>
      </c>
      <c r="V44" s="24">
        <f t="shared" si="12"/>
        <v>490764.98999999993</v>
      </c>
      <c r="W44" s="94"/>
      <c r="X44" s="94"/>
      <c r="Y44" s="94"/>
      <c r="Z44" s="94"/>
      <c r="AA44" s="94"/>
      <c r="AB44" s="94"/>
      <c r="AC44" s="94"/>
      <c r="AD44" s="94"/>
      <c r="AE44" s="94"/>
      <c r="AF44" s="94"/>
    </row>
    <row r="45" spans="1:32" x14ac:dyDescent="0.25">
      <c r="A45" s="91" t="s">
        <v>870</v>
      </c>
      <c r="C45" s="86" t="s">
        <v>870</v>
      </c>
      <c r="E45" s="136">
        <v>201606</v>
      </c>
      <c r="F45" s="138" t="s">
        <v>563</v>
      </c>
      <c r="G45" s="138" t="s">
        <v>369</v>
      </c>
      <c r="H45" s="138" t="s">
        <v>345</v>
      </c>
      <c r="I45" s="139">
        <v>0</v>
      </c>
      <c r="K45" s="94" t="str">
        <f t="shared" si="1"/>
        <v>0003-1009-0011</v>
      </c>
      <c r="L45" s="94" t="str">
        <f>VLOOKUP(K45,COA!$A$3:$B$337,2,FALSE)</f>
        <v>V91</v>
      </c>
      <c r="M45" s="94" t="str">
        <f t="shared" si="2"/>
        <v>V91</v>
      </c>
      <c r="N45" s="94" t="str">
        <f>VLOOKUP(M45,CAC!$A$2:$B$198,2,FALSE)</f>
        <v>PPOMM</v>
      </c>
      <c r="Q45" s="17" t="s">
        <v>2</v>
      </c>
      <c r="R45" s="22">
        <f t="shared" si="8"/>
        <v>56407.049999999996</v>
      </c>
      <c r="S45" s="23">
        <f t="shared" si="9"/>
        <v>53024.22</v>
      </c>
      <c r="T45" s="24">
        <f t="shared" si="11"/>
        <v>74791.670000000013</v>
      </c>
      <c r="U45" s="24">
        <f t="shared" si="10"/>
        <v>638074.19999999995</v>
      </c>
      <c r="V45" s="24">
        <f t="shared" si="12"/>
        <v>675304.72</v>
      </c>
      <c r="W45" s="94"/>
      <c r="X45" s="94"/>
      <c r="Y45" s="94"/>
      <c r="Z45" s="94"/>
      <c r="AA45" s="94"/>
      <c r="AB45" s="94"/>
      <c r="AC45" s="94"/>
      <c r="AD45" s="94"/>
      <c r="AE45" s="94"/>
      <c r="AF45" s="94"/>
    </row>
    <row r="46" spans="1:32" x14ac:dyDescent="0.25">
      <c r="A46" s="91" t="s">
        <v>871</v>
      </c>
      <c r="C46" s="86" t="s">
        <v>871</v>
      </c>
      <c r="E46" s="136">
        <v>201502</v>
      </c>
      <c r="F46" s="138" t="s">
        <v>563</v>
      </c>
      <c r="G46" s="138" t="s">
        <v>352</v>
      </c>
      <c r="H46" s="138" t="s">
        <v>344</v>
      </c>
      <c r="I46" s="139">
        <v>0</v>
      </c>
      <c r="K46" s="94" t="str">
        <f t="shared" si="1"/>
        <v>0003-1004-0012</v>
      </c>
      <c r="L46" s="94" t="str">
        <f>VLOOKUP(K46,COA!$A$3:$B$337,2,FALSE)</f>
        <v>L51</v>
      </c>
      <c r="M46" s="94" t="str">
        <f t="shared" si="2"/>
        <v>L51</v>
      </c>
      <c r="N46" s="94" t="str">
        <f>VLOOKUP(M46,CAC!$A$2:$B$198,2,FALSE)</f>
        <v>PPOLG</v>
      </c>
      <c r="Q46" s="17" t="s">
        <v>5</v>
      </c>
      <c r="R46" s="22">
        <f t="shared" si="8"/>
        <v>38217.65</v>
      </c>
      <c r="S46" s="23">
        <f t="shared" si="9"/>
        <v>47129.599999999999</v>
      </c>
      <c r="T46" s="24">
        <f t="shared" si="11"/>
        <v>50005.89</v>
      </c>
      <c r="U46" s="24">
        <f t="shared" si="10"/>
        <v>567660.99</v>
      </c>
      <c r="V46" s="24">
        <f t="shared" si="12"/>
        <v>454721.62</v>
      </c>
      <c r="W46" s="94"/>
      <c r="X46" s="94"/>
      <c r="Y46" s="94"/>
      <c r="Z46" s="94"/>
      <c r="AA46" s="94"/>
      <c r="AB46" s="94"/>
      <c r="AC46" s="94"/>
      <c r="AD46" s="94"/>
      <c r="AE46" s="94"/>
      <c r="AF46" s="94"/>
    </row>
    <row r="47" spans="1:32" x14ac:dyDescent="0.25">
      <c r="A47" s="91" t="s">
        <v>889</v>
      </c>
      <c r="C47" s="86" t="s">
        <v>889</v>
      </c>
      <c r="E47" s="136">
        <v>201512</v>
      </c>
      <c r="F47" s="138" t="s">
        <v>344</v>
      </c>
      <c r="G47" s="138" t="s">
        <v>356</v>
      </c>
      <c r="H47" s="138" t="s">
        <v>344</v>
      </c>
      <c r="I47" s="139">
        <v>3959.12</v>
      </c>
      <c r="K47" s="94" t="str">
        <f t="shared" si="1"/>
        <v>0012-1002-0012</v>
      </c>
      <c r="L47" s="94" t="str">
        <f>VLOOKUP(K47,COA!$A$3:$B$337,2,FALSE)</f>
        <v>F22</v>
      </c>
      <c r="M47" s="94" t="str">
        <f t="shared" si="2"/>
        <v>F22</v>
      </c>
      <c r="N47" s="94" t="str">
        <f>VLOOKUP(M47,CAC!$A$2:$B$198,2,FALSE)</f>
        <v>HMOPMR</v>
      </c>
      <c r="Q47" s="17" t="s">
        <v>6</v>
      </c>
      <c r="R47" s="22">
        <f t="shared" si="8"/>
        <v>37940</v>
      </c>
      <c r="S47" s="23">
        <f t="shared" si="9"/>
        <v>0</v>
      </c>
      <c r="T47" s="24">
        <f t="shared" si="11"/>
        <v>0</v>
      </c>
      <c r="U47" s="24">
        <f t="shared" si="10"/>
        <v>0</v>
      </c>
      <c r="V47" s="24">
        <f t="shared" si="12"/>
        <v>444265.08000000007</v>
      </c>
      <c r="W47" s="94"/>
      <c r="X47" s="94"/>
      <c r="Y47" s="94"/>
      <c r="Z47" s="94"/>
      <c r="AA47" s="94"/>
      <c r="AB47" s="94"/>
      <c r="AC47" s="94"/>
      <c r="AD47" s="94"/>
      <c r="AE47" s="94"/>
      <c r="AF47" s="94"/>
    </row>
    <row r="48" spans="1:32" x14ac:dyDescent="0.25">
      <c r="A48" s="91" t="s">
        <v>872</v>
      </c>
      <c r="C48" s="86" t="s">
        <v>873</v>
      </c>
      <c r="E48" s="136">
        <v>201510</v>
      </c>
      <c r="F48" s="138" t="s">
        <v>413</v>
      </c>
      <c r="G48" s="138" t="s">
        <v>352</v>
      </c>
      <c r="H48" s="138" t="s">
        <v>344</v>
      </c>
      <c r="I48" s="139">
        <v>0</v>
      </c>
      <c r="K48" s="94" t="str">
        <f t="shared" si="1"/>
        <v>0008-1004-0012</v>
      </c>
      <c r="L48" s="94" t="str">
        <f>VLOOKUP(K48,COA!$A$3:$B$337,2,FALSE)</f>
        <v>C93</v>
      </c>
      <c r="M48" s="94" t="str">
        <f t="shared" si="2"/>
        <v>C93</v>
      </c>
      <c r="N48" s="94" t="str">
        <f>VLOOKUP(M48,CAC!$A$2:$B$198,2,FALSE)</f>
        <v>DOILG</v>
      </c>
      <c r="Q48" s="17" t="s">
        <v>7</v>
      </c>
      <c r="R48" s="22">
        <f t="shared" si="8"/>
        <v>0</v>
      </c>
      <c r="S48" s="23">
        <f t="shared" si="9"/>
        <v>0</v>
      </c>
      <c r="T48" s="24">
        <f t="shared" si="11"/>
        <v>0</v>
      </c>
      <c r="U48" s="24">
        <f t="shared" si="10"/>
        <v>0</v>
      </c>
      <c r="V48" s="24">
        <f t="shared" si="12"/>
        <v>0</v>
      </c>
      <c r="W48" s="94"/>
      <c r="X48" s="94"/>
      <c r="Y48" s="94"/>
      <c r="Z48" s="94"/>
      <c r="AA48" s="94"/>
      <c r="AB48" s="94"/>
      <c r="AC48" s="94"/>
      <c r="AD48" s="94"/>
      <c r="AE48" s="94"/>
      <c r="AF48" s="94"/>
    </row>
    <row r="49" spans="1:32" x14ac:dyDescent="0.25">
      <c r="A49" s="91" t="s">
        <v>873</v>
      </c>
      <c r="C49" s="86" t="s">
        <v>874</v>
      </c>
      <c r="E49" s="136">
        <v>201704</v>
      </c>
      <c r="F49" s="138" t="s">
        <v>345</v>
      </c>
      <c r="G49" s="138" t="s">
        <v>348</v>
      </c>
      <c r="H49" s="138" t="s">
        <v>358</v>
      </c>
      <c r="I49" s="139">
        <v>88</v>
      </c>
      <c r="K49" s="94" t="str">
        <f t="shared" si="1"/>
        <v>0011-1010-0024</v>
      </c>
      <c r="L49" s="94" t="str">
        <f>VLOOKUP(K49,COA!$A$3:$B$337,2,FALSE)</f>
        <v>S14</v>
      </c>
      <c r="M49" s="94" t="str">
        <f t="shared" si="2"/>
        <v>S14</v>
      </c>
      <c r="N49" s="94" t="str">
        <f>VLOOKUP(M49,CAC!$A$2:$B$198,2,FALSE)</f>
        <v>HMOSG</v>
      </c>
      <c r="Q49" s="17" t="s">
        <v>8</v>
      </c>
      <c r="R49" s="22">
        <f t="shared" si="8"/>
        <v>0</v>
      </c>
      <c r="S49" s="23">
        <f t="shared" si="9"/>
        <v>0</v>
      </c>
      <c r="T49" s="24">
        <f t="shared" si="11"/>
        <v>0</v>
      </c>
      <c r="U49" s="24">
        <f t="shared" si="10"/>
        <v>0</v>
      </c>
      <c r="V49" s="24">
        <f t="shared" si="12"/>
        <v>0</v>
      </c>
      <c r="W49" s="94"/>
      <c r="X49" s="94"/>
      <c r="Y49" s="94"/>
      <c r="Z49" s="94"/>
      <c r="AA49" s="94"/>
      <c r="AB49" s="94"/>
      <c r="AC49" s="94"/>
      <c r="AD49" s="94"/>
      <c r="AE49" s="94"/>
      <c r="AF49" s="94"/>
    </row>
    <row r="50" spans="1:32" x14ac:dyDescent="0.25">
      <c r="A50" s="91" t="s">
        <v>874</v>
      </c>
      <c r="C50" s="93" t="s">
        <v>936</v>
      </c>
      <c r="E50" s="136">
        <v>201703</v>
      </c>
      <c r="F50" s="138" t="s">
        <v>563</v>
      </c>
      <c r="G50" s="138" t="s">
        <v>354</v>
      </c>
      <c r="H50" s="138" t="s">
        <v>344</v>
      </c>
      <c r="I50" s="139">
        <v>0</v>
      </c>
      <c r="K50" s="94" t="str">
        <f t="shared" si="1"/>
        <v>0003-1013-0012</v>
      </c>
      <c r="L50" s="94" t="str">
        <f>VLOOKUP(K50,COA!$A$3:$B$337,2,FALSE)</f>
        <v>N55</v>
      </c>
      <c r="M50" s="94" t="str">
        <f t="shared" si="2"/>
        <v>N55</v>
      </c>
      <c r="N50" s="94" t="str">
        <f>VLOOKUP(M50,CAC!$A$2:$B$198,2,FALSE)</f>
        <v>PPOPMR</v>
      </c>
      <c r="Q50" s="17" t="s">
        <v>4</v>
      </c>
      <c r="R50" s="22">
        <f t="shared" si="8"/>
        <v>8807.18</v>
      </c>
      <c r="S50" s="23">
        <f t="shared" si="9"/>
        <v>15696</v>
      </c>
      <c r="T50" s="24">
        <f t="shared" si="11"/>
        <v>16268</v>
      </c>
      <c r="U50" s="24">
        <f t="shared" si="10"/>
        <v>153460.79</v>
      </c>
      <c r="V50" s="24">
        <f t="shared" si="12"/>
        <v>111724.95000000001</v>
      </c>
      <c r="W50" s="94"/>
      <c r="X50" s="94"/>
      <c r="Y50" s="94"/>
      <c r="Z50" s="94"/>
      <c r="AA50" s="94"/>
      <c r="AB50" s="94"/>
      <c r="AC50" s="94"/>
      <c r="AD50" s="94"/>
      <c r="AE50" s="94"/>
      <c r="AF50" s="94"/>
    </row>
    <row r="51" spans="1:32" x14ac:dyDescent="0.25">
      <c r="A51" s="91" t="s">
        <v>890</v>
      </c>
      <c r="C51" s="93" t="s">
        <v>937</v>
      </c>
      <c r="E51" s="136">
        <v>201506</v>
      </c>
      <c r="F51" s="138" t="s">
        <v>344</v>
      </c>
      <c r="G51" s="138" t="s">
        <v>355</v>
      </c>
      <c r="H51" s="138" t="s">
        <v>344</v>
      </c>
      <c r="I51" s="139">
        <v>253</v>
      </c>
      <c r="K51" s="94" t="str">
        <f t="shared" si="1"/>
        <v>0012-1006-0012</v>
      </c>
      <c r="L51" s="94" t="str">
        <f>VLOOKUP(K51,COA!$A$3:$B$337,2,FALSE)</f>
        <v>L16</v>
      </c>
      <c r="M51" s="94" t="str">
        <f t="shared" si="2"/>
        <v>L16</v>
      </c>
      <c r="N51" s="94" t="str">
        <f>VLOOKUP(M51,CAC!$A$2:$B$198,2,FALSE)</f>
        <v>HMOLG</v>
      </c>
      <c r="Q51" s="18" t="s">
        <v>3</v>
      </c>
      <c r="R51" s="25">
        <f t="shared" si="8"/>
        <v>6106.8</v>
      </c>
      <c r="S51" s="26">
        <f t="shared" si="9"/>
        <v>5649.21</v>
      </c>
      <c r="T51" s="27">
        <f t="shared" si="11"/>
        <v>5304.06</v>
      </c>
      <c r="U51" s="27">
        <f t="shared" si="10"/>
        <v>67947.37</v>
      </c>
      <c r="V51" s="27">
        <f t="shared" si="12"/>
        <v>72609.599999999991</v>
      </c>
    </row>
    <row r="52" spans="1:32" x14ac:dyDescent="0.25">
      <c r="A52" s="91" t="s">
        <v>891</v>
      </c>
      <c r="C52" s="93" t="s">
        <v>938</v>
      </c>
      <c r="E52" s="136">
        <v>201707</v>
      </c>
      <c r="F52" s="138" t="s">
        <v>344</v>
      </c>
      <c r="G52" s="138" t="s">
        <v>356</v>
      </c>
      <c r="H52" s="138" t="s">
        <v>344</v>
      </c>
      <c r="I52" s="139">
        <v>4274</v>
      </c>
      <c r="K52" s="94" t="str">
        <f t="shared" si="1"/>
        <v>0012-1002-0012</v>
      </c>
      <c r="L52" s="94" t="str">
        <f>VLOOKUP(K52,COA!$A$3:$B$337,2,FALSE)</f>
        <v>F22</v>
      </c>
      <c r="M52" s="94" t="str">
        <f t="shared" si="2"/>
        <v>F22</v>
      </c>
      <c r="N52" s="94" t="str">
        <f>VLOOKUP(M52,CAC!$A$2:$B$198,2,FALSE)</f>
        <v>HMOPMR</v>
      </c>
    </row>
    <row r="53" spans="1:32" x14ac:dyDescent="0.25">
      <c r="A53" s="91" t="s">
        <v>892</v>
      </c>
      <c r="C53" s="86" t="s">
        <v>890</v>
      </c>
      <c r="E53" s="136">
        <v>201702</v>
      </c>
      <c r="F53" s="138" t="s">
        <v>344</v>
      </c>
      <c r="G53" s="138" t="s">
        <v>352</v>
      </c>
      <c r="H53" s="138" t="s">
        <v>344</v>
      </c>
      <c r="I53" s="139">
        <v>272</v>
      </c>
      <c r="K53" s="94" t="str">
        <f t="shared" si="1"/>
        <v>0012-1004-0012</v>
      </c>
      <c r="L53" s="94" t="str">
        <f>VLOOKUP(K53,COA!$A$3:$B$337,2,FALSE)</f>
        <v>L12</v>
      </c>
      <c r="M53" s="94" t="str">
        <f t="shared" si="2"/>
        <v>L12</v>
      </c>
      <c r="N53" s="94" t="str">
        <f>VLOOKUP(M53,CAC!$A$2:$B$198,2,FALSE)</f>
        <v>HMOLG</v>
      </c>
    </row>
    <row r="54" spans="1:32" x14ac:dyDescent="0.25">
      <c r="A54" s="91" t="s">
        <v>893</v>
      </c>
      <c r="C54" s="86" t="s">
        <v>891</v>
      </c>
      <c r="E54" s="136">
        <v>201511</v>
      </c>
      <c r="F54" s="138" t="s">
        <v>345</v>
      </c>
      <c r="G54" s="138" t="s">
        <v>346</v>
      </c>
      <c r="H54" s="138" t="s">
        <v>347</v>
      </c>
      <c r="I54" s="139">
        <v>8</v>
      </c>
      <c r="K54" s="94" t="str">
        <f t="shared" si="1"/>
        <v>0011-1014-0039</v>
      </c>
      <c r="L54" s="94" t="str">
        <f>VLOOKUP(K54,COA!$A$3:$B$337,2,FALSE)</f>
        <v>K24</v>
      </c>
      <c r="M54" s="94" t="str">
        <f t="shared" si="2"/>
        <v>K24</v>
      </c>
      <c r="N54" s="94" t="str">
        <f>VLOOKUP(M54,CAC!$A$2:$B$198,2,FALSE)</f>
        <v>HMFLEX</v>
      </c>
    </row>
    <row r="55" spans="1:32" x14ac:dyDescent="0.25">
      <c r="A55" s="91" t="s">
        <v>894</v>
      </c>
      <c r="C55" s="86" t="s">
        <v>892</v>
      </c>
      <c r="E55" s="136">
        <v>201711</v>
      </c>
      <c r="F55" s="138" t="s">
        <v>405</v>
      </c>
      <c r="G55" s="138" t="s">
        <v>362</v>
      </c>
      <c r="H55" s="138" t="s">
        <v>342</v>
      </c>
      <c r="I55" s="139">
        <v>0</v>
      </c>
      <c r="K55" s="94" t="str">
        <f t="shared" si="1"/>
        <v>0019-1008-0031</v>
      </c>
      <c r="L55" s="94" t="str">
        <f>VLOOKUP(K55,COA!$A$3:$B$337,2,FALSE)</f>
        <v>P53</v>
      </c>
      <c r="M55" s="94" t="str">
        <f t="shared" si="2"/>
        <v>P53</v>
      </c>
      <c r="N55" s="94" t="str">
        <f>VLOOKUP(M55,CAC!$A$2:$B$198,2,FALSE)</f>
        <v>HMOPERA</v>
      </c>
    </row>
    <row r="56" spans="1:32" x14ac:dyDescent="0.25">
      <c r="A56" s="91" t="s">
        <v>895</v>
      </c>
      <c r="C56" s="86" t="s">
        <v>893</v>
      </c>
      <c r="E56" s="136">
        <v>201706</v>
      </c>
      <c r="F56" s="138" t="s">
        <v>344</v>
      </c>
      <c r="G56" s="138" t="s">
        <v>361</v>
      </c>
      <c r="H56" s="138" t="s">
        <v>344</v>
      </c>
      <c r="I56" s="139">
        <v>9761.36</v>
      </c>
      <c r="K56" s="94" t="str">
        <f t="shared" si="1"/>
        <v>0012-1003-0012</v>
      </c>
      <c r="L56" s="94" t="str">
        <f>VLOOKUP(K56,COA!$A$3:$B$337,2,FALSE)</f>
        <v>N15</v>
      </c>
      <c r="M56" s="94" t="str">
        <f t="shared" si="2"/>
        <v>N15</v>
      </c>
      <c r="N56" s="94" t="str">
        <f>VLOOKUP(M56,CAC!$A$2:$B$198,2,FALSE)</f>
        <v>HMOPMR</v>
      </c>
    </row>
    <row r="57" spans="1:32" x14ac:dyDescent="0.25">
      <c r="A57" s="91" t="s">
        <v>896</v>
      </c>
      <c r="C57" s="86" t="s">
        <v>894</v>
      </c>
      <c r="E57" s="136">
        <v>201801</v>
      </c>
      <c r="F57" s="138" t="s">
        <v>345</v>
      </c>
      <c r="G57" s="138" t="s">
        <v>354</v>
      </c>
      <c r="H57" s="138" t="s">
        <v>344</v>
      </c>
      <c r="I57" s="139">
        <v>4129.42</v>
      </c>
      <c r="K57" s="94" t="str">
        <f t="shared" si="1"/>
        <v>0011-1013-0012</v>
      </c>
      <c r="L57" s="94" t="str">
        <f>VLOOKUP(K57,COA!$A$3:$B$337,2,FALSE)</f>
        <v>N20</v>
      </c>
      <c r="M57" s="94" t="str">
        <f t="shared" si="2"/>
        <v>N20</v>
      </c>
      <c r="N57" s="94" t="str">
        <f>VLOOKUP(M57,CAC!$A$2:$B$198,2,FALSE)</f>
        <v>HMOPMR</v>
      </c>
    </row>
    <row r="58" spans="1:32" x14ac:dyDescent="0.25">
      <c r="A58" s="91" t="s">
        <v>897</v>
      </c>
      <c r="C58" s="86" t="s">
        <v>895</v>
      </c>
      <c r="E58" s="136">
        <v>201705</v>
      </c>
      <c r="F58" s="138" t="s">
        <v>345</v>
      </c>
      <c r="G58" s="138" t="s">
        <v>359</v>
      </c>
      <c r="H58" s="138" t="s">
        <v>344</v>
      </c>
      <c r="I58" s="139">
        <v>5139.88</v>
      </c>
      <c r="K58" s="94" t="str">
        <f t="shared" si="1"/>
        <v>0011-1005-0012</v>
      </c>
      <c r="L58" s="94" t="str">
        <f>VLOOKUP(K58,COA!$A$3:$B$337,2,FALSE)</f>
        <v>N11</v>
      </c>
      <c r="M58" s="94" t="str">
        <f t="shared" si="2"/>
        <v>N11</v>
      </c>
      <c r="N58" s="94" t="str">
        <f>VLOOKUP(M58,CAC!$A$2:$B$198,2,FALSE)</f>
        <v>HMOLG</v>
      </c>
    </row>
    <row r="59" spans="1:32" x14ac:dyDescent="0.25">
      <c r="A59" s="91" t="s">
        <v>898</v>
      </c>
      <c r="C59" s="86" t="s">
        <v>896</v>
      </c>
      <c r="E59" s="136">
        <v>201510</v>
      </c>
      <c r="F59" s="138" t="s">
        <v>563</v>
      </c>
      <c r="G59" s="138" t="s">
        <v>365</v>
      </c>
      <c r="H59" s="138" t="s">
        <v>344</v>
      </c>
      <c r="I59" s="139">
        <v>0</v>
      </c>
      <c r="K59" s="94" t="str">
        <f t="shared" si="1"/>
        <v>0003-1001-0012</v>
      </c>
      <c r="L59" s="94" t="str">
        <f>VLOOKUP(K59,COA!$A$3:$B$337,2,FALSE)</f>
        <v>V51</v>
      </c>
      <c r="M59" s="94" t="str">
        <f t="shared" si="2"/>
        <v>V51</v>
      </c>
      <c r="N59" s="94" t="str">
        <f>VLOOKUP(M59,CAC!$A$2:$B$198,2,FALSE)</f>
        <v>PPOIFP</v>
      </c>
    </row>
    <row r="60" spans="1:32" x14ac:dyDescent="0.25">
      <c r="A60" s="91" t="s">
        <v>899</v>
      </c>
      <c r="C60" s="86" t="s">
        <v>897</v>
      </c>
      <c r="E60" s="136">
        <v>201603</v>
      </c>
      <c r="F60" s="138" t="s">
        <v>345</v>
      </c>
      <c r="G60" s="138" t="s">
        <v>348</v>
      </c>
      <c r="H60" s="138" t="s">
        <v>358</v>
      </c>
      <c r="I60" s="139">
        <v>87</v>
      </c>
      <c r="K60" s="94" t="str">
        <f t="shared" si="1"/>
        <v>0011-1010-0024</v>
      </c>
      <c r="L60" s="94" t="str">
        <f>VLOOKUP(K60,COA!$A$3:$B$337,2,FALSE)</f>
        <v>S14</v>
      </c>
      <c r="M60" s="94" t="str">
        <f t="shared" si="2"/>
        <v>S14</v>
      </c>
      <c r="N60" s="94" t="str">
        <f>VLOOKUP(M60,CAC!$A$2:$B$198,2,FALSE)</f>
        <v>HMOSG</v>
      </c>
    </row>
    <row r="61" spans="1:32" x14ac:dyDescent="0.25">
      <c r="A61" s="91" t="s">
        <v>900</v>
      </c>
      <c r="C61" s="86" t="s">
        <v>898</v>
      </c>
      <c r="E61" s="136">
        <v>201706</v>
      </c>
      <c r="F61" s="138" t="s">
        <v>563</v>
      </c>
      <c r="G61" s="138" t="s">
        <v>352</v>
      </c>
      <c r="H61" s="138" t="s">
        <v>626</v>
      </c>
      <c r="I61" s="139">
        <v>0</v>
      </c>
      <c r="K61" s="94" t="str">
        <f t="shared" si="1"/>
        <v>0003-1004-0057</v>
      </c>
      <c r="L61" s="94" t="e">
        <f>VLOOKUP(K61,COA!$A$3:$B$337,2,FALSE)</f>
        <v>#N/A</v>
      </c>
      <c r="M61" s="94" t="str">
        <f t="shared" si="2"/>
        <v>XXX</v>
      </c>
      <c r="N61" s="94" t="str">
        <f>VLOOKUP(M61,CAC!$A$2:$B$198,2,FALSE)</f>
        <v>XXX</v>
      </c>
    </row>
    <row r="62" spans="1:32" x14ac:dyDescent="0.25">
      <c r="A62" s="91" t="s">
        <v>901</v>
      </c>
      <c r="C62" s="86" t="s">
        <v>899</v>
      </c>
      <c r="E62" s="136">
        <v>201608</v>
      </c>
      <c r="F62" s="138" t="s">
        <v>345</v>
      </c>
      <c r="G62" s="138" t="s">
        <v>361</v>
      </c>
      <c r="H62" s="138" t="s">
        <v>344</v>
      </c>
      <c r="I62" s="139">
        <v>4149.53</v>
      </c>
      <c r="K62" s="94" t="str">
        <f t="shared" si="1"/>
        <v>0011-1003-0012</v>
      </c>
      <c r="L62" s="94" t="str">
        <f>VLOOKUP(K62,COA!$A$3:$B$337,2,FALSE)</f>
        <v>N16</v>
      </c>
      <c r="M62" s="94" t="str">
        <f t="shared" si="2"/>
        <v>N16</v>
      </c>
      <c r="N62" s="94" t="str">
        <f>VLOOKUP(M62,CAC!$A$2:$B$198,2,FALSE)</f>
        <v>HMOPMR</v>
      </c>
    </row>
    <row r="63" spans="1:32" x14ac:dyDescent="0.25">
      <c r="A63" s="91" t="s">
        <v>902</v>
      </c>
      <c r="C63" s="86" t="s">
        <v>900</v>
      </c>
      <c r="E63" s="136">
        <v>201708</v>
      </c>
      <c r="F63" s="138" t="s">
        <v>746</v>
      </c>
      <c r="G63" s="138" t="s">
        <v>356</v>
      </c>
      <c r="H63" s="138" t="s">
        <v>764</v>
      </c>
      <c r="I63" s="139">
        <v>641</v>
      </c>
      <c r="K63" s="94" t="str">
        <f t="shared" si="1"/>
        <v>0016-1002-0064</v>
      </c>
      <c r="L63" s="94" t="str">
        <f>VLOOKUP(K63,COA!$A$3:$B$337,2,FALSE)</f>
        <v>R25</v>
      </c>
      <c r="M63" s="94" t="str">
        <f t="shared" si="2"/>
        <v>R25</v>
      </c>
      <c r="N63" s="94" t="str">
        <f>VLOOKUP(M63,CAC!$A$2:$B$198,2,FALSE)</f>
        <v>HMOMG</v>
      </c>
    </row>
    <row r="64" spans="1:32" x14ac:dyDescent="0.25">
      <c r="A64" s="91" t="s">
        <v>903</v>
      </c>
      <c r="C64" s="86" t="s">
        <v>901</v>
      </c>
      <c r="E64" s="136">
        <v>201609</v>
      </c>
      <c r="F64" s="138" t="s">
        <v>413</v>
      </c>
      <c r="G64" s="138" t="s">
        <v>365</v>
      </c>
      <c r="H64" s="138" t="s">
        <v>411</v>
      </c>
      <c r="I64" s="139">
        <v>0</v>
      </c>
      <c r="K64" s="94" t="str">
        <f t="shared" si="1"/>
        <v>0008-1001-0007</v>
      </c>
      <c r="L64" s="94" t="str">
        <f>VLOOKUP(K64,COA!$A$3:$B$337,2,FALSE)</f>
        <v>C99</v>
      </c>
      <c r="M64" s="94" t="str">
        <f t="shared" si="2"/>
        <v>C99</v>
      </c>
      <c r="N64" s="94" t="str">
        <f>VLOOKUP(M64,CAC!$A$2:$B$198,2,FALSE)</f>
        <v>DOIIFP</v>
      </c>
    </row>
    <row r="65" spans="1:14" x14ac:dyDescent="0.25">
      <c r="A65" s="91" t="s">
        <v>904</v>
      </c>
      <c r="C65" s="86" t="s">
        <v>903</v>
      </c>
      <c r="E65" s="136">
        <v>201712</v>
      </c>
      <c r="F65" s="138" t="s">
        <v>563</v>
      </c>
      <c r="G65" s="138" t="s">
        <v>369</v>
      </c>
      <c r="H65" s="138" t="s">
        <v>353</v>
      </c>
      <c r="I65" s="139">
        <v>0</v>
      </c>
      <c r="K65" s="94" t="str">
        <f t="shared" si="1"/>
        <v>0003-1009-0023</v>
      </c>
      <c r="L65" s="94" t="e">
        <f>VLOOKUP(K65,COA!$A$3:$B$337,2,FALSE)</f>
        <v>#N/A</v>
      </c>
      <c r="M65" s="94" t="str">
        <f t="shared" si="2"/>
        <v>XXX</v>
      </c>
      <c r="N65" s="94" t="str">
        <f>VLOOKUP(M65,CAC!$A$2:$B$198,2,FALSE)</f>
        <v>XXX</v>
      </c>
    </row>
    <row r="66" spans="1:14" x14ac:dyDescent="0.25">
      <c r="A66" s="91" t="s">
        <v>905</v>
      </c>
      <c r="C66" s="86" t="s">
        <v>904</v>
      </c>
      <c r="E66" s="136">
        <v>201608</v>
      </c>
      <c r="F66" s="138" t="s">
        <v>563</v>
      </c>
      <c r="G66" s="138" t="s">
        <v>359</v>
      </c>
      <c r="H66" s="138" t="s">
        <v>344</v>
      </c>
      <c r="I66" s="139">
        <v>0</v>
      </c>
      <c r="K66" s="94" t="str">
        <f t="shared" si="1"/>
        <v>0003-1005-0012</v>
      </c>
      <c r="L66" s="94" t="str">
        <f>VLOOKUP(K66,COA!$A$3:$B$337,2,FALSE)</f>
        <v>N51</v>
      </c>
      <c r="M66" s="94" t="str">
        <f t="shared" si="2"/>
        <v>N51</v>
      </c>
      <c r="N66" s="94" t="str">
        <f>VLOOKUP(M66,CAC!$A$2:$B$198,2,FALSE)</f>
        <v>PPOLG</v>
      </c>
    </row>
    <row r="67" spans="1:14" x14ac:dyDescent="0.25">
      <c r="A67" s="91" t="s">
        <v>906</v>
      </c>
      <c r="C67" s="86" t="s">
        <v>905</v>
      </c>
      <c r="E67" s="136">
        <v>201608</v>
      </c>
      <c r="F67" s="138" t="s">
        <v>563</v>
      </c>
      <c r="G67" s="138" t="s">
        <v>354</v>
      </c>
      <c r="H67" s="138" t="s">
        <v>653</v>
      </c>
      <c r="I67" s="139">
        <v>0</v>
      </c>
      <c r="K67" s="96" t="str">
        <f t="shared" ref="K67:K130" si="13">F67&amp;"-"&amp;G67&amp;"-"&amp;H67</f>
        <v>0003-1013-0047</v>
      </c>
      <c r="L67" s="96" t="str">
        <f>VLOOKUP(K67,COA!$A$3:$B$337,2,FALSE)</f>
        <v>N57</v>
      </c>
      <c r="M67" s="96" t="str">
        <f t="shared" si="2"/>
        <v>N57</v>
      </c>
      <c r="N67" s="96" t="str">
        <f>VLOOKUP(M67,CAC!$A$2:$B$198,2,FALSE)</f>
        <v>PPOPMR</v>
      </c>
    </row>
    <row r="68" spans="1:14" x14ac:dyDescent="0.25">
      <c r="A68" s="91" t="s">
        <v>907</v>
      </c>
      <c r="C68" s="86" t="s">
        <v>906</v>
      </c>
      <c r="E68" s="136">
        <v>201710</v>
      </c>
      <c r="F68" s="138" t="s">
        <v>345</v>
      </c>
      <c r="G68" s="138" t="s">
        <v>365</v>
      </c>
      <c r="H68" s="138" t="s">
        <v>366</v>
      </c>
      <c r="I68" s="139">
        <v>1468.61</v>
      </c>
      <c r="K68" s="96" t="str">
        <f t="shared" si="13"/>
        <v>0011-1001-0021</v>
      </c>
      <c r="L68" s="96" t="str">
        <f>VLOOKUP(K68,COA!$A$3:$B$337,2,FALSE)</f>
        <v>V13</v>
      </c>
      <c r="M68" s="96" t="str">
        <f t="shared" ref="M68:M131" si="14">IF(ISNA(L68),"XXX",L68)</f>
        <v>V13</v>
      </c>
      <c r="N68" s="96" t="str">
        <f>VLOOKUP(M68,CAC!$A$2:$B$198,2,FALSE)</f>
        <v>HMOIFP</v>
      </c>
    </row>
    <row r="69" spans="1:14" x14ac:dyDescent="0.25">
      <c r="A69" s="91" t="s">
        <v>908</v>
      </c>
      <c r="C69" s="86" t="s">
        <v>907</v>
      </c>
      <c r="E69" s="136">
        <v>201508</v>
      </c>
      <c r="F69" s="138" t="s">
        <v>563</v>
      </c>
      <c r="G69" s="138" t="s">
        <v>356</v>
      </c>
      <c r="H69" s="138" t="s">
        <v>344</v>
      </c>
      <c r="I69" s="139">
        <v>0</v>
      </c>
      <c r="K69" s="96" t="str">
        <f t="shared" si="13"/>
        <v>0003-1002-0012</v>
      </c>
      <c r="L69" s="96" t="str">
        <f>VLOOKUP(K69,COA!$A$3:$B$337,2,FALSE)</f>
        <v>F61</v>
      </c>
      <c r="M69" s="96" t="str">
        <f t="shared" si="14"/>
        <v>F61</v>
      </c>
      <c r="N69" s="96" t="str">
        <f>VLOOKUP(M69,CAC!$A$2:$B$198,2,FALSE)</f>
        <v>PPOPMR</v>
      </c>
    </row>
    <row r="70" spans="1:14" x14ac:dyDescent="0.25">
      <c r="A70" s="91" t="s">
        <v>909</v>
      </c>
      <c r="C70" s="86" t="s">
        <v>908</v>
      </c>
      <c r="E70" s="136">
        <v>201710</v>
      </c>
      <c r="F70" s="138" t="s">
        <v>405</v>
      </c>
      <c r="G70" s="138" t="s">
        <v>362</v>
      </c>
      <c r="H70" s="138" t="s">
        <v>342</v>
      </c>
      <c r="I70" s="139">
        <v>0</v>
      </c>
      <c r="K70" s="96" t="str">
        <f t="shared" si="13"/>
        <v>0019-1008-0031</v>
      </c>
      <c r="L70" s="96" t="str">
        <f>VLOOKUP(K70,COA!$A$3:$B$337,2,FALSE)</f>
        <v>P53</v>
      </c>
      <c r="M70" s="96" t="str">
        <f t="shared" si="14"/>
        <v>P53</v>
      </c>
      <c r="N70" s="96" t="str">
        <f>VLOOKUP(M70,CAC!$A$2:$B$198,2,FALSE)</f>
        <v>HMOPERA</v>
      </c>
    </row>
    <row r="71" spans="1:14" x14ac:dyDescent="0.25">
      <c r="A71" s="91" t="s">
        <v>910</v>
      </c>
      <c r="C71" s="86" t="s">
        <v>909</v>
      </c>
      <c r="E71" s="136">
        <v>201801</v>
      </c>
      <c r="F71" s="138" t="s">
        <v>506</v>
      </c>
      <c r="G71" s="138" t="s">
        <v>359</v>
      </c>
      <c r="H71" s="138" t="s">
        <v>592</v>
      </c>
      <c r="I71" s="139">
        <v>0</v>
      </c>
      <c r="K71" s="96" t="str">
        <f t="shared" si="13"/>
        <v>0013-1005-0035</v>
      </c>
      <c r="L71" s="96" t="str">
        <f>VLOOKUP(K71,COA!$A$3:$B$337,2,FALSE)</f>
        <v>N41</v>
      </c>
      <c r="M71" s="96" t="str">
        <f t="shared" si="14"/>
        <v>N41</v>
      </c>
      <c r="N71" s="96" t="e">
        <f>VLOOKUP(M71,CAC!$A$2:$B$198,2,FALSE)</f>
        <v>#N/A</v>
      </c>
    </row>
    <row r="72" spans="1:14" x14ac:dyDescent="0.25">
      <c r="A72" s="91" t="s">
        <v>911</v>
      </c>
      <c r="C72" s="86" t="s">
        <v>910</v>
      </c>
      <c r="E72" s="136">
        <v>201603</v>
      </c>
      <c r="F72" s="138" t="s">
        <v>563</v>
      </c>
      <c r="G72" s="138" t="s">
        <v>350</v>
      </c>
      <c r="H72" s="138" t="s">
        <v>626</v>
      </c>
      <c r="I72" s="139">
        <v>0</v>
      </c>
      <c r="K72" s="96" t="str">
        <f t="shared" si="13"/>
        <v>0003-1012-0057</v>
      </c>
      <c r="L72" s="96" t="str">
        <f>VLOOKUP(K72,COA!$A$3:$B$337,2,FALSE)</f>
        <v>K51</v>
      </c>
      <c r="M72" s="96" t="str">
        <f t="shared" si="14"/>
        <v>K51</v>
      </c>
      <c r="N72" s="96" t="str">
        <f>VLOOKUP(M72,CAC!$A$2:$B$198,2,FALSE)</f>
        <v>PPOPMR</v>
      </c>
    </row>
    <row r="73" spans="1:14" x14ac:dyDescent="0.25">
      <c r="A73" s="91" t="s">
        <v>912</v>
      </c>
      <c r="C73" s="86" t="s">
        <v>911</v>
      </c>
      <c r="E73" s="136">
        <v>201710</v>
      </c>
      <c r="F73" s="138" t="s">
        <v>746</v>
      </c>
      <c r="G73" s="138" t="s">
        <v>350</v>
      </c>
      <c r="H73" s="138" t="s">
        <v>764</v>
      </c>
      <c r="I73" s="139">
        <v>23</v>
      </c>
      <c r="K73" s="96" t="str">
        <f t="shared" si="13"/>
        <v>0016-1012-0064</v>
      </c>
      <c r="L73" s="96" t="str">
        <f>VLOOKUP(K73,COA!$A$3:$B$337,2,FALSE)</f>
        <v>R25</v>
      </c>
      <c r="M73" s="96" t="str">
        <f t="shared" si="14"/>
        <v>R25</v>
      </c>
      <c r="N73" s="96" t="str">
        <f>VLOOKUP(M73,CAC!$A$2:$B$198,2,FALSE)</f>
        <v>HMOMG</v>
      </c>
    </row>
    <row r="74" spans="1:14" x14ac:dyDescent="0.25">
      <c r="A74" s="91" t="s">
        <v>913</v>
      </c>
      <c r="C74" s="86" t="s">
        <v>912</v>
      </c>
      <c r="E74" s="136">
        <v>201509</v>
      </c>
      <c r="F74" s="138" t="s">
        <v>345</v>
      </c>
      <c r="G74" s="138" t="s">
        <v>362</v>
      </c>
      <c r="H74" s="138" t="s">
        <v>363</v>
      </c>
      <c r="I74" s="139">
        <v>59514.8</v>
      </c>
      <c r="K74" s="96" t="str">
        <f t="shared" si="13"/>
        <v>0011-1008-0054</v>
      </c>
      <c r="L74" s="96" t="str">
        <f>VLOOKUP(K74,COA!$A$3:$B$337,2,FALSE)</f>
        <v>P23</v>
      </c>
      <c r="M74" s="96" t="str">
        <f t="shared" si="14"/>
        <v>P23</v>
      </c>
      <c r="N74" s="96" t="str">
        <f>VLOOKUP(M74,CAC!$A$2:$B$198,2,FALSE)</f>
        <v>HMOPERN</v>
      </c>
    </row>
    <row r="75" spans="1:14" x14ac:dyDescent="0.25">
      <c r="A75" s="91" t="s">
        <v>914</v>
      </c>
      <c r="C75" s="86" t="s">
        <v>913</v>
      </c>
      <c r="E75" s="136">
        <v>201510</v>
      </c>
      <c r="F75" s="138" t="s">
        <v>563</v>
      </c>
      <c r="G75" s="138" t="s">
        <v>350</v>
      </c>
      <c r="H75" s="138" t="s">
        <v>360</v>
      </c>
      <c r="I75" s="139">
        <v>0</v>
      </c>
      <c r="K75" s="96" t="str">
        <f t="shared" si="13"/>
        <v>0003-1012-0048</v>
      </c>
      <c r="L75" s="96" t="str">
        <f>VLOOKUP(K75,COA!$A$3:$B$337,2,FALSE)</f>
        <v>K56</v>
      </c>
      <c r="M75" s="96" t="str">
        <f t="shared" si="14"/>
        <v>K56</v>
      </c>
      <c r="N75" s="96" t="str">
        <f>VLOOKUP(M75,CAC!$A$2:$B$198,2,FALSE)</f>
        <v>HMFLEX</v>
      </c>
    </row>
    <row r="76" spans="1:14" x14ac:dyDescent="0.25">
      <c r="A76" s="91" t="s">
        <v>915</v>
      </c>
      <c r="C76" s="86" t="s">
        <v>935</v>
      </c>
      <c r="E76" s="136">
        <v>201709</v>
      </c>
      <c r="F76" s="138" t="s">
        <v>563</v>
      </c>
      <c r="G76" s="138" t="s">
        <v>365</v>
      </c>
      <c r="H76" s="138" t="s">
        <v>344</v>
      </c>
      <c r="I76" s="139">
        <v>0</v>
      </c>
      <c r="K76" s="96" t="str">
        <f t="shared" si="13"/>
        <v>0003-1001-0012</v>
      </c>
      <c r="L76" s="96" t="str">
        <f>VLOOKUP(K76,COA!$A$3:$B$337,2,FALSE)</f>
        <v>V51</v>
      </c>
      <c r="M76" s="96" t="str">
        <f t="shared" si="14"/>
        <v>V51</v>
      </c>
      <c r="N76" s="96" t="str">
        <f>VLOOKUP(M76,CAC!$A$2:$B$198,2,FALSE)</f>
        <v>PPOIFP</v>
      </c>
    </row>
    <row r="77" spans="1:14" x14ac:dyDescent="0.25">
      <c r="A77" s="91" t="s">
        <v>916</v>
      </c>
      <c r="C77" s="86" t="s">
        <v>917</v>
      </c>
      <c r="E77" s="136">
        <v>201610</v>
      </c>
      <c r="F77" s="138" t="s">
        <v>345</v>
      </c>
      <c r="G77" s="138" t="s">
        <v>351</v>
      </c>
      <c r="H77" s="138" t="s">
        <v>349</v>
      </c>
      <c r="I77" s="139">
        <v>0</v>
      </c>
      <c r="K77" s="96" t="str">
        <f t="shared" si="13"/>
        <v>0011-0000-0017</v>
      </c>
      <c r="L77" s="96" t="e">
        <f>VLOOKUP(K77,COA!$A$3:$B$337,2,FALSE)</f>
        <v>#N/A</v>
      </c>
      <c r="M77" s="96" t="str">
        <f t="shared" si="14"/>
        <v>XXX</v>
      </c>
      <c r="N77" s="96" t="str">
        <f>VLOOKUP(M77,CAC!$A$2:$B$198,2,FALSE)</f>
        <v>XXX</v>
      </c>
    </row>
    <row r="78" spans="1:14" x14ac:dyDescent="0.25">
      <c r="A78" s="91" t="s">
        <v>917</v>
      </c>
      <c r="C78" s="86" t="s">
        <v>918</v>
      </c>
      <c r="E78" s="136">
        <v>201610</v>
      </c>
      <c r="F78" s="138" t="s">
        <v>563</v>
      </c>
      <c r="G78" s="138" t="s">
        <v>350</v>
      </c>
      <c r="H78" s="138" t="s">
        <v>626</v>
      </c>
      <c r="I78" s="139">
        <v>0</v>
      </c>
      <c r="K78" s="96" t="str">
        <f t="shared" si="13"/>
        <v>0003-1012-0057</v>
      </c>
      <c r="L78" s="96" t="str">
        <f>VLOOKUP(K78,COA!$A$3:$B$337,2,FALSE)</f>
        <v>K51</v>
      </c>
      <c r="M78" s="96" t="str">
        <f t="shared" si="14"/>
        <v>K51</v>
      </c>
      <c r="N78" s="96" t="str">
        <f>VLOOKUP(M78,CAC!$A$2:$B$198,2,FALSE)</f>
        <v>PPOPMR</v>
      </c>
    </row>
    <row r="79" spans="1:14" x14ac:dyDescent="0.25">
      <c r="A79" s="91" t="s">
        <v>918</v>
      </c>
      <c r="C79" s="87" t="s">
        <v>961</v>
      </c>
      <c r="E79" s="136">
        <v>201702</v>
      </c>
      <c r="F79" s="138" t="s">
        <v>345</v>
      </c>
      <c r="G79" s="138" t="s">
        <v>355</v>
      </c>
      <c r="H79" s="138" t="s">
        <v>344</v>
      </c>
      <c r="I79" s="139">
        <v>15836.12</v>
      </c>
      <c r="K79" s="96" t="str">
        <f t="shared" si="13"/>
        <v>0011-1006-0012</v>
      </c>
      <c r="L79" s="96" t="str">
        <f>VLOOKUP(K79,COA!$A$3:$B$337,2,FALSE)</f>
        <v>L13</v>
      </c>
      <c r="M79" s="96" t="str">
        <f t="shared" si="14"/>
        <v>L13</v>
      </c>
      <c r="N79" s="96" t="str">
        <f>VLOOKUP(M79,CAC!$A$2:$B$198,2,FALSE)</f>
        <v>HMOLG</v>
      </c>
    </row>
    <row r="80" spans="1:14" x14ac:dyDescent="0.25">
      <c r="A80" s="91" t="s">
        <v>919</v>
      </c>
      <c r="C80" s="86" t="s">
        <v>920</v>
      </c>
      <c r="E80" s="136">
        <v>201610</v>
      </c>
      <c r="F80" s="138" t="s">
        <v>344</v>
      </c>
      <c r="G80" s="138" t="s">
        <v>361</v>
      </c>
      <c r="H80" s="138" t="s">
        <v>344</v>
      </c>
      <c r="I80" s="139">
        <v>9573.19</v>
      </c>
      <c r="K80" s="96" t="str">
        <f t="shared" si="13"/>
        <v>0012-1003-0012</v>
      </c>
      <c r="L80" s="96" t="str">
        <f>VLOOKUP(K80,COA!$A$3:$B$337,2,FALSE)</f>
        <v>N15</v>
      </c>
      <c r="M80" s="96" t="str">
        <f t="shared" si="14"/>
        <v>N15</v>
      </c>
      <c r="N80" s="96" t="str">
        <f>VLOOKUP(M80,CAC!$A$2:$B$198,2,FALSE)</f>
        <v>HMOPMR</v>
      </c>
    </row>
    <row r="81" spans="1:14" x14ac:dyDescent="0.25">
      <c r="A81" s="91" t="s">
        <v>920</v>
      </c>
      <c r="C81" s="86" t="s">
        <v>931</v>
      </c>
      <c r="E81" s="136">
        <v>201606</v>
      </c>
      <c r="F81" s="138" t="s">
        <v>344</v>
      </c>
      <c r="G81" s="138" t="s">
        <v>352</v>
      </c>
      <c r="H81" s="138" t="s">
        <v>344</v>
      </c>
      <c r="I81" s="139">
        <v>431</v>
      </c>
      <c r="K81" s="96" t="str">
        <f t="shared" si="13"/>
        <v>0012-1004-0012</v>
      </c>
      <c r="L81" s="96" t="str">
        <f>VLOOKUP(K81,COA!$A$3:$B$337,2,FALSE)</f>
        <v>L12</v>
      </c>
      <c r="M81" s="96" t="str">
        <f t="shared" si="14"/>
        <v>L12</v>
      </c>
      <c r="N81" s="96" t="str">
        <f>VLOOKUP(M81,CAC!$A$2:$B$198,2,FALSE)</f>
        <v>HMOLG</v>
      </c>
    </row>
    <row r="82" spans="1:14" x14ac:dyDescent="0.25">
      <c r="A82" s="91" t="s">
        <v>931</v>
      </c>
      <c r="C82" s="86" t="s">
        <v>921</v>
      </c>
      <c r="E82" s="136">
        <v>201703</v>
      </c>
      <c r="F82" s="138" t="s">
        <v>345</v>
      </c>
      <c r="G82" s="138" t="s">
        <v>361</v>
      </c>
      <c r="H82" s="138" t="s">
        <v>344</v>
      </c>
      <c r="I82" s="139">
        <v>930.88</v>
      </c>
      <c r="K82" s="96" t="str">
        <f t="shared" si="13"/>
        <v>0011-1003-0012</v>
      </c>
      <c r="L82" s="96" t="str">
        <f>VLOOKUP(K82,COA!$A$3:$B$337,2,FALSE)</f>
        <v>N16</v>
      </c>
      <c r="M82" s="96" t="str">
        <f t="shared" si="14"/>
        <v>N16</v>
      </c>
      <c r="N82" s="96" t="str">
        <f>VLOOKUP(M82,CAC!$A$2:$B$198,2,FALSE)</f>
        <v>HMOPMR</v>
      </c>
    </row>
    <row r="83" spans="1:14" x14ac:dyDescent="0.25">
      <c r="A83" s="91" t="s">
        <v>921</v>
      </c>
      <c r="C83" s="86" t="s">
        <v>932</v>
      </c>
      <c r="E83" s="136">
        <v>201512</v>
      </c>
      <c r="F83" s="138" t="s">
        <v>413</v>
      </c>
      <c r="G83" s="138" t="s">
        <v>356</v>
      </c>
      <c r="H83" s="138" t="s">
        <v>344</v>
      </c>
      <c r="I83" s="139">
        <v>0</v>
      </c>
      <c r="K83" s="96" t="str">
        <f t="shared" si="13"/>
        <v>0008-1002-0012</v>
      </c>
      <c r="L83" s="96" t="str">
        <f>VLOOKUP(K83,COA!$A$3:$B$337,2,FALSE)</f>
        <v>C74</v>
      </c>
      <c r="M83" s="96" t="str">
        <f t="shared" si="14"/>
        <v>C74</v>
      </c>
      <c r="N83" s="96" t="str">
        <f>VLOOKUP(M83,CAC!$A$2:$B$198,2,FALSE)</f>
        <v>DOILG</v>
      </c>
    </row>
    <row r="84" spans="1:14" x14ac:dyDescent="0.25">
      <c r="A84" s="91" t="s">
        <v>932</v>
      </c>
      <c r="C84" s="86" t="s">
        <v>922</v>
      </c>
      <c r="E84" s="136">
        <v>201801</v>
      </c>
      <c r="F84" s="138" t="s">
        <v>344</v>
      </c>
      <c r="G84" s="138" t="s">
        <v>350</v>
      </c>
      <c r="H84" s="138" t="s">
        <v>344</v>
      </c>
      <c r="I84" s="139">
        <v>956.68</v>
      </c>
      <c r="K84" s="96" t="str">
        <f t="shared" si="13"/>
        <v>0012-1012-0012</v>
      </c>
      <c r="L84" s="96" t="str">
        <f>VLOOKUP(K84,COA!$A$3:$B$337,2,FALSE)</f>
        <v>K12</v>
      </c>
      <c r="M84" s="96" t="str">
        <f t="shared" si="14"/>
        <v>K12</v>
      </c>
      <c r="N84" s="96" t="str">
        <f>VLOOKUP(M84,CAC!$A$2:$B$198,2,FALSE)</f>
        <v>HMOPMR</v>
      </c>
    </row>
    <row r="85" spans="1:14" x14ac:dyDescent="0.25">
      <c r="A85" s="91" t="s">
        <v>922</v>
      </c>
      <c r="C85" s="86" t="s">
        <v>924</v>
      </c>
      <c r="E85" s="136">
        <v>201707</v>
      </c>
      <c r="F85" s="138" t="s">
        <v>344</v>
      </c>
      <c r="G85" s="138" t="s">
        <v>350</v>
      </c>
      <c r="H85" s="138" t="s">
        <v>344</v>
      </c>
      <c r="I85" s="139">
        <v>28</v>
      </c>
      <c r="K85" s="96" t="str">
        <f t="shared" si="13"/>
        <v>0012-1012-0012</v>
      </c>
      <c r="L85" s="96" t="str">
        <f>VLOOKUP(K85,COA!$A$3:$B$337,2,FALSE)</f>
        <v>K12</v>
      </c>
      <c r="M85" s="96" t="str">
        <f t="shared" si="14"/>
        <v>K12</v>
      </c>
      <c r="N85" s="96" t="str">
        <f>VLOOKUP(M85,CAC!$A$2:$B$198,2,FALSE)</f>
        <v>HMOPMR</v>
      </c>
    </row>
    <row r="86" spans="1:14" x14ac:dyDescent="0.25">
      <c r="A86" s="91" t="s">
        <v>923</v>
      </c>
      <c r="C86" s="86" t="s">
        <v>933</v>
      </c>
      <c r="E86" s="136">
        <v>201506</v>
      </c>
      <c r="F86" s="138" t="s">
        <v>563</v>
      </c>
      <c r="G86" s="138" t="s">
        <v>348</v>
      </c>
      <c r="H86" s="138" t="s">
        <v>353</v>
      </c>
      <c r="I86" s="139">
        <v>0</v>
      </c>
      <c r="K86" s="96" t="str">
        <f t="shared" si="13"/>
        <v>0003-1010-0023</v>
      </c>
      <c r="L86" s="96" t="str">
        <f>VLOOKUP(K86,COA!$A$3:$B$337,2,FALSE)</f>
        <v>S54</v>
      </c>
      <c r="M86" s="96" t="str">
        <f t="shared" si="14"/>
        <v>S54</v>
      </c>
      <c r="N86" s="96" t="str">
        <f>VLOOKUP(M86,CAC!$A$2:$B$198,2,FALSE)</f>
        <v>PPOSG</v>
      </c>
    </row>
    <row r="87" spans="1:14" x14ac:dyDescent="0.25">
      <c r="A87" s="91" t="s">
        <v>924</v>
      </c>
      <c r="C87" s="86" t="s">
        <v>925</v>
      </c>
      <c r="E87" s="136">
        <v>201603</v>
      </c>
      <c r="F87" s="138" t="s">
        <v>345</v>
      </c>
      <c r="G87" s="138" t="s">
        <v>346</v>
      </c>
      <c r="H87" s="138" t="s">
        <v>344</v>
      </c>
      <c r="I87" s="139">
        <v>0</v>
      </c>
      <c r="K87" s="96" t="str">
        <f t="shared" si="13"/>
        <v>0011-1014-0012</v>
      </c>
      <c r="L87" s="96" t="e">
        <f>VLOOKUP(K87,COA!$A$3:$B$337,2,FALSE)</f>
        <v>#N/A</v>
      </c>
      <c r="M87" s="96" t="str">
        <f t="shared" si="14"/>
        <v>XXX</v>
      </c>
      <c r="N87" s="96" t="str">
        <f>VLOOKUP(M87,CAC!$A$2:$B$198,2,FALSE)</f>
        <v>XXX</v>
      </c>
    </row>
    <row r="88" spans="1:14" x14ac:dyDescent="0.25">
      <c r="A88" s="91" t="s">
        <v>933</v>
      </c>
      <c r="C88" s="86" t="s">
        <v>945</v>
      </c>
      <c r="E88" s="136">
        <v>201706</v>
      </c>
      <c r="F88" s="138" t="s">
        <v>345</v>
      </c>
      <c r="G88" s="138" t="s">
        <v>354</v>
      </c>
      <c r="H88" s="138" t="s">
        <v>360</v>
      </c>
      <c r="I88" s="139">
        <v>5094</v>
      </c>
      <c r="K88" s="96" t="str">
        <f t="shared" si="13"/>
        <v>0011-1013-0048</v>
      </c>
      <c r="L88" s="96" t="str">
        <f>VLOOKUP(K88,COA!$A$3:$B$337,2,FALSE)</f>
        <v>N21</v>
      </c>
      <c r="M88" s="96" t="str">
        <f t="shared" si="14"/>
        <v>N21</v>
      </c>
      <c r="N88" s="96" t="str">
        <f>VLOOKUP(M88,CAC!$A$2:$B$198,2,FALSE)</f>
        <v>HMFLEX</v>
      </c>
    </row>
    <row r="89" spans="1:14" x14ac:dyDescent="0.25">
      <c r="A89" s="91" t="s">
        <v>925</v>
      </c>
      <c r="C89" s="93" t="s">
        <v>942</v>
      </c>
      <c r="E89" s="136">
        <v>201708</v>
      </c>
      <c r="F89" s="138" t="s">
        <v>342</v>
      </c>
      <c r="G89" s="138" t="s">
        <v>343</v>
      </c>
      <c r="H89" s="138" t="s">
        <v>344</v>
      </c>
      <c r="I89" s="139">
        <v>5667.78</v>
      </c>
      <c r="K89" s="96" t="str">
        <f t="shared" si="13"/>
        <v>0031-1000-0012</v>
      </c>
      <c r="L89" s="96" t="str">
        <f>VLOOKUP(K89,COA!$A$3:$B$337,2,FALSE)</f>
        <v>F27</v>
      </c>
      <c r="M89" s="96" t="str">
        <f t="shared" si="14"/>
        <v>F27</v>
      </c>
      <c r="N89" s="96" t="str">
        <f>VLOOKUP(M89,CAC!$A$2:$B$198,2,FALSE)</f>
        <v>HMOFEP</v>
      </c>
    </row>
    <row r="90" spans="1:14" x14ac:dyDescent="0.25">
      <c r="A90" s="91" t="s">
        <v>926</v>
      </c>
      <c r="C90" s="93" t="s">
        <v>943</v>
      </c>
      <c r="E90" s="136">
        <v>201708</v>
      </c>
      <c r="F90" s="138" t="s">
        <v>349</v>
      </c>
      <c r="G90" s="138" t="s">
        <v>369</v>
      </c>
      <c r="H90" s="138" t="s">
        <v>344</v>
      </c>
      <c r="I90" s="139">
        <v>44105.97</v>
      </c>
      <c r="K90" s="96" t="str">
        <f t="shared" si="13"/>
        <v>0017-1009-0012</v>
      </c>
      <c r="L90" s="96" t="str">
        <f>VLOOKUP(K90,COA!$A$3:$B$337,2,FALSE)</f>
        <v>R12</v>
      </c>
      <c r="M90" s="96" t="str">
        <f t="shared" si="14"/>
        <v>R12</v>
      </c>
      <c r="N90" s="96" t="str">
        <f>VLOOKUP(M90,CAC!$A$2:$B$198,2,FALSE)</f>
        <v>HMOMM</v>
      </c>
    </row>
    <row r="91" spans="1:14" x14ac:dyDescent="0.25">
      <c r="A91" s="91" t="s">
        <v>927</v>
      </c>
      <c r="C91" s="93" t="s">
        <v>944</v>
      </c>
      <c r="E91" s="136">
        <v>201706</v>
      </c>
      <c r="F91" s="138" t="s">
        <v>563</v>
      </c>
      <c r="G91" s="138" t="s">
        <v>352</v>
      </c>
      <c r="H91" s="138" t="s">
        <v>344</v>
      </c>
      <c r="I91" s="139">
        <v>0</v>
      </c>
      <c r="K91" s="96" t="str">
        <f t="shared" si="13"/>
        <v>0003-1004-0012</v>
      </c>
      <c r="L91" s="96" t="str">
        <f>VLOOKUP(K91,COA!$A$3:$B$337,2,FALSE)</f>
        <v>L51</v>
      </c>
      <c r="M91" s="96" t="str">
        <f t="shared" si="14"/>
        <v>L51</v>
      </c>
      <c r="N91" s="96" t="str">
        <f>VLOOKUP(M91,CAC!$A$2:$B$198,2,FALSE)</f>
        <v>PPOLG</v>
      </c>
    </row>
    <row r="92" spans="1:14" x14ac:dyDescent="0.25">
      <c r="A92" s="91" t="s">
        <v>928</v>
      </c>
      <c r="C92" s="30" t="s">
        <v>28</v>
      </c>
      <c r="E92" s="136">
        <v>201610</v>
      </c>
      <c r="F92" s="138" t="s">
        <v>506</v>
      </c>
      <c r="G92" s="138" t="s">
        <v>346</v>
      </c>
      <c r="H92" s="138" t="s">
        <v>592</v>
      </c>
      <c r="I92" s="139">
        <v>0</v>
      </c>
      <c r="K92" s="96" t="str">
        <f t="shared" si="13"/>
        <v>0013-1014-0035</v>
      </c>
      <c r="L92" s="96" t="str">
        <f>VLOOKUP(K92,COA!$A$3:$B$337,2,FALSE)</f>
        <v>K42</v>
      </c>
      <c r="M92" s="96" t="str">
        <f t="shared" si="14"/>
        <v>K42</v>
      </c>
      <c r="N92" s="96" t="str">
        <f>VLOOKUP(M92,CAC!$A$2:$B$198,2,FALSE)</f>
        <v>HMFLEX</v>
      </c>
    </row>
    <row r="93" spans="1:14" x14ac:dyDescent="0.25">
      <c r="A93" s="90" t="s">
        <v>28</v>
      </c>
      <c r="C93" s="30" t="s">
        <v>30</v>
      </c>
      <c r="E93" s="136">
        <v>201609</v>
      </c>
      <c r="F93" s="138" t="s">
        <v>345</v>
      </c>
      <c r="G93" s="138" t="s">
        <v>348</v>
      </c>
      <c r="H93" s="138" t="s">
        <v>353</v>
      </c>
      <c r="I93" s="139">
        <v>338</v>
      </c>
      <c r="K93" s="96" t="str">
        <f t="shared" si="13"/>
        <v>0011-1010-0023</v>
      </c>
      <c r="L93" s="96" t="str">
        <f>VLOOKUP(K93,COA!$A$3:$B$337,2,FALSE)</f>
        <v>S13</v>
      </c>
      <c r="M93" s="96" t="str">
        <f t="shared" si="14"/>
        <v>S13</v>
      </c>
      <c r="N93" s="96" t="str">
        <f>VLOOKUP(M93,CAC!$A$2:$B$198,2,FALSE)</f>
        <v>HMOSG</v>
      </c>
    </row>
    <row r="94" spans="1:14" x14ac:dyDescent="0.25">
      <c r="A94" s="90" t="s">
        <v>30</v>
      </c>
      <c r="C94" s="30" t="s">
        <v>31</v>
      </c>
      <c r="E94" s="136">
        <v>201509</v>
      </c>
      <c r="F94" s="138" t="s">
        <v>413</v>
      </c>
      <c r="G94" s="138" t="s">
        <v>365</v>
      </c>
      <c r="H94" s="138" t="s">
        <v>411</v>
      </c>
      <c r="I94" s="139">
        <v>0</v>
      </c>
      <c r="K94" s="96" t="str">
        <f t="shared" si="13"/>
        <v>0008-1001-0007</v>
      </c>
      <c r="L94" s="96" t="str">
        <f>VLOOKUP(K94,COA!$A$3:$B$337,2,FALSE)</f>
        <v>C99</v>
      </c>
      <c r="M94" s="96" t="str">
        <f t="shared" si="14"/>
        <v>C99</v>
      </c>
      <c r="N94" s="96" t="str">
        <f>VLOOKUP(M94,CAC!$A$2:$B$198,2,FALSE)</f>
        <v>DOIIFP</v>
      </c>
    </row>
    <row r="95" spans="1:14" x14ac:dyDescent="0.25">
      <c r="A95" s="90" t="s">
        <v>31</v>
      </c>
      <c r="C95" s="31" t="s">
        <v>32</v>
      </c>
      <c r="E95" s="136">
        <v>201609</v>
      </c>
      <c r="F95" s="138" t="s">
        <v>345</v>
      </c>
      <c r="G95" s="138" t="s">
        <v>351</v>
      </c>
      <c r="H95" s="138" t="s">
        <v>349</v>
      </c>
      <c r="I95" s="139">
        <v>0</v>
      </c>
      <c r="K95" s="96" t="str">
        <f t="shared" si="13"/>
        <v>0011-0000-0017</v>
      </c>
      <c r="L95" s="96" t="e">
        <f>VLOOKUP(K95,COA!$A$3:$B$337,2,FALSE)</f>
        <v>#N/A</v>
      </c>
      <c r="M95" s="96" t="str">
        <f t="shared" si="14"/>
        <v>XXX</v>
      </c>
      <c r="N95" s="96" t="str">
        <f>VLOOKUP(M95,CAC!$A$2:$B$198,2,FALSE)</f>
        <v>XXX</v>
      </c>
    </row>
    <row r="96" spans="1:14" x14ac:dyDescent="0.25">
      <c r="A96" s="92" t="s">
        <v>32</v>
      </c>
      <c r="E96" s="136">
        <v>201510</v>
      </c>
      <c r="F96" s="138" t="s">
        <v>345</v>
      </c>
      <c r="G96" s="138" t="s">
        <v>359</v>
      </c>
      <c r="H96" s="138" t="s">
        <v>344</v>
      </c>
      <c r="I96" s="139">
        <v>3103.65</v>
      </c>
      <c r="K96" s="96" t="str">
        <f t="shared" si="13"/>
        <v>0011-1005-0012</v>
      </c>
      <c r="L96" s="96" t="str">
        <f>VLOOKUP(K96,COA!$A$3:$B$337,2,FALSE)</f>
        <v>N11</v>
      </c>
      <c r="M96" s="96" t="str">
        <f t="shared" si="14"/>
        <v>N11</v>
      </c>
      <c r="N96" s="96" t="str">
        <f>VLOOKUP(M96,CAC!$A$2:$B$198,2,FALSE)</f>
        <v>HMOLG</v>
      </c>
    </row>
    <row r="97" spans="5:14" x14ac:dyDescent="0.25">
      <c r="E97" s="136">
        <v>201512</v>
      </c>
      <c r="F97" s="138" t="s">
        <v>549</v>
      </c>
      <c r="G97" s="138" t="s">
        <v>356</v>
      </c>
      <c r="H97" s="138" t="s">
        <v>672</v>
      </c>
      <c r="I97" s="139">
        <v>0</v>
      </c>
      <c r="K97" s="96" t="str">
        <f t="shared" si="13"/>
        <v>0026-1002-0058</v>
      </c>
      <c r="L97" s="96" t="str">
        <f>VLOOKUP(K97,COA!$A$3:$B$337,2,FALSE)</f>
        <v>L45</v>
      </c>
      <c r="M97" s="96" t="str">
        <f t="shared" si="14"/>
        <v>L45</v>
      </c>
      <c r="N97" s="96" t="e">
        <f>VLOOKUP(M97,CAC!$A$2:$B$198,2,FALSE)</f>
        <v>#N/A</v>
      </c>
    </row>
    <row r="98" spans="5:14" x14ac:dyDescent="0.25">
      <c r="E98" s="136">
        <v>201704</v>
      </c>
      <c r="F98" s="138" t="s">
        <v>563</v>
      </c>
      <c r="G98" s="138" t="s">
        <v>348</v>
      </c>
      <c r="H98" s="138" t="s">
        <v>353</v>
      </c>
      <c r="I98" s="139">
        <v>0</v>
      </c>
      <c r="K98" s="96" t="str">
        <f t="shared" si="13"/>
        <v>0003-1010-0023</v>
      </c>
      <c r="L98" s="96" t="str">
        <f>VLOOKUP(K98,COA!$A$3:$B$337,2,FALSE)</f>
        <v>S54</v>
      </c>
      <c r="M98" s="96" t="str">
        <f t="shared" si="14"/>
        <v>S54</v>
      </c>
      <c r="N98" s="96" t="str">
        <f>VLOOKUP(M98,CAC!$A$2:$B$198,2,FALSE)</f>
        <v>PPOSG</v>
      </c>
    </row>
    <row r="99" spans="5:14" x14ac:dyDescent="0.25">
      <c r="E99" s="136">
        <v>201712</v>
      </c>
      <c r="F99" s="138" t="s">
        <v>345</v>
      </c>
      <c r="G99" s="138" t="s">
        <v>346</v>
      </c>
      <c r="H99" s="138" t="s">
        <v>360</v>
      </c>
      <c r="I99" s="139">
        <v>333</v>
      </c>
      <c r="K99" s="96" t="str">
        <f t="shared" si="13"/>
        <v>0011-1014-0048</v>
      </c>
      <c r="L99" s="96" t="str">
        <f>VLOOKUP(K99,COA!$A$3:$B$337,2,FALSE)</f>
        <v>K23</v>
      </c>
      <c r="M99" s="96" t="str">
        <f t="shared" si="14"/>
        <v>K23</v>
      </c>
      <c r="N99" s="96" t="str">
        <f>VLOOKUP(M99,CAC!$A$2:$B$198,2,FALSE)</f>
        <v>HMFLEX</v>
      </c>
    </row>
    <row r="100" spans="5:14" x14ac:dyDescent="0.25">
      <c r="E100" s="136">
        <v>201511</v>
      </c>
      <c r="F100" s="138" t="s">
        <v>563</v>
      </c>
      <c r="G100" s="138" t="s">
        <v>354</v>
      </c>
      <c r="H100" s="138" t="s">
        <v>626</v>
      </c>
      <c r="I100" s="139">
        <v>0</v>
      </c>
      <c r="K100" s="96" t="str">
        <f t="shared" si="13"/>
        <v>0003-1013-0057</v>
      </c>
      <c r="L100" s="96" t="str">
        <f>VLOOKUP(K100,COA!$A$3:$B$337,2,FALSE)</f>
        <v>N55</v>
      </c>
      <c r="M100" s="96" t="str">
        <f t="shared" si="14"/>
        <v>N55</v>
      </c>
      <c r="N100" s="96" t="str">
        <f>VLOOKUP(M100,CAC!$A$2:$B$198,2,FALSE)</f>
        <v>PPOPMR</v>
      </c>
    </row>
    <row r="101" spans="5:14" x14ac:dyDescent="0.25">
      <c r="E101" s="136">
        <v>201706</v>
      </c>
      <c r="F101" s="138" t="s">
        <v>345</v>
      </c>
      <c r="G101" s="138" t="s">
        <v>359</v>
      </c>
      <c r="H101" s="138" t="s">
        <v>344</v>
      </c>
      <c r="I101" s="139">
        <v>5315</v>
      </c>
      <c r="K101" s="96" t="str">
        <f t="shared" si="13"/>
        <v>0011-1005-0012</v>
      </c>
      <c r="L101" s="96" t="str">
        <f>VLOOKUP(K101,COA!$A$3:$B$337,2,FALSE)</f>
        <v>N11</v>
      </c>
      <c r="M101" s="96" t="str">
        <f t="shared" si="14"/>
        <v>N11</v>
      </c>
      <c r="N101" s="96" t="str">
        <f>VLOOKUP(M101,CAC!$A$2:$B$198,2,FALSE)</f>
        <v>HMOLG</v>
      </c>
    </row>
    <row r="102" spans="5:14" x14ac:dyDescent="0.25">
      <c r="E102" s="136">
        <v>201510</v>
      </c>
      <c r="F102" s="138" t="s">
        <v>345</v>
      </c>
      <c r="G102" s="138" t="s">
        <v>350</v>
      </c>
      <c r="H102" s="138" t="s">
        <v>360</v>
      </c>
      <c r="I102" s="139">
        <v>5221.8</v>
      </c>
      <c r="K102" s="96" t="str">
        <f t="shared" si="13"/>
        <v>0011-1012-0048</v>
      </c>
      <c r="L102" s="96" t="str">
        <f>VLOOKUP(K102,COA!$A$3:$B$337,2,FALSE)</f>
        <v>K21</v>
      </c>
      <c r="M102" s="96" t="str">
        <f t="shared" si="14"/>
        <v>K21</v>
      </c>
      <c r="N102" s="96" t="str">
        <f>VLOOKUP(M102,CAC!$A$2:$B$198,2,FALSE)</f>
        <v>HMFLEX</v>
      </c>
    </row>
    <row r="103" spans="5:14" x14ac:dyDescent="0.25">
      <c r="E103" s="136">
        <v>201703</v>
      </c>
      <c r="F103" s="138" t="s">
        <v>345</v>
      </c>
      <c r="G103" s="138" t="s">
        <v>346</v>
      </c>
      <c r="H103" s="138" t="s">
        <v>344</v>
      </c>
      <c r="I103" s="139">
        <v>0</v>
      </c>
      <c r="K103" s="96" t="str">
        <f t="shared" si="13"/>
        <v>0011-1014-0012</v>
      </c>
      <c r="L103" s="96" t="e">
        <f>VLOOKUP(K103,COA!$A$3:$B$337,2,FALSE)</f>
        <v>#N/A</v>
      </c>
      <c r="M103" s="96" t="str">
        <f t="shared" si="14"/>
        <v>XXX</v>
      </c>
      <c r="N103" s="96" t="str">
        <f>VLOOKUP(M103,CAC!$A$2:$B$198,2,FALSE)</f>
        <v>XXX</v>
      </c>
    </row>
    <row r="104" spans="5:14" x14ac:dyDescent="0.25">
      <c r="E104" s="136">
        <v>201603</v>
      </c>
      <c r="F104" s="138" t="s">
        <v>563</v>
      </c>
      <c r="G104" s="138" t="s">
        <v>365</v>
      </c>
      <c r="H104" s="138" t="s">
        <v>366</v>
      </c>
      <c r="I104" s="139">
        <v>0</v>
      </c>
      <c r="K104" s="96" t="str">
        <f t="shared" si="13"/>
        <v>0003-1001-0021</v>
      </c>
      <c r="L104" s="96" t="str">
        <f>VLOOKUP(K104,COA!$A$3:$B$337,2,FALSE)</f>
        <v>V53</v>
      </c>
      <c r="M104" s="96" t="str">
        <f t="shared" si="14"/>
        <v>V53</v>
      </c>
      <c r="N104" s="96" t="str">
        <f>VLOOKUP(M104,CAC!$A$2:$B$198,2,FALSE)</f>
        <v>PPOIFP</v>
      </c>
    </row>
    <row r="105" spans="5:14" x14ac:dyDescent="0.25">
      <c r="E105" s="136">
        <v>201509</v>
      </c>
      <c r="F105" s="138" t="s">
        <v>349</v>
      </c>
      <c r="G105" s="138" t="s">
        <v>369</v>
      </c>
      <c r="H105" s="138" t="s">
        <v>344</v>
      </c>
      <c r="I105" s="139">
        <v>37092</v>
      </c>
      <c r="K105" s="96" t="str">
        <f t="shared" si="13"/>
        <v>0017-1009-0012</v>
      </c>
      <c r="L105" s="96" t="str">
        <f>VLOOKUP(K105,COA!$A$3:$B$337,2,FALSE)</f>
        <v>R12</v>
      </c>
      <c r="M105" s="96" t="str">
        <f t="shared" si="14"/>
        <v>R12</v>
      </c>
      <c r="N105" s="96" t="str">
        <f>VLOOKUP(M105,CAC!$A$2:$B$198,2,FALSE)</f>
        <v>HMOMM</v>
      </c>
    </row>
    <row r="106" spans="5:14" x14ac:dyDescent="0.25">
      <c r="E106" s="136">
        <v>201607</v>
      </c>
      <c r="F106" s="138" t="s">
        <v>344</v>
      </c>
      <c r="G106" s="138" t="s">
        <v>356</v>
      </c>
      <c r="H106" s="138" t="s">
        <v>344</v>
      </c>
      <c r="I106" s="139">
        <v>4195.9399999999996</v>
      </c>
      <c r="K106" s="96" t="str">
        <f t="shared" si="13"/>
        <v>0012-1002-0012</v>
      </c>
      <c r="L106" s="96" t="str">
        <f>VLOOKUP(K106,COA!$A$3:$B$337,2,FALSE)</f>
        <v>F22</v>
      </c>
      <c r="M106" s="96" t="str">
        <f t="shared" si="14"/>
        <v>F22</v>
      </c>
      <c r="N106" s="96" t="str">
        <f>VLOOKUP(M106,CAC!$A$2:$B$198,2,FALSE)</f>
        <v>HMOPMR</v>
      </c>
    </row>
    <row r="107" spans="5:14" x14ac:dyDescent="0.25">
      <c r="E107" s="136">
        <v>201503</v>
      </c>
      <c r="F107" s="138" t="s">
        <v>563</v>
      </c>
      <c r="G107" s="138" t="s">
        <v>356</v>
      </c>
      <c r="H107" s="138" t="s">
        <v>344</v>
      </c>
      <c r="I107" s="139">
        <v>0</v>
      </c>
      <c r="K107" s="96" t="str">
        <f t="shared" si="13"/>
        <v>0003-1002-0012</v>
      </c>
      <c r="L107" s="96" t="str">
        <f>VLOOKUP(K107,COA!$A$3:$B$337,2,FALSE)</f>
        <v>F61</v>
      </c>
      <c r="M107" s="96" t="str">
        <f t="shared" si="14"/>
        <v>F61</v>
      </c>
      <c r="N107" s="96" t="str">
        <f>VLOOKUP(M107,CAC!$A$2:$B$198,2,FALSE)</f>
        <v>PPOPMR</v>
      </c>
    </row>
    <row r="108" spans="5:14" x14ac:dyDescent="0.25">
      <c r="E108" s="136">
        <v>201503</v>
      </c>
      <c r="F108" s="138" t="s">
        <v>345</v>
      </c>
      <c r="G108" s="138" t="s">
        <v>348</v>
      </c>
      <c r="H108" s="138" t="s">
        <v>358</v>
      </c>
      <c r="I108" s="139">
        <v>54</v>
      </c>
      <c r="K108" s="96" t="str">
        <f t="shared" si="13"/>
        <v>0011-1010-0024</v>
      </c>
      <c r="L108" s="96" t="str">
        <f>VLOOKUP(K108,COA!$A$3:$B$337,2,FALSE)</f>
        <v>S14</v>
      </c>
      <c r="M108" s="96" t="str">
        <f t="shared" si="14"/>
        <v>S14</v>
      </c>
      <c r="N108" s="96" t="str">
        <f>VLOOKUP(M108,CAC!$A$2:$B$198,2,FALSE)</f>
        <v>HMOSG</v>
      </c>
    </row>
    <row r="109" spans="5:14" x14ac:dyDescent="0.25">
      <c r="E109" s="136">
        <v>201504</v>
      </c>
      <c r="F109" s="138" t="s">
        <v>563</v>
      </c>
      <c r="G109" s="138" t="s">
        <v>365</v>
      </c>
      <c r="H109" s="138" t="s">
        <v>366</v>
      </c>
      <c r="I109" s="139">
        <v>0</v>
      </c>
      <c r="K109" s="96" t="str">
        <f t="shared" si="13"/>
        <v>0003-1001-0021</v>
      </c>
      <c r="L109" s="96" t="str">
        <f>VLOOKUP(K109,COA!$A$3:$B$337,2,FALSE)</f>
        <v>V53</v>
      </c>
      <c r="M109" s="96" t="str">
        <f t="shared" si="14"/>
        <v>V53</v>
      </c>
      <c r="N109" s="96" t="str">
        <f>VLOOKUP(M109,CAC!$A$2:$B$198,2,FALSE)</f>
        <v>PPOIFP</v>
      </c>
    </row>
    <row r="110" spans="5:14" x14ac:dyDescent="0.25">
      <c r="E110" s="136">
        <v>201703</v>
      </c>
      <c r="F110" s="138" t="s">
        <v>349</v>
      </c>
      <c r="G110" s="138" t="s">
        <v>369</v>
      </c>
      <c r="H110" s="138" t="s">
        <v>344</v>
      </c>
      <c r="I110" s="139">
        <v>42864</v>
      </c>
      <c r="K110" s="96" t="str">
        <f t="shared" si="13"/>
        <v>0017-1009-0012</v>
      </c>
      <c r="L110" s="96" t="str">
        <f>VLOOKUP(K110,COA!$A$3:$B$337,2,FALSE)</f>
        <v>R12</v>
      </c>
      <c r="M110" s="96" t="str">
        <f t="shared" si="14"/>
        <v>R12</v>
      </c>
      <c r="N110" s="96" t="str">
        <f>VLOOKUP(M110,CAC!$A$2:$B$198,2,FALSE)</f>
        <v>HMOMM</v>
      </c>
    </row>
    <row r="111" spans="5:14" x14ac:dyDescent="0.25">
      <c r="E111" s="136">
        <v>201603</v>
      </c>
      <c r="F111" s="138" t="s">
        <v>563</v>
      </c>
      <c r="G111" s="138" t="s">
        <v>350</v>
      </c>
      <c r="H111" s="138" t="s">
        <v>360</v>
      </c>
      <c r="I111" s="139">
        <v>0</v>
      </c>
      <c r="K111" s="96" t="str">
        <f t="shared" si="13"/>
        <v>0003-1012-0048</v>
      </c>
      <c r="L111" s="96" t="str">
        <f>VLOOKUP(K111,COA!$A$3:$B$337,2,FALSE)</f>
        <v>K56</v>
      </c>
      <c r="M111" s="96" t="str">
        <f t="shared" si="14"/>
        <v>K56</v>
      </c>
      <c r="N111" s="96" t="str">
        <f>VLOOKUP(M111,CAC!$A$2:$B$198,2,FALSE)</f>
        <v>HMFLEX</v>
      </c>
    </row>
    <row r="112" spans="5:14" x14ac:dyDescent="0.25">
      <c r="E112" s="136">
        <v>201801</v>
      </c>
      <c r="F112" s="138" t="s">
        <v>344</v>
      </c>
      <c r="G112" s="138" t="s">
        <v>355</v>
      </c>
      <c r="H112" s="138" t="s">
        <v>344</v>
      </c>
      <c r="I112" s="139">
        <v>45</v>
      </c>
      <c r="K112" s="96" t="str">
        <f t="shared" si="13"/>
        <v>0012-1006-0012</v>
      </c>
      <c r="L112" s="96" t="str">
        <f>VLOOKUP(K112,COA!$A$3:$B$337,2,FALSE)</f>
        <v>L16</v>
      </c>
      <c r="M112" s="96" t="str">
        <f t="shared" si="14"/>
        <v>L16</v>
      </c>
      <c r="N112" s="96" t="str">
        <f>VLOOKUP(M112,CAC!$A$2:$B$198,2,FALSE)</f>
        <v>HMOLG</v>
      </c>
    </row>
    <row r="113" spans="5:14" x14ac:dyDescent="0.25">
      <c r="E113" s="136">
        <v>201609</v>
      </c>
      <c r="F113" s="138" t="s">
        <v>563</v>
      </c>
      <c r="G113" s="138" t="s">
        <v>365</v>
      </c>
      <c r="H113" s="138" t="s">
        <v>411</v>
      </c>
      <c r="I113" s="139">
        <v>0</v>
      </c>
      <c r="K113" s="96" t="str">
        <f t="shared" si="13"/>
        <v>0003-1001-0007</v>
      </c>
      <c r="L113" s="96" t="str">
        <f>VLOOKUP(K113,COA!$A$3:$B$337,2,FALSE)</f>
        <v>V52</v>
      </c>
      <c r="M113" s="96" t="str">
        <f t="shared" si="14"/>
        <v>V52</v>
      </c>
      <c r="N113" s="96" t="str">
        <f>VLOOKUP(M113,CAC!$A$2:$B$198,2,FALSE)</f>
        <v>PPOIFP</v>
      </c>
    </row>
    <row r="114" spans="5:14" x14ac:dyDescent="0.25">
      <c r="E114" s="136">
        <v>201504</v>
      </c>
      <c r="F114" s="138" t="s">
        <v>746</v>
      </c>
      <c r="G114" s="138" t="s">
        <v>356</v>
      </c>
      <c r="H114" s="138" t="s">
        <v>344</v>
      </c>
      <c r="I114" s="139">
        <v>123</v>
      </c>
      <c r="K114" s="96" t="str">
        <f t="shared" si="13"/>
        <v>0016-1002-0012</v>
      </c>
      <c r="L114" s="96" t="str">
        <f>VLOOKUP(K114,COA!$A$3:$B$337,2,FALSE)</f>
        <v>R18</v>
      </c>
      <c r="M114" s="96" t="str">
        <f t="shared" si="14"/>
        <v>R18</v>
      </c>
      <c r="N114" s="96" t="str">
        <f>VLOOKUP(M114,CAC!$A$2:$B$198,2,FALSE)</f>
        <v>HMOMG</v>
      </c>
    </row>
    <row r="115" spans="5:14" x14ac:dyDescent="0.25">
      <c r="E115" s="136">
        <v>201702</v>
      </c>
      <c r="F115" s="138" t="s">
        <v>506</v>
      </c>
      <c r="G115" s="138" t="s">
        <v>354</v>
      </c>
      <c r="H115" s="138" t="s">
        <v>592</v>
      </c>
      <c r="I115" s="139">
        <v>0</v>
      </c>
      <c r="K115" s="96" t="str">
        <f t="shared" si="13"/>
        <v>0013-1013-0035</v>
      </c>
      <c r="L115" s="96" t="str">
        <f>VLOOKUP(K115,COA!$A$3:$B$337,2,FALSE)</f>
        <v>N44</v>
      </c>
      <c r="M115" s="96" t="str">
        <f t="shared" si="14"/>
        <v>N44</v>
      </c>
      <c r="N115" s="96" t="e">
        <f>VLOOKUP(M115,CAC!$A$2:$B$198,2,FALSE)</f>
        <v>#N/A</v>
      </c>
    </row>
    <row r="116" spans="5:14" x14ac:dyDescent="0.25">
      <c r="E116" s="136">
        <v>201605</v>
      </c>
      <c r="F116" s="138" t="s">
        <v>563</v>
      </c>
      <c r="G116" s="138" t="s">
        <v>369</v>
      </c>
      <c r="H116" s="138" t="s">
        <v>345</v>
      </c>
      <c r="I116" s="139">
        <v>0</v>
      </c>
      <c r="K116" s="96" t="str">
        <f t="shared" si="13"/>
        <v>0003-1009-0011</v>
      </c>
      <c r="L116" s="96" t="str">
        <f>VLOOKUP(K116,COA!$A$3:$B$337,2,FALSE)</f>
        <v>V91</v>
      </c>
      <c r="M116" s="96" t="str">
        <f t="shared" si="14"/>
        <v>V91</v>
      </c>
      <c r="N116" s="96" t="str">
        <f>VLOOKUP(M116,CAC!$A$2:$B$198,2,FALSE)</f>
        <v>PPOMM</v>
      </c>
    </row>
    <row r="117" spans="5:14" x14ac:dyDescent="0.25">
      <c r="E117" s="136">
        <v>201508</v>
      </c>
      <c r="F117" s="138" t="s">
        <v>342</v>
      </c>
      <c r="G117" s="138" t="s">
        <v>343</v>
      </c>
      <c r="H117" s="138" t="s">
        <v>344</v>
      </c>
      <c r="I117" s="139">
        <v>6581.45</v>
      </c>
      <c r="K117" s="96" t="str">
        <f t="shared" si="13"/>
        <v>0031-1000-0012</v>
      </c>
      <c r="L117" s="96" t="str">
        <f>VLOOKUP(K117,COA!$A$3:$B$337,2,FALSE)</f>
        <v>F27</v>
      </c>
      <c r="M117" s="96" t="str">
        <f t="shared" si="14"/>
        <v>F27</v>
      </c>
      <c r="N117" s="96" t="str">
        <f>VLOOKUP(M117,CAC!$A$2:$B$198,2,FALSE)</f>
        <v>HMOFEP</v>
      </c>
    </row>
    <row r="118" spans="5:14" x14ac:dyDescent="0.25">
      <c r="E118" s="136">
        <v>201703</v>
      </c>
      <c r="F118" s="138" t="s">
        <v>345</v>
      </c>
      <c r="G118" s="138" t="s">
        <v>354</v>
      </c>
      <c r="H118" s="138" t="s">
        <v>344</v>
      </c>
      <c r="I118" s="139">
        <v>5657.26</v>
      </c>
      <c r="K118" s="96" t="str">
        <f t="shared" si="13"/>
        <v>0011-1013-0012</v>
      </c>
      <c r="L118" s="96" t="str">
        <f>VLOOKUP(K118,COA!$A$3:$B$337,2,FALSE)</f>
        <v>N20</v>
      </c>
      <c r="M118" s="96" t="str">
        <f t="shared" si="14"/>
        <v>N20</v>
      </c>
      <c r="N118" s="96" t="str">
        <f>VLOOKUP(M118,CAC!$A$2:$B$198,2,FALSE)</f>
        <v>HMOPMR</v>
      </c>
    </row>
    <row r="119" spans="5:14" x14ac:dyDescent="0.25">
      <c r="E119" s="136">
        <v>201609</v>
      </c>
      <c r="F119" s="138" t="s">
        <v>344</v>
      </c>
      <c r="G119" s="138" t="s">
        <v>361</v>
      </c>
      <c r="H119" s="138" t="s">
        <v>344</v>
      </c>
      <c r="I119" s="139">
        <v>9514.85</v>
      </c>
      <c r="K119" s="96" t="str">
        <f t="shared" si="13"/>
        <v>0012-1003-0012</v>
      </c>
      <c r="L119" s="96" t="str">
        <f>VLOOKUP(K119,COA!$A$3:$B$337,2,FALSE)</f>
        <v>N15</v>
      </c>
      <c r="M119" s="96" t="str">
        <f t="shared" si="14"/>
        <v>N15</v>
      </c>
      <c r="N119" s="96" t="str">
        <f>VLOOKUP(M119,CAC!$A$2:$B$198,2,FALSE)</f>
        <v>HMOPMR</v>
      </c>
    </row>
    <row r="120" spans="5:14" x14ac:dyDescent="0.25">
      <c r="E120" s="136">
        <v>201511</v>
      </c>
      <c r="F120" s="138" t="s">
        <v>506</v>
      </c>
      <c r="G120" s="138" t="s">
        <v>361</v>
      </c>
      <c r="H120" s="138" t="s">
        <v>592</v>
      </c>
      <c r="I120" s="139">
        <v>0</v>
      </c>
      <c r="K120" s="96" t="str">
        <f t="shared" si="13"/>
        <v>0013-1003-0035</v>
      </c>
      <c r="L120" s="96" t="str">
        <f>VLOOKUP(K120,COA!$A$3:$B$337,2,FALSE)</f>
        <v>N32</v>
      </c>
      <c r="M120" s="96" t="str">
        <f t="shared" si="14"/>
        <v>N32</v>
      </c>
      <c r="N120" s="96" t="e">
        <f>VLOOKUP(M120,CAC!$A$2:$B$198,2,FALSE)</f>
        <v>#N/A</v>
      </c>
    </row>
    <row r="121" spans="5:14" x14ac:dyDescent="0.25">
      <c r="E121" s="136">
        <v>201604</v>
      </c>
      <c r="F121" s="138" t="s">
        <v>413</v>
      </c>
      <c r="G121" s="138" t="s">
        <v>354</v>
      </c>
      <c r="H121" s="138" t="s">
        <v>344</v>
      </c>
      <c r="I121" s="139">
        <v>0</v>
      </c>
      <c r="K121" s="96" t="str">
        <f t="shared" si="13"/>
        <v>0008-1013-0012</v>
      </c>
      <c r="L121" s="96" t="str">
        <f>VLOOKUP(K121,COA!$A$3:$B$337,2,FALSE)</f>
        <v>C76</v>
      </c>
      <c r="M121" s="96" t="str">
        <f t="shared" si="14"/>
        <v>C76</v>
      </c>
      <c r="N121" s="96" t="str">
        <f>VLOOKUP(M121,CAC!$A$2:$B$198,2,FALSE)</f>
        <v>DOILG</v>
      </c>
    </row>
    <row r="122" spans="5:14" x14ac:dyDescent="0.25">
      <c r="E122" s="136">
        <v>201508</v>
      </c>
      <c r="F122" s="138" t="s">
        <v>563</v>
      </c>
      <c r="G122" s="138" t="s">
        <v>351</v>
      </c>
      <c r="H122" s="138" t="s">
        <v>349</v>
      </c>
      <c r="I122" s="139">
        <v>0</v>
      </c>
      <c r="K122" s="96" t="str">
        <f t="shared" si="13"/>
        <v>0003-0000-0017</v>
      </c>
      <c r="L122" s="96" t="e">
        <f>VLOOKUP(K122,COA!$A$3:$B$337,2,FALSE)</f>
        <v>#N/A</v>
      </c>
      <c r="M122" s="96" t="str">
        <f t="shared" si="14"/>
        <v>XXX</v>
      </c>
      <c r="N122" s="96" t="str">
        <f>VLOOKUP(M122,CAC!$A$2:$B$198,2,FALSE)</f>
        <v>XXX</v>
      </c>
    </row>
    <row r="123" spans="5:14" x14ac:dyDescent="0.25">
      <c r="E123" s="136">
        <v>201602</v>
      </c>
      <c r="F123" s="138" t="s">
        <v>345</v>
      </c>
      <c r="G123" s="138" t="s">
        <v>361</v>
      </c>
      <c r="H123" s="138" t="s">
        <v>344</v>
      </c>
      <c r="I123" s="139">
        <v>4086.63</v>
      </c>
      <c r="K123" s="96" t="str">
        <f t="shared" si="13"/>
        <v>0011-1003-0012</v>
      </c>
      <c r="L123" s="96" t="str">
        <f>VLOOKUP(K123,COA!$A$3:$B$337,2,FALSE)</f>
        <v>N16</v>
      </c>
      <c r="M123" s="96" t="str">
        <f t="shared" si="14"/>
        <v>N16</v>
      </c>
      <c r="N123" s="96" t="str">
        <f>VLOOKUP(M123,CAC!$A$2:$B$198,2,FALSE)</f>
        <v>HMOPMR</v>
      </c>
    </row>
    <row r="124" spans="5:14" x14ac:dyDescent="0.25">
      <c r="E124" s="136">
        <v>201601</v>
      </c>
      <c r="F124" s="138" t="s">
        <v>563</v>
      </c>
      <c r="G124" s="138" t="s">
        <v>348</v>
      </c>
      <c r="H124" s="138" t="s">
        <v>358</v>
      </c>
      <c r="I124" s="139">
        <v>0</v>
      </c>
      <c r="K124" s="96" t="str">
        <f t="shared" si="13"/>
        <v>0003-1010-0024</v>
      </c>
      <c r="L124" s="96" t="str">
        <f>VLOOKUP(K124,COA!$A$3:$B$337,2,FALSE)</f>
        <v>S56</v>
      </c>
      <c r="M124" s="96" t="str">
        <f t="shared" si="14"/>
        <v>S56</v>
      </c>
      <c r="N124" s="96" t="str">
        <f>VLOOKUP(M124,CAC!$A$2:$B$198,2,FALSE)</f>
        <v>PPOSG</v>
      </c>
    </row>
    <row r="125" spans="5:14" x14ac:dyDescent="0.25">
      <c r="E125" s="136">
        <v>201505</v>
      </c>
      <c r="F125" s="138" t="s">
        <v>746</v>
      </c>
      <c r="G125" s="138" t="s">
        <v>354</v>
      </c>
      <c r="H125" s="138" t="s">
        <v>344</v>
      </c>
      <c r="I125" s="139">
        <v>79</v>
      </c>
      <c r="K125" s="96" t="str">
        <f t="shared" si="13"/>
        <v>0016-1013-0012</v>
      </c>
      <c r="L125" s="96" t="str">
        <f>VLOOKUP(K125,COA!$A$3:$B$337,2,FALSE)</f>
        <v>R19</v>
      </c>
      <c r="M125" s="96" t="str">
        <f t="shared" si="14"/>
        <v>R19</v>
      </c>
      <c r="N125" s="96" t="str">
        <f>VLOOKUP(M125,CAC!$A$2:$B$198,2,FALSE)</f>
        <v>HMOMG</v>
      </c>
    </row>
    <row r="126" spans="5:14" x14ac:dyDescent="0.25">
      <c r="E126" s="136">
        <v>201710</v>
      </c>
      <c r="F126" s="138" t="s">
        <v>746</v>
      </c>
      <c r="G126" s="138" t="s">
        <v>350</v>
      </c>
      <c r="H126" s="138" t="s">
        <v>344</v>
      </c>
      <c r="I126" s="139">
        <v>3</v>
      </c>
      <c r="K126" s="96" t="str">
        <f t="shared" si="13"/>
        <v>0016-1012-0012</v>
      </c>
      <c r="L126" s="96" t="str">
        <f>VLOOKUP(K126,COA!$A$3:$B$337,2,FALSE)</f>
        <v>R19</v>
      </c>
      <c r="M126" s="96" t="str">
        <f t="shared" si="14"/>
        <v>R19</v>
      </c>
      <c r="N126" s="96" t="str">
        <f>VLOOKUP(M126,CAC!$A$2:$B$198,2,FALSE)</f>
        <v>HMOMG</v>
      </c>
    </row>
    <row r="127" spans="5:14" x14ac:dyDescent="0.25">
      <c r="E127" s="136">
        <v>201710</v>
      </c>
      <c r="F127" s="138" t="s">
        <v>563</v>
      </c>
      <c r="G127" s="138" t="s">
        <v>359</v>
      </c>
      <c r="H127" s="138" t="s">
        <v>344</v>
      </c>
      <c r="I127" s="139">
        <v>0</v>
      </c>
      <c r="K127" s="96" t="str">
        <f t="shared" si="13"/>
        <v>0003-1005-0012</v>
      </c>
      <c r="L127" s="96" t="str">
        <f>VLOOKUP(K127,COA!$A$3:$B$337,2,FALSE)</f>
        <v>N51</v>
      </c>
      <c r="M127" s="96" t="str">
        <f t="shared" si="14"/>
        <v>N51</v>
      </c>
      <c r="N127" s="96" t="str">
        <f>VLOOKUP(M127,CAC!$A$2:$B$198,2,FALSE)</f>
        <v>PPOLG</v>
      </c>
    </row>
    <row r="128" spans="5:14" x14ac:dyDescent="0.25">
      <c r="E128" s="136">
        <v>201708</v>
      </c>
      <c r="F128" s="138" t="s">
        <v>345</v>
      </c>
      <c r="G128" s="138" t="s">
        <v>346</v>
      </c>
      <c r="H128" s="138" t="s">
        <v>360</v>
      </c>
      <c r="I128" s="139">
        <v>324</v>
      </c>
      <c r="K128" s="96" t="str">
        <f t="shared" si="13"/>
        <v>0011-1014-0048</v>
      </c>
      <c r="L128" s="96" t="str">
        <f>VLOOKUP(K128,COA!$A$3:$B$337,2,FALSE)</f>
        <v>K23</v>
      </c>
      <c r="M128" s="96" t="str">
        <f t="shared" si="14"/>
        <v>K23</v>
      </c>
      <c r="N128" s="96" t="str">
        <f>VLOOKUP(M128,CAC!$A$2:$B$198,2,FALSE)</f>
        <v>HMFLEX</v>
      </c>
    </row>
    <row r="129" spans="5:14" x14ac:dyDescent="0.25">
      <c r="E129" s="136">
        <v>201610</v>
      </c>
      <c r="F129" s="138" t="s">
        <v>552</v>
      </c>
      <c r="G129" s="138" t="s">
        <v>356</v>
      </c>
      <c r="H129" s="138" t="s">
        <v>672</v>
      </c>
      <c r="I129" s="139">
        <v>0</v>
      </c>
      <c r="K129" s="96" t="str">
        <f t="shared" si="13"/>
        <v>0027-1002-0058</v>
      </c>
      <c r="L129" s="96" t="str">
        <f>VLOOKUP(K129,COA!$A$3:$B$337,2,FALSE)</f>
        <v>L45</v>
      </c>
      <c r="M129" s="96" t="str">
        <f t="shared" si="14"/>
        <v>L45</v>
      </c>
      <c r="N129" s="96" t="e">
        <f>VLOOKUP(M129,CAC!$A$2:$B$198,2,FALSE)</f>
        <v>#N/A</v>
      </c>
    </row>
    <row r="130" spans="5:14" x14ac:dyDescent="0.25">
      <c r="E130" s="136">
        <v>201702</v>
      </c>
      <c r="F130" s="138" t="s">
        <v>746</v>
      </c>
      <c r="G130" s="138" t="s">
        <v>350</v>
      </c>
      <c r="H130" s="138" t="s">
        <v>344</v>
      </c>
      <c r="I130" s="139">
        <v>24</v>
      </c>
      <c r="K130" s="96" t="str">
        <f t="shared" si="13"/>
        <v>0016-1012-0012</v>
      </c>
      <c r="L130" s="96" t="str">
        <f>VLOOKUP(K130,COA!$A$3:$B$337,2,FALSE)</f>
        <v>R19</v>
      </c>
      <c r="M130" s="96" t="str">
        <f t="shared" si="14"/>
        <v>R19</v>
      </c>
      <c r="N130" s="96" t="str">
        <f>VLOOKUP(M130,CAC!$A$2:$B$198,2,FALSE)</f>
        <v>HMOMG</v>
      </c>
    </row>
    <row r="131" spans="5:14" x14ac:dyDescent="0.25">
      <c r="E131" s="136">
        <v>201503</v>
      </c>
      <c r="F131" s="138" t="s">
        <v>345</v>
      </c>
      <c r="G131" s="138" t="s">
        <v>351</v>
      </c>
      <c r="H131" s="138" t="s">
        <v>353</v>
      </c>
      <c r="I131" s="139">
        <v>1</v>
      </c>
      <c r="K131" s="96" t="str">
        <f t="shared" ref="K131:K194" si="15">F131&amp;"-"&amp;G131&amp;"-"&amp;H131</f>
        <v>0011-0000-0023</v>
      </c>
      <c r="L131" s="96" t="e">
        <f>VLOOKUP(K131,COA!$A$3:$B$337,2,FALSE)</f>
        <v>#N/A</v>
      </c>
      <c r="M131" s="96" t="str">
        <f t="shared" si="14"/>
        <v>XXX</v>
      </c>
      <c r="N131" s="96" t="str">
        <f>VLOOKUP(M131,CAC!$A$2:$B$198,2,FALSE)</f>
        <v>XXX</v>
      </c>
    </row>
    <row r="132" spans="5:14" x14ac:dyDescent="0.25">
      <c r="E132" s="136">
        <v>201702</v>
      </c>
      <c r="F132" s="138" t="s">
        <v>563</v>
      </c>
      <c r="G132" s="138" t="s">
        <v>365</v>
      </c>
      <c r="H132" s="138" t="s">
        <v>798</v>
      </c>
      <c r="I132" s="139">
        <v>0</v>
      </c>
      <c r="K132" s="96" t="str">
        <f t="shared" si="15"/>
        <v>0003-1001-0065</v>
      </c>
      <c r="L132" s="96" t="str">
        <f>VLOOKUP(K132,COA!$A$3:$B$337,2,FALSE)</f>
        <v>V55</v>
      </c>
      <c r="M132" s="96" t="str">
        <f t="shared" ref="M132:M195" si="16">IF(ISNA(L132),"XXX",L132)</f>
        <v>V55</v>
      </c>
      <c r="N132" s="96" t="e">
        <f>VLOOKUP(M132,CAC!$A$2:$B$198,2,FALSE)</f>
        <v>#N/A</v>
      </c>
    </row>
    <row r="133" spans="5:14" x14ac:dyDescent="0.25">
      <c r="E133" s="136">
        <v>201705</v>
      </c>
      <c r="F133" s="138" t="s">
        <v>345</v>
      </c>
      <c r="G133" s="138" t="s">
        <v>365</v>
      </c>
      <c r="H133" s="138" t="s">
        <v>366</v>
      </c>
      <c r="I133" s="139">
        <v>1225.1600000000001</v>
      </c>
      <c r="K133" s="96" t="str">
        <f t="shared" si="15"/>
        <v>0011-1001-0021</v>
      </c>
      <c r="L133" s="96" t="str">
        <f>VLOOKUP(K133,COA!$A$3:$B$337,2,FALSE)</f>
        <v>V13</v>
      </c>
      <c r="M133" s="96" t="str">
        <f t="shared" si="16"/>
        <v>V13</v>
      </c>
      <c r="N133" s="96" t="str">
        <f>VLOOKUP(M133,CAC!$A$2:$B$198,2,FALSE)</f>
        <v>HMOIFP</v>
      </c>
    </row>
    <row r="134" spans="5:14" x14ac:dyDescent="0.25">
      <c r="E134" s="136">
        <v>201510</v>
      </c>
      <c r="F134" s="138" t="s">
        <v>563</v>
      </c>
      <c r="G134" s="138" t="s">
        <v>361</v>
      </c>
      <c r="H134" s="138" t="s">
        <v>344</v>
      </c>
      <c r="I134" s="139">
        <v>0</v>
      </c>
      <c r="K134" s="96" t="str">
        <f t="shared" si="15"/>
        <v>0003-1003-0012</v>
      </c>
      <c r="L134" s="96" t="str">
        <f>VLOOKUP(K134,COA!$A$3:$B$337,2,FALSE)</f>
        <v>N61</v>
      </c>
      <c r="M134" s="96" t="str">
        <f t="shared" si="16"/>
        <v>N61</v>
      </c>
      <c r="N134" s="96" t="str">
        <f>VLOOKUP(M134,CAC!$A$2:$B$198,2,FALSE)</f>
        <v>PPOPMR</v>
      </c>
    </row>
    <row r="135" spans="5:14" x14ac:dyDescent="0.25">
      <c r="E135" s="136">
        <v>201703</v>
      </c>
      <c r="F135" s="138" t="s">
        <v>506</v>
      </c>
      <c r="G135" s="138" t="s">
        <v>350</v>
      </c>
      <c r="H135" s="138" t="s">
        <v>592</v>
      </c>
      <c r="I135" s="139">
        <v>0</v>
      </c>
      <c r="K135" s="96" t="str">
        <f t="shared" si="15"/>
        <v>0013-1012-0035</v>
      </c>
      <c r="L135" s="96" t="str">
        <f>VLOOKUP(K135,COA!$A$3:$B$337,2,FALSE)</f>
        <v>K41</v>
      </c>
      <c r="M135" s="96" t="str">
        <f t="shared" si="16"/>
        <v>K41</v>
      </c>
      <c r="N135" s="96" t="e">
        <f>VLOOKUP(M135,CAC!$A$2:$B$198,2,FALSE)</f>
        <v>#N/A</v>
      </c>
    </row>
    <row r="136" spans="5:14" x14ac:dyDescent="0.25">
      <c r="E136" s="136">
        <v>201706</v>
      </c>
      <c r="F136" s="138" t="s">
        <v>563</v>
      </c>
      <c r="G136" s="138" t="s">
        <v>356</v>
      </c>
      <c r="H136" s="138" t="s">
        <v>344</v>
      </c>
      <c r="I136" s="139">
        <v>0</v>
      </c>
      <c r="K136" s="96" t="str">
        <f t="shared" si="15"/>
        <v>0003-1002-0012</v>
      </c>
      <c r="L136" s="96" t="str">
        <f>VLOOKUP(K136,COA!$A$3:$B$337,2,FALSE)</f>
        <v>F61</v>
      </c>
      <c r="M136" s="96" t="str">
        <f t="shared" si="16"/>
        <v>F61</v>
      </c>
      <c r="N136" s="96" t="str">
        <f>VLOOKUP(M136,CAC!$A$2:$B$198,2,FALSE)</f>
        <v>PPOPMR</v>
      </c>
    </row>
    <row r="137" spans="5:14" x14ac:dyDescent="0.25">
      <c r="E137" s="136">
        <v>201507</v>
      </c>
      <c r="F137" s="138" t="s">
        <v>563</v>
      </c>
      <c r="G137" s="138" t="s">
        <v>365</v>
      </c>
      <c r="H137" s="138" t="s">
        <v>367</v>
      </c>
      <c r="I137" s="139">
        <v>0</v>
      </c>
      <c r="K137" s="96" t="str">
        <f t="shared" si="15"/>
        <v>0003-1001-0022</v>
      </c>
      <c r="L137" s="96" t="str">
        <f>VLOOKUP(K137,COA!$A$3:$B$337,2,FALSE)</f>
        <v>V54</v>
      </c>
      <c r="M137" s="96" t="str">
        <f t="shared" si="16"/>
        <v>V54</v>
      </c>
      <c r="N137" s="96" t="str">
        <f>VLOOKUP(M137,CAC!$A$2:$B$198,2,FALSE)</f>
        <v>PPOIFP</v>
      </c>
    </row>
    <row r="138" spans="5:14" x14ac:dyDescent="0.25">
      <c r="E138" s="136">
        <v>201701</v>
      </c>
      <c r="F138" s="138" t="s">
        <v>563</v>
      </c>
      <c r="G138" s="138" t="s">
        <v>359</v>
      </c>
      <c r="H138" s="138" t="s">
        <v>344</v>
      </c>
      <c r="I138" s="139">
        <v>0</v>
      </c>
      <c r="K138" s="96" t="str">
        <f t="shared" si="15"/>
        <v>0003-1005-0012</v>
      </c>
      <c r="L138" s="96" t="str">
        <f>VLOOKUP(K138,COA!$A$3:$B$337,2,FALSE)</f>
        <v>N51</v>
      </c>
      <c r="M138" s="96" t="str">
        <f t="shared" si="16"/>
        <v>N51</v>
      </c>
      <c r="N138" s="96" t="str">
        <f>VLOOKUP(M138,CAC!$A$2:$B$198,2,FALSE)</f>
        <v>PPOLG</v>
      </c>
    </row>
    <row r="139" spans="5:14" x14ac:dyDescent="0.25">
      <c r="E139" s="136">
        <v>201706</v>
      </c>
      <c r="F139" s="138" t="s">
        <v>506</v>
      </c>
      <c r="G139" s="138" t="s">
        <v>354</v>
      </c>
      <c r="H139" s="138" t="s">
        <v>592</v>
      </c>
      <c r="I139" s="139">
        <v>0</v>
      </c>
      <c r="K139" s="96" t="str">
        <f t="shared" si="15"/>
        <v>0013-1013-0035</v>
      </c>
      <c r="L139" s="96" t="str">
        <f>VLOOKUP(K139,COA!$A$3:$B$337,2,FALSE)</f>
        <v>N44</v>
      </c>
      <c r="M139" s="96" t="str">
        <f t="shared" si="16"/>
        <v>N44</v>
      </c>
      <c r="N139" s="96" t="e">
        <f>VLOOKUP(M139,CAC!$A$2:$B$198,2,FALSE)</f>
        <v>#N/A</v>
      </c>
    </row>
    <row r="140" spans="5:14" x14ac:dyDescent="0.25">
      <c r="E140" s="136">
        <v>201507</v>
      </c>
      <c r="F140" s="138" t="s">
        <v>506</v>
      </c>
      <c r="G140" s="138" t="s">
        <v>352</v>
      </c>
      <c r="H140" s="138" t="s">
        <v>592</v>
      </c>
      <c r="I140" s="139">
        <v>0</v>
      </c>
      <c r="K140" s="96" t="str">
        <f t="shared" si="15"/>
        <v>0013-1004-0035</v>
      </c>
      <c r="L140" s="96" t="str">
        <f>VLOOKUP(K140,COA!$A$3:$B$337,2,FALSE)</f>
        <v>L41</v>
      </c>
      <c r="M140" s="96" t="str">
        <f t="shared" si="16"/>
        <v>L41</v>
      </c>
      <c r="N140" s="96" t="e">
        <f>VLOOKUP(M140,CAC!$A$2:$B$198,2,FALSE)</f>
        <v>#N/A</v>
      </c>
    </row>
    <row r="141" spans="5:14" x14ac:dyDescent="0.25">
      <c r="E141" s="136">
        <v>201706</v>
      </c>
      <c r="F141" s="138" t="s">
        <v>746</v>
      </c>
      <c r="G141" s="138" t="s">
        <v>356</v>
      </c>
      <c r="H141" s="138" t="s">
        <v>344</v>
      </c>
      <c r="I141" s="139">
        <v>138</v>
      </c>
      <c r="K141" s="96" t="str">
        <f t="shared" si="15"/>
        <v>0016-1002-0012</v>
      </c>
      <c r="L141" s="96" t="str">
        <f>VLOOKUP(K141,COA!$A$3:$B$337,2,FALSE)</f>
        <v>R18</v>
      </c>
      <c r="M141" s="96" t="str">
        <f t="shared" si="16"/>
        <v>R18</v>
      </c>
      <c r="N141" s="96" t="str">
        <f>VLOOKUP(M141,CAC!$A$2:$B$198,2,FALSE)</f>
        <v>HMOMG</v>
      </c>
    </row>
    <row r="142" spans="5:14" x14ac:dyDescent="0.25">
      <c r="E142" s="136">
        <v>201608</v>
      </c>
      <c r="F142" s="138" t="s">
        <v>345</v>
      </c>
      <c r="G142" s="138" t="s">
        <v>351</v>
      </c>
      <c r="H142" s="138" t="s">
        <v>349</v>
      </c>
      <c r="I142" s="139">
        <v>0</v>
      </c>
      <c r="K142" s="96" t="str">
        <f t="shared" si="15"/>
        <v>0011-0000-0017</v>
      </c>
      <c r="L142" s="96" t="e">
        <f>VLOOKUP(K142,COA!$A$3:$B$337,2,FALSE)</f>
        <v>#N/A</v>
      </c>
      <c r="M142" s="96" t="str">
        <f t="shared" si="16"/>
        <v>XXX</v>
      </c>
      <c r="N142" s="96" t="str">
        <f>VLOOKUP(M142,CAC!$A$2:$B$198,2,FALSE)</f>
        <v>XXX</v>
      </c>
    </row>
    <row r="143" spans="5:14" x14ac:dyDescent="0.25">
      <c r="E143" s="136">
        <v>201705</v>
      </c>
      <c r="F143" s="138" t="s">
        <v>345</v>
      </c>
      <c r="G143" s="138" t="s">
        <v>348</v>
      </c>
      <c r="H143" s="138" t="s">
        <v>349</v>
      </c>
      <c r="I143" s="139">
        <v>26395.26</v>
      </c>
      <c r="K143" s="96" t="str">
        <f t="shared" si="15"/>
        <v>0011-1010-0017</v>
      </c>
      <c r="L143" s="96" t="str">
        <f>VLOOKUP(K143,COA!$A$3:$B$337,2,FALSE)</f>
        <v>S11</v>
      </c>
      <c r="M143" s="96" t="str">
        <f t="shared" si="16"/>
        <v>S11</v>
      </c>
      <c r="N143" s="96" t="str">
        <f>VLOOKUP(M143,CAC!$A$2:$B$198,2,FALSE)</f>
        <v>HMOSG</v>
      </c>
    </row>
    <row r="144" spans="5:14" x14ac:dyDescent="0.25">
      <c r="E144" s="136">
        <v>201609</v>
      </c>
      <c r="F144" s="138" t="s">
        <v>563</v>
      </c>
      <c r="G144" s="138" t="s">
        <v>359</v>
      </c>
      <c r="H144" s="138" t="s">
        <v>344</v>
      </c>
      <c r="I144" s="139">
        <v>0</v>
      </c>
      <c r="K144" s="96" t="str">
        <f t="shared" si="15"/>
        <v>0003-1005-0012</v>
      </c>
      <c r="L144" s="96" t="str">
        <f>VLOOKUP(K144,COA!$A$3:$B$337,2,FALSE)</f>
        <v>N51</v>
      </c>
      <c r="M144" s="96" t="str">
        <f t="shared" si="16"/>
        <v>N51</v>
      </c>
      <c r="N144" s="96" t="str">
        <f>VLOOKUP(M144,CAC!$A$2:$B$198,2,FALSE)</f>
        <v>PPOLG</v>
      </c>
    </row>
    <row r="145" spans="5:14" x14ac:dyDescent="0.25">
      <c r="E145" s="136">
        <v>201704</v>
      </c>
      <c r="F145" s="138" t="s">
        <v>344</v>
      </c>
      <c r="G145" s="138" t="s">
        <v>352</v>
      </c>
      <c r="H145" s="138" t="s">
        <v>344</v>
      </c>
      <c r="I145" s="139">
        <v>907</v>
      </c>
      <c r="K145" s="96" t="str">
        <f t="shared" si="15"/>
        <v>0012-1004-0012</v>
      </c>
      <c r="L145" s="96" t="str">
        <f>VLOOKUP(K145,COA!$A$3:$B$337,2,FALSE)</f>
        <v>L12</v>
      </c>
      <c r="M145" s="96" t="str">
        <f t="shared" si="16"/>
        <v>L12</v>
      </c>
      <c r="N145" s="96" t="str">
        <f>VLOOKUP(M145,CAC!$A$2:$B$198,2,FALSE)</f>
        <v>HMOLG</v>
      </c>
    </row>
    <row r="146" spans="5:14" x14ac:dyDescent="0.25">
      <c r="E146" s="136">
        <v>201702</v>
      </c>
      <c r="F146" s="138" t="s">
        <v>345</v>
      </c>
      <c r="G146" s="138" t="s">
        <v>346</v>
      </c>
      <c r="H146" s="138" t="s">
        <v>360</v>
      </c>
      <c r="I146" s="139">
        <v>336</v>
      </c>
      <c r="K146" s="96" t="str">
        <f t="shared" si="15"/>
        <v>0011-1014-0048</v>
      </c>
      <c r="L146" s="96" t="str">
        <f>VLOOKUP(K146,COA!$A$3:$B$337,2,FALSE)</f>
        <v>K23</v>
      </c>
      <c r="M146" s="96" t="str">
        <f t="shared" si="16"/>
        <v>K23</v>
      </c>
      <c r="N146" s="96" t="str">
        <f>VLOOKUP(M146,CAC!$A$2:$B$198,2,FALSE)</f>
        <v>HMFLEX</v>
      </c>
    </row>
    <row r="147" spans="5:14" x14ac:dyDescent="0.25">
      <c r="E147" s="136">
        <v>201706</v>
      </c>
      <c r="F147" s="138" t="s">
        <v>746</v>
      </c>
      <c r="G147" s="138" t="s">
        <v>356</v>
      </c>
      <c r="H147" s="138" t="s">
        <v>764</v>
      </c>
      <c r="I147" s="139">
        <v>637</v>
      </c>
      <c r="K147" s="96" t="str">
        <f t="shared" si="15"/>
        <v>0016-1002-0064</v>
      </c>
      <c r="L147" s="96" t="str">
        <f>VLOOKUP(K147,COA!$A$3:$B$337,2,FALSE)</f>
        <v>R25</v>
      </c>
      <c r="M147" s="96" t="str">
        <f t="shared" si="16"/>
        <v>R25</v>
      </c>
      <c r="N147" s="96" t="str">
        <f>VLOOKUP(M147,CAC!$A$2:$B$198,2,FALSE)</f>
        <v>HMOMG</v>
      </c>
    </row>
    <row r="148" spans="5:14" x14ac:dyDescent="0.25">
      <c r="E148" s="136">
        <v>201605</v>
      </c>
      <c r="F148" s="138" t="s">
        <v>552</v>
      </c>
      <c r="G148" s="138" t="s">
        <v>356</v>
      </c>
      <c r="H148" s="138" t="s">
        <v>672</v>
      </c>
      <c r="I148" s="139">
        <v>0</v>
      </c>
      <c r="K148" s="96" t="str">
        <f t="shared" si="15"/>
        <v>0027-1002-0058</v>
      </c>
      <c r="L148" s="96" t="str">
        <f>VLOOKUP(K148,COA!$A$3:$B$337,2,FALSE)</f>
        <v>L45</v>
      </c>
      <c r="M148" s="96" t="str">
        <f t="shared" si="16"/>
        <v>L45</v>
      </c>
      <c r="N148" s="96" t="e">
        <f>VLOOKUP(M148,CAC!$A$2:$B$198,2,FALSE)</f>
        <v>#N/A</v>
      </c>
    </row>
    <row r="149" spans="5:14" x14ac:dyDescent="0.25">
      <c r="E149" s="136">
        <v>201706</v>
      </c>
      <c r="F149" s="138" t="s">
        <v>563</v>
      </c>
      <c r="G149" s="138" t="s">
        <v>350</v>
      </c>
      <c r="H149" s="138" t="s">
        <v>626</v>
      </c>
      <c r="I149" s="139">
        <v>0</v>
      </c>
      <c r="K149" s="96" t="str">
        <f t="shared" si="15"/>
        <v>0003-1012-0057</v>
      </c>
      <c r="L149" s="96" t="str">
        <f>VLOOKUP(K149,COA!$A$3:$B$337,2,FALSE)</f>
        <v>K51</v>
      </c>
      <c r="M149" s="96" t="str">
        <f t="shared" si="16"/>
        <v>K51</v>
      </c>
      <c r="N149" s="96" t="str">
        <f>VLOOKUP(M149,CAC!$A$2:$B$198,2,FALSE)</f>
        <v>PPOPMR</v>
      </c>
    </row>
    <row r="150" spans="5:14" x14ac:dyDescent="0.25">
      <c r="E150" s="136">
        <v>201710</v>
      </c>
      <c r="F150" s="138" t="s">
        <v>345</v>
      </c>
      <c r="G150" s="138" t="s">
        <v>362</v>
      </c>
      <c r="H150" s="138" t="s">
        <v>364</v>
      </c>
      <c r="I150" s="139">
        <v>46791.07</v>
      </c>
      <c r="K150" s="96" t="str">
        <f t="shared" si="15"/>
        <v>0011-1008-0037</v>
      </c>
      <c r="L150" s="96" t="str">
        <f>VLOOKUP(K150,COA!$A$3:$B$337,2,FALSE)</f>
        <v>P12</v>
      </c>
      <c r="M150" s="96" t="str">
        <f t="shared" si="16"/>
        <v>P12</v>
      </c>
      <c r="N150" s="96" t="str">
        <f>VLOOKUP(M150,CAC!$A$2:$B$198,2,FALSE)</f>
        <v>HMOPERA</v>
      </c>
    </row>
    <row r="151" spans="5:14" x14ac:dyDescent="0.25">
      <c r="E151" s="136">
        <v>201512</v>
      </c>
      <c r="F151" s="138" t="s">
        <v>563</v>
      </c>
      <c r="G151" s="138" t="s">
        <v>352</v>
      </c>
      <c r="H151" s="138" t="s">
        <v>344</v>
      </c>
      <c r="I151" s="139">
        <v>0</v>
      </c>
      <c r="K151" s="96" t="str">
        <f t="shared" si="15"/>
        <v>0003-1004-0012</v>
      </c>
      <c r="L151" s="96" t="str">
        <f>VLOOKUP(K151,COA!$A$3:$B$337,2,FALSE)</f>
        <v>L51</v>
      </c>
      <c r="M151" s="96" t="str">
        <f t="shared" si="16"/>
        <v>L51</v>
      </c>
      <c r="N151" s="96" t="str">
        <f>VLOOKUP(M151,CAC!$A$2:$B$198,2,FALSE)</f>
        <v>PPOLG</v>
      </c>
    </row>
    <row r="152" spans="5:14" x14ac:dyDescent="0.25">
      <c r="E152" s="136">
        <v>201504</v>
      </c>
      <c r="F152" s="138" t="s">
        <v>345</v>
      </c>
      <c r="G152" s="138" t="s">
        <v>355</v>
      </c>
      <c r="H152" s="138" t="s">
        <v>344</v>
      </c>
      <c r="I152" s="139">
        <v>23675.84</v>
      </c>
      <c r="K152" s="96" t="str">
        <f t="shared" si="15"/>
        <v>0011-1006-0012</v>
      </c>
      <c r="L152" s="96" t="str">
        <f>VLOOKUP(K152,COA!$A$3:$B$337,2,FALSE)</f>
        <v>L13</v>
      </c>
      <c r="M152" s="96" t="str">
        <f t="shared" si="16"/>
        <v>L13</v>
      </c>
      <c r="N152" s="96" t="str">
        <f>VLOOKUP(M152,CAC!$A$2:$B$198,2,FALSE)</f>
        <v>HMOLG</v>
      </c>
    </row>
    <row r="153" spans="5:14" x14ac:dyDescent="0.25">
      <c r="E153" s="136">
        <v>201704</v>
      </c>
      <c r="F153" s="138" t="s">
        <v>345</v>
      </c>
      <c r="G153" s="138" t="s">
        <v>354</v>
      </c>
      <c r="H153" s="138" t="s">
        <v>344</v>
      </c>
      <c r="I153" s="139">
        <v>5646.07</v>
      </c>
      <c r="K153" s="96" t="str">
        <f t="shared" si="15"/>
        <v>0011-1013-0012</v>
      </c>
      <c r="L153" s="96" t="str">
        <f>VLOOKUP(K153,COA!$A$3:$B$337,2,FALSE)</f>
        <v>N20</v>
      </c>
      <c r="M153" s="96" t="str">
        <f t="shared" si="16"/>
        <v>N20</v>
      </c>
      <c r="N153" s="96" t="str">
        <f>VLOOKUP(M153,CAC!$A$2:$B$198,2,FALSE)</f>
        <v>HMOPMR</v>
      </c>
    </row>
    <row r="154" spans="5:14" x14ac:dyDescent="0.25">
      <c r="E154" s="136">
        <v>201608</v>
      </c>
      <c r="F154" s="138" t="s">
        <v>413</v>
      </c>
      <c r="G154" s="138" t="s">
        <v>355</v>
      </c>
      <c r="H154" s="138" t="s">
        <v>344</v>
      </c>
      <c r="I154" s="139">
        <v>0</v>
      </c>
      <c r="K154" s="96" t="str">
        <f t="shared" si="15"/>
        <v>0008-1006-0012</v>
      </c>
      <c r="L154" s="96" t="str">
        <f>VLOOKUP(K154,COA!$A$3:$B$337,2,FALSE)</f>
        <v>C96</v>
      </c>
      <c r="M154" s="96" t="str">
        <f t="shared" si="16"/>
        <v>C96</v>
      </c>
      <c r="N154" s="96" t="str">
        <f>VLOOKUP(M154,CAC!$A$2:$B$198,2,FALSE)</f>
        <v>DOILG</v>
      </c>
    </row>
    <row r="155" spans="5:14" x14ac:dyDescent="0.25">
      <c r="E155" s="136">
        <v>201508</v>
      </c>
      <c r="F155" s="138" t="s">
        <v>345</v>
      </c>
      <c r="G155" s="138" t="s">
        <v>351</v>
      </c>
      <c r="H155" s="138" t="s">
        <v>353</v>
      </c>
      <c r="I155" s="139">
        <v>1</v>
      </c>
      <c r="K155" s="96" t="str">
        <f t="shared" si="15"/>
        <v>0011-0000-0023</v>
      </c>
      <c r="L155" s="96" t="e">
        <f>VLOOKUP(K155,COA!$A$3:$B$337,2,FALSE)</f>
        <v>#N/A</v>
      </c>
      <c r="M155" s="96" t="str">
        <f t="shared" si="16"/>
        <v>XXX</v>
      </c>
      <c r="N155" s="96" t="str">
        <f>VLOOKUP(M155,CAC!$A$2:$B$198,2,FALSE)</f>
        <v>XXX</v>
      </c>
    </row>
    <row r="156" spans="5:14" x14ac:dyDescent="0.25">
      <c r="E156" s="136">
        <v>201801</v>
      </c>
      <c r="F156" s="138" t="s">
        <v>345</v>
      </c>
      <c r="G156" s="138" t="s">
        <v>348</v>
      </c>
      <c r="H156" s="138" t="s">
        <v>353</v>
      </c>
      <c r="I156" s="139">
        <v>742</v>
      </c>
      <c r="K156" s="96" t="str">
        <f t="shared" si="15"/>
        <v>0011-1010-0023</v>
      </c>
      <c r="L156" s="96" t="str">
        <f>VLOOKUP(K156,COA!$A$3:$B$337,2,FALSE)</f>
        <v>S13</v>
      </c>
      <c r="M156" s="96" t="str">
        <f t="shared" si="16"/>
        <v>S13</v>
      </c>
      <c r="N156" s="96" t="str">
        <f>VLOOKUP(M156,CAC!$A$2:$B$198,2,FALSE)</f>
        <v>HMOSG</v>
      </c>
    </row>
    <row r="157" spans="5:14" x14ac:dyDescent="0.25">
      <c r="E157" s="136">
        <v>201706</v>
      </c>
      <c r="F157" s="138" t="s">
        <v>345</v>
      </c>
      <c r="G157" s="138" t="s">
        <v>348</v>
      </c>
      <c r="H157" s="138" t="s">
        <v>358</v>
      </c>
      <c r="I157" s="139">
        <v>102</v>
      </c>
      <c r="K157" s="96" t="str">
        <f t="shared" si="15"/>
        <v>0011-1010-0024</v>
      </c>
      <c r="L157" s="96" t="str">
        <f>VLOOKUP(K157,COA!$A$3:$B$337,2,FALSE)</f>
        <v>S14</v>
      </c>
      <c r="M157" s="96" t="str">
        <f t="shared" si="16"/>
        <v>S14</v>
      </c>
      <c r="N157" s="96" t="str">
        <f>VLOOKUP(M157,CAC!$A$2:$B$198,2,FALSE)</f>
        <v>HMOSG</v>
      </c>
    </row>
    <row r="158" spans="5:14" x14ac:dyDescent="0.25">
      <c r="E158" s="136">
        <v>201509</v>
      </c>
      <c r="F158" s="138" t="s">
        <v>746</v>
      </c>
      <c r="G158" s="138" t="s">
        <v>350</v>
      </c>
      <c r="H158" s="138" t="s">
        <v>344</v>
      </c>
      <c r="I158" s="139">
        <v>64</v>
      </c>
      <c r="K158" s="96" t="str">
        <f t="shared" si="15"/>
        <v>0016-1012-0012</v>
      </c>
      <c r="L158" s="96" t="str">
        <f>VLOOKUP(K158,COA!$A$3:$B$337,2,FALSE)</f>
        <v>R19</v>
      </c>
      <c r="M158" s="96" t="str">
        <f t="shared" si="16"/>
        <v>R19</v>
      </c>
      <c r="N158" s="96" t="str">
        <f>VLOOKUP(M158,CAC!$A$2:$B$198,2,FALSE)</f>
        <v>HMOMG</v>
      </c>
    </row>
    <row r="159" spans="5:14" x14ac:dyDescent="0.25">
      <c r="E159" s="136">
        <v>201505</v>
      </c>
      <c r="F159" s="138" t="s">
        <v>344</v>
      </c>
      <c r="G159" s="138" t="s">
        <v>359</v>
      </c>
      <c r="H159" s="138" t="s">
        <v>344</v>
      </c>
      <c r="I159" s="139">
        <v>70</v>
      </c>
      <c r="K159" s="96" t="str">
        <f t="shared" si="15"/>
        <v>0012-1005-0012</v>
      </c>
      <c r="L159" s="96" t="str">
        <f>VLOOKUP(K159,COA!$A$3:$B$337,2,FALSE)</f>
        <v>N13</v>
      </c>
      <c r="M159" s="96" t="str">
        <f t="shared" si="16"/>
        <v>N13</v>
      </c>
      <c r="N159" s="96" t="str">
        <f>VLOOKUP(M159,CAC!$A$2:$B$198,2,FALSE)</f>
        <v>HMOLG</v>
      </c>
    </row>
    <row r="160" spans="5:14" x14ac:dyDescent="0.25">
      <c r="E160" s="136">
        <v>201608</v>
      </c>
      <c r="F160" s="138" t="s">
        <v>345</v>
      </c>
      <c r="G160" s="138" t="s">
        <v>355</v>
      </c>
      <c r="H160" s="138" t="s">
        <v>344</v>
      </c>
      <c r="I160" s="139">
        <v>22492.73</v>
      </c>
      <c r="K160" s="96" t="str">
        <f t="shared" si="15"/>
        <v>0011-1006-0012</v>
      </c>
      <c r="L160" s="96" t="str">
        <f>VLOOKUP(K160,COA!$A$3:$B$337,2,FALSE)</f>
        <v>L13</v>
      </c>
      <c r="M160" s="96" t="str">
        <f t="shared" si="16"/>
        <v>L13</v>
      </c>
      <c r="N160" s="96" t="str">
        <f>VLOOKUP(M160,CAC!$A$2:$B$198,2,FALSE)</f>
        <v>HMOLG</v>
      </c>
    </row>
    <row r="161" spans="5:14" x14ac:dyDescent="0.25">
      <c r="E161" s="136">
        <v>201704</v>
      </c>
      <c r="F161" s="138" t="s">
        <v>345</v>
      </c>
      <c r="G161" s="138" t="s">
        <v>359</v>
      </c>
      <c r="H161" s="138" t="s">
        <v>344</v>
      </c>
      <c r="I161" s="139">
        <v>5137.03</v>
      </c>
      <c r="K161" s="96" t="str">
        <f t="shared" si="15"/>
        <v>0011-1005-0012</v>
      </c>
      <c r="L161" s="96" t="str">
        <f>VLOOKUP(K161,COA!$A$3:$B$337,2,FALSE)</f>
        <v>N11</v>
      </c>
      <c r="M161" s="96" t="str">
        <f t="shared" si="16"/>
        <v>N11</v>
      </c>
      <c r="N161" s="96" t="str">
        <f>VLOOKUP(M161,CAC!$A$2:$B$198,2,FALSE)</f>
        <v>HMOLG</v>
      </c>
    </row>
    <row r="162" spans="5:14" x14ac:dyDescent="0.25">
      <c r="E162" s="136">
        <v>201710</v>
      </c>
      <c r="F162" s="138" t="s">
        <v>563</v>
      </c>
      <c r="G162" s="138" t="s">
        <v>350</v>
      </c>
      <c r="H162" s="138" t="s">
        <v>344</v>
      </c>
      <c r="I162" s="139">
        <v>0</v>
      </c>
      <c r="K162" s="96" t="str">
        <f t="shared" si="15"/>
        <v>0003-1012-0012</v>
      </c>
      <c r="L162" s="96" t="str">
        <f>VLOOKUP(K162,COA!$A$3:$B$337,2,FALSE)</f>
        <v>K51</v>
      </c>
      <c r="M162" s="96" t="str">
        <f t="shared" si="16"/>
        <v>K51</v>
      </c>
      <c r="N162" s="96" t="str">
        <f>VLOOKUP(M162,CAC!$A$2:$B$198,2,FALSE)</f>
        <v>PPOPMR</v>
      </c>
    </row>
    <row r="163" spans="5:14" x14ac:dyDescent="0.25">
      <c r="E163" s="136">
        <v>201612</v>
      </c>
      <c r="F163" s="138" t="s">
        <v>349</v>
      </c>
      <c r="G163" s="138" t="s">
        <v>369</v>
      </c>
      <c r="H163" s="138" t="s">
        <v>344</v>
      </c>
      <c r="I163" s="139">
        <v>40048</v>
      </c>
      <c r="K163" s="96" t="str">
        <f t="shared" si="15"/>
        <v>0017-1009-0012</v>
      </c>
      <c r="L163" s="96" t="str">
        <f>VLOOKUP(K163,COA!$A$3:$B$337,2,FALSE)</f>
        <v>R12</v>
      </c>
      <c r="M163" s="96" t="str">
        <f t="shared" si="16"/>
        <v>R12</v>
      </c>
      <c r="N163" s="96" t="str">
        <f>VLOOKUP(M163,CAC!$A$2:$B$198,2,FALSE)</f>
        <v>HMOMM</v>
      </c>
    </row>
    <row r="164" spans="5:14" x14ac:dyDescent="0.25">
      <c r="E164" s="136">
        <v>201702</v>
      </c>
      <c r="F164" s="138" t="s">
        <v>563</v>
      </c>
      <c r="G164" s="138" t="s">
        <v>350</v>
      </c>
      <c r="H164" s="138" t="s">
        <v>344</v>
      </c>
      <c r="I164" s="139">
        <v>0</v>
      </c>
      <c r="K164" s="96" t="str">
        <f t="shared" si="15"/>
        <v>0003-1012-0012</v>
      </c>
      <c r="L164" s="96" t="str">
        <f>VLOOKUP(K164,COA!$A$3:$B$337,2,FALSE)</f>
        <v>K51</v>
      </c>
      <c r="M164" s="96" t="str">
        <f t="shared" si="16"/>
        <v>K51</v>
      </c>
      <c r="N164" s="96" t="str">
        <f>VLOOKUP(M164,CAC!$A$2:$B$198,2,FALSE)</f>
        <v>PPOPMR</v>
      </c>
    </row>
    <row r="165" spans="5:14" x14ac:dyDescent="0.25">
      <c r="E165" s="136">
        <v>201612</v>
      </c>
      <c r="F165" s="138" t="s">
        <v>563</v>
      </c>
      <c r="G165" s="138" t="s">
        <v>352</v>
      </c>
      <c r="H165" s="138" t="s">
        <v>653</v>
      </c>
      <c r="I165" s="139">
        <v>0</v>
      </c>
      <c r="K165" s="96" t="str">
        <f t="shared" si="15"/>
        <v>0003-1004-0047</v>
      </c>
      <c r="L165" s="96" t="str">
        <f>VLOOKUP(K165,COA!$A$3:$B$337,2,FALSE)</f>
        <v>L57</v>
      </c>
      <c r="M165" s="96" t="str">
        <f t="shared" si="16"/>
        <v>L57</v>
      </c>
      <c r="N165" s="96" t="str">
        <f>VLOOKUP(M165,CAC!$A$2:$B$198,2,FALSE)</f>
        <v>PPOLG</v>
      </c>
    </row>
    <row r="166" spans="5:14" x14ac:dyDescent="0.25">
      <c r="E166" s="136">
        <v>201701</v>
      </c>
      <c r="F166" s="138" t="s">
        <v>563</v>
      </c>
      <c r="G166" s="138" t="s">
        <v>354</v>
      </c>
      <c r="H166" s="138" t="s">
        <v>626</v>
      </c>
      <c r="I166" s="139">
        <v>0</v>
      </c>
      <c r="K166" s="96" t="str">
        <f t="shared" si="15"/>
        <v>0003-1013-0057</v>
      </c>
      <c r="L166" s="96" t="str">
        <f>VLOOKUP(K166,COA!$A$3:$B$337,2,FALSE)</f>
        <v>N55</v>
      </c>
      <c r="M166" s="96" t="str">
        <f t="shared" si="16"/>
        <v>N55</v>
      </c>
      <c r="N166" s="96" t="str">
        <f>VLOOKUP(M166,CAC!$A$2:$B$198,2,FALSE)</f>
        <v>PPOPMR</v>
      </c>
    </row>
    <row r="167" spans="5:14" x14ac:dyDescent="0.25">
      <c r="E167" s="136">
        <v>201609</v>
      </c>
      <c r="F167" s="138" t="s">
        <v>345</v>
      </c>
      <c r="G167" s="138" t="s">
        <v>355</v>
      </c>
      <c r="H167" s="138" t="s">
        <v>344</v>
      </c>
      <c r="I167" s="139">
        <v>21861.439999999999</v>
      </c>
      <c r="K167" s="96" t="str">
        <f t="shared" si="15"/>
        <v>0011-1006-0012</v>
      </c>
      <c r="L167" s="96" t="str">
        <f>VLOOKUP(K167,COA!$A$3:$B$337,2,FALSE)</f>
        <v>L13</v>
      </c>
      <c r="M167" s="96" t="str">
        <f t="shared" si="16"/>
        <v>L13</v>
      </c>
      <c r="N167" s="96" t="str">
        <f>VLOOKUP(M167,CAC!$A$2:$B$198,2,FALSE)</f>
        <v>HMOLG</v>
      </c>
    </row>
    <row r="168" spans="5:14" x14ac:dyDescent="0.25">
      <c r="E168" s="136">
        <v>201608</v>
      </c>
      <c r="F168" s="138" t="s">
        <v>345</v>
      </c>
      <c r="G168" s="138" t="s">
        <v>356</v>
      </c>
      <c r="H168" s="138" t="s">
        <v>344</v>
      </c>
      <c r="I168" s="139">
        <v>15549.71</v>
      </c>
      <c r="K168" s="96" t="str">
        <f t="shared" si="15"/>
        <v>0011-1002-0012</v>
      </c>
      <c r="L168" s="96" t="str">
        <f>VLOOKUP(K168,COA!$A$3:$B$337,2,FALSE)</f>
        <v>F20</v>
      </c>
      <c r="M168" s="96" t="str">
        <f t="shared" si="16"/>
        <v>F20</v>
      </c>
      <c r="N168" s="96" t="str">
        <f>VLOOKUP(M168,CAC!$A$2:$B$198,2,FALSE)</f>
        <v>HMOPMR</v>
      </c>
    </row>
    <row r="169" spans="5:14" x14ac:dyDescent="0.25">
      <c r="E169" s="136">
        <v>201507</v>
      </c>
      <c r="F169" s="138" t="s">
        <v>563</v>
      </c>
      <c r="G169" s="138" t="s">
        <v>359</v>
      </c>
      <c r="H169" s="138" t="s">
        <v>344</v>
      </c>
      <c r="I169" s="139">
        <v>0</v>
      </c>
      <c r="K169" s="96" t="str">
        <f t="shared" si="15"/>
        <v>0003-1005-0012</v>
      </c>
      <c r="L169" s="96" t="str">
        <f>VLOOKUP(K169,COA!$A$3:$B$337,2,FALSE)</f>
        <v>N51</v>
      </c>
      <c r="M169" s="96" t="str">
        <f t="shared" si="16"/>
        <v>N51</v>
      </c>
      <c r="N169" s="96" t="str">
        <f>VLOOKUP(M169,CAC!$A$2:$B$198,2,FALSE)</f>
        <v>PPOLG</v>
      </c>
    </row>
    <row r="170" spans="5:14" x14ac:dyDescent="0.25">
      <c r="E170" s="136">
        <v>201610</v>
      </c>
      <c r="F170" s="138" t="s">
        <v>506</v>
      </c>
      <c r="G170" s="138" t="s">
        <v>359</v>
      </c>
      <c r="H170" s="138" t="s">
        <v>592</v>
      </c>
      <c r="I170" s="139">
        <v>0</v>
      </c>
      <c r="K170" s="96" t="str">
        <f t="shared" si="15"/>
        <v>0013-1005-0035</v>
      </c>
      <c r="L170" s="96" t="str">
        <f>VLOOKUP(K170,COA!$A$3:$B$337,2,FALSE)</f>
        <v>N41</v>
      </c>
      <c r="M170" s="96" t="str">
        <f t="shared" si="16"/>
        <v>N41</v>
      </c>
      <c r="N170" s="96" t="e">
        <f>VLOOKUP(M170,CAC!$A$2:$B$198,2,FALSE)</f>
        <v>#N/A</v>
      </c>
    </row>
    <row r="171" spans="5:14" x14ac:dyDescent="0.25">
      <c r="E171" s="136">
        <v>201502</v>
      </c>
      <c r="F171" s="138" t="s">
        <v>345</v>
      </c>
      <c r="G171" s="138" t="s">
        <v>348</v>
      </c>
      <c r="H171" s="138" t="s">
        <v>353</v>
      </c>
      <c r="I171" s="139">
        <v>238</v>
      </c>
      <c r="K171" s="96" t="str">
        <f t="shared" si="15"/>
        <v>0011-1010-0023</v>
      </c>
      <c r="L171" s="96" t="str">
        <f>VLOOKUP(K171,COA!$A$3:$B$337,2,FALSE)</f>
        <v>S13</v>
      </c>
      <c r="M171" s="96" t="str">
        <f t="shared" si="16"/>
        <v>S13</v>
      </c>
      <c r="N171" s="96" t="str">
        <f>VLOOKUP(M171,CAC!$A$2:$B$198,2,FALSE)</f>
        <v>HMOSG</v>
      </c>
    </row>
    <row r="172" spans="5:14" x14ac:dyDescent="0.25">
      <c r="E172" s="136">
        <v>201707</v>
      </c>
      <c r="F172" s="138" t="s">
        <v>746</v>
      </c>
      <c r="G172" s="138" t="s">
        <v>356</v>
      </c>
      <c r="H172" s="138" t="s">
        <v>764</v>
      </c>
      <c r="I172" s="139">
        <v>639</v>
      </c>
      <c r="K172" s="96" t="str">
        <f t="shared" si="15"/>
        <v>0016-1002-0064</v>
      </c>
      <c r="L172" s="96" t="str">
        <f>VLOOKUP(K172,COA!$A$3:$B$337,2,FALSE)</f>
        <v>R25</v>
      </c>
      <c r="M172" s="96" t="str">
        <f t="shared" si="16"/>
        <v>R25</v>
      </c>
      <c r="N172" s="96" t="str">
        <f>VLOOKUP(M172,CAC!$A$2:$B$198,2,FALSE)</f>
        <v>HMOMG</v>
      </c>
    </row>
    <row r="173" spans="5:14" x14ac:dyDescent="0.25">
      <c r="E173" s="136">
        <v>201512</v>
      </c>
      <c r="F173" s="138" t="s">
        <v>563</v>
      </c>
      <c r="G173" s="138" t="s">
        <v>350</v>
      </c>
      <c r="H173" s="138" t="s">
        <v>360</v>
      </c>
      <c r="I173" s="139">
        <v>0</v>
      </c>
      <c r="K173" s="96" t="str">
        <f t="shared" si="15"/>
        <v>0003-1012-0048</v>
      </c>
      <c r="L173" s="96" t="str">
        <f>VLOOKUP(K173,COA!$A$3:$B$337,2,FALSE)</f>
        <v>K56</v>
      </c>
      <c r="M173" s="96" t="str">
        <f t="shared" si="16"/>
        <v>K56</v>
      </c>
      <c r="N173" s="96" t="str">
        <f>VLOOKUP(M173,CAC!$A$2:$B$198,2,FALSE)</f>
        <v>HMFLEX</v>
      </c>
    </row>
    <row r="174" spans="5:14" x14ac:dyDescent="0.25">
      <c r="E174" s="136">
        <v>201605</v>
      </c>
      <c r="F174" s="138" t="s">
        <v>563</v>
      </c>
      <c r="G174" s="138" t="s">
        <v>350</v>
      </c>
      <c r="H174" s="138" t="s">
        <v>360</v>
      </c>
      <c r="I174" s="139">
        <v>0</v>
      </c>
      <c r="K174" s="96" t="str">
        <f t="shared" si="15"/>
        <v>0003-1012-0048</v>
      </c>
      <c r="L174" s="96" t="str">
        <f>VLOOKUP(K174,COA!$A$3:$B$337,2,FALSE)</f>
        <v>K56</v>
      </c>
      <c r="M174" s="96" t="str">
        <f t="shared" si="16"/>
        <v>K56</v>
      </c>
      <c r="N174" s="96" t="str">
        <f>VLOOKUP(M174,CAC!$A$2:$B$198,2,FALSE)</f>
        <v>HMFLEX</v>
      </c>
    </row>
    <row r="175" spans="5:14" x14ac:dyDescent="0.25">
      <c r="E175" s="136">
        <v>201705</v>
      </c>
      <c r="F175" s="138" t="s">
        <v>563</v>
      </c>
      <c r="G175" s="138" t="s">
        <v>350</v>
      </c>
      <c r="H175" s="138" t="s">
        <v>344</v>
      </c>
      <c r="I175" s="139">
        <v>0</v>
      </c>
      <c r="K175" s="96" t="str">
        <f t="shared" si="15"/>
        <v>0003-1012-0012</v>
      </c>
      <c r="L175" s="96" t="str">
        <f>VLOOKUP(K175,COA!$A$3:$B$337,2,FALSE)</f>
        <v>K51</v>
      </c>
      <c r="M175" s="96" t="str">
        <f t="shared" si="16"/>
        <v>K51</v>
      </c>
      <c r="N175" s="96" t="str">
        <f>VLOOKUP(M175,CAC!$A$2:$B$198,2,FALSE)</f>
        <v>PPOPMR</v>
      </c>
    </row>
    <row r="176" spans="5:14" x14ac:dyDescent="0.25">
      <c r="E176" s="136">
        <v>201508</v>
      </c>
      <c r="F176" s="138" t="s">
        <v>506</v>
      </c>
      <c r="G176" s="138" t="s">
        <v>350</v>
      </c>
      <c r="H176" s="138" t="s">
        <v>592</v>
      </c>
      <c r="I176" s="139">
        <v>0</v>
      </c>
      <c r="K176" s="96" t="str">
        <f t="shared" si="15"/>
        <v>0013-1012-0035</v>
      </c>
      <c r="L176" s="96" t="str">
        <f>VLOOKUP(K176,COA!$A$3:$B$337,2,FALSE)</f>
        <v>K41</v>
      </c>
      <c r="M176" s="96" t="str">
        <f t="shared" si="16"/>
        <v>K41</v>
      </c>
      <c r="N176" s="96" t="e">
        <f>VLOOKUP(M176,CAC!$A$2:$B$198,2,FALSE)</f>
        <v>#N/A</v>
      </c>
    </row>
    <row r="177" spans="5:14" x14ac:dyDescent="0.25">
      <c r="E177" s="136">
        <v>201507</v>
      </c>
      <c r="F177" s="138" t="s">
        <v>563</v>
      </c>
      <c r="G177" s="138" t="s">
        <v>352</v>
      </c>
      <c r="H177" s="138" t="s">
        <v>653</v>
      </c>
      <c r="I177" s="139">
        <v>0</v>
      </c>
      <c r="K177" s="96" t="str">
        <f t="shared" si="15"/>
        <v>0003-1004-0047</v>
      </c>
      <c r="L177" s="96" t="str">
        <f>VLOOKUP(K177,COA!$A$3:$B$337,2,FALSE)</f>
        <v>L57</v>
      </c>
      <c r="M177" s="96" t="str">
        <f t="shared" si="16"/>
        <v>L57</v>
      </c>
      <c r="N177" s="96" t="str">
        <f>VLOOKUP(M177,CAC!$A$2:$B$198,2,FALSE)</f>
        <v>PPOLG</v>
      </c>
    </row>
    <row r="178" spans="5:14" x14ac:dyDescent="0.25">
      <c r="E178" s="136">
        <v>201612</v>
      </c>
      <c r="F178" s="138" t="s">
        <v>345</v>
      </c>
      <c r="G178" s="138" t="s">
        <v>362</v>
      </c>
      <c r="H178" s="138" t="s">
        <v>364</v>
      </c>
      <c r="I178" s="139">
        <v>37373.06</v>
      </c>
      <c r="K178" s="96" t="str">
        <f t="shared" si="15"/>
        <v>0011-1008-0037</v>
      </c>
      <c r="L178" s="96" t="str">
        <f>VLOOKUP(K178,COA!$A$3:$B$337,2,FALSE)</f>
        <v>P12</v>
      </c>
      <c r="M178" s="96" t="str">
        <f t="shared" si="16"/>
        <v>P12</v>
      </c>
      <c r="N178" s="96" t="str">
        <f>VLOOKUP(M178,CAC!$A$2:$B$198,2,FALSE)</f>
        <v>HMOPERA</v>
      </c>
    </row>
    <row r="179" spans="5:14" x14ac:dyDescent="0.25">
      <c r="E179" s="136">
        <v>201708</v>
      </c>
      <c r="F179" s="138" t="s">
        <v>345</v>
      </c>
      <c r="G179" s="138" t="s">
        <v>355</v>
      </c>
      <c r="H179" s="138" t="s">
        <v>344</v>
      </c>
      <c r="I179" s="139">
        <v>17248.900000000001</v>
      </c>
      <c r="K179" s="96" t="str">
        <f t="shared" si="15"/>
        <v>0011-1006-0012</v>
      </c>
      <c r="L179" s="96" t="str">
        <f>VLOOKUP(K179,COA!$A$3:$B$337,2,FALSE)</f>
        <v>L13</v>
      </c>
      <c r="M179" s="96" t="str">
        <f t="shared" si="16"/>
        <v>L13</v>
      </c>
      <c r="N179" s="96" t="str">
        <f>VLOOKUP(M179,CAC!$A$2:$B$198,2,FALSE)</f>
        <v>HMOLG</v>
      </c>
    </row>
    <row r="180" spans="5:14" x14ac:dyDescent="0.25">
      <c r="E180" s="136">
        <v>201601</v>
      </c>
      <c r="F180" s="138" t="s">
        <v>345</v>
      </c>
      <c r="G180" s="138" t="s">
        <v>356</v>
      </c>
      <c r="H180" s="138" t="s">
        <v>344</v>
      </c>
      <c r="I180" s="139">
        <v>15617.22</v>
      </c>
      <c r="K180" s="96" t="str">
        <f t="shared" si="15"/>
        <v>0011-1002-0012</v>
      </c>
      <c r="L180" s="96" t="str">
        <f>VLOOKUP(K180,COA!$A$3:$B$337,2,FALSE)</f>
        <v>F20</v>
      </c>
      <c r="M180" s="96" t="str">
        <f t="shared" si="16"/>
        <v>F20</v>
      </c>
      <c r="N180" s="96" t="str">
        <f>VLOOKUP(M180,CAC!$A$2:$B$198,2,FALSE)</f>
        <v>HMOPMR</v>
      </c>
    </row>
    <row r="181" spans="5:14" x14ac:dyDescent="0.25">
      <c r="E181" s="136">
        <v>201609</v>
      </c>
      <c r="F181" s="138" t="s">
        <v>746</v>
      </c>
      <c r="G181" s="138" t="s">
        <v>361</v>
      </c>
      <c r="H181" s="138" t="s">
        <v>344</v>
      </c>
      <c r="I181" s="139">
        <v>478</v>
      </c>
      <c r="K181" s="96" t="str">
        <f t="shared" si="15"/>
        <v>0016-1003-0012</v>
      </c>
      <c r="L181" s="96" t="str">
        <f>VLOOKUP(K181,COA!$A$3:$B$337,2,FALSE)</f>
        <v>R18</v>
      </c>
      <c r="M181" s="96" t="str">
        <f t="shared" si="16"/>
        <v>R18</v>
      </c>
      <c r="N181" s="96" t="str">
        <f>VLOOKUP(M181,CAC!$A$2:$B$198,2,FALSE)</f>
        <v>HMOMG</v>
      </c>
    </row>
    <row r="182" spans="5:14" x14ac:dyDescent="0.25">
      <c r="E182" s="136">
        <v>201605</v>
      </c>
      <c r="F182" s="138" t="s">
        <v>563</v>
      </c>
      <c r="G182" s="138" t="s">
        <v>354</v>
      </c>
      <c r="H182" s="138" t="s">
        <v>626</v>
      </c>
      <c r="I182" s="139">
        <v>0</v>
      </c>
      <c r="K182" s="96" t="str">
        <f t="shared" si="15"/>
        <v>0003-1013-0057</v>
      </c>
      <c r="L182" s="96" t="str">
        <f>VLOOKUP(K182,COA!$A$3:$B$337,2,FALSE)</f>
        <v>N55</v>
      </c>
      <c r="M182" s="96" t="str">
        <f t="shared" si="16"/>
        <v>N55</v>
      </c>
      <c r="N182" s="96" t="str">
        <f>VLOOKUP(M182,CAC!$A$2:$B$198,2,FALSE)</f>
        <v>PPOPMR</v>
      </c>
    </row>
    <row r="183" spans="5:14" x14ac:dyDescent="0.25">
      <c r="E183" s="136">
        <v>201511</v>
      </c>
      <c r="F183" s="138" t="s">
        <v>746</v>
      </c>
      <c r="G183" s="138" t="s">
        <v>350</v>
      </c>
      <c r="H183" s="138" t="s">
        <v>344</v>
      </c>
      <c r="I183" s="139">
        <v>71</v>
      </c>
      <c r="K183" s="96" t="str">
        <f t="shared" si="15"/>
        <v>0016-1012-0012</v>
      </c>
      <c r="L183" s="96" t="str">
        <f>VLOOKUP(K183,COA!$A$3:$B$337,2,FALSE)</f>
        <v>R19</v>
      </c>
      <c r="M183" s="96" t="str">
        <f t="shared" si="16"/>
        <v>R19</v>
      </c>
      <c r="N183" s="96" t="str">
        <f>VLOOKUP(M183,CAC!$A$2:$B$198,2,FALSE)</f>
        <v>HMOMG</v>
      </c>
    </row>
    <row r="184" spans="5:14" x14ac:dyDescent="0.25">
      <c r="E184" s="136">
        <v>201506</v>
      </c>
      <c r="F184" s="138" t="s">
        <v>413</v>
      </c>
      <c r="G184" s="138" t="s">
        <v>355</v>
      </c>
      <c r="H184" s="138" t="s">
        <v>344</v>
      </c>
      <c r="I184" s="139">
        <v>0</v>
      </c>
      <c r="K184" s="96" t="str">
        <f t="shared" si="15"/>
        <v>0008-1006-0012</v>
      </c>
      <c r="L184" s="96" t="str">
        <f>VLOOKUP(K184,COA!$A$3:$B$337,2,FALSE)</f>
        <v>C96</v>
      </c>
      <c r="M184" s="96" t="str">
        <f t="shared" si="16"/>
        <v>C96</v>
      </c>
      <c r="N184" s="96" t="str">
        <f>VLOOKUP(M184,CAC!$A$2:$B$198,2,FALSE)</f>
        <v>DOILG</v>
      </c>
    </row>
    <row r="185" spans="5:14" x14ac:dyDescent="0.25">
      <c r="E185" s="136">
        <v>201505</v>
      </c>
      <c r="F185" s="138" t="s">
        <v>345</v>
      </c>
      <c r="G185" s="138" t="s">
        <v>351</v>
      </c>
      <c r="H185" s="138" t="s">
        <v>353</v>
      </c>
      <c r="I185" s="139">
        <v>1</v>
      </c>
      <c r="K185" s="96" t="str">
        <f t="shared" si="15"/>
        <v>0011-0000-0023</v>
      </c>
      <c r="L185" s="96" t="e">
        <f>VLOOKUP(K185,COA!$A$3:$B$337,2,FALSE)</f>
        <v>#N/A</v>
      </c>
      <c r="M185" s="96" t="str">
        <f t="shared" si="16"/>
        <v>XXX</v>
      </c>
      <c r="N185" s="96" t="str">
        <f>VLOOKUP(M185,CAC!$A$2:$B$198,2,FALSE)</f>
        <v>XXX</v>
      </c>
    </row>
    <row r="186" spans="5:14" x14ac:dyDescent="0.25">
      <c r="E186" s="136">
        <v>201710</v>
      </c>
      <c r="F186" s="138" t="s">
        <v>342</v>
      </c>
      <c r="G186" s="138" t="s">
        <v>343</v>
      </c>
      <c r="H186" s="138" t="s">
        <v>344</v>
      </c>
      <c r="I186" s="139">
        <v>5641.91</v>
      </c>
      <c r="K186" s="96" t="str">
        <f t="shared" si="15"/>
        <v>0031-1000-0012</v>
      </c>
      <c r="L186" s="96" t="str">
        <f>VLOOKUP(K186,COA!$A$3:$B$337,2,FALSE)</f>
        <v>F27</v>
      </c>
      <c r="M186" s="96" t="str">
        <f t="shared" si="16"/>
        <v>F27</v>
      </c>
      <c r="N186" s="96" t="str">
        <f>VLOOKUP(M186,CAC!$A$2:$B$198,2,FALSE)</f>
        <v>HMOFEP</v>
      </c>
    </row>
    <row r="187" spans="5:14" x14ac:dyDescent="0.25">
      <c r="E187" s="136">
        <v>201612</v>
      </c>
      <c r="F187" s="138" t="s">
        <v>506</v>
      </c>
      <c r="G187" s="138" t="s">
        <v>359</v>
      </c>
      <c r="H187" s="138" t="s">
        <v>592</v>
      </c>
      <c r="I187" s="139">
        <v>0</v>
      </c>
      <c r="K187" s="96" t="str">
        <f t="shared" si="15"/>
        <v>0013-1005-0035</v>
      </c>
      <c r="L187" s="96" t="str">
        <f>VLOOKUP(K187,COA!$A$3:$B$337,2,FALSE)</f>
        <v>N41</v>
      </c>
      <c r="M187" s="96" t="str">
        <f t="shared" si="16"/>
        <v>N41</v>
      </c>
      <c r="N187" s="96" t="e">
        <f>VLOOKUP(M187,CAC!$A$2:$B$198,2,FALSE)</f>
        <v>#N/A</v>
      </c>
    </row>
    <row r="188" spans="5:14" x14ac:dyDescent="0.25">
      <c r="E188" s="136">
        <v>201607</v>
      </c>
      <c r="F188" s="138" t="s">
        <v>563</v>
      </c>
      <c r="G188" s="138" t="s">
        <v>350</v>
      </c>
      <c r="H188" s="138" t="s">
        <v>344</v>
      </c>
      <c r="I188" s="139">
        <v>0</v>
      </c>
      <c r="K188" s="96" t="str">
        <f t="shared" si="15"/>
        <v>0003-1012-0012</v>
      </c>
      <c r="L188" s="96" t="str">
        <f>VLOOKUP(K188,COA!$A$3:$B$337,2,FALSE)</f>
        <v>K51</v>
      </c>
      <c r="M188" s="96" t="str">
        <f t="shared" si="16"/>
        <v>K51</v>
      </c>
      <c r="N188" s="96" t="str">
        <f>VLOOKUP(M188,CAC!$A$2:$B$198,2,FALSE)</f>
        <v>PPOPMR</v>
      </c>
    </row>
    <row r="189" spans="5:14" x14ac:dyDescent="0.25">
      <c r="E189" s="136">
        <v>201505</v>
      </c>
      <c r="F189" s="138" t="s">
        <v>345</v>
      </c>
      <c r="G189" s="138" t="s">
        <v>359</v>
      </c>
      <c r="H189" s="138" t="s">
        <v>344</v>
      </c>
      <c r="I189" s="139">
        <v>2212.4499999999998</v>
      </c>
      <c r="K189" s="96" t="str">
        <f t="shared" si="15"/>
        <v>0011-1005-0012</v>
      </c>
      <c r="L189" s="96" t="str">
        <f>VLOOKUP(K189,COA!$A$3:$B$337,2,FALSE)</f>
        <v>N11</v>
      </c>
      <c r="M189" s="96" t="str">
        <f t="shared" si="16"/>
        <v>N11</v>
      </c>
      <c r="N189" s="96" t="str">
        <f>VLOOKUP(M189,CAC!$A$2:$B$198,2,FALSE)</f>
        <v>HMOLG</v>
      </c>
    </row>
    <row r="190" spans="5:14" x14ac:dyDescent="0.25">
      <c r="E190" s="136">
        <v>201505</v>
      </c>
      <c r="F190" s="138" t="s">
        <v>563</v>
      </c>
      <c r="G190" s="138" t="s">
        <v>352</v>
      </c>
      <c r="H190" s="138" t="s">
        <v>653</v>
      </c>
      <c r="I190" s="139">
        <v>0</v>
      </c>
      <c r="K190" s="96" t="str">
        <f t="shared" si="15"/>
        <v>0003-1004-0047</v>
      </c>
      <c r="L190" s="96" t="str">
        <f>VLOOKUP(K190,COA!$A$3:$B$337,2,FALSE)</f>
        <v>L57</v>
      </c>
      <c r="M190" s="96" t="str">
        <f t="shared" si="16"/>
        <v>L57</v>
      </c>
      <c r="N190" s="96" t="str">
        <f>VLOOKUP(M190,CAC!$A$2:$B$198,2,FALSE)</f>
        <v>PPOLG</v>
      </c>
    </row>
    <row r="191" spans="5:14" x14ac:dyDescent="0.25">
      <c r="E191" s="136">
        <v>201605</v>
      </c>
      <c r="F191" s="138" t="s">
        <v>413</v>
      </c>
      <c r="G191" s="138" t="s">
        <v>365</v>
      </c>
      <c r="H191" s="138" t="s">
        <v>411</v>
      </c>
      <c r="I191" s="139">
        <v>0</v>
      </c>
      <c r="K191" s="96" t="str">
        <f t="shared" si="15"/>
        <v>0008-1001-0007</v>
      </c>
      <c r="L191" s="96" t="str">
        <f>VLOOKUP(K191,COA!$A$3:$B$337,2,FALSE)</f>
        <v>C99</v>
      </c>
      <c r="M191" s="96" t="str">
        <f t="shared" si="16"/>
        <v>C99</v>
      </c>
      <c r="N191" s="96" t="str">
        <f>VLOOKUP(M191,CAC!$A$2:$B$198,2,FALSE)</f>
        <v>DOIIFP</v>
      </c>
    </row>
    <row r="192" spans="5:14" x14ac:dyDescent="0.25">
      <c r="E192" s="136">
        <v>201611</v>
      </c>
      <c r="F192" s="138" t="s">
        <v>344</v>
      </c>
      <c r="G192" s="138" t="s">
        <v>356</v>
      </c>
      <c r="H192" s="138" t="s">
        <v>344</v>
      </c>
      <c r="I192" s="139">
        <v>4138</v>
      </c>
      <c r="K192" s="96" t="str">
        <f t="shared" si="15"/>
        <v>0012-1002-0012</v>
      </c>
      <c r="L192" s="96" t="str">
        <f>VLOOKUP(K192,COA!$A$3:$B$337,2,FALSE)</f>
        <v>F22</v>
      </c>
      <c r="M192" s="96" t="str">
        <f t="shared" si="16"/>
        <v>F22</v>
      </c>
      <c r="N192" s="96" t="str">
        <f>VLOOKUP(M192,CAC!$A$2:$B$198,2,FALSE)</f>
        <v>HMOPMR</v>
      </c>
    </row>
    <row r="193" spans="5:14" x14ac:dyDescent="0.25">
      <c r="E193" s="136">
        <v>201705</v>
      </c>
      <c r="F193" s="138" t="s">
        <v>506</v>
      </c>
      <c r="G193" s="138" t="s">
        <v>352</v>
      </c>
      <c r="H193" s="138" t="s">
        <v>592</v>
      </c>
      <c r="I193" s="139">
        <v>0</v>
      </c>
      <c r="K193" s="96" t="str">
        <f t="shared" si="15"/>
        <v>0013-1004-0035</v>
      </c>
      <c r="L193" s="96" t="str">
        <f>VLOOKUP(K193,COA!$A$3:$B$337,2,FALSE)</f>
        <v>L41</v>
      </c>
      <c r="M193" s="96" t="str">
        <f t="shared" si="16"/>
        <v>L41</v>
      </c>
      <c r="N193" s="96" t="e">
        <f>VLOOKUP(M193,CAC!$A$2:$B$198,2,FALSE)</f>
        <v>#N/A</v>
      </c>
    </row>
    <row r="194" spans="5:14" x14ac:dyDescent="0.25">
      <c r="E194" s="136">
        <v>201703</v>
      </c>
      <c r="F194" s="138" t="s">
        <v>345</v>
      </c>
      <c r="G194" s="138" t="s">
        <v>365</v>
      </c>
      <c r="H194" s="138" t="s">
        <v>367</v>
      </c>
      <c r="I194" s="139">
        <v>600.75</v>
      </c>
      <c r="K194" s="96" t="str">
        <f t="shared" si="15"/>
        <v>0011-1001-0022</v>
      </c>
      <c r="L194" s="96" t="str">
        <f>VLOOKUP(K194,COA!$A$3:$B$337,2,FALSE)</f>
        <v>V14</v>
      </c>
      <c r="M194" s="96" t="str">
        <f t="shared" si="16"/>
        <v>V14</v>
      </c>
      <c r="N194" s="96" t="str">
        <f>VLOOKUP(M194,CAC!$A$2:$B$198,2,FALSE)</f>
        <v>HMOIFP</v>
      </c>
    </row>
    <row r="195" spans="5:14" x14ac:dyDescent="0.25">
      <c r="E195" s="136">
        <v>201602</v>
      </c>
      <c r="F195" s="138" t="s">
        <v>506</v>
      </c>
      <c r="G195" s="138" t="s">
        <v>352</v>
      </c>
      <c r="H195" s="138" t="s">
        <v>592</v>
      </c>
      <c r="I195" s="139">
        <v>0</v>
      </c>
      <c r="K195" s="96" t="str">
        <f t="shared" ref="K195:K258" si="17">F195&amp;"-"&amp;G195&amp;"-"&amp;H195</f>
        <v>0013-1004-0035</v>
      </c>
      <c r="L195" s="96" t="str">
        <f>VLOOKUP(K195,COA!$A$3:$B$337,2,FALSE)</f>
        <v>L41</v>
      </c>
      <c r="M195" s="96" t="str">
        <f t="shared" si="16"/>
        <v>L41</v>
      </c>
      <c r="N195" s="96" t="e">
        <f>VLOOKUP(M195,CAC!$A$2:$B$198,2,FALSE)</f>
        <v>#N/A</v>
      </c>
    </row>
    <row r="196" spans="5:14" x14ac:dyDescent="0.25">
      <c r="E196" s="136">
        <v>201704</v>
      </c>
      <c r="F196" s="138" t="s">
        <v>563</v>
      </c>
      <c r="G196" s="138" t="s">
        <v>361</v>
      </c>
      <c r="H196" s="138" t="s">
        <v>344</v>
      </c>
      <c r="I196" s="139">
        <v>0</v>
      </c>
      <c r="K196" s="96" t="str">
        <f t="shared" si="17"/>
        <v>0003-1003-0012</v>
      </c>
      <c r="L196" s="96" t="str">
        <f>VLOOKUP(K196,COA!$A$3:$B$337,2,FALSE)</f>
        <v>N61</v>
      </c>
      <c r="M196" s="96" t="str">
        <f t="shared" ref="M196:M259" si="18">IF(ISNA(L196),"XXX",L196)</f>
        <v>N61</v>
      </c>
      <c r="N196" s="96" t="str">
        <f>VLOOKUP(M196,CAC!$A$2:$B$198,2,FALSE)</f>
        <v>PPOPMR</v>
      </c>
    </row>
    <row r="197" spans="5:14" x14ac:dyDescent="0.25">
      <c r="E197" s="136">
        <v>201507</v>
      </c>
      <c r="F197" s="138" t="s">
        <v>345</v>
      </c>
      <c r="G197" s="138" t="s">
        <v>355</v>
      </c>
      <c r="H197" s="138" t="s">
        <v>344</v>
      </c>
      <c r="I197" s="139">
        <v>24635.599999999999</v>
      </c>
      <c r="K197" s="96" t="str">
        <f t="shared" si="17"/>
        <v>0011-1006-0012</v>
      </c>
      <c r="L197" s="96" t="str">
        <f>VLOOKUP(K197,COA!$A$3:$B$337,2,FALSE)</f>
        <v>L13</v>
      </c>
      <c r="M197" s="96" t="str">
        <f t="shared" si="18"/>
        <v>L13</v>
      </c>
      <c r="N197" s="96" t="str">
        <f>VLOOKUP(M197,CAC!$A$2:$B$198,2,FALSE)</f>
        <v>HMOLG</v>
      </c>
    </row>
    <row r="198" spans="5:14" x14ac:dyDescent="0.25">
      <c r="E198" s="136">
        <v>201502</v>
      </c>
      <c r="F198" s="138" t="s">
        <v>563</v>
      </c>
      <c r="G198" s="138" t="s">
        <v>348</v>
      </c>
      <c r="H198" s="138" t="s">
        <v>353</v>
      </c>
      <c r="I198" s="139">
        <v>0</v>
      </c>
      <c r="K198" s="96" t="str">
        <f t="shared" si="17"/>
        <v>0003-1010-0023</v>
      </c>
      <c r="L198" s="96" t="str">
        <f>VLOOKUP(K198,COA!$A$3:$B$337,2,FALSE)</f>
        <v>S54</v>
      </c>
      <c r="M198" s="96" t="str">
        <f t="shared" si="18"/>
        <v>S54</v>
      </c>
      <c r="N198" s="96" t="str">
        <f>VLOOKUP(M198,CAC!$A$2:$B$198,2,FALSE)</f>
        <v>PPOSG</v>
      </c>
    </row>
    <row r="199" spans="5:14" x14ac:dyDescent="0.25">
      <c r="E199" s="136">
        <v>201606</v>
      </c>
      <c r="F199" s="138" t="s">
        <v>746</v>
      </c>
      <c r="G199" s="138" t="s">
        <v>355</v>
      </c>
      <c r="H199" s="138" t="s">
        <v>344</v>
      </c>
      <c r="I199" s="139">
        <v>0</v>
      </c>
      <c r="K199" s="96" t="str">
        <f t="shared" si="17"/>
        <v>0016-1006-0012</v>
      </c>
      <c r="L199" s="96" t="str">
        <f>VLOOKUP(K199,COA!$A$3:$B$337,2,FALSE)</f>
        <v>R21</v>
      </c>
      <c r="M199" s="96" t="str">
        <f t="shared" si="18"/>
        <v>R21</v>
      </c>
      <c r="N199" s="96" t="str">
        <f>VLOOKUP(M199,CAC!$A$2:$B$198,2,FALSE)</f>
        <v>HMOMG</v>
      </c>
    </row>
    <row r="200" spans="5:14" x14ac:dyDescent="0.25">
      <c r="E200" s="136">
        <v>201603</v>
      </c>
      <c r="F200" s="138" t="s">
        <v>345</v>
      </c>
      <c r="G200" s="138" t="s">
        <v>352</v>
      </c>
      <c r="H200" s="138" t="s">
        <v>344</v>
      </c>
      <c r="I200" s="139">
        <v>13668.58</v>
      </c>
      <c r="K200" s="96" t="str">
        <f t="shared" si="17"/>
        <v>0011-1004-0012</v>
      </c>
      <c r="L200" s="96" t="str">
        <f>VLOOKUP(K200,COA!$A$3:$B$337,2,FALSE)</f>
        <v>L11</v>
      </c>
      <c r="M200" s="96" t="str">
        <f t="shared" si="18"/>
        <v>L11</v>
      </c>
      <c r="N200" s="96" t="str">
        <f>VLOOKUP(M200,CAC!$A$2:$B$198,2,FALSE)</f>
        <v>HMOLG</v>
      </c>
    </row>
    <row r="201" spans="5:14" x14ac:dyDescent="0.25">
      <c r="E201" s="136">
        <v>201610</v>
      </c>
      <c r="F201" s="138" t="s">
        <v>345</v>
      </c>
      <c r="G201" s="138" t="s">
        <v>352</v>
      </c>
      <c r="H201" s="138" t="s">
        <v>344</v>
      </c>
      <c r="I201" s="139">
        <v>12654.03</v>
      </c>
      <c r="K201" s="96" t="str">
        <f t="shared" si="17"/>
        <v>0011-1004-0012</v>
      </c>
      <c r="L201" s="96" t="str">
        <f>VLOOKUP(K201,COA!$A$3:$B$337,2,FALSE)</f>
        <v>L11</v>
      </c>
      <c r="M201" s="96" t="str">
        <f t="shared" si="18"/>
        <v>L11</v>
      </c>
      <c r="N201" s="96" t="str">
        <f>VLOOKUP(M201,CAC!$A$2:$B$198,2,FALSE)</f>
        <v>HMOLG</v>
      </c>
    </row>
    <row r="202" spans="5:14" x14ac:dyDescent="0.25">
      <c r="E202" s="136">
        <v>201601</v>
      </c>
      <c r="F202" s="138" t="s">
        <v>746</v>
      </c>
      <c r="G202" s="138" t="s">
        <v>350</v>
      </c>
      <c r="H202" s="138" t="s">
        <v>344</v>
      </c>
      <c r="I202" s="139">
        <v>56</v>
      </c>
      <c r="K202" s="96" t="str">
        <f t="shared" si="17"/>
        <v>0016-1012-0012</v>
      </c>
      <c r="L202" s="96" t="str">
        <f>VLOOKUP(K202,COA!$A$3:$B$337,2,FALSE)</f>
        <v>R19</v>
      </c>
      <c r="M202" s="96" t="str">
        <f t="shared" si="18"/>
        <v>R19</v>
      </c>
      <c r="N202" s="96" t="str">
        <f>VLOOKUP(M202,CAC!$A$2:$B$198,2,FALSE)</f>
        <v>HMOMG</v>
      </c>
    </row>
    <row r="203" spans="5:14" x14ac:dyDescent="0.25">
      <c r="E203" s="136">
        <v>201607</v>
      </c>
      <c r="F203" s="138" t="s">
        <v>345</v>
      </c>
      <c r="G203" s="138" t="s">
        <v>354</v>
      </c>
      <c r="H203" s="138" t="s">
        <v>360</v>
      </c>
      <c r="I203" s="139">
        <v>2253.9</v>
      </c>
      <c r="K203" s="96" t="str">
        <f t="shared" si="17"/>
        <v>0011-1013-0048</v>
      </c>
      <c r="L203" s="96" t="str">
        <f>VLOOKUP(K203,COA!$A$3:$B$337,2,FALSE)</f>
        <v>N21</v>
      </c>
      <c r="M203" s="96" t="str">
        <f t="shared" si="18"/>
        <v>N21</v>
      </c>
      <c r="N203" s="96" t="str">
        <f>VLOOKUP(M203,CAC!$A$2:$B$198,2,FALSE)</f>
        <v>HMFLEX</v>
      </c>
    </row>
    <row r="204" spans="5:14" x14ac:dyDescent="0.25">
      <c r="E204" s="136">
        <v>201601</v>
      </c>
      <c r="F204" s="138" t="s">
        <v>563</v>
      </c>
      <c r="G204" s="138" t="s">
        <v>354</v>
      </c>
      <c r="H204" s="138" t="s">
        <v>344</v>
      </c>
      <c r="I204" s="139">
        <v>0</v>
      </c>
      <c r="K204" s="96" t="str">
        <f t="shared" si="17"/>
        <v>0003-1013-0012</v>
      </c>
      <c r="L204" s="96" t="str">
        <f>VLOOKUP(K204,COA!$A$3:$B$337,2,FALSE)</f>
        <v>N55</v>
      </c>
      <c r="M204" s="96" t="str">
        <f t="shared" si="18"/>
        <v>N55</v>
      </c>
      <c r="N204" s="96" t="str">
        <f>VLOOKUP(M204,CAC!$A$2:$B$198,2,FALSE)</f>
        <v>PPOPMR</v>
      </c>
    </row>
    <row r="205" spans="5:14" x14ac:dyDescent="0.25">
      <c r="E205" s="136">
        <v>201505</v>
      </c>
      <c r="F205" s="138" t="s">
        <v>563</v>
      </c>
      <c r="G205" s="138" t="s">
        <v>361</v>
      </c>
      <c r="H205" s="138" t="s">
        <v>344</v>
      </c>
      <c r="I205" s="139">
        <v>0</v>
      </c>
      <c r="K205" s="96" t="str">
        <f t="shared" si="17"/>
        <v>0003-1003-0012</v>
      </c>
      <c r="L205" s="96" t="str">
        <f>VLOOKUP(K205,COA!$A$3:$B$337,2,FALSE)</f>
        <v>N61</v>
      </c>
      <c r="M205" s="96" t="str">
        <f t="shared" si="18"/>
        <v>N61</v>
      </c>
      <c r="N205" s="96" t="str">
        <f>VLOOKUP(M205,CAC!$A$2:$B$198,2,FALSE)</f>
        <v>PPOPMR</v>
      </c>
    </row>
    <row r="206" spans="5:14" x14ac:dyDescent="0.25">
      <c r="E206" s="136">
        <v>201606</v>
      </c>
      <c r="F206" s="138" t="s">
        <v>345</v>
      </c>
      <c r="G206" s="138" t="s">
        <v>352</v>
      </c>
      <c r="H206" s="138" t="s">
        <v>357</v>
      </c>
      <c r="I206" s="139">
        <v>302</v>
      </c>
      <c r="K206" s="96" t="str">
        <f t="shared" si="17"/>
        <v>0011-1004-0038</v>
      </c>
      <c r="L206" s="96" t="str">
        <f>VLOOKUP(K206,COA!$A$3:$B$337,2,FALSE)</f>
        <v>L14</v>
      </c>
      <c r="M206" s="96" t="str">
        <f t="shared" si="18"/>
        <v>L14</v>
      </c>
      <c r="N206" s="96" t="str">
        <f>VLOOKUP(M206,CAC!$A$2:$B$198,2,FALSE)</f>
        <v>HMOLG</v>
      </c>
    </row>
    <row r="207" spans="5:14" x14ac:dyDescent="0.25">
      <c r="E207" s="136">
        <v>201604</v>
      </c>
      <c r="F207" s="138" t="s">
        <v>345</v>
      </c>
      <c r="G207" s="138" t="s">
        <v>346</v>
      </c>
      <c r="H207" s="138" t="s">
        <v>344</v>
      </c>
      <c r="I207" s="139">
        <v>0</v>
      </c>
      <c r="K207" s="96" t="str">
        <f t="shared" si="17"/>
        <v>0011-1014-0012</v>
      </c>
      <c r="L207" s="96" t="e">
        <f>VLOOKUP(K207,COA!$A$3:$B$337,2,FALSE)</f>
        <v>#N/A</v>
      </c>
      <c r="M207" s="96" t="str">
        <f t="shared" si="18"/>
        <v>XXX</v>
      </c>
      <c r="N207" s="96" t="str">
        <f>VLOOKUP(M207,CAC!$A$2:$B$198,2,FALSE)</f>
        <v>XXX</v>
      </c>
    </row>
    <row r="208" spans="5:14" x14ac:dyDescent="0.25">
      <c r="E208" s="136">
        <v>201602</v>
      </c>
      <c r="F208" s="138" t="s">
        <v>345</v>
      </c>
      <c r="G208" s="138" t="s">
        <v>352</v>
      </c>
      <c r="H208" s="138" t="s">
        <v>344</v>
      </c>
      <c r="I208" s="139">
        <v>13692.76</v>
      </c>
      <c r="K208" s="96" t="str">
        <f t="shared" si="17"/>
        <v>0011-1004-0012</v>
      </c>
      <c r="L208" s="96" t="str">
        <f>VLOOKUP(K208,COA!$A$3:$B$337,2,FALSE)</f>
        <v>L11</v>
      </c>
      <c r="M208" s="96" t="str">
        <f t="shared" si="18"/>
        <v>L11</v>
      </c>
      <c r="N208" s="96" t="str">
        <f>VLOOKUP(M208,CAC!$A$2:$B$198,2,FALSE)</f>
        <v>HMOLG</v>
      </c>
    </row>
    <row r="209" spans="5:14" x14ac:dyDescent="0.25">
      <c r="E209" s="136">
        <v>201708</v>
      </c>
      <c r="F209" s="138" t="s">
        <v>506</v>
      </c>
      <c r="G209" s="138" t="s">
        <v>359</v>
      </c>
      <c r="H209" s="138" t="s">
        <v>592</v>
      </c>
      <c r="I209" s="139">
        <v>0</v>
      </c>
      <c r="K209" s="96" t="str">
        <f t="shared" si="17"/>
        <v>0013-1005-0035</v>
      </c>
      <c r="L209" s="96" t="str">
        <f>VLOOKUP(K209,COA!$A$3:$B$337,2,FALSE)</f>
        <v>N41</v>
      </c>
      <c r="M209" s="96" t="str">
        <f t="shared" si="18"/>
        <v>N41</v>
      </c>
      <c r="N209" s="96" t="e">
        <f>VLOOKUP(M209,CAC!$A$2:$B$198,2,FALSE)</f>
        <v>#N/A</v>
      </c>
    </row>
    <row r="210" spans="5:14" x14ac:dyDescent="0.25">
      <c r="E210" s="136">
        <v>201512</v>
      </c>
      <c r="F210" s="138" t="s">
        <v>746</v>
      </c>
      <c r="G210" s="138" t="s">
        <v>350</v>
      </c>
      <c r="H210" s="138" t="s">
        <v>344</v>
      </c>
      <c r="I210" s="139">
        <v>70</v>
      </c>
      <c r="K210" s="96" t="str">
        <f t="shared" si="17"/>
        <v>0016-1012-0012</v>
      </c>
      <c r="L210" s="96" t="str">
        <f>VLOOKUP(K210,COA!$A$3:$B$337,2,FALSE)</f>
        <v>R19</v>
      </c>
      <c r="M210" s="96" t="str">
        <f t="shared" si="18"/>
        <v>R19</v>
      </c>
      <c r="N210" s="96" t="str">
        <f>VLOOKUP(M210,CAC!$A$2:$B$198,2,FALSE)</f>
        <v>HMOMG</v>
      </c>
    </row>
    <row r="211" spans="5:14" x14ac:dyDescent="0.25">
      <c r="E211" s="136">
        <v>201505</v>
      </c>
      <c r="F211" s="138" t="s">
        <v>506</v>
      </c>
      <c r="G211" s="138" t="s">
        <v>359</v>
      </c>
      <c r="H211" s="138" t="s">
        <v>592</v>
      </c>
      <c r="I211" s="139">
        <v>0</v>
      </c>
      <c r="K211" s="96" t="str">
        <f t="shared" si="17"/>
        <v>0013-1005-0035</v>
      </c>
      <c r="L211" s="96" t="str">
        <f>VLOOKUP(K211,COA!$A$3:$B$337,2,FALSE)</f>
        <v>N41</v>
      </c>
      <c r="M211" s="96" t="str">
        <f t="shared" si="18"/>
        <v>N41</v>
      </c>
      <c r="N211" s="96" t="e">
        <f>VLOOKUP(M211,CAC!$A$2:$B$198,2,FALSE)</f>
        <v>#N/A</v>
      </c>
    </row>
    <row r="212" spans="5:14" x14ac:dyDescent="0.25">
      <c r="E212" s="136">
        <v>201702</v>
      </c>
      <c r="F212" s="138" t="s">
        <v>413</v>
      </c>
      <c r="G212" s="138" t="s">
        <v>352</v>
      </c>
      <c r="H212" s="138" t="s">
        <v>344</v>
      </c>
      <c r="I212" s="139">
        <v>0</v>
      </c>
      <c r="K212" s="96" t="str">
        <f t="shared" si="17"/>
        <v>0008-1004-0012</v>
      </c>
      <c r="L212" s="96" t="str">
        <f>VLOOKUP(K212,COA!$A$3:$B$337,2,FALSE)</f>
        <v>C93</v>
      </c>
      <c r="M212" s="96" t="str">
        <f t="shared" si="18"/>
        <v>C93</v>
      </c>
      <c r="N212" s="96" t="str">
        <f>VLOOKUP(M212,CAC!$A$2:$B$198,2,FALSE)</f>
        <v>DOILG</v>
      </c>
    </row>
    <row r="213" spans="5:14" x14ac:dyDescent="0.25">
      <c r="E213" s="136">
        <v>201801</v>
      </c>
      <c r="F213" s="138" t="s">
        <v>563</v>
      </c>
      <c r="G213" s="138" t="s">
        <v>359</v>
      </c>
      <c r="H213" s="138" t="s">
        <v>344</v>
      </c>
      <c r="I213" s="139">
        <v>0</v>
      </c>
      <c r="K213" s="96" t="str">
        <f t="shared" si="17"/>
        <v>0003-1005-0012</v>
      </c>
      <c r="L213" s="96" t="str">
        <f>VLOOKUP(K213,COA!$A$3:$B$337,2,FALSE)</f>
        <v>N51</v>
      </c>
      <c r="M213" s="96" t="str">
        <f t="shared" si="18"/>
        <v>N51</v>
      </c>
      <c r="N213" s="96" t="str">
        <f>VLOOKUP(M213,CAC!$A$2:$B$198,2,FALSE)</f>
        <v>PPOLG</v>
      </c>
    </row>
    <row r="214" spans="5:14" x14ac:dyDescent="0.25">
      <c r="E214" s="136">
        <v>201702</v>
      </c>
      <c r="F214" s="138" t="s">
        <v>345</v>
      </c>
      <c r="G214" s="138" t="s">
        <v>350</v>
      </c>
      <c r="H214" s="138" t="s">
        <v>360</v>
      </c>
      <c r="I214" s="139">
        <v>4015</v>
      </c>
      <c r="K214" s="96" t="str">
        <f t="shared" si="17"/>
        <v>0011-1012-0048</v>
      </c>
      <c r="L214" s="96" t="str">
        <f>VLOOKUP(K214,COA!$A$3:$B$337,2,FALSE)</f>
        <v>K21</v>
      </c>
      <c r="M214" s="96" t="str">
        <f t="shared" si="18"/>
        <v>K21</v>
      </c>
      <c r="N214" s="96" t="str">
        <f>VLOOKUP(M214,CAC!$A$2:$B$198,2,FALSE)</f>
        <v>HMFLEX</v>
      </c>
    </row>
    <row r="215" spans="5:14" x14ac:dyDescent="0.25">
      <c r="E215" s="136">
        <v>201510</v>
      </c>
      <c r="F215" s="138" t="s">
        <v>345</v>
      </c>
      <c r="G215" s="138" t="s">
        <v>352</v>
      </c>
      <c r="H215" s="138" t="s">
        <v>653</v>
      </c>
      <c r="I215" s="139">
        <v>0</v>
      </c>
      <c r="K215" s="96" t="str">
        <f t="shared" si="17"/>
        <v>0011-1004-0047</v>
      </c>
      <c r="L215" s="96" t="str">
        <f>VLOOKUP(K215,COA!$A$3:$B$337,2,FALSE)</f>
        <v>L17</v>
      </c>
      <c r="M215" s="96" t="str">
        <f t="shared" si="18"/>
        <v>L17</v>
      </c>
      <c r="N215" s="96" t="str">
        <f>VLOOKUP(M215,CAC!$A$2:$B$198,2,FALSE)</f>
        <v>HMOLG</v>
      </c>
    </row>
    <row r="216" spans="5:14" x14ac:dyDescent="0.25">
      <c r="E216" s="136">
        <v>201708</v>
      </c>
      <c r="F216" s="138" t="s">
        <v>344</v>
      </c>
      <c r="G216" s="138" t="s">
        <v>355</v>
      </c>
      <c r="H216" s="138" t="s">
        <v>344</v>
      </c>
      <c r="I216" s="139">
        <v>53</v>
      </c>
      <c r="K216" s="96" t="str">
        <f t="shared" si="17"/>
        <v>0012-1006-0012</v>
      </c>
      <c r="L216" s="96" t="str">
        <f>VLOOKUP(K216,COA!$A$3:$B$337,2,FALSE)</f>
        <v>L16</v>
      </c>
      <c r="M216" s="96" t="str">
        <f t="shared" si="18"/>
        <v>L16</v>
      </c>
      <c r="N216" s="96" t="str">
        <f>VLOOKUP(M216,CAC!$A$2:$B$198,2,FALSE)</f>
        <v>HMOLG</v>
      </c>
    </row>
    <row r="217" spans="5:14" x14ac:dyDescent="0.25">
      <c r="E217" s="136">
        <v>201611</v>
      </c>
      <c r="F217" s="138" t="s">
        <v>344</v>
      </c>
      <c r="G217" s="138" t="s">
        <v>352</v>
      </c>
      <c r="H217" s="138" t="s">
        <v>360</v>
      </c>
      <c r="I217" s="139">
        <v>214</v>
      </c>
      <c r="K217" s="96" t="str">
        <f t="shared" si="17"/>
        <v>0012-1004-0048</v>
      </c>
      <c r="L217" s="96" t="str">
        <f>VLOOKUP(K217,COA!$A$3:$B$337,2,FALSE)</f>
        <v>L22</v>
      </c>
      <c r="M217" s="96" t="str">
        <f t="shared" si="18"/>
        <v>L22</v>
      </c>
      <c r="N217" s="96" t="str">
        <f>VLOOKUP(M217,CAC!$A$2:$B$198,2,FALSE)</f>
        <v>HMFLEX</v>
      </c>
    </row>
    <row r="218" spans="5:14" x14ac:dyDescent="0.25">
      <c r="E218" s="136">
        <v>201601</v>
      </c>
      <c r="F218" s="138" t="s">
        <v>345</v>
      </c>
      <c r="G218" s="138" t="s">
        <v>348</v>
      </c>
      <c r="H218" s="138" t="s">
        <v>344</v>
      </c>
      <c r="I218" s="139">
        <v>0.21</v>
      </c>
      <c r="K218" s="96" t="str">
        <f t="shared" si="17"/>
        <v>0011-1010-0012</v>
      </c>
      <c r="L218" s="96" t="e">
        <f>VLOOKUP(K218,COA!$A$3:$B$337,2,FALSE)</f>
        <v>#N/A</v>
      </c>
      <c r="M218" s="96" t="str">
        <f t="shared" si="18"/>
        <v>XXX</v>
      </c>
      <c r="N218" s="96" t="str">
        <f>VLOOKUP(M218,CAC!$A$2:$B$198,2,FALSE)</f>
        <v>XXX</v>
      </c>
    </row>
    <row r="219" spans="5:14" x14ac:dyDescent="0.25">
      <c r="E219" s="136">
        <v>201512</v>
      </c>
      <c r="F219" s="138" t="s">
        <v>506</v>
      </c>
      <c r="G219" s="138" t="s">
        <v>354</v>
      </c>
      <c r="H219" s="138" t="s">
        <v>592</v>
      </c>
      <c r="I219" s="139">
        <v>0</v>
      </c>
      <c r="K219" s="96" t="str">
        <f t="shared" si="17"/>
        <v>0013-1013-0035</v>
      </c>
      <c r="L219" s="96" t="str">
        <f>VLOOKUP(K219,COA!$A$3:$B$337,2,FALSE)</f>
        <v>N44</v>
      </c>
      <c r="M219" s="96" t="str">
        <f t="shared" si="18"/>
        <v>N44</v>
      </c>
      <c r="N219" s="96" t="e">
        <f>VLOOKUP(M219,CAC!$A$2:$B$198,2,FALSE)</f>
        <v>#N/A</v>
      </c>
    </row>
    <row r="220" spans="5:14" x14ac:dyDescent="0.25">
      <c r="E220" s="136">
        <v>201604</v>
      </c>
      <c r="F220" s="138" t="s">
        <v>345</v>
      </c>
      <c r="G220" s="138" t="s">
        <v>348</v>
      </c>
      <c r="H220" s="138" t="s">
        <v>353</v>
      </c>
      <c r="I220" s="139">
        <v>315</v>
      </c>
      <c r="K220" s="96" t="str">
        <f t="shared" si="17"/>
        <v>0011-1010-0023</v>
      </c>
      <c r="L220" s="96" t="str">
        <f>VLOOKUP(K220,COA!$A$3:$B$337,2,FALSE)</f>
        <v>S13</v>
      </c>
      <c r="M220" s="96" t="str">
        <f t="shared" si="18"/>
        <v>S13</v>
      </c>
      <c r="N220" s="96" t="str">
        <f>VLOOKUP(M220,CAC!$A$2:$B$198,2,FALSE)</f>
        <v>HMOSG</v>
      </c>
    </row>
    <row r="221" spans="5:14" x14ac:dyDescent="0.25">
      <c r="E221" s="136">
        <v>201703</v>
      </c>
      <c r="F221" s="138" t="s">
        <v>506</v>
      </c>
      <c r="G221" s="138" t="s">
        <v>361</v>
      </c>
      <c r="H221" s="138" t="s">
        <v>592</v>
      </c>
      <c r="I221" s="139">
        <v>0</v>
      </c>
      <c r="K221" s="96" t="str">
        <f t="shared" si="17"/>
        <v>0013-1003-0035</v>
      </c>
      <c r="L221" s="96" t="str">
        <f>VLOOKUP(K221,COA!$A$3:$B$337,2,FALSE)</f>
        <v>N32</v>
      </c>
      <c r="M221" s="96" t="str">
        <f t="shared" si="18"/>
        <v>N32</v>
      </c>
      <c r="N221" s="96" t="e">
        <f>VLOOKUP(M221,CAC!$A$2:$B$198,2,FALSE)</f>
        <v>#N/A</v>
      </c>
    </row>
    <row r="222" spans="5:14" x14ac:dyDescent="0.25">
      <c r="E222" s="136">
        <v>201704</v>
      </c>
      <c r="F222" s="138" t="s">
        <v>563</v>
      </c>
      <c r="G222" s="138" t="s">
        <v>369</v>
      </c>
      <c r="H222" s="138" t="s">
        <v>353</v>
      </c>
      <c r="I222" s="139">
        <v>0</v>
      </c>
      <c r="K222" s="96" t="str">
        <f t="shared" si="17"/>
        <v>0003-1009-0023</v>
      </c>
      <c r="L222" s="96" t="e">
        <f>VLOOKUP(K222,COA!$A$3:$B$337,2,FALSE)</f>
        <v>#N/A</v>
      </c>
      <c r="M222" s="96" t="str">
        <f t="shared" si="18"/>
        <v>XXX</v>
      </c>
      <c r="N222" s="96" t="str">
        <f>VLOOKUP(M222,CAC!$A$2:$B$198,2,FALSE)</f>
        <v>XXX</v>
      </c>
    </row>
    <row r="223" spans="5:14" x14ac:dyDescent="0.25">
      <c r="E223" s="136">
        <v>201511</v>
      </c>
      <c r="F223" s="138" t="s">
        <v>349</v>
      </c>
      <c r="G223" s="138" t="s">
        <v>369</v>
      </c>
      <c r="H223" s="138" t="s">
        <v>344</v>
      </c>
      <c r="I223" s="139">
        <v>37215</v>
      </c>
      <c r="K223" s="96" t="str">
        <f t="shared" si="17"/>
        <v>0017-1009-0012</v>
      </c>
      <c r="L223" s="96" t="str">
        <f>VLOOKUP(K223,COA!$A$3:$B$337,2,FALSE)</f>
        <v>R12</v>
      </c>
      <c r="M223" s="96" t="str">
        <f t="shared" si="18"/>
        <v>R12</v>
      </c>
      <c r="N223" s="96" t="str">
        <f>VLOOKUP(M223,CAC!$A$2:$B$198,2,FALSE)</f>
        <v>HMOMM</v>
      </c>
    </row>
    <row r="224" spans="5:14" x14ac:dyDescent="0.25">
      <c r="E224" s="136">
        <v>201510</v>
      </c>
      <c r="F224" s="138" t="s">
        <v>549</v>
      </c>
      <c r="G224" s="138" t="s">
        <v>356</v>
      </c>
      <c r="H224" s="138" t="s">
        <v>672</v>
      </c>
      <c r="I224" s="139">
        <v>0</v>
      </c>
      <c r="K224" s="96" t="str">
        <f t="shared" si="17"/>
        <v>0026-1002-0058</v>
      </c>
      <c r="L224" s="96" t="str">
        <f>VLOOKUP(K224,COA!$A$3:$B$337,2,FALSE)</f>
        <v>L45</v>
      </c>
      <c r="M224" s="96" t="str">
        <f t="shared" si="18"/>
        <v>L45</v>
      </c>
      <c r="N224" s="96" t="e">
        <f>VLOOKUP(M224,CAC!$A$2:$B$198,2,FALSE)</f>
        <v>#N/A</v>
      </c>
    </row>
    <row r="225" spans="5:14" x14ac:dyDescent="0.25">
      <c r="E225" s="136">
        <v>201610</v>
      </c>
      <c r="F225" s="138" t="s">
        <v>413</v>
      </c>
      <c r="G225" s="138" t="s">
        <v>365</v>
      </c>
      <c r="H225" s="138" t="s">
        <v>411</v>
      </c>
      <c r="I225" s="139">
        <v>0</v>
      </c>
      <c r="K225" s="96" t="str">
        <f t="shared" si="17"/>
        <v>0008-1001-0007</v>
      </c>
      <c r="L225" s="96" t="str">
        <f>VLOOKUP(K225,COA!$A$3:$B$337,2,FALSE)</f>
        <v>C99</v>
      </c>
      <c r="M225" s="96" t="str">
        <f t="shared" si="18"/>
        <v>C99</v>
      </c>
      <c r="N225" s="96" t="str">
        <f>VLOOKUP(M225,CAC!$A$2:$B$198,2,FALSE)</f>
        <v>DOIIFP</v>
      </c>
    </row>
    <row r="226" spans="5:14" x14ac:dyDescent="0.25">
      <c r="E226" s="136">
        <v>201712</v>
      </c>
      <c r="F226" s="138" t="s">
        <v>345</v>
      </c>
      <c r="G226" s="138" t="s">
        <v>352</v>
      </c>
      <c r="H226" s="138" t="s">
        <v>357</v>
      </c>
      <c r="I226" s="139">
        <v>20</v>
      </c>
      <c r="K226" s="96" t="str">
        <f t="shared" si="17"/>
        <v>0011-1004-0038</v>
      </c>
      <c r="L226" s="96" t="str">
        <f>VLOOKUP(K226,COA!$A$3:$B$337,2,FALSE)</f>
        <v>L14</v>
      </c>
      <c r="M226" s="96" t="str">
        <f t="shared" si="18"/>
        <v>L14</v>
      </c>
      <c r="N226" s="96" t="str">
        <f>VLOOKUP(M226,CAC!$A$2:$B$198,2,FALSE)</f>
        <v>HMOLG</v>
      </c>
    </row>
    <row r="227" spans="5:14" x14ac:dyDescent="0.25">
      <c r="E227" s="136">
        <v>201801</v>
      </c>
      <c r="F227" s="138" t="s">
        <v>345</v>
      </c>
      <c r="G227" s="138" t="s">
        <v>359</v>
      </c>
      <c r="H227" s="138" t="s">
        <v>344</v>
      </c>
      <c r="I227" s="139">
        <v>7035</v>
      </c>
      <c r="K227" s="96" t="str">
        <f t="shared" si="17"/>
        <v>0011-1005-0012</v>
      </c>
      <c r="L227" s="96" t="str">
        <f>VLOOKUP(K227,COA!$A$3:$B$337,2,FALSE)</f>
        <v>N11</v>
      </c>
      <c r="M227" s="96" t="str">
        <f t="shared" si="18"/>
        <v>N11</v>
      </c>
      <c r="N227" s="96" t="str">
        <f>VLOOKUP(M227,CAC!$A$2:$B$198,2,FALSE)</f>
        <v>HMOLG</v>
      </c>
    </row>
    <row r="228" spans="5:14" x14ac:dyDescent="0.25">
      <c r="E228" s="136">
        <v>201607</v>
      </c>
      <c r="F228" s="138" t="s">
        <v>563</v>
      </c>
      <c r="G228" s="138" t="s">
        <v>348</v>
      </c>
      <c r="H228" s="138" t="s">
        <v>349</v>
      </c>
      <c r="I228" s="139">
        <v>0</v>
      </c>
      <c r="K228" s="96" t="str">
        <f t="shared" si="17"/>
        <v>0003-1010-0017</v>
      </c>
      <c r="L228" s="96" t="str">
        <f>VLOOKUP(K228,COA!$A$3:$B$337,2,FALSE)</f>
        <v>S51</v>
      </c>
      <c r="M228" s="96" t="str">
        <f t="shared" si="18"/>
        <v>S51</v>
      </c>
      <c r="N228" s="96" t="str">
        <f>VLOOKUP(M228,CAC!$A$2:$B$198,2,FALSE)</f>
        <v>PPOSG</v>
      </c>
    </row>
    <row r="229" spans="5:14" x14ac:dyDescent="0.25">
      <c r="E229" s="136">
        <v>201510</v>
      </c>
      <c r="F229" s="138" t="s">
        <v>413</v>
      </c>
      <c r="G229" s="138" t="s">
        <v>365</v>
      </c>
      <c r="H229" s="138" t="s">
        <v>344</v>
      </c>
      <c r="I229" s="139">
        <v>0</v>
      </c>
      <c r="K229" s="96" t="str">
        <f t="shared" si="17"/>
        <v>0008-1001-0012</v>
      </c>
      <c r="L229" s="96" t="str">
        <f>VLOOKUP(K229,COA!$A$3:$B$337,2,FALSE)</f>
        <v>C95</v>
      </c>
      <c r="M229" s="96" t="str">
        <f t="shared" si="18"/>
        <v>C95</v>
      </c>
      <c r="N229" s="96" t="str">
        <f>VLOOKUP(M229,CAC!$A$2:$B$198,2,FALSE)</f>
        <v>DOIIFP</v>
      </c>
    </row>
    <row r="230" spans="5:14" x14ac:dyDescent="0.25">
      <c r="E230" s="136">
        <v>201612</v>
      </c>
      <c r="F230" s="138" t="s">
        <v>563</v>
      </c>
      <c r="G230" s="138" t="s">
        <v>354</v>
      </c>
      <c r="H230" s="138" t="s">
        <v>653</v>
      </c>
      <c r="I230" s="139">
        <v>0</v>
      </c>
      <c r="K230" s="96" t="str">
        <f t="shared" si="17"/>
        <v>0003-1013-0047</v>
      </c>
      <c r="L230" s="96" t="str">
        <f>VLOOKUP(K230,COA!$A$3:$B$337,2,FALSE)</f>
        <v>N57</v>
      </c>
      <c r="M230" s="96" t="str">
        <f t="shared" si="18"/>
        <v>N57</v>
      </c>
      <c r="N230" s="96" t="str">
        <f>VLOOKUP(M230,CAC!$A$2:$B$198,2,FALSE)</f>
        <v>PPOPMR</v>
      </c>
    </row>
    <row r="231" spans="5:14" x14ac:dyDescent="0.25">
      <c r="E231" s="136">
        <v>201610</v>
      </c>
      <c r="F231" s="138" t="s">
        <v>413</v>
      </c>
      <c r="G231" s="138" t="s">
        <v>359</v>
      </c>
      <c r="H231" s="138" t="s">
        <v>344</v>
      </c>
      <c r="I231" s="139">
        <v>0</v>
      </c>
      <c r="K231" s="96" t="str">
        <f t="shared" si="17"/>
        <v>0008-1005-0012</v>
      </c>
      <c r="L231" s="96" t="str">
        <f>VLOOKUP(K231,COA!$A$3:$B$337,2,FALSE)</f>
        <v>C73</v>
      </c>
      <c r="M231" s="96" t="str">
        <f t="shared" si="18"/>
        <v>C73</v>
      </c>
      <c r="N231" s="96" t="str">
        <f>VLOOKUP(M231,CAC!$A$2:$B$198,2,FALSE)</f>
        <v>DOILG</v>
      </c>
    </row>
    <row r="232" spans="5:14" x14ac:dyDescent="0.25">
      <c r="E232" s="136">
        <v>201611</v>
      </c>
      <c r="F232" s="138" t="s">
        <v>345</v>
      </c>
      <c r="G232" s="138" t="s">
        <v>350</v>
      </c>
      <c r="H232" s="138" t="s">
        <v>344</v>
      </c>
      <c r="I232" s="139">
        <v>14669.16</v>
      </c>
      <c r="K232" s="96" t="str">
        <f t="shared" si="17"/>
        <v>0011-1012-0012</v>
      </c>
      <c r="L232" s="96" t="str">
        <f>VLOOKUP(K232,COA!$A$3:$B$337,2,FALSE)</f>
        <v>K11</v>
      </c>
      <c r="M232" s="96" t="str">
        <f t="shared" si="18"/>
        <v>K11</v>
      </c>
      <c r="N232" s="96" t="str">
        <f>VLOOKUP(M232,CAC!$A$2:$B$198,2,FALSE)</f>
        <v>HMOPMR</v>
      </c>
    </row>
    <row r="233" spans="5:14" x14ac:dyDescent="0.25">
      <c r="E233" s="136">
        <v>201610</v>
      </c>
      <c r="F233" s="138" t="s">
        <v>413</v>
      </c>
      <c r="G233" s="138" t="s">
        <v>365</v>
      </c>
      <c r="H233" s="138" t="s">
        <v>344</v>
      </c>
      <c r="I233" s="139">
        <v>0</v>
      </c>
      <c r="K233" s="96" t="str">
        <f t="shared" si="17"/>
        <v>0008-1001-0012</v>
      </c>
      <c r="L233" s="96" t="str">
        <f>VLOOKUP(K233,COA!$A$3:$B$337,2,FALSE)</f>
        <v>C95</v>
      </c>
      <c r="M233" s="96" t="str">
        <f t="shared" si="18"/>
        <v>C95</v>
      </c>
      <c r="N233" s="96" t="str">
        <f>VLOOKUP(M233,CAC!$A$2:$B$198,2,FALSE)</f>
        <v>DOIIFP</v>
      </c>
    </row>
    <row r="234" spans="5:14" x14ac:dyDescent="0.25">
      <c r="E234" s="136">
        <v>201510</v>
      </c>
      <c r="F234" s="138" t="s">
        <v>563</v>
      </c>
      <c r="G234" s="138" t="s">
        <v>348</v>
      </c>
      <c r="H234" s="138" t="s">
        <v>349</v>
      </c>
      <c r="I234" s="139">
        <v>0</v>
      </c>
      <c r="K234" s="96" t="str">
        <f t="shared" si="17"/>
        <v>0003-1010-0017</v>
      </c>
      <c r="L234" s="96" t="str">
        <f>VLOOKUP(K234,COA!$A$3:$B$337,2,FALSE)</f>
        <v>S51</v>
      </c>
      <c r="M234" s="96" t="str">
        <f t="shared" si="18"/>
        <v>S51</v>
      </c>
      <c r="N234" s="96" t="str">
        <f>VLOOKUP(M234,CAC!$A$2:$B$198,2,FALSE)</f>
        <v>PPOSG</v>
      </c>
    </row>
    <row r="235" spans="5:14" x14ac:dyDescent="0.25">
      <c r="E235" s="136">
        <v>201706</v>
      </c>
      <c r="F235" s="138" t="s">
        <v>345</v>
      </c>
      <c r="G235" s="138" t="s">
        <v>361</v>
      </c>
      <c r="H235" s="138" t="s">
        <v>344</v>
      </c>
      <c r="I235" s="139">
        <v>937</v>
      </c>
      <c r="K235" s="96" t="str">
        <f t="shared" si="17"/>
        <v>0011-1003-0012</v>
      </c>
      <c r="L235" s="96" t="str">
        <f>VLOOKUP(K235,COA!$A$3:$B$337,2,FALSE)</f>
        <v>N16</v>
      </c>
      <c r="M235" s="96" t="str">
        <f t="shared" si="18"/>
        <v>N16</v>
      </c>
      <c r="N235" s="96" t="str">
        <f>VLOOKUP(M235,CAC!$A$2:$B$198,2,FALSE)</f>
        <v>HMOPMR</v>
      </c>
    </row>
    <row r="236" spans="5:14" x14ac:dyDescent="0.25">
      <c r="E236" s="136">
        <v>201704</v>
      </c>
      <c r="F236" s="138" t="s">
        <v>563</v>
      </c>
      <c r="G236" s="138" t="s">
        <v>352</v>
      </c>
      <c r="H236" s="138" t="s">
        <v>626</v>
      </c>
      <c r="I236" s="139">
        <v>0</v>
      </c>
      <c r="K236" s="96" t="str">
        <f t="shared" si="17"/>
        <v>0003-1004-0057</v>
      </c>
      <c r="L236" s="96" t="e">
        <f>VLOOKUP(K236,COA!$A$3:$B$337,2,FALSE)</f>
        <v>#N/A</v>
      </c>
      <c r="M236" s="96" t="str">
        <f t="shared" si="18"/>
        <v>XXX</v>
      </c>
      <c r="N236" s="96" t="str">
        <f>VLOOKUP(M236,CAC!$A$2:$B$198,2,FALSE)</f>
        <v>XXX</v>
      </c>
    </row>
    <row r="237" spans="5:14" x14ac:dyDescent="0.25">
      <c r="E237" s="136">
        <v>201611</v>
      </c>
      <c r="F237" s="138" t="s">
        <v>563</v>
      </c>
      <c r="G237" s="138" t="s">
        <v>354</v>
      </c>
      <c r="H237" s="138" t="s">
        <v>653</v>
      </c>
      <c r="I237" s="139">
        <v>0</v>
      </c>
      <c r="K237" s="96" t="str">
        <f t="shared" si="17"/>
        <v>0003-1013-0047</v>
      </c>
      <c r="L237" s="96" t="str">
        <f>VLOOKUP(K237,COA!$A$3:$B$337,2,FALSE)</f>
        <v>N57</v>
      </c>
      <c r="M237" s="96" t="str">
        <f t="shared" si="18"/>
        <v>N57</v>
      </c>
      <c r="N237" s="96" t="str">
        <f>VLOOKUP(M237,CAC!$A$2:$B$198,2,FALSE)</f>
        <v>PPOPMR</v>
      </c>
    </row>
    <row r="238" spans="5:14" x14ac:dyDescent="0.25">
      <c r="E238" s="136">
        <v>201602</v>
      </c>
      <c r="F238" s="138" t="s">
        <v>746</v>
      </c>
      <c r="G238" s="138" t="s">
        <v>350</v>
      </c>
      <c r="H238" s="138" t="s">
        <v>344</v>
      </c>
      <c r="I238" s="139">
        <v>58</v>
      </c>
      <c r="K238" s="96" t="str">
        <f t="shared" si="17"/>
        <v>0016-1012-0012</v>
      </c>
      <c r="L238" s="96" t="str">
        <f>VLOOKUP(K238,COA!$A$3:$B$337,2,FALSE)</f>
        <v>R19</v>
      </c>
      <c r="M238" s="96" t="str">
        <f t="shared" si="18"/>
        <v>R19</v>
      </c>
      <c r="N238" s="96" t="str">
        <f>VLOOKUP(M238,CAC!$A$2:$B$198,2,FALSE)</f>
        <v>HMOMG</v>
      </c>
    </row>
    <row r="239" spans="5:14" x14ac:dyDescent="0.25">
      <c r="E239" s="136">
        <v>201605</v>
      </c>
      <c r="F239" s="138" t="s">
        <v>746</v>
      </c>
      <c r="G239" s="138" t="s">
        <v>356</v>
      </c>
      <c r="H239" s="138" t="s">
        <v>344</v>
      </c>
      <c r="I239" s="139">
        <v>130</v>
      </c>
      <c r="K239" s="96" t="str">
        <f t="shared" si="17"/>
        <v>0016-1002-0012</v>
      </c>
      <c r="L239" s="96" t="str">
        <f>VLOOKUP(K239,COA!$A$3:$B$337,2,FALSE)</f>
        <v>R18</v>
      </c>
      <c r="M239" s="96" t="str">
        <f t="shared" si="18"/>
        <v>R18</v>
      </c>
      <c r="N239" s="96" t="str">
        <f>VLOOKUP(M239,CAC!$A$2:$B$198,2,FALSE)</f>
        <v>HMOMG</v>
      </c>
    </row>
    <row r="240" spans="5:14" x14ac:dyDescent="0.25">
      <c r="E240" s="136">
        <v>201708</v>
      </c>
      <c r="F240" s="138" t="s">
        <v>746</v>
      </c>
      <c r="G240" s="138" t="s">
        <v>350</v>
      </c>
      <c r="H240" s="138" t="s">
        <v>764</v>
      </c>
      <c r="I240" s="139">
        <v>21</v>
      </c>
      <c r="K240" s="96" t="str">
        <f t="shared" si="17"/>
        <v>0016-1012-0064</v>
      </c>
      <c r="L240" s="96" t="str">
        <f>VLOOKUP(K240,COA!$A$3:$B$337,2,FALSE)</f>
        <v>R25</v>
      </c>
      <c r="M240" s="96" t="str">
        <f t="shared" si="18"/>
        <v>R25</v>
      </c>
      <c r="N240" s="96" t="str">
        <f>VLOOKUP(M240,CAC!$A$2:$B$198,2,FALSE)</f>
        <v>HMOMG</v>
      </c>
    </row>
    <row r="241" spans="5:14" x14ac:dyDescent="0.25">
      <c r="E241" s="136">
        <v>201712</v>
      </c>
      <c r="F241" s="138" t="s">
        <v>746</v>
      </c>
      <c r="G241" s="138" t="s">
        <v>354</v>
      </c>
      <c r="H241" s="138" t="s">
        <v>344</v>
      </c>
      <c r="I241" s="139">
        <v>107</v>
      </c>
      <c r="K241" s="96" t="str">
        <f t="shared" si="17"/>
        <v>0016-1013-0012</v>
      </c>
      <c r="L241" s="96" t="str">
        <f>VLOOKUP(K241,COA!$A$3:$B$337,2,FALSE)</f>
        <v>R19</v>
      </c>
      <c r="M241" s="96" t="str">
        <f t="shared" si="18"/>
        <v>R19</v>
      </c>
      <c r="N241" s="96" t="str">
        <f>VLOOKUP(M241,CAC!$A$2:$B$198,2,FALSE)</f>
        <v>HMOMG</v>
      </c>
    </row>
    <row r="242" spans="5:14" x14ac:dyDescent="0.25">
      <c r="E242" s="136">
        <v>201605</v>
      </c>
      <c r="F242" s="138" t="s">
        <v>349</v>
      </c>
      <c r="G242" s="138" t="s">
        <v>369</v>
      </c>
      <c r="H242" s="138" t="s">
        <v>764</v>
      </c>
      <c r="I242" s="139">
        <v>3</v>
      </c>
      <c r="K242" s="96" t="str">
        <f t="shared" si="17"/>
        <v>0017-1009-0064</v>
      </c>
      <c r="L242" s="96" t="str">
        <f>VLOOKUP(K242,COA!$A$3:$B$337,2,FALSE)</f>
        <v>R15</v>
      </c>
      <c r="M242" s="96" t="str">
        <f t="shared" si="18"/>
        <v>R15</v>
      </c>
      <c r="N242" s="96" t="str">
        <f>VLOOKUP(M242,CAC!$A$2:$B$198,2,FALSE)</f>
        <v>HMOMM</v>
      </c>
    </row>
    <row r="243" spans="5:14" x14ac:dyDescent="0.25">
      <c r="E243" s="136">
        <v>201510</v>
      </c>
      <c r="F243" s="138" t="s">
        <v>344</v>
      </c>
      <c r="G243" s="138" t="s">
        <v>352</v>
      </c>
      <c r="H243" s="138" t="s">
        <v>344</v>
      </c>
      <c r="I243" s="139">
        <v>451</v>
      </c>
      <c r="K243" s="96" t="str">
        <f t="shared" si="17"/>
        <v>0012-1004-0012</v>
      </c>
      <c r="L243" s="96" t="str">
        <f>VLOOKUP(K243,COA!$A$3:$B$337,2,FALSE)</f>
        <v>L12</v>
      </c>
      <c r="M243" s="96" t="str">
        <f t="shared" si="18"/>
        <v>L12</v>
      </c>
      <c r="N243" s="96" t="str">
        <f>VLOOKUP(M243,CAC!$A$2:$B$198,2,FALSE)</f>
        <v>HMOLG</v>
      </c>
    </row>
    <row r="244" spans="5:14" x14ac:dyDescent="0.25">
      <c r="E244" s="136">
        <v>201703</v>
      </c>
      <c r="F244" s="138" t="s">
        <v>563</v>
      </c>
      <c r="G244" s="138" t="s">
        <v>348</v>
      </c>
      <c r="H244" s="138" t="s">
        <v>353</v>
      </c>
      <c r="I244" s="139">
        <v>0</v>
      </c>
      <c r="K244" s="96" t="str">
        <f t="shared" si="17"/>
        <v>0003-1010-0023</v>
      </c>
      <c r="L244" s="96" t="str">
        <f>VLOOKUP(K244,COA!$A$3:$B$337,2,FALSE)</f>
        <v>S54</v>
      </c>
      <c r="M244" s="96" t="str">
        <f t="shared" si="18"/>
        <v>S54</v>
      </c>
      <c r="N244" s="96" t="str">
        <f>VLOOKUP(M244,CAC!$A$2:$B$198,2,FALSE)</f>
        <v>PPOSG</v>
      </c>
    </row>
    <row r="245" spans="5:14" x14ac:dyDescent="0.25">
      <c r="E245" s="136">
        <v>201511</v>
      </c>
      <c r="F245" s="138" t="s">
        <v>746</v>
      </c>
      <c r="G245" s="138" t="s">
        <v>355</v>
      </c>
      <c r="H245" s="138" t="s">
        <v>344</v>
      </c>
      <c r="I245" s="139">
        <v>1</v>
      </c>
      <c r="K245" s="96" t="str">
        <f t="shared" si="17"/>
        <v>0016-1006-0012</v>
      </c>
      <c r="L245" s="96" t="str">
        <f>VLOOKUP(K245,COA!$A$3:$B$337,2,FALSE)</f>
        <v>R21</v>
      </c>
      <c r="M245" s="96" t="str">
        <f t="shared" si="18"/>
        <v>R21</v>
      </c>
      <c r="N245" s="96" t="str">
        <f>VLOOKUP(M245,CAC!$A$2:$B$198,2,FALSE)</f>
        <v>HMOMG</v>
      </c>
    </row>
    <row r="246" spans="5:14" x14ac:dyDescent="0.25">
      <c r="E246" s="136">
        <v>201711</v>
      </c>
      <c r="F246" s="138" t="s">
        <v>563</v>
      </c>
      <c r="G246" s="138" t="s">
        <v>365</v>
      </c>
      <c r="H246" s="138" t="s">
        <v>366</v>
      </c>
      <c r="I246" s="139">
        <v>0</v>
      </c>
      <c r="K246" s="96" t="str">
        <f t="shared" si="17"/>
        <v>0003-1001-0021</v>
      </c>
      <c r="L246" s="96" t="str">
        <f>VLOOKUP(K246,COA!$A$3:$B$337,2,FALSE)</f>
        <v>V53</v>
      </c>
      <c r="M246" s="96" t="str">
        <f t="shared" si="18"/>
        <v>V53</v>
      </c>
      <c r="N246" s="96" t="str">
        <f>VLOOKUP(M246,CAC!$A$2:$B$198,2,FALSE)</f>
        <v>PPOIFP</v>
      </c>
    </row>
    <row r="247" spans="5:14" x14ac:dyDescent="0.25">
      <c r="E247" s="136">
        <v>201612</v>
      </c>
      <c r="F247" s="138" t="s">
        <v>413</v>
      </c>
      <c r="G247" s="138" t="s">
        <v>359</v>
      </c>
      <c r="H247" s="138" t="s">
        <v>344</v>
      </c>
      <c r="I247" s="139">
        <v>0</v>
      </c>
      <c r="K247" s="96" t="str">
        <f t="shared" si="17"/>
        <v>0008-1005-0012</v>
      </c>
      <c r="L247" s="96" t="str">
        <f>VLOOKUP(K247,COA!$A$3:$B$337,2,FALSE)</f>
        <v>C73</v>
      </c>
      <c r="M247" s="96" t="str">
        <f t="shared" si="18"/>
        <v>C73</v>
      </c>
      <c r="N247" s="96" t="str">
        <f>VLOOKUP(M247,CAC!$A$2:$B$198,2,FALSE)</f>
        <v>DOILG</v>
      </c>
    </row>
    <row r="248" spans="5:14" x14ac:dyDescent="0.25">
      <c r="E248" s="136">
        <v>201710</v>
      </c>
      <c r="F248" s="138" t="s">
        <v>549</v>
      </c>
      <c r="G248" s="138" t="s">
        <v>352</v>
      </c>
      <c r="H248" s="138" t="s">
        <v>672</v>
      </c>
      <c r="I248" s="139">
        <v>0</v>
      </c>
      <c r="K248" s="96" t="str">
        <f t="shared" si="17"/>
        <v>0026-1004-0058</v>
      </c>
      <c r="L248" s="96" t="str">
        <f>VLOOKUP(K248,COA!$A$3:$B$337,2,FALSE)</f>
        <v>L44</v>
      </c>
      <c r="M248" s="96" t="str">
        <f t="shared" si="18"/>
        <v>L44</v>
      </c>
      <c r="N248" s="96" t="e">
        <f>VLOOKUP(M248,CAC!$A$2:$B$198,2,FALSE)</f>
        <v>#N/A</v>
      </c>
    </row>
    <row r="249" spans="5:14" x14ac:dyDescent="0.25">
      <c r="E249" s="136">
        <v>201709</v>
      </c>
      <c r="F249" s="138" t="s">
        <v>746</v>
      </c>
      <c r="G249" s="138" t="s">
        <v>356</v>
      </c>
      <c r="H249" s="138" t="s">
        <v>764</v>
      </c>
      <c r="I249" s="139">
        <v>642</v>
      </c>
      <c r="K249" s="96" t="str">
        <f t="shared" si="17"/>
        <v>0016-1002-0064</v>
      </c>
      <c r="L249" s="96" t="str">
        <f>VLOOKUP(K249,COA!$A$3:$B$337,2,FALSE)</f>
        <v>R25</v>
      </c>
      <c r="M249" s="96" t="str">
        <f t="shared" si="18"/>
        <v>R25</v>
      </c>
      <c r="N249" s="96" t="str">
        <f>VLOOKUP(M249,CAC!$A$2:$B$198,2,FALSE)</f>
        <v>HMOMG</v>
      </c>
    </row>
    <row r="250" spans="5:14" x14ac:dyDescent="0.25">
      <c r="E250" s="136">
        <v>201508</v>
      </c>
      <c r="F250" s="138" t="s">
        <v>563</v>
      </c>
      <c r="G250" s="138" t="s">
        <v>359</v>
      </c>
      <c r="H250" s="138" t="s">
        <v>344</v>
      </c>
      <c r="I250" s="139">
        <v>0</v>
      </c>
      <c r="K250" s="96" t="str">
        <f t="shared" si="17"/>
        <v>0003-1005-0012</v>
      </c>
      <c r="L250" s="96" t="str">
        <f>VLOOKUP(K250,COA!$A$3:$B$337,2,FALSE)</f>
        <v>N51</v>
      </c>
      <c r="M250" s="96" t="str">
        <f t="shared" si="18"/>
        <v>N51</v>
      </c>
      <c r="N250" s="96" t="str">
        <f>VLOOKUP(M250,CAC!$A$2:$B$198,2,FALSE)</f>
        <v>PPOLG</v>
      </c>
    </row>
    <row r="251" spans="5:14" x14ac:dyDescent="0.25">
      <c r="E251" s="136">
        <v>201603</v>
      </c>
      <c r="F251" s="138" t="s">
        <v>413</v>
      </c>
      <c r="G251" s="138" t="s">
        <v>365</v>
      </c>
      <c r="H251" s="138" t="s">
        <v>344</v>
      </c>
      <c r="I251" s="139">
        <v>0</v>
      </c>
      <c r="K251" s="96" t="str">
        <f t="shared" si="17"/>
        <v>0008-1001-0012</v>
      </c>
      <c r="L251" s="96" t="str">
        <f>VLOOKUP(K251,COA!$A$3:$B$337,2,FALSE)</f>
        <v>C95</v>
      </c>
      <c r="M251" s="96" t="str">
        <f t="shared" si="18"/>
        <v>C95</v>
      </c>
      <c r="N251" s="96" t="str">
        <f>VLOOKUP(M251,CAC!$A$2:$B$198,2,FALSE)</f>
        <v>DOIIFP</v>
      </c>
    </row>
    <row r="252" spans="5:14" x14ac:dyDescent="0.25">
      <c r="E252" s="136">
        <v>201601</v>
      </c>
      <c r="F252" s="138" t="s">
        <v>345</v>
      </c>
      <c r="G252" s="138" t="s">
        <v>350</v>
      </c>
      <c r="H252" s="138" t="s">
        <v>344</v>
      </c>
      <c r="I252" s="139">
        <v>14983.66</v>
      </c>
      <c r="K252" s="96" t="str">
        <f t="shared" si="17"/>
        <v>0011-1012-0012</v>
      </c>
      <c r="L252" s="96" t="str">
        <f>VLOOKUP(K252,COA!$A$3:$B$337,2,FALSE)</f>
        <v>K11</v>
      </c>
      <c r="M252" s="96" t="str">
        <f t="shared" si="18"/>
        <v>K11</v>
      </c>
      <c r="N252" s="96" t="str">
        <f>VLOOKUP(M252,CAC!$A$2:$B$198,2,FALSE)</f>
        <v>HMOPMR</v>
      </c>
    </row>
    <row r="253" spans="5:14" x14ac:dyDescent="0.25">
      <c r="E253" s="136">
        <v>201701</v>
      </c>
      <c r="F253" s="138" t="s">
        <v>413</v>
      </c>
      <c r="G253" s="138" t="s">
        <v>359</v>
      </c>
      <c r="H253" s="138" t="s">
        <v>344</v>
      </c>
      <c r="I253" s="139">
        <v>0</v>
      </c>
      <c r="K253" s="96" t="str">
        <f t="shared" si="17"/>
        <v>0008-1005-0012</v>
      </c>
      <c r="L253" s="96" t="str">
        <f>VLOOKUP(K253,COA!$A$3:$B$337,2,FALSE)</f>
        <v>C73</v>
      </c>
      <c r="M253" s="96" t="str">
        <f t="shared" si="18"/>
        <v>C73</v>
      </c>
      <c r="N253" s="96" t="str">
        <f>VLOOKUP(M253,CAC!$A$2:$B$198,2,FALSE)</f>
        <v>DOILG</v>
      </c>
    </row>
    <row r="254" spans="5:14" x14ac:dyDescent="0.25">
      <c r="E254" s="136">
        <v>201710</v>
      </c>
      <c r="F254" s="138" t="s">
        <v>413</v>
      </c>
      <c r="G254" s="138" t="s">
        <v>355</v>
      </c>
      <c r="H254" s="138" t="s">
        <v>344</v>
      </c>
      <c r="I254" s="139">
        <v>0</v>
      </c>
      <c r="K254" s="96" t="str">
        <f t="shared" si="17"/>
        <v>0008-1006-0012</v>
      </c>
      <c r="L254" s="96" t="str">
        <f>VLOOKUP(K254,COA!$A$3:$B$337,2,FALSE)</f>
        <v>C96</v>
      </c>
      <c r="M254" s="96" t="str">
        <f t="shared" si="18"/>
        <v>C96</v>
      </c>
      <c r="N254" s="96" t="str">
        <f>VLOOKUP(M254,CAC!$A$2:$B$198,2,FALSE)</f>
        <v>DOILG</v>
      </c>
    </row>
    <row r="255" spans="5:14" x14ac:dyDescent="0.25">
      <c r="E255" s="136">
        <v>201512</v>
      </c>
      <c r="F255" s="138" t="s">
        <v>344</v>
      </c>
      <c r="G255" s="138" t="s">
        <v>361</v>
      </c>
      <c r="H255" s="138" t="s">
        <v>344</v>
      </c>
      <c r="I255" s="139">
        <v>0</v>
      </c>
      <c r="K255" s="96" t="str">
        <f t="shared" si="17"/>
        <v>0012-1003-0012</v>
      </c>
      <c r="L255" s="96" t="str">
        <f>VLOOKUP(K255,COA!$A$3:$B$337,2,FALSE)</f>
        <v>N15</v>
      </c>
      <c r="M255" s="96" t="str">
        <f t="shared" si="18"/>
        <v>N15</v>
      </c>
      <c r="N255" s="96" t="str">
        <f>VLOOKUP(M255,CAC!$A$2:$B$198,2,FALSE)</f>
        <v>HMOPMR</v>
      </c>
    </row>
    <row r="256" spans="5:14" x14ac:dyDescent="0.25">
      <c r="E256" s="136">
        <v>201712</v>
      </c>
      <c r="F256" s="138" t="s">
        <v>345</v>
      </c>
      <c r="G256" s="138" t="s">
        <v>348</v>
      </c>
      <c r="H256" s="138" t="s">
        <v>349</v>
      </c>
      <c r="I256" s="139">
        <v>33015.25</v>
      </c>
      <c r="K256" s="96" t="str">
        <f t="shared" si="17"/>
        <v>0011-1010-0017</v>
      </c>
      <c r="L256" s="96" t="str">
        <f>VLOOKUP(K256,COA!$A$3:$B$337,2,FALSE)</f>
        <v>S11</v>
      </c>
      <c r="M256" s="96" t="str">
        <f t="shared" si="18"/>
        <v>S11</v>
      </c>
      <c r="N256" s="96" t="str">
        <f>VLOOKUP(M256,CAC!$A$2:$B$198,2,FALSE)</f>
        <v>HMOSG</v>
      </c>
    </row>
    <row r="257" spans="5:14" x14ac:dyDescent="0.25">
      <c r="E257" s="136">
        <v>201511</v>
      </c>
      <c r="F257" s="138" t="s">
        <v>549</v>
      </c>
      <c r="G257" s="138" t="s">
        <v>352</v>
      </c>
      <c r="H257" s="138" t="s">
        <v>672</v>
      </c>
      <c r="I257" s="139">
        <v>0</v>
      </c>
      <c r="K257" s="96" t="str">
        <f t="shared" si="17"/>
        <v>0026-1004-0058</v>
      </c>
      <c r="L257" s="96" t="str">
        <f>VLOOKUP(K257,COA!$A$3:$B$337,2,FALSE)</f>
        <v>L44</v>
      </c>
      <c r="M257" s="96" t="str">
        <f t="shared" si="18"/>
        <v>L44</v>
      </c>
      <c r="N257" s="96" t="e">
        <f>VLOOKUP(M257,CAC!$A$2:$B$198,2,FALSE)</f>
        <v>#N/A</v>
      </c>
    </row>
    <row r="258" spans="5:14" x14ac:dyDescent="0.25">
      <c r="E258" s="136">
        <v>201611</v>
      </c>
      <c r="F258" s="138" t="s">
        <v>506</v>
      </c>
      <c r="G258" s="138" t="s">
        <v>352</v>
      </c>
      <c r="H258" s="138" t="s">
        <v>592</v>
      </c>
      <c r="I258" s="139">
        <v>0</v>
      </c>
      <c r="K258" s="96" t="str">
        <f t="shared" si="17"/>
        <v>0013-1004-0035</v>
      </c>
      <c r="L258" s="96" t="str">
        <f>VLOOKUP(K258,COA!$A$3:$B$337,2,FALSE)</f>
        <v>L41</v>
      </c>
      <c r="M258" s="96" t="str">
        <f t="shared" si="18"/>
        <v>L41</v>
      </c>
      <c r="N258" s="96" t="e">
        <f>VLOOKUP(M258,CAC!$A$2:$B$198,2,FALSE)</f>
        <v>#N/A</v>
      </c>
    </row>
    <row r="259" spans="5:14" x14ac:dyDescent="0.25">
      <c r="E259" s="136">
        <v>201610</v>
      </c>
      <c r="F259" s="138" t="s">
        <v>405</v>
      </c>
      <c r="G259" s="138" t="s">
        <v>362</v>
      </c>
      <c r="H259" s="138" t="s">
        <v>342</v>
      </c>
      <c r="I259" s="139">
        <v>0</v>
      </c>
      <c r="K259" s="96" t="str">
        <f t="shared" ref="K259:K322" si="19">F259&amp;"-"&amp;G259&amp;"-"&amp;H259</f>
        <v>0019-1008-0031</v>
      </c>
      <c r="L259" s="96" t="str">
        <f>VLOOKUP(K259,COA!$A$3:$B$337,2,FALSE)</f>
        <v>P53</v>
      </c>
      <c r="M259" s="96" t="str">
        <f t="shared" si="18"/>
        <v>P53</v>
      </c>
      <c r="N259" s="96" t="str">
        <f>VLOOKUP(M259,CAC!$A$2:$B$198,2,FALSE)</f>
        <v>HMOPERA</v>
      </c>
    </row>
    <row r="260" spans="5:14" x14ac:dyDescent="0.25">
      <c r="E260" s="136">
        <v>201607</v>
      </c>
      <c r="F260" s="138" t="s">
        <v>345</v>
      </c>
      <c r="G260" s="138" t="s">
        <v>351</v>
      </c>
      <c r="H260" s="138" t="s">
        <v>353</v>
      </c>
      <c r="I260" s="139">
        <v>0</v>
      </c>
      <c r="K260" s="96" t="str">
        <f t="shared" si="19"/>
        <v>0011-0000-0023</v>
      </c>
      <c r="L260" s="96" t="e">
        <f>VLOOKUP(K260,COA!$A$3:$B$337,2,FALSE)</f>
        <v>#N/A</v>
      </c>
      <c r="M260" s="96" t="str">
        <f t="shared" ref="M260:M323" si="20">IF(ISNA(L260),"XXX",L260)</f>
        <v>XXX</v>
      </c>
      <c r="N260" s="96" t="str">
        <f>VLOOKUP(M260,CAC!$A$2:$B$198,2,FALSE)</f>
        <v>XXX</v>
      </c>
    </row>
    <row r="261" spans="5:14" x14ac:dyDescent="0.25">
      <c r="E261" s="136">
        <v>201509</v>
      </c>
      <c r="F261" s="138" t="s">
        <v>345</v>
      </c>
      <c r="G261" s="138" t="s">
        <v>348</v>
      </c>
      <c r="H261" s="138" t="s">
        <v>349</v>
      </c>
      <c r="I261" s="139">
        <v>19038.43</v>
      </c>
      <c r="K261" s="96" t="str">
        <f t="shared" si="19"/>
        <v>0011-1010-0017</v>
      </c>
      <c r="L261" s="96" t="str">
        <f>VLOOKUP(K261,COA!$A$3:$B$337,2,FALSE)</f>
        <v>S11</v>
      </c>
      <c r="M261" s="96" t="str">
        <f t="shared" si="20"/>
        <v>S11</v>
      </c>
      <c r="N261" s="96" t="str">
        <f>VLOOKUP(M261,CAC!$A$2:$B$198,2,FALSE)</f>
        <v>HMOSG</v>
      </c>
    </row>
    <row r="262" spans="5:14" x14ac:dyDescent="0.25">
      <c r="E262" s="136">
        <v>201509</v>
      </c>
      <c r="F262" s="138" t="s">
        <v>345</v>
      </c>
      <c r="G262" s="138" t="s">
        <v>355</v>
      </c>
      <c r="H262" s="138" t="s">
        <v>344</v>
      </c>
      <c r="I262" s="139">
        <v>25213.3</v>
      </c>
      <c r="K262" s="96" t="str">
        <f t="shared" si="19"/>
        <v>0011-1006-0012</v>
      </c>
      <c r="L262" s="96" t="str">
        <f>VLOOKUP(K262,COA!$A$3:$B$337,2,FALSE)</f>
        <v>L13</v>
      </c>
      <c r="M262" s="96" t="str">
        <f t="shared" si="20"/>
        <v>L13</v>
      </c>
      <c r="N262" s="96" t="str">
        <f>VLOOKUP(M262,CAC!$A$2:$B$198,2,FALSE)</f>
        <v>HMOLG</v>
      </c>
    </row>
    <row r="263" spans="5:14" x14ac:dyDescent="0.25">
      <c r="E263" s="136">
        <v>201709</v>
      </c>
      <c r="F263" s="138" t="s">
        <v>345</v>
      </c>
      <c r="G263" s="138" t="s">
        <v>348</v>
      </c>
      <c r="H263" s="138" t="s">
        <v>349</v>
      </c>
      <c r="I263" s="139">
        <v>26161.3</v>
      </c>
      <c r="K263" s="96" t="str">
        <f t="shared" si="19"/>
        <v>0011-1010-0017</v>
      </c>
      <c r="L263" s="96" t="str">
        <f>VLOOKUP(K263,COA!$A$3:$B$337,2,FALSE)</f>
        <v>S11</v>
      </c>
      <c r="M263" s="96" t="str">
        <f t="shared" si="20"/>
        <v>S11</v>
      </c>
      <c r="N263" s="96" t="str">
        <f>VLOOKUP(M263,CAC!$A$2:$B$198,2,FALSE)</f>
        <v>HMOSG</v>
      </c>
    </row>
    <row r="264" spans="5:14" x14ac:dyDescent="0.25">
      <c r="E264" s="136">
        <v>201508</v>
      </c>
      <c r="F264" s="138" t="s">
        <v>345</v>
      </c>
      <c r="G264" s="138" t="s">
        <v>359</v>
      </c>
      <c r="H264" s="138" t="s">
        <v>344</v>
      </c>
      <c r="I264" s="139">
        <v>2506</v>
      </c>
      <c r="K264" s="96" t="str">
        <f t="shared" si="19"/>
        <v>0011-1005-0012</v>
      </c>
      <c r="L264" s="96" t="str">
        <f>VLOOKUP(K264,COA!$A$3:$B$337,2,FALSE)</f>
        <v>N11</v>
      </c>
      <c r="M264" s="96" t="str">
        <f t="shared" si="20"/>
        <v>N11</v>
      </c>
      <c r="N264" s="96" t="str">
        <f>VLOOKUP(M264,CAC!$A$2:$B$198,2,FALSE)</f>
        <v>HMOLG</v>
      </c>
    </row>
    <row r="265" spans="5:14" x14ac:dyDescent="0.25">
      <c r="E265" s="136">
        <v>201702</v>
      </c>
      <c r="F265" s="138" t="s">
        <v>563</v>
      </c>
      <c r="G265" s="138" t="s">
        <v>352</v>
      </c>
      <c r="H265" s="138" t="s">
        <v>653</v>
      </c>
      <c r="I265" s="139">
        <v>0</v>
      </c>
      <c r="K265" s="96" t="str">
        <f t="shared" si="19"/>
        <v>0003-1004-0047</v>
      </c>
      <c r="L265" s="96" t="str">
        <f>VLOOKUP(K265,COA!$A$3:$B$337,2,FALSE)</f>
        <v>L57</v>
      </c>
      <c r="M265" s="96" t="str">
        <f t="shared" si="20"/>
        <v>L57</v>
      </c>
      <c r="N265" s="96" t="str">
        <f>VLOOKUP(M265,CAC!$A$2:$B$198,2,FALSE)</f>
        <v>PPOLG</v>
      </c>
    </row>
    <row r="266" spans="5:14" x14ac:dyDescent="0.25">
      <c r="E266" s="136">
        <v>201603</v>
      </c>
      <c r="F266" s="138" t="s">
        <v>344</v>
      </c>
      <c r="G266" s="138" t="s">
        <v>356</v>
      </c>
      <c r="H266" s="138" t="s">
        <v>344</v>
      </c>
      <c r="I266" s="139">
        <v>4164</v>
      </c>
      <c r="K266" s="96" t="str">
        <f t="shared" si="19"/>
        <v>0012-1002-0012</v>
      </c>
      <c r="L266" s="96" t="str">
        <f>VLOOKUP(K266,COA!$A$3:$B$337,2,FALSE)</f>
        <v>F22</v>
      </c>
      <c r="M266" s="96" t="str">
        <f t="shared" si="20"/>
        <v>F22</v>
      </c>
      <c r="N266" s="96" t="str">
        <f>VLOOKUP(M266,CAC!$A$2:$B$198,2,FALSE)</f>
        <v>HMOPMR</v>
      </c>
    </row>
    <row r="267" spans="5:14" x14ac:dyDescent="0.25">
      <c r="E267" s="136">
        <v>201611</v>
      </c>
      <c r="F267" s="138" t="s">
        <v>746</v>
      </c>
      <c r="G267" s="138" t="s">
        <v>352</v>
      </c>
      <c r="H267" s="138" t="s">
        <v>344</v>
      </c>
      <c r="I267" s="139">
        <v>2</v>
      </c>
      <c r="K267" s="96" t="str">
        <f t="shared" si="19"/>
        <v>0016-1004-0012</v>
      </c>
      <c r="L267" s="96" t="str">
        <f>VLOOKUP(K267,COA!$A$3:$B$337,2,FALSE)</f>
        <v>R20</v>
      </c>
      <c r="M267" s="96" t="str">
        <f t="shared" si="20"/>
        <v>R20</v>
      </c>
      <c r="N267" s="96" t="str">
        <f>VLOOKUP(M267,CAC!$A$2:$B$198,2,FALSE)</f>
        <v>HMOMG</v>
      </c>
    </row>
    <row r="268" spans="5:14" x14ac:dyDescent="0.25">
      <c r="E268" s="136">
        <v>201604</v>
      </c>
      <c r="F268" s="138" t="s">
        <v>345</v>
      </c>
      <c r="G268" s="138" t="s">
        <v>362</v>
      </c>
      <c r="H268" s="138" t="s">
        <v>364</v>
      </c>
      <c r="I268" s="139">
        <v>38124.6</v>
      </c>
      <c r="K268" s="96" t="str">
        <f t="shared" si="19"/>
        <v>0011-1008-0037</v>
      </c>
      <c r="L268" s="96" t="str">
        <f>VLOOKUP(K268,COA!$A$3:$B$337,2,FALSE)</f>
        <v>P12</v>
      </c>
      <c r="M268" s="96" t="str">
        <f t="shared" si="20"/>
        <v>P12</v>
      </c>
      <c r="N268" s="96" t="str">
        <f>VLOOKUP(M268,CAC!$A$2:$B$198,2,FALSE)</f>
        <v>HMOPERA</v>
      </c>
    </row>
    <row r="269" spans="5:14" x14ac:dyDescent="0.25">
      <c r="E269" s="136">
        <v>201608</v>
      </c>
      <c r="F269" s="138" t="s">
        <v>506</v>
      </c>
      <c r="G269" s="138" t="s">
        <v>350</v>
      </c>
      <c r="H269" s="138" t="s">
        <v>592</v>
      </c>
      <c r="I269" s="139">
        <v>0</v>
      </c>
      <c r="K269" s="96" t="str">
        <f t="shared" si="19"/>
        <v>0013-1012-0035</v>
      </c>
      <c r="L269" s="96" t="str">
        <f>VLOOKUP(K269,COA!$A$3:$B$337,2,FALSE)</f>
        <v>K41</v>
      </c>
      <c r="M269" s="96" t="str">
        <f t="shared" si="20"/>
        <v>K41</v>
      </c>
      <c r="N269" s="96" t="e">
        <f>VLOOKUP(M269,CAC!$A$2:$B$198,2,FALSE)</f>
        <v>#N/A</v>
      </c>
    </row>
    <row r="270" spans="5:14" x14ac:dyDescent="0.25">
      <c r="E270" s="136">
        <v>201603</v>
      </c>
      <c r="F270" s="138" t="s">
        <v>345</v>
      </c>
      <c r="G270" s="138" t="s">
        <v>346</v>
      </c>
      <c r="H270" s="138" t="s">
        <v>360</v>
      </c>
      <c r="I270" s="139">
        <v>369</v>
      </c>
      <c r="K270" s="96" t="str">
        <f t="shared" si="19"/>
        <v>0011-1014-0048</v>
      </c>
      <c r="L270" s="96" t="str">
        <f>VLOOKUP(K270,COA!$A$3:$B$337,2,FALSE)</f>
        <v>K23</v>
      </c>
      <c r="M270" s="96" t="str">
        <f t="shared" si="20"/>
        <v>K23</v>
      </c>
      <c r="N270" s="96" t="str">
        <f>VLOOKUP(M270,CAC!$A$2:$B$198,2,FALSE)</f>
        <v>HMFLEX</v>
      </c>
    </row>
    <row r="271" spans="5:14" x14ac:dyDescent="0.25">
      <c r="E271" s="136">
        <v>201607</v>
      </c>
      <c r="F271" s="138" t="s">
        <v>349</v>
      </c>
      <c r="G271" s="138" t="s">
        <v>369</v>
      </c>
      <c r="H271" s="138" t="s">
        <v>764</v>
      </c>
      <c r="I271" s="139">
        <v>3</v>
      </c>
      <c r="K271" s="96" t="str">
        <f t="shared" si="19"/>
        <v>0017-1009-0064</v>
      </c>
      <c r="L271" s="96" t="str">
        <f>VLOOKUP(K271,COA!$A$3:$B$337,2,FALSE)</f>
        <v>R15</v>
      </c>
      <c r="M271" s="96" t="str">
        <f t="shared" si="20"/>
        <v>R15</v>
      </c>
      <c r="N271" s="96" t="str">
        <f>VLOOKUP(M271,CAC!$A$2:$B$198,2,FALSE)</f>
        <v>HMOMM</v>
      </c>
    </row>
    <row r="272" spans="5:14" x14ac:dyDescent="0.25">
      <c r="E272" s="136">
        <v>201712</v>
      </c>
      <c r="F272" s="138" t="s">
        <v>345</v>
      </c>
      <c r="G272" s="138" t="s">
        <v>365</v>
      </c>
      <c r="H272" s="138" t="s">
        <v>366</v>
      </c>
      <c r="I272" s="139">
        <v>1492.64</v>
      </c>
      <c r="K272" s="96" t="str">
        <f t="shared" si="19"/>
        <v>0011-1001-0021</v>
      </c>
      <c r="L272" s="96" t="str">
        <f>VLOOKUP(K272,COA!$A$3:$B$337,2,FALSE)</f>
        <v>V13</v>
      </c>
      <c r="M272" s="96" t="str">
        <f t="shared" si="20"/>
        <v>V13</v>
      </c>
      <c r="N272" s="96" t="str">
        <f>VLOOKUP(M272,CAC!$A$2:$B$198,2,FALSE)</f>
        <v>HMOIFP</v>
      </c>
    </row>
    <row r="273" spans="5:14" x14ac:dyDescent="0.25">
      <c r="E273" s="136">
        <v>201708</v>
      </c>
      <c r="F273" s="138" t="s">
        <v>345</v>
      </c>
      <c r="G273" s="138" t="s">
        <v>348</v>
      </c>
      <c r="H273" s="138" t="s">
        <v>358</v>
      </c>
      <c r="I273" s="139">
        <v>130</v>
      </c>
      <c r="K273" s="96" t="str">
        <f t="shared" si="19"/>
        <v>0011-1010-0024</v>
      </c>
      <c r="L273" s="96" t="str">
        <f>VLOOKUP(K273,COA!$A$3:$B$337,2,FALSE)</f>
        <v>S14</v>
      </c>
      <c r="M273" s="96" t="str">
        <f t="shared" si="20"/>
        <v>S14</v>
      </c>
      <c r="N273" s="96" t="str">
        <f>VLOOKUP(M273,CAC!$A$2:$B$198,2,FALSE)</f>
        <v>HMOSG</v>
      </c>
    </row>
    <row r="274" spans="5:14" x14ac:dyDescent="0.25">
      <c r="E274" s="136">
        <v>201702</v>
      </c>
      <c r="F274" s="138" t="s">
        <v>563</v>
      </c>
      <c r="G274" s="138" t="s">
        <v>365</v>
      </c>
      <c r="H274" s="138" t="s">
        <v>367</v>
      </c>
      <c r="I274" s="139">
        <v>0</v>
      </c>
      <c r="K274" s="96" t="str">
        <f t="shared" si="19"/>
        <v>0003-1001-0022</v>
      </c>
      <c r="L274" s="96" t="str">
        <f>VLOOKUP(K274,COA!$A$3:$B$337,2,FALSE)</f>
        <v>V54</v>
      </c>
      <c r="M274" s="96" t="str">
        <f t="shared" si="20"/>
        <v>V54</v>
      </c>
      <c r="N274" s="96" t="str">
        <f>VLOOKUP(M274,CAC!$A$2:$B$198,2,FALSE)</f>
        <v>PPOIFP</v>
      </c>
    </row>
    <row r="275" spans="5:14" x14ac:dyDescent="0.25">
      <c r="E275" s="136">
        <v>201607</v>
      </c>
      <c r="F275" s="138" t="s">
        <v>563</v>
      </c>
      <c r="G275" s="138" t="s">
        <v>350</v>
      </c>
      <c r="H275" s="138" t="s">
        <v>360</v>
      </c>
      <c r="I275" s="139">
        <v>0</v>
      </c>
      <c r="K275" s="96" t="str">
        <f t="shared" si="19"/>
        <v>0003-1012-0048</v>
      </c>
      <c r="L275" s="96" t="str">
        <f>VLOOKUP(K275,COA!$A$3:$B$337,2,FALSE)</f>
        <v>K56</v>
      </c>
      <c r="M275" s="96" t="str">
        <f t="shared" si="20"/>
        <v>K56</v>
      </c>
      <c r="N275" s="96" t="str">
        <f>VLOOKUP(M275,CAC!$A$2:$B$198,2,FALSE)</f>
        <v>HMFLEX</v>
      </c>
    </row>
    <row r="276" spans="5:14" x14ac:dyDescent="0.25">
      <c r="E276" s="136">
        <v>201712</v>
      </c>
      <c r="F276" s="138" t="s">
        <v>349</v>
      </c>
      <c r="G276" s="138" t="s">
        <v>369</v>
      </c>
      <c r="H276" s="138" t="s">
        <v>344</v>
      </c>
      <c r="I276" s="139">
        <v>43984.97</v>
      </c>
      <c r="K276" s="96" t="str">
        <f t="shared" si="19"/>
        <v>0017-1009-0012</v>
      </c>
      <c r="L276" s="96" t="str">
        <f>VLOOKUP(K276,COA!$A$3:$B$337,2,FALSE)</f>
        <v>R12</v>
      </c>
      <c r="M276" s="96" t="str">
        <f t="shared" si="20"/>
        <v>R12</v>
      </c>
      <c r="N276" s="96" t="str">
        <f>VLOOKUP(M276,CAC!$A$2:$B$198,2,FALSE)</f>
        <v>HMOMM</v>
      </c>
    </row>
    <row r="277" spans="5:14" x14ac:dyDescent="0.25">
      <c r="E277" s="136">
        <v>201705</v>
      </c>
      <c r="F277" s="138" t="s">
        <v>345</v>
      </c>
      <c r="G277" s="138" t="s">
        <v>346</v>
      </c>
      <c r="H277" s="138" t="s">
        <v>360</v>
      </c>
      <c r="I277" s="139">
        <v>331</v>
      </c>
      <c r="K277" s="96" t="str">
        <f t="shared" si="19"/>
        <v>0011-1014-0048</v>
      </c>
      <c r="L277" s="96" t="str">
        <f>VLOOKUP(K277,COA!$A$3:$B$337,2,FALSE)</f>
        <v>K23</v>
      </c>
      <c r="M277" s="96" t="str">
        <f t="shared" si="20"/>
        <v>K23</v>
      </c>
      <c r="N277" s="96" t="str">
        <f>VLOOKUP(M277,CAC!$A$2:$B$198,2,FALSE)</f>
        <v>HMFLEX</v>
      </c>
    </row>
    <row r="278" spans="5:14" x14ac:dyDescent="0.25">
      <c r="E278" s="136">
        <v>201604</v>
      </c>
      <c r="F278" s="138" t="s">
        <v>345</v>
      </c>
      <c r="G278" s="138" t="s">
        <v>352</v>
      </c>
      <c r="H278" s="138" t="s">
        <v>357</v>
      </c>
      <c r="I278" s="139">
        <v>285</v>
      </c>
      <c r="K278" s="96" t="str">
        <f t="shared" si="19"/>
        <v>0011-1004-0038</v>
      </c>
      <c r="L278" s="96" t="str">
        <f>VLOOKUP(K278,COA!$A$3:$B$337,2,FALSE)</f>
        <v>L14</v>
      </c>
      <c r="M278" s="96" t="str">
        <f t="shared" si="20"/>
        <v>L14</v>
      </c>
      <c r="N278" s="96" t="str">
        <f>VLOOKUP(M278,CAC!$A$2:$B$198,2,FALSE)</f>
        <v>HMOLG</v>
      </c>
    </row>
    <row r="279" spans="5:14" x14ac:dyDescent="0.25">
      <c r="E279" s="136">
        <v>201601</v>
      </c>
      <c r="F279" s="138" t="s">
        <v>405</v>
      </c>
      <c r="G279" s="138" t="s">
        <v>362</v>
      </c>
      <c r="H279" s="138" t="s">
        <v>342</v>
      </c>
      <c r="I279" s="139">
        <v>0</v>
      </c>
      <c r="K279" s="96" t="str">
        <f t="shared" si="19"/>
        <v>0019-1008-0031</v>
      </c>
      <c r="L279" s="96" t="str">
        <f>VLOOKUP(K279,COA!$A$3:$B$337,2,FALSE)</f>
        <v>P53</v>
      </c>
      <c r="M279" s="96" t="str">
        <f t="shared" si="20"/>
        <v>P53</v>
      </c>
      <c r="N279" s="96" t="str">
        <f>VLOOKUP(M279,CAC!$A$2:$B$198,2,FALSE)</f>
        <v>HMOPERA</v>
      </c>
    </row>
    <row r="280" spans="5:14" x14ac:dyDescent="0.25">
      <c r="E280" s="136">
        <v>201606</v>
      </c>
      <c r="F280" s="138" t="s">
        <v>345</v>
      </c>
      <c r="G280" s="138" t="s">
        <v>346</v>
      </c>
      <c r="H280" s="138" t="s">
        <v>344</v>
      </c>
      <c r="I280" s="139">
        <v>0</v>
      </c>
      <c r="K280" s="96" t="str">
        <f t="shared" si="19"/>
        <v>0011-1014-0012</v>
      </c>
      <c r="L280" s="96" t="e">
        <f>VLOOKUP(K280,COA!$A$3:$B$337,2,FALSE)</f>
        <v>#N/A</v>
      </c>
      <c r="M280" s="96" t="str">
        <f t="shared" si="20"/>
        <v>XXX</v>
      </c>
      <c r="N280" s="96" t="str">
        <f>VLOOKUP(M280,CAC!$A$2:$B$198,2,FALSE)</f>
        <v>XXX</v>
      </c>
    </row>
    <row r="281" spans="5:14" x14ac:dyDescent="0.25">
      <c r="E281" s="136">
        <v>201612</v>
      </c>
      <c r="F281" s="138" t="s">
        <v>563</v>
      </c>
      <c r="G281" s="138" t="s">
        <v>352</v>
      </c>
      <c r="H281" s="138" t="s">
        <v>344</v>
      </c>
      <c r="I281" s="139">
        <v>0</v>
      </c>
      <c r="K281" s="96" t="str">
        <f t="shared" si="19"/>
        <v>0003-1004-0012</v>
      </c>
      <c r="L281" s="96" t="str">
        <f>VLOOKUP(K281,COA!$A$3:$B$337,2,FALSE)</f>
        <v>L51</v>
      </c>
      <c r="M281" s="96" t="str">
        <f t="shared" si="20"/>
        <v>L51</v>
      </c>
      <c r="N281" s="96" t="str">
        <f>VLOOKUP(M281,CAC!$A$2:$B$198,2,FALSE)</f>
        <v>PPOLG</v>
      </c>
    </row>
    <row r="282" spans="5:14" x14ac:dyDescent="0.25">
      <c r="E282" s="136">
        <v>201604</v>
      </c>
      <c r="F282" s="138" t="s">
        <v>344</v>
      </c>
      <c r="G282" s="138" t="s">
        <v>355</v>
      </c>
      <c r="H282" s="138" t="s">
        <v>344</v>
      </c>
      <c r="I282" s="139">
        <v>110</v>
      </c>
      <c r="K282" s="96" t="str">
        <f t="shared" si="19"/>
        <v>0012-1006-0012</v>
      </c>
      <c r="L282" s="96" t="str">
        <f>VLOOKUP(K282,COA!$A$3:$B$337,2,FALSE)</f>
        <v>L16</v>
      </c>
      <c r="M282" s="96" t="str">
        <f t="shared" si="20"/>
        <v>L16</v>
      </c>
      <c r="N282" s="96" t="str">
        <f>VLOOKUP(M282,CAC!$A$2:$B$198,2,FALSE)</f>
        <v>HMOLG</v>
      </c>
    </row>
    <row r="283" spans="5:14" x14ac:dyDescent="0.25">
      <c r="E283" s="136">
        <v>201612</v>
      </c>
      <c r="F283" s="138" t="s">
        <v>345</v>
      </c>
      <c r="G283" s="138" t="s">
        <v>352</v>
      </c>
      <c r="H283" s="138" t="s">
        <v>653</v>
      </c>
      <c r="I283" s="139">
        <v>0</v>
      </c>
      <c r="K283" s="96" t="str">
        <f t="shared" si="19"/>
        <v>0011-1004-0047</v>
      </c>
      <c r="L283" s="96" t="str">
        <f>VLOOKUP(K283,COA!$A$3:$B$337,2,FALSE)</f>
        <v>L17</v>
      </c>
      <c r="M283" s="96" t="str">
        <f t="shared" si="20"/>
        <v>L17</v>
      </c>
      <c r="N283" s="96" t="str">
        <f>VLOOKUP(M283,CAC!$A$2:$B$198,2,FALSE)</f>
        <v>HMOLG</v>
      </c>
    </row>
    <row r="284" spans="5:14" x14ac:dyDescent="0.25">
      <c r="E284" s="136">
        <v>201710</v>
      </c>
      <c r="F284" s="138" t="s">
        <v>563</v>
      </c>
      <c r="G284" s="138" t="s">
        <v>354</v>
      </c>
      <c r="H284" s="138" t="s">
        <v>360</v>
      </c>
      <c r="I284" s="139">
        <v>0</v>
      </c>
      <c r="K284" s="96" t="str">
        <f t="shared" si="19"/>
        <v>0003-1013-0048</v>
      </c>
      <c r="L284" s="96" t="str">
        <f>VLOOKUP(K284,COA!$A$3:$B$337,2,FALSE)</f>
        <v>N56</v>
      </c>
      <c r="M284" s="96" t="str">
        <f t="shared" si="20"/>
        <v>N56</v>
      </c>
      <c r="N284" s="96" t="str">
        <f>VLOOKUP(M284,CAC!$A$2:$B$198,2,FALSE)</f>
        <v>HMFLEX</v>
      </c>
    </row>
    <row r="285" spans="5:14" x14ac:dyDescent="0.25">
      <c r="E285" s="136">
        <v>201503</v>
      </c>
      <c r="F285" s="138" t="s">
        <v>345</v>
      </c>
      <c r="G285" s="138" t="s">
        <v>356</v>
      </c>
      <c r="H285" s="138" t="s">
        <v>344</v>
      </c>
      <c r="I285" s="139">
        <v>145</v>
      </c>
      <c r="K285" s="96" t="str">
        <f t="shared" si="19"/>
        <v>0011-1002-0012</v>
      </c>
      <c r="L285" s="96" t="str">
        <f>VLOOKUP(K285,COA!$A$3:$B$337,2,FALSE)</f>
        <v>F20</v>
      </c>
      <c r="M285" s="96" t="str">
        <f t="shared" si="20"/>
        <v>F20</v>
      </c>
      <c r="N285" s="96" t="str">
        <f>VLOOKUP(M285,CAC!$A$2:$B$198,2,FALSE)</f>
        <v>HMOPMR</v>
      </c>
    </row>
    <row r="286" spans="5:14" x14ac:dyDescent="0.25">
      <c r="E286" s="136">
        <v>201505</v>
      </c>
      <c r="F286" s="138" t="s">
        <v>345</v>
      </c>
      <c r="G286" s="138" t="s">
        <v>346</v>
      </c>
      <c r="H286" s="138" t="s">
        <v>360</v>
      </c>
      <c r="I286" s="139">
        <v>400.68</v>
      </c>
      <c r="K286" s="96" t="str">
        <f t="shared" si="19"/>
        <v>0011-1014-0048</v>
      </c>
      <c r="L286" s="96" t="str">
        <f>VLOOKUP(K286,COA!$A$3:$B$337,2,FALSE)</f>
        <v>K23</v>
      </c>
      <c r="M286" s="96" t="str">
        <f t="shared" si="20"/>
        <v>K23</v>
      </c>
      <c r="N286" s="96" t="str">
        <f>VLOOKUP(M286,CAC!$A$2:$B$198,2,FALSE)</f>
        <v>HMFLEX</v>
      </c>
    </row>
    <row r="287" spans="5:14" x14ac:dyDescent="0.25">
      <c r="E287" s="136">
        <v>201703</v>
      </c>
      <c r="F287" s="138" t="s">
        <v>746</v>
      </c>
      <c r="G287" s="138" t="s">
        <v>350</v>
      </c>
      <c r="H287" s="138" t="s">
        <v>764</v>
      </c>
      <c r="I287" s="139">
        <v>18</v>
      </c>
      <c r="K287" s="96" t="str">
        <f t="shared" si="19"/>
        <v>0016-1012-0064</v>
      </c>
      <c r="L287" s="96" t="str">
        <f>VLOOKUP(K287,COA!$A$3:$B$337,2,FALSE)</f>
        <v>R25</v>
      </c>
      <c r="M287" s="96" t="str">
        <f t="shared" si="20"/>
        <v>R25</v>
      </c>
      <c r="N287" s="96" t="str">
        <f>VLOOKUP(M287,CAC!$A$2:$B$198,2,FALSE)</f>
        <v>HMOMG</v>
      </c>
    </row>
    <row r="288" spans="5:14" x14ac:dyDescent="0.25">
      <c r="E288" s="136">
        <v>201701</v>
      </c>
      <c r="F288" s="138" t="s">
        <v>746</v>
      </c>
      <c r="G288" s="138" t="s">
        <v>350</v>
      </c>
      <c r="H288" s="138" t="s">
        <v>764</v>
      </c>
      <c r="I288" s="139">
        <v>16</v>
      </c>
      <c r="K288" s="96" t="str">
        <f t="shared" si="19"/>
        <v>0016-1012-0064</v>
      </c>
      <c r="L288" s="96" t="str">
        <f>VLOOKUP(K288,COA!$A$3:$B$337,2,FALSE)</f>
        <v>R25</v>
      </c>
      <c r="M288" s="96" t="str">
        <f t="shared" si="20"/>
        <v>R25</v>
      </c>
      <c r="N288" s="96" t="str">
        <f>VLOOKUP(M288,CAC!$A$2:$B$198,2,FALSE)</f>
        <v>HMOMG</v>
      </c>
    </row>
    <row r="289" spans="5:14" x14ac:dyDescent="0.25">
      <c r="E289" s="136">
        <v>201612</v>
      </c>
      <c r="F289" s="138" t="s">
        <v>345</v>
      </c>
      <c r="G289" s="138" t="s">
        <v>346</v>
      </c>
      <c r="H289" s="138" t="s">
        <v>344</v>
      </c>
      <c r="I289" s="139">
        <v>0</v>
      </c>
      <c r="K289" s="96" t="str">
        <f t="shared" si="19"/>
        <v>0011-1014-0012</v>
      </c>
      <c r="L289" s="96" t="e">
        <f>VLOOKUP(K289,COA!$A$3:$B$337,2,FALSE)</f>
        <v>#N/A</v>
      </c>
      <c r="M289" s="96" t="str">
        <f t="shared" si="20"/>
        <v>XXX</v>
      </c>
      <c r="N289" s="96" t="str">
        <f>VLOOKUP(M289,CAC!$A$2:$B$198,2,FALSE)</f>
        <v>XXX</v>
      </c>
    </row>
    <row r="290" spans="5:14" x14ac:dyDescent="0.25">
      <c r="E290" s="136">
        <v>201507</v>
      </c>
      <c r="F290" s="138" t="s">
        <v>349</v>
      </c>
      <c r="G290" s="138" t="s">
        <v>369</v>
      </c>
      <c r="H290" s="138" t="s">
        <v>344</v>
      </c>
      <c r="I290" s="139">
        <v>36875</v>
      </c>
      <c r="K290" s="96" t="str">
        <f t="shared" si="19"/>
        <v>0017-1009-0012</v>
      </c>
      <c r="L290" s="96" t="str">
        <f>VLOOKUP(K290,COA!$A$3:$B$337,2,FALSE)</f>
        <v>R12</v>
      </c>
      <c r="M290" s="96" t="str">
        <f t="shared" si="20"/>
        <v>R12</v>
      </c>
      <c r="N290" s="96" t="str">
        <f>VLOOKUP(M290,CAC!$A$2:$B$198,2,FALSE)</f>
        <v>HMOMM</v>
      </c>
    </row>
    <row r="291" spans="5:14" x14ac:dyDescent="0.25">
      <c r="E291" s="136">
        <v>201705</v>
      </c>
      <c r="F291" s="138" t="s">
        <v>345</v>
      </c>
      <c r="G291" s="138" t="s">
        <v>355</v>
      </c>
      <c r="H291" s="138" t="s">
        <v>344</v>
      </c>
      <c r="I291" s="139">
        <v>16288.09</v>
      </c>
      <c r="K291" s="96" t="str">
        <f t="shared" si="19"/>
        <v>0011-1006-0012</v>
      </c>
      <c r="L291" s="96" t="str">
        <f>VLOOKUP(K291,COA!$A$3:$B$337,2,FALSE)</f>
        <v>L13</v>
      </c>
      <c r="M291" s="96" t="str">
        <f t="shared" si="20"/>
        <v>L13</v>
      </c>
      <c r="N291" s="96" t="str">
        <f>VLOOKUP(M291,CAC!$A$2:$B$198,2,FALSE)</f>
        <v>HMOLG</v>
      </c>
    </row>
    <row r="292" spans="5:14" x14ac:dyDescent="0.25">
      <c r="E292" s="136">
        <v>201709</v>
      </c>
      <c r="F292" s="138" t="s">
        <v>345</v>
      </c>
      <c r="G292" s="138" t="s">
        <v>359</v>
      </c>
      <c r="H292" s="138" t="s">
        <v>344</v>
      </c>
      <c r="I292" s="139">
        <v>6971.56</v>
      </c>
      <c r="K292" s="96" t="str">
        <f t="shared" si="19"/>
        <v>0011-1005-0012</v>
      </c>
      <c r="L292" s="96" t="str">
        <f>VLOOKUP(K292,COA!$A$3:$B$337,2,FALSE)</f>
        <v>N11</v>
      </c>
      <c r="M292" s="96" t="str">
        <f t="shared" si="20"/>
        <v>N11</v>
      </c>
      <c r="N292" s="96" t="str">
        <f>VLOOKUP(M292,CAC!$A$2:$B$198,2,FALSE)</f>
        <v>HMOLG</v>
      </c>
    </row>
    <row r="293" spans="5:14" x14ac:dyDescent="0.25">
      <c r="E293" s="136">
        <v>201503</v>
      </c>
      <c r="F293" s="138" t="s">
        <v>563</v>
      </c>
      <c r="G293" s="138" t="s">
        <v>359</v>
      </c>
      <c r="H293" s="138" t="s">
        <v>344</v>
      </c>
      <c r="I293" s="139">
        <v>0</v>
      </c>
      <c r="K293" s="96" t="str">
        <f t="shared" si="19"/>
        <v>0003-1005-0012</v>
      </c>
      <c r="L293" s="96" t="str">
        <f>VLOOKUP(K293,COA!$A$3:$B$337,2,FALSE)</f>
        <v>N51</v>
      </c>
      <c r="M293" s="96" t="str">
        <f t="shared" si="20"/>
        <v>N51</v>
      </c>
      <c r="N293" s="96" t="str">
        <f>VLOOKUP(M293,CAC!$A$2:$B$198,2,FALSE)</f>
        <v>PPOLG</v>
      </c>
    </row>
    <row r="294" spans="5:14" x14ac:dyDescent="0.25">
      <c r="E294" s="136">
        <v>201511</v>
      </c>
      <c r="F294" s="138" t="s">
        <v>345</v>
      </c>
      <c r="G294" s="138" t="s">
        <v>346</v>
      </c>
      <c r="H294" s="138" t="s">
        <v>360</v>
      </c>
      <c r="I294" s="139">
        <v>397.79</v>
      </c>
      <c r="K294" s="96" t="str">
        <f t="shared" si="19"/>
        <v>0011-1014-0048</v>
      </c>
      <c r="L294" s="96" t="str">
        <f>VLOOKUP(K294,COA!$A$3:$B$337,2,FALSE)</f>
        <v>K23</v>
      </c>
      <c r="M294" s="96" t="str">
        <f t="shared" si="20"/>
        <v>K23</v>
      </c>
      <c r="N294" s="96" t="str">
        <f>VLOOKUP(M294,CAC!$A$2:$B$198,2,FALSE)</f>
        <v>HMFLEX</v>
      </c>
    </row>
    <row r="295" spans="5:14" x14ac:dyDescent="0.25">
      <c r="E295" s="136">
        <v>201511</v>
      </c>
      <c r="F295" s="138" t="s">
        <v>563</v>
      </c>
      <c r="G295" s="138" t="s">
        <v>348</v>
      </c>
      <c r="H295" s="138" t="s">
        <v>358</v>
      </c>
      <c r="I295" s="139">
        <v>0</v>
      </c>
      <c r="K295" s="96" t="str">
        <f t="shared" si="19"/>
        <v>0003-1010-0024</v>
      </c>
      <c r="L295" s="96" t="str">
        <f>VLOOKUP(K295,COA!$A$3:$B$337,2,FALSE)</f>
        <v>S56</v>
      </c>
      <c r="M295" s="96" t="str">
        <f t="shared" si="20"/>
        <v>S56</v>
      </c>
      <c r="N295" s="96" t="str">
        <f>VLOOKUP(M295,CAC!$A$2:$B$198,2,FALSE)</f>
        <v>PPOSG</v>
      </c>
    </row>
    <row r="296" spans="5:14" x14ac:dyDescent="0.25">
      <c r="E296" s="136">
        <v>201608</v>
      </c>
      <c r="F296" s="138" t="s">
        <v>345</v>
      </c>
      <c r="G296" s="138" t="s">
        <v>362</v>
      </c>
      <c r="H296" s="138" t="s">
        <v>364</v>
      </c>
      <c r="I296" s="139">
        <v>37856.81</v>
      </c>
      <c r="K296" s="96" t="str">
        <f t="shared" si="19"/>
        <v>0011-1008-0037</v>
      </c>
      <c r="L296" s="96" t="str">
        <f>VLOOKUP(K296,COA!$A$3:$B$337,2,FALSE)</f>
        <v>P12</v>
      </c>
      <c r="M296" s="96" t="str">
        <f t="shared" si="20"/>
        <v>P12</v>
      </c>
      <c r="N296" s="96" t="str">
        <f>VLOOKUP(M296,CAC!$A$2:$B$198,2,FALSE)</f>
        <v>HMOPERA</v>
      </c>
    </row>
    <row r="297" spans="5:14" x14ac:dyDescent="0.25">
      <c r="E297" s="136">
        <v>201801</v>
      </c>
      <c r="F297" s="138" t="s">
        <v>349</v>
      </c>
      <c r="G297" s="138" t="s">
        <v>369</v>
      </c>
      <c r="H297" s="138" t="s">
        <v>344</v>
      </c>
      <c r="I297" s="139">
        <v>43067</v>
      </c>
      <c r="K297" s="96" t="str">
        <f t="shared" si="19"/>
        <v>0017-1009-0012</v>
      </c>
      <c r="L297" s="96" t="str">
        <f>VLOOKUP(K297,COA!$A$3:$B$337,2,FALSE)</f>
        <v>R12</v>
      </c>
      <c r="M297" s="96" t="str">
        <f t="shared" si="20"/>
        <v>R12</v>
      </c>
      <c r="N297" s="96" t="str">
        <f>VLOOKUP(M297,CAC!$A$2:$B$198,2,FALSE)</f>
        <v>HMOMM</v>
      </c>
    </row>
    <row r="298" spans="5:14" x14ac:dyDescent="0.25">
      <c r="E298" s="136">
        <v>201509</v>
      </c>
      <c r="F298" s="138" t="s">
        <v>344</v>
      </c>
      <c r="G298" s="138" t="s">
        <v>355</v>
      </c>
      <c r="H298" s="138" t="s">
        <v>344</v>
      </c>
      <c r="I298" s="139">
        <v>246</v>
      </c>
      <c r="K298" s="96" t="str">
        <f t="shared" si="19"/>
        <v>0012-1006-0012</v>
      </c>
      <c r="L298" s="96" t="str">
        <f>VLOOKUP(K298,COA!$A$3:$B$337,2,FALSE)</f>
        <v>L16</v>
      </c>
      <c r="M298" s="96" t="str">
        <f t="shared" si="20"/>
        <v>L16</v>
      </c>
      <c r="N298" s="96" t="str">
        <f>VLOOKUP(M298,CAC!$A$2:$B$198,2,FALSE)</f>
        <v>HMOLG</v>
      </c>
    </row>
    <row r="299" spans="5:14" x14ac:dyDescent="0.25">
      <c r="E299" s="136">
        <v>201712</v>
      </c>
      <c r="F299" s="138" t="s">
        <v>506</v>
      </c>
      <c r="G299" s="138" t="s">
        <v>361</v>
      </c>
      <c r="H299" s="138" t="s">
        <v>592</v>
      </c>
      <c r="I299" s="139">
        <v>0</v>
      </c>
      <c r="K299" s="96" t="str">
        <f t="shared" si="19"/>
        <v>0013-1003-0035</v>
      </c>
      <c r="L299" s="96" t="str">
        <f>VLOOKUP(K299,COA!$A$3:$B$337,2,FALSE)</f>
        <v>N32</v>
      </c>
      <c r="M299" s="96" t="str">
        <f t="shared" si="20"/>
        <v>N32</v>
      </c>
      <c r="N299" s="96" t="e">
        <f>VLOOKUP(M299,CAC!$A$2:$B$198,2,FALSE)</f>
        <v>#N/A</v>
      </c>
    </row>
    <row r="300" spans="5:14" x14ac:dyDescent="0.25">
      <c r="E300" s="136">
        <v>201512</v>
      </c>
      <c r="F300" s="138" t="s">
        <v>746</v>
      </c>
      <c r="G300" s="138" t="s">
        <v>356</v>
      </c>
      <c r="H300" s="138" t="s">
        <v>344</v>
      </c>
      <c r="I300" s="139">
        <v>121</v>
      </c>
      <c r="K300" s="96" t="str">
        <f t="shared" si="19"/>
        <v>0016-1002-0012</v>
      </c>
      <c r="L300" s="96" t="str">
        <f>VLOOKUP(K300,COA!$A$3:$B$337,2,FALSE)</f>
        <v>R18</v>
      </c>
      <c r="M300" s="96" t="str">
        <f t="shared" si="20"/>
        <v>R18</v>
      </c>
      <c r="N300" s="96" t="str">
        <f>VLOOKUP(M300,CAC!$A$2:$B$198,2,FALSE)</f>
        <v>HMOMG</v>
      </c>
    </row>
    <row r="301" spans="5:14" x14ac:dyDescent="0.25">
      <c r="E301" s="136">
        <v>201612</v>
      </c>
      <c r="F301" s="138" t="s">
        <v>746</v>
      </c>
      <c r="G301" s="138" t="s">
        <v>350</v>
      </c>
      <c r="H301" s="138" t="s">
        <v>764</v>
      </c>
      <c r="I301" s="139">
        <v>11</v>
      </c>
      <c r="K301" s="96" t="str">
        <f t="shared" si="19"/>
        <v>0016-1012-0064</v>
      </c>
      <c r="L301" s="96" t="str">
        <f>VLOOKUP(K301,COA!$A$3:$B$337,2,FALSE)</f>
        <v>R25</v>
      </c>
      <c r="M301" s="96" t="str">
        <f t="shared" si="20"/>
        <v>R25</v>
      </c>
      <c r="N301" s="96" t="str">
        <f>VLOOKUP(M301,CAC!$A$2:$B$198,2,FALSE)</f>
        <v>HMOMG</v>
      </c>
    </row>
    <row r="302" spans="5:14" x14ac:dyDescent="0.25">
      <c r="E302" s="136">
        <v>201605</v>
      </c>
      <c r="F302" s="138" t="s">
        <v>345</v>
      </c>
      <c r="G302" s="138" t="s">
        <v>356</v>
      </c>
      <c r="H302" s="138" t="s">
        <v>344</v>
      </c>
      <c r="I302" s="139">
        <v>15681.86</v>
      </c>
      <c r="K302" s="96" t="str">
        <f t="shared" si="19"/>
        <v>0011-1002-0012</v>
      </c>
      <c r="L302" s="96" t="str">
        <f>VLOOKUP(K302,COA!$A$3:$B$337,2,FALSE)</f>
        <v>F20</v>
      </c>
      <c r="M302" s="96" t="str">
        <f t="shared" si="20"/>
        <v>F20</v>
      </c>
      <c r="N302" s="96" t="str">
        <f>VLOOKUP(M302,CAC!$A$2:$B$198,2,FALSE)</f>
        <v>HMOPMR</v>
      </c>
    </row>
    <row r="303" spans="5:14" x14ac:dyDescent="0.25">
      <c r="E303" s="136">
        <v>201512</v>
      </c>
      <c r="F303" s="138" t="s">
        <v>345</v>
      </c>
      <c r="G303" s="138" t="s">
        <v>350</v>
      </c>
      <c r="H303" s="138" t="s">
        <v>344</v>
      </c>
      <c r="I303" s="139">
        <v>14514.28</v>
      </c>
      <c r="K303" s="96" t="str">
        <f t="shared" si="19"/>
        <v>0011-1012-0012</v>
      </c>
      <c r="L303" s="96" t="str">
        <f>VLOOKUP(K303,COA!$A$3:$B$337,2,FALSE)</f>
        <v>K11</v>
      </c>
      <c r="M303" s="96" t="str">
        <f t="shared" si="20"/>
        <v>K11</v>
      </c>
      <c r="N303" s="96" t="str">
        <f>VLOOKUP(M303,CAC!$A$2:$B$198,2,FALSE)</f>
        <v>HMOPMR</v>
      </c>
    </row>
    <row r="304" spans="5:14" x14ac:dyDescent="0.25">
      <c r="E304" s="136">
        <v>201703</v>
      </c>
      <c r="F304" s="138" t="s">
        <v>349</v>
      </c>
      <c r="G304" s="138" t="s">
        <v>369</v>
      </c>
      <c r="H304" s="138" t="s">
        <v>764</v>
      </c>
      <c r="I304" s="139">
        <v>5435</v>
      </c>
      <c r="K304" s="96" t="str">
        <f t="shared" si="19"/>
        <v>0017-1009-0064</v>
      </c>
      <c r="L304" s="96" t="str">
        <f>VLOOKUP(K304,COA!$A$3:$B$337,2,FALSE)</f>
        <v>R15</v>
      </c>
      <c r="M304" s="96" t="str">
        <f t="shared" si="20"/>
        <v>R15</v>
      </c>
      <c r="N304" s="96" t="str">
        <f>VLOOKUP(M304,CAC!$A$2:$B$198,2,FALSE)</f>
        <v>HMOMM</v>
      </c>
    </row>
    <row r="305" spans="5:14" x14ac:dyDescent="0.25">
      <c r="E305" s="136">
        <v>201508</v>
      </c>
      <c r="F305" s="138" t="s">
        <v>345</v>
      </c>
      <c r="G305" s="138" t="s">
        <v>362</v>
      </c>
      <c r="H305" s="138" t="s">
        <v>370</v>
      </c>
      <c r="I305" s="139">
        <v>2284</v>
      </c>
      <c r="K305" s="96" t="str">
        <f t="shared" si="19"/>
        <v>0011-1008-0055</v>
      </c>
      <c r="L305" s="96" t="str">
        <f>VLOOKUP(K305,COA!$A$3:$B$337,2,FALSE)</f>
        <v>P28</v>
      </c>
      <c r="M305" s="96" t="str">
        <f t="shared" si="20"/>
        <v>P28</v>
      </c>
      <c r="N305" s="96" t="str">
        <f>VLOOKUP(M305,CAC!$A$2:$B$198,2,FALSE)</f>
        <v>PERMEDN</v>
      </c>
    </row>
    <row r="306" spans="5:14" x14ac:dyDescent="0.25">
      <c r="E306" s="136">
        <v>201711</v>
      </c>
      <c r="F306" s="138" t="s">
        <v>344</v>
      </c>
      <c r="G306" s="138" t="s">
        <v>350</v>
      </c>
      <c r="H306" s="138" t="s">
        <v>344</v>
      </c>
      <c r="I306" s="139">
        <v>27</v>
      </c>
      <c r="K306" s="96" t="str">
        <f t="shared" si="19"/>
        <v>0012-1012-0012</v>
      </c>
      <c r="L306" s="96" t="str">
        <f>VLOOKUP(K306,COA!$A$3:$B$337,2,FALSE)</f>
        <v>K12</v>
      </c>
      <c r="M306" s="96" t="str">
        <f t="shared" si="20"/>
        <v>K12</v>
      </c>
      <c r="N306" s="96" t="str">
        <f>VLOOKUP(M306,CAC!$A$2:$B$198,2,FALSE)</f>
        <v>HMOPMR</v>
      </c>
    </row>
    <row r="307" spans="5:14" x14ac:dyDescent="0.25">
      <c r="E307" s="136">
        <v>201707</v>
      </c>
      <c r="F307" s="138" t="s">
        <v>563</v>
      </c>
      <c r="G307" s="138" t="s">
        <v>354</v>
      </c>
      <c r="H307" s="138" t="s">
        <v>360</v>
      </c>
      <c r="I307" s="139">
        <v>0</v>
      </c>
      <c r="K307" s="96" t="str">
        <f t="shared" si="19"/>
        <v>0003-1013-0048</v>
      </c>
      <c r="L307" s="96" t="str">
        <f>VLOOKUP(K307,COA!$A$3:$B$337,2,FALSE)</f>
        <v>N56</v>
      </c>
      <c r="M307" s="96" t="str">
        <f t="shared" si="20"/>
        <v>N56</v>
      </c>
      <c r="N307" s="96" t="str">
        <f>VLOOKUP(M307,CAC!$A$2:$B$198,2,FALSE)</f>
        <v>HMFLEX</v>
      </c>
    </row>
    <row r="308" spans="5:14" x14ac:dyDescent="0.25">
      <c r="E308" s="136">
        <v>201602</v>
      </c>
      <c r="F308" s="138" t="s">
        <v>345</v>
      </c>
      <c r="G308" s="138" t="s">
        <v>348</v>
      </c>
      <c r="H308" s="138" t="s">
        <v>349</v>
      </c>
      <c r="I308" s="139">
        <v>20546.66</v>
      </c>
      <c r="K308" s="96" t="str">
        <f t="shared" si="19"/>
        <v>0011-1010-0017</v>
      </c>
      <c r="L308" s="96" t="str">
        <f>VLOOKUP(K308,COA!$A$3:$B$337,2,FALSE)</f>
        <v>S11</v>
      </c>
      <c r="M308" s="96" t="str">
        <f t="shared" si="20"/>
        <v>S11</v>
      </c>
      <c r="N308" s="96" t="str">
        <f>VLOOKUP(M308,CAC!$A$2:$B$198,2,FALSE)</f>
        <v>HMOSG</v>
      </c>
    </row>
    <row r="309" spans="5:14" x14ac:dyDescent="0.25">
      <c r="E309" s="136">
        <v>201711</v>
      </c>
      <c r="F309" s="138" t="s">
        <v>345</v>
      </c>
      <c r="G309" s="138" t="s">
        <v>355</v>
      </c>
      <c r="H309" s="138" t="s">
        <v>344</v>
      </c>
      <c r="I309" s="139">
        <v>19425.64</v>
      </c>
      <c r="K309" s="96" t="str">
        <f t="shared" si="19"/>
        <v>0011-1006-0012</v>
      </c>
      <c r="L309" s="96" t="str">
        <f>VLOOKUP(K309,COA!$A$3:$B$337,2,FALSE)</f>
        <v>L13</v>
      </c>
      <c r="M309" s="96" t="str">
        <f t="shared" si="20"/>
        <v>L13</v>
      </c>
      <c r="N309" s="96" t="str">
        <f>VLOOKUP(M309,CAC!$A$2:$B$198,2,FALSE)</f>
        <v>HMOLG</v>
      </c>
    </row>
    <row r="310" spans="5:14" x14ac:dyDescent="0.25">
      <c r="E310" s="136">
        <v>201508</v>
      </c>
      <c r="F310" s="138" t="s">
        <v>506</v>
      </c>
      <c r="G310" s="138" t="s">
        <v>354</v>
      </c>
      <c r="H310" s="138" t="s">
        <v>592</v>
      </c>
      <c r="I310" s="139">
        <v>0</v>
      </c>
      <c r="K310" s="96" t="str">
        <f t="shared" si="19"/>
        <v>0013-1013-0035</v>
      </c>
      <c r="L310" s="96" t="str">
        <f>VLOOKUP(K310,COA!$A$3:$B$337,2,FALSE)</f>
        <v>N44</v>
      </c>
      <c r="M310" s="96" t="str">
        <f t="shared" si="20"/>
        <v>N44</v>
      </c>
      <c r="N310" s="96" t="e">
        <f>VLOOKUP(M310,CAC!$A$2:$B$198,2,FALSE)</f>
        <v>#N/A</v>
      </c>
    </row>
    <row r="311" spans="5:14" x14ac:dyDescent="0.25">
      <c r="E311" s="136">
        <v>201707</v>
      </c>
      <c r="F311" s="138" t="s">
        <v>563</v>
      </c>
      <c r="G311" s="138" t="s">
        <v>352</v>
      </c>
      <c r="H311" s="138" t="s">
        <v>344</v>
      </c>
      <c r="I311" s="139">
        <v>0</v>
      </c>
      <c r="K311" s="96" t="str">
        <f t="shared" si="19"/>
        <v>0003-1004-0012</v>
      </c>
      <c r="L311" s="96" t="str">
        <f>VLOOKUP(K311,COA!$A$3:$B$337,2,FALSE)</f>
        <v>L51</v>
      </c>
      <c r="M311" s="96" t="str">
        <f t="shared" si="20"/>
        <v>L51</v>
      </c>
      <c r="N311" s="96" t="str">
        <f>VLOOKUP(M311,CAC!$A$2:$B$198,2,FALSE)</f>
        <v>PPOLG</v>
      </c>
    </row>
    <row r="312" spans="5:14" x14ac:dyDescent="0.25">
      <c r="E312" s="136">
        <v>201506</v>
      </c>
      <c r="F312" s="138" t="s">
        <v>345</v>
      </c>
      <c r="G312" s="138" t="s">
        <v>359</v>
      </c>
      <c r="H312" s="138" t="s">
        <v>344</v>
      </c>
      <c r="I312" s="139">
        <v>2254.94</v>
      </c>
      <c r="K312" s="96" t="str">
        <f t="shared" si="19"/>
        <v>0011-1005-0012</v>
      </c>
      <c r="L312" s="96" t="str">
        <f>VLOOKUP(K312,COA!$A$3:$B$337,2,FALSE)</f>
        <v>N11</v>
      </c>
      <c r="M312" s="96" t="str">
        <f t="shared" si="20"/>
        <v>N11</v>
      </c>
      <c r="N312" s="96" t="str">
        <f>VLOOKUP(M312,CAC!$A$2:$B$198,2,FALSE)</f>
        <v>HMOLG</v>
      </c>
    </row>
    <row r="313" spans="5:14" x14ac:dyDescent="0.25">
      <c r="E313" s="136">
        <v>201709</v>
      </c>
      <c r="F313" s="138" t="s">
        <v>345</v>
      </c>
      <c r="G313" s="138" t="s">
        <v>352</v>
      </c>
      <c r="H313" s="138" t="s">
        <v>357</v>
      </c>
      <c r="I313" s="139">
        <v>1959</v>
      </c>
      <c r="K313" s="96" t="str">
        <f t="shared" si="19"/>
        <v>0011-1004-0038</v>
      </c>
      <c r="L313" s="96" t="str">
        <f>VLOOKUP(K313,COA!$A$3:$B$337,2,FALSE)</f>
        <v>L14</v>
      </c>
      <c r="M313" s="96" t="str">
        <f t="shared" si="20"/>
        <v>L14</v>
      </c>
      <c r="N313" s="96" t="str">
        <f>VLOOKUP(M313,CAC!$A$2:$B$198,2,FALSE)</f>
        <v>HMOLG</v>
      </c>
    </row>
    <row r="314" spans="5:14" x14ac:dyDescent="0.25">
      <c r="E314" s="136">
        <v>201606</v>
      </c>
      <c r="F314" s="138" t="s">
        <v>746</v>
      </c>
      <c r="G314" s="138" t="s">
        <v>361</v>
      </c>
      <c r="H314" s="138" t="s">
        <v>344</v>
      </c>
      <c r="I314" s="139">
        <v>470</v>
      </c>
      <c r="K314" s="96" t="str">
        <f t="shared" si="19"/>
        <v>0016-1003-0012</v>
      </c>
      <c r="L314" s="96" t="str">
        <f>VLOOKUP(K314,COA!$A$3:$B$337,2,FALSE)</f>
        <v>R18</v>
      </c>
      <c r="M314" s="96" t="str">
        <f t="shared" si="20"/>
        <v>R18</v>
      </c>
      <c r="N314" s="96" t="str">
        <f>VLOOKUP(M314,CAC!$A$2:$B$198,2,FALSE)</f>
        <v>HMOMG</v>
      </c>
    </row>
    <row r="315" spans="5:14" x14ac:dyDescent="0.25">
      <c r="E315" s="136">
        <v>201701</v>
      </c>
      <c r="F315" s="138" t="s">
        <v>563</v>
      </c>
      <c r="G315" s="138" t="s">
        <v>361</v>
      </c>
      <c r="H315" s="138" t="s">
        <v>344</v>
      </c>
      <c r="I315" s="139">
        <v>0</v>
      </c>
      <c r="K315" s="96" t="str">
        <f t="shared" si="19"/>
        <v>0003-1003-0012</v>
      </c>
      <c r="L315" s="96" t="str">
        <f>VLOOKUP(K315,COA!$A$3:$B$337,2,FALSE)</f>
        <v>N61</v>
      </c>
      <c r="M315" s="96" t="str">
        <f t="shared" si="20"/>
        <v>N61</v>
      </c>
      <c r="N315" s="96" t="str">
        <f>VLOOKUP(M315,CAC!$A$2:$B$198,2,FALSE)</f>
        <v>PPOPMR</v>
      </c>
    </row>
    <row r="316" spans="5:14" x14ac:dyDescent="0.25">
      <c r="E316" s="136">
        <v>201712</v>
      </c>
      <c r="F316" s="138" t="s">
        <v>506</v>
      </c>
      <c r="G316" s="138" t="s">
        <v>352</v>
      </c>
      <c r="H316" s="138" t="s">
        <v>592</v>
      </c>
      <c r="I316" s="139">
        <v>0</v>
      </c>
      <c r="K316" s="96" t="str">
        <f t="shared" si="19"/>
        <v>0013-1004-0035</v>
      </c>
      <c r="L316" s="96" t="str">
        <f>VLOOKUP(K316,COA!$A$3:$B$337,2,FALSE)</f>
        <v>L41</v>
      </c>
      <c r="M316" s="96" t="str">
        <f t="shared" si="20"/>
        <v>L41</v>
      </c>
      <c r="N316" s="96" t="e">
        <f>VLOOKUP(M316,CAC!$A$2:$B$198,2,FALSE)</f>
        <v>#N/A</v>
      </c>
    </row>
    <row r="317" spans="5:14" x14ac:dyDescent="0.25">
      <c r="E317" s="136">
        <v>201505</v>
      </c>
      <c r="F317" s="138" t="s">
        <v>345</v>
      </c>
      <c r="G317" s="138" t="s">
        <v>356</v>
      </c>
      <c r="H317" s="138" t="s">
        <v>344</v>
      </c>
      <c r="I317" s="139">
        <v>149</v>
      </c>
      <c r="K317" s="96" t="str">
        <f t="shared" si="19"/>
        <v>0011-1002-0012</v>
      </c>
      <c r="L317" s="96" t="str">
        <f>VLOOKUP(K317,COA!$A$3:$B$337,2,FALSE)</f>
        <v>F20</v>
      </c>
      <c r="M317" s="96" t="str">
        <f t="shared" si="20"/>
        <v>F20</v>
      </c>
      <c r="N317" s="96" t="str">
        <f>VLOOKUP(M317,CAC!$A$2:$B$198,2,FALSE)</f>
        <v>HMOPMR</v>
      </c>
    </row>
    <row r="318" spans="5:14" x14ac:dyDescent="0.25">
      <c r="E318" s="136">
        <v>201511</v>
      </c>
      <c r="F318" s="138" t="s">
        <v>345</v>
      </c>
      <c r="G318" s="138" t="s">
        <v>352</v>
      </c>
      <c r="H318" s="138" t="s">
        <v>653</v>
      </c>
      <c r="I318" s="139">
        <v>0</v>
      </c>
      <c r="K318" s="96" t="str">
        <f t="shared" si="19"/>
        <v>0011-1004-0047</v>
      </c>
      <c r="L318" s="96" t="str">
        <f>VLOOKUP(K318,COA!$A$3:$B$337,2,FALSE)</f>
        <v>L17</v>
      </c>
      <c r="M318" s="96" t="str">
        <f t="shared" si="20"/>
        <v>L17</v>
      </c>
      <c r="N318" s="96" t="str">
        <f>VLOOKUP(M318,CAC!$A$2:$B$198,2,FALSE)</f>
        <v>HMOLG</v>
      </c>
    </row>
    <row r="319" spans="5:14" x14ac:dyDescent="0.25">
      <c r="E319" s="136">
        <v>201709</v>
      </c>
      <c r="F319" s="138" t="s">
        <v>746</v>
      </c>
      <c r="G319" s="138" t="s">
        <v>350</v>
      </c>
      <c r="H319" s="138" t="s">
        <v>764</v>
      </c>
      <c r="I319" s="139">
        <v>22</v>
      </c>
      <c r="K319" s="96" t="str">
        <f t="shared" si="19"/>
        <v>0016-1012-0064</v>
      </c>
      <c r="L319" s="96" t="str">
        <f>VLOOKUP(K319,COA!$A$3:$B$337,2,FALSE)</f>
        <v>R25</v>
      </c>
      <c r="M319" s="96" t="str">
        <f t="shared" si="20"/>
        <v>R25</v>
      </c>
      <c r="N319" s="96" t="str">
        <f>VLOOKUP(M319,CAC!$A$2:$B$198,2,FALSE)</f>
        <v>HMOMG</v>
      </c>
    </row>
    <row r="320" spans="5:14" x14ac:dyDescent="0.25">
      <c r="E320" s="136">
        <v>201608</v>
      </c>
      <c r="F320" s="138" t="s">
        <v>345</v>
      </c>
      <c r="G320" s="138" t="s">
        <v>346</v>
      </c>
      <c r="H320" s="138" t="s">
        <v>344</v>
      </c>
      <c r="I320" s="139">
        <v>0</v>
      </c>
      <c r="K320" s="96" t="str">
        <f t="shared" si="19"/>
        <v>0011-1014-0012</v>
      </c>
      <c r="L320" s="96" t="e">
        <f>VLOOKUP(K320,COA!$A$3:$B$337,2,FALSE)</f>
        <v>#N/A</v>
      </c>
      <c r="M320" s="96" t="str">
        <f t="shared" si="20"/>
        <v>XXX</v>
      </c>
      <c r="N320" s="96" t="str">
        <f>VLOOKUP(M320,CAC!$A$2:$B$198,2,FALSE)</f>
        <v>XXX</v>
      </c>
    </row>
    <row r="321" spans="5:14" x14ac:dyDescent="0.25">
      <c r="E321" s="136">
        <v>201507</v>
      </c>
      <c r="F321" s="138" t="s">
        <v>506</v>
      </c>
      <c r="G321" s="138" t="s">
        <v>350</v>
      </c>
      <c r="H321" s="138" t="s">
        <v>592</v>
      </c>
      <c r="I321" s="139">
        <v>0</v>
      </c>
      <c r="K321" s="96" t="str">
        <f t="shared" si="19"/>
        <v>0013-1012-0035</v>
      </c>
      <c r="L321" s="96" t="str">
        <f>VLOOKUP(K321,COA!$A$3:$B$337,2,FALSE)</f>
        <v>K41</v>
      </c>
      <c r="M321" s="96" t="str">
        <f t="shared" si="20"/>
        <v>K41</v>
      </c>
      <c r="N321" s="96" t="e">
        <f>VLOOKUP(M321,CAC!$A$2:$B$198,2,FALSE)</f>
        <v>#N/A</v>
      </c>
    </row>
    <row r="322" spans="5:14" x14ac:dyDescent="0.25">
      <c r="E322" s="136">
        <v>201611</v>
      </c>
      <c r="F322" s="138" t="s">
        <v>746</v>
      </c>
      <c r="G322" s="138" t="s">
        <v>356</v>
      </c>
      <c r="H322" s="138" t="s">
        <v>764</v>
      </c>
      <c r="I322" s="139">
        <v>629</v>
      </c>
      <c r="K322" s="96" t="str">
        <f t="shared" si="19"/>
        <v>0016-1002-0064</v>
      </c>
      <c r="L322" s="96" t="str">
        <f>VLOOKUP(K322,COA!$A$3:$B$337,2,FALSE)</f>
        <v>R25</v>
      </c>
      <c r="M322" s="96" t="str">
        <f t="shared" si="20"/>
        <v>R25</v>
      </c>
      <c r="N322" s="96" t="str">
        <f>VLOOKUP(M322,CAC!$A$2:$B$198,2,FALSE)</f>
        <v>HMOMG</v>
      </c>
    </row>
    <row r="323" spans="5:14" x14ac:dyDescent="0.25">
      <c r="E323" s="136">
        <v>201711</v>
      </c>
      <c r="F323" s="138" t="s">
        <v>345</v>
      </c>
      <c r="G323" s="138" t="s">
        <v>350</v>
      </c>
      <c r="H323" s="138" t="s">
        <v>360</v>
      </c>
      <c r="I323" s="139">
        <v>10475.030000000001</v>
      </c>
      <c r="K323" s="96" t="str">
        <f t="shared" ref="K323:K386" si="21">F323&amp;"-"&amp;G323&amp;"-"&amp;H323</f>
        <v>0011-1012-0048</v>
      </c>
      <c r="L323" s="96" t="str">
        <f>VLOOKUP(K323,COA!$A$3:$B$337,2,FALSE)</f>
        <v>K21</v>
      </c>
      <c r="M323" s="96" t="str">
        <f t="shared" si="20"/>
        <v>K21</v>
      </c>
      <c r="N323" s="96" t="str">
        <f>VLOOKUP(M323,CAC!$A$2:$B$198,2,FALSE)</f>
        <v>HMFLEX</v>
      </c>
    </row>
    <row r="324" spans="5:14" x14ac:dyDescent="0.25">
      <c r="E324" s="136">
        <v>201712</v>
      </c>
      <c r="F324" s="138" t="s">
        <v>344</v>
      </c>
      <c r="G324" s="138" t="s">
        <v>359</v>
      </c>
      <c r="H324" s="138" t="s">
        <v>344</v>
      </c>
      <c r="I324" s="139">
        <v>90</v>
      </c>
      <c r="K324" s="96" t="str">
        <f t="shared" si="21"/>
        <v>0012-1005-0012</v>
      </c>
      <c r="L324" s="96" t="str">
        <f>VLOOKUP(K324,COA!$A$3:$B$337,2,FALSE)</f>
        <v>N13</v>
      </c>
      <c r="M324" s="96" t="str">
        <f t="shared" ref="M324:M387" si="22">IF(ISNA(L324),"XXX",L324)</f>
        <v>N13</v>
      </c>
      <c r="N324" s="96" t="str">
        <f>VLOOKUP(M324,CAC!$A$2:$B$198,2,FALSE)</f>
        <v>HMOLG</v>
      </c>
    </row>
    <row r="325" spans="5:14" x14ac:dyDescent="0.25">
      <c r="E325" s="136">
        <v>201508</v>
      </c>
      <c r="F325" s="138" t="s">
        <v>563</v>
      </c>
      <c r="G325" s="138" t="s">
        <v>365</v>
      </c>
      <c r="H325" s="138" t="s">
        <v>367</v>
      </c>
      <c r="I325" s="139">
        <v>0</v>
      </c>
      <c r="K325" s="96" t="str">
        <f t="shared" si="21"/>
        <v>0003-1001-0022</v>
      </c>
      <c r="L325" s="96" t="str">
        <f>VLOOKUP(K325,COA!$A$3:$B$337,2,FALSE)</f>
        <v>V54</v>
      </c>
      <c r="M325" s="96" t="str">
        <f t="shared" si="22"/>
        <v>V54</v>
      </c>
      <c r="N325" s="96" t="str">
        <f>VLOOKUP(M325,CAC!$A$2:$B$198,2,FALSE)</f>
        <v>PPOIFP</v>
      </c>
    </row>
    <row r="326" spans="5:14" x14ac:dyDescent="0.25">
      <c r="E326" s="136">
        <v>201506</v>
      </c>
      <c r="F326" s="138" t="s">
        <v>563</v>
      </c>
      <c r="G326" s="138" t="s">
        <v>365</v>
      </c>
      <c r="H326" s="138" t="s">
        <v>366</v>
      </c>
      <c r="I326" s="139">
        <v>0</v>
      </c>
      <c r="K326" s="96" t="str">
        <f t="shared" si="21"/>
        <v>0003-1001-0021</v>
      </c>
      <c r="L326" s="96" t="str">
        <f>VLOOKUP(K326,COA!$A$3:$B$337,2,FALSE)</f>
        <v>V53</v>
      </c>
      <c r="M326" s="96" t="str">
        <f t="shared" si="22"/>
        <v>V53</v>
      </c>
      <c r="N326" s="96" t="str">
        <f>VLOOKUP(M326,CAC!$A$2:$B$198,2,FALSE)</f>
        <v>PPOIFP</v>
      </c>
    </row>
    <row r="327" spans="5:14" x14ac:dyDescent="0.25">
      <c r="E327" s="136">
        <v>201801</v>
      </c>
      <c r="F327" s="138" t="s">
        <v>563</v>
      </c>
      <c r="G327" s="138" t="s">
        <v>355</v>
      </c>
      <c r="H327" s="138" t="s">
        <v>344</v>
      </c>
      <c r="I327" s="139">
        <v>0</v>
      </c>
      <c r="K327" s="96" t="str">
        <f t="shared" si="21"/>
        <v>0003-1006-0012</v>
      </c>
      <c r="L327" s="96" t="str">
        <f>VLOOKUP(K327,COA!$A$3:$B$337,2,FALSE)</f>
        <v>L52</v>
      </c>
      <c r="M327" s="96" t="str">
        <f t="shared" si="22"/>
        <v>L52</v>
      </c>
      <c r="N327" s="96" t="str">
        <f>VLOOKUP(M327,CAC!$A$2:$B$198,2,FALSE)</f>
        <v>PPOLG</v>
      </c>
    </row>
    <row r="328" spans="5:14" x14ac:dyDescent="0.25">
      <c r="E328" s="136">
        <v>201701</v>
      </c>
      <c r="F328" s="138" t="s">
        <v>345</v>
      </c>
      <c r="G328" s="138" t="s">
        <v>352</v>
      </c>
      <c r="H328" s="138" t="s">
        <v>344</v>
      </c>
      <c r="I328" s="139">
        <v>8749.6</v>
      </c>
      <c r="K328" s="96" t="str">
        <f t="shared" si="21"/>
        <v>0011-1004-0012</v>
      </c>
      <c r="L328" s="96" t="str">
        <f>VLOOKUP(K328,COA!$A$3:$B$337,2,FALSE)</f>
        <v>L11</v>
      </c>
      <c r="M328" s="96" t="str">
        <f t="shared" si="22"/>
        <v>L11</v>
      </c>
      <c r="N328" s="96" t="str">
        <f>VLOOKUP(M328,CAC!$A$2:$B$198,2,FALSE)</f>
        <v>HMOLG</v>
      </c>
    </row>
    <row r="329" spans="5:14" x14ac:dyDescent="0.25">
      <c r="E329" s="136">
        <v>201611</v>
      </c>
      <c r="F329" s="138" t="s">
        <v>345</v>
      </c>
      <c r="G329" s="138" t="s">
        <v>354</v>
      </c>
      <c r="H329" s="138" t="s">
        <v>344</v>
      </c>
      <c r="I329" s="139">
        <v>6797.57</v>
      </c>
      <c r="K329" s="96" t="str">
        <f t="shared" si="21"/>
        <v>0011-1013-0012</v>
      </c>
      <c r="L329" s="96" t="str">
        <f>VLOOKUP(K329,COA!$A$3:$B$337,2,FALSE)</f>
        <v>N20</v>
      </c>
      <c r="M329" s="96" t="str">
        <f t="shared" si="22"/>
        <v>N20</v>
      </c>
      <c r="N329" s="96" t="str">
        <f>VLOOKUP(M329,CAC!$A$2:$B$198,2,FALSE)</f>
        <v>HMOPMR</v>
      </c>
    </row>
    <row r="330" spans="5:14" x14ac:dyDescent="0.25">
      <c r="E330" s="136">
        <v>201704</v>
      </c>
      <c r="F330" s="138" t="s">
        <v>344</v>
      </c>
      <c r="G330" s="138" t="s">
        <v>359</v>
      </c>
      <c r="H330" s="138" t="s">
        <v>344</v>
      </c>
      <c r="I330" s="139">
        <v>164</v>
      </c>
      <c r="K330" s="96" t="str">
        <f t="shared" si="21"/>
        <v>0012-1005-0012</v>
      </c>
      <c r="L330" s="96" t="str">
        <f>VLOOKUP(K330,COA!$A$3:$B$337,2,FALSE)</f>
        <v>N13</v>
      </c>
      <c r="M330" s="96" t="str">
        <f t="shared" si="22"/>
        <v>N13</v>
      </c>
      <c r="N330" s="96" t="str">
        <f>VLOOKUP(M330,CAC!$A$2:$B$198,2,FALSE)</f>
        <v>HMOLG</v>
      </c>
    </row>
    <row r="331" spans="5:14" x14ac:dyDescent="0.25">
      <c r="E331" s="136">
        <v>201612</v>
      </c>
      <c r="F331" s="138" t="s">
        <v>746</v>
      </c>
      <c r="G331" s="138" t="s">
        <v>356</v>
      </c>
      <c r="H331" s="138" t="s">
        <v>764</v>
      </c>
      <c r="I331" s="139">
        <v>632</v>
      </c>
      <c r="K331" s="96" t="str">
        <f t="shared" si="21"/>
        <v>0016-1002-0064</v>
      </c>
      <c r="L331" s="96" t="str">
        <f>VLOOKUP(K331,COA!$A$3:$B$337,2,FALSE)</f>
        <v>R25</v>
      </c>
      <c r="M331" s="96" t="str">
        <f t="shared" si="22"/>
        <v>R25</v>
      </c>
      <c r="N331" s="96" t="str">
        <f>VLOOKUP(M331,CAC!$A$2:$B$198,2,FALSE)</f>
        <v>HMOMG</v>
      </c>
    </row>
    <row r="332" spans="5:14" x14ac:dyDescent="0.25">
      <c r="E332" s="136">
        <v>201712</v>
      </c>
      <c r="F332" s="138" t="s">
        <v>746</v>
      </c>
      <c r="G332" s="138" t="s">
        <v>361</v>
      </c>
      <c r="H332" s="138" t="s">
        <v>344</v>
      </c>
      <c r="I332" s="139">
        <v>502</v>
      </c>
      <c r="K332" s="96" t="str">
        <f t="shared" si="21"/>
        <v>0016-1003-0012</v>
      </c>
      <c r="L332" s="96" t="str">
        <f>VLOOKUP(K332,COA!$A$3:$B$337,2,FALSE)</f>
        <v>R18</v>
      </c>
      <c r="M332" s="96" t="str">
        <f t="shared" si="22"/>
        <v>R18</v>
      </c>
      <c r="N332" s="96" t="str">
        <f>VLOOKUP(M332,CAC!$A$2:$B$198,2,FALSE)</f>
        <v>HMOMG</v>
      </c>
    </row>
    <row r="333" spans="5:14" x14ac:dyDescent="0.25">
      <c r="E333" s="136">
        <v>201503</v>
      </c>
      <c r="F333" s="138" t="s">
        <v>746</v>
      </c>
      <c r="G333" s="138" t="s">
        <v>361</v>
      </c>
      <c r="H333" s="138" t="s">
        <v>344</v>
      </c>
      <c r="I333" s="139">
        <v>445</v>
      </c>
      <c r="K333" s="96" t="str">
        <f t="shared" si="21"/>
        <v>0016-1003-0012</v>
      </c>
      <c r="L333" s="96" t="str">
        <f>VLOOKUP(K333,COA!$A$3:$B$337,2,FALSE)</f>
        <v>R18</v>
      </c>
      <c r="M333" s="96" t="str">
        <f t="shared" si="22"/>
        <v>R18</v>
      </c>
      <c r="N333" s="96" t="str">
        <f>VLOOKUP(M333,CAC!$A$2:$B$198,2,FALSE)</f>
        <v>HMOMG</v>
      </c>
    </row>
    <row r="334" spans="5:14" x14ac:dyDescent="0.25">
      <c r="E334" s="136">
        <v>201607</v>
      </c>
      <c r="F334" s="138" t="s">
        <v>563</v>
      </c>
      <c r="G334" s="138" t="s">
        <v>365</v>
      </c>
      <c r="H334" s="138" t="s">
        <v>366</v>
      </c>
      <c r="I334" s="139">
        <v>0</v>
      </c>
      <c r="K334" s="96" t="str">
        <f t="shared" si="21"/>
        <v>0003-1001-0021</v>
      </c>
      <c r="L334" s="96" t="str">
        <f>VLOOKUP(K334,COA!$A$3:$B$337,2,FALSE)</f>
        <v>V53</v>
      </c>
      <c r="M334" s="96" t="str">
        <f t="shared" si="22"/>
        <v>V53</v>
      </c>
      <c r="N334" s="96" t="str">
        <f>VLOOKUP(M334,CAC!$A$2:$B$198,2,FALSE)</f>
        <v>PPOIFP</v>
      </c>
    </row>
    <row r="335" spans="5:14" x14ac:dyDescent="0.25">
      <c r="E335" s="136">
        <v>201511</v>
      </c>
      <c r="F335" s="138" t="s">
        <v>563</v>
      </c>
      <c r="G335" s="138" t="s">
        <v>354</v>
      </c>
      <c r="H335" s="138" t="s">
        <v>653</v>
      </c>
      <c r="I335" s="139">
        <v>0</v>
      </c>
      <c r="K335" s="96" t="str">
        <f t="shared" si="21"/>
        <v>0003-1013-0047</v>
      </c>
      <c r="L335" s="96" t="str">
        <f>VLOOKUP(K335,COA!$A$3:$B$337,2,FALSE)</f>
        <v>N57</v>
      </c>
      <c r="M335" s="96" t="str">
        <f t="shared" si="22"/>
        <v>N57</v>
      </c>
      <c r="N335" s="96" t="str">
        <f>VLOOKUP(M335,CAC!$A$2:$B$198,2,FALSE)</f>
        <v>PPOPMR</v>
      </c>
    </row>
    <row r="336" spans="5:14" x14ac:dyDescent="0.25">
      <c r="E336" s="136">
        <v>201606</v>
      </c>
      <c r="F336" s="138" t="s">
        <v>549</v>
      </c>
      <c r="G336" s="138" t="s">
        <v>352</v>
      </c>
      <c r="H336" s="138" t="s">
        <v>672</v>
      </c>
      <c r="I336" s="139">
        <v>0</v>
      </c>
      <c r="K336" s="96" t="str">
        <f t="shared" si="21"/>
        <v>0026-1004-0058</v>
      </c>
      <c r="L336" s="96" t="str">
        <f>VLOOKUP(K336,COA!$A$3:$B$337,2,FALSE)</f>
        <v>L44</v>
      </c>
      <c r="M336" s="96" t="str">
        <f t="shared" si="22"/>
        <v>L44</v>
      </c>
      <c r="N336" s="96" t="e">
        <f>VLOOKUP(M336,CAC!$A$2:$B$198,2,FALSE)</f>
        <v>#N/A</v>
      </c>
    </row>
    <row r="337" spans="5:14" x14ac:dyDescent="0.25">
      <c r="E337" s="136">
        <v>201801</v>
      </c>
      <c r="F337" s="138" t="s">
        <v>344</v>
      </c>
      <c r="G337" s="138" t="s">
        <v>359</v>
      </c>
      <c r="H337" s="138" t="s">
        <v>344</v>
      </c>
      <c r="I337" s="139">
        <v>90</v>
      </c>
      <c r="K337" s="96" t="str">
        <f t="shared" si="21"/>
        <v>0012-1005-0012</v>
      </c>
      <c r="L337" s="96" t="str">
        <f>VLOOKUP(K337,COA!$A$3:$B$337,2,FALSE)</f>
        <v>N13</v>
      </c>
      <c r="M337" s="96" t="str">
        <f t="shared" si="22"/>
        <v>N13</v>
      </c>
      <c r="N337" s="96" t="str">
        <f>VLOOKUP(M337,CAC!$A$2:$B$198,2,FALSE)</f>
        <v>HMOLG</v>
      </c>
    </row>
    <row r="338" spans="5:14" x14ac:dyDescent="0.25">
      <c r="E338" s="136">
        <v>201707</v>
      </c>
      <c r="F338" s="138" t="s">
        <v>563</v>
      </c>
      <c r="G338" s="138" t="s">
        <v>369</v>
      </c>
      <c r="H338" s="138" t="s">
        <v>353</v>
      </c>
      <c r="I338" s="139">
        <v>0</v>
      </c>
      <c r="K338" s="96" t="str">
        <f t="shared" si="21"/>
        <v>0003-1009-0023</v>
      </c>
      <c r="L338" s="96" t="e">
        <f>VLOOKUP(K338,COA!$A$3:$B$337,2,FALSE)</f>
        <v>#N/A</v>
      </c>
      <c r="M338" s="96" t="str">
        <f t="shared" si="22"/>
        <v>XXX</v>
      </c>
      <c r="N338" s="96" t="str">
        <f>VLOOKUP(M338,CAC!$A$2:$B$198,2,FALSE)</f>
        <v>XXX</v>
      </c>
    </row>
    <row r="339" spans="5:14" x14ac:dyDescent="0.25">
      <c r="E339" s="136">
        <v>201605</v>
      </c>
      <c r="F339" s="138" t="s">
        <v>506</v>
      </c>
      <c r="G339" s="138" t="s">
        <v>354</v>
      </c>
      <c r="H339" s="138" t="s">
        <v>592</v>
      </c>
      <c r="I339" s="139">
        <v>0</v>
      </c>
      <c r="K339" s="96" t="str">
        <f t="shared" si="21"/>
        <v>0013-1013-0035</v>
      </c>
      <c r="L339" s="96" t="str">
        <f>VLOOKUP(K339,COA!$A$3:$B$337,2,FALSE)</f>
        <v>N44</v>
      </c>
      <c r="M339" s="96" t="str">
        <f t="shared" si="22"/>
        <v>N44</v>
      </c>
      <c r="N339" s="96" t="e">
        <f>VLOOKUP(M339,CAC!$A$2:$B$198,2,FALSE)</f>
        <v>#N/A</v>
      </c>
    </row>
    <row r="340" spans="5:14" x14ac:dyDescent="0.25">
      <c r="E340" s="136">
        <v>201608</v>
      </c>
      <c r="F340" s="138" t="s">
        <v>563</v>
      </c>
      <c r="G340" s="138" t="s">
        <v>361</v>
      </c>
      <c r="H340" s="138" t="s">
        <v>344</v>
      </c>
      <c r="I340" s="139">
        <v>0</v>
      </c>
      <c r="K340" s="96" t="str">
        <f t="shared" si="21"/>
        <v>0003-1003-0012</v>
      </c>
      <c r="L340" s="96" t="str">
        <f>VLOOKUP(K340,COA!$A$3:$B$337,2,FALSE)</f>
        <v>N61</v>
      </c>
      <c r="M340" s="96" t="str">
        <f t="shared" si="22"/>
        <v>N61</v>
      </c>
      <c r="N340" s="96" t="str">
        <f>VLOOKUP(M340,CAC!$A$2:$B$198,2,FALSE)</f>
        <v>PPOPMR</v>
      </c>
    </row>
    <row r="341" spans="5:14" x14ac:dyDescent="0.25">
      <c r="E341" s="136">
        <v>201612</v>
      </c>
      <c r="F341" s="138" t="s">
        <v>506</v>
      </c>
      <c r="G341" s="138" t="s">
        <v>350</v>
      </c>
      <c r="H341" s="138" t="s">
        <v>592</v>
      </c>
      <c r="I341" s="139">
        <v>0</v>
      </c>
      <c r="K341" s="96" t="str">
        <f t="shared" si="21"/>
        <v>0013-1012-0035</v>
      </c>
      <c r="L341" s="96" t="str">
        <f>VLOOKUP(K341,COA!$A$3:$B$337,2,FALSE)</f>
        <v>K41</v>
      </c>
      <c r="M341" s="96" t="str">
        <f t="shared" si="22"/>
        <v>K41</v>
      </c>
      <c r="N341" s="96" t="e">
        <f>VLOOKUP(M341,CAC!$A$2:$B$198,2,FALSE)</f>
        <v>#N/A</v>
      </c>
    </row>
    <row r="342" spans="5:14" x14ac:dyDescent="0.25">
      <c r="E342" s="136">
        <v>201707</v>
      </c>
      <c r="F342" s="138" t="s">
        <v>345</v>
      </c>
      <c r="G342" s="138" t="s">
        <v>355</v>
      </c>
      <c r="H342" s="138" t="s">
        <v>344</v>
      </c>
      <c r="I342" s="139">
        <v>16921.43</v>
      </c>
      <c r="K342" s="96" t="str">
        <f t="shared" si="21"/>
        <v>0011-1006-0012</v>
      </c>
      <c r="L342" s="96" t="str">
        <f>VLOOKUP(K342,COA!$A$3:$B$337,2,FALSE)</f>
        <v>L13</v>
      </c>
      <c r="M342" s="96" t="str">
        <f t="shared" si="22"/>
        <v>L13</v>
      </c>
      <c r="N342" s="96" t="str">
        <f>VLOOKUP(M342,CAC!$A$2:$B$198,2,FALSE)</f>
        <v>HMOLG</v>
      </c>
    </row>
    <row r="343" spans="5:14" x14ac:dyDescent="0.25">
      <c r="E343" s="136">
        <v>201611</v>
      </c>
      <c r="F343" s="138" t="s">
        <v>563</v>
      </c>
      <c r="G343" s="138" t="s">
        <v>365</v>
      </c>
      <c r="H343" s="138" t="s">
        <v>411</v>
      </c>
      <c r="I343" s="139">
        <v>0</v>
      </c>
      <c r="K343" s="96" t="str">
        <f t="shared" si="21"/>
        <v>0003-1001-0007</v>
      </c>
      <c r="L343" s="96" t="str">
        <f>VLOOKUP(K343,COA!$A$3:$B$337,2,FALSE)</f>
        <v>V52</v>
      </c>
      <c r="M343" s="96" t="str">
        <f t="shared" si="22"/>
        <v>V52</v>
      </c>
      <c r="N343" s="96" t="str">
        <f>VLOOKUP(M343,CAC!$A$2:$B$198,2,FALSE)</f>
        <v>PPOIFP</v>
      </c>
    </row>
    <row r="344" spans="5:14" x14ac:dyDescent="0.25">
      <c r="E344" s="136">
        <v>201801</v>
      </c>
      <c r="F344" s="138" t="s">
        <v>746</v>
      </c>
      <c r="G344" s="138" t="s">
        <v>350</v>
      </c>
      <c r="H344" s="138" t="s">
        <v>764</v>
      </c>
      <c r="I344" s="139">
        <v>22</v>
      </c>
      <c r="K344" s="96" t="str">
        <f t="shared" si="21"/>
        <v>0016-1012-0064</v>
      </c>
      <c r="L344" s="96" t="str">
        <f>VLOOKUP(K344,COA!$A$3:$B$337,2,FALSE)</f>
        <v>R25</v>
      </c>
      <c r="M344" s="96" t="str">
        <f t="shared" si="22"/>
        <v>R25</v>
      </c>
      <c r="N344" s="96" t="str">
        <f>VLOOKUP(M344,CAC!$A$2:$B$198,2,FALSE)</f>
        <v>HMOMG</v>
      </c>
    </row>
    <row r="345" spans="5:14" x14ac:dyDescent="0.25">
      <c r="E345" s="136">
        <v>201511</v>
      </c>
      <c r="F345" s="138" t="s">
        <v>345</v>
      </c>
      <c r="G345" s="138" t="s">
        <v>351</v>
      </c>
      <c r="H345" s="138" t="s">
        <v>353</v>
      </c>
      <c r="I345" s="139">
        <v>3</v>
      </c>
      <c r="K345" s="96" t="str">
        <f t="shared" si="21"/>
        <v>0011-0000-0023</v>
      </c>
      <c r="L345" s="96" t="e">
        <f>VLOOKUP(K345,COA!$A$3:$B$337,2,FALSE)</f>
        <v>#N/A</v>
      </c>
      <c r="M345" s="96" t="str">
        <f t="shared" si="22"/>
        <v>XXX</v>
      </c>
      <c r="N345" s="96" t="str">
        <f>VLOOKUP(M345,CAC!$A$2:$B$198,2,FALSE)</f>
        <v>XXX</v>
      </c>
    </row>
    <row r="346" spans="5:14" x14ac:dyDescent="0.25">
      <c r="E346" s="136">
        <v>201602</v>
      </c>
      <c r="F346" s="138" t="s">
        <v>506</v>
      </c>
      <c r="G346" s="138" t="s">
        <v>359</v>
      </c>
      <c r="H346" s="138" t="s">
        <v>592</v>
      </c>
      <c r="I346" s="139">
        <v>0</v>
      </c>
      <c r="K346" s="96" t="str">
        <f t="shared" si="21"/>
        <v>0013-1005-0035</v>
      </c>
      <c r="L346" s="96" t="str">
        <f>VLOOKUP(K346,COA!$A$3:$B$337,2,FALSE)</f>
        <v>N41</v>
      </c>
      <c r="M346" s="96" t="str">
        <f t="shared" si="22"/>
        <v>N41</v>
      </c>
      <c r="N346" s="96" t="e">
        <f>VLOOKUP(M346,CAC!$A$2:$B$198,2,FALSE)</f>
        <v>#N/A</v>
      </c>
    </row>
    <row r="347" spans="5:14" x14ac:dyDescent="0.25">
      <c r="E347" s="136">
        <v>201711</v>
      </c>
      <c r="F347" s="138" t="s">
        <v>349</v>
      </c>
      <c r="G347" s="138" t="s">
        <v>369</v>
      </c>
      <c r="H347" s="138" t="s">
        <v>344</v>
      </c>
      <c r="I347" s="139">
        <v>44057</v>
      </c>
      <c r="K347" s="96" t="str">
        <f t="shared" si="21"/>
        <v>0017-1009-0012</v>
      </c>
      <c r="L347" s="96" t="str">
        <f>VLOOKUP(K347,COA!$A$3:$B$337,2,FALSE)</f>
        <v>R12</v>
      </c>
      <c r="M347" s="96" t="str">
        <f t="shared" si="22"/>
        <v>R12</v>
      </c>
      <c r="N347" s="96" t="str">
        <f>VLOOKUP(M347,CAC!$A$2:$B$198,2,FALSE)</f>
        <v>HMOMM</v>
      </c>
    </row>
    <row r="348" spans="5:14" x14ac:dyDescent="0.25">
      <c r="E348" s="136">
        <v>201612</v>
      </c>
      <c r="F348" s="138" t="s">
        <v>344</v>
      </c>
      <c r="G348" s="138" t="s">
        <v>361</v>
      </c>
      <c r="H348" s="138" t="s">
        <v>344</v>
      </c>
      <c r="I348" s="139">
        <v>9540.26</v>
      </c>
      <c r="K348" s="96" t="str">
        <f t="shared" si="21"/>
        <v>0012-1003-0012</v>
      </c>
      <c r="L348" s="96" t="str">
        <f>VLOOKUP(K348,COA!$A$3:$B$337,2,FALSE)</f>
        <v>N15</v>
      </c>
      <c r="M348" s="96" t="str">
        <f t="shared" si="22"/>
        <v>N15</v>
      </c>
      <c r="N348" s="96" t="str">
        <f>VLOOKUP(M348,CAC!$A$2:$B$198,2,FALSE)</f>
        <v>HMOPMR</v>
      </c>
    </row>
    <row r="349" spans="5:14" x14ac:dyDescent="0.25">
      <c r="E349" s="136">
        <v>201706</v>
      </c>
      <c r="F349" s="138" t="s">
        <v>344</v>
      </c>
      <c r="G349" s="138" t="s">
        <v>354</v>
      </c>
      <c r="H349" s="138" t="s">
        <v>344</v>
      </c>
      <c r="I349" s="139">
        <v>286</v>
      </c>
      <c r="K349" s="96" t="str">
        <f t="shared" si="21"/>
        <v>0012-1013-0012</v>
      </c>
      <c r="L349" s="96" t="str">
        <f>VLOOKUP(K349,COA!$A$3:$B$337,2,FALSE)</f>
        <v>N14</v>
      </c>
      <c r="M349" s="96" t="str">
        <f t="shared" si="22"/>
        <v>N14</v>
      </c>
      <c r="N349" s="96" t="str">
        <f>VLOOKUP(M349,CAC!$A$2:$B$198,2,FALSE)</f>
        <v>HMOPMR</v>
      </c>
    </row>
    <row r="350" spans="5:14" x14ac:dyDescent="0.25">
      <c r="E350" s="136">
        <v>201708</v>
      </c>
      <c r="F350" s="138" t="s">
        <v>746</v>
      </c>
      <c r="G350" s="138" t="s">
        <v>354</v>
      </c>
      <c r="H350" s="138" t="s">
        <v>344</v>
      </c>
      <c r="I350" s="139">
        <v>80</v>
      </c>
      <c r="K350" s="96" t="str">
        <f t="shared" si="21"/>
        <v>0016-1013-0012</v>
      </c>
      <c r="L350" s="96" t="str">
        <f>VLOOKUP(K350,COA!$A$3:$B$337,2,FALSE)</f>
        <v>R19</v>
      </c>
      <c r="M350" s="96" t="str">
        <f t="shared" si="22"/>
        <v>R19</v>
      </c>
      <c r="N350" s="96" t="str">
        <f>VLOOKUP(M350,CAC!$A$2:$B$198,2,FALSE)</f>
        <v>HMOMG</v>
      </c>
    </row>
    <row r="351" spans="5:14" x14ac:dyDescent="0.25">
      <c r="E351" s="136">
        <v>201602</v>
      </c>
      <c r="F351" s="138" t="s">
        <v>506</v>
      </c>
      <c r="G351" s="138" t="s">
        <v>354</v>
      </c>
      <c r="H351" s="138" t="s">
        <v>592</v>
      </c>
      <c r="I351" s="139">
        <v>0</v>
      </c>
      <c r="K351" s="96" t="str">
        <f t="shared" si="21"/>
        <v>0013-1013-0035</v>
      </c>
      <c r="L351" s="96" t="str">
        <f>VLOOKUP(K351,COA!$A$3:$B$337,2,FALSE)</f>
        <v>N44</v>
      </c>
      <c r="M351" s="96" t="str">
        <f t="shared" si="22"/>
        <v>N44</v>
      </c>
      <c r="N351" s="96" t="e">
        <f>VLOOKUP(M351,CAC!$A$2:$B$198,2,FALSE)</f>
        <v>#N/A</v>
      </c>
    </row>
    <row r="352" spans="5:14" x14ac:dyDescent="0.25">
      <c r="E352" s="136">
        <v>201705</v>
      </c>
      <c r="F352" s="138" t="s">
        <v>345</v>
      </c>
      <c r="G352" s="138" t="s">
        <v>365</v>
      </c>
      <c r="H352" s="138" t="s">
        <v>367</v>
      </c>
      <c r="I352" s="139">
        <v>693.18</v>
      </c>
      <c r="K352" s="96" t="str">
        <f t="shared" si="21"/>
        <v>0011-1001-0022</v>
      </c>
      <c r="L352" s="96" t="str">
        <f>VLOOKUP(K352,COA!$A$3:$B$337,2,FALSE)</f>
        <v>V14</v>
      </c>
      <c r="M352" s="96" t="str">
        <f t="shared" si="22"/>
        <v>V14</v>
      </c>
      <c r="N352" s="96" t="str">
        <f>VLOOKUP(M352,CAC!$A$2:$B$198,2,FALSE)</f>
        <v>HMOIFP</v>
      </c>
    </row>
    <row r="353" spans="5:14" x14ac:dyDescent="0.25">
      <c r="E353" s="136">
        <v>201602</v>
      </c>
      <c r="F353" s="138" t="s">
        <v>342</v>
      </c>
      <c r="G353" s="138" t="s">
        <v>343</v>
      </c>
      <c r="H353" s="138" t="s">
        <v>344</v>
      </c>
      <c r="I353" s="139">
        <v>6108.42</v>
      </c>
      <c r="K353" s="96" t="str">
        <f t="shared" si="21"/>
        <v>0031-1000-0012</v>
      </c>
      <c r="L353" s="96" t="str">
        <f>VLOOKUP(K353,COA!$A$3:$B$337,2,FALSE)</f>
        <v>F27</v>
      </c>
      <c r="M353" s="96" t="str">
        <f t="shared" si="22"/>
        <v>F27</v>
      </c>
      <c r="N353" s="96" t="str">
        <f>VLOOKUP(M353,CAC!$A$2:$B$198,2,FALSE)</f>
        <v>HMOFEP</v>
      </c>
    </row>
    <row r="354" spans="5:14" x14ac:dyDescent="0.25">
      <c r="E354" s="136">
        <v>201706</v>
      </c>
      <c r="F354" s="138" t="s">
        <v>405</v>
      </c>
      <c r="G354" s="138" t="s">
        <v>362</v>
      </c>
      <c r="H354" s="138" t="s">
        <v>342</v>
      </c>
      <c r="I354" s="139">
        <v>0</v>
      </c>
      <c r="K354" s="96" t="str">
        <f t="shared" si="21"/>
        <v>0019-1008-0031</v>
      </c>
      <c r="L354" s="96" t="str">
        <f>VLOOKUP(K354,COA!$A$3:$B$337,2,FALSE)</f>
        <v>P53</v>
      </c>
      <c r="M354" s="96" t="str">
        <f t="shared" si="22"/>
        <v>P53</v>
      </c>
      <c r="N354" s="96" t="str">
        <f>VLOOKUP(M354,CAC!$A$2:$B$198,2,FALSE)</f>
        <v>HMOPERA</v>
      </c>
    </row>
    <row r="355" spans="5:14" x14ac:dyDescent="0.25">
      <c r="E355" s="136">
        <v>201707</v>
      </c>
      <c r="F355" s="138" t="s">
        <v>563</v>
      </c>
      <c r="G355" s="138" t="s">
        <v>355</v>
      </c>
      <c r="H355" s="138" t="s">
        <v>344</v>
      </c>
      <c r="I355" s="139">
        <v>0</v>
      </c>
      <c r="K355" s="96" t="str">
        <f t="shared" si="21"/>
        <v>0003-1006-0012</v>
      </c>
      <c r="L355" s="96" t="str">
        <f>VLOOKUP(K355,COA!$A$3:$B$337,2,FALSE)</f>
        <v>L52</v>
      </c>
      <c r="M355" s="96" t="str">
        <f t="shared" si="22"/>
        <v>L52</v>
      </c>
      <c r="N355" s="96" t="str">
        <f>VLOOKUP(M355,CAC!$A$2:$B$198,2,FALSE)</f>
        <v>PPOLG</v>
      </c>
    </row>
    <row r="356" spans="5:14" x14ac:dyDescent="0.25">
      <c r="E356" s="136">
        <v>201612</v>
      </c>
      <c r="F356" s="138" t="s">
        <v>345</v>
      </c>
      <c r="G356" s="138" t="s">
        <v>354</v>
      </c>
      <c r="H356" s="138" t="s">
        <v>360</v>
      </c>
      <c r="I356" s="139">
        <v>5101</v>
      </c>
      <c r="K356" s="96" t="str">
        <f t="shared" si="21"/>
        <v>0011-1013-0048</v>
      </c>
      <c r="L356" s="96" t="str">
        <f>VLOOKUP(K356,COA!$A$3:$B$337,2,FALSE)</f>
        <v>N21</v>
      </c>
      <c r="M356" s="96" t="str">
        <f t="shared" si="22"/>
        <v>N21</v>
      </c>
      <c r="N356" s="96" t="str">
        <f>VLOOKUP(M356,CAC!$A$2:$B$198,2,FALSE)</f>
        <v>HMFLEX</v>
      </c>
    </row>
    <row r="357" spans="5:14" x14ac:dyDescent="0.25">
      <c r="E357" s="136">
        <v>201709</v>
      </c>
      <c r="F357" s="138" t="s">
        <v>563</v>
      </c>
      <c r="G357" s="138" t="s">
        <v>355</v>
      </c>
      <c r="H357" s="138" t="s">
        <v>344</v>
      </c>
      <c r="I357" s="139">
        <v>0</v>
      </c>
      <c r="K357" s="96" t="str">
        <f t="shared" si="21"/>
        <v>0003-1006-0012</v>
      </c>
      <c r="L357" s="96" t="str">
        <f>VLOOKUP(K357,COA!$A$3:$B$337,2,FALSE)</f>
        <v>L52</v>
      </c>
      <c r="M357" s="96" t="str">
        <f t="shared" si="22"/>
        <v>L52</v>
      </c>
      <c r="N357" s="96" t="str">
        <f>VLOOKUP(M357,CAC!$A$2:$B$198,2,FALSE)</f>
        <v>PPOLG</v>
      </c>
    </row>
    <row r="358" spans="5:14" x14ac:dyDescent="0.25">
      <c r="E358" s="136">
        <v>201709</v>
      </c>
      <c r="F358" s="138" t="s">
        <v>563</v>
      </c>
      <c r="G358" s="138" t="s">
        <v>354</v>
      </c>
      <c r="H358" s="138" t="s">
        <v>360</v>
      </c>
      <c r="I358" s="139">
        <v>0</v>
      </c>
      <c r="K358" s="96" t="str">
        <f t="shared" si="21"/>
        <v>0003-1013-0048</v>
      </c>
      <c r="L358" s="96" t="str">
        <f>VLOOKUP(K358,COA!$A$3:$B$337,2,FALSE)</f>
        <v>N56</v>
      </c>
      <c r="M358" s="96" t="str">
        <f t="shared" si="22"/>
        <v>N56</v>
      </c>
      <c r="N358" s="96" t="str">
        <f>VLOOKUP(M358,CAC!$A$2:$B$198,2,FALSE)</f>
        <v>HMFLEX</v>
      </c>
    </row>
    <row r="359" spans="5:14" x14ac:dyDescent="0.25">
      <c r="E359" s="136">
        <v>201711</v>
      </c>
      <c r="F359" s="138" t="s">
        <v>345</v>
      </c>
      <c r="G359" s="138" t="s">
        <v>354</v>
      </c>
      <c r="H359" s="138" t="s">
        <v>360</v>
      </c>
      <c r="I359" s="139">
        <v>5159.8999999999996</v>
      </c>
      <c r="K359" s="96" t="str">
        <f t="shared" si="21"/>
        <v>0011-1013-0048</v>
      </c>
      <c r="L359" s="96" t="str">
        <f>VLOOKUP(K359,COA!$A$3:$B$337,2,FALSE)</f>
        <v>N21</v>
      </c>
      <c r="M359" s="96" t="str">
        <f t="shared" si="22"/>
        <v>N21</v>
      </c>
      <c r="N359" s="96" t="str">
        <f>VLOOKUP(M359,CAC!$A$2:$B$198,2,FALSE)</f>
        <v>HMFLEX</v>
      </c>
    </row>
    <row r="360" spans="5:14" x14ac:dyDescent="0.25">
      <c r="E360" s="136">
        <v>201512</v>
      </c>
      <c r="F360" s="138" t="s">
        <v>344</v>
      </c>
      <c r="G360" s="138" t="s">
        <v>354</v>
      </c>
      <c r="H360" s="138" t="s">
        <v>344</v>
      </c>
      <c r="I360" s="139">
        <v>273</v>
      </c>
      <c r="K360" s="96" t="str">
        <f t="shared" si="21"/>
        <v>0012-1013-0012</v>
      </c>
      <c r="L360" s="96" t="str">
        <f>VLOOKUP(K360,COA!$A$3:$B$337,2,FALSE)</f>
        <v>N14</v>
      </c>
      <c r="M360" s="96" t="str">
        <f t="shared" si="22"/>
        <v>N14</v>
      </c>
      <c r="N360" s="96" t="str">
        <f>VLOOKUP(M360,CAC!$A$2:$B$198,2,FALSE)</f>
        <v>HMOPMR</v>
      </c>
    </row>
    <row r="361" spans="5:14" x14ac:dyDescent="0.25">
      <c r="E361" s="136">
        <v>201709</v>
      </c>
      <c r="F361" s="138" t="s">
        <v>746</v>
      </c>
      <c r="G361" s="138" t="s">
        <v>352</v>
      </c>
      <c r="H361" s="138" t="s">
        <v>344</v>
      </c>
      <c r="I361" s="139">
        <v>3</v>
      </c>
      <c r="K361" s="96" t="str">
        <f t="shared" si="21"/>
        <v>0016-1004-0012</v>
      </c>
      <c r="L361" s="96" t="str">
        <f>VLOOKUP(K361,COA!$A$3:$B$337,2,FALSE)</f>
        <v>R20</v>
      </c>
      <c r="M361" s="96" t="str">
        <f t="shared" si="22"/>
        <v>R20</v>
      </c>
      <c r="N361" s="96" t="str">
        <f>VLOOKUP(M361,CAC!$A$2:$B$198,2,FALSE)</f>
        <v>HMOMG</v>
      </c>
    </row>
    <row r="362" spans="5:14" x14ac:dyDescent="0.25">
      <c r="E362" s="136">
        <v>201505</v>
      </c>
      <c r="F362" s="138" t="s">
        <v>344</v>
      </c>
      <c r="G362" s="138" t="s">
        <v>355</v>
      </c>
      <c r="H362" s="138" t="s">
        <v>344</v>
      </c>
      <c r="I362" s="139">
        <v>255.91</v>
      </c>
      <c r="K362" s="96" t="str">
        <f t="shared" si="21"/>
        <v>0012-1006-0012</v>
      </c>
      <c r="L362" s="96" t="str">
        <f>VLOOKUP(K362,COA!$A$3:$B$337,2,FALSE)</f>
        <v>L16</v>
      </c>
      <c r="M362" s="96" t="str">
        <f t="shared" si="22"/>
        <v>L16</v>
      </c>
      <c r="N362" s="96" t="str">
        <f>VLOOKUP(M362,CAC!$A$2:$B$198,2,FALSE)</f>
        <v>HMOLG</v>
      </c>
    </row>
    <row r="363" spans="5:14" x14ac:dyDescent="0.25">
      <c r="E363" s="136">
        <v>201505</v>
      </c>
      <c r="F363" s="138" t="s">
        <v>349</v>
      </c>
      <c r="G363" s="138" t="s">
        <v>369</v>
      </c>
      <c r="H363" s="138" t="s">
        <v>344</v>
      </c>
      <c r="I363" s="139">
        <v>36431.58</v>
      </c>
      <c r="K363" s="96" t="str">
        <f t="shared" si="21"/>
        <v>0017-1009-0012</v>
      </c>
      <c r="L363" s="96" t="str">
        <f>VLOOKUP(K363,COA!$A$3:$B$337,2,FALSE)</f>
        <v>R12</v>
      </c>
      <c r="M363" s="96" t="str">
        <f t="shared" si="22"/>
        <v>R12</v>
      </c>
      <c r="N363" s="96" t="str">
        <f>VLOOKUP(M363,CAC!$A$2:$B$198,2,FALSE)</f>
        <v>HMOMM</v>
      </c>
    </row>
    <row r="364" spans="5:14" x14ac:dyDescent="0.25">
      <c r="E364" s="136">
        <v>201709</v>
      </c>
      <c r="F364" s="138" t="s">
        <v>345</v>
      </c>
      <c r="G364" s="138" t="s">
        <v>352</v>
      </c>
      <c r="H364" s="138" t="s">
        <v>344</v>
      </c>
      <c r="I364" s="139">
        <v>10608.82</v>
      </c>
      <c r="K364" s="96" t="str">
        <f t="shared" si="21"/>
        <v>0011-1004-0012</v>
      </c>
      <c r="L364" s="96" t="str">
        <f>VLOOKUP(K364,COA!$A$3:$B$337,2,FALSE)</f>
        <v>L11</v>
      </c>
      <c r="M364" s="96" t="str">
        <f t="shared" si="22"/>
        <v>L11</v>
      </c>
      <c r="N364" s="96" t="str">
        <f>VLOOKUP(M364,CAC!$A$2:$B$198,2,FALSE)</f>
        <v>HMOLG</v>
      </c>
    </row>
    <row r="365" spans="5:14" x14ac:dyDescent="0.25">
      <c r="E365" s="136">
        <v>201604</v>
      </c>
      <c r="F365" s="138" t="s">
        <v>342</v>
      </c>
      <c r="G365" s="138" t="s">
        <v>343</v>
      </c>
      <c r="H365" s="138" t="s">
        <v>344</v>
      </c>
      <c r="I365" s="139">
        <v>6089.74</v>
      </c>
      <c r="K365" s="96" t="str">
        <f t="shared" si="21"/>
        <v>0031-1000-0012</v>
      </c>
      <c r="L365" s="96" t="str">
        <f>VLOOKUP(K365,COA!$A$3:$B$337,2,FALSE)</f>
        <v>F27</v>
      </c>
      <c r="M365" s="96" t="str">
        <f t="shared" si="22"/>
        <v>F27</v>
      </c>
      <c r="N365" s="96" t="str">
        <f>VLOOKUP(M365,CAC!$A$2:$B$198,2,FALSE)</f>
        <v>HMOFEP</v>
      </c>
    </row>
    <row r="366" spans="5:14" x14ac:dyDescent="0.25">
      <c r="E366" s="136">
        <v>201503</v>
      </c>
      <c r="F366" s="138" t="s">
        <v>344</v>
      </c>
      <c r="G366" s="138" t="s">
        <v>355</v>
      </c>
      <c r="H366" s="138" t="s">
        <v>344</v>
      </c>
      <c r="I366" s="139">
        <v>316.97000000000003</v>
      </c>
      <c r="K366" s="96" t="str">
        <f t="shared" si="21"/>
        <v>0012-1006-0012</v>
      </c>
      <c r="L366" s="96" t="str">
        <f>VLOOKUP(K366,COA!$A$3:$B$337,2,FALSE)</f>
        <v>L16</v>
      </c>
      <c r="M366" s="96" t="str">
        <f t="shared" si="22"/>
        <v>L16</v>
      </c>
      <c r="N366" s="96" t="str">
        <f>VLOOKUP(M366,CAC!$A$2:$B$198,2,FALSE)</f>
        <v>HMOLG</v>
      </c>
    </row>
    <row r="367" spans="5:14" x14ac:dyDescent="0.25">
      <c r="E367" s="136">
        <v>201706</v>
      </c>
      <c r="F367" s="138" t="s">
        <v>506</v>
      </c>
      <c r="G367" s="138" t="s">
        <v>359</v>
      </c>
      <c r="H367" s="138" t="s">
        <v>592</v>
      </c>
      <c r="I367" s="139">
        <v>0</v>
      </c>
      <c r="K367" s="96" t="str">
        <f t="shared" si="21"/>
        <v>0013-1005-0035</v>
      </c>
      <c r="L367" s="96" t="str">
        <f>VLOOKUP(K367,COA!$A$3:$B$337,2,FALSE)</f>
        <v>N41</v>
      </c>
      <c r="M367" s="96" t="str">
        <f t="shared" si="22"/>
        <v>N41</v>
      </c>
      <c r="N367" s="96" t="e">
        <f>VLOOKUP(M367,CAC!$A$2:$B$198,2,FALSE)</f>
        <v>#N/A</v>
      </c>
    </row>
    <row r="368" spans="5:14" x14ac:dyDescent="0.25">
      <c r="E368" s="136">
        <v>201510</v>
      </c>
      <c r="F368" s="138" t="s">
        <v>344</v>
      </c>
      <c r="G368" s="138" t="s">
        <v>356</v>
      </c>
      <c r="H368" s="138" t="s">
        <v>344</v>
      </c>
      <c r="I368" s="139">
        <v>3904</v>
      </c>
      <c r="K368" s="96" t="str">
        <f t="shared" si="21"/>
        <v>0012-1002-0012</v>
      </c>
      <c r="L368" s="96" t="str">
        <f>VLOOKUP(K368,COA!$A$3:$B$337,2,FALSE)</f>
        <v>F22</v>
      </c>
      <c r="M368" s="96" t="str">
        <f t="shared" si="22"/>
        <v>F22</v>
      </c>
      <c r="N368" s="96" t="str">
        <f>VLOOKUP(M368,CAC!$A$2:$B$198,2,FALSE)</f>
        <v>HMOPMR</v>
      </c>
    </row>
    <row r="369" spans="5:14" x14ac:dyDescent="0.25">
      <c r="E369" s="136">
        <v>201710</v>
      </c>
      <c r="F369" s="138" t="s">
        <v>345</v>
      </c>
      <c r="G369" s="138" t="s">
        <v>352</v>
      </c>
      <c r="H369" s="138" t="s">
        <v>344</v>
      </c>
      <c r="I369" s="139">
        <v>12406.77</v>
      </c>
      <c r="K369" s="96" t="str">
        <f t="shared" si="21"/>
        <v>0011-1004-0012</v>
      </c>
      <c r="L369" s="96" t="str">
        <f>VLOOKUP(K369,COA!$A$3:$B$337,2,FALSE)</f>
        <v>L11</v>
      </c>
      <c r="M369" s="96" t="str">
        <f t="shared" si="22"/>
        <v>L11</v>
      </c>
      <c r="N369" s="96" t="str">
        <f>VLOOKUP(M369,CAC!$A$2:$B$198,2,FALSE)</f>
        <v>HMOLG</v>
      </c>
    </row>
    <row r="370" spans="5:14" x14ac:dyDescent="0.25">
      <c r="E370" s="136">
        <v>201707</v>
      </c>
      <c r="F370" s="138" t="s">
        <v>746</v>
      </c>
      <c r="G370" s="138" t="s">
        <v>356</v>
      </c>
      <c r="H370" s="138" t="s">
        <v>344</v>
      </c>
      <c r="I370" s="139">
        <v>138</v>
      </c>
      <c r="K370" s="96" t="str">
        <f t="shared" si="21"/>
        <v>0016-1002-0012</v>
      </c>
      <c r="L370" s="96" t="str">
        <f>VLOOKUP(K370,COA!$A$3:$B$337,2,FALSE)</f>
        <v>R18</v>
      </c>
      <c r="M370" s="96" t="str">
        <f t="shared" si="22"/>
        <v>R18</v>
      </c>
      <c r="N370" s="96" t="str">
        <f>VLOOKUP(M370,CAC!$A$2:$B$198,2,FALSE)</f>
        <v>HMOMG</v>
      </c>
    </row>
    <row r="371" spans="5:14" x14ac:dyDescent="0.25">
      <c r="E371" s="136">
        <v>201609</v>
      </c>
      <c r="F371" s="138" t="s">
        <v>345</v>
      </c>
      <c r="G371" s="138" t="s">
        <v>348</v>
      </c>
      <c r="H371" s="138" t="s">
        <v>349</v>
      </c>
      <c r="I371" s="139">
        <v>21880.99</v>
      </c>
      <c r="K371" s="96" t="str">
        <f t="shared" si="21"/>
        <v>0011-1010-0017</v>
      </c>
      <c r="L371" s="96" t="str">
        <f>VLOOKUP(K371,COA!$A$3:$B$337,2,FALSE)</f>
        <v>S11</v>
      </c>
      <c r="M371" s="96" t="str">
        <f t="shared" si="22"/>
        <v>S11</v>
      </c>
      <c r="N371" s="96" t="str">
        <f>VLOOKUP(M371,CAC!$A$2:$B$198,2,FALSE)</f>
        <v>HMOSG</v>
      </c>
    </row>
    <row r="372" spans="5:14" x14ac:dyDescent="0.25">
      <c r="E372" s="136">
        <v>201510</v>
      </c>
      <c r="F372" s="138" t="s">
        <v>345</v>
      </c>
      <c r="G372" s="138" t="s">
        <v>355</v>
      </c>
      <c r="H372" s="138" t="s">
        <v>344</v>
      </c>
      <c r="I372" s="139">
        <v>25587.81</v>
      </c>
      <c r="K372" s="96" t="str">
        <f t="shared" si="21"/>
        <v>0011-1006-0012</v>
      </c>
      <c r="L372" s="96" t="str">
        <f>VLOOKUP(K372,COA!$A$3:$B$337,2,FALSE)</f>
        <v>L13</v>
      </c>
      <c r="M372" s="96" t="str">
        <f t="shared" si="22"/>
        <v>L13</v>
      </c>
      <c r="N372" s="96" t="str">
        <f>VLOOKUP(M372,CAC!$A$2:$B$198,2,FALSE)</f>
        <v>HMOLG</v>
      </c>
    </row>
    <row r="373" spans="5:14" x14ac:dyDescent="0.25">
      <c r="E373" s="136">
        <v>201510</v>
      </c>
      <c r="F373" s="138" t="s">
        <v>342</v>
      </c>
      <c r="G373" s="138" t="s">
        <v>343</v>
      </c>
      <c r="H373" s="138" t="s">
        <v>344</v>
      </c>
      <c r="I373" s="139">
        <v>6684.26</v>
      </c>
      <c r="K373" s="96" t="str">
        <f t="shared" si="21"/>
        <v>0031-1000-0012</v>
      </c>
      <c r="L373" s="96" t="str">
        <f>VLOOKUP(K373,COA!$A$3:$B$337,2,FALSE)</f>
        <v>F27</v>
      </c>
      <c r="M373" s="96" t="str">
        <f t="shared" si="22"/>
        <v>F27</v>
      </c>
      <c r="N373" s="96" t="str">
        <f>VLOOKUP(M373,CAC!$A$2:$B$198,2,FALSE)</f>
        <v>HMOFEP</v>
      </c>
    </row>
    <row r="374" spans="5:14" x14ac:dyDescent="0.25">
      <c r="E374" s="136">
        <v>201510</v>
      </c>
      <c r="F374" s="138" t="s">
        <v>524</v>
      </c>
      <c r="G374" s="138" t="s">
        <v>352</v>
      </c>
      <c r="H374" s="138" t="s">
        <v>672</v>
      </c>
      <c r="I374" s="139">
        <v>0</v>
      </c>
      <c r="K374" s="96" t="str">
        <f t="shared" si="21"/>
        <v>0025-1004-0058</v>
      </c>
      <c r="L374" s="96" t="str">
        <f>VLOOKUP(K374,COA!$A$3:$B$337,2,FALSE)</f>
        <v>L44</v>
      </c>
      <c r="M374" s="96" t="str">
        <f t="shared" si="22"/>
        <v>L44</v>
      </c>
      <c r="N374" s="96" t="e">
        <f>VLOOKUP(M374,CAC!$A$2:$B$198,2,FALSE)</f>
        <v>#N/A</v>
      </c>
    </row>
    <row r="375" spans="5:14" x14ac:dyDescent="0.25">
      <c r="E375" s="136">
        <v>201606</v>
      </c>
      <c r="F375" s="138" t="s">
        <v>552</v>
      </c>
      <c r="G375" s="138" t="s">
        <v>356</v>
      </c>
      <c r="H375" s="138" t="s">
        <v>672</v>
      </c>
      <c r="I375" s="139">
        <v>0</v>
      </c>
      <c r="K375" s="96" t="str">
        <f t="shared" si="21"/>
        <v>0027-1002-0058</v>
      </c>
      <c r="L375" s="96" t="str">
        <f>VLOOKUP(K375,COA!$A$3:$B$337,2,FALSE)</f>
        <v>L45</v>
      </c>
      <c r="M375" s="96" t="str">
        <f t="shared" si="22"/>
        <v>L45</v>
      </c>
      <c r="N375" s="96" t="e">
        <f>VLOOKUP(M375,CAC!$A$2:$B$198,2,FALSE)</f>
        <v>#N/A</v>
      </c>
    </row>
    <row r="376" spans="5:14" x14ac:dyDescent="0.25">
      <c r="E376" s="136">
        <v>201611</v>
      </c>
      <c r="F376" s="138" t="s">
        <v>746</v>
      </c>
      <c r="G376" s="138" t="s">
        <v>361</v>
      </c>
      <c r="H376" s="138" t="s">
        <v>344</v>
      </c>
      <c r="I376" s="139">
        <v>480</v>
      </c>
      <c r="K376" s="96" t="str">
        <f t="shared" si="21"/>
        <v>0016-1003-0012</v>
      </c>
      <c r="L376" s="96" t="str">
        <f>VLOOKUP(K376,COA!$A$3:$B$337,2,FALSE)</f>
        <v>R18</v>
      </c>
      <c r="M376" s="96" t="str">
        <f t="shared" si="22"/>
        <v>R18</v>
      </c>
      <c r="N376" s="96" t="str">
        <f>VLOOKUP(M376,CAC!$A$2:$B$198,2,FALSE)</f>
        <v>HMOMG</v>
      </c>
    </row>
    <row r="377" spans="5:14" x14ac:dyDescent="0.25">
      <c r="E377" s="136">
        <v>201601</v>
      </c>
      <c r="F377" s="138" t="s">
        <v>563</v>
      </c>
      <c r="G377" s="138" t="s">
        <v>356</v>
      </c>
      <c r="H377" s="138" t="s">
        <v>344</v>
      </c>
      <c r="I377" s="139">
        <v>0</v>
      </c>
      <c r="K377" s="96" t="str">
        <f t="shared" si="21"/>
        <v>0003-1002-0012</v>
      </c>
      <c r="L377" s="96" t="str">
        <f>VLOOKUP(K377,COA!$A$3:$B$337,2,FALSE)</f>
        <v>F61</v>
      </c>
      <c r="M377" s="96" t="str">
        <f t="shared" si="22"/>
        <v>F61</v>
      </c>
      <c r="N377" s="96" t="str">
        <f>VLOOKUP(M377,CAC!$A$2:$B$198,2,FALSE)</f>
        <v>PPOPMR</v>
      </c>
    </row>
    <row r="378" spans="5:14" x14ac:dyDescent="0.25">
      <c r="E378" s="136">
        <v>201607</v>
      </c>
      <c r="F378" s="138" t="s">
        <v>405</v>
      </c>
      <c r="G378" s="138" t="s">
        <v>362</v>
      </c>
      <c r="H378" s="138" t="s">
        <v>342</v>
      </c>
      <c r="I378" s="139">
        <v>0</v>
      </c>
      <c r="K378" s="96" t="str">
        <f t="shared" si="21"/>
        <v>0019-1008-0031</v>
      </c>
      <c r="L378" s="96" t="str">
        <f>VLOOKUP(K378,COA!$A$3:$B$337,2,FALSE)</f>
        <v>P53</v>
      </c>
      <c r="M378" s="96" t="str">
        <f t="shared" si="22"/>
        <v>P53</v>
      </c>
      <c r="N378" s="96" t="str">
        <f>VLOOKUP(M378,CAC!$A$2:$B$198,2,FALSE)</f>
        <v>HMOPERA</v>
      </c>
    </row>
    <row r="379" spans="5:14" x14ac:dyDescent="0.25">
      <c r="E379" s="136">
        <v>201607</v>
      </c>
      <c r="F379" s="138" t="s">
        <v>345</v>
      </c>
      <c r="G379" s="138" t="s">
        <v>348</v>
      </c>
      <c r="H379" s="138" t="s">
        <v>353</v>
      </c>
      <c r="I379" s="139">
        <v>319</v>
      </c>
      <c r="K379" s="96" t="str">
        <f t="shared" si="21"/>
        <v>0011-1010-0023</v>
      </c>
      <c r="L379" s="96" t="str">
        <f>VLOOKUP(K379,COA!$A$3:$B$337,2,FALSE)</f>
        <v>S13</v>
      </c>
      <c r="M379" s="96" t="str">
        <f t="shared" si="22"/>
        <v>S13</v>
      </c>
      <c r="N379" s="96" t="str">
        <f>VLOOKUP(M379,CAC!$A$2:$B$198,2,FALSE)</f>
        <v>HMOSG</v>
      </c>
    </row>
    <row r="380" spans="5:14" x14ac:dyDescent="0.25">
      <c r="E380" s="136">
        <v>201706</v>
      </c>
      <c r="F380" s="138" t="s">
        <v>746</v>
      </c>
      <c r="G380" s="138" t="s">
        <v>350</v>
      </c>
      <c r="H380" s="138" t="s">
        <v>764</v>
      </c>
      <c r="I380" s="139">
        <v>21</v>
      </c>
      <c r="K380" s="96" t="str">
        <f t="shared" si="21"/>
        <v>0016-1012-0064</v>
      </c>
      <c r="L380" s="96" t="str">
        <f>VLOOKUP(K380,COA!$A$3:$B$337,2,FALSE)</f>
        <v>R25</v>
      </c>
      <c r="M380" s="96" t="str">
        <f t="shared" si="22"/>
        <v>R25</v>
      </c>
      <c r="N380" s="96" t="str">
        <f>VLOOKUP(M380,CAC!$A$2:$B$198,2,FALSE)</f>
        <v>HMOMG</v>
      </c>
    </row>
    <row r="381" spans="5:14" x14ac:dyDescent="0.25">
      <c r="E381" s="136">
        <v>201709</v>
      </c>
      <c r="F381" s="138" t="s">
        <v>563</v>
      </c>
      <c r="G381" s="138" t="s">
        <v>369</v>
      </c>
      <c r="H381" s="138" t="s">
        <v>353</v>
      </c>
      <c r="I381" s="139">
        <v>0</v>
      </c>
      <c r="K381" s="96" t="str">
        <f t="shared" si="21"/>
        <v>0003-1009-0023</v>
      </c>
      <c r="L381" s="96" t="e">
        <f>VLOOKUP(K381,COA!$A$3:$B$337,2,FALSE)</f>
        <v>#N/A</v>
      </c>
      <c r="M381" s="96" t="str">
        <f t="shared" si="22"/>
        <v>XXX</v>
      </c>
      <c r="N381" s="96" t="str">
        <f>VLOOKUP(M381,CAC!$A$2:$B$198,2,FALSE)</f>
        <v>XXX</v>
      </c>
    </row>
    <row r="382" spans="5:14" x14ac:dyDescent="0.25">
      <c r="E382" s="136">
        <v>201503</v>
      </c>
      <c r="F382" s="138" t="s">
        <v>413</v>
      </c>
      <c r="G382" s="138" t="s">
        <v>348</v>
      </c>
      <c r="H382" s="138" t="s">
        <v>349</v>
      </c>
      <c r="I382" s="139">
        <v>0</v>
      </c>
      <c r="K382" s="96" t="str">
        <f t="shared" si="21"/>
        <v>0008-1010-0017</v>
      </c>
      <c r="L382" s="96" t="str">
        <f>VLOOKUP(K382,COA!$A$3:$B$337,2,FALSE)</f>
        <v>C94</v>
      </c>
      <c r="M382" s="96" t="str">
        <f t="shared" si="22"/>
        <v>C94</v>
      </c>
      <c r="N382" s="96" t="str">
        <f>VLOOKUP(M382,CAC!$A$2:$B$198,2,FALSE)</f>
        <v>DOISG</v>
      </c>
    </row>
    <row r="383" spans="5:14" x14ac:dyDescent="0.25">
      <c r="E383" s="136">
        <v>201508</v>
      </c>
      <c r="F383" s="138" t="s">
        <v>405</v>
      </c>
      <c r="G383" s="138" t="s">
        <v>362</v>
      </c>
      <c r="H383" s="138" t="s">
        <v>342</v>
      </c>
      <c r="I383" s="139">
        <v>0</v>
      </c>
      <c r="K383" s="96" t="str">
        <f t="shared" si="21"/>
        <v>0019-1008-0031</v>
      </c>
      <c r="L383" s="96" t="str">
        <f>VLOOKUP(K383,COA!$A$3:$B$337,2,FALSE)</f>
        <v>P53</v>
      </c>
      <c r="M383" s="96" t="str">
        <f t="shared" si="22"/>
        <v>P53</v>
      </c>
      <c r="N383" s="96" t="str">
        <f>VLOOKUP(M383,CAC!$A$2:$B$198,2,FALSE)</f>
        <v>HMOPERA</v>
      </c>
    </row>
    <row r="384" spans="5:14" x14ac:dyDescent="0.25">
      <c r="E384" s="136">
        <v>201703</v>
      </c>
      <c r="F384" s="138" t="s">
        <v>563</v>
      </c>
      <c r="G384" s="138" t="s">
        <v>355</v>
      </c>
      <c r="H384" s="138" t="s">
        <v>344</v>
      </c>
      <c r="I384" s="139">
        <v>0</v>
      </c>
      <c r="K384" s="96" t="str">
        <f t="shared" si="21"/>
        <v>0003-1006-0012</v>
      </c>
      <c r="L384" s="96" t="str">
        <f>VLOOKUP(K384,COA!$A$3:$B$337,2,FALSE)</f>
        <v>L52</v>
      </c>
      <c r="M384" s="96" t="str">
        <f t="shared" si="22"/>
        <v>L52</v>
      </c>
      <c r="N384" s="96" t="str">
        <f>VLOOKUP(M384,CAC!$A$2:$B$198,2,FALSE)</f>
        <v>PPOLG</v>
      </c>
    </row>
    <row r="385" spans="5:14" x14ac:dyDescent="0.25">
      <c r="E385" s="136">
        <v>201511</v>
      </c>
      <c r="F385" s="138" t="s">
        <v>563</v>
      </c>
      <c r="G385" s="138" t="s">
        <v>348</v>
      </c>
      <c r="H385" s="138" t="s">
        <v>349</v>
      </c>
      <c r="I385" s="139">
        <v>0</v>
      </c>
      <c r="K385" s="96" t="str">
        <f t="shared" si="21"/>
        <v>0003-1010-0017</v>
      </c>
      <c r="L385" s="96" t="str">
        <f>VLOOKUP(K385,COA!$A$3:$B$337,2,FALSE)</f>
        <v>S51</v>
      </c>
      <c r="M385" s="96" t="str">
        <f t="shared" si="22"/>
        <v>S51</v>
      </c>
      <c r="N385" s="96" t="str">
        <f>VLOOKUP(M385,CAC!$A$2:$B$198,2,FALSE)</f>
        <v>PPOSG</v>
      </c>
    </row>
    <row r="386" spans="5:14" x14ac:dyDescent="0.25">
      <c r="E386" s="136">
        <v>201703</v>
      </c>
      <c r="F386" s="138" t="s">
        <v>344</v>
      </c>
      <c r="G386" s="138" t="s">
        <v>359</v>
      </c>
      <c r="H386" s="138" t="s">
        <v>344</v>
      </c>
      <c r="I386" s="139">
        <v>146</v>
      </c>
      <c r="K386" s="96" t="str">
        <f t="shared" si="21"/>
        <v>0012-1005-0012</v>
      </c>
      <c r="L386" s="96" t="str">
        <f>VLOOKUP(K386,COA!$A$3:$B$337,2,FALSE)</f>
        <v>N13</v>
      </c>
      <c r="M386" s="96" t="str">
        <f t="shared" si="22"/>
        <v>N13</v>
      </c>
      <c r="N386" s="96" t="str">
        <f>VLOOKUP(M386,CAC!$A$2:$B$198,2,FALSE)</f>
        <v>HMOLG</v>
      </c>
    </row>
    <row r="387" spans="5:14" x14ac:dyDescent="0.25">
      <c r="E387" s="136">
        <v>201604</v>
      </c>
      <c r="F387" s="138" t="s">
        <v>746</v>
      </c>
      <c r="G387" s="138" t="s">
        <v>354</v>
      </c>
      <c r="H387" s="138" t="s">
        <v>344</v>
      </c>
      <c r="I387" s="139">
        <v>83</v>
      </c>
      <c r="K387" s="96" t="str">
        <f t="shared" ref="K387:K450" si="23">F387&amp;"-"&amp;G387&amp;"-"&amp;H387</f>
        <v>0016-1013-0012</v>
      </c>
      <c r="L387" s="96" t="str">
        <f>VLOOKUP(K387,COA!$A$3:$B$337,2,FALSE)</f>
        <v>R19</v>
      </c>
      <c r="M387" s="96" t="str">
        <f t="shared" si="22"/>
        <v>R19</v>
      </c>
      <c r="N387" s="96" t="str">
        <f>VLOOKUP(M387,CAC!$A$2:$B$198,2,FALSE)</f>
        <v>HMOMG</v>
      </c>
    </row>
    <row r="388" spans="5:14" x14ac:dyDescent="0.25">
      <c r="E388" s="136">
        <v>201601</v>
      </c>
      <c r="F388" s="138" t="s">
        <v>563</v>
      </c>
      <c r="G388" s="138" t="s">
        <v>350</v>
      </c>
      <c r="H388" s="138" t="s">
        <v>626</v>
      </c>
      <c r="I388" s="139">
        <v>0</v>
      </c>
      <c r="K388" s="96" t="str">
        <f t="shared" si="23"/>
        <v>0003-1012-0057</v>
      </c>
      <c r="L388" s="96" t="str">
        <f>VLOOKUP(K388,COA!$A$3:$B$337,2,FALSE)</f>
        <v>K51</v>
      </c>
      <c r="M388" s="96" t="str">
        <f t="shared" ref="M388:M451" si="24">IF(ISNA(L388),"XXX",L388)</f>
        <v>K51</v>
      </c>
      <c r="N388" s="96" t="str">
        <f>VLOOKUP(M388,CAC!$A$2:$B$198,2,FALSE)</f>
        <v>PPOPMR</v>
      </c>
    </row>
    <row r="389" spans="5:14" x14ac:dyDescent="0.25">
      <c r="E389" s="136">
        <v>201610</v>
      </c>
      <c r="F389" s="138" t="s">
        <v>563</v>
      </c>
      <c r="G389" s="138" t="s">
        <v>354</v>
      </c>
      <c r="H389" s="138" t="s">
        <v>344</v>
      </c>
      <c r="I389" s="139">
        <v>0</v>
      </c>
      <c r="K389" s="96" t="str">
        <f t="shared" si="23"/>
        <v>0003-1013-0012</v>
      </c>
      <c r="L389" s="96" t="str">
        <f>VLOOKUP(K389,COA!$A$3:$B$337,2,FALSE)</f>
        <v>N55</v>
      </c>
      <c r="M389" s="96" t="str">
        <f t="shared" si="24"/>
        <v>N55</v>
      </c>
      <c r="N389" s="96" t="str">
        <f>VLOOKUP(M389,CAC!$A$2:$B$198,2,FALSE)</f>
        <v>PPOPMR</v>
      </c>
    </row>
    <row r="390" spans="5:14" x14ac:dyDescent="0.25">
      <c r="E390" s="136">
        <v>201708</v>
      </c>
      <c r="F390" s="138" t="s">
        <v>563</v>
      </c>
      <c r="G390" s="138" t="s">
        <v>365</v>
      </c>
      <c r="H390" s="138" t="s">
        <v>798</v>
      </c>
      <c r="I390" s="139">
        <v>0</v>
      </c>
      <c r="K390" s="96" t="str">
        <f t="shared" si="23"/>
        <v>0003-1001-0065</v>
      </c>
      <c r="L390" s="96" t="str">
        <f>VLOOKUP(K390,COA!$A$3:$B$337,2,FALSE)</f>
        <v>V55</v>
      </c>
      <c r="M390" s="96" t="str">
        <f t="shared" si="24"/>
        <v>V55</v>
      </c>
      <c r="N390" s="96" t="e">
        <f>VLOOKUP(M390,CAC!$A$2:$B$198,2,FALSE)</f>
        <v>#N/A</v>
      </c>
    </row>
    <row r="391" spans="5:14" x14ac:dyDescent="0.25">
      <c r="E391" s="136">
        <v>201509</v>
      </c>
      <c r="F391" s="138" t="s">
        <v>345</v>
      </c>
      <c r="G391" s="138" t="s">
        <v>346</v>
      </c>
      <c r="H391" s="138" t="s">
        <v>360</v>
      </c>
      <c r="I391" s="139">
        <v>402</v>
      </c>
      <c r="K391" s="96" t="str">
        <f t="shared" si="23"/>
        <v>0011-1014-0048</v>
      </c>
      <c r="L391" s="96" t="str">
        <f>VLOOKUP(K391,COA!$A$3:$B$337,2,FALSE)</f>
        <v>K23</v>
      </c>
      <c r="M391" s="96" t="str">
        <f t="shared" si="24"/>
        <v>K23</v>
      </c>
      <c r="N391" s="96" t="str">
        <f>VLOOKUP(M391,CAC!$A$2:$B$198,2,FALSE)</f>
        <v>HMFLEX</v>
      </c>
    </row>
    <row r="392" spans="5:14" x14ac:dyDescent="0.25">
      <c r="E392" s="136">
        <v>201610</v>
      </c>
      <c r="F392" s="138" t="s">
        <v>344</v>
      </c>
      <c r="G392" s="138" t="s">
        <v>355</v>
      </c>
      <c r="H392" s="138" t="s">
        <v>344</v>
      </c>
      <c r="I392" s="139">
        <v>81</v>
      </c>
      <c r="K392" s="96" t="str">
        <f t="shared" si="23"/>
        <v>0012-1006-0012</v>
      </c>
      <c r="L392" s="96" t="str">
        <f>VLOOKUP(K392,COA!$A$3:$B$337,2,FALSE)</f>
        <v>L16</v>
      </c>
      <c r="M392" s="96" t="str">
        <f t="shared" si="24"/>
        <v>L16</v>
      </c>
      <c r="N392" s="96" t="str">
        <f>VLOOKUP(M392,CAC!$A$2:$B$198,2,FALSE)</f>
        <v>HMOLG</v>
      </c>
    </row>
    <row r="393" spans="5:14" x14ac:dyDescent="0.25">
      <c r="E393" s="136">
        <v>201512</v>
      </c>
      <c r="F393" s="138" t="s">
        <v>405</v>
      </c>
      <c r="G393" s="138" t="s">
        <v>362</v>
      </c>
      <c r="H393" s="138" t="s">
        <v>759</v>
      </c>
      <c r="I393" s="139">
        <v>0</v>
      </c>
      <c r="K393" s="96" t="str">
        <f t="shared" si="23"/>
        <v>0019-1008-0032</v>
      </c>
      <c r="L393" s="96" t="str">
        <f>VLOOKUP(K393,COA!$A$3:$B$337,2,FALSE)</f>
        <v>P58</v>
      </c>
      <c r="M393" s="96" t="str">
        <f t="shared" si="24"/>
        <v>P58</v>
      </c>
      <c r="N393" s="96" t="str">
        <f>VLOOKUP(M393,CAC!$A$2:$B$198,2,FALSE)</f>
        <v>PERMEDA</v>
      </c>
    </row>
    <row r="394" spans="5:14" x14ac:dyDescent="0.25">
      <c r="E394" s="136">
        <v>201709</v>
      </c>
      <c r="F394" s="138" t="s">
        <v>563</v>
      </c>
      <c r="G394" s="138" t="s">
        <v>354</v>
      </c>
      <c r="H394" s="138" t="s">
        <v>344</v>
      </c>
      <c r="I394" s="139">
        <v>0</v>
      </c>
      <c r="K394" s="96" t="str">
        <f t="shared" si="23"/>
        <v>0003-1013-0012</v>
      </c>
      <c r="L394" s="96" t="str">
        <f>VLOOKUP(K394,COA!$A$3:$B$337,2,FALSE)</f>
        <v>N55</v>
      </c>
      <c r="M394" s="96" t="str">
        <f t="shared" si="24"/>
        <v>N55</v>
      </c>
      <c r="N394" s="96" t="str">
        <f>VLOOKUP(M394,CAC!$A$2:$B$198,2,FALSE)</f>
        <v>PPOPMR</v>
      </c>
    </row>
    <row r="395" spans="5:14" x14ac:dyDescent="0.25">
      <c r="E395" s="136">
        <v>201506</v>
      </c>
      <c r="F395" s="138" t="s">
        <v>746</v>
      </c>
      <c r="G395" s="138" t="s">
        <v>361</v>
      </c>
      <c r="H395" s="138" t="s">
        <v>344</v>
      </c>
      <c r="I395" s="139">
        <v>447</v>
      </c>
      <c r="K395" s="96" t="str">
        <f t="shared" si="23"/>
        <v>0016-1003-0012</v>
      </c>
      <c r="L395" s="96" t="str">
        <f>VLOOKUP(K395,COA!$A$3:$B$337,2,FALSE)</f>
        <v>R18</v>
      </c>
      <c r="M395" s="96" t="str">
        <f t="shared" si="24"/>
        <v>R18</v>
      </c>
      <c r="N395" s="96" t="str">
        <f>VLOOKUP(M395,CAC!$A$2:$B$198,2,FALSE)</f>
        <v>HMOMG</v>
      </c>
    </row>
    <row r="396" spans="5:14" x14ac:dyDescent="0.25">
      <c r="E396" s="136">
        <v>201610</v>
      </c>
      <c r="F396" s="138" t="s">
        <v>746</v>
      </c>
      <c r="G396" s="138" t="s">
        <v>350</v>
      </c>
      <c r="H396" s="138" t="s">
        <v>764</v>
      </c>
      <c r="I396" s="139">
        <v>12</v>
      </c>
      <c r="K396" s="96" t="str">
        <f t="shared" si="23"/>
        <v>0016-1012-0064</v>
      </c>
      <c r="L396" s="96" t="str">
        <f>VLOOKUP(K396,COA!$A$3:$B$337,2,FALSE)</f>
        <v>R25</v>
      </c>
      <c r="M396" s="96" t="str">
        <f t="shared" si="24"/>
        <v>R25</v>
      </c>
      <c r="N396" s="96" t="str">
        <f>VLOOKUP(M396,CAC!$A$2:$B$198,2,FALSE)</f>
        <v>HMOMG</v>
      </c>
    </row>
    <row r="397" spans="5:14" x14ac:dyDescent="0.25">
      <c r="E397" s="136">
        <v>201607</v>
      </c>
      <c r="F397" s="138" t="s">
        <v>345</v>
      </c>
      <c r="G397" s="138" t="s">
        <v>356</v>
      </c>
      <c r="H397" s="138" t="s">
        <v>344</v>
      </c>
      <c r="I397" s="139">
        <v>15645.97</v>
      </c>
      <c r="K397" s="96" t="str">
        <f t="shared" si="23"/>
        <v>0011-1002-0012</v>
      </c>
      <c r="L397" s="96" t="str">
        <f>VLOOKUP(K397,COA!$A$3:$B$337,2,FALSE)</f>
        <v>F20</v>
      </c>
      <c r="M397" s="96" t="str">
        <f t="shared" si="24"/>
        <v>F20</v>
      </c>
      <c r="N397" s="96" t="str">
        <f>VLOOKUP(M397,CAC!$A$2:$B$198,2,FALSE)</f>
        <v>HMOPMR</v>
      </c>
    </row>
    <row r="398" spans="5:14" x14ac:dyDescent="0.25">
      <c r="E398" s="136">
        <v>201506</v>
      </c>
      <c r="F398" s="138" t="s">
        <v>345</v>
      </c>
      <c r="G398" s="138" t="s">
        <v>346</v>
      </c>
      <c r="H398" s="138" t="s">
        <v>360</v>
      </c>
      <c r="I398" s="139">
        <v>410</v>
      </c>
      <c r="K398" s="96" t="str">
        <f t="shared" si="23"/>
        <v>0011-1014-0048</v>
      </c>
      <c r="L398" s="96" t="str">
        <f>VLOOKUP(K398,COA!$A$3:$B$337,2,FALSE)</f>
        <v>K23</v>
      </c>
      <c r="M398" s="96" t="str">
        <f t="shared" si="24"/>
        <v>K23</v>
      </c>
      <c r="N398" s="96" t="str">
        <f>VLOOKUP(M398,CAC!$A$2:$B$198,2,FALSE)</f>
        <v>HMFLEX</v>
      </c>
    </row>
    <row r="399" spans="5:14" x14ac:dyDescent="0.25">
      <c r="E399" s="136">
        <v>201512</v>
      </c>
      <c r="F399" s="138" t="s">
        <v>746</v>
      </c>
      <c r="G399" s="138" t="s">
        <v>361</v>
      </c>
      <c r="H399" s="138" t="s">
        <v>344</v>
      </c>
      <c r="I399" s="139">
        <v>455</v>
      </c>
      <c r="K399" s="96" t="str">
        <f t="shared" si="23"/>
        <v>0016-1003-0012</v>
      </c>
      <c r="L399" s="96" t="str">
        <f>VLOOKUP(K399,COA!$A$3:$B$337,2,FALSE)</f>
        <v>R18</v>
      </c>
      <c r="M399" s="96" t="str">
        <f t="shared" si="24"/>
        <v>R18</v>
      </c>
      <c r="N399" s="96" t="str">
        <f>VLOOKUP(M399,CAC!$A$2:$B$198,2,FALSE)</f>
        <v>HMOMG</v>
      </c>
    </row>
    <row r="400" spans="5:14" x14ac:dyDescent="0.25">
      <c r="E400" s="136">
        <v>201601</v>
      </c>
      <c r="F400" s="138" t="s">
        <v>344</v>
      </c>
      <c r="G400" s="138" t="s">
        <v>352</v>
      </c>
      <c r="H400" s="138" t="s">
        <v>360</v>
      </c>
      <c r="I400" s="139">
        <v>223</v>
      </c>
      <c r="K400" s="96" t="str">
        <f t="shared" si="23"/>
        <v>0012-1004-0048</v>
      </c>
      <c r="L400" s="96" t="str">
        <f>VLOOKUP(K400,COA!$A$3:$B$337,2,FALSE)</f>
        <v>L22</v>
      </c>
      <c r="M400" s="96" t="str">
        <f t="shared" si="24"/>
        <v>L22</v>
      </c>
      <c r="N400" s="96" t="str">
        <f>VLOOKUP(M400,CAC!$A$2:$B$198,2,FALSE)</f>
        <v>HMFLEX</v>
      </c>
    </row>
    <row r="401" spans="5:14" x14ac:dyDescent="0.25">
      <c r="E401" s="136">
        <v>201510</v>
      </c>
      <c r="F401" s="138" t="s">
        <v>746</v>
      </c>
      <c r="G401" s="138" t="s">
        <v>354</v>
      </c>
      <c r="H401" s="138" t="s">
        <v>344</v>
      </c>
      <c r="I401" s="139">
        <v>79</v>
      </c>
      <c r="K401" s="96" t="str">
        <f t="shared" si="23"/>
        <v>0016-1013-0012</v>
      </c>
      <c r="L401" s="96" t="str">
        <f>VLOOKUP(K401,COA!$A$3:$B$337,2,FALSE)</f>
        <v>R19</v>
      </c>
      <c r="M401" s="96" t="str">
        <f t="shared" si="24"/>
        <v>R19</v>
      </c>
      <c r="N401" s="96" t="str">
        <f>VLOOKUP(M401,CAC!$A$2:$B$198,2,FALSE)</f>
        <v>HMOMG</v>
      </c>
    </row>
    <row r="402" spans="5:14" x14ac:dyDescent="0.25">
      <c r="E402" s="136">
        <v>201508</v>
      </c>
      <c r="F402" s="138" t="s">
        <v>746</v>
      </c>
      <c r="G402" s="138" t="s">
        <v>352</v>
      </c>
      <c r="H402" s="138" t="s">
        <v>344</v>
      </c>
      <c r="I402" s="139">
        <v>0</v>
      </c>
      <c r="K402" s="96" t="str">
        <f t="shared" si="23"/>
        <v>0016-1004-0012</v>
      </c>
      <c r="L402" s="96" t="str">
        <f>VLOOKUP(K402,COA!$A$3:$B$337,2,FALSE)</f>
        <v>R20</v>
      </c>
      <c r="M402" s="96" t="str">
        <f t="shared" si="24"/>
        <v>R20</v>
      </c>
      <c r="N402" s="96" t="str">
        <f>VLOOKUP(M402,CAC!$A$2:$B$198,2,FALSE)</f>
        <v>HMOMG</v>
      </c>
    </row>
    <row r="403" spans="5:14" x14ac:dyDescent="0.25">
      <c r="E403" s="136">
        <v>201611</v>
      </c>
      <c r="F403" s="138" t="s">
        <v>345</v>
      </c>
      <c r="G403" s="138" t="s">
        <v>362</v>
      </c>
      <c r="H403" s="138" t="s">
        <v>364</v>
      </c>
      <c r="I403" s="139">
        <v>37430</v>
      </c>
      <c r="K403" s="96" t="str">
        <f t="shared" si="23"/>
        <v>0011-1008-0037</v>
      </c>
      <c r="L403" s="96" t="str">
        <f>VLOOKUP(K403,COA!$A$3:$B$337,2,FALSE)</f>
        <v>P12</v>
      </c>
      <c r="M403" s="96" t="str">
        <f t="shared" si="24"/>
        <v>P12</v>
      </c>
      <c r="N403" s="96" t="str">
        <f>VLOOKUP(M403,CAC!$A$2:$B$198,2,FALSE)</f>
        <v>HMOPERA</v>
      </c>
    </row>
    <row r="404" spans="5:14" x14ac:dyDescent="0.25">
      <c r="E404" s="136">
        <v>201706</v>
      </c>
      <c r="F404" s="138" t="s">
        <v>342</v>
      </c>
      <c r="G404" s="138" t="s">
        <v>343</v>
      </c>
      <c r="H404" s="138" t="s">
        <v>344</v>
      </c>
      <c r="I404" s="139">
        <v>5717.66</v>
      </c>
      <c r="K404" s="96" t="str">
        <f t="shared" si="23"/>
        <v>0031-1000-0012</v>
      </c>
      <c r="L404" s="96" t="str">
        <f>VLOOKUP(K404,COA!$A$3:$B$337,2,FALSE)</f>
        <v>F27</v>
      </c>
      <c r="M404" s="96" t="str">
        <f t="shared" si="24"/>
        <v>F27</v>
      </c>
      <c r="N404" s="96" t="str">
        <f>VLOOKUP(M404,CAC!$A$2:$B$198,2,FALSE)</f>
        <v>HMOFEP</v>
      </c>
    </row>
    <row r="405" spans="5:14" x14ac:dyDescent="0.25">
      <c r="E405" s="136">
        <v>201705</v>
      </c>
      <c r="F405" s="138" t="s">
        <v>345</v>
      </c>
      <c r="G405" s="138" t="s">
        <v>348</v>
      </c>
      <c r="H405" s="138" t="s">
        <v>353</v>
      </c>
      <c r="I405" s="139">
        <v>343</v>
      </c>
      <c r="K405" s="96" t="str">
        <f t="shared" si="23"/>
        <v>0011-1010-0023</v>
      </c>
      <c r="L405" s="96" t="str">
        <f>VLOOKUP(K405,COA!$A$3:$B$337,2,FALSE)</f>
        <v>S13</v>
      </c>
      <c r="M405" s="96" t="str">
        <f t="shared" si="24"/>
        <v>S13</v>
      </c>
      <c r="N405" s="96" t="str">
        <f>VLOOKUP(M405,CAC!$A$2:$B$198,2,FALSE)</f>
        <v>HMOSG</v>
      </c>
    </row>
    <row r="406" spans="5:14" x14ac:dyDescent="0.25">
      <c r="E406" s="136">
        <v>201506</v>
      </c>
      <c r="F406" s="138" t="s">
        <v>563</v>
      </c>
      <c r="G406" s="138" t="s">
        <v>365</v>
      </c>
      <c r="H406" s="138" t="s">
        <v>411</v>
      </c>
      <c r="I406" s="139">
        <v>0</v>
      </c>
      <c r="K406" s="96" t="str">
        <f t="shared" si="23"/>
        <v>0003-1001-0007</v>
      </c>
      <c r="L406" s="96" t="str">
        <f>VLOOKUP(K406,COA!$A$3:$B$337,2,FALSE)</f>
        <v>V52</v>
      </c>
      <c r="M406" s="96" t="str">
        <f t="shared" si="24"/>
        <v>V52</v>
      </c>
      <c r="N406" s="96" t="str">
        <f>VLOOKUP(M406,CAC!$A$2:$B$198,2,FALSE)</f>
        <v>PPOIFP</v>
      </c>
    </row>
    <row r="407" spans="5:14" x14ac:dyDescent="0.25">
      <c r="E407" s="136">
        <v>201704</v>
      </c>
      <c r="F407" s="138" t="s">
        <v>345</v>
      </c>
      <c r="G407" s="138" t="s">
        <v>352</v>
      </c>
      <c r="H407" s="138" t="s">
        <v>344</v>
      </c>
      <c r="I407" s="139">
        <v>9111.6</v>
      </c>
      <c r="K407" s="96" t="str">
        <f t="shared" si="23"/>
        <v>0011-1004-0012</v>
      </c>
      <c r="L407" s="96" t="str">
        <f>VLOOKUP(K407,COA!$A$3:$B$337,2,FALSE)</f>
        <v>L11</v>
      </c>
      <c r="M407" s="96" t="str">
        <f t="shared" si="24"/>
        <v>L11</v>
      </c>
      <c r="N407" s="96" t="str">
        <f>VLOOKUP(M407,CAC!$A$2:$B$198,2,FALSE)</f>
        <v>HMOLG</v>
      </c>
    </row>
    <row r="408" spans="5:14" x14ac:dyDescent="0.25">
      <c r="E408" s="136">
        <v>201609</v>
      </c>
      <c r="F408" s="138" t="s">
        <v>349</v>
      </c>
      <c r="G408" s="138" t="s">
        <v>369</v>
      </c>
      <c r="H408" s="138" t="s">
        <v>764</v>
      </c>
      <c r="I408" s="139">
        <v>3</v>
      </c>
      <c r="K408" s="96" t="str">
        <f t="shared" si="23"/>
        <v>0017-1009-0064</v>
      </c>
      <c r="L408" s="96" t="str">
        <f>VLOOKUP(K408,COA!$A$3:$B$337,2,FALSE)</f>
        <v>R15</v>
      </c>
      <c r="M408" s="96" t="str">
        <f t="shared" si="24"/>
        <v>R15</v>
      </c>
      <c r="N408" s="96" t="str">
        <f>VLOOKUP(M408,CAC!$A$2:$B$198,2,FALSE)</f>
        <v>HMOMM</v>
      </c>
    </row>
    <row r="409" spans="5:14" x14ac:dyDescent="0.25">
      <c r="E409" s="136">
        <v>201706</v>
      </c>
      <c r="F409" s="138" t="s">
        <v>563</v>
      </c>
      <c r="G409" s="138" t="s">
        <v>369</v>
      </c>
      <c r="H409" s="138" t="s">
        <v>353</v>
      </c>
      <c r="I409" s="139">
        <v>0</v>
      </c>
      <c r="K409" s="96" t="str">
        <f t="shared" si="23"/>
        <v>0003-1009-0023</v>
      </c>
      <c r="L409" s="96" t="e">
        <f>VLOOKUP(K409,COA!$A$3:$B$337,2,FALSE)</f>
        <v>#N/A</v>
      </c>
      <c r="M409" s="96" t="str">
        <f t="shared" si="24"/>
        <v>XXX</v>
      </c>
      <c r="N409" s="96" t="str">
        <f>VLOOKUP(M409,CAC!$A$2:$B$198,2,FALSE)</f>
        <v>XXX</v>
      </c>
    </row>
    <row r="410" spans="5:14" x14ac:dyDescent="0.25">
      <c r="E410" s="136">
        <v>201511</v>
      </c>
      <c r="F410" s="138" t="s">
        <v>506</v>
      </c>
      <c r="G410" s="138" t="s">
        <v>350</v>
      </c>
      <c r="H410" s="138" t="s">
        <v>592</v>
      </c>
      <c r="I410" s="139">
        <v>0</v>
      </c>
      <c r="K410" s="96" t="str">
        <f t="shared" si="23"/>
        <v>0013-1012-0035</v>
      </c>
      <c r="L410" s="96" t="str">
        <f>VLOOKUP(K410,COA!$A$3:$B$337,2,FALSE)</f>
        <v>K41</v>
      </c>
      <c r="M410" s="96" t="str">
        <f t="shared" si="24"/>
        <v>K41</v>
      </c>
      <c r="N410" s="96" t="e">
        <f>VLOOKUP(M410,CAC!$A$2:$B$198,2,FALSE)</f>
        <v>#N/A</v>
      </c>
    </row>
    <row r="411" spans="5:14" x14ac:dyDescent="0.25">
      <c r="E411" s="136">
        <v>201604</v>
      </c>
      <c r="F411" s="138" t="s">
        <v>746</v>
      </c>
      <c r="G411" s="138" t="s">
        <v>356</v>
      </c>
      <c r="H411" s="138" t="s">
        <v>344</v>
      </c>
      <c r="I411" s="139">
        <v>128</v>
      </c>
      <c r="K411" s="96" t="str">
        <f t="shared" si="23"/>
        <v>0016-1002-0012</v>
      </c>
      <c r="L411" s="96" t="str">
        <f>VLOOKUP(K411,COA!$A$3:$B$337,2,FALSE)</f>
        <v>R18</v>
      </c>
      <c r="M411" s="96" t="str">
        <f t="shared" si="24"/>
        <v>R18</v>
      </c>
      <c r="N411" s="96" t="str">
        <f>VLOOKUP(M411,CAC!$A$2:$B$198,2,FALSE)</f>
        <v>HMOMG</v>
      </c>
    </row>
    <row r="412" spans="5:14" x14ac:dyDescent="0.25">
      <c r="E412" s="136">
        <v>201607</v>
      </c>
      <c r="F412" s="138" t="s">
        <v>563</v>
      </c>
      <c r="G412" s="138" t="s">
        <v>348</v>
      </c>
      <c r="H412" s="138" t="s">
        <v>353</v>
      </c>
      <c r="I412" s="139">
        <v>0</v>
      </c>
      <c r="K412" s="96" t="str">
        <f t="shared" si="23"/>
        <v>0003-1010-0023</v>
      </c>
      <c r="L412" s="96" t="str">
        <f>VLOOKUP(K412,COA!$A$3:$B$337,2,FALSE)</f>
        <v>S54</v>
      </c>
      <c r="M412" s="96" t="str">
        <f t="shared" si="24"/>
        <v>S54</v>
      </c>
      <c r="N412" s="96" t="str">
        <f>VLOOKUP(M412,CAC!$A$2:$B$198,2,FALSE)</f>
        <v>PPOSG</v>
      </c>
    </row>
    <row r="413" spans="5:14" x14ac:dyDescent="0.25">
      <c r="E413" s="136">
        <v>201704</v>
      </c>
      <c r="F413" s="138" t="s">
        <v>746</v>
      </c>
      <c r="G413" s="138" t="s">
        <v>356</v>
      </c>
      <c r="H413" s="138" t="s">
        <v>764</v>
      </c>
      <c r="I413" s="139">
        <v>634</v>
      </c>
      <c r="K413" s="96" t="str">
        <f t="shared" si="23"/>
        <v>0016-1002-0064</v>
      </c>
      <c r="L413" s="96" t="str">
        <f>VLOOKUP(K413,COA!$A$3:$B$337,2,FALSE)</f>
        <v>R25</v>
      </c>
      <c r="M413" s="96" t="str">
        <f t="shared" si="24"/>
        <v>R25</v>
      </c>
      <c r="N413" s="96" t="str">
        <f>VLOOKUP(M413,CAC!$A$2:$B$198,2,FALSE)</f>
        <v>HMOMG</v>
      </c>
    </row>
    <row r="414" spans="5:14" x14ac:dyDescent="0.25">
      <c r="E414" s="136">
        <v>201801</v>
      </c>
      <c r="F414" s="138" t="s">
        <v>349</v>
      </c>
      <c r="G414" s="138" t="s">
        <v>369</v>
      </c>
      <c r="H414" s="138" t="s">
        <v>764</v>
      </c>
      <c r="I414" s="139">
        <v>5</v>
      </c>
      <c r="K414" s="96" t="str">
        <f t="shared" si="23"/>
        <v>0017-1009-0064</v>
      </c>
      <c r="L414" s="96" t="str">
        <f>VLOOKUP(K414,COA!$A$3:$B$337,2,FALSE)</f>
        <v>R15</v>
      </c>
      <c r="M414" s="96" t="str">
        <f t="shared" si="24"/>
        <v>R15</v>
      </c>
      <c r="N414" s="96" t="str">
        <f>VLOOKUP(M414,CAC!$A$2:$B$198,2,FALSE)</f>
        <v>HMOMM</v>
      </c>
    </row>
    <row r="415" spans="5:14" x14ac:dyDescent="0.25">
      <c r="E415" s="136">
        <v>201503</v>
      </c>
      <c r="F415" s="138" t="s">
        <v>563</v>
      </c>
      <c r="G415" s="138" t="s">
        <v>355</v>
      </c>
      <c r="H415" s="138" t="s">
        <v>344</v>
      </c>
      <c r="I415" s="139">
        <v>0</v>
      </c>
      <c r="K415" s="96" t="str">
        <f t="shared" si="23"/>
        <v>0003-1006-0012</v>
      </c>
      <c r="L415" s="96" t="str">
        <f>VLOOKUP(K415,COA!$A$3:$B$337,2,FALSE)</f>
        <v>L52</v>
      </c>
      <c r="M415" s="96" t="str">
        <f t="shared" si="24"/>
        <v>L52</v>
      </c>
      <c r="N415" s="96" t="str">
        <f>VLOOKUP(M415,CAC!$A$2:$B$198,2,FALSE)</f>
        <v>PPOLG</v>
      </c>
    </row>
    <row r="416" spans="5:14" x14ac:dyDescent="0.25">
      <c r="E416" s="136">
        <v>201708</v>
      </c>
      <c r="F416" s="138" t="s">
        <v>563</v>
      </c>
      <c r="G416" s="138" t="s">
        <v>359</v>
      </c>
      <c r="H416" s="138" t="s">
        <v>344</v>
      </c>
      <c r="I416" s="139">
        <v>0</v>
      </c>
      <c r="K416" s="96" t="str">
        <f t="shared" si="23"/>
        <v>0003-1005-0012</v>
      </c>
      <c r="L416" s="96" t="str">
        <f>VLOOKUP(K416,COA!$A$3:$B$337,2,FALSE)</f>
        <v>N51</v>
      </c>
      <c r="M416" s="96" t="str">
        <f t="shared" si="24"/>
        <v>N51</v>
      </c>
      <c r="N416" s="96" t="str">
        <f>VLOOKUP(M416,CAC!$A$2:$B$198,2,FALSE)</f>
        <v>PPOLG</v>
      </c>
    </row>
    <row r="417" spans="5:14" x14ac:dyDescent="0.25">
      <c r="E417" s="136">
        <v>201705</v>
      </c>
      <c r="F417" s="138" t="s">
        <v>344</v>
      </c>
      <c r="G417" s="138" t="s">
        <v>361</v>
      </c>
      <c r="H417" s="138" t="s">
        <v>344</v>
      </c>
      <c r="I417" s="139">
        <v>9763.2199999999993</v>
      </c>
      <c r="K417" s="96" t="str">
        <f t="shared" si="23"/>
        <v>0012-1003-0012</v>
      </c>
      <c r="L417" s="96" t="str">
        <f>VLOOKUP(K417,COA!$A$3:$B$337,2,FALSE)</f>
        <v>N15</v>
      </c>
      <c r="M417" s="96" t="str">
        <f t="shared" si="24"/>
        <v>N15</v>
      </c>
      <c r="N417" s="96" t="str">
        <f>VLOOKUP(M417,CAC!$A$2:$B$198,2,FALSE)</f>
        <v>HMOPMR</v>
      </c>
    </row>
    <row r="418" spans="5:14" x14ac:dyDescent="0.25">
      <c r="E418" s="136">
        <v>201712</v>
      </c>
      <c r="F418" s="138" t="s">
        <v>563</v>
      </c>
      <c r="G418" s="138" t="s">
        <v>354</v>
      </c>
      <c r="H418" s="138" t="s">
        <v>360</v>
      </c>
      <c r="I418" s="139">
        <v>0</v>
      </c>
      <c r="K418" s="96" t="str">
        <f t="shared" si="23"/>
        <v>0003-1013-0048</v>
      </c>
      <c r="L418" s="96" t="str">
        <f>VLOOKUP(K418,COA!$A$3:$B$337,2,FALSE)</f>
        <v>N56</v>
      </c>
      <c r="M418" s="96" t="str">
        <f t="shared" si="24"/>
        <v>N56</v>
      </c>
      <c r="N418" s="96" t="str">
        <f>VLOOKUP(M418,CAC!$A$2:$B$198,2,FALSE)</f>
        <v>HMFLEX</v>
      </c>
    </row>
    <row r="419" spans="5:14" x14ac:dyDescent="0.25">
      <c r="E419" s="136">
        <v>201701</v>
      </c>
      <c r="F419" s="138" t="s">
        <v>342</v>
      </c>
      <c r="G419" s="138" t="s">
        <v>343</v>
      </c>
      <c r="H419" s="138" t="s">
        <v>344</v>
      </c>
      <c r="I419" s="139">
        <v>5618.91</v>
      </c>
      <c r="K419" s="96" t="str">
        <f t="shared" si="23"/>
        <v>0031-1000-0012</v>
      </c>
      <c r="L419" s="96" t="str">
        <f>VLOOKUP(K419,COA!$A$3:$B$337,2,FALSE)</f>
        <v>F27</v>
      </c>
      <c r="M419" s="96" t="str">
        <f t="shared" si="24"/>
        <v>F27</v>
      </c>
      <c r="N419" s="96" t="str">
        <f>VLOOKUP(M419,CAC!$A$2:$B$198,2,FALSE)</f>
        <v>HMOFEP</v>
      </c>
    </row>
    <row r="420" spans="5:14" x14ac:dyDescent="0.25">
      <c r="E420" s="136">
        <v>201512</v>
      </c>
      <c r="F420" s="138" t="s">
        <v>563</v>
      </c>
      <c r="G420" s="138" t="s">
        <v>354</v>
      </c>
      <c r="H420" s="138" t="s">
        <v>344</v>
      </c>
      <c r="I420" s="139">
        <v>0</v>
      </c>
      <c r="K420" s="96" t="str">
        <f t="shared" si="23"/>
        <v>0003-1013-0012</v>
      </c>
      <c r="L420" s="96" t="str">
        <f>VLOOKUP(K420,COA!$A$3:$B$337,2,FALSE)</f>
        <v>N55</v>
      </c>
      <c r="M420" s="96" t="str">
        <f t="shared" si="24"/>
        <v>N55</v>
      </c>
      <c r="N420" s="96" t="str">
        <f>VLOOKUP(M420,CAC!$A$2:$B$198,2,FALSE)</f>
        <v>PPOPMR</v>
      </c>
    </row>
    <row r="421" spans="5:14" x14ac:dyDescent="0.25">
      <c r="E421" s="136">
        <v>201703</v>
      </c>
      <c r="F421" s="138" t="s">
        <v>413</v>
      </c>
      <c r="G421" s="138" t="s">
        <v>352</v>
      </c>
      <c r="H421" s="138" t="s">
        <v>344</v>
      </c>
      <c r="I421" s="139">
        <v>0</v>
      </c>
      <c r="K421" s="96" t="str">
        <f t="shared" si="23"/>
        <v>0008-1004-0012</v>
      </c>
      <c r="L421" s="96" t="str">
        <f>VLOOKUP(K421,COA!$A$3:$B$337,2,FALSE)</f>
        <v>C93</v>
      </c>
      <c r="M421" s="96" t="str">
        <f t="shared" si="24"/>
        <v>C93</v>
      </c>
      <c r="N421" s="96" t="str">
        <f>VLOOKUP(M421,CAC!$A$2:$B$198,2,FALSE)</f>
        <v>DOILG</v>
      </c>
    </row>
    <row r="422" spans="5:14" x14ac:dyDescent="0.25">
      <c r="E422" s="136">
        <v>201507</v>
      </c>
      <c r="F422" s="138" t="s">
        <v>563</v>
      </c>
      <c r="G422" s="138" t="s">
        <v>365</v>
      </c>
      <c r="H422" s="138" t="s">
        <v>411</v>
      </c>
      <c r="I422" s="139">
        <v>0</v>
      </c>
      <c r="K422" s="96" t="str">
        <f t="shared" si="23"/>
        <v>0003-1001-0007</v>
      </c>
      <c r="L422" s="96" t="str">
        <f>VLOOKUP(K422,COA!$A$3:$B$337,2,FALSE)</f>
        <v>V52</v>
      </c>
      <c r="M422" s="96" t="str">
        <f t="shared" si="24"/>
        <v>V52</v>
      </c>
      <c r="N422" s="96" t="str">
        <f>VLOOKUP(M422,CAC!$A$2:$B$198,2,FALSE)</f>
        <v>PPOIFP</v>
      </c>
    </row>
    <row r="423" spans="5:14" x14ac:dyDescent="0.25">
      <c r="E423" s="136">
        <v>201602</v>
      </c>
      <c r="F423" s="138" t="s">
        <v>345</v>
      </c>
      <c r="G423" s="138" t="s">
        <v>362</v>
      </c>
      <c r="H423" s="138" t="s">
        <v>363</v>
      </c>
      <c r="I423" s="139">
        <v>38114</v>
      </c>
      <c r="K423" s="96" t="str">
        <f t="shared" si="23"/>
        <v>0011-1008-0054</v>
      </c>
      <c r="L423" s="96" t="str">
        <f>VLOOKUP(K423,COA!$A$3:$B$337,2,FALSE)</f>
        <v>P23</v>
      </c>
      <c r="M423" s="96" t="str">
        <f t="shared" si="24"/>
        <v>P23</v>
      </c>
      <c r="N423" s="96" t="str">
        <f>VLOOKUP(M423,CAC!$A$2:$B$198,2,FALSE)</f>
        <v>HMOPERN</v>
      </c>
    </row>
    <row r="424" spans="5:14" x14ac:dyDescent="0.25">
      <c r="E424" s="136">
        <v>201706</v>
      </c>
      <c r="F424" s="138" t="s">
        <v>563</v>
      </c>
      <c r="G424" s="138" t="s">
        <v>365</v>
      </c>
      <c r="H424" s="138" t="s">
        <v>367</v>
      </c>
      <c r="I424" s="139">
        <v>0</v>
      </c>
      <c r="K424" s="96" t="str">
        <f t="shared" si="23"/>
        <v>0003-1001-0022</v>
      </c>
      <c r="L424" s="96" t="str">
        <f>VLOOKUP(K424,COA!$A$3:$B$337,2,FALSE)</f>
        <v>V54</v>
      </c>
      <c r="M424" s="96" t="str">
        <f t="shared" si="24"/>
        <v>V54</v>
      </c>
      <c r="N424" s="96" t="str">
        <f>VLOOKUP(M424,CAC!$A$2:$B$198,2,FALSE)</f>
        <v>PPOIFP</v>
      </c>
    </row>
    <row r="425" spans="5:14" x14ac:dyDescent="0.25">
      <c r="E425" s="136">
        <v>201509</v>
      </c>
      <c r="F425" s="138" t="s">
        <v>563</v>
      </c>
      <c r="G425" s="138" t="s">
        <v>350</v>
      </c>
      <c r="H425" s="138" t="s">
        <v>344</v>
      </c>
      <c r="I425" s="139">
        <v>0</v>
      </c>
      <c r="K425" s="96" t="str">
        <f t="shared" si="23"/>
        <v>0003-1012-0012</v>
      </c>
      <c r="L425" s="96" t="str">
        <f>VLOOKUP(K425,COA!$A$3:$B$337,2,FALSE)</f>
        <v>K51</v>
      </c>
      <c r="M425" s="96" t="str">
        <f t="shared" si="24"/>
        <v>K51</v>
      </c>
      <c r="N425" s="96" t="str">
        <f>VLOOKUP(M425,CAC!$A$2:$B$198,2,FALSE)</f>
        <v>PPOPMR</v>
      </c>
    </row>
    <row r="426" spans="5:14" x14ac:dyDescent="0.25">
      <c r="E426" s="136">
        <v>201609</v>
      </c>
      <c r="F426" s="138" t="s">
        <v>413</v>
      </c>
      <c r="G426" s="138" t="s">
        <v>354</v>
      </c>
      <c r="H426" s="138" t="s">
        <v>344</v>
      </c>
      <c r="I426" s="139">
        <v>0</v>
      </c>
      <c r="K426" s="96" t="str">
        <f t="shared" si="23"/>
        <v>0008-1013-0012</v>
      </c>
      <c r="L426" s="96" t="str">
        <f>VLOOKUP(K426,COA!$A$3:$B$337,2,FALSE)</f>
        <v>C76</v>
      </c>
      <c r="M426" s="96" t="str">
        <f t="shared" si="24"/>
        <v>C76</v>
      </c>
      <c r="N426" s="96" t="str">
        <f>VLOOKUP(M426,CAC!$A$2:$B$198,2,FALSE)</f>
        <v>DOILG</v>
      </c>
    </row>
    <row r="427" spans="5:14" x14ac:dyDescent="0.25">
      <c r="E427" s="136">
        <v>201512</v>
      </c>
      <c r="F427" s="138" t="s">
        <v>563</v>
      </c>
      <c r="G427" s="138" t="s">
        <v>348</v>
      </c>
      <c r="H427" s="138" t="s">
        <v>358</v>
      </c>
      <c r="I427" s="139">
        <v>0</v>
      </c>
      <c r="K427" s="96" t="str">
        <f t="shared" si="23"/>
        <v>0003-1010-0024</v>
      </c>
      <c r="L427" s="96" t="str">
        <f>VLOOKUP(K427,COA!$A$3:$B$337,2,FALSE)</f>
        <v>S56</v>
      </c>
      <c r="M427" s="96" t="str">
        <f t="shared" si="24"/>
        <v>S56</v>
      </c>
      <c r="N427" s="96" t="str">
        <f>VLOOKUP(M427,CAC!$A$2:$B$198,2,FALSE)</f>
        <v>PPOSG</v>
      </c>
    </row>
    <row r="428" spans="5:14" x14ac:dyDescent="0.25">
      <c r="E428" s="136">
        <v>201612</v>
      </c>
      <c r="F428" s="138" t="s">
        <v>345</v>
      </c>
      <c r="G428" s="138" t="s">
        <v>351</v>
      </c>
      <c r="H428" s="138" t="s">
        <v>349</v>
      </c>
      <c r="I428" s="139">
        <v>0</v>
      </c>
      <c r="K428" s="96" t="str">
        <f t="shared" si="23"/>
        <v>0011-0000-0017</v>
      </c>
      <c r="L428" s="96" t="e">
        <f>VLOOKUP(K428,COA!$A$3:$B$337,2,FALSE)</f>
        <v>#N/A</v>
      </c>
      <c r="M428" s="96" t="str">
        <f t="shared" si="24"/>
        <v>XXX</v>
      </c>
      <c r="N428" s="96" t="str">
        <f>VLOOKUP(M428,CAC!$A$2:$B$198,2,FALSE)</f>
        <v>XXX</v>
      </c>
    </row>
    <row r="429" spans="5:14" x14ac:dyDescent="0.25">
      <c r="E429" s="136">
        <v>201607</v>
      </c>
      <c r="F429" s="138" t="s">
        <v>345</v>
      </c>
      <c r="G429" s="138" t="s">
        <v>350</v>
      </c>
      <c r="H429" s="138" t="s">
        <v>360</v>
      </c>
      <c r="I429" s="139">
        <v>7064.82</v>
      </c>
      <c r="K429" s="96" t="str">
        <f t="shared" si="23"/>
        <v>0011-1012-0048</v>
      </c>
      <c r="L429" s="96" t="str">
        <f>VLOOKUP(K429,COA!$A$3:$B$337,2,FALSE)</f>
        <v>K21</v>
      </c>
      <c r="M429" s="96" t="str">
        <f t="shared" si="24"/>
        <v>K21</v>
      </c>
      <c r="N429" s="96" t="str">
        <f>VLOOKUP(M429,CAC!$A$2:$B$198,2,FALSE)</f>
        <v>HMFLEX</v>
      </c>
    </row>
    <row r="430" spans="5:14" x14ac:dyDescent="0.25">
      <c r="E430" s="136">
        <v>201604</v>
      </c>
      <c r="F430" s="138" t="s">
        <v>345</v>
      </c>
      <c r="G430" s="138" t="s">
        <v>350</v>
      </c>
      <c r="H430" s="138" t="s">
        <v>357</v>
      </c>
      <c r="I430" s="139">
        <v>1966.84</v>
      </c>
      <c r="K430" s="96" t="str">
        <f t="shared" si="23"/>
        <v>0011-1012-0038</v>
      </c>
      <c r="L430" s="96" t="str">
        <f>VLOOKUP(K430,COA!$A$3:$B$337,2,FALSE)</f>
        <v>K14</v>
      </c>
      <c r="M430" s="96" t="str">
        <f t="shared" si="24"/>
        <v>K14</v>
      </c>
      <c r="N430" s="96" t="str">
        <f>VLOOKUP(M430,CAC!$A$2:$B$198,2,FALSE)</f>
        <v>HMOPMR</v>
      </c>
    </row>
    <row r="431" spans="5:14" x14ac:dyDescent="0.25">
      <c r="E431" s="136">
        <v>201701</v>
      </c>
      <c r="F431" s="138" t="s">
        <v>563</v>
      </c>
      <c r="G431" s="138" t="s">
        <v>365</v>
      </c>
      <c r="H431" s="138" t="s">
        <v>344</v>
      </c>
      <c r="I431" s="139">
        <v>0</v>
      </c>
      <c r="K431" s="96" t="str">
        <f t="shared" si="23"/>
        <v>0003-1001-0012</v>
      </c>
      <c r="L431" s="96" t="str">
        <f>VLOOKUP(K431,COA!$A$3:$B$337,2,FALSE)</f>
        <v>V51</v>
      </c>
      <c r="M431" s="96" t="str">
        <f t="shared" si="24"/>
        <v>V51</v>
      </c>
      <c r="N431" s="96" t="str">
        <f>VLOOKUP(M431,CAC!$A$2:$B$198,2,FALSE)</f>
        <v>PPOIFP</v>
      </c>
    </row>
    <row r="432" spans="5:14" x14ac:dyDescent="0.25">
      <c r="E432" s="136">
        <v>201605</v>
      </c>
      <c r="F432" s="138" t="s">
        <v>746</v>
      </c>
      <c r="G432" s="138" t="s">
        <v>361</v>
      </c>
      <c r="H432" s="138" t="s">
        <v>344</v>
      </c>
      <c r="I432" s="139">
        <v>470</v>
      </c>
      <c r="K432" s="96" t="str">
        <f t="shared" si="23"/>
        <v>0016-1003-0012</v>
      </c>
      <c r="L432" s="96" t="str">
        <f>VLOOKUP(K432,COA!$A$3:$B$337,2,FALSE)</f>
        <v>R18</v>
      </c>
      <c r="M432" s="96" t="str">
        <f t="shared" si="24"/>
        <v>R18</v>
      </c>
      <c r="N432" s="96" t="str">
        <f>VLOOKUP(M432,CAC!$A$2:$B$198,2,FALSE)</f>
        <v>HMOMG</v>
      </c>
    </row>
    <row r="433" spans="5:14" x14ac:dyDescent="0.25">
      <c r="E433" s="136">
        <v>201606</v>
      </c>
      <c r="F433" s="138" t="s">
        <v>746</v>
      </c>
      <c r="G433" s="138" t="s">
        <v>350</v>
      </c>
      <c r="H433" s="138" t="s">
        <v>344</v>
      </c>
      <c r="I433" s="139">
        <v>63</v>
      </c>
      <c r="K433" s="96" t="str">
        <f t="shared" si="23"/>
        <v>0016-1012-0012</v>
      </c>
      <c r="L433" s="96" t="str">
        <f>VLOOKUP(K433,COA!$A$3:$B$337,2,FALSE)</f>
        <v>R19</v>
      </c>
      <c r="M433" s="96" t="str">
        <f t="shared" si="24"/>
        <v>R19</v>
      </c>
      <c r="N433" s="96" t="str">
        <f>VLOOKUP(M433,CAC!$A$2:$B$198,2,FALSE)</f>
        <v>HMOMG</v>
      </c>
    </row>
    <row r="434" spans="5:14" x14ac:dyDescent="0.25">
      <c r="E434" s="136">
        <v>201503</v>
      </c>
      <c r="F434" s="138" t="s">
        <v>345</v>
      </c>
      <c r="G434" s="138" t="s">
        <v>346</v>
      </c>
      <c r="H434" s="138" t="s">
        <v>347</v>
      </c>
      <c r="I434" s="139">
        <v>12</v>
      </c>
      <c r="K434" s="96" t="str">
        <f t="shared" si="23"/>
        <v>0011-1014-0039</v>
      </c>
      <c r="L434" s="96" t="str">
        <f>VLOOKUP(K434,COA!$A$3:$B$337,2,FALSE)</f>
        <v>K24</v>
      </c>
      <c r="M434" s="96" t="str">
        <f t="shared" si="24"/>
        <v>K24</v>
      </c>
      <c r="N434" s="96" t="str">
        <f>VLOOKUP(M434,CAC!$A$2:$B$198,2,FALSE)</f>
        <v>HMFLEX</v>
      </c>
    </row>
    <row r="435" spans="5:14" x14ac:dyDescent="0.25">
      <c r="E435" s="136">
        <v>201712</v>
      </c>
      <c r="F435" s="138" t="s">
        <v>746</v>
      </c>
      <c r="G435" s="138" t="s">
        <v>356</v>
      </c>
      <c r="H435" s="138" t="s">
        <v>344</v>
      </c>
      <c r="I435" s="139">
        <v>140</v>
      </c>
      <c r="K435" s="96" t="str">
        <f t="shared" si="23"/>
        <v>0016-1002-0012</v>
      </c>
      <c r="L435" s="96" t="str">
        <f>VLOOKUP(K435,COA!$A$3:$B$337,2,FALSE)</f>
        <v>R18</v>
      </c>
      <c r="M435" s="96" t="str">
        <f t="shared" si="24"/>
        <v>R18</v>
      </c>
      <c r="N435" s="96" t="str">
        <f>VLOOKUP(M435,CAC!$A$2:$B$198,2,FALSE)</f>
        <v>HMOMG</v>
      </c>
    </row>
    <row r="436" spans="5:14" x14ac:dyDescent="0.25">
      <c r="E436" s="136">
        <v>201605</v>
      </c>
      <c r="F436" s="138" t="s">
        <v>563</v>
      </c>
      <c r="G436" s="138" t="s">
        <v>348</v>
      </c>
      <c r="H436" s="138" t="s">
        <v>353</v>
      </c>
      <c r="I436" s="139">
        <v>0</v>
      </c>
      <c r="K436" s="96" t="str">
        <f t="shared" si="23"/>
        <v>0003-1010-0023</v>
      </c>
      <c r="L436" s="96" t="str">
        <f>VLOOKUP(K436,COA!$A$3:$B$337,2,FALSE)</f>
        <v>S54</v>
      </c>
      <c r="M436" s="96" t="str">
        <f t="shared" si="24"/>
        <v>S54</v>
      </c>
      <c r="N436" s="96" t="str">
        <f>VLOOKUP(M436,CAC!$A$2:$B$198,2,FALSE)</f>
        <v>PPOSG</v>
      </c>
    </row>
    <row r="437" spans="5:14" x14ac:dyDescent="0.25">
      <c r="E437" s="136">
        <v>201612</v>
      </c>
      <c r="F437" s="138" t="s">
        <v>345</v>
      </c>
      <c r="G437" s="138" t="s">
        <v>354</v>
      </c>
      <c r="H437" s="138" t="s">
        <v>368</v>
      </c>
      <c r="I437" s="139">
        <v>0</v>
      </c>
      <c r="K437" s="96" t="str">
        <f t="shared" si="23"/>
        <v>0011-1013-0056</v>
      </c>
      <c r="L437" s="96" t="str">
        <f>VLOOKUP(K437,COA!$A$3:$B$337,2,FALSE)</f>
        <v>N20</v>
      </c>
      <c r="M437" s="96" t="str">
        <f t="shared" si="24"/>
        <v>N20</v>
      </c>
      <c r="N437" s="96" t="str">
        <f>VLOOKUP(M437,CAC!$A$2:$B$198,2,FALSE)</f>
        <v>HMOPMR</v>
      </c>
    </row>
    <row r="438" spans="5:14" x14ac:dyDescent="0.25">
      <c r="E438" s="136">
        <v>201610</v>
      </c>
      <c r="F438" s="138" t="s">
        <v>345</v>
      </c>
      <c r="G438" s="138" t="s">
        <v>351</v>
      </c>
      <c r="H438" s="138" t="s">
        <v>353</v>
      </c>
      <c r="I438" s="139">
        <v>0</v>
      </c>
      <c r="K438" s="96" t="str">
        <f t="shared" si="23"/>
        <v>0011-0000-0023</v>
      </c>
      <c r="L438" s="96" t="e">
        <f>VLOOKUP(K438,COA!$A$3:$B$337,2,FALSE)</f>
        <v>#N/A</v>
      </c>
      <c r="M438" s="96" t="str">
        <f t="shared" si="24"/>
        <v>XXX</v>
      </c>
      <c r="N438" s="96" t="str">
        <f>VLOOKUP(M438,CAC!$A$2:$B$198,2,FALSE)</f>
        <v>XXX</v>
      </c>
    </row>
    <row r="439" spans="5:14" x14ac:dyDescent="0.25">
      <c r="E439" s="136">
        <v>201705</v>
      </c>
      <c r="F439" s="138" t="s">
        <v>563</v>
      </c>
      <c r="G439" s="138" t="s">
        <v>352</v>
      </c>
      <c r="H439" s="138" t="s">
        <v>626</v>
      </c>
      <c r="I439" s="139">
        <v>0</v>
      </c>
      <c r="K439" s="96" t="str">
        <f t="shared" si="23"/>
        <v>0003-1004-0057</v>
      </c>
      <c r="L439" s="96" t="e">
        <f>VLOOKUP(K439,COA!$A$3:$B$337,2,FALSE)</f>
        <v>#N/A</v>
      </c>
      <c r="M439" s="96" t="str">
        <f t="shared" si="24"/>
        <v>XXX</v>
      </c>
      <c r="N439" s="96" t="str">
        <f>VLOOKUP(M439,CAC!$A$2:$B$198,2,FALSE)</f>
        <v>XXX</v>
      </c>
    </row>
    <row r="440" spans="5:14" x14ac:dyDescent="0.25">
      <c r="E440" s="136">
        <v>201603</v>
      </c>
      <c r="F440" s="138" t="s">
        <v>563</v>
      </c>
      <c r="G440" s="138" t="s">
        <v>348</v>
      </c>
      <c r="H440" s="138" t="s">
        <v>353</v>
      </c>
      <c r="I440" s="139">
        <v>0</v>
      </c>
      <c r="K440" s="96" t="str">
        <f t="shared" si="23"/>
        <v>0003-1010-0023</v>
      </c>
      <c r="L440" s="96" t="str">
        <f>VLOOKUP(K440,COA!$A$3:$B$337,2,FALSE)</f>
        <v>S54</v>
      </c>
      <c r="M440" s="96" t="str">
        <f t="shared" si="24"/>
        <v>S54</v>
      </c>
      <c r="N440" s="96" t="str">
        <f>VLOOKUP(M440,CAC!$A$2:$B$198,2,FALSE)</f>
        <v>PPOSG</v>
      </c>
    </row>
    <row r="441" spans="5:14" x14ac:dyDescent="0.25">
      <c r="E441" s="136">
        <v>201601</v>
      </c>
      <c r="F441" s="138" t="s">
        <v>345</v>
      </c>
      <c r="G441" s="138" t="s">
        <v>350</v>
      </c>
      <c r="H441" s="138" t="s">
        <v>357</v>
      </c>
      <c r="I441" s="139">
        <v>683</v>
      </c>
      <c r="K441" s="96" t="str">
        <f t="shared" si="23"/>
        <v>0011-1012-0038</v>
      </c>
      <c r="L441" s="96" t="str">
        <f>VLOOKUP(K441,COA!$A$3:$B$337,2,FALSE)</f>
        <v>K14</v>
      </c>
      <c r="M441" s="96" t="str">
        <f t="shared" si="24"/>
        <v>K14</v>
      </c>
      <c r="N441" s="96" t="str">
        <f>VLOOKUP(M441,CAC!$A$2:$B$198,2,FALSE)</f>
        <v>HMOPMR</v>
      </c>
    </row>
    <row r="442" spans="5:14" x14ac:dyDescent="0.25">
      <c r="E442" s="136">
        <v>201801</v>
      </c>
      <c r="F442" s="138" t="s">
        <v>405</v>
      </c>
      <c r="G442" s="138" t="s">
        <v>362</v>
      </c>
      <c r="H442" s="138" t="s">
        <v>342</v>
      </c>
      <c r="I442" s="139">
        <v>0</v>
      </c>
      <c r="K442" s="96" t="str">
        <f t="shared" si="23"/>
        <v>0019-1008-0031</v>
      </c>
      <c r="L442" s="96" t="str">
        <f>VLOOKUP(K442,COA!$A$3:$B$337,2,FALSE)</f>
        <v>P53</v>
      </c>
      <c r="M442" s="96" t="str">
        <f t="shared" si="24"/>
        <v>P53</v>
      </c>
      <c r="N442" s="96" t="str">
        <f>VLOOKUP(M442,CAC!$A$2:$B$198,2,FALSE)</f>
        <v>HMOPERA</v>
      </c>
    </row>
    <row r="443" spans="5:14" x14ac:dyDescent="0.25">
      <c r="E443" s="136">
        <v>201706</v>
      </c>
      <c r="F443" s="138" t="s">
        <v>349</v>
      </c>
      <c r="G443" s="138" t="s">
        <v>369</v>
      </c>
      <c r="H443" s="138" t="s">
        <v>344</v>
      </c>
      <c r="I443" s="139">
        <v>43838</v>
      </c>
      <c r="K443" s="96" t="str">
        <f t="shared" si="23"/>
        <v>0017-1009-0012</v>
      </c>
      <c r="L443" s="96" t="str">
        <f>VLOOKUP(K443,COA!$A$3:$B$337,2,FALSE)</f>
        <v>R12</v>
      </c>
      <c r="M443" s="96" t="str">
        <f t="shared" si="24"/>
        <v>R12</v>
      </c>
      <c r="N443" s="96" t="str">
        <f>VLOOKUP(M443,CAC!$A$2:$B$198,2,FALSE)</f>
        <v>HMOMM</v>
      </c>
    </row>
    <row r="444" spans="5:14" x14ac:dyDescent="0.25">
      <c r="E444" s="136">
        <v>201510</v>
      </c>
      <c r="F444" s="138" t="s">
        <v>345</v>
      </c>
      <c r="G444" s="138" t="s">
        <v>362</v>
      </c>
      <c r="H444" s="138" t="s">
        <v>364</v>
      </c>
      <c r="I444" s="139">
        <v>39561</v>
      </c>
      <c r="K444" s="96" t="str">
        <f t="shared" si="23"/>
        <v>0011-1008-0037</v>
      </c>
      <c r="L444" s="96" t="str">
        <f>VLOOKUP(K444,COA!$A$3:$B$337,2,FALSE)</f>
        <v>P12</v>
      </c>
      <c r="M444" s="96" t="str">
        <f t="shared" si="24"/>
        <v>P12</v>
      </c>
      <c r="N444" s="96" t="str">
        <f>VLOOKUP(M444,CAC!$A$2:$B$198,2,FALSE)</f>
        <v>HMOPERA</v>
      </c>
    </row>
    <row r="445" spans="5:14" x14ac:dyDescent="0.25">
      <c r="E445" s="136">
        <v>201503</v>
      </c>
      <c r="F445" s="138" t="s">
        <v>342</v>
      </c>
      <c r="G445" s="138" t="s">
        <v>343</v>
      </c>
      <c r="H445" s="138" t="s">
        <v>344</v>
      </c>
      <c r="I445" s="139">
        <v>6645.33</v>
      </c>
      <c r="K445" s="96" t="str">
        <f t="shared" si="23"/>
        <v>0031-1000-0012</v>
      </c>
      <c r="L445" s="96" t="str">
        <f>VLOOKUP(K445,COA!$A$3:$B$337,2,FALSE)</f>
        <v>F27</v>
      </c>
      <c r="M445" s="96" t="str">
        <f t="shared" si="24"/>
        <v>F27</v>
      </c>
      <c r="N445" s="96" t="str">
        <f>VLOOKUP(M445,CAC!$A$2:$B$198,2,FALSE)</f>
        <v>HMOFEP</v>
      </c>
    </row>
    <row r="446" spans="5:14" x14ac:dyDescent="0.25">
      <c r="E446" s="136">
        <v>201703</v>
      </c>
      <c r="F446" s="138" t="s">
        <v>563</v>
      </c>
      <c r="G446" s="138" t="s">
        <v>361</v>
      </c>
      <c r="H446" s="138" t="s">
        <v>344</v>
      </c>
      <c r="I446" s="139">
        <v>0</v>
      </c>
      <c r="K446" s="96" t="str">
        <f t="shared" si="23"/>
        <v>0003-1003-0012</v>
      </c>
      <c r="L446" s="96" t="str">
        <f>VLOOKUP(K446,COA!$A$3:$B$337,2,FALSE)</f>
        <v>N61</v>
      </c>
      <c r="M446" s="96" t="str">
        <f t="shared" si="24"/>
        <v>N61</v>
      </c>
      <c r="N446" s="96" t="str">
        <f>VLOOKUP(M446,CAC!$A$2:$B$198,2,FALSE)</f>
        <v>PPOPMR</v>
      </c>
    </row>
    <row r="447" spans="5:14" x14ac:dyDescent="0.25">
      <c r="E447" s="136">
        <v>201506</v>
      </c>
      <c r="F447" s="138" t="s">
        <v>563</v>
      </c>
      <c r="G447" s="138" t="s">
        <v>348</v>
      </c>
      <c r="H447" s="138" t="s">
        <v>349</v>
      </c>
      <c r="I447" s="139">
        <v>0</v>
      </c>
      <c r="K447" s="96" t="str">
        <f t="shared" si="23"/>
        <v>0003-1010-0017</v>
      </c>
      <c r="L447" s="96" t="str">
        <f>VLOOKUP(K447,COA!$A$3:$B$337,2,FALSE)</f>
        <v>S51</v>
      </c>
      <c r="M447" s="96" t="str">
        <f t="shared" si="24"/>
        <v>S51</v>
      </c>
      <c r="N447" s="96" t="str">
        <f>VLOOKUP(M447,CAC!$A$2:$B$198,2,FALSE)</f>
        <v>PPOSG</v>
      </c>
    </row>
    <row r="448" spans="5:14" x14ac:dyDescent="0.25">
      <c r="E448" s="136">
        <v>201608</v>
      </c>
      <c r="F448" s="138" t="s">
        <v>563</v>
      </c>
      <c r="G448" s="138" t="s">
        <v>355</v>
      </c>
      <c r="H448" s="138" t="s">
        <v>344</v>
      </c>
      <c r="I448" s="139">
        <v>0</v>
      </c>
      <c r="K448" s="96" t="str">
        <f t="shared" si="23"/>
        <v>0003-1006-0012</v>
      </c>
      <c r="L448" s="96" t="str">
        <f>VLOOKUP(K448,COA!$A$3:$B$337,2,FALSE)</f>
        <v>L52</v>
      </c>
      <c r="M448" s="96" t="str">
        <f t="shared" si="24"/>
        <v>L52</v>
      </c>
      <c r="N448" s="96" t="str">
        <f>VLOOKUP(M448,CAC!$A$2:$B$198,2,FALSE)</f>
        <v>PPOLG</v>
      </c>
    </row>
    <row r="449" spans="5:14" x14ac:dyDescent="0.25">
      <c r="E449" s="136">
        <v>201602</v>
      </c>
      <c r="F449" s="138" t="s">
        <v>563</v>
      </c>
      <c r="G449" s="138" t="s">
        <v>359</v>
      </c>
      <c r="H449" s="138" t="s">
        <v>344</v>
      </c>
      <c r="I449" s="139">
        <v>0</v>
      </c>
      <c r="K449" s="96" t="str">
        <f t="shared" si="23"/>
        <v>0003-1005-0012</v>
      </c>
      <c r="L449" s="96" t="str">
        <f>VLOOKUP(K449,COA!$A$3:$B$337,2,FALSE)</f>
        <v>N51</v>
      </c>
      <c r="M449" s="96" t="str">
        <f t="shared" si="24"/>
        <v>N51</v>
      </c>
      <c r="N449" s="96" t="str">
        <f>VLOOKUP(M449,CAC!$A$2:$B$198,2,FALSE)</f>
        <v>PPOLG</v>
      </c>
    </row>
    <row r="450" spans="5:14" x14ac:dyDescent="0.25">
      <c r="E450" s="136">
        <v>201701</v>
      </c>
      <c r="F450" s="138" t="s">
        <v>413</v>
      </c>
      <c r="G450" s="138" t="s">
        <v>365</v>
      </c>
      <c r="H450" s="138" t="s">
        <v>344</v>
      </c>
      <c r="I450" s="139">
        <v>0</v>
      </c>
      <c r="K450" s="96" t="str">
        <f t="shared" si="23"/>
        <v>0008-1001-0012</v>
      </c>
      <c r="L450" s="96" t="str">
        <f>VLOOKUP(K450,COA!$A$3:$B$337,2,FALSE)</f>
        <v>C95</v>
      </c>
      <c r="M450" s="96" t="str">
        <f t="shared" si="24"/>
        <v>C95</v>
      </c>
      <c r="N450" s="96" t="str">
        <f>VLOOKUP(M450,CAC!$A$2:$B$198,2,FALSE)</f>
        <v>DOIIFP</v>
      </c>
    </row>
    <row r="451" spans="5:14" x14ac:dyDescent="0.25">
      <c r="E451" s="136">
        <v>201605</v>
      </c>
      <c r="F451" s="138" t="s">
        <v>563</v>
      </c>
      <c r="G451" s="138" t="s">
        <v>352</v>
      </c>
      <c r="H451" s="138" t="s">
        <v>653</v>
      </c>
      <c r="I451" s="139">
        <v>0</v>
      </c>
      <c r="K451" s="96" t="str">
        <f t="shared" ref="K451:K514" si="25">F451&amp;"-"&amp;G451&amp;"-"&amp;H451</f>
        <v>0003-1004-0047</v>
      </c>
      <c r="L451" s="96" t="str">
        <f>VLOOKUP(K451,COA!$A$3:$B$337,2,FALSE)</f>
        <v>L57</v>
      </c>
      <c r="M451" s="96" t="str">
        <f t="shared" si="24"/>
        <v>L57</v>
      </c>
      <c r="N451" s="96" t="str">
        <f>VLOOKUP(M451,CAC!$A$2:$B$198,2,FALSE)</f>
        <v>PPOLG</v>
      </c>
    </row>
    <row r="452" spans="5:14" x14ac:dyDescent="0.25">
      <c r="E452" s="136">
        <v>201711</v>
      </c>
      <c r="F452" s="138" t="s">
        <v>746</v>
      </c>
      <c r="G452" s="138" t="s">
        <v>361</v>
      </c>
      <c r="H452" s="138" t="s">
        <v>344</v>
      </c>
      <c r="I452" s="139">
        <v>500</v>
      </c>
      <c r="K452" s="96" t="str">
        <f t="shared" si="25"/>
        <v>0016-1003-0012</v>
      </c>
      <c r="L452" s="96" t="str">
        <f>VLOOKUP(K452,COA!$A$3:$B$337,2,FALSE)</f>
        <v>R18</v>
      </c>
      <c r="M452" s="96" t="str">
        <f t="shared" ref="M452:M515" si="26">IF(ISNA(L452),"XXX",L452)</f>
        <v>R18</v>
      </c>
      <c r="N452" s="96" t="str">
        <f>VLOOKUP(M452,CAC!$A$2:$B$198,2,FALSE)</f>
        <v>HMOMG</v>
      </c>
    </row>
    <row r="453" spans="5:14" x14ac:dyDescent="0.25">
      <c r="E453" s="136">
        <v>201601</v>
      </c>
      <c r="F453" s="138" t="s">
        <v>506</v>
      </c>
      <c r="G453" s="138" t="s">
        <v>346</v>
      </c>
      <c r="H453" s="138" t="s">
        <v>592</v>
      </c>
      <c r="I453" s="139">
        <v>0</v>
      </c>
      <c r="K453" s="96" t="str">
        <f t="shared" si="25"/>
        <v>0013-1014-0035</v>
      </c>
      <c r="L453" s="96" t="str">
        <f>VLOOKUP(K453,COA!$A$3:$B$337,2,FALSE)</f>
        <v>K42</v>
      </c>
      <c r="M453" s="96" t="str">
        <f t="shared" si="26"/>
        <v>K42</v>
      </c>
      <c r="N453" s="96" t="str">
        <f>VLOOKUP(M453,CAC!$A$2:$B$198,2,FALSE)</f>
        <v>HMFLEX</v>
      </c>
    </row>
    <row r="454" spans="5:14" x14ac:dyDescent="0.25">
      <c r="E454" s="136">
        <v>201711</v>
      </c>
      <c r="F454" s="138" t="s">
        <v>746</v>
      </c>
      <c r="G454" s="138" t="s">
        <v>354</v>
      </c>
      <c r="H454" s="138" t="s">
        <v>344</v>
      </c>
      <c r="I454" s="139">
        <v>108</v>
      </c>
      <c r="K454" s="96" t="str">
        <f t="shared" si="25"/>
        <v>0016-1013-0012</v>
      </c>
      <c r="L454" s="96" t="str">
        <f>VLOOKUP(K454,COA!$A$3:$B$337,2,FALSE)</f>
        <v>R19</v>
      </c>
      <c r="M454" s="96" t="str">
        <f t="shared" si="26"/>
        <v>R19</v>
      </c>
      <c r="N454" s="96" t="str">
        <f>VLOOKUP(M454,CAC!$A$2:$B$198,2,FALSE)</f>
        <v>HMOMG</v>
      </c>
    </row>
    <row r="455" spans="5:14" x14ac:dyDescent="0.25">
      <c r="E455" s="136">
        <v>201506</v>
      </c>
      <c r="F455" s="138" t="s">
        <v>563</v>
      </c>
      <c r="G455" s="138" t="s">
        <v>351</v>
      </c>
      <c r="H455" s="138" t="s">
        <v>349</v>
      </c>
      <c r="I455" s="139">
        <v>0</v>
      </c>
      <c r="K455" s="96" t="str">
        <f t="shared" si="25"/>
        <v>0003-0000-0017</v>
      </c>
      <c r="L455" s="96" t="e">
        <f>VLOOKUP(K455,COA!$A$3:$B$337,2,FALSE)</f>
        <v>#N/A</v>
      </c>
      <c r="M455" s="96" t="str">
        <f t="shared" si="26"/>
        <v>XXX</v>
      </c>
      <c r="N455" s="96" t="str">
        <f>VLOOKUP(M455,CAC!$A$2:$B$198,2,FALSE)</f>
        <v>XXX</v>
      </c>
    </row>
    <row r="456" spans="5:14" x14ac:dyDescent="0.25">
      <c r="E456" s="136">
        <v>201602</v>
      </c>
      <c r="F456" s="138" t="s">
        <v>413</v>
      </c>
      <c r="G456" s="138" t="s">
        <v>348</v>
      </c>
      <c r="H456" s="138" t="s">
        <v>349</v>
      </c>
      <c r="I456" s="139">
        <v>0</v>
      </c>
      <c r="K456" s="96" t="str">
        <f t="shared" si="25"/>
        <v>0008-1010-0017</v>
      </c>
      <c r="L456" s="96" t="str">
        <f>VLOOKUP(K456,COA!$A$3:$B$337,2,FALSE)</f>
        <v>C94</v>
      </c>
      <c r="M456" s="96" t="str">
        <f t="shared" si="26"/>
        <v>C94</v>
      </c>
      <c r="N456" s="96" t="str">
        <f>VLOOKUP(M456,CAC!$A$2:$B$198,2,FALSE)</f>
        <v>DOISG</v>
      </c>
    </row>
    <row r="457" spans="5:14" x14ac:dyDescent="0.25">
      <c r="E457" s="136">
        <v>201608</v>
      </c>
      <c r="F457" s="138" t="s">
        <v>413</v>
      </c>
      <c r="G457" s="138" t="s">
        <v>365</v>
      </c>
      <c r="H457" s="138" t="s">
        <v>344</v>
      </c>
      <c r="I457" s="139">
        <v>0</v>
      </c>
      <c r="K457" s="96" t="str">
        <f t="shared" si="25"/>
        <v>0008-1001-0012</v>
      </c>
      <c r="L457" s="96" t="str">
        <f>VLOOKUP(K457,COA!$A$3:$B$337,2,FALSE)</f>
        <v>C95</v>
      </c>
      <c r="M457" s="96" t="str">
        <f t="shared" si="26"/>
        <v>C95</v>
      </c>
      <c r="N457" s="96" t="str">
        <f>VLOOKUP(M457,CAC!$A$2:$B$198,2,FALSE)</f>
        <v>DOIIFP</v>
      </c>
    </row>
    <row r="458" spans="5:14" x14ac:dyDescent="0.25">
      <c r="E458" s="136">
        <v>201606</v>
      </c>
      <c r="F458" s="138" t="s">
        <v>345</v>
      </c>
      <c r="G458" s="138" t="s">
        <v>350</v>
      </c>
      <c r="H458" s="138" t="s">
        <v>360</v>
      </c>
      <c r="I458" s="139">
        <v>6162.87</v>
      </c>
      <c r="K458" s="96" t="str">
        <f t="shared" si="25"/>
        <v>0011-1012-0048</v>
      </c>
      <c r="L458" s="96" t="str">
        <f>VLOOKUP(K458,COA!$A$3:$B$337,2,FALSE)</f>
        <v>K21</v>
      </c>
      <c r="M458" s="96" t="str">
        <f t="shared" si="26"/>
        <v>K21</v>
      </c>
      <c r="N458" s="96" t="str">
        <f>VLOOKUP(M458,CAC!$A$2:$B$198,2,FALSE)</f>
        <v>HMFLEX</v>
      </c>
    </row>
    <row r="459" spans="5:14" x14ac:dyDescent="0.25">
      <c r="E459" s="136">
        <v>201511</v>
      </c>
      <c r="F459" s="138" t="s">
        <v>345</v>
      </c>
      <c r="G459" s="138" t="s">
        <v>356</v>
      </c>
      <c r="H459" s="138" t="s">
        <v>344</v>
      </c>
      <c r="I459" s="139">
        <v>15286.03</v>
      </c>
      <c r="K459" s="96" t="str">
        <f t="shared" si="25"/>
        <v>0011-1002-0012</v>
      </c>
      <c r="L459" s="96" t="str">
        <f>VLOOKUP(K459,COA!$A$3:$B$337,2,FALSE)</f>
        <v>F20</v>
      </c>
      <c r="M459" s="96" t="str">
        <f t="shared" si="26"/>
        <v>F20</v>
      </c>
      <c r="N459" s="96" t="str">
        <f>VLOOKUP(M459,CAC!$A$2:$B$198,2,FALSE)</f>
        <v>HMOPMR</v>
      </c>
    </row>
    <row r="460" spans="5:14" x14ac:dyDescent="0.25">
      <c r="E460" s="136">
        <v>201711</v>
      </c>
      <c r="F460" s="138" t="s">
        <v>552</v>
      </c>
      <c r="G460" s="138" t="s">
        <v>356</v>
      </c>
      <c r="H460" s="138" t="s">
        <v>672</v>
      </c>
      <c r="I460" s="139">
        <v>0</v>
      </c>
      <c r="K460" s="96" t="str">
        <f t="shared" si="25"/>
        <v>0027-1002-0058</v>
      </c>
      <c r="L460" s="96" t="str">
        <f>VLOOKUP(K460,COA!$A$3:$B$337,2,FALSE)</f>
        <v>L45</v>
      </c>
      <c r="M460" s="96" t="str">
        <f t="shared" si="26"/>
        <v>L45</v>
      </c>
      <c r="N460" s="96" t="e">
        <f>VLOOKUP(M460,CAC!$A$2:$B$198,2,FALSE)</f>
        <v>#N/A</v>
      </c>
    </row>
    <row r="461" spans="5:14" x14ac:dyDescent="0.25">
      <c r="E461" s="136">
        <v>201602</v>
      </c>
      <c r="F461" s="138" t="s">
        <v>345</v>
      </c>
      <c r="G461" s="138" t="s">
        <v>355</v>
      </c>
      <c r="H461" s="138" t="s">
        <v>344</v>
      </c>
      <c r="I461" s="139">
        <v>24594.74</v>
      </c>
      <c r="K461" s="96" t="str">
        <f t="shared" si="25"/>
        <v>0011-1006-0012</v>
      </c>
      <c r="L461" s="96" t="str">
        <f>VLOOKUP(K461,COA!$A$3:$B$337,2,FALSE)</f>
        <v>L13</v>
      </c>
      <c r="M461" s="96" t="str">
        <f t="shared" si="26"/>
        <v>L13</v>
      </c>
      <c r="N461" s="96" t="str">
        <f>VLOOKUP(M461,CAC!$A$2:$B$198,2,FALSE)</f>
        <v>HMOLG</v>
      </c>
    </row>
    <row r="462" spans="5:14" x14ac:dyDescent="0.25">
      <c r="E462" s="136">
        <v>201704</v>
      </c>
      <c r="F462" s="138" t="s">
        <v>563</v>
      </c>
      <c r="G462" s="138" t="s">
        <v>365</v>
      </c>
      <c r="H462" s="138" t="s">
        <v>344</v>
      </c>
      <c r="I462" s="139">
        <v>0</v>
      </c>
      <c r="K462" s="96" t="str">
        <f t="shared" si="25"/>
        <v>0003-1001-0012</v>
      </c>
      <c r="L462" s="96" t="str">
        <f>VLOOKUP(K462,COA!$A$3:$B$337,2,FALSE)</f>
        <v>V51</v>
      </c>
      <c r="M462" s="96" t="str">
        <f t="shared" si="26"/>
        <v>V51</v>
      </c>
      <c r="N462" s="96" t="str">
        <f>VLOOKUP(M462,CAC!$A$2:$B$198,2,FALSE)</f>
        <v>PPOIFP</v>
      </c>
    </row>
    <row r="463" spans="5:14" x14ac:dyDescent="0.25">
      <c r="E463" s="136">
        <v>201709</v>
      </c>
      <c r="F463" s="138" t="s">
        <v>563</v>
      </c>
      <c r="G463" s="138" t="s">
        <v>348</v>
      </c>
      <c r="H463" s="138" t="s">
        <v>349</v>
      </c>
      <c r="I463" s="139">
        <v>0</v>
      </c>
      <c r="K463" s="96" t="str">
        <f t="shared" si="25"/>
        <v>0003-1010-0017</v>
      </c>
      <c r="L463" s="96" t="str">
        <f>VLOOKUP(K463,COA!$A$3:$B$337,2,FALSE)</f>
        <v>S51</v>
      </c>
      <c r="M463" s="96" t="str">
        <f t="shared" si="26"/>
        <v>S51</v>
      </c>
      <c r="N463" s="96" t="str">
        <f>VLOOKUP(M463,CAC!$A$2:$B$198,2,FALSE)</f>
        <v>PPOSG</v>
      </c>
    </row>
    <row r="464" spans="5:14" x14ac:dyDescent="0.25">
      <c r="E464" s="136">
        <v>201603</v>
      </c>
      <c r="F464" s="138" t="s">
        <v>413</v>
      </c>
      <c r="G464" s="138" t="s">
        <v>352</v>
      </c>
      <c r="H464" s="138" t="s">
        <v>344</v>
      </c>
      <c r="I464" s="139">
        <v>0</v>
      </c>
      <c r="K464" s="96" t="str">
        <f t="shared" si="25"/>
        <v>0008-1004-0012</v>
      </c>
      <c r="L464" s="96" t="str">
        <f>VLOOKUP(K464,COA!$A$3:$B$337,2,FALSE)</f>
        <v>C93</v>
      </c>
      <c r="M464" s="96" t="str">
        <f t="shared" si="26"/>
        <v>C93</v>
      </c>
      <c r="N464" s="96" t="str">
        <f>VLOOKUP(M464,CAC!$A$2:$B$198,2,FALSE)</f>
        <v>DOILG</v>
      </c>
    </row>
    <row r="465" spans="5:14" x14ac:dyDescent="0.25">
      <c r="E465" s="136">
        <v>201703</v>
      </c>
      <c r="F465" s="138" t="s">
        <v>563</v>
      </c>
      <c r="G465" s="138" t="s">
        <v>352</v>
      </c>
      <c r="H465" s="138" t="s">
        <v>344</v>
      </c>
      <c r="I465" s="139">
        <v>0</v>
      </c>
      <c r="K465" s="96" t="str">
        <f t="shared" si="25"/>
        <v>0003-1004-0012</v>
      </c>
      <c r="L465" s="96" t="str">
        <f>VLOOKUP(K465,COA!$A$3:$B$337,2,FALSE)</f>
        <v>L51</v>
      </c>
      <c r="M465" s="96" t="str">
        <f t="shared" si="26"/>
        <v>L51</v>
      </c>
      <c r="N465" s="96" t="str">
        <f>VLOOKUP(M465,CAC!$A$2:$B$198,2,FALSE)</f>
        <v>PPOLG</v>
      </c>
    </row>
    <row r="466" spans="5:14" x14ac:dyDescent="0.25">
      <c r="E466" s="136">
        <v>201710</v>
      </c>
      <c r="F466" s="138" t="s">
        <v>563</v>
      </c>
      <c r="G466" s="138" t="s">
        <v>348</v>
      </c>
      <c r="H466" s="138" t="s">
        <v>358</v>
      </c>
      <c r="I466" s="139">
        <v>0</v>
      </c>
      <c r="K466" s="96" t="str">
        <f t="shared" si="25"/>
        <v>0003-1010-0024</v>
      </c>
      <c r="L466" s="96" t="str">
        <f>VLOOKUP(K466,COA!$A$3:$B$337,2,FALSE)</f>
        <v>S56</v>
      </c>
      <c r="M466" s="96" t="str">
        <f t="shared" si="26"/>
        <v>S56</v>
      </c>
      <c r="N466" s="96" t="str">
        <f>VLOOKUP(M466,CAC!$A$2:$B$198,2,FALSE)</f>
        <v>PPOSG</v>
      </c>
    </row>
    <row r="467" spans="5:14" x14ac:dyDescent="0.25">
      <c r="E467" s="136">
        <v>201503</v>
      </c>
      <c r="F467" s="138" t="s">
        <v>563</v>
      </c>
      <c r="G467" s="138" t="s">
        <v>365</v>
      </c>
      <c r="H467" s="138" t="s">
        <v>344</v>
      </c>
      <c r="I467" s="139">
        <v>0</v>
      </c>
      <c r="K467" s="96" t="str">
        <f t="shared" si="25"/>
        <v>0003-1001-0012</v>
      </c>
      <c r="L467" s="96" t="str">
        <f>VLOOKUP(K467,COA!$A$3:$B$337,2,FALSE)</f>
        <v>V51</v>
      </c>
      <c r="M467" s="96" t="str">
        <f t="shared" si="26"/>
        <v>V51</v>
      </c>
      <c r="N467" s="96" t="str">
        <f>VLOOKUP(M467,CAC!$A$2:$B$198,2,FALSE)</f>
        <v>PPOIFP</v>
      </c>
    </row>
    <row r="468" spans="5:14" x14ac:dyDescent="0.25">
      <c r="E468" s="136">
        <v>201504</v>
      </c>
      <c r="F468" s="138" t="s">
        <v>344</v>
      </c>
      <c r="G468" s="138" t="s">
        <v>355</v>
      </c>
      <c r="H468" s="138" t="s">
        <v>344</v>
      </c>
      <c r="I468" s="139">
        <v>254.97</v>
      </c>
      <c r="K468" s="96" t="str">
        <f t="shared" si="25"/>
        <v>0012-1006-0012</v>
      </c>
      <c r="L468" s="96" t="str">
        <f>VLOOKUP(K468,COA!$A$3:$B$337,2,FALSE)</f>
        <v>L16</v>
      </c>
      <c r="M468" s="96" t="str">
        <f t="shared" si="26"/>
        <v>L16</v>
      </c>
      <c r="N468" s="96" t="str">
        <f>VLOOKUP(M468,CAC!$A$2:$B$198,2,FALSE)</f>
        <v>HMOLG</v>
      </c>
    </row>
    <row r="469" spans="5:14" x14ac:dyDescent="0.25">
      <c r="E469" s="136">
        <v>201704</v>
      </c>
      <c r="F469" s="138" t="s">
        <v>563</v>
      </c>
      <c r="G469" s="138" t="s">
        <v>348</v>
      </c>
      <c r="H469" s="138" t="s">
        <v>349</v>
      </c>
      <c r="I469" s="139">
        <v>0</v>
      </c>
      <c r="K469" s="96" t="str">
        <f t="shared" si="25"/>
        <v>0003-1010-0017</v>
      </c>
      <c r="L469" s="96" t="str">
        <f>VLOOKUP(K469,COA!$A$3:$B$337,2,FALSE)</f>
        <v>S51</v>
      </c>
      <c r="M469" s="96" t="str">
        <f t="shared" si="26"/>
        <v>S51</v>
      </c>
      <c r="N469" s="96" t="str">
        <f>VLOOKUP(M469,CAC!$A$2:$B$198,2,FALSE)</f>
        <v>PPOSG</v>
      </c>
    </row>
    <row r="470" spans="5:14" x14ac:dyDescent="0.25">
      <c r="E470" s="136">
        <v>201701</v>
      </c>
      <c r="F470" s="138" t="s">
        <v>563</v>
      </c>
      <c r="G470" s="138" t="s">
        <v>348</v>
      </c>
      <c r="H470" s="138" t="s">
        <v>353</v>
      </c>
      <c r="I470" s="139">
        <v>0</v>
      </c>
      <c r="K470" s="96" t="str">
        <f t="shared" si="25"/>
        <v>0003-1010-0023</v>
      </c>
      <c r="L470" s="96" t="str">
        <f>VLOOKUP(K470,COA!$A$3:$B$337,2,FALSE)</f>
        <v>S54</v>
      </c>
      <c r="M470" s="96" t="str">
        <f t="shared" si="26"/>
        <v>S54</v>
      </c>
      <c r="N470" s="96" t="str">
        <f>VLOOKUP(M470,CAC!$A$2:$B$198,2,FALSE)</f>
        <v>PPOSG</v>
      </c>
    </row>
    <row r="471" spans="5:14" x14ac:dyDescent="0.25">
      <c r="E471" s="136">
        <v>201612</v>
      </c>
      <c r="F471" s="138" t="s">
        <v>344</v>
      </c>
      <c r="G471" s="138" t="s">
        <v>355</v>
      </c>
      <c r="H471" s="138" t="s">
        <v>344</v>
      </c>
      <c r="I471" s="139">
        <v>46</v>
      </c>
      <c r="K471" s="96" t="str">
        <f t="shared" si="25"/>
        <v>0012-1006-0012</v>
      </c>
      <c r="L471" s="96" t="str">
        <f>VLOOKUP(K471,COA!$A$3:$B$337,2,FALSE)</f>
        <v>L16</v>
      </c>
      <c r="M471" s="96" t="str">
        <f t="shared" si="26"/>
        <v>L16</v>
      </c>
      <c r="N471" s="96" t="str">
        <f>VLOOKUP(M471,CAC!$A$2:$B$198,2,FALSE)</f>
        <v>HMOLG</v>
      </c>
    </row>
    <row r="472" spans="5:14" x14ac:dyDescent="0.25">
      <c r="E472" s="136">
        <v>201608</v>
      </c>
      <c r="F472" s="138" t="s">
        <v>506</v>
      </c>
      <c r="G472" s="138" t="s">
        <v>354</v>
      </c>
      <c r="H472" s="138" t="s">
        <v>592</v>
      </c>
      <c r="I472" s="139">
        <v>0</v>
      </c>
      <c r="K472" s="96" t="str">
        <f t="shared" si="25"/>
        <v>0013-1013-0035</v>
      </c>
      <c r="L472" s="96" t="str">
        <f>VLOOKUP(K472,COA!$A$3:$B$337,2,FALSE)</f>
        <v>N44</v>
      </c>
      <c r="M472" s="96" t="str">
        <f t="shared" si="26"/>
        <v>N44</v>
      </c>
      <c r="N472" s="96" t="e">
        <f>VLOOKUP(M472,CAC!$A$2:$B$198,2,FALSE)</f>
        <v>#N/A</v>
      </c>
    </row>
    <row r="473" spans="5:14" x14ac:dyDescent="0.25">
      <c r="E473" s="136">
        <v>201711</v>
      </c>
      <c r="F473" s="138" t="s">
        <v>506</v>
      </c>
      <c r="G473" s="138" t="s">
        <v>350</v>
      </c>
      <c r="H473" s="138" t="s">
        <v>592</v>
      </c>
      <c r="I473" s="139">
        <v>0</v>
      </c>
      <c r="K473" s="96" t="str">
        <f t="shared" si="25"/>
        <v>0013-1012-0035</v>
      </c>
      <c r="L473" s="96" t="str">
        <f>VLOOKUP(K473,COA!$A$3:$B$337,2,FALSE)</f>
        <v>K41</v>
      </c>
      <c r="M473" s="96" t="str">
        <f t="shared" si="26"/>
        <v>K41</v>
      </c>
      <c r="N473" s="96" t="e">
        <f>VLOOKUP(M473,CAC!$A$2:$B$198,2,FALSE)</f>
        <v>#N/A</v>
      </c>
    </row>
    <row r="474" spans="5:14" x14ac:dyDescent="0.25">
      <c r="E474" s="136">
        <v>201610</v>
      </c>
      <c r="F474" s="138" t="s">
        <v>506</v>
      </c>
      <c r="G474" s="138" t="s">
        <v>352</v>
      </c>
      <c r="H474" s="138" t="s">
        <v>592</v>
      </c>
      <c r="I474" s="139">
        <v>0</v>
      </c>
      <c r="K474" s="96" t="str">
        <f t="shared" si="25"/>
        <v>0013-1004-0035</v>
      </c>
      <c r="L474" s="96" t="str">
        <f>VLOOKUP(K474,COA!$A$3:$B$337,2,FALSE)</f>
        <v>L41</v>
      </c>
      <c r="M474" s="96" t="str">
        <f t="shared" si="26"/>
        <v>L41</v>
      </c>
      <c r="N474" s="96" t="e">
        <f>VLOOKUP(M474,CAC!$A$2:$B$198,2,FALSE)</f>
        <v>#N/A</v>
      </c>
    </row>
    <row r="475" spans="5:14" x14ac:dyDescent="0.25">
      <c r="E475" s="136">
        <v>201507</v>
      </c>
      <c r="F475" s="138" t="s">
        <v>344</v>
      </c>
      <c r="G475" s="138" t="s">
        <v>352</v>
      </c>
      <c r="H475" s="138" t="s">
        <v>344</v>
      </c>
      <c r="I475" s="139">
        <v>262</v>
      </c>
      <c r="K475" s="96" t="str">
        <f t="shared" si="25"/>
        <v>0012-1004-0012</v>
      </c>
      <c r="L475" s="96" t="str">
        <f>VLOOKUP(K475,COA!$A$3:$B$337,2,FALSE)</f>
        <v>L12</v>
      </c>
      <c r="M475" s="96" t="str">
        <f t="shared" si="26"/>
        <v>L12</v>
      </c>
      <c r="N475" s="96" t="str">
        <f>VLOOKUP(M475,CAC!$A$2:$B$198,2,FALSE)</f>
        <v>HMOLG</v>
      </c>
    </row>
    <row r="476" spans="5:14" x14ac:dyDescent="0.25">
      <c r="E476" s="136">
        <v>201609</v>
      </c>
      <c r="F476" s="138" t="s">
        <v>746</v>
      </c>
      <c r="G476" s="138" t="s">
        <v>356</v>
      </c>
      <c r="H476" s="138" t="s">
        <v>344</v>
      </c>
      <c r="I476" s="139">
        <v>135</v>
      </c>
      <c r="K476" s="96" t="str">
        <f t="shared" si="25"/>
        <v>0016-1002-0012</v>
      </c>
      <c r="L476" s="96" t="str">
        <f>VLOOKUP(K476,COA!$A$3:$B$337,2,FALSE)</f>
        <v>R18</v>
      </c>
      <c r="M476" s="96" t="str">
        <f t="shared" si="26"/>
        <v>R18</v>
      </c>
      <c r="N476" s="96" t="str">
        <f>VLOOKUP(M476,CAC!$A$2:$B$198,2,FALSE)</f>
        <v>HMOMG</v>
      </c>
    </row>
    <row r="477" spans="5:14" x14ac:dyDescent="0.25">
      <c r="E477" s="136">
        <v>201606</v>
      </c>
      <c r="F477" s="138" t="s">
        <v>413</v>
      </c>
      <c r="G477" s="138" t="s">
        <v>365</v>
      </c>
      <c r="H477" s="138" t="s">
        <v>411</v>
      </c>
      <c r="I477" s="139">
        <v>0</v>
      </c>
      <c r="K477" s="96" t="str">
        <f t="shared" si="25"/>
        <v>0008-1001-0007</v>
      </c>
      <c r="L477" s="96" t="str">
        <f>VLOOKUP(K477,COA!$A$3:$B$337,2,FALSE)</f>
        <v>C99</v>
      </c>
      <c r="M477" s="96" t="str">
        <f t="shared" si="26"/>
        <v>C99</v>
      </c>
      <c r="N477" s="96" t="str">
        <f>VLOOKUP(M477,CAC!$A$2:$B$198,2,FALSE)</f>
        <v>DOIIFP</v>
      </c>
    </row>
    <row r="478" spans="5:14" x14ac:dyDescent="0.25">
      <c r="E478" s="136">
        <v>201711</v>
      </c>
      <c r="F478" s="138" t="s">
        <v>746</v>
      </c>
      <c r="G478" s="138" t="s">
        <v>352</v>
      </c>
      <c r="H478" s="138" t="s">
        <v>344</v>
      </c>
      <c r="I478" s="139">
        <v>3</v>
      </c>
      <c r="K478" s="96" t="str">
        <f t="shared" si="25"/>
        <v>0016-1004-0012</v>
      </c>
      <c r="L478" s="96" t="str">
        <f>VLOOKUP(K478,COA!$A$3:$B$337,2,FALSE)</f>
        <v>R20</v>
      </c>
      <c r="M478" s="96" t="str">
        <f t="shared" si="26"/>
        <v>R20</v>
      </c>
      <c r="N478" s="96" t="str">
        <f>VLOOKUP(M478,CAC!$A$2:$B$198,2,FALSE)</f>
        <v>HMOMG</v>
      </c>
    </row>
    <row r="479" spans="5:14" x14ac:dyDescent="0.25">
      <c r="E479" s="136">
        <v>201707</v>
      </c>
      <c r="F479" s="138" t="s">
        <v>349</v>
      </c>
      <c r="G479" s="138" t="s">
        <v>369</v>
      </c>
      <c r="H479" s="138" t="s">
        <v>764</v>
      </c>
      <c r="I479" s="139">
        <v>5384</v>
      </c>
      <c r="K479" s="96" t="str">
        <f t="shared" si="25"/>
        <v>0017-1009-0064</v>
      </c>
      <c r="L479" s="96" t="str">
        <f>VLOOKUP(K479,COA!$A$3:$B$337,2,FALSE)</f>
        <v>R15</v>
      </c>
      <c r="M479" s="96" t="str">
        <f t="shared" si="26"/>
        <v>R15</v>
      </c>
      <c r="N479" s="96" t="str">
        <f>VLOOKUP(M479,CAC!$A$2:$B$198,2,FALSE)</f>
        <v>HMOMM</v>
      </c>
    </row>
    <row r="480" spans="5:14" x14ac:dyDescent="0.25">
      <c r="E480" s="136">
        <v>201508</v>
      </c>
      <c r="F480" s="138" t="s">
        <v>413</v>
      </c>
      <c r="G480" s="138" t="s">
        <v>348</v>
      </c>
      <c r="H480" s="138" t="s">
        <v>349</v>
      </c>
      <c r="I480" s="139">
        <v>0</v>
      </c>
      <c r="K480" s="96" t="str">
        <f t="shared" si="25"/>
        <v>0008-1010-0017</v>
      </c>
      <c r="L480" s="96" t="str">
        <f>VLOOKUP(K480,COA!$A$3:$B$337,2,FALSE)</f>
        <v>C94</v>
      </c>
      <c r="M480" s="96" t="str">
        <f t="shared" si="26"/>
        <v>C94</v>
      </c>
      <c r="N480" s="96" t="str">
        <f>VLOOKUP(M480,CAC!$A$2:$B$198,2,FALSE)</f>
        <v>DOISG</v>
      </c>
    </row>
    <row r="481" spans="5:14" x14ac:dyDescent="0.25">
      <c r="E481" s="136">
        <v>201502</v>
      </c>
      <c r="F481" s="138" t="s">
        <v>345</v>
      </c>
      <c r="G481" s="138" t="s">
        <v>350</v>
      </c>
      <c r="H481" s="138" t="s">
        <v>344</v>
      </c>
      <c r="I481" s="139">
        <v>6957.78</v>
      </c>
      <c r="K481" s="96" t="str">
        <f t="shared" si="25"/>
        <v>0011-1012-0012</v>
      </c>
      <c r="L481" s="96" t="str">
        <f>VLOOKUP(K481,COA!$A$3:$B$337,2,FALSE)</f>
        <v>K11</v>
      </c>
      <c r="M481" s="96" t="str">
        <f t="shared" si="26"/>
        <v>K11</v>
      </c>
      <c r="N481" s="96" t="str">
        <f>VLOOKUP(M481,CAC!$A$2:$B$198,2,FALSE)</f>
        <v>HMOPMR</v>
      </c>
    </row>
    <row r="482" spans="5:14" x14ac:dyDescent="0.25">
      <c r="E482" s="136">
        <v>201502</v>
      </c>
      <c r="F482" s="138" t="s">
        <v>345</v>
      </c>
      <c r="G482" s="138" t="s">
        <v>356</v>
      </c>
      <c r="H482" s="138" t="s">
        <v>344</v>
      </c>
      <c r="I482" s="139">
        <v>143.04</v>
      </c>
      <c r="K482" s="96" t="str">
        <f t="shared" si="25"/>
        <v>0011-1002-0012</v>
      </c>
      <c r="L482" s="96" t="str">
        <f>VLOOKUP(K482,COA!$A$3:$B$337,2,FALSE)</f>
        <v>F20</v>
      </c>
      <c r="M482" s="96" t="str">
        <f t="shared" si="26"/>
        <v>F20</v>
      </c>
      <c r="N482" s="96" t="str">
        <f>VLOOKUP(M482,CAC!$A$2:$B$198,2,FALSE)</f>
        <v>HMOPMR</v>
      </c>
    </row>
    <row r="483" spans="5:14" x14ac:dyDescent="0.25">
      <c r="E483" s="136">
        <v>201608</v>
      </c>
      <c r="F483" s="138" t="s">
        <v>563</v>
      </c>
      <c r="G483" s="138" t="s">
        <v>348</v>
      </c>
      <c r="H483" s="138" t="s">
        <v>358</v>
      </c>
      <c r="I483" s="139">
        <v>0</v>
      </c>
      <c r="K483" s="96" t="str">
        <f t="shared" si="25"/>
        <v>0003-1010-0024</v>
      </c>
      <c r="L483" s="96" t="str">
        <f>VLOOKUP(K483,COA!$A$3:$B$337,2,FALSE)</f>
        <v>S56</v>
      </c>
      <c r="M483" s="96" t="str">
        <f t="shared" si="26"/>
        <v>S56</v>
      </c>
      <c r="N483" s="96" t="str">
        <f>VLOOKUP(M483,CAC!$A$2:$B$198,2,FALSE)</f>
        <v>PPOSG</v>
      </c>
    </row>
    <row r="484" spans="5:14" x14ac:dyDescent="0.25">
      <c r="E484" s="136">
        <v>201607</v>
      </c>
      <c r="F484" s="138" t="s">
        <v>344</v>
      </c>
      <c r="G484" s="138" t="s">
        <v>354</v>
      </c>
      <c r="H484" s="138" t="s">
        <v>344</v>
      </c>
      <c r="I484" s="139">
        <v>295</v>
      </c>
      <c r="K484" s="96" t="str">
        <f t="shared" si="25"/>
        <v>0012-1013-0012</v>
      </c>
      <c r="L484" s="96" t="str">
        <f>VLOOKUP(K484,COA!$A$3:$B$337,2,FALSE)</f>
        <v>N14</v>
      </c>
      <c r="M484" s="96" t="str">
        <f t="shared" si="26"/>
        <v>N14</v>
      </c>
      <c r="N484" s="96" t="str">
        <f>VLOOKUP(M484,CAC!$A$2:$B$198,2,FALSE)</f>
        <v>HMOPMR</v>
      </c>
    </row>
    <row r="485" spans="5:14" x14ac:dyDescent="0.25">
      <c r="E485" s="136">
        <v>201506</v>
      </c>
      <c r="F485" s="138" t="s">
        <v>563</v>
      </c>
      <c r="G485" s="138" t="s">
        <v>365</v>
      </c>
      <c r="H485" s="138" t="s">
        <v>367</v>
      </c>
      <c r="I485" s="139">
        <v>0</v>
      </c>
      <c r="K485" s="96" t="str">
        <f t="shared" si="25"/>
        <v>0003-1001-0022</v>
      </c>
      <c r="L485" s="96" t="str">
        <f>VLOOKUP(K485,COA!$A$3:$B$337,2,FALSE)</f>
        <v>V54</v>
      </c>
      <c r="M485" s="96" t="str">
        <f t="shared" si="26"/>
        <v>V54</v>
      </c>
      <c r="N485" s="96" t="str">
        <f>VLOOKUP(M485,CAC!$A$2:$B$198,2,FALSE)</f>
        <v>PPOIFP</v>
      </c>
    </row>
    <row r="486" spans="5:14" x14ac:dyDescent="0.25">
      <c r="E486" s="136">
        <v>201701</v>
      </c>
      <c r="F486" s="138" t="s">
        <v>345</v>
      </c>
      <c r="G486" s="138" t="s">
        <v>348</v>
      </c>
      <c r="H486" s="138" t="s">
        <v>349</v>
      </c>
      <c r="I486" s="139">
        <v>26351.35</v>
      </c>
      <c r="K486" s="96" t="str">
        <f t="shared" si="25"/>
        <v>0011-1010-0017</v>
      </c>
      <c r="L486" s="96" t="str">
        <f>VLOOKUP(K486,COA!$A$3:$B$337,2,FALSE)</f>
        <v>S11</v>
      </c>
      <c r="M486" s="96" t="str">
        <f t="shared" si="26"/>
        <v>S11</v>
      </c>
      <c r="N486" s="96" t="str">
        <f>VLOOKUP(M486,CAC!$A$2:$B$198,2,FALSE)</f>
        <v>HMOSG</v>
      </c>
    </row>
    <row r="487" spans="5:14" x14ac:dyDescent="0.25">
      <c r="E487" s="136">
        <v>201606</v>
      </c>
      <c r="F487" s="138" t="s">
        <v>413</v>
      </c>
      <c r="G487" s="138" t="s">
        <v>354</v>
      </c>
      <c r="H487" s="138" t="s">
        <v>344</v>
      </c>
      <c r="I487" s="139">
        <v>0</v>
      </c>
      <c r="K487" s="96" t="str">
        <f t="shared" si="25"/>
        <v>0008-1013-0012</v>
      </c>
      <c r="L487" s="96" t="str">
        <f>VLOOKUP(K487,COA!$A$3:$B$337,2,FALSE)</f>
        <v>C76</v>
      </c>
      <c r="M487" s="96" t="str">
        <f t="shared" si="26"/>
        <v>C76</v>
      </c>
      <c r="N487" s="96" t="str">
        <f>VLOOKUP(M487,CAC!$A$2:$B$198,2,FALSE)</f>
        <v>DOILG</v>
      </c>
    </row>
    <row r="488" spans="5:14" x14ac:dyDescent="0.25">
      <c r="E488" s="136">
        <v>201701</v>
      </c>
      <c r="F488" s="138" t="s">
        <v>563</v>
      </c>
      <c r="G488" s="138" t="s">
        <v>348</v>
      </c>
      <c r="H488" s="138" t="s">
        <v>358</v>
      </c>
      <c r="I488" s="139">
        <v>0</v>
      </c>
      <c r="K488" s="96" t="str">
        <f t="shared" si="25"/>
        <v>0003-1010-0024</v>
      </c>
      <c r="L488" s="96" t="str">
        <f>VLOOKUP(K488,COA!$A$3:$B$337,2,FALSE)</f>
        <v>S56</v>
      </c>
      <c r="M488" s="96" t="str">
        <f t="shared" si="26"/>
        <v>S56</v>
      </c>
      <c r="N488" s="96" t="str">
        <f>VLOOKUP(M488,CAC!$A$2:$B$198,2,FALSE)</f>
        <v>PPOSG</v>
      </c>
    </row>
    <row r="489" spans="5:14" x14ac:dyDescent="0.25">
      <c r="E489" s="136">
        <v>201612</v>
      </c>
      <c r="F489" s="138" t="s">
        <v>563</v>
      </c>
      <c r="G489" s="138" t="s">
        <v>352</v>
      </c>
      <c r="H489" s="138" t="s">
        <v>626</v>
      </c>
      <c r="I489" s="139">
        <v>0</v>
      </c>
      <c r="K489" s="96" t="str">
        <f t="shared" si="25"/>
        <v>0003-1004-0057</v>
      </c>
      <c r="L489" s="96" t="e">
        <f>VLOOKUP(K489,COA!$A$3:$B$337,2,FALSE)</f>
        <v>#N/A</v>
      </c>
      <c r="M489" s="96" t="str">
        <f t="shared" si="26"/>
        <v>XXX</v>
      </c>
      <c r="N489" s="96" t="str">
        <f>VLOOKUP(M489,CAC!$A$2:$B$198,2,FALSE)</f>
        <v>XXX</v>
      </c>
    </row>
    <row r="490" spans="5:14" x14ac:dyDescent="0.25">
      <c r="E490" s="136">
        <v>201710</v>
      </c>
      <c r="F490" s="138" t="s">
        <v>563</v>
      </c>
      <c r="G490" s="138" t="s">
        <v>365</v>
      </c>
      <c r="H490" s="138" t="s">
        <v>366</v>
      </c>
      <c r="I490" s="139">
        <v>0</v>
      </c>
      <c r="K490" s="96" t="str">
        <f t="shared" si="25"/>
        <v>0003-1001-0021</v>
      </c>
      <c r="L490" s="96" t="str">
        <f>VLOOKUP(K490,COA!$A$3:$B$337,2,FALSE)</f>
        <v>V53</v>
      </c>
      <c r="M490" s="96" t="str">
        <f t="shared" si="26"/>
        <v>V53</v>
      </c>
      <c r="N490" s="96" t="str">
        <f>VLOOKUP(M490,CAC!$A$2:$B$198,2,FALSE)</f>
        <v>PPOIFP</v>
      </c>
    </row>
    <row r="491" spans="5:14" x14ac:dyDescent="0.25">
      <c r="E491" s="136">
        <v>201712</v>
      </c>
      <c r="F491" s="138" t="s">
        <v>549</v>
      </c>
      <c r="G491" s="138" t="s">
        <v>352</v>
      </c>
      <c r="H491" s="138" t="s">
        <v>672</v>
      </c>
      <c r="I491" s="139">
        <v>0</v>
      </c>
      <c r="K491" s="96" t="str">
        <f t="shared" si="25"/>
        <v>0026-1004-0058</v>
      </c>
      <c r="L491" s="96" t="str">
        <f>VLOOKUP(K491,COA!$A$3:$B$337,2,FALSE)</f>
        <v>L44</v>
      </c>
      <c r="M491" s="96" t="str">
        <f t="shared" si="26"/>
        <v>L44</v>
      </c>
      <c r="N491" s="96" t="e">
        <f>VLOOKUP(M491,CAC!$A$2:$B$198,2,FALSE)</f>
        <v>#N/A</v>
      </c>
    </row>
    <row r="492" spans="5:14" x14ac:dyDescent="0.25">
      <c r="E492" s="136">
        <v>201606</v>
      </c>
      <c r="F492" s="138" t="s">
        <v>344</v>
      </c>
      <c r="G492" s="138" t="s">
        <v>355</v>
      </c>
      <c r="H492" s="138" t="s">
        <v>344</v>
      </c>
      <c r="I492" s="139">
        <v>86</v>
      </c>
      <c r="K492" s="96" t="str">
        <f t="shared" si="25"/>
        <v>0012-1006-0012</v>
      </c>
      <c r="L492" s="96" t="str">
        <f>VLOOKUP(K492,COA!$A$3:$B$337,2,FALSE)</f>
        <v>L16</v>
      </c>
      <c r="M492" s="96" t="str">
        <f t="shared" si="26"/>
        <v>L16</v>
      </c>
      <c r="N492" s="96" t="str">
        <f>VLOOKUP(M492,CAC!$A$2:$B$198,2,FALSE)</f>
        <v>HMOLG</v>
      </c>
    </row>
    <row r="493" spans="5:14" x14ac:dyDescent="0.25">
      <c r="E493" s="136">
        <v>201601</v>
      </c>
      <c r="F493" s="138" t="s">
        <v>345</v>
      </c>
      <c r="G493" s="138" t="s">
        <v>348</v>
      </c>
      <c r="H493" s="138" t="s">
        <v>353</v>
      </c>
      <c r="I493" s="139">
        <v>343</v>
      </c>
      <c r="K493" s="96" t="str">
        <f t="shared" si="25"/>
        <v>0011-1010-0023</v>
      </c>
      <c r="L493" s="96" t="str">
        <f>VLOOKUP(K493,COA!$A$3:$B$337,2,FALSE)</f>
        <v>S13</v>
      </c>
      <c r="M493" s="96" t="str">
        <f t="shared" si="26"/>
        <v>S13</v>
      </c>
      <c r="N493" s="96" t="str">
        <f>VLOOKUP(M493,CAC!$A$2:$B$198,2,FALSE)</f>
        <v>HMOSG</v>
      </c>
    </row>
    <row r="494" spans="5:14" x14ac:dyDescent="0.25">
      <c r="E494" s="136">
        <v>201510</v>
      </c>
      <c r="F494" s="138" t="s">
        <v>563</v>
      </c>
      <c r="G494" s="138" t="s">
        <v>348</v>
      </c>
      <c r="H494" s="138" t="s">
        <v>353</v>
      </c>
      <c r="I494" s="139">
        <v>0</v>
      </c>
      <c r="K494" s="96" t="str">
        <f t="shared" si="25"/>
        <v>0003-1010-0023</v>
      </c>
      <c r="L494" s="96" t="str">
        <f>VLOOKUP(K494,COA!$A$3:$B$337,2,FALSE)</f>
        <v>S54</v>
      </c>
      <c r="M494" s="96" t="str">
        <f t="shared" si="26"/>
        <v>S54</v>
      </c>
      <c r="N494" s="96" t="str">
        <f>VLOOKUP(M494,CAC!$A$2:$B$198,2,FALSE)</f>
        <v>PPOSG</v>
      </c>
    </row>
    <row r="495" spans="5:14" x14ac:dyDescent="0.25">
      <c r="E495" s="136">
        <v>201602</v>
      </c>
      <c r="F495" s="138" t="s">
        <v>563</v>
      </c>
      <c r="G495" s="138" t="s">
        <v>354</v>
      </c>
      <c r="H495" s="138" t="s">
        <v>626</v>
      </c>
      <c r="I495" s="139">
        <v>0</v>
      </c>
      <c r="K495" s="96" t="str">
        <f t="shared" si="25"/>
        <v>0003-1013-0057</v>
      </c>
      <c r="L495" s="96" t="str">
        <f>VLOOKUP(K495,COA!$A$3:$B$337,2,FALSE)</f>
        <v>N55</v>
      </c>
      <c r="M495" s="96" t="str">
        <f t="shared" si="26"/>
        <v>N55</v>
      </c>
      <c r="N495" s="96" t="str">
        <f>VLOOKUP(M495,CAC!$A$2:$B$198,2,FALSE)</f>
        <v>PPOPMR</v>
      </c>
    </row>
    <row r="496" spans="5:14" x14ac:dyDescent="0.25">
      <c r="E496" s="136">
        <v>201503</v>
      </c>
      <c r="F496" s="138" t="s">
        <v>563</v>
      </c>
      <c r="G496" s="138" t="s">
        <v>348</v>
      </c>
      <c r="H496" s="138" t="s">
        <v>353</v>
      </c>
      <c r="I496" s="139">
        <v>0</v>
      </c>
      <c r="K496" s="96" t="str">
        <f t="shared" si="25"/>
        <v>0003-1010-0023</v>
      </c>
      <c r="L496" s="96" t="str">
        <f>VLOOKUP(K496,COA!$A$3:$B$337,2,FALSE)</f>
        <v>S54</v>
      </c>
      <c r="M496" s="96" t="str">
        <f t="shared" si="26"/>
        <v>S54</v>
      </c>
      <c r="N496" s="96" t="str">
        <f>VLOOKUP(M496,CAC!$A$2:$B$198,2,FALSE)</f>
        <v>PPOSG</v>
      </c>
    </row>
    <row r="497" spans="5:14" x14ac:dyDescent="0.25">
      <c r="E497" s="136">
        <v>201711</v>
      </c>
      <c r="F497" s="138" t="s">
        <v>345</v>
      </c>
      <c r="G497" s="138" t="s">
        <v>356</v>
      </c>
      <c r="H497" s="138" t="s">
        <v>344</v>
      </c>
      <c r="I497" s="139">
        <v>16131.87</v>
      </c>
      <c r="K497" s="96" t="str">
        <f t="shared" si="25"/>
        <v>0011-1002-0012</v>
      </c>
      <c r="L497" s="96" t="str">
        <f>VLOOKUP(K497,COA!$A$3:$B$337,2,FALSE)</f>
        <v>F20</v>
      </c>
      <c r="M497" s="96" t="str">
        <f t="shared" si="26"/>
        <v>F20</v>
      </c>
      <c r="N497" s="96" t="str">
        <f>VLOOKUP(M497,CAC!$A$2:$B$198,2,FALSE)</f>
        <v>HMOPMR</v>
      </c>
    </row>
    <row r="498" spans="5:14" x14ac:dyDescent="0.25">
      <c r="E498" s="136">
        <v>201610</v>
      </c>
      <c r="F498" s="138" t="s">
        <v>345</v>
      </c>
      <c r="G498" s="138" t="s">
        <v>348</v>
      </c>
      <c r="H498" s="138" t="s">
        <v>353</v>
      </c>
      <c r="I498" s="139">
        <v>330</v>
      </c>
      <c r="K498" s="96" t="str">
        <f t="shared" si="25"/>
        <v>0011-1010-0023</v>
      </c>
      <c r="L498" s="96" t="str">
        <f>VLOOKUP(K498,COA!$A$3:$B$337,2,FALSE)</f>
        <v>S13</v>
      </c>
      <c r="M498" s="96" t="str">
        <f t="shared" si="26"/>
        <v>S13</v>
      </c>
      <c r="N498" s="96" t="str">
        <f>VLOOKUP(M498,CAC!$A$2:$B$198,2,FALSE)</f>
        <v>HMOSG</v>
      </c>
    </row>
    <row r="499" spans="5:14" x14ac:dyDescent="0.25">
      <c r="E499" s="136">
        <v>201611</v>
      </c>
      <c r="F499" s="138" t="s">
        <v>345</v>
      </c>
      <c r="G499" s="138" t="s">
        <v>346</v>
      </c>
      <c r="H499" s="138" t="s">
        <v>344</v>
      </c>
      <c r="I499" s="139">
        <v>0</v>
      </c>
      <c r="K499" s="96" t="str">
        <f t="shared" si="25"/>
        <v>0011-1014-0012</v>
      </c>
      <c r="L499" s="96" t="e">
        <f>VLOOKUP(K499,COA!$A$3:$B$337,2,FALSE)</f>
        <v>#N/A</v>
      </c>
      <c r="M499" s="96" t="str">
        <f t="shared" si="26"/>
        <v>XXX</v>
      </c>
      <c r="N499" s="96" t="str">
        <f>VLOOKUP(M499,CAC!$A$2:$B$198,2,FALSE)</f>
        <v>XXX</v>
      </c>
    </row>
    <row r="500" spans="5:14" x14ac:dyDescent="0.25">
      <c r="E500" s="136">
        <v>201607</v>
      </c>
      <c r="F500" s="138" t="s">
        <v>344</v>
      </c>
      <c r="G500" s="138" t="s">
        <v>355</v>
      </c>
      <c r="H500" s="138" t="s">
        <v>344</v>
      </c>
      <c r="I500" s="139">
        <v>89</v>
      </c>
      <c r="K500" s="96" t="str">
        <f t="shared" si="25"/>
        <v>0012-1006-0012</v>
      </c>
      <c r="L500" s="96" t="str">
        <f>VLOOKUP(K500,COA!$A$3:$B$337,2,FALSE)</f>
        <v>L16</v>
      </c>
      <c r="M500" s="96" t="str">
        <f t="shared" si="26"/>
        <v>L16</v>
      </c>
      <c r="N500" s="96" t="str">
        <f>VLOOKUP(M500,CAC!$A$2:$B$198,2,FALSE)</f>
        <v>HMOLG</v>
      </c>
    </row>
    <row r="501" spans="5:14" x14ac:dyDescent="0.25">
      <c r="E501" s="136">
        <v>201603</v>
      </c>
      <c r="F501" s="138" t="s">
        <v>563</v>
      </c>
      <c r="G501" s="138" t="s">
        <v>359</v>
      </c>
      <c r="H501" s="138" t="s">
        <v>344</v>
      </c>
      <c r="I501" s="139">
        <v>0</v>
      </c>
      <c r="K501" s="96" t="str">
        <f t="shared" si="25"/>
        <v>0003-1005-0012</v>
      </c>
      <c r="L501" s="96" t="str">
        <f>VLOOKUP(K501,COA!$A$3:$B$337,2,FALSE)</f>
        <v>N51</v>
      </c>
      <c r="M501" s="96" t="str">
        <f t="shared" si="26"/>
        <v>N51</v>
      </c>
      <c r="N501" s="96" t="str">
        <f>VLOOKUP(M501,CAC!$A$2:$B$198,2,FALSE)</f>
        <v>PPOLG</v>
      </c>
    </row>
    <row r="502" spans="5:14" x14ac:dyDescent="0.25">
      <c r="E502" s="136">
        <v>201608</v>
      </c>
      <c r="F502" s="138" t="s">
        <v>345</v>
      </c>
      <c r="G502" s="138" t="s">
        <v>359</v>
      </c>
      <c r="H502" s="138" t="s">
        <v>344</v>
      </c>
      <c r="I502" s="139">
        <v>4121.8</v>
      </c>
      <c r="K502" s="96" t="str">
        <f t="shared" si="25"/>
        <v>0011-1005-0012</v>
      </c>
      <c r="L502" s="96" t="str">
        <f>VLOOKUP(K502,COA!$A$3:$B$337,2,FALSE)</f>
        <v>N11</v>
      </c>
      <c r="M502" s="96" t="str">
        <f t="shared" si="26"/>
        <v>N11</v>
      </c>
      <c r="N502" s="96" t="str">
        <f>VLOOKUP(M502,CAC!$A$2:$B$198,2,FALSE)</f>
        <v>HMOLG</v>
      </c>
    </row>
    <row r="503" spans="5:14" x14ac:dyDescent="0.25">
      <c r="E503" s="136">
        <v>201609</v>
      </c>
      <c r="F503" s="138" t="s">
        <v>345</v>
      </c>
      <c r="G503" s="138" t="s">
        <v>359</v>
      </c>
      <c r="H503" s="138" t="s">
        <v>344</v>
      </c>
      <c r="I503" s="139">
        <v>4089</v>
      </c>
      <c r="K503" s="96" t="str">
        <f t="shared" si="25"/>
        <v>0011-1005-0012</v>
      </c>
      <c r="L503" s="96" t="str">
        <f>VLOOKUP(K503,COA!$A$3:$B$337,2,FALSE)</f>
        <v>N11</v>
      </c>
      <c r="M503" s="96" t="str">
        <f t="shared" si="26"/>
        <v>N11</v>
      </c>
      <c r="N503" s="96" t="str">
        <f>VLOOKUP(M503,CAC!$A$2:$B$198,2,FALSE)</f>
        <v>HMOLG</v>
      </c>
    </row>
    <row r="504" spans="5:14" x14ac:dyDescent="0.25">
      <c r="E504" s="136">
        <v>201507</v>
      </c>
      <c r="F504" s="138" t="s">
        <v>345</v>
      </c>
      <c r="G504" s="138" t="s">
        <v>346</v>
      </c>
      <c r="H504" s="138" t="s">
        <v>360</v>
      </c>
      <c r="I504" s="139">
        <v>408</v>
      </c>
      <c r="K504" s="96" t="str">
        <f t="shared" si="25"/>
        <v>0011-1014-0048</v>
      </c>
      <c r="L504" s="96" t="str">
        <f>VLOOKUP(K504,COA!$A$3:$B$337,2,FALSE)</f>
        <v>K23</v>
      </c>
      <c r="M504" s="96" t="str">
        <f t="shared" si="26"/>
        <v>K23</v>
      </c>
      <c r="N504" s="96" t="str">
        <f>VLOOKUP(M504,CAC!$A$2:$B$198,2,FALSE)</f>
        <v>HMFLEX</v>
      </c>
    </row>
    <row r="505" spans="5:14" x14ac:dyDescent="0.25">
      <c r="E505" s="136">
        <v>201702</v>
      </c>
      <c r="F505" s="138" t="s">
        <v>563</v>
      </c>
      <c r="G505" s="138" t="s">
        <v>348</v>
      </c>
      <c r="H505" s="138" t="s">
        <v>358</v>
      </c>
      <c r="I505" s="139">
        <v>0</v>
      </c>
      <c r="K505" s="96" t="str">
        <f t="shared" si="25"/>
        <v>0003-1010-0024</v>
      </c>
      <c r="L505" s="96" t="str">
        <f>VLOOKUP(K505,COA!$A$3:$B$337,2,FALSE)</f>
        <v>S56</v>
      </c>
      <c r="M505" s="96" t="str">
        <f t="shared" si="26"/>
        <v>S56</v>
      </c>
      <c r="N505" s="96" t="str">
        <f>VLOOKUP(M505,CAC!$A$2:$B$198,2,FALSE)</f>
        <v>PPOSG</v>
      </c>
    </row>
    <row r="506" spans="5:14" x14ac:dyDescent="0.25">
      <c r="E506" s="136">
        <v>201612</v>
      </c>
      <c r="F506" s="138" t="s">
        <v>746</v>
      </c>
      <c r="G506" s="138" t="s">
        <v>361</v>
      </c>
      <c r="H506" s="138" t="s">
        <v>344</v>
      </c>
      <c r="I506" s="139">
        <v>483</v>
      </c>
      <c r="K506" s="96" t="str">
        <f t="shared" si="25"/>
        <v>0016-1003-0012</v>
      </c>
      <c r="L506" s="96" t="str">
        <f>VLOOKUP(K506,COA!$A$3:$B$337,2,FALSE)</f>
        <v>R18</v>
      </c>
      <c r="M506" s="96" t="str">
        <f t="shared" si="26"/>
        <v>R18</v>
      </c>
      <c r="N506" s="96" t="str">
        <f>VLOOKUP(M506,CAC!$A$2:$B$198,2,FALSE)</f>
        <v>HMOMG</v>
      </c>
    </row>
    <row r="507" spans="5:14" x14ac:dyDescent="0.25">
      <c r="E507" s="136">
        <v>201712</v>
      </c>
      <c r="F507" s="138" t="s">
        <v>746</v>
      </c>
      <c r="G507" s="138" t="s">
        <v>356</v>
      </c>
      <c r="H507" s="138" t="s">
        <v>764</v>
      </c>
      <c r="I507" s="139">
        <v>642</v>
      </c>
      <c r="K507" s="96" t="str">
        <f t="shared" si="25"/>
        <v>0016-1002-0064</v>
      </c>
      <c r="L507" s="96" t="str">
        <f>VLOOKUP(K507,COA!$A$3:$B$337,2,FALSE)</f>
        <v>R25</v>
      </c>
      <c r="M507" s="96" t="str">
        <f t="shared" si="26"/>
        <v>R25</v>
      </c>
      <c r="N507" s="96" t="str">
        <f>VLOOKUP(M507,CAC!$A$2:$B$198,2,FALSE)</f>
        <v>HMOMG</v>
      </c>
    </row>
    <row r="508" spans="5:14" x14ac:dyDescent="0.25">
      <c r="E508" s="136">
        <v>201710</v>
      </c>
      <c r="F508" s="138" t="s">
        <v>563</v>
      </c>
      <c r="G508" s="138" t="s">
        <v>354</v>
      </c>
      <c r="H508" s="138" t="s">
        <v>626</v>
      </c>
      <c r="I508" s="139">
        <v>0</v>
      </c>
      <c r="K508" s="96" t="str">
        <f t="shared" si="25"/>
        <v>0003-1013-0057</v>
      </c>
      <c r="L508" s="96" t="str">
        <f>VLOOKUP(K508,COA!$A$3:$B$337,2,FALSE)</f>
        <v>N55</v>
      </c>
      <c r="M508" s="96" t="str">
        <f t="shared" si="26"/>
        <v>N55</v>
      </c>
      <c r="N508" s="96" t="str">
        <f>VLOOKUP(M508,CAC!$A$2:$B$198,2,FALSE)</f>
        <v>PPOPMR</v>
      </c>
    </row>
    <row r="509" spans="5:14" x14ac:dyDescent="0.25">
      <c r="E509" s="136">
        <v>201610</v>
      </c>
      <c r="F509" s="138" t="s">
        <v>563</v>
      </c>
      <c r="G509" s="138" t="s">
        <v>348</v>
      </c>
      <c r="H509" s="138" t="s">
        <v>349</v>
      </c>
      <c r="I509" s="139">
        <v>0</v>
      </c>
      <c r="K509" s="96" t="str">
        <f t="shared" si="25"/>
        <v>0003-1010-0017</v>
      </c>
      <c r="L509" s="96" t="str">
        <f>VLOOKUP(K509,COA!$A$3:$B$337,2,FALSE)</f>
        <v>S51</v>
      </c>
      <c r="M509" s="96" t="str">
        <f t="shared" si="26"/>
        <v>S51</v>
      </c>
      <c r="N509" s="96" t="str">
        <f>VLOOKUP(M509,CAC!$A$2:$B$198,2,FALSE)</f>
        <v>PPOSG</v>
      </c>
    </row>
    <row r="510" spans="5:14" x14ac:dyDescent="0.25">
      <c r="E510" s="136">
        <v>201607</v>
      </c>
      <c r="F510" s="138" t="s">
        <v>345</v>
      </c>
      <c r="G510" s="138" t="s">
        <v>362</v>
      </c>
      <c r="H510" s="138" t="s">
        <v>364</v>
      </c>
      <c r="I510" s="139">
        <v>38074.67</v>
      </c>
      <c r="K510" s="96" t="str">
        <f t="shared" si="25"/>
        <v>0011-1008-0037</v>
      </c>
      <c r="L510" s="96" t="str">
        <f>VLOOKUP(K510,COA!$A$3:$B$337,2,FALSE)</f>
        <v>P12</v>
      </c>
      <c r="M510" s="96" t="str">
        <f t="shared" si="26"/>
        <v>P12</v>
      </c>
      <c r="N510" s="96" t="str">
        <f>VLOOKUP(M510,CAC!$A$2:$B$198,2,FALSE)</f>
        <v>HMOPERA</v>
      </c>
    </row>
    <row r="511" spans="5:14" x14ac:dyDescent="0.25">
      <c r="E511" s="136">
        <v>201607</v>
      </c>
      <c r="F511" s="138" t="s">
        <v>345</v>
      </c>
      <c r="G511" s="138" t="s">
        <v>361</v>
      </c>
      <c r="H511" s="138" t="s">
        <v>344</v>
      </c>
      <c r="I511" s="139">
        <v>4131.87</v>
      </c>
      <c r="K511" s="96" t="str">
        <f t="shared" si="25"/>
        <v>0011-1003-0012</v>
      </c>
      <c r="L511" s="96" t="str">
        <f>VLOOKUP(K511,COA!$A$3:$B$337,2,FALSE)</f>
        <v>N16</v>
      </c>
      <c r="M511" s="96" t="str">
        <f t="shared" si="26"/>
        <v>N16</v>
      </c>
      <c r="N511" s="96" t="str">
        <f>VLOOKUP(M511,CAC!$A$2:$B$198,2,FALSE)</f>
        <v>HMOPMR</v>
      </c>
    </row>
    <row r="512" spans="5:14" x14ac:dyDescent="0.25">
      <c r="E512" s="136">
        <v>201608</v>
      </c>
      <c r="F512" s="138" t="s">
        <v>344</v>
      </c>
      <c r="G512" s="138" t="s">
        <v>356</v>
      </c>
      <c r="H512" s="138" t="s">
        <v>344</v>
      </c>
      <c r="I512" s="139">
        <v>4136.6099999999997</v>
      </c>
      <c r="K512" s="96" t="str">
        <f t="shared" si="25"/>
        <v>0012-1002-0012</v>
      </c>
      <c r="L512" s="96" t="str">
        <f>VLOOKUP(K512,COA!$A$3:$B$337,2,FALSE)</f>
        <v>F22</v>
      </c>
      <c r="M512" s="96" t="str">
        <f t="shared" si="26"/>
        <v>F22</v>
      </c>
      <c r="N512" s="96" t="str">
        <f>VLOOKUP(M512,CAC!$A$2:$B$198,2,FALSE)</f>
        <v>HMOPMR</v>
      </c>
    </row>
    <row r="513" spans="5:14" x14ac:dyDescent="0.25">
      <c r="E513" s="136">
        <v>201608</v>
      </c>
      <c r="F513" s="138" t="s">
        <v>563</v>
      </c>
      <c r="G513" s="138" t="s">
        <v>350</v>
      </c>
      <c r="H513" s="138" t="s">
        <v>344</v>
      </c>
      <c r="I513" s="139">
        <v>0</v>
      </c>
      <c r="K513" s="96" t="str">
        <f t="shared" si="25"/>
        <v>0003-1012-0012</v>
      </c>
      <c r="L513" s="96" t="str">
        <f>VLOOKUP(K513,COA!$A$3:$B$337,2,FALSE)</f>
        <v>K51</v>
      </c>
      <c r="M513" s="96" t="str">
        <f t="shared" si="26"/>
        <v>K51</v>
      </c>
      <c r="N513" s="96" t="str">
        <f>VLOOKUP(M513,CAC!$A$2:$B$198,2,FALSE)</f>
        <v>PPOPMR</v>
      </c>
    </row>
    <row r="514" spans="5:14" x14ac:dyDescent="0.25">
      <c r="E514" s="136">
        <v>201510</v>
      </c>
      <c r="F514" s="138" t="s">
        <v>405</v>
      </c>
      <c r="G514" s="138" t="s">
        <v>362</v>
      </c>
      <c r="H514" s="138" t="s">
        <v>342</v>
      </c>
      <c r="I514" s="139">
        <v>0</v>
      </c>
      <c r="K514" s="96" t="str">
        <f t="shared" si="25"/>
        <v>0019-1008-0031</v>
      </c>
      <c r="L514" s="96" t="str">
        <f>VLOOKUP(K514,COA!$A$3:$B$337,2,FALSE)</f>
        <v>P53</v>
      </c>
      <c r="M514" s="96" t="str">
        <f t="shared" si="26"/>
        <v>P53</v>
      </c>
      <c r="N514" s="96" t="str">
        <f>VLOOKUP(M514,CAC!$A$2:$B$198,2,FALSE)</f>
        <v>HMOPERA</v>
      </c>
    </row>
    <row r="515" spans="5:14" x14ac:dyDescent="0.25">
      <c r="E515" s="136">
        <v>201509</v>
      </c>
      <c r="F515" s="138" t="s">
        <v>563</v>
      </c>
      <c r="G515" s="138" t="s">
        <v>356</v>
      </c>
      <c r="H515" s="138" t="s">
        <v>344</v>
      </c>
      <c r="I515" s="139">
        <v>0</v>
      </c>
      <c r="K515" s="96" t="str">
        <f t="shared" ref="K515:K578" si="27">F515&amp;"-"&amp;G515&amp;"-"&amp;H515</f>
        <v>0003-1002-0012</v>
      </c>
      <c r="L515" s="96" t="str">
        <f>VLOOKUP(K515,COA!$A$3:$B$337,2,FALSE)</f>
        <v>F61</v>
      </c>
      <c r="M515" s="96" t="str">
        <f t="shared" si="26"/>
        <v>F61</v>
      </c>
      <c r="N515" s="96" t="str">
        <f>VLOOKUP(M515,CAC!$A$2:$B$198,2,FALSE)</f>
        <v>PPOPMR</v>
      </c>
    </row>
    <row r="516" spans="5:14" x14ac:dyDescent="0.25">
      <c r="E516" s="136">
        <v>201801</v>
      </c>
      <c r="F516" s="138" t="s">
        <v>746</v>
      </c>
      <c r="G516" s="138" t="s">
        <v>361</v>
      </c>
      <c r="H516" s="138" t="s">
        <v>344</v>
      </c>
      <c r="I516" s="139">
        <v>492</v>
      </c>
      <c r="K516" s="96" t="str">
        <f t="shared" si="27"/>
        <v>0016-1003-0012</v>
      </c>
      <c r="L516" s="96" t="str">
        <f>VLOOKUP(K516,COA!$A$3:$B$337,2,FALSE)</f>
        <v>R18</v>
      </c>
      <c r="M516" s="96" t="str">
        <f t="shared" ref="M516:M579" si="28">IF(ISNA(L516),"XXX",L516)</f>
        <v>R18</v>
      </c>
      <c r="N516" s="96" t="str">
        <f>VLOOKUP(M516,CAC!$A$2:$B$198,2,FALSE)</f>
        <v>HMOMG</v>
      </c>
    </row>
    <row r="517" spans="5:14" x14ac:dyDescent="0.25">
      <c r="E517" s="136">
        <v>201611</v>
      </c>
      <c r="F517" s="138" t="s">
        <v>563</v>
      </c>
      <c r="G517" s="138" t="s">
        <v>356</v>
      </c>
      <c r="H517" s="138" t="s">
        <v>344</v>
      </c>
      <c r="I517" s="139">
        <v>0</v>
      </c>
      <c r="K517" s="96" t="str">
        <f t="shared" si="27"/>
        <v>0003-1002-0012</v>
      </c>
      <c r="L517" s="96" t="str">
        <f>VLOOKUP(K517,COA!$A$3:$B$337,2,FALSE)</f>
        <v>F61</v>
      </c>
      <c r="M517" s="96" t="str">
        <f t="shared" si="28"/>
        <v>F61</v>
      </c>
      <c r="N517" s="96" t="str">
        <f>VLOOKUP(M517,CAC!$A$2:$B$198,2,FALSE)</f>
        <v>PPOPMR</v>
      </c>
    </row>
    <row r="518" spans="5:14" x14ac:dyDescent="0.25">
      <c r="E518" s="136">
        <v>201710</v>
      </c>
      <c r="F518" s="138" t="s">
        <v>345</v>
      </c>
      <c r="G518" s="138" t="s">
        <v>352</v>
      </c>
      <c r="H518" s="138" t="s">
        <v>357</v>
      </c>
      <c r="I518" s="139">
        <v>885</v>
      </c>
      <c r="K518" s="96" t="str">
        <f t="shared" si="27"/>
        <v>0011-1004-0038</v>
      </c>
      <c r="L518" s="96" t="str">
        <f>VLOOKUP(K518,COA!$A$3:$B$337,2,FALSE)</f>
        <v>L14</v>
      </c>
      <c r="M518" s="96" t="str">
        <f t="shared" si="28"/>
        <v>L14</v>
      </c>
      <c r="N518" s="96" t="str">
        <f>VLOOKUP(M518,CAC!$A$2:$B$198,2,FALSE)</f>
        <v>HMOLG</v>
      </c>
    </row>
    <row r="519" spans="5:14" x14ac:dyDescent="0.25">
      <c r="E519" s="136">
        <v>201708</v>
      </c>
      <c r="F519" s="138" t="s">
        <v>563</v>
      </c>
      <c r="G519" s="138" t="s">
        <v>369</v>
      </c>
      <c r="H519" s="138" t="s">
        <v>353</v>
      </c>
      <c r="I519" s="139">
        <v>0</v>
      </c>
      <c r="K519" s="96" t="str">
        <f t="shared" si="27"/>
        <v>0003-1009-0023</v>
      </c>
      <c r="L519" s="96" t="e">
        <f>VLOOKUP(K519,COA!$A$3:$B$337,2,FALSE)</f>
        <v>#N/A</v>
      </c>
      <c r="M519" s="96" t="str">
        <f t="shared" si="28"/>
        <v>XXX</v>
      </c>
      <c r="N519" s="96" t="str">
        <f>VLOOKUP(M519,CAC!$A$2:$B$198,2,FALSE)</f>
        <v>XXX</v>
      </c>
    </row>
    <row r="520" spans="5:14" x14ac:dyDescent="0.25">
      <c r="E520" s="136">
        <v>201512</v>
      </c>
      <c r="F520" s="138" t="s">
        <v>345</v>
      </c>
      <c r="G520" s="138" t="s">
        <v>352</v>
      </c>
      <c r="H520" s="138" t="s">
        <v>344</v>
      </c>
      <c r="I520" s="139">
        <v>12416.89</v>
      </c>
      <c r="K520" s="96" t="str">
        <f t="shared" si="27"/>
        <v>0011-1004-0012</v>
      </c>
      <c r="L520" s="96" t="str">
        <f>VLOOKUP(K520,COA!$A$3:$B$337,2,FALSE)</f>
        <v>L11</v>
      </c>
      <c r="M520" s="96" t="str">
        <f t="shared" si="28"/>
        <v>L11</v>
      </c>
      <c r="N520" s="96" t="str">
        <f>VLOOKUP(M520,CAC!$A$2:$B$198,2,FALSE)</f>
        <v>HMOLG</v>
      </c>
    </row>
    <row r="521" spans="5:14" x14ac:dyDescent="0.25">
      <c r="E521" s="136">
        <v>201504</v>
      </c>
      <c r="F521" s="138" t="s">
        <v>345</v>
      </c>
      <c r="G521" s="138" t="s">
        <v>350</v>
      </c>
      <c r="H521" s="138" t="s">
        <v>344</v>
      </c>
      <c r="I521" s="139">
        <v>6947</v>
      </c>
      <c r="K521" s="96" t="str">
        <f t="shared" si="27"/>
        <v>0011-1012-0012</v>
      </c>
      <c r="L521" s="96" t="str">
        <f>VLOOKUP(K521,COA!$A$3:$B$337,2,FALSE)</f>
        <v>K11</v>
      </c>
      <c r="M521" s="96" t="str">
        <f t="shared" si="28"/>
        <v>K11</v>
      </c>
      <c r="N521" s="96" t="str">
        <f>VLOOKUP(M521,CAC!$A$2:$B$198,2,FALSE)</f>
        <v>HMOPMR</v>
      </c>
    </row>
    <row r="522" spans="5:14" x14ac:dyDescent="0.25">
      <c r="E522" s="136">
        <v>201504</v>
      </c>
      <c r="F522" s="138" t="s">
        <v>345</v>
      </c>
      <c r="G522" s="138" t="s">
        <v>348</v>
      </c>
      <c r="H522" s="138" t="s">
        <v>353</v>
      </c>
      <c r="I522" s="139">
        <v>304</v>
      </c>
      <c r="K522" s="96" t="str">
        <f t="shared" si="27"/>
        <v>0011-1010-0023</v>
      </c>
      <c r="L522" s="96" t="str">
        <f>VLOOKUP(K522,COA!$A$3:$B$337,2,FALSE)</f>
        <v>S13</v>
      </c>
      <c r="M522" s="96" t="str">
        <f t="shared" si="28"/>
        <v>S13</v>
      </c>
      <c r="N522" s="96" t="str">
        <f>VLOOKUP(M522,CAC!$A$2:$B$198,2,FALSE)</f>
        <v>HMOSG</v>
      </c>
    </row>
    <row r="523" spans="5:14" x14ac:dyDescent="0.25">
      <c r="E523" s="136">
        <v>201710</v>
      </c>
      <c r="F523" s="138" t="s">
        <v>552</v>
      </c>
      <c r="G523" s="138" t="s">
        <v>356</v>
      </c>
      <c r="H523" s="138" t="s">
        <v>672</v>
      </c>
      <c r="I523" s="139">
        <v>0</v>
      </c>
      <c r="K523" s="96" t="str">
        <f t="shared" si="27"/>
        <v>0027-1002-0058</v>
      </c>
      <c r="L523" s="96" t="str">
        <f>VLOOKUP(K523,COA!$A$3:$B$337,2,FALSE)</f>
        <v>L45</v>
      </c>
      <c r="M523" s="96" t="str">
        <f t="shared" si="28"/>
        <v>L45</v>
      </c>
      <c r="N523" s="96" t="e">
        <f>VLOOKUP(M523,CAC!$A$2:$B$198,2,FALSE)</f>
        <v>#N/A</v>
      </c>
    </row>
    <row r="524" spans="5:14" x14ac:dyDescent="0.25">
      <c r="E524" s="136">
        <v>201601</v>
      </c>
      <c r="F524" s="138" t="s">
        <v>413</v>
      </c>
      <c r="G524" s="138" t="s">
        <v>352</v>
      </c>
      <c r="H524" s="138" t="s">
        <v>344</v>
      </c>
      <c r="I524" s="139">
        <v>0</v>
      </c>
      <c r="K524" s="96" t="str">
        <f t="shared" si="27"/>
        <v>0008-1004-0012</v>
      </c>
      <c r="L524" s="96" t="str">
        <f>VLOOKUP(K524,COA!$A$3:$B$337,2,FALSE)</f>
        <v>C93</v>
      </c>
      <c r="M524" s="96" t="str">
        <f t="shared" si="28"/>
        <v>C93</v>
      </c>
      <c r="N524" s="96" t="str">
        <f>VLOOKUP(M524,CAC!$A$2:$B$198,2,FALSE)</f>
        <v>DOILG</v>
      </c>
    </row>
    <row r="525" spans="5:14" x14ac:dyDescent="0.25">
      <c r="E525" s="136">
        <v>201502</v>
      </c>
      <c r="F525" s="138" t="s">
        <v>563</v>
      </c>
      <c r="G525" s="138" t="s">
        <v>365</v>
      </c>
      <c r="H525" s="138" t="s">
        <v>366</v>
      </c>
      <c r="I525" s="139">
        <v>0</v>
      </c>
      <c r="K525" s="96" t="str">
        <f t="shared" si="27"/>
        <v>0003-1001-0021</v>
      </c>
      <c r="L525" s="96" t="str">
        <f>VLOOKUP(K525,COA!$A$3:$B$337,2,FALSE)</f>
        <v>V53</v>
      </c>
      <c r="M525" s="96" t="str">
        <f t="shared" si="28"/>
        <v>V53</v>
      </c>
      <c r="N525" s="96" t="str">
        <f>VLOOKUP(M525,CAC!$A$2:$B$198,2,FALSE)</f>
        <v>PPOIFP</v>
      </c>
    </row>
    <row r="526" spans="5:14" x14ac:dyDescent="0.25">
      <c r="E526" s="136">
        <v>201701</v>
      </c>
      <c r="F526" s="138" t="s">
        <v>563</v>
      </c>
      <c r="G526" s="138" t="s">
        <v>365</v>
      </c>
      <c r="H526" s="138" t="s">
        <v>366</v>
      </c>
      <c r="I526" s="139">
        <v>0</v>
      </c>
      <c r="K526" s="96" t="str">
        <f t="shared" si="27"/>
        <v>0003-1001-0021</v>
      </c>
      <c r="L526" s="96" t="str">
        <f>VLOOKUP(K526,COA!$A$3:$B$337,2,FALSE)</f>
        <v>V53</v>
      </c>
      <c r="M526" s="96" t="str">
        <f t="shared" si="28"/>
        <v>V53</v>
      </c>
      <c r="N526" s="96" t="str">
        <f>VLOOKUP(M526,CAC!$A$2:$B$198,2,FALSE)</f>
        <v>PPOIFP</v>
      </c>
    </row>
    <row r="527" spans="5:14" x14ac:dyDescent="0.25">
      <c r="E527" s="136">
        <v>201609</v>
      </c>
      <c r="F527" s="138" t="s">
        <v>345</v>
      </c>
      <c r="G527" s="138" t="s">
        <v>350</v>
      </c>
      <c r="H527" s="138" t="s">
        <v>357</v>
      </c>
      <c r="I527" s="139">
        <v>1952.52</v>
      </c>
      <c r="K527" s="96" t="str">
        <f t="shared" si="27"/>
        <v>0011-1012-0038</v>
      </c>
      <c r="L527" s="96" t="str">
        <f>VLOOKUP(K527,COA!$A$3:$B$337,2,FALSE)</f>
        <v>K14</v>
      </c>
      <c r="M527" s="96" t="str">
        <f t="shared" si="28"/>
        <v>K14</v>
      </c>
      <c r="N527" s="96" t="str">
        <f>VLOOKUP(M527,CAC!$A$2:$B$198,2,FALSE)</f>
        <v>HMOPMR</v>
      </c>
    </row>
    <row r="528" spans="5:14" x14ac:dyDescent="0.25">
      <c r="E528" s="136">
        <v>201612</v>
      </c>
      <c r="F528" s="138" t="s">
        <v>345</v>
      </c>
      <c r="G528" s="138" t="s">
        <v>348</v>
      </c>
      <c r="H528" s="138" t="s">
        <v>353</v>
      </c>
      <c r="I528" s="139">
        <v>308.13</v>
      </c>
      <c r="K528" s="96" t="str">
        <f t="shared" si="27"/>
        <v>0011-1010-0023</v>
      </c>
      <c r="L528" s="96" t="str">
        <f>VLOOKUP(K528,COA!$A$3:$B$337,2,FALSE)</f>
        <v>S13</v>
      </c>
      <c r="M528" s="96" t="str">
        <f t="shared" si="28"/>
        <v>S13</v>
      </c>
      <c r="N528" s="96" t="str">
        <f>VLOOKUP(M528,CAC!$A$2:$B$198,2,FALSE)</f>
        <v>HMOSG</v>
      </c>
    </row>
    <row r="529" spans="5:14" x14ac:dyDescent="0.25">
      <c r="E529" s="136">
        <v>201712</v>
      </c>
      <c r="F529" s="138" t="s">
        <v>563</v>
      </c>
      <c r="G529" s="138" t="s">
        <v>348</v>
      </c>
      <c r="H529" s="138" t="s">
        <v>353</v>
      </c>
      <c r="I529" s="139">
        <v>0</v>
      </c>
      <c r="K529" s="96" t="str">
        <f t="shared" si="27"/>
        <v>0003-1010-0023</v>
      </c>
      <c r="L529" s="96" t="str">
        <f>VLOOKUP(K529,COA!$A$3:$B$337,2,FALSE)</f>
        <v>S54</v>
      </c>
      <c r="M529" s="96" t="str">
        <f t="shared" si="28"/>
        <v>S54</v>
      </c>
      <c r="N529" s="96" t="str">
        <f>VLOOKUP(M529,CAC!$A$2:$B$198,2,FALSE)</f>
        <v>PPOSG</v>
      </c>
    </row>
    <row r="530" spans="5:14" x14ac:dyDescent="0.25">
      <c r="E530" s="136">
        <v>201710</v>
      </c>
      <c r="F530" s="138" t="s">
        <v>345</v>
      </c>
      <c r="G530" s="138" t="s">
        <v>348</v>
      </c>
      <c r="H530" s="138" t="s">
        <v>353</v>
      </c>
      <c r="I530" s="139">
        <v>402</v>
      </c>
      <c r="K530" s="96" t="str">
        <f t="shared" si="27"/>
        <v>0011-1010-0023</v>
      </c>
      <c r="L530" s="96" t="str">
        <f>VLOOKUP(K530,COA!$A$3:$B$337,2,FALSE)</f>
        <v>S13</v>
      </c>
      <c r="M530" s="96" t="str">
        <f t="shared" si="28"/>
        <v>S13</v>
      </c>
      <c r="N530" s="96" t="str">
        <f>VLOOKUP(M530,CAC!$A$2:$B$198,2,FALSE)</f>
        <v>HMOSG</v>
      </c>
    </row>
    <row r="531" spans="5:14" x14ac:dyDescent="0.25">
      <c r="E531" s="136">
        <v>201801</v>
      </c>
      <c r="F531" s="138" t="s">
        <v>413</v>
      </c>
      <c r="G531" s="138" t="s">
        <v>355</v>
      </c>
      <c r="H531" s="138" t="s">
        <v>344</v>
      </c>
      <c r="I531" s="139">
        <v>0</v>
      </c>
      <c r="K531" s="96" t="str">
        <f t="shared" si="27"/>
        <v>0008-1006-0012</v>
      </c>
      <c r="L531" s="96" t="str">
        <f>VLOOKUP(K531,COA!$A$3:$B$337,2,FALSE)</f>
        <v>C96</v>
      </c>
      <c r="M531" s="96" t="str">
        <f t="shared" si="28"/>
        <v>C96</v>
      </c>
      <c r="N531" s="96" t="str">
        <f>VLOOKUP(M531,CAC!$A$2:$B$198,2,FALSE)</f>
        <v>DOILG</v>
      </c>
    </row>
    <row r="532" spans="5:14" x14ac:dyDescent="0.25">
      <c r="E532" s="136">
        <v>201704</v>
      </c>
      <c r="F532" s="138" t="s">
        <v>345</v>
      </c>
      <c r="G532" s="138" t="s">
        <v>346</v>
      </c>
      <c r="H532" s="138" t="s">
        <v>344</v>
      </c>
      <c r="I532" s="139">
        <v>0</v>
      </c>
      <c r="K532" s="96" t="str">
        <f t="shared" si="27"/>
        <v>0011-1014-0012</v>
      </c>
      <c r="L532" s="96" t="e">
        <f>VLOOKUP(K532,COA!$A$3:$B$337,2,FALSE)</f>
        <v>#N/A</v>
      </c>
      <c r="M532" s="96" t="str">
        <f t="shared" si="28"/>
        <v>XXX</v>
      </c>
      <c r="N532" s="96" t="str">
        <f>VLOOKUP(M532,CAC!$A$2:$B$198,2,FALSE)</f>
        <v>XXX</v>
      </c>
    </row>
    <row r="533" spans="5:14" x14ac:dyDescent="0.25">
      <c r="E533" s="136">
        <v>201605</v>
      </c>
      <c r="F533" s="138" t="s">
        <v>563</v>
      </c>
      <c r="G533" s="138" t="s">
        <v>354</v>
      </c>
      <c r="H533" s="138" t="s">
        <v>344</v>
      </c>
      <c r="I533" s="139">
        <v>0</v>
      </c>
      <c r="K533" s="96" t="str">
        <f t="shared" si="27"/>
        <v>0003-1013-0012</v>
      </c>
      <c r="L533" s="96" t="str">
        <f>VLOOKUP(K533,COA!$A$3:$B$337,2,FALSE)</f>
        <v>N55</v>
      </c>
      <c r="M533" s="96" t="str">
        <f t="shared" si="28"/>
        <v>N55</v>
      </c>
      <c r="N533" s="96" t="str">
        <f>VLOOKUP(M533,CAC!$A$2:$B$198,2,FALSE)</f>
        <v>PPOPMR</v>
      </c>
    </row>
    <row r="534" spans="5:14" x14ac:dyDescent="0.25">
      <c r="E534" s="136">
        <v>201608</v>
      </c>
      <c r="F534" s="138" t="s">
        <v>344</v>
      </c>
      <c r="G534" s="138" t="s">
        <v>355</v>
      </c>
      <c r="H534" s="138" t="s">
        <v>344</v>
      </c>
      <c r="I534" s="139">
        <v>89</v>
      </c>
      <c r="K534" s="96" t="str">
        <f t="shared" si="27"/>
        <v>0012-1006-0012</v>
      </c>
      <c r="L534" s="96" t="str">
        <f>VLOOKUP(K534,COA!$A$3:$B$337,2,FALSE)</f>
        <v>L16</v>
      </c>
      <c r="M534" s="96" t="str">
        <f t="shared" si="28"/>
        <v>L16</v>
      </c>
      <c r="N534" s="96" t="str">
        <f>VLOOKUP(M534,CAC!$A$2:$B$198,2,FALSE)</f>
        <v>HMOLG</v>
      </c>
    </row>
    <row r="535" spans="5:14" x14ac:dyDescent="0.25">
      <c r="E535" s="136">
        <v>201611</v>
      </c>
      <c r="F535" s="138" t="s">
        <v>344</v>
      </c>
      <c r="G535" s="138" t="s">
        <v>350</v>
      </c>
      <c r="H535" s="138" t="s">
        <v>344</v>
      </c>
      <c r="I535" s="139">
        <v>98</v>
      </c>
      <c r="K535" s="96" t="str">
        <f t="shared" si="27"/>
        <v>0012-1012-0012</v>
      </c>
      <c r="L535" s="96" t="str">
        <f>VLOOKUP(K535,COA!$A$3:$B$337,2,FALSE)</f>
        <v>K12</v>
      </c>
      <c r="M535" s="96" t="str">
        <f t="shared" si="28"/>
        <v>K12</v>
      </c>
      <c r="N535" s="96" t="str">
        <f>VLOOKUP(M535,CAC!$A$2:$B$198,2,FALSE)</f>
        <v>HMOPMR</v>
      </c>
    </row>
    <row r="536" spans="5:14" x14ac:dyDescent="0.25">
      <c r="E536" s="136">
        <v>201512</v>
      </c>
      <c r="F536" s="138" t="s">
        <v>563</v>
      </c>
      <c r="G536" s="138" t="s">
        <v>365</v>
      </c>
      <c r="H536" s="138" t="s">
        <v>411</v>
      </c>
      <c r="I536" s="139">
        <v>0</v>
      </c>
      <c r="K536" s="96" t="str">
        <f t="shared" si="27"/>
        <v>0003-1001-0007</v>
      </c>
      <c r="L536" s="96" t="str">
        <f>VLOOKUP(K536,COA!$A$3:$B$337,2,FALSE)</f>
        <v>V52</v>
      </c>
      <c r="M536" s="96" t="str">
        <f t="shared" si="28"/>
        <v>V52</v>
      </c>
      <c r="N536" s="96" t="str">
        <f>VLOOKUP(M536,CAC!$A$2:$B$198,2,FALSE)</f>
        <v>PPOIFP</v>
      </c>
    </row>
    <row r="537" spans="5:14" x14ac:dyDescent="0.25">
      <c r="E537" s="136">
        <v>201602</v>
      </c>
      <c r="F537" s="138" t="s">
        <v>563</v>
      </c>
      <c r="G537" s="138" t="s">
        <v>350</v>
      </c>
      <c r="H537" s="138" t="s">
        <v>360</v>
      </c>
      <c r="I537" s="139">
        <v>0</v>
      </c>
      <c r="K537" s="96" t="str">
        <f t="shared" si="27"/>
        <v>0003-1012-0048</v>
      </c>
      <c r="L537" s="96" t="str">
        <f>VLOOKUP(K537,COA!$A$3:$B$337,2,FALSE)</f>
        <v>K56</v>
      </c>
      <c r="M537" s="96" t="str">
        <f t="shared" si="28"/>
        <v>K56</v>
      </c>
      <c r="N537" s="96" t="str">
        <f>VLOOKUP(M537,CAC!$A$2:$B$198,2,FALSE)</f>
        <v>HMFLEX</v>
      </c>
    </row>
    <row r="538" spans="5:14" x14ac:dyDescent="0.25">
      <c r="E538" s="136">
        <v>201706</v>
      </c>
      <c r="F538" s="138" t="s">
        <v>413</v>
      </c>
      <c r="G538" s="138" t="s">
        <v>365</v>
      </c>
      <c r="H538" s="138" t="s">
        <v>344</v>
      </c>
      <c r="I538" s="139">
        <v>0</v>
      </c>
      <c r="K538" s="96" t="str">
        <f t="shared" si="27"/>
        <v>0008-1001-0012</v>
      </c>
      <c r="L538" s="96" t="str">
        <f>VLOOKUP(K538,COA!$A$3:$B$337,2,FALSE)</f>
        <v>C95</v>
      </c>
      <c r="M538" s="96" t="str">
        <f t="shared" si="28"/>
        <v>C95</v>
      </c>
      <c r="N538" s="96" t="str">
        <f>VLOOKUP(M538,CAC!$A$2:$B$198,2,FALSE)</f>
        <v>DOIIFP</v>
      </c>
    </row>
    <row r="539" spans="5:14" x14ac:dyDescent="0.25">
      <c r="E539" s="136">
        <v>201509</v>
      </c>
      <c r="F539" s="138" t="s">
        <v>342</v>
      </c>
      <c r="G539" s="138" t="s">
        <v>343</v>
      </c>
      <c r="H539" s="138" t="s">
        <v>344</v>
      </c>
      <c r="I539" s="139">
        <v>6542.71</v>
      </c>
      <c r="K539" s="96" t="str">
        <f t="shared" si="27"/>
        <v>0031-1000-0012</v>
      </c>
      <c r="L539" s="96" t="str">
        <f>VLOOKUP(K539,COA!$A$3:$B$337,2,FALSE)</f>
        <v>F27</v>
      </c>
      <c r="M539" s="96" t="str">
        <f t="shared" si="28"/>
        <v>F27</v>
      </c>
      <c r="N539" s="96" t="str">
        <f>VLOOKUP(M539,CAC!$A$2:$B$198,2,FALSE)</f>
        <v>HMOFEP</v>
      </c>
    </row>
    <row r="540" spans="5:14" x14ac:dyDescent="0.25">
      <c r="E540" s="136">
        <v>201512</v>
      </c>
      <c r="F540" s="138" t="s">
        <v>746</v>
      </c>
      <c r="G540" s="138" t="s">
        <v>354</v>
      </c>
      <c r="H540" s="138" t="s">
        <v>344</v>
      </c>
      <c r="I540" s="139">
        <v>82</v>
      </c>
      <c r="K540" s="96" t="str">
        <f t="shared" si="27"/>
        <v>0016-1013-0012</v>
      </c>
      <c r="L540" s="96" t="str">
        <f>VLOOKUP(K540,COA!$A$3:$B$337,2,FALSE)</f>
        <v>R19</v>
      </c>
      <c r="M540" s="96" t="str">
        <f t="shared" si="28"/>
        <v>R19</v>
      </c>
      <c r="N540" s="96" t="str">
        <f>VLOOKUP(M540,CAC!$A$2:$B$198,2,FALSE)</f>
        <v>HMOMG</v>
      </c>
    </row>
    <row r="541" spans="5:14" x14ac:dyDescent="0.25">
      <c r="E541" s="136">
        <v>201606</v>
      </c>
      <c r="F541" s="138" t="s">
        <v>563</v>
      </c>
      <c r="G541" s="138" t="s">
        <v>350</v>
      </c>
      <c r="H541" s="138" t="s">
        <v>360</v>
      </c>
      <c r="I541" s="139">
        <v>0</v>
      </c>
      <c r="K541" s="96" t="str">
        <f t="shared" si="27"/>
        <v>0003-1012-0048</v>
      </c>
      <c r="L541" s="96" t="str">
        <f>VLOOKUP(K541,COA!$A$3:$B$337,2,FALSE)</f>
        <v>K56</v>
      </c>
      <c r="M541" s="96" t="str">
        <f t="shared" si="28"/>
        <v>K56</v>
      </c>
      <c r="N541" s="96" t="str">
        <f>VLOOKUP(M541,CAC!$A$2:$B$198,2,FALSE)</f>
        <v>HMFLEX</v>
      </c>
    </row>
    <row r="542" spans="5:14" x14ac:dyDescent="0.25">
      <c r="E542" s="136">
        <v>201606</v>
      </c>
      <c r="F542" s="138" t="s">
        <v>345</v>
      </c>
      <c r="G542" s="138" t="s">
        <v>346</v>
      </c>
      <c r="H542" s="138" t="s">
        <v>360</v>
      </c>
      <c r="I542" s="139">
        <v>362</v>
      </c>
      <c r="K542" s="96" t="str">
        <f t="shared" si="27"/>
        <v>0011-1014-0048</v>
      </c>
      <c r="L542" s="96" t="str">
        <f>VLOOKUP(K542,COA!$A$3:$B$337,2,FALSE)</f>
        <v>K23</v>
      </c>
      <c r="M542" s="96" t="str">
        <f t="shared" si="28"/>
        <v>K23</v>
      </c>
      <c r="N542" s="96" t="str">
        <f>VLOOKUP(M542,CAC!$A$2:$B$198,2,FALSE)</f>
        <v>HMFLEX</v>
      </c>
    </row>
    <row r="543" spans="5:14" x14ac:dyDescent="0.25">
      <c r="E543" s="136">
        <v>201502</v>
      </c>
      <c r="F543" s="138" t="s">
        <v>563</v>
      </c>
      <c r="G543" s="138" t="s">
        <v>348</v>
      </c>
      <c r="H543" s="138" t="s">
        <v>358</v>
      </c>
      <c r="I543" s="139">
        <v>0</v>
      </c>
      <c r="K543" s="96" t="str">
        <f t="shared" si="27"/>
        <v>0003-1010-0024</v>
      </c>
      <c r="L543" s="96" t="str">
        <f>VLOOKUP(K543,COA!$A$3:$B$337,2,FALSE)</f>
        <v>S56</v>
      </c>
      <c r="M543" s="96" t="str">
        <f t="shared" si="28"/>
        <v>S56</v>
      </c>
      <c r="N543" s="96" t="str">
        <f>VLOOKUP(M543,CAC!$A$2:$B$198,2,FALSE)</f>
        <v>PPOSG</v>
      </c>
    </row>
    <row r="544" spans="5:14" x14ac:dyDescent="0.25">
      <c r="E544" s="136">
        <v>201507</v>
      </c>
      <c r="F544" s="138" t="s">
        <v>345</v>
      </c>
      <c r="G544" s="138" t="s">
        <v>351</v>
      </c>
      <c r="H544" s="138" t="s">
        <v>353</v>
      </c>
      <c r="I544" s="139">
        <v>1</v>
      </c>
      <c r="K544" s="96" t="str">
        <f t="shared" si="27"/>
        <v>0011-0000-0023</v>
      </c>
      <c r="L544" s="96" t="e">
        <f>VLOOKUP(K544,COA!$A$3:$B$337,2,FALSE)</f>
        <v>#N/A</v>
      </c>
      <c r="M544" s="96" t="str">
        <f t="shared" si="28"/>
        <v>XXX</v>
      </c>
      <c r="N544" s="96" t="str">
        <f>VLOOKUP(M544,CAC!$A$2:$B$198,2,FALSE)</f>
        <v>XXX</v>
      </c>
    </row>
    <row r="545" spans="5:14" x14ac:dyDescent="0.25">
      <c r="E545" s="136">
        <v>201601</v>
      </c>
      <c r="F545" s="138" t="s">
        <v>345</v>
      </c>
      <c r="G545" s="138" t="s">
        <v>362</v>
      </c>
      <c r="H545" s="138" t="s">
        <v>363</v>
      </c>
      <c r="I545" s="139">
        <v>38476.800000000003</v>
      </c>
      <c r="K545" s="96" t="str">
        <f t="shared" si="27"/>
        <v>0011-1008-0054</v>
      </c>
      <c r="L545" s="96" t="str">
        <f>VLOOKUP(K545,COA!$A$3:$B$337,2,FALSE)</f>
        <v>P23</v>
      </c>
      <c r="M545" s="96" t="str">
        <f t="shared" si="28"/>
        <v>P23</v>
      </c>
      <c r="N545" s="96" t="str">
        <f>VLOOKUP(M545,CAC!$A$2:$B$198,2,FALSE)</f>
        <v>HMOPERN</v>
      </c>
    </row>
    <row r="546" spans="5:14" x14ac:dyDescent="0.25">
      <c r="E546" s="136">
        <v>201712</v>
      </c>
      <c r="F546" s="138" t="s">
        <v>563</v>
      </c>
      <c r="G546" s="138" t="s">
        <v>355</v>
      </c>
      <c r="H546" s="138" t="s">
        <v>344</v>
      </c>
      <c r="I546" s="139">
        <v>0</v>
      </c>
      <c r="K546" s="96" t="str">
        <f t="shared" si="27"/>
        <v>0003-1006-0012</v>
      </c>
      <c r="L546" s="96" t="str">
        <f>VLOOKUP(K546,COA!$A$3:$B$337,2,FALSE)</f>
        <v>L52</v>
      </c>
      <c r="M546" s="96" t="str">
        <f t="shared" si="28"/>
        <v>L52</v>
      </c>
      <c r="N546" s="96" t="str">
        <f>VLOOKUP(M546,CAC!$A$2:$B$198,2,FALSE)</f>
        <v>PPOLG</v>
      </c>
    </row>
    <row r="547" spans="5:14" x14ac:dyDescent="0.25">
      <c r="E547" s="136">
        <v>201608</v>
      </c>
      <c r="F547" s="138" t="s">
        <v>549</v>
      </c>
      <c r="G547" s="138" t="s">
        <v>352</v>
      </c>
      <c r="H547" s="138" t="s">
        <v>672</v>
      </c>
      <c r="I547" s="139">
        <v>0</v>
      </c>
      <c r="K547" s="96" t="str">
        <f t="shared" si="27"/>
        <v>0026-1004-0058</v>
      </c>
      <c r="L547" s="96" t="str">
        <f>VLOOKUP(K547,COA!$A$3:$B$337,2,FALSE)</f>
        <v>L44</v>
      </c>
      <c r="M547" s="96" t="str">
        <f t="shared" si="28"/>
        <v>L44</v>
      </c>
      <c r="N547" s="96" t="e">
        <f>VLOOKUP(M547,CAC!$A$2:$B$198,2,FALSE)</f>
        <v>#N/A</v>
      </c>
    </row>
    <row r="548" spans="5:14" x14ac:dyDescent="0.25">
      <c r="E548" s="136">
        <v>201603</v>
      </c>
      <c r="F548" s="138" t="s">
        <v>549</v>
      </c>
      <c r="G548" s="138" t="s">
        <v>356</v>
      </c>
      <c r="H548" s="138" t="s">
        <v>672</v>
      </c>
      <c r="I548" s="139">
        <v>0</v>
      </c>
      <c r="K548" s="96" t="str">
        <f t="shared" si="27"/>
        <v>0026-1002-0058</v>
      </c>
      <c r="L548" s="96" t="str">
        <f>VLOOKUP(K548,COA!$A$3:$B$337,2,FALSE)</f>
        <v>L45</v>
      </c>
      <c r="M548" s="96" t="str">
        <f t="shared" si="28"/>
        <v>L45</v>
      </c>
      <c r="N548" s="96" t="e">
        <f>VLOOKUP(M548,CAC!$A$2:$B$198,2,FALSE)</f>
        <v>#N/A</v>
      </c>
    </row>
    <row r="549" spans="5:14" x14ac:dyDescent="0.25">
      <c r="E549" s="136">
        <v>201701</v>
      </c>
      <c r="F549" s="138" t="s">
        <v>344</v>
      </c>
      <c r="G549" s="138" t="s">
        <v>356</v>
      </c>
      <c r="H549" s="138" t="s">
        <v>344</v>
      </c>
      <c r="I549" s="139">
        <v>4228.03</v>
      </c>
      <c r="K549" s="96" t="str">
        <f t="shared" si="27"/>
        <v>0012-1002-0012</v>
      </c>
      <c r="L549" s="96" t="str">
        <f>VLOOKUP(K549,COA!$A$3:$B$337,2,FALSE)</f>
        <v>F22</v>
      </c>
      <c r="M549" s="96" t="str">
        <f t="shared" si="28"/>
        <v>F22</v>
      </c>
      <c r="N549" s="96" t="str">
        <f>VLOOKUP(M549,CAC!$A$2:$B$198,2,FALSE)</f>
        <v>HMOPMR</v>
      </c>
    </row>
    <row r="550" spans="5:14" x14ac:dyDescent="0.25">
      <c r="E550" s="136">
        <v>201701</v>
      </c>
      <c r="F550" s="138" t="s">
        <v>563</v>
      </c>
      <c r="G550" s="138" t="s">
        <v>352</v>
      </c>
      <c r="H550" s="138" t="s">
        <v>653</v>
      </c>
      <c r="I550" s="139">
        <v>0</v>
      </c>
      <c r="K550" s="96" t="str">
        <f t="shared" si="27"/>
        <v>0003-1004-0047</v>
      </c>
      <c r="L550" s="96" t="str">
        <f>VLOOKUP(K550,COA!$A$3:$B$337,2,FALSE)</f>
        <v>L57</v>
      </c>
      <c r="M550" s="96" t="str">
        <f t="shared" si="28"/>
        <v>L57</v>
      </c>
      <c r="N550" s="96" t="str">
        <f>VLOOKUP(M550,CAC!$A$2:$B$198,2,FALSE)</f>
        <v>PPOLG</v>
      </c>
    </row>
    <row r="551" spans="5:14" x14ac:dyDescent="0.25">
      <c r="E551" s="136">
        <v>201510</v>
      </c>
      <c r="F551" s="138" t="s">
        <v>345</v>
      </c>
      <c r="G551" s="138" t="s">
        <v>348</v>
      </c>
      <c r="H551" s="138" t="s">
        <v>358</v>
      </c>
      <c r="I551" s="139">
        <v>67</v>
      </c>
      <c r="K551" s="96" t="str">
        <f t="shared" si="27"/>
        <v>0011-1010-0024</v>
      </c>
      <c r="L551" s="96" t="str">
        <f>VLOOKUP(K551,COA!$A$3:$B$337,2,FALSE)</f>
        <v>S14</v>
      </c>
      <c r="M551" s="96" t="str">
        <f t="shared" si="28"/>
        <v>S14</v>
      </c>
      <c r="N551" s="96" t="str">
        <f>VLOOKUP(M551,CAC!$A$2:$B$198,2,FALSE)</f>
        <v>HMOSG</v>
      </c>
    </row>
    <row r="552" spans="5:14" x14ac:dyDescent="0.25">
      <c r="E552" s="136">
        <v>201710</v>
      </c>
      <c r="F552" s="138" t="s">
        <v>746</v>
      </c>
      <c r="G552" s="138" t="s">
        <v>356</v>
      </c>
      <c r="H552" s="138" t="s">
        <v>344</v>
      </c>
      <c r="I552" s="139">
        <v>144</v>
      </c>
      <c r="K552" s="96" t="str">
        <f t="shared" si="27"/>
        <v>0016-1002-0012</v>
      </c>
      <c r="L552" s="96" t="str">
        <f>VLOOKUP(K552,COA!$A$3:$B$337,2,FALSE)</f>
        <v>R18</v>
      </c>
      <c r="M552" s="96" t="str">
        <f t="shared" si="28"/>
        <v>R18</v>
      </c>
      <c r="N552" s="96" t="str">
        <f>VLOOKUP(M552,CAC!$A$2:$B$198,2,FALSE)</f>
        <v>HMOMG</v>
      </c>
    </row>
    <row r="553" spans="5:14" x14ac:dyDescent="0.25">
      <c r="E553" s="136">
        <v>201603</v>
      </c>
      <c r="F553" s="138" t="s">
        <v>413</v>
      </c>
      <c r="G553" s="138" t="s">
        <v>365</v>
      </c>
      <c r="H553" s="138" t="s">
        <v>411</v>
      </c>
      <c r="I553" s="139">
        <v>0</v>
      </c>
      <c r="K553" s="96" t="str">
        <f t="shared" si="27"/>
        <v>0008-1001-0007</v>
      </c>
      <c r="L553" s="96" t="str">
        <f>VLOOKUP(K553,COA!$A$3:$B$337,2,FALSE)</f>
        <v>C99</v>
      </c>
      <c r="M553" s="96" t="str">
        <f t="shared" si="28"/>
        <v>C99</v>
      </c>
      <c r="N553" s="96" t="str">
        <f>VLOOKUP(M553,CAC!$A$2:$B$198,2,FALSE)</f>
        <v>DOIIFP</v>
      </c>
    </row>
    <row r="554" spans="5:14" x14ac:dyDescent="0.25">
      <c r="E554" s="136">
        <v>201611</v>
      </c>
      <c r="F554" s="138" t="s">
        <v>563</v>
      </c>
      <c r="G554" s="138" t="s">
        <v>354</v>
      </c>
      <c r="H554" s="138" t="s">
        <v>344</v>
      </c>
      <c r="I554" s="139">
        <v>0</v>
      </c>
      <c r="K554" s="96" t="str">
        <f t="shared" si="27"/>
        <v>0003-1013-0012</v>
      </c>
      <c r="L554" s="96" t="str">
        <f>VLOOKUP(K554,COA!$A$3:$B$337,2,FALSE)</f>
        <v>N55</v>
      </c>
      <c r="M554" s="96" t="str">
        <f t="shared" si="28"/>
        <v>N55</v>
      </c>
      <c r="N554" s="96" t="str">
        <f>VLOOKUP(M554,CAC!$A$2:$B$198,2,FALSE)</f>
        <v>PPOPMR</v>
      </c>
    </row>
    <row r="555" spans="5:14" x14ac:dyDescent="0.25">
      <c r="E555" s="136">
        <v>201608</v>
      </c>
      <c r="F555" s="138" t="s">
        <v>563</v>
      </c>
      <c r="G555" s="138" t="s">
        <v>348</v>
      </c>
      <c r="H555" s="138" t="s">
        <v>353</v>
      </c>
      <c r="I555" s="139">
        <v>0</v>
      </c>
      <c r="K555" s="96" t="str">
        <f t="shared" si="27"/>
        <v>0003-1010-0023</v>
      </c>
      <c r="L555" s="96" t="str">
        <f>VLOOKUP(K555,COA!$A$3:$B$337,2,FALSE)</f>
        <v>S54</v>
      </c>
      <c r="M555" s="96" t="str">
        <f t="shared" si="28"/>
        <v>S54</v>
      </c>
      <c r="N555" s="96" t="str">
        <f>VLOOKUP(M555,CAC!$A$2:$B$198,2,FALSE)</f>
        <v>PPOSG</v>
      </c>
    </row>
    <row r="556" spans="5:14" x14ac:dyDescent="0.25">
      <c r="E556" s="136">
        <v>201602</v>
      </c>
      <c r="F556" s="138" t="s">
        <v>563</v>
      </c>
      <c r="G556" s="138" t="s">
        <v>356</v>
      </c>
      <c r="H556" s="138" t="s">
        <v>344</v>
      </c>
      <c r="I556" s="139">
        <v>0</v>
      </c>
      <c r="K556" s="96" t="str">
        <f t="shared" si="27"/>
        <v>0003-1002-0012</v>
      </c>
      <c r="L556" s="96" t="str">
        <f>VLOOKUP(K556,COA!$A$3:$B$337,2,FALSE)</f>
        <v>F61</v>
      </c>
      <c r="M556" s="96" t="str">
        <f t="shared" si="28"/>
        <v>F61</v>
      </c>
      <c r="N556" s="96" t="str">
        <f>VLOOKUP(M556,CAC!$A$2:$B$198,2,FALSE)</f>
        <v>PPOPMR</v>
      </c>
    </row>
    <row r="557" spans="5:14" x14ac:dyDescent="0.25">
      <c r="E557" s="136">
        <v>201607</v>
      </c>
      <c r="F557" s="138" t="s">
        <v>344</v>
      </c>
      <c r="G557" s="138" t="s">
        <v>352</v>
      </c>
      <c r="H557" s="138" t="s">
        <v>344</v>
      </c>
      <c r="I557" s="139">
        <v>441</v>
      </c>
      <c r="K557" s="96" t="str">
        <f t="shared" si="27"/>
        <v>0012-1004-0012</v>
      </c>
      <c r="L557" s="96" t="str">
        <f>VLOOKUP(K557,COA!$A$3:$B$337,2,FALSE)</f>
        <v>L12</v>
      </c>
      <c r="M557" s="96" t="str">
        <f t="shared" si="28"/>
        <v>L12</v>
      </c>
      <c r="N557" s="96" t="str">
        <f>VLOOKUP(M557,CAC!$A$2:$B$198,2,FALSE)</f>
        <v>HMOLG</v>
      </c>
    </row>
    <row r="558" spans="5:14" x14ac:dyDescent="0.25">
      <c r="E558" s="136">
        <v>201604</v>
      </c>
      <c r="F558" s="138" t="s">
        <v>563</v>
      </c>
      <c r="G558" s="138" t="s">
        <v>348</v>
      </c>
      <c r="H558" s="138" t="s">
        <v>358</v>
      </c>
      <c r="I558" s="139">
        <v>0</v>
      </c>
      <c r="K558" s="96" t="str">
        <f t="shared" si="27"/>
        <v>0003-1010-0024</v>
      </c>
      <c r="L558" s="96" t="str">
        <f>VLOOKUP(K558,COA!$A$3:$B$337,2,FALSE)</f>
        <v>S56</v>
      </c>
      <c r="M558" s="96" t="str">
        <f t="shared" si="28"/>
        <v>S56</v>
      </c>
      <c r="N558" s="96" t="str">
        <f>VLOOKUP(M558,CAC!$A$2:$B$198,2,FALSE)</f>
        <v>PPOSG</v>
      </c>
    </row>
    <row r="559" spans="5:14" x14ac:dyDescent="0.25">
      <c r="E559" s="136">
        <v>201703</v>
      </c>
      <c r="F559" s="138" t="s">
        <v>746</v>
      </c>
      <c r="G559" s="138" t="s">
        <v>356</v>
      </c>
      <c r="H559" s="138" t="s">
        <v>764</v>
      </c>
      <c r="I559" s="139">
        <v>630</v>
      </c>
      <c r="K559" s="96" t="str">
        <f t="shared" si="27"/>
        <v>0016-1002-0064</v>
      </c>
      <c r="L559" s="96" t="str">
        <f>VLOOKUP(K559,COA!$A$3:$B$337,2,FALSE)</f>
        <v>R25</v>
      </c>
      <c r="M559" s="96" t="str">
        <f t="shared" si="28"/>
        <v>R25</v>
      </c>
      <c r="N559" s="96" t="str">
        <f>VLOOKUP(M559,CAC!$A$2:$B$198,2,FALSE)</f>
        <v>HMOMG</v>
      </c>
    </row>
    <row r="560" spans="5:14" x14ac:dyDescent="0.25">
      <c r="E560" s="136">
        <v>201706</v>
      </c>
      <c r="F560" s="138" t="s">
        <v>746</v>
      </c>
      <c r="G560" s="138" t="s">
        <v>354</v>
      </c>
      <c r="H560" s="138" t="s">
        <v>344</v>
      </c>
      <c r="I560" s="139">
        <v>85</v>
      </c>
      <c r="K560" s="96" t="str">
        <f t="shared" si="27"/>
        <v>0016-1013-0012</v>
      </c>
      <c r="L560" s="96" t="str">
        <f>VLOOKUP(K560,COA!$A$3:$B$337,2,FALSE)</f>
        <v>R19</v>
      </c>
      <c r="M560" s="96" t="str">
        <f t="shared" si="28"/>
        <v>R19</v>
      </c>
      <c r="N560" s="96" t="str">
        <f>VLOOKUP(M560,CAC!$A$2:$B$198,2,FALSE)</f>
        <v>HMOMG</v>
      </c>
    </row>
    <row r="561" spans="5:14" x14ac:dyDescent="0.25">
      <c r="E561" s="136">
        <v>201706</v>
      </c>
      <c r="F561" s="138" t="s">
        <v>563</v>
      </c>
      <c r="G561" s="138" t="s">
        <v>365</v>
      </c>
      <c r="H561" s="138" t="s">
        <v>366</v>
      </c>
      <c r="I561" s="139">
        <v>0</v>
      </c>
      <c r="K561" s="96" t="str">
        <f t="shared" si="27"/>
        <v>0003-1001-0021</v>
      </c>
      <c r="L561" s="96" t="str">
        <f>VLOOKUP(K561,COA!$A$3:$B$337,2,FALSE)</f>
        <v>V53</v>
      </c>
      <c r="M561" s="96" t="str">
        <f t="shared" si="28"/>
        <v>V53</v>
      </c>
      <c r="N561" s="96" t="str">
        <f>VLOOKUP(M561,CAC!$A$2:$B$198,2,FALSE)</f>
        <v>PPOIFP</v>
      </c>
    </row>
    <row r="562" spans="5:14" x14ac:dyDescent="0.25">
      <c r="E562" s="136">
        <v>201606</v>
      </c>
      <c r="F562" s="138" t="s">
        <v>563</v>
      </c>
      <c r="G562" s="138" t="s">
        <v>354</v>
      </c>
      <c r="H562" s="138" t="s">
        <v>653</v>
      </c>
      <c r="I562" s="139">
        <v>0</v>
      </c>
      <c r="K562" s="96" t="str">
        <f t="shared" si="27"/>
        <v>0003-1013-0047</v>
      </c>
      <c r="L562" s="96" t="str">
        <f>VLOOKUP(K562,COA!$A$3:$B$337,2,FALSE)</f>
        <v>N57</v>
      </c>
      <c r="M562" s="96" t="str">
        <f t="shared" si="28"/>
        <v>N57</v>
      </c>
      <c r="N562" s="96" t="str">
        <f>VLOOKUP(M562,CAC!$A$2:$B$198,2,FALSE)</f>
        <v>PPOPMR</v>
      </c>
    </row>
    <row r="563" spans="5:14" x14ac:dyDescent="0.25">
      <c r="E563" s="136">
        <v>201606</v>
      </c>
      <c r="F563" s="138" t="s">
        <v>413</v>
      </c>
      <c r="G563" s="138" t="s">
        <v>352</v>
      </c>
      <c r="H563" s="138" t="s">
        <v>344</v>
      </c>
      <c r="I563" s="139">
        <v>0</v>
      </c>
      <c r="K563" s="96" t="str">
        <f t="shared" si="27"/>
        <v>0008-1004-0012</v>
      </c>
      <c r="L563" s="96" t="str">
        <f>VLOOKUP(K563,COA!$A$3:$B$337,2,FALSE)</f>
        <v>C93</v>
      </c>
      <c r="M563" s="96" t="str">
        <f t="shared" si="28"/>
        <v>C93</v>
      </c>
      <c r="N563" s="96" t="str">
        <f>VLOOKUP(M563,CAC!$A$2:$B$198,2,FALSE)</f>
        <v>DOILG</v>
      </c>
    </row>
    <row r="564" spans="5:14" x14ac:dyDescent="0.25">
      <c r="E564" s="136">
        <v>201612</v>
      </c>
      <c r="F564" s="138" t="s">
        <v>405</v>
      </c>
      <c r="G564" s="138" t="s">
        <v>362</v>
      </c>
      <c r="H564" s="138" t="s">
        <v>342</v>
      </c>
      <c r="I564" s="139">
        <v>0</v>
      </c>
      <c r="K564" s="96" t="str">
        <f t="shared" si="27"/>
        <v>0019-1008-0031</v>
      </c>
      <c r="L564" s="96" t="str">
        <f>VLOOKUP(K564,COA!$A$3:$B$337,2,FALSE)</f>
        <v>P53</v>
      </c>
      <c r="M564" s="96" t="str">
        <f t="shared" si="28"/>
        <v>P53</v>
      </c>
      <c r="N564" s="96" t="str">
        <f>VLOOKUP(M564,CAC!$A$2:$B$198,2,FALSE)</f>
        <v>HMOPERA</v>
      </c>
    </row>
    <row r="565" spans="5:14" x14ac:dyDescent="0.25">
      <c r="E565" s="136">
        <v>201709</v>
      </c>
      <c r="F565" s="138" t="s">
        <v>344</v>
      </c>
      <c r="G565" s="138" t="s">
        <v>355</v>
      </c>
      <c r="H565" s="138" t="s">
        <v>344</v>
      </c>
      <c r="I565" s="139">
        <v>53</v>
      </c>
      <c r="K565" s="96" t="str">
        <f t="shared" si="27"/>
        <v>0012-1006-0012</v>
      </c>
      <c r="L565" s="96" t="str">
        <f>VLOOKUP(K565,COA!$A$3:$B$337,2,FALSE)</f>
        <v>L16</v>
      </c>
      <c r="M565" s="96" t="str">
        <f t="shared" si="28"/>
        <v>L16</v>
      </c>
      <c r="N565" s="96" t="str">
        <f>VLOOKUP(M565,CAC!$A$2:$B$198,2,FALSE)</f>
        <v>HMOLG</v>
      </c>
    </row>
    <row r="566" spans="5:14" x14ac:dyDescent="0.25">
      <c r="E566" s="136">
        <v>201801</v>
      </c>
      <c r="F566" s="138" t="s">
        <v>563</v>
      </c>
      <c r="G566" s="138" t="s">
        <v>354</v>
      </c>
      <c r="H566" s="138" t="s">
        <v>360</v>
      </c>
      <c r="I566" s="139">
        <v>0</v>
      </c>
      <c r="K566" s="96" t="str">
        <f t="shared" si="27"/>
        <v>0003-1013-0048</v>
      </c>
      <c r="L566" s="96" t="str">
        <f>VLOOKUP(K566,COA!$A$3:$B$337,2,FALSE)</f>
        <v>N56</v>
      </c>
      <c r="M566" s="96" t="str">
        <f t="shared" si="28"/>
        <v>N56</v>
      </c>
      <c r="N566" s="96" t="str">
        <f>VLOOKUP(M566,CAC!$A$2:$B$198,2,FALSE)</f>
        <v>HMFLEX</v>
      </c>
    </row>
    <row r="567" spans="5:14" x14ac:dyDescent="0.25">
      <c r="E567" s="136">
        <v>201711</v>
      </c>
      <c r="F567" s="138" t="s">
        <v>345</v>
      </c>
      <c r="G567" s="138" t="s">
        <v>362</v>
      </c>
      <c r="H567" s="138" t="s">
        <v>364</v>
      </c>
      <c r="I567" s="139">
        <v>46480.47</v>
      </c>
      <c r="K567" s="96" t="str">
        <f t="shared" si="27"/>
        <v>0011-1008-0037</v>
      </c>
      <c r="L567" s="96" t="str">
        <f>VLOOKUP(K567,COA!$A$3:$B$337,2,FALSE)</f>
        <v>P12</v>
      </c>
      <c r="M567" s="96" t="str">
        <f t="shared" si="28"/>
        <v>P12</v>
      </c>
      <c r="N567" s="96" t="str">
        <f>VLOOKUP(M567,CAC!$A$2:$B$198,2,FALSE)</f>
        <v>HMOPERA</v>
      </c>
    </row>
    <row r="568" spans="5:14" x14ac:dyDescent="0.25">
      <c r="E568" s="136">
        <v>201508</v>
      </c>
      <c r="F568" s="138" t="s">
        <v>506</v>
      </c>
      <c r="G568" s="138" t="s">
        <v>352</v>
      </c>
      <c r="H568" s="138" t="s">
        <v>592</v>
      </c>
      <c r="I568" s="139">
        <v>0</v>
      </c>
      <c r="K568" s="96" t="str">
        <f t="shared" si="27"/>
        <v>0013-1004-0035</v>
      </c>
      <c r="L568" s="96" t="str">
        <f>VLOOKUP(K568,COA!$A$3:$B$337,2,FALSE)</f>
        <v>L41</v>
      </c>
      <c r="M568" s="96" t="str">
        <f t="shared" si="28"/>
        <v>L41</v>
      </c>
      <c r="N568" s="96" t="e">
        <f>VLOOKUP(M568,CAC!$A$2:$B$198,2,FALSE)</f>
        <v>#N/A</v>
      </c>
    </row>
    <row r="569" spans="5:14" x14ac:dyDescent="0.25">
      <c r="E569" s="136">
        <v>201709</v>
      </c>
      <c r="F569" s="138" t="s">
        <v>345</v>
      </c>
      <c r="G569" s="138" t="s">
        <v>352</v>
      </c>
      <c r="H569" s="138" t="s">
        <v>360</v>
      </c>
      <c r="I569" s="139">
        <v>226</v>
      </c>
      <c r="K569" s="96" t="str">
        <f t="shared" si="27"/>
        <v>0011-1004-0048</v>
      </c>
      <c r="L569" s="96" t="str">
        <f>VLOOKUP(K569,COA!$A$3:$B$337,2,FALSE)</f>
        <v>L21</v>
      </c>
      <c r="M569" s="96" t="str">
        <f t="shared" si="28"/>
        <v>L21</v>
      </c>
      <c r="N569" s="96" t="str">
        <f>VLOOKUP(M569,CAC!$A$2:$B$198,2,FALSE)</f>
        <v>HMFLEX</v>
      </c>
    </row>
    <row r="570" spans="5:14" x14ac:dyDescent="0.25">
      <c r="E570" s="136">
        <v>201509</v>
      </c>
      <c r="F570" s="138" t="s">
        <v>345</v>
      </c>
      <c r="G570" s="138" t="s">
        <v>352</v>
      </c>
      <c r="H570" s="138" t="s">
        <v>653</v>
      </c>
      <c r="I570" s="139">
        <v>0</v>
      </c>
      <c r="K570" s="96" t="str">
        <f t="shared" si="27"/>
        <v>0011-1004-0047</v>
      </c>
      <c r="L570" s="96" t="str">
        <f>VLOOKUP(K570,COA!$A$3:$B$337,2,FALSE)</f>
        <v>L17</v>
      </c>
      <c r="M570" s="96" t="str">
        <f t="shared" si="28"/>
        <v>L17</v>
      </c>
      <c r="N570" s="96" t="str">
        <f>VLOOKUP(M570,CAC!$A$2:$B$198,2,FALSE)</f>
        <v>HMOLG</v>
      </c>
    </row>
    <row r="571" spans="5:14" x14ac:dyDescent="0.25">
      <c r="E571" s="136">
        <v>201505</v>
      </c>
      <c r="F571" s="138" t="s">
        <v>345</v>
      </c>
      <c r="G571" s="138" t="s">
        <v>348</v>
      </c>
      <c r="H571" s="138" t="s">
        <v>358</v>
      </c>
      <c r="I571" s="139">
        <v>59</v>
      </c>
      <c r="K571" s="96" t="str">
        <f t="shared" si="27"/>
        <v>0011-1010-0024</v>
      </c>
      <c r="L571" s="96" t="str">
        <f>VLOOKUP(K571,COA!$A$3:$B$337,2,FALSE)</f>
        <v>S14</v>
      </c>
      <c r="M571" s="96" t="str">
        <f t="shared" si="28"/>
        <v>S14</v>
      </c>
      <c r="N571" s="96" t="str">
        <f>VLOOKUP(M571,CAC!$A$2:$B$198,2,FALSE)</f>
        <v>HMOSG</v>
      </c>
    </row>
    <row r="572" spans="5:14" x14ac:dyDescent="0.25">
      <c r="E572" s="136">
        <v>201704</v>
      </c>
      <c r="F572" s="138" t="s">
        <v>563</v>
      </c>
      <c r="G572" s="138" t="s">
        <v>350</v>
      </c>
      <c r="H572" s="138" t="s">
        <v>626</v>
      </c>
      <c r="I572" s="139">
        <v>0</v>
      </c>
      <c r="K572" s="96" t="str">
        <f t="shared" si="27"/>
        <v>0003-1012-0057</v>
      </c>
      <c r="L572" s="96" t="str">
        <f>VLOOKUP(K572,COA!$A$3:$B$337,2,FALSE)</f>
        <v>K51</v>
      </c>
      <c r="M572" s="96" t="str">
        <f t="shared" si="28"/>
        <v>K51</v>
      </c>
      <c r="N572" s="96" t="str">
        <f>VLOOKUP(M572,CAC!$A$2:$B$198,2,FALSE)</f>
        <v>PPOPMR</v>
      </c>
    </row>
    <row r="573" spans="5:14" x14ac:dyDescent="0.25">
      <c r="E573" s="136">
        <v>201509</v>
      </c>
      <c r="F573" s="138" t="s">
        <v>563</v>
      </c>
      <c r="G573" s="138" t="s">
        <v>351</v>
      </c>
      <c r="H573" s="138" t="s">
        <v>349</v>
      </c>
      <c r="I573" s="139">
        <v>0</v>
      </c>
      <c r="K573" s="96" t="str">
        <f t="shared" si="27"/>
        <v>0003-0000-0017</v>
      </c>
      <c r="L573" s="96" t="e">
        <f>VLOOKUP(K573,COA!$A$3:$B$337,2,FALSE)</f>
        <v>#N/A</v>
      </c>
      <c r="M573" s="96" t="str">
        <f t="shared" si="28"/>
        <v>XXX</v>
      </c>
      <c r="N573" s="96" t="str">
        <f>VLOOKUP(M573,CAC!$A$2:$B$198,2,FALSE)</f>
        <v>XXX</v>
      </c>
    </row>
    <row r="574" spans="5:14" x14ac:dyDescent="0.25">
      <c r="E574" s="136">
        <v>201601</v>
      </c>
      <c r="F574" s="138" t="s">
        <v>345</v>
      </c>
      <c r="G574" s="138" t="s">
        <v>351</v>
      </c>
      <c r="H574" s="138" t="s">
        <v>353</v>
      </c>
      <c r="I574" s="139">
        <v>3</v>
      </c>
      <c r="K574" s="96" t="str">
        <f t="shared" si="27"/>
        <v>0011-0000-0023</v>
      </c>
      <c r="L574" s="96" t="e">
        <f>VLOOKUP(K574,COA!$A$3:$B$337,2,FALSE)</f>
        <v>#N/A</v>
      </c>
      <c r="M574" s="96" t="str">
        <f t="shared" si="28"/>
        <v>XXX</v>
      </c>
      <c r="N574" s="96" t="str">
        <f>VLOOKUP(M574,CAC!$A$2:$B$198,2,FALSE)</f>
        <v>XXX</v>
      </c>
    </row>
    <row r="575" spans="5:14" x14ac:dyDescent="0.25">
      <c r="E575" s="136">
        <v>201710</v>
      </c>
      <c r="F575" s="138" t="s">
        <v>563</v>
      </c>
      <c r="G575" s="138" t="s">
        <v>365</v>
      </c>
      <c r="H575" s="138" t="s">
        <v>798</v>
      </c>
      <c r="I575" s="139">
        <v>0</v>
      </c>
      <c r="K575" s="96" t="str">
        <f t="shared" si="27"/>
        <v>0003-1001-0065</v>
      </c>
      <c r="L575" s="96" t="str">
        <f>VLOOKUP(K575,COA!$A$3:$B$337,2,FALSE)</f>
        <v>V55</v>
      </c>
      <c r="M575" s="96" t="str">
        <f t="shared" si="28"/>
        <v>V55</v>
      </c>
      <c r="N575" s="96" t="e">
        <f>VLOOKUP(M575,CAC!$A$2:$B$198,2,FALSE)</f>
        <v>#N/A</v>
      </c>
    </row>
    <row r="576" spans="5:14" x14ac:dyDescent="0.25">
      <c r="E576" s="136">
        <v>201601</v>
      </c>
      <c r="F576" s="138" t="s">
        <v>344</v>
      </c>
      <c r="G576" s="138" t="s">
        <v>350</v>
      </c>
      <c r="H576" s="138" t="s">
        <v>344</v>
      </c>
      <c r="I576" s="139">
        <v>105</v>
      </c>
      <c r="K576" s="96" t="str">
        <f t="shared" si="27"/>
        <v>0012-1012-0012</v>
      </c>
      <c r="L576" s="96" t="str">
        <f>VLOOKUP(K576,COA!$A$3:$B$337,2,FALSE)</f>
        <v>K12</v>
      </c>
      <c r="M576" s="96" t="str">
        <f t="shared" si="28"/>
        <v>K12</v>
      </c>
      <c r="N576" s="96" t="str">
        <f>VLOOKUP(M576,CAC!$A$2:$B$198,2,FALSE)</f>
        <v>HMOPMR</v>
      </c>
    </row>
    <row r="577" spans="5:14" x14ac:dyDescent="0.25">
      <c r="E577" s="136">
        <v>201610</v>
      </c>
      <c r="F577" s="138" t="s">
        <v>563</v>
      </c>
      <c r="G577" s="138" t="s">
        <v>348</v>
      </c>
      <c r="H577" s="138" t="s">
        <v>353</v>
      </c>
      <c r="I577" s="139">
        <v>0</v>
      </c>
      <c r="K577" s="96" t="str">
        <f t="shared" si="27"/>
        <v>0003-1010-0023</v>
      </c>
      <c r="L577" s="96" t="str">
        <f>VLOOKUP(K577,COA!$A$3:$B$337,2,FALSE)</f>
        <v>S54</v>
      </c>
      <c r="M577" s="96" t="str">
        <f t="shared" si="28"/>
        <v>S54</v>
      </c>
      <c r="N577" s="96" t="str">
        <f>VLOOKUP(M577,CAC!$A$2:$B$198,2,FALSE)</f>
        <v>PPOSG</v>
      </c>
    </row>
    <row r="578" spans="5:14" x14ac:dyDescent="0.25">
      <c r="E578" s="136">
        <v>201707</v>
      </c>
      <c r="F578" s="138" t="s">
        <v>344</v>
      </c>
      <c r="G578" s="138" t="s">
        <v>355</v>
      </c>
      <c r="H578" s="138" t="s">
        <v>344</v>
      </c>
      <c r="I578" s="139">
        <v>55</v>
      </c>
      <c r="K578" s="96" t="str">
        <f t="shared" si="27"/>
        <v>0012-1006-0012</v>
      </c>
      <c r="L578" s="96" t="str">
        <f>VLOOKUP(K578,COA!$A$3:$B$337,2,FALSE)</f>
        <v>L16</v>
      </c>
      <c r="M578" s="96" t="str">
        <f t="shared" si="28"/>
        <v>L16</v>
      </c>
      <c r="N578" s="96" t="str">
        <f>VLOOKUP(M578,CAC!$A$2:$B$198,2,FALSE)</f>
        <v>HMOLG</v>
      </c>
    </row>
    <row r="579" spans="5:14" x14ac:dyDescent="0.25">
      <c r="E579" s="136">
        <v>201609</v>
      </c>
      <c r="F579" s="138" t="s">
        <v>344</v>
      </c>
      <c r="G579" s="138" t="s">
        <v>359</v>
      </c>
      <c r="H579" s="138" t="s">
        <v>344</v>
      </c>
      <c r="I579" s="139">
        <v>135</v>
      </c>
      <c r="K579" s="96" t="str">
        <f t="shared" ref="K579:K642" si="29">F579&amp;"-"&amp;G579&amp;"-"&amp;H579</f>
        <v>0012-1005-0012</v>
      </c>
      <c r="L579" s="96" t="str">
        <f>VLOOKUP(K579,COA!$A$3:$B$337,2,FALSE)</f>
        <v>N13</v>
      </c>
      <c r="M579" s="96" t="str">
        <f t="shared" si="28"/>
        <v>N13</v>
      </c>
      <c r="N579" s="96" t="str">
        <f>VLOOKUP(M579,CAC!$A$2:$B$198,2,FALSE)</f>
        <v>HMOLG</v>
      </c>
    </row>
    <row r="580" spans="5:14" x14ac:dyDescent="0.25">
      <c r="E580" s="136">
        <v>201611</v>
      </c>
      <c r="F580" s="138" t="s">
        <v>563</v>
      </c>
      <c r="G580" s="138" t="s">
        <v>365</v>
      </c>
      <c r="H580" s="138" t="s">
        <v>367</v>
      </c>
      <c r="I580" s="139">
        <v>0</v>
      </c>
      <c r="K580" s="96" t="str">
        <f t="shared" si="29"/>
        <v>0003-1001-0022</v>
      </c>
      <c r="L580" s="96" t="str">
        <f>VLOOKUP(K580,COA!$A$3:$B$337,2,FALSE)</f>
        <v>V54</v>
      </c>
      <c r="M580" s="96" t="str">
        <f t="shared" ref="M580:M643" si="30">IF(ISNA(L580),"XXX",L580)</f>
        <v>V54</v>
      </c>
      <c r="N580" s="96" t="str">
        <f>VLOOKUP(M580,CAC!$A$2:$B$198,2,FALSE)</f>
        <v>PPOIFP</v>
      </c>
    </row>
    <row r="581" spans="5:14" x14ac:dyDescent="0.25">
      <c r="E581" s="136">
        <v>201603</v>
      </c>
      <c r="F581" s="138" t="s">
        <v>563</v>
      </c>
      <c r="G581" s="138" t="s">
        <v>354</v>
      </c>
      <c r="H581" s="138" t="s">
        <v>653</v>
      </c>
      <c r="I581" s="139">
        <v>0</v>
      </c>
      <c r="K581" s="96" t="str">
        <f t="shared" si="29"/>
        <v>0003-1013-0047</v>
      </c>
      <c r="L581" s="96" t="str">
        <f>VLOOKUP(K581,COA!$A$3:$B$337,2,FALSE)</f>
        <v>N57</v>
      </c>
      <c r="M581" s="96" t="str">
        <f t="shared" si="30"/>
        <v>N57</v>
      </c>
      <c r="N581" s="96" t="str">
        <f>VLOOKUP(M581,CAC!$A$2:$B$198,2,FALSE)</f>
        <v>PPOPMR</v>
      </c>
    </row>
    <row r="582" spans="5:14" x14ac:dyDescent="0.25">
      <c r="E582" s="136">
        <v>201607</v>
      </c>
      <c r="F582" s="138" t="s">
        <v>563</v>
      </c>
      <c r="G582" s="138" t="s">
        <v>365</v>
      </c>
      <c r="H582" s="138" t="s">
        <v>411</v>
      </c>
      <c r="I582" s="139">
        <v>0</v>
      </c>
      <c r="K582" s="96" t="str">
        <f t="shared" si="29"/>
        <v>0003-1001-0007</v>
      </c>
      <c r="L582" s="96" t="str">
        <f>VLOOKUP(K582,COA!$A$3:$B$337,2,FALSE)</f>
        <v>V52</v>
      </c>
      <c r="M582" s="96" t="str">
        <f t="shared" si="30"/>
        <v>V52</v>
      </c>
      <c r="N582" s="96" t="str">
        <f>VLOOKUP(M582,CAC!$A$2:$B$198,2,FALSE)</f>
        <v>PPOIFP</v>
      </c>
    </row>
    <row r="583" spans="5:14" x14ac:dyDescent="0.25">
      <c r="E583" s="136">
        <v>201606</v>
      </c>
      <c r="F583" s="138" t="s">
        <v>344</v>
      </c>
      <c r="G583" s="138" t="s">
        <v>361</v>
      </c>
      <c r="H583" s="138" t="s">
        <v>344</v>
      </c>
      <c r="I583" s="139">
        <v>9452.4599999999991</v>
      </c>
      <c r="K583" s="96" t="str">
        <f t="shared" si="29"/>
        <v>0012-1003-0012</v>
      </c>
      <c r="L583" s="96" t="str">
        <f>VLOOKUP(K583,COA!$A$3:$B$337,2,FALSE)</f>
        <v>N15</v>
      </c>
      <c r="M583" s="96" t="str">
        <f t="shared" si="30"/>
        <v>N15</v>
      </c>
      <c r="N583" s="96" t="str">
        <f>VLOOKUP(M583,CAC!$A$2:$B$198,2,FALSE)</f>
        <v>HMOPMR</v>
      </c>
    </row>
    <row r="584" spans="5:14" x14ac:dyDescent="0.25">
      <c r="E584" s="136">
        <v>201701</v>
      </c>
      <c r="F584" s="138" t="s">
        <v>506</v>
      </c>
      <c r="G584" s="138" t="s">
        <v>354</v>
      </c>
      <c r="H584" s="138" t="s">
        <v>592</v>
      </c>
      <c r="I584" s="139">
        <v>0</v>
      </c>
      <c r="K584" s="96" t="str">
        <f t="shared" si="29"/>
        <v>0013-1013-0035</v>
      </c>
      <c r="L584" s="96" t="str">
        <f>VLOOKUP(K584,COA!$A$3:$B$337,2,FALSE)</f>
        <v>N44</v>
      </c>
      <c r="M584" s="96" t="str">
        <f t="shared" si="30"/>
        <v>N44</v>
      </c>
      <c r="N584" s="96" t="e">
        <f>VLOOKUP(M584,CAC!$A$2:$B$198,2,FALSE)</f>
        <v>#N/A</v>
      </c>
    </row>
    <row r="585" spans="5:14" x14ac:dyDescent="0.25">
      <c r="E585" s="136">
        <v>201710</v>
      </c>
      <c r="F585" s="138" t="s">
        <v>563</v>
      </c>
      <c r="G585" s="138" t="s">
        <v>354</v>
      </c>
      <c r="H585" s="138" t="s">
        <v>344</v>
      </c>
      <c r="I585" s="139">
        <v>0</v>
      </c>
      <c r="K585" s="96" t="str">
        <f t="shared" si="29"/>
        <v>0003-1013-0012</v>
      </c>
      <c r="L585" s="96" t="str">
        <f>VLOOKUP(K585,COA!$A$3:$B$337,2,FALSE)</f>
        <v>N55</v>
      </c>
      <c r="M585" s="96" t="str">
        <f t="shared" si="30"/>
        <v>N55</v>
      </c>
      <c r="N585" s="96" t="str">
        <f>VLOOKUP(M585,CAC!$A$2:$B$198,2,FALSE)</f>
        <v>PPOPMR</v>
      </c>
    </row>
    <row r="586" spans="5:14" x14ac:dyDescent="0.25">
      <c r="E586" s="136">
        <v>201702</v>
      </c>
      <c r="F586" s="138" t="s">
        <v>506</v>
      </c>
      <c r="G586" s="138" t="s">
        <v>361</v>
      </c>
      <c r="H586" s="138" t="s">
        <v>592</v>
      </c>
      <c r="I586" s="139">
        <v>0</v>
      </c>
      <c r="K586" s="96" t="str">
        <f t="shared" si="29"/>
        <v>0013-1003-0035</v>
      </c>
      <c r="L586" s="96" t="str">
        <f>VLOOKUP(K586,COA!$A$3:$B$337,2,FALSE)</f>
        <v>N32</v>
      </c>
      <c r="M586" s="96" t="str">
        <f t="shared" si="30"/>
        <v>N32</v>
      </c>
      <c r="N586" s="96" t="e">
        <f>VLOOKUP(M586,CAC!$A$2:$B$198,2,FALSE)</f>
        <v>#N/A</v>
      </c>
    </row>
    <row r="587" spans="5:14" x14ac:dyDescent="0.25">
      <c r="E587" s="136">
        <v>201604</v>
      </c>
      <c r="F587" s="138" t="s">
        <v>344</v>
      </c>
      <c r="G587" s="138" t="s">
        <v>352</v>
      </c>
      <c r="H587" s="138" t="s">
        <v>344</v>
      </c>
      <c r="I587" s="139">
        <v>436.03</v>
      </c>
      <c r="K587" s="96" t="str">
        <f t="shared" si="29"/>
        <v>0012-1004-0012</v>
      </c>
      <c r="L587" s="96" t="str">
        <f>VLOOKUP(K587,COA!$A$3:$B$337,2,FALSE)</f>
        <v>L12</v>
      </c>
      <c r="M587" s="96" t="str">
        <f t="shared" si="30"/>
        <v>L12</v>
      </c>
      <c r="N587" s="96" t="str">
        <f>VLOOKUP(M587,CAC!$A$2:$B$198,2,FALSE)</f>
        <v>HMOLG</v>
      </c>
    </row>
    <row r="588" spans="5:14" x14ac:dyDescent="0.25">
      <c r="E588" s="136">
        <v>201603</v>
      </c>
      <c r="F588" s="138" t="s">
        <v>563</v>
      </c>
      <c r="G588" s="138" t="s">
        <v>356</v>
      </c>
      <c r="H588" s="138" t="s">
        <v>344</v>
      </c>
      <c r="I588" s="139">
        <v>0</v>
      </c>
      <c r="K588" s="96" t="str">
        <f t="shared" si="29"/>
        <v>0003-1002-0012</v>
      </c>
      <c r="L588" s="96" t="str">
        <f>VLOOKUP(K588,COA!$A$3:$B$337,2,FALSE)</f>
        <v>F61</v>
      </c>
      <c r="M588" s="96" t="str">
        <f t="shared" si="30"/>
        <v>F61</v>
      </c>
      <c r="N588" s="96" t="str">
        <f>VLOOKUP(M588,CAC!$A$2:$B$198,2,FALSE)</f>
        <v>PPOPMR</v>
      </c>
    </row>
    <row r="589" spans="5:14" x14ac:dyDescent="0.25">
      <c r="E589" s="136">
        <v>201705</v>
      </c>
      <c r="F589" s="138" t="s">
        <v>413</v>
      </c>
      <c r="G589" s="138" t="s">
        <v>359</v>
      </c>
      <c r="H589" s="138" t="s">
        <v>344</v>
      </c>
      <c r="I589" s="139">
        <v>0</v>
      </c>
      <c r="K589" s="96" t="str">
        <f t="shared" si="29"/>
        <v>0008-1005-0012</v>
      </c>
      <c r="L589" s="96" t="str">
        <f>VLOOKUP(K589,COA!$A$3:$B$337,2,FALSE)</f>
        <v>C73</v>
      </c>
      <c r="M589" s="96" t="str">
        <f t="shared" si="30"/>
        <v>C73</v>
      </c>
      <c r="N589" s="96" t="str">
        <f>VLOOKUP(M589,CAC!$A$2:$B$198,2,FALSE)</f>
        <v>DOILG</v>
      </c>
    </row>
    <row r="590" spans="5:14" x14ac:dyDescent="0.25">
      <c r="E590" s="136">
        <v>201607</v>
      </c>
      <c r="F590" s="138" t="s">
        <v>563</v>
      </c>
      <c r="G590" s="138" t="s">
        <v>365</v>
      </c>
      <c r="H590" s="138" t="s">
        <v>798</v>
      </c>
      <c r="I590" s="139">
        <v>0</v>
      </c>
      <c r="K590" s="96" t="str">
        <f t="shared" si="29"/>
        <v>0003-1001-0065</v>
      </c>
      <c r="L590" s="96" t="str">
        <f>VLOOKUP(K590,COA!$A$3:$B$337,2,FALSE)</f>
        <v>V55</v>
      </c>
      <c r="M590" s="96" t="str">
        <f t="shared" si="30"/>
        <v>V55</v>
      </c>
      <c r="N590" s="96" t="e">
        <f>VLOOKUP(M590,CAC!$A$2:$B$198,2,FALSE)</f>
        <v>#N/A</v>
      </c>
    </row>
    <row r="591" spans="5:14" x14ac:dyDescent="0.25">
      <c r="E591" s="136">
        <v>201707</v>
      </c>
      <c r="F591" s="138" t="s">
        <v>563</v>
      </c>
      <c r="G591" s="138" t="s">
        <v>348</v>
      </c>
      <c r="H591" s="138" t="s">
        <v>353</v>
      </c>
      <c r="I591" s="139">
        <v>0</v>
      </c>
      <c r="K591" s="96" t="str">
        <f t="shared" si="29"/>
        <v>0003-1010-0023</v>
      </c>
      <c r="L591" s="96" t="str">
        <f>VLOOKUP(K591,COA!$A$3:$B$337,2,FALSE)</f>
        <v>S54</v>
      </c>
      <c r="M591" s="96" t="str">
        <f t="shared" si="30"/>
        <v>S54</v>
      </c>
      <c r="N591" s="96" t="str">
        <f>VLOOKUP(M591,CAC!$A$2:$B$198,2,FALSE)</f>
        <v>PPOSG</v>
      </c>
    </row>
    <row r="592" spans="5:14" x14ac:dyDescent="0.25">
      <c r="E592" s="136">
        <v>201709</v>
      </c>
      <c r="F592" s="138" t="s">
        <v>345</v>
      </c>
      <c r="G592" s="138" t="s">
        <v>350</v>
      </c>
      <c r="H592" s="138" t="s">
        <v>344</v>
      </c>
      <c r="I592" s="139">
        <v>17731.14</v>
      </c>
      <c r="K592" s="96" t="str">
        <f t="shared" si="29"/>
        <v>0011-1012-0012</v>
      </c>
      <c r="L592" s="96" t="str">
        <f>VLOOKUP(K592,COA!$A$3:$B$337,2,FALSE)</f>
        <v>K11</v>
      </c>
      <c r="M592" s="96" t="str">
        <f t="shared" si="30"/>
        <v>K11</v>
      </c>
      <c r="N592" s="96" t="str">
        <f>VLOOKUP(M592,CAC!$A$2:$B$198,2,FALSE)</f>
        <v>HMOPMR</v>
      </c>
    </row>
    <row r="593" spans="5:14" x14ac:dyDescent="0.25">
      <c r="E593" s="136">
        <v>201707</v>
      </c>
      <c r="F593" s="138" t="s">
        <v>506</v>
      </c>
      <c r="G593" s="138" t="s">
        <v>352</v>
      </c>
      <c r="H593" s="138" t="s">
        <v>592</v>
      </c>
      <c r="I593" s="139">
        <v>0</v>
      </c>
      <c r="K593" s="96" t="str">
        <f t="shared" si="29"/>
        <v>0013-1004-0035</v>
      </c>
      <c r="L593" s="96" t="str">
        <f>VLOOKUP(K593,COA!$A$3:$B$337,2,FALSE)</f>
        <v>L41</v>
      </c>
      <c r="M593" s="96" t="str">
        <f t="shared" si="30"/>
        <v>L41</v>
      </c>
      <c r="N593" s="96" t="e">
        <f>VLOOKUP(M593,CAC!$A$2:$B$198,2,FALSE)</f>
        <v>#N/A</v>
      </c>
    </row>
    <row r="594" spans="5:14" x14ac:dyDescent="0.25">
      <c r="E594" s="136">
        <v>201707</v>
      </c>
      <c r="F594" s="138" t="s">
        <v>563</v>
      </c>
      <c r="G594" s="138" t="s">
        <v>361</v>
      </c>
      <c r="H594" s="138" t="s">
        <v>344</v>
      </c>
      <c r="I594" s="139">
        <v>0</v>
      </c>
      <c r="K594" s="96" t="str">
        <f t="shared" si="29"/>
        <v>0003-1003-0012</v>
      </c>
      <c r="L594" s="96" t="str">
        <f>VLOOKUP(K594,COA!$A$3:$B$337,2,FALSE)</f>
        <v>N61</v>
      </c>
      <c r="M594" s="96" t="str">
        <f t="shared" si="30"/>
        <v>N61</v>
      </c>
      <c r="N594" s="96" t="str">
        <f>VLOOKUP(M594,CAC!$A$2:$B$198,2,FALSE)</f>
        <v>PPOPMR</v>
      </c>
    </row>
    <row r="595" spans="5:14" x14ac:dyDescent="0.25">
      <c r="E595" s="136">
        <v>201512</v>
      </c>
      <c r="F595" s="138" t="s">
        <v>506</v>
      </c>
      <c r="G595" s="138" t="s">
        <v>346</v>
      </c>
      <c r="H595" s="138" t="s">
        <v>592</v>
      </c>
      <c r="I595" s="139">
        <v>0</v>
      </c>
      <c r="K595" s="96" t="str">
        <f t="shared" si="29"/>
        <v>0013-1014-0035</v>
      </c>
      <c r="L595" s="96" t="str">
        <f>VLOOKUP(K595,COA!$A$3:$B$337,2,FALSE)</f>
        <v>K42</v>
      </c>
      <c r="M595" s="96" t="str">
        <f t="shared" si="30"/>
        <v>K42</v>
      </c>
      <c r="N595" s="96" t="str">
        <f>VLOOKUP(M595,CAC!$A$2:$B$198,2,FALSE)</f>
        <v>HMFLEX</v>
      </c>
    </row>
    <row r="596" spans="5:14" x14ac:dyDescent="0.25">
      <c r="E596" s="136">
        <v>201504</v>
      </c>
      <c r="F596" s="138" t="s">
        <v>413</v>
      </c>
      <c r="G596" s="138" t="s">
        <v>355</v>
      </c>
      <c r="H596" s="138" t="s">
        <v>344</v>
      </c>
      <c r="I596" s="139">
        <v>0</v>
      </c>
      <c r="K596" s="96" t="str">
        <f t="shared" si="29"/>
        <v>0008-1006-0012</v>
      </c>
      <c r="L596" s="96" t="str">
        <f>VLOOKUP(K596,COA!$A$3:$B$337,2,FALSE)</f>
        <v>C96</v>
      </c>
      <c r="M596" s="96" t="str">
        <f t="shared" si="30"/>
        <v>C96</v>
      </c>
      <c r="N596" s="96" t="str">
        <f>VLOOKUP(M596,CAC!$A$2:$B$198,2,FALSE)</f>
        <v>DOILG</v>
      </c>
    </row>
    <row r="597" spans="5:14" x14ac:dyDescent="0.25">
      <c r="E597" s="136">
        <v>201502</v>
      </c>
      <c r="F597" s="138" t="s">
        <v>345</v>
      </c>
      <c r="G597" s="138" t="s">
        <v>351</v>
      </c>
      <c r="H597" s="138" t="s">
        <v>349</v>
      </c>
      <c r="I597" s="139">
        <v>1</v>
      </c>
      <c r="K597" s="96" t="str">
        <f t="shared" si="29"/>
        <v>0011-0000-0017</v>
      </c>
      <c r="L597" s="96" t="e">
        <f>VLOOKUP(K597,COA!$A$3:$B$337,2,FALSE)</f>
        <v>#N/A</v>
      </c>
      <c r="M597" s="96" t="str">
        <f t="shared" si="30"/>
        <v>XXX</v>
      </c>
      <c r="N597" s="96" t="str">
        <f>VLOOKUP(M597,CAC!$A$2:$B$198,2,FALSE)</f>
        <v>XXX</v>
      </c>
    </row>
    <row r="598" spans="5:14" x14ac:dyDescent="0.25">
      <c r="E598" s="136">
        <v>201612</v>
      </c>
      <c r="F598" s="138" t="s">
        <v>549</v>
      </c>
      <c r="G598" s="138" t="s">
        <v>352</v>
      </c>
      <c r="H598" s="138" t="s">
        <v>672</v>
      </c>
      <c r="I598" s="139">
        <v>0</v>
      </c>
      <c r="K598" s="96" t="str">
        <f t="shared" si="29"/>
        <v>0026-1004-0058</v>
      </c>
      <c r="L598" s="96" t="str">
        <f>VLOOKUP(K598,COA!$A$3:$B$337,2,FALSE)</f>
        <v>L44</v>
      </c>
      <c r="M598" s="96" t="str">
        <f t="shared" si="30"/>
        <v>L44</v>
      </c>
      <c r="N598" s="96" t="e">
        <f>VLOOKUP(M598,CAC!$A$2:$B$198,2,FALSE)</f>
        <v>#N/A</v>
      </c>
    </row>
    <row r="599" spans="5:14" x14ac:dyDescent="0.25">
      <c r="E599" s="136">
        <v>201601</v>
      </c>
      <c r="F599" s="138" t="s">
        <v>344</v>
      </c>
      <c r="G599" s="138" t="s">
        <v>355</v>
      </c>
      <c r="H599" s="138" t="s">
        <v>344</v>
      </c>
      <c r="I599" s="139">
        <v>121</v>
      </c>
      <c r="K599" s="96" t="str">
        <f t="shared" si="29"/>
        <v>0012-1006-0012</v>
      </c>
      <c r="L599" s="96" t="str">
        <f>VLOOKUP(K599,COA!$A$3:$B$337,2,FALSE)</f>
        <v>L16</v>
      </c>
      <c r="M599" s="96" t="str">
        <f t="shared" si="30"/>
        <v>L16</v>
      </c>
      <c r="N599" s="96" t="str">
        <f>VLOOKUP(M599,CAC!$A$2:$B$198,2,FALSE)</f>
        <v>HMOLG</v>
      </c>
    </row>
    <row r="600" spans="5:14" x14ac:dyDescent="0.25">
      <c r="E600" s="136">
        <v>201712</v>
      </c>
      <c r="F600" s="138" t="s">
        <v>345</v>
      </c>
      <c r="G600" s="138" t="s">
        <v>352</v>
      </c>
      <c r="H600" s="138" t="s">
        <v>653</v>
      </c>
      <c r="I600" s="139">
        <v>0</v>
      </c>
      <c r="K600" s="96" t="str">
        <f t="shared" si="29"/>
        <v>0011-1004-0047</v>
      </c>
      <c r="L600" s="96" t="str">
        <f>VLOOKUP(K600,COA!$A$3:$B$337,2,FALSE)</f>
        <v>L17</v>
      </c>
      <c r="M600" s="96" t="str">
        <f t="shared" si="30"/>
        <v>L17</v>
      </c>
      <c r="N600" s="96" t="str">
        <f>VLOOKUP(M600,CAC!$A$2:$B$198,2,FALSE)</f>
        <v>HMOLG</v>
      </c>
    </row>
    <row r="601" spans="5:14" x14ac:dyDescent="0.25">
      <c r="E601" s="136">
        <v>201605</v>
      </c>
      <c r="F601" s="138" t="s">
        <v>344</v>
      </c>
      <c r="G601" s="138" t="s">
        <v>352</v>
      </c>
      <c r="H601" s="138" t="s">
        <v>344</v>
      </c>
      <c r="I601" s="139">
        <v>434</v>
      </c>
      <c r="K601" s="96" t="str">
        <f t="shared" si="29"/>
        <v>0012-1004-0012</v>
      </c>
      <c r="L601" s="96" t="str">
        <f>VLOOKUP(K601,COA!$A$3:$B$337,2,FALSE)</f>
        <v>L12</v>
      </c>
      <c r="M601" s="96" t="str">
        <f t="shared" si="30"/>
        <v>L12</v>
      </c>
      <c r="N601" s="96" t="str">
        <f>VLOOKUP(M601,CAC!$A$2:$B$198,2,FALSE)</f>
        <v>HMOLG</v>
      </c>
    </row>
    <row r="602" spans="5:14" x14ac:dyDescent="0.25">
      <c r="E602" s="136">
        <v>201603</v>
      </c>
      <c r="F602" s="138" t="s">
        <v>345</v>
      </c>
      <c r="G602" s="138" t="s">
        <v>352</v>
      </c>
      <c r="H602" s="138" t="s">
        <v>653</v>
      </c>
      <c r="I602" s="139">
        <v>0</v>
      </c>
      <c r="K602" s="96" t="str">
        <f t="shared" si="29"/>
        <v>0011-1004-0047</v>
      </c>
      <c r="L602" s="96" t="str">
        <f>VLOOKUP(K602,COA!$A$3:$B$337,2,FALSE)</f>
        <v>L17</v>
      </c>
      <c r="M602" s="96" t="str">
        <f t="shared" si="30"/>
        <v>L17</v>
      </c>
      <c r="N602" s="96" t="str">
        <f>VLOOKUP(M602,CAC!$A$2:$B$198,2,FALSE)</f>
        <v>HMOLG</v>
      </c>
    </row>
    <row r="603" spans="5:14" x14ac:dyDescent="0.25">
      <c r="E603" s="136">
        <v>201705</v>
      </c>
      <c r="F603" s="138" t="s">
        <v>506</v>
      </c>
      <c r="G603" s="138" t="s">
        <v>350</v>
      </c>
      <c r="H603" s="138" t="s">
        <v>592</v>
      </c>
      <c r="I603" s="139">
        <v>0</v>
      </c>
      <c r="K603" s="96" t="str">
        <f t="shared" si="29"/>
        <v>0013-1012-0035</v>
      </c>
      <c r="L603" s="96" t="str">
        <f>VLOOKUP(K603,COA!$A$3:$B$337,2,FALSE)</f>
        <v>K41</v>
      </c>
      <c r="M603" s="96" t="str">
        <f t="shared" si="30"/>
        <v>K41</v>
      </c>
      <c r="N603" s="96" t="e">
        <f>VLOOKUP(M603,CAC!$A$2:$B$198,2,FALSE)</f>
        <v>#N/A</v>
      </c>
    </row>
    <row r="604" spans="5:14" x14ac:dyDescent="0.25">
      <c r="E604" s="136">
        <v>201707</v>
      </c>
      <c r="F604" s="138" t="s">
        <v>746</v>
      </c>
      <c r="G604" s="138" t="s">
        <v>352</v>
      </c>
      <c r="H604" s="138" t="s">
        <v>344</v>
      </c>
      <c r="I604" s="139">
        <v>3</v>
      </c>
      <c r="K604" s="96" t="str">
        <f t="shared" si="29"/>
        <v>0016-1004-0012</v>
      </c>
      <c r="L604" s="96" t="str">
        <f>VLOOKUP(K604,COA!$A$3:$B$337,2,FALSE)</f>
        <v>R20</v>
      </c>
      <c r="M604" s="96" t="str">
        <f t="shared" si="30"/>
        <v>R20</v>
      </c>
      <c r="N604" s="96" t="str">
        <f>VLOOKUP(M604,CAC!$A$2:$B$198,2,FALSE)</f>
        <v>HMOMG</v>
      </c>
    </row>
    <row r="605" spans="5:14" x14ac:dyDescent="0.25">
      <c r="E605" s="136">
        <v>201610</v>
      </c>
      <c r="F605" s="138" t="s">
        <v>349</v>
      </c>
      <c r="G605" s="138" t="s">
        <v>369</v>
      </c>
      <c r="H605" s="138" t="s">
        <v>344</v>
      </c>
      <c r="I605" s="139">
        <v>39935</v>
      </c>
      <c r="K605" s="96" t="str">
        <f t="shared" si="29"/>
        <v>0017-1009-0012</v>
      </c>
      <c r="L605" s="96" t="str">
        <f>VLOOKUP(K605,COA!$A$3:$B$337,2,FALSE)</f>
        <v>R12</v>
      </c>
      <c r="M605" s="96" t="str">
        <f t="shared" si="30"/>
        <v>R12</v>
      </c>
      <c r="N605" s="96" t="str">
        <f>VLOOKUP(M605,CAC!$A$2:$B$198,2,FALSE)</f>
        <v>HMOMM</v>
      </c>
    </row>
    <row r="606" spans="5:14" x14ac:dyDescent="0.25">
      <c r="E606" s="136">
        <v>201706</v>
      </c>
      <c r="F606" s="138" t="s">
        <v>345</v>
      </c>
      <c r="G606" s="138" t="s">
        <v>365</v>
      </c>
      <c r="H606" s="138" t="s">
        <v>366</v>
      </c>
      <c r="I606" s="139">
        <v>1265.27</v>
      </c>
      <c r="K606" s="96" t="str">
        <f t="shared" si="29"/>
        <v>0011-1001-0021</v>
      </c>
      <c r="L606" s="96" t="str">
        <f>VLOOKUP(K606,COA!$A$3:$B$337,2,FALSE)</f>
        <v>V13</v>
      </c>
      <c r="M606" s="96" t="str">
        <f t="shared" si="30"/>
        <v>V13</v>
      </c>
      <c r="N606" s="96" t="str">
        <f>VLOOKUP(M606,CAC!$A$2:$B$198,2,FALSE)</f>
        <v>HMOIFP</v>
      </c>
    </row>
    <row r="607" spans="5:14" x14ac:dyDescent="0.25">
      <c r="E607" s="136">
        <v>201608</v>
      </c>
      <c r="F607" s="138" t="s">
        <v>345</v>
      </c>
      <c r="G607" s="138" t="s">
        <v>354</v>
      </c>
      <c r="H607" s="138" t="s">
        <v>344</v>
      </c>
      <c r="I607" s="139">
        <v>6822.49</v>
      </c>
      <c r="K607" s="96" t="str">
        <f t="shared" si="29"/>
        <v>0011-1013-0012</v>
      </c>
      <c r="L607" s="96" t="str">
        <f>VLOOKUP(K607,COA!$A$3:$B$337,2,FALSE)</f>
        <v>N20</v>
      </c>
      <c r="M607" s="96" t="str">
        <f t="shared" si="30"/>
        <v>N20</v>
      </c>
      <c r="N607" s="96" t="str">
        <f>VLOOKUP(M607,CAC!$A$2:$B$198,2,FALSE)</f>
        <v>HMOPMR</v>
      </c>
    </row>
    <row r="608" spans="5:14" x14ac:dyDescent="0.25">
      <c r="E608" s="136">
        <v>201511</v>
      </c>
      <c r="F608" s="138" t="s">
        <v>746</v>
      </c>
      <c r="G608" s="138" t="s">
        <v>356</v>
      </c>
      <c r="H608" s="138" t="s">
        <v>344</v>
      </c>
      <c r="I608" s="139">
        <v>119</v>
      </c>
      <c r="K608" s="96" t="str">
        <f t="shared" si="29"/>
        <v>0016-1002-0012</v>
      </c>
      <c r="L608" s="96" t="str">
        <f>VLOOKUP(K608,COA!$A$3:$B$337,2,FALSE)</f>
        <v>R18</v>
      </c>
      <c r="M608" s="96" t="str">
        <f t="shared" si="30"/>
        <v>R18</v>
      </c>
      <c r="N608" s="96" t="str">
        <f>VLOOKUP(M608,CAC!$A$2:$B$198,2,FALSE)</f>
        <v>HMOMG</v>
      </c>
    </row>
    <row r="609" spans="5:14" x14ac:dyDescent="0.25">
      <c r="E609" s="136">
        <v>201706</v>
      </c>
      <c r="F609" s="138" t="s">
        <v>563</v>
      </c>
      <c r="G609" s="138" t="s">
        <v>348</v>
      </c>
      <c r="H609" s="138" t="s">
        <v>353</v>
      </c>
      <c r="I609" s="139">
        <v>0</v>
      </c>
      <c r="K609" s="96" t="str">
        <f t="shared" si="29"/>
        <v>0003-1010-0023</v>
      </c>
      <c r="L609" s="96" t="str">
        <f>VLOOKUP(K609,COA!$A$3:$B$337,2,FALSE)</f>
        <v>S54</v>
      </c>
      <c r="M609" s="96" t="str">
        <f t="shared" si="30"/>
        <v>S54</v>
      </c>
      <c r="N609" s="96" t="str">
        <f>VLOOKUP(M609,CAC!$A$2:$B$198,2,FALSE)</f>
        <v>PPOSG</v>
      </c>
    </row>
    <row r="610" spans="5:14" x14ac:dyDescent="0.25">
      <c r="E610" s="136">
        <v>201801</v>
      </c>
      <c r="F610" s="138" t="s">
        <v>549</v>
      </c>
      <c r="G610" s="138" t="s">
        <v>352</v>
      </c>
      <c r="H610" s="138" t="s">
        <v>672</v>
      </c>
      <c r="I610" s="139">
        <v>0</v>
      </c>
      <c r="K610" s="96" t="str">
        <f t="shared" si="29"/>
        <v>0026-1004-0058</v>
      </c>
      <c r="L610" s="96" t="str">
        <f>VLOOKUP(K610,COA!$A$3:$B$337,2,FALSE)</f>
        <v>L44</v>
      </c>
      <c r="M610" s="96" t="str">
        <f t="shared" si="30"/>
        <v>L44</v>
      </c>
      <c r="N610" s="96" t="e">
        <f>VLOOKUP(M610,CAC!$A$2:$B$198,2,FALSE)</f>
        <v>#N/A</v>
      </c>
    </row>
    <row r="611" spans="5:14" x14ac:dyDescent="0.25">
      <c r="E611" s="136">
        <v>201509</v>
      </c>
      <c r="F611" s="138" t="s">
        <v>563</v>
      </c>
      <c r="G611" s="138" t="s">
        <v>352</v>
      </c>
      <c r="H611" s="138" t="s">
        <v>344</v>
      </c>
      <c r="I611" s="139">
        <v>0</v>
      </c>
      <c r="K611" s="96" t="str">
        <f t="shared" si="29"/>
        <v>0003-1004-0012</v>
      </c>
      <c r="L611" s="96" t="str">
        <f>VLOOKUP(K611,COA!$A$3:$B$337,2,FALSE)</f>
        <v>L51</v>
      </c>
      <c r="M611" s="96" t="str">
        <f t="shared" si="30"/>
        <v>L51</v>
      </c>
      <c r="N611" s="96" t="str">
        <f>VLOOKUP(M611,CAC!$A$2:$B$198,2,FALSE)</f>
        <v>PPOLG</v>
      </c>
    </row>
    <row r="612" spans="5:14" x14ac:dyDescent="0.25">
      <c r="E612" s="136">
        <v>201704</v>
      </c>
      <c r="F612" s="138" t="s">
        <v>405</v>
      </c>
      <c r="G612" s="138" t="s">
        <v>362</v>
      </c>
      <c r="H612" s="138" t="s">
        <v>342</v>
      </c>
      <c r="I612" s="139">
        <v>0</v>
      </c>
      <c r="K612" s="96" t="str">
        <f t="shared" si="29"/>
        <v>0019-1008-0031</v>
      </c>
      <c r="L612" s="96" t="str">
        <f>VLOOKUP(K612,COA!$A$3:$B$337,2,FALSE)</f>
        <v>P53</v>
      </c>
      <c r="M612" s="96" t="str">
        <f t="shared" si="30"/>
        <v>P53</v>
      </c>
      <c r="N612" s="96" t="str">
        <f>VLOOKUP(M612,CAC!$A$2:$B$198,2,FALSE)</f>
        <v>HMOPERA</v>
      </c>
    </row>
    <row r="613" spans="5:14" x14ac:dyDescent="0.25">
      <c r="E613" s="136">
        <v>201607</v>
      </c>
      <c r="F613" s="138" t="s">
        <v>563</v>
      </c>
      <c r="G613" s="138" t="s">
        <v>348</v>
      </c>
      <c r="H613" s="138" t="s">
        <v>358</v>
      </c>
      <c r="I613" s="139">
        <v>0</v>
      </c>
      <c r="K613" s="96" t="str">
        <f t="shared" si="29"/>
        <v>0003-1010-0024</v>
      </c>
      <c r="L613" s="96" t="str">
        <f>VLOOKUP(K613,COA!$A$3:$B$337,2,FALSE)</f>
        <v>S56</v>
      </c>
      <c r="M613" s="96" t="str">
        <f t="shared" si="30"/>
        <v>S56</v>
      </c>
      <c r="N613" s="96" t="str">
        <f>VLOOKUP(M613,CAC!$A$2:$B$198,2,FALSE)</f>
        <v>PPOSG</v>
      </c>
    </row>
    <row r="614" spans="5:14" x14ac:dyDescent="0.25">
      <c r="E614" s="136">
        <v>201510</v>
      </c>
      <c r="F614" s="138" t="s">
        <v>563</v>
      </c>
      <c r="G614" s="138" t="s">
        <v>356</v>
      </c>
      <c r="H614" s="138" t="s">
        <v>344</v>
      </c>
      <c r="I614" s="139">
        <v>0</v>
      </c>
      <c r="K614" s="96" t="str">
        <f t="shared" si="29"/>
        <v>0003-1002-0012</v>
      </c>
      <c r="L614" s="96" t="str">
        <f>VLOOKUP(K614,COA!$A$3:$B$337,2,FALSE)</f>
        <v>F61</v>
      </c>
      <c r="M614" s="96" t="str">
        <f t="shared" si="30"/>
        <v>F61</v>
      </c>
      <c r="N614" s="96" t="str">
        <f>VLOOKUP(M614,CAC!$A$2:$B$198,2,FALSE)</f>
        <v>PPOPMR</v>
      </c>
    </row>
    <row r="615" spans="5:14" x14ac:dyDescent="0.25">
      <c r="E615" s="136">
        <v>201601</v>
      </c>
      <c r="F615" s="138" t="s">
        <v>524</v>
      </c>
      <c r="G615" s="138" t="s">
        <v>359</v>
      </c>
      <c r="H615" s="138" t="s">
        <v>672</v>
      </c>
      <c r="I615" s="139">
        <v>0</v>
      </c>
      <c r="K615" s="96" t="str">
        <f t="shared" si="29"/>
        <v>0025-1005-0058</v>
      </c>
      <c r="L615" s="96" t="str">
        <f>VLOOKUP(K615,COA!$A$3:$B$337,2,FALSE)</f>
        <v>N46</v>
      </c>
      <c r="M615" s="96" t="str">
        <f t="shared" si="30"/>
        <v>N46</v>
      </c>
      <c r="N615" s="96" t="e">
        <f>VLOOKUP(M615,CAC!$A$2:$B$198,2,FALSE)</f>
        <v>#N/A</v>
      </c>
    </row>
    <row r="616" spans="5:14" x14ac:dyDescent="0.25">
      <c r="E616" s="136">
        <v>201703</v>
      </c>
      <c r="F616" s="138" t="s">
        <v>344</v>
      </c>
      <c r="G616" s="138" t="s">
        <v>355</v>
      </c>
      <c r="H616" s="138" t="s">
        <v>344</v>
      </c>
      <c r="I616" s="139">
        <v>41</v>
      </c>
      <c r="K616" s="96" t="str">
        <f t="shared" si="29"/>
        <v>0012-1006-0012</v>
      </c>
      <c r="L616" s="96" t="str">
        <f>VLOOKUP(K616,COA!$A$3:$B$337,2,FALSE)</f>
        <v>L16</v>
      </c>
      <c r="M616" s="96" t="str">
        <f t="shared" si="30"/>
        <v>L16</v>
      </c>
      <c r="N616" s="96" t="str">
        <f>VLOOKUP(M616,CAC!$A$2:$B$198,2,FALSE)</f>
        <v>HMOLG</v>
      </c>
    </row>
    <row r="617" spans="5:14" x14ac:dyDescent="0.25">
      <c r="E617" s="136">
        <v>201705</v>
      </c>
      <c r="F617" s="138" t="s">
        <v>506</v>
      </c>
      <c r="G617" s="138" t="s">
        <v>354</v>
      </c>
      <c r="H617" s="138" t="s">
        <v>592</v>
      </c>
      <c r="I617" s="139">
        <v>0</v>
      </c>
      <c r="K617" s="96" t="str">
        <f t="shared" si="29"/>
        <v>0013-1013-0035</v>
      </c>
      <c r="L617" s="96" t="str">
        <f>VLOOKUP(K617,COA!$A$3:$B$337,2,FALSE)</f>
        <v>N44</v>
      </c>
      <c r="M617" s="96" t="str">
        <f t="shared" si="30"/>
        <v>N44</v>
      </c>
      <c r="N617" s="96" t="e">
        <f>VLOOKUP(M617,CAC!$A$2:$B$198,2,FALSE)</f>
        <v>#N/A</v>
      </c>
    </row>
    <row r="618" spans="5:14" x14ac:dyDescent="0.25">
      <c r="E618" s="136">
        <v>201706</v>
      </c>
      <c r="F618" s="138" t="s">
        <v>345</v>
      </c>
      <c r="G618" s="138" t="s">
        <v>346</v>
      </c>
      <c r="H618" s="138" t="s">
        <v>360</v>
      </c>
      <c r="I618" s="139">
        <v>335</v>
      </c>
      <c r="K618" s="96" t="str">
        <f t="shared" si="29"/>
        <v>0011-1014-0048</v>
      </c>
      <c r="L618" s="96" t="str">
        <f>VLOOKUP(K618,COA!$A$3:$B$337,2,FALSE)</f>
        <v>K23</v>
      </c>
      <c r="M618" s="96" t="str">
        <f t="shared" si="30"/>
        <v>K23</v>
      </c>
      <c r="N618" s="96" t="str">
        <f>VLOOKUP(M618,CAC!$A$2:$B$198,2,FALSE)</f>
        <v>HMFLEX</v>
      </c>
    </row>
    <row r="619" spans="5:14" x14ac:dyDescent="0.25">
      <c r="E619" s="136">
        <v>201507</v>
      </c>
      <c r="F619" s="138" t="s">
        <v>506</v>
      </c>
      <c r="G619" s="138" t="s">
        <v>346</v>
      </c>
      <c r="H619" s="138" t="s">
        <v>592</v>
      </c>
      <c r="I619" s="139">
        <v>0</v>
      </c>
      <c r="K619" s="96" t="str">
        <f t="shared" si="29"/>
        <v>0013-1014-0035</v>
      </c>
      <c r="L619" s="96" t="str">
        <f>VLOOKUP(K619,COA!$A$3:$B$337,2,FALSE)</f>
        <v>K42</v>
      </c>
      <c r="M619" s="96" t="str">
        <f t="shared" si="30"/>
        <v>K42</v>
      </c>
      <c r="N619" s="96" t="str">
        <f>VLOOKUP(M619,CAC!$A$2:$B$198,2,FALSE)</f>
        <v>HMFLEX</v>
      </c>
    </row>
    <row r="620" spans="5:14" x14ac:dyDescent="0.25">
      <c r="E620" s="136">
        <v>201605</v>
      </c>
      <c r="F620" s="138" t="s">
        <v>345</v>
      </c>
      <c r="G620" s="138" t="s">
        <v>350</v>
      </c>
      <c r="H620" s="138" t="s">
        <v>357</v>
      </c>
      <c r="I620" s="139">
        <v>1962.9</v>
      </c>
      <c r="K620" s="96" t="str">
        <f t="shared" si="29"/>
        <v>0011-1012-0038</v>
      </c>
      <c r="L620" s="96" t="str">
        <f>VLOOKUP(K620,COA!$A$3:$B$337,2,FALSE)</f>
        <v>K14</v>
      </c>
      <c r="M620" s="96" t="str">
        <f t="shared" si="30"/>
        <v>K14</v>
      </c>
      <c r="N620" s="96" t="str">
        <f>VLOOKUP(M620,CAC!$A$2:$B$198,2,FALSE)</f>
        <v>HMOPMR</v>
      </c>
    </row>
    <row r="621" spans="5:14" x14ac:dyDescent="0.25">
      <c r="E621" s="136">
        <v>201709</v>
      </c>
      <c r="F621" s="138" t="s">
        <v>746</v>
      </c>
      <c r="G621" s="138" t="s">
        <v>354</v>
      </c>
      <c r="H621" s="138" t="s">
        <v>344</v>
      </c>
      <c r="I621" s="139">
        <v>82</v>
      </c>
      <c r="K621" s="96" t="str">
        <f t="shared" si="29"/>
        <v>0016-1013-0012</v>
      </c>
      <c r="L621" s="96" t="str">
        <f>VLOOKUP(K621,COA!$A$3:$B$337,2,FALSE)</f>
        <v>R19</v>
      </c>
      <c r="M621" s="96" t="str">
        <f t="shared" si="30"/>
        <v>R19</v>
      </c>
      <c r="N621" s="96" t="str">
        <f>VLOOKUP(M621,CAC!$A$2:$B$198,2,FALSE)</f>
        <v>HMOMG</v>
      </c>
    </row>
    <row r="622" spans="5:14" x14ac:dyDescent="0.25">
      <c r="E622" s="136">
        <v>201704</v>
      </c>
      <c r="F622" s="138" t="s">
        <v>344</v>
      </c>
      <c r="G622" s="138" t="s">
        <v>356</v>
      </c>
      <c r="H622" s="138" t="s">
        <v>344</v>
      </c>
      <c r="I622" s="139">
        <v>4273</v>
      </c>
      <c r="K622" s="96" t="str">
        <f t="shared" si="29"/>
        <v>0012-1002-0012</v>
      </c>
      <c r="L622" s="96" t="str">
        <f>VLOOKUP(K622,COA!$A$3:$B$337,2,FALSE)</f>
        <v>F22</v>
      </c>
      <c r="M622" s="96" t="str">
        <f t="shared" si="30"/>
        <v>F22</v>
      </c>
      <c r="N622" s="96" t="str">
        <f>VLOOKUP(M622,CAC!$A$2:$B$198,2,FALSE)</f>
        <v>HMOPMR</v>
      </c>
    </row>
    <row r="623" spans="5:14" x14ac:dyDescent="0.25">
      <c r="E623" s="136">
        <v>201704</v>
      </c>
      <c r="F623" s="138" t="s">
        <v>349</v>
      </c>
      <c r="G623" s="138" t="s">
        <v>369</v>
      </c>
      <c r="H623" s="138" t="s">
        <v>764</v>
      </c>
      <c r="I623" s="139">
        <v>5428</v>
      </c>
      <c r="K623" s="96" t="str">
        <f t="shared" si="29"/>
        <v>0017-1009-0064</v>
      </c>
      <c r="L623" s="96" t="str">
        <f>VLOOKUP(K623,COA!$A$3:$B$337,2,FALSE)</f>
        <v>R15</v>
      </c>
      <c r="M623" s="96" t="str">
        <f t="shared" si="30"/>
        <v>R15</v>
      </c>
      <c r="N623" s="96" t="str">
        <f>VLOOKUP(M623,CAC!$A$2:$B$198,2,FALSE)</f>
        <v>HMOMM</v>
      </c>
    </row>
    <row r="624" spans="5:14" x14ac:dyDescent="0.25">
      <c r="E624" s="136">
        <v>201511</v>
      </c>
      <c r="F624" s="138" t="s">
        <v>563</v>
      </c>
      <c r="G624" s="138" t="s">
        <v>361</v>
      </c>
      <c r="H624" s="138" t="s">
        <v>344</v>
      </c>
      <c r="I624" s="139">
        <v>0</v>
      </c>
      <c r="K624" s="96" t="str">
        <f t="shared" si="29"/>
        <v>0003-1003-0012</v>
      </c>
      <c r="L624" s="96" t="str">
        <f>VLOOKUP(K624,COA!$A$3:$B$337,2,FALSE)</f>
        <v>N61</v>
      </c>
      <c r="M624" s="96" t="str">
        <f t="shared" si="30"/>
        <v>N61</v>
      </c>
      <c r="N624" s="96" t="str">
        <f>VLOOKUP(M624,CAC!$A$2:$B$198,2,FALSE)</f>
        <v>PPOPMR</v>
      </c>
    </row>
    <row r="625" spans="5:14" x14ac:dyDescent="0.25">
      <c r="E625" s="136">
        <v>201710</v>
      </c>
      <c r="F625" s="138" t="s">
        <v>345</v>
      </c>
      <c r="G625" s="138" t="s">
        <v>352</v>
      </c>
      <c r="H625" s="138" t="s">
        <v>653</v>
      </c>
      <c r="I625" s="139">
        <v>0</v>
      </c>
      <c r="K625" s="96" t="str">
        <f t="shared" si="29"/>
        <v>0011-1004-0047</v>
      </c>
      <c r="L625" s="96" t="str">
        <f>VLOOKUP(K625,COA!$A$3:$B$337,2,FALSE)</f>
        <v>L17</v>
      </c>
      <c r="M625" s="96" t="str">
        <f t="shared" si="30"/>
        <v>L17</v>
      </c>
      <c r="N625" s="96" t="str">
        <f>VLOOKUP(M625,CAC!$A$2:$B$198,2,FALSE)</f>
        <v>HMOLG</v>
      </c>
    </row>
    <row r="626" spans="5:14" x14ac:dyDescent="0.25">
      <c r="E626" s="136">
        <v>201711</v>
      </c>
      <c r="F626" s="138" t="s">
        <v>345</v>
      </c>
      <c r="G626" s="138" t="s">
        <v>348</v>
      </c>
      <c r="H626" s="138" t="s">
        <v>358</v>
      </c>
      <c r="I626" s="139">
        <v>196</v>
      </c>
      <c r="K626" s="96" t="str">
        <f t="shared" si="29"/>
        <v>0011-1010-0024</v>
      </c>
      <c r="L626" s="96" t="str">
        <f>VLOOKUP(K626,COA!$A$3:$B$337,2,FALSE)</f>
        <v>S14</v>
      </c>
      <c r="M626" s="96" t="str">
        <f t="shared" si="30"/>
        <v>S14</v>
      </c>
      <c r="N626" s="96" t="str">
        <f>VLOOKUP(M626,CAC!$A$2:$B$198,2,FALSE)</f>
        <v>HMOSG</v>
      </c>
    </row>
    <row r="627" spans="5:14" x14ac:dyDescent="0.25">
      <c r="E627" s="136">
        <v>201602</v>
      </c>
      <c r="F627" s="138" t="s">
        <v>563</v>
      </c>
      <c r="G627" s="138" t="s">
        <v>350</v>
      </c>
      <c r="H627" s="138" t="s">
        <v>626</v>
      </c>
      <c r="I627" s="139">
        <v>0</v>
      </c>
      <c r="K627" s="96" t="str">
        <f t="shared" si="29"/>
        <v>0003-1012-0057</v>
      </c>
      <c r="L627" s="96" t="str">
        <f>VLOOKUP(K627,COA!$A$3:$B$337,2,FALSE)</f>
        <v>K51</v>
      </c>
      <c r="M627" s="96" t="str">
        <f t="shared" si="30"/>
        <v>K51</v>
      </c>
      <c r="N627" s="96" t="str">
        <f>VLOOKUP(M627,CAC!$A$2:$B$198,2,FALSE)</f>
        <v>PPOPMR</v>
      </c>
    </row>
    <row r="628" spans="5:14" x14ac:dyDescent="0.25">
      <c r="E628" s="136">
        <v>201603</v>
      </c>
      <c r="F628" s="138" t="s">
        <v>563</v>
      </c>
      <c r="G628" s="138" t="s">
        <v>352</v>
      </c>
      <c r="H628" s="138" t="s">
        <v>344</v>
      </c>
      <c r="I628" s="139">
        <v>0</v>
      </c>
      <c r="K628" s="96" t="str">
        <f t="shared" si="29"/>
        <v>0003-1004-0012</v>
      </c>
      <c r="L628" s="96" t="str">
        <f>VLOOKUP(K628,COA!$A$3:$B$337,2,FALSE)</f>
        <v>L51</v>
      </c>
      <c r="M628" s="96" t="str">
        <f t="shared" si="30"/>
        <v>L51</v>
      </c>
      <c r="N628" s="96" t="str">
        <f>VLOOKUP(M628,CAC!$A$2:$B$198,2,FALSE)</f>
        <v>PPOLG</v>
      </c>
    </row>
    <row r="629" spans="5:14" x14ac:dyDescent="0.25">
      <c r="E629" s="136">
        <v>201509</v>
      </c>
      <c r="F629" s="138" t="s">
        <v>563</v>
      </c>
      <c r="G629" s="138" t="s">
        <v>355</v>
      </c>
      <c r="H629" s="138" t="s">
        <v>344</v>
      </c>
      <c r="I629" s="139">
        <v>0</v>
      </c>
      <c r="K629" s="96" t="str">
        <f t="shared" si="29"/>
        <v>0003-1006-0012</v>
      </c>
      <c r="L629" s="96" t="str">
        <f>VLOOKUP(K629,COA!$A$3:$B$337,2,FALSE)</f>
        <v>L52</v>
      </c>
      <c r="M629" s="96" t="str">
        <f t="shared" si="30"/>
        <v>L52</v>
      </c>
      <c r="N629" s="96" t="str">
        <f>VLOOKUP(M629,CAC!$A$2:$B$198,2,FALSE)</f>
        <v>PPOLG</v>
      </c>
    </row>
    <row r="630" spans="5:14" x14ac:dyDescent="0.25">
      <c r="E630" s="136">
        <v>201704</v>
      </c>
      <c r="F630" s="138" t="s">
        <v>345</v>
      </c>
      <c r="G630" s="138" t="s">
        <v>365</v>
      </c>
      <c r="H630" s="138" t="s">
        <v>366</v>
      </c>
      <c r="I630" s="139">
        <v>1175.8</v>
      </c>
      <c r="K630" s="96" t="str">
        <f t="shared" si="29"/>
        <v>0011-1001-0021</v>
      </c>
      <c r="L630" s="96" t="str">
        <f>VLOOKUP(K630,COA!$A$3:$B$337,2,FALSE)</f>
        <v>V13</v>
      </c>
      <c r="M630" s="96" t="str">
        <f t="shared" si="30"/>
        <v>V13</v>
      </c>
      <c r="N630" s="96" t="str">
        <f>VLOOKUP(M630,CAC!$A$2:$B$198,2,FALSE)</f>
        <v>HMOIFP</v>
      </c>
    </row>
    <row r="631" spans="5:14" x14ac:dyDescent="0.25">
      <c r="E631" s="136">
        <v>201507</v>
      </c>
      <c r="F631" s="138" t="s">
        <v>746</v>
      </c>
      <c r="G631" s="138" t="s">
        <v>354</v>
      </c>
      <c r="H631" s="138" t="s">
        <v>344</v>
      </c>
      <c r="I631" s="139">
        <v>80</v>
      </c>
      <c r="K631" s="96" t="str">
        <f t="shared" si="29"/>
        <v>0016-1013-0012</v>
      </c>
      <c r="L631" s="96" t="str">
        <f>VLOOKUP(K631,COA!$A$3:$B$337,2,FALSE)</f>
        <v>R19</v>
      </c>
      <c r="M631" s="96" t="str">
        <f t="shared" si="30"/>
        <v>R19</v>
      </c>
      <c r="N631" s="96" t="str">
        <f>VLOOKUP(M631,CAC!$A$2:$B$198,2,FALSE)</f>
        <v>HMOMG</v>
      </c>
    </row>
    <row r="632" spans="5:14" x14ac:dyDescent="0.25">
      <c r="E632" s="136">
        <v>201610</v>
      </c>
      <c r="F632" s="138" t="s">
        <v>349</v>
      </c>
      <c r="G632" s="138" t="s">
        <v>369</v>
      </c>
      <c r="H632" s="138" t="s">
        <v>764</v>
      </c>
      <c r="I632" s="139">
        <v>5687</v>
      </c>
      <c r="K632" s="96" t="str">
        <f t="shared" si="29"/>
        <v>0017-1009-0064</v>
      </c>
      <c r="L632" s="96" t="str">
        <f>VLOOKUP(K632,COA!$A$3:$B$337,2,FALSE)</f>
        <v>R15</v>
      </c>
      <c r="M632" s="96" t="str">
        <f t="shared" si="30"/>
        <v>R15</v>
      </c>
      <c r="N632" s="96" t="str">
        <f>VLOOKUP(M632,CAC!$A$2:$B$198,2,FALSE)</f>
        <v>HMOMM</v>
      </c>
    </row>
    <row r="633" spans="5:14" x14ac:dyDescent="0.25">
      <c r="E633" s="136">
        <v>201704</v>
      </c>
      <c r="F633" s="138" t="s">
        <v>563</v>
      </c>
      <c r="G633" s="138" t="s">
        <v>355</v>
      </c>
      <c r="H633" s="138" t="s">
        <v>344</v>
      </c>
      <c r="I633" s="139">
        <v>0</v>
      </c>
      <c r="K633" s="96" t="str">
        <f t="shared" si="29"/>
        <v>0003-1006-0012</v>
      </c>
      <c r="L633" s="96" t="str">
        <f>VLOOKUP(K633,COA!$A$3:$B$337,2,FALSE)</f>
        <v>L52</v>
      </c>
      <c r="M633" s="96" t="str">
        <f t="shared" si="30"/>
        <v>L52</v>
      </c>
      <c r="N633" s="96" t="str">
        <f>VLOOKUP(M633,CAC!$A$2:$B$198,2,FALSE)</f>
        <v>PPOLG</v>
      </c>
    </row>
    <row r="634" spans="5:14" x14ac:dyDescent="0.25">
      <c r="E634" s="136">
        <v>201606</v>
      </c>
      <c r="F634" s="138" t="s">
        <v>345</v>
      </c>
      <c r="G634" s="138" t="s">
        <v>359</v>
      </c>
      <c r="H634" s="138" t="s">
        <v>344</v>
      </c>
      <c r="I634" s="139">
        <v>4181.2700000000004</v>
      </c>
      <c r="K634" s="96" t="str">
        <f t="shared" si="29"/>
        <v>0011-1005-0012</v>
      </c>
      <c r="L634" s="96" t="str">
        <f>VLOOKUP(K634,COA!$A$3:$B$337,2,FALSE)</f>
        <v>N11</v>
      </c>
      <c r="M634" s="96" t="str">
        <f t="shared" si="30"/>
        <v>N11</v>
      </c>
      <c r="N634" s="96" t="str">
        <f>VLOOKUP(M634,CAC!$A$2:$B$198,2,FALSE)</f>
        <v>HMOLG</v>
      </c>
    </row>
    <row r="635" spans="5:14" x14ac:dyDescent="0.25">
      <c r="E635" s="136">
        <v>201507</v>
      </c>
      <c r="F635" s="138" t="s">
        <v>563</v>
      </c>
      <c r="G635" s="138" t="s">
        <v>350</v>
      </c>
      <c r="H635" s="138" t="s">
        <v>344</v>
      </c>
      <c r="I635" s="139">
        <v>0</v>
      </c>
      <c r="K635" s="96" t="str">
        <f t="shared" si="29"/>
        <v>0003-1012-0012</v>
      </c>
      <c r="L635" s="96" t="str">
        <f>VLOOKUP(K635,COA!$A$3:$B$337,2,FALSE)</f>
        <v>K51</v>
      </c>
      <c r="M635" s="96" t="str">
        <f t="shared" si="30"/>
        <v>K51</v>
      </c>
      <c r="N635" s="96" t="str">
        <f>VLOOKUP(M635,CAC!$A$2:$B$198,2,FALSE)</f>
        <v>PPOPMR</v>
      </c>
    </row>
    <row r="636" spans="5:14" x14ac:dyDescent="0.25">
      <c r="E636" s="136">
        <v>201702</v>
      </c>
      <c r="F636" s="138" t="s">
        <v>563</v>
      </c>
      <c r="G636" s="138" t="s">
        <v>351</v>
      </c>
      <c r="H636" s="138" t="s">
        <v>349</v>
      </c>
      <c r="I636" s="139">
        <v>0</v>
      </c>
      <c r="K636" s="96" t="str">
        <f t="shared" si="29"/>
        <v>0003-0000-0017</v>
      </c>
      <c r="L636" s="96" t="e">
        <f>VLOOKUP(K636,COA!$A$3:$B$337,2,FALSE)</f>
        <v>#N/A</v>
      </c>
      <c r="M636" s="96" t="str">
        <f t="shared" si="30"/>
        <v>XXX</v>
      </c>
      <c r="N636" s="96" t="str">
        <f>VLOOKUP(M636,CAC!$A$2:$B$198,2,FALSE)</f>
        <v>XXX</v>
      </c>
    </row>
    <row r="637" spans="5:14" x14ac:dyDescent="0.25">
      <c r="E637" s="136">
        <v>201603</v>
      </c>
      <c r="F637" s="138" t="s">
        <v>405</v>
      </c>
      <c r="G637" s="138" t="s">
        <v>362</v>
      </c>
      <c r="H637" s="138" t="s">
        <v>342</v>
      </c>
      <c r="I637" s="139">
        <v>0</v>
      </c>
      <c r="K637" s="96" t="str">
        <f t="shared" si="29"/>
        <v>0019-1008-0031</v>
      </c>
      <c r="L637" s="96" t="str">
        <f>VLOOKUP(K637,COA!$A$3:$B$337,2,FALSE)</f>
        <v>P53</v>
      </c>
      <c r="M637" s="96" t="str">
        <f t="shared" si="30"/>
        <v>P53</v>
      </c>
      <c r="N637" s="96" t="str">
        <f>VLOOKUP(M637,CAC!$A$2:$B$198,2,FALSE)</f>
        <v>HMOPERA</v>
      </c>
    </row>
    <row r="638" spans="5:14" x14ac:dyDescent="0.25">
      <c r="E638" s="136">
        <v>201503</v>
      </c>
      <c r="F638" s="138" t="s">
        <v>746</v>
      </c>
      <c r="G638" s="138" t="s">
        <v>354</v>
      </c>
      <c r="H638" s="138" t="s">
        <v>344</v>
      </c>
      <c r="I638" s="139">
        <v>79</v>
      </c>
      <c r="K638" s="96" t="str">
        <f t="shared" si="29"/>
        <v>0016-1013-0012</v>
      </c>
      <c r="L638" s="96" t="str">
        <f>VLOOKUP(K638,COA!$A$3:$B$337,2,FALSE)</f>
        <v>R19</v>
      </c>
      <c r="M638" s="96" t="str">
        <f t="shared" si="30"/>
        <v>R19</v>
      </c>
      <c r="N638" s="96" t="str">
        <f>VLOOKUP(M638,CAC!$A$2:$B$198,2,FALSE)</f>
        <v>HMOMG</v>
      </c>
    </row>
    <row r="639" spans="5:14" x14ac:dyDescent="0.25">
      <c r="E639" s="136">
        <v>201710</v>
      </c>
      <c r="F639" s="138" t="s">
        <v>563</v>
      </c>
      <c r="G639" s="138" t="s">
        <v>365</v>
      </c>
      <c r="H639" s="138" t="s">
        <v>367</v>
      </c>
      <c r="I639" s="139">
        <v>0</v>
      </c>
      <c r="K639" s="96" t="str">
        <f t="shared" si="29"/>
        <v>0003-1001-0022</v>
      </c>
      <c r="L639" s="96" t="str">
        <f>VLOOKUP(K639,COA!$A$3:$B$337,2,FALSE)</f>
        <v>V54</v>
      </c>
      <c r="M639" s="96" t="str">
        <f t="shared" si="30"/>
        <v>V54</v>
      </c>
      <c r="N639" s="96" t="str">
        <f>VLOOKUP(M639,CAC!$A$2:$B$198,2,FALSE)</f>
        <v>PPOIFP</v>
      </c>
    </row>
    <row r="640" spans="5:14" x14ac:dyDescent="0.25">
      <c r="E640" s="136">
        <v>201703</v>
      </c>
      <c r="F640" s="138" t="s">
        <v>549</v>
      </c>
      <c r="G640" s="138" t="s">
        <v>352</v>
      </c>
      <c r="H640" s="138" t="s">
        <v>672</v>
      </c>
      <c r="I640" s="139">
        <v>0</v>
      </c>
      <c r="K640" s="96" t="str">
        <f t="shared" si="29"/>
        <v>0026-1004-0058</v>
      </c>
      <c r="L640" s="96" t="str">
        <f>VLOOKUP(K640,COA!$A$3:$B$337,2,FALSE)</f>
        <v>L44</v>
      </c>
      <c r="M640" s="96" t="str">
        <f t="shared" si="30"/>
        <v>L44</v>
      </c>
      <c r="N640" s="96" t="e">
        <f>VLOOKUP(M640,CAC!$A$2:$B$198,2,FALSE)</f>
        <v>#N/A</v>
      </c>
    </row>
    <row r="641" spans="5:14" x14ac:dyDescent="0.25">
      <c r="E641" s="136">
        <v>201708</v>
      </c>
      <c r="F641" s="138" t="s">
        <v>413</v>
      </c>
      <c r="G641" s="138" t="s">
        <v>355</v>
      </c>
      <c r="H641" s="138" t="s">
        <v>344</v>
      </c>
      <c r="I641" s="139">
        <v>0</v>
      </c>
      <c r="K641" s="96" t="str">
        <f t="shared" si="29"/>
        <v>0008-1006-0012</v>
      </c>
      <c r="L641" s="96" t="str">
        <f>VLOOKUP(K641,COA!$A$3:$B$337,2,FALSE)</f>
        <v>C96</v>
      </c>
      <c r="M641" s="96" t="str">
        <f t="shared" si="30"/>
        <v>C96</v>
      </c>
      <c r="N641" s="96" t="str">
        <f>VLOOKUP(M641,CAC!$A$2:$B$198,2,FALSE)</f>
        <v>DOILG</v>
      </c>
    </row>
    <row r="642" spans="5:14" x14ac:dyDescent="0.25">
      <c r="E642" s="136">
        <v>201512</v>
      </c>
      <c r="F642" s="138" t="s">
        <v>344</v>
      </c>
      <c r="G642" s="138" t="s">
        <v>352</v>
      </c>
      <c r="H642" s="138" t="s">
        <v>344</v>
      </c>
      <c r="I642" s="139">
        <v>456</v>
      </c>
      <c r="K642" s="96" t="str">
        <f t="shared" si="29"/>
        <v>0012-1004-0012</v>
      </c>
      <c r="L642" s="96" t="str">
        <f>VLOOKUP(K642,COA!$A$3:$B$337,2,FALSE)</f>
        <v>L12</v>
      </c>
      <c r="M642" s="96" t="str">
        <f t="shared" si="30"/>
        <v>L12</v>
      </c>
      <c r="N642" s="96" t="str">
        <f>VLOOKUP(M642,CAC!$A$2:$B$198,2,FALSE)</f>
        <v>HMOLG</v>
      </c>
    </row>
    <row r="643" spans="5:14" x14ac:dyDescent="0.25">
      <c r="E643" s="136">
        <v>201604</v>
      </c>
      <c r="F643" s="138" t="s">
        <v>413</v>
      </c>
      <c r="G643" s="138" t="s">
        <v>356</v>
      </c>
      <c r="H643" s="138" t="s">
        <v>344</v>
      </c>
      <c r="I643" s="139">
        <v>0</v>
      </c>
      <c r="K643" s="96" t="str">
        <f t="shared" ref="K643:K706" si="31">F643&amp;"-"&amp;G643&amp;"-"&amp;H643</f>
        <v>0008-1002-0012</v>
      </c>
      <c r="L643" s="96" t="str">
        <f>VLOOKUP(K643,COA!$A$3:$B$337,2,FALSE)</f>
        <v>C74</v>
      </c>
      <c r="M643" s="96" t="str">
        <f t="shared" si="30"/>
        <v>C74</v>
      </c>
      <c r="N643" s="96" t="str">
        <f>VLOOKUP(M643,CAC!$A$2:$B$198,2,FALSE)</f>
        <v>DOILG</v>
      </c>
    </row>
    <row r="644" spans="5:14" x14ac:dyDescent="0.25">
      <c r="E644" s="136">
        <v>201512</v>
      </c>
      <c r="F644" s="138" t="s">
        <v>345</v>
      </c>
      <c r="G644" s="138" t="s">
        <v>351</v>
      </c>
      <c r="H644" s="138" t="s">
        <v>353</v>
      </c>
      <c r="I644" s="139">
        <v>3</v>
      </c>
      <c r="K644" s="96" t="str">
        <f t="shared" si="31"/>
        <v>0011-0000-0023</v>
      </c>
      <c r="L644" s="96" t="e">
        <f>VLOOKUP(K644,COA!$A$3:$B$337,2,FALSE)</f>
        <v>#N/A</v>
      </c>
      <c r="M644" s="96" t="str">
        <f t="shared" ref="M644:M707" si="32">IF(ISNA(L644),"XXX",L644)</f>
        <v>XXX</v>
      </c>
      <c r="N644" s="96" t="str">
        <f>VLOOKUP(M644,CAC!$A$2:$B$198,2,FALSE)</f>
        <v>XXX</v>
      </c>
    </row>
    <row r="645" spans="5:14" x14ac:dyDescent="0.25">
      <c r="E645" s="136">
        <v>201708</v>
      </c>
      <c r="F645" s="138" t="s">
        <v>345</v>
      </c>
      <c r="G645" s="138" t="s">
        <v>356</v>
      </c>
      <c r="H645" s="138" t="s">
        <v>344</v>
      </c>
      <c r="I645" s="139">
        <v>16167.55</v>
      </c>
      <c r="K645" s="96" t="str">
        <f t="shared" si="31"/>
        <v>0011-1002-0012</v>
      </c>
      <c r="L645" s="96" t="str">
        <f>VLOOKUP(K645,COA!$A$3:$B$337,2,FALSE)</f>
        <v>F20</v>
      </c>
      <c r="M645" s="96" t="str">
        <f t="shared" si="32"/>
        <v>F20</v>
      </c>
      <c r="N645" s="96" t="str">
        <f>VLOOKUP(M645,CAC!$A$2:$B$198,2,FALSE)</f>
        <v>HMOPMR</v>
      </c>
    </row>
    <row r="646" spans="5:14" x14ac:dyDescent="0.25">
      <c r="E646" s="136">
        <v>201505</v>
      </c>
      <c r="F646" s="138" t="s">
        <v>344</v>
      </c>
      <c r="G646" s="138" t="s">
        <v>352</v>
      </c>
      <c r="H646" s="138" t="s">
        <v>344</v>
      </c>
      <c r="I646" s="139">
        <v>265</v>
      </c>
      <c r="K646" s="96" t="str">
        <f t="shared" si="31"/>
        <v>0012-1004-0012</v>
      </c>
      <c r="L646" s="96" t="str">
        <f>VLOOKUP(K646,COA!$A$3:$B$337,2,FALSE)</f>
        <v>L12</v>
      </c>
      <c r="M646" s="96" t="str">
        <f t="shared" si="32"/>
        <v>L12</v>
      </c>
      <c r="N646" s="96" t="str">
        <f>VLOOKUP(M646,CAC!$A$2:$B$198,2,FALSE)</f>
        <v>HMOLG</v>
      </c>
    </row>
    <row r="647" spans="5:14" x14ac:dyDescent="0.25">
      <c r="E647" s="136">
        <v>201709</v>
      </c>
      <c r="F647" s="138" t="s">
        <v>345</v>
      </c>
      <c r="G647" s="138" t="s">
        <v>352</v>
      </c>
      <c r="H647" s="138" t="s">
        <v>653</v>
      </c>
      <c r="I647" s="139">
        <v>0</v>
      </c>
      <c r="K647" s="96" t="str">
        <f t="shared" si="31"/>
        <v>0011-1004-0047</v>
      </c>
      <c r="L647" s="96" t="str">
        <f>VLOOKUP(K647,COA!$A$3:$B$337,2,FALSE)</f>
        <v>L17</v>
      </c>
      <c r="M647" s="96" t="str">
        <f t="shared" si="32"/>
        <v>L17</v>
      </c>
      <c r="N647" s="96" t="str">
        <f>VLOOKUP(M647,CAC!$A$2:$B$198,2,FALSE)</f>
        <v>HMOLG</v>
      </c>
    </row>
    <row r="648" spans="5:14" x14ac:dyDescent="0.25">
      <c r="E648" s="136">
        <v>201701</v>
      </c>
      <c r="F648" s="138" t="s">
        <v>746</v>
      </c>
      <c r="G648" s="138" t="s">
        <v>352</v>
      </c>
      <c r="H648" s="138" t="s">
        <v>344</v>
      </c>
      <c r="I648" s="139">
        <v>3</v>
      </c>
      <c r="K648" s="96" t="str">
        <f t="shared" si="31"/>
        <v>0016-1004-0012</v>
      </c>
      <c r="L648" s="96" t="str">
        <f>VLOOKUP(K648,COA!$A$3:$B$337,2,FALSE)</f>
        <v>R20</v>
      </c>
      <c r="M648" s="96" t="str">
        <f t="shared" si="32"/>
        <v>R20</v>
      </c>
      <c r="N648" s="96" t="str">
        <f>VLOOKUP(M648,CAC!$A$2:$B$198,2,FALSE)</f>
        <v>HMOMG</v>
      </c>
    </row>
    <row r="649" spans="5:14" x14ac:dyDescent="0.25">
      <c r="E649" s="136">
        <v>201706</v>
      </c>
      <c r="F649" s="138" t="s">
        <v>563</v>
      </c>
      <c r="G649" s="138" t="s">
        <v>354</v>
      </c>
      <c r="H649" s="138" t="s">
        <v>344</v>
      </c>
      <c r="I649" s="139">
        <v>0</v>
      </c>
      <c r="K649" s="96" t="str">
        <f t="shared" si="31"/>
        <v>0003-1013-0012</v>
      </c>
      <c r="L649" s="96" t="str">
        <f>VLOOKUP(K649,COA!$A$3:$B$337,2,FALSE)</f>
        <v>N55</v>
      </c>
      <c r="M649" s="96" t="str">
        <f t="shared" si="32"/>
        <v>N55</v>
      </c>
      <c r="N649" s="96" t="str">
        <f>VLOOKUP(M649,CAC!$A$2:$B$198,2,FALSE)</f>
        <v>PPOPMR</v>
      </c>
    </row>
    <row r="650" spans="5:14" x14ac:dyDescent="0.25">
      <c r="E650" s="136">
        <v>201603</v>
      </c>
      <c r="F650" s="138" t="s">
        <v>345</v>
      </c>
      <c r="G650" s="138" t="s">
        <v>359</v>
      </c>
      <c r="H650" s="138" t="s">
        <v>344</v>
      </c>
      <c r="I650" s="139">
        <v>3951</v>
      </c>
      <c r="K650" s="96" t="str">
        <f t="shared" si="31"/>
        <v>0011-1005-0012</v>
      </c>
      <c r="L650" s="96" t="str">
        <f>VLOOKUP(K650,COA!$A$3:$B$337,2,FALSE)</f>
        <v>N11</v>
      </c>
      <c r="M650" s="96" t="str">
        <f t="shared" si="32"/>
        <v>N11</v>
      </c>
      <c r="N650" s="96" t="str">
        <f>VLOOKUP(M650,CAC!$A$2:$B$198,2,FALSE)</f>
        <v>HMOLG</v>
      </c>
    </row>
    <row r="651" spans="5:14" x14ac:dyDescent="0.25">
      <c r="E651" s="136">
        <v>201510</v>
      </c>
      <c r="F651" s="138" t="s">
        <v>563</v>
      </c>
      <c r="G651" s="138" t="s">
        <v>350</v>
      </c>
      <c r="H651" s="138" t="s">
        <v>344</v>
      </c>
      <c r="I651" s="139">
        <v>0</v>
      </c>
      <c r="K651" s="96" t="str">
        <f t="shared" si="31"/>
        <v>0003-1012-0012</v>
      </c>
      <c r="L651" s="96" t="str">
        <f>VLOOKUP(K651,COA!$A$3:$B$337,2,FALSE)</f>
        <v>K51</v>
      </c>
      <c r="M651" s="96" t="str">
        <f t="shared" si="32"/>
        <v>K51</v>
      </c>
      <c r="N651" s="96" t="str">
        <f>VLOOKUP(M651,CAC!$A$2:$B$198,2,FALSE)</f>
        <v>PPOPMR</v>
      </c>
    </row>
    <row r="652" spans="5:14" x14ac:dyDescent="0.25">
      <c r="E652" s="136">
        <v>201707</v>
      </c>
      <c r="F652" s="138" t="s">
        <v>344</v>
      </c>
      <c r="G652" s="138" t="s">
        <v>359</v>
      </c>
      <c r="H652" s="138" t="s">
        <v>344</v>
      </c>
      <c r="I652" s="139">
        <v>151</v>
      </c>
      <c r="K652" s="96" t="str">
        <f t="shared" si="31"/>
        <v>0012-1005-0012</v>
      </c>
      <c r="L652" s="96" t="str">
        <f>VLOOKUP(K652,COA!$A$3:$B$337,2,FALSE)</f>
        <v>N13</v>
      </c>
      <c r="M652" s="96" t="str">
        <f t="shared" si="32"/>
        <v>N13</v>
      </c>
      <c r="N652" s="96" t="str">
        <f>VLOOKUP(M652,CAC!$A$2:$B$198,2,FALSE)</f>
        <v>HMOLG</v>
      </c>
    </row>
    <row r="653" spans="5:14" x14ac:dyDescent="0.25">
      <c r="E653" s="136">
        <v>201508</v>
      </c>
      <c r="F653" s="138" t="s">
        <v>345</v>
      </c>
      <c r="G653" s="138" t="s">
        <v>346</v>
      </c>
      <c r="H653" s="138" t="s">
        <v>347</v>
      </c>
      <c r="I653" s="139">
        <v>8</v>
      </c>
      <c r="K653" s="96" t="str">
        <f t="shared" si="31"/>
        <v>0011-1014-0039</v>
      </c>
      <c r="L653" s="96" t="str">
        <f>VLOOKUP(K653,COA!$A$3:$B$337,2,FALSE)</f>
        <v>K24</v>
      </c>
      <c r="M653" s="96" t="str">
        <f t="shared" si="32"/>
        <v>K24</v>
      </c>
      <c r="N653" s="96" t="str">
        <f>VLOOKUP(M653,CAC!$A$2:$B$198,2,FALSE)</f>
        <v>HMFLEX</v>
      </c>
    </row>
    <row r="654" spans="5:14" x14ac:dyDescent="0.25">
      <c r="E654" s="136">
        <v>201710</v>
      </c>
      <c r="F654" s="138" t="s">
        <v>344</v>
      </c>
      <c r="G654" s="138" t="s">
        <v>350</v>
      </c>
      <c r="H654" s="138" t="s">
        <v>344</v>
      </c>
      <c r="I654" s="139">
        <v>28</v>
      </c>
      <c r="K654" s="96" t="str">
        <f t="shared" si="31"/>
        <v>0012-1012-0012</v>
      </c>
      <c r="L654" s="96" t="str">
        <f>VLOOKUP(K654,COA!$A$3:$B$337,2,FALSE)</f>
        <v>K12</v>
      </c>
      <c r="M654" s="96" t="str">
        <f t="shared" si="32"/>
        <v>K12</v>
      </c>
      <c r="N654" s="96" t="str">
        <f>VLOOKUP(M654,CAC!$A$2:$B$198,2,FALSE)</f>
        <v>HMOPMR</v>
      </c>
    </row>
    <row r="655" spans="5:14" x14ac:dyDescent="0.25">
      <c r="E655" s="136">
        <v>201512</v>
      </c>
      <c r="F655" s="138" t="s">
        <v>413</v>
      </c>
      <c r="G655" s="138" t="s">
        <v>348</v>
      </c>
      <c r="H655" s="138" t="s">
        <v>349</v>
      </c>
      <c r="I655" s="139">
        <v>0</v>
      </c>
      <c r="K655" s="96" t="str">
        <f t="shared" si="31"/>
        <v>0008-1010-0017</v>
      </c>
      <c r="L655" s="96" t="str">
        <f>VLOOKUP(K655,COA!$A$3:$B$337,2,FALSE)</f>
        <v>C94</v>
      </c>
      <c r="M655" s="96" t="str">
        <f t="shared" si="32"/>
        <v>C94</v>
      </c>
      <c r="N655" s="96" t="str">
        <f>VLOOKUP(M655,CAC!$A$2:$B$198,2,FALSE)</f>
        <v>DOISG</v>
      </c>
    </row>
    <row r="656" spans="5:14" x14ac:dyDescent="0.25">
      <c r="E656" s="136">
        <v>201609</v>
      </c>
      <c r="F656" s="138" t="s">
        <v>563</v>
      </c>
      <c r="G656" s="138" t="s">
        <v>350</v>
      </c>
      <c r="H656" s="138" t="s">
        <v>360</v>
      </c>
      <c r="I656" s="139">
        <v>0</v>
      </c>
      <c r="K656" s="96" t="str">
        <f t="shared" si="31"/>
        <v>0003-1012-0048</v>
      </c>
      <c r="L656" s="96" t="str">
        <f>VLOOKUP(K656,COA!$A$3:$B$337,2,FALSE)</f>
        <v>K56</v>
      </c>
      <c r="M656" s="96" t="str">
        <f t="shared" si="32"/>
        <v>K56</v>
      </c>
      <c r="N656" s="96" t="str">
        <f>VLOOKUP(M656,CAC!$A$2:$B$198,2,FALSE)</f>
        <v>HMFLEX</v>
      </c>
    </row>
    <row r="657" spans="5:14" x14ac:dyDescent="0.25">
      <c r="E657" s="136">
        <v>201605</v>
      </c>
      <c r="F657" s="138" t="s">
        <v>549</v>
      </c>
      <c r="G657" s="138" t="s">
        <v>356</v>
      </c>
      <c r="H657" s="138" t="s">
        <v>672</v>
      </c>
      <c r="I657" s="139">
        <v>0</v>
      </c>
      <c r="K657" s="96" t="str">
        <f t="shared" si="31"/>
        <v>0026-1002-0058</v>
      </c>
      <c r="L657" s="96" t="str">
        <f>VLOOKUP(K657,COA!$A$3:$B$337,2,FALSE)</f>
        <v>L45</v>
      </c>
      <c r="M657" s="96" t="str">
        <f t="shared" si="32"/>
        <v>L45</v>
      </c>
      <c r="N657" s="96" t="e">
        <f>VLOOKUP(M657,CAC!$A$2:$B$198,2,FALSE)</f>
        <v>#N/A</v>
      </c>
    </row>
    <row r="658" spans="5:14" x14ac:dyDescent="0.25">
      <c r="E658" s="136">
        <v>201509</v>
      </c>
      <c r="F658" s="138" t="s">
        <v>344</v>
      </c>
      <c r="G658" s="138" t="s">
        <v>352</v>
      </c>
      <c r="H658" s="138" t="s">
        <v>344</v>
      </c>
      <c r="I658" s="139">
        <v>443</v>
      </c>
      <c r="K658" s="96" t="str">
        <f t="shared" si="31"/>
        <v>0012-1004-0012</v>
      </c>
      <c r="L658" s="96" t="str">
        <f>VLOOKUP(K658,COA!$A$3:$B$337,2,FALSE)</f>
        <v>L12</v>
      </c>
      <c r="M658" s="96" t="str">
        <f t="shared" si="32"/>
        <v>L12</v>
      </c>
      <c r="N658" s="96" t="str">
        <f>VLOOKUP(M658,CAC!$A$2:$B$198,2,FALSE)</f>
        <v>HMOLG</v>
      </c>
    </row>
    <row r="659" spans="5:14" x14ac:dyDescent="0.25">
      <c r="E659" s="136">
        <v>201703</v>
      </c>
      <c r="F659" s="138" t="s">
        <v>345</v>
      </c>
      <c r="G659" s="138" t="s">
        <v>348</v>
      </c>
      <c r="H659" s="138" t="s">
        <v>358</v>
      </c>
      <c r="I659" s="139">
        <v>87</v>
      </c>
      <c r="K659" s="96" t="str">
        <f t="shared" si="31"/>
        <v>0011-1010-0024</v>
      </c>
      <c r="L659" s="96" t="str">
        <f>VLOOKUP(K659,COA!$A$3:$B$337,2,FALSE)</f>
        <v>S14</v>
      </c>
      <c r="M659" s="96" t="str">
        <f t="shared" si="32"/>
        <v>S14</v>
      </c>
      <c r="N659" s="96" t="str">
        <f>VLOOKUP(M659,CAC!$A$2:$B$198,2,FALSE)</f>
        <v>HMOSG</v>
      </c>
    </row>
    <row r="660" spans="5:14" x14ac:dyDescent="0.25">
      <c r="E660" s="136">
        <v>201607</v>
      </c>
      <c r="F660" s="138" t="s">
        <v>345</v>
      </c>
      <c r="G660" s="138" t="s">
        <v>352</v>
      </c>
      <c r="H660" s="138" t="s">
        <v>653</v>
      </c>
      <c r="I660" s="139">
        <v>0</v>
      </c>
      <c r="K660" s="96" t="str">
        <f t="shared" si="31"/>
        <v>0011-1004-0047</v>
      </c>
      <c r="L660" s="96" t="str">
        <f>VLOOKUP(K660,COA!$A$3:$B$337,2,FALSE)</f>
        <v>L17</v>
      </c>
      <c r="M660" s="96" t="str">
        <f t="shared" si="32"/>
        <v>L17</v>
      </c>
      <c r="N660" s="96" t="str">
        <f>VLOOKUP(M660,CAC!$A$2:$B$198,2,FALSE)</f>
        <v>HMOLG</v>
      </c>
    </row>
    <row r="661" spans="5:14" x14ac:dyDescent="0.25">
      <c r="E661" s="136">
        <v>201604</v>
      </c>
      <c r="F661" s="138" t="s">
        <v>563</v>
      </c>
      <c r="G661" s="138" t="s">
        <v>355</v>
      </c>
      <c r="H661" s="138" t="s">
        <v>344</v>
      </c>
      <c r="I661" s="139">
        <v>0</v>
      </c>
      <c r="K661" s="96" t="str">
        <f t="shared" si="31"/>
        <v>0003-1006-0012</v>
      </c>
      <c r="L661" s="96" t="str">
        <f>VLOOKUP(K661,COA!$A$3:$B$337,2,FALSE)</f>
        <v>L52</v>
      </c>
      <c r="M661" s="96" t="str">
        <f t="shared" si="32"/>
        <v>L52</v>
      </c>
      <c r="N661" s="96" t="str">
        <f>VLOOKUP(M661,CAC!$A$2:$B$198,2,FALSE)</f>
        <v>PPOLG</v>
      </c>
    </row>
    <row r="662" spans="5:14" x14ac:dyDescent="0.25">
      <c r="E662" s="136">
        <v>201511</v>
      </c>
      <c r="F662" s="138" t="s">
        <v>345</v>
      </c>
      <c r="G662" s="138" t="s">
        <v>352</v>
      </c>
      <c r="H662" s="138" t="s">
        <v>344</v>
      </c>
      <c r="I662" s="139">
        <v>12370.66</v>
      </c>
      <c r="K662" s="96" t="str">
        <f t="shared" si="31"/>
        <v>0011-1004-0012</v>
      </c>
      <c r="L662" s="96" t="str">
        <f>VLOOKUP(K662,COA!$A$3:$B$337,2,FALSE)</f>
        <v>L11</v>
      </c>
      <c r="M662" s="96" t="str">
        <f t="shared" si="32"/>
        <v>L11</v>
      </c>
      <c r="N662" s="96" t="str">
        <f>VLOOKUP(M662,CAC!$A$2:$B$198,2,FALSE)</f>
        <v>HMOLG</v>
      </c>
    </row>
    <row r="663" spans="5:14" x14ac:dyDescent="0.25">
      <c r="E663" s="136">
        <v>201603</v>
      </c>
      <c r="F663" s="138" t="s">
        <v>506</v>
      </c>
      <c r="G663" s="138" t="s">
        <v>346</v>
      </c>
      <c r="H663" s="138" t="s">
        <v>592</v>
      </c>
      <c r="I663" s="139">
        <v>0</v>
      </c>
      <c r="K663" s="96" t="str">
        <f t="shared" si="31"/>
        <v>0013-1014-0035</v>
      </c>
      <c r="L663" s="96" t="str">
        <f>VLOOKUP(K663,COA!$A$3:$B$337,2,FALSE)</f>
        <v>K42</v>
      </c>
      <c r="M663" s="96" t="str">
        <f t="shared" si="32"/>
        <v>K42</v>
      </c>
      <c r="N663" s="96" t="str">
        <f>VLOOKUP(M663,CAC!$A$2:$B$198,2,FALSE)</f>
        <v>HMFLEX</v>
      </c>
    </row>
    <row r="664" spans="5:14" x14ac:dyDescent="0.25">
      <c r="E664" s="136">
        <v>201708</v>
      </c>
      <c r="F664" s="138" t="s">
        <v>563</v>
      </c>
      <c r="G664" s="138" t="s">
        <v>365</v>
      </c>
      <c r="H664" s="138" t="s">
        <v>367</v>
      </c>
      <c r="I664" s="139">
        <v>0</v>
      </c>
      <c r="K664" s="96" t="str">
        <f t="shared" si="31"/>
        <v>0003-1001-0022</v>
      </c>
      <c r="L664" s="96" t="str">
        <f>VLOOKUP(K664,COA!$A$3:$B$337,2,FALSE)</f>
        <v>V54</v>
      </c>
      <c r="M664" s="96" t="str">
        <f t="shared" si="32"/>
        <v>V54</v>
      </c>
      <c r="N664" s="96" t="str">
        <f>VLOOKUP(M664,CAC!$A$2:$B$198,2,FALSE)</f>
        <v>PPOIFP</v>
      </c>
    </row>
    <row r="665" spans="5:14" x14ac:dyDescent="0.25">
      <c r="E665" s="136">
        <v>201603</v>
      </c>
      <c r="F665" s="138" t="s">
        <v>746</v>
      </c>
      <c r="G665" s="138" t="s">
        <v>356</v>
      </c>
      <c r="H665" s="138" t="s">
        <v>344</v>
      </c>
      <c r="I665" s="139">
        <v>125</v>
      </c>
      <c r="K665" s="96" t="str">
        <f t="shared" si="31"/>
        <v>0016-1002-0012</v>
      </c>
      <c r="L665" s="96" t="str">
        <f>VLOOKUP(K665,COA!$A$3:$B$337,2,FALSE)</f>
        <v>R18</v>
      </c>
      <c r="M665" s="96" t="str">
        <f t="shared" si="32"/>
        <v>R18</v>
      </c>
      <c r="N665" s="96" t="str">
        <f>VLOOKUP(M665,CAC!$A$2:$B$198,2,FALSE)</f>
        <v>HMOMG</v>
      </c>
    </row>
    <row r="666" spans="5:14" x14ac:dyDescent="0.25">
      <c r="E666" s="136">
        <v>201511</v>
      </c>
      <c r="F666" s="138" t="s">
        <v>345</v>
      </c>
      <c r="G666" s="138" t="s">
        <v>362</v>
      </c>
      <c r="H666" s="138" t="s">
        <v>370</v>
      </c>
      <c r="I666" s="139">
        <v>2364</v>
      </c>
      <c r="K666" s="96" t="str">
        <f t="shared" si="31"/>
        <v>0011-1008-0055</v>
      </c>
      <c r="L666" s="96" t="str">
        <f>VLOOKUP(K666,COA!$A$3:$B$337,2,FALSE)</f>
        <v>P28</v>
      </c>
      <c r="M666" s="96" t="str">
        <f t="shared" si="32"/>
        <v>P28</v>
      </c>
      <c r="N666" s="96" t="str">
        <f>VLOOKUP(M666,CAC!$A$2:$B$198,2,FALSE)</f>
        <v>PERMEDN</v>
      </c>
    </row>
    <row r="667" spans="5:14" x14ac:dyDescent="0.25">
      <c r="E667" s="136">
        <v>201711</v>
      </c>
      <c r="F667" s="138" t="s">
        <v>345</v>
      </c>
      <c r="G667" s="138" t="s">
        <v>354</v>
      </c>
      <c r="H667" s="138" t="s">
        <v>344</v>
      </c>
      <c r="I667" s="139">
        <v>4251.1400000000003</v>
      </c>
      <c r="K667" s="96" t="str">
        <f t="shared" si="31"/>
        <v>0011-1013-0012</v>
      </c>
      <c r="L667" s="96" t="str">
        <f>VLOOKUP(K667,COA!$A$3:$B$337,2,FALSE)</f>
        <v>N20</v>
      </c>
      <c r="M667" s="96" t="str">
        <f t="shared" si="32"/>
        <v>N20</v>
      </c>
      <c r="N667" s="96" t="str">
        <f>VLOOKUP(M667,CAC!$A$2:$B$198,2,FALSE)</f>
        <v>HMOPMR</v>
      </c>
    </row>
    <row r="668" spans="5:14" x14ac:dyDescent="0.25">
      <c r="E668" s="136">
        <v>201604</v>
      </c>
      <c r="F668" s="138" t="s">
        <v>413</v>
      </c>
      <c r="G668" s="138" t="s">
        <v>355</v>
      </c>
      <c r="H668" s="138" t="s">
        <v>344</v>
      </c>
      <c r="I668" s="139">
        <v>0</v>
      </c>
      <c r="K668" s="96" t="str">
        <f t="shared" si="31"/>
        <v>0008-1006-0012</v>
      </c>
      <c r="L668" s="96" t="str">
        <f>VLOOKUP(K668,COA!$A$3:$B$337,2,FALSE)</f>
        <v>C96</v>
      </c>
      <c r="M668" s="96" t="str">
        <f t="shared" si="32"/>
        <v>C96</v>
      </c>
      <c r="N668" s="96" t="str">
        <f>VLOOKUP(M668,CAC!$A$2:$B$198,2,FALSE)</f>
        <v>DOILG</v>
      </c>
    </row>
    <row r="669" spans="5:14" x14ac:dyDescent="0.25">
      <c r="E669" s="136">
        <v>201606</v>
      </c>
      <c r="F669" s="138" t="s">
        <v>345</v>
      </c>
      <c r="G669" s="138" t="s">
        <v>351</v>
      </c>
      <c r="H669" s="138" t="s">
        <v>353</v>
      </c>
      <c r="I669" s="139">
        <v>0</v>
      </c>
      <c r="K669" s="96" t="str">
        <f t="shared" si="31"/>
        <v>0011-0000-0023</v>
      </c>
      <c r="L669" s="96" t="e">
        <f>VLOOKUP(K669,COA!$A$3:$B$337,2,FALSE)</f>
        <v>#N/A</v>
      </c>
      <c r="M669" s="96" t="str">
        <f t="shared" si="32"/>
        <v>XXX</v>
      </c>
      <c r="N669" s="96" t="str">
        <f>VLOOKUP(M669,CAC!$A$2:$B$198,2,FALSE)</f>
        <v>XXX</v>
      </c>
    </row>
    <row r="670" spans="5:14" x14ac:dyDescent="0.25">
      <c r="E670" s="136">
        <v>201604</v>
      </c>
      <c r="F670" s="138" t="s">
        <v>413</v>
      </c>
      <c r="G670" s="138" t="s">
        <v>348</v>
      </c>
      <c r="H670" s="138" t="s">
        <v>349</v>
      </c>
      <c r="I670" s="139">
        <v>0</v>
      </c>
      <c r="K670" s="96" t="str">
        <f t="shared" si="31"/>
        <v>0008-1010-0017</v>
      </c>
      <c r="L670" s="96" t="str">
        <f>VLOOKUP(K670,COA!$A$3:$B$337,2,FALSE)</f>
        <v>C94</v>
      </c>
      <c r="M670" s="96" t="str">
        <f t="shared" si="32"/>
        <v>C94</v>
      </c>
      <c r="N670" s="96" t="str">
        <f>VLOOKUP(M670,CAC!$A$2:$B$198,2,FALSE)</f>
        <v>DOISG</v>
      </c>
    </row>
    <row r="671" spans="5:14" x14ac:dyDescent="0.25">
      <c r="E671" s="136">
        <v>201712</v>
      </c>
      <c r="F671" s="138" t="s">
        <v>345</v>
      </c>
      <c r="G671" s="138" t="s">
        <v>355</v>
      </c>
      <c r="H671" s="138" t="s">
        <v>344</v>
      </c>
      <c r="I671" s="139">
        <v>19624.82</v>
      </c>
      <c r="K671" s="96" t="str">
        <f t="shared" si="31"/>
        <v>0011-1006-0012</v>
      </c>
      <c r="L671" s="96" t="str">
        <f>VLOOKUP(K671,COA!$A$3:$B$337,2,FALSE)</f>
        <v>L13</v>
      </c>
      <c r="M671" s="96" t="str">
        <f t="shared" si="32"/>
        <v>L13</v>
      </c>
      <c r="N671" s="96" t="str">
        <f>VLOOKUP(M671,CAC!$A$2:$B$198,2,FALSE)</f>
        <v>HMOLG</v>
      </c>
    </row>
    <row r="672" spans="5:14" x14ac:dyDescent="0.25">
      <c r="E672" s="136">
        <v>201705</v>
      </c>
      <c r="F672" s="138" t="s">
        <v>563</v>
      </c>
      <c r="G672" s="138" t="s">
        <v>348</v>
      </c>
      <c r="H672" s="138" t="s">
        <v>353</v>
      </c>
      <c r="I672" s="139">
        <v>0</v>
      </c>
      <c r="K672" s="96" t="str">
        <f t="shared" si="31"/>
        <v>0003-1010-0023</v>
      </c>
      <c r="L672" s="96" t="str">
        <f>VLOOKUP(K672,COA!$A$3:$B$337,2,FALSE)</f>
        <v>S54</v>
      </c>
      <c r="M672" s="96" t="str">
        <f t="shared" si="32"/>
        <v>S54</v>
      </c>
      <c r="N672" s="96" t="str">
        <f>VLOOKUP(M672,CAC!$A$2:$B$198,2,FALSE)</f>
        <v>PPOSG</v>
      </c>
    </row>
    <row r="673" spans="5:14" x14ac:dyDescent="0.25">
      <c r="E673" s="136">
        <v>201704</v>
      </c>
      <c r="F673" s="138" t="s">
        <v>506</v>
      </c>
      <c r="G673" s="138" t="s">
        <v>359</v>
      </c>
      <c r="H673" s="138" t="s">
        <v>592</v>
      </c>
      <c r="I673" s="139">
        <v>0</v>
      </c>
      <c r="K673" s="96" t="str">
        <f t="shared" si="31"/>
        <v>0013-1005-0035</v>
      </c>
      <c r="L673" s="96" t="str">
        <f>VLOOKUP(K673,COA!$A$3:$B$337,2,FALSE)</f>
        <v>N41</v>
      </c>
      <c r="M673" s="96" t="str">
        <f t="shared" si="32"/>
        <v>N41</v>
      </c>
      <c r="N673" s="96" t="e">
        <f>VLOOKUP(M673,CAC!$A$2:$B$198,2,FALSE)</f>
        <v>#N/A</v>
      </c>
    </row>
    <row r="674" spans="5:14" x14ac:dyDescent="0.25">
      <c r="E674" s="136">
        <v>201710</v>
      </c>
      <c r="F674" s="138" t="s">
        <v>413</v>
      </c>
      <c r="G674" s="138" t="s">
        <v>352</v>
      </c>
      <c r="H674" s="138" t="s">
        <v>344</v>
      </c>
      <c r="I674" s="139">
        <v>0</v>
      </c>
      <c r="K674" s="96" t="str">
        <f t="shared" si="31"/>
        <v>0008-1004-0012</v>
      </c>
      <c r="L674" s="96" t="str">
        <f>VLOOKUP(K674,COA!$A$3:$B$337,2,FALSE)</f>
        <v>C93</v>
      </c>
      <c r="M674" s="96" t="str">
        <f t="shared" si="32"/>
        <v>C93</v>
      </c>
      <c r="N674" s="96" t="str">
        <f>VLOOKUP(M674,CAC!$A$2:$B$198,2,FALSE)</f>
        <v>DOILG</v>
      </c>
    </row>
    <row r="675" spans="5:14" x14ac:dyDescent="0.25">
      <c r="E675" s="136">
        <v>201609</v>
      </c>
      <c r="F675" s="138" t="s">
        <v>345</v>
      </c>
      <c r="G675" s="138" t="s">
        <v>346</v>
      </c>
      <c r="H675" s="138" t="s">
        <v>360</v>
      </c>
      <c r="I675" s="139">
        <v>364</v>
      </c>
      <c r="K675" s="96" t="str">
        <f t="shared" si="31"/>
        <v>0011-1014-0048</v>
      </c>
      <c r="L675" s="96" t="str">
        <f>VLOOKUP(K675,COA!$A$3:$B$337,2,FALSE)</f>
        <v>K23</v>
      </c>
      <c r="M675" s="96" t="str">
        <f t="shared" si="32"/>
        <v>K23</v>
      </c>
      <c r="N675" s="96" t="str">
        <f>VLOOKUP(M675,CAC!$A$2:$B$198,2,FALSE)</f>
        <v>HMFLEX</v>
      </c>
    </row>
    <row r="676" spans="5:14" x14ac:dyDescent="0.25">
      <c r="E676" s="136">
        <v>201512</v>
      </c>
      <c r="F676" s="138" t="s">
        <v>345</v>
      </c>
      <c r="G676" s="138" t="s">
        <v>361</v>
      </c>
      <c r="H676" s="138" t="s">
        <v>344</v>
      </c>
      <c r="I676" s="139">
        <v>879.71</v>
      </c>
      <c r="K676" s="96" t="str">
        <f t="shared" si="31"/>
        <v>0011-1003-0012</v>
      </c>
      <c r="L676" s="96" t="str">
        <f>VLOOKUP(K676,COA!$A$3:$B$337,2,FALSE)</f>
        <v>N16</v>
      </c>
      <c r="M676" s="96" t="str">
        <f t="shared" si="32"/>
        <v>N16</v>
      </c>
      <c r="N676" s="96" t="str">
        <f>VLOOKUP(M676,CAC!$A$2:$B$198,2,FALSE)</f>
        <v>HMOPMR</v>
      </c>
    </row>
    <row r="677" spans="5:14" x14ac:dyDescent="0.25">
      <c r="E677" s="136">
        <v>201510</v>
      </c>
      <c r="F677" s="138" t="s">
        <v>506</v>
      </c>
      <c r="G677" s="138" t="s">
        <v>361</v>
      </c>
      <c r="H677" s="138" t="s">
        <v>592</v>
      </c>
      <c r="I677" s="139">
        <v>0</v>
      </c>
      <c r="K677" s="96" t="str">
        <f t="shared" si="31"/>
        <v>0013-1003-0035</v>
      </c>
      <c r="L677" s="96" t="str">
        <f>VLOOKUP(K677,COA!$A$3:$B$337,2,FALSE)</f>
        <v>N32</v>
      </c>
      <c r="M677" s="96" t="str">
        <f t="shared" si="32"/>
        <v>N32</v>
      </c>
      <c r="N677" s="96" t="e">
        <f>VLOOKUP(M677,CAC!$A$2:$B$198,2,FALSE)</f>
        <v>#N/A</v>
      </c>
    </row>
    <row r="678" spans="5:14" x14ac:dyDescent="0.25">
      <c r="E678" s="136">
        <v>201701</v>
      </c>
      <c r="F678" s="138" t="s">
        <v>413</v>
      </c>
      <c r="G678" s="138" t="s">
        <v>355</v>
      </c>
      <c r="H678" s="138" t="s">
        <v>344</v>
      </c>
      <c r="I678" s="139">
        <v>0</v>
      </c>
      <c r="K678" s="96" t="str">
        <f t="shared" si="31"/>
        <v>0008-1006-0012</v>
      </c>
      <c r="L678" s="96" t="str">
        <f>VLOOKUP(K678,COA!$A$3:$B$337,2,FALSE)</f>
        <v>C96</v>
      </c>
      <c r="M678" s="96" t="str">
        <f t="shared" si="32"/>
        <v>C96</v>
      </c>
      <c r="N678" s="96" t="str">
        <f>VLOOKUP(M678,CAC!$A$2:$B$198,2,FALSE)</f>
        <v>DOILG</v>
      </c>
    </row>
    <row r="679" spans="5:14" x14ac:dyDescent="0.25">
      <c r="E679" s="136">
        <v>201605</v>
      </c>
      <c r="F679" s="138" t="s">
        <v>344</v>
      </c>
      <c r="G679" s="138" t="s">
        <v>352</v>
      </c>
      <c r="H679" s="138" t="s">
        <v>360</v>
      </c>
      <c r="I679" s="139">
        <v>223</v>
      </c>
      <c r="K679" s="96" t="str">
        <f t="shared" si="31"/>
        <v>0012-1004-0048</v>
      </c>
      <c r="L679" s="96" t="str">
        <f>VLOOKUP(K679,COA!$A$3:$B$337,2,FALSE)</f>
        <v>L22</v>
      </c>
      <c r="M679" s="96" t="str">
        <f t="shared" si="32"/>
        <v>L22</v>
      </c>
      <c r="N679" s="96" t="str">
        <f>VLOOKUP(M679,CAC!$A$2:$B$198,2,FALSE)</f>
        <v>HMFLEX</v>
      </c>
    </row>
    <row r="680" spans="5:14" x14ac:dyDescent="0.25">
      <c r="E680" s="136">
        <v>201608</v>
      </c>
      <c r="F680" s="138" t="s">
        <v>746</v>
      </c>
      <c r="G680" s="138" t="s">
        <v>354</v>
      </c>
      <c r="H680" s="138" t="s">
        <v>344</v>
      </c>
      <c r="I680" s="139">
        <v>80</v>
      </c>
      <c r="K680" s="96" t="str">
        <f t="shared" si="31"/>
        <v>0016-1013-0012</v>
      </c>
      <c r="L680" s="96" t="str">
        <f>VLOOKUP(K680,COA!$A$3:$B$337,2,FALSE)</f>
        <v>R19</v>
      </c>
      <c r="M680" s="96" t="str">
        <f t="shared" si="32"/>
        <v>R19</v>
      </c>
      <c r="N680" s="96" t="str">
        <f>VLOOKUP(M680,CAC!$A$2:$B$198,2,FALSE)</f>
        <v>HMOMG</v>
      </c>
    </row>
    <row r="681" spans="5:14" x14ac:dyDescent="0.25">
      <c r="E681" s="136">
        <v>201511</v>
      </c>
      <c r="F681" s="138" t="s">
        <v>344</v>
      </c>
      <c r="G681" s="138" t="s">
        <v>361</v>
      </c>
      <c r="H681" s="138" t="s">
        <v>344</v>
      </c>
      <c r="I681" s="139">
        <v>0</v>
      </c>
      <c r="K681" s="96" t="str">
        <f t="shared" si="31"/>
        <v>0012-1003-0012</v>
      </c>
      <c r="L681" s="96" t="str">
        <f>VLOOKUP(K681,COA!$A$3:$B$337,2,FALSE)</f>
        <v>N15</v>
      </c>
      <c r="M681" s="96" t="str">
        <f t="shared" si="32"/>
        <v>N15</v>
      </c>
      <c r="N681" s="96" t="str">
        <f>VLOOKUP(M681,CAC!$A$2:$B$198,2,FALSE)</f>
        <v>HMOPMR</v>
      </c>
    </row>
    <row r="682" spans="5:14" x14ac:dyDescent="0.25">
      <c r="E682" s="136">
        <v>201706</v>
      </c>
      <c r="F682" s="138" t="s">
        <v>746</v>
      </c>
      <c r="G682" s="138" t="s">
        <v>350</v>
      </c>
      <c r="H682" s="138" t="s">
        <v>344</v>
      </c>
      <c r="I682" s="139">
        <v>27</v>
      </c>
      <c r="K682" s="96" t="str">
        <f t="shared" si="31"/>
        <v>0016-1012-0012</v>
      </c>
      <c r="L682" s="96" t="str">
        <f>VLOOKUP(K682,COA!$A$3:$B$337,2,FALSE)</f>
        <v>R19</v>
      </c>
      <c r="M682" s="96" t="str">
        <f t="shared" si="32"/>
        <v>R19</v>
      </c>
      <c r="N682" s="96" t="str">
        <f>VLOOKUP(M682,CAC!$A$2:$B$198,2,FALSE)</f>
        <v>HMOMG</v>
      </c>
    </row>
    <row r="683" spans="5:14" x14ac:dyDescent="0.25">
      <c r="E683" s="136">
        <v>201602</v>
      </c>
      <c r="F683" s="138" t="s">
        <v>345</v>
      </c>
      <c r="G683" s="138" t="s">
        <v>346</v>
      </c>
      <c r="H683" s="138" t="s">
        <v>360</v>
      </c>
      <c r="I683" s="139">
        <v>375</v>
      </c>
      <c r="K683" s="96" t="str">
        <f t="shared" si="31"/>
        <v>0011-1014-0048</v>
      </c>
      <c r="L683" s="96" t="str">
        <f>VLOOKUP(K683,COA!$A$3:$B$337,2,FALSE)</f>
        <v>K23</v>
      </c>
      <c r="M683" s="96" t="str">
        <f t="shared" si="32"/>
        <v>K23</v>
      </c>
      <c r="N683" s="96" t="str">
        <f>VLOOKUP(M683,CAC!$A$2:$B$198,2,FALSE)</f>
        <v>HMFLEX</v>
      </c>
    </row>
    <row r="684" spans="5:14" x14ac:dyDescent="0.25">
      <c r="E684" s="136">
        <v>201708</v>
      </c>
      <c r="F684" s="138" t="s">
        <v>563</v>
      </c>
      <c r="G684" s="138" t="s">
        <v>352</v>
      </c>
      <c r="H684" s="138" t="s">
        <v>653</v>
      </c>
      <c r="I684" s="139">
        <v>0</v>
      </c>
      <c r="K684" s="96" t="str">
        <f t="shared" si="31"/>
        <v>0003-1004-0047</v>
      </c>
      <c r="L684" s="96" t="str">
        <f>VLOOKUP(K684,COA!$A$3:$B$337,2,FALSE)</f>
        <v>L57</v>
      </c>
      <c r="M684" s="96" t="str">
        <f t="shared" si="32"/>
        <v>L57</v>
      </c>
      <c r="N684" s="96" t="str">
        <f>VLOOKUP(M684,CAC!$A$2:$B$198,2,FALSE)</f>
        <v>PPOLG</v>
      </c>
    </row>
    <row r="685" spans="5:14" x14ac:dyDescent="0.25">
      <c r="E685" s="136">
        <v>201611</v>
      </c>
      <c r="F685" s="138" t="s">
        <v>552</v>
      </c>
      <c r="G685" s="138" t="s">
        <v>356</v>
      </c>
      <c r="H685" s="138" t="s">
        <v>672</v>
      </c>
      <c r="I685" s="139">
        <v>0</v>
      </c>
      <c r="K685" s="96" t="str">
        <f t="shared" si="31"/>
        <v>0027-1002-0058</v>
      </c>
      <c r="L685" s="96" t="str">
        <f>VLOOKUP(K685,COA!$A$3:$B$337,2,FALSE)</f>
        <v>L45</v>
      </c>
      <c r="M685" s="96" t="str">
        <f t="shared" si="32"/>
        <v>L45</v>
      </c>
      <c r="N685" s="96" t="e">
        <f>VLOOKUP(M685,CAC!$A$2:$B$198,2,FALSE)</f>
        <v>#N/A</v>
      </c>
    </row>
    <row r="686" spans="5:14" x14ac:dyDescent="0.25">
      <c r="E686" s="136">
        <v>201703</v>
      </c>
      <c r="F686" s="138" t="s">
        <v>413</v>
      </c>
      <c r="G686" s="138" t="s">
        <v>359</v>
      </c>
      <c r="H686" s="138" t="s">
        <v>344</v>
      </c>
      <c r="I686" s="139">
        <v>0</v>
      </c>
      <c r="K686" s="96" t="str">
        <f t="shared" si="31"/>
        <v>0008-1005-0012</v>
      </c>
      <c r="L686" s="96" t="str">
        <f>VLOOKUP(K686,COA!$A$3:$B$337,2,FALSE)</f>
        <v>C73</v>
      </c>
      <c r="M686" s="96" t="str">
        <f t="shared" si="32"/>
        <v>C73</v>
      </c>
      <c r="N686" s="96" t="str">
        <f>VLOOKUP(M686,CAC!$A$2:$B$198,2,FALSE)</f>
        <v>DOILG</v>
      </c>
    </row>
    <row r="687" spans="5:14" x14ac:dyDescent="0.25">
      <c r="E687" s="136">
        <v>201511</v>
      </c>
      <c r="F687" s="138" t="s">
        <v>405</v>
      </c>
      <c r="G687" s="138" t="s">
        <v>362</v>
      </c>
      <c r="H687" s="138" t="s">
        <v>342</v>
      </c>
      <c r="I687" s="139">
        <v>0</v>
      </c>
      <c r="K687" s="96" t="str">
        <f t="shared" si="31"/>
        <v>0019-1008-0031</v>
      </c>
      <c r="L687" s="96" t="str">
        <f>VLOOKUP(K687,COA!$A$3:$B$337,2,FALSE)</f>
        <v>P53</v>
      </c>
      <c r="M687" s="96" t="str">
        <f t="shared" si="32"/>
        <v>P53</v>
      </c>
      <c r="N687" s="96" t="str">
        <f>VLOOKUP(M687,CAC!$A$2:$B$198,2,FALSE)</f>
        <v>HMOPERA</v>
      </c>
    </row>
    <row r="688" spans="5:14" x14ac:dyDescent="0.25">
      <c r="E688" s="136">
        <v>201609</v>
      </c>
      <c r="F688" s="138" t="s">
        <v>413</v>
      </c>
      <c r="G688" s="138" t="s">
        <v>352</v>
      </c>
      <c r="H688" s="138" t="s">
        <v>344</v>
      </c>
      <c r="I688" s="139">
        <v>0</v>
      </c>
      <c r="K688" s="96" t="str">
        <f t="shared" si="31"/>
        <v>0008-1004-0012</v>
      </c>
      <c r="L688" s="96" t="str">
        <f>VLOOKUP(K688,COA!$A$3:$B$337,2,FALSE)</f>
        <v>C93</v>
      </c>
      <c r="M688" s="96" t="str">
        <f t="shared" si="32"/>
        <v>C93</v>
      </c>
      <c r="N688" s="96" t="str">
        <f>VLOOKUP(M688,CAC!$A$2:$B$198,2,FALSE)</f>
        <v>DOILG</v>
      </c>
    </row>
    <row r="689" spans="5:14" x14ac:dyDescent="0.25">
      <c r="E689" s="136">
        <v>201608</v>
      </c>
      <c r="F689" s="138" t="s">
        <v>413</v>
      </c>
      <c r="G689" s="138" t="s">
        <v>365</v>
      </c>
      <c r="H689" s="138" t="s">
        <v>411</v>
      </c>
      <c r="I689" s="139">
        <v>0</v>
      </c>
      <c r="K689" s="96" t="str">
        <f t="shared" si="31"/>
        <v>0008-1001-0007</v>
      </c>
      <c r="L689" s="96" t="str">
        <f>VLOOKUP(K689,COA!$A$3:$B$337,2,FALSE)</f>
        <v>C99</v>
      </c>
      <c r="M689" s="96" t="str">
        <f t="shared" si="32"/>
        <v>C99</v>
      </c>
      <c r="N689" s="96" t="str">
        <f>VLOOKUP(M689,CAC!$A$2:$B$198,2,FALSE)</f>
        <v>DOIIFP</v>
      </c>
    </row>
    <row r="690" spans="5:14" x14ac:dyDescent="0.25">
      <c r="E690" s="136">
        <v>201701</v>
      </c>
      <c r="F690" s="138" t="s">
        <v>345</v>
      </c>
      <c r="G690" s="138" t="s">
        <v>348</v>
      </c>
      <c r="H690" s="138" t="s">
        <v>353</v>
      </c>
      <c r="I690" s="139">
        <v>300</v>
      </c>
      <c r="K690" s="96" t="str">
        <f t="shared" si="31"/>
        <v>0011-1010-0023</v>
      </c>
      <c r="L690" s="96" t="str">
        <f>VLOOKUP(K690,COA!$A$3:$B$337,2,FALSE)</f>
        <v>S13</v>
      </c>
      <c r="M690" s="96" t="str">
        <f t="shared" si="32"/>
        <v>S13</v>
      </c>
      <c r="N690" s="96" t="str">
        <f>VLOOKUP(M690,CAC!$A$2:$B$198,2,FALSE)</f>
        <v>HMOSG</v>
      </c>
    </row>
    <row r="691" spans="5:14" x14ac:dyDescent="0.25">
      <c r="E691" s="136">
        <v>201704</v>
      </c>
      <c r="F691" s="138" t="s">
        <v>344</v>
      </c>
      <c r="G691" s="138" t="s">
        <v>350</v>
      </c>
      <c r="H691" s="138" t="s">
        <v>344</v>
      </c>
      <c r="I691" s="139">
        <v>29</v>
      </c>
      <c r="K691" s="96" t="str">
        <f t="shared" si="31"/>
        <v>0012-1012-0012</v>
      </c>
      <c r="L691" s="96" t="str">
        <f>VLOOKUP(K691,COA!$A$3:$B$337,2,FALSE)</f>
        <v>K12</v>
      </c>
      <c r="M691" s="96" t="str">
        <f t="shared" si="32"/>
        <v>K12</v>
      </c>
      <c r="N691" s="96" t="str">
        <f>VLOOKUP(M691,CAC!$A$2:$B$198,2,FALSE)</f>
        <v>HMOPMR</v>
      </c>
    </row>
    <row r="692" spans="5:14" x14ac:dyDescent="0.25">
      <c r="E692" s="136">
        <v>201711</v>
      </c>
      <c r="F692" s="138" t="s">
        <v>345</v>
      </c>
      <c r="G692" s="138" t="s">
        <v>352</v>
      </c>
      <c r="H692" s="138" t="s">
        <v>653</v>
      </c>
      <c r="I692" s="139">
        <v>0</v>
      </c>
      <c r="K692" s="96" t="str">
        <f t="shared" si="31"/>
        <v>0011-1004-0047</v>
      </c>
      <c r="L692" s="96" t="str">
        <f>VLOOKUP(K692,COA!$A$3:$B$337,2,FALSE)</f>
        <v>L17</v>
      </c>
      <c r="M692" s="96" t="str">
        <f t="shared" si="32"/>
        <v>L17</v>
      </c>
      <c r="N692" s="96" t="str">
        <f>VLOOKUP(M692,CAC!$A$2:$B$198,2,FALSE)</f>
        <v>HMOLG</v>
      </c>
    </row>
    <row r="693" spans="5:14" x14ac:dyDescent="0.25">
      <c r="E693" s="136">
        <v>201705</v>
      </c>
      <c r="F693" s="138" t="s">
        <v>746</v>
      </c>
      <c r="G693" s="138" t="s">
        <v>350</v>
      </c>
      <c r="H693" s="138" t="s">
        <v>764</v>
      </c>
      <c r="I693" s="139">
        <v>18</v>
      </c>
      <c r="K693" s="96" t="str">
        <f t="shared" si="31"/>
        <v>0016-1012-0064</v>
      </c>
      <c r="L693" s="96" t="str">
        <f>VLOOKUP(K693,COA!$A$3:$B$337,2,FALSE)</f>
        <v>R25</v>
      </c>
      <c r="M693" s="96" t="str">
        <f t="shared" si="32"/>
        <v>R25</v>
      </c>
      <c r="N693" s="96" t="str">
        <f>VLOOKUP(M693,CAC!$A$2:$B$198,2,FALSE)</f>
        <v>HMOMG</v>
      </c>
    </row>
    <row r="694" spans="5:14" x14ac:dyDescent="0.25">
      <c r="E694" s="136">
        <v>201601</v>
      </c>
      <c r="F694" s="138" t="s">
        <v>746</v>
      </c>
      <c r="G694" s="138" t="s">
        <v>355</v>
      </c>
      <c r="H694" s="138" t="s">
        <v>344</v>
      </c>
      <c r="I694" s="139">
        <v>0</v>
      </c>
      <c r="K694" s="96" t="str">
        <f t="shared" si="31"/>
        <v>0016-1006-0012</v>
      </c>
      <c r="L694" s="96" t="str">
        <f>VLOOKUP(K694,COA!$A$3:$B$337,2,FALSE)</f>
        <v>R21</v>
      </c>
      <c r="M694" s="96" t="str">
        <f t="shared" si="32"/>
        <v>R21</v>
      </c>
      <c r="N694" s="96" t="str">
        <f>VLOOKUP(M694,CAC!$A$2:$B$198,2,FALSE)</f>
        <v>HMOMG</v>
      </c>
    </row>
    <row r="695" spans="5:14" x14ac:dyDescent="0.25">
      <c r="E695" s="136">
        <v>201709</v>
      </c>
      <c r="F695" s="138" t="s">
        <v>345</v>
      </c>
      <c r="G695" s="138" t="s">
        <v>348</v>
      </c>
      <c r="H695" s="138" t="s">
        <v>358</v>
      </c>
      <c r="I695" s="139">
        <v>115</v>
      </c>
      <c r="K695" s="96" t="str">
        <f t="shared" si="31"/>
        <v>0011-1010-0024</v>
      </c>
      <c r="L695" s="96" t="str">
        <f>VLOOKUP(K695,COA!$A$3:$B$337,2,FALSE)</f>
        <v>S14</v>
      </c>
      <c r="M695" s="96" t="str">
        <f t="shared" si="32"/>
        <v>S14</v>
      </c>
      <c r="N695" s="96" t="str">
        <f>VLOOKUP(M695,CAC!$A$2:$B$198,2,FALSE)</f>
        <v>HMOSG</v>
      </c>
    </row>
    <row r="696" spans="5:14" x14ac:dyDescent="0.25">
      <c r="E696" s="136">
        <v>201707</v>
      </c>
      <c r="F696" s="138" t="s">
        <v>344</v>
      </c>
      <c r="G696" s="138" t="s">
        <v>352</v>
      </c>
      <c r="H696" s="138" t="s">
        <v>344</v>
      </c>
      <c r="I696" s="139">
        <v>1163</v>
      </c>
      <c r="K696" s="96" t="str">
        <f t="shared" si="31"/>
        <v>0012-1004-0012</v>
      </c>
      <c r="L696" s="96" t="str">
        <f>VLOOKUP(K696,COA!$A$3:$B$337,2,FALSE)</f>
        <v>L12</v>
      </c>
      <c r="M696" s="96" t="str">
        <f t="shared" si="32"/>
        <v>L12</v>
      </c>
      <c r="N696" s="96" t="str">
        <f>VLOOKUP(M696,CAC!$A$2:$B$198,2,FALSE)</f>
        <v>HMOLG</v>
      </c>
    </row>
    <row r="697" spans="5:14" x14ac:dyDescent="0.25">
      <c r="E697" s="136">
        <v>201609</v>
      </c>
      <c r="F697" s="138" t="s">
        <v>563</v>
      </c>
      <c r="G697" s="138" t="s">
        <v>351</v>
      </c>
      <c r="H697" s="138" t="s">
        <v>349</v>
      </c>
      <c r="I697" s="139">
        <v>0</v>
      </c>
      <c r="K697" s="96" t="str">
        <f t="shared" si="31"/>
        <v>0003-0000-0017</v>
      </c>
      <c r="L697" s="96" t="e">
        <f>VLOOKUP(K697,COA!$A$3:$B$337,2,FALSE)</f>
        <v>#N/A</v>
      </c>
      <c r="M697" s="96" t="str">
        <f t="shared" si="32"/>
        <v>XXX</v>
      </c>
      <c r="N697" s="96" t="str">
        <f>VLOOKUP(M697,CAC!$A$2:$B$198,2,FALSE)</f>
        <v>XXX</v>
      </c>
    </row>
    <row r="698" spans="5:14" x14ac:dyDescent="0.25">
      <c r="E698" s="136">
        <v>201609</v>
      </c>
      <c r="F698" s="138" t="s">
        <v>563</v>
      </c>
      <c r="G698" s="138" t="s">
        <v>365</v>
      </c>
      <c r="H698" s="138" t="s">
        <v>344</v>
      </c>
      <c r="I698" s="139">
        <v>0</v>
      </c>
      <c r="K698" s="96" t="str">
        <f t="shared" si="31"/>
        <v>0003-1001-0012</v>
      </c>
      <c r="L698" s="96" t="str">
        <f>VLOOKUP(K698,COA!$A$3:$B$337,2,FALSE)</f>
        <v>V51</v>
      </c>
      <c r="M698" s="96" t="str">
        <f t="shared" si="32"/>
        <v>V51</v>
      </c>
      <c r="N698" s="96" t="str">
        <f>VLOOKUP(M698,CAC!$A$2:$B$198,2,FALSE)</f>
        <v>PPOIFP</v>
      </c>
    </row>
    <row r="699" spans="5:14" x14ac:dyDescent="0.25">
      <c r="E699" s="136">
        <v>201710</v>
      </c>
      <c r="F699" s="138" t="s">
        <v>563</v>
      </c>
      <c r="G699" s="138" t="s">
        <v>352</v>
      </c>
      <c r="H699" s="138" t="s">
        <v>344</v>
      </c>
      <c r="I699" s="139">
        <v>0</v>
      </c>
      <c r="K699" s="96" t="str">
        <f t="shared" si="31"/>
        <v>0003-1004-0012</v>
      </c>
      <c r="L699" s="96" t="str">
        <f>VLOOKUP(K699,COA!$A$3:$B$337,2,FALSE)</f>
        <v>L51</v>
      </c>
      <c r="M699" s="96" t="str">
        <f t="shared" si="32"/>
        <v>L51</v>
      </c>
      <c r="N699" s="96" t="str">
        <f>VLOOKUP(M699,CAC!$A$2:$B$198,2,FALSE)</f>
        <v>PPOLG</v>
      </c>
    </row>
    <row r="700" spans="5:14" x14ac:dyDescent="0.25">
      <c r="E700" s="136">
        <v>201707</v>
      </c>
      <c r="F700" s="138" t="s">
        <v>563</v>
      </c>
      <c r="G700" s="138" t="s">
        <v>365</v>
      </c>
      <c r="H700" s="138" t="s">
        <v>344</v>
      </c>
      <c r="I700" s="139">
        <v>0</v>
      </c>
      <c r="K700" s="96" t="str">
        <f t="shared" si="31"/>
        <v>0003-1001-0012</v>
      </c>
      <c r="L700" s="96" t="str">
        <f>VLOOKUP(K700,COA!$A$3:$B$337,2,FALSE)</f>
        <v>V51</v>
      </c>
      <c r="M700" s="96" t="str">
        <f t="shared" si="32"/>
        <v>V51</v>
      </c>
      <c r="N700" s="96" t="str">
        <f>VLOOKUP(M700,CAC!$A$2:$B$198,2,FALSE)</f>
        <v>PPOIFP</v>
      </c>
    </row>
    <row r="701" spans="5:14" x14ac:dyDescent="0.25">
      <c r="E701" s="136">
        <v>201510</v>
      </c>
      <c r="F701" s="138" t="s">
        <v>506</v>
      </c>
      <c r="G701" s="138" t="s">
        <v>346</v>
      </c>
      <c r="H701" s="138" t="s">
        <v>592</v>
      </c>
      <c r="I701" s="139">
        <v>0</v>
      </c>
      <c r="K701" s="96" t="str">
        <f t="shared" si="31"/>
        <v>0013-1014-0035</v>
      </c>
      <c r="L701" s="96" t="str">
        <f>VLOOKUP(K701,COA!$A$3:$B$337,2,FALSE)</f>
        <v>K42</v>
      </c>
      <c r="M701" s="96" t="str">
        <f t="shared" si="32"/>
        <v>K42</v>
      </c>
      <c r="N701" s="96" t="str">
        <f>VLOOKUP(M701,CAC!$A$2:$B$198,2,FALSE)</f>
        <v>HMFLEX</v>
      </c>
    </row>
    <row r="702" spans="5:14" x14ac:dyDescent="0.25">
      <c r="E702" s="136">
        <v>201612</v>
      </c>
      <c r="F702" s="138" t="s">
        <v>563</v>
      </c>
      <c r="G702" s="138" t="s">
        <v>348</v>
      </c>
      <c r="H702" s="138" t="s">
        <v>358</v>
      </c>
      <c r="I702" s="139">
        <v>0</v>
      </c>
      <c r="K702" s="96" t="str">
        <f t="shared" si="31"/>
        <v>0003-1010-0024</v>
      </c>
      <c r="L702" s="96" t="str">
        <f>VLOOKUP(K702,COA!$A$3:$B$337,2,FALSE)</f>
        <v>S56</v>
      </c>
      <c r="M702" s="96" t="str">
        <f t="shared" si="32"/>
        <v>S56</v>
      </c>
      <c r="N702" s="96" t="str">
        <f>VLOOKUP(M702,CAC!$A$2:$B$198,2,FALSE)</f>
        <v>PPOSG</v>
      </c>
    </row>
    <row r="703" spans="5:14" x14ac:dyDescent="0.25">
      <c r="E703" s="136">
        <v>201507</v>
      </c>
      <c r="F703" s="138" t="s">
        <v>563</v>
      </c>
      <c r="G703" s="138" t="s">
        <v>351</v>
      </c>
      <c r="H703" s="138" t="s">
        <v>349</v>
      </c>
      <c r="I703" s="139">
        <v>0</v>
      </c>
      <c r="K703" s="96" t="str">
        <f t="shared" si="31"/>
        <v>0003-0000-0017</v>
      </c>
      <c r="L703" s="96" t="e">
        <f>VLOOKUP(K703,COA!$A$3:$B$337,2,FALSE)</f>
        <v>#N/A</v>
      </c>
      <c r="M703" s="96" t="str">
        <f t="shared" si="32"/>
        <v>XXX</v>
      </c>
      <c r="N703" s="96" t="str">
        <f>VLOOKUP(M703,CAC!$A$2:$B$198,2,FALSE)</f>
        <v>XXX</v>
      </c>
    </row>
    <row r="704" spans="5:14" x14ac:dyDescent="0.25">
      <c r="E704" s="136">
        <v>201801</v>
      </c>
      <c r="F704" s="138" t="s">
        <v>563</v>
      </c>
      <c r="G704" s="138" t="s">
        <v>348</v>
      </c>
      <c r="H704" s="138" t="s">
        <v>358</v>
      </c>
      <c r="I704" s="139">
        <v>0</v>
      </c>
      <c r="K704" s="96" t="str">
        <f t="shared" si="31"/>
        <v>0003-1010-0024</v>
      </c>
      <c r="L704" s="96" t="str">
        <f>VLOOKUP(K704,COA!$A$3:$B$337,2,FALSE)</f>
        <v>S56</v>
      </c>
      <c r="M704" s="96" t="str">
        <f t="shared" si="32"/>
        <v>S56</v>
      </c>
      <c r="N704" s="96" t="str">
        <f>VLOOKUP(M704,CAC!$A$2:$B$198,2,FALSE)</f>
        <v>PPOSG</v>
      </c>
    </row>
    <row r="705" spans="5:14" x14ac:dyDescent="0.25">
      <c r="E705" s="136">
        <v>201605</v>
      </c>
      <c r="F705" s="138" t="s">
        <v>345</v>
      </c>
      <c r="G705" s="138" t="s">
        <v>362</v>
      </c>
      <c r="H705" s="138" t="s">
        <v>364</v>
      </c>
      <c r="I705" s="139">
        <v>38031.089999999997</v>
      </c>
      <c r="K705" s="96" t="str">
        <f t="shared" si="31"/>
        <v>0011-1008-0037</v>
      </c>
      <c r="L705" s="96" t="str">
        <f>VLOOKUP(K705,COA!$A$3:$B$337,2,FALSE)</f>
        <v>P12</v>
      </c>
      <c r="M705" s="96" t="str">
        <f t="shared" si="32"/>
        <v>P12</v>
      </c>
      <c r="N705" s="96" t="str">
        <f>VLOOKUP(M705,CAC!$A$2:$B$198,2,FALSE)</f>
        <v>HMOPERA</v>
      </c>
    </row>
    <row r="706" spans="5:14" x14ac:dyDescent="0.25">
      <c r="E706" s="136">
        <v>201611</v>
      </c>
      <c r="F706" s="138" t="s">
        <v>563</v>
      </c>
      <c r="G706" s="138" t="s">
        <v>359</v>
      </c>
      <c r="H706" s="138" t="s">
        <v>344</v>
      </c>
      <c r="I706" s="139">
        <v>0</v>
      </c>
      <c r="K706" s="96" t="str">
        <f t="shared" si="31"/>
        <v>0003-1005-0012</v>
      </c>
      <c r="L706" s="96" t="str">
        <f>VLOOKUP(K706,COA!$A$3:$B$337,2,FALSE)</f>
        <v>N51</v>
      </c>
      <c r="M706" s="96" t="str">
        <f t="shared" si="32"/>
        <v>N51</v>
      </c>
      <c r="N706" s="96" t="str">
        <f>VLOOKUP(M706,CAC!$A$2:$B$198,2,FALSE)</f>
        <v>PPOLG</v>
      </c>
    </row>
    <row r="707" spans="5:14" x14ac:dyDescent="0.25">
      <c r="E707" s="136">
        <v>201605</v>
      </c>
      <c r="F707" s="138" t="s">
        <v>345</v>
      </c>
      <c r="G707" s="138" t="s">
        <v>354</v>
      </c>
      <c r="H707" s="138" t="s">
        <v>360</v>
      </c>
      <c r="I707" s="139">
        <v>2200</v>
      </c>
      <c r="K707" s="96" t="str">
        <f t="shared" ref="K707:K770" si="33">F707&amp;"-"&amp;G707&amp;"-"&amp;H707</f>
        <v>0011-1013-0048</v>
      </c>
      <c r="L707" s="96" t="str">
        <f>VLOOKUP(K707,COA!$A$3:$B$337,2,FALSE)</f>
        <v>N21</v>
      </c>
      <c r="M707" s="96" t="str">
        <f t="shared" si="32"/>
        <v>N21</v>
      </c>
      <c r="N707" s="96" t="str">
        <f>VLOOKUP(M707,CAC!$A$2:$B$198,2,FALSE)</f>
        <v>HMFLEX</v>
      </c>
    </row>
    <row r="708" spans="5:14" x14ac:dyDescent="0.25">
      <c r="E708" s="136">
        <v>201801</v>
      </c>
      <c r="F708" s="138" t="s">
        <v>345</v>
      </c>
      <c r="G708" s="138" t="s">
        <v>355</v>
      </c>
      <c r="H708" s="138" t="s">
        <v>344</v>
      </c>
      <c r="I708" s="139">
        <v>20010.689999999999</v>
      </c>
      <c r="K708" s="96" t="str">
        <f t="shared" si="33"/>
        <v>0011-1006-0012</v>
      </c>
      <c r="L708" s="96" t="str">
        <f>VLOOKUP(K708,COA!$A$3:$B$337,2,FALSE)</f>
        <v>L13</v>
      </c>
      <c r="M708" s="96" t="str">
        <f t="shared" ref="M708:M771" si="34">IF(ISNA(L708),"XXX",L708)</f>
        <v>L13</v>
      </c>
      <c r="N708" s="96" t="str">
        <f>VLOOKUP(M708,CAC!$A$2:$B$198,2,FALSE)</f>
        <v>HMOLG</v>
      </c>
    </row>
    <row r="709" spans="5:14" x14ac:dyDescent="0.25">
      <c r="E709" s="136">
        <v>201506</v>
      </c>
      <c r="F709" s="138" t="s">
        <v>344</v>
      </c>
      <c r="G709" s="138" t="s">
        <v>352</v>
      </c>
      <c r="H709" s="138" t="s">
        <v>344</v>
      </c>
      <c r="I709" s="139">
        <v>260</v>
      </c>
      <c r="K709" s="96" t="str">
        <f t="shared" si="33"/>
        <v>0012-1004-0012</v>
      </c>
      <c r="L709" s="96" t="str">
        <f>VLOOKUP(K709,COA!$A$3:$B$337,2,FALSE)</f>
        <v>L12</v>
      </c>
      <c r="M709" s="96" t="str">
        <f t="shared" si="34"/>
        <v>L12</v>
      </c>
      <c r="N709" s="96" t="str">
        <f>VLOOKUP(M709,CAC!$A$2:$B$198,2,FALSE)</f>
        <v>HMOLG</v>
      </c>
    </row>
    <row r="710" spans="5:14" x14ac:dyDescent="0.25">
      <c r="E710" s="136">
        <v>201706</v>
      </c>
      <c r="F710" s="138" t="s">
        <v>413</v>
      </c>
      <c r="G710" s="138" t="s">
        <v>359</v>
      </c>
      <c r="H710" s="138" t="s">
        <v>344</v>
      </c>
      <c r="I710" s="139">
        <v>0</v>
      </c>
      <c r="K710" s="96" t="str">
        <f t="shared" si="33"/>
        <v>0008-1005-0012</v>
      </c>
      <c r="L710" s="96" t="str">
        <f>VLOOKUP(K710,COA!$A$3:$B$337,2,FALSE)</f>
        <v>C73</v>
      </c>
      <c r="M710" s="96" t="str">
        <f t="shared" si="34"/>
        <v>C73</v>
      </c>
      <c r="N710" s="96" t="str">
        <f>VLOOKUP(M710,CAC!$A$2:$B$198,2,FALSE)</f>
        <v>DOILG</v>
      </c>
    </row>
    <row r="711" spans="5:14" x14ac:dyDescent="0.25">
      <c r="E711" s="136">
        <v>201512</v>
      </c>
      <c r="F711" s="138" t="s">
        <v>746</v>
      </c>
      <c r="G711" s="138" t="s">
        <v>355</v>
      </c>
      <c r="H711" s="138" t="s">
        <v>344</v>
      </c>
      <c r="I711" s="139">
        <v>0</v>
      </c>
      <c r="K711" s="96" t="str">
        <f t="shared" si="33"/>
        <v>0016-1006-0012</v>
      </c>
      <c r="L711" s="96" t="str">
        <f>VLOOKUP(K711,COA!$A$3:$B$337,2,FALSE)</f>
        <v>R21</v>
      </c>
      <c r="M711" s="96" t="str">
        <f t="shared" si="34"/>
        <v>R21</v>
      </c>
      <c r="N711" s="96" t="str">
        <f>VLOOKUP(M711,CAC!$A$2:$B$198,2,FALSE)</f>
        <v>HMOMG</v>
      </c>
    </row>
    <row r="712" spans="5:14" x14ac:dyDescent="0.25">
      <c r="E712" s="136">
        <v>201601</v>
      </c>
      <c r="F712" s="138" t="s">
        <v>345</v>
      </c>
      <c r="G712" s="138" t="s">
        <v>355</v>
      </c>
      <c r="H712" s="138" t="s">
        <v>344</v>
      </c>
      <c r="I712" s="139">
        <v>24803.599999999999</v>
      </c>
      <c r="K712" s="96" t="str">
        <f t="shared" si="33"/>
        <v>0011-1006-0012</v>
      </c>
      <c r="L712" s="96" t="str">
        <f>VLOOKUP(K712,COA!$A$3:$B$337,2,FALSE)</f>
        <v>L13</v>
      </c>
      <c r="M712" s="96" t="str">
        <f t="shared" si="34"/>
        <v>L13</v>
      </c>
      <c r="N712" s="96" t="str">
        <f>VLOOKUP(M712,CAC!$A$2:$B$198,2,FALSE)</f>
        <v>HMOLG</v>
      </c>
    </row>
    <row r="713" spans="5:14" x14ac:dyDescent="0.25">
      <c r="E713" s="136">
        <v>201703</v>
      </c>
      <c r="F713" s="138" t="s">
        <v>563</v>
      </c>
      <c r="G713" s="138" t="s">
        <v>365</v>
      </c>
      <c r="H713" s="138" t="s">
        <v>344</v>
      </c>
      <c r="I713" s="139">
        <v>0</v>
      </c>
      <c r="K713" s="96" t="str">
        <f t="shared" si="33"/>
        <v>0003-1001-0012</v>
      </c>
      <c r="L713" s="96" t="str">
        <f>VLOOKUP(K713,COA!$A$3:$B$337,2,FALSE)</f>
        <v>V51</v>
      </c>
      <c r="M713" s="96" t="str">
        <f t="shared" si="34"/>
        <v>V51</v>
      </c>
      <c r="N713" s="96" t="str">
        <f>VLOOKUP(M713,CAC!$A$2:$B$198,2,FALSE)</f>
        <v>PPOIFP</v>
      </c>
    </row>
    <row r="714" spans="5:14" x14ac:dyDescent="0.25">
      <c r="E714" s="136">
        <v>201512</v>
      </c>
      <c r="F714" s="138" t="s">
        <v>345</v>
      </c>
      <c r="G714" s="138" t="s">
        <v>359</v>
      </c>
      <c r="H714" s="138" t="s">
        <v>344</v>
      </c>
      <c r="I714" s="139">
        <v>3452.84</v>
      </c>
      <c r="K714" s="96" t="str">
        <f t="shared" si="33"/>
        <v>0011-1005-0012</v>
      </c>
      <c r="L714" s="96" t="str">
        <f>VLOOKUP(K714,COA!$A$3:$B$337,2,FALSE)</f>
        <v>N11</v>
      </c>
      <c r="M714" s="96" t="str">
        <f t="shared" si="34"/>
        <v>N11</v>
      </c>
      <c r="N714" s="96" t="str">
        <f>VLOOKUP(M714,CAC!$A$2:$B$198,2,FALSE)</f>
        <v>HMOLG</v>
      </c>
    </row>
    <row r="715" spans="5:14" x14ac:dyDescent="0.25">
      <c r="E715" s="136">
        <v>201710</v>
      </c>
      <c r="F715" s="138" t="s">
        <v>345</v>
      </c>
      <c r="G715" s="138" t="s">
        <v>350</v>
      </c>
      <c r="H715" s="138" t="s">
        <v>344</v>
      </c>
      <c r="I715" s="139">
        <v>17736.96</v>
      </c>
      <c r="K715" s="96" t="str">
        <f t="shared" si="33"/>
        <v>0011-1012-0012</v>
      </c>
      <c r="L715" s="96" t="str">
        <f>VLOOKUP(K715,COA!$A$3:$B$337,2,FALSE)</f>
        <v>K11</v>
      </c>
      <c r="M715" s="96" t="str">
        <f t="shared" si="34"/>
        <v>K11</v>
      </c>
      <c r="N715" s="96" t="str">
        <f>VLOOKUP(M715,CAC!$A$2:$B$198,2,FALSE)</f>
        <v>HMOPMR</v>
      </c>
    </row>
    <row r="716" spans="5:14" x14ac:dyDescent="0.25">
      <c r="E716" s="136">
        <v>201611</v>
      </c>
      <c r="F716" s="138" t="s">
        <v>563</v>
      </c>
      <c r="G716" s="138" t="s">
        <v>354</v>
      </c>
      <c r="H716" s="138" t="s">
        <v>626</v>
      </c>
      <c r="I716" s="139">
        <v>0</v>
      </c>
      <c r="K716" s="96" t="str">
        <f t="shared" si="33"/>
        <v>0003-1013-0057</v>
      </c>
      <c r="L716" s="96" t="str">
        <f>VLOOKUP(K716,COA!$A$3:$B$337,2,FALSE)</f>
        <v>N55</v>
      </c>
      <c r="M716" s="96" t="str">
        <f t="shared" si="34"/>
        <v>N55</v>
      </c>
      <c r="N716" s="96" t="str">
        <f>VLOOKUP(M716,CAC!$A$2:$B$198,2,FALSE)</f>
        <v>PPOPMR</v>
      </c>
    </row>
    <row r="717" spans="5:14" x14ac:dyDescent="0.25">
      <c r="E717" s="136">
        <v>201509</v>
      </c>
      <c r="F717" s="138" t="s">
        <v>506</v>
      </c>
      <c r="G717" s="138" t="s">
        <v>352</v>
      </c>
      <c r="H717" s="138" t="s">
        <v>592</v>
      </c>
      <c r="I717" s="139">
        <v>0</v>
      </c>
      <c r="K717" s="96" t="str">
        <f t="shared" si="33"/>
        <v>0013-1004-0035</v>
      </c>
      <c r="L717" s="96" t="str">
        <f>VLOOKUP(K717,COA!$A$3:$B$337,2,FALSE)</f>
        <v>L41</v>
      </c>
      <c r="M717" s="96" t="str">
        <f t="shared" si="34"/>
        <v>L41</v>
      </c>
      <c r="N717" s="96" t="e">
        <f>VLOOKUP(M717,CAC!$A$2:$B$198,2,FALSE)</f>
        <v>#N/A</v>
      </c>
    </row>
    <row r="718" spans="5:14" x14ac:dyDescent="0.25">
      <c r="E718" s="136">
        <v>201710</v>
      </c>
      <c r="F718" s="138" t="s">
        <v>563</v>
      </c>
      <c r="G718" s="138" t="s">
        <v>356</v>
      </c>
      <c r="H718" s="138" t="s">
        <v>344</v>
      </c>
      <c r="I718" s="139">
        <v>0</v>
      </c>
      <c r="K718" s="96" t="str">
        <f t="shared" si="33"/>
        <v>0003-1002-0012</v>
      </c>
      <c r="L718" s="96" t="str">
        <f>VLOOKUP(K718,COA!$A$3:$B$337,2,FALSE)</f>
        <v>F61</v>
      </c>
      <c r="M718" s="96" t="str">
        <f t="shared" si="34"/>
        <v>F61</v>
      </c>
      <c r="N718" s="96" t="str">
        <f>VLOOKUP(M718,CAC!$A$2:$B$198,2,FALSE)</f>
        <v>PPOPMR</v>
      </c>
    </row>
    <row r="719" spans="5:14" x14ac:dyDescent="0.25">
      <c r="E719" s="136">
        <v>201612</v>
      </c>
      <c r="F719" s="138" t="s">
        <v>563</v>
      </c>
      <c r="G719" s="138" t="s">
        <v>365</v>
      </c>
      <c r="H719" s="138" t="s">
        <v>366</v>
      </c>
      <c r="I719" s="139">
        <v>0</v>
      </c>
      <c r="K719" s="96" t="str">
        <f t="shared" si="33"/>
        <v>0003-1001-0021</v>
      </c>
      <c r="L719" s="96" t="str">
        <f>VLOOKUP(K719,COA!$A$3:$B$337,2,FALSE)</f>
        <v>V53</v>
      </c>
      <c r="M719" s="96" t="str">
        <f t="shared" si="34"/>
        <v>V53</v>
      </c>
      <c r="N719" s="96" t="str">
        <f>VLOOKUP(M719,CAC!$A$2:$B$198,2,FALSE)</f>
        <v>PPOIFP</v>
      </c>
    </row>
    <row r="720" spans="5:14" x14ac:dyDescent="0.25">
      <c r="E720" s="136">
        <v>201608</v>
      </c>
      <c r="F720" s="138" t="s">
        <v>345</v>
      </c>
      <c r="G720" s="138" t="s">
        <v>346</v>
      </c>
      <c r="H720" s="138" t="s">
        <v>360</v>
      </c>
      <c r="I720" s="139">
        <v>374</v>
      </c>
      <c r="K720" s="96" t="str">
        <f t="shared" si="33"/>
        <v>0011-1014-0048</v>
      </c>
      <c r="L720" s="96" t="str">
        <f>VLOOKUP(K720,COA!$A$3:$B$337,2,FALSE)</f>
        <v>K23</v>
      </c>
      <c r="M720" s="96" t="str">
        <f t="shared" si="34"/>
        <v>K23</v>
      </c>
      <c r="N720" s="96" t="str">
        <f>VLOOKUP(M720,CAC!$A$2:$B$198,2,FALSE)</f>
        <v>HMFLEX</v>
      </c>
    </row>
    <row r="721" spans="5:14" x14ac:dyDescent="0.25">
      <c r="E721" s="136">
        <v>201508</v>
      </c>
      <c r="F721" s="138" t="s">
        <v>405</v>
      </c>
      <c r="G721" s="138" t="s">
        <v>362</v>
      </c>
      <c r="H721" s="138" t="s">
        <v>759</v>
      </c>
      <c r="I721" s="139">
        <v>0</v>
      </c>
      <c r="K721" s="96" t="str">
        <f t="shared" si="33"/>
        <v>0019-1008-0032</v>
      </c>
      <c r="L721" s="96" t="str">
        <f>VLOOKUP(K721,COA!$A$3:$B$337,2,FALSE)</f>
        <v>P58</v>
      </c>
      <c r="M721" s="96" t="str">
        <f t="shared" si="34"/>
        <v>P58</v>
      </c>
      <c r="N721" s="96" t="str">
        <f>VLOOKUP(M721,CAC!$A$2:$B$198,2,FALSE)</f>
        <v>PERMEDA</v>
      </c>
    </row>
    <row r="722" spans="5:14" x14ac:dyDescent="0.25">
      <c r="E722" s="136">
        <v>201702</v>
      </c>
      <c r="F722" s="138" t="s">
        <v>746</v>
      </c>
      <c r="G722" s="138" t="s">
        <v>361</v>
      </c>
      <c r="H722" s="138" t="s">
        <v>344</v>
      </c>
      <c r="I722" s="139">
        <v>491</v>
      </c>
      <c r="K722" s="96" t="str">
        <f t="shared" si="33"/>
        <v>0016-1003-0012</v>
      </c>
      <c r="L722" s="96" t="str">
        <f>VLOOKUP(K722,COA!$A$3:$B$337,2,FALSE)</f>
        <v>R18</v>
      </c>
      <c r="M722" s="96" t="str">
        <f t="shared" si="34"/>
        <v>R18</v>
      </c>
      <c r="N722" s="96" t="str">
        <f>VLOOKUP(M722,CAC!$A$2:$B$198,2,FALSE)</f>
        <v>HMOMG</v>
      </c>
    </row>
    <row r="723" spans="5:14" x14ac:dyDescent="0.25">
      <c r="E723" s="136">
        <v>201609</v>
      </c>
      <c r="F723" s="138" t="s">
        <v>563</v>
      </c>
      <c r="G723" s="138" t="s">
        <v>350</v>
      </c>
      <c r="H723" s="138" t="s">
        <v>626</v>
      </c>
      <c r="I723" s="139">
        <v>0</v>
      </c>
      <c r="K723" s="96" t="str">
        <f t="shared" si="33"/>
        <v>0003-1012-0057</v>
      </c>
      <c r="L723" s="96" t="str">
        <f>VLOOKUP(K723,COA!$A$3:$B$337,2,FALSE)</f>
        <v>K51</v>
      </c>
      <c r="M723" s="96" t="str">
        <f t="shared" si="34"/>
        <v>K51</v>
      </c>
      <c r="N723" s="96" t="str">
        <f>VLOOKUP(M723,CAC!$A$2:$B$198,2,FALSE)</f>
        <v>PPOPMR</v>
      </c>
    </row>
    <row r="724" spans="5:14" x14ac:dyDescent="0.25">
      <c r="E724" s="136">
        <v>201605</v>
      </c>
      <c r="F724" s="138" t="s">
        <v>563</v>
      </c>
      <c r="G724" s="138" t="s">
        <v>350</v>
      </c>
      <c r="H724" s="138" t="s">
        <v>344</v>
      </c>
      <c r="I724" s="139">
        <v>0</v>
      </c>
      <c r="K724" s="96" t="str">
        <f t="shared" si="33"/>
        <v>0003-1012-0012</v>
      </c>
      <c r="L724" s="96" t="str">
        <f>VLOOKUP(K724,COA!$A$3:$B$337,2,FALSE)</f>
        <v>K51</v>
      </c>
      <c r="M724" s="96" t="str">
        <f t="shared" si="34"/>
        <v>K51</v>
      </c>
      <c r="N724" s="96" t="str">
        <f>VLOOKUP(M724,CAC!$A$2:$B$198,2,FALSE)</f>
        <v>PPOPMR</v>
      </c>
    </row>
    <row r="725" spans="5:14" x14ac:dyDescent="0.25">
      <c r="E725" s="136">
        <v>201609</v>
      </c>
      <c r="F725" s="138" t="s">
        <v>344</v>
      </c>
      <c r="G725" s="138" t="s">
        <v>352</v>
      </c>
      <c r="H725" s="138" t="s">
        <v>360</v>
      </c>
      <c r="I725" s="139">
        <v>211</v>
      </c>
      <c r="K725" s="96" t="str">
        <f t="shared" si="33"/>
        <v>0012-1004-0048</v>
      </c>
      <c r="L725" s="96" t="str">
        <f>VLOOKUP(K725,COA!$A$3:$B$337,2,FALSE)</f>
        <v>L22</v>
      </c>
      <c r="M725" s="96" t="str">
        <f t="shared" si="34"/>
        <v>L22</v>
      </c>
      <c r="N725" s="96" t="str">
        <f>VLOOKUP(M725,CAC!$A$2:$B$198,2,FALSE)</f>
        <v>HMFLEX</v>
      </c>
    </row>
    <row r="726" spans="5:14" x14ac:dyDescent="0.25">
      <c r="E726" s="136">
        <v>201703</v>
      </c>
      <c r="F726" s="138" t="s">
        <v>344</v>
      </c>
      <c r="G726" s="138" t="s">
        <v>354</v>
      </c>
      <c r="H726" s="138" t="s">
        <v>344</v>
      </c>
      <c r="I726" s="139">
        <v>284</v>
      </c>
      <c r="K726" s="96" t="str">
        <f t="shared" si="33"/>
        <v>0012-1013-0012</v>
      </c>
      <c r="L726" s="96" t="str">
        <f>VLOOKUP(K726,COA!$A$3:$B$337,2,FALSE)</f>
        <v>N14</v>
      </c>
      <c r="M726" s="96" t="str">
        <f t="shared" si="34"/>
        <v>N14</v>
      </c>
      <c r="N726" s="96" t="str">
        <f>VLOOKUP(M726,CAC!$A$2:$B$198,2,FALSE)</f>
        <v>HMOPMR</v>
      </c>
    </row>
    <row r="727" spans="5:14" x14ac:dyDescent="0.25">
      <c r="E727" s="136">
        <v>201702</v>
      </c>
      <c r="F727" s="138" t="s">
        <v>563</v>
      </c>
      <c r="G727" s="138" t="s">
        <v>355</v>
      </c>
      <c r="H727" s="138" t="s">
        <v>344</v>
      </c>
      <c r="I727" s="139">
        <v>0</v>
      </c>
      <c r="K727" s="96" t="str">
        <f t="shared" si="33"/>
        <v>0003-1006-0012</v>
      </c>
      <c r="L727" s="96" t="str">
        <f>VLOOKUP(K727,COA!$A$3:$B$337,2,FALSE)</f>
        <v>L52</v>
      </c>
      <c r="M727" s="96" t="str">
        <f t="shared" si="34"/>
        <v>L52</v>
      </c>
      <c r="N727" s="96" t="str">
        <f>VLOOKUP(M727,CAC!$A$2:$B$198,2,FALSE)</f>
        <v>PPOLG</v>
      </c>
    </row>
    <row r="728" spans="5:14" x14ac:dyDescent="0.25">
      <c r="E728" s="136">
        <v>201511</v>
      </c>
      <c r="F728" s="138" t="s">
        <v>549</v>
      </c>
      <c r="G728" s="138" t="s">
        <v>356</v>
      </c>
      <c r="H728" s="138" t="s">
        <v>672</v>
      </c>
      <c r="I728" s="139">
        <v>0</v>
      </c>
      <c r="K728" s="96" t="str">
        <f t="shared" si="33"/>
        <v>0026-1002-0058</v>
      </c>
      <c r="L728" s="96" t="str">
        <f>VLOOKUP(K728,COA!$A$3:$B$337,2,FALSE)</f>
        <v>L45</v>
      </c>
      <c r="M728" s="96" t="str">
        <f t="shared" si="34"/>
        <v>L45</v>
      </c>
      <c r="N728" s="96" t="e">
        <f>VLOOKUP(M728,CAC!$A$2:$B$198,2,FALSE)</f>
        <v>#N/A</v>
      </c>
    </row>
    <row r="729" spans="5:14" x14ac:dyDescent="0.25">
      <c r="E729" s="136">
        <v>201704</v>
      </c>
      <c r="F729" s="138" t="s">
        <v>746</v>
      </c>
      <c r="G729" s="138" t="s">
        <v>361</v>
      </c>
      <c r="H729" s="138" t="s">
        <v>344</v>
      </c>
      <c r="I729" s="139">
        <v>501</v>
      </c>
      <c r="K729" s="96" t="str">
        <f t="shared" si="33"/>
        <v>0016-1003-0012</v>
      </c>
      <c r="L729" s="96" t="str">
        <f>VLOOKUP(K729,COA!$A$3:$B$337,2,FALSE)</f>
        <v>R18</v>
      </c>
      <c r="M729" s="96" t="str">
        <f t="shared" si="34"/>
        <v>R18</v>
      </c>
      <c r="N729" s="96" t="str">
        <f>VLOOKUP(M729,CAC!$A$2:$B$198,2,FALSE)</f>
        <v>HMOMG</v>
      </c>
    </row>
    <row r="730" spans="5:14" x14ac:dyDescent="0.25">
      <c r="E730" s="136">
        <v>201602</v>
      </c>
      <c r="F730" s="138" t="s">
        <v>344</v>
      </c>
      <c r="G730" s="138" t="s">
        <v>359</v>
      </c>
      <c r="H730" s="138" t="s">
        <v>344</v>
      </c>
      <c r="I730" s="139">
        <v>129</v>
      </c>
      <c r="K730" s="96" t="str">
        <f t="shared" si="33"/>
        <v>0012-1005-0012</v>
      </c>
      <c r="L730" s="96" t="str">
        <f>VLOOKUP(K730,COA!$A$3:$B$337,2,FALSE)</f>
        <v>N13</v>
      </c>
      <c r="M730" s="96" t="str">
        <f t="shared" si="34"/>
        <v>N13</v>
      </c>
      <c r="N730" s="96" t="str">
        <f>VLOOKUP(M730,CAC!$A$2:$B$198,2,FALSE)</f>
        <v>HMOLG</v>
      </c>
    </row>
    <row r="731" spans="5:14" x14ac:dyDescent="0.25">
      <c r="E731" s="136">
        <v>201512</v>
      </c>
      <c r="F731" s="138" t="s">
        <v>563</v>
      </c>
      <c r="G731" s="138" t="s">
        <v>354</v>
      </c>
      <c r="H731" s="138" t="s">
        <v>626</v>
      </c>
      <c r="I731" s="139">
        <v>0</v>
      </c>
      <c r="K731" s="96" t="str">
        <f t="shared" si="33"/>
        <v>0003-1013-0057</v>
      </c>
      <c r="L731" s="96" t="str">
        <f>VLOOKUP(K731,COA!$A$3:$B$337,2,FALSE)</f>
        <v>N55</v>
      </c>
      <c r="M731" s="96" t="str">
        <f t="shared" si="34"/>
        <v>N55</v>
      </c>
      <c r="N731" s="96" t="str">
        <f>VLOOKUP(M731,CAC!$A$2:$B$198,2,FALSE)</f>
        <v>PPOPMR</v>
      </c>
    </row>
    <row r="732" spans="5:14" x14ac:dyDescent="0.25">
      <c r="E732" s="136">
        <v>201604</v>
      </c>
      <c r="F732" s="138" t="s">
        <v>746</v>
      </c>
      <c r="G732" s="138" t="s">
        <v>355</v>
      </c>
      <c r="H732" s="138" t="s">
        <v>344</v>
      </c>
      <c r="I732" s="139">
        <v>0</v>
      </c>
      <c r="K732" s="96" t="str">
        <f t="shared" si="33"/>
        <v>0016-1006-0012</v>
      </c>
      <c r="L732" s="96" t="str">
        <f>VLOOKUP(K732,COA!$A$3:$B$337,2,FALSE)</f>
        <v>R21</v>
      </c>
      <c r="M732" s="96" t="str">
        <f t="shared" si="34"/>
        <v>R21</v>
      </c>
      <c r="N732" s="96" t="str">
        <f>VLOOKUP(M732,CAC!$A$2:$B$198,2,FALSE)</f>
        <v>HMOMG</v>
      </c>
    </row>
    <row r="733" spans="5:14" x14ac:dyDescent="0.25">
      <c r="E733" s="136">
        <v>201704</v>
      </c>
      <c r="F733" s="138" t="s">
        <v>342</v>
      </c>
      <c r="G733" s="138" t="s">
        <v>343</v>
      </c>
      <c r="H733" s="138" t="s">
        <v>344</v>
      </c>
      <c r="I733" s="139">
        <v>5699.01</v>
      </c>
      <c r="K733" s="96" t="str">
        <f t="shared" si="33"/>
        <v>0031-1000-0012</v>
      </c>
      <c r="L733" s="96" t="str">
        <f>VLOOKUP(K733,COA!$A$3:$B$337,2,FALSE)</f>
        <v>F27</v>
      </c>
      <c r="M733" s="96" t="str">
        <f t="shared" si="34"/>
        <v>F27</v>
      </c>
      <c r="N733" s="96" t="str">
        <f>VLOOKUP(M733,CAC!$A$2:$B$198,2,FALSE)</f>
        <v>HMOFEP</v>
      </c>
    </row>
    <row r="734" spans="5:14" x14ac:dyDescent="0.25">
      <c r="E734" s="136">
        <v>201506</v>
      </c>
      <c r="F734" s="138" t="s">
        <v>506</v>
      </c>
      <c r="G734" s="138" t="s">
        <v>359</v>
      </c>
      <c r="H734" s="138" t="s">
        <v>592</v>
      </c>
      <c r="I734" s="139">
        <v>0</v>
      </c>
      <c r="K734" s="96" t="str">
        <f t="shared" si="33"/>
        <v>0013-1005-0035</v>
      </c>
      <c r="L734" s="96" t="str">
        <f>VLOOKUP(K734,COA!$A$3:$B$337,2,FALSE)</f>
        <v>N41</v>
      </c>
      <c r="M734" s="96" t="str">
        <f t="shared" si="34"/>
        <v>N41</v>
      </c>
      <c r="N734" s="96" t="e">
        <f>VLOOKUP(M734,CAC!$A$2:$B$198,2,FALSE)</f>
        <v>#N/A</v>
      </c>
    </row>
    <row r="735" spans="5:14" x14ac:dyDescent="0.25">
      <c r="E735" s="136">
        <v>201511</v>
      </c>
      <c r="F735" s="138" t="s">
        <v>524</v>
      </c>
      <c r="G735" s="138" t="s">
        <v>356</v>
      </c>
      <c r="H735" s="138" t="s">
        <v>672</v>
      </c>
      <c r="I735" s="139">
        <v>0</v>
      </c>
      <c r="K735" s="96" t="str">
        <f t="shared" si="33"/>
        <v>0025-1002-0058</v>
      </c>
      <c r="L735" s="96" t="str">
        <f>VLOOKUP(K735,COA!$A$3:$B$337,2,FALSE)</f>
        <v>L45</v>
      </c>
      <c r="M735" s="96" t="str">
        <f t="shared" si="34"/>
        <v>L45</v>
      </c>
      <c r="N735" s="96" t="e">
        <f>VLOOKUP(M735,CAC!$A$2:$B$198,2,FALSE)</f>
        <v>#N/A</v>
      </c>
    </row>
    <row r="736" spans="5:14" x14ac:dyDescent="0.25">
      <c r="E736" s="136">
        <v>201708</v>
      </c>
      <c r="F736" s="138" t="s">
        <v>746</v>
      </c>
      <c r="G736" s="138" t="s">
        <v>350</v>
      </c>
      <c r="H736" s="138" t="s">
        <v>344</v>
      </c>
      <c r="I736" s="139">
        <v>31</v>
      </c>
      <c r="K736" s="96" t="str">
        <f t="shared" si="33"/>
        <v>0016-1012-0012</v>
      </c>
      <c r="L736" s="96" t="str">
        <f>VLOOKUP(K736,COA!$A$3:$B$337,2,FALSE)</f>
        <v>R19</v>
      </c>
      <c r="M736" s="96" t="str">
        <f t="shared" si="34"/>
        <v>R19</v>
      </c>
      <c r="N736" s="96" t="str">
        <f>VLOOKUP(M736,CAC!$A$2:$B$198,2,FALSE)</f>
        <v>HMOMG</v>
      </c>
    </row>
    <row r="737" spans="5:14" x14ac:dyDescent="0.25">
      <c r="E737" s="136">
        <v>201707</v>
      </c>
      <c r="F737" s="138" t="s">
        <v>563</v>
      </c>
      <c r="G737" s="138" t="s">
        <v>365</v>
      </c>
      <c r="H737" s="138" t="s">
        <v>798</v>
      </c>
      <c r="I737" s="139">
        <v>0</v>
      </c>
      <c r="K737" s="96" t="str">
        <f t="shared" si="33"/>
        <v>0003-1001-0065</v>
      </c>
      <c r="L737" s="96" t="str">
        <f>VLOOKUP(K737,COA!$A$3:$B$337,2,FALSE)</f>
        <v>V55</v>
      </c>
      <c r="M737" s="96" t="str">
        <f t="shared" si="34"/>
        <v>V55</v>
      </c>
      <c r="N737" s="96" t="e">
        <f>VLOOKUP(M737,CAC!$A$2:$B$198,2,FALSE)</f>
        <v>#N/A</v>
      </c>
    </row>
    <row r="738" spans="5:14" x14ac:dyDescent="0.25">
      <c r="E738" s="136">
        <v>201704</v>
      </c>
      <c r="F738" s="138" t="s">
        <v>506</v>
      </c>
      <c r="G738" s="138" t="s">
        <v>361</v>
      </c>
      <c r="H738" s="138" t="s">
        <v>592</v>
      </c>
      <c r="I738" s="139">
        <v>0</v>
      </c>
      <c r="K738" s="96" t="str">
        <f t="shared" si="33"/>
        <v>0013-1003-0035</v>
      </c>
      <c r="L738" s="96" t="str">
        <f>VLOOKUP(K738,COA!$A$3:$B$337,2,FALSE)</f>
        <v>N32</v>
      </c>
      <c r="M738" s="96" t="str">
        <f t="shared" si="34"/>
        <v>N32</v>
      </c>
      <c r="N738" s="96" t="e">
        <f>VLOOKUP(M738,CAC!$A$2:$B$198,2,FALSE)</f>
        <v>#N/A</v>
      </c>
    </row>
    <row r="739" spans="5:14" x14ac:dyDescent="0.25">
      <c r="E739" s="136">
        <v>201606</v>
      </c>
      <c r="F739" s="138" t="s">
        <v>344</v>
      </c>
      <c r="G739" s="138" t="s">
        <v>354</v>
      </c>
      <c r="H739" s="138" t="s">
        <v>344</v>
      </c>
      <c r="I739" s="139">
        <v>280</v>
      </c>
      <c r="K739" s="96" t="str">
        <f t="shared" si="33"/>
        <v>0012-1013-0012</v>
      </c>
      <c r="L739" s="96" t="str">
        <f>VLOOKUP(K739,COA!$A$3:$B$337,2,FALSE)</f>
        <v>N14</v>
      </c>
      <c r="M739" s="96" t="str">
        <f t="shared" si="34"/>
        <v>N14</v>
      </c>
      <c r="N739" s="96" t="str">
        <f>VLOOKUP(M739,CAC!$A$2:$B$198,2,FALSE)</f>
        <v>HMOPMR</v>
      </c>
    </row>
    <row r="740" spans="5:14" x14ac:dyDescent="0.25">
      <c r="E740" s="136">
        <v>201606</v>
      </c>
      <c r="F740" s="138" t="s">
        <v>746</v>
      </c>
      <c r="G740" s="138" t="s">
        <v>356</v>
      </c>
      <c r="H740" s="138" t="s">
        <v>764</v>
      </c>
      <c r="I740" s="139">
        <v>11</v>
      </c>
      <c r="K740" s="96" t="str">
        <f t="shared" si="33"/>
        <v>0016-1002-0064</v>
      </c>
      <c r="L740" s="96" t="str">
        <f>VLOOKUP(K740,COA!$A$3:$B$337,2,FALSE)</f>
        <v>R25</v>
      </c>
      <c r="M740" s="96" t="str">
        <f t="shared" si="34"/>
        <v>R25</v>
      </c>
      <c r="N740" s="96" t="str">
        <f>VLOOKUP(M740,CAC!$A$2:$B$198,2,FALSE)</f>
        <v>HMOMG</v>
      </c>
    </row>
    <row r="741" spans="5:14" x14ac:dyDescent="0.25">
      <c r="E741" s="136">
        <v>201509</v>
      </c>
      <c r="F741" s="138" t="s">
        <v>344</v>
      </c>
      <c r="G741" s="138" t="s">
        <v>356</v>
      </c>
      <c r="H741" s="138" t="s">
        <v>344</v>
      </c>
      <c r="I741" s="139">
        <v>3893.82</v>
      </c>
      <c r="K741" s="96" t="str">
        <f t="shared" si="33"/>
        <v>0012-1002-0012</v>
      </c>
      <c r="L741" s="96" t="str">
        <f>VLOOKUP(K741,COA!$A$3:$B$337,2,FALSE)</f>
        <v>F22</v>
      </c>
      <c r="M741" s="96" t="str">
        <f t="shared" si="34"/>
        <v>F22</v>
      </c>
      <c r="N741" s="96" t="str">
        <f>VLOOKUP(M741,CAC!$A$2:$B$198,2,FALSE)</f>
        <v>HMOPMR</v>
      </c>
    </row>
    <row r="742" spans="5:14" x14ac:dyDescent="0.25">
      <c r="E742" s="136">
        <v>201503</v>
      </c>
      <c r="F742" s="138" t="s">
        <v>563</v>
      </c>
      <c r="G742" s="138" t="s">
        <v>351</v>
      </c>
      <c r="H742" s="138" t="s">
        <v>349</v>
      </c>
      <c r="I742" s="139">
        <v>0</v>
      </c>
      <c r="K742" s="96" t="str">
        <f t="shared" si="33"/>
        <v>0003-0000-0017</v>
      </c>
      <c r="L742" s="96" t="e">
        <f>VLOOKUP(K742,COA!$A$3:$B$337,2,FALSE)</f>
        <v>#N/A</v>
      </c>
      <c r="M742" s="96" t="str">
        <f t="shared" si="34"/>
        <v>XXX</v>
      </c>
      <c r="N742" s="96" t="str">
        <f>VLOOKUP(M742,CAC!$A$2:$B$198,2,FALSE)</f>
        <v>XXX</v>
      </c>
    </row>
    <row r="743" spans="5:14" x14ac:dyDescent="0.25">
      <c r="E743" s="136">
        <v>201702</v>
      </c>
      <c r="F743" s="138" t="s">
        <v>563</v>
      </c>
      <c r="G743" s="138" t="s">
        <v>369</v>
      </c>
      <c r="H743" s="138" t="s">
        <v>353</v>
      </c>
      <c r="I743" s="139">
        <v>0</v>
      </c>
      <c r="K743" s="96" t="str">
        <f t="shared" si="33"/>
        <v>0003-1009-0023</v>
      </c>
      <c r="L743" s="96" t="e">
        <f>VLOOKUP(K743,COA!$A$3:$B$337,2,FALSE)</f>
        <v>#N/A</v>
      </c>
      <c r="M743" s="96" t="str">
        <f t="shared" si="34"/>
        <v>XXX</v>
      </c>
      <c r="N743" s="96" t="str">
        <f>VLOOKUP(M743,CAC!$A$2:$B$198,2,FALSE)</f>
        <v>XXX</v>
      </c>
    </row>
    <row r="744" spans="5:14" x14ac:dyDescent="0.25">
      <c r="E744" s="136">
        <v>201601</v>
      </c>
      <c r="F744" s="138" t="s">
        <v>563</v>
      </c>
      <c r="G744" s="138" t="s">
        <v>352</v>
      </c>
      <c r="H744" s="138" t="s">
        <v>653</v>
      </c>
      <c r="I744" s="139">
        <v>0</v>
      </c>
      <c r="K744" s="96" t="str">
        <f t="shared" si="33"/>
        <v>0003-1004-0047</v>
      </c>
      <c r="L744" s="96" t="str">
        <f>VLOOKUP(K744,COA!$A$3:$B$337,2,FALSE)</f>
        <v>L57</v>
      </c>
      <c r="M744" s="96" t="str">
        <f t="shared" si="34"/>
        <v>L57</v>
      </c>
      <c r="N744" s="96" t="str">
        <f>VLOOKUP(M744,CAC!$A$2:$B$198,2,FALSE)</f>
        <v>PPOLG</v>
      </c>
    </row>
    <row r="745" spans="5:14" x14ac:dyDescent="0.25">
      <c r="E745" s="136">
        <v>201703</v>
      </c>
      <c r="F745" s="138" t="s">
        <v>345</v>
      </c>
      <c r="G745" s="138" t="s">
        <v>348</v>
      </c>
      <c r="H745" s="138" t="s">
        <v>349</v>
      </c>
      <c r="I745" s="139">
        <v>26412.68</v>
      </c>
      <c r="K745" s="96" t="str">
        <f t="shared" si="33"/>
        <v>0011-1010-0017</v>
      </c>
      <c r="L745" s="96" t="str">
        <f>VLOOKUP(K745,COA!$A$3:$B$337,2,FALSE)</f>
        <v>S11</v>
      </c>
      <c r="M745" s="96" t="str">
        <f t="shared" si="34"/>
        <v>S11</v>
      </c>
      <c r="N745" s="96" t="str">
        <f>VLOOKUP(M745,CAC!$A$2:$B$198,2,FALSE)</f>
        <v>HMOSG</v>
      </c>
    </row>
    <row r="746" spans="5:14" x14ac:dyDescent="0.25">
      <c r="E746" s="136">
        <v>201503</v>
      </c>
      <c r="F746" s="138" t="s">
        <v>349</v>
      </c>
      <c r="G746" s="138" t="s">
        <v>369</v>
      </c>
      <c r="H746" s="138" t="s">
        <v>344</v>
      </c>
      <c r="I746" s="139">
        <v>35923</v>
      </c>
      <c r="K746" s="96" t="str">
        <f t="shared" si="33"/>
        <v>0017-1009-0012</v>
      </c>
      <c r="L746" s="96" t="str">
        <f>VLOOKUP(K746,COA!$A$3:$B$337,2,FALSE)</f>
        <v>R12</v>
      </c>
      <c r="M746" s="96" t="str">
        <f t="shared" si="34"/>
        <v>R12</v>
      </c>
      <c r="N746" s="96" t="str">
        <f>VLOOKUP(M746,CAC!$A$2:$B$198,2,FALSE)</f>
        <v>HMOMM</v>
      </c>
    </row>
    <row r="747" spans="5:14" x14ac:dyDescent="0.25">
      <c r="E747" s="136">
        <v>201607</v>
      </c>
      <c r="F747" s="138" t="s">
        <v>746</v>
      </c>
      <c r="G747" s="138" t="s">
        <v>356</v>
      </c>
      <c r="H747" s="138" t="s">
        <v>764</v>
      </c>
      <c r="I747" s="139">
        <v>9</v>
      </c>
      <c r="K747" s="96" t="str">
        <f t="shared" si="33"/>
        <v>0016-1002-0064</v>
      </c>
      <c r="L747" s="96" t="str">
        <f>VLOOKUP(K747,COA!$A$3:$B$337,2,FALSE)</f>
        <v>R25</v>
      </c>
      <c r="M747" s="96" t="str">
        <f t="shared" si="34"/>
        <v>R25</v>
      </c>
      <c r="N747" s="96" t="str">
        <f>VLOOKUP(M747,CAC!$A$2:$B$198,2,FALSE)</f>
        <v>HMOMG</v>
      </c>
    </row>
    <row r="748" spans="5:14" x14ac:dyDescent="0.25">
      <c r="E748" s="136">
        <v>201705</v>
      </c>
      <c r="F748" s="138" t="s">
        <v>349</v>
      </c>
      <c r="G748" s="138" t="s">
        <v>369</v>
      </c>
      <c r="H748" s="138" t="s">
        <v>344</v>
      </c>
      <c r="I748" s="139">
        <v>43788</v>
      </c>
      <c r="K748" s="96" t="str">
        <f t="shared" si="33"/>
        <v>0017-1009-0012</v>
      </c>
      <c r="L748" s="96" t="str">
        <f>VLOOKUP(K748,COA!$A$3:$B$337,2,FALSE)</f>
        <v>R12</v>
      </c>
      <c r="M748" s="96" t="str">
        <f t="shared" si="34"/>
        <v>R12</v>
      </c>
      <c r="N748" s="96" t="str">
        <f>VLOOKUP(M748,CAC!$A$2:$B$198,2,FALSE)</f>
        <v>HMOMM</v>
      </c>
    </row>
    <row r="749" spans="5:14" x14ac:dyDescent="0.25">
      <c r="E749" s="136">
        <v>201706</v>
      </c>
      <c r="F749" s="138" t="s">
        <v>563</v>
      </c>
      <c r="G749" s="138" t="s">
        <v>361</v>
      </c>
      <c r="H749" s="138" t="s">
        <v>344</v>
      </c>
      <c r="I749" s="139">
        <v>0</v>
      </c>
      <c r="K749" s="96" t="str">
        <f t="shared" si="33"/>
        <v>0003-1003-0012</v>
      </c>
      <c r="L749" s="96" t="str">
        <f>VLOOKUP(K749,COA!$A$3:$B$337,2,FALSE)</f>
        <v>N61</v>
      </c>
      <c r="M749" s="96" t="str">
        <f t="shared" si="34"/>
        <v>N61</v>
      </c>
      <c r="N749" s="96" t="str">
        <f>VLOOKUP(M749,CAC!$A$2:$B$198,2,FALSE)</f>
        <v>PPOPMR</v>
      </c>
    </row>
    <row r="750" spans="5:14" x14ac:dyDescent="0.25">
      <c r="E750" s="136">
        <v>201604</v>
      </c>
      <c r="F750" s="138" t="s">
        <v>344</v>
      </c>
      <c r="G750" s="138" t="s">
        <v>359</v>
      </c>
      <c r="H750" s="138" t="s">
        <v>344</v>
      </c>
      <c r="I750" s="139">
        <v>137</v>
      </c>
      <c r="K750" s="96" t="str">
        <f t="shared" si="33"/>
        <v>0012-1005-0012</v>
      </c>
      <c r="L750" s="96" t="str">
        <f>VLOOKUP(K750,COA!$A$3:$B$337,2,FALSE)</f>
        <v>N13</v>
      </c>
      <c r="M750" s="96" t="str">
        <f t="shared" si="34"/>
        <v>N13</v>
      </c>
      <c r="N750" s="96" t="str">
        <f>VLOOKUP(M750,CAC!$A$2:$B$198,2,FALSE)</f>
        <v>HMOLG</v>
      </c>
    </row>
    <row r="751" spans="5:14" x14ac:dyDescent="0.25">
      <c r="E751" s="136">
        <v>201705</v>
      </c>
      <c r="F751" s="138" t="s">
        <v>549</v>
      </c>
      <c r="G751" s="138" t="s">
        <v>352</v>
      </c>
      <c r="H751" s="138" t="s">
        <v>672</v>
      </c>
      <c r="I751" s="139">
        <v>0</v>
      </c>
      <c r="K751" s="96" t="str">
        <f t="shared" si="33"/>
        <v>0026-1004-0058</v>
      </c>
      <c r="L751" s="96" t="str">
        <f>VLOOKUP(K751,COA!$A$3:$B$337,2,FALSE)</f>
        <v>L44</v>
      </c>
      <c r="M751" s="96" t="str">
        <f t="shared" si="34"/>
        <v>L44</v>
      </c>
      <c r="N751" s="96" t="e">
        <f>VLOOKUP(M751,CAC!$A$2:$B$198,2,FALSE)</f>
        <v>#N/A</v>
      </c>
    </row>
    <row r="752" spans="5:14" x14ac:dyDescent="0.25">
      <c r="E752" s="136">
        <v>201603</v>
      </c>
      <c r="F752" s="138" t="s">
        <v>345</v>
      </c>
      <c r="G752" s="138" t="s">
        <v>351</v>
      </c>
      <c r="H752" s="138" t="s">
        <v>353</v>
      </c>
      <c r="I752" s="139">
        <v>3</v>
      </c>
      <c r="K752" s="96" t="str">
        <f t="shared" si="33"/>
        <v>0011-0000-0023</v>
      </c>
      <c r="L752" s="96" t="e">
        <f>VLOOKUP(K752,COA!$A$3:$B$337,2,FALSE)</f>
        <v>#N/A</v>
      </c>
      <c r="M752" s="96" t="str">
        <f t="shared" si="34"/>
        <v>XXX</v>
      </c>
      <c r="N752" s="96" t="str">
        <f>VLOOKUP(M752,CAC!$A$2:$B$198,2,FALSE)</f>
        <v>XXX</v>
      </c>
    </row>
    <row r="753" spans="5:14" x14ac:dyDescent="0.25">
      <c r="E753" s="136">
        <v>201705</v>
      </c>
      <c r="F753" s="138" t="s">
        <v>345</v>
      </c>
      <c r="G753" s="138" t="s">
        <v>354</v>
      </c>
      <c r="H753" s="138" t="s">
        <v>360</v>
      </c>
      <c r="I753" s="139">
        <v>5125</v>
      </c>
      <c r="K753" s="96" t="str">
        <f t="shared" si="33"/>
        <v>0011-1013-0048</v>
      </c>
      <c r="L753" s="96" t="str">
        <f>VLOOKUP(K753,COA!$A$3:$B$337,2,FALSE)</f>
        <v>N21</v>
      </c>
      <c r="M753" s="96" t="str">
        <f t="shared" si="34"/>
        <v>N21</v>
      </c>
      <c r="N753" s="96" t="str">
        <f>VLOOKUP(M753,CAC!$A$2:$B$198,2,FALSE)</f>
        <v>HMFLEX</v>
      </c>
    </row>
    <row r="754" spans="5:14" x14ac:dyDescent="0.25">
      <c r="E754" s="136">
        <v>201706</v>
      </c>
      <c r="F754" s="138" t="s">
        <v>349</v>
      </c>
      <c r="G754" s="138" t="s">
        <v>369</v>
      </c>
      <c r="H754" s="138" t="s">
        <v>764</v>
      </c>
      <c r="I754" s="139">
        <v>5389</v>
      </c>
      <c r="K754" s="96" t="str">
        <f t="shared" si="33"/>
        <v>0017-1009-0064</v>
      </c>
      <c r="L754" s="96" t="str">
        <f>VLOOKUP(K754,COA!$A$3:$B$337,2,FALSE)</f>
        <v>R15</v>
      </c>
      <c r="M754" s="96" t="str">
        <f t="shared" si="34"/>
        <v>R15</v>
      </c>
      <c r="N754" s="96" t="str">
        <f>VLOOKUP(M754,CAC!$A$2:$B$198,2,FALSE)</f>
        <v>HMOMM</v>
      </c>
    </row>
    <row r="755" spans="5:14" x14ac:dyDescent="0.25">
      <c r="E755" s="136">
        <v>201506</v>
      </c>
      <c r="F755" s="138" t="s">
        <v>345</v>
      </c>
      <c r="G755" s="138" t="s">
        <v>351</v>
      </c>
      <c r="H755" s="138" t="s">
        <v>349</v>
      </c>
      <c r="I755" s="139">
        <v>1</v>
      </c>
      <c r="K755" s="96" t="str">
        <f t="shared" si="33"/>
        <v>0011-0000-0017</v>
      </c>
      <c r="L755" s="96" t="e">
        <f>VLOOKUP(K755,COA!$A$3:$B$337,2,FALSE)</f>
        <v>#N/A</v>
      </c>
      <c r="M755" s="96" t="str">
        <f t="shared" si="34"/>
        <v>XXX</v>
      </c>
      <c r="N755" s="96" t="str">
        <f>VLOOKUP(M755,CAC!$A$2:$B$198,2,FALSE)</f>
        <v>XXX</v>
      </c>
    </row>
    <row r="756" spans="5:14" x14ac:dyDescent="0.25">
      <c r="E756" s="136">
        <v>201510</v>
      </c>
      <c r="F756" s="138" t="s">
        <v>563</v>
      </c>
      <c r="G756" s="138" t="s">
        <v>355</v>
      </c>
      <c r="H756" s="138" t="s">
        <v>344</v>
      </c>
      <c r="I756" s="139">
        <v>0</v>
      </c>
      <c r="K756" s="96" t="str">
        <f t="shared" si="33"/>
        <v>0003-1006-0012</v>
      </c>
      <c r="L756" s="96" t="str">
        <f>VLOOKUP(K756,COA!$A$3:$B$337,2,FALSE)</f>
        <v>L52</v>
      </c>
      <c r="M756" s="96" t="str">
        <f t="shared" si="34"/>
        <v>L52</v>
      </c>
      <c r="N756" s="96" t="str">
        <f>VLOOKUP(M756,CAC!$A$2:$B$198,2,FALSE)</f>
        <v>PPOLG</v>
      </c>
    </row>
    <row r="757" spans="5:14" x14ac:dyDescent="0.25">
      <c r="E757" s="136">
        <v>201712</v>
      </c>
      <c r="F757" s="138" t="s">
        <v>345</v>
      </c>
      <c r="G757" s="138" t="s">
        <v>352</v>
      </c>
      <c r="H757" s="138" t="s">
        <v>360</v>
      </c>
      <c r="I757" s="139">
        <v>231</v>
      </c>
      <c r="K757" s="96" t="str">
        <f t="shared" si="33"/>
        <v>0011-1004-0048</v>
      </c>
      <c r="L757" s="96" t="str">
        <f>VLOOKUP(K757,COA!$A$3:$B$337,2,FALSE)</f>
        <v>L21</v>
      </c>
      <c r="M757" s="96" t="str">
        <f t="shared" si="34"/>
        <v>L21</v>
      </c>
      <c r="N757" s="96" t="str">
        <f>VLOOKUP(M757,CAC!$A$2:$B$198,2,FALSE)</f>
        <v>HMFLEX</v>
      </c>
    </row>
    <row r="758" spans="5:14" x14ac:dyDescent="0.25">
      <c r="E758" s="136">
        <v>201506</v>
      </c>
      <c r="F758" s="138" t="s">
        <v>563</v>
      </c>
      <c r="G758" s="138" t="s">
        <v>354</v>
      </c>
      <c r="H758" s="138" t="s">
        <v>344</v>
      </c>
      <c r="I758" s="139">
        <v>0</v>
      </c>
      <c r="K758" s="96" t="str">
        <f t="shared" si="33"/>
        <v>0003-1013-0012</v>
      </c>
      <c r="L758" s="96" t="str">
        <f>VLOOKUP(K758,COA!$A$3:$B$337,2,FALSE)</f>
        <v>N55</v>
      </c>
      <c r="M758" s="96" t="str">
        <f t="shared" si="34"/>
        <v>N55</v>
      </c>
      <c r="N758" s="96" t="str">
        <f>VLOOKUP(M758,CAC!$A$2:$B$198,2,FALSE)</f>
        <v>PPOPMR</v>
      </c>
    </row>
    <row r="759" spans="5:14" x14ac:dyDescent="0.25">
      <c r="E759" s="136">
        <v>201703</v>
      </c>
      <c r="F759" s="138" t="s">
        <v>344</v>
      </c>
      <c r="G759" s="138" t="s">
        <v>356</v>
      </c>
      <c r="H759" s="138" t="s">
        <v>344</v>
      </c>
      <c r="I759" s="139">
        <v>4235</v>
      </c>
      <c r="K759" s="96" t="str">
        <f t="shared" si="33"/>
        <v>0012-1002-0012</v>
      </c>
      <c r="L759" s="96" t="str">
        <f>VLOOKUP(K759,COA!$A$3:$B$337,2,FALSE)</f>
        <v>F22</v>
      </c>
      <c r="M759" s="96" t="str">
        <f t="shared" si="34"/>
        <v>F22</v>
      </c>
      <c r="N759" s="96" t="str">
        <f>VLOOKUP(M759,CAC!$A$2:$B$198,2,FALSE)</f>
        <v>HMOPMR</v>
      </c>
    </row>
    <row r="760" spans="5:14" x14ac:dyDescent="0.25">
      <c r="E760" s="136">
        <v>201706</v>
      </c>
      <c r="F760" s="138" t="s">
        <v>345</v>
      </c>
      <c r="G760" s="138" t="s">
        <v>350</v>
      </c>
      <c r="H760" s="138" t="s">
        <v>360</v>
      </c>
      <c r="I760" s="139">
        <v>4013</v>
      </c>
      <c r="K760" s="96" t="str">
        <f t="shared" si="33"/>
        <v>0011-1012-0048</v>
      </c>
      <c r="L760" s="96" t="str">
        <f>VLOOKUP(K760,COA!$A$3:$B$337,2,FALSE)</f>
        <v>K21</v>
      </c>
      <c r="M760" s="96" t="str">
        <f t="shared" si="34"/>
        <v>K21</v>
      </c>
      <c r="N760" s="96" t="str">
        <f>VLOOKUP(M760,CAC!$A$2:$B$198,2,FALSE)</f>
        <v>HMFLEX</v>
      </c>
    </row>
    <row r="761" spans="5:14" x14ac:dyDescent="0.25">
      <c r="E761" s="136">
        <v>201608</v>
      </c>
      <c r="F761" s="138" t="s">
        <v>746</v>
      </c>
      <c r="G761" s="138" t="s">
        <v>356</v>
      </c>
      <c r="H761" s="138" t="s">
        <v>764</v>
      </c>
      <c r="I761" s="139">
        <v>11</v>
      </c>
      <c r="K761" s="96" t="str">
        <f t="shared" si="33"/>
        <v>0016-1002-0064</v>
      </c>
      <c r="L761" s="96" t="str">
        <f>VLOOKUP(K761,COA!$A$3:$B$337,2,FALSE)</f>
        <v>R25</v>
      </c>
      <c r="M761" s="96" t="str">
        <f t="shared" si="34"/>
        <v>R25</v>
      </c>
      <c r="N761" s="96" t="str">
        <f>VLOOKUP(M761,CAC!$A$2:$B$198,2,FALSE)</f>
        <v>HMOMG</v>
      </c>
    </row>
    <row r="762" spans="5:14" x14ac:dyDescent="0.25">
      <c r="E762" s="136">
        <v>201702</v>
      </c>
      <c r="F762" s="138" t="s">
        <v>746</v>
      </c>
      <c r="G762" s="138" t="s">
        <v>356</v>
      </c>
      <c r="H762" s="138" t="s">
        <v>344</v>
      </c>
      <c r="I762" s="139">
        <v>137</v>
      </c>
      <c r="K762" s="96" t="str">
        <f t="shared" si="33"/>
        <v>0016-1002-0012</v>
      </c>
      <c r="L762" s="96" t="str">
        <f>VLOOKUP(K762,COA!$A$3:$B$337,2,FALSE)</f>
        <v>R18</v>
      </c>
      <c r="M762" s="96" t="str">
        <f t="shared" si="34"/>
        <v>R18</v>
      </c>
      <c r="N762" s="96" t="str">
        <f>VLOOKUP(M762,CAC!$A$2:$B$198,2,FALSE)</f>
        <v>HMOMG</v>
      </c>
    </row>
    <row r="763" spans="5:14" x14ac:dyDescent="0.25">
      <c r="E763" s="136">
        <v>201611</v>
      </c>
      <c r="F763" s="138" t="s">
        <v>413</v>
      </c>
      <c r="G763" s="138" t="s">
        <v>355</v>
      </c>
      <c r="H763" s="138" t="s">
        <v>344</v>
      </c>
      <c r="I763" s="139">
        <v>0</v>
      </c>
      <c r="K763" s="96" t="str">
        <f t="shared" si="33"/>
        <v>0008-1006-0012</v>
      </c>
      <c r="L763" s="96" t="str">
        <f>VLOOKUP(K763,COA!$A$3:$B$337,2,FALSE)</f>
        <v>C96</v>
      </c>
      <c r="M763" s="96" t="str">
        <f t="shared" si="34"/>
        <v>C96</v>
      </c>
      <c r="N763" s="96" t="str">
        <f>VLOOKUP(M763,CAC!$A$2:$B$198,2,FALSE)</f>
        <v>DOILG</v>
      </c>
    </row>
    <row r="764" spans="5:14" x14ac:dyDescent="0.25">
      <c r="E764" s="136">
        <v>201506</v>
      </c>
      <c r="F764" s="138" t="s">
        <v>563</v>
      </c>
      <c r="G764" s="138" t="s">
        <v>356</v>
      </c>
      <c r="H764" s="138" t="s">
        <v>344</v>
      </c>
      <c r="I764" s="139">
        <v>0</v>
      </c>
      <c r="K764" s="96" t="str">
        <f t="shared" si="33"/>
        <v>0003-1002-0012</v>
      </c>
      <c r="L764" s="96" t="str">
        <f>VLOOKUP(K764,COA!$A$3:$B$337,2,FALSE)</f>
        <v>F61</v>
      </c>
      <c r="M764" s="96" t="str">
        <f t="shared" si="34"/>
        <v>F61</v>
      </c>
      <c r="N764" s="96" t="str">
        <f>VLOOKUP(M764,CAC!$A$2:$B$198,2,FALSE)</f>
        <v>PPOPMR</v>
      </c>
    </row>
    <row r="765" spans="5:14" x14ac:dyDescent="0.25">
      <c r="E765" s="136">
        <v>201511</v>
      </c>
      <c r="F765" s="138" t="s">
        <v>746</v>
      </c>
      <c r="G765" s="138" t="s">
        <v>354</v>
      </c>
      <c r="H765" s="138" t="s">
        <v>344</v>
      </c>
      <c r="I765" s="139">
        <v>80</v>
      </c>
      <c r="K765" s="96" t="str">
        <f t="shared" si="33"/>
        <v>0016-1013-0012</v>
      </c>
      <c r="L765" s="96" t="str">
        <f>VLOOKUP(K765,COA!$A$3:$B$337,2,FALSE)</f>
        <v>R19</v>
      </c>
      <c r="M765" s="96" t="str">
        <f t="shared" si="34"/>
        <v>R19</v>
      </c>
      <c r="N765" s="96" t="str">
        <f>VLOOKUP(M765,CAC!$A$2:$B$198,2,FALSE)</f>
        <v>HMOMG</v>
      </c>
    </row>
    <row r="766" spans="5:14" x14ac:dyDescent="0.25">
      <c r="E766" s="136">
        <v>201704</v>
      </c>
      <c r="F766" s="138" t="s">
        <v>746</v>
      </c>
      <c r="G766" s="138" t="s">
        <v>350</v>
      </c>
      <c r="H766" s="138" t="s">
        <v>344</v>
      </c>
      <c r="I766" s="139">
        <v>27</v>
      </c>
      <c r="K766" s="96" t="str">
        <f t="shared" si="33"/>
        <v>0016-1012-0012</v>
      </c>
      <c r="L766" s="96" t="str">
        <f>VLOOKUP(K766,COA!$A$3:$B$337,2,FALSE)</f>
        <v>R19</v>
      </c>
      <c r="M766" s="96" t="str">
        <f t="shared" si="34"/>
        <v>R19</v>
      </c>
      <c r="N766" s="96" t="str">
        <f>VLOOKUP(M766,CAC!$A$2:$B$198,2,FALSE)</f>
        <v>HMOMG</v>
      </c>
    </row>
    <row r="767" spans="5:14" x14ac:dyDescent="0.25">
      <c r="E767" s="136">
        <v>201512</v>
      </c>
      <c r="F767" s="138" t="s">
        <v>563</v>
      </c>
      <c r="G767" s="138" t="s">
        <v>351</v>
      </c>
      <c r="H767" s="138" t="s">
        <v>349</v>
      </c>
      <c r="I767" s="139">
        <v>0</v>
      </c>
      <c r="K767" s="96" t="str">
        <f t="shared" si="33"/>
        <v>0003-0000-0017</v>
      </c>
      <c r="L767" s="96" t="e">
        <f>VLOOKUP(K767,COA!$A$3:$B$337,2,FALSE)</f>
        <v>#N/A</v>
      </c>
      <c r="M767" s="96" t="str">
        <f t="shared" si="34"/>
        <v>XXX</v>
      </c>
      <c r="N767" s="96" t="str">
        <f>VLOOKUP(M767,CAC!$A$2:$B$198,2,FALSE)</f>
        <v>XXX</v>
      </c>
    </row>
    <row r="768" spans="5:14" x14ac:dyDescent="0.25">
      <c r="E768" s="136">
        <v>201703</v>
      </c>
      <c r="F768" s="138" t="s">
        <v>506</v>
      </c>
      <c r="G768" s="138" t="s">
        <v>346</v>
      </c>
      <c r="H768" s="138" t="s">
        <v>592</v>
      </c>
      <c r="I768" s="139">
        <v>0</v>
      </c>
      <c r="K768" s="96" t="str">
        <f t="shared" si="33"/>
        <v>0013-1014-0035</v>
      </c>
      <c r="L768" s="96" t="str">
        <f>VLOOKUP(K768,COA!$A$3:$B$337,2,FALSE)</f>
        <v>K42</v>
      </c>
      <c r="M768" s="96" t="str">
        <f t="shared" si="34"/>
        <v>K42</v>
      </c>
      <c r="N768" s="96" t="str">
        <f>VLOOKUP(M768,CAC!$A$2:$B$198,2,FALSE)</f>
        <v>HMFLEX</v>
      </c>
    </row>
    <row r="769" spans="5:14" x14ac:dyDescent="0.25">
      <c r="E769" s="136">
        <v>201705</v>
      </c>
      <c r="F769" s="138" t="s">
        <v>563</v>
      </c>
      <c r="G769" s="138" t="s">
        <v>359</v>
      </c>
      <c r="H769" s="138" t="s">
        <v>344</v>
      </c>
      <c r="I769" s="139">
        <v>0</v>
      </c>
      <c r="K769" s="96" t="str">
        <f t="shared" si="33"/>
        <v>0003-1005-0012</v>
      </c>
      <c r="L769" s="96" t="str">
        <f>VLOOKUP(K769,COA!$A$3:$B$337,2,FALSE)</f>
        <v>N51</v>
      </c>
      <c r="M769" s="96" t="str">
        <f t="shared" si="34"/>
        <v>N51</v>
      </c>
      <c r="N769" s="96" t="str">
        <f>VLOOKUP(M769,CAC!$A$2:$B$198,2,FALSE)</f>
        <v>PPOLG</v>
      </c>
    </row>
    <row r="770" spans="5:14" x14ac:dyDescent="0.25">
      <c r="E770" s="136">
        <v>201608</v>
      </c>
      <c r="F770" s="138" t="s">
        <v>345</v>
      </c>
      <c r="G770" s="138" t="s">
        <v>350</v>
      </c>
      <c r="H770" s="138" t="s">
        <v>357</v>
      </c>
      <c r="I770" s="139">
        <v>1936.09</v>
      </c>
      <c r="K770" s="96" t="str">
        <f t="shared" si="33"/>
        <v>0011-1012-0038</v>
      </c>
      <c r="L770" s="96" t="str">
        <f>VLOOKUP(K770,COA!$A$3:$B$337,2,FALSE)</f>
        <v>K14</v>
      </c>
      <c r="M770" s="96" t="str">
        <f t="shared" si="34"/>
        <v>K14</v>
      </c>
      <c r="N770" s="96" t="str">
        <f>VLOOKUP(M770,CAC!$A$2:$B$198,2,FALSE)</f>
        <v>HMOPMR</v>
      </c>
    </row>
    <row r="771" spans="5:14" x14ac:dyDescent="0.25">
      <c r="E771" s="136">
        <v>201608</v>
      </c>
      <c r="F771" s="138" t="s">
        <v>405</v>
      </c>
      <c r="G771" s="138" t="s">
        <v>362</v>
      </c>
      <c r="H771" s="138" t="s">
        <v>342</v>
      </c>
      <c r="I771" s="139">
        <v>0</v>
      </c>
      <c r="K771" s="96" t="str">
        <f t="shared" ref="K771:K834" si="35">F771&amp;"-"&amp;G771&amp;"-"&amp;H771</f>
        <v>0019-1008-0031</v>
      </c>
      <c r="L771" s="96" t="str">
        <f>VLOOKUP(K771,COA!$A$3:$B$337,2,FALSE)</f>
        <v>P53</v>
      </c>
      <c r="M771" s="96" t="str">
        <f t="shared" si="34"/>
        <v>P53</v>
      </c>
      <c r="N771" s="96" t="str">
        <f>VLOOKUP(M771,CAC!$A$2:$B$198,2,FALSE)</f>
        <v>HMOPERA</v>
      </c>
    </row>
    <row r="772" spans="5:14" x14ac:dyDescent="0.25">
      <c r="E772" s="136">
        <v>201706</v>
      </c>
      <c r="F772" s="138" t="s">
        <v>746</v>
      </c>
      <c r="G772" s="138" t="s">
        <v>361</v>
      </c>
      <c r="H772" s="138" t="s">
        <v>344</v>
      </c>
      <c r="I772" s="139">
        <v>497</v>
      </c>
      <c r="K772" s="96" t="str">
        <f t="shared" si="35"/>
        <v>0016-1003-0012</v>
      </c>
      <c r="L772" s="96" t="str">
        <f>VLOOKUP(K772,COA!$A$3:$B$337,2,FALSE)</f>
        <v>R18</v>
      </c>
      <c r="M772" s="96" t="str">
        <f t="shared" ref="M772:M835" si="36">IF(ISNA(L772),"XXX",L772)</f>
        <v>R18</v>
      </c>
      <c r="N772" s="96" t="str">
        <f>VLOOKUP(M772,CAC!$A$2:$B$198,2,FALSE)</f>
        <v>HMOMG</v>
      </c>
    </row>
    <row r="773" spans="5:14" x14ac:dyDescent="0.25">
      <c r="E773" s="136">
        <v>201601</v>
      </c>
      <c r="F773" s="138" t="s">
        <v>746</v>
      </c>
      <c r="G773" s="138" t="s">
        <v>350</v>
      </c>
      <c r="H773" s="138" t="s">
        <v>764</v>
      </c>
      <c r="I773" s="139">
        <v>10</v>
      </c>
      <c r="K773" s="96" t="str">
        <f t="shared" si="35"/>
        <v>0016-1012-0064</v>
      </c>
      <c r="L773" s="96" t="str">
        <f>VLOOKUP(K773,COA!$A$3:$B$337,2,FALSE)</f>
        <v>R25</v>
      </c>
      <c r="M773" s="96" t="str">
        <f t="shared" si="36"/>
        <v>R25</v>
      </c>
      <c r="N773" s="96" t="str">
        <f>VLOOKUP(M773,CAC!$A$2:$B$198,2,FALSE)</f>
        <v>HMOMG</v>
      </c>
    </row>
    <row r="774" spans="5:14" x14ac:dyDescent="0.25">
      <c r="E774" s="136">
        <v>201602</v>
      </c>
      <c r="F774" s="138" t="s">
        <v>563</v>
      </c>
      <c r="G774" s="138" t="s">
        <v>354</v>
      </c>
      <c r="H774" s="138" t="s">
        <v>344</v>
      </c>
      <c r="I774" s="139">
        <v>0</v>
      </c>
      <c r="K774" s="96" t="str">
        <f t="shared" si="35"/>
        <v>0003-1013-0012</v>
      </c>
      <c r="L774" s="96" t="str">
        <f>VLOOKUP(K774,COA!$A$3:$B$337,2,FALSE)</f>
        <v>N55</v>
      </c>
      <c r="M774" s="96" t="str">
        <f t="shared" si="36"/>
        <v>N55</v>
      </c>
      <c r="N774" s="96" t="str">
        <f>VLOOKUP(M774,CAC!$A$2:$B$198,2,FALSE)</f>
        <v>PPOPMR</v>
      </c>
    </row>
    <row r="775" spans="5:14" x14ac:dyDescent="0.25">
      <c r="E775" s="136">
        <v>201707</v>
      </c>
      <c r="F775" s="138" t="s">
        <v>345</v>
      </c>
      <c r="G775" s="138" t="s">
        <v>361</v>
      </c>
      <c r="H775" s="138" t="s">
        <v>344</v>
      </c>
      <c r="I775" s="139">
        <v>905</v>
      </c>
      <c r="K775" s="96" t="str">
        <f t="shared" si="35"/>
        <v>0011-1003-0012</v>
      </c>
      <c r="L775" s="96" t="str">
        <f>VLOOKUP(K775,COA!$A$3:$B$337,2,FALSE)</f>
        <v>N16</v>
      </c>
      <c r="M775" s="96" t="str">
        <f t="shared" si="36"/>
        <v>N16</v>
      </c>
      <c r="N775" s="96" t="str">
        <f>VLOOKUP(M775,CAC!$A$2:$B$198,2,FALSE)</f>
        <v>HMOPMR</v>
      </c>
    </row>
    <row r="776" spans="5:14" x14ac:dyDescent="0.25">
      <c r="E776" s="136">
        <v>201702</v>
      </c>
      <c r="F776" s="138" t="s">
        <v>549</v>
      </c>
      <c r="G776" s="138" t="s">
        <v>352</v>
      </c>
      <c r="H776" s="138" t="s">
        <v>672</v>
      </c>
      <c r="I776" s="139">
        <v>0</v>
      </c>
      <c r="K776" s="96" t="str">
        <f t="shared" si="35"/>
        <v>0026-1004-0058</v>
      </c>
      <c r="L776" s="96" t="str">
        <f>VLOOKUP(K776,COA!$A$3:$B$337,2,FALSE)</f>
        <v>L44</v>
      </c>
      <c r="M776" s="96" t="str">
        <f t="shared" si="36"/>
        <v>L44</v>
      </c>
      <c r="N776" s="96" t="e">
        <f>VLOOKUP(M776,CAC!$A$2:$B$198,2,FALSE)</f>
        <v>#N/A</v>
      </c>
    </row>
    <row r="777" spans="5:14" x14ac:dyDescent="0.25">
      <c r="E777" s="136">
        <v>201701</v>
      </c>
      <c r="F777" s="138" t="s">
        <v>746</v>
      </c>
      <c r="G777" s="138" t="s">
        <v>356</v>
      </c>
      <c r="H777" s="138" t="s">
        <v>344</v>
      </c>
      <c r="I777" s="139">
        <v>141</v>
      </c>
      <c r="K777" s="96" t="str">
        <f t="shared" si="35"/>
        <v>0016-1002-0012</v>
      </c>
      <c r="L777" s="96" t="str">
        <f>VLOOKUP(K777,COA!$A$3:$B$337,2,FALSE)</f>
        <v>R18</v>
      </c>
      <c r="M777" s="96" t="str">
        <f t="shared" si="36"/>
        <v>R18</v>
      </c>
      <c r="N777" s="96" t="str">
        <f>VLOOKUP(M777,CAC!$A$2:$B$198,2,FALSE)</f>
        <v>HMOMG</v>
      </c>
    </row>
    <row r="778" spans="5:14" x14ac:dyDescent="0.25">
      <c r="E778" s="136">
        <v>201604</v>
      </c>
      <c r="F778" s="138" t="s">
        <v>563</v>
      </c>
      <c r="G778" s="138" t="s">
        <v>350</v>
      </c>
      <c r="H778" s="138" t="s">
        <v>626</v>
      </c>
      <c r="I778" s="139">
        <v>0</v>
      </c>
      <c r="K778" s="96" t="str">
        <f t="shared" si="35"/>
        <v>0003-1012-0057</v>
      </c>
      <c r="L778" s="96" t="str">
        <f>VLOOKUP(K778,COA!$A$3:$B$337,2,FALSE)</f>
        <v>K51</v>
      </c>
      <c r="M778" s="96" t="str">
        <f t="shared" si="36"/>
        <v>K51</v>
      </c>
      <c r="N778" s="96" t="str">
        <f>VLOOKUP(M778,CAC!$A$2:$B$198,2,FALSE)</f>
        <v>PPOPMR</v>
      </c>
    </row>
    <row r="779" spans="5:14" x14ac:dyDescent="0.25">
      <c r="E779" s="136">
        <v>201605</v>
      </c>
      <c r="F779" s="138" t="s">
        <v>563</v>
      </c>
      <c r="G779" s="138" t="s">
        <v>365</v>
      </c>
      <c r="H779" s="138" t="s">
        <v>366</v>
      </c>
      <c r="I779" s="139">
        <v>0</v>
      </c>
      <c r="K779" s="96" t="str">
        <f t="shared" si="35"/>
        <v>0003-1001-0021</v>
      </c>
      <c r="L779" s="96" t="str">
        <f>VLOOKUP(K779,COA!$A$3:$B$337,2,FALSE)</f>
        <v>V53</v>
      </c>
      <c r="M779" s="96" t="str">
        <f t="shared" si="36"/>
        <v>V53</v>
      </c>
      <c r="N779" s="96" t="str">
        <f>VLOOKUP(M779,CAC!$A$2:$B$198,2,FALSE)</f>
        <v>PPOIFP</v>
      </c>
    </row>
    <row r="780" spans="5:14" x14ac:dyDescent="0.25">
      <c r="E780" s="136">
        <v>201703</v>
      </c>
      <c r="F780" s="138" t="s">
        <v>563</v>
      </c>
      <c r="G780" s="138" t="s">
        <v>356</v>
      </c>
      <c r="H780" s="138" t="s">
        <v>344</v>
      </c>
      <c r="I780" s="139">
        <v>0</v>
      </c>
      <c r="K780" s="96" t="str">
        <f t="shared" si="35"/>
        <v>0003-1002-0012</v>
      </c>
      <c r="L780" s="96" t="str">
        <f>VLOOKUP(K780,COA!$A$3:$B$337,2,FALSE)</f>
        <v>F61</v>
      </c>
      <c r="M780" s="96" t="str">
        <f t="shared" si="36"/>
        <v>F61</v>
      </c>
      <c r="N780" s="96" t="str">
        <f>VLOOKUP(M780,CAC!$A$2:$B$198,2,FALSE)</f>
        <v>PPOPMR</v>
      </c>
    </row>
    <row r="781" spans="5:14" x14ac:dyDescent="0.25">
      <c r="E781" s="136">
        <v>201711</v>
      </c>
      <c r="F781" s="138" t="s">
        <v>413</v>
      </c>
      <c r="G781" s="138" t="s">
        <v>355</v>
      </c>
      <c r="H781" s="138" t="s">
        <v>344</v>
      </c>
      <c r="I781" s="139">
        <v>0</v>
      </c>
      <c r="K781" s="96" t="str">
        <f t="shared" si="35"/>
        <v>0008-1006-0012</v>
      </c>
      <c r="L781" s="96" t="str">
        <f>VLOOKUP(K781,COA!$A$3:$B$337,2,FALSE)</f>
        <v>C96</v>
      </c>
      <c r="M781" s="96" t="str">
        <f t="shared" si="36"/>
        <v>C96</v>
      </c>
      <c r="N781" s="96" t="str">
        <f>VLOOKUP(M781,CAC!$A$2:$B$198,2,FALSE)</f>
        <v>DOILG</v>
      </c>
    </row>
    <row r="782" spans="5:14" x14ac:dyDescent="0.25">
      <c r="E782" s="136">
        <v>201608</v>
      </c>
      <c r="F782" s="138" t="s">
        <v>345</v>
      </c>
      <c r="G782" s="138" t="s">
        <v>352</v>
      </c>
      <c r="H782" s="138" t="s">
        <v>653</v>
      </c>
      <c r="I782" s="139">
        <v>0</v>
      </c>
      <c r="K782" s="96" t="str">
        <f t="shared" si="35"/>
        <v>0011-1004-0047</v>
      </c>
      <c r="L782" s="96" t="str">
        <f>VLOOKUP(K782,COA!$A$3:$B$337,2,FALSE)</f>
        <v>L17</v>
      </c>
      <c r="M782" s="96" t="str">
        <f t="shared" si="36"/>
        <v>L17</v>
      </c>
      <c r="N782" s="96" t="str">
        <f>VLOOKUP(M782,CAC!$A$2:$B$198,2,FALSE)</f>
        <v>HMOLG</v>
      </c>
    </row>
    <row r="783" spans="5:14" x14ac:dyDescent="0.25">
      <c r="E783" s="136">
        <v>201701</v>
      </c>
      <c r="F783" s="138" t="s">
        <v>563</v>
      </c>
      <c r="G783" s="138" t="s">
        <v>354</v>
      </c>
      <c r="H783" s="138" t="s">
        <v>360</v>
      </c>
      <c r="I783" s="139">
        <v>0</v>
      </c>
      <c r="K783" s="96" t="str">
        <f t="shared" si="35"/>
        <v>0003-1013-0048</v>
      </c>
      <c r="L783" s="96" t="str">
        <f>VLOOKUP(K783,COA!$A$3:$B$337,2,FALSE)</f>
        <v>N56</v>
      </c>
      <c r="M783" s="96" t="str">
        <f t="shared" si="36"/>
        <v>N56</v>
      </c>
      <c r="N783" s="96" t="str">
        <f>VLOOKUP(M783,CAC!$A$2:$B$198,2,FALSE)</f>
        <v>HMFLEX</v>
      </c>
    </row>
    <row r="784" spans="5:14" x14ac:dyDescent="0.25">
      <c r="E784" s="136">
        <v>201610</v>
      </c>
      <c r="F784" s="138" t="s">
        <v>413</v>
      </c>
      <c r="G784" s="138" t="s">
        <v>354</v>
      </c>
      <c r="H784" s="138" t="s">
        <v>344</v>
      </c>
      <c r="I784" s="139">
        <v>0</v>
      </c>
      <c r="K784" s="96" t="str">
        <f t="shared" si="35"/>
        <v>0008-1013-0012</v>
      </c>
      <c r="L784" s="96" t="str">
        <f>VLOOKUP(K784,COA!$A$3:$B$337,2,FALSE)</f>
        <v>C76</v>
      </c>
      <c r="M784" s="96" t="str">
        <f t="shared" si="36"/>
        <v>C76</v>
      </c>
      <c r="N784" s="96" t="str">
        <f>VLOOKUP(M784,CAC!$A$2:$B$198,2,FALSE)</f>
        <v>DOILG</v>
      </c>
    </row>
    <row r="785" spans="5:14" x14ac:dyDescent="0.25">
      <c r="E785" s="136">
        <v>201604</v>
      </c>
      <c r="F785" s="138" t="s">
        <v>563</v>
      </c>
      <c r="G785" s="138" t="s">
        <v>348</v>
      </c>
      <c r="H785" s="138" t="s">
        <v>353</v>
      </c>
      <c r="I785" s="139">
        <v>0</v>
      </c>
      <c r="K785" s="96" t="str">
        <f t="shared" si="35"/>
        <v>0003-1010-0023</v>
      </c>
      <c r="L785" s="96" t="str">
        <f>VLOOKUP(K785,COA!$A$3:$B$337,2,FALSE)</f>
        <v>S54</v>
      </c>
      <c r="M785" s="96" t="str">
        <f t="shared" si="36"/>
        <v>S54</v>
      </c>
      <c r="N785" s="96" t="str">
        <f>VLOOKUP(M785,CAC!$A$2:$B$198,2,FALSE)</f>
        <v>PPOSG</v>
      </c>
    </row>
    <row r="786" spans="5:14" x14ac:dyDescent="0.25">
      <c r="E786" s="136">
        <v>201607</v>
      </c>
      <c r="F786" s="138" t="s">
        <v>413</v>
      </c>
      <c r="G786" s="138" t="s">
        <v>356</v>
      </c>
      <c r="H786" s="138" t="s">
        <v>344</v>
      </c>
      <c r="I786" s="139">
        <v>0</v>
      </c>
      <c r="K786" s="96" t="str">
        <f t="shared" si="35"/>
        <v>0008-1002-0012</v>
      </c>
      <c r="L786" s="96" t="str">
        <f>VLOOKUP(K786,COA!$A$3:$B$337,2,FALSE)</f>
        <v>C74</v>
      </c>
      <c r="M786" s="96" t="str">
        <f t="shared" si="36"/>
        <v>C74</v>
      </c>
      <c r="N786" s="96" t="str">
        <f>VLOOKUP(M786,CAC!$A$2:$B$198,2,FALSE)</f>
        <v>DOILG</v>
      </c>
    </row>
    <row r="787" spans="5:14" x14ac:dyDescent="0.25">
      <c r="E787" s="136">
        <v>201511</v>
      </c>
      <c r="F787" s="138" t="s">
        <v>746</v>
      </c>
      <c r="G787" s="138" t="s">
        <v>362</v>
      </c>
      <c r="H787" s="138" t="s">
        <v>364</v>
      </c>
      <c r="I787" s="139">
        <v>5951</v>
      </c>
      <c r="K787" s="96" t="str">
        <f t="shared" si="35"/>
        <v>0016-1008-0037</v>
      </c>
      <c r="L787" s="96" t="str">
        <f>VLOOKUP(K787,COA!$A$3:$B$337,2,FALSE)</f>
        <v>R24</v>
      </c>
      <c r="M787" s="96" t="str">
        <f t="shared" si="36"/>
        <v>R24</v>
      </c>
      <c r="N787" s="96" t="str">
        <f>VLOOKUP(M787,CAC!$A$2:$B$198,2,FALSE)</f>
        <v>PERMAPD</v>
      </c>
    </row>
    <row r="788" spans="5:14" x14ac:dyDescent="0.25">
      <c r="E788" s="136">
        <v>201502</v>
      </c>
      <c r="F788" s="138" t="s">
        <v>563</v>
      </c>
      <c r="G788" s="138" t="s">
        <v>355</v>
      </c>
      <c r="H788" s="138" t="s">
        <v>344</v>
      </c>
      <c r="I788" s="139">
        <v>0</v>
      </c>
      <c r="K788" s="96" t="str">
        <f t="shared" si="35"/>
        <v>0003-1006-0012</v>
      </c>
      <c r="L788" s="96" t="str">
        <f>VLOOKUP(K788,COA!$A$3:$B$337,2,FALSE)</f>
        <v>L52</v>
      </c>
      <c r="M788" s="96" t="str">
        <f t="shared" si="36"/>
        <v>L52</v>
      </c>
      <c r="N788" s="96" t="str">
        <f>VLOOKUP(M788,CAC!$A$2:$B$198,2,FALSE)</f>
        <v>PPOLG</v>
      </c>
    </row>
    <row r="789" spans="5:14" x14ac:dyDescent="0.25">
      <c r="E789" s="136">
        <v>201801</v>
      </c>
      <c r="F789" s="138" t="s">
        <v>345</v>
      </c>
      <c r="G789" s="138" t="s">
        <v>352</v>
      </c>
      <c r="H789" s="138" t="s">
        <v>344</v>
      </c>
      <c r="I789" s="139">
        <v>17159.22</v>
      </c>
      <c r="K789" s="96" t="str">
        <f t="shared" si="35"/>
        <v>0011-1004-0012</v>
      </c>
      <c r="L789" s="96" t="str">
        <f>VLOOKUP(K789,COA!$A$3:$B$337,2,FALSE)</f>
        <v>L11</v>
      </c>
      <c r="M789" s="96" t="str">
        <f t="shared" si="36"/>
        <v>L11</v>
      </c>
      <c r="N789" s="96" t="str">
        <f>VLOOKUP(M789,CAC!$A$2:$B$198,2,FALSE)</f>
        <v>HMOLG</v>
      </c>
    </row>
    <row r="790" spans="5:14" x14ac:dyDescent="0.25">
      <c r="E790" s="136">
        <v>201610</v>
      </c>
      <c r="F790" s="138" t="s">
        <v>345</v>
      </c>
      <c r="G790" s="138" t="s">
        <v>354</v>
      </c>
      <c r="H790" s="138" t="s">
        <v>344</v>
      </c>
      <c r="I790" s="139">
        <v>6828.68</v>
      </c>
      <c r="K790" s="96" t="str">
        <f t="shared" si="35"/>
        <v>0011-1013-0012</v>
      </c>
      <c r="L790" s="96" t="str">
        <f>VLOOKUP(K790,COA!$A$3:$B$337,2,FALSE)</f>
        <v>N20</v>
      </c>
      <c r="M790" s="96" t="str">
        <f t="shared" si="36"/>
        <v>N20</v>
      </c>
      <c r="N790" s="96" t="str">
        <f>VLOOKUP(M790,CAC!$A$2:$B$198,2,FALSE)</f>
        <v>HMOPMR</v>
      </c>
    </row>
    <row r="791" spans="5:14" x14ac:dyDescent="0.25">
      <c r="E791" s="136">
        <v>201612</v>
      </c>
      <c r="F791" s="138" t="s">
        <v>345</v>
      </c>
      <c r="G791" s="138" t="s">
        <v>350</v>
      </c>
      <c r="H791" s="138" t="s">
        <v>344</v>
      </c>
      <c r="I791" s="139">
        <v>14651.54</v>
      </c>
      <c r="K791" s="96" t="str">
        <f t="shared" si="35"/>
        <v>0011-1012-0012</v>
      </c>
      <c r="L791" s="96" t="str">
        <f>VLOOKUP(K791,COA!$A$3:$B$337,2,FALSE)</f>
        <v>K11</v>
      </c>
      <c r="M791" s="96" t="str">
        <f t="shared" si="36"/>
        <v>K11</v>
      </c>
      <c r="N791" s="96" t="str">
        <f>VLOOKUP(M791,CAC!$A$2:$B$198,2,FALSE)</f>
        <v>HMOPMR</v>
      </c>
    </row>
    <row r="792" spans="5:14" x14ac:dyDescent="0.25">
      <c r="E792" s="136">
        <v>201508</v>
      </c>
      <c r="F792" s="138" t="s">
        <v>345</v>
      </c>
      <c r="G792" s="138" t="s">
        <v>352</v>
      </c>
      <c r="H792" s="138" t="s">
        <v>344</v>
      </c>
      <c r="I792" s="139">
        <v>6932.68</v>
      </c>
      <c r="K792" s="96" t="str">
        <f t="shared" si="35"/>
        <v>0011-1004-0012</v>
      </c>
      <c r="L792" s="96" t="str">
        <f>VLOOKUP(K792,COA!$A$3:$B$337,2,FALSE)</f>
        <v>L11</v>
      </c>
      <c r="M792" s="96" t="str">
        <f t="shared" si="36"/>
        <v>L11</v>
      </c>
      <c r="N792" s="96" t="str">
        <f>VLOOKUP(M792,CAC!$A$2:$B$198,2,FALSE)</f>
        <v>HMOLG</v>
      </c>
    </row>
    <row r="793" spans="5:14" x14ac:dyDescent="0.25">
      <c r="E793" s="136">
        <v>201709</v>
      </c>
      <c r="F793" s="138" t="s">
        <v>345</v>
      </c>
      <c r="G793" s="138" t="s">
        <v>365</v>
      </c>
      <c r="H793" s="138" t="s">
        <v>366</v>
      </c>
      <c r="I793" s="139">
        <v>1428.53</v>
      </c>
      <c r="K793" s="96" t="str">
        <f t="shared" si="35"/>
        <v>0011-1001-0021</v>
      </c>
      <c r="L793" s="96" t="str">
        <f>VLOOKUP(K793,COA!$A$3:$B$337,2,FALSE)</f>
        <v>V13</v>
      </c>
      <c r="M793" s="96" t="str">
        <f t="shared" si="36"/>
        <v>V13</v>
      </c>
      <c r="N793" s="96" t="str">
        <f>VLOOKUP(M793,CAC!$A$2:$B$198,2,FALSE)</f>
        <v>HMOIFP</v>
      </c>
    </row>
    <row r="794" spans="5:14" x14ac:dyDescent="0.25">
      <c r="E794" s="136">
        <v>201711</v>
      </c>
      <c r="F794" s="138" t="s">
        <v>344</v>
      </c>
      <c r="G794" s="138" t="s">
        <v>352</v>
      </c>
      <c r="H794" s="138" t="s">
        <v>344</v>
      </c>
      <c r="I794" s="139">
        <v>1141.2</v>
      </c>
      <c r="K794" s="96" t="str">
        <f t="shared" si="35"/>
        <v>0012-1004-0012</v>
      </c>
      <c r="L794" s="96" t="str">
        <f>VLOOKUP(K794,COA!$A$3:$B$337,2,FALSE)</f>
        <v>L12</v>
      </c>
      <c r="M794" s="96" t="str">
        <f t="shared" si="36"/>
        <v>L12</v>
      </c>
      <c r="N794" s="96" t="str">
        <f>VLOOKUP(M794,CAC!$A$2:$B$198,2,FALSE)</f>
        <v>HMOLG</v>
      </c>
    </row>
    <row r="795" spans="5:14" x14ac:dyDescent="0.25">
      <c r="E795" s="136">
        <v>201801</v>
      </c>
      <c r="F795" s="138" t="s">
        <v>746</v>
      </c>
      <c r="G795" s="138" t="s">
        <v>356</v>
      </c>
      <c r="H795" s="138" t="s">
        <v>764</v>
      </c>
      <c r="I795" s="139">
        <v>644</v>
      </c>
      <c r="K795" s="96" t="str">
        <f t="shared" si="35"/>
        <v>0016-1002-0064</v>
      </c>
      <c r="L795" s="96" t="str">
        <f>VLOOKUP(K795,COA!$A$3:$B$337,2,FALSE)</f>
        <v>R25</v>
      </c>
      <c r="M795" s="96" t="str">
        <f t="shared" si="36"/>
        <v>R25</v>
      </c>
      <c r="N795" s="96" t="str">
        <f>VLOOKUP(M795,CAC!$A$2:$B$198,2,FALSE)</f>
        <v>HMOMG</v>
      </c>
    </row>
    <row r="796" spans="5:14" x14ac:dyDescent="0.25">
      <c r="E796" s="136">
        <v>201801</v>
      </c>
      <c r="F796" s="138" t="s">
        <v>345</v>
      </c>
      <c r="G796" s="138" t="s">
        <v>346</v>
      </c>
      <c r="H796" s="138" t="s">
        <v>344</v>
      </c>
      <c r="I796" s="139">
        <v>0</v>
      </c>
      <c r="K796" s="96" t="str">
        <f t="shared" si="35"/>
        <v>0011-1014-0012</v>
      </c>
      <c r="L796" s="96" t="e">
        <f>VLOOKUP(K796,COA!$A$3:$B$337,2,FALSE)</f>
        <v>#N/A</v>
      </c>
      <c r="M796" s="96" t="str">
        <f t="shared" si="36"/>
        <v>XXX</v>
      </c>
      <c r="N796" s="96" t="str">
        <f>VLOOKUP(M796,CAC!$A$2:$B$198,2,FALSE)</f>
        <v>XXX</v>
      </c>
    </row>
    <row r="797" spans="5:14" x14ac:dyDescent="0.25">
      <c r="E797" s="136">
        <v>201601</v>
      </c>
      <c r="F797" s="138" t="s">
        <v>506</v>
      </c>
      <c r="G797" s="138" t="s">
        <v>354</v>
      </c>
      <c r="H797" s="138" t="s">
        <v>592</v>
      </c>
      <c r="I797" s="139">
        <v>0</v>
      </c>
      <c r="K797" s="96" t="str">
        <f t="shared" si="35"/>
        <v>0013-1013-0035</v>
      </c>
      <c r="L797" s="96" t="str">
        <f>VLOOKUP(K797,COA!$A$3:$B$337,2,FALSE)</f>
        <v>N44</v>
      </c>
      <c r="M797" s="96" t="str">
        <f t="shared" si="36"/>
        <v>N44</v>
      </c>
      <c r="N797" s="96" t="e">
        <f>VLOOKUP(M797,CAC!$A$2:$B$198,2,FALSE)</f>
        <v>#N/A</v>
      </c>
    </row>
    <row r="798" spans="5:14" x14ac:dyDescent="0.25">
      <c r="E798" s="136">
        <v>201707</v>
      </c>
      <c r="F798" s="138" t="s">
        <v>345</v>
      </c>
      <c r="G798" s="138" t="s">
        <v>350</v>
      </c>
      <c r="H798" s="138" t="s">
        <v>344</v>
      </c>
      <c r="I798" s="139">
        <v>17575.62</v>
      </c>
      <c r="K798" s="96" t="str">
        <f t="shared" si="35"/>
        <v>0011-1012-0012</v>
      </c>
      <c r="L798" s="96" t="str">
        <f>VLOOKUP(K798,COA!$A$3:$B$337,2,FALSE)</f>
        <v>K11</v>
      </c>
      <c r="M798" s="96" t="str">
        <f t="shared" si="36"/>
        <v>K11</v>
      </c>
      <c r="N798" s="96" t="str">
        <f>VLOOKUP(M798,CAC!$A$2:$B$198,2,FALSE)</f>
        <v>HMOPMR</v>
      </c>
    </row>
    <row r="799" spans="5:14" x14ac:dyDescent="0.25">
      <c r="E799" s="136">
        <v>201703</v>
      </c>
      <c r="F799" s="138" t="s">
        <v>344</v>
      </c>
      <c r="G799" s="138" t="s">
        <v>350</v>
      </c>
      <c r="H799" s="138" t="s">
        <v>344</v>
      </c>
      <c r="I799" s="139">
        <v>29</v>
      </c>
      <c r="K799" s="96" t="str">
        <f t="shared" si="35"/>
        <v>0012-1012-0012</v>
      </c>
      <c r="L799" s="96" t="str">
        <f>VLOOKUP(K799,COA!$A$3:$B$337,2,FALSE)</f>
        <v>K12</v>
      </c>
      <c r="M799" s="96" t="str">
        <f t="shared" si="36"/>
        <v>K12</v>
      </c>
      <c r="N799" s="96" t="str">
        <f>VLOOKUP(M799,CAC!$A$2:$B$198,2,FALSE)</f>
        <v>HMOPMR</v>
      </c>
    </row>
    <row r="800" spans="5:14" x14ac:dyDescent="0.25">
      <c r="E800" s="136">
        <v>201507</v>
      </c>
      <c r="F800" s="138" t="s">
        <v>345</v>
      </c>
      <c r="G800" s="138" t="s">
        <v>361</v>
      </c>
      <c r="H800" s="138" t="s">
        <v>344</v>
      </c>
      <c r="I800" s="139">
        <v>279</v>
      </c>
      <c r="K800" s="96" t="str">
        <f t="shared" si="35"/>
        <v>0011-1003-0012</v>
      </c>
      <c r="L800" s="96" t="str">
        <f>VLOOKUP(K800,COA!$A$3:$B$337,2,FALSE)</f>
        <v>N16</v>
      </c>
      <c r="M800" s="96" t="str">
        <f t="shared" si="36"/>
        <v>N16</v>
      </c>
      <c r="N800" s="96" t="str">
        <f>VLOOKUP(M800,CAC!$A$2:$B$198,2,FALSE)</f>
        <v>HMOPMR</v>
      </c>
    </row>
    <row r="801" spans="5:14" x14ac:dyDescent="0.25">
      <c r="E801" s="136">
        <v>201505</v>
      </c>
      <c r="F801" s="138" t="s">
        <v>342</v>
      </c>
      <c r="G801" s="138" t="s">
        <v>343</v>
      </c>
      <c r="H801" s="138" t="s">
        <v>344</v>
      </c>
      <c r="I801" s="139">
        <v>6604.23</v>
      </c>
      <c r="K801" s="96" t="str">
        <f t="shared" si="35"/>
        <v>0031-1000-0012</v>
      </c>
      <c r="L801" s="96" t="str">
        <f>VLOOKUP(K801,COA!$A$3:$B$337,2,FALSE)</f>
        <v>F27</v>
      </c>
      <c r="M801" s="96" t="str">
        <f t="shared" si="36"/>
        <v>F27</v>
      </c>
      <c r="N801" s="96" t="str">
        <f>VLOOKUP(M801,CAC!$A$2:$B$198,2,FALSE)</f>
        <v>HMOFEP</v>
      </c>
    </row>
    <row r="802" spans="5:14" x14ac:dyDescent="0.25">
      <c r="E802" s="136">
        <v>201607</v>
      </c>
      <c r="F802" s="138" t="s">
        <v>563</v>
      </c>
      <c r="G802" s="138" t="s">
        <v>365</v>
      </c>
      <c r="H802" s="138" t="s">
        <v>344</v>
      </c>
      <c r="I802" s="139">
        <v>0</v>
      </c>
      <c r="K802" s="96" t="str">
        <f t="shared" si="35"/>
        <v>0003-1001-0012</v>
      </c>
      <c r="L802" s="96" t="str">
        <f>VLOOKUP(K802,COA!$A$3:$B$337,2,FALSE)</f>
        <v>V51</v>
      </c>
      <c r="M802" s="96" t="str">
        <f t="shared" si="36"/>
        <v>V51</v>
      </c>
      <c r="N802" s="96" t="str">
        <f>VLOOKUP(M802,CAC!$A$2:$B$198,2,FALSE)</f>
        <v>PPOIFP</v>
      </c>
    </row>
    <row r="803" spans="5:14" x14ac:dyDescent="0.25">
      <c r="E803" s="136">
        <v>201512</v>
      </c>
      <c r="F803" s="138" t="s">
        <v>506</v>
      </c>
      <c r="G803" s="138" t="s">
        <v>359</v>
      </c>
      <c r="H803" s="138" t="s">
        <v>592</v>
      </c>
      <c r="I803" s="139">
        <v>0</v>
      </c>
      <c r="K803" s="96" t="str">
        <f t="shared" si="35"/>
        <v>0013-1005-0035</v>
      </c>
      <c r="L803" s="96" t="str">
        <f>VLOOKUP(K803,COA!$A$3:$B$337,2,FALSE)</f>
        <v>N41</v>
      </c>
      <c r="M803" s="96" t="str">
        <f t="shared" si="36"/>
        <v>N41</v>
      </c>
      <c r="N803" s="96" t="e">
        <f>VLOOKUP(M803,CAC!$A$2:$B$198,2,FALSE)</f>
        <v>#N/A</v>
      </c>
    </row>
    <row r="804" spans="5:14" x14ac:dyDescent="0.25">
      <c r="E804" s="136">
        <v>201712</v>
      </c>
      <c r="F804" s="138" t="s">
        <v>552</v>
      </c>
      <c r="G804" s="138" t="s">
        <v>356</v>
      </c>
      <c r="H804" s="138" t="s">
        <v>672</v>
      </c>
      <c r="I804" s="139">
        <v>0</v>
      </c>
      <c r="K804" s="96" t="str">
        <f t="shared" si="35"/>
        <v>0027-1002-0058</v>
      </c>
      <c r="L804" s="96" t="str">
        <f>VLOOKUP(K804,COA!$A$3:$B$337,2,FALSE)</f>
        <v>L45</v>
      </c>
      <c r="M804" s="96" t="str">
        <f t="shared" si="36"/>
        <v>L45</v>
      </c>
      <c r="N804" s="96" t="e">
        <f>VLOOKUP(M804,CAC!$A$2:$B$198,2,FALSE)</f>
        <v>#N/A</v>
      </c>
    </row>
    <row r="805" spans="5:14" x14ac:dyDescent="0.25">
      <c r="E805" s="136">
        <v>201611</v>
      </c>
      <c r="F805" s="138" t="s">
        <v>345</v>
      </c>
      <c r="G805" s="138" t="s">
        <v>352</v>
      </c>
      <c r="H805" s="138" t="s">
        <v>653</v>
      </c>
      <c r="I805" s="139">
        <v>0</v>
      </c>
      <c r="K805" s="96" t="str">
        <f t="shared" si="35"/>
        <v>0011-1004-0047</v>
      </c>
      <c r="L805" s="96" t="str">
        <f>VLOOKUP(K805,COA!$A$3:$B$337,2,FALSE)</f>
        <v>L17</v>
      </c>
      <c r="M805" s="96" t="str">
        <f t="shared" si="36"/>
        <v>L17</v>
      </c>
      <c r="N805" s="96" t="str">
        <f>VLOOKUP(M805,CAC!$A$2:$B$198,2,FALSE)</f>
        <v>HMOLG</v>
      </c>
    </row>
    <row r="806" spans="5:14" x14ac:dyDescent="0.25">
      <c r="E806" s="136">
        <v>201510</v>
      </c>
      <c r="F806" s="138" t="s">
        <v>563</v>
      </c>
      <c r="G806" s="138" t="s">
        <v>351</v>
      </c>
      <c r="H806" s="138" t="s">
        <v>349</v>
      </c>
      <c r="I806" s="139">
        <v>0</v>
      </c>
      <c r="K806" s="96" t="str">
        <f t="shared" si="35"/>
        <v>0003-0000-0017</v>
      </c>
      <c r="L806" s="96" t="e">
        <f>VLOOKUP(K806,COA!$A$3:$B$337,2,FALSE)</f>
        <v>#N/A</v>
      </c>
      <c r="M806" s="96" t="str">
        <f t="shared" si="36"/>
        <v>XXX</v>
      </c>
      <c r="N806" s="96" t="str">
        <f>VLOOKUP(M806,CAC!$A$2:$B$198,2,FALSE)</f>
        <v>XXX</v>
      </c>
    </row>
    <row r="807" spans="5:14" x14ac:dyDescent="0.25">
      <c r="E807" s="136">
        <v>201602</v>
      </c>
      <c r="F807" s="138" t="s">
        <v>345</v>
      </c>
      <c r="G807" s="138" t="s">
        <v>362</v>
      </c>
      <c r="H807" s="138" t="s">
        <v>364</v>
      </c>
      <c r="I807" s="139">
        <v>38255.4</v>
      </c>
      <c r="K807" s="96" t="str">
        <f t="shared" si="35"/>
        <v>0011-1008-0037</v>
      </c>
      <c r="L807" s="96" t="str">
        <f>VLOOKUP(K807,COA!$A$3:$B$337,2,FALSE)</f>
        <v>P12</v>
      </c>
      <c r="M807" s="96" t="str">
        <f t="shared" si="36"/>
        <v>P12</v>
      </c>
      <c r="N807" s="96" t="str">
        <f>VLOOKUP(M807,CAC!$A$2:$B$198,2,FALSE)</f>
        <v>HMOPERA</v>
      </c>
    </row>
    <row r="808" spans="5:14" x14ac:dyDescent="0.25">
      <c r="E808" s="136">
        <v>201610</v>
      </c>
      <c r="F808" s="138" t="s">
        <v>563</v>
      </c>
      <c r="G808" s="138" t="s">
        <v>365</v>
      </c>
      <c r="H808" s="138" t="s">
        <v>366</v>
      </c>
      <c r="I808" s="139">
        <v>0</v>
      </c>
      <c r="K808" s="96" t="str">
        <f t="shared" si="35"/>
        <v>0003-1001-0021</v>
      </c>
      <c r="L808" s="96" t="str">
        <f>VLOOKUP(K808,COA!$A$3:$B$337,2,FALSE)</f>
        <v>V53</v>
      </c>
      <c r="M808" s="96" t="str">
        <f t="shared" si="36"/>
        <v>V53</v>
      </c>
      <c r="N808" s="96" t="str">
        <f>VLOOKUP(M808,CAC!$A$2:$B$198,2,FALSE)</f>
        <v>PPOIFP</v>
      </c>
    </row>
    <row r="809" spans="5:14" x14ac:dyDescent="0.25">
      <c r="E809" s="136">
        <v>201603</v>
      </c>
      <c r="F809" s="138" t="s">
        <v>746</v>
      </c>
      <c r="G809" s="138" t="s">
        <v>361</v>
      </c>
      <c r="H809" s="138" t="s">
        <v>344</v>
      </c>
      <c r="I809" s="139">
        <v>459</v>
      </c>
      <c r="K809" s="96" t="str">
        <f t="shared" si="35"/>
        <v>0016-1003-0012</v>
      </c>
      <c r="L809" s="96" t="str">
        <f>VLOOKUP(K809,COA!$A$3:$B$337,2,FALSE)</f>
        <v>R18</v>
      </c>
      <c r="M809" s="96" t="str">
        <f t="shared" si="36"/>
        <v>R18</v>
      </c>
      <c r="N809" s="96" t="str">
        <f>VLOOKUP(M809,CAC!$A$2:$B$198,2,FALSE)</f>
        <v>HMOMG</v>
      </c>
    </row>
    <row r="810" spans="5:14" x14ac:dyDescent="0.25">
      <c r="E810" s="136">
        <v>201509</v>
      </c>
      <c r="F810" s="138" t="s">
        <v>345</v>
      </c>
      <c r="G810" s="138" t="s">
        <v>350</v>
      </c>
      <c r="H810" s="138" t="s">
        <v>360</v>
      </c>
      <c r="I810" s="139">
        <v>5343.83</v>
      </c>
      <c r="K810" s="96" t="str">
        <f t="shared" si="35"/>
        <v>0011-1012-0048</v>
      </c>
      <c r="L810" s="96" t="str">
        <f>VLOOKUP(K810,COA!$A$3:$B$337,2,FALSE)</f>
        <v>K21</v>
      </c>
      <c r="M810" s="96" t="str">
        <f t="shared" si="36"/>
        <v>K21</v>
      </c>
      <c r="N810" s="96" t="str">
        <f>VLOOKUP(M810,CAC!$A$2:$B$198,2,FALSE)</f>
        <v>HMFLEX</v>
      </c>
    </row>
    <row r="811" spans="5:14" x14ac:dyDescent="0.25">
      <c r="E811" s="136">
        <v>201704</v>
      </c>
      <c r="F811" s="138" t="s">
        <v>345</v>
      </c>
      <c r="G811" s="138" t="s">
        <v>350</v>
      </c>
      <c r="H811" s="138" t="s">
        <v>360</v>
      </c>
      <c r="I811" s="139">
        <v>4050</v>
      </c>
      <c r="K811" s="96" t="str">
        <f t="shared" si="35"/>
        <v>0011-1012-0048</v>
      </c>
      <c r="L811" s="96" t="str">
        <f>VLOOKUP(K811,COA!$A$3:$B$337,2,FALSE)</f>
        <v>K21</v>
      </c>
      <c r="M811" s="96" t="str">
        <f t="shared" si="36"/>
        <v>K21</v>
      </c>
      <c r="N811" s="96" t="str">
        <f>VLOOKUP(M811,CAC!$A$2:$B$198,2,FALSE)</f>
        <v>HMFLEX</v>
      </c>
    </row>
    <row r="812" spans="5:14" x14ac:dyDescent="0.25">
      <c r="E812" s="136">
        <v>201508</v>
      </c>
      <c r="F812" s="138" t="s">
        <v>563</v>
      </c>
      <c r="G812" s="138" t="s">
        <v>365</v>
      </c>
      <c r="H812" s="138" t="s">
        <v>411</v>
      </c>
      <c r="I812" s="139">
        <v>0</v>
      </c>
      <c r="K812" s="96" t="str">
        <f t="shared" si="35"/>
        <v>0003-1001-0007</v>
      </c>
      <c r="L812" s="96" t="str">
        <f>VLOOKUP(K812,COA!$A$3:$B$337,2,FALSE)</f>
        <v>V52</v>
      </c>
      <c r="M812" s="96" t="str">
        <f t="shared" si="36"/>
        <v>V52</v>
      </c>
      <c r="N812" s="96" t="str">
        <f>VLOOKUP(M812,CAC!$A$2:$B$198,2,FALSE)</f>
        <v>PPOIFP</v>
      </c>
    </row>
    <row r="813" spans="5:14" x14ac:dyDescent="0.25">
      <c r="E813" s="136">
        <v>201610</v>
      </c>
      <c r="F813" s="138" t="s">
        <v>563</v>
      </c>
      <c r="G813" s="138" t="s">
        <v>365</v>
      </c>
      <c r="H813" s="138" t="s">
        <v>411</v>
      </c>
      <c r="I813" s="139">
        <v>0</v>
      </c>
      <c r="K813" s="96" t="str">
        <f t="shared" si="35"/>
        <v>0003-1001-0007</v>
      </c>
      <c r="L813" s="96" t="str">
        <f>VLOOKUP(K813,COA!$A$3:$B$337,2,FALSE)</f>
        <v>V52</v>
      </c>
      <c r="M813" s="96" t="str">
        <f t="shared" si="36"/>
        <v>V52</v>
      </c>
      <c r="N813" s="96" t="str">
        <f>VLOOKUP(M813,CAC!$A$2:$B$198,2,FALSE)</f>
        <v>PPOIFP</v>
      </c>
    </row>
    <row r="814" spans="5:14" x14ac:dyDescent="0.25">
      <c r="E814" s="136">
        <v>201603</v>
      </c>
      <c r="F814" s="138" t="s">
        <v>746</v>
      </c>
      <c r="G814" s="138" t="s">
        <v>350</v>
      </c>
      <c r="H814" s="138" t="s">
        <v>764</v>
      </c>
      <c r="I814" s="139">
        <v>9</v>
      </c>
      <c r="K814" s="96" t="str">
        <f t="shared" si="35"/>
        <v>0016-1012-0064</v>
      </c>
      <c r="L814" s="96" t="str">
        <f>VLOOKUP(K814,COA!$A$3:$B$337,2,FALSE)</f>
        <v>R25</v>
      </c>
      <c r="M814" s="96" t="str">
        <f t="shared" si="36"/>
        <v>R25</v>
      </c>
      <c r="N814" s="96" t="str">
        <f>VLOOKUP(M814,CAC!$A$2:$B$198,2,FALSE)</f>
        <v>HMOMG</v>
      </c>
    </row>
    <row r="815" spans="5:14" x14ac:dyDescent="0.25">
      <c r="E815" s="136">
        <v>201711</v>
      </c>
      <c r="F815" s="138" t="s">
        <v>563</v>
      </c>
      <c r="G815" s="138" t="s">
        <v>348</v>
      </c>
      <c r="H815" s="138" t="s">
        <v>349</v>
      </c>
      <c r="I815" s="139">
        <v>0</v>
      </c>
      <c r="K815" s="96" t="str">
        <f t="shared" si="35"/>
        <v>0003-1010-0017</v>
      </c>
      <c r="L815" s="96" t="str">
        <f>VLOOKUP(K815,COA!$A$3:$B$337,2,FALSE)</f>
        <v>S51</v>
      </c>
      <c r="M815" s="96" t="str">
        <f t="shared" si="36"/>
        <v>S51</v>
      </c>
      <c r="N815" s="96" t="str">
        <f>VLOOKUP(M815,CAC!$A$2:$B$198,2,FALSE)</f>
        <v>PPOSG</v>
      </c>
    </row>
    <row r="816" spans="5:14" x14ac:dyDescent="0.25">
      <c r="E816" s="136">
        <v>201704</v>
      </c>
      <c r="F816" s="138" t="s">
        <v>413</v>
      </c>
      <c r="G816" s="138" t="s">
        <v>365</v>
      </c>
      <c r="H816" s="138" t="s">
        <v>344</v>
      </c>
      <c r="I816" s="139">
        <v>0</v>
      </c>
      <c r="K816" s="96" t="str">
        <f t="shared" si="35"/>
        <v>0008-1001-0012</v>
      </c>
      <c r="L816" s="96" t="str">
        <f>VLOOKUP(K816,COA!$A$3:$B$337,2,FALSE)</f>
        <v>C95</v>
      </c>
      <c r="M816" s="96" t="str">
        <f t="shared" si="36"/>
        <v>C95</v>
      </c>
      <c r="N816" s="96" t="str">
        <f>VLOOKUP(M816,CAC!$A$2:$B$198,2,FALSE)</f>
        <v>DOIIFP</v>
      </c>
    </row>
    <row r="817" spans="5:14" x14ac:dyDescent="0.25">
      <c r="E817" s="136">
        <v>201704</v>
      </c>
      <c r="F817" s="138" t="s">
        <v>506</v>
      </c>
      <c r="G817" s="138" t="s">
        <v>350</v>
      </c>
      <c r="H817" s="138" t="s">
        <v>592</v>
      </c>
      <c r="I817" s="139">
        <v>0</v>
      </c>
      <c r="K817" s="96" t="str">
        <f t="shared" si="35"/>
        <v>0013-1012-0035</v>
      </c>
      <c r="L817" s="96" t="str">
        <f>VLOOKUP(K817,COA!$A$3:$B$337,2,FALSE)</f>
        <v>K41</v>
      </c>
      <c r="M817" s="96" t="str">
        <f t="shared" si="36"/>
        <v>K41</v>
      </c>
      <c r="N817" s="96" t="e">
        <f>VLOOKUP(M817,CAC!$A$2:$B$198,2,FALSE)</f>
        <v>#N/A</v>
      </c>
    </row>
    <row r="818" spans="5:14" x14ac:dyDescent="0.25">
      <c r="E818" s="136">
        <v>201510</v>
      </c>
      <c r="F818" s="138" t="s">
        <v>405</v>
      </c>
      <c r="G818" s="138" t="s">
        <v>362</v>
      </c>
      <c r="H818" s="138" t="s">
        <v>759</v>
      </c>
      <c r="I818" s="139">
        <v>0</v>
      </c>
      <c r="K818" s="96" t="str">
        <f t="shared" si="35"/>
        <v>0019-1008-0032</v>
      </c>
      <c r="L818" s="96" t="str">
        <f>VLOOKUP(K818,COA!$A$3:$B$337,2,FALSE)</f>
        <v>P58</v>
      </c>
      <c r="M818" s="96" t="str">
        <f t="shared" si="36"/>
        <v>P58</v>
      </c>
      <c r="N818" s="96" t="str">
        <f>VLOOKUP(M818,CAC!$A$2:$B$198,2,FALSE)</f>
        <v>PERMEDA</v>
      </c>
    </row>
    <row r="819" spans="5:14" x14ac:dyDescent="0.25">
      <c r="E819" s="136">
        <v>201507</v>
      </c>
      <c r="F819" s="138" t="s">
        <v>413</v>
      </c>
      <c r="G819" s="138" t="s">
        <v>352</v>
      </c>
      <c r="H819" s="138" t="s">
        <v>344</v>
      </c>
      <c r="I819" s="139">
        <v>0</v>
      </c>
      <c r="K819" s="96" t="str">
        <f t="shared" si="35"/>
        <v>0008-1004-0012</v>
      </c>
      <c r="L819" s="96" t="str">
        <f>VLOOKUP(K819,COA!$A$3:$B$337,2,FALSE)</f>
        <v>C93</v>
      </c>
      <c r="M819" s="96" t="str">
        <f t="shared" si="36"/>
        <v>C93</v>
      </c>
      <c r="N819" s="96" t="str">
        <f>VLOOKUP(M819,CAC!$A$2:$B$198,2,FALSE)</f>
        <v>DOILG</v>
      </c>
    </row>
    <row r="820" spans="5:14" x14ac:dyDescent="0.25">
      <c r="E820" s="136">
        <v>201607</v>
      </c>
      <c r="F820" s="138" t="s">
        <v>563</v>
      </c>
      <c r="G820" s="138" t="s">
        <v>354</v>
      </c>
      <c r="H820" s="138" t="s">
        <v>653</v>
      </c>
      <c r="I820" s="139">
        <v>0</v>
      </c>
      <c r="K820" s="96" t="str">
        <f t="shared" si="35"/>
        <v>0003-1013-0047</v>
      </c>
      <c r="L820" s="96" t="str">
        <f>VLOOKUP(K820,COA!$A$3:$B$337,2,FALSE)</f>
        <v>N57</v>
      </c>
      <c r="M820" s="96" t="str">
        <f t="shared" si="36"/>
        <v>N57</v>
      </c>
      <c r="N820" s="96" t="str">
        <f>VLOOKUP(M820,CAC!$A$2:$B$198,2,FALSE)</f>
        <v>PPOPMR</v>
      </c>
    </row>
    <row r="821" spans="5:14" x14ac:dyDescent="0.25">
      <c r="E821" s="136">
        <v>201611</v>
      </c>
      <c r="F821" s="138" t="s">
        <v>563</v>
      </c>
      <c r="G821" s="138" t="s">
        <v>352</v>
      </c>
      <c r="H821" s="138" t="s">
        <v>653</v>
      </c>
      <c r="I821" s="139">
        <v>0</v>
      </c>
      <c r="K821" s="96" t="str">
        <f t="shared" si="35"/>
        <v>0003-1004-0047</v>
      </c>
      <c r="L821" s="96" t="str">
        <f>VLOOKUP(K821,COA!$A$3:$B$337,2,FALSE)</f>
        <v>L57</v>
      </c>
      <c r="M821" s="96" t="str">
        <f t="shared" si="36"/>
        <v>L57</v>
      </c>
      <c r="N821" s="96" t="str">
        <f>VLOOKUP(M821,CAC!$A$2:$B$198,2,FALSE)</f>
        <v>PPOLG</v>
      </c>
    </row>
    <row r="822" spans="5:14" x14ac:dyDescent="0.25">
      <c r="E822" s="136">
        <v>201801</v>
      </c>
      <c r="F822" s="138" t="s">
        <v>344</v>
      </c>
      <c r="G822" s="138" t="s">
        <v>352</v>
      </c>
      <c r="H822" s="138" t="s">
        <v>344</v>
      </c>
      <c r="I822" s="139">
        <v>1081</v>
      </c>
      <c r="K822" s="96" t="str">
        <f t="shared" si="35"/>
        <v>0012-1004-0012</v>
      </c>
      <c r="L822" s="96" t="str">
        <f>VLOOKUP(K822,COA!$A$3:$B$337,2,FALSE)</f>
        <v>L12</v>
      </c>
      <c r="M822" s="96" t="str">
        <f t="shared" si="36"/>
        <v>L12</v>
      </c>
      <c r="N822" s="96" t="str">
        <f>VLOOKUP(M822,CAC!$A$2:$B$198,2,FALSE)</f>
        <v>HMOLG</v>
      </c>
    </row>
    <row r="823" spans="5:14" x14ac:dyDescent="0.25">
      <c r="E823" s="136">
        <v>201701</v>
      </c>
      <c r="F823" s="138" t="s">
        <v>563</v>
      </c>
      <c r="G823" s="138" t="s">
        <v>348</v>
      </c>
      <c r="H823" s="138" t="s">
        <v>349</v>
      </c>
      <c r="I823" s="139">
        <v>0</v>
      </c>
      <c r="K823" s="96" t="str">
        <f t="shared" si="35"/>
        <v>0003-1010-0017</v>
      </c>
      <c r="L823" s="96" t="str">
        <f>VLOOKUP(K823,COA!$A$3:$B$337,2,FALSE)</f>
        <v>S51</v>
      </c>
      <c r="M823" s="96" t="str">
        <f t="shared" si="36"/>
        <v>S51</v>
      </c>
      <c r="N823" s="96" t="str">
        <f>VLOOKUP(M823,CAC!$A$2:$B$198,2,FALSE)</f>
        <v>PPOSG</v>
      </c>
    </row>
    <row r="824" spans="5:14" x14ac:dyDescent="0.25">
      <c r="E824" s="136">
        <v>201705</v>
      </c>
      <c r="F824" s="138" t="s">
        <v>413</v>
      </c>
      <c r="G824" s="138" t="s">
        <v>365</v>
      </c>
      <c r="H824" s="138" t="s">
        <v>344</v>
      </c>
      <c r="I824" s="139">
        <v>0</v>
      </c>
      <c r="K824" s="96" t="str">
        <f t="shared" si="35"/>
        <v>0008-1001-0012</v>
      </c>
      <c r="L824" s="96" t="str">
        <f>VLOOKUP(K824,COA!$A$3:$B$337,2,FALSE)</f>
        <v>C95</v>
      </c>
      <c r="M824" s="96" t="str">
        <f t="shared" si="36"/>
        <v>C95</v>
      </c>
      <c r="N824" s="96" t="str">
        <f>VLOOKUP(M824,CAC!$A$2:$B$198,2,FALSE)</f>
        <v>DOIIFP</v>
      </c>
    </row>
    <row r="825" spans="5:14" x14ac:dyDescent="0.25">
      <c r="E825" s="136">
        <v>201708</v>
      </c>
      <c r="F825" s="138" t="s">
        <v>344</v>
      </c>
      <c r="G825" s="138" t="s">
        <v>356</v>
      </c>
      <c r="H825" s="138" t="s">
        <v>344</v>
      </c>
      <c r="I825" s="139">
        <v>4260</v>
      </c>
      <c r="K825" s="96" t="str">
        <f t="shared" si="35"/>
        <v>0012-1002-0012</v>
      </c>
      <c r="L825" s="96" t="str">
        <f>VLOOKUP(K825,COA!$A$3:$B$337,2,FALSE)</f>
        <v>F22</v>
      </c>
      <c r="M825" s="96" t="str">
        <f t="shared" si="36"/>
        <v>F22</v>
      </c>
      <c r="N825" s="96" t="str">
        <f>VLOOKUP(M825,CAC!$A$2:$B$198,2,FALSE)</f>
        <v>HMOPMR</v>
      </c>
    </row>
    <row r="826" spans="5:14" x14ac:dyDescent="0.25">
      <c r="E826" s="136">
        <v>201709</v>
      </c>
      <c r="F826" s="138" t="s">
        <v>746</v>
      </c>
      <c r="G826" s="138" t="s">
        <v>361</v>
      </c>
      <c r="H826" s="138" t="s">
        <v>344</v>
      </c>
      <c r="I826" s="139">
        <v>496</v>
      </c>
      <c r="K826" s="96" t="str">
        <f t="shared" si="35"/>
        <v>0016-1003-0012</v>
      </c>
      <c r="L826" s="96" t="str">
        <f>VLOOKUP(K826,COA!$A$3:$B$337,2,FALSE)</f>
        <v>R18</v>
      </c>
      <c r="M826" s="96" t="str">
        <f t="shared" si="36"/>
        <v>R18</v>
      </c>
      <c r="N826" s="96" t="str">
        <f>VLOOKUP(M826,CAC!$A$2:$B$198,2,FALSE)</f>
        <v>HMOMG</v>
      </c>
    </row>
    <row r="827" spans="5:14" x14ac:dyDescent="0.25">
      <c r="E827" s="136">
        <v>201509</v>
      </c>
      <c r="F827" s="138" t="s">
        <v>524</v>
      </c>
      <c r="G827" s="138" t="s">
        <v>352</v>
      </c>
      <c r="H827" s="138" t="s">
        <v>672</v>
      </c>
      <c r="I827" s="139">
        <v>0</v>
      </c>
      <c r="K827" s="96" t="str">
        <f t="shared" si="35"/>
        <v>0025-1004-0058</v>
      </c>
      <c r="L827" s="96" t="str">
        <f>VLOOKUP(K827,COA!$A$3:$B$337,2,FALSE)</f>
        <v>L44</v>
      </c>
      <c r="M827" s="96" t="str">
        <f t="shared" si="36"/>
        <v>L44</v>
      </c>
      <c r="N827" s="96" t="e">
        <f>VLOOKUP(M827,CAC!$A$2:$B$198,2,FALSE)</f>
        <v>#N/A</v>
      </c>
    </row>
    <row r="828" spans="5:14" x14ac:dyDescent="0.25">
      <c r="E828" s="136">
        <v>201704</v>
      </c>
      <c r="F828" s="138" t="s">
        <v>563</v>
      </c>
      <c r="G828" s="138" t="s">
        <v>354</v>
      </c>
      <c r="H828" s="138" t="s">
        <v>626</v>
      </c>
      <c r="I828" s="139">
        <v>0</v>
      </c>
      <c r="K828" s="96" t="str">
        <f t="shared" si="35"/>
        <v>0003-1013-0057</v>
      </c>
      <c r="L828" s="96" t="str">
        <f>VLOOKUP(K828,COA!$A$3:$B$337,2,FALSE)</f>
        <v>N55</v>
      </c>
      <c r="M828" s="96" t="str">
        <f t="shared" si="36"/>
        <v>N55</v>
      </c>
      <c r="N828" s="96" t="str">
        <f>VLOOKUP(M828,CAC!$A$2:$B$198,2,FALSE)</f>
        <v>PPOPMR</v>
      </c>
    </row>
    <row r="829" spans="5:14" x14ac:dyDescent="0.25">
      <c r="E829" s="136">
        <v>201505</v>
      </c>
      <c r="F829" s="138" t="s">
        <v>563</v>
      </c>
      <c r="G829" s="138" t="s">
        <v>356</v>
      </c>
      <c r="H829" s="138" t="s">
        <v>344</v>
      </c>
      <c r="I829" s="139">
        <v>0</v>
      </c>
      <c r="K829" s="96" t="str">
        <f t="shared" si="35"/>
        <v>0003-1002-0012</v>
      </c>
      <c r="L829" s="96" t="str">
        <f>VLOOKUP(K829,COA!$A$3:$B$337,2,FALSE)</f>
        <v>F61</v>
      </c>
      <c r="M829" s="96" t="str">
        <f t="shared" si="36"/>
        <v>F61</v>
      </c>
      <c r="N829" s="96" t="str">
        <f>VLOOKUP(M829,CAC!$A$2:$B$198,2,FALSE)</f>
        <v>PPOPMR</v>
      </c>
    </row>
    <row r="830" spans="5:14" x14ac:dyDescent="0.25">
      <c r="E830" s="136">
        <v>201605</v>
      </c>
      <c r="F830" s="138" t="s">
        <v>345</v>
      </c>
      <c r="G830" s="138" t="s">
        <v>362</v>
      </c>
      <c r="H830" s="138" t="s">
        <v>363</v>
      </c>
      <c r="I830" s="139">
        <v>37444</v>
      </c>
      <c r="K830" s="96" t="str">
        <f t="shared" si="35"/>
        <v>0011-1008-0054</v>
      </c>
      <c r="L830" s="96" t="str">
        <f>VLOOKUP(K830,COA!$A$3:$B$337,2,FALSE)</f>
        <v>P23</v>
      </c>
      <c r="M830" s="96" t="str">
        <f t="shared" si="36"/>
        <v>P23</v>
      </c>
      <c r="N830" s="96" t="str">
        <f>VLOOKUP(M830,CAC!$A$2:$B$198,2,FALSE)</f>
        <v>HMOPERN</v>
      </c>
    </row>
    <row r="831" spans="5:14" x14ac:dyDescent="0.25">
      <c r="E831" s="136">
        <v>201509</v>
      </c>
      <c r="F831" s="138" t="s">
        <v>549</v>
      </c>
      <c r="G831" s="138" t="s">
        <v>356</v>
      </c>
      <c r="H831" s="138" t="s">
        <v>672</v>
      </c>
      <c r="I831" s="139">
        <v>0</v>
      </c>
      <c r="K831" s="96" t="str">
        <f t="shared" si="35"/>
        <v>0026-1002-0058</v>
      </c>
      <c r="L831" s="96" t="str">
        <f>VLOOKUP(K831,COA!$A$3:$B$337,2,FALSE)</f>
        <v>L45</v>
      </c>
      <c r="M831" s="96" t="str">
        <f t="shared" si="36"/>
        <v>L45</v>
      </c>
      <c r="N831" s="96" t="e">
        <f>VLOOKUP(M831,CAC!$A$2:$B$198,2,FALSE)</f>
        <v>#N/A</v>
      </c>
    </row>
    <row r="832" spans="5:14" x14ac:dyDescent="0.25">
      <c r="E832" s="136">
        <v>201707</v>
      </c>
      <c r="F832" s="138" t="s">
        <v>506</v>
      </c>
      <c r="G832" s="138" t="s">
        <v>346</v>
      </c>
      <c r="H832" s="138" t="s">
        <v>592</v>
      </c>
      <c r="I832" s="139">
        <v>0</v>
      </c>
      <c r="K832" s="96" t="str">
        <f t="shared" si="35"/>
        <v>0013-1014-0035</v>
      </c>
      <c r="L832" s="96" t="str">
        <f>VLOOKUP(K832,COA!$A$3:$B$337,2,FALSE)</f>
        <v>K42</v>
      </c>
      <c r="M832" s="96" t="str">
        <f t="shared" si="36"/>
        <v>K42</v>
      </c>
      <c r="N832" s="96" t="str">
        <f>VLOOKUP(M832,CAC!$A$2:$B$198,2,FALSE)</f>
        <v>HMFLEX</v>
      </c>
    </row>
    <row r="833" spans="5:14" x14ac:dyDescent="0.25">
      <c r="E833" s="136">
        <v>201610</v>
      </c>
      <c r="F833" s="138" t="s">
        <v>345</v>
      </c>
      <c r="G833" s="138" t="s">
        <v>352</v>
      </c>
      <c r="H833" s="138" t="s">
        <v>653</v>
      </c>
      <c r="I833" s="139">
        <v>0</v>
      </c>
      <c r="K833" s="96" t="str">
        <f t="shared" si="35"/>
        <v>0011-1004-0047</v>
      </c>
      <c r="L833" s="96" t="str">
        <f>VLOOKUP(K833,COA!$A$3:$B$337,2,FALSE)</f>
        <v>L17</v>
      </c>
      <c r="M833" s="96" t="str">
        <f t="shared" si="36"/>
        <v>L17</v>
      </c>
      <c r="N833" s="96" t="str">
        <f>VLOOKUP(M833,CAC!$A$2:$B$198,2,FALSE)</f>
        <v>HMOLG</v>
      </c>
    </row>
    <row r="834" spans="5:14" x14ac:dyDescent="0.25">
      <c r="E834" s="136">
        <v>201601</v>
      </c>
      <c r="F834" s="138" t="s">
        <v>563</v>
      </c>
      <c r="G834" s="138" t="s">
        <v>348</v>
      </c>
      <c r="H834" s="138" t="s">
        <v>349</v>
      </c>
      <c r="I834" s="139">
        <v>0</v>
      </c>
      <c r="K834" s="96" t="str">
        <f t="shared" si="35"/>
        <v>0003-1010-0017</v>
      </c>
      <c r="L834" s="96" t="str">
        <f>VLOOKUP(K834,COA!$A$3:$B$337,2,FALSE)</f>
        <v>S51</v>
      </c>
      <c r="M834" s="96" t="str">
        <f t="shared" si="36"/>
        <v>S51</v>
      </c>
      <c r="N834" s="96" t="str">
        <f>VLOOKUP(M834,CAC!$A$2:$B$198,2,FALSE)</f>
        <v>PPOSG</v>
      </c>
    </row>
    <row r="835" spans="5:14" x14ac:dyDescent="0.25">
      <c r="E835" s="136">
        <v>201610</v>
      </c>
      <c r="F835" s="138" t="s">
        <v>345</v>
      </c>
      <c r="G835" s="138" t="s">
        <v>362</v>
      </c>
      <c r="H835" s="138" t="s">
        <v>364</v>
      </c>
      <c r="I835" s="139">
        <v>37510.61</v>
      </c>
      <c r="K835" s="96" t="str">
        <f t="shared" ref="K835:K898" si="37">F835&amp;"-"&amp;G835&amp;"-"&amp;H835</f>
        <v>0011-1008-0037</v>
      </c>
      <c r="L835" s="96" t="str">
        <f>VLOOKUP(K835,COA!$A$3:$B$337,2,FALSE)</f>
        <v>P12</v>
      </c>
      <c r="M835" s="96" t="str">
        <f t="shared" si="36"/>
        <v>P12</v>
      </c>
      <c r="N835" s="96" t="str">
        <f>VLOOKUP(M835,CAC!$A$2:$B$198,2,FALSE)</f>
        <v>HMOPERA</v>
      </c>
    </row>
    <row r="836" spans="5:14" x14ac:dyDescent="0.25">
      <c r="E836" s="136">
        <v>201706</v>
      </c>
      <c r="F836" s="138" t="s">
        <v>506</v>
      </c>
      <c r="G836" s="138" t="s">
        <v>346</v>
      </c>
      <c r="H836" s="138" t="s">
        <v>592</v>
      </c>
      <c r="I836" s="139">
        <v>0</v>
      </c>
      <c r="K836" s="96" t="str">
        <f t="shared" si="37"/>
        <v>0013-1014-0035</v>
      </c>
      <c r="L836" s="96" t="str">
        <f>VLOOKUP(K836,COA!$A$3:$B$337,2,FALSE)</f>
        <v>K42</v>
      </c>
      <c r="M836" s="96" t="str">
        <f t="shared" ref="M836:M899" si="38">IF(ISNA(L836),"XXX",L836)</f>
        <v>K42</v>
      </c>
      <c r="N836" s="96" t="str">
        <f>VLOOKUP(M836,CAC!$A$2:$B$198,2,FALSE)</f>
        <v>HMFLEX</v>
      </c>
    </row>
    <row r="837" spans="5:14" x14ac:dyDescent="0.25">
      <c r="E837" s="136">
        <v>201506</v>
      </c>
      <c r="F837" s="138" t="s">
        <v>506</v>
      </c>
      <c r="G837" s="138" t="s">
        <v>346</v>
      </c>
      <c r="H837" s="138" t="s">
        <v>592</v>
      </c>
      <c r="I837" s="139">
        <v>0</v>
      </c>
      <c r="K837" s="96" t="str">
        <f t="shared" si="37"/>
        <v>0013-1014-0035</v>
      </c>
      <c r="L837" s="96" t="str">
        <f>VLOOKUP(K837,COA!$A$3:$B$337,2,FALSE)</f>
        <v>K42</v>
      </c>
      <c r="M837" s="96" t="str">
        <f t="shared" si="38"/>
        <v>K42</v>
      </c>
      <c r="N837" s="96" t="str">
        <f>VLOOKUP(M837,CAC!$A$2:$B$198,2,FALSE)</f>
        <v>HMFLEX</v>
      </c>
    </row>
    <row r="838" spans="5:14" x14ac:dyDescent="0.25">
      <c r="E838" s="136">
        <v>201712</v>
      </c>
      <c r="F838" s="138" t="s">
        <v>344</v>
      </c>
      <c r="G838" s="138" t="s">
        <v>355</v>
      </c>
      <c r="H838" s="138" t="s">
        <v>344</v>
      </c>
      <c r="I838" s="139">
        <v>49</v>
      </c>
      <c r="K838" s="96" t="str">
        <f t="shared" si="37"/>
        <v>0012-1006-0012</v>
      </c>
      <c r="L838" s="96" t="str">
        <f>VLOOKUP(K838,COA!$A$3:$B$337,2,FALSE)</f>
        <v>L16</v>
      </c>
      <c r="M838" s="96" t="str">
        <f t="shared" si="38"/>
        <v>L16</v>
      </c>
      <c r="N838" s="96" t="str">
        <f>VLOOKUP(M838,CAC!$A$2:$B$198,2,FALSE)</f>
        <v>HMOLG</v>
      </c>
    </row>
    <row r="839" spans="5:14" x14ac:dyDescent="0.25">
      <c r="E839" s="136">
        <v>201609</v>
      </c>
      <c r="F839" s="138" t="s">
        <v>345</v>
      </c>
      <c r="G839" s="138" t="s">
        <v>350</v>
      </c>
      <c r="H839" s="138" t="s">
        <v>360</v>
      </c>
      <c r="I839" s="139">
        <v>6393.4</v>
      </c>
      <c r="K839" s="96" t="str">
        <f t="shared" si="37"/>
        <v>0011-1012-0048</v>
      </c>
      <c r="L839" s="96" t="str">
        <f>VLOOKUP(K839,COA!$A$3:$B$337,2,FALSE)</f>
        <v>K21</v>
      </c>
      <c r="M839" s="96" t="str">
        <f t="shared" si="38"/>
        <v>K21</v>
      </c>
      <c r="N839" s="96" t="str">
        <f>VLOOKUP(M839,CAC!$A$2:$B$198,2,FALSE)</f>
        <v>HMFLEX</v>
      </c>
    </row>
    <row r="840" spans="5:14" x14ac:dyDescent="0.25">
      <c r="E840" s="136">
        <v>201502</v>
      </c>
      <c r="F840" s="138" t="s">
        <v>345</v>
      </c>
      <c r="G840" s="138" t="s">
        <v>355</v>
      </c>
      <c r="H840" s="138" t="s">
        <v>344</v>
      </c>
      <c r="I840" s="139">
        <v>21367.09</v>
      </c>
      <c r="K840" s="96" t="str">
        <f t="shared" si="37"/>
        <v>0011-1006-0012</v>
      </c>
      <c r="L840" s="96" t="str">
        <f>VLOOKUP(K840,COA!$A$3:$B$337,2,FALSE)</f>
        <v>L13</v>
      </c>
      <c r="M840" s="96" t="str">
        <f t="shared" si="38"/>
        <v>L13</v>
      </c>
      <c r="N840" s="96" t="str">
        <f>VLOOKUP(M840,CAC!$A$2:$B$198,2,FALSE)</f>
        <v>HMOLG</v>
      </c>
    </row>
    <row r="841" spans="5:14" x14ac:dyDescent="0.25">
      <c r="E841" s="136">
        <v>201708</v>
      </c>
      <c r="F841" s="138" t="s">
        <v>345</v>
      </c>
      <c r="G841" s="138" t="s">
        <v>352</v>
      </c>
      <c r="H841" s="138" t="s">
        <v>357</v>
      </c>
      <c r="I841" s="139">
        <v>1957</v>
      </c>
      <c r="K841" s="96" t="str">
        <f t="shared" si="37"/>
        <v>0011-1004-0038</v>
      </c>
      <c r="L841" s="96" t="str">
        <f>VLOOKUP(K841,COA!$A$3:$B$337,2,FALSE)</f>
        <v>L14</v>
      </c>
      <c r="M841" s="96" t="str">
        <f t="shared" si="38"/>
        <v>L14</v>
      </c>
      <c r="N841" s="96" t="str">
        <f>VLOOKUP(M841,CAC!$A$2:$B$198,2,FALSE)</f>
        <v>HMOLG</v>
      </c>
    </row>
    <row r="842" spans="5:14" x14ac:dyDescent="0.25">
      <c r="E842" s="136">
        <v>201711</v>
      </c>
      <c r="F842" s="138" t="s">
        <v>344</v>
      </c>
      <c r="G842" s="138" t="s">
        <v>355</v>
      </c>
      <c r="H842" s="138" t="s">
        <v>344</v>
      </c>
      <c r="I842" s="139">
        <v>52</v>
      </c>
      <c r="K842" s="96" t="str">
        <f t="shared" si="37"/>
        <v>0012-1006-0012</v>
      </c>
      <c r="L842" s="96" t="str">
        <f>VLOOKUP(K842,COA!$A$3:$B$337,2,FALSE)</f>
        <v>L16</v>
      </c>
      <c r="M842" s="96" t="str">
        <f t="shared" si="38"/>
        <v>L16</v>
      </c>
      <c r="N842" s="96" t="str">
        <f>VLOOKUP(M842,CAC!$A$2:$B$198,2,FALSE)</f>
        <v>HMOLG</v>
      </c>
    </row>
    <row r="843" spans="5:14" x14ac:dyDescent="0.25">
      <c r="E843" s="136">
        <v>201502</v>
      </c>
      <c r="F843" s="138" t="s">
        <v>413</v>
      </c>
      <c r="G843" s="138" t="s">
        <v>348</v>
      </c>
      <c r="H843" s="138" t="s">
        <v>349</v>
      </c>
      <c r="I843" s="139">
        <v>0</v>
      </c>
      <c r="K843" s="96" t="str">
        <f t="shared" si="37"/>
        <v>0008-1010-0017</v>
      </c>
      <c r="L843" s="96" t="str">
        <f>VLOOKUP(K843,COA!$A$3:$B$337,2,FALSE)</f>
        <v>C94</v>
      </c>
      <c r="M843" s="96" t="str">
        <f t="shared" si="38"/>
        <v>C94</v>
      </c>
      <c r="N843" s="96" t="str">
        <f>VLOOKUP(M843,CAC!$A$2:$B$198,2,FALSE)</f>
        <v>DOISG</v>
      </c>
    </row>
    <row r="844" spans="5:14" x14ac:dyDescent="0.25">
      <c r="E844" s="136">
        <v>201607</v>
      </c>
      <c r="F844" s="138" t="s">
        <v>506</v>
      </c>
      <c r="G844" s="138" t="s">
        <v>354</v>
      </c>
      <c r="H844" s="138" t="s">
        <v>592</v>
      </c>
      <c r="I844" s="139">
        <v>0</v>
      </c>
      <c r="K844" s="96" t="str">
        <f t="shared" si="37"/>
        <v>0013-1013-0035</v>
      </c>
      <c r="L844" s="96" t="str">
        <f>VLOOKUP(K844,COA!$A$3:$B$337,2,FALSE)</f>
        <v>N44</v>
      </c>
      <c r="M844" s="96" t="str">
        <f t="shared" si="38"/>
        <v>N44</v>
      </c>
      <c r="N844" s="96" t="e">
        <f>VLOOKUP(M844,CAC!$A$2:$B$198,2,FALSE)</f>
        <v>#N/A</v>
      </c>
    </row>
    <row r="845" spans="5:14" x14ac:dyDescent="0.25">
      <c r="E845" s="136">
        <v>201704</v>
      </c>
      <c r="F845" s="138" t="s">
        <v>345</v>
      </c>
      <c r="G845" s="138" t="s">
        <v>352</v>
      </c>
      <c r="H845" s="138" t="s">
        <v>357</v>
      </c>
      <c r="I845" s="139">
        <v>1956</v>
      </c>
      <c r="K845" s="96" t="str">
        <f t="shared" si="37"/>
        <v>0011-1004-0038</v>
      </c>
      <c r="L845" s="96" t="str">
        <f>VLOOKUP(K845,COA!$A$3:$B$337,2,FALSE)</f>
        <v>L14</v>
      </c>
      <c r="M845" s="96" t="str">
        <f t="shared" si="38"/>
        <v>L14</v>
      </c>
      <c r="N845" s="96" t="str">
        <f>VLOOKUP(M845,CAC!$A$2:$B$198,2,FALSE)</f>
        <v>HMOLG</v>
      </c>
    </row>
    <row r="846" spans="5:14" x14ac:dyDescent="0.25">
      <c r="E846" s="136">
        <v>201506</v>
      </c>
      <c r="F846" s="138" t="s">
        <v>563</v>
      </c>
      <c r="G846" s="138" t="s">
        <v>352</v>
      </c>
      <c r="H846" s="138" t="s">
        <v>653</v>
      </c>
      <c r="I846" s="139">
        <v>0</v>
      </c>
      <c r="K846" s="96" t="str">
        <f t="shared" si="37"/>
        <v>0003-1004-0047</v>
      </c>
      <c r="L846" s="96" t="str">
        <f>VLOOKUP(K846,COA!$A$3:$B$337,2,FALSE)</f>
        <v>L57</v>
      </c>
      <c r="M846" s="96" t="str">
        <f t="shared" si="38"/>
        <v>L57</v>
      </c>
      <c r="N846" s="96" t="str">
        <f>VLOOKUP(M846,CAC!$A$2:$B$198,2,FALSE)</f>
        <v>PPOLG</v>
      </c>
    </row>
    <row r="847" spans="5:14" x14ac:dyDescent="0.25">
      <c r="E847" s="136">
        <v>201603</v>
      </c>
      <c r="F847" s="138" t="s">
        <v>563</v>
      </c>
      <c r="G847" s="138" t="s">
        <v>352</v>
      </c>
      <c r="H847" s="138" t="s">
        <v>653</v>
      </c>
      <c r="I847" s="139">
        <v>0</v>
      </c>
      <c r="K847" s="96" t="str">
        <f t="shared" si="37"/>
        <v>0003-1004-0047</v>
      </c>
      <c r="L847" s="96" t="str">
        <f>VLOOKUP(K847,COA!$A$3:$B$337,2,FALSE)</f>
        <v>L57</v>
      </c>
      <c r="M847" s="96" t="str">
        <f t="shared" si="38"/>
        <v>L57</v>
      </c>
      <c r="N847" s="96" t="str">
        <f>VLOOKUP(M847,CAC!$A$2:$B$198,2,FALSE)</f>
        <v>PPOLG</v>
      </c>
    </row>
    <row r="848" spans="5:14" x14ac:dyDescent="0.25">
      <c r="E848" s="136">
        <v>201511</v>
      </c>
      <c r="F848" s="138" t="s">
        <v>746</v>
      </c>
      <c r="G848" s="138" t="s">
        <v>361</v>
      </c>
      <c r="H848" s="138" t="s">
        <v>344</v>
      </c>
      <c r="I848" s="139">
        <v>456</v>
      </c>
      <c r="K848" s="96" t="str">
        <f t="shared" si="37"/>
        <v>0016-1003-0012</v>
      </c>
      <c r="L848" s="96" t="str">
        <f>VLOOKUP(K848,COA!$A$3:$B$337,2,FALSE)</f>
        <v>R18</v>
      </c>
      <c r="M848" s="96" t="str">
        <f t="shared" si="38"/>
        <v>R18</v>
      </c>
      <c r="N848" s="96" t="str">
        <f>VLOOKUP(M848,CAC!$A$2:$B$198,2,FALSE)</f>
        <v>HMOMG</v>
      </c>
    </row>
    <row r="849" spans="5:14" x14ac:dyDescent="0.25">
      <c r="E849" s="136">
        <v>201705</v>
      </c>
      <c r="F849" s="138" t="s">
        <v>746</v>
      </c>
      <c r="G849" s="138" t="s">
        <v>352</v>
      </c>
      <c r="H849" s="138" t="s">
        <v>344</v>
      </c>
      <c r="I849" s="139">
        <v>3</v>
      </c>
      <c r="K849" s="96" t="str">
        <f t="shared" si="37"/>
        <v>0016-1004-0012</v>
      </c>
      <c r="L849" s="96" t="str">
        <f>VLOOKUP(K849,COA!$A$3:$B$337,2,FALSE)</f>
        <v>R20</v>
      </c>
      <c r="M849" s="96" t="str">
        <f t="shared" si="38"/>
        <v>R20</v>
      </c>
      <c r="N849" s="96" t="str">
        <f>VLOOKUP(M849,CAC!$A$2:$B$198,2,FALSE)</f>
        <v>HMOMG</v>
      </c>
    </row>
    <row r="850" spans="5:14" x14ac:dyDescent="0.25">
      <c r="E850" s="136">
        <v>201703</v>
      </c>
      <c r="F850" s="138" t="s">
        <v>345</v>
      </c>
      <c r="G850" s="138" t="s">
        <v>350</v>
      </c>
      <c r="H850" s="138" t="s">
        <v>360</v>
      </c>
      <c r="I850" s="139">
        <v>4025</v>
      </c>
      <c r="K850" s="96" t="str">
        <f t="shared" si="37"/>
        <v>0011-1012-0048</v>
      </c>
      <c r="L850" s="96" t="str">
        <f>VLOOKUP(K850,COA!$A$3:$B$337,2,FALSE)</f>
        <v>K21</v>
      </c>
      <c r="M850" s="96" t="str">
        <f t="shared" si="38"/>
        <v>K21</v>
      </c>
      <c r="N850" s="96" t="str">
        <f>VLOOKUP(M850,CAC!$A$2:$B$198,2,FALSE)</f>
        <v>HMFLEX</v>
      </c>
    </row>
    <row r="851" spans="5:14" x14ac:dyDescent="0.25">
      <c r="E851" s="136">
        <v>201608</v>
      </c>
      <c r="F851" s="138" t="s">
        <v>413</v>
      </c>
      <c r="G851" s="138" t="s">
        <v>354</v>
      </c>
      <c r="H851" s="138" t="s">
        <v>344</v>
      </c>
      <c r="I851" s="139">
        <v>0</v>
      </c>
      <c r="K851" s="96" t="str">
        <f t="shared" si="37"/>
        <v>0008-1013-0012</v>
      </c>
      <c r="L851" s="96" t="str">
        <f>VLOOKUP(K851,COA!$A$3:$B$337,2,FALSE)</f>
        <v>C76</v>
      </c>
      <c r="M851" s="96" t="str">
        <f t="shared" si="38"/>
        <v>C76</v>
      </c>
      <c r="N851" s="96" t="str">
        <f>VLOOKUP(M851,CAC!$A$2:$B$198,2,FALSE)</f>
        <v>DOILG</v>
      </c>
    </row>
    <row r="852" spans="5:14" x14ac:dyDescent="0.25">
      <c r="E852" s="136">
        <v>201605</v>
      </c>
      <c r="F852" s="138" t="s">
        <v>746</v>
      </c>
      <c r="G852" s="138" t="s">
        <v>356</v>
      </c>
      <c r="H852" s="138" t="s">
        <v>764</v>
      </c>
      <c r="I852" s="139">
        <v>11</v>
      </c>
      <c r="K852" s="96" t="str">
        <f t="shared" si="37"/>
        <v>0016-1002-0064</v>
      </c>
      <c r="L852" s="96" t="str">
        <f>VLOOKUP(K852,COA!$A$3:$B$337,2,FALSE)</f>
        <v>R25</v>
      </c>
      <c r="M852" s="96" t="str">
        <f t="shared" si="38"/>
        <v>R25</v>
      </c>
      <c r="N852" s="96" t="str">
        <f>VLOOKUP(M852,CAC!$A$2:$B$198,2,FALSE)</f>
        <v>HMOMG</v>
      </c>
    </row>
    <row r="853" spans="5:14" x14ac:dyDescent="0.25">
      <c r="E853" s="136">
        <v>201505</v>
      </c>
      <c r="F853" s="138" t="s">
        <v>413</v>
      </c>
      <c r="G853" s="138" t="s">
        <v>359</v>
      </c>
      <c r="H853" s="138" t="s">
        <v>344</v>
      </c>
      <c r="I853" s="139">
        <v>0</v>
      </c>
      <c r="K853" s="96" t="str">
        <f t="shared" si="37"/>
        <v>0008-1005-0012</v>
      </c>
      <c r="L853" s="96" t="str">
        <f>VLOOKUP(K853,COA!$A$3:$B$337,2,FALSE)</f>
        <v>C73</v>
      </c>
      <c r="M853" s="96" t="str">
        <f t="shared" si="38"/>
        <v>C73</v>
      </c>
      <c r="N853" s="96" t="str">
        <f>VLOOKUP(M853,CAC!$A$2:$B$198,2,FALSE)</f>
        <v>DOILG</v>
      </c>
    </row>
    <row r="854" spans="5:14" x14ac:dyDescent="0.25">
      <c r="E854" s="136">
        <v>201509</v>
      </c>
      <c r="F854" s="138" t="s">
        <v>552</v>
      </c>
      <c r="G854" s="138" t="s">
        <v>356</v>
      </c>
      <c r="H854" s="138" t="s">
        <v>672</v>
      </c>
      <c r="I854" s="139">
        <v>0</v>
      </c>
      <c r="K854" s="96" t="str">
        <f t="shared" si="37"/>
        <v>0027-1002-0058</v>
      </c>
      <c r="L854" s="96" t="str">
        <f>VLOOKUP(K854,COA!$A$3:$B$337,2,FALSE)</f>
        <v>L45</v>
      </c>
      <c r="M854" s="96" t="str">
        <f t="shared" si="38"/>
        <v>L45</v>
      </c>
      <c r="N854" s="96" t="e">
        <f>VLOOKUP(M854,CAC!$A$2:$B$198,2,FALSE)</f>
        <v>#N/A</v>
      </c>
    </row>
    <row r="855" spans="5:14" x14ac:dyDescent="0.25">
      <c r="E855" s="136">
        <v>201510</v>
      </c>
      <c r="F855" s="138" t="s">
        <v>563</v>
      </c>
      <c r="G855" s="138" t="s">
        <v>365</v>
      </c>
      <c r="H855" s="138" t="s">
        <v>366</v>
      </c>
      <c r="I855" s="139">
        <v>0</v>
      </c>
      <c r="K855" s="96" t="str">
        <f t="shared" si="37"/>
        <v>0003-1001-0021</v>
      </c>
      <c r="L855" s="96" t="str">
        <f>VLOOKUP(K855,COA!$A$3:$B$337,2,FALSE)</f>
        <v>V53</v>
      </c>
      <c r="M855" s="96" t="str">
        <f t="shared" si="38"/>
        <v>V53</v>
      </c>
      <c r="N855" s="96" t="str">
        <f>VLOOKUP(M855,CAC!$A$2:$B$198,2,FALSE)</f>
        <v>PPOIFP</v>
      </c>
    </row>
    <row r="856" spans="5:14" x14ac:dyDescent="0.25">
      <c r="E856" s="136">
        <v>201710</v>
      </c>
      <c r="F856" s="138" t="s">
        <v>506</v>
      </c>
      <c r="G856" s="138" t="s">
        <v>352</v>
      </c>
      <c r="H856" s="138" t="s">
        <v>592</v>
      </c>
      <c r="I856" s="139">
        <v>0</v>
      </c>
      <c r="K856" s="96" t="str">
        <f t="shared" si="37"/>
        <v>0013-1004-0035</v>
      </c>
      <c r="L856" s="96" t="str">
        <f>VLOOKUP(K856,COA!$A$3:$B$337,2,FALSE)</f>
        <v>L41</v>
      </c>
      <c r="M856" s="96" t="str">
        <f t="shared" si="38"/>
        <v>L41</v>
      </c>
      <c r="N856" s="96" t="e">
        <f>VLOOKUP(M856,CAC!$A$2:$B$198,2,FALSE)</f>
        <v>#N/A</v>
      </c>
    </row>
    <row r="857" spans="5:14" x14ac:dyDescent="0.25">
      <c r="E857" s="136">
        <v>201606</v>
      </c>
      <c r="F857" s="138" t="s">
        <v>563</v>
      </c>
      <c r="G857" s="138" t="s">
        <v>365</v>
      </c>
      <c r="H857" s="138" t="s">
        <v>344</v>
      </c>
      <c r="I857" s="139">
        <v>0</v>
      </c>
      <c r="K857" s="96" t="str">
        <f t="shared" si="37"/>
        <v>0003-1001-0012</v>
      </c>
      <c r="L857" s="96" t="str">
        <f>VLOOKUP(K857,COA!$A$3:$B$337,2,FALSE)</f>
        <v>V51</v>
      </c>
      <c r="M857" s="96" t="str">
        <f t="shared" si="38"/>
        <v>V51</v>
      </c>
      <c r="N857" s="96" t="str">
        <f>VLOOKUP(M857,CAC!$A$2:$B$198,2,FALSE)</f>
        <v>PPOIFP</v>
      </c>
    </row>
    <row r="858" spans="5:14" x14ac:dyDescent="0.25">
      <c r="E858" s="136">
        <v>201601</v>
      </c>
      <c r="F858" s="138" t="s">
        <v>746</v>
      </c>
      <c r="G858" s="138" t="s">
        <v>356</v>
      </c>
      <c r="H858" s="138" t="s">
        <v>344</v>
      </c>
      <c r="I858" s="139">
        <v>120</v>
      </c>
      <c r="K858" s="96" t="str">
        <f t="shared" si="37"/>
        <v>0016-1002-0012</v>
      </c>
      <c r="L858" s="96" t="str">
        <f>VLOOKUP(K858,COA!$A$3:$B$337,2,FALSE)</f>
        <v>R18</v>
      </c>
      <c r="M858" s="96" t="str">
        <f t="shared" si="38"/>
        <v>R18</v>
      </c>
      <c r="N858" s="96" t="str">
        <f>VLOOKUP(M858,CAC!$A$2:$B$198,2,FALSE)</f>
        <v>HMOMG</v>
      </c>
    </row>
    <row r="859" spans="5:14" x14ac:dyDescent="0.25">
      <c r="E859" s="136">
        <v>201504</v>
      </c>
      <c r="F859" s="138" t="s">
        <v>506</v>
      </c>
      <c r="G859" s="138" t="s">
        <v>346</v>
      </c>
      <c r="H859" s="138" t="s">
        <v>592</v>
      </c>
      <c r="I859" s="139">
        <v>0</v>
      </c>
      <c r="K859" s="96" t="str">
        <f t="shared" si="37"/>
        <v>0013-1014-0035</v>
      </c>
      <c r="L859" s="96" t="str">
        <f>VLOOKUP(K859,COA!$A$3:$B$337,2,FALSE)</f>
        <v>K42</v>
      </c>
      <c r="M859" s="96" t="str">
        <f t="shared" si="38"/>
        <v>K42</v>
      </c>
      <c r="N859" s="96" t="str">
        <f>VLOOKUP(M859,CAC!$A$2:$B$198,2,FALSE)</f>
        <v>HMFLEX</v>
      </c>
    </row>
    <row r="860" spans="5:14" x14ac:dyDescent="0.25">
      <c r="E860" s="136">
        <v>201604</v>
      </c>
      <c r="F860" s="138" t="s">
        <v>563</v>
      </c>
      <c r="G860" s="138" t="s">
        <v>352</v>
      </c>
      <c r="H860" s="138" t="s">
        <v>653</v>
      </c>
      <c r="I860" s="139">
        <v>0</v>
      </c>
      <c r="K860" s="96" t="str">
        <f t="shared" si="37"/>
        <v>0003-1004-0047</v>
      </c>
      <c r="L860" s="96" t="str">
        <f>VLOOKUP(K860,COA!$A$3:$B$337,2,FALSE)</f>
        <v>L57</v>
      </c>
      <c r="M860" s="96" t="str">
        <f t="shared" si="38"/>
        <v>L57</v>
      </c>
      <c r="N860" s="96" t="str">
        <f>VLOOKUP(M860,CAC!$A$2:$B$198,2,FALSE)</f>
        <v>PPOLG</v>
      </c>
    </row>
    <row r="861" spans="5:14" x14ac:dyDescent="0.25">
      <c r="E861" s="136">
        <v>201705</v>
      </c>
      <c r="F861" s="138" t="s">
        <v>345</v>
      </c>
      <c r="G861" s="138" t="s">
        <v>346</v>
      </c>
      <c r="H861" s="138" t="s">
        <v>344</v>
      </c>
      <c r="I861" s="139">
        <v>0</v>
      </c>
      <c r="K861" s="96" t="str">
        <f t="shared" si="37"/>
        <v>0011-1014-0012</v>
      </c>
      <c r="L861" s="96" t="e">
        <f>VLOOKUP(K861,COA!$A$3:$B$337,2,FALSE)</f>
        <v>#N/A</v>
      </c>
      <c r="M861" s="96" t="str">
        <f t="shared" si="38"/>
        <v>XXX</v>
      </c>
      <c r="N861" s="96" t="str">
        <f>VLOOKUP(M861,CAC!$A$2:$B$198,2,FALSE)</f>
        <v>XXX</v>
      </c>
    </row>
    <row r="862" spans="5:14" x14ac:dyDescent="0.25">
      <c r="E862" s="136">
        <v>201801</v>
      </c>
      <c r="F862" s="138" t="s">
        <v>563</v>
      </c>
      <c r="G862" s="138" t="s">
        <v>365</v>
      </c>
      <c r="H862" s="138" t="s">
        <v>366</v>
      </c>
      <c r="I862" s="139">
        <v>0</v>
      </c>
      <c r="K862" s="96" t="str">
        <f t="shared" si="37"/>
        <v>0003-1001-0021</v>
      </c>
      <c r="L862" s="96" t="str">
        <f>VLOOKUP(K862,COA!$A$3:$B$337,2,FALSE)</f>
        <v>V53</v>
      </c>
      <c r="M862" s="96" t="str">
        <f t="shared" si="38"/>
        <v>V53</v>
      </c>
      <c r="N862" s="96" t="str">
        <f>VLOOKUP(M862,CAC!$A$2:$B$198,2,FALSE)</f>
        <v>PPOIFP</v>
      </c>
    </row>
    <row r="863" spans="5:14" x14ac:dyDescent="0.25">
      <c r="E863" s="136">
        <v>201602</v>
      </c>
      <c r="F863" s="138" t="s">
        <v>344</v>
      </c>
      <c r="G863" s="138" t="s">
        <v>361</v>
      </c>
      <c r="H863" s="138" t="s">
        <v>344</v>
      </c>
      <c r="I863" s="139">
        <v>9753.9500000000007</v>
      </c>
      <c r="K863" s="96" t="str">
        <f t="shared" si="37"/>
        <v>0012-1003-0012</v>
      </c>
      <c r="L863" s="96" t="str">
        <f>VLOOKUP(K863,COA!$A$3:$B$337,2,FALSE)</f>
        <v>N15</v>
      </c>
      <c r="M863" s="96" t="str">
        <f t="shared" si="38"/>
        <v>N15</v>
      </c>
      <c r="N863" s="96" t="str">
        <f>VLOOKUP(M863,CAC!$A$2:$B$198,2,FALSE)</f>
        <v>HMOPMR</v>
      </c>
    </row>
    <row r="864" spans="5:14" x14ac:dyDescent="0.25">
      <c r="E864" s="136">
        <v>201508</v>
      </c>
      <c r="F864" s="138" t="s">
        <v>345</v>
      </c>
      <c r="G864" s="138" t="s">
        <v>348</v>
      </c>
      <c r="H864" s="138" t="s">
        <v>349</v>
      </c>
      <c r="I864" s="139">
        <v>18318.39</v>
      </c>
      <c r="K864" s="96" t="str">
        <f t="shared" si="37"/>
        <v>0011-1010-0017</v>
      </c>
      <c r="L864" s="96" t="str">
        <f>VLOOKUP(K864,COA!$A$3:$B$337,2,FALSE)</f>
        <v>S11</v>
      </c>
      <c r="M864" s="96" t="str">
        <f t="shared" si="38"/>
        <v>S11</v>
      </c>
      <c r="N864" s="96" t="str">
        <f>VLOOKUP(M864,CAC!$A$2:$B$198,2,FALSE)</f>
        <v>HMOSG</v>
      </c>
    </row>
    <row r="865" spans="5:14" x14ac:dyDescent="0.25">
      <c r="E865" s="136">
        <v>201508</v>
      </c>
      <c r="F865" s="138" t="s">
        <v>506</v>
      </c>
      <c r="G865" s="138" t="s">
        <v>346</v>
      </c>
      <c r="H865" s="138" t="s">
        <v>592</v>
      </c>
      <c r="I865" s="139">
        <v>0</v>
      </c>
      <c r="K865" s="96" t="str">
        <f t="shared" si="37"/>
        <v>0013-1014-0035</v>
      </c>
      <c r="L865" s="96" t="str">
        <f>VLOOKUP(K865,COA!$A$3:$B$337,2,FALSE)</f>
        <v>K42</v>
      </c>
      <c r="M865" s="96" t="str">
        <f t="shared" si="38"/>
        <v>K42</v>
      </c>
      <c r="N865" s="96" t="str">
        <f>VLOOKUP(M865,CAC!$A$2:$B$198,2,FALSE)</f>
        <v>HMFLEX</v>
      </c>
    </row>
    <row r="866" spans="5:14" x14ac:dyDescent="0.25">
      <c r="E866" s="136">
        <v>201705</v>
      </c>
      <c r="F866" s="138" t="s">
        <v>563</v>
      </c>
      <c r="G866" s="138" t="s">
        <v>365</v>
      </c>
      <c r="H866" s="138" t="s">
        <v>344</v>
      </c>
      <c r="I866" s="139">
        <v>0</v>
      </c>
      <c r="K866" s="96" t="str">
        <f t="shared" si="37"/>
        <v>0003-1001-0012</v>
      </c>
      <c r="L866" s="96" t="str">
        <f>VLOOKUP(K866,COA!$A$3:$B$337,2,FALSE)</f>
        <v>V51</v>
      </c>
      <c r="M866" s="96" t="str">
        <f t="shared" si="38"/>
        <v>V51</v>
      </c>
      <c r="N866" s="96" t="str">
        <f>VLOOKUP(M866,CAC!$A$2:$B$198,2,FALSE)</f>
        <v>PPOIFP</v>
      </c>
    </row>
    <row r="867" spans="5:14" x14ac:dyDescent="0.25">
      <c r="E867" s="136">
        <v>201507</v>
      </c>
      <c r="F867" s="138" t="s">
        <v>405</v>
      </c>
      <c r="G867" s="138" t="s">
        <v>362</v>
      </c>
      <c r="H867" s="138" t="s">
        <v>759</v>
      </c>
      <c r="I867" s="139">
        <v>0</v>
      </c>
      <c r="K867" s="96" t="str">
        <f t="shared" si="37"/>
        <v>0019-1008-0032</v>
      </c>
      <c r="L867" s="96" t="str">
        <f>VLOOKUP(K867,COA!$A$3:$B$337,2,FALSE)</f>
        <v>P58</v>
      </c>
      <c r="M867" s="96" t="str">
        <f t="shared" si="38"/>
        <v>P58</v>
      </c>
      <c r="N867" s="96" t="str">
        <f>VLOOKUP(M867,CAC!$A$2:$B$198,2,FALSE)</f>
        <v>PERMEDA</v>
      </c>
    </row>
    <row r="868" spans="5:14" x14ac:dyDescent="0.25">
      <c r="E868" s="136">
        <v>201710</v>
      </c>
      <c r="F868" s="138" t="s">
        <v>345</v>
      </c>
      <c r="G868" s="138" t="s">
        <v>348</v>
      </c>
      <c r="H868" s="138" t="s">
        <v>358</v>
      </c>
      <c r="I868" s="139">
        <v>181.03</v>
      </c>
      <c r="K868" s="96" t="str">
        <f t="shared" si="37"/>
        <v>0011-1010-0024</v>
      </c>
      <c r="L868" s="96" t="str">
        <f>VLOOKUP(K868,COA!$A$3:$B$337,2,FALSE)</f>
        <v>S14</v>
      </c>
      <c r="M868" s="96" t="str">
        <f t="shared" si="38"/>
        <v>S14</v>
      </c>
      <c r="N868" s="96" t="str">
        <f>VLOOKUP(M868,CAC!$A$2:$B$198,2,FALSE)</f>
        <v>HMOSG</v>
      </c>
    </row>
    <row r="869" spans="5:14" x14ac:dyDescent="0.25">
      <c r="E869" s="136">
        <v>201511</v>
      </c>
      <c r="F869" s="138" t="s">
        <v>524</v>
      </c>
      <c r="G869" s="138" t="s">
        <v>361</v>
      </c>
      <c r="H869" s="138" t="s">
        <v>672</v>
      </c>
      <c r="I869" s="139">
        <v>0</v>
      </c>
      <c r="K869" s="96" t="str">
        <f t="shared" si="37"/>
        <v>0025-1003-0058</v>
      </c>
      <c r="L869" s="96" t="str">
        <f>VLOOKUP(K869,COA!$A$3:$B$337,2,FALSE)</f>
        <v>N45</v>
      </c>
      <c r="M869" s="96" t="str">
        <f t="shared" si="38"/>
        <v>N45</v>
      </c>
      <c r="N869" s="96" t="e">
        <f>VLOOKUP(M869,CAC!$A$2:$B$198,2,FALSE)</f>
        <v>#N/A</v>
      </c>
    </row>
    <row r="870" spans="5:14" x14ac:dyDescent="0.25">
      <c r="E870" s="136">
        <v>201603</v>
      </c>
      <c r="F870" s="138" t="s">
        <v>345</v>
      </c>
      <c r="G870" s="138" t="s">
        <v>350</v>
      </c>
      <c r="H870" s="138" t="s">
        <v>344</v>
      </c>
      <c r="I870" s="139">
        <v>14952.48</v>
      </c>
      <c r="K870" s="96" t="str">
        <f t="shared" si="37"/>
        <v>0011-1012-0012</v>
      </c>
      <c r="L870" s="96" t="str">
        <f>VLOOKUP(K870,COA!$A$3:$B$337,2,FALSE)</f>
        <v>K11</v>
      </c>
      <c r="M870" s="96" t="str">
        <f t="shared" si="38"/>
        <v>K11</v>
      </c>
      <c r="N870" s="96" t="str">
        <f>VLOOKUP(M870,CAC!$A$2:$B$198,2,FALSE)</f>
        <v>HMOPMR</v>
      </c>
    </row>
    <row r="871" spans="5:14" x14ac:dyDescent="0.25">
      <c r="E871" s="136">
        <v>201607</v>
      </c>
      <c r="F871" s="138" t="s">
        <v>345</v>
      </c>
      <c r="G871" s="138" t="s">
        <v>362</v>
      </c>
      <c r="H871" s="138" t="s">
        <v>363</v>
      </c>
      <c r="I871" s="139">
        <v>37011.480000000003</v>
      </c>
      <c r="K871" s="96" t="str">
        <f t="shared" si="37"/>
        <v>0011-1008-0054</v>
      </c>
      <c r="L871" s="96" t="str">
        <f>VLOOKUP(K871,COA!$A$3:$B$337,2,FALSE)</f>
        <v>P23</v>
      </c>
      <c r="M871" s="96" t="str">
        <f t="shared" si="38"/>
        <v>P23</v>
      </c>
      <c r="N871" s="96" t="str">
        <f>VLOOKUP(M871,CAC!$A$2:$B$198,2,FALSE)</f>
        <v>HMOPERN</v>
      </c>
    </row>
    <row r="872" spans="5:14" x14ac:dyDescent="0.25">
      <c r="E872" s="136">
        <v>201607</v>
      </c>
      <c r="F872" s="138" t="s">
        <v>563</v>
      </c>
      <c r="G872" s="138" t="s">
        <v>352</v>
      </c>
      <c r="H872" s="138" t="s">
        <v>653</v>
      </c>
      <c r="I872" s="139">
        <v>0</v>
      </c>
      <c r="K872" s="96" t="str">
        <f t="shared" si="37"/>
        <v>0003-1004-0047</v>
      </c>
      <c r="L872" s="96" t="str">
        <f>VLOOKUP(K872,COA!$A$3:$B$337,2,FALSE)</f>
        <v>L57</v>
      </c>
      <c r="M872" s="96" t="str">
        <f t="shared" si="38"/>
        <v>L57</v>
      </c>
      <c r="N872" s="96" t="str">
        <f>VLOOKUP(M872,CAC!$A$2:$B$198,2,FALSE)</f>
        <v>PPOLG</v>
      </c>
    </row>
    <row r="873" spans="5:14" x14ac:dyDescent="0.25">
      <c r="E873" s="136">
        <v>201704</v>
      </c>
      <c r="F873" s="138" t="s">
        <v>563</v>
      </c>
      <c r="G873" s="138" t="s">
        <v>356</v>
      </c>
      <c r="H873" s="138" t="s">
        <v>344</v>
      </c>
      <c r="I873" s="139">
        <v>0</v>
      </c>
      <c r="K873" s="96" t="str">
        <f t="shared" si="37"/>
        <v>0003-1002-0012</v>
      </c>
      <c r="L873" s="96" t="str">
        <f>VLOOKUP(K873,COA!$A$3:$B$337,2,FALSE)</f>
        <v>F61</v>
      </c>
      <c r="M873" s="96" t="str">
        <f t="shared" si="38"/>
        <v>F61</v>
      </c>
      <c r="N873" s="96" t="str">
        <f>VLOOKUP(M873,CAC!$A$2:$B$198,2,FALSE)</f>
        <v>PPOPMR</v>
      </c>
    </row>
    <row r="874" spans="5:14" x14ac:dyDescent="0.25">
      <c r="E874" s="136">
        <v>201612</v>
      </c>
      <c r="F874" s="138" t="s">
        <v>563</v>
      </c>
      <c r="G874" s="138" t="s">
        <v>348</v>
      </c>
      <c r="H874" s="138" t="s">
        <v>349</v>
      </c>
      <c r="I874" s="139">
        <v>0</v>
      </c>
      <c r="K874" s="96" t="str">
        <f t="shared" si="37"/>
        <v>0003-1010-0017</v>
      </c>
      <c r="L874" s="96" t="str">
        <f>VLOOKUP(K874,COA!$A$3:$B$337,2,FALSE)</f>
        <v>S51</v>
      </c>
      <c r="M874" s="96" t="str">
        <f t="shared" si="38"/>
        <v>S51</v>
      </c>
      <c r="N874" s="96" t="str">
        <f>VLOOKUP(M874,CAC!$A$2:$B$198,2,FALSE)</f>
        <v>PPOSG</v>
      </c>
    </row>
    <row r="875" spans="5:14" x14ac:dyDescent="0.25">
      <c r="E875" s="136">
        <v>201606</v>
      </c>
      <c r="F875" s="138" t="s">
        <v>563</v>
      </c>
      <c r="G875" s="138" t="s">
        <v>350</v>
      </c>
      <c r="H875" s="138" t="s">
        <v>344</v>
      </c>
      <c r="I875" s="139">
        <v>0</v>
      </c>
      <c r="K875" s="96" t="str">
        <f t="shared" si="37"/>
        <v>0003-1012-0012</v>
      </c>
      <c r="L875" s="96" t="str">
        <f>VLOOKUP(K875,COA!$A$3:$B$337,2,FALSE)</f>
        <v>K51</v>
      </c>
      <c r="M875" s="96" t="str">
        <f t="shared" si="38"/>
        <v>K51</v>
      </c>
      <c r="N875" s="96" t="str">
        <f>VLOOKUP(M875,CAC!$A$2:$B$198,2,FALSE)</f>
        <v>PPOPMR</v>
      </c>
    </row>
    <row r="876" spans="5:14" x14ac:dyDescent="0.25">
      <c r="E876" s="136">
        <v>201705</v>
      </c>
      <c r="F876" s="138" t="s">
        <v>344</v>
      </c>
      <c r="G876" s="138" t="s">
        <v>356</v>
      </c>
      <c r="H876" s="138" t="s">
        <v>344</v>
      </c>
      <c r="I876" s="139">
        <v>4257</v>
      </c>
      <c r="K876" s="96" t="str">
        <f t="shared" si="37"/>
        <v>0012-1002-0012</v>
      </c>
      <c r="L876" s="96" t="str">
        <f>VLOOKUP(K876,COA!$A$3:$B$337,2,FALSE)</f>
        <v>F22</v>
      </c>
      <c r="M876" s="96" t="str">
        <f t="shared" si="38"/>
        <v>F22</v>
      </c>
      <c r="N876" s="96" t="str">
        <f>VLOOKUP(M876,CAC!$A$2:$B$198,2,FALSE)</f>
        <v>HMOPMR</v>
      </c>
    </row>
    <row r="877" spans="5:14" x14ac:dyDescent="0.25">
      <c r="E877" s="136">
        <v>201611</v>
      </c>
      <c r="F877" s="138" t="s">
        <v>563</v>
      </c>
      <c r="G877" s="138" t="s">
        <v>361</v>
      </c>
      <c r="H877" s="138" t="s">
        <v>344</v>
      </c>
      <c r="I877" s="139">
        <v>0</v>
      </c>
      <c r="K877" s="96" t="str">
        <f t="shared" si="37"/>
        <v>0003-1003-0012</v>
      </c>
      <c r="L877" s="96" t="str">
        <f>VLOOKUP(K877,COA!$A$3:$B$337,2,FALSE)</f>
        <v>N61</v>
      </c>
      <c r="M877" s="96" t="str">
        <f t="shared" si="38"/>
        <v>N61</v>
      </c>
      <c r="N877" s="96" t="str">
        <f>VLOOKUP(M877,CAC!$A$2:$B$198,2,FALSE)</f>
        <v>PPOPMR</v>
      </c>
    </row>
    <row r="878" spans="5:14" x14ac:dyDescent="0.25">
      <c r="E878" s="136">
        <v>201608</v>
      </c>
      <c r="F878" s="138" t="s">
        <v>746</v>
      </c>
      <c r="G878" s="138" t="s">
        <v>350</v>
      </c>
      <c r="H878" s="138" t="s">
        <v>344</v>
      </c>
      <c r="I878" s="139">
        <v>63</v>
      </c>
      <c r="K878" s="96" t="str">
        <f t="shared" si="37"/>
        <v>0016-1012-0012</v>
      </c>
      <c r="L878" s="96" t="str">
        <f>VLOOKUP(K878,COA!$A$3:$B$337,2,FALSE)</f>
        <v>R19</v>
      </c>
      <c r="M878" s="96" t="str">
        <f t="shared" si="38"/>
        <v>R19</v>
      </c>
      <c r="N878" s="96" t="str">
        <f>VLOOKUP(M878,CAC!$A$2:$B$198,2,FALSE)</f>
        <v>HMOMG</v>
      </c>
    </row>
    <row r="879" spans="5:14" x14ac:dyDescent="0.25">
      <c r="E879" s="136">
        <v>201707</v>
      </c>
      <c r="F879" s="138" t="s">
        <v>563</v>
      </c>
      <c r="G879" s="138" t="s">
        <v>356</v>
      </c>
      <c r="H879" s="138" t="s">
        <v>344</v>
      </c>
      <c r="I879" s="139">
        <v>0</v>
      </c>
      <c r="K879" s="96" t="str">
        <f t="shared" si="37"/>
        <v>0003-1002-0012</v>
      </c>
      <c r="L879" s="96" t="str">
        <f>VLOOKUP(K879,COA!$A$3:$B$337,2,FALSE)</f>
        <v>F61</v>
      </c>
      <c r="M879" s="96" t="str">
        <f t="shared" si="38"/>
        <v>F61</v>
      </c>
      <c r="N879" s="96" t="str">
        <f>VLOOKUP(M879,CAC!$A$2:$B$198,2,FALSE)</f>
        <v>PPOPMR</v>
      </c>
    </row>
    <row r="880" spans="5:14" x14ac:dyDescent="0.25">
      <c r="E880" s="136">
        <v>201512</v>
      </c>
      <c r="F880" s="138" t="s">
        <v>345</v>
      </c>
      <c r="G880" s="138" t="s">
        <v>348</v>
      </c>
      <c r="H880" s="138" t="s">
        <v>353</v>
      </c>
      <c r="I880" s="139">
        <v>380</v>
      </c>
      <c r="K880" s="96" t="str">
        <f t="shared" si="37"/>
        <v>0011-1010-0023</v>
      </c>
      <c r="L880" s="96" t="str">
        <f>VLOOKUP(K880,COA!$A$3:$B$337,2,FALSE)</f>
        <v>S13</v>
      </c>
      <c r="M880" s="96" t="str">
        <f t="shared" si="38"/>
        <v>S13</v>
      </c>
      <c r="N880" s="96" t="str">
        <f>VLOOKUP(M880,CAC!$A$2:$B$198,2,FALSE)</f>
        <v>HMOSG</v>
      </c>
    </row>
    <row r="881" spans="5:14" x14ac:dyDescent="0.25">
      <c r="E881" s="136">
        <v>201601</v>
      </c>
      <c r="F881" s="138" t="s">
        <v>563</v>
      </c>
      <c r="G881" s="138" t="s">
        <v>348</v>
      </c>
      <c r="H881" s="138" t="s">
        <v>353</v>
      </c>
      <c r="I881" s="139">
        <v>0</v>
      </c>
      <c r="K881" s="96" t="str">
        <f t="shared" si="37"/>
        <v>0003-1010-0023</v>
      </c>
      <c r="L881" s="96" t="str">
        <f>VLOOKUP(K881,COA!$A$3:$B$337,2,FALSE)</f>
        <v>S54</v>
      </c>
      <c r="M881" s="96" t="str">
        <f t="shared" si="38"/>
        <v>S54</v>
      </c>
      <c r="N881" s="96" t="str">
        <f>VLOOKUP(M881,CAC!$A$2:$B$198,2,FALSE)</f>
        <v>PPOSG</v>
      </c>
    </row>
    <row r="882" spans="5:14" x14ac:dyDescent="0.25">
      <c r="E882" s="136">
        <v>201706</v>
      </c>
      <c r="F882" s="138" t="s">
        <v>345</v>
      </c>
      <c r="G882" s="138" t="s">
        <v>354</v>
      </c>
      <c r="H882" s="138" t="s">
        <v>368</v>
      </c>
      <c r="I882" s="139">
        <v>1</v>
      </c>
      <c r="K882" s="96" t="str">
        <f t="shared" si="37"/>
        <v>0011-1013-0056</v>
      </c>
      <c r="L882" s="96" t="str">
        <f>VLOOKUP(K882,COA!$A$3:$B$337,2,FALSE)</f>
        <v>N20</v>
      </c>
      <c r="M882" s="96" t="str">
        <f t="shared" si="38"/>
        <v>N20</v>
      </c>
      <c r="N882" s="96" t="str">
        <f>VLOOKUP(M882,CAC!$A$2:$B$198,2,FALSE)</f>
        <v>HMOPMR</v>
      </c>
    </row>
    <row r="883" spans="5:14" x14ac:dyDescent="0.25">
      <c r="E883" s="136">
        <v>201606</v>
      </c>
      <c r="F883" s="138" t="s">
        <v>563</v>
      </c>
      <c r="G883" s="138" t="s">
        <v>348</v>
      </c>
      <c r="H883" s="138" t="s">
        <v>349</v>
      </c>
      <c r="I883" s="139">
        <v>0</v>
      </c>
      <c r="K883" s="96" t="str">
        <f t="shared" si="37"/>
        <v>0003-1010-0017</v>
      </c>
      <c r="L883" s="96" t="str">
        <f>VLOOKUP(K883,COA!$A$3:$B$337,2,FALSE)</f>
        <v>S51</v>
      </c>
      <c r="M883" s="96" t="str">
        <f t="shared" si="38"/>
        <v>S51</v>
      </c>
      <c r="N883" s="96" t="str">
        <f>VLOOKUP(M883,CAC!$A$2:$B$198,2,FALSE)</f>
        <v>PPOSG</v>
      </c>
    </row>
    <row r="884" spans="5:14" x14ac:dyDescent="0.25">
      <c r="E884" s="136">
        <v>201610</v>
      </c>
      <c r="F884" s="138" t="s">
        <v>344</v>
      </c>
      <c r="G884" s="138" t="s">
        <v>359</v>
      </c>
      <c r="H884" s="138" t="s">
        <v>344</v>
      </c>
      <c r="I884" s="139">
        <v>134</v>
      </c>
      <c r="K884" s="96" t="str">
        <f t="shared" si="37"/>
        <v>0012-1005-0012</v>
      </c>
      <c r="L884" s="96" t="str">
        <f>VLOOKUP(K884,COA!$A$3:$B$337,2,FALSE)</f>
        <v>N13</v>
      </c>
      <c r="M884" s="96" t="str">
        <f t="shared" si="38"/>
        <v>N13</v>
      </c>
      <c r="N884" s="96" t="str">
        <f>VLOOKUP(M884,CAC!$A$2:$B$198,2,FALSE)</f>
        <v>HMOLG</v>
      </c>
    </row>
    <row r="885" spans="5:14" x14ac:dyDescent="0.25">
      <c r="E885" s="136">
        <v>201712</v>
      </c>
      <c r="F885" s="138" t="s">
        <v>345</v>
      </c>
      <c r="G885" s="138" t="s">
        <v>350</v>
      </c>
      <c r="H885" s="138" t="s">
        <v>360</v>
      </c>
      <c r="I885" s="139">
        <v>10596</v>
      </c>
      <c r="K885" s="96" t="str">
        <f t="shared" si="37"/>
        <v>0011-1012-0048</v>
      </c>
      <c r="L885" s="96" t="str">
        <f>VLOOKUP(K885,COA!$A$3:$B$337,2,FALSE)</f>
        <v>K21</v>
      </c>
      <c r="M885" s="96" t="str">
        <f t="shared" si="38"/>
        <v>K21</v>
      </c>
      <c r="N885" s="96" t="str">
        <f>VLOOKUP(M885,CAC!$A$2:$B$198,2,FALSE)</f>
        <v>HMFLEX</v>
      </c>
    </row>
    <row r="886" spans="5:14" x14ac:dyDescent="0.25">
      <c r="E886" s="136">
        <v>201507</v>
      </c>
      <c r="F886" s="138" t="s">
        <v>563</v>
      </c>
      <c r="G886" s="138" t="s">
        <v>355</v>
      </c>
      <c r="H886" s="138" t="s">
        <v>344</v>
      </c>
      <c r="I886" s="139">
        <v>0</v>
      </c>
      <c r="K886" s="96" t="str">
        <f t="shared" si="37"/>
        <v>0003-1006-0012</v>
      </c>
      <c r="L886" s="96" t="str">
        <f>VLOOKUP(K886,COA!$A$3:$B$337,2,FALSE)</f>
        <v>L52</v>
      </c>
      <c r="M886" s="96" t="str">
        <f t="shared" si="38"/>
        <v>L52</v>
      </c>
      <c r="N886" s="96" t="str">
        <f>VLOOKUP(M886,CAC!$A$2:$B$198,2,FALSE)</f>
        <v>PPOLG</v>
      </c>
    </row>
    <row r="887" spans="5:14" x14ac:dyDescent="0.25">
      <c r="E887" s="136">
        <v>201611</v>
      </c>
      <c r="F887" s="138" t="s">
        <v>345</v>
      </c>
      <c r="G887" s="138" t="s">
        <v>346</v>
      </c>
      <c r="H887" s="138" t="s">
        <v>360</v>
      </c>
      <c r="I887" s="139">
        <v>353</v>
      </c>
      <c r="K887" s="96" t="str">
        <f t="shared" si="37"/>
        <v>0011-1014-0048</v>
      </c>
      <c r="L887" s="96" t="str">
        <f>VLOOKUP(K887,COA!$A$3:$B$337,2,FALSE)</f>
        <v>K23</v>
      </c>
      <c r="M887" s="96" t="str">
        <f t="shared" si="38"/>
        <v>K23</v>
      </c>
      <c r="N887" s="96" t="str">
        <f>VLOOKUP(M887,CAC!$A$2:$B$198,2,FALSE)</f>
        <v>HMFLEX</v>
      </c>
    </row>
    <row r="888" spans="5:14" x14ac:dyDescent="0.25">
      <c r="E888" s="136">
        <v>201512</v>
      </c>
      <c r="F888" s="138" t="s">
        <v>506</v>
      </c>
      <c r="G888" s="138" t="s">
        <v>361</v>
      </c>
      <c r="H888" s="138" t="s">
        <v>592</v>
      </c>
      <c r="I888" s="139">
        <v>0</v>
      </c>
      <c r="K888" s="96" t="str">
        <f t="shared" si="37"/>
        <v>0013-1003-0035</v>
      </c>
      <c r="L888" s="96" t="str">
        <f>VLOOKUP(K888,COA!$A$3:$B$337,2,FALSE)</f>
        <v>N32</v>
      </c>
      <c r="M888" s="96" t="str">
        <f t="shared" si="38"/>
        <v>N32</v>
      </c>
      <c r="N888" s="96" t="e">
        <f>VLOOKUP(M888,CAC!$A$2:$B$198,2,FALSE)</f>
        <v>#N/A</v>
      </c>
    </row>
    <row r="889" spans="5:14" x14ac:dyDescent="0.25">
      <c r="E889" s="136">
        <v>201511</v>
      </c>
      <c r="F889" s="138" t="s">
        <v>345</v>
      </c>
      <c r="G889" s="138" t="s">
        <v>354</v>
      </c>
      <c r="H889" s="138" t="s">
        <v>360</v>
      </c>
      <c r="I889" s="139">
        <v>610</v>
      </c>
      <c r="K889" s="96" t="str">
        <f t="shared" si="37"/>
        <v>0011-1013-0048</v>
      </c>
      <c r="L889" s="96" t="str">
        <f>VLOOKUP(K889,COA!$A$3:$B$337,2,FALSE)</f>
        <v>N21</v>
      </c>
      <c r="M889" s="96" t="str">
        <f t="shared" si="38"/>
        <v>N21</v>
      </c>
      <c r="N889" s="96" t="str">
        <f>VLOOKUP(M889,CAC!$A$2:$B$198,2,FALSE)</f>
        <v>HMFLEX</v>
      </c>
    </row>
    <row r="890" spans="5:14" x14ac:dyDescent="0.25">
      <c r="E890" s="136">
        <v>201707</v>
      </c>
      <c r="F890" s="138" t="s">
        <v>563</v>
      </c>
      <c r="G890" s="138" t="s">
        <v>348</v>
      </c>
      <c r="H890" s="138" t="s">
        <v>358</v>
      </c>
      <c r="I890" s="139">
        <v>0</v>
      </c>
      <c r="K890" s="96" t="str">
        <f t="shared" si="37"/>
        <v>0003-1010-0024</v>
      </c>
      <c r="L890" s="96" t="str">
        <f>VLOOKUP(K890,COA!$A$3:$B$337,2,FALSE)</f>
        <v>S56</v>
      </c>
      <c r="M890" s="96" t="str">
        <f t="shared" si="38"/>
        <v>S56</v>
      </c>
      <c r="N890" s="96" t="str">
        <f>VLOOKUP(M890,CAC!$A$2:$B$198,2,FALSE)</f>
        <v>PPOSG</v>
      </c>
    </row>
    <row r="891" spans="5:14" x14ac:dyDescent="0.25">
      <c r="E891" s="136">
        <v>201601</v>
      </c>
      <c r="F891" s="138" t="s">
        <v>746</v>
      </c>
      <c r="G891" s="138" t="s">
        <v>361</v>
      </c>
      <c r="H891" s="138" t="s">
        <v>344</v>
      </c>
      <c r="I891" s="139">
        <v>455</v>
      </c>
      <c r="K891" s="96" t="str">
        <f t="shared" si="37"/>
        <v>0016-1003-0012</v>
      </c>
      <c r="L891" s="96" t="str">
        <f>VLOOKUP(K891,COA!$A$3:$B$337,2,FALSE)</f>
        <v>R18</v>
      </c>
      <c r="M891" s="96" t="str">
        <f t="shared" si="38"/>
        <v>R18</v>
      </c>
      <c r="N891" s="96" t="str">
        <f>VLOOKUP(M891,CAC!$A$2:$B$198,2,FALSE)</f>
        <v>HMOMG</v>
      </c>
    </row>
    <row r="892" spans="5:14" x14ac:dyDescent="0.25">
      <c r="E892" s="136">
        <v>201602</v>
      </c>
      <c r="F892" s="138" t="s">
        <v>344</v>
      </c>
      <c r="G892" s="138" t="s">
        <v>354</v>
      </c>
      <c r="H892" s="138" t="s">
        <v>344</v>
      </c>
      <c r="I892" s="139">
        <v>272</v>
      </c>
      <c r="K892" s="96" t="str">
        <f t="shared" si="37"/>
        <v>0012-1013-0012</v>
      </c>
      <c r="L892" s="96" t="str">
        <f>VLOOKUP(K892,COA!$A$3:$B$337,2,FALSE)</f>
        <v>N14</v>
      </c>
      <c r="M892" s="96" t="str">
        <f t="shared" si="38"/>
        <v>N14</v>
      </c>
      <c r="N892" s="96" t="str">
        <f>VLOOKUP(M892,CAC!$A$2:$B$198,2,FALSE)</f>
        <v>HMOPMR</v>
      </c>
    </row>
    <row r="893" spans="5:14" x14ac:dyDescent="0.25">
      <c r="E893" s="136">
        <v>201512</v>
      </c>
      <c r="F893" s="138" t="s">
        <v>563</v>
      </c>
      <c r="G893" s="138" t="s">
        <v>350</v>
      </c>
      <c r="H893" s="138" t="s">
        <v>344</v>
      </c>
      <c r="I893" s="139">
        <v>0</v>
      </c>
      <c r="K893" s="96" t="str">
        <f t="shared" si="37"/>
        <v>0003-1012-0012</v>
      </c>
      <c r="L893" s="96" t="str">
        <f>VLOOKUP(K893,COA!$A$3:$B$337,2,FALSE)</f>
        <v>K51</v>
      </c>
      <c r="M893" s="96" t="str">
        <f t="shared" si="38"/>
        <v>K51</v>
      </c>
      <c r="N893" s="96" t="str">
        <f>VLOOKUP(M893,CAC!$A$2:$B$198,2,FALSE)</f>
        <v>PPOPMR</v>
      </c>
    </row>
    <row r="894" spans="5:14" x14ac:dyDescent="0.25">
      <c r="E894" s="136">
        <v>201607</v>
      </c>
      <c r="F894" s="138" t="s">
        <v>342</v>
      </c>
      <c r="G894" s="138" t="s">
        <v>343</v>
      </c>
      <c r="H894" s="138" t="s">
        <v>344</v>
      </c>
      <c r="I894" s="139">
        <v>6094.98</v>
      </c>
      <c r="K894" s="96" t="str">
        <f t="shared" si="37"/>
        <v>0031-1000-0012</v>
      </c>
      <c r="L894" s="96" t="str">
        <f>VLOOKUP(K894,COA!$A$3:$B$337,2,FALSE)</f>
        <v>F27</v>
      </c>
      <c r="M894" s="96" t="str">
        <f t="shared" si="38"/>
        <v>F27</v>
      </c>
      <c r="N894" s="96" t="str">
        <f>VLOOKUP(M894,CAC!$A$2:$B$198,2,FALSE)</f>
        <v>HMOFEP</v>
      </c>
    </row>
    <row r="895" spans="5:14" x14ac:dyDescent="0.25">
      <c r="E895" s="136">
        <v>201610</v>
      </c>
      <c r="F895" s="138" t="s">
        <v>563</v>
      </c>
      <c r="G895" s="138" t="s">
        <v>365</v>
      </c>
      <c r="H895" s="138" t="s">
        <v>344</v>
      </c>
      <c r="I895" s="139">
        <v>0</v>
      </c>
      <c r="K895" s="96" t="str">
        <f t="shared" si="37"/>
        <v>0003-1001-0012</v>
      </c>
      <c r="L895" s="96" t="str">
        <f>VLOOKUP(K895,COA!$A$3:$B$337,2,FALSE)</f>
        <v>V51</v>
      </c>
      <c r="M895" s="96" t="str">
        <f t="shared" si="38"/>
        <v>V51</v>
      </c>
      <c r="N895" s="96" t="str">
        <f>VLOOKUP(M895,CAC!$A$2:$B$198,2,FALSE)</f>
        <v>PPOIFP</v>
      </c>
    </row>
    <row r="896" spans="5:14" x14ac:dyDescent="0.25">
      <c r="E896" s="136">
        <v>201705</v>
      </c>
      <c r="F896" s="138" t="s">
        <v>563</v>
      </c>
      <c r="G896" s="138" t="s">
        <v>352</v>
      </c>
      <c r="H896" s="138" t="s">
        <v>344</v>
      </c>
      <c r="I896" s="139">
        <v>0</v>
      </c>
      <c r="K896" s="96" t="str">
        <f t="shared" si="37"/>
        <v>0003-1004-0012</v>
      </c>
      <c r="L896" s="96" t="str">
        <f>VLOOKUP(K896,COA!$A$3:$B$337,2,FALSE)</f>
        <v>L51</v>
      </c>
      <c r="M896" s="96" t="str">
        <f t="shared" si="38"/>
        <v>L51</v>
      </c>
      <c r="N896" s="96" t="str">
        <f>VLOOKUP(M896,CAC!$A$2:$B$198,2,FALSE)</f>
        <v>PPOLG</v>
      </c>
    </row>
    <row r="897" spans="5:14" x14ac:dyDescent="0.25">
      <c r="E897" s="136">
        <v>201701</v>
      </c>
      <c r="F897" s="138" t="s">
        <v>563</v>
      </c>
      <c r="G897" s="138" t="s">
        <v>350</v>
      </c>
      <c r="H897" s="138" t="s">
        <v>626</v>
      </c>
      <c r="I897" s="139">
        <v>0</v>
      </c>
      <c r="K897" s="96" t="str">
        <f t="shared" si="37"/>
        <v>0003-1012-0057</v>
      </c>
      <c r="L897" s="96" t="str">
        <f>VLOOKUP(K897,COA!$A$3:$B$337,2,FALSE)</f>
        <v>K51</v>
      </c>
      <c r="M897" s="96" t="str">
        <f t="shared" si="38"/>
        <v>K51</v>
      </c>
      <c r="N897" s="96" t="str">
        <f>VLOOKUP(M897,CAC!$A$2:$B$198,2,FALSE)</f>
        <v>PPOPMR</v>
      </c>
    </row>
    <row r="898" spans="5:14" x14ac:dyDescent="0.25">
      <c r="E898" s="136">
        <v>201606</v>
      </c>
      <c r="F898" s="138" t="s">
        <v>563</v>
      </c>
      <c r="G898" s="138" t="s">
        <v>365</v>
      </c>
      <c r="H898" s="138" t="s">
        <v>366</v>
      </c>
      <c r="I898" s="139">
        <v>0</v>
      </c>
      <c r="K898" s="96" t="str">
        <f t="shared" si="37"/>
        <v>0003-1001-0021</v>
      </c>
      <c r="L898" s="96" t="str">
        <f>VLOOKUP(K898,COA!$A$3:$B$337,2,FALSE)</f>
        <v>V53</v>
      </c>
      <c r="M898" s="96" t="str">
        <f t="shared" si="38"/>
        <v>V53</v>
      </c>
      <c r="N898" s="96" t="str">
        <f>VLOOKUP(M898,CAC!$A$2:$B$198,2,FALSE)</f>
        <v>PPOIFP</v>
      </c>
    </row>
    <row r="899" spans="5:14" x14ac:dyDescent="0.25">
      <c r="E899" s="136">
        <v>201604</v>
      </c>
      <c r="F899" s="138" t="s">
        <v>413</v>
      </c>
      <c r="G899" s="138" t="s">
        <v>359</v>
      </c>
      <c r="H899" s="138" t="s">
        <v>344</v>
      </c>
      <c r="I899" s="139">
        <v>0</v>
      </c>
      <c r="K899" s="96" t="str">
        <f t="shared" ref="K899:K962" si="39">F899&amp;"-"&amp;G899&amp;"-"&amp;H899</f>
        <v>0008-1005-0012</v>
      </c>
      <c r="L899" s="96" t="str">
        <f>VLOOKUP(K899,COA!$A$3:$B$337,2,FALSE)</f>
        <v>C73</v>
      </c>
      <c r="M899" s="96" t="str">
        <f t="shared" si="38"/>
        <v>C73</v>
      </c>
      <c r="N899" s="96" t="str">
        <f>VLOOKUP(M899,CAC!$A$2:$B$198,2,FALSE)</f>
        <v>DOILG</v>
      </c>
    </row>
    <row r="900" spans="5:14" x14ac:dyDescent="0.25">
      <c r="E900" s="136">
        <v>201503</v>
      </c>
      <c r="F900" s="138" t="s">
        <v>563</v>
      </c>
      <c r="G900" s="138" t="s">
        <v>350</v>
      </c>
      <c r="H900" s="138" t="s">
        <v>344</v>
      </c>
      <c r="I900" s="139">
        <v>0</v>
      </c>
      <c r="K900" s="96" t="str">
        <f t="shared" si="39"/>
        <v>0003-1012-0012</v>
      </c>
      <c r="L900" s="96" t="str">
        <f>VLOOKUP(K900,COA!$A$3:$B$337,2,FALSE)</f>
        <v>K51</v>
      </c>
      <c r="M900" s="96" t="str">
        <f t="shared" ref="M900:M963" si="40">IF(ISNA(L900),"XXX",L900)</f>
        <v>K51</v>
      </c>
      <c r="N900" s="96" t="str">
        <f>VLOOKUP(M900,CAC!$A$2:$B$198,2,FALSE)</f>
        <v>PPOPMR</v>
      </c>
    </row>
    <row r="901" spans="5:14" x14ac:dyDescent="0.25">
      <c r="E901" s="136">
        <v>201702</v>
      </c>
      <c r="F901" s="138" t="s">
        <v>563</v>
      </c>
      <c r="G901" s="138" t="s">
        <v>348</v>
      </c>
      <c r="H901" s="138" t="s">
        <v>353</v>
      </c>
      <c r="I901" s="139">
        <v>0</v>
      </c>
      <c r="K901" s="96" t="str">
        <f t="shared" si="39"/>
        <v>0003-1010-0023</v>
      </c>
      <c r="L901" s="96" t="str">
        <f>VLOOKUP(K901,COA!$A$3:$B$337,2,FALSE)</f>
        <v>S54</v>
      </c>
      <c r="M901" s="96" t="str">
        <f t="shared" si="40"/>
        <v>S54</v>
      </c>
      <c r="N901" s="96" t="str">
        <f>VLOOKUP(M901,CAC!$A$2:$B$198,2,FALSE)</f>
        <v>PPOSG</v>
      </c>
    </row>
    <row r="902" spans="5:14" x14ac:dyDescent="0.25">
      <c r="E902" s="136">
        <v>201603</v>
      </c>
      <c r="F902" s="138" t="s">
        <v>345</v>
      </c>
      <c r="G902" s="138" t="s">
        <v>362</v>
      </c>
      <c r="H902" s="138" t="s">
        <v>363</v>
      </c>
      <c r="I902" s="139">
        <v>37940</v>
      </c>
      <c r="K902" s="96" t="str">
        <f t="shared" si="39"/>
        <v>0011-1008-0054</v>
      </c>
      <c r="L902" s="96" t="str">
        <f>VLOOKUP(K902,COA!$A$3:$B$337,2,FALSE)</f>
        <v>P23</v>
      </c>
      <c r="M902" s="96" t="str">
        <f t="shared" si="40"/>
        <v>P23</v>
      </c>
      <c r="N902" s="96" t="str">
        <f>VLOOKUP(M902,CAC!$A$2:$B$198,2,FALSE)</f>
        <v>HMOPERN</v>
      </c>
    </row>
    <row r="903" spans="5:14" x14ac:dyDescent="0.25">
      <c r="E903" s="136">
        <v>201704</v>
      </c>
      <c r="F903" s="138" t="s">
        <v>345</v>
      </c>
      <c r="G903" s="138" t="s">
        <v>356</v>
      </c>
      <c r="H903" s="138" t="s">
        <v>344</v>
      </c>
      <c r="I903" s="139">
        <v>16087.14</v>
      </c>
      <c r="K903" s="96" t="str">
        <f t="shared" si="39"/>
        <v>0011-1002-0012</v>
      </c>
      <c r="L903" s="96" t="str">
        <f>VLOOKUP(K903,COA!$A$3:$B$337,2,FALSE)</f>
        <v>F20</v>
      </c>
      <c r="M903" s="96" t="str">
        <f t="shared" si="40"/>
        <v>F20</v>
      </c>
      <c r="N903" s="96" t="str">
        <f>VLOOKUP(M903,CAC!$A$2:$B$198,2,FALSE)</f>
        <v>HMOPMR</v>
      </c>
    </row>
    <row r="904" spans="5:14" x14ac:dyDescent="0.25">
      <c r="E904" s="136">
        <v>201604</v>
      </c>
      <c r="F904" s="138" t="s">
        <v>563</v>
      </c>
      <c r="G904" s="138" t="s">
        <v>351</v>
      </c>
      <c r="H904" s="138" t="s">
        <v>349</v>
      </c>
      <c r="I904" s="139">
        <v>0</v>
      </c>
      <c r="K904" s="96" t="str">
        <f t="shared" si="39"/>
        <v>0003-0000-0017</v>
      </c>
      <c r="L904" s="96" t="e">
        <f>VLOOKUP(K904,COA!$A$3:$B$337,2,FALSE)</f>
        <v>#N/A</v>
      </c>
      <c r="M904" s="96" t="str">
        <f t="shared" si="40"/>
        <v>XXX</v>
      </c>
      <c r="N904" s="96" t="str">
        <f>VLOOKUP(M904,CAC!$A$2:$B$198,2,FALSE)</f>
        <v>XXX</v>
      </c>
    </row>
    <row r="905" spans="5:14" x14ac:dyDescent="0.25">
      <c r="E905" s="136">
        <v>201608</v>
      </c>
      <c r="F905" s="138" t="s">
        <v>563</v>
      </c>
      <c r="G905" s="138" t="s">
        <v>352</v>
      </c>
      <c r="H905" s="138" t="s">
        <v>344</v>
      </c>
      <c r="I905" s="139">
        <v>0</v>
      </c>
      <c r="K905" s="96" t="str">
        <f t="shared" si="39"/>
        <v>0003-1004-0012</v>
      </c>
      <c r="L905" s="96" t="str">
        <f>VLOOKUP(K905,COA!$A$3:$B$337,2,FALSE)</f>
        <v>L51</v>
      </c>
      <c r="M905" s="96" t="str">
        <f t="shared" si="40"/>
        <v>L51</v>
      </c>
      <c r="N905" s="96" t="str">
        <f>VLOOKUP(M905,CAC!$A$2:$B$198,2,FALSE)</f>
        <v>PPOLG</v>
      </c>
    </row>
    <row r="906" spans="5:14" x14ac:dyDescent="0.25">
      <c r="E906" s="136">
        <v>201505</v>
      </c>
      <c r="F906" s="138" t="s">
        <v>345</v>
      </c>
      <c r="G906" s="138" t="s">
        <v>352</v>
      </c>
      <c r="H906" s="138" t="s">
        <v>344</v>
      </c>
      <c r="I906" s="139">
        <v>6251.67</v>
      </c>
      <c r="K906" s="96" t="str">
        <f t="shared" si="39"/>
        <v>0011-1004-0012</v>
      </c>
      <c r="L906" s="96" t="str">
        <f>VLOOKUP(K906,COA!$A$3:$B$337,2,FALSE)</f>
        <v>L11</v>
      </c>
      <c r="M906" s="96" t="str">
        <f t="shared" si="40"/>
        <v>L11</v>
      </c>
      <c r="N906" s="96" t="str">
        <f>VLOOKUP(M906,CAC!$A$2:$B$198,2,FALSE)</f>
        <v>HMOLG</v>
      </c>
    </row>
    <row r="907" spans="5:14" x14ac:dyDescent="0.25">
      <c r="E907" s="136">
        <v>201604</v>
      </c>
      <c r="F907" s="138" t="s">
        <v>563</v>
      </c>
      <c r="G907" s="138" t="s">
        <v>361</v>
      </c>
      <c r="H907" s="138" t="s">
        <v>344</v>
      </c>
      <c r="I907" s="139">
        <v>0</v>
      </c>
      <c r="K907" s="96" t="str">
        <f t="shared" si="39"/>
        <v>0003-1003-0012</v>
      </c>
      <c r="L907" s="96" t="str">
        <f>VLOOKUP(K907,COA!$A$3:$B$337,2,FALSE)</f>
        <v>N61</v>
      </c>
      <c r="M907" s="96" t="str">
        <f t="shared" si="40"/>
        <v>N61</v>
      </c>
      <c r="N907" s="96" t="str">
        <f>VLOOKUP(M907,CAC!$A$2:$B$198,2,FALSE)</f>
        <v>PPOPMR</v>
      </c>
    </row>
    <row r="908" spans="5:14" x14ac:dyDescent="0.25">
      <c r="E908" s="136">
        <v>201709</v>
      </c>
      <c r="F908" s="138" t="s">
        <v>413</v>
      </c>
      <c r="G908" s="138" t="s">
        <v>352</v>
      </c>
      <c r="H908" s="138" t="s">
        <v>344</v>
      </c>
      <c r="I908" s="139">
        <v>0</v>
      </c>
      <c r="K908" s="96" t="str">
        <f t="shared" si="39"/>
        <v>0008-1004-0012</v>
      </c>
      <c r="L908" s="96" t="str">
        <f>VLOOKUP(K908,COA!$A$3:$B$337,2,FALSE)</f>
        <v>C93</v>
      </c>
      <c r="M908" s="96" t="str">
        <f t="shared" si="40"/>
        <v>C93</v>
      </c>
      <c r="N908" s="96" t="str">
        <f>VLOOKUP(M908,CAC!$A$2:$B$198,2,FALSE)</f>
        <v>DOILG</v>
      </c>
    </row>
    <row r="909" spans="5:14" x14ac:dyDescent="0.25">
      <c r="E909" s="136">
        <v>201603</v>
      </c>
      <c r="F909" s="138" t="s">
        <v>413</v>
      </c>
      <c r="G909" s="138" t="s">
        <v>354</v>
      </c>
      <c r="H909" s="138" t="s">
        <v>344</v>
      </c>
      <c r="I909" s="139">
        <v>0</v>
      </c>
      <c r="K909" s="96" t="str">
        <f t="shared" si="39"/>
        <v>0008-1013-0012</v>
      </c>
      <c r="L909" s="96" t="str">
        <f>VLOOKUP(K909,COA!$A$3:$B$337,2,FALSE)</f>
        <v>C76</v>
      </c>
      <c r="M909" s="96" t="str">
        <f t="shared" si="40"/>
        <v>C76</v>
      </c>
      <c r="N909" s="96" t="str">
        <f>VLOOKUP(M909,CAC!$A$2:$B$198,2,FALSE)</f>
        <v>DOILG</v>
      </c>
    </row>
    <row r="910" spans="5:14" x14ac:dyDescent="0.25">
      <c r="E910" s="136">
        <v>201609</v>
      </c>
      <c r="F910" s="138" t="s">
        <v>344</v>
      </c>
      <c r="G910" s="138" t="s">
        <v>355</v>
      </c>
      <c r="H910" s="138" t="s">
        <v>344</v>
      </c>
      <c r="I910" s="139">
        <v>84</v>
      </c>
      <c r="K910" s="96" t="str">
        <f t="shared" si="39"/>
        <v>0012-1006-0012</v>
      </c>
      <c r="L910" s="96" t="str">
        <f>VLOOKUP(K910,COA!$A$3:$B$337,2,FALSE)</f>
        <v>L16</v>
      </c>
      <c r="M910" s="96" t="str">
        <f t="shared" si="40"/>
        <v>L16</v>
      </c>
      <c r="N910" s="96" t="str">
        <f>VLOOKUP(M910,CAC!$A$2:$B$198,2,FALSE)</f>
        <v>HMOLG</v>
      </c>
    </row>
    <row r="911" spans="5:14" x14ac:dyDescent="0.25">
      <c r="E911" s="136">
        <v>201502</v>
      </c>
      <c r="F911" s="138" t="s">
        <v>563</v>
      </c>
      <c r="G911" s="138" t="s">
        <v>348</v>
      </c>
      <c r="H911" s="138" t="s">
        <v>349</v>
      </c>
      <c r="I911" s="139">
        <v>0</v>
      </c>
      <c r="K911" s="96" t="str">
        <f t="shared" si="39"/>
        <v>0003-1010-0017</v>
      </c>
      <c r="L911" s="96" t="str">
        <f>VLOOKUP(K911,COA!$A$3:$B$337,2,FALSE)</f>
        <v>S51</v>
      </c>
      <c r="M911" s="96" t="str">
        <f t="shared" si="40"/>
        <v>S51</v>
      </c>
      <c r="N911" s="96" t="str">
        <f>VLOOKUP(M911,CAC!$A$2:$B$198,2,FALSE)</f>
        <v>PPOSG</v>
      </c>
    </row>
    <row r="912" spans="5:14" x14ac:dyDescent="0.25">
      <c r="E912" s="136">
        <v>201607</v>
      </c>
      <c r="F912" s="138" t="s">
        <v>563</v>
      </c>
      <c r="G912" s="138" t="s">
        <v>365</v>
      </c>
      <c r="H912" s="138" t="s">
        <v>367</v>
      </c>
      <c r="I912" s="139">
        <v>0</v>
      </c>
      <c r="K912" s="96" t="str">
        <f t="shared" si="39"/>
        <v>0003-1001-0022</v>
      </c>
      <c r="L912" s="96" t="str">
        <f>VLOOKUP(K912,COA!$A$3:$B$337,2,FALSE)</f>
        <v>V54</v>
      </c>
      <c r="M912" s="96" t="str">
        <f t="shared" si="40"/>
        <v>V54</v>
      </c>
      <c r="N912" s="96" t="str">
        <f>VLOOKUP(M912,CAC!$A$2:$B$198,2,FALSE)</f>
        <v>PPOIFP</v>
      </c>
    </row>
    <row r="913" spans="5:14" x14ac:dyDescent="0.25">
      <c r="E913" s="136">
        <v>201509</v>
      </c>
      <c r="F913" s="138" t="s">
        <v>345</v>
      </c>
      <c r="G913" s="138" t="s">
        <v>350</v>
      </c>
      <c r="H913" s="138" t="s">
        <v>344</v>
      </c>
      <c r="I913" s="139">
        <v>10392.049999999999</v>
      </c>
      <c r="K913" s="96" t="str">
        <f t="shared" si="39"/>
        <v>0011-1012-0012</v>
      </c>
      <c r="L913" s="96" t="str">
        <f>VLOOKUP(K913,COA!$A$3:$B$337,2,FALSE)</f>
        <v>K11</v>
      </c>
      <c r="M913" s="96" t="str">
        <f t="shared" si="40"/>
        <v>K11</v>
      </c>
      <c r="N913" s="96" t="str">
        <f>VLOOKUP(M913,CAC!$A$2:$B$198,2,FALSE)</f>
        <v>HMOPMR</v>
      </c>
    </row>
    <row r="914" spans="5:14" x14ac:dyDescent="0.25">
      <c r="E914" s="136">
        <v>201708</v>
      </c>
      <c r="F914" s="138" t="s">
        <v>413</v>
      </c>
      <c r="G914" s="138" t="s">
        <v>359</v>
      </c>
      <c r="H914" s="138" t="s">
        <v>344</v>
      </c>
      <c r="I914" s="139">
        <v>0</v>
      </c>
      <c r="K914" s="96" t="str">
        <f t="shared" si="39"/>
        <v>0008-1005-0012</v>
      </c>
      <c r="L914" s="96" t="str">
        <f>VLOOKUP(K914,COA!$A$3:$B$337,2,FALSE)</f>
        <v>C73</v>
      </c>
      <c r="M914" s="96" t="str">
        <f t="shared" si="40"/>
        <v>C73</v>
      </c>
      <c r="N914" s="96" t="str">
        <f>VLOOKUP(M914,CAC!$A$2:$B$198,2,FALSE)</f>
        <v>DOILG</v>
      </c>
    </row>
    <row r="915" spans="5:14" x14ac:dyDescent="0.25">
      <c r="E915" s="136">
        <v>201705</v>
      </c>
      <c r="F915" s="138" t="s">
        <v>506</v>
      </c>
      <c r="G915" s="138" t="s">
        <v>359</v>
      </c>
      <c r="H915" s="138" t="s">
        <v>592</v>
      </c>
      <c r="I915" s="139">
        <v>0</v>
      </c>
      <c r="K915" s="96" t="str">
        <f t="shared" si="39"/>
        <v>0013-1005-0035</v>
      </c>
      <c r="L915" s="96" t="str">
        <f>VLOOKUP(K915,COA!$A$3:$B$337,2,FALSE)</f>
        <v>N41</v>
      </c>
      <c r="M915" s="96" t="str">
        <f t="shared" si="40"/>
        <v>N41</v>
      </c>
      <c r="N915" s="96" t="e">
        <f>VLOOKUP(M915,CAC!$A$2:$B$198,2,FALSE)</f>
        <v>#N/A</v>
      </c>
    </row>
    <row r="916" spans="5:14" x14ac:dyDescent="0.25">
      <c r="E916" s="136">
        <v>201609</v>
      </c>
      <c r="F916" s="138" t="s">
        <v>506</v>
      </c>
      <c r="G916" s="138" t="s">
        <v>354</v>
      </c>
      <c r="H916" s="138" t="s">
        <v>592</v>
      </c>
      <c r="I916" s="139">
        <v>0</v>
      </c>
      <c r="K916" s="96" t="str">
        <f t="shared" si="39"/>
        <v>0013-1013-0035</v>
      </c>
      <c r="L916" s="96" t="str">
        <f>VLOOKUP(K916,COA!$A$3:$B$337,2,FALSE)</f>
        <v>N44</v>
      </c>
      <c r="M916" s="96" t="str">
        <f t="shared" si="40"/>
        <v>N44</v>
      </c>
      <c r="N916" s="96" t="e">
        <f>VLOOKUP(M916,CAC!$A$2:$B$198,2,FALSE)</f>
        <v>#N/A</v>
      </c>
    </row>
    <row r="917" spans="5:14" x14ac:dyDescent="0.25">
      <c r="E917" s="136">
        <v>201706</v>
      </c>
      <c r="F917" s="138" t="s">
        <v>345</v>
      </c>
      <c r="G917" s="138" t="s">
        <v>352</v>
      </c>
      <c r="H917" s="138" t="s">
        <v>357</v>
      </c>
      <c r="I917" s="139">
        <v>1958</v>
      </c>
      <c r="K917" s="96" t="str">
        <f t="shared" si="39"/>
        <v>0011-1004-0038</v>
      </c>
      <c r="L917" s="96" t="str">
        <f>VLOOKUP(K917,COA!$A$3:$B$337,2,FALSE)</f>
        <v>L14</v>
      </c>
      <c r="M917" s="96" t="str">
        <f t="shared" si="40"/>
        <v>L14</v>
      </c>
      <c r="N917" s="96" t="str">
        <f>VLOOKUP(M917,CAC!$A$2:$B$198,2,FALSE)</f>
        <v>HMOLG</v>
      </c>
    </row>
    <row r="918" spans="5:14" x14ac:dyDescent="0.25">
      <c r="E918" s="136">
        <v>201709</v>
      </c>
      <c r="F918" s="138" t="s">
        <v>563</v>
      </c>
      <c r="G918" s="138" t="s">
        <v>361</v>
      </c>
      <c r="H918" s="138" t="s">
        <v>344</v>
      </c>
      <c r="I918" s="139">
        <v>0</v>
      </c>
      <c r="K918" s="96" t="str">
        <f t="shared" si="39"/>
        <v>0003-1003-0012</v>
      </c>
      <c r="L918" s="96" t="str">
        <f>VLOOKUP(K918,COA!$A$3:$B$337,2,FALSE)</f>
        <v>N61</v>
      </c>
      <c r="M918" s="96" t="str">
        <f t="shared" si="40"/>
        <v>N61</v>
      </c>
      <c r="N918" s="96" t="str">
        <f>VLOOKUP(M918,CAC!$A$2:$B$198,2,FALSE)</f>
        <v>PPOPMR</v>
      </c>
    </row>
    <row r="919" spans="5:14" x14ac:dyDescent="0.25">
      <c r="E919" s="136">
        <v>201701</v>
      </c>
      <c r="F919" s="138" t="s">
        <v>345</v>
      </c>
      <c r="G919" s="138" t="s">
        <v>350</v>
      </c>
      <c r="H919" s="138" t="s">
        <v>357</v>
      </c>
      <c r="I919" s="139">
        <v>1230</v>
      </c>
      <c r="K919" s="96" t="str">
        <f t="shared" si="39"/>
        <v>0011-1012-0038</v>
      </c>
      <c r="L919" s="96" t="str">
        <f>VLOOKUP(K919,COA!$A$3:$B$337,2,FALSE)</f>
        <v>K14</v>
      </c>
      <c r="M919" s="96" t="str">
        <f t="shared" si="40"/>
        <v>K14</v>
      </c>
      <c r="N919" s="96" t="str">
        <f>VLOOKUP(M919,CAC!$A$2:$B$198,2,FALSE)</f>
        <v>HMOPMR</v>
      </c>
    </row>
    <row r="920" spans="5:14" x14ac:dyDescent="0.25">
      <c r="E920" s="136">
        <v>201604</v>
      </c>
      <c r="F920" s="138" t="s">
        <v>344</v>
      </c>
      <c r="G920" s="138" t="s">
        <v>352</v>
      </c>
      <c r="H920" s="138" t="s">
        <v>360</v>
      </c>
      <c r="I920" s="139">
        <v>227</v>
      </c>
      <c r="K920" s="96" t="str">
        <f t="shared" si="39"/>
        <v>0012-1004-0048</v>
      </c>
      <c r="L920" s="96" t="str">
        <f>VLOOKUP(K920,COA!$A$3:$B$337,2,FALSE)</f>
        <v>L22</v>
      </c>
      <c r="M920" s="96" t="str">
        <f t="shared" si="40"/>
        <v>L22</v>
      </c>
      <c r="N920" s="96" t="str">
        <f>VLOOKUP(M920,CAC!$A$2:$B$198,2,FALSE)</f>
        <v>HMFLEX</v>
      </c>
    </row>
    <row r="921" spans="5:14" x14ac:dyDescent="0.25">
      <c r="E921" s="136">
        <v>201612</v>
      </c>
      <c r="F921" s="138" t="s">
        <v>345</v>
      </c>
      <c r="G921" s="138" t="s">
        <v>348</v>
      </c>
      <c r="H921" s="138" t="s">
        <v>358</v>
      </c>
      <c r="I921" s="139">
        <v>86</v>
      </c>
      <c r="K921" s="96" t="str">
        <f t="shared" si="39"/>
        <v>0011-1010-0024</v>
      </c>
      <c r="L921" s="96" t="str">
        <f>VLOOKUP(K921,COA!$A$3:$B$337,2,FALSE)</f>
        <v>S14</v>
      </c>
      <c r="M921" s="96" t="str">
        <f t="shared" si="40"/>
        <v>S14</v>
      </c>
      <c r="N921" s="96" t="str">
        <f>VLOOKUP(M921,CAC!$A$2:$B$198,2,FALSE)</f>
        <v>HMOSG</v>
      </c>
    </row>
    <row r="922" spans="5:14" x14ac:dyDescent="0.25">
      <c r="E922" s="136">
        <v>201611</v>
      </c>
      <c r="F922" s="138" t="s">
        <v>563</v>
      </c>
      <c r="G922" s="138" t="s">
        <v>369</v>
      </c>
      <c r="H922" s="138" t="s">
        <v>345</v>
      </c>
      <c r="I922" s="139">
        <v>0</v>
      </c>
      <c r="K922" s="96" t="str">
        <f t="shared" si="39"/>
        <v>0003-1009-0011</v>
      </c>
      <c r="L922" s="96" t="str">
        <f>VLOOKUP(K922,COA!$A$3:$B$337,2,FALSE)</f>
        <v>V91</v>
      </c>
      <c r="M922" s="96" t="str">
        <f t="shared" si="40"/>
        <v>V91</v>
      </c>
      <c r="N922" s="96" t="str">
        <f>VLOOKUP(M922,CAC!$A$2:$B$198,2,FALSE)</f>
        <v>PPOMM</v>
      </c>
    </row>
    <row r="923" spans="5:14" x14ac:dyDescent="0.25">
      <c r="E923" s="136">
        <v>201706</v>
      </c>
      <c r="F923" s="138" t="s">
        <v>345</v>
      </c>
      <c r="G923" s="138" t="s">
        <v>355</v>
      </c>
      <c r="H923" s="138" t="s">
        <v>344</v>
      </c>
      <c r="I923" s="139">
        <v>16725.13</v>
      </c>
      <c r="K923" s="96" t="str">
        <f t="shared" si="39"/>
        <v>0011-1006-0012</v>
      </c>
      <c r="L923" s="96" t="str">
        <f>VLOOKUP(K923,COA!$A$3:$B$337,2,FALSE)</f>
        <v>L13</v>
      </c>
      <c r="M923" s="96" t="str">
        <f t="shared" si="40"/>
        <v>L13</v>
      </c>
      <c r="N923" s="96" t="str">
        <f>VLOOKUP(M923,CAC!$A$2:$B$198,2,FALSE)</f>
        <v>HMOLG</v>
      </c>
    </row>
    <row r="924" spans="5:14" x14ac:dyDescent="0.25">
      <c r="E924" s="136">
        <v>201602</v>
      </c>
      <c r="F924" s="138" t="s">
        <v>349</v>
      </c>
      <c r="G924" s="138" t="s">
        <v>369</v>
      </c>
      <c r="H924" s="138" t="s">
        <v>764</v>
      </c>
      <c r="I924" s="139">
        <v>3</v>
      </c>
      <c r="K924" s="96" t="str">
        <f t="shared" si="39"/>
        <v>0017-1009-0064</v>
      </c>
      <c r="L924" s="96" t="str">
        <f>VLOOKUP(K924,COA!$A$3:$B$337,2,FALSE)</f>
        <v>R15</v>
      </c>
      <c r="M924" s="96" t="str">
        <f t="shared" si="40"/>
        <v>R15</v>
      </c>
      <c r="N924" s="96" t="str">
        <f>VLOOKUP(M924,CAC!$A$2:$B$198,2,FALSE)</f>
        <v>HMOMM</v>
      </c>
    </row>
    <row r="925" spans="5:14" x14ac:dyDescent="0.25">
      <c r="E925" s="136">
        <v>201608</v>
      </c>
      <c r="F925" s="138" t="s">
        <v>344</v>
      </c>
      <c r="G925" s="138" t="s">
        <v>350</v>
      </c>
      <c r="H925" s="138" t="s">
        <v>344</v>
      </c>
      <c r="I925" s="139">
        <v>104</v>
      </c>
      <c r="K925" s="96" t="str">
        <f t="shared" si="39"/>
        <v>0012-1012-0012</v>
      </c>
      <c r="L925" s="96" t="str">
        <f>VLOOKUP(K925,COA!$A$3:$B$337,2,FALSE)</f>
        <v>K12</v>
      </c>
      <c r="M925" s="96" t="str">
        <f t="shared" si="40"/>
        <v>K12</v>
      </c>
      <c r="N925" s="96" t="str">
        <f>VLOOKUP(M925,CAC!$A$2:$B$198,2,FALSE)</f>
        <v>HMOPMR</v>
      </c>
    </row>
    <row r="926" spans="5:14" x14ac:dyDescent="0.25">
      <c r="E926" s="136">
        <v>201608</v>
      </c>
      <c r="F926" s="138" t="s">
        <v>552</v>
      </c>
      <c r="G926" s="138" t="s">
        <v>356</v>
      </c>
      <c r="H926" s="138" t="s">
        <v>672</v>
      </c>
      <c r="I926" s="139">
        <v>0</v>
      </c>
      <c r="K926" s="96" t="str">
        <f t="shared" si="39"/>
        <v>0027-1002-0058</v>
      </c>
      <c r="L926" s="96" t="str">
        <f>VLOOKUP(K926,COA!$A$3:$B$337,2,FALSE)</f>
        <v>L45</v>
      </c>
      <c r="M926" s="96" t="str">
        <f t="shared" si="40"/>
        <v>L45</v>
      </c>
      <c r="N926" s="96" t="e">
        <f>VLOOKUP(M926,CAC!$A$2:$B$198,2,FALSE)</f>
        <v>#N/A</v>
      </c>
    </row>
    <row r="927" spans="5:14" x14ac:dyDescent="0.25">
      <c r="E927" s="136">
        <v>201612</v>
      </c>
      <c r="F927" s="138" t="s">
        <v>345</v>
      </c>
      <c r="G927" s="138" t="s">
        <v>362</v>
      </c>
      <c r="H927" s="138" t="s">
        <v>363</v>
      </c>
      <c r="I927" s="139">
        <v>35378.519999999997</v>
      </c>
      <c r="K927" s="96" t="str">
        <f t="shared" si="39"/>
        <v>0011-1008-0054</v>
      </c>
      <c r="L927" s="96" t="str">
        <f>VLOOKUP(K927,COA!$A$3:$B$337,2,FALSE)</f>
        <v>P23</v>
      </c>
      <c r="M927" s="96" t="str">
        <f t="shared" si="40"/>
        <v>P23</v>
      </c>
      <c r="N927" s="96" t="str">
        <f>VLOOKUP(M927,CAC!$A$2:$B$198,2,FALSE)</f>
        <v>HMOPERN</v>
      </c>
    </row>
    <row r="928" spans="5:14" x14ac:dyDescent="0.25">
      <c r="E928" s="136">
        <v>201702</v>
      </c>
      <c r="F928" s="138" t="s">
        <v>349</v>
      </c>
      <c r="G928" s="138" t="s">
        <v>369</v>
      </c>
      <c r="H928" s="138" t="s">
        <v>344</v>
      </c>
      <c r="I928" s="139">
        <v>42874</v>
      </c>
      <c r="K928" s="96" t="str">
        <f t="shared" si="39"/>
        <v>0017-1009-0012</v>
      </c>
      <c r="L928" s="96" t="str">
        <f>VLOOKUP(K928,COA!$A$3:$B$337,2,FALSE)</f>
        <v>R12</v>
      </c>
      <c r="M928" s="96" t="str">
        <f t="shared" si="40"/>
        <v>R12</v>
      </c>
      <c r="N928" s="96" t="str">
        <f>VLOOKUP(M928,CAC!$A$2:$B$198,2,FALSE)</f>
        <v>HMOMM</v>
      </c>
    </row>
    <row r="929" spans="5:14" x14ac:dyDescent="0.25">
      <c r="E929" s="136">
        <v>201502</v>
      </c>
      <c r="F929" s="138" t="s">
        <v>413</v>
      </c>
      <c r="G929" s="138" t="s">
        <v>365</v>
      </c>
      <c r="H929" s="138" t="s">
        <v>344</v>
      </c>
      <c r="I929" s="139">
        <v>0</v>
      </c>
      <c r="K929" s="96" t="str">
        <f t="shared" si="39"/>
        <v>0008-1001-0012</v>
      </c>
      <c r="L929" s="96" t="str">
        <f>VLOOKUP(K929,COA!$A$3:$B$337,2,FALSE)</f>
        <v>C95</v>
      </c>
      <c r="M929" s="96" t="str">
        <f t="shared" si="40"/>
        <v>C95</v>
      </c>
      <c r="N929" s="96" t="str">
        <f>VLOOKUP(M929,CAC!$A$2:$B$198,2,FALSE)</f>
        <v>DOIIFP</v>
      </c>
    </row>
    <row r="930" spans="5:14" x14ac:dyDescent="0.25">
      <c r="E930" s="136">
        <v>201706</v>
      </c>
      <c r="F930" s="138" t="s">
        <v>563</v>
      </c>
      <c r="G930" s="138" t="s">
        <v>365</v>
      </c>
      <c r="H930" s="138" t="s">
        <v>344</v>
      </c>
      <c r="I930" s="139">
        <v>0</v>
      </c>
      <c r="K930" s="96" t="str">
        <f t="shared" si="39"/>
        <v>0003-1001-0012</v>
      </c>
      <c r="L930" s="96" t="str">
        <f>VLOOKUP(K930,COA!$A$3:$B$337,2,FALSE)</f>
        <v>V51</v>
      </c>
      <c r="M930" s="96" t="str">
        <f t="shared" si="40"/>
        <v>V51</v>
      </c>
      <c r="N930" s="96" t="str">
        <f>VLOOKUP(M930,CAC!$A$2:$B$198,2,FALSE)</f>
        <v>PPOIFP</v>
      </c>
    </row>
    <row r="931" spans="5:14" x14ac:dyDescent="0.25">
      <c r="E931" s="136">
        <v>201606</v>
      </c>
      <c r="F931" s="138" t="s">
        <v>349</v>
      </c>
      <c r="G931" s="138" t="s">
        <v>369</v>
      </c>
      <c r="H931" s="138" t="s">
        <v>764</v>
      </c>
      <c r="I931" s="139">
        <v>3</v>
      </c>
      <c r="K931" s="96" t="str">
        <f t="shared" si="39"/>
        <v>0017-1009-0064</v>
      </c>
      <c r="L931" s="96" t="str">
        <f>VLOOKUP(K931,COA!$A$3:$B$337,2,FALSE)</f>
        <v>R15</v>
      </c>
      <c r="M931" s="96" t="str">
        <f t="shared" si="40"/>
        <v>R15</v>
      </c>
      <c r="N931" s="96" t="str">
        <f>VLOOKUP(M931,CAC!$A$2:$B$198,2,FALSE)</f>
        <v>HMOMM</v>
      </c>
    </row>
    <row r="932" spans="5:14" x14ac:dyDescent="0.25">
      <c r="E932" s="136">
        <v>201607</v>
      </c>
      <c r="F932" s="138" t="s">
        <v>746</v>
      </c>
      <c r="G932" s="138" t="s">
        <v>355</v>
      </c>
      <c r="H932" s="138" t="s">
        <v>344</v>
      </c>
      <c r="I932" s="139">
        <v>0</v>
      </c>
      <c r="K932" s="96" t="str">
        <f t="shared" si="39"/>
        <v>0016-1006-0012</v>
      </c>
      <c r="L932" s="96" t="str">
        <f>VLOOKUP(K932,COA!$A$3:$B$337,2,FALSE)</f>
        <v>R21</v>
      </c>
      <c r="M932" s="96" t="str">
        <f t="shared" si="40"/>
        <v>R21</v>
      </c>
      <c r="N932" s="96" t="str">
        <f>VLOOKUP(M932,CAC!$A$2:$B$198,2,FALSE)</f>
        <v>HMOMG</v>
      </c>
    </row>
    <row r="933" spans="5:14" x14ac:dyDescent="0.25">
      <c r="E933" s="136">
        <v>201712</v>
      </c>
      <c r="F933" s="138" t="s">
        <v>345</v>
      </c>
      <c r="G933" s="138" t="s">
        <v>359</v>
      </c>
      <c r="H933" s="138" t="s">
        <v>344</v>
      </c>
      <c r="I933" s="139">
        <v>7244.97</v>
      </c>
      <c r="K933" s="96" t="str">
        <f t="shared" si="39"/>
        <v>0011-1005-0012</v>
      </c>
      <c r="L933" s="96" t="str">
        <f>VLOOKUP(K933,COA!$A$3:$B$337,2,FALSE)</f>
        <v>N11</v>
      </c>
      <c r="M933" s="96" t="str">
        <f t="shared" si="40"/>
        <v>N11</v>
      </c>
      <c r="N933" s="96" t="str">
        <f>VLOOKUP(M933,CAC!$A$2:$B$198,2,FALSE)</f>
        <v>HMOLG</v>
      </c>
    </row>
    <row r="934" spans="5:14" x14ac:dyDescent="0.25">
      <c r="E934" s="136">
        <v>201702</v>
      </c>
      <c r="F934" s="138" t="s">
        <v>344</v>
      </c>
      <c r="G934" s="138" t="s">
        <v>356</v>
      </c>
      <c r="H934" s="138" t="s">
        <v>344</v>
      </c>
      <c r="I934" s="139">
        <v>4240.04</v>
      </c>
      <c r="K934" s="96" t="str">
        <f t="shared" si="39"/>
        <v>0012-1002-0012</v>
      </c>
      <c r="L934" s="96" t="str">
        <f>VLOOKUP(K934,COA!$A$3:$B$337,2,FALSE)</f>
        <v>F22</v>
      </c>
      <c r="M934" s="96" t="str">
        <f t="shared" si="40"/>
        <v>F22</v>
      </c>
      <c r="N934" s="96" t="str">
        <f>VLOOKUP(M934,CAC!$A$2:$B$198,2,FALSE)</f>
        <v>HMOPMR</v>
      </c>
    </row>
    <row r="935" spans="5:14" x14ac:dyDescent="0.25">
      <c r="E935" s="136">
        <v>201606</v>
      </c>
      <c r="F935" s="138" t="s">
        <v>506</v>
      </c>
      <c r="G935" s="138" t="s">
        <v>350</v>
      </c>
      <c r="H935" s="138" t="s">
        <v>592</v>
      </c>
      <c r="I935" s="139">
        <v>0</v>
      </c>
      <c r="K935" s="96" t="str">
        <f t="shared" si="39"/>
        <v>0013-1012-0035</v>
      </c>
      <c r="L935" s="96" t="str">
        <f>VLOOKUP(K935,COA!$A$3:$B$337,2,FALSE)</f>
        <v>K41</v>
      </c>
      <c r="M935" s="96" t="str">
        <f t="shared" si="40"/>
        <v>K41</v>
      </c>
      <c r="N935" s="96" t="e">
        <f>VLOOKUP(M935,CAC!$A$2:$B$198,2,FALSE)</f>
        <v>#N/A</v>
      </c>
    </row>
    <row r="936" spans="5:14" x14ac:dyDescent="0.25">
      <c r="E936" s="136">
        <v>201702</v>
      </c>
      <c r="F936" s="138" t="s">
        <v>344</v>
      </c>
      <c r="G936" s="138" t="s">
        <v>354</v>
      </c>
      <c r="H936" s="138" t="s">
        <v>344</v>
      </c>
      <c r="I936" s="139">
        <v>281</v>
      </c>
      <c r="K936" s="96" t="str">
        <f t="shared" si="39"/>
        <v>0012-1013-0012</v>
      </c>
      <c r="L936" s="96" t="str">
        <f>VLOOKUP(K936,COA!$A$3:$B$337,2,FALSE)</f>
        <v>N14</v>
      </c>
      <c r="M936" s="96" t="str">
        <f t="shared" si="40"/>
        <v>N14</v>
      </c>
      <c r="N936" s="96" t="str">
        <f>VLOOKUP(M936,CAC!$A$2:$B$198,2,FALSE)</f>
        <v>HMOPMR</v>
      </c>
    </row>
    <row r="937" spans="5:14" x14ac:dyDescent="0.25">
      <c r="E937" s="136">
        <v>201508</v>
      </c>
      <c r="F937" s="138" t="s">
        <v>563</v>
      </c>
      <c r="G937" s="138" t="s">
        <v>348</v>
      </c>
      <c r="H937" s="138" t="s">
        <v>353</v>
      </c>
      <c r="I937" s="139">
        <v>0</v>
      </c>
      <c r="K937" s="96" t="str">
        <f t="shared" si="39"/>
        <v>0003-1010-0023</v>
      </c>
      <c r="L937" s="96" t="str">
        <f>VLOOKUP(K937,COA!$A$3:$B$337,2,FALSE)</f>
        <v>S54</v>
      </c>
      <c r="M937" s="96" t="str">
        <f t="shared" si="40"/>
        <v>S54</v>
      </c>
      <c r="N937" s="96" t="str">
        <f>VLOOKUP(M937,CAC!$A$2:$B$198,2,FALSE)</f>
        <v>PPOSG</v>
      </c>
    </row>
    <row r="938" spans="5:14" x14ac:dyDescent="0.25">
      <c r="E938" s="136">
        <v>201603</v>
      </c>
      <c r="F938" s="138" t="s">
        <v>563</v>
      </c>
      <c r="G938" s="138" t="s">
        <v>351</v>
      </c>
      <c r="H938" s="138" t="s">
        <v>349</v>
      </c>
      <c r="I938" s="139">
        <v>0</v>
      </c>
      <c r="K938" s="96" t="str">
        <f t="shared" si="39"/>
        <v>0003-0000-0017</v>
      </c>
      <c r="L938" s="96" t="e">
        <f>VLOOKUP(K938,COA!$A$3:$B$337,2,FALSE)</f>
        <v>#N/A</v>
      </c>
      <c r="M938" s="96" t="str">
        <f t="shared" si="40"/>
        <v>XXX</v>
      </c>
      <c r="N938" s="96" t="str">
        <f>VLOOKUP(M938,CAC!$A$2:$B$198,2,FALSE)</f>
        <v>XXX</v>
      </c>
    </row>
    <row r="939" spans="5:14" x14ac:dyDescent="0.25">
      <c r="E939" s="136">
        <v>201606</v>
      </c>
      <c r="F939" s="138" t="s">
        <v>345</v>
      </c>
      <c r="G939" s="138" t="s">
        <v>348</v>
      </c>
      <c r="H939" s="138" t="s">
        <v>358</v>
      </c>
      <c r="I939" s="139">
        <v>81.03</v>
      </c>
      <c r="K939" s="96" t="str">
        <f t="shared" si="39"/>
        <v>0011-1010-0024</v>
      </c>
      <c r="L939" s="96" t="str">
        <f>VLOOKUP(K939,COA!$A$3:$B$337,2,FALSE)</f>
        <v>S14</v>
      </c>
      <c r="M939" s="96" t="str">
        <f t="shared" si="40"/>
        <v>S14</v>
      </c>
      <c r="N939" s="96" t="str">
        <f>VLOOKUP(M939,CAC!$A$2:$B$198,2,FALSE)</f>
        <v>HMOSG</v>
      </c>
    </row>
    <row r="940" spans="5:14" x14ac:dyDescent="0.25">
      <c r="E940" s="136">
        <v>201707</v>
      </c>
      <c r="F940" s="138" t="s">
        <v>345</v>
      </c>
      <c r="G940" s="138" t="s">
        <v>346</v>
      </c>
      <c r="H940" s="138" t="s">
        <v>344</v>
      </c>
      <c r="I940" s="139">
        <v>0</v>
      </c>
      <c r="K940" s="96" t="str">
        <f t="shared" si="39"/>
        <v>0011-1014-0012</v>
      </c>
      <c r="L940" s="96" t="e">
        <f>VLOOKUP(K940,COA!$A$3:$B$337,2,FALSE)</f>
        <v>#N/A</v>
      </c>
      <c r="M940" s="96" t="str">
        <f t="shared" si="40"/>
        <v>XXX</v>
      </c>
      <c r="N940" s="96" t="str">
        <f>VLOOKUP(M940,CAC!$A$2:$B$198,2,FALSE)</f>
        <v>XXX</v>
      </c>
    </row>
    <row r="941" spans="5:14" x14ac:dyDescent="0.25">
      <c r="E941" s="136">
        <v>201706</v>
      </c>
      <c r="F941" s="138" t="s">
        <v>563</v>
      </c>
      <c r="G941" s="138" t="s">
        <v>359</v>
      </c>
      <c r="H941" s="138" t="s">
        <v>344</v>
      </c>
      <c r="I941" s="139">
        <v>0</v>
      </c>
      <c r="K941" s="96" t="str">
        <f t="shared" si="39"/>
        <v>0003-1005-0012</v>
      </c>
      <c r="L941" s="96" t="str">
        <f>VLOOKUP(K941,COA!$A$3:$B$337,2,FALSE)</f>
        <v>N51</v>
      </c>
      <c r="M941" s="96" t="str">
        <f t="shared" si="40"/>
        <v>N51</v>
      </c>
      <c r="N941" s="96" t="str">
        <f>VLOOKUP(M941,CAC!$A$2:$B$198,2,FALSE)</f>
        <v>PPOLG</v>
      </c>
    </row>
    <row r="942" spans="5:14" x14ac:dyDescent="0.25">
      <c r="E942" s="136">
        <v>201502</v>
      </c>
      <c r="F942" s="138" t="s">
        <v>345</v>
      </c>
      <c r="G942" s="138" t="s">
        <v>351</v>
      </c>
      <c r="H942" s="138" t="s">
        <v>353</v>
      </c>
      <c r="I942" s="139">
        <v>1</v>
      </c>
      <c r="K942" s="96" t="str">
        <f t="shared" si="39"/>
        <v>0011-0000-0023</v>
      </c>
      <c r="L942" s="96" t="e">
        <f>VLOOKUP(K942,COA!$A$3:$B$337,2,FALSE)</f>
        <v>#N/A</v>
      </c>
      <c r="M942" s="96" t="str">
        <f t="shared" si="40"/>
        <v>XXX</v>
      </c>
      <c r="N942" s="96" t="str">
        <f>VLOOKUP(M942,CAC!$A$2:$B$198,2,FALSE)</f>
        <v>XXX</v>
      </c>
    </row>
    <row r="943" spans="5:14" x14ac:dyDescent="0.25">
      <c r="E943" s="136">
        <v>201605</v>
      </c>
      <c r="F943" s="138" t="s">
        <v>345</v>
      </c>
      <c r="G943" s="138" t="s">
        <v>361</v>
      </c>
      <c r="H943" s="138" t="s">
        <v>344</v>
      </c>
      <c r="I943" s="139">
        <v>4066.76</v>
      </c>
      <c r="K943" s="96" t="str">
        <f t="shared" si="39"/>
        <v>0011-1003-0012</v>
      </c>
      <c r="L943" s="96" t="str">
        <f>VLOOKUP(K943,COA!$A$3:$B$337,2,FALSE)</f>
        <v>N16</v>
      </c>
      <c r="M943" s="96" t="str">
        <f t="shared" si="40"/>
        <v>N16</v>
      </c>
      <c r="N943" s="96" t="str">
        <f>VLOOKUP(M943,CAC!$A$2:$B$198,2,FALSE)</f>
        <v>HMOPMR</v>
      </c>
    </row>
    <row r="944" spans="5:14" x14ac:dyDescent="0.25">
      <c r="E944" s="136">
        <v>201704</v>
      </c>
      <c r="F944" s="138" t="s">
        <v>506</v>
      </c>
      <c r="G944" s="138" t="s">
        <v>346</v>
      </c>
      <c r="H944" s="138" t="s">
        <v>592</v>
      </c>
      <c r="I944" s="139">
        <v>0</v>
      </c>
      <c r="K944" s="96" t="str">
        <f t="shared" si="39"/>
        <v>0013-1014-0035</v>
      </c>
      <c r="L944" s="96" t="str">
        <f>VLOOKUP(K944,COA!$A$3:$B$337,2,FALSE)</f>
        <v>K42</v>
      </c>
      <c r="M944" s="96" t="str">
        <f t="shared" si="40"/>
        <v>K42</v>
      </c>
      <c r="N944" s="96" t="str">
        <f>VLOOKUP(M944,CAC!$A$2:$B$198,2,FALSE)</f>
        <v>HMFLEX</v>
      </c>
    </row>
    <row r="945" spans="5:14" x14ac:dyDescent="0.25">
      <c r="E945" s="136">
        <v>201608</v>
      </c>
      <c r="F945" s="138" t="s">
        <v>345</v>
      </c>
      <c r="G945" s="138" t="s">
        <v>354</v>
      </c>
      <c r="H945" s="138" t="s">
        <v>360</v>
      </c>
      <c r="I945" s="139">
        <v>2761.48</v>
      </c>
      <c r="K945" s="96" t="str">
        <f t="shared" si="39"/>
        <v>0011-1013-0048</v>
      </c>
      <c r="L945" s="96" t="str">
        <f>VLOOKUP(K945,COA!$A$3:$B$337,2,FALSE)</f>
        <v>N21</v>
      </c>
      <c r="M945" s="96" t="str">
        <f t="shared" si="40"/>
        <v>N21</v>
      </c>
      <c r="N945" s="96" t="str">
        <f>VLOOKUP(M945,CAC!$A$2:$B$198,2,FALSE)</f>
        <v>HMFLEX</v>
      </c>
    </row>
    <row r="946" spans="5:14" x14ac:dyDescent="0.25">
      <c r="E946" s="136">
        <v>201601</v>
      </c>
      <c r="F946" s="138" t="s">
        <v>563</v>
      </c>
      <c r="G946" s="138" t="s">
        <v>365</v>
      </c>
      <c r="H946" s="138" t="s">
        <v>344</v>
      </c>
      <c r="I946" s="139">
        <v>0</v>
      </c>
      <c r="K946" s="96" t="str">
        <f t="shared" si="39"/>
        <v>0003-1001-0012</v>
      </c>
      <c r="L946" s="96" t="str">
        <f>VLOOKUP(K946,COA!$A$3:$B$337,2,FALSE)</f>
        <v>V51</v>
      </c>
      <c r="M946" s="96" t="str">
        <f t="shared" si="40"/>
        <v>V51</v>
      </c>
      <c r="N946" s="96" t="str">
        <f>VLOOKUP(M946,CAC!$A$2:$B$198,2,FALSE)</f>
        <v>PPOIFP</v>
      </c>
    </row>
    <row r="947" spans="5:14" x14ac:dyDescent="0.25">
      <c r="E947" s="136">
        <v>201510</v>
      </c>
      <c r="F947" s="138" t="s">
        <v>552</v>
      </c>
      <c r="G947" s="138" t="s">
        <v>356</v>
      </c>
      <c r="H947" s="138" t="s">
        <v>672</v>
      </c>
      <c r="I947" s="139">
        <v>0</v>
      </c>
      <c r="K947" s="96" t="str">
        <f t="shared" si="39"/>
        <v>0027-1002-0058</v>
      </c>
      <c r="L947" s="96" t="str">
        <f>VLOOKUP(K947,COA!$A$3:$B$337,2,FALSE)</f>
        <v>L45</v>
      </c>
      <c r="M947" s="96" t="str">
        <f t="shared" si="40"/>
        <v>L45</v>
      </c>
      <c r="N947" s="96" t="e">
        <f>VLOOKUP(M947,CAC!$A$2:$B$198,2,FALSE)</f>
        <v>#N/A</v>
      </c>
    </row>
    <row r="948" spans="5:14" x14ac:dyDescent="0.25">
      <c r="E948" s="136">
        <v>201506</v>
      </c>
      <c r="F948" s="138" t="s">
        <v>746</v>
      </c>
      <c r="G948" s="138" t="s">
        <v>352</v>
      </c>
      <c r="H948" s="138" t="s">
        <v>344</v>
      </c>
      <c r="I948" s="139">
        <v>0</v>
      </c>
      <c r="K948" s="96" t="str">
        <f t="shared" si="39"/>
        <v>0016-1004-0012</v>
      </c>
      <c r="L948" s="96" t="str">
        <f>VLOOKUP(K948,COA!$A$3:$B$337,2,FALSE)</f>
        <v>R20</v>
      </c>
      <c r="M948" s="96" t="str">
        <f t="shared" si="40"/>
        <v>R20</v>
      </c>
      <c r="N948" s="96" t="str">
        <f>VLOOKUP(M948,CAC!$A$2:$B$198,2,FALSE)</f>
        <v>HMOMG</v>
      </c>
    </row>
    <row r="949" spans="5:14" x14ac:dyDescent="0.25">
      <c r="E949" s="136">
        <v>201606</v>
      </c>
      <c r="F949" s="138" t="s">
        <v>349</v>
      </c>
      <c r="G949" s="138" t="s">
        <v>369</v>
      </c>
      <c r="H949" s="138" t="s">
        <v>344</v>
      </c>
      <c r="I949" s="139">
        <v>39478</v>
      </c>
      <c r="K949" s="96" t="str">
        <f t="shared" si="39"/>
        <v>0017-1009-0012</v>
      </c>
      <c r="L949" s="96" t="str">
        <f>VLOOKUP(K949,COA!$A$3:$B$337,2,FALSE)</f>
        <v>R12</v>
      </c>
      <c r="M949" s="96" t="str">
        <f t="shared" si="40"/>
        <v>R12</v>
      </c>
      <c r="N949" s="96" t="str">
        <f>VLOOKUP(M949,CAC!$A$2:$B$198,2,FALSE)</f>
        <v>HMOMM</v>
      </c>
    </row>
    <row r="950" spans="5:14" x14ac:dyDescent="0.25">
      <c r="E950" s="136">
        <v>201606</v>
      </c>
      <c r="F950" s="138" t="s">
        <v>563</v>
      </c>
      <c r="G950" s="138" t="s">
        <v>355</v>
      </c>
      <c r="H950" s="138" t="s">
        <v>344</v>
      </c>
      <c r="I950" s="139">
        <v>0</v>
      </c>
      <c r="K950" s="96" t="str">
        <f t="shared" si="39"/>
        <v>0003-1006-0012</v>
      </c>
      <c r="L950" s="96" t="str">
        <f>VLOOKUP(K950,COA!$A$3:$B$337,2,FALSE)</f>
        <v>L52</v>
      </c>
      <c r="M950" s="96" t="str">
        <f t="shared" si="40"/>
        <v>L52</v>
      </c>
      <c r="N950" s="96" t="str">
        <f>VLOOKUP(M950,CAC!$A$2:$B$198,2,FALSE)</f>
        <v>PPOLG</v>
      </c>
    </row>
    <row r="951" spans="5:14" x14ac:dyDescent="0.25">
      <c r="E951" s="136">
        <v>201611</v>
      </c>
      <c r="F951" s="138" t="s">
        <v>563</v>
      </c>
      <c r="G951" s="138" t="s">
        <v>350</v>
      </c>
      <c r="H951" s="138" t="s">
        <v>344</v>
      </c>
      <c r="I951" s="139">
        <v>0</v>
      </c>
      <c r="K951" s="96" t="str">
        <f t="shared" si="39"/>
        <v>0003-1012-0012</v>
      </c>
      <c r="L951" s="96" t="str">
        <f>VLOOKUP(K951,COA!$A$3:$B$337,2,FALSE)</f>
        <v>K51</v>
      </c>
      <c r="M951" s="96" t="str">
        <f t="shared" si="40"/>
        <v>K51</v>
      </c>
      <c r="N951" s="96" t="str">
        <f>VLOOKUP(M951,CAC!$A$2:$B$198,2,FALSE)</f>
        <v>PPOPMR</v>
      </c>
    </row>
    <row r="952" spans="5:14" x14ac:dyDescent="0.25">
      <c r="E952" s="136">
        <v>201709</v>
      </c>
      <c r="F952" s="138" t="s">
        <v>563</v>
      </c>
      <c r="G952" s="138" t="s">
        <v>350</v>
      </c>
      <c r="H952" s="138" t="s">
        <v>344</v>
      </c>
      <c r="I952" s="139">
        <v>0</v>
      </c>
      <c r="K952" s="96" t="str">
        <f t="shared" si="39"/>
        <v>0003-1012-0012</v>
      </c>
      <c r="L952" s="96" t="str">
        <f>VLOOKUP(K952,COA!$A$3:$B$337,2,FALSE)</f>
        <v>K51</v>
      </c>
      <c r="M952" s="96" t="str">
        <f t="shared" si="40"/>
        <v>K51</v>
      </c>
      <c r="N952" s="96" t="str">
        <f>VLOOKUP(M952,CAC!$A$2:$B$198,2,FALSE)</f>
        <v>PPOPMR</v>
      </c>
    </row>
    <row r="953" spans="5:14" x14ac:dyDescent="0.25">
      <c r="E953" s="136">
        <v>201605</v>
      </c>
      <c r="F953" s="138" t="s">
        <v>506</v>
      </c>
      <c r="G953" s="138" t="s">
        <v>352</v>
      </c>
      <c r="H953" s="138" t="s">
        <v>592</v>
      </c>
      <c r="I953" s="139">
        <v>0</v>
      </c>
      <c r="K953" s="96" t="str">
        <f t="shared" si="39"/>
        <v>0013-1004-0035</v>
      </c>
      <c r="L953" s="96" t="str">
        <f>VLOOKUP(K953,COA!$A$3:$B$337,2,FALSE)</f>
        <v>L41</v>
      </c>
      <c r="M953" s="96" t="str">
        <f t="shared" si="40"/>
        <v>L41</v>
      </c>
      <c r="N953" s="96" t="e">
        <f>VLOOKUP(M953,CAC!$A$2:$B$198,2,FALSE)</f>
        <v>#N/A</v>
      </c>
    </row>
    <row r="954" spans="5:14" x14ac:dyDescent="0.25">
      <c r="E954" s="136">
        <v>201511</v>
      </c>
      <c r="F954" s="138" t="s">
        <v>344</v>
      </c>
      <c r="G954" s="138" t="s">
        <v>359</v>
      </c>
      <c r="H954" s="138" t="s">
        <v>344</v>
      </c>
      <c r="I954" s="139">
        <v>125</v>
      </c>
      <c r="K954" s="96" t="str">
        <f t="shared" si="39"/>
        <v>0012-1005-0012</v>
      </c>
      <c r="L954" s="96" t="str">
        <f>VLOOKUP(K954,COA!$A$3:$B$337,2,FALSE)</f>
        <v>N13</v>
      </c>
      <c r="M954" s="96" t="str">
        <f t="shared" si="40"/>
        <v>N13</v>
      </c>
      <c r="N954" s="96" t="str">
        <f>VLOOKUP(M954,CAC!$A$2:$B$198,2,FALSE)</f>
        <v>HMOLG</v>
      </c>
    </row>
    <row r="955" spans="5:14" x14ac:dyDescent="0.25">
      <c r="E955" s="136">
        <v>201708</v>
      </c>
      <c r="F955" s="138" t="s">
        <v>345</v>
      </c>
      <c r="G955" s="138" t="s">
        <v>348</v>
      </c>
      <c r="H955" s="138" t="s">
        <v>349</v>
      </c>
      <c r="I955" s="139">
        <v>26287.66</v>
      </c>
      <c r="K955" s="96" t="str">
        <f t="shared" si="39"/>
        <v>0011-1010-0017</v>
      </c>
      <c r="L955" s="96" t="str">
        <f>VLOOKUP(K955,COA!$A$3:$B$337,2,FALSE)</f>
        <v>S11</v>
      </c>
      <c r="M955" s="96" t="str">
        <f t="shared" si="40"/>
        <v>S11</v>
      </c>
      <c r="N955" s="96" t="str">
        <f>VLOOKUP(M955,CAC!$A$2:$B$198,2,FALSE)</f>
        <v>HMOSG</v>
      </c>
    </row>
    <row r="956" spans="5:14" x14ac:dyDescent="0.25">
      <c r="E956" s="136">
        <v>201507</v>
      </c>
      <c r="F956" s="138" t="s">
        <v>345</v>
      </c>
      <c r="G956" s="138" t="s">
        <v>356</v>
      </c>
      <c r="H956" s="138" t="s">
        <v>344</v>
      </c>
      <c r="I956" s="139">
        <v>14803.15</v>
      </c>
      <c r="K956" s="96" t="str">
        <f t="shared" si="39"/>
        <v>0011-1002-0012</v>
      </c>
      <c r="L956" s="96" t="str">
        <f>VLOOKUP(K956,COA!$A$3:$B$337,2,FALSE)</f>
        <v>F20</v>
      </c>
      <c r="M956" s="96" t="str">
        <f t="shared" si="40"/>
        <v>F20</v>
      </c>
      <c r="N956" s="96" t="str">
        <f>VLOOKUP(M956,CAC!$A$2:$B$198,2,FALSE)</f>
        <v>HMOPMR</v>
      </c>
    </row>
    <row r="957" spans="5:14" x14ac:dyDescent="0.25">
      <c r="E957" s="136">
        <v>201606</v>
      </c>
      <c r="F957" s="138" t="s">
        <v>342</v>
      </c>
      <c r="G957" s="138" t="s">
        <v>343</v>
      </c>
      <c r="H957" s="138" t="s">
        <v>344</v>
      </c>
      <c r="I957" s="139">
        <v>6048.86</v>
      </c>
      <c r="K957" s="96" t="str">
        <f t="shared" si="39"/>
        <v>0031-1000-0012</v>
      </c>
      <c r="L957" s="96" t="str">
        <f>VLOOKUP(K957,COA!$A$3:$B$337,2,FALSE)</f>
        <v>F27</v>
      </c>
      <c r="M957" s="96" t="str">
        <f t="shared" si="40"/>
        <v>F27</v>
      </c>
      <c r="N957" s="96" t="str">
        <f>VLOOKUP(M957,CAC!$A$2:$B$198,2,FALSE)</f>
        <v>HMOFEP</v>
      </c>
    </row>
    <row r="958" spans="5:14" x14ac:dyDescent="0.25">
      <c r="E958" s="136">
        <v>201601</v>
      </c>
      <c r="F958" s="138" t="s">
        <v>506</v>
      </c>
      <c r="G958" s="138" t="s">
        <v>350</v>
      </c>
      <c r="H958" s="138" t="s">
        <v>592</v>
      </c>
      <c r="I958" s="139">
        <v>0</v>
      </c>
      <c r="K958" s="96" t="str">
        <f t="shared" si="39"/>
        <v>0013-1012-0035</v>
      </c>
      <c r="L958" s="96" t="str">
        <f>VLOOKUP(K958,COA!$A$3:$B$337,2,FALSE)</f>
        <v>K41</v>
      </c>
      <c r="M958" s="96" t="str">
        <f t="shared" si="40"/>
        <v>K41</v>
      </c>
      <c r="N958" s="96" t="e">
        <f>VLOOKUP(M958,CAC!$A$2:$B$198,2,FALSE)</f>
        <v>#N/A</v>
      </c>
    </row>
    <row r="959" spans="5:14" x14ac:dyDescent="0.25">
      <c r="E959" s="136">
        <v>201605</v>
      </c>
      <c r="F959" s="138" t="s">
        <v>345</v>
      </c>
      <c r="G959" s="138" t="s">
        <v>350</v>
      </c>
      <c r="H959" s="138" t="s">
        <v>360</v>
      </c>
      <c r="I959" s="139">
        <v>6165</v>
      </c>
      <c r="K959" s="96" t="str">
        <f t="shared" si="39"/>
        <v>0011-1012-0048</v>
      </c>
      <c r="L959" s="96" t="str">
        <f>VLOOKUP(K959,COA!$A$3:$B$337,2,FALSE)</f>
        <v>K21</v>
      </c>
      <c r="M959" s="96" t="str">
        <f t="shared" si="40"/>
        <v>K21</v>
      </c>
      <c r="N959" s="96" t="str">
        <f>VLOOKUP(M959,CAC!$A$2:$B$198,2,FALSE)</f>
        <v>HMFLEX</v>
      </c>
    </row>
    <row r="960" spans="5:14" x14ac:dyDescent="0.25">
      <c r="E960" s="136">
        <v>201712</v>
      </c>
      <c r="F960" s="138" t="s">
        <v>345</v>
      </c>
      <c r="G960" s="138" t="s">
        <v>361</v>
      </c>
      <c r="H960" s="138" t="s">
        <v>344</v>
      </c>
      <c r="I960" s="139">
        <v>868</v>
      </c>
      <c r="K960" s="96" t="str">
        <f t="shared" si="39"/>
        <v>0011-1003-0012</v>
      </c>
      <c r="L960" s="96" t="str">
        <f>VLOOKUP(K960,COA!$A$3:$B$337,2,FALSE)</f>
        <v>N16</v>
      </c>
      <c r="M960" s="96" t="str">
        <f t="shared" si="40"/>
        <v>N16</v>
      </c>
      <c r="N960" s="96" t="str">
        <f>VLOOKUP(M960,CAC!$A$2:$B$198,2,FALSE)</f>
        <v>HMOPMR</v>
      </c>
    </row>
    <row r="961" spans="5:14" x14ac:dyDescent="0.25">
      <c r="E961" s="136">
        <v>201604</v>
      </c>
      <c r="F961" s="138" t="s">
        <v>349</v>
      </c>
      <c r="G961" s="138" t="s">
        <v>369</v>
      </c>
      <c r="H961" s="138" t="s">
        <v>344</v>
      </c>
      <c r="I961" s="139">
        <v>39295</v>
      </c>
      <c r="K961" s="96" t="str">
        <f t="shared" si="39"/>
        <v>0017-1009-0012</v>
      </c>
      <c r="L961" s="96" t="str">
        <f>VLOOKUP(K961,COA!$A$3:$B$337,2,FALSE)</f>
        <v>R12</v>
      </c>
      <c r="M961" s="96" t="str">
        <f t="shared" si="40"/>
        <v>R12</v>
      </c>
      <c r="N961" s="96" t="str">
        <f>VLOOKUP(M961,CAC!$A$2:$B$198,2,FALSE)</f>
        <v>HMOMM</v>
      </c>
    </row>
    <row r="962" spans="5:14" x14ac:dyDescent="0.25">
      <c r="E962" s="136">
        <v>201512</v>
      </c>
      <c r="F962" s="138" t="s">
        <v>349</v>
      </c>
      <c r="G962" s="138" t="s">
        <v>369</v>
      </c>
      <c r="H962" s="138" t="s">
        <v>344</v>
      </c>
      <c r="I962" s="139">
        <v>37263</v>
      </c>
      <c r="K962" s="96" t="str">
        <f t="shared" si="39"/>
        <v>0017-1009-0012</v>
      </c>
      <c r="L962" s="96" t="str">
        <f>VLOOKUP(K962,COA!$A$3:$B$337,2,FALSE)</f>
        <v>R12</v>
      </c>
      <c r="M962" s="96" t="str">
        <f t="shared" si="40"/>
        <v>R12</v>
      </c>
      <c r="N962" s="96" t="str">
        <f>VLOOKUP(M962,CAC!$A$2:$B$198,2,FALSE)</f>
        <v>HMOMM</v>
      </c>
    </row>
    <row r="963" spans="5:14" x14ac:dyDescent="0.25">
      <c r="E963" s="136">
        <v>201508</v>
      </c>
      <c r="F963" s="138" t="s">
        <v>345</v>
      </c>
      <c r="G963" s="138" t="s">
        <v>361</v>
      </c>
      <c r="H963" s="138" t="s">
        <v>344</v>
      </c>
      <c r="I963" s="139">
        <v>268</v>
      </c>
      <c r="K963" s="96" t="str">
        <f t="shared" ref="K963:K1026" si="41">F963&amp;"-"&amp;G963&amp;"-"&amp;H963</f>
        <v>0011-1003-0012</v>
      </c>
      <c r="L963" s="96" t="str">
        <f>VLOOKUP(K963,COA!$A$3:$B$337,2,FALSE)</f>
        <v>N16</v>
      </c>
      <c r="M963" s="96" t="str">
        <f t="shared" si="40"/>
        <v>N16</v>
      </c>
      <c r="N963" s="96" t="str">
        <f>VLOOKUP(M963,CAC!$A$2:$B$198,2,FALSE)</f>
        <v>HMOPMR</v>
      </c>
    </row>
    <row r="964" spans="5:14" x14ac:dyDescent="0.25">
      <c r="E964" s="136">
        <v>201706</v>
      </c>
      <c r="F964" s="138" t="s">
        <v>563</v>
      </c>
      <c r="G964" s="138" t="s">
        <v>348</v>
      </c>
      <c r="H964" s="138" t="s">
        <v>358</v>
      </c>
      <c r="I964" s="139">
        <v>0</v>
      </c>
      <c r="K964" s="96" t="str">
        <f t="shared" si="41"/>
        <v>0003-1010-0024</v>
      </c>
      <c r="L964" s="96" t="str">
        <f>VLOOKUP(K964,COA!$A$3:$B$337,2,FALSE)</f>
        <v>S56</v>
      </c>
      <c r="M964" s="96" t="str">
        <f t="shared" ref="M964:M1027" si="42">IF(ISNA(L964),"XXX",L964)</f>
        <v>S56</v>
      </c>
      <c r="N964" s="96" t="str">
        <f>VLOOKUP(M964,CAC!$A$2:$B$198,2,FALSE)</f>
        <v>PPOSG</v>
      </c>
    </row>
    <row r="965" spans="5:14" x14ac:dyDescent="0.25">
      <c r="E965" s="136">
        <v>201603</v>
      </c>
      <c r="F965" s="138" t="s">
        <v>746</v>
      </c>
      <c r="G965" s="138" t="s">
        <v>355</v>
      </c>
      <c r="H965" s="138" t="s">
        <v>344</v>
      </c>
      <c r="I965" s="139">
        <v>0</v>
      </c>
      <c r="K965" s="96" t="str">
        <f t="shared" si="41"/>
        <v>0016-1006-0012</v>
      </c>
      <c r="L965" s="96" t="str">
        <f>VLOOKUP(K965,COA!$A$3:$B$337,2,FALSE)</f>
        <v>R21</v>
      </c>
      <c r="M965" s="96" t="str">
        <f t="shared" si="42"/>
        <v>R21</v>
      </c>
      <c r="N965" s="96" t="str">
        <f>VLOOKUP(M965,CAC!$A$2:$B$198,2,FALSE)</f>
        <v>HMOMG</v>
      </c>
    </row>
    <row r="966" spans="5:14" x14ac:dyDescent="0.25">
      <c r="E966" s="136">
        <v>201509</v>
      </c>
      <c r="F966" s="138" t="s">
        <v>563</v>
      </c>
      <c r="G966" s="138" t="s">
        <v>348</v>
      </c>
      <c r="H966" s="138" t="s">
        <v>349</v>
      </c>
      <c r="I966" s="139">
        <v>0</v>
      </c>
      <c r="K966" s="96" t="str">
        <f t="shared" si="41"/>
        <v>0003-1010-0017</v>
      </c>
      <c r="L966" s="96" t="str">
        <f>VLOOKUP(K966,COA!$A$3:$B$337,2,FALSE)</f>
        <v>S51</v>
      </c>
      <c r="M966" s="96" t="str">
        <f t="shared" si="42"/>
        <v>S51</v>
      </c>
      <c r="N966" s="96" t="str">
        <f>VLOOKUP(M966,CAC!$A$2:$B$198,2,FALSE)</f>
        <v>PPOSG</v>
      </c>
    </row>
    <row r="967" spans="5:14" x14ac:dyDescent="0.25">
      <c r="E967" s="136">
        <v>201704</v>
      </c>
      <c r="F967" s="138" t="s">
        <v>345</v>
      </c>
      <c r="G967" s="138" t="s">
        <v>354</v>
      </c>
      <c r="H967" s="138" t="s">
        <v>360</v>
      </c>
      <c r="I967" s="139">
        <v>5107</v>
      </c>
      <c r="K967" s="96" t="str">
        <f t="shared" si="41"/>
        <v>0011-1013-0048</v>
      </c>
      <c r="L967" s="96" t="str">
        <f>VLOOKUP(K967,COA!$A$3:$B$337,2,FALSE)</f>
        <v>N21</v>
      </c>
      <c r="M967" s="96" t="str">
        <f t="shared" si="42"/>
        <v>N21</v>
      </c>
      <c r="N967" s="96" t="str">
        <f>VLOOKUP(M967,CAC!$A$2:$B$198,2,FALSE)</f>
        <v>HMFLEX</v>
      </c>
    </row>
    <row r="968" spans="5:14" x14ac:dyDescent="0.25">
      <c r="E968" s="136">
        <v>201801</v>
      </c>
      <c r="F968" s="138" t="s">
        <v>345</v>
      </c>
      <c r="G968" s="138" t="s">
        <v>361</v>
      </c>
      <c r="H968" s="138" t="s">
        <v>344</v>
      </c>
      <c r="I968" s="139">
        <v>806</v>
      </c>
      <c r="K968" s="96" t="str">
        <f t="shared" si="41"/>
        <v>0011-1003-0012</v>
      </c>
      <c r="L968" s="96" t="str">
        <f>VLOOKUP(K968,COA!$A$3:$B$337,2,FALSE)</f>
        <v>N16</v>
      </c>
      <c r="M968" s="96" t="str">
        <f t="shared" si="42"/>
        <v>N16</v>
      </c>
      <c r="N968" s="96" t="str">
        <f>VLOOKUP(M968,CAC!$A$2:$B$198,2,FALSE)</f>
        <v>HMOPMR</v>
      </c>
    </row>
    <row r="969" spans="5:14" x14ac:dyDescent="0.25">
      <c r="E969" s="136">
        <v>201606</v>
      </c>
      <c r="F969" s="138" t="s">
        <v>345</v>
      </c>
      <c r="G969" s="138" t="s">
        <v>351</v>
      </c>
      <c r="H969" s="138" t="s">
        <v>349</v>
      </c>
      <c r="I969" s="139">
        <v>0</v>
      </c>
      <c r="K969" s="96" t="str">
        <f t="shared" si="41"/>
        <v>0011-0000-0017</v>
      </c>
      <c r="L969" s="96" t="e">
        <f>VLOOKUP(K969,COA!$A$3:$B$337,2,FALSE)</f>
        <v>#N/A</v>
      </c>
      <c r="M969" s="96" t="str">
        <f t="shared" si="42"/>
        <v>XXX</v>
      </c>
      <c r="N969" s="96" t="str">
        <f>VLOOKUP(M969,CAC!$A$2:$B$198,2,FALSE)</f>
        <v>XXX</v>
      </c>
    </row>
    <row r="970" spans="5:14" x14ac:dyDescent="0.25">
      <c r="E970" s="136">
        <v>201602</v>
      </c>
      <c r="F970" s="138" t="s">
        <v>563</v>
      </c>
      <c r="G970" s="138" t="s">
        <v>348</v>
      </c>
      <c r="H970" s="138" t="s">
        <v>349</v>
      </c>
      <c r="I970" s="139">
        <v>0</v>
      </c>
      <c r="K970" s="96" t="str">
        <f t="shared" si="41"/>
        <v>0003-1010-0017</v>
      </c>
      <c r="L970" s="96" t="str">
        <f>VLOOKUP(K970,COA!$A$3:$B$337,2,FALSE)</f>
        <v>S51</v>
      </c>
      <c r="M970" s="96" t="str">
        <f t="shared" si="42"/>
        <v>S51</v>
      </c>
      <c r="N970" s="96" t="str">
        <f>VLOOKUP(M970,CAC!$A$2:$B$198,2,FALSE)</f>
        <v>PPOSG</v>
      </c>
    </row>
    <row r="971" spans="5:14" x14ac:dyDescent="0.25">
      <c r="E971" s="136">
        <v>201605</v>
      </c>
      <c r="F971" s="138" t="s">
        <v>345</v>
      </c>
      <c r="G971" s="138" t="s">
        <v>354</v>
      </c>
      <c r="H971" s="138" t="s">
        <v>344</v>
      </c>
      <c r="I971" s="139">
        <v>6714.39</v>
      </c>
      <c r="K971" s="96" t="str">
        <f t="shared" si="41"/>
        <v>0011-1013-0012</v>
      </c>
      <c r="L971" s="96" t="str">
        <f>VLOOKUP(K971,COA!$A$3:$B$337,2,FALSE)</f>
        <v>N20</v>
      </c>
      <c r="M971" s="96" t="str">
        <f t="shared" si="42"/>
        <v>N20</v>
      </c>
      <c r="N971" s="96" t="str">
        <f>VLOOKUP(M971,CAC!$A$2:$B$198,2,FALSE)</f>
        <v>HMOPMR</v>
      </c>
    </row>
    <row r="972" spans="5:14" x14ac:dyDescent="0.25">
      <c r="E972" s="136">
        <v>201508</v>
      </c>
      <c r="F972" s="138" t="s">
        <v>563</v>
      </c>
      <c r="G972" s="138" t="s">
        <v>352</v>
      </c>
      <c r="H972" s="138" t="s">
        <v>344</v>
      </c>
      <c r="I972" s="139">
        <v>0</v>
      </c>
      <c r="K972" s="96" t="str">
        <f t="shared" si="41"/>
        <v>0003-1004-0012</v>
      </c>
      <c r="L972" s="96" t="str">
        <f>VLOOKUP(K972,COA!$A$3:$B$337,2,FALSE)</f>
        <v>L51</v>
      </c>
      <c r="M972" s="96" t="str">
        <f t="shared" si="42"/>
        <v>L51</v>
      </c>
      <c r="N972" s="96" t="str">
        <f>VLOOKUP(M972,CAC!$A$2:$B$198,2,FALSE)</f>
        <v>PPOLG</v>
      </c>
    </row>
    <row r="973" spans="5:14" x14ac:dyDescent="0.25">
      <c r="E973" s="136">
        <v>201602</v>
      </c>
      <c r="F973" s="138" t="s">
        <v>552</v>
      </c>
      <c r="G973" s="138" t="s">
        <v>356</v>
      </c>
      <c r="H973" s="138" t="s">
        <v>672</v>
      </c>
      <c r="I973" s="139">
        <v>0</v>
      </c>
      <c r="K973" s="96" t="str">
        <f t="shared" si="41"/>
        <v>0027-1002-0058</v>
      </c>
      <c r="L973" s="96" t="str">
        <f>VLOOKUP(K973,COA!$A$3:$B$337,2,FALSE)</f>
        <v>L45</v>
      </c>
      <c r="M973" s="96" t="str">
        <f t="shared" si="42"/>
        <v>L45</v>
      </c>
      <c r="N973" s="96" t="e">
        <f>VLOOKUP(M973,CAC!$A$2:$B$198,2,FALSE)</f>
        <v>#N/A</v>
      </c>
    </row>
    <row r="974" spans="5:14" x14ac:dyDescent="0.25">
      <c r="E974" s="136">
        <v>201710</v>
      </c>
      <c r="F974" s="138" t="s">
        <v>413</v>
      </c>
      <c r="G974" s="138" t="s">
        <v>359</v>
      </c>
      <c r="H974" s="138" t="s">
        <v>344</v>
      </c>
      <c r="I974" s="139">
        <v>0</v>
      </c>
      <c r="K974" s="96" t="str">
        <f t="shared" si="41"/>
        <v>0008-1005-0012</v>
      </c>
      <c r="L974" s="96" t="str">
        <f>VLOOKUP(K974,COA!$A$3:$B$337,2,FALSE)</f>
        <v>C73</v>
      </c>
      <c r="M974" s="96" t="str">
        <f t="shared" si="42"/>
        <v>C73</v>
      </c>
      <c r="N974" s="96" t="str">
        <f>VLOOKUP(M974,CAC!$A$2:$B$198,2,FALSE)</f>
        <v>DOILG</v>
      </c>
    </row>
    <row r="975" spans="5:14" x14ac:dyDescent="0.25">
      <c r="E975" s="136">
        <v>201608</v>
      </c>
      <c r="F975" s="138" t="s">
        <v>563</v>
      </c>
      <c r="G975" s="138" t="s">
        <v>351</v>
      </c>
      <c r="H975" s="138" t="s">
        <v>349</v>
      </c>
      <c r="I975" s="139">
        <v>0</v>
      </c>
      <c r="K975" s="96" t="str">
        <f t="shared" si="41"/>
        <v>0003-0000-0017</v>
      </c>
      <c r="L975" s="96" t="e">
        <f>VLOOKUP(K975,COA!$A$3:$B$337,2,FALSE)</f>
        <v>#N/A</v>
      </c>
      <c r="M975" s="96" t="str">
        <f t="shared" si="42"/>
        <v>XXX</v>
      </c>
      <c r="N975" s="96" t="str">
        <f>VLOOKUP(M975,CAC!$A$2:$B$198,2,FALSE)</f>
        <v>XXX</v>
      </c>
    </row>
    <row r="976" spans="5:14" x14ac:dyDescent="0.25">
      <c r="E976" s="136">
        <v>201604</v>
      </c>
      <c r="F976" s="138" t="s">
        <v>345</v>
      </c>
      <c r="G976" s="138" t="s">
        <v>351</v>
      </c>
      <c r="H976" s="138" t="s">
        <v>349</v>
      </c>
      <c r="I976" s="139">
        <v>0</v>
      </c>
      <c r="K976" s="96" t="str">
        <f t="shared" si="41"/>
        <v>0011-0000-0017</v>
      </c>
      <c r="L976" s="96" t="e">
        <f>VLOOKUP(K976,COA!$A$3:$B$337,2,FALSE)</f>
        <v>#N/A</v>
      </c>
      <c r="M976" s="96" t="str">
        <f t="shared" si="42"/>
        <v>XXX</v>
      </c>
      <c r="N976" s="96" t="str">
        <f>VLOOKUP(M976,CAC!$A$2:$B$198,2,FALSE)</f>
        <v>XXX</v>
      </c>
    </row>
    <row r="977" spans="5:14" x14ac:dyDescent="0.25">
      <c r="E977" s="136">
        <v>201507</v>
      </c>
      <c r="F977" s="138" t="s">
        <v>413</v>
      </c>
      <c r="G977" s="138" t="s">
        <v>348</v>
      </c>
      <c r="H977" s="138" t="s">
        <v>349</v>
      </c>
      <c r="I977" s="139">
        <v>0</v>
      </c>
      <c r="K977" s="96" t="str">
        <f t="shared" si="41"/>
        <v>0008-1010-0017</v>
      </c>
      <c r="L977" s="96" t="str">
        <f>VLOOKUP(K977,COA!$A$3:$B$337,2,FALSE)</f>
        <v>C94</v>
      </c>
      <c r="M977" s="96" t="str">
        <f t="shared" si="42"/>
        <v>C94</v>
      </c>
      <c r="N977" s="96" t="str">
        <f>VLOOKUP(M977,CAC!$A$2:$B$198,2,FALSE)</f>
        <v>DOISG</v>
      </c>
    </row>
    <row r="978" spans="5:14" x14ac:dyDescent="0.25">
      <c r="E978" s="136">
        <v>201706</v>
      </c>
      <c r="F978" s="138" t="s">
        <v>345</v>
      </c>
      <c r="G978" s="138" t="s">
        <v>356</v>
      </c>
      <c r="H978" s="138" t="s">
        <v>344</v>
      </c>
      <c r="I978" s="139">
        <v>16132</v>
      </c>
      <c r="K978" s="96" t="str">
        <f t="shared" si="41"/>
        <v>0011-1002-0012</v>
      </c>
      <c r="L978" s="96" t="str">
        <f>VLOOKUP(K978,COA!$A$3:$B$337,2,FALSE)</f>
        <v>F20</v>
      </c>
      <c r="M978" s="96" t="str">
        <f t="shared" si="42"/>
        <v>F20</v>
      </c>
      <c r="N978" s="96" t="str">
        <f>VLOOKUP(M978,CAC!$A$2:$B$198,2,FALSE)</f>
        <v>HMOPMR</v>
      </c>
    </row>
    <row r="979" spans="5:14" x14ac:dyDescent="0.25">
      <c r="E979" s="136">
        <v>201601</v>
      </c>
      <c r="F979" s="138" t="s">
        <v>506</v>
      </c>
      <c r="G979" s="138" t="s">
        <v>359</v>
      </c>
      <c r="H979" s="138" t="s">
        <v>592</v>
      </c>
      <c r="I979" s="139">
        <v>0</v>
      </c>
      <c r="K979" s="96" t="str">
        <f t="shared" si="41"/>
        <v>0013-1005-0035</v>
      </c>
      <c r="L979" s="96" t="str">
        <f>VLOOKUP(K979,COA!$A$3:$B$337,2,FALSE)</f>
        <v>N41</v>
      </c>
      <c r="M979" s="96" t="str">
        <f t="shared" si="42"/>
        <v>N41</v>
      </c>
      <c r="N979" s="96" t="e">
        <f>VLOOKUP(M979,CAC!$A$2:$B$198,2,FALSE)</f>
        <v>#N/A</v>
      </c>
    </row>
    <row r="980" spans="5:14" x14ac:dyDescent="0.25">
      <c r="E980" s="136">
        <v>201708</v>
      </c>
      <c r="F980" s="138" t="s">
        <v>552</v>
      </c>
      <c r="G980" s="138" t="s">
        <v>356</v>
      </c>
      <c r="H980" s="138" t="s">
        <v>672</v>
      </c>
      <c r="I980" s="139">
        <v>0</v>
      </c>
      <c r="K980" s="96" t="str">
        <f t="shared" si="41"/>
        <v>0027-1002-0058</v>
      </c>
      <c r="L980" s="96" t="str">
        <f>VLOOKUP(K980,COA!$A$3:$B$337,2,FALSE)</f>
        <v>L45</v>
      </c>
      <c r="M980" s="96" t="str">
        <f t="shared" si="42"/>
        <v>L45</v>
      </c>
      <c r="N980" s="96" t="e">
        <f>VLOOKUP(M980,CAC!$A$2:$B$198,2,FALSE)</f>
        <v>#N/A</v>
      </c>
    </row>
    <row r="981" spans="5:14" x14ac:dyDescent="0.25">
      <c r="E981" s="136">
        <v>201502</v>
      </c>
      <c r="F981" s="138" t="s">
        <v>563</v>
      </c>
      <c r="G981" s="138" t="s">
        <v>365</v>
      </c>
      <c r="H981" s="138" t="s">
        <v>411</v>
      </c>
      <c r="I981" s="139">
        <v>0</v>
      </c>
      <c r="K981" s="96" t="str">
        <f t="shared" si="41"/>
        <v>0003-1001-0007</v>
      </c>
      <c r="L981" s="96" t="str">
        <f>VLOOKUP(K981,COA!$A$3:$B$337,2,FALSE)</f>
        <v>V52</v>
      </c>
      <c r="M981" s="96" t="str">
        <f t="shared" si="42"/>
        <v>V52</v>
      </c>
      <c r="N981" s="96" t="str">
        <f>VLOOKUP(M981,CAC!$A$2:$B$198,2,FALSE)</f>
        <v>PPOIFP</v>
      </c>
    </row>
    <row r="982" spans="5:14" x14ac:dyDescent="0.25">
      <c r="E982" s="136">
        <v>201712</v>
      </c>
      <c r="F982" s="138" t="s">
        <v>563</v>
      </c>
      <c r="G982" s="138" t="s">
        <v>361</v>
      </c>
      <c r="H982" s="138" t="s">
        <v>344</v>
      </c>
      <c r="I982" s="139">
        <v>0</v>
      </c>
      <c r="K982" s="96" t="str">
        <f t="shared" si="41"/>
        <v>0003-1003-0012</v>
      </c>
      <c r="L982" s="96" t="str">
        <f>VLOOKUP(K982,COA!$A$3:$B$337,2,FALSE)</f>
        <v>N61</v>
      </c>
      <c r="M982" s="96" t="str">
        <f t="shared" si="42"/>
        <v>N61</v>
      </c>
      <c r="N982" s="96" t="str">
        <f>VLOOKUP(M982,CAC!$A$2:$B$198,2,FALSE)</f>
        <v>PPOPMR</v>
      </c>
    </row>
    <row r="983" spans="5:14" x14ac:dyDescent="0.25">
      <c r="E983" s="136">
        <v>201604</v>
      </c>
      <c r="F983" s="138" t="s">
        <v>413</v>
      </c>
      <c r="G983" s="138" t="s">
        <v>352</v>
      </c>
      <c r="H983" s="138" t="s">
        <v>344</v>
      </c>
      <c r="I983" s="139">
        <v>0</v>
      </c>
      <c r="K983" s="96" t="str">
        <f t="shared" si="41"/>
        <v>0008-1004-0012</v>
      </c>
      <c r="L983" s="96" t="str">
        <f>VLOOKUP(K983,COA!$A$3:$B$337,2,FALSE)</f>
        <v>C93</v>
      </c>
      <c r="M983" s="96" t="str">
        <f t="shared" si="42"/>
        <v>C93</v>
      </c>
      <c r="N983" s="96" t="str">
        <f>VLOOKUP(M983,CAC!$A$2:$B$198,2,FALSE)</f>
        <v>DOILG</v>
      </c>
    </row>
    <row r="984" spans="5:14" x14ac:dyDescent="0.25">
      <c r="E984" s="136">
        <v>201601</v>
      </c>
      <c r="F984" s="138" t="s">
        <v>345</v>
      </c>
      <c r="G984" s="138" t="s">
        <v>351</v>
      </c>
      <c r="H984" s="138" t="s">
        <v>349</v>
      </c>
      <c r="I984" s="139">
        <v>0</v>
      </c>
      <c r="K984" s="96" t="str">
        <f t="shared" si="41"/>
        <v>0011-0000-0017</v>
      </c>
      <c r="L984" s="96" t="e">
        <f>VLOOKUP(K984,COA!$A$3:$B$337,2,FALSE)</f>
        <v>#N/A</v>
      </c>
      <c r="M984" s="96" t="str">
        <f t="shared" si="42"/>
        <v>XXX</v>
      </c>
      <c r="N984" s="96" t="str">
        <f>VLOOKUP(M984,CAC!$A$2:$B$198,2,FALSE)</f>
        <v>XXX</v>
      </c>
    </row>
    <row r="985" spans="5:14" x14ac:dyDescent="0.25">
      <c r="E985" s="136">
        <v>201701</v>
      </c>
      <c r="F985" s="138" t="s">
        <v>563</v>
      </c>
      <c r="G985" s="138" t="s">
        <v>365</v>
      </c>
      <c r="H985" s="138" t="s">
        <v>367</v>
      </c>
      <c r="I985" s="139">
        <v>0</v>
      </c>
      <c r="K985" s="96" t="str">
        <f t="shared" si="41"/>
        <v>0003-1001-0022</v>
      </c>
      <c r="L985" s="96" t="str">
        <f>VLOOKUP(K985,COA!$A$3:$B$337,2,FALSE)</f>
        <v>V54</v>
      </c>
      <c r="M985" s="96" t="str">
        <f t="shared" si="42"/>
        <v>V54</v>
      </c>
      <c r="N985" s="96" t="str">
        <f>VLOOKUP(M985,CAC!$A$2:$B$198,2,FALSE)</f>
        <v>PPOIFP</v>
      </c>
    </row>
    <row r="986" spans="5:14" x14ac:dyDescent="0.25">
      <c r="E986" s="136">
        <v>201602</v>
      </c>
      <c r="F986" s="138" t="s">
        <v>563</v>
      </c>
      <c r="G986" s="138" t="s">
        <v>369</v>
      </c>
      <c r="H986" s="138" t="s">
        <v>345</v>
      </c>
      <c r="I986" s="139">
        <v>0</v>
      </c>
      <c r="K986" s="96" t="str">
        <f t="shared" si="41"/>
        <v>0003-1009-0011</v>
      </c>
      <c r="L986" s="96" t="str">
        <f>VLOOKUP(K986,COA!$A$3:$B$337,2,FALSE)</f>
        <v>V91</v>
      </c>
      <c r="M986" s="96" t="str">
        <f t="shared" si="42"/>
        <v>V91</v>
      </c>
      <c r="N986" s="96" t="str">
        <f>VLOOKUP(M986,CAC!$A$2:$B$198,2,FALSE)</f>
        <v>PPOMM</v>
      </c>
    </row>
    <row r="987" spans="5:14" x14ac:dyDescent="0.25">
      <c r="E987" s="136">
        <v>201704</v>
      </c>
      <c r="F987" s="138" t="s">
        <v>746</v>
      </c>
      <c r="G987" s="138" t="s">
        <v>350</v>
      </c>
      <c r="H987" s="138" t="s">
        <v>764</v>
      </c>
      <c r="I987" s="139">
        <v>18</v>
      </c>
      <c r="K987" s="96" t="str">
        <f t="shared" si="41"/>
        <v>0016-1012-0064</v>
      </c>
      <c r="L987" s="96" t="str">
        <f>VLOOKUP(K987,COA!$A$3:$B$337,2,FALSE)</f>
        <v>R25</v>
      </c>
      <c r="M987" s="96" t="str">
        <f t="shared" si="42"/>
        <v>R25</v>
      </c>
      <c r="N987" s="96" t="str">
        <f>VLOOKUP(M987,CAC!$A$2:$B$198,2,FALSE)</f>
        <v>HMOMG</v>
      </c>
    </row>
    <row r="988" spans="5:14" x14ac:dyDescent="0.25">
      <c r="E988" s="136">
        <v>201701</v>
      </c>
      <c r="F988" s="138" t="s">
        <v>349</v>
      </c>
      <c r="G988" s="138" t="s">
        <v>369</v>
      </c>
      <c r="H988" s="138" t="s">
        <v>344</v>
      </c>
      <c r="I988" s="139">
        <v>42889</v>
      </c>
      <c r="K988" s="96" t="str">
        <f t="shared" si="41"/>
        <v>0017-1009-0012</v>
      </c>
      <c r="L988" s="96" t="str">
        <f>VLOOKUP(K988,COA!$A$3:$B$337,2,FALSE)</f>
        <v>R12</v>
      </c>
      <c r="M988" s="96" t="str">
        <f t="shared" si="42"/>
        <v>R12</v>
      </c>
      <c r="N988" s="96" t="str">
        <f>VLOOKUP(M988,CAC!$A$2:$B$198,2,FALSE)</f>
        <v>HMOMM</v>
      </c>
    </row>
    <row r="989" spans="5:14" x14ac:dyDescent="0.25">
      <c r="E989" s="136">
        <v>201603</v>
      </c>
      <c r="F989" s="138" t="s">
        <v>563</v>
      </c>
      <c r="G989" s="138" t="s">
        <v>365</v>
      </c>
      <c r="H989" s="138" t="s">
        <v>798</v>
      </c>
      <c r="I989" s="139">
        <v>0</v>
      </c>
      <c r="K989" s="96" t="str">
        <f t="shared" si="41"/>
        <v>0003-1001-0065</v>
      </c>
      <c r="L989" s="96" t="str">
        <f>VLOOKUP(K989,COA!$A$3:$B$337,2,FALSE)</f>
        <v>V55</v>
      </c>
      <c r="M989" s="96" t="str">
        <f t="shared" si="42"/>
        <v>V55</v>
      </c>
      <c r="N989" s="96" t="e">
        <f>VLOOKUP(M989,CAC!$A$2:$B$198,2,FALSE)</f>
        <v>#N/A</v>
      </c>
    </row>
    <row r="990" spans="5:14" x14ac:dyDescent="0.25">
      <c r="E990" s="136">
        <v>201608</v>
      </c>
      <c r="F990" s="138" t="s">
        <v>563</v>
      </c>
      <c r="G990" s="138" t="s">
        <v>354</v>
      </c>
      <c r="H990" s="138" t="s">
        <v>626</v>
      </c>
      <c r="I990" s="139">
        <v>0</v>
      </c>
      <c r="K990" s="96" t="str">
        <f t="shared" si="41"/>
        <v>0003-1013-0057</v>
      </c>
      <c r="L990" s="96" t="str">
        <f>VLOOKUP(K990,COA!$A$3:$B$337,2,FALSE)</f>
        <v>N55</v>
      </c>
      <c r="M990" s="96" t="str">
        <f t="shared" si="42"/>
        <v>N55</v>
      </c>
      <c r="N990" s="96" t="str">
        <f>VLOOKUP(M990,CAC!$A$2:$B$198,2,FALSE)</f>
        <v>PPOPMR</v>
      </c>
    </row>
    <row r="991" spans="5:14" x14ac:dyDescent="0.25">
      <c r="E991" s="136">
        <v>201707</v>
      </c>
      <c r="F991" s="138" t="s">
        <v>345</v>
      </c>
      <c r="G991" s="138" t="s">
        <v>348</v>
      </c>
      <c r="H991" s="138" t="s">
        <v>358</v>
      </c>
      <c r="I991" s="139">
        <v>128</v>
      </c>
      <c r="K991" s="96" t="str">
        <f t="shared" si="41"/>
        <v>0011-1010-0024</v>
      </c>
      <c r="L991" s="96" t="str">
        <f>VLOOKUP(K991,COA!$A$3:$B$337,2,FALSE)</f>
        <v>S14</v>
      </c>
      <c r="M991" s="96" t="str">
        <f t="shared" si="42"/>
        <v>S14</v>
      </c>
      <c r="N991" s="96" t="str">
        <f>VLOOKUP(M991,CAC!$A$2:$B$198,2,FALSE)</f>
        <v>HMOSG</v>
      </c>
    </row>
    <row r="992" spans="5:14" x14ac:dyDescent="0.25">
      <c r="E992" s="136">
        <v>201711</v>
      </c>
      <c r="F992" s="138" t="s">
        <v>506</v>
      </c>
      <c r="G992" s="138" t="s">
        <v>346</v>
      </c>
      <c r="H992" s="138" t="s">
        <v>592</v>
      </c>
      <c r="I992" s="139">
        <v>0</v>
      </c>
      <c r="K992" s="96" t="str">
        <f t="shared" si="41"/>
        <v>0013-1014-0035</v>
      </c>
      <c r="L992" s="96" t="str">
        <f>VLOOKUP(K992,COA!$A$3:$B$337,2,FALSE)</f>
        <v>K42</v>
      </c>
      <c r="M992" s="96" t="str">
        <f t="shared" si="42"/>
        <v>K42</v>
      </c>
      <c r="N992" s="96" t="str">
        <f>VLOOKUP(M992,CAC!$A$2:$B$198,2,FALSE)</f>
        <v>HMFLEX</v>
      </c>
    </row>
    <row r="993" spans="5:14" x14ac:dyDescent="0.25">
      <c r="E993" s="136">
        <v>201504</v>
      </c>
      <c r="F993" s="138" t="s">
        <v>563</v>
      </c>
      <c r="G993" s="138" t="s">
        <v>348</v>
      </c>
      <c r="H993" s="138" t="s">
        <v>358</v>
      </c>
      <c r="I993" s="139">
        <v>0</v>
      </c>
      <c r="K993" s="96" t="str">
        <f t="shared" si="41"/>
        <v>0003-1010-0024</v>
      </c>
      <c r="L993" s="96" t="str">
        <f>VLOOKUP(K993,COA!$A$3:$B$337,2,FALSE)</f>
        <v>S56</v>
      </c>
      <c r="M993" s="96" t="str">
        <f t="shared" si="42"/>
        <v>S56</v>
      </c>
      <c r="N993" s="96" t="str">
        <f>VLOOKUP(M993,CAC!$A$2:$B$198,2,FALSE)</f>
        <v>PPOSG</v>
      </c>
    </row>
    <row r="994" spans="5:14" x14ac:dyDescent="0.25">
      <c r="E994" s="136">
        <v>201506</v>
      </c>
      <c r="F994" s="138" t="s">
        <v>563</v>
      </c>
      <c r="G994" s="138" t="s">
        <v>348</v>
      </c>
      <c r="H994" s="138" t="s">
        <v>358</v>
      </c>
      <c r="I994" s="139">
        <v>0</v>
      </c>
      <c r="K994" s="96" t="str">
        <f t="shared" si="41"/>
        <v>0003-1010-0024</v>
      </c>
      <c r="L994" s="96" t="str">
        <f>VLOOKUP(K994,COA!$A$3:$B$337,2,FALSE)</f>
        <v>S56</v>
      </c>
      <c r="M994" s="96" t="str">
        <f t="shared" si="42"/>
        <v>S56</v>
      </c>
      <c r="N994" s="96" t="str">
        <f>VLOOKUP(M994,CAC!$A$2:$B$198,2,FALSE)</f>
        <v>PPOSG</v>
      </c>
    </row>
    <row r="995" spans="5:14" x14ac:dyDescent="0.25">
      <c r="E995" s="136">
        <v>201612</v>
      </c>
      <c r="F995" s="138" t="s">
        <v>345</v>
      </c>
      <c r="G995" s="138" t="s">
        <v>352</v>
      </c>
      <c r="H995" s="138" t="s">
        <v>357</v>
      </c>
      <c r="I995" s="139">
        <v>2215</v>
      </c>
      <c r="K995" s="96" t="str">
        <f t="shared" si="41"/>
        <v>0011-1004-0038</v>
      </c>
      <c r="L995" s="96" t="str">
        <f>VLOOKUP(K995,COA!$A$3:$B$337,2,FALSE)</f>
        <v>L14</v>
      </c>
      <c r="M995" s="96" t="str">
        <f t="shared" si="42"/>
        <v>L14</v>
      </c>
      <c r="N995" s="96" t="str">
        <f>VLOOKUP(M995,CAC!$A$2:$B$198,2,FALSE)</f>
        <v>HMOLG</v>
      </c>
    </row>
    <row r="996" spans="5:14" x14ac:dyDescent="0.25">
      <c r="E996" s="136">
        <v>201704</v>
      </c>
      <c r="F996" s="138" t="s">
        <v>746</v>
      </c>
      <c r="G996" s="138" t="s">
        <v>354</v>
      </c>
      <c r="H996" s="138" t="s">
        <v>344</v>
      </c>
      <c r="I996" s="139">
        <v>83</v>
      </c>
      <c r="K996" s="96" t="str">
        <f t="shared" si="41"/>
        <v>0016-1013-0012</v>
      </c>
      <c r="L996" s="96" t="str">
        <f>VLOOKUP(K996,COA!$A$3:$B$337,2,FALSE)</f>
        <v>R19</v>
      </c>
      <c r="M996" s="96" t="str">
        <f t="shared" si="42"/>
        <v>R19</v>
      </c>
      <c r="N996" s="96" t="str">
        <f>VLOOKUP(M996,CAC!$A$2:$B$198,2,FALSE)</f>
        <v>HMOMG</v>
      </c>
    </row>
    <row r="997" spans="5:14" x14ac:dyDescent="0.25">
      <c r="E997" s="136">
        <v>201611</v>
      </c>
      <c r="F997" s="138" t="s">
        <v>345</v>
      </c>
      <c r="G997" s="138" t="s">
        <v>348</v>
      </c>
      <c r="H997" s="138" t="s">
        <v>358</v>
      </c>
      <c r="I997" s="139">
        <v>83</v>
      </c>
      <c r="K997" s="96" t="str">
        <f t="shared" si="41"/>
        <v>0011-1010-0024</v>
      </c>
      <c r="L997" s="96" t="str">
        <f>VLOOKUP(K997,COA!$A$3:$B$337,2,FALSE)</f>
        <v>S14</v>
      </c>
      <c r="M997" s="96" t="str">
        <f t="shared" si="42"/>
        <v>S14</v>
      </c>
      <c r="N997" s="96" t="str">
        <f>VLOOKUP(M997,CAC!$A$2:$B$198,2,FALSE)</f>
        <v>HMOSG</v>
      </c>
    </row>
    <row r="998" spans="5:14" x14ac:dyDescent="0.25">
      <c r="E998" s="136">
        <v>201702</v>
      </c>
      <c r="F998" s="138" t="s">
        <v>345</v>
      </c>
      <c r="G998" s="138" t="s">
        <v>354</v>
      </c>
      <c r="H998" s="138" t="s">
        <v>360</v>
      </c>
      <c r="I998" s="139">
        <v>5092</v>
      </c>
      <c r="K998" s="96" t="str">
        <f t="shared" si="41"/>
        <v>0011-1013-0048</v>
      </c>
      <c r="L998" s="96" t="str">
        <f>VLOOKUP(K998,COA!$A$3:$B$337,2,FALSE)</f>
        <v>N21</v>
      </c>
      <c r="M998" s="96" t="str">
        <f t="shared" si="42"/>
        <v>N21</v>
      </c>
      <c r="N998" s="96" t="str">
        <f>VLOOKUP(M998,CAC!$A$2:$B$198,2,FALSE)</f>
        <v>HMFLEX</v>
      </c>
    </row>
    <row r="999" spans="5:14" x14ac:dyDescent="0.25">
      <c r="E999" s="136">
        <v>201509</v>
      </c>
      <c r="F999" s="138" t="s">
        <v>563</v>
      </c>
      <c r="G999" s="138" t="s">
        <v>359</v>
      </c>
      <c r="H999" s="138" t="s">
        <v>344</v>
      </c>
      <c r="I999" s="139">
        <v>0</v>
      </c>
      <c r="K999" s="96" t="str">
        <f t="shared" si="41"/>
        <v>0003-1005-0012</v>
      </c>
      <c r="L999" s="96" t="str">
        <f>VLOOKUP(K999,COA!$A$3:$B$337,2,FALSE)</f>
        <v>N51</v>
      </c>
      <c r="M999" s="96" t="str">
        <f t="shared" si="42"/>
        <v>N51</v>
      </c>
      <c r="N999" s="96" t="str">
        <f>VLOOKUP(M999,CAC!$A$2:$B$198,2,FALSE)</f>
        <v>PPOLG</v>
      </c>
    </row>
    <row r="1000" spans="5:14" x14ac:dyDescent="0.25">
      <c r="E1000" s="136">
        <v>201612</v>
      </c>
      <c r="F1000" s="138" t="s">
        <v>563</v>
      </c>
      <c r="G1000" s="138" t="s">
        <v>356</v>
      </c>
      <c r="H1000" s="138" t="s">
        <v>344</v>
      </c>
      <c r="I1000" s="139">
        <v>0</v>
      </c>
      <c r="K1000" s="96" t="str">
        <f t="shared" si="41"/>
        <v>0003-1002-0012</v>
      </c>
      <c r="L1000" s="96" t="str">
        <f>VLOOKUP(K1000,COA!$A$3:$B$337,2,FALSE)</f>
        <v>F61</v>
      </c>
      <c r="M1000" s="96" t="str">
        <f t="shared" si="42"/>
        <v>F61</v>
      </c>
      <c r="N1000" s="96" t="str">
        <f>VLOOKUP(M1000,CAC!$A$2:$B$198,2,FALSE)</f>
        <v>PPOPMR</v>
      </c>
    </row>
    <row r="1001" spans="5:14" x14ac:dyDescent="0.25">
      <c r="E1001" s="136">
        <v>201609</v>
      </c>
      <c r="F1001" s="138" t="s">
        <v>344</v>
      </c>
      <c r="G1001" s="138" t="s">
        <v>350</v>
      </c>
      <c r="H1001" s="138" t="s">
        <v>344</v>
      </c>
      <c r="I1001" s="139">
        <v>108</v>
      </c>
      <c r="K1001" s="96" t="str">
        <f t="shared" si="41"/>
        <v>0012-1012-0012</v>
      </c>
      <c r="L1001" s="96" t="str">
        <f>VLOOKUP(K1001,COA!$A$3:$B$337,2,FALSE)</f>
        <v>K12</v>
      </c>
      <c r="M1001" s="96" t="str">
        <f t="shared" si="42"/>
        <v>K12</v>
      </c>
      <c r="N1001" s="96" t="str">
        <f>VLOOKUP(M1001,CAC!$A$2:$B$198,2,FALSE)</f>
        <v>HMOPMR</v>
      </c>
    </row>
    <row r="1002" spans="5:14" x14ac:dyDescent="0.25">
      <c r="E1002" s="136">
        <v>201504</v>
      </c>
      <c r="F1002" s="138" t="s">
        <v>563</v>
      </c>
      <c r="G1002" s="138" t="s">
        <v>351</v>
      </c>
      <c r="H1002" s="138" t="s">
        <v>349</v>
      </c>
      <c r="I1002" s="139">
        <v>0</v>
      </c>
      <c r="K1002" s="96" t="str">
        <f t="shared" si="41"/>
        <v>0003-0000-0017</v>
      </c>
      <c r="L1002" s="96" t="e">
        <f>VLOOKUP(K1002,COA!$A$3:$B$337,2,FALSE)</f>
        <v>#N/A</v>
      </c>
      <c r="M1002" s="96" t="str">
        <f t="shared" si="42"/>
        <v>XXX</v>
      </c>
      <c r="N1002" s="96" t="str">
        <f>VLOOKUP(M1002,CAC!$A$2:$B$198,2,FALSE)</f>
        <v>XXX</v>
      </c>
    </row>
    <row r="1003" spans="5:14" x14ac:dyDescent="0.25">
      <c r="E1003" s="136">
        <v>201511</v>
      </c>
      <c r="F1003" s="138" t="s">
        <v>345</v>
      </c>
      <c r="G1003" s="138" t="s">
        <v>351</v>
      </c>
      <c r="H1003" s="138" t="s">
        <v>349</v>
      </c>
      <c r="I1003" s="139">
        <v>1</v>
      </c>
      <c r="K1003" s="96" t="str">
        <f t="shared" si="41"/>
        <v>0011-0000-0017</v>
      </c>
      <c r="L1003" s="96" t="e">
        <f>VLOOKUP(K1003,COA!$A$3:$B$337,2,FALSE)</f>
        <v>#N/A</v>
      </c>
      <c r="M1003" s="96" t="str">
        <f t="shared" si="42"/>
        <v>XXX</v>
      </c>
      <c r="N1003" s="96" t="str">
        <f>VLOOKUP(M1003,CAC!$A$2:$B$198,2,FALSE)</f>
        <v>XXX</v>
      </c>
    </row>
    <row r="1004" spans="5:14" x14ac:dyDescent="0.25">
      <c r="E1004" s="136">
        <v>201604</v>
      </c>
      <c r="F1004" s="138" t="s">
        <v>563</v>
      </c>
      <c r="G1004" s="138" t="s">
        <v>359</v>
      </c>
      <c r="H1004" s="138" t="s">
        <v>344</v>
      </c>
      <c r="I1004" s="139">
        <v>0</v>
      </c>
      <c r="K1004" s="96" t="str">
        <f t="shared" si="41"/>
        <v>0003-1005-0012</v>
      </c>
      <c r="L1004" s="96" t="str">
        <f>VLOOKUP(K1004,COA!$A$3:$B$337,2,FALSE)</f>
        <v>N51</v>
      </c>
      <c r="M1004" s="96" t="str">
        <f t="shared" si="42"/>
        <v>N51</v>
      </c>
      <c r="N1004" s="96" t="str">
        <f>VLOOKUP(M1004,CAC!$A$2:$B$198,2,FALSE)</f>
        <v>PPOLG</v>
      </c>
    </row>
    <row r="1005" spans="5:14" x14ac:dyDescent="0.25">
      <c r="E1005" s="136">
        <v>201707</v>
      </c>
      <c r="F1005" s="138" t="s">
        <v>345</v>
      </c>
      <c r="G1005" s="138" t="s">
        <v>354</v>
      </c>
      <c r="H1005" s="138" t="s">
        <v>344</v>
      </c>
      <c r="I1005" s="139">
        <v>4215</v>
      </c>
      <c r="K1005" s="96" t="str">
        <f t="shared" si="41"/>
        <v>0011-1013-0012</v>
      </c>
      <c r="L1005" s="96" t="str">
        <f>VLOOKUP(K1005,COA!$A$3:$B$337,2,FALSE)</f>
        <v>N20</v>
      </c>
      <c r="M1005" s="96" t="str">
        <f t="shared" si="42"/>
        <v>N20</v>
      </c>
      <c r="N1005" s="96" t="str">
        <f>VLOOKUP(M1005,CAC!$A$2:$B$198,2,FALSE)</f>
        <v>HMOPMR</v>
      </c>
    </row>
    <row r="1006" spans="5:14" x14ac:dyDescent="0.25">
      <c r="E1006" s="136">
        <v>201602</v>
      </c>
      <c r="F1006" s="138" t="s">
        <v>563</v>
      </c>
      <c r="G1006" s="138" t="s">
        <v>348</v>
      </c>
      <c r="H1006" s="138" t="s">
        <v>353</v>
      </c>
      <c r="I1006" s="139">
        <v>0</v>
      </c>
      <c r="K1006" s="96" t="str">
        <f t="shared" si="41"/>
        <v>0003-1010-0023</v>
      </c>
      <c r="L1006" s="96" t="str">
        <f>VLOOKUP(K1006,COA!$A$3:$B$337,2,FALSE)</f>
        <v>S54</v>
      </c>
      <c r="M1006" s="96" t="str">
        <f t="shared" si="42"/>
        <v>S54</v>
      </c>
      <c r="N1006" s="96" t="str">
        <f>VLOOKUP(M1006,CAC!$A$2:$B$198,2,FALSE)</f>
        <v>PPOSG</v>
      </c>
    </row>
    <row r="1007" spans="5:14" x14ac:dyDescent="0.25">
      <c r="E1007" s="136">
        <v>201708</v>
      </c>
      <c r="F1007" s="138" t="s">
        <v>563</v>
      </c>
      <c r="G1007" s="138" t="s">
        <v>365</v>
      </c>
      <c r="H1007" s="138" t="s">
        <v>366</v>
      </c>
      <c r="I1007" s="139">
        <v>0</v>
      </c>
      <c r="K1007" s="96" t="str">
        <f t="shared" si="41"/>
        <v>0003-1001-0021</v>
      </c>
      <c r="L1007" s="96" t="str">
        <f>VLOOKUP(K1007,COA!$A$3:$B$337,2,FALSE)</f>
        <v>V53</v>
      </c>
      <c r="M1007" s="96" t="str">
        <f t="shared" si="42"/>
        <v>V53</v>
      </c>
      <c r="N1007" s="96" t="str">
        <f>VLOOKUP(M1007,CAC!$A$2:$B$198,2,FALSE)</f>
        <v>PPOIFP</v>
      </c>
    </row>
    <row r="1008" spans="5:14" x14ac:dyDescent="0.25">
      <c r="E1008" s="136">
        <v>201506</v>
      </c>
      <c r="F1008" s="138" t="s">
        <v>345</v>
      </c>
      <c r="G1008" s="138" t="s">
        <v>352</v>
      </c>
      <c r="H1008" s="138" t="s">
        <v>344</v>
      </c>
      <c r="I1008" s="139">
        <v>6272.45</v>
      </c>
      <c r="K1008" s="96" t="str">
        <f t="shared" si="41"/>
        <v>0011-1004-0012</v>
      </c>
      <c r="L1008" s="96" t="str">
        <f>VLOOKUP(K1008,COA!$A$3:$B$337,2,FALSE)</f>
        <v>L11</v>
      </c>
      <c r="M1008" s="96" t="str">
        <f t="shared" si="42"/>
        <v>L11</v>
      </c>
      <c r="N1008" s="96" t="str">
        <f>VLOOKUP(M1008,CAC!$A$2:$B$198,2,FALSE)</f>
        <v>HMOLG</v>
      </c>
    </row>
    <row r="1009" spans="5:14" x14ac:dyDescent="0.25">
      <c r="E1009" s="136">
        <v>201707</v>
      </c>
      <c r="F1009" s="138" t="s">
        <v>345</v>
      </c>
      <c r="G1009" s="138" t="s">
        <v>362</v>
      </c>
      <c r="H1009" s="138" t="s">
        <v>364</v>
      </c>
      <c r="I1009" s="139">
        <v>47137.95</v>
      </c>
      <c r="K1009" s="96" t="str">
        <f t="shared" si="41"/>
        <v>0011-1008-0037</v>
      </c>
      <c r="L1009" s="96" t="str">
        <f>VLOOKUP(K1009,COA!$A$3:$B$337,2,FALSE)</f>
        <v>P12</v>
      </c>
      <c r="M1009" s="96" t="str">
        <f t="shared" si="42"/>
        <v>P12</v>
      </c>
      <c r="N1009" s="96" t="str">
        <f>VLOOKUP(M1009,CAC!$A$2:$B$198,2,FALSE)</f>
        <v>HMOPERA</v>
      </c>
    </row>
    <row r="1010" spans="5:14" x14ac:dyDescent="0.25">
      <c r="E1010" s="136">
        <v>201605</v>
      </c>
      <c r="F1010" s="138" t="s">
        <v>413</v>
      </c>
      <c r="G1010" s="138" t="s">
        <v>365</v>
      </c>
      <c r="H1010" s="138" t="s">
        <v>344</v>
      </c>
      <c r="I1010" s="139">
        <v>0</v>
      </c>
      <c r="K1010" s="96" t="str">
        <f t="shared" si="41"/>
        <v>0008-1001-0012</v>
      </c>
      <c r="L1010" s="96" t="str">
        <f>VLOOKUP(K1010,COA!$A$3:$B$337,2,FALSE)</f>
        <v>C95</v>
      </c>
      <c r="M1010" s="96" t="str">
        <f t="shared" si="42"/>
        <v>C95</v>
      </c>
      <c r="N1010" s="96" t="str">
        <f>VLOOKUP(M1010,CAC!$A$2:$B$198,2,FALSE)</f>
        <v>DOIIFP</v>
      </c>
    </row>
    <row r="1011" spans="5:14" x14ac:dyDescent="0.25">
      <c r="E1011" s="136">
        <v>201610</v>
      </c>
      <c r="F1011" s="138" t="s">
        <v>345</v>
      </c>
      <c r="G1011" s="138" t="s">
        <v>356</v>
      </c>
      <c r="H1011" s="138" t="s">
        <v>344</v>
      </c>
      <c r="I1011" s="139">
        <v>15528</v>
      </c>
      <c r="K1011" s="96" t="str">
        <f t="shared" si="41"/>
        <v>0011-1002-0012</v>
      </c>
      <c r="L1011" s="96" t="str">
        <f>VLOOKUP(K1011,COA!$A$3:$B$337,2,FALSE)</f>
        <v>F20</v>
      </c>
      <c r="M1011" s="96" t="str">
        <f t="shared" si="42"/>
        <v>F20</v>
      </c>
      <c r="N1011" s="96" t="str">
        <f>VLOOKUP(M1011,CAC!$A$2:$B$198,2,FALSE)</f>
        <v>HMOPMR</v>
      </c>
    </row>
    <row r="1012" spans="5:14" x14ac:dyDescent="0.25">
      <c r="E1012" s="136">
        <v>201612</v>
      </c>
      <c r="F1012" s="138" t="s">
        <v>563</v>
      </c>
      <c r="G1012" s="138" t="s">
        <v>355</v>
      </c>
      <c r="H1012" s="138" t="s">
        <v>344</v>
      </c>
      <c r="I1012" s="139">
        <v>0</v>
      </c>
      <c r="K1012" s="96" t="str">
        <f t="shared" si="41"/>
        <v>0003-1006-0012</v>
      </c>
      <c r="L1012" s="96" t="str">
        <f>VLOOKUP(K1012,COA!$A$3:$B$337,2,FALSE)</f>
        <v>L52</v>
      </c>
      <c r="M1012" s="96" t="str">
        <f t="shared" si="42"/>
        <v>L52</v>
      </c>
      <c r="N1012" s="96" t="str">
        <f>VLOOKUP(M1012,CAC!$A$2:$B$198,2,FALSE)</f>
        <v>PPOLG</v>
      </c>
    </row>
    <row r="1013" spans="5:14" x14ac:dyDescent="0.25">
      <c r="E1013" s="136">
        <v>201704</v>
      </c>
      <c r="F1013" s="138" t="s">
        <v>563</v>
      </c>
      <c r="G1013" s="138" t="s">
        <v>354</v>
      </c>
      <c r="H1013" s="138" t="s">
        <v>344</v>
      </c>
      <c r="I1013" s="139">
        <v>0</v>
      </c>
      <c r="K1013" s="96" t="str">
        <f t="shared" si="41"/>
        <v>0003-1013-0012</v>
      </c>
      <c r="L1013" s="96" t="str">
        <f>VLOOKUP(K1013,COA!$A$3:$B$337,2,FALSE)</f>
        <v>N55</v>
      </c>
      <c r="M1013" s="96" t="str">
        <f t="shared" si="42"/>
        <v>N55</v>
      </c>
      <c r="N1013" s="96" t="str">
        <f>VLOOKUP(M1013,CAC!$A$2:$B$198,2,FALSE)</f>
        <v>PPOPMR</v>
      </c>
    </row>
    <row r="1014" spans="5:14" x14ac:dyDescent="0.25">
      <c r="E1014" s="136">
        <v>201508</v>
      </c>
      <c r="F1014" s="138" t="s">
        <v>345</v>
      </c>
      <c r="G1014" s="138" t="s">
        <v>362</v>
      </c>
      <c r="H1014" s="138" t="s">
        <v>371</v>
      </c>
      <c r="I1014" s="139">
        <v>6205</v>
      </c>
      <c r="K1014" s="96" t="str">
        <f t="shared" si="41"/>
        <v>0011-1008-0033</v>
      </c>
      <c r="L1014" s="96" t="str">
        <f>VLOOKUP(K1014,COA!$A$3:$B$337,2,FALSE)</f>
        <v>P13</v>
      </c>
      <c r="M1014" s="96" t="str">
        <f t="shared" si="42"/>
        <v>P13</v>
      </c>
      <c r="N1014" s="96" t="str">
        <f>VLOOKUP(M1014,CAC!$A$2:$B$198,2,FALSE)</f>
        <v>PERMEDA</v>
      </c>
    </row>
    <row r="1015" spans="5:14" x14ac:dyDescent="0.25">
      <c r="E1015" s="136">
        <v>201510</v>
      </c>
      <c r="F1015" s="138" t="s">
        <v>746</v>
      </c>
      <c r="G1015" s="138" t="s">
        <v>350</v>
      </c>
      <c r="H1015" s="138" t="s">
        <v>344</v>
      </c>
      <c r="I1015" s="139">
        <v>65</v>
      </c>
      <c r="K1015" s="96" t="str">
        <f t="shared" si="41"/>
        <v>0016-1012-0012</v>
      </c>
      <c r="L1015" s="96" t="str">
        <f>VLOOKUP(K1015,COA!$A$3:$B$337,2,FALSE)</f>
        <v>R19</v>
      </c>
      <c r="M1015" s="96" t="str">
        <f t="shared" si="42"/>
        <v>R19</v>
      </c>
      <c r="N1015" s="96" t="str">
        <f>VLOOKUP(M1015,CAC!$A$2:$B$198,2,FALSE)</f>
        <v>HMOMG</v>
      </c>
    </row>
    <row r="1016" spans="5:14" x14ac:dyDescent="0.25">
      <c r="E1016" s="136">
        <v>201701</v>
      </c>
      <c r="F1016" s="138" t="s">
        <v>345</v>
      </c>
      <c r="G1016" s="138" t="s">
        <v>351</v>
      </c>
      <c r="H1016" s="138" t="s">
        <v>349</v>
      </c>
      <c r="I1016" s="139">
        <v>0</v>
      </c>
      <c r="K1016" s="96" t="str">
        <f t="shared" si="41"/>
        <v>0011-0000-0017</v>
      </c>
      <c r="L1016" s="96" t="e">
        <f>VLOOKUP(K1016,COA!$A$3:$B$337,2,FALSE)</f>
        <v>#N/A</v>
      </c>
      <c r="M1016" s="96" t="str">
        <f t="shared" si="42"/>
        <v>XXX</v>
      </c>
      <c r="N1016" s="96" t="str">
        <f>VLOOKUP(M1016,CAC!$A$2:$B$198,2,FALSE)</f>
        <v>XXX</v>
      </c>
    </row>
    <row r="1017" spans="5:14" x14ac:dyDescent="0.25">
      <c r="E1017" s="136">
        <v>201511</v>
      </c>
      <c r="F1017" s="138" t="s">
        <v>524</v>
      </c>
      <c r="G1017" s="138" t="s">
        <v>359</v>
      </c>
      <c r="H1017" s="138" t="s">
        <v>672</v>
      </c>
      <c r="I1017" s="139">
        <v>0</v>
      </c>
      <c r="K1017" s="96" t="str">
        <f t="shared" si="41"/>
        <v>0025-1005-0058</v>
      </c>
      <c r="L1017" s="96" t="str">
        <f>VLOOKUP(K1017,COA!$A$3:$B$337,2,FALSE)</f>
        <v>N46</v>
      </c>
      <c r="M1017" s="96" t="str">
        <f t="shared" si="42"/>
        <v>N46</v>
      </c>
      <c r="N1017" s="96" t="e">
        <f>VLOOKUP(M1017,CAC!$A$2:$B$198,2,FALSE)</f>
        <v>#N/A</v>
      </c>
    </row>
    <row r="1018" spans="5:14" x14ac:dyDescent="0.25">
      <c r="E1018" s="136">
        <v>201703</v>
      </c>
      <c r="F1018" s="138" t="s">
        <v>746</v>
      </c>
      <c r="G1018" s="138" t="s">
        <v>361</v>
      </c>
      <c r="H1018" s="138" t="s">
        <v>344</v>
      </c>
      <c r="I1018" s="139">
        <v>489</v>
      </c>
      <c r="K1018" s="96" t="str">
        <f t="shared" si="41"/>
        <v>0016-1003-0012</v>
      </c>
      <c r="L1018" s="96" t="str">
        <f>VLOOKUP(K1018,COA!$A$3:$B$337,2,FALSE)</f>
        <v>R18</v>
      </c>
      <c r="M1018" s="96" t="str">
        <f t="shared" si="42"/>
        <v>R18</v>
      </c>
      <c r="N1018" s="96" t="str">
        <f>VLOOKUP(M1018,CAC!$A$2:$B$198,2,FALSE)</f>
        <v>HMOMG</v>
      </c>
    </row>
    <row r="1019" spans="5:14" x14ac:dyDescent="0.25">
      <c r="E1019" s="136">
        <v>201508</v>
      </c>
      <c r="F1019" s="138" t="s">
        <v>413</v>
      </c>
      <c r="G1019" s="138" t="s">
        <v>365</v>
      </c>
      <c r="H1019" s="138" t="s">
        <v>411</v>
      </c>
      <c r="I1019" s="139">
        <v>0</v>
      </c>
      <c r="K1019" s="96" t="str">
        <f t="shared" si="41"/>
        <v>0008-1001-0007</v>
      </c>
      <c r="L1019" s="96" t="str">
        <f>VLOOKUP(K1019,COA!$A$3:$B$337,2,FALSE)</f>
        <v>C99</v>
      </c>
      <c r="M1019" s="96" t="str">
        <f t="shared" si="42"/>
        <v>C99</v>
      </c>
      <c r="N1019" s="96" t="str">
        <f>VLOOKUP(M1019,CAC!$A$2:$B$198,2,FALSE)</f>
        <v>DOIIFP</v>
      </c>
    </row>
    <row r="1020" spans="5:14" x14ac:dyDescent="0.25">
      <c r="E1020" s="136">
        <v>201709</v>
      </c>
      <c r="F1020" s="138" t="s">
        <v>345</v>
      </c>
      <c r="G1020" s="138" t="s">
        <v>346</v>
      </c>
      <c r="H1020" s="138" t="s">
        <v>344</v>
      </c>
      <c r="I1020" s="139">
        <v>0</v>
      </c>
      <c r="K1020" s="96" t="str">
        <f t="shared" si="41"/>
        <v>0011-1014-0012</v>
      </c>
      <c r="L1020" s="96" t="e">
        <f>VLOOKUP(K1020,COA!$A$3:$B$337,2,FALSE)</f>
        <v>#N/A</v>
      </c>
      <c r="M1020" s="96" t="str">
        <f t="shared" si="42"/>
        <v>XXX</v>
      </c>
      <c r="N1020" s="96" t="str">
        <f>VLOOKUP(M1020,CAC!$A$2:$B$198,2,FALSE)</f>
        <v>XXX</v>
      </c>
    </row>
    <row r="1021" spans="5:14" x14ac:dyDescent="0.25">
      <c r="E1021" s="136">
        <v>201606</v>
      </c>
      <c r="F1021" s="138" t="s">
        <v>344</v>
      </c>
      <c r="G1021" s="138" t="s">
        <v>352</v>
      </c>
      <c r="H1021" s="138" t="s">
        <v>360</v>
      </c>
      <c r="I1021" s="139">
        <v>222.4</v>
      </c>
      <c r="K1021" s="96" t="str">
        <f t="shared" si="41"/>
        <v>0012-1004-0048</v>
      </c>
      <c r="L1021" s="96" t="str">
        <f>VLOOKUP(K1021,COA!$A$3:$B$337,2,FALSE)</f>
        <v>L22</v>
      </c>
      <c r="M1021" s="96" t="str">
        <f t="shared" si="42"/>
        <v>L22</v>
      </c>
      <c r="N1021" s="96" t="str">
        <f>VLOOKUP(M1021,CAC!$A$2:$B$198,2,FALSE)</f>
        <v>HMFLEX</v>
      </c>
    </row>
    <row r="1022" spans="5:14" x14ac:dyDescent="0.25">
      <c r="E1022" s="136">
        <v>201707</v>
      </c>
      <c r="F1022" s="138" t="s">
        <v>345</v>
      </c>
      <c r="G1022" s="138" t="s">
        <v>346</v>
      </c>
      <c r="H1022" s="138" t="s">
        <v>360</v>
      </c>
      <c r="I1022" s="139">
        <v>323</v>
      </c>
      <c r="K1022" s="96" t="str">
        <f t="shared" si="41"/>
        <v>0011-1014-0048</v>
      </c>
      <c r="L1022" s="96" t="str">
        <f>VLOOKUP(K1022,COA!$A$3:$B$337,2,FALSE)</f>
        <v>K23</v>
      </c>
      <c r="M1022" s="96" t="str">
        <f t="shared" si="42"/>
        <v>K23</v>
      </c>
      <c r="N1022" s="96" t="str">
        <f>VLOOKUP(M1022,CAC!$A$2:$B$198,2,FALSE)</f>
        <v>HMFLEX</v>
      </c>
    </row>
    <row r="1023" spans="5:14" x14ac:dyDescent="0.25">
      <c r="E1023" s="136">
        <v>201512</v>
      </c>
      <c r="F1023" s="138" t="s">
        <v>344</v>
      </c>
      <c r="G1023" s="138" t="s">
        <v>350</v>
      </c>
      <c r="H1023" s="138" t="s">
        <v>344</v>
      </c>
      <c r="I1023" s="139">
        <v>121</v>
      </c>
      <c r="K1023" s="96" t="str">
        <f t="shared" si="41"/>
        <v>0012-1012-0012</v>
      </c>
      <c r="L1023" s="96" t="str">
        <f>VLOOKUP(K1023,COA!$A$3:$B$337,2,FALSE)</f>
        <v>K12</v>
      </c>
      <c r="M1023" s="96" t="str">
        <f t="shared" si="42"/>
        <v>K12</v>
      </c>
      <c r="N1023" s="96" t="str">
        <f>VLOOKUP(M1023,CAC!$A$2:$B$198,2,FALSE)</f>
        <v>HMOPMR</v>
      </c>
    </row>
    <row r="1024" spans="5:14" x14ac:dyDescent="0.25">
      <c r="E1024" s="136">
        <v>201701</v>
      </c>
      <c r="F1024" s="138" t="s">
        <v>345</v>
      </c>
      <c r="G1024" s="138" t="s">
        <v>348</v>
      </c>
      <c r="H1024" s="138" t="s">
        <v>358</v>
      </c>
      <c r="I1024" s="139">
        <v>86</v>
      </c>
      <c r="K1024" s="96" t="str">
        <f t="shared" si="41"/>
        <v>0011-1010-0024</v>
      </c>
      <c r="L1024" s="96" t="str">
        <f>VLOOKUP(K1024,COA!$A$3:$B$337,2,FALSE)</f>
        <v>S14</v>
      </c>
      <c r="M1024" s="96" t="str">
        <f t="shared" si="42"/>
        <v>S14</v>
      </c>
      <c r="N1024" s="96" t="str">
        <f>VLOOKUP(M1024,CAC!$A$2:$B$198,2,FALSE)</f>
        <v>HMOSG</v>
      </c>
    </row>
    <row r="1025" spans="5:14" x14ac:dyDescent="0.25">
      <c r="E1025" s="136">
        <v>201707</v>
      </c>
      <c r="F1025" s="138" t="s">
        <v>413</v>
      </c>
      <c r="G1025" s="138" t="s">
        <v>352</v>
      </c>
      <c r="H1025" s="138" t="s">
        <v>344</v>
      </c>
      <c r="I1025" s="139">
        <v>0</v>
      </c>
      <c r="K1025" s="96" t="str">
        <f t="shared" si="41"/>
        <v>0008-1004-0012</v>
      </c>
      <c r="L1025" s="96" t="str">
        <f>VLOOKUP(K1025,COA!$A$3:$B$337,2,FALSE)</f>
        <v>C93</v>
      </c>
      <c r="M1025" s="96" t="str">
        <f t="shared" si="42"/>
        <v>C93</v>
      </c>
      <c r="N1025" s="96" t="str">
        <f>VLOOKUP(M1025,CAC!$A$2:$B$198,2,FALSE)</f>
        <v>DOILG</v>
      </c>
    </row>
    <row r="1026" spans="5:14" x14ac:dyDescent="0.25">
      <c r="E1026" s="136">
        <v>201503</v>
      </c>
      <c r="F1026" s="138" t="s">
        <v>345</v>
      </c>
      <c r="G1026" s="138" t="s">
        <v>354</v>
      </c>
      <c r="H1026" s="138" t="s">
        <v>344</v>
      </c>
      <c r="I1026" s="139">
        <v>95</v>
      </c>
      <c r="K1026" s="96" t="str">
        <f t="shared" si="41"/>
        <v>0011-1013-0012</v>
      </c>
      <c r="L1026" s="96" t="str">
        <f>VLOOKUP(K1026,COA!$A$3:$B$337,2,FALSE)</f>
        <v>N20</v>
      </c>
      <c r="M1026" s="96" t="str">
        <f t="shared" si="42"/>
        <v>N20</v>
      </c>
      <c r="N1026" s="96" t="str">
        <f>VLOOKUP(M1026,CAC!$A$2:$B$198,2,FALSE)</f>
        <v>HMOPMR</v>
      </c>
    </row>
    <row r="1027" spans="5:14" x14ac:dyDescent="0.25">
      <c r="E1027" s="136">
        <v>201505</v>
      </c>
      <c r="F1027" s="138" t="s">
        <v>563</v>
      </c>
      <c r="G1027" s="138" t="s">
        <v>365</v>
      </c>
      <c r="H1027" s="138" t="s">
        <v>367</v>
      </c>
      <c r="I1027" s="139">
        <v>0</v>
      </c>
      <c r="K1027" s="96" t="str">
        <f t="shared" ref="K1027:K1090" si="43">F1027&amp;"-"&amp;G1027&amp;"-"&amp;H1027</f>
        <v>0003-1001-0022</v>
      </c>
      <c r="L1027" s="96" t="str">
        <f>VLOOKUP(K1027,COA!$A$3:$B$337,2,FALSE)</f>
        <v>V54</v>
      </c>
      <c r="M1027" s="96" t="str">
        <f t="shared" si="42"/>
        <v>V54</v>
      </c>
      <c r="N1027" s="96" t="str">
        <f>VLOOKUP(M1027,CAC!$A$2:$B$198,2,FALSE)</f>
        <v>PPOIFP</v>
      </c>
    </row>
    <row r="1028" spans="5:14" x14ac:dyDescent="0.25">
      <c r="E1028" s="136">
        <v>201709</v>
      </c>
      <c r="F1028" s="138" t="s">
        <v>563</v>
      </c>
      <c r="G1028" s="138" t="s">
        <v>365</v>
      </c>
      <c r="H1028" s="138" t="s">
        <v>798</v>
      </c>
      <c r="I1028" s="139">
        <v>0</v>
      </c>
      <c r="K1028" s="96" t="str">
        <f t="shared" si="43"/>
        <v>0003-1001-0065</v>
      </c>
      <c r="L1028" s="96" t="str">
        <f>VLOOKUP(K1028,COA!$A$3:$B$337,2,FALSE)</f>
        <v>V55</v>
      </c>
      <c r="M1028" s="96" t="str">
        <f t="shared" ref="M1028:M1091" si="44">IF(ISNA(L1028),"XXX",L1028)</f>
        <v>V55</v>
      </c>
      <c r="N1028" s="96" t="e">
        <f>VLOOKUP(M1028,CAC!$A$2:$B$198,2,FALSE)</f>
        <v>#N/A</v>
      </c>
    </row>
    <row r="1029" spans="5:14" x14ac:dyDescent="0.25">
      <c r="E1029" s="136">
        <v>201710</v>
      </c>
      <c r="F1029" s="138" t="s">
        <v>345</v>
      </c>
      <c r="G1029" s="138" t="s">
        <v>348</v>
      </c>
      <c r="H1029" s="138" t="s">
        <v>349</v>
      </c>
      <c r="I1029" s="139">
        <v>26866.57</v>
      </c>
      <c r="K1029" s="96" t="str">
        <f t="shared" si="43"/>
        <v>0011-1010-0017</v>
      </c>
      <c r="L1029" s="96" t="str">
        <f>VLOOKUP(K1029,COA!$A$3:$B$337,2,FALSE)</f>
        <v>S11</v>
      </c>
      <c r="M1029" s="96" t="str">
        <f t="shared" si="44"/>
        <v>S11</v>
      </c>
      <c r="N1029" s="96" t="str">
        <f>VLOOKUP(M1029,CAC!$A$2:$B$198,2,FALSE)</f>
        <v>HMOSG</v>
      </c>
    </row>
    <row r="1030" spans="5:14" x14ac:dyDescent="0.25">
      <c r="E1030" s="136">
        <v>201611</v>
      </c>
      <c r="F1030" s="138" t="s">
        <v>563</v>
      </c>
      <c r="G1030" s="138" t="s">
        <v>348</v>
      </c>
      <c r="H1030" s="138" t="s">
        <v>358</v>
      </c>
      <c r="I1030" s="139">
        <v>0</v>
      </c>
      <c r="K1030" s="96" t="str">
        <f t="shared" si="43"/>
        <v>0003-1010-0024</v>
      </c>
      <c r="L1030" s="96" t="str">
        <f>VLOOKUP(K1030,COA!$A$3:$B$337,2,FALSE)</f>
        <v>S56</v>
      </c>
      <c r="M1030" s="96" t="str">
        <f t="shared" si="44"/>
        <v>S56</v>
      </c>
      <c r="N1030" s="96" t="str">
        <f>VLOOKUP(M1030,CAC!$A$2:$B$198,2,FALSE)</f>
        <v>PPOSG</v>
      </c>
    </row>
    <row r="1031" spans="5:14" x14ac:dyDescent="0.25">
      <c r="E1031" s="136">
        <v>201604</v>
      </c>
      <c r="F1031" s="138" t="s">
        <v>563</v>
      </c>
      <c r="G1031" s="138" t="s">
        <v>352</v>
      </c>
      <c r="H1031" s="138" t="s">
        <v>344</v>
      </c>
      <c r="I1031" s="139">
        <v>0</v>
      </c>
      <c r="K1031" s="96" t="str">
        <f t="shared" si="43"/>
        <v>0003-1004-0012</v>
      </c>
      <c r="L1031" s="96" t="str">
        <f>VLOOKUP(K1031,COA!$A$3:$B$337,2,FALSE)</f>
        <v>L51</v>
      </c>
      <c r="M1031" s="96" t="str">
        <f t="shared" si="44"/>
        <v>L51</v>
      </c>
      <c r="N1031" s="96" t="str">
        <f>VLOOKUP(M1031,CAC!$A$2:$B$198,2,FALSE)</f>
        <v>PPOLG</v>
      </c>
    </row>
    <row r="1032" spans="5:14" x14ac:dyDescent="0.25">
      <c r="E1032" s="136">
        <v>201704</v>
      </c>
      <c r="F1032" s="138" t="s">
        <v>344</v>
      </c>
      <c r="G1032" s="138" t="s">
        <v>361</v>
      </c>
      <c r="H1032" s="138" t="s">
        <v>344</v>
      </c>
      <c r="I1032" s="139">
        <v>9737.4</v>
      </c>
      <c r="K1032" s="96" t="str">
        <f t="shared" si="43"/>
        <v>0012-1003-0012</v>
      </c>
      <c r="L1032" s="96" t="str">
        <f>VLOOKUP(K1032,COA!$A$3:$B$337,2,FALSE)</f>
        <v>N15</v>
      </c>
      <c r="M1032" s="96" t="str">
        <f t="shared" si="44"/>
        <v>N15</v>
      </c>
      <c r="N1032" s="96" t="str">
        <f>VLOOKUP(M1032,CAC!$A$2:$B$198,2,FALSE)</f>
        <v>HMOPMR</v>
      </c>
    </row>
    <row r="1033" spans="5:14" x14ac:dyDescent="0.25">
      <c r="E1033" s="136">
        <v>201706</v>
      </c>
      <c r="F1033" s="138" t="s">
        <v>345</v>
      </c>
      <c r="G1033" s="138" t="s">
        <v>365</v>
      </c>
      <c r="H1033" s="138" t="s">
        <v>367</v>
      </c>
      <c r="I1033" s="139">
        <v>740.94</v>
      </c>
      <c r="K1033" s="96" t="str">
        <f t="shared" si="43"/>
        <v>0011-1001-0022</v>
      </c>
      <c r="L1033" s="96" t="str">
        <f>VLOOKUP(K1033,COA!$A$3:$B$337,2,FALSE)</f>
        <v>V14</v>
      </c>
      <c r="M1033" s="96" t="str">
        <f t="shared" si="44"/>
        <v>V14</v>
      </c>
      <c r="N1033" s="96" t="str">
        <f>VLOOKUP(M1033,CAC!$A$2:$B$198,2,FALSE)</f>
        <v>HMOIFP</v>
      </c>
    </row>
    <row r="1034" spans="5:14" x14ac:dyDescent="0.25">
      <c r="E1034" s="136">
        <v>201706</v>
      </c>
      <c r="F1034" s="138" t="s">
        <v>563</v>
      </c>
      <c r="G1034" s="138" t="s">
        <v>352</v>
      </c>
      <c r="H1034" s="138" t="s">
        <v>653</v>
      </c>
      <c r="I1034" s="139">
        <v>0</v>
      </c>
      <c r="K1034" s="96" t="str">
        <f t="shared" si="43"/>
        <v>0003-1004-0047</v>
      </c>
      <c r="L1034" s="96" t="str">
        <f>VLOOKUP(K1034,COA!$A$3:$B$337,2,FALSE)</f>
        <v>L57</v>
      </c>
      <c r="M1034" s="96" t="str">
        <f t="shared" si="44"/>
        <v>L57</v>
      </c>
      <c r="N1034" s="96" t="str">
        <f>VLOOKUP(M1034,CAC!$A$2:$B$198,2,FALSE)</f>
        <v>PPOLG</v>
      </c>
    </row>
    <row r="1035" spans="5:14" x14ac:dyDescent="0.25">
      <c r="E1035" s="136">
        <v>201508</v>
      </c>
      <c r="F1035" s="138" t="s">
        <v>746</v>
      </c>
      <c r="G1035" s="138" t="s">
        <v>361</v>
      </c>
      <c r="H1035" s="138" t="s">
        <v>344</v>
      </c>
      <c r="I1035" s="139">
        <v>450</v>
      </c>
      <c r="K1035" s="96" t="str">
        <f t="shared" si="43"/>
        <v>0016-1003-0012</v>
      </c>
      <c r="L1035" s="96" t="str">
        <f>VLOOKUP(K1035,COA!$A$3:$B$337,2,FALSE)</f>
        <v>R18</v>
      </c>
      <c r="M1035" s="96" t="str">
        <f t="shared" si="44"/>
        <v>R18</v>
      </c>
      <c r="N1035" s="96" t="str">
        <f>VLOOKUP(M1035,CAC!$A$2:$B$198,2,FALSE)</f>
        <v>HMOMG</v>
      </c>
    </row>
    <row r="1036" spans="5:14" x14ac:dyDescent="0.25">
      <c r="E1036" s="136">
        <v>201607</v>
      </c>
      <c r="F1036" s="138" t="s">
        <v>413</v>
      </c>
      <c r="G1036" s="138" t="s">
        <v>365</v>
      </c>
      <c r="H1036" s="138" t="s">
        <v>411</v>
      </c>
      <c r="I1036" s="139">
        <v>0</v>
      </c>
      <c r="K1036" s="96" t="str">
        <f t="shared" si="43"/>
        <v>0008-1001-0007</v>
      </c>
      <c r="L1036" s="96" t="str">
        <f>VLOOKUP(K1036,COA!$A$3:$B$337,2,FALSE)</f>
        <v>C99</v>
      </c>
      <c r="M1036" s="96" t="str">
        <f t="shared" si="44"/>
        <v>C99</v>
      </c>
      <c r="N1036" s="96" t="str">
        <f>VLOOKUP(M1036,CAC!$A$2:$B$198,2,FALSE)</f>
        <v>DOIIFP</v>
      </c>
    </row>
    <row r="1037" spans="5:14" x14ac:dyDescent="0.25">
      <c r="E1037" s="136">
        <v>201709</v>
      </c>
      <c r="F1037" s="138" t="s">
        <v>345</v>
      </c>
      <c r="G1037" s="138" t="s">
        <v>354</v>
      </c>
      <c r="H1037" s="138" t="s">
        <v>368</v>
      </c>
      <c r="I1037" s="139">
        <v>1</v>
      </c>
      <c r="K1037" s="96" t="str">
        <f t="shared" si="43"/>
        <v>0011-1013-0056</v>
      </c>
      <c r="L1037" s="96" t="str">
        <f>VLOOKUP(K1037,COA!$A$3:$B$337,2,FALSE)</f>
        <v>N20</v>
      </c>
      <c r="M1037" s="96" t="str">
        <f t="shared" si="44"/>
        <v>N20</v>
      </c>
      <c r="N1037" s="96" t="str">
        <f>VLOOKUP(M1037,CAC!$A$2:$B$198,2,FALSE)</f>
        <v>HMOPMR</v>
      </c>
    </row>
    <row r="1038" spans="5:14" x14ac:dyDescent="0.25">
      <c r="E1038" s="136">
        <v>201708</v>
      </c>
      <c r="F1038" s="138" t="s">
        <v>506</v>
      </c>
      <c r="G1038" s="138" t="s">
        <v>346</v>
      </c>
      <c r="H1038" s="138" t="s">
        <v>592</v>
      </c>
      <c r="I1038" s="139">
        <v>0</v>
      </c>
      <c r="K1038" s="96" t="str">
        <f t="shared" si="43"/>
        <v>0013-1014-0035</v>
      </c>
      <c r="L1038" s="96" t="str">
        <f>VLOOKUP(K1038,COA!$A$3:$B$337,2,FALSE)</f>
        <v>K42</v>
      </c>
      <c r="M1038" s="96" t="str">
        <f t="shared" si="44"/>
        <v>K42</v>
      </c>
      <c r="N1038" s="96" t="str">
        <f>VLOOKUP(M1038,CAC!$A$2:$B$198,2,FALSE)</f>
        <v>HMFLEX</v>
      </c>
    </row>
    <row r="1039" spans="5:14" x14ac:dyDescent="0.25">
      <c r="E1039" s="136">
        <v>201709</v>
      </c>
      <c r="F1039" s="138" t="s">
        <v>345</v>
      </c>
      <c r="G1039" s="138" t="s">
        <v>346</v>
      </c>
      <c r="H1039" s="138" t="s">
        <v>360</v>
      </c>
      <c r="I1039" s="139">
        <v>317</v>
      </c>
      <c r="K1039" s="96" t="str">
        <f t="shared" si="43"/>
        <v>0011-1014-0048</v>
      </c>
      <c r="L1039" s="96" t="str">
        <f>VLOOKUP(K1039,COA!$A$3:$B$337,2,FALSE)</f>
        <v>K23</v>
      </c>
      <c r="M1039" s="96" t="str">
        <f t="shared" si="44"/>
        <v>K23</v>
      </c>
      <c r="N1039" s="96" t="str">
        <f>VLOOKUP(M1039,CAC!$A$2:$B$198,2,FALSE)</f>
        <v>HMFLEX</v>
      </c>
    </row>
    <row r="1040" spans="5:14" x14ac:dyDescent="0.25">
      <c r="E1040" s="136">
        <v>201607</v>
      </c>
      <c r="F1040" s="138" t="s">
        <v>344</v>
      </c>
      <c r="G1040" s="138" t="s">
        <v>352</v>
      </c>
      <c r="H1040" s="138" t="s">
        <v>360</v>
      </c>
      <c r="I1040" s="139">
        <v>207</v>
      </c>
      <c r="K1040" s="96" t="str">
        <f t="shared" si="43"/>
        <v>0012-1004-0048</v>
      </c>
      <c r="L1040" s="96" t="str">
        <f>VLOOKUP(K1040,COA!$A$3:$B$337,2,FALSE)</f>
        <v>L22</v>
      </c>
      <c r="M1040" s="96" t="str">
        <f t="shared" si="44"/>
        <v>L22</v>
      </c>
      <c r="N1040" s="96" t="str">
        <f>VLOOKUP(M1040,CAC!$A$2:$B$198,2,FALSE)</f>
        <v>HMFLEX</v>
      </c>
    </row>
    <row r="1041" spans="5:14" x14ac:dyDescent="0.25">
      <c r="E1041" s="136">
        <v>201707</v>
      </c>
      <c r="F1041" s="138" t="s">
        <v>413</v>
      </c>
      <c r="G1041" s="138" t="s">
        <v>355</v>
      </c>
      <c r="H1041" s="138" t="s">
        <v>344</v>
      </c>
      <c r="I1041" s="139">
        <v>0</v>
      </c>
      <c r="K1041" s="96" t="str">
        <f t="shared" si="43"/>
        <v>0008-1006-0012</v>
      </c>
      <c r="L1041" s="96" t="str">
        <f>VLOOKUP(K1041,COA!$A$3:$B$337,2,FALSE)</f>
        <v>C96</v>
      </c>
      <c r="M1041" s="96" t="str">
        <f t="shared" si="44"/>
        <v>C96</v>
      </c>
      <c r="N1041" s="96" t="str">
        <f>VLOOKUP(M1041,CAC!$A$2:$B$198,2,FALSE)</f>
        <v>DOILG</v>
      </c>
    </row>
    <row r="1042" spans="5:14" x14ac:dyDescent="0.25">
      <c r="E1042" s="136">
        <v>201606</v>
      </c>
      <c r="F1042" s="138" t="s">
        <v>563</v>
      </c>
      <c r="G1042" s="138" t="s">
        <v>351</v>
      </c>
      <c r="H1042" s="138" t="s">
        <v>349</v>
      </c>
      <c r="I1042" s="139">
        <v>0</v>
      </c>
      <c r="K1042" s="96" t="str">
        <f t="shared" si="43"/>
        <v>0003-0000-0017</v>
      </c>
      <c r="L1042" s="96" t="e">
        <f>VLOOKUP(K1042,COA!$A$3:$B$337,2,FALSE)</f>
        <v>#N/A</v>
      </c>
      <c r="M1042" s="96" t="str">
        <f t="shared" si="44"/>
        <v>XXX</v>
      </c>
      <c r="N1042" s="96" t="str">
        <f>VLOOKUP(M1042,CAC!$A$2:$B$198,2,FALSE)</f>
        <v>XXX</v>
      </c>
    </row>
    <row r="1043" spans="5:14" x14ac:dyDescent="0.25">
      <c r="E1043" s="136">
        <v>201609</v>
      </c>
      <c r="F1043" s="138" t="s">
        <v>349</v>
      </c>
      <c r="G1043" s="138" t="s">
        <v>369</v>
      </c>
      <c r="H1043" s="138" t="s">
        <v>344</v>
      </c>
      <c r="I1043" s="139">
        <v>39846</v>
      </c>
      <c r="K1043" s="96" t="str">
        <f t="shared" si="43"/>
        <v>0017-1009-0012</v>
      </c>
      <c r="L1043" s="96" t="str">
        <f>VLOOKUP(K1043,COA!$A$3:$B$337,2,FALSE)</f>
        <v>R12</v>
      </c>
      <c r="M1043" s="96" t="str">
        <f t="shared" si="44"/>
        <v>R12</v>
      </c>
      <c r="N1043" s="96" t="str">
        <f>VLOOKUP(M1043,CAC!$A$2:$B$198,2,FALSE)</f>
        <v>HMOMM</v>
      </c>
    </row>
    <row r="1044" spans="5:14" x14ac:dyDescent="0.25">
      <c r="E1044" s="136">
        <v>201509</v>
      </c>
      <c r="F1044" s="138" t="s">
        <v>345</v>
      </c>
      <c r="G1044" s="138" t="s">
        <v>359</v>
      </c>
      <c r="H1044" s="138" t="s">
        <v>344</v>
      </c>
      <c r="I1044" s="139">
        <v>3262.03</v>
      </c>
      <c r="K1044" s="96" t="str">
        <f t="shared" si="43"/>
        <v>0011-1005-0012</v>
      </c>
      <c r="L1044" s="96" t="str">
        <f>VLOOKUP(K1044,COA!$A$3:$B$337,2,FALSE)</f>
        <v>N11</v>
      </c>
      <c r="M1044" s="96" t="str">
        <f t="shared" si="44"/>
        <v>N11</v>
      </c>
      <c r="N1044" s="96" t="str">
        <f>VLOOKUP(M1044,CAC!$A$2:$B$198,2,FALSE)</f>
        <v>HMOLG</v>
      </c>
    </row>
    <row r="1045" spans="5:14" x14ac:dyDescent="0.25">
      <c r="E1045" s="136">
        <v>201604</v>
      </c>
      <c r="F1045" s="138" t="s">
        <v>506</v>
      </c>
      <c r="G1045" s="138" t="s">
        <v>361</v>
      </c>
      <c r="H1045" s="138" t="s">
        <v>592</v>
      </c>
      <c r="I1045" s="139">
        <v>0</v>
      </c>
      <c r="K1045" s="96" t="str">
        <f t="shared" si="43"/>
        <v>0013-1003-0035</v>
      </c>
      <c r="L1045" s="96" t="str">
        <f>VLOOKUP(K1045,COA!$A$3:$B$337,2,FALSE)</f>
        <v>N32</v>
      </c>
      <c r="M1045" s="96" t="str">
        <f t="shared" si="44"/>
        <v>N32</v>
      </c>
      <c r="N1045" s="96" t="e">
        <f>VLOOKUP(M1045,CAC!$A$2:$B$198,2,FALSE)</f>
        <v>#N/A</v>
      </c>
    </row>
    <row r="1046" spans="5:14" x14ac:dyDescent="0.25">
      <c r="E1046" s="136">
        <v>201506</v>
      </c>
      <c r="F1046" s="138" t="s">
        <v>345</v>
      </c>
      <c r="G1046" s="138" t="s">
        <v>356</v>
      </c>
      <c r="H1046" s="138" t="s">
        <v>344</v>
      </c>
      <c r="I1046" s="139">
        <v>150</v>
      </c>
      <c r="K1046" s="96" t="str">
        <f t="shared" si="43"/>
        <v>0011-1002-0012</v>
      </c>
      <c r="L1046" s="96" t="str">
        <f>VLOOKUP(K1046,COA!$A$3:$B$337,2,FALSE)</f>
        <v>F20</v>
      </c>
      <c r="M1046" s="96" t="str">
        <f t="shared" si="44"/>
        <v>F20</v>
      </c>
      <c r="N1046" s="96" t="str">
        <f>VLOOKUP(M1046,CAC!$A$2:$B$198,2,FALSE)</f>
        <v>HMOPMR</v>
      </c>
    </row>
    <row r="1047" spans="5:14" x14ac:dyDescent="0.25">
      <c r="E1047" s="136">
        <v>201708</v>
      </c>
      <c r="F1047" s="138" t="s">
        <v>746</v>
      </c>
      <c r="G1047" s="138" t="s">
        <v>361</v>
      </c>
      <c r="H1047" s="138" t="s">
        <v>344</v>
      </c>
      <c r="I1047" s="139">
        <v>494</v>
      </c>
      <c r="K1047" s="96" t="str">
        <f t="shared" si="43"/>
        <v>0016-1003-0012</v>
      </c>
      <c r="L1047" s="96" t="str">
        <f>VLOOKUP(K1047,COA!$A$3:$B$337,2,FALSE)</f>
        <v>R18</v>
      </c>
      <c r="M1047" s="96" t="str">
        <f t="shared" si="44"/>
        <v>R18</v>
      </c>
      <c r="N1047" s="96" t="str">
        <f>VLOOKUP(M1047,CAC!$A$2:$B$198,2,FALSE)</f>
        <v>HMOMG</v>
      </c>
    </row>
    <row r="1048" spans="5:14" x14ac:dyDescent="0.25">
      <c r="E1048" s="136">
        <v>201502</v>
      </c>
      <c r="F1048" s="138" t="s">
        <v>413</v>
      </c>
      <c r="G1048" s="138" t="s">
        <v>359</v>
      </c>
      <c r="H1048" s="138" t="s">
        <v>344</v>
      </c>
      <c r="I1048" s="139">
        <v>0</v>
      </c>
      <c r="K1048" s="96" t="str">
        <f t="shared" si="43"/>
        <v>0008-1005-0012</v>
      </c>
      <c r="L1048" s="96" t="str">
        <f>VLOOKUP(K1048,COA!$A$3:$B$337,2,FALSE)</f>
        <v>C73</v>
      </c>
      <c r="M1048" s="96" t="str">
        <f t="shared" si="44"/>
        <v>C73</v>
      </c>
      <c r="N1048" s="96" t="str">
        <f>VLOOKUP(M1048,CAC!$A$2:$B$198,2,FALSE)</f>
        <v>DOILG</v>
      </c>
    </row>
    <row r="1049" spans="5:14" x14ac:dyDescent="0.25">
      <c r="E1049" s="136">
        <v>201510</v>
      </c>
      <c r="F1049" s="138" t="s">
        <v>413</v>
      </c>
      <c r="G1049" s="138" t="s">
        <v>355</v>
      </c>
      <c r="H1049" s="138" t="s">
        <v>344</v>
      </c>
      <c r="I1049" s="139">
        <v>0</v>
      </c>
      <c r="K1049" s="96" t="str">
        <f t="shared" si="43"/>
        <v>0008-1006-0012</v>
      </c>
      <c r="L1049" s="96" t="str">
        <f>VLOOKUP(K1049,COA!$A$3:$B$337,2,FALSE)</f>
        <v>C96</v>
      </c>
      <c r="M1049" s="96" t="str">
        <f t="shared" si="44"/>
        <v>C96</v>
      </c>
      <c r="N1049" s="96" t="str">
        <f>VLOOKUP(M1049,CAC!$A$2:$B$198,2,FALSE)</f>
        <v>DOILG</v>
      </c>
    </row>
    <row r="1050" spans="5:14" x14ac:dyDescent="0.25">
      <c r="E1050" s="136">
        <v>201606</v>
      </c>
      <c r="F1050" s="138" t="s">
        <v>506</v>
      </c>
      <c r="G1050" s="138" t="s">
        <v>346</v>
      </c>
      <c r="H1050" s="138" t="s">
        <v>592</v>
      </c>
      <c r="I1050" s="139">
        <v>0</v>
      </c>
      <c r="K1050" s="96" t="str">
        <f t="shared" si="43"/>
        <v>0013-1014-0035</v>
      </c>
      <c r="L1050" s="96" t="str">
        <f>VLOOKUP(K1050,COA!$A$3:$B$337,2,FALSE)</f>
        <v>K42</v>
      </c>
      <c r="M1050" s="96" t="str">
        <f t="shared" si="44"/>
        <v>K42</v>
      </c>
      <c r="N1050" s="96" t="str">
        <f>VLOOKUP(M1050,CAC!$A$2:$B$198,2,FALSE)</f>
        <v>HMFLEX</v>
      </c>
    </row>
    <row r="1051" spans="5:14" x14ac:dyDescent="0.25">
      <c r="E1051" s="136">
        <v>201612</v>
      </c>
      <c r="F1051" s="138" t="s">
        <v>344</v>
      </c>
      <c r="G1051" s="138" t="s">
        <v>352</v>
      </c>
      <c r="H1051" s="138" t="s">
        <v>344</v>
      </c>
      <c r="I1051" s="139">
        <v>337</v>
      </c>
      <c r="K1051" s="96" t="str">
        <f t="shared" si="43"/>
        <v>0012-1004-0012</v>
      </c>
      <c r="L1051" s="96" t="str">
        <f>VLOOKUP(K1051,COA!$A$3:$B$337,2,FALSE)</f>
        <v>L12</v>
      </c>
      <c r="M1051" s="96" t="str">
        <f t="shared" si="44"/>
        <v>L12</v>
      </c>
      <c r="N1051" s="96" t="str">
        <f>VLOOKUP(M1051,CAC!$A$2:$B$198,2,FALSE)</f>
        <v>HMOLG</v>
      </c>
    </row>
    <row r="1052" spans="5:14" x14ac:dyDescent="0.25">
      <c r="E1052" s="136">
        <v>201605</v>
      </c>
      <c r="F1052" s="138" t="s">
        <v>563</v>
      </c>
      <c r="G1052" s="138" t="s">
        <v>351</v>
      </c>
      <c r="H1052" s="138" t="s">
        <v>349</v>
      </c>
      <c r="I1052" s="139">
        <v>0</v>
      </c>
      <c r="K1052" s="96" t="str">
        <f t="shared" si="43"/>
        <v>0003-0000-0017</v>
      </c>
      <c r="L1052" s="96" t="e">
        <f>VLOOKUP(K1052,COA!$A$3:$B$337,2,FALSE)</f>
        <v>#N/A</v>
      </c>
      <c r="M1052" s="96" t="str">
        <f t="shared" si="44"/>
        <v>XXX</v>
      </c>
      <c r="N1052" s="96" t="str">
        <f>VLOOKUP(M1052,CAC!$A$2:$B$198,2,FALSE)</f>
        <v>XXX</v>
      </c>
    </row>
    <row r="1053" spans="5:14" x14ac:dyDescent="0.25">
      <c r="E1053" s="136">
        <v>201710</v>
      </c>
      <c r="F1053" s="138" t="s">
        <v>746</v>
      </c>
      <c r="G1053" s="138" t="s">
        <v>352</v>
      </c>
      <c r="H1053" s="138" t="s">
        <v>344</v>
      </c>
      <c r="I1053" s="139">
        <v>3</v>
      </c>
      <c r="K1053" s="96" t="str">
        <f t="shared" si="43"/>
        <v>0016-1004-0012</v>
      </c>
      <c r="L1053" s="96" t="str">
        <f>VLOOKUP(K1053,COA!$A$3:$B$337,2,FALSE)</f>
        <v>R20</v>
      </c>
      <c r="M1053" s="96" t="str">
        <f t="shared" si="44"/>
        <v>R20</v>
      </c>
      <c r="N1053" s="96" t="str">
        <f>VLOOKUP(M1053,CAC!$A$2:$B$198,2,FALSE)</f>
        <v>HMOMG</v>
      </c>
    </row>
    <row r="1054" spans="5:14" x14ac:dyDescent="0.25">
      <c r="E1054" s="136">
        <v>201511</v>
      </c>
      <c r="F1054" s="138" t="s">
        <v>563</v>
      </c>
      <c r="G1054" s="138" t="s">
        <v>365</v>
      </c>
      <c r="H1054" s="138" t="s">
        <v>366</v>
      </c>
      <c r="I1054" s="139">
        <v>0</v>
      </c>
      <c r="K1054" s="96" t="str">
        <f t="shared" si="43"/>
        <v>0003-1001-0021</v>
      </c>
      <c r="L1054" s="96" t="str">
        <f>VLOOKUP(K1054,COA!$A$3:$B$337,2,FALSE)</f>
        <v>V53</v>
      </c>
      <c r="M1054" s="96" t="str">
        <f t="shared" si="44"/>
        <v>V53</v>
      </c>
      <c r="N1054" s="96" t="str">
        <f>VLOOKUP(M1054,CAC!$A$2:$B$198,2,FALSE)</f>
        <v>PPOIFP</v>
      </c>
    </row>
    <row r="1055" spans="5:14" x14ac:dyDescent="0.25">
      <c r="E1055" s="136">
        <v>201701</v>
      </c>
      <c r="F1055" s="138" t="s">
        <v>344</v>
      </c>
      <c r="G1055" s="138" t="s">
        <v>361</v>
      </c>
      <c r="H1055" s="138" t="s">
        <v>344</v>
      </c>
      <c r="I1055" s="139">
        <v>9516.75</v>
      </c>
      <c r="K1055" s="96" t="str">
        <f t="shared" si="43"/>
        <v>0012-1003-0012</v>
      </c>
      <c r="L1055" s="96" t="str">
        <f>VLOOKUP(K1055,COA!$A$3:$B$337,2,FALSE)</f>
        <v>N15</v>
      </c>
      <c r="M1055" s="96" t="str">
        <f t="shared" si="44"/>
        <v>N15</v>
      </c>
      <c r="N1055" s="96" t="str">
        <f>VLOOKUP(M1055,CAC!$A$2:$B$198,2,FALSE)</f>
        <v>HMOPMR</v>
      </c>
    </row>
    <row r="1056" spans="5:14" x14ac:dyDescent="0.25">
      <c r="E1056" s="136">
        <v>201609</v>
      </c>
      <c r="F1056" s="138" t="s">
        <v>746</v>
      </c>
      <c r="G1056" s="138" t="s">
        <v>350</v>
      </c>
      <c r="H1056" s="138" t="s">
        <v>344</v>
      </c>
      <c r="I1056" s="139">
        <v>63</v>
      </c>
      <c r="K1056" s="96" t="str">
        <f t="shared" si="43"/>
        <v>0016-1012-0012</v>
      </c>
      <c r="L1056" s="96" t="str">
        <f>VLOOKUP(K1056,COA!$A$3:$B$337,2,FALSE)</f>
        <v>R19</v>
      </c>
      <c r="M1056" s="96" t="str">
        <f t="shared" si="44"/>
        <v>R19</v>
      </c>
      <c r="N1056" s="96" t="str">
        <f>VLOOKUP(M1056,CAC!$A$2:$B$198,2,FALSE)</f>
        <v>HMOMG</v>
      </c>
    </row>
    <row r="1057" spans="5:14" x14ac:dyDescent="0.25">
      <c r="E1057" s="136">
        <v>201706</v>
      </c>
      <c r="F1057" s="138" t="s">
        <v>563</v>
      </c>
      <c r="G1057" s="138" t="s">
        <v>350</v>
      </c>
      <c r="H1057" s="138" t="s">
        <v>344</v>
      </c>
      <c r="I1057" s="139">
        <v>0</v>
      </c>
      <c r="K1057" s="96" t="str">
        <f t="shared" si="43"/>
        <v>0003-1012-0012</v>
      </c>
      <c r="L1057" s="96" t="str">
        <f>VLOOKUP(K1057,COA!$A$3:$B$337,2,FALSE)</f>
        <v>K51</v>
      </c>
      <c r="M1057" s="96" t="str">
        <f t="shared" si="44"/>
        <v>K51</v>
      </c>
      <c r="N1057" s="96" t="str">
        <f>VLOOKUP(M1057,CAC!$A$2:$B$198,2,FALSE)</f>
        <v>PPOPMR</v>
      </c>
    </row>
    <row r="1058" spans="5:14" x14ac:dyDescent="0.25">
      <c r="E1058" s="136">
        <v>201709</v>
      </c>
      <c r="F1058" s="138" t="s">
        <v>563</v>
      </c>
      <c r="G1058" s="138" t="s">
        <v>348</v>
      </c>
      <c r="H1058" s="138" t="s">
        <v>358</v>
      </c>
      <c r="I1058" s="139">
        <v>0</v>
      </c>
      <c r="K1058" s="96" t="str">
        <f t="shared" si="43"/>
        <v>0003-1010-0024</v>
      </c>
      <c r="L1058" s="96" t="str">
        <f>VLOOKUP(K1058,COA!$A$3:$B$337,2,FALSE)</f>
        <v>S56</v>
      </c>
      <c r="M1058" s="96" t="str">
        <f t="shared" si="44"/>
        <v>S56</v>
      </c>
      <c r="N1058" s="96" t="str">
        <f>VLOOKUP(M1058,CAC!$A$2:$B$198,2,FALSE)</f>
        <v>PPOSG</v>
      </c>
    </row>
    <row r="1059" spans="5:14" x14ac:dyDescent="0.25">
      <c r="E1059" s="136">
        <v>201605</v>
      </c>
      <c r="F1059" s="138" t="s">
        <v>344</v>
      </c>
      <c r="G1059" s="138" t="s">
        <v>359</v>
      </c>
      <c r="H1059" s="138" t="s">
        <v>344</v>
      </c>
      <c r="I1059" s="139">
        <v>133</v>
      </c>
      <c r="K1059" s="96" t="str">
        <f t="shared" si="43"/>
        <v>0012-1005-0012</v>
      </c>
      <c r="L1059" s="96" t="str">
        <f>VLOOKUP(K1059,COA!$A$3:$B$337,2,FALSE)</f>
        <v>N13</v>
      </c>
      <c r="M1059" s="96" t="str">
        <f t="shared" si="44"/>
        <v>N13</v>
      </c>
      <c r="N1059" s="96" t="str">
        <f>VLOOKUP(M1059,CAC!$A$2:$B$198,2,FALSE)</f>
        <v>HMOLG</v>
      </c>
    </row>
    <row r="1060" spans="5:14" x14ac:dyDescent="0.25">
      <c r="E1060" s="136">
        <v>201603</v>
      </c>
      <c r="F1060" s="138" t="s">
        <v>563</v>
      </c>
      <c r="G1060" s="138" t="s">
        <v>369</v>
      </c>
      <c r="H1060" s="138" t="s">
        <v>345</v>
      </c>
      <c r="I1060" s="139">
        <v>0</v>
      </c>
      <c r="K1060" s="96" t="str">
        <f t="shared" si="43"/>
        <v>0003-1009-0011</v>
      </c>
      <c r="L1060" s="96" t="str">
        <f>VLOOKUP(K1060,COA!$A$3:$B$337,2,FALSE)</f>
        <v>V91</v>
      </c>
      <c r="M1060" s="96" t="str">
        <f t="shared" si="44"/>
        <v>V91</v>
      </c>
      <c r="N1060" s="96" t="str">
        <f>VLOOKUP(M1060,CAC!$A$2:$B$198,2,FALSE)</f>
        <v>PPOMM</v>
      </c>
    </row>
    <row r="1061" spans="5:14" x14ac:dyDescent="0.25">
      <c r="E1061" s="136">
        <v>201511</v>
      </c>
      <c r="F1061" s="138" t="s">
        <v>563</v>
      </c>
      <c r="G1061" s="138" t="s">
        <v>351</v>
      </c>
      <c r="H1061" s="138" t="s">
        <v>349</v>
      </c>
      <c r="I1061" s="139">
        <v>0</v>
      </c>
      <c r="K1061" s="96" t="str">
        <f t="shared" si="43"/>
        <v>0003-0000-0017</v>
      </c>
      <c r="L1061" s="96" t="e">
        <f>VLOOKUP(K1061,COA!$A$3:$B$337,2,FALSE)</f>
        <v>#N/A</v>
      </c>
      <c r="M1061" s="96" t="str">
        <f t="shared" si="44"/>
        <v>XXX</v>
      </c>
      <c r="N1061" s="96" t="str">
        <f>VLOOKUP(M1061,CAC!$A$2:$B$198,2,FALSE)</f>
        <v>XXX</v>
      </c>
    </row>
    <row r="1062" spans="5:14" x14ac:dyDescent="0.25">
      <c r="E1062" s="136">
        <v>201510</v>
      </c>
      <c r="F1062" s="138" t="s">
        <v>563</v>
      </c>
      <c r="G1062" s="138" t="s">
        <v>359</v>
      </c>
      <c r="H1062" s="138" t="s">
        <v>344</v>
      </c>
      <c r="I1062" s="139">
        <v>0</v>
      </c>
      <c r="K1062" s="96" t="str">
        <f t="shared" si="43"/>
        <v>0003-1005-0012</v>
      </c>
      <c r="L1062" s="96" t="str">
        <f>VLOOKUP(K1062,COA!$A$3:$B$337,2,FALSE)</f>
        <v>N51</v>
      </c>
      <c r="M1062" s="96" t="str">
        <f t="shared" si="44"/>
        <v>N51</v>
      </c>
      <c r="N1062" s="96" t="str">
        <f>VLOOKUP(M1062,CAC!$A$2:$B$198,2,FALSE)</f>
        <v>PPOLG</v>
      </c>
    </row>
    <row r="1063" spans="5:14" x14ac:dyDescent="0.25">
      <c r="E1063" s="136">
        <v>201603</v>
      </c>
      <c r="F1063" s="138" t="s">
        <v>344</v>
      </c>
      <c r="G1063" s="138" t="s">
        <v>361</v>
      </c>
      <c r="H1063" s="138" t="s">
        <v>344</v>
      </c>
      <c r="I1063" s="139">
        <v>9726.16</v>
      </c>
      <c r="K1063" s="96" t="str">
        <f t="shared" si="43"/>
        <v>0012-1003-0012</v>
      </c>
      <c r="L1063" s="96" t="str">
        <f>VLOOKUP(K1063,COA!$A$3:$B$337,2,FALSE)</f>
        <v>N15</v>
      </c>
      <c r="M1063" s="96" t="str">
        <f t="shared" si="44"/>
        <v>N15</v>
      </c>
      <c r="N1063" s="96" t="str">
        <f>VLOOKUP(M1063,CAC!$A$2:$B$198,2,FALSE)</f>
        <v>HMOPMR</v>
      </c>
    </row>
    <row r="1064" spans="5:14" x14ac:dyDescent="0.25">
      <c r="E1064" s="136">
        <v>201608</v>
      </c>
      <c r="F1064" s="138" t="s">
        <v>563</v>
      </c>
      <c r="G1064" s="138" t="s">
        <v>365</v>
      </c>
      <c r="H1064" s="138" t="s">
        <v>344</v>
      </c>
      <c r="I1064" s="139">
        <v>0</v>
      </c>
      <c r="K1064" s="96" t="str">
        <f t="shared" si="43"/>
        <v>0003-1001-0012</v>
      </c>
      <c r="L1064" s="96" t="str">
        <f>VLOOKUP(K1064,COA!$A$3:$B$337,2,FALSE)</f>
        <v>V51</v>
      </c>
      <c r="M1064" s="96" t="str">
        <f t="shared" si="44"/>
        <v>V51</v>
      </c>
      <c r="N1064" s="96" t="str">
        <f>VLOOKUP(M1064,CAC!$A$2:$B$198,2,FALSE)</f>
        <v>PPOIFP</v>
      </c>
    </row>
    <row r="1065" spans="5:14" x14ac:dyDescent="0.25">
      <c r="E1065" s="136">
        <v>201504</v>
      </c>
      <c r="F1065" s="138" t="s">
        <v>563</v>
      </c>
      <c r="G1065" s="138" t="s">
        <v>348</v>
      </c>
      <c r="H1065" s="138" t="s">
        <v>353</v>
      </c>
      <c r="I1065" s="139">
        <v>0</v>
      </c>
      <c r="K1065" s="96" t="str">
        <f t="shared" si="43"/>
        <v>0003-1010-0023</v>
      </c>
      <c r="L1065" s="96" t="str">
        <f>VLOOKUP(K1065,COA!$A$3:$B$337,2,FALSE)</f>
        <v>S54</v>
      </c>
      <c r="M1065" s="96" t="str">
        <f t="shared" si="44"/>
        <v>S54</v>
      </c>
      <c r="N1065" s="96" t="str">
        <f>VLOOKUP(M1065,CAC!$A$2:$B$198,2,FALSE)</f>
        <v>PPOSG</v>
      </c>
    </row>
    <row r="1066" spans="5:14" x14ac:dyDescent="0.25">
      <c r="E1066" s="136">
        <v>201502</v>
      </c>
      <c r="F1066" s="138" t="s">
        <v>413</v>
      </c>
      <c r="G1066" s="138" t="s">
        <v>365</v>
      </c>
      <c r="H1066" s="138" t="s">
        <v>411</v>
      </c>
      <c r="I1066" s="139">
        <v>0</v>
      </c>
      <c r="K1066" s="96" t="str">
        <f t="shared" si="43"/>
        <v>0008-1001-0007</v>
      </c>
      <c r="L1066" s="96" t="str">
        <f>VLOOKUP(K1066,COA!$A$3:$B$337,2,FALSE)</f>
        <v>C99</v>
      </c>
      <c r="M1066" s="96" t="str">
        <f t="shared" si="44"/>
        <v>C99</v>
      </c>
      <c r="N1066" s="96" t="str">
        <f>VLOOKUP(M1066,CAC!$A$2:$B$198,2,FALSE)</f>
        <v>DOIIFP</v>
      </c>
    </row>
    <row r="1067" spans="5:14" x14ac:dyDescent="0.25">
      <c r="E1067" s="136">
        <v>201706</v>
      </c>
      <c r="F1067" s="138" t="s">
        <v>563</v>
      </c>
      <c r="G1067" s="138" t="s">
        <v>348</v>
      </c>
      <c r="H1067" s="138" t="s">
        <v>349</v>
      </c>
      <c r="I1067" s="139">
        <v>0</v>
      </c>
      <c r="K1067" s="96" t="str">
        <f t="shared" si="43"/>
        <v>0003-1010-0017</v>
      </c>
      <c r="L1067" s="96" t="str">
        <f>VLOOKUP(K1067,COA!$A$3:$B$337,2,FALSE)</f>
        <v>S51</v>
      </c>
      <c r="M1067" s="96" t="str">
        <f t="shared" si="44"/>
        <v>S51</v>
      </c>
      <c r="N1067" s="96" t="str">
        <f>VLOOKUP(M1067,CAC!$A$2:$B$198,2,FALSE)</f>
        <v>PPOSG</v>
      </c>
    </row>
    <row r="1068" spans="5:14" x14ac:dyDescent="0.25">
      <c r="E1068" s="136">
        <v>201703</v>
      </c>
      <c r="F1068" s="138" t="s">
        <v>563</v>
      </c>
      <c r="G1068" s="138" t="s">
        <v>359</v>
      </c>
      <c r="H1068" s="138" t="s">
        <v>344</v>
      </c>
      <c r="I1068" s="139">
        <v>0</v>
      </c>
      <c r="K1068" s="96" t="str">
        <f t="shared" si="43"/>
        <v>0003-1005-0012</v>
      </c>
      <c r="L1068" s="96" t="str">
        <f>VLOOKUP(K1068,COA!$A$3:$B$337,2,FALSE)</f>
        <v>N51</v>
      </c>
      <c r="M1068" s="96" t="str">
        <f t="shared" si="44"/>
        <v>N51</v>
      </c>
      <c r="N1068" s="96" t="str">
        <f>VLOOKUP(M1068,CAC!$A$2:$B$198,2,FALSE)</f>
        <v>PPOLG</v>
      </c>
    </row>
    <row r="1069" spans="5:14" x14ac:dyDescent="0.25">
      <c r="E1069" s="136">
        <v>201712</v>
      </c>
      <c r="F1069" s="138" t="s">
        <v>344</v>
      </c>
      <c r="G1069" s="138" t="s">
        <v>356</v>
      </c>
      <c r="H1069" s="138" t="s">
        <v>344</v>
      </c>
      <c r="I1069" s="139">
        <v>4294</v>
      </c>
      <c r="K1069" s="96" t="str">
        <f t="shared" si="43"/>
        <v>0012-1002-0012</v>
      </c>
      <c r="L1069" s="96" t="str">
        <f>VLOOKUP(K1069,COA!$A$3:$B$337,2,FALSE)</f>
        <v>F22</v>
      </c>
      <c r="M1069" s="96" t="str">
        <f t="shared" si="44"/>
        <v>F22</v>
      </c>
      <c r="N1069" s="96" t="str">
        <f>VLOOKUP(M1069,CAC!$A$2:$B$198,2,FALSE)</f>
        <v>HMOPMR</v>
      </c>
    </row>
    <row r="1070" spans="5:14" x14ac:dyDescent="0.25">
      <c r="E1070" s="136">
        <v>201708</v>
      </c>
      <c r="F1070" s="138" t="s">
        <v>345</v>
      </c>
      <c r="G1070" s="138" t="s">
        <v>352</v>
      </c>
      <c r="H1070" s="138" t="s">
        <v>360</v>
      </c>
      <c r="I1070" s="139">
        <v>224</v>
      </c>
      <c r="K1070" s="96" t="str">
        <f t="shared" si="43"/>
        <v>0011-1004-0048</v>
      </c>
      <c r="L1070" s="96" t="str">
        <f>VLOOKUP(K1070,COA!$A$3:$B$337,2,FALSE)</f>
        <v>L21</v>
      </c>
      <c r="M1070" s="96" t="str">
        <f t="shared" si="44"/>
        <v>L21</v>
      </c>
      <c r="N1070" s="96" t="str">
        <f>VLOOKUP(M1070,CAC!$A$2:$B$198,2,FALSE)</f>
        <v>HMFLEX</v>
      </c>
    </row>
    <row r="1071" spans="5:14" x14ac:dyDescent="0.25">
      <c r="E1071" s="136">
        <v>201610</v>
      </c>
      <c r="F1071" s="138" t="s">
        <v>413</v>
      </c>
      <c r="G1071" s="138" t="s">
        <v>355</v>
      </c>
      <c r="H1071" s="138" t="s">
        <v>344</v>
      </c>
      <c r="I1071" s="139">
        <v>0</v>
      </c>
      <c r="K1071" s="96" t="str">
        <f t="shared" si="43"/>
        <v>0008-1006-0012</v>
      </c>
      <c r="L1071" s="96" t="str">
        <f>VLOOKUP(K1071,COA!$A$3:$B$337,2,FALSE)</f>
        <v>C96</v>
      </c>
      <c r="M1071" s="96" t="str">
        <f t="shared" si="44"/>
        <v>C96</v>
      </c>
      <c r="N1071" s="96" t="str">
        <f>VLOOKUP(M1071,CAC!$A$2:$B$198,2,FALSE)</f>
        <v>DOILG</v>
      </c>
    </row>
    <row r="1072" spans="5:14" x14ac:dyDescent="0.25">
      <c r="E1072" s="136">
        <v>201701</v>
      </c>
      <c r="F1072" s="138" t="s">
        <v>506</v>
      </c>
      <c r="G1072" s="138" t="s">
        <v>361</v>
      </c>
      <c r="H1072" s="138" t="s">
        <v>592</v>
      </c>
      <c r="I1072" s="139">
        <v>0</v>
      </c>
      <c r="K1072" s="96" t="str">
        <f t="shared" si="43"/>
        <v>0013-1003-0035</v>
      </c>
      <c r="L1072" s="96" t="str">
        <f>VLOOKUP(K1072,COA!$A$3:$B$337,2,FALSE)</f>
        <v>N32</v>
      </c>
      <c r="M1072" s="96" t="str">
        <f t="shared" si="44"/>
        <v>N32</v>
      </c>
      <c r="N1072" s="96" t="e">
        <f>VLOOKUP(M1072,CAC!$A$2:$B$198,2,FALSE)</f>
        <v>#N/A</v>
      </c>
    </row>
    <row r="1073" spans="5:14" x14ac:dyDescent="0.25">
      <c r="E1073" s="136">
        <v>201707</v>
      </c>
      <c r="F1073" s="138" t="s">
        <v>345</v>
      </c>
      <c r="G1073" s="138" t="s">
        <v>365</v>
      </c>
      <c r="H1073" s="138" t="s">
        <v>367</v>
      </c>
      <c r="I1073" s="139">
        <v>757.71</v>
      </c>
      <c r="K1073" s="96" t="str">
        <f t="shared" si="43"/>
        <v>0011-1001-0022</v>
      </c>
      <c r="L1073" s="96" t="str">
        <f>VLOOKUP(K1073,COA!$A$3:$B$337,2,FALSE)</f>
        <v>V14</v>
      </c>
      <c r="M1073" s="96" t="str">
        <f t="shared" si="44"/>
        <v>V14</v>
      </c>
      <c r="N1073" s="96" t="str">
        <f>VLOOKUP(M1073,CAC!$A$2:$B$198,2,FALSE)</f>
        <v>HMOIFP</v>
      </c>
    </row>
    <row r="1074" spans="5:14" x14ac:dyDescent="0.25">
      <c r="E1074" s="136">
        <v>201510</v>
      </c>
      <c r="F1074" s="138" t="s">
        <v>524</v>
      </c>
      <c r="G1074" s="138" t="s">
        <v>361</v>
      </c>
      <c r="H1074" s="138" t="s">
        <v>672</v>
      </c>
      <c r="I1074" s="139">
        <v>0</v>
      </c>
      <c r="K1074" s="96" t="str">
        <f t="shared" si="43"/>
        <v>0025-1003-0058</v>
      </c>
      <c r="L1074" s="96" t="str">
        <f>VLOOKUP(K1074,COA!$A$3:$B$337,2,FALSE)</f>
        <v>N45</v>
      </c>
      <c r="M1074" s="96" t="str">
        <f t="shared" si="44"/>
        <v>N45</v>
      </c>
      <c r="N1074" s="96" t="e">
        <f>VLOOKUP(M1074,CAC!$A$2:$B$198,2,FALSE)</f>
        <v>#N/A</v>
      </c>
    </row>
    <row r="1075" spans="5:14" x14ac:dyDescent="0.25">
      <c r="E1075" s="136">
        <v>201602</v>
      </c>
      <c r="F1075" s="138" t="s">
        <v>563</v>
      </c>
      <c r="G1075" s="138" t="s">
        <v>365</v>
      </c>
      <c r="H1075" s="138" t="s">
        <v>344</v>
      </c>
      <c r="I1075" s="139">
        <v>0</v>
      </c>
      <c r="K1075" s="96" t="str">
        <f t="shared" si="43"/>
        <v>0003-1001-0012</v>
      </c>
      <c r="L1075" s="96" t="str">
        <f>VLOOKUP(K1075,COA!$A$3:$B$337,2,FALSE)</f>
        <v>V51</v>
      </c>
      <c r="M1075" s="96" t="str">
        <f t="shared" si="44"/>
        <v>V51</v>
      </c>
      <c r="N1075" s="96" t="str">
        <f>VLOOKUP(M1075,CAC!$A$2:$B$198,2,FALSE)</f>
        <v>PPOIFP</v>
      </c>
    </row>
    <row r="1076" spans="5:14" x14ac:dyDescent="0.25">
      <c r="E1076" s="136">
        <v>201510</v>
      </c>
      <c r="F1076" s="138" t="s">
        <v>413</v>
      </c>
      <c r="G1076" s="138" t="s">
        <v>354</v>
      </c>
      <c r="H1076" s="138" t="s">
        <v>344</v>
      </c>
      <c r="I1076" s="139">
        <v>0</v>
      </c>
      <c r="K1076" s="96" t="str">
        <f t="shared" si="43"/>
        <v>0008-1013-0012</v>
      </c>
      <c r="L1076" s="96" t="str">
        <f>VLOOKUP(K1076,COA!$A$3:$B$337,2,FALSE)</f>
        <v>C76</v>
      </c>
      <c r="M1076" s="96" t="str">
        <f t="shared" si="44"/>
        <v>C76</v>
      </c>
      <c r="N1076" s="96" t="str">
        <f>VLOOKUP(M1076,CAC!$A$2:$B$198,2,FALSE)</f>
        <v>DOILG</v>
      </c>
    </row>
    <row r="1077" spans="5:14" x14ac:dyDescent="0.25">
      <c r="E1077" s="136">
        <v>201701</v>
      </c>
      <c r="F1077" s="138" t="s">
        <v>563</v>
      </c>
      <c r="G1077" s="138" t="s">
        <v>352</v>
      </c>
      <c r="H1077" s="138" t="s">
        <v>626</v>
      </c>
      <c r="I1077" s="139">
        <v>0</v>
      </c>
      <c r="K1077" s="96" t="str">
        <f t="shared" si="43"/>
        <v>0003-1004-0057</v>
      </c>
      <c r="L1077" s="96" t="e">
        <f>VLOOKUP(K1077,COA!$A$3:$B$337,2,FALSE)</f>
        <v>#N/A</v>
      </c>
      <c r="M1077" s="96" t="str">
        <f t="shared" si="44"/>
        <v>XXX</v>
      </c>
      <c r="N1077" s="96" t="str">
        <f>VLOOKUP(M1077,CAC!$A$2:$B$198,2,FALSE)</f>
        <v>XXX</v>
      </c>
    </row>
    <row r="1078" spans="5:14" x14ac:dyDescent="0.25">
      <c r="E1078" s="136">
        <v>201702</v>
      </c>
      <c r="F1078" s="138" t="s">
        <v>563</v>
      </c>
      <c r="G1078" s="138" t="s">
        <v>361</v>
      </c>
      <c r="H1078" s="138" t="s">
        <v>344</v>
      </c>
      <c r="I1078" s="139">
        <v>0</v>
      </c>
      <c r="K1078" s="96" t="str">
        <f t="shared" si="43"/>
        <v>0003-1003-0012</v>
      </c>
      <c r="L1078" s="96" t="str">
        <f>VLOOKUP(K1078,COA!$A$3:$B$337,2,FALSE)</f>
        <v>N61</v>
      </c>
      <c r="M1078" s="96" t="str">
        <f t="shared" si="44"/>
        <v>N61</v>
      </c>
      <c r="N1078" s="96" t="str">
        <f>VLOOKUP(M1078,CAC!$A$2:$B$198,2,FALSE)</f>
        <v>PPOPMR</v>
      </c>
    </row>
    <row r="1079" spans="5:14" x14ac:dyDescent="0.25">
      <c r="E1079" s="136">
        <v>201512</v>
      </c>
      <c r="F1079" s="138" t="s">
        <v>552</v>
      </c>
      <c r="G1079" s="138" t="s">
        <v>356</v>
      </c>
      <c r="H1079" s="138" t="s">
        <v>672</v>
      </c>
      <c r="I1079" s="139">
        <v>0</v>
      </c>
      <c r="K1079" s="96" t="str">
        <f t="shared" si="43"/>
        <v>0027-1002-0058</v>
      </c>
      <c r="L1079" s="96" t="str">
        <f>VLOOKUP(K1079,COA!$A$3:$B$337,2,FALSE)</f>
        <v>L45</v>
      </c>
      <c r="M1079" s="96" t="str">
        <f t="shared" si="44"/>
        <v>L45</v>
      </c>
      <c r="N1079" s="96" t="e">
        <f>VLOOKUP(M1079,CAC!$A$2:$B$198,2,FALSE)</f>
        <v>#N/A</v>
      </c>
    </row>
    <row r="1080" spans="5:14" x14ac:dyDescent="0.25">
      <c r="E1080" s="136">
        <v>201707</v>
      </c>
      <c r="F1080" s="138" t="s">
        <v>345</v>
      </c>
      <c r="G1080" s="138" t="s">
        <v>352</v>
      </c>
      <c r="H1080" s="138" t="s">
        <v>360</v>
      </c>
      <c r="I1080" s="139">
        <v>217</v>
      </c>
      <c r="K1080" s="96" t="str">
        <f t="shared" si="43"/>
        <v>0011-1004-0048</v>
      </c>
      <c r="L1080" s="96" t="str">
        <f>VLOOKUP(K1080,COA!$A$3:$B$337,2,FALSE)</f>
        <v>L21</v>
      </c>
      <c r="M1080" s="96" t="str">
        <f t="shared" si="44"/>
        <v>L21</v>
      </c>
      <c r="N1080" s="96" t="str">
        <f>VLOOKUP(M1080,CAC!$A$2:$B$198,2,FALSE)</f>
        <v>HMFLEX</v>
      </c>
    </row>
    <row r="1081" spans="5:14" x14ac:dyDescent="0.25">
      <c r="E1081" s="136">
        <v>201702</v>
      </c>
      <c r="F1081" s="138" t="s">
        <v>345</v>
      </c>
      <c r="G1081" s="138" t="s">
        <v>350</v>
      </c>
      <c r="H1081" s="138" t="s">
        <v>357</v>
      </c>
      <c r="I1081" s="139">
        <v>1225.43</v>
      </c>
      <c r="K1081" s="96" t="str">
        <f t="shared" si="43"/>
        <v>0011-1012-0038</v>
      </c>
      <c r="L1081" s="96" t="str">
        <f>VLOOKUP(K1081,COA!$A$3:$B$337,2,FALSE)</f>
        <v>K14</v>
      </c>
      <c r="M1081" s="96" t="str">
        <f t="shared" si="44"/>
        <v>K14</v>
      </c>
      <c r="N1081" s="96" t="str">
        <f>VLOOKUP(M1081,CAC!$A$2:$B$198,2,FALSE)</f>
        <v>HMOPMR</v>
      </c>
    </row>
    <row r="1082" spans="5:14" x14ac:dyDescent="0.25">
      <c r="E1082" s="136">
        <v>201705</v>
      </c>
      <c r="F1082" s="138" t="s">
        <v>345</v>
      </c>
      <c r="G1082" s="138" t="s">
        <v>362</v>
      </c>
      <c r="H1082" s="138" t="s">
        <v>364</v>
      </c>
      <c r="I1082" s="139">
        <v>47549.36</v>
      </c>
      <c r="K1082" s="96" t="str">
        <f t="shared" si="43"/>
        <v>0011-1008-0037</v>
      </c>
      <c r="L1082" s="96" t="str">
        <f>VLOOKUP(K1082,COA!$A$3:$B$337,2,FALSE)</f>
        <v>P12</v>
      </c>
      <c r="M1082" s="96" t="str">
        <f t="shared" si="44"/>
        <v>P12</v>
      </c>
      <c r="N1082" s="96" t="str">
        <f>VLOOKUP(M1082,CAC!$A$2:$B$198,2,FALSE)</f>
        <v>HMOPERA</v>
      </c>
    </row>
    <row r="1083" spans="5:14" x14ac:dyDescent="0.25">
      <c r="E1083" s="136">
        <v>201606</v>
      </c>
      <c r="F1083" s="138" t="s">
        <v>345</v>
      </c>
      <c r="G1083" s="138" t="s">
        <v>350</v>
      </c>
      <c r="H1083" s="138" t="s">
        <v>344</v>
      </c>
      <c r="I1083" s="139">
        <v>14101.5</v>
      </c>
      <c r="K1083" s="96" t="str">
        <f t="shared" si="43"/>
        <v>0011-1012-0012</v>
      </c>
      <c r="L1083" s="96" t="str">
        <f>VLOOKUP(K1083,COA!$A$3:$B$337,2,FALSE)</f>
        <v>K11</v>
      </c>
      <c r="M1083" s="96" t="str">
        <f t="shared" si="44"/>
        <v>K11</v>
      </c>
      <c r="N1083" s="96" t="str">
        <f>VLOOKUP(M1083,CAC!$A$2:$B$198,2,FALSE)</f>
        <v>HMOPMR</v>
      </c>
    </row>
    <row r="1084" spans="5:14" x14ac:dyDescent="0.25">
      <c r="E1084" s="136">
        <v>201510</v>
      </c>
      <c r="F1084" s="138" t="s">
        <v>413</v>
      </c>
      <c r="G1084" s="138" t="s">
        <v>359</v>
      </c>
      <c r="H1084" s="138" t="s">
        <v>344</v>
      </c>
      <c r="I1084" s="139">
        <v>0</v>
      </c>
      <c r="K1084" s="96" t="str">
        <f t="shared" si="43"/>
        <v>0008-1005-0012</v>
      </c>
      <c r="L1084" s="96" t="str">
        <f>VLOOKUP(K1084,COA!$A$3:$B$337,2,FALSE)</f>
        <v>C73</v>
      </c>
      <c r="M1084" s="96" t="str">
        <f t="shared" si="44"/>
        <v>C73</v>
      </c>
      <c r="N1084" s="96" t="str">
        <f>VLOOKUP(M1084,CAC!$A$2:$B$198,2,FALSE)</f>
        <v>DOILG</v>
      </c>
    </row>
    <row r="1085" spans="5:14" x14ac:dyDescent="0.25">
      <c r="E1085" s="136">
        <v>201505</v>
      </c>
      <c r="F1085" s="138" t="s">
        <v>563</v>
      </c>
      <c r="G1085" s="138" t="s">
        <v>348</v>
      </c>
      <c r="H1085" s="138" t="s">
        <v>353</v>
      </c>
      <c r="I1085" s="139">
        <v>0</v>
      </c>
      <c r="K1085" s="96" t="str">
        <f t="shared" si="43"/>
        <v>0003-1010-0023</v>
      </c>
      <c r="L1085" s="96" t="str">
        <f>VLOOKUP(K1085,COA!$A$3:$B$337,2,FALSE)</f>
        <v>S54</v>
      </c>
      <c r="M1085" s="96" t="str">
        <f t="shared" si="44"/>
        <v>S54</v>
      </c>
      <c r="N1085" s="96" t="str">
        <f>VLOOKUP(M1085,CAC!$A$2:$B$198,2,FALSE)</f>
        <v>PPOSG</v>
      </c>
    </row>
    <row r="1086" spans="5:14" x14ac:dyDescent="0.25">
      <c r="E1086" s="136">
        <v>201704</v>
      </c>
      <c r="F1086" s="138" t="s">
        <v>563</v>
      </c>
      <c r="G1086" s="138" t="s">
        <v>365</v>
      </c>
      <c r="H1086" s="138" t="s">
        <v>798</v>
      </c>
      <c r="I1086" s="139">
        <v>0</v>
      </c>
      <c r="K1086" s="96" t="str">
        <f t="shared" si="43"/>
        <v>0003-1001-0065</v>
      </c>
      <c r="L1086" s="96" t="str">
        <f>VLOOKUP(K1086,COA!$A$3:$B$337,2,FALSE)</f>
        <v>V55</v>
      </c>
      <c r="M1086" s="96" t="str">
        <f t="shared" si="44"/>
        <v>V55</v>
      </c>
      <c r="N1086" s="96" t="e">
        <f>VLOOKUP(M1086,CAC!$A$2:$B$198,2,FALSE)</f>
        <v>#N/A</v>
      </c>
    </row>
    <row r="1087" spans="5:14" x14ac:dyDescent="0.25">
      <c r="E1087" s="136">
        <v>201710</v>
      </c>
      <c r="F1087" s="138" t="s">
        <v>345</v>
      </c>
      <c r="G1087" s="138" t="s">
        <v>355</v>
      </c>
      <c r="H1087" s="138" t="s">
        <v>344</v>
      </c>
      <c r="I1087" s="139">
        <v>18754.689999999999</v>
      </c>
      <c r="K1087" s="96" t="str">
        <f t="shared" si="43"/>
        <v>0011-1006-0012</v>
      </c>
      <c r="L1087" s="96" t="str">
        <f>VLOOKUP(K1087,COA!$A$3:$B$337,2,FALSE)</f>
        <v>L13</v>
      </c>
      <c r="M1087" s="96" t="str">
        <f t="shared" si="44"/>
        <v>L13</v>
      </c>
      <c r="N1087" s="96" t="str">
        <f>VLOOKUP(M1087,CAC!$A$2:$B$198,2,FALSE)</f>
        <v>HMOLG</v>
      </c>
    </row>
    <row r="1088" spans="5:14" x14ac:dyDescent="0.25">
      <c r="E1088" s="136">
        <v>201701</v>
      </c>
      <c r="F1088" s="138" t="s">
        <v>506</v>
      </c>
      <c r="G1088" s="138" t="s">
        <v>359</v>
      </c>
      <c r="H1088" s="138" t="s">
        <v>592</v>
      </c>
      <c r="I1088" s="139">
        <v>0</v>
      </c>
      <c r="K1088" s="96" t="str">
        <f t="shared" si="43"/>
        <v>0013-1005-0035</v>
      </c>
      <c r="L1088" s="96" t="str">
        <f>VLOOKUP(K1088,COA!$A$3:$B$337,2,FALSE)</f>
        <v>N41</v>
      </c>
      <c r="M1088" s="96" t="str">
        <f t="shared" si="44"/>
        <v>N41</v>
      </c>
      <c r="N1088" s="96" t="e">
        <f>VLOOKUP(M1088,CAC!$A$2:$B$198,2,FALSE)</f>
        <v>#N/A</v>
      </c>
    </row>
    <row r="1089" spans="5:14" x14ac:dyDescent="0.25">
      <c r="E1089" s="136">
        <v>201702</v>
      </c>
      <c r="F1089" s="138" t="s">
        <v>345</v>
      </c>
      <c r="G1089" s="138" t="s">
        <v>356</v>
      </c>
      <c r="H1089" s="138" t="s">
        <v>344</v>
      </c>
      <c r="I1089" s="139">
        <v>16142.89</v>
      </c>
      <c r="K1089" s="96" t="str">
        <f t="shared" si="43"/>
        <v>0011-1002-0012</v>
      </c>
      <c r="L1089" s="96" t="str">
        <f>VLOOKUP(K1089,COA!$A$3:$B$337,2,FALSE)</f>
        <v>F20</v>
      </c>
      <c r="M1089" s="96" t="str">
        <f t="shared" si="44"/>
        <v>F20</v>
      </c>
      <c r="N1089" s="96" t="str">
        <f>VLOOKUP(M1089,CAC!$A$2:$B$198,2,FALSE)</f>
        <v>HMOPMR</v>
      </c>
    </row>
    <row r="1090" spans="5:14" x14ac:dyDescent="0.25">
      <c r="E1090" s="136">
        <v>201709</v>
      </c>
      <c r="F1090" s="138" t="s">
        <v>345</v>
      </c>
      <c r="G1090" s="138" t="s">
        <v>350</v>
      </c>
      <c r="H1090" s="138" t="s">
        <v>360</v>
      </c>
      <c r="I1090" s="139">
        <v>10056</v>
      </c>
      <c r="K1090" s="96" t="str">
        <f t="shared" si="43"/>
        <v>0011-1012-0048</v>
      </c>
      <c r="L1090" s="96" t="str">
        <f>VLOOKUP(K1090,COA!$A$3:$B$337,2,FALSE)</f>
        <v>K21</v>
      </c>
      <c r="M1090" s="96" t="str">
        <f t="shared" si="44"/>
        <v>K21</v>
      </c>
      <c r="N1090" s="96" t="str">
        <f>VLOOKUP(M1090,CAC!$A$2:$B$198,2,FALSE)</f>
        <v>HMFLEX</v>
      </c>
    </row>
    <row r="1091" spans="5:14" x14ac:dyDescent="0.25">
      <c r="E1091" s="136">
        <v>201506</v>
      </c>
      <c r="F1091" s="138" t="s">
        <v>746</v>
      </c>
      <c r="G1091" s="138" t="s">
        <v>350</v>
      </c>
      <c r="H1091" s="138" t="s">
        <v>344</v>
      </c>
      <c r="I1091" s="139">
        <v>134</v>
      </c>
      <c r="K1091" s="96" t="str">
        <f t="shared" ref="K1091:K1154" si="45">F1091&amp;"-"&amp;G1091&amp;"-"&amp;H1091</f>
        <v>0016-1012-0012</v>
      </c>
      <c r="L1091" s="96" t="str">
        <f>VLOOKUP(K1091,COA!$A$3:$B$337,2,FALSE)</f>
        <v>R19</v>
      </c>
      <c r="M1091" s="96" t="str">
        <f t="shared" si="44"/>
        <v>R19</v>
      </c>
      <c r="N1091" s="96" t="str">
        <f>VLOOKUP(M1091,CAC!$A$2:$B$198,2,FALSE)</f>
        <v>HMOMG</v>
      </c>
    </row>
    <row r="1092" spans="5:14" x14ac:dyDescent="0.25">
      <c r="E1092" s="136">
        <v>201510</v>
      </c>
      <c r="F1092" s="138" t="s">
        <v>345</v>
      </c>
      <c r="G1092" s="138" t="s">
        <v>362</v>
      </c>
      <c r="H1092" s="138" t="s">
        <v>371</v>
      </c>
      <c r="I1092" s="139">
        <v>6318</v>
      </c>
      <c r="K1092" s="96" t="str">
        <f t="shared" si="45"/>
        <v>0011-1008-0033</v>
      </c>
      <c r="L1092" s="96" t="str">
        <f>VLOOKUP(K1092,COA!$A$3:$B$337,2,FALSE)</f>
        <v>P13</v>
      </c>
      <c r="M1092" s="96" t="str">
        <f t="shared" ref="M1092:M1155" si="46">IF(ISNA(L1092),"XXX",L1092)</f>
        <v>P13</v>
      </c>
      <c r="N1092" s="96" t="str">
        <f>VLOOKUP(M1092,CAC!$A$2:$B$198,2,FALSE)</f>
        <v>PERMEDA</v>
      </c>
    </row>
    <row r="1093" spans="5:14" x14ac:dyDescent="0.25">
      <c r="E1093" s="136">
        <v>201507</v>
      </c>
      <c r="F1093" s="138" t="s">
        <v>506</v>
      </c>
      <c r="G1093" s="138" t="s">
        <v>359</v>
      </c>
      <c r="H1093" s="138" t="s">
        <v>592</v>
      </c>
      <c r="I1093" s="139">
        <v>0</v>
      </c>
      <c r="K1093" s="96" t="str">
        <f t="shared" si="45"/>
        <v>0013-1005-0035</v>
      </c>
      <c r="L1093" s="96" t="str">
        <f>VLOOKUP(K1093,COA!$A$3:$B$337,2,FALSE)</f>
        <v>N41</v>
      </c>
      <c r="M1093" s="96" t="str">
        <f t="shared" si="46"/>
        <v>N41</v>
      </c>
      <c r="N1093" s="96" t="e">
        <f>VLOOKUP(M1093,CAC!$A$2:$B$198,2,FALSE)</f>
        <v>#N/A</v>
      </c>
    </row>
    <row r="1094" spans="5:14" x14ac:dyDescent="0.25">
      <c r="E1094" s="136">
        <v>201605</v>
      </c>
      <c r="F1094" s="138" t="s">
        <v>413</v>
      </c>
      <c r="G1094" s="138" t="s">
        <v>356</v>
      </c>
      <c r="H1094" s="138" t="s">
        <v>344</v>
      </c>
      <c r="I1094" s="139">
        <v>0</v>
      </c>
      <c r="K1094" s="96" t="str">
        <f t="shared" si="45"/>
        <v>0008-1002-0012</v>
      </c>
      <c r="L1094" s="96" t="str">
        <f>VLOOKUP(K1094,COA!$A$3:$B$337,2,FALSE)</f>
        <v>C74</v>
      </c>
      <c r="M1094" s="96" t="str">
        <f t="shared" si="46"/>
        <v>C74</v>
      </c>
      <c r="N1094" s="96" t="str">
        <f>VLOOKUP(M1094,CAC!$A$2:$B$198,2,FALSE)</f>
        <v>DOILG</v>
      </c>
    </row>
    <row r="1095" spans="5:14" x14ac:dyDescent="0.25">
      <c r="E1095" s="136">
        <v>201609</v>
      </c>
      <c r="F1095" s="138" t="s">
        <v>345</v>
      </c>
      <c r="G1095" s="138" t="s">
        <v>346</v>
      </c>
      <c r="H1095" s="138" t="s">
        <v>344</v>
      </c>
      <c r="I1095" s="139">
        <v>0</v>
      </c>
      <c r="K1095" s="96" t="str">
        <f t="shared" si="45"/>
        <v>0011-1014-0012</v>
      </c>
      <c r="L1095" s="96" t="e">
        <f>VLOOKUP(K1095,COA!$A$3:$B$337,2,FALSE)</f>
        <v>#N/A</v>
      </c>
      <c r="M1095" s="96" t="str">
        <f t="shared" si="46"/>
        <v>XXX</v>
      </c>
      <c r="N1095" s="96" t="str">
        <f>VLOOKUP(M1095,CAC!$A$2:$B$198,2,FALSE)</f>
        <v>XXX</v>
      </c>
    </row>
    <row r="1096" spans="5:14" x14ac:dyDescent="0.25">
      <c r="E1096" s="136">
        <v>201702</v>
      </c>
      <c r="F1096" s="138" t="s">
        <v>344</v>
      </c>
      <c r="G1096" s="138" t="s">
        <v>361</v>
      </c>
      <c r="H1096" s="138" t="s">
        <v>344</v>
      </c>
      <c r="I1096" s="139">
        <v>9550.1200000000008</v>
      </c>
      <c r="K1096" s="96" t="str">
        <f t="shared" si="45"/>
        <v>0012-1003-0012</v>
      </c>
      <c r="L1096" s="96" t="str">
        <f>VLOOKUP(K1096,COA!$A$3:$B$337,2,FALSE)</f>
        <v>N15</v>
      </c>
      <c r="M1096" s="96" t="str">
        <f t="shared" si="46"/>
        <v>N15</v>
      </c>
      <c r="N1096" s="96" t="str">
        <f>VLOOKUP(M1096,CAC!$A$2:$B$198,2,FALSE)</f>
        <v>HMOPMR</v>
      </c>
    </row>
    <row r="1097" spans="5:14" x14ac:dyDescent="0.25">
      <c r="E1097" s="136">
        <v>201511</v>
      </c>
      <c r="F1097" s="138" t="s">
        <v>344</v>
      </c>
      <c r="G1097" s="138" t="s">
        <v>356</v>
      </c>
      <c r="H1097" s="138" t="s">
        <v>344</v>
      </c>
      <c r="I1097" s="139">
        <v>3934</v>
      </c>
      <c r="K1097" s="96" t="str">
        <f t="shared" si="45"/>
        <v>0012-1002-0012</v>
      </c>
      <c r="L1097" s="96" t="str">
        <f>VLOOKUP(K1097,COA!$A$3:$B$337,2,FALSE)</f>
        <v>F22</v>
      </c>
      <c r="M1097" s="96" t="str">
        <f t="shared" si="46"/>
        <v>F22</v>
      </c>
      <c r="N1097" s="96" t="str">
        <f>VLOOKUP(M1097,CAC!$A$2:$B$198,2,FALSE)</f>
        <v>HMOPMR</v>
      </c>
    </row>
    <row r="1098" spans="5:14" x14ac:dyDescent="0.25">
      <c r="E1098" s="136">
        <v>201601</v>
      </c>
      <c r="F1098" s="138" t="s">
        <v>344</v>
      </c>
      <c r="G1098" s="138" t="s">
        <v>356</v>
      </c>
      <c r="H1098" s="138" t="s">
        <v>344</v>
      </c>
      <c r="I1098" s="139">
        <v>4082</v>
      </c>
      <c r="K1098" s="96" t="str">
        <f t="shared" si="45"/>
        <v>0012-1002-0012</v>
      </c>
      <c r="L1098" s="96" t="str">
        <f>VLOOKUP(K1098,COA!$A$3:$B$337,2,FALSE)</f>
        <v>F22</v>
      </c>
      <c r="M1098" s="96" t="str">
        <f t="shared" si="46"/>
        <v>F22</v>
      </c>
      <c r="N1098" s="96" t="str">
        <f>VLOOKUP(M1098,CAC!$A$2:$B$198,2,FALSE)</f>
        <v>HMOPMR</v>
      </c>
    </row>
    <row r="1099" spans="5:14" x14ac:dyDescent="0.25">
      <c r="E1099" s="136">
        <v>201601</v>
      </c>
      <c r="F1099" s="138" t="s">
        <v>746</v>
      </c>
      <c r="G1099" s="138" t="s">
        <v>354</v>
      </c>
      <c r="H1099" s="138" t="s">
        <v>344</v>
      </c>
      <c r="I1099" s="139">
        <v>81</v>
      </c>
      <c r="K1099" s="96" t="str">
        <f t="shared" si="45"/>
        <v>0016-1013-0012</v>
      </c>
      <c r="L1099" s="96" t="str">
        <f>VLOOKUP(K1099,COA!$A$3:$B$337,2,FALSE)</f>
        <v>R19</v>
      </c>
      <c r="M1099" s="96" t="str">
        <f t="shared" si="46"/>
        <v>R19</v>
      </c>
      <c r="N1099" s="96" t="str">
        <f>VLOOKUP(M1099,CAC!$A$2:$B$198,2,FALSE)</f>
        <v>HMOMG</v>
      </c>
    </row>
    <row r="1100" spans="5:14" x14ac:dyDescent="0.25">
      <c r="E1100" s="136">
        <v>201701</v>
      </c>
      <c r="F1100" s="138" t="s">
        <v>746</v>
      </c>
      <c r="G1100" s="138" t="s">
        <v>354</v>
      </c>
      <c r="H1100" s="138" t="s">
        <v>344</v>
      </c>
      <c r="I1100" s="139">
        <v>79</v>
      </c>
      <c r="K1100" s="96" t="str">
        <f t="shared" si="45"/>
        <v>0016-1013-0012</v>
      </c>
      <c r="L1100" s="96" t="str">
        <f>VLOOKUP(K1100,COA!$A$3:$B$337,2,FALSE)</f>
        <v>R19</v>
      </c>
      <c r="M1100" s="96" t="str">
        <f t="shared" si="46"/>
        <v>R19</v>
      </c>
      <c r="N1100" s="96" t="str">
        <f>VLOOKUP(M1100,CAC!$A$2:$B$198,2,FALSE)</f>
        <v>HMOMG</v>
      </c>
    </row>
    <row r="1101" spans="5:14" x14ac:dyDescent="0.25">
      <c r="E1101" s="136">
        <v>201509</v>
      </c>
      <c r="F1101" s="138" t="s">
        <v>413</v>
      </c>
      <c r="G1101" s="138" t="s">
        <v>356</v>
      </c>
      <c r="H1101" s="138" t="s">
        <v>344</v>
      </c>
      <c r="I1101" s="139">
        <v>0</v>
      </c>
      <c r="K1101" s="96" t="str">
        <f t="shared" si="45"/>
        <v>0008-1002-0012</v>
      </c>
      <c r="L1101" s="96" t="str">
        <f>VLOOKUP(K1101,COA!$A$3:$B$337,2,FALSE)</f>
        <v>C74</v>
      </c>
      <c r="M1101" s="96" t="str">
        <f t="shared" si="46"/>
        <v>C74</v>
      </c>
      <c r="N1101" s="96" t="str">
        <f>VLOOKUP(M1101,CAC!$A$2:$B$198,2,FALSE)</f>
        <v>DOILG</v>
      </c>
    </row>
    <row r="1102" spans="5:14" x14ac:dyDescent="0.25">
      <c r="E1102" s="136">
        <v>201706</v>
      </c>
      <c r="F1102" s="138" t="s">
        <v>345</v>
      </c>
      <c r="G1102" s="138" t="s">
        <v>348</v>
      </c>
      <c r="H1102" s="138" t="s">
        <v>353</v>
      </c>
      <c r="I1102" s="139">
        <v>367</v>
      </c>
      <c r="K1102" s="96" t="str">
        <f t="shared" si="45"/>
        <v>0011-1010-0023</v>
      </c>
      <c r="L1102" s="96" t="str">
        <f>VLOOKUP(K1102,COA!$A$3:$B$337,2,FALSE)</f>
        <v>S13</v>
      </c>
      <c r="M1102" s="96" t="str">
        <f t="shared" si="46"/>
        <v>S13</v>
      </c>
      <c r="N1102" s="96" t="str">
        <f>VLOOKUP(M1102,CAC!$A$2:$B$198,2,FALSE)</f>
        <v>HMOSG</v>
      </c>
    </row>
    <row r="1103" spans="5:14" x14ac:dyDescent="0.25">
      <c r="E1103" s="136">
        <v>201709</v>
      </c>
      <c r="F1103" s="138" t="s">
        <v>344</v>
      </c>
      <c r="G1103" s="138" t="s">
        <v>356</v>
      </c>
      <c r="H1103" s="138" t="s">
        <v>344</v>
      </c>
      <c r="I1103" s="139">
        <v>4285.0600000000004</v>
      </c>
      <c r="K1103" s="96" t="str">
        <f t="shared" si="45"/>
        <v>0012-1002-0012</v>
      </c>
      <c r="L1103" s="96" t="str">
        <f>VLOOKUP(K1103,COA!$A$3:$B$337,2,FALSE)</f>
        <v>F22</v>
      </c>
      <c r="M1103" s="96" t="str">
        <f t="shared" si="46"/>
        <v>F22</v>
      </c>
      <c r="N1103" s="96" t="str">
        <f>VLOOKUP(M1103,CAC!$A$2:$B$198,2,FALSE)</f>
        <v>HMOPMR</v>
      </c>
    </row>
    <row r="1104" spans="5:14" x14ac:dyDescent="0.25">
      <c r="E1104" s="136">
        <v>201708</v>
      </c>
      <c r="F1104" s="138" t="s">
        <v>345</v>
      </c>
      <c r="G1104" s="138" t="s">
        <v>359</v>
      </c>
      <c r="H1104" s="138" t="s">
        <v>344</v>
      </c>
      <c r="I1104" s="139">
        <v>6900.97</v>
      </c>
      <c r="K1104" s="96" t="str">
        <f t="shared" si="45"/>
        <v>0011-1005-0012</v>
      </c>
      <c r="L1104" s="96" t="str">
        <f>VLOOKUP(K1104,COA!$A$3:$B$337,2,FALSE)</f>
        <v>N11</v>
      </c>
      <c r="M1104" s="96" t="str">
        <f t="shared" si="46"/>
        <v>N11</v>
      </c>
      <c r="N1104" s="96" t="str">
        <f>VLOOKUP(M1104,CAC!$A$2:$B$198,2,FALSE)</f>
        <v>HMOLG</v>
      </c>
    </row>
    <row r="1105" spans="5:14" x14ac:dyDescent="0.25">
      <c r="E1105" s="136">
        <v>201612</v>
      </c>
      <c r="F1105" s="138" t="s">
        <v>563</v>
      </c>
      <c r="G1105" s="138" t="s">
        <v>348</v>
      </c>
      <c r="H1105" s="138" t="s">
        <v>353</v>
      </c>
      <c r="I1105" s="139">
        <v>0</v>
      </c>
      <c r="K1105" s="96" t="str">
        <f t="shared" si="45"/>
        <v>0003-1010-0023</v>
      </c>
      <c r="L1105" s="96" t="str">
        <f>VLOOKUP(K1105,COA!$A$3:$B$337,2,FALSE)</f>
        <v>S54</v>
      </c>
      <c r="M1105" s="96" t="str">
        <f t="shared" si="46"/>
        <v>S54</v>
      </c>
      <c r="N1105" s="96" t="str">
        <f>VLOOKUP(M1105,CAC!$A$2:$B$198,2,FALSE)</f>
        <v>PPOSG</v>
      </c>
    </row>
    <row r="1106" spans="5:14" x14ac:dyDescent="0.25">
      <c r="E1106" s="136">
        <v>201705</v>
      </c>
      <c r="F1106" s="138" t="s">
        <v>746</v>
      </c>
      <c r="G1106" s="138" t="s">
        <v>361</v>
      </c>
      <c r="H1106" s="138" t="s">
        <v>344</v>
      </c>
      <c r="I1106" s="139">
        <v>498</v>
      </c>
      <c r="K1106" s="96" t="str">
        <f t="shared" si="45"/>
        <v>0016-1003-0012</v>
      </c>
      <c r="L1106" s="96" t="str">
        <f>VLOOKUP(K1106,COA!$A$3:$B$337,2,FALSE)</f>
        <v>R18</v>
      </c>
      <c r="M1106" s="96" t="str">
        <f t="shared" si="46"/>
        <v>R18</v>
      </c>
      <c r="N1106" s="96" t="str">
        <f>VLOOKUP(M1106,CAC!$A$2:$B$198,2,FALSE)</f>
        <v>HMOMG</v>
      </c>
    </row>
    <row r="1107" spans="5:14" x14ac:dyDescent="0.25">
      <c r="E1107" s="136">
        <v>201712</v>
      </c>
      <c r="F1107" s="138" t="s">
        <v>345</v>
      </c>
      <c r="G1107" s="138" t="s">
        <v>348</v>
      </c>
      <c r="H1107" s="138" t="s">
        <v>353</v>
      </c>
      <c r="I1107" s="139">
        <v>636.05999999999995</v>
      </c>
      <c r="K1107" s="96" t="str">
        <f t="shared" si="45"/>
        <v>0011-1010-0023</v>
      </c>
      <c r="L1107" s="96" t="str">
        <f>VLOOKUP(K1107,COA!$A$3:$B$337,2,FALSE)</f>
        <v>S13</v>
      </c>
      <c r="M1107" s="96" t="str">
        <f t="shared" si="46"/>
        <v>S13</v>
      </c>
      <c r="N1107" s="96" t="str">
        <f>VLOOKUP(M1107,CAC!$A$2:$B$198,2,FALSE)</f>
        <v>HMOSG</v>
      </c>
    </row>
    <row r="1108" spans="5:14" x14ac:dyDescent="0.25">
      <c r="E1108" s="136">
        <v>201611</v>
      </c>
      <c r="F1108" s="138" t="s">
        <v>345</v>
      </c>
      <c r="G1108" s="138" t="s">
        <v>361</v>
      </c>
      <c r="H1108" s="138" t="s">
        <v>344</v>
      </c>
      <c r="I1108" s="139">
        <v>4143.45</v>
      </c>
      <c r="K1108" s="96" t="str">
        <f t="shared" si="45"/>
        <v>0011-1003-0012</v>
      </c>
      <c r="L1108" s="96" t="str">
        <f>VLOOKUP(K1108,COA!$A$3:$B$337,2,FALSE)</f>
        <v>N16</v>
      </c>
      <c r="M1108" s="96" t="str">
        <f t="shared" si="46"/>
        <v>N16</v>
      </c>
      <c r="N1108" s="96" t="str">
        <f>VLOOKUP(M1108,CAC!$A$2:$B$198,2,FALSE)</f>
        <v>HMOPMR</v>
      </c>
    </row>
    <row r="1109" spans="5:14" x14ac:dyDescent="0.25">
      <c r="E1109" s="136">
        <v>201604</v>
      </c>
      <c r="F1109" s="138" t="s">
        <v>345</v>
      </c>
      <c r="G1109" s="138" t="s">
        <v>350</v>
      </c>
      <c r="H1109" s="138" t="s">
        <v>360</v>
      </c>
      <c r="I1109" s="139">
        <v>6073.39</v>
      </c>
      <c r="K1109" s="96" t="str">
        <f t="shared" si="45"/>
        <v>0011-1012-0048</v>
      </c>
      <c r="L1109" s="96" t="str">
        <f>VLOOKUP(K1109,COA!$A$3:$B$337,2,FALSE)</f>
        <v>K21</v>
      </c>
      <c r="M1109" s="96" t="str">
        <f t="shared" si="46"/>
        <v>K21</v>
      </c>
      <c r="N1109" s="96" t="str">
        <f>VLOOKUP(M1109,CAC!$A$2:$B$198,2,FALSE)</f>
        <v>HMFLEX</v>
      </c>
    </row>
    <row r="1110" spans="5:14" x14ac:dyDescent="0.25">
      <c r="E1110" s="136">
        <v>201712</v>
      </c>
      <c r="F1110" s="138" t="s">
        <v>506</v>
      </c>
      <c r="G1110" s="138" t="s">
        <v>346</v>
      </c>
      <c r="H1110" s="138" t="s">
        <v>592</v>
      </c>
      <c r="I1110" s="139">
        <v>0</v>
      </c>
      <c r="K1110" s="96" t="str">
        <f t="shared" si="45"/>
        <v>0013-1014-0035</v>
      </c>
      <c r="L1110" s="96" t="str">
        <f>VLOOKUP(K1110,COA!$A$3:$B$337,2,FALSE)</f>
        <v>K42</v>
      </c>
      <c r="M1110" s="96" t="str">
        <f t="shared" si="46"/>
        <v>K42</v>
      </c>
      <c r="N1110" s="96" t="str">
        <f>VLOOKUP(M1110,CAC!$A$2:$B$198,2,FALSE)</f>
        <v>HMFLEX</v>
      </c>
    </row>
    <row r="1111" spans="5:14" x14ac:dyDescent="0.25">
      <c r="E1111" s="136">
        <v>201703</v>
      </c>
      <c r="F1111" s="138" t="s">
        <v>506</v>
      </c>
      <c r="G1111" s="138" t="s">
        <v>352</v>
      </c>
      <c r="H1111" s="138" t="s">
        <v>592</v>
      </c>
      <c r="I1111" s="139">
        <v>0</v>
      </c>
      <c r="K1111" s="96" t="str">
        <f t="shared" si="45"/>
        <v>0013-1004-0035</v>
      </c>
      <c r="L1111" s="96" t="str">
        <f>VLOOKUP(K1111,COA!$A$3:$B$337,2,FALSE)</f>
        <v>L41</v>
      </c>
      <c r="M1111" s="96" t="str">
        <f t="shared" si="46"/>
        <v>L41</v>
      </c>
      <c r="N1111" s="96" t="e">
        <f>VLOOKUP(M1111,CAC!$A$2:$B$198,2,FALSE)</f>
        <v>#N/A</v>
      </c>
    </row>
    <row r="1112" spans="5:14" x14ac:dyDescent="0.25">
      <c r="E1112" s="136">
        <v>201601</v>
      </c>
      <c r="F1112" s="138" t="s">
        <v>345</v>
      </c>
      <c r="G1112" s="138" t="s">
        <v>352</v>
      </c>
      <c r="H1112" s="138" t="s">
        <v>653</v>
      </c>
      <c r="I1112" s="139">
        <v>0</v>
      </c>
      <c r="K1112" s="96" t="str">
        <f t="shared" si="45"/>
        <v>0011-1004-0047</v>
      </c>
      <c r="L1112" s="96" t="str">
        <f>VLOOKUP(K1112,COA!$A$3:$B$337,2,FALSE)</f>
        <v>L17</v>
      </c>
      <c r="M1112" s="96" t="str">
        <f t="shared" si="46"/>
        <v>L17</v>
      </c>
      <c r="N1112" s="96" t="str">
        <f>VLOOKUP(M1112,CAC!$A$2:$B$198,2,FALSE)</f>
        <v>HMOLG</v>
      </c>
    </row>
    <row r="1113" spans="5:14" x14ac:dyDescent="0.25">
      <c r="E1113" s="136">
        <v>201608</v>
      </c>
      <c r="F1113" s="138" t="s">
        <v>746</v>
      </c>
      <c r="G1113" s="138" t="s">
        <v>350</v>
      </c>
      <c r="H1113" s="138" t="s">
        <v>764</v>
      </c>
      <c r="I1113" s="139">
        <v>8</v>
      </c>
      <c r="K1113" s="96" t="str">
        <f t="shared" si="45"/>
        <v>0016-1012-0064</v>
      </c>
      <c r="L1113" s="96" t="str">
        <f>VLOOKUP(K1113,COA!$A$3:$B$337,2,FALSE)</f>
        <v>R25</v>
      </c>
      <c r="M1113" s="96" t="str">
        <f t="shared" si="46"/>
        <v>R25</v>
      </c>
      <c r="N1113" s="96" t="str">
        <f>VLOOKUP(M1113,CAC!$A$2:$B$198,2,FALSE)</f>
        <v>HMOMG</v>
      </c>
    </row>
    <row r="1114" spans="5:14" x14ac:dyDescent="0.25">
      <c r="E1114" s="136">
        <v>201606</v>
      </c>
      <c r="F1114" s="138" t="s">
        <v>506</v>
      </c>
      <c r="G1114" s="138" t="s">
        <v>354</v>
      </c>
      <c r="H1114" s="138" t="s">
        <v>592</v>
      </c>
      <c r="I1114" s="139">
        <v>0</v>
      </c>
      <c r="K1114" s="96" t="str">
        <f t="shared" si="45"/>
        <v>0013-1013-0035</v>
      </c>
      <c r="L1114" s="96" t="str">
        <f>VLOOKUP(K1114,COA!$A$3:$B$337,2,FALSE)</f>
        <v>N44</v>
      </c>
      <c r="M1114" s="96" t="str">
        <f t="shared" si="46"/>
        <v>N44</v>
      </c>
      <c r="N1114" s="96" t="e">
        <f>VLOOKUP(M1114,CAC!$A$2:$B$198,2,FALSE)</f>
        <v>#N/A</v>
      </c>
    </row>
    <row r="1115" spans="5:14" x14ac:dyDescent="0.25">
      <c r="E1115" s="136">
        <v>201707</v>
      </c>
      <c r="F1115" s="138" t="s">
        <v>349</v>
      </c>
      <c r="G1115" s="138" t="s">
        <v>369</v>
      </c>
      <c r="H1115" s="138" t="s">
        <v>344</v>
      </c>
      <c r="I1115" s="139">
        <v>43989</v>
      </c>
      <c r="K1115" s="96" t="str">
        <f t="shared" si="45"/>
        <v>0017-1009-0012</v>
      </c>
      <c r="L1115" s="96" t="str">
        <f>VLOOKUP(K1115,COA!$A$3:$B$337,2,FALSE)</f>
        <v>R12</v>
      </c>
      <c r="M1115" s="96" t="str">
        <f t="shared" si="46"/>
        <v>R12</v>
      </c>
      <c r="N1115" s="96" t="str">
        <f>VLOOKUP(M1115,CAC!$A$2:$B$198,2,FALSE)</f>
        <v>HMOMM</v>
      </c>
    </row>
    <row r="1116" spans="5:14" x14ac:dyDescent="0.25">
      <c r="E1116" s="136">
        <v>201607</v>
      </c>
      <c r="F1116" s="138" t="s">
        <v>345</v>
      </c>
      <c r="G1116" s="138" t="s">
        <v>350</v>
      </c>
      <c r="H1116" s="138" t="s">
        <v>344</v>
      </c>
      <c r="I1116" s="139">
        <v>14622.16</v>
      </c>
      <c r="K1116" s="96" t="str">
        <f t="shared" si="45"/>
        <v>0011-1012-0012</v>
      </c>
      <c r="L1116" s="96" t="str">
        <f>VLOOKUP(K1116,COA!$A$3:$B$337,2,FALSE)</f>
        <v>K11</v>
      </c>
      <c r="M1116" s="96" t="str">
        <f t="shared" si="46"/>
        <v>K11</v>
      </c>
      <c r="N1116" s="96" t="str">
        <f>VLOOKUP(M1116,CAC!$A$2:$B$198,2,FALSE)</f>
        <v>HMOPMR</v>
      </c>
    </row>
    <row r="1117" spans="5:14" x14ac:dyDescent="0.25">
      <c r="E1117" s="136">
        <v>201502</v>
      </c>
      <c r="F1117" s="138" t="s">
        <v>563</v>
      </c>
      <c r="G1117" s="138" t="s">
        <v>351</v>
      </c>
      <c r="H1117" s="138" t="s">
        <v>349</v>
      </c>
      <c r="I1117" s="139">
        <v>0</v>
      </c>
      <c r="K1117" s="96" t="str">
        <f t="shared" si="45"/>
        <v>0003-0000-0017</v>
      </c>
      <c r="L1117" s="96" t="e">
        <f>VLOOKUP(K1117,COA!$A$3:$B$337,2,FALSE)</f>
        <v>#N/A</v>
      </c>
      <c r="M1117" s="96" t="str">
        <f t="shared" si="46"/>
        <v>XXX</v>
      </c>
      <c r="N1117" s="96" t="str">
        <f>VLOOKUP(M1117,CAC!$A$2:$B$198,2,FALSE)</f>
        <v>XXX</v>
      </c>
    </row>
    <row r="1118" spans="5:14" x14ac:dyDescent="0.25">
      <c r="E1118" s="136">
        <v>201609</v>
      </c>
      <c r="F1118" s="138" t="s">
        <v>345</v>
      </c>
      <c r="G1118" s="138" t="s">
        <v>356</v>
      </c>
      <c r="H1118" s="138" t="s">
        <v>344</v>
      </c>
      <c r="I1118" s="139">
        <v>15468.4</v>
      </c>
      <c r="K1118" s="96" t="str">
        <f t="shared" si="45"/>
        <v>0011-1002-0012</v>
      </c>
      <c r="L1118" s="96" t="str">
        <f>VLOOKUP(K1118,COA!$A$3:$B$337,2,FALSE)</f>
        <v>F20</v>
      </c>
      <c r="M1118" s="96" t="str">
        <f t="shared" si="46"/>
        <v>F20</v>
      </c>
      <c r="N1118" s="96" t="str">
        <f>VLOOKUP(M1118,CAC!$A$2:$B$198,2,FALSE)</f>
        <v>HMOPMR</v>
      </c>
    </row>
    <row r="1119" spans="5:14" x14ac:dyDescent="0.25">
      <c r="E1119" s="136">
        <v>201709</v>
      </c>
      <c r="F1119" s="138" t="s">
        <v>349</v>
      </c>
      <c r="G1119" s="138" t="s">
        <v>369</v>
      </c>
      <c r="H1119" s="138" t="s">
        <v>764</v>
      </c>
      <c r="I1119" s="139">
        <v>5347</v>
      </c>
      <c r="K1119" s="96" t="str">
        <f t="shared" si="45"/>
        <v>0017-1009-0064</v>
      </c>
      <c r="L1119" s="96" t="str">
        <f>VLOOKUP(K1119,COA!$A$3:$B$337,2,FALSE)</f>
        <v>R15</v>
      </c>
      <c r="M1119" s="96" t="str">
        <f t="shared" si="46"/>
        <v>R15</v>
      </c>
      <c r="N1119" s="96" t="str">
        <f>VLOOKUP(M1119,CAC!$A$2:$B$198,2,FALSE)</f>
        <v>HMOMM</v>
      </c>
    </row>
    <row r="1120" spans="5:14" x14ac:dyDescent="0.25">
      <c r="E1120" s="136">
        <v>201603</v>
      </c>
      <c r="F1120" s="138" t="s">
        <v>563</v>
      </c>
      <c r="G1120" s="138" t="s">
        <v>365</v>
      </c>
      <c r="H1120" s="138" t="s">
        <v>411</v>
      </c>
      <c r="I1120" s="139">
        <v>0</v>
      </c>
      <c r="K1120" s="96" t="str">
        <f t="shared" si="45"/>
        <v>0003-1001-0007</v>
      </c>
      <c r="L1120" s="96" t="str">
        <f>VLOOKUP(K1120,COA!$A$3:$B$337,2,FALSE)</f>
        <v>V52</v>
      </c>
      <c r="M1120" s="96" t="str">
        <f t="shared" si="46"/>
        <v>V52</v>
      </c>
      <c r="N1120" s="96" t="str">
        <f>VLOOKUP(M1120,CAC!$A$2:$B$198,2,FALSE)</f>
        <v>PPOIFP</v>
      </c>
    </row>
    <row r="1121" spans="5:14" x14ac:dyDescent="0.25">
      <c r="E1121" s="136">
        <v>201507</v>
      </c>
      <c r="F1121" s="138" t="s">
        <v>563</v>
      </c>
      <c r="G1121" s="138" t="s">
        <v>354</v>
      </c>
      <c r="H1121" s="138" t="s">
        <v>344</v>
      </c>
      <c r="I1121" s="139">
        <v>0</v>
      </c>
      <c r="K1121" s="96" t="str">
        <f t="shared" si="45"/>
        <v>0003-1013-0012</v>
      </c>
      <c r="L1121" s="96" t="str">
        <f>VLOOKUP(K1121,COA!$A$3:$B$337,2,FALSE)</f>
        <v>N55</v>
      </c>
      <c r="M1121" s="96" t="str">
        <f t="shared" si="46"/>
        <v>N55</v>
      </c>
      <c r="N1121" s="96" t="str">
        <f>VLOOKUP(M1121,CAC!$A$2:$B$198,2,FALSE)</f>
        <v>PPOPMR</v>
      </c>
    </row>
    <row r="1122" spans="5:14" x14ac:dyDescent="0.25">
      <c r="E1122" s="136">
        <v>201511</v>
      </c>
      <c r="F1122" s="138" t="s">
        <v>413</v>
      </c>
      <c r="G1122" s="138" t="s">
        <v>352</v>
      </c>
      <c r="H1122" s="138" t="s">
        <v>344</v>
      </c>
      <c r="I1122" s="139">
        <v>0</v>
      </c>
      <c r="K1122" s="96" t="str">
        <f t="shared" si="45"/>
        <v>0008-1004-0012</v>
      </c>
      <c r="L1122" s="96" t="str">
        <f>VLOOKUP(K1122,COA!$A$3:$B$337,2,FALSE)</f>
        <v>C93</v>
      </c>
      <c r="M1122" s="96" t="str">
        <f t="shared" si="46"/>
        <v>C93</v>
      </c>
      <c r="N1122" s="96" t="str">
        <f>VLOOKUP(M1122,CAC!$A$2:$B$198,2,FALSE)</f>
        <v>DOILG</v>
      </c>
    </row>
    <row r="1123" spans="5:14" x14ac:dyDescent="0.25">
      <c r="E1123" s="136">
        <v>201607</v>
      </c>
      <c r="F1123" s="138" t="s">
        <v>344</v>
      </c>
      <c r="G1123" s="138" t="s">
        <v>350</v>
      </c>
      <c r="H1123" s="138" t="s">
        <v>344</v>
      </c>
      <c r="I1123" s="139">
        <v>107</v>
      </c>
      <c r="K1123" s="96" t="str">
        <f t="shared" si="45"/>
        <v>0012-1012-0012</v>
      </c>
      <c r="L1123" s="96" t="str">
        <f>VLOOKUP(K1123,COA!$A$3:$B$337,2,FALSE)</f>
        <v>K12</v>
      </c>
      <c r="M1123" s="96" t="str">
        <f t="shared" si="46"/>
        <v>K12</v>
      </c>
      <c r="N1123" s="96" t="str">
        <f>VLOOKUP(M1123,CAC!$A$2:$B$198,2,FALSE)</f>
        <v>HMOPMR</v>
      </c>
    </row>
    <row r="1124" spans="5:14" x14ac:dyDescent="0.25">
      <c r="E1124" s="136">
        <v>201504</v>
      </c>
      <c r="F1124" s="138" t="s">
        <v>563</v>
      </c>
      <c r="G1124" s="138" t="s">
        <v>355</v>
      </c>
      <c r="H1124" s="138" t="s">
        <v>344</v>
      </c>
      <c r="I1124" s="139">
        <v>0</v>
      </c>
      <c r="K1124" s="96" t="str">
        <f t="shared" si="45"/>
        <v>0003-1006-0012</v>
      </c>
      <c r="L1124" s="96" t="str">
        <f>VLOOKUP(K1124,COA!$A$3:$B$337,2,FALSE)</f>
        <v>L52</v>
      </c>
      <c r="M1124" s="96" t="str">
        <f t="shared" si="46"/>
        <v>L52</v>
      </c>
      <c r="N1124" s="96" t="str">
        <f>VLOOKUP(M1124,CAC!$A$2:$B$198,2,FALSE)</f>
        <v>PPOLG</v>
      </c>
    </row>
    <row r="1125" spans="5:14" x14ac:dyDescent="0.25">
      <c r="E1125" s="136">
        <v>201511</v>
      </c>
      <c r="F1125" s="138" t="s">
        <v>563</v>
      </c>
      <c r="G1125" s="138" t="s">
        <v>354</v>
      </c>
      <c r="H1125" s="138" t="s">
        <v>344</v>
      </c>
      <c r="I1125" s="139">
        <v>0</v>
      </c>
      <c r="K1125" s="96" t="str">
        <f t="shared" si="45"/>
        <v>0003-1013-0012</v>
      </c>
      <c r="L1125" s="96" t="str">
        <f>VLOOKUP(K1125,COA!$A$3:$B$337,2,FALSE)</f>
        <v>N55</v>
      </c>
      <c r="M1125" s="96" t="str">
        <f t="shared" si="46"/>
        <v>N55</v>
      </c>
      <c r="N1125" s="96" t="str">
        <f>VLOOKUP(M1125,CAC!$A$2:$B$198,2,FALSE)</f>
        <v>PPOPMR</v>
      </c>
    </row>
    <row r="1126" spans="5:14" x14ac:dyDescent="0.25">
      <c r="E1126" s="136">
        <v>201707</v>
      </c>
      <c r="F1126" s="138" t="s">
        <v>563</v>
      </c>
      <c r="G1126" s="138" t="s">
        <v>365</v>
      </c>
      <c r="H1126" s="138" t="s">
        <v>366</v>
      </c>
      <c r="I1126" s="139">
        <v>0</v>
      </c>
      <c r="K1126" s="96" t="str">
        <f t="shared" si="45"/>
        <v>0003-1001-0021</v>
      </c>
      <c r="L1126" s="96" t="str">
        <f>VLOOKUP(K1126,COA!$A$3:$B$337,2,FALSE)</f>
        <v>V53</v>
      </c>
      <c r="M1126" s="96" t="str">
        <f t="shared" si="46"/>
        <v>V53</v>
      </c>
      <c r="N1126" s="96" t="str">
        <f>VLOOKUP(M1126,CAC!$A$2:$B$198,2,FALSE)</f>
        <v>PPOIFP</v>
      </c>
    </row>
    <row r="1127" spans="5:14" x14ac:dyDescent="0.25">
      <c r="E1127" s="136">
        <v>201607</v>
      </c>
      <c r="F1127" s="138" t="s">
        <v>345</v>
      </c>
      <c r="G1127" s="138" t="s">
        <v>348</v>
      </c>
      <c r="H1127" s="138" t="s">
        <v>349</v>
      </c>
      <c r="I1127" s="139">
        <v>21788.99</v>
      </c>
      <c r="K1127" s="96" t="str">
        <f t="shared" si="45"/>
        <v>0011-1010-0017</v>
      </c>
      <c r="L1127" s="96" t="str">
        <f>VLOOKUP(K1127,COA!$A$3:$B$337,2,FALSE)</f>
        <v>S11</v>
      </c>
      <c r="M1127" s="96" t="str">
        <f t="shared" si="46"/>
        <v>S11</v>
      </c>
      <c r="N1127" s="96" t="str">
        <f>VLOOKUP(M1127,CAC!$A$2:$B$198,2,FALSE)</f>
        <v>HMOSG</v>
      </c>
    </row>
    <row r="1128" spans="5:14" x14ac:dyDescent="0.25">
      <c r="E1128" s="136">
        <v>201601</v>
      </c>
      <c r="F1128" s="138" t="s">
        <v>349</v>
      </c>
      <c r="G1128" s="138" t="s">
        <v>369</v>
      </c>
      <c r="H1128" s="138" t="s">
        <v>344</v>
      </c>
      <c r="I1128" s="139">
        <v>39236</v>
      </c>
      <c r="K1128" s="96" t="str">
        <f t="shared" si="45"/>
        <v>0017-1009-0012</v>
      </c>
      <c r="L1128" s="96" t="str">
        <f>VLOOKUP(K1128,COA!$A$3:$B$337,2,FALSE)</f>
        <v>R12</v>
      </c>
      <c r="M1128" s="96" t="str">
        <f t="shared" si="46"/>
        <v>R12</v>
      </c>
      <c r="N1128" s="96" t="str">
        <f>VLOOKUP(M1128,CAC!$A$2:$B$198,2,FALSE)</f>
        <v>HMOMM</v>
      </c>
    </row>
    <row r="1129" spans="5:14" x14ac:dyDescent="0.25">
      <c r="E1129" s="136">
        <v>201505</v>
      </c>
      <c r="F1129" s="138" t="s">
        <v>746</v>
      </c>
      <c r="G1129" s="138" t="s">
        <v>362</v>
      </c>
      <c r="H1129" s="138" t="s">
        <v>364</v>
      </c>
      <c r="I1129" s="139">
        <v>5781</v>
      </c>
      <c r="K1129" s="96" t="str">
        <f t="shared" si="45"/>
        <v>0016-1008-0037</v>
      </c>
      <c r="L1129" s="96" t="str">
        <f>VLOOKUP(K1129,COA!$A$3:$B$337,2,FALSE)</f>
        <v>R24</v>
      </c>
      <c r="M1129" s="96" t="str">
        <f t="shared" si="46"/>
        <v>R24</v>
      </c>
      <c r="N1129" s="96" t="str">
        <f>VLOOKUP(M1129,CAC!$A$2:$B$198,2,FALSE)</f>
        <v>PERMAPD</v>
      </c>
    </row>
    <row r="1130" spans="5:14" x14ac:dyDescent="0.25">
      <c r="E1130" s="136">
        <v>201601</v>
      </c>
      <c r="F1130" s="138" t="s">
        <v>549</v>
      </c>
      <c r="G1130" s="138" t="s">
        <v>352</v>
      </c>
      <c r="H1130" s="138" t="s">
        <v>672</v>
      </c>
      <c r="I1130" s="139">
        <v>0</v>
      </c>
      <c r="K1130" s="96" t="str">
        <f t="shared" si="45"/>
        <v>0026-1004-0058</v>
      </c>
      <c r="L1130" s="96" t="str">
        <f>VLOOKUP(K1130,COA!$A$3:$B$337,2,FALSE)</f>
        <v>L44</v>
      </c>
      <c r="M1130" s="96" t="str">
        <f t="shared" si="46"/>
        <v>L44</v>
      </c>
      <c r="N1130" s="96" t="e">
        <f>VLOOKUP(M1130,CAC!$A$2:$B$198,2,FALSE)</f>
        <v>#N/A</v>
      </c>
    </row>
    <row r="1131" spans="5:14" x14ac:dyDescent="0.25">
      <c r="E1131" s="136">
        <v>201508</v>
      </c>
      <c r="F1131" s="138" t="s">
        <v>746</v>
      </c>
      <c r="G1131" s="138" t="s">
        <v>356</v>
      </c>
      <c r="H1131" s="138" t="s">
        <v>344</v>
      </c>
      <c r="I1131" s="139">
        <v>121</v>
      </c>
      <c r="K1131" s="96" t="str">
        <f t="shared" si="45"/>
        <v>0016-1002-0012</v>
      </c>
      <c r="L1131" s="96" t="str">
        <f>VLOOKUP(K1131,COA!$A$3:$B$337,2,FALSE)</f>
        <v>R18</v>
      </c>
      <c r="M1131" s="96" t="str">
        <f t="shared" si="46"/>
        <v>R18</v>
      </c>
      <c r="N1131" s="96" t="str">
        <f>VLOOKUP(M1131,CAC!$A$2:$B$198,2,FALSE)</f>
        <v>HMOMG</v>
      </c>
    </row>
    <row r="1132" spans="5:14" x14ac:dyDescent="0.25">
      <c r="E1132" s="136">
        <v>201508</v>
      </c>
      <c r="F1132" s="138" t="s">
        <v>563</v>
      </c>
      <c r="G1132" s="138" t="s">
        <v>348</v>
      </c>
      <c r="H1132" s="138" t="s">
        <v>358</v>
      </c>
      <c r="I1132" s="139">
        <v>0</v>
      </c>
      <c r="K1132" s="96" t="str">
        <f t="shared" si="45"/>
        <v>0003-1010-0024</v>
      </c>
      <c r="L1132" s="96" t="str">
        <f>VLOOKUP(K1132,COA!$A$3:$B$337,2,FALSE)</f>
        <v>S56</v>
      </c>
      <c r="M1132" s="96" t="str">
        <f t="shared" si="46"/>
        <v>S56</v>
      </c>
      <c r="N1132" s="96" t="str">
        <f>VLOOKUP(M1132,CAC!$A$2:$B$198,2,FALSE)</f>
        <v>PPOSG</v>
      </c>
    </row>
    <row r="1133" spans="5:14" x14ac:dyDescent="0.25">
      <c r="E1133" s="136">
        <v>201511</v>
      </c>
      <c r="F1133" s="138" t="s">
        <v>563</v>
      </c>
      <c r="G1133" s="138" t="s">
        <v>359</v>
      </c>
      <c r="H1133" s="138" t="s">
        <v>344</v>
      </c>
      <c r="I1133" s="139">
        <v>0</v>
      </c>
      <c r="K1133" s="96" t="str">
        <f t="shared" si="45"/>
        <v>0003-1005-0012</v>
      </c>
      <c r="L1133" s="96" t="str">
        <f>VLOOKUP(K1133,COA!$A$3:$B$337,2,FALSE)</f>
        <v>N51</v>
      </c>
      <c r="M1133" s="96" t="str">
        <f t="shared" si="46"/>
        <v>N51</v>
      </c>
      <c r="N1133" s="96" t="str">
        <f>VLOOKUP(M1133,CAC!$A$2:$B$198,2,FALSE)</f>
        <v>PPOLG</v>
      </c>
    </row>
    <row r="1134" spans="5:14" x14ac:dyDescent="0.25">
      <c r="E1134" s="136">
        <v>201511</v>
      </c>
      <c r="F1134" s="138" t="s">
        <v>563</v>
      </c>
      <c r="G1134" s="138" t="s">
        <v>350</v>
      </c>
      <c r="H1134" s="138" t="s">
        <v>360</v>
      </c>
      <c r="I1134" s="139">
        <v>0</v>
      </c>
      <c r="K1134" s="96" t="str">
        <f t="shared" si="45"/>
        <v>0003-1012-0048</v>
      </c>
      <c r="L1134" s="96" t="str">
        <f>VLOOKUP(K1134,COA!$A$3:$B$337,2,FALSE)</f>
        <v>K56</v>
      </c>
      <c r="M1134" s="96" t="str">
        <f t="shared" si="46"/>
        <v>K56</v>
      </c>
      <c r="N1134" s="96" t="str">
        <f>VLOOKUP(M1134,CAC!$A$2:$B$198,2,FALSE)</f>
        <v>HMFLEX</v>
      </c>
    </row>
    <row r="1135" spans="5:14" x14ac:dyDescent="0.25">
      <c r="E1135" s="136">
        <v>201605</v>
      </c>
      <c r="F1135" s="138" t="s">
        <v>345</v>
      </c>
      <c r="G1135" s="138" t="s">
        <v>359</v>
      </c>
      <c r="H1135" s="138" t="s">
        <v>344</v>
      </c>
      <c r="I1135" s="139">
        <v>4028.5</v>
      </c>
      <c r="K1135" s="96" t="str">
        <f t="shared" si="45"/>
        <v>0011-1005-0012</v>
      </c>
      <c r="L1135" s="96" t="str">
        <f>VLOOKUP(K1135,COA!$A$3:$B$337,2,FALSE)</f>
        <v>N11</v>
      </c>
      <c r="M1135" s="96" t="str">
        <f t="shared" si="46"/>
        <v>N11</v>
      </c>
      <c r="N1135" s="96" t="str">
        <f>VLOOKUP(M1135,CAC!$A$2:$B$198,2,FALSE)</f>
        <v>HMOLG</v>
      </c>
    </row>
    <row r="1136" spans="5:14" x14ac:dyDescent="0.25">
      <c r="E1136" s="136">
        <v>201507</v>
      </c>
      <c r="F1136" s="138" t="s">
        <v>344</v>
      </c>
      <c r="G1136" s="138" t="s">
        <v>355</v>
      </c>
      <c r="H1136" s="138" t="s">
        <v>344</v>
      </c>
      <c r="I1136" s="139">
        <v>240</v>
      </c>
      <c r="K1136" s="96" t="str">
        <f t="shared" si="45"/>
        <v>0012-1006-0012</v>
      </c>
      <c r="L1136" s="96" t="str">
        <f>VLOOKUP(K1136,COA!$A$3:$B$337,2,FALSE)</f>
        <v>L16</v>
      </c>
      <c r="M1136" s="96" t="str">
        <f t="shared" si="46"/>
        <v>L16</v>
      </c>
      <c r="N1136" s="96" t="str">
        <f>VLOOKUP(M1136,CAC!$A$2:$B$198,2,FALSE)</f>
        <v>HMOLG</v>
      </c>
    </row>
    <row r="1137" spans="5:14" x14ac:dyDescent="0.25">
      <c r="E1137" s="136">
        <v>201702</v>
      </c>
      <c r="F1137" s="138" t="s">
        <v>413</v>
      </c>
      <c r="G1137" s="138" t="s">
        <v>359</v>
      </c>
      <c r="H1137" s="138" t="s">
        <v>344</v>
      </c>
      <c r="I1137" s="139">
        <v>0</v>
      </c>
      <c r="K1137" s="96" t="str">
        <f t="shared" si="45"/>
        <v>0008-1005-0012</v>
      </c>
      <c r="L1137" s="96" t="str">
        <f>VLOOKUP(K1137,COA!$A$3:$B$337,2,FALSE)</f>
        <v>C73</v>
      </c>
      <c r="M1137" s="96" t="str">
        <f t="shared" si="46"/>
        <v>C73</v>
      </c>
      <c r="N1137" s="96" t="str">
        <f>VLOOKUP(M1137,CAC!$A$2:$B$198,2,FALSE)</f>
        <v>DOILG</v>
      </c>
    </row>
    <row r="1138" spans="5:14" x14ac:dyDescent="0.25">
      <c r="E1138" s="136">
        <v>201602</v>
      </c>
      <c r="F1138" s="138" t="s">
        <v>344</v>
      </c>
      <c r="G1138" s="138" t="s">
        <v>355</v>
      </c>
      <c r="H1138" s="138" t="s">
        <v>344</v>
      </c>
      <c r="I1138" s="139">
        <v>124</v>
      </c>
      <c r="K1138" s="96" t="str">
        <f t="shared" si="45"/>
        <v>0012-1006-0012</v>
      </c>
      <c r="L1138" s="96" t="str">
        <f>VLOOKUP(K1138,COA!$A$3:$B$337,2,FALSE)</f>
        <v>L16</v>
      </c>
      <c r="M1138" s="96" t="str">
        <f t="shared" si="46"/>
        <v>L16</v>
      </c>
      <c r="N1138" s="96" t="str">
        <f>VLOOKUP(M1138,CAC!$A$2:$B$198,2,FALSE)</f>
        <v>HMOLG</v>
      </c>
    </row>
    <row r="1139" spans="5:14" x14ac:dyDescent="0.25">
      <c r="E1139" s="136">
        <v>201506</v>
      </c>
      <c r="F1139" s="138" t="s">
        <v>746</v>
      </c>
      <c r="G1139" s="138" t="s">
        <v>356</v>
      </c>
      <c r="H1139" s="138" t="s">
        <v>344</v>
      </c>
      <c r="I1139" s="139">
        <v>116</v>
      </c>
      <c r="K1139" s="96" t="str">
        <f t="shared" si="45"/>
        <v>0016-1002-0012</v>
      </c>
      <c r="L1139" s="96" t="str">
        <f>VLOOKUP(K1139,COA!$A$3:$B$337,2,FALSE)</f>
        <v>R18</v>
      </c>
      <c r="M1139" s="96" t="str">
        <f t="shared" si="46"/>
        <v>R18</v>
      </c>
      <c r="N1139" s="96" t="str">
        <f>VLOOKUP(M1139,CAC!$A$2:$B$198,2,FALSE)</f>
        <v>HMOMG</v>
      </c>
    </row>
    <row r="1140" spans="5:14" x14ac:dyDescent="0.25">
      <c r="E1140" s="136">
        <v>201607</v>
      </c>
      <c r="F1140" s="138" t="s">
        <v>349</v>
      </c>
      <c r="G1140" s="138" t="s">
        <v>369</v>
      </c>
      <c r="H1140" s="138" t="s">
        <v>344</v>
      </c>
      <c r="I1140" s="139">
        <v>39629</v>
      </c>
      <c r="K1140" s="96" t="str">
        <f t="shared" si="45"/>
        <v>0017-1009-0012</v>
      </c>
      <c r="L1140" s="96" t="str">
        <f>VLOOKUP(K1140,COA!$A$3:$B$337,2,FALSE)</f>
        <v>R12</v>
      </c>
      <c r="M1140" s="96" t="str">
        <f t="shared" si="46"/>
        <v>R12</v>
      </c>
      <c r="N1140" s="96" t="str">
        <f>VLOOKUP(M1140,CAC!$A$2:$B$198,2,FALSE)</f>
        <v>HMOMM</v>
      </c>
    </row>
    <row r="1141" spans="5:14" x14ac:dyDescent="0.25">
      <c r="E1141" s="136">
        <v>201605</v>
      </c>
      <c r="F1141" s="138" t="s">
        <v>506</v>
      </c>
      <c r="G1141" s="138" t="s">
        <v>359</v>
      </c>
      <c r="H1141" s="138" t="s">
        <v>592</v>
      </c>
      <c r="I1141" s="139">
        <v>0</v>
      </c>
      <c r="K1141" s="96" t="str">
        <f t="shared" si="45"/>
        <v>0013-1005-0035</v>
      </c>
      <c r="L1141" s="96" t="str">
        <f>VLOOKUP(K1141,COA!$A$3:$B$337,2,FALSE)</f>
        <v>N41</v>
      </c>
      <c r="M1141" s="96" t="str">
        <f t="shared" si="46"/>
        <v>N41</v>
      </c>
      <c r="N1141" s="96" t="e">
        <f>VLOOKUP(M1141,CAC!$A$2:$B$198,2,FALSE)</f>
        <v>#N/A</v>
      </c>
    </row>
    <row r="1142" spans="5:14" x14ac:dyDescent="0.25">
      <c r="E1142" s="136">
        <v>201612</v>
      </c>
      <c r="F1142" s="138" t="s">
        <v>506</v>
      </c>
      <c r="G1142" s="138" t="s">
        <v>352</v>
      </c>
      <c r="H1142" s="138" t="s">
        <v>592</v>
      </c>
      <c r="I1142" s="139">
        <v>0</v>
      </c>
      <c r="K1142" s="96" t="str">
        <f t="shared" si="45"/>
        <v>0013-1004-0035</v>
      </c>
      <c r="L1142" s="96" t="str">
        <f>VLOOKUP(K1142,COA!$A$3:$B$337,2,FALSE)</f>
        <v>L41</v>
      </c>
      <c r="M1142" s="96" t="str">
        <f t="shared" si="46"/>
        <v>L41</v>
      </c>
      <c r="N1142" s="96" t="e">
        <f>VLOOKUP(M1142,CAC!$A$2:$B$198,2,FALSE)</f>
        <v>#N/A</v>
      </c>
    </row>
    <row r="1143" spans="5:14" x14ac:dyDescent="0.25">
      <c r="E1143" s="136">
        <v>201601</v>
      </c>
      <c r="F1143" s="138" t="s">
        <v>345</v>
      </c>
      <c r="G1143" s="138" t="s">
        <v>354</v>
      </c>
      <c r="H1143" s="138" t="s">
        <v>344</v>
      </c>
      <c r="I1143" s="139">
        <v>6632.59</v>
      </c>
      <c r="K1143" s="96" t="str">
        <f t="shared" si="45"/>
        <v>0011-1013-0012</v>
      </c>
      <c r="L1143" s="96" t="str">
        <f>VLOOKUP(K1143,COA!$A$3:$B$337,2,FALSE)</f>
        <v>N20</v>
      </c>
      <c r="M1143" s="96" t="str">
        <f t="shared" si="46"/>
        <v>N20</v>
      </c>
      <c r="N1143" s="96" t="str">
        <f>VLOOKUP(M1143,CAC!$A$2:$B$198,2,FALSE)</f>
        <v>HMOPMR</v>
      </c>
    </row>
    <row r="1144" spans="5:14" x14ac:dyDescent="0.25">
      <c r="E1144" s="136">
        <v>201509</v>
      </c>
      <c r="F1144" s="138" t="s">
        <v>345</v>
      </c>
      <c r="G1144" s="138" t="s">
        <v>362</v>
      </c>
      <c r="H1144" s="138" t="s">
        <v>371</v>
      </c>
      <c r="I1144" s="139">
        <v>6228</v>
      </c>
      <c r="K1144" s="96" t="str">
        <f t="shared" si="45"/>
        <v>0011-1008-0033</v>
      </c>
      <c r="L1144" s="96" t="str">
        <f>VLOOKUP(K1144,COA!$A$3:$B$337,2,FALSE)</f>
        <v>P13</v>
      </c>
      <c r="M1144" s="96" t="str">
        <f t="shared" si="46"/>
        <v>P13</v>
      </c>
      <c r="N1144" s="96" t="str">
        <f>VLOOKUP(M1144,CAC!$A$2:$B$198,2,FALSE)</f>
        <v>PERMEDA</v>
      </c>
    </row>
    <row r="1145" spans="5:14" x14ac:dyDescent="0.25">
      <c r="E1145" s="136">
        <v>201705</v>
      </c>
      <c r="F1145" s="138" t="s">
        <v>563</v>
      </c>
      <c r="G1145" s="138" t="s">
        <v>354</v>
      </c>
      <c r="H1145" s="138" t="s">
        <v>344</v>
      </c>
      <c r="I1145" s="139">
        <v>0</v>
      </c>
      <c r="K1145" s="96" t="str">
        <f t="shared" si="45"/>
        <v>0003-1013-0012</v>
      </c>
      <c r="L1145" s="96" t="str">
        <f>VLOOKUP(K1145,COA!$A$3:$B$337,2,FALSE)</f>
        <v>N55</v>
      </c>
      <c r="M1145" s="96" t="str">
        <f t="shared" si="46"/>
        <v>N55</v>
      </c>
      <c r="N1145" s="96" t="str">
        <f>VLOOKUP(M1145,CAC!$A$2:$B$198,2,FALSE)</f>
        <v>PPOPMR</v>
      </c>
    </row>
    <row r="1146" spans="5:14" x14ac:dyDescent="0.25">
      <c r="E1146" s="136">
        <v>201607</v>
      </c>
      <c r="F1146" s="138" t="s">
        <v>563</v>
      </c>
      <c r="G1146" s="138" t="s">
        <v>355</v>
      </c>
      <c r="H1146" s="138" t="s">
        <v>344</v>
      </c>
      <c r="I1146" s="139">
        <v>0</v>
      </c>
      <c r="K1146" s="96" t="str">
        <f t="shared" si="45"/>
        <v>0003-1006-0012</v>
      </c>
      <c r="L1146" s="96" t="str">
        <f>VLOOKUP(K1146,COA!$A$3:$B$337,2,FALSE)</f>
        <v>L52</v>
      </c>
      <c r="M1146" s="96" t="str">
        <f t="shared" si="46"/>
        <v>L52</v>
      </c>
      <c r="N1146" s="96" t="str">
        <f>VLOOKUP(M1146,CAC!$A$2:$B$198,2,FALSE)</f>
        <v>PPOLG</v>
      </c>
    </row>
    <row r="1147" spans="5:14" x14ac:dyDescent="0.25">
      <c r="E1147" s="136">
        <v>201505</v>
      </c>
      <c r="F1147" s="138" t="s">
        <v>345</v>
      </c>
      <c r="G1147" s="138" t="s">
        <v>346</v>
      </c>
      <c r="H1147" s="138" t="s">
        <v>347</v>
      </c>
      <c r="I1147" s="139">
        <v>10</v>
      </c>
      <c r="K1147" s="96" t="str">
        <f t="shared" si="45"/>
        <v>0011-1014-0039</v>
      </c>
      <c r="L1147" s="96" t="str">
        <f>VLOOKUP(K1147,COA!$A$3:$B$337,2,FALSE)</f>
        <v>K24</v>
      </c>
      <c r="M1147" s="96" t="str">
        <f t="shared" si="46"/>
        <v>K24</v>
      </c>
      <c r="N1147" s="96" t="str">
        <f>VLOOKUP(M1147,CAC!$A$2:$B$198,2,FALSE)</f>
        <v>HMFLEX</v>
      </c>
    </row>
    <row r="1148" spans="5:14" x14ac:dyDescent="0.25">
      <c r="E1148" s="136">
        <v>201609</v>
      </c>
      <c r="F1148" s="138" t="s">
        <v>563</v>
      </c>
      <c r="G1148" s="138" t="s">
        <v>354</v>
      </c>
      <c r="H1148" s="138" t="s">
        <v>626</v>
      </c>
      <c r="I1148" s="139">
        <v>0</v>
      </c>
      <c r="K1148" s="96" t="str">
        <f t="shared" si="45"/>
        <v>0003-1013-0057</v>
      </c>
      <c r="L1148" s="96" t="str">
        <f>VLOOKUP(K1148,COA!$A$3:$B$337,2,FALSE)</f>
        <v>N55</v>
      </c>
      <c r="M1148" s="96" t="str">
        <f t="shared" si="46"/>
        <v>N55</v>
      </c>
      <c r="N1148" s="96" t="str">
        <f>VLOOKUP(M1148,CAC!$A$2:$B$198,2,FALSE)</f>
        <v>PPOPMR</v>
      </c>
    </row>
    <row r="1149" spans="5:14" x14ac:dyDescent="0.25">
      <c r="E1149" s="136">
        <v>201712</v>
      </c>
      <c r="F1149" s="138" t="s">
        <v>563</v>
      </c>
      <c r="G1149" s="138" t="s">
        <v>352</v>
      </c>
      <c r="H1149" s="138" t="s">
        <v>344</v>
      </c>
      <c r="I1149" s="139">
        <v>0</v>
      </c>
      <c r="K1149" s="96" t="str">
        <f t="shared" si="45"/>
        <v>0003-1004-0012</v>
      </c>
      <c r="L1149" s="96" t="str">
        <f>VLOOKUP(K1149,COA!$A$3:$B$337,2,FALSE)</f>
        <v>L51</v>
      </c>
      <c r="M1149" s="96" t="str">
        <f t="shared" si="46"/>
        <v>L51</v>
      </c>
      <c r="N1149" s="96" t="str">
        <f>VLOOKUP(M1149,CAC!$A$2:$B$198,2,FALSE)</f>
        <v>PPOLG</v>
      </c>
    </row>
    <row r="1150" spans="5:14" x14ac:dyDescent="0.25">
      <c r="E1150" s="136">
        <v>201607</v>
      </c>
      <c r="F1150" s="138" t="s">
        <v>746</v>
      </c>
      <c r="G1150" s="138" t="s">
        <v>361</v>
      </c>
      <c r="H1150" s="138" t="s">
        <v>344</v>
      </c>
      <c r="I1150" s="139">
        <v>472</v>
      </c>
      <c r="K1150" s="96" t="str">
        <f t="shared" si="45"/>
        <v>0016-1003-0012</v>
      </c>
      <c r="L1150" s="96" t="str">
        <f>VLOOKUP(K1150,COA!$A$3:$B$337,2,FALSE)</f>
        <v>R18</v>
      </c>
      <c r="M1150" s="96" t="str">
        <f t="shared" si="46"/>
        <v>R18</v>
      </c>
      <c r="N1150" s="96" t="str">
        <f>VLOOKUP(M1150,CAC!$A$2:$B$198,2,FALSE)</f>
        <v>HMOMG</v>
      </c>
    </row>
    <row r="1151" spans="5:14" x14ac:dyDescent="0.25">
      <c r="E1151" s="136">
        <v>201708</v>
      </c>
      <c r="F1151" s="138" t="s">
        <v>345</v>
      </c>
      <c r="G1151" s="138" t="s">
        <v>354</v>
      </c>
      <c r="H1151" s="138" t="s">
        <v>368</v>
      </c>
      <c r="I1151" s="139">
        <v>1</v>
      </c>
      <c r="K1151" s="96" t="str">
        <f t="shared" si="45"/>
        <v>0011-1013-0056</v>
      </c>
      <c r="L1151" s="96" t="str">
        <f>VLOOKUP(K1151,COA!$A$3:$B$337,2,FALSE)</f>
        <v>N20</v>
      </c>
      <c r="M1151" s="96" t="str">
        <f t="shared" si="46"/>
        <v>N20</v>
      </c>
      <c r="N1151" s="96" t="str">
        <f>VLOOKUP(M1151,CAC!$A$2:$B$198,2,FALSE)</f>
        <v>HMOPMR</v>
      </c>
    </row>
    <row r="1152" spans="5:14" x14ac:dyDescent="0.25">
      <c r="E1152" s="136">
        <v>201712</v>
      </c>
      <c r="F1152" s="138" t="s">
        <v>563</v>
      </c>
      <c r="G1152" s="138" t="s">
        <v>348</v>
      </c>
      <c r="H1152" s="138" t="s">
        <v>349</v>
      </c>
      <c r="I1152" s="139">
        <v>0</v>
      </c>
      <c r="K1152" s="96" t="str">
        <f t="shared" si="45"/>
        <v>0003-1010-0017</v>
      </c>
      <c r="L1152" s="96" t="str">
        <f>VLOOKUP(K1152,COA!$A$3:$B$337,2,FALSE)</f>
        <v>S51</v>
      </c>
      <c r="M1152" s="96" t="str">
        <f t="shared" si="46"/>
        <v>S51</v>
      </c>
      <c r="N1152" s="96" t="str">
        <f>VLOOKUP(M1152,CAC!$A$2:$B$198,2,FALSE)</f>
        <v>PPOSG</v>
      </c>
    </row>
    <row r="1153" spans="5:14" x14ac:dyDescent="0.25">
      <c r="E1153" s="136">
        <v>201606</v>
      </c>
      <c r="F1153" s="138" t="s">
        <v>563</v>
      </c>
      <c r="G1153" s="138" t="s">
        <v>359</v>
      </c>
      <c r="H1153" s="138" t="s">
        <v>344</v>
      </c>
      <c r="I1153" s="139">
        <v>0</v>
      </c>
      <c r="K1153" s="96" t="str">
        <f t="shared" si="45"/>
        <v>0003-1005-0012</v>
      </c>
      <c r="L1153" s="96" t="str">
        <f>VLOOKUP(K1153,COA!$A$3:$B$337,2,FALSE)</f>
        <v>N51</v>
      </c>
      <c r="M1153" s="96" t="str">
        <f t="shared" si="46"/>
        <v>N51</v>
      </c>
      <c r="N1153" s="96" t="str">
        <f>VLOOKUP(M1153,CAC!$A$2:$B$198,2,FALSE)</f>
        <v>PPOLG</v>
      </c>
    </row>
    <row r="1154" spans="5:14" x14ac:dyDescent="0.25">
      <c r="E1154" s="136">
        <v>201609</v>
      </c>
      <c r="F1154" s="138" t="s">
        <v>563</v>
      </c>
      <c r="G1154" s="138" t="s">
        <v>365</v>
      </c>
      <c r="H1154" s="138" t="s">
        <v>366</v>
      </c>
      <c r="I1154" s="139">
        <v>0</v>
      </c>
      <c r="K1154" s="96" t="str">
        <f t="shared" si="45"/>
        <v>0003-1001-0021</v>
      </c>
      <c r="L1154" s="96" t="str">
        <f>VLOOKUP(K1154,COA!$A$3:$B$337,2,FALSE)</f>
        <v>V53</v>
      </c>
      <c r="M1154" s="96" t="str">
        <f t="shared" si="46"/>
        <v>V53</v>
      </c>
      <c r="N1154" s="96" t="str">
        <f>VLOOKUP(M1154,CAC!$A$2:$B$198,2,FALSE)</f>
        <v>PPOIFP</v>
      </c>
    </row>
    <row r="1155" spans="5:14" x14ac:dyDescent="0.25">
      <c r="E1155" s="136">
        <v>201701</v>
      </c>
      <c r="F1155" s="138" t="s">
        <v>345</v>
      </c>
      <c r="G1155" s="138" t="s">
        <v>356</v>
      </c>
      <c r="H1155" s="138" t="s">
        <v>344</v>
      </c>
      <c r="I1155" s="139">
        <v>16067.12</v>
      </c>
      <c r="K1155" s="96" t="str">
        <f t="shared" ref="K1155:K1218" si="47">F1155&amp;"-"&amp;G1155&amp;"-"&amp;H1155</f>
        <v>0011-1002-0012</v>
      </c>
      <c r="L1155" s="96" t="str">
        <f>VLOOKUP(K1155,COA!$A$3:$B$337,2,FALSE)</f>
        <v>F20</v>
      </c>
      <c r="M1155" s="96" t="str">
        <f t="shared" si="46"/>
        <v>F20</v>
      </c>
      <c r="N1155" s="96" t="str">
        <f>VLOOKUP(M1155,CAC!$A$2:$B$198,2,FALSE)</f>
        <v>HMOPMR</v>
      </c>
    </row>
    <row r="1156" spans="5:14" x14ac:dyDescent="0.25">
      <c r="E1156" s="136">
        <v>201605</v>
      </c>
      <c r="F1156" s="138" t="s">
        <v>506</v>
      </c>
      <c r="G1156" s="138" t="s">
        <v>346</v>
      </c>
      <c r="H1156" s="138" t="s">
        <v>592</v>
      </c>
      <c r="I1156" s="139">
        <v>0</v>
      </c>
      <c r="K1156" s="96" t="str">
        <f t="shared" si="47"/>
        <v>0013-1014-0035</v>
      </c>
      <c r="L1156" s="96" t="str">
        <f>VLOOKUP(K1156,COA!$A$3:$B$337,2,FALSE)</f>
        <v>K42</v>
      </c>
      <c r="M1156" s="96" t="str">
        <f t="shared" ref="M1156:M1219" si="48">IF(ISNA(L1156),"XXX",L1156)</f>
        <v>K42</v>
      </c>
      <c r="N1156" s="96" t="str">
        <f>VLOOKUP(M1156,CAC!$A$2:$B$198,2,FALSE)</f>
        <v>HMFLEX</v>
      </c>
    </row>
    <row r="1157" spans="5:14" x14ac:dyDescent="0.25">
      <c r="E1157" s="136">
        <v>201502</v>
      </c>
      <c r="F1157" s="138" t="s">
        <v>349</v>
      </c>
      <c r="G1157" s="138" t="s">
        <v>369</v>
      </c>
      <c r="H1157" s="138" t="s">
        <v>344</v>
      </c>
      <c r="I1157" s="139">
        <v>35664</v>
      </c>
      <c r="K1157" s="96" t="str">
        <f t="shared" si="47"/>
        <v>0017-1009-0012</v>
      </c>
      <c r="L1157" s="96" t="str">
        <f>VLOOKUP(K1157,COA!$A$3:$B$337,2,FALSE)</f>
        <v>R12</v>
      </c>
      <c r="M1157" s="96" t="str">
        <f t="shared" si="48"/>
        <v>R12</v>
      </c>
      <c r="N1157" s="96" t="str">
        <f>VLOOKUP(M1157,CAC!$A$2:$B$198,2,FALSE)</f>
        <v>HMOMM</v>
      </c>
    </row>
    <row r="1158" spans="5:14" x14ac:dyDescent="0.25">
      <c r="E1158" s="136">
        <v>201611</v>
      </c>
      <c r="F1158" s="138" t="s">
        <v>345</v>
      </c>
      <c r="G1158" s="138" t="s">
        <v>348</v>
      </c>
      <c r="H1158" s="138" t="s">
        <v>349</v>
      </c>
      <c r="I1158" s="139">
        <v>22508.02</v>
      </c>
      <c r="K1158" s="96" t="str">
        <f t="shared" si="47"/>
        <v>0011-1010-0017</v>
      </c>
      <c r="L1158" s="96" t="str">
        <f>VLOOKUP(K1158,COA!$A$3:$B$337,2,FALSE)</f>
        <v>S11</v>
      </c>
      <c r="M1158" s="96" t="str">
        <f t="shared" si="48"/>
        <v>S11</v>
      </c>
      <c r="N1158" s="96" t="str">
        <f>VLOOKUP(M1158,CAC!$A$2:$B$198,2,FALSE)</f>
        <v>HMOSG</v>
      </c>
    </row>
    <row r="1159" spans="5:14" x14ac:dyDescent="0.25">
      <c r="E1159" s="136">
        <v>201704</v>
      </c>
      <c r="F1159" s="138" t="s">
        <v>506</v>
      </c>
      <c r="G1159" s="138" t="s">
        <v>354</v>
      </c>
      <c r="H1159" s="138" t="s">
        <v>592</v>
      </c>
      <c r="I1159" s="139">
        <v>0</v>
      </c>
      <c r="K1159" s="96" t="str">
        <f t="shared" si="47"/>
        <v>0013-1013-0035</v>
      </c>
      <c r="L1159" s="96" t="str">
        <f>VLOOKUP(K1159,COA!$A$3:$B$337,2,FALSE)</f>
        <v>N44</v>
      </c>
      <c r="M1159" s="96" t="str">
        <f t="shared" si="48"/>
        <v>N44</v>
      </c>
      <c r="N1159" s="96" t="e">
        <f>VLOOKUP(M1159,CAC!$A$2:$B$198,2,FALSE)</f>
        <v>#N/A</v>
      </c>
    </row>
    <row r="1160" spans="5:14" x14ac:dyDescent="0.25">
      <c r="E1160" s="136">
        <v>201706</v>
      </c>
      <c r="F1160" s="138" t="s">
        <v>563</v>
      </c>
      <c r="G1160" s="138" t="s">
        <v>354</v>
      </c>
      <c r="H1160" s="138" t="s">
        <v>626</v>
      </c>
      <c r="I1160" s="139">
        <v>0</v>
      </c>
      <c r="K1160" s="96" t="str">
        <f t="shared" si="47"/>
        <v>0003-1013-0057</v>
      </c>
      <c r="L1160" s="96" t="str">
        <f>VLOOKUP(K1160,COA!$A$3:$B$337,2,FALSE)</f>
        <v>N55</v>
      </c>
      <c r="M1160" s="96" t="str">
        <f t="shared" si="48"/>
        <v>N55</v>
      </c>
      <c r="N1160" s="96" t="str">
        <f>VLOOKUP(M1160,CAC!$A$2:$B$198,2,FALSE)</f>
        <v>PPOPMR</v>
      </c>
    </row>
    <row r="1161" spans="5:14" x14ac:dyDescent="0.25">
      <c r="E1161" s="136">
        <v>201603</v>
      </c>
      <c r="F1161" s="138" t="s">
        <v>413</v>
      </c>
      <c r="G1161" s="138" t="s">
        <v>355</v>
      </c>
      <c r="H1161" s="138" t="s">
        <v>344</v>
      </c>
      <c r="I1161" s="139">
        <v>0</v>
      </c>
      <c r="K1161" s="96" t="str">
        <f t="shared" si="47"/>
        <v>0008-1006-0012</v>
      </c>
      <c r="L1161" s="96" t="str">
        <f>VLOOKUP(K1161,COA!$A$3:$B$337,2,FALSE)</f>
        <v>C96</v>
      </c>
      <c r="M1161" s="96" t="str">
        <f t="shared" si="48"/>
        <v>C96</v>
      </c>
      <c r="N1161" s="96" t="str">
        <f>VLOOKUP(M1161,CAC!$A$2:$B$198,2,FALSE)</f>
        <v>DOILG</v>
      </c>
    </row>
    <row r="1162" spans="5:14" x14ac:dyDescent="0.25">
      <c r="E1162" s="136">
        <v>201507</v>
      </c>
      <c r="F1162" s="138" t="s">
        <v>563</v>
      </c>
      <c r="G1162" s="138" t="s">
        <v>361</v>
      </c>
      <c r="H1162" s="138" t="s">
        <v>344</v>
      </c>
      <c r="I1162" s="139">
        <v>0</v>
      </c>
      <c r="K1162" s="96" t="str">
        <f t="shared" si="47"/>
        <v>0003-1003-0012</v>
      </c>
      <c r="L1162" s="96" t="str">
        <f>VLOOKUP(K1162,COA!$A$3:$B$337,2,FALSE)</f>
        <v>N61</v>
      </c>
      <c r="M1162" s="96" t="str">
        <f t="shared" si="48"/>
        <v>N61</v>
      </c>
      <c r="N1162" s="96" t="str">
        <f>VLOOKUP(M1162,CAC!$A$2:$B$198,2,FALSE)</f>
        <v>PPOPMR</v>
      </c>
    </row>
    <row r="1163" spans="5:14" x14ac:dyDescent="0.25">
      <c r="E1163" s="136">
        <v>201510</v>
      </c>
      <c r="F1163" s="138" t="s">
        <v>746</v>
      </c>
      <c r="G1163" s="138" t="s">
        <v>361</v>
      </c>
      <c r="H1163" s="138" t="s">
        <v>344</v>
      </c>
      <c r="I1163" s="139">
        <v>453</v>
      </c>
      <c r="K1163" s="96" t="str">
        <f t="shared" si="47"/>
        <v>0016-1003-0012</v>
      </c>
      <c r="L1163" s="96" t="str">
        <f>VLOOKUP(K1163,COA!$A$3:$B$337,2,FALSE)</f>
        <v>R18</v>
      </c>
      <c r="M1163" s="96" t="str">
        <f t="shared" si="48"/>
        <v>R18</v>
      </c>
      <c r="N1163" s="96" t="str">
        <f>VLOOKUP(M1163,CAC!$A$2:$B$198,2,FALSE)</f>
        <v>HMOMG</v>
      </c>
    </row>
    <row r="1164" spans="5:14" x14ac:dyDescent="0.25">
      <c r="E1164" s="136">
        <v>201704</v>
      </c>
      <c r="F1164" s="138" t="s">
        <v>345</v>
      </c>
      <c r="G1164" s="138" t="s">
        <v>355</v>
      </c>
      <c r="H1164" s="138" t="s">
        <v>344</v>
      </c>
      <c r="I1164" s="139">
        <v>15865.25</v>
      </c>
      <c r="K1164" s="96" t="str">
        <f t="shared" si="47"/>
        <v>0011-1006-0012</v>
      </c>
      <c r="L1164" s="96" t="str">
        <f>VLOOKUP(K1164,COA!$A$3:$B$337,2,FALSE)</f>
        <v>L13</v>
      </c>
      <c r="M1164" s="96" t="str">
        <f t="shared" si="48"/>
        <v>L13</v>
      </c>
      <c r="N1164" s="96" t="str">
        <f>VLOOKUP(M1164,CAC!$A$2:$B$198,2,FALSE)</f>
        <v>HMOLG</v>
      </c>
    </row>
    <row r="1165" spans="5:14" x14ac:dyDescent="0.25">
      <c r="E1165" s="136">
        <v>201708</v>
      </c>
      <c r="F1165" s="138" t="s">
        <v>345</v>
      </c>
      <c r="G1165" s="138" t="s">
        <v>361</v>
      </c>
      <c r="H1165" s="138" t="s">
        <v>344</v>
      </c>
      <c r="I1165" s="139">
        <v>906</v>
      </c>
      <c r="K1165" s="96" t="str">
        <f t="shared" si="47"/>
        <v>0011-1003-0012</v>
      </c>
      <c r="L1165" s="96" t="str">
        <f>VLOOKUP(K1165,COA!$A$3:$B$337,2,FALSE)</f>
        <v>N16</v>
      </c>
      <c r="M1165" s="96" t="str">
        <f t="shared" si="48"/>
        <v>N16</v>
      </c>
      <c r="N1165" s="96" t="str">
        <f>VLOOKUP(M1165,CAC!$A$2:$B$198,2,FALSE)</f>
        <v>HMOPMR</v>
      </c>
    </row>
    <row r="1166" spans="5:14" x14ac:dyDescent="0.25">
      <c r="E1166" s="136">
        <v>201602</v>
      </c>
      <c r="F1166" s="138" t="s">
        <v>563</v>
      </c>
      <c r="G1166" s="138" t="s">
        <v>365</v>
      </c>
      <c r="H1166" s="138" t="s">
        <v>411</v>
      </c>
      <c r="I1166" s="139">
        <v>0</v>
      </c>
      <c r="K1166" s="96" t="str">
        <f t="shared" si="47"/>
        <v>0003-1001-0007</v>
      </c>
      <c r="L1166" s="96" t="str">
        <f>VLOOKUP(K1166,COA!$A$3:$B$337,2,FALSE)</f>
        <v>V52</v>
      </c>
      <c r="M1166" s="96" t="str">
        <f t="shared" si="48"/>
        <v>V52</v>
      </c>
      <c r="N1166" s="96" t="str">
        <f>VLOOKUP(M1166,CAC!$A$2:$B$198,2,FALSE)</f>
        <v>PPOIFP</v>
      </c>
    </row>
    <row r="1167" spans="5:14" x14ac:dyDescent="0.25">
      <c r="E1167" s="136">
        <v>201705</v>
      </c>
      <c r="F1167" s="138" t="s">
        <v>563</v>
      </c>
      <c r="G1167" s="138" t="s">
        <v>354</v>
      </c>
      <c r="H1167" s="138" t="s">
        <v>626</v>
      </c>
      <c r="I1167" s="139">
        <v>0</v>
      </c>
      <c r="K1167" s="96" t="str">
        <f t="shared" si="47"/>
        <v>0003-1013-0057</v>
      </c>
      <c r="L1167" s="96" t="str">
        <f>VLOOKUP(K1167,COA!$A$3:$B$337,2,FALSE)</f>
        <v>N55</v>
      </c>
      <c r="M1167" s="96" t="str">
        <f t="shared" si="48"/>
        <v>N55</v>
      </c>
      <c r="N1167" s="96" t="str">
        <f>VLOOKUP(M1167,CAC!$A$2:$B$198,2,FALSE)</f>
        <v>PPOPMR</v>
      </c>
    </row>
    <row r="1168" spans="5:14" x14ac:dyDescent="0.25">
      <c r="E1168" s="136">
        <v>201512</v>
      </c>
      <c r="F1168" s="138" t="s">
        <v>563</v>
      </c>
      <c r="G1168" s="138" t="s">
        <v>359</v>
      </c>
      <c r="H1168" s="138" t="s">
        <v>344</v>
      </c>
      <c r="I1168" s="139">
        <v>0</v>
      </c>
      <c r="K1168" s="96" t="str">
        <f t="shared" si="47"/>
        <v>0003-1005-0012</v>
      </c>
      <c r="L1168" s="96" t="str">
        <f>VLOOKUP(K1168,COA!$A$3:$B$337,2,FALSE)</f>
        <v>N51</v>
      </c>
      <c r="M1168" s="96" t="str">
        <f t="shared" si="48"/>
        <v>N51</v>
      </c>
      <c r="N1168" s="96" t="str">
        <f>VLOOKUP(M1168,CAC!$A$2:$B$198,2,FALSE)</f>
        <v>PPOLG</v>
      </c>
    </row>
    <row r="1169" spans="5:14" x14ac:dyDescent="0.25">
      <c r="E1169" s="136">
        <v>201709</v>
      </c>
      <c r="F1169" s="138" t="s">
        <v>563</v>
      </c>
      <c r="G1169" s="138" t="s">
        <v>352</v>
      </c>
      <c r="H1169" s="138" t="s">
        <v>344</v>
      </c>
      <c r="I1169" s="139">
        <v>0</v>
      </c>
      <c r="K1169" s="96" t="str">
        <f t="shared" si="47"/>
        <v>0003-1004-0012</v>
      </c>
      <c r="L1169" s="96" t="str">
        <f>VLOOKUP(K1169,COA!$A$3:$B$337,2,FALSE)</f>
        <v>L51</v>
      </c>
      <c r="M1169" s="96" t="str">
        <f t="shared" si="48"/>
        <v>L51</v>
      </c>
      <c r="N1169" s="96" t="str">
        <f>VLOOKUP(M1169,CAC!$A$2:$B$198,2,FALSE)</f>
        <v>PPOLG</v>
      </c>
    </row>
    <row r="1170" spans="5:14" x14ac:dyDescent="0.25">
      <c r="E1170" s="136">
        <v>201606</v>
      </c>
      <c r="F1170" s="138" t="s">
        <v>563</v>
      </c>
      <c r="G1170" s="138" t="s">
        <v>348</v>
      </c>
      <c r="H1170" s="138" t="s">
        <v>353</v>
      </c>
      <c r="I1170" s="139">
        <v>0</v>
      </c>
      <c r="K1170" s="96" t="str">
        <f t="shared" si="47"/>
        <v>0003-1010-0023</v>
      </c>
      <c r="L1170" s="96" t="str">
        <f>VLOOKUP(K1170,COA!$A$3:$B$337,2,FALSE)</f>
        <v>S54</v>
      </c>
      <c r="M1170" s="96" t="str">
        <f t="shared" si="48"/>
        <v>S54</v>
      </c>
      <c r="N1170" s="96" t="str">
        <f>VLOOKUP(M1170,CAC!$A$2:$B$198,2,FALSE)</f>
        <v>PPOSG</v>
      </c>
    </row>
    <row r="1171" spans="5:14" x14ac:dyDescent="0.25">
      <c r="E1171" s="136">
        <v>201701</v>
      </c>
      <c r="F1171" s="138" t="s">
        <v>344</v>
      </c>
      <c r="G1171" s="138" t="s">
        <v>355</v>
      </c>
      <c r="H1171" s="138" t="s">
        <v>344</v>
      </c>
      <c r="I1171" s="139">
        <v>40</v>
      </c>
      <c r="K1171" s="96" t="str">
        <f t="shared" si="47"/>
        <v>0012-1006-0012</v>
      </c>
      <c r="L1171" s="96" t="str">
        <f>VLOOKUP(K1171,COA!$A$3:$B$337,2,FALSE)</f>
        <v>L16</v>
      </c>
      <c r="M1171" s="96" t="str">
        <f t="shared" si="48"/>
        <v>L16</v>
      </c>
      <c r="N1171" s="96" t="str">
        <f>VLOOKUP(M1171,CAC!$A$2:$B$198,2,FALSE)</f>
        <v>HMOLG</v>
      </c>
    </row>
    <row r="1172" spans="5:14" x14ac:dyDescent="0.25">
      <c r="E1172" s="136">
        <v>201708</v>
      </c>
      <c r="F1172" s="138" t="s">
        <v>563</v>
      </c>
      <c r="G1172" s="138" t="s">
        <v>354</v>
      </c>
      <c r="H1172" s="138" t="s">
        <v>626</v>
      </c>
      <c r="I1172" s="139">
        <v>0</v>
      </c>
      <c r="K1172" s="96" t="str">
        <f t="shared" si="47"/>
        <v>0003-1013-0057</v>
      </c>
      <c r="L1172" s="96" t="str">
        <f>VLOOKUP(K1172,COA!$A$3:$B$337,2,FALSE)</f>
        <v>N55</v>
      </c>
      <c r="M1172" s="96" t="str">
        <f t="shared" si="48"/>
        <v>N55</v>
      </c>
      <c r="N1172" s="96" t="str">
        <f>VLOOKUP(M1172,CAC!$A$2:$B$198,2,FALSE)</f>
        <v>PPOPMR</v>
      </c>
    </row>
    <row r="1173" spans="5:14" x14ac:dyDescent="0.25">
      <c r="E1173" s="136">
        <v>201703</v>
      </c>
      <c r="F1173" s="138" t="s">
        <v>563</v>
      </c>
      <c r="G1173" s="138" t="s">
        <v>348</v>
      </c>
      <c r="H1173" s="138" t="s">
        <v>349</v>
      </c>
      <c r="I1173" s="139">
        <v>0</v>
      </c>
      <c r="K1173" s="96" t="str">
        <f t="shared" si="47"/>
        <v>0003-1010-0017</v>
      </c>
      <c r="L1173" s="96" t="str">
        <f>VLOOKUP(K1173,COA!$A$3:$B$337,2,FALSE)</f>
        <v>S51</v>
      </c>
      <c r="M1173" s="96" t="str">
        <f t="shared" si="48"/>
        <v>S51</v>
      </c>
      <c r="N1173" s="96" t="str">
        <f>VLOOKUP(M1173,CAC!$A$2:$B$198,2,FALSE)</f>
        <v>PPOSG</v>
      </c>
    </row>
    <row r="1174" spans="5:14" x14ac:dyDescent="0.25">
      <c r="E1174" s="136">
        <v>201507</v>
      </c>
      <c r="F1174" s="138" t="s">
        <v>345</v>
      </c>
      <c r="G1174" s="138" t="s">
        <v>352</v>
      </c>
      <c r="H1174" s="138" t="s">
        <v>344</v>
      </c>
      <c r="I1174" s="139">
        <v>6977.68</v>
      </c>
      <c r="K1174" s="96" t="str">
        <f t="shared" si="47"/>
        <v>0011-1004-0012</v>
      </c>
      <c r="L1174" s="96" t="str">
        <f>VLOOKUP(K1174,COA!$A$3:$B$337,2,FALSE)</f>
        <v>L11</v>
      </c>
      <c r="M1174" s="96" t="str">
        <f t="shared" si="48"/>
        <v>L11</v>
      </c>
      <c r="N1174" s="96" t="str">
        <f>VLOOKUP(M1174,CAC!$A$2:$B$198,2,FALSE)</f>
        <v>HMOLG</v>
      </c>
    </row>
    <row r="1175" spans="5:14" x14ac:dyDescent="0.25">
      <c r="E1175" s="136">
        <v>201511</v>
      </c>
      <c r="F1175" s="138" t="s">
        <v>345</v>
      </c>
      <c r="G1175" s="138" t="s">
        <v>362</v>
      </c>
      <c r="H1175" s="138" t="s">
        <v>364</v>
      </c>
      <c r="I1175" s="139">
        <v>39773.06</v>
      </c>
      <c r="K1175" s="96" t="str">
        <f t="shared" si="47"/>
        <v>0011-1008-0037</v>
      </c>
      <c r="L1175" s="96" t="str">
        <f>VLOOKUP(K1175,COA!$A$3:$B$337,2,FALSE)</f>
        <v>P12</v>
      </c>
      <c r="M1175" s="96" t="str">
        <f t="shared" si="48"/>
        <v>P12</v>
      </c>
      <c r="N1175" s="96" t="str">
        <f>VLOOKUP(M1175,CAC!$A$2:$B$198,2,FALSE)</f>
        <v>HMOPERA</v>
      </c>
    </row>
    <row r="1176" spans="5:14" x14ac:dyDescent="0.25">
      <c r="E1176" s="136">
        <v>201606</v>
      </c>
      <c r="F1176" s="138" t="s">
        <v>563</v>
      </c>
      <c r="G1176" s="138" t="s">
        <v>354</v>
      </c>
      <c r="H1176" s="138" t="s">
        <v>344</v>
      </c>
      <c r="I1176" s="139">
        <v>0</v>
      </c>
      <c r="K1176" s="96" t="str">
        <f t="shared" si="47"/>
        <v>0003-1013-0012</v>
      </c>
      <c r="L1176" s="96" t="str">
        <f>VLOOKUP(K1176,COA!$A$3:$B$337,2,FALSE)</f>
        <v>N55</v>
      </c>
      <c r="M1176" s="96" t="str">
        <f t="shared" si="48"/>
        <v>N55</v>
      </c>
      <c r="N1176" s="96" t="str">
        <f>VLOOKUP(M1176,CAC!$A$2:$B$198,2,FALSE)</f>
        <v>PPOPMR</v>
      </c>
    </row>
    <row r="1177" spans="5:14" x14ac:dyDescent="0.25">
      <c r="E1177" s="136">
        <v>201701</v>
      </c>
      <c r="F1177" s="138" t="s">
        <v>563</v>
      </c>
      <c r="G1177" s="138" t="s">
        <v>350</v>
      </c>
      <c r="H1177" s="138" t="s">
        <v>344</v>
      </c>
      <c r="I1177" s="139">
        <v>0</v>
      </c>
      <c r="K1177" s="96" t="str">
        <f t="shared" si="47"/>
        <v>0003-1012-0012</v>
      </c>
      <c r="L1177" s="96" t="str">
        <f>VLOOKUP(K1177,COA!$A$3:$B$337,2,FALSE)</f>
        <v>K51</v>
      </c>
      <c r="M1177" s="96" t="str">
        <f t="shared" si="48"/>
        <v>K51</v>
      </c>
      <c r="N1177" s="96" t="str">
        <f>VLOOKUP(M1177,CAC!$A$2:$B$198,2,FALSE)</f>
        <v>PPOPMR</v>
      </c>
    </row>
    <row r="1178" spans="5:14" x14ac:dyDescent="0.25">
      <c r="E1178" s="136">
        <v>201705</v>
      </c>
      <c r="F1178" s="138" t="s">
        <v>345</v>
      </c>
      <c r="G1178" s="138" t="s">
        <v>361</v>
      </c>
      <c r="H1178" s="138" t="s">
        <v>344</v>
      </c>
      <c r="I1178" s="139">
        <v>959</v>
      </c>
      <c r="K1178" s="96" t="str">
        <f t="shared" si="47"/>
        <v>0011-1003-0012</v>
      </c>
      <c r="L1178" s="96" t="str">
        <f>VLOOKUP(K1178,COA!$A$3:$B$337,2,FALSE)</f>
        <v>N16</v>
      </c>
      <c r="M1178" s="96" t="str">
        <f t="shared" si="48"/>
        <v>N16</v>
      </c>
      <c r="N1178" s="96" t="str">
        <f>VLOOKUP(M1178,CAC!$A$2:$B$198,2,FALSE)</f>
        <v>HMOPMR</v>
      </c>
    </row>
    <row r="1179" spans="5:14" x14ac:dyDescent="0.25">
      <c r="E1179" s="136">
        <v>201509</v>
      </c>
      <c r="F1179" s="138" t="s">
        <v>746</v>
      </c>
      <c r="G1179" s="138" t="s">
        <v>352</v>
      </c>
      <c r="H1179" s="138" t="s">
        <v>344</v>
      </c>
      <c r="I1179" s="139">
        <v>0</v>
      </c>
      <c r="K1179" s="96" t="str">
        <f t="shared" si="47"/>
        <v>0016-1004-0012</v>
      </c>
      <c r="L1179" s="96" t="str">
        <f>VLOOKUP(K1179,COA!$A$3:$B$337,2,FALSE)</f>
        <v>R20</v>
      </c>
      <c r="M1179" s="96" t="str">
        <f t="shared" si="48"/>
        <v>R20</v>
      </c>
      <c r="N1179" s="96" t="str">
        <f>VLOOKUP(M1179,CAC!$A$2:$B$198,2,FALSE)</f>
        <v>HMOMG</v>
      </c>
    </row>
    <row r="1180" spans="5:14" x14ac:dyDescent="0.25">
      <c r="E1180" s="136">
        <v>201510</v>
      </c>
      <c r="F1180" s="138" t="s">
        <v>413</v>
      </c>
      <c r="G1180" s="138" t="s">
        <v>348</v>
      </c>
      <c r="H1180" s="138" t="s">
        <v>349</v>
      </c>
      <c r="I1180" s="139">
        <v>0</v>
      </c>
      <c r="K1180" s="96" t="str">
        <f t="shared" si="47"/>
        <v>0008-1010-0017</v>
      </c>
      <c r="L1180" s="96" t="str">
        <f>VLOOKUP(K1180,COA!$A$3:$B$337,2,FALSE)</f>
        <v>C94</v>
      </c>
      <c r="M1180" s="96" t="str">
        <f t="shared" si="48"/>
        <v>C94</v>
      </c>
      <c r="N1180" s="96" t="str">
        <f>VLOOKUP(M1180,CAC!$A$2:$B$198,2,FALSE)</f>
        <v>DOISG</v>
      </c>
    </row>
    <row r="1181" spans="5:14" x14ac:dyDescent="0.25">
      <c r="E1181" s="136">
        <v>201504</v>
      </c>
      <c r="F1181" s="138" t="s">
        <v>345</v>
      </c>
      <c r="G1181" s="138" t="s">
        <v>346</v>
      </c>
      <c r="H1181" s="138" t="s">
        <v>347</v>
      </c>
      <c r="I1181" s="139">
        <v>11</v>
      </c>
      <c r="K1181" s="96" t="str">
        <f t="shared" si="47"/>
        <v>0011-1014-0039</v>
      </c>
      <c r="L1181" s="96" t="str">
        <f>VLOOKUP(K1181,COA!$A$3:$B$337,2,FALSE)</f>
        <v>K24</v>
      </c>
      <c r="M1181" s="96" t="str">
        <f t="shared" si="48"/>
        <v>K24</v>
      </c>
      <c r="N1181" s="96" t="str">
        <f>VLOOKUP(M1181,CAC!$A$2:$B$198,2,FALSE)</f>
        <v>HMFLEX</v>
      </c>
    </row>
    <row r="1182" spans="5:14" x14ac:dyDescent="0.25">
      <c r="E1182" s="136">
        <v>201706</v>
      </c>
      <c r="F1182" s="138" t="s">
        <v>345</v>
      </c>
      <c r="G1182" s="138" t="s">
        <v>352</v>
      </c>
      <c r="H1182" s="138" t="s">
        <v>653</v>
      </c>
      <c r="I1182" s="139">
        <v>0</v>
      </c>
      <c r="K1182" s="96" t="str">
        <f t="shared" si="47"/>
        <v>0011-1004-0047</v>
      </c>
      <c r="L1182" s="96" t="str">
        <f>VLOOKUP(K1182,COA!$A$3:$B$337,2,FALSE)</f>
        <v>L17</v>
      </c>
      <c r="M1182" s="96" t="str">
        <f t="shared" si="48"/>
        <v>L17</v>
      </c>
      <c r="N1182" s="96" t="str">
        <f>VLOOKUP(M1182,CAC!$A$2:$B$198,2,FALSE)</f>
        <v>HMOLG</v>
      </c>
    </row>
    <row r="1183" spans="5:14" x14ac:dyDescent="0.25">
      <c r="E1183" s="136">
        <v>201511</v>
      </c>
      <c r="F1183" s="138" t="s">
        <v>413</v>
      </c>
      <c r="G1183" s="138" t="s">
        <v>359</v>
      </c>
      <c r="H1183" s="138" t="s">
        <v>344</v>
      </c>
      <c r="I1183" s="139">
        <v>0</v>
      </c>
      <c r="K1183" s="96" t="str">
        <f t="shared" si="47"/>
        <v>0008-1005-0012</v>
      </c>
      <c r="L1183" s="96" t="str">
        <f>VLOOKUP(K1183,COA!$A$3:$B$337,2,FALSE)</f>
        <v>C73</v>
      </c>
      <c r="M1183" s="96" t="str">
        <f t="shared" si="48"/>
        <v>C73</v>
      </c>
      <c r="N1183" s="96" t="str">
        <f>VLOOKUP(M1183,CAC!$A$2:$B$198,2,FALSE)</f>
        <v>DOILG</v>
      </c>
    </row>
    <row r="1184" spans="5:14" x14ac:dyDescent="0.25">
      <c r="E1184" s="136">
        <v>201705</v>
      </c>
      <c r="F1184" s="138" t="s">
        <v>344</v>
      </c>
      <c r="G1184" s="138" t="s">
        <v>352</v>
      </c>
      <c r="H1184" s="138" t="s">
        <v>344</v>
      </c>
      <c r="I1184" s="139">
        <v>893</v>
      </c>
      <c r="K1184" s="96" t="str">
        <f t="shared" si="47"/>
        <v>0012-1004-0012</v>
      </c>
      <c r="L1184" s="96" t="str">
        <f>VLOOKUP(K1184,COA!$A$3:$B$337,2,FALSE)</f>
        <v>L12</v>
      </c>
      <c r="M1184" s="96" t="str">
        <f t="shared" si="48"/>
        <v>L12</v>
      </c>
      <c r="N1184" s="96" t="str">
        <f>VLOOKUP(M1184,CAC!$A$2:$B$198,2,FALSE)</f>
        <v>HMOLG</v>
      </c>
    </row>
    <row r="1185" spans="5:14" x14ac:dyDescent="0.25">
      <c r="E1185" s="136">
        <v>201712</v>
      </c>
      <c r="F1185" s="138" t="s">
        <v>345</v>
      </c>
      <c r="G1185" s="138" t="s">
        <v>346</v>
      </c>
      <c r="H1185" s="138" t="s">
        <v>344</v>
      </c>
      <c r="I1185" s="139">
        <v>0</v>
      </c>
      <c r="K1185" s="96" t="str">
        <f t="shared" si="47"/>
        <v>0011-1014-0012</v>
      </c>
      <c r="L1185" s="96" t="e">
        <f>VLOOKUP(K1185,COA!$A$3:$B$337,2,FALSE)</f>
        <v>#N/A</v>
      </c>
      <c r="M1185" s="96" t="str">
        <f t="shared" si="48"/>
        <v>XXX</v>
      </c>
      <c r="N1185" s="96" t="str">
        <f>VLOOKUP(M1185,CAC!$A$2:$B$198,2,FALSE)</f>
        <v>XXX</v>
      </c>
    </row>
    <row r="1186" spans="5:14" x14ac:dyDescent="0.25">
      <c r="E1186" s="136">
        <v>201511</v>
      </c>
      <c r="F1186" s="138" t="s">
        <v>506</v>
      </c>
      <c r="G1186" s="138" t="s">
        <v>354</v>
      </c>
      <c r="H1186" s="138" t="s">
        <v>592</v>
      </c>
      <c r="I1186" s="139">
        <v>0</v>
      </c>
      <c r="K1186" s="96" t="str">
        <f t="shared" si="47"/>
        <v>0013-1013-0035</v>
      </c>
      <c r="L1186" s="96" t="str">
        <f>VLOOKUP(K1186,COA!$A$3:$B$337,2,FALSE)</f>
        <v>N44</v>
      </c>
      <c r="M1186" s="96" t="str">
        <f t="shared" si="48"/>
        <v>N44</v>
      </c>
      <c r="N1186" s="96" t="e">
        <f>VLOOKUP(M1186,CAC!$A$2:$B$198,2,FALSE)</f>
        <v>#N/A</v>
      </c>
    </row>
    <row r="1187" spans="5:14" x14ac:dyDescent="0.25">
      <c r="E1187" s="136">
        <v>201612</v>
      </c>
      <c r="F1187" s="138" t="s">
        <v>342</v>
      </c>
      <c r="G1187" s="138" t="s">
        <v>343</v>
      </c>
      <c r="H1187" s="138" t="s">
        <v>344</v>
      </c>
      <c r="I1187" s="139">
        <v>5945.53</v>
      </c>
      <c r="K1187" s="96" t="str">
        <f t="shared" si="47"/>
        <v>0031-1000-0012</v>
      </c>
      <c r="L1187" s="96" t="str">
        <f>VLOOKUP(K1187,COA!$A$3:$B$337,2,FALSE)</f>
        <v>F27</v>
      </c>
      <c r="M1187" s="96" t="str">
        <f t="shared" si="48"/>
        <v>F27</v>
      </c>
      <c r="N1187" s="96" t="str">
        <f>VLOOKUP(M1187,CAC!$A$2:$B$198,2,FALSE)</f>
        <v>HMOFEP</v>
      </c>
    </row>
    <row r="1188" spans="5:14" x14ac:dyDescent="0.25">
      <c r="E1188" s="136">
        <v>201601</v>
      </c>
      <c r="F1188" s="138" t="s">
        <v>345</v>
      </c>
      <c r="G1188" s="138" t="s">
        <v>354</v>
      </c>
      <c r="H1188" s="138" t="s">
        <v>360</v>
      </c>
      <c r="I1188" s="139">
        <v>2152</v>
      </c>
      <c r="K1188" s="96" t="str">
        <f t="shared" si="47"/>
        <v>0011-1013-0048</v>
      </c>
      <c r="L1188" s="96" t="str">
        <f>VLOOKUP(K1188,COA!$A$3:$B$337,2,FALSE)</f>
        <v>N21</v>
      </c>
      <c r="M1188" s="96" t="str">
        <f t="shared" si="48"/>
        <v>N21</v>
      </c>
      <c r="N1188" s="96" t="str">
        <f>VLOOKUP(M1188,CAC!$A$2:$B$198,2,FALSE)</f>
        <v>HMFLEX</v>
      </c>
    </row>
    <row r="1189" spans="5:14" x14ac:dyDescent="0.25">
      <c r="E1189" s="136">
        <v>201709</v>
      </c>
      <c r="F1189" s="138" t="s">
        <v>746</v>
      </c>
      <c r="G1189" s="138" t="s">
        <v>356</v>
      </c>
      <c r="H1189" s="138" t="s">
        <v>344</v>
      </c>
      <c r="I1189" s="139">
        <v>142</v>
      </c>
      <c r="K1189" s="96" t="str">
        <f t="shared" si="47"/>
        <v>0016-1002-0012</v>
      </c>
      <c r="L1189" s="96" t="str">
        <f>VLOOKUP(K1189,COA!$A$3:$B$337,2,FALSE)</f>
        <v>R18</v>
      </c>
      <c r="M1189" s="96" t="str">
        <f t="shared" si="48"/>
        <v>R18</v>
      </c>
      <c r="N1189" s="96" t="str">
        <f>VLOOKUP(M1189,CAC!$A$2:$B$198,2,FALSE)</f>
        <v>HMOMG</v>
      </c>
    </row>
    <row r="1190" spans="5:14" x14ac:dyDescent="0.25">
      <c r="E1190" s="136">
        <v>201711</v>
      </c>
      <c r="F1190" s="138" t="s">
        <v>746</v>
      </c>
      <c r="G1190" s="138" t="s">
        <v>350</v>
      </c>
      <c r="H1190" s="138" t="s">
        <v>344</v>
      </c>
      <c r="I1190" s="139">
        <v>3</v>
      </c>
      <c r="K1190" s="96" t="str">
        <f t="shared" si="47"/>
        <v>0016-1012-0012</v>
      </c>
      <c r="L1190" s="96" t="str">
        <f>VLOOKUP(K1190,COA!$A$3:$B$337,2,FALSE)</f>
        <v>R19</v>
      </c>
      <c r="M1190" s="96" t="str">
        <f t="shared" si="48"/>
        <v>R19</v>
      </c>
      <c r="N1190" s="96" t="str">
        <f>VLOOKUP(M1190,CAC!$A$2:$B$198,2,FALSE)</f>
        <v>HMOMG</v>
      </c>
    </row>
    <row r="1191" spans="5:14" x14ac:dyDescent="0.25">
      <c r="E1191" s="136">
        <v>201504</v>
      </c>
      <c r="F1191" s="138" t="s">
        <v>563</v>
      </c>
      <c r="G1191" s="138" t="s">
        <v>365</v>
      </c>
      <c r="H1191" s="138" t="s">
        <v>367</v>
      </c>
      <c r="I1191" s="139">
        <v>0</v>
      </c>
      <c r="K1191" s="96" t="str">
        <f t="shared" si="47"/>
        <v>0003-1001-0022</v>
      </c>
      <c r="L1191" s="96" t="str">
        <f>VLOOKUP(K1191,COA!$A$3:$B$337,2,FALSE)</f>
        <v>V54</v>
      </c>
      <c r="M1191" s="96" t="str">
        <f t="shared" si="48"/>
        <v>V54</v>
      </c>
      <c r="N1191" s="96" t="str">
        <f>VLOOKUP(M1191,CAC!$A$2:$B$198,2,FALSE)</f>
        <v>PPOIFP</v>
      </c>
    </row>
    <row r="1192" spans="5:14" x14ac:dyDescent="0.25">
      <c r="E1192" s="136">
        <v>201712</v>
      </c>
      <c r="F1192" s="138" t="s">
        <v>563</v>
      </c>
      <c r="G1192" s="138" t="s">
        <v>365</v>
      </c>
      <c r="H1192" s="138" t="s">
        <v>798</v>
      </c>
      <c r="I1192" s="139">
        <v>0</v>
      </c>
      <c r="K1192" s="96" t="str">
        <f t="shared" si="47"/>
        <v>0003-1001-0065</v>
      </c>
      <c r="L1192" s="96" t="str">
        <f>VLOOKUP(K1192,COA!$A$3:$B$337,2,FALSE)</f>
        <v>V55</v>
      </c>
      <c r="M1192" s="96" t="str">
        <f t="shared" si="48"/>
        <v>V55</v>
      </c>
      <c r="N1192" s="96" t="e">
        <f>VLOOKUP(M1192,CAC!$A$2:$B$198,2,FALSE)</f>
        <v>#N/A</v>
      </c>
    </row>
    <row r="1193" spans="5:14" x14ac:dyDescent="0.25">
      <c r="E1193" s="136">
        <v>201609</v>
      </c>
      <c r="F1193" s="138" t="s">
        <v>413</v>
      </c>
      <c r="G1193" s="138" t="s">
        <v>359</v>
      </c>
      <c r="H1193" s="138" t="s">
        <v>344</v>
      </c>
      <c r="I1193" s="139">
        <v>0</v>
      </c>
      <c r="K1193" s="96" t="str">
        <f t="shared" si="47"/>
        <v>0008-1005-0012</v>
      </c>
      <c r="L1193" s="96" t="str">
        <f>VLOOKUP(K1193,COA!$A$3:$B$337,2,FALSE)</f>
        <v>C73</v>
      </c>
      <c r="M1193" s="96" t="str">
        <f t="shared" si="48"/>
        <v>C73</v>
      </c>
      <c r="N1193" s="96" t="str">
        <f>VLOOKUP(M1193,CAC!$A$2:$B$198,2,FALSE)</f>
        <v>DOILG</v>
      </c>
    </row>
    <row r="1194" spans="5:14" x14ac:dyDescent="0.25">
      <c r="E1194" s="136">
        <v>201708</v>
      </c>
      <c r="F1194" s="138" t="s">
        <v>746</v>
      </c>
      <c r="G1194" s="138" t="s">
        <v>352</v>
      </c>
      <c r="H1194" s="138" t="s">
        <v>344</v>
      </c>
      <c r="I1194" s="139">
        <v>3</v>
      </c>
      <c r="K1194" s="96" t="str">
        <f t="shared" si="47"/>
        <v>0016-1004-0012</v>
      </c>
      <c r="L1194" s="96" t="str">
        <f>VLOOKUP(K1194,COA!$A$3:$B$337,2,FALSE)</f>
        <v>R20</v>
      </c>
      <c r="M1194" s="96" t="str">
        <f t="shared" si="48"/>
        <v>R20</v>
      </c>
      <c r="N1194" s="96" t="str">
        <f>VLOOKUP(M1194,CAC!$A$2:$B$198,2,FALSE)</f>
        <v>HMOMG</v>
      </c>
    </row>
    <row r="1195" spans="5:14" x14ac:dyDescent="0.25">
      <c r="E1195" s="136">
        <v>201708</v>
      </c>
      <c r="F1195" s="138" t="s">
        <v>563</v>
      </c>
      <c r="G1195" s="138" t="s">
        <v>348</v>
      </c>
      <c r="H1195" s="138" t="s">
        <v>358</v>
      </c>
      <c r="I1195" s="139">
        <v>0</v>
      </c>
      <c r="K1195" s="96" t="str">
        <f t="shared" si="47"/>
        <v>0003-1010-0024</v>
      </c>
      <c r="L1195" s="96" t="str">
        <f>VLOOKUP(K1195,COA!$A$3:$B$337,2,FALSE)</f>
        <v>S56</v>
      </c>
      <c r="M1195" s="96" t="str">
        <f t="shared" si="48"/>
        <v>S56</v>
      </c>
      <c r="N1195" s="96" t="str">
        <f>VLOOKUP(M1195,CAC!$A$2:$B$198,2,FALSE)</f>
        <v>PPOSG</v>
      </c>
    </row>
    <row r="1196" spans="5:14" x14ac:dyDescent="0.25">
      <c r="E1196" s="136">
        <v>201512</v>
      </c>
      <c r="F1196" s="138" t="s">
        <v>345</v>
      </c>
      <c r="G1196" s="138" t="s">
        <v>348</v>
      </c>
      <c r="H1196" s="138" t="s">
        <v>358</v>
      </c>
      <c r="I1196" s="139">
        <v>80</v>
      </c>
      <c r="K1196" s="96" t="str">
        <f t="shared" si="47"/>
        <v>0011-1010-0024</v>
      </c>
      <c r="L1196" s="96" t="str">
        <f>VLOOKUP(K1196,COA!$A$3:$B$337,2,FALSE)</f>
        <v>S14</v>
      </c>
      <c r="M1196" s="96" t="str">
        <f t="shared" si="48"/>
        <v>S14</v>
      </c>
      <c r="N1196" s="96" t="str">
        <f>VLOOKUP(M1196,CAC!$A$2:$B$198,2,FALSE)</f>
        <v>HMOSG</v>
      </c>
    </row>
    <row r="1197" spans="5:14" x14ac:dyDescent="0.25">
      <c r="E1197" s="136">
        <v>201601</v>
      </c>
      <c r="F1197" s="138" t="s">
        <v>413</v>
      </c>
      <c r="G1197" s="138" t="s">
        <v>348</v>
      </c>
      <c r="H1197" s="138" t="s">
        <v>349</v>
      </c>
      <c r="I1197" s="139">
        <v>0</v>
      </c>
      <c r="K1197" s="96" t="str">
        <f t="shared" si="47"/>
        <v>0008-1010-0017</v>
      </c>
      <c r="L1197" s="96" t="str">
        <f>VLOOKUP(K1197,COA!$A$3:$B$337,2,FALSE)</f>
        <v>C94</v>
      </c>
      <c r="M1197" s="96" t="str">
        <f t="shared" si="48"/>
        <v>C94</v>
      </c>
      <c r="N1197" s="96" t="str">
        <f>VLOOKUP(M1197,CAC!$A$2:$B$198,2,FALSE)</f>
        <v>DOISG</v>
      </c>
    </row>
    <row r="1198" spans="5:14" x14ac:dyDescent="0.25">
      <c r="E1198" s="136">
        <v>201701</v>
      </c>
      <c r="F1198" s="138" t="s">
        <v>345</v>
      </c>
      <c r="G1198" s="138" t="s">
        <v>359</v>
      </c>
      <c r="H1198" s="138" t="s">
        <v>344</v>
      </c>
      <c r="I1198" s="139">
        <v>4851.97</v>
      </c>
      <c r="K1198" s="96" t="str">
        <f t="shared" si="47"/>
        <v>0011-1005-0012</v>
      </c>
      <c r="L1198" s="96" t="str">
        <f>VLOOKUP(K1198,COA!$A$3:$B$337,2,FALSE)</f>
        <v>N11</v>
      </c>
      <c r="M1198" s="96" t="str">
        <f t="shared" si="48"/>
        <v>N11</v>
      </c>
      <c r="N1198" s="96" t="str">
        <f>VLOOKUP(M1198,CAC!$A$2:$B$198,2,FALSE)</f>
        <v>HMOLG</v>
      </c>
    </row>
    <row r="1199" spans="5:14" x14ac:dyDescent="0.25">
      <c r="E1199" s="136">
        <v>201605</v>
      </c>
      <c r="F1199" s="138" t="s">
        <v>345</v>
      </c>
      <c r="G1199" s="138" t="s">
        <v>355</v>
      </c>
      <c r="H1199" s="138" t="s">
        <v>344</v>
      </c>
      <c r="I1199" s="139">
        <v>23454.1</v>
      </c>
      <c r="K1199" s="96" t="str">
        <f t="shared" si="47"/>
        <v>0011-1006-0012</v>
      </c>
      <c r="L1199" s="96" t="str">
        <f>VLOOKUP(K1199,COA!$A$3:$B$337,2,FALSE)</f>
        <v>L13</v>
      </c>
      <c r="M1199" s="96" t="str">
        <f t="shared" si="48"/>
        <v>L13</v>
      </c>
      <c r="N1199" s="96" t="str">
        <f>VLOOKUP(M1199,CAC!$A$2:$B$198,2,FALSE)</f>
        <v>HMOLG</v>
      </c>
    </row>
    <row r="1200" spans="5:14" x14ac:dyDescent="0.25">
      <c r="E1200" s="136">
        <v>201512</v>
      </c>
      <c r="F1200" s="138" t="s">
        <v>345</v>
      </c>
      <c r="G1200" s="138" t="s">
        <v>346</v>
      </c>
      <c r="H1200" s="138" t="s">
        <v>347</v>
      </c>
      <c r="I1200" s="139">
        <v>8</v>
      </c>
      <c r="K1200" s="96" t="str">
        <f t="shared" si="47"/>
        <v>0011-1014-0039</v>
      </c>
      <c r="L1200" s="96" t="str">
        <f>VLOOKUP(K1200,COA!$A$3:$B$337,2,FALSE)</f>
        <v>K24</v>
      </c>
      <c r="M1200" s="96" t="str">
        <f t="shared" si="48"/>
        <v>K24</v>
      </c>
      <c r="N1200" s="96" t="str">
        <f>VLOOKUP(M1200,CAC!$A$2:$B$198,2,FALSE)</f>
        <v>HMFLEX</v>
      </c>
    </row>
    <row r="1201" spans="5:14" x14ac:dyDescent="0.25">
      <c r="E1201" s="136">
        <v>201701</v>
      </c>
      <c r="F1201" s="138" t="s">
        <v>344</v>
      </c>
      <c r="G1201" s="138" t="s">
        <v>352</v>
      </c>
      <c r="H1201" s="138" t="s">
        <v>344</v>
      </c>
      <c r="I1201" s="139">
        <v>271</v>
      </c>
      <c r="K1201" s="96" t="str">
        <f t="shared" si="47"/>
        <v>0012-1004-0012</v>
      </c>
      <c r="L1201" s="96" t="str">
        <f>VLOOKUP(K1201,COA!$A$3:$B$337,2,FALSE)</f>
        <v>L12</v>
      </c>
      <c r="M1201" s="96" t="str">
        <f t="shared" si="48"/>
        <v>L12</v>
      </c>
      <c r="N1201" s="96" t="str">
        <f>VLOOKUP(M1201,CAC!$A$2:$B$198,2,FALSE)</f>
        <v>HMOLG</v>
      </c>
    </row>
    <row r="1202" spans="5:14" x14ac:dyDescent="0.25">
      <c r="E1202" s="136">
        <v>201607</v>
      </c>
      <c r="F1202" s="138" t="s">
        <v>413</v>
      </c>
      <c r="G1202" s="138" t="s">
        <v>355</v>
      </c>
      <c r="H1202" s="138" t="s">
        <v>344</v>
      </c>
      <c r="I1202" s="139">
        <v>0</v>
      </c>
      <c r="K1202" s="96" t="str">
        <f t="shared" si="47"/>
        <v>0008-1006-0012</v>
      </c>
      <c r="L1202" s="96" t="str">
        <f>VLOOKUP(K1202,COA!$A$3:$B$337,2,FALSE)</f>
        <v>C96</v>
      </c>
      <c r="M1202" s="96" t="str">
        <f t="shared" si="48"/>
        <v>C96</v>
      </c>
      <c r="N1202" s="96" t="str">
        <f>VLOOKUP(M1202,CAC!$A$2:$B$198,2,FALSE)</f>
        <v>DOILG</v>
      </c>
    </row>
    <row r="1203" spans="5:14" x14ac:dyDescent="0.25">
      <c r="E1203" s="136">
        <v>201705</v>
      </c>
      <c r="F1203" s="138" t="s">
        <v>552</v>
      </c>
      <c r="G1203" s="138" t="s">
        <v>356</v>
      </c>
      <c r="H1203" s="138" t="s">
        <v>672</v>
      </c>
      <c r="I1203" s="139">
        <v>0</v>
      </c>
      <c r="K1203" s="96" t="str">
        <f t="shared" si="47"/>
        <v>0027-1002-0058</v>
      </c>
      <c r="L1203" s="96" t="str">
        <f>VLOOKUP(K1203,COA!$A$3:$B$337,2,FALSE)</f>
        <v>L45</v>
      </c>
      <c r="M1203" s="96" t="str">
        <f t="shared" si="48"/>
        <v>L45</v>
      </c>
      <c r="N1203" s="96" t="e">
        <f>VLOOKUP(M1203,CAC!$A$2:$B$198,2,FALSE)</f>
        <v>#N/A</v>
      </c>
    </row>
    <row r="1204" spans="5:14" x14ac:dyDescent="0.25">
      <c r="E1204" s="136">
        <v>201605</v>
      </c>
      <c r="F1204" s="138" t="s">
        <v>563</v>
      </c>
      <c r="G1204" s="138" t="s">
        <v>348</v>
      </c>
      <c r="H1204" s="138" t="s">
        <v>349</v>
      </c>
      <c r="I1204" s="139">
        <v>0</v>
      </c>
      <c r="K1204" s="96" t="str">
        <f t="shared" si="47"/>
        <v>0003-1010-0017</v>
      </c>
      <c r="L1204" s="96" t="str">
        <f>VLOOKUP(K1204,COA!$A$3:$B$337,2,FALSE)</f>
        <v>S51</v>
      </c>
      <c r="M1204" s="96" t="str">
        <f t="shared" si="48"/>
        <v>S51</v>
      </c>
      <c r="N1204" s="96" t="str">
        <f>VLOOKUP(M1204,CAC!$A$2:$B$198,2,FALSE)</f>
        <v>PPOSG</v>
      </c>
    </row>
    <row r="1205" spans="5:14" x14ac:dyDescent="0.25">
      <c r="E1205" s="136">
        <v>201710</v>
      </c>
      <c r="F1205" s="138" t="s">
        <v>349</v>
      </c>
      <c r="G1205" s="138" t="s">
        <v>369</v>
      </c>
      <c r="H1205" s="138" t="s">
        <v>344</v>
      </c>
      <c r="I1205" s="139">
        <v>44247</v>
      </c>
      <c r="K1205" s="96" t="str">
        <f t="shared" si="47"/>
        <v>0017-1009-0012</v>
      </c>
      <c r="L1205" s="96" t="str">
        <f>VLOOKUP(K1205,COA!$A$3:$B$337,2,FALSE)</f>
        <v>R12</v>
      </c>
      <c r="M1205" s="96" t="str">
        <f t="shared" si="48"/>
        <v>R12</v>
      </c>
      <c r="N1205" s="96" t="str">
        <f>VLOOKUP(M1205,CAC!$A$2:$B$198,2,FALSE)</f>
        <v>HMOMM</v>
      </c>
    </row>
    <row r="1206" spans="5:14" x14ac:dyDescent="0.25">
      <c r="E1206" s="136">
        <v>201709</v>
      </c>
      <c r="F1206" s="138" t="s">
        <v>552</v>
      </c>
      <c r="G1206" s="138" t="s">
        <v>356</v>
      </c>
      <c r="H1206" s="138" t="s">
        <v>672</v>
      </c>
      <c r="I1206" s="139">
        <v>0</v>
      </c>
      <c r="K1206" s="96" t="str">
        <f t="shared" si="47"/>
        <v>0027-1002-0058</v>
      </c>
      <c r="L1206" s="96" t="str">
        <f>VLOOKUP(K1206,COA!$A$3:$B$337,2,FALSE)</f>
        <v>L45</v>
      </c>
      <c r="M1206" s="96" t="str">
        <f t="shared" si="48"/>
        <v>L45</v>
      </c>
      <c r="N1206" s="96" t="e">
        <f>VLOOKUP(M1206,CAC!$A$2:$B$198,2,FALSE)</f>
        <v>#N/A</v>
      </c>
    </row>
    <row r="1207" spans="5:14" x14ac:dyDescent="0.25">
      <c r="E1207" s="136">
        <v>201602</v>
      </c>
      <c r="F1207" s="138" t="s">
        <v>345</v>
      </c>
      <c r="G1207" s="138" t="s">
        <v>352</v>
      </c>
      <c r="H1207" s="138" t="s">
        <v>653</v>
      </c>
      <c r="I1207" s="139">
        <v>0</v>
      </c>
      <c r="K1207" s="96" t="str">
        <f t="shared" si="47"/>
        <v>0011-1004-0047</v>
      </c>
      <c r="L1207" s="96" t="str">
        <f>VLOOKUP(K1207,COA!$A$3:$B$337,2,FALSE)</f>
        <v>L17</v>
      </c>
      <c r="M1207" s="96" t="str">
        <f t="shared" si="48"/>
        <v>L17</v>
      </c>
      <c r="N1207" s="96" t="str">
        <f>VLOOKUP(M1207,CAC!$A$2:$B$198,2,FALSE)</f>
        <v>HMOLG</v>
      </c>
    </row>
    <row r="1208" spans="5:14" x14ac:dyDescent="0.25">
      <c r="E1208" s="136">
        <v>201512</v>
      </c>
      <c r="F1208" s="138" t="s">
        <v>413</v>
      </c>
      <c r="G1208" s="138" t="s">
        <v>365</v>
      </c>
      <c r="H1208" s="138" t="s">
        <v>411</v>
      </c>
      <c r="I1208" s="139">
        <v>0</v>
      </c>
      <c r="K1208" s="96" t="str">
        <f t="shared" si="47"/>
        <v>0008-1001-0007</v>
      </c>
      <c r="L1208" s="96" t="str">
        <f>VLOOKUP(K1208,COA!$A$3:$B$337,2,FALSE)</f>
        <v>C99</v>
      </c>
      <c r="M1208" s="96" t="str">
        <f t="shared" si="48"/>
        <v>C99</v>
      </c>
      <c r="N1208" s="96" t="str">
        <f>VLOOKUP(M1208,CAC!$A$2:$B$198,2,FALSE)</f>
        <v>DOIIFP</v>
      </c>
    </row>
    <row r="1209" spans="5:14" x14ac:dyDescent="0.25">
      <c r="E1209" s="136">
        <v>201509</v>
      </c>
      <c r="F1209" s="138" t="s">
        <v>344</v>
      </c>
      <c r="G1209" s="138" t="s">
        <v>359</v>
      </c>
      <c r="H1209" s="138" t="s">
        <v>344</v>
      </c>
      <c r="I1209" s="139">
        <v>70</v>
      </c>
      <c r="K1209" s="96" t="str">
        <f t="shared" si="47"/>
        <v>0012-1005-0012</v>
      </c>
      <c r="L1209" s="96" t="str">
        <f>VLOOKUP(K1209,COA!$A$3:$B$337,2,FALSE)</f>
        <v>N13</v>
      </c>
      <c r="M1209" s="96" t="str">
        <f t="shared" si="48"/>
        <v>N13</v>
      </c>
      <c r="N1209" s="96" t="str">
        <f>VLOOKUP(M1209,CAC!$A$2:$B$198,2,FALSE)</f>
        <v>HMOLG</v>
      </c>
    </row>
    <row r="1210" spans="5:14" x14ac:dyDescent="0.25">
      <c r="E1210" s="136">
        <v>201801</v>
      </c>
      <c r="F1210" s="138" t="s">
        <v>563</v>
      </c>
      <c r="G1210" s="138" t="s">
        <v>361</v>
      </c>
      <c r="H1210" s="138" t="s">
        <v>344</v>
      </c>
      <c r="I1210" s="139">
        <v>0</v>
      </c>
      <c r="K1210" s="96" t="str">
        <f t="shared" si="47"/>
        <v>0003-1003-0012</v>
      </c>
      <c r="L1210" s="96" t="str">
        <f>VLOOKUP(K1210,COA!$A$3:$B$337,2,FALSE)</f>
        <v>N61</v>
      </c>
      <c r="M1210" s="96" t="str">
        <f t="shared" si="48"/>
        <v>N61</v>
      </c>
      <c r="N1210" s="96" t="str">
        <f>VLOOKUP(M1210,CAC!$A$2:$B$198,2,FALSE)</f>
        <v>PPOPMR</v>
      </c>
    </row>
    <row r="1211" spans="5:14" x14ac:dyDescent="0.25">
      <c r="E1211" s="136">
        <v>201511</v>
      </c>
      <c r="F1211" s="138" t="s">
        <v>413</v>
      </c>
      <c r="G1211" s="138" t="s">
        <v>365</v>
      </c>
      <c r="H1211" s="138" t="s">
        <v>344</v>
      </c>
      <c r="I1211" s="139">
        <v>0</v>
      </c>
      <c r="K1211" s="96" t="str">
        <f t="shared" si="47"/>
        <v>0008-1001-0012</v>
      </c>
      <c r="L1211" s="96" t="str">
        <f>VLOOKUP(K1211,COA!$A$3:$B$337,2,FALSE)</f>
        <v>C95</v>
      </c>
      <c r="M1211" s="96" t="str">
        <f t="shared" si="48"/>
        <v>C95</v>
      </c>
      <c r="N1211" s="96" t="str">
        <f>VLOOKUP(M1211,CAC!$A$2:$B$198,2,FALSE)</f>
        <v>DOIIFP</v>
      </c>
    </row>
    <row r="1212" spans="5:14" x14ac:dyDescent="0.25">
      <c r="E1212" s="136">
        <v>201608</v>
      </c>
      <c r="F1212" s="138" t="s">
        <v>345</v>
      </c>
      <c r="G1212" s="138" t="s">
        <v>352</v>
      </c>
      <c r="H1212" s="138" t="s">
        <v>344</v>
      </c>
      <c r="I1212" s="139">
        <v>13267.28</v>
      </c>
      <c r="K1212" s="96" t="str">
        <f t="shared" si="47"/>
        <v>0011-1004-0012</v>
      </c>
      <c r="L1212" s="96" t="str">
        <f>VLOOKUP(K1212,COA!$A$3:$B$337,2,FALSE)</f>
        <v>L11</v>
      </c>
      <c r="M1212" s="96" t="str">
        <f t="shared" si="48"/>
        <v>L11</v>
      </c>
      <c r="N1212" s="96" t="str">
        <f>VLOOKUP(M1212,CAC!$A$2:$B$198,2,FALSE)</f>
        <v>HMOLG</v>
      </c>
    </row>
    <row r="1213" spans="5:14" x14ac:dyDescent="0.25">
      <c r="E1213" s="136">
        <v>201708</v>
      </c>
      <c r="F1213" s="138" t="s">
        <v>563</v>
      </c>
      <c r="G1213" s="138" t="s">
        <v>354</v>
      </c>
      <c r="H1213" s="138" t="s">
        <v>344</v>
      </c>
      <c r="I1213" s="139">
        <v>0</v>
      </c>
      <c r="K1213" s="96" t="str">
        <f t="shared" si="47"/>
        <v>0003-1013-0012</v>
      </c>
      <c r="L1213" s="96" t="str">
        <f>VLOOKUP(K1213,COA!$A$3:$B$337,2,FALSE)</f>
        <v>N55</v>
      </c>
      <c r="M1213" s="96" t="str">
        <f t="shared" si="48"/>
        <v>N55</v>
      </c>
      <c r="N1213" s="96" t="str">
        <f>VLOOKUP(M1213,CAC!$A$2:$B$198,2,FALSE)</f>
        <v>PPOPMR</v>
      </c>
    </row>
    <row r="1214" spans="5:14" x14ac:dyDescent="0.25">
      <c r="E1214" s="136">
        <v>201605</v>
      </c>
      <c r="F1214" s="138" t="s">
        <v>506</v>
      </c>
      <c r="G1214" s="138" t="s">
        <v>361</v>
      </c>
      <c r="H1214" s="138" t="s">
        <v>592</v>
      </c>
      <c r="I1214" s="139">
        <v>0</v>
      </c>
      <c r="K1214" s="96" t="str">
        <f t="shared" si="47"/>
        <v>0013-1003-0035</v>
      </c>
      <c r="L1214" s="96" t="str">
        <f>VLOOKUP(K1214,COA!$A$3:$B$337,2,FALSE)</f>
        <v>N32</v>
      </c>
      <c r="M1214" s="96" t="str">
        <f t="shared" si="48"/>
        <v>N32</v>
      </c>
      <c r="N1214" s="96" t="e">
        <f>VLOOKUP(M1214,CAC!$A$2:$B$198,2,FALSE)</f>
        <v>#N/A</v>
      </c>
    </row>
    <row r="1215" spans="5:14" x14ac:dyDescent="0.25">
      <c r="E1215" s="136">
        <v>201704</v>
      </c>
      <c r="F1215" s="138" t="s">
        <v>413</v>
      </c>
      <c r="G1215" s="138" t="s">
        <v>359</v>
      </c>
      <c r="H1215" s="138" t="s">
        <v>344</v>
      </c>
      <c r="I1215" s="139">
        <v>0</v>
      </c>
      <c r="K1215" s="96" t="str">
        <f t="shared" si="47"/>
        <v>0008-1005-0012</v>
      </c>
      <c r="L1215" s="96" t="str">
        <f>VLOOKUP(K1215,COA!$A$3:$B$337,2,FALSE)</f>
        <v>C73</v>
      </c>
      <c r="M1215" s="96" t="str">
        <f t="shared" si="48"/>
        <v>C73</v>
      </c>
      <c r="N1215" s="96" t="str">
        <f>VLOOKUP(M1215,CAC!$A$2:$B$198,2,FALSE)</f>
        <v>DOILG</v>
      </c>
    </row>
    <row r="1216" spans="5:14" x14ac:dyDescent="0.25">
      <c r="E1216" s="136">
        <v>201603</v>
      </c>
      <c r="F1216" s="138" t="s">
        <v>549</v>
      </c>
      <c r="G1216" s="138" t="s">
        <v>352</v>
      </c>
      <c r="H1216" s="138" t="s">
        <v>672</v>
      </c>
      <c r="I1216" s="139">
        <v>0</v>
      </c>
      <c r="K1216" s="96" t="str">
        <f t="shared" si="47"/>
        <v>0026-1004-0058</v>
      </c>
      <c r="L1216" s="96" t="str">
        <f>VLOOKUP(K1216,COA!$A$3:$B$337,2,FALSE)</f>
        <v>L44</v>
      </c>
      <c r="M1216" s="96" t="str">
        <f t="shared" si="48"/>
        <v>L44</v>
      </c>
      <c r="N1216" s="96" t="e">
        <f>VLOOKUP(M1216,CAC!$A$2:$B$198,2,FALSE)</f>
        <v>#N/A</v>
      </c>
    </row>
    <row r="1217" spans="5:14" x14ac:dyDescent="0.25">
      <c r="E1217" s="136">
        <v>201605</v>
      </c>
      <c r="F1217" s="138" t="s">
        <v>563</v>
      </c>
      <c r="G1217" s="138" t="s">
        <v>348</v>
      </c>
      <c r="H1217" s="138" t="s">
        <v>358</v>
      </c>
      <c r="I1217" s="139">
        <v>0</v>
      </c>
      <c r="K1217" s="96" t="str">
        <f t="shared" si="47"/>
        <v>0003-1010-0024</v>
      </c>
      <c r="L1217" s="96" t="str">
        <f>VLOOKUP(K1217,COA!$A$3:$B$337,2,FALSE)</f>
        <v>S56</v>
      </c>
      <c r="M1217" s="96" t="str">
        <f t="shared" si="48"/>
        <v>S56</v>
      </c>
      <c r="N1217" s="96" t="str">
        <f>VLOOKUP(M1217,CAC!$A$2:$B$198,2,FALSE)</f>
        <v>PPOSG</v>
      </c>
    </row>
    <row r="1218" spans="5:14" x14ac:dyDescent="0.25">
      <c r="E1218" s="136">
        <v>201605</v>
      </c>
      <c r="F1218" s="138" t="s">
        <v>563</v>
      </c>
      <c r="G1218" s="138" t="s">
        <v>365</v>
      </c>
      <c r="H1218" s="138" t="s">
        <v>411</v>
      </c>
      <c r="I1218" s="139">
        <v>0</v>
      </c>
      <c r="K1218" s="96" t="str">
        <f t="shared" si="47"/>
        <v>0003-1001-0007</v>
      </c>
      <c r="L1218" s="96" t="str">
        <f>VLOOKUP(K1218,COA!$A$3:$B$337,2,FALSE)</f>
        <v>V52</v>
      </c>
      <c r="M1218" s="96" t="str">
        <f t="shared" si="48"/>
        <v>V52</v>
      </c>
      <c r="N1218" s="96" t="str">
        <f>VLOOKUP(M1218,CAC!$A$2:$B$198,2,FALSE)</f>
        <v>PPOIFP</v>
      </c>
    </row>
    <row r="1219" spans="5:14" x14ac:dyDescent="0.25">
      <c r="E1219" s="136">
        <v>201601</v>
      </c>
      <c r="F1219" s="138" t="s">
        <v>345</v>
      </c>
      <c r="G1219" s="138" t="s">
        <v>348</v>
      </c>
      <c r="H1219" s="138" t="s">
        <v>358</v>
      </c>
      <c r="I1219" s="139">
        <v>84</v>
      </c>
      <c r="K1219" s="96" t="str">
        <f t="shared" ref="K1219:K1282" si="49">F1219&amp;"-"&amp;G1219&amp;"-"&amp;H1219</f>
        <v>0011-1010-0024</v>
      </c>
      <c r="L1219" s="96" t="str">
        <f>VLOOKUP(K1219,COA!$A$3:$B$337,2,FALSE)</f>
        <v>S14</v>
      </c>
      <c r="M1219" s="96" t="str">
        <f t="shared" si="48"/>
        <v>S14</v>
      </c>
      <c r="N1219" s="96" t="str">
        <f>VLOOKUP(M1219,CAC!$A$2:$B$198,2,FALSE)</f>
        <v>HMOSG</v>
      </c>
    </row>
    <row r="1220" spans="5:14" x14ac:dyDescent="0.25">
      <c r="E1220" s="136">
        <v>201504</v>
      </c>
      <c r="F1220" s="138" t="s">
        <v>413</v>
      </c>
      <c r="G1220" s="138" t="s">
        <v>365</v>
      </c>
      <c r="H1220" s="138" t="s">
        <v>411</v>
      </c>
      <c r="I1220" s="139">
        <v>0</v>
      </c>
      <c r="K1220" s="96" t="str">
        <f t="shared" si="49"/>
        <v>0008-1001-0007</v>
      </c>
      <c r="L1220" s="96" t="str">
        <f>VLOOKUP(K1220,COA!$A$3:$B$337,2,FALSE)</f>
        <v>C99</v>
      </c>
      <c r="M1220" s="96" t="str">
        <f t="shared" ref="M1220:M1283" si="50">IF(ISNA(L1220),"XXX",L1220)</f>
        <v>C99</v>
      </c>
      <c r="N1220" s="96" t="str">
        <f>VLOOKUP(M1220,CAC!$A$2:$B$198,2,FALSE)</f>
        <v>DOIIFP</v>
      </c>
    </row>
    <row r="1221" spans="5:14" x14ac:dyDescent="0.25">
      <c r="E1221" s="136">
        <v>201512</v>
      </c>
      <c r="F1221" s="138" t="s">
        <v>345</v>
      </c>
      <c r="G1221" s="138" t="s">
        <v>350</v>
      </c>
      <c r="H1221" s="138" t="s">
        <v>360</v>
      </c>
      <c r="I1221" s="139">
        <v>6120.38</v>
      </c>
      <c r="K1221" s="96" t="str">
        <f t="shared" si="49"/>
        <v>0011-1012-0048</v>
      </c>
      <c r="L1221" s="96" t="str">
        <f>VLOOKUP(K1221,COA!$A$3:$B$337,2,FALSE)</f>
        <v>K21</v>
      </c>
      <c r="M1221" s="96" t="str">
        <f t="shared" si="50"/>
        <v>K21</v>
      </c>
      <c r="N1221" s="96" t="str">
        <f>VLOOKUP(M1221,CAC!$A$2:$B$198,2,FALSE)</f>
        <v>HMFLEX</v>
      </c>
    </row>
    <row r="1222" spans="5:14" x14ac:dyDescent="0.25">
      <c r="E1222" s="136">
        <v>201511</v>
      </c>
      <c r="F1222" s="138" t="s">
        <v>506</v>
      </c>
      <c r="G1222" s="138" t="s">
        <v>352</v>
      </c>
      <c r="H1222" s="138" t="s">
        <v>592</v>
      </c>
      <c r="I1222" s="139">
        <v>0</v>
      </c>
      <c r="K1222" s="96" t="str">
        <f t="shared" si="49"/>
        <v>0013-1004-0035</v>
      </c>
      <c r="L1222" s="96" t="str">
        <f>VLOOKUP(K1222,COA!$A$3:$B$337,2,FALSE)</f>
        <v>L41</v>
      </c>
      <c r="M1222" s="96" t="str">
        <f t="shared" si="50"/>
        <v>L41</v>
      </c>
      <c r="N1222" s="96" t="e">
        <f>VLOOKUP(M1222,CAC!$A$2:$B$198,2,FALSE)</f>
        <v>#N/A</v>
      </c>
    </row>
    <row r="1223" spans="5:14" x14ac:dyDescent="0.25">
      <c r="E1223" s="136">
        <v>201507</v>
      </c>
      <c r="F1223" s="138" t="s">
        <v>413</v>
      </c>
      <c r="G1223" s="138" t="s">
        <v>365</v>
      </c>
      <c r="H1223" s="138" t="s">
        <v>344</v>
      </c>
      <c r="I1223" s="139">
        <v>0</v>
      </c>
      <c r="K1223" s="96" t="str">
        <f t="shared" si="49"/>
        <v>0008-1001-0012</v>
      </c>
      <c r="L1223" s="96" t="str">
        <f>VLOOKUP(K1223,COA!$A$3:$B$337,2,FALSE)</f>
        <v>C95</v>
      </c>
      <c r="M1223" s="96" t="str">
        <f t="shared" si="50"/>
        <v>C95</v>
      </c>
      <c r="N1223" s="96" t="str">
        <f>VLOOKUP(M1223,CAC!$A$2:$B$198,2,FALSE)</f>
        <v>DOIIFP</v>
      </c>
    </row>
    <row r="1224" spans="5:14" x14ac:dyDescent="0.25">
      <c r="E1224" s="136">
        <v>201704</v>
      </c>
      <c r="F1224" s="138" t="s">
        <v>345</v>
      </c>
      <c r="G1224" s="138" t="s">
        <v>346</v>
      </c>
      <c r="H1224" s="138" t="s">
        <v>360</v>
      </c>
      <c r="I1224" s="139">
        <v>335</v>
      </c>
      <c r="K1224" s="96" t="str">
        <f t="shared" si="49"/>
        <v>0011-1014-0048</v>
      </c>
      <c r="L1224" s="96" t="str">
        <f>VLOOKUP(K1224,COA!$A$3:$B$337,2,FALSE)</f>
        <v>K23</v>
      </c>
      <c r="M1224" s="96" t="str">
        <f t="shared" si="50"/>
        <v>K23</v>
      </c>
      <c r="N1224" s="96" t="str">
        <f>VLOOKUP(M1224,CAC!$A$2:$B$198,2,FALSE)</f>
        <v>HMFLEX</v>
      </c>
    </row>
    <row r="1225" spans="5:14" x14ac:dyDescent="0.25">
      <c r="E1225" s="136">
        <v>201607</v>
      </c>
      <c r="F1225" s="138" t="s">
        <v>345</v>
      </c>
      <c r="G1225" s="138" t="s">
        <v>350</v>
      </c>
      <c r="H1225" s="138" t="s">
        <v>357</v>
      </c>
      <c r="I1225" s="139">
        <v>1957.96</v>
      </c>
      <c r="K1225" s="96" t="str">
        <f t="shared" si="49"/>
        <v>0011-1012-0038</v>
      </c>
      <c r="L1225" s="96" t="str">
        <f>VLOOKUP(K1225,COA!$A$3:$B$337,2,FALSE)</f>
        <v>K14</v>
      </c>
      <c r="M1225" s="96" t="str">
        <f t="shared" si="50"/>
        <v>K14</v>
      </c>
      <c r="N1225" s="96" t="str">
        <f>VLOOKUP(M1225,CAC!$A$2:$B$198,2,FALSE)</f>
        <v>HMOPMR</v>
      </c>
    </row>
    <row r="1226" spans="5:14" x14ac:dyDescent="0.25">
      <c r="E1226" s="136">
        <v>201509</v>
      </c>
      <c r="F1226" s="138" t="s">
        <v>563</v>
      </c>
      <c r="G1226" s="138" t="s">
        <v>352</v>
      </c>
      <c r="H1226" s="138" t="s">
        <v>653</v>
      </c>
      <c r="I1226" s="139">
        <v>0</v>
      </c>
      <c r="K1226" s="96" t="str">
        <f t="shared" si="49"/>
        <v>0003-1004-0047</v>
      </c>
      <c r="L1226" s="96" t="str">
        <f>VLOOKUP(K1226,COA!$A$3:$B$337,2,FALSE)</f>
        <v>L57</v>
      </c>
      <c r="M1226" s="96" t="str">
        <f t="shared" si="50"/>
        <v>L57</v>
      </c>
      <c r="N1226" s="96" t="str">
        <f>VLOOKUP(M1226,CAC!$A$2:$B$198,2,FALSE)</f>
        <v>PPOLG</v>
      </c>
    </row>
    <row r="1227" spans="5:14" x14ac:dyDescent="0.25">
      <c r="E1227" s="136">
        <v>201504</v>
      </c>
      <c r="F1227" s="138" t="s">
        <v>413</v>
      </c>
      <c r="G1227" s="138" t="s">
        <v>359</v>
      </c>
      <c r="H1227" s="138" t="s">
        <v>344</v>
      </c>
      <c r="I1227" s="139">
        <v>0</v>
      </c>
      <c r="K1227" s="96" t="str">
        <f t="shared" si="49"/>
        <v>0008-1005-0012</v>
      </c>
      <c r="L1227" s="96" t="str">
        <f>VLOOKUP(K1227,COA!$A$3:$B$337,2,FALSE)</f>
        <v>C73</v>
      </c>
      <c r="M1227" s="96" t="str">
        <f t="shared" si="50"/>
        <v>C73</v>
      </c>
      <c r="N1227" s="96" t="str">
        <f>VLOOKUP(M1227,CAC!$A$2:$B$198,2,FALSE)</f>
        <v>DOILG</v>
      </c>
    </row>
    <row r="1228" spans="5:14" x14ac:dyDescent="0.25">
      <c r="E1228" s="136">
        <v>201602</v>
      </c>
      <c r="F1228" s="138" t="s">
        <v>563</v>
      </c>
      <c r="G1228" s="138" t="s">
        <v>351</v>
      </c>
      <c r="H1228" s="138" t="s">
        <v>349</v>
      </c>
      <c r="I1228" s="139">
        <v>0</v>
      </c>
      <c r="K1228" s="96" t="str">
        <f t="shared" si="49"/>
        <v>0003-0000-0017</v>
      </c>
      <c r="L1228" s="96" t="e">
        <f>VLOOKUP(K1228,COA!$A$3:$B$337,2,FALSE)</f>
        <v>#N/A</v>
      </c>
      <c r="M1228" s="96" t="str">
        <f t="shared" si="50"/>
        <v>XXX</v>
      </c>
      <c r="N1228" s="96" t="str">
        <f>VLOOKUP(M1228,CAC!$A$2:$B$198,2,FALSE)</f>
        <v>XXX</v>
      </c>
    </row>
    <row r="1229" spans="5:14" x14ac:dyDescent="0.25">
      <c r="E1229" s="136">
        <v>201510</v>
      </c>
      <c r="F1229" s="138" t="s">
        <v>345</v>
      </c>
      <c r="G1229" s="138" t="s">
        <v>351</v>
      </c>
      <c r="H1229" s="138" t="s">
        <v>353</v>
      </c>
      <c r="I1229" s="139">
        <v>3</v>
      </c>
      <c r="K1229" s="96" t="str">
        <f t="shared" si="49"/>
        <v>0011-0000-0023</v>
      </c>
      <c r="L1229" s="96" t="e">
        <f>VLOOKUP(K1229,COA!$A$3:$B$337,2,FALSE)</f>
        <v>#N/A</v>
      </c>
      <c r="M1229" s="96" t="str">
        <f t="shared" si="50"/>
        <v>XXX</v>
      </c>
      <c r="N1229" s="96" t="str">
        <f>VLOOKUP(M1229,CAC!$A$2:$B$198,2,FALSE)</f>
        <v>XXX</v>
      </c>
    </row>
    <row r="1230" spans="5:14" x14ac:dyDescent="0.25">
      <c r="E1230" s="136">
        <v>201709</v>
      </c>
      <c r="F1230" s="138" t="s">
        <v>563</v>
      </c>
      <c r="G1230" s="138" t="s">
        <v>365</v>
      </c>
      <c r="H1230" s="138" t="s">
        <v>367</v>
      </c>
      <c r="I1230" s="139">
        <v>0</v>
      </c>
      <c r="K1230" s="96" t="str">
        <f t="shared" si="49"/>
        <v>0003-1001-0022</v>
      </c>
      <c r="L1230" s="96" t="str">
        <f>VLOOKUP(K1230,COA!$A$3:$B$337,2,FALSE)</f>
        <v>V54</v>
      </c>
      <c r="M1230" s="96" t="str">
        <f t="shared" si="50"/>
        <v>V54</v>
      </c>
      <c r="N1230" s="96" t="str">
        <f>VLOOKUP(M1230,CAC!$A$2:$B$198,2,FALSE)</f>
        <v>PPOIFP</v>
      </c>
    </row>
    <row r="1231" spans="5:14" x14ac:dyDescent="0.25">
      <c r="E1231" s="136">
        <v>201512</v>
      </c>
      <c r="F1231" s="138" t="s">
        <v>549</v>
      </c>
      <c r="G1231" s="138" t="s">
        <v>352</v>
      </c>
      <c r="H1231" s="138" t="s">
        <v>672</v>
      </c>
      <c r="I1231" s="139">
        <v>0</v>
      </c>
      <c r="K1231" s="96" t="str">
        <f t="shared" si="49"/>
        <v>0026-1004-0058</v>
      </c>
      <c r="L1231" s="96" t="str">
        <f>VLOOKUP(K1231,COA!$A$3:$B$337,2,FALSE)</f>
        <v>L44</v>
      </c>
      <c r="M1231" s="96" t="str">
        <f t="shared" si="50"/>
        <v>L44</v>
      </c>
      <c r="N1231" s="96" t="e">
        <f>VLOOKUP(M1231,CAC!$A$2:$B$198,2,FALSE)</f>
        <v>#N/A</v>
      </c>
    </row>
    <row r="1232" spans="5:14" x14ac:dyDescent="0.25">
      <c r="E1232" s="136">
        <v>201510</v>
      </c>
      <c r="F1232" s="138" t="s">
        <v>344</v>
      </c>
      <c r="G1232" s="138" t="s">
        <v>355</v>
      </c>
      <c r="H1232" s="138" t="s">
        <v>344</v>
      </c>
      <c r="I1232" s="139">
        <v>238</v>
      </c>
      <c r="K1232" s="96" t="str">
        <f t="shared" si="49"/>
        <v>0012-1006-0012</v>
      </c>
      <c r="L1232" s="96" t="str">
        <f>VLOOKUP(K1232,COA!$A$3:$B$337,2,FALSE)</f>
        <v>L16</v>
      </c>
      <c r="M1232" s="96" t="str">
        <f t="shared" si="50"/>
        <v>L16</v>
      </c>
      <c r="N1232" s="96" t="str">
        <f>VLOOKUP(M1232,CAC!$A$2:$B$198,2,FALSE)</f>
        <v>HMOLG</v>
      </c>
    </row>
    <row r="1233" spans="5:14" x14ac:dyDescent="0.25">
      <c r="E1233" s="136">
        <v>201707</v>
      </c>
      <c r="F1233" s="138" t="s">
        <v>413</v>
      </c>
      <c r="G1233" s="138" t="s">
        <v>359</v>
      </c>
      <c r="H1233" s="138" t="s">
        <v>344</v>
      </c>
      <c r="I1233" s="139">
        <v>0</v>
      </c>
      <c r="K1233" s="96" t="str">
        <f t="shared" si="49"/>
        <v>0008-1005-0012</v>
      </c>
      <c r="L1233" s="96" t="str">
        <f>VLOOKUP(K1233,COA!$A$3:$B$337,2,FALSE)</f>
        <v>C73</v>
      </c>
      <c r="M1233" s="96" t="str">
        <f t="shared" si="50"/>
        <v>C73</v>
      </c>
      <c r="N1233" s="96" t="str">
        <f>VLOOKUP(M1233,CAC!$A$2:$B$198,2,FALSE)</f>
        <v>DOILG</v>
      </c>
    </row>
    <row r="1234" spans="5:14" x14ac:dyDescent="0.25">
      <c r="E1234" s="136">
        <v>201602</v>
      </c>
      <c r="F1234" s="138" t="s">
        <v>746</v>
      </c>
      <c r="G1234" s="138" t="s">
        <v>356</v>
      </c>
      <c r="H1234" s="138" t="s">
        <v>344</v>
      </c>
      <c r="I1234" s="139">
        <v>120</v>
      </c>
      <c r="K1234" s="96" t="str">
        <f t="shared" si="49"/>
        <v>0016-1002-0012</v>
      </c>
      <c r="L1234" s="96" t="str">
        <f>VLOOKUP(K1234,COA!$A$3:$B$337,2,FALSE)</f>
        <v>R18</v>
      </c>
      <c r="M1234" s="96" t="str">
        <f t="shared" si="50"/>
        <v>R18</v>
      </c>
      <c r="N1234" s="96" t="str">
        <f>VLOOKUP(M1234,CAC!$A$2:$B$198,2,FALSE)</f>
        <v>HMOMG</v>
      </c>
    </row>
    <row r="1235" spans="5:14" x14ac:dyDescent="0.25">
      <c r="E1235" s="136">
        <v>201605</v>
      </c>
      <c r="F1235" s="138" t="s">
        <v>746</v>
      </c>
      <c r="G1235" s="138" t="s">
        <v>350</v>
      </c>
      <c r="H1235" s="138" t="s">
        <v>764</v>
      </c>
      <c r="I1235" s="139">
        <v>8</v>
      </c>
      <c r="K1235" s="96" t="str">
        <f t="shared" si="49"/>
        <v>0016-1012-0064</v>
      </c>
      <c r="L1235" s="96" t="str">
        <f>VLOOKUP(K1235,COA!$A$3:$B$337,2,FALSE)</f>
        <v>R25</v>
      </c>
      <c r="M1235" s="96" t="str">
        <f t="shared" si="50"/>
        <v>R25</v>
      </c>
      <c r="N1235" s="96" t="str">
        <f>VLOOKUP(M1235,CAC!$A$2:$B$198,2,FALSE)</f>
        <v>HMOMG</v>
      </c>
    </row>
    <row r="1236" spans="5:14" x14ac:dyDescent="0.25">
      <c r="E1236" s="136">
        <v>201506</v>
      </c>
      <c r="F1236" s="138" t="s">
        <v>345</v>
      </c>
      <c r="G1236" s="138" t="s">
        <v>351</v>
      </c>
      <c r="H1236" s="138" t="s">
        <v>353</v>
      </c>
      <c r="I1236" s="139">
        <v>1</v>
      </c>
      <c r="K1236" s="96" t="str">
        <f t="shared" si="49"/>
        <v>0011-0000-0023</v>
      </c>
      <c r="L1236" s="96" t="e">
        <f>VLOOKUP(K1236,COA!$A$3:$B$337,2,FALSE)</f>
        <v>#N/A</v>
      </c>
      <c r="M1236" s="96" t="str">
        <f t="shared" si="50"/>
        <v>XXX</v>
      </c>
      <c r="N1236" s="96" t="str">
        <f>VLOOKUP(M1236,CAC!$A$2:$B$198,2,FALSE)</f>
        <v>XXX</v>
      </c>
    </row>
    <row r="1237" spans="5:14" x14ac:dyDescent="0.25">
      <c r="E1237" s="136">
        <v>201709</v>
      </c>
      <c r="F1237" s="138" t="s">
        <v>345</v>
      </c>
      <c r="G1237" s="138" t="s">
        <v>354</v>
      </c>
      <c r="H1237" s="138" t="s">
        <v>344</v>
      </c>
      <c r="I1237" s="139">
        <v>4255</v>
      </c>
      <c r="K1237" s="96" t="str">
        <f t="shared" si="49"/>
        <v>0011-1013-0012</v>
      </c>
      <c r="L1237" s="96" t="str">
        <f>VLOOKUP(K1237,COA!$A$3:$B$337,2,FALSE)</f>
        <v>N20</v>
      </c>
      <c r="M1237" s="96" t="str">
        <f t="shared" si="50"/>
        <v>N20</v>
      </c>
      <c r="N1237" s="96" t="str">
        <f>VLOOKUP(M1237,CAC!$A$2:$B$198,2,FALSE)</f>
        <v>HMOPMR</v>
      </c>
    </row>
    <row r="1238" spans="5:14" x14ac:dyDescent="0.25">
      <c r="E1238" s="136">
        <v>201508</v>
      </c>
      <c r="F1238" s="138" t="s">
        <v>345</v>
      </c>
      <c r="G1238" s="138" t="s">
        <v>348</v>
      </c>
      <c r="H1238" s="138" t="s">
        <v>353</v>
      </c>
      <c r="I1238" s="139">
        <v>350</v>
      </c>
      <c r="K1238" s="96" t="str">
        <f t="shared" si="49"/>
        <v>0011-1010-0023</v>
      </c>
      <c r="L1238" s="96" t="str">
        <f>VLOOKUP(K1238,COA!$A$3:$B$337,2,FALSE)</f>
        <v>S13</v>
      </c>
      <c r="M1238" s="96" t="str">
        <f t="shared" si="50"/>
        <v>S13</v>
      </c>
      <c r="N1238" s="96" t="str">
        <f>VLOOKUP(M1238,CAC!$A$2:$B$198,2,FALSE)</f>
        <v>HMOSG</v>
      </c>
    </row>
    <row r="1239" spans="5:14" x14ac:dyDescent="0.25">
      <c r="E1239" s="136">
        <v>201509</v>
      </c>
      <c r="F1239" s="138" t="s">
        <v>345</v>
      </c>
      <c r="G1239" s="138" t="s">
        <v>354</v>
      </c>
      <c r="H1239" s="138" t="s">
        <v>344</v>
      </c>
      <c r="I1239" s="139">
        <v>2513</v>
      </c>
      <c r="K1239" s="96" t="str">
        <f t="shared" si="49"/>
        <v>0011-1013-0012</v>
      </c>
      <c r="L1239" s="96" t="str">
        <f>VLOOKUP(K1239,COA!$A$3:$B$337,2,FALSE)</f>
        <v>N20</v>
      </c>
      <c r="M1239" s="96" t="str">
        <f t="shared" si="50"/>
        <v>N20</v>
      </c>
      <c r="N1239" s="96" t="str">
        <f>VLOOKUP(M1239,CAC!$A$2:$B$198,2,FALSE)</f>
        <v>HMOPMR</v>
      </c>
    </row>
    <row r="1240" spans="5:14" x14ac:dyDescent="0.25">
      <c r="E1240" s="136">
        <v>201602</v>
      </c>
      <c r="F1240" s="138" t="s">
        <v>413</v>
      </c>
      <c r="G1240" s="138" t="s">
        <v>354</v>
      </c>
      <c r="H1240" s="138" t="s">
        <v>344</v>
      </c>
      <c r="I1240" s="139">
        <v>0</v>
      </c>
      <c r="K1240" s="96" t="str">
        <f t="shared" si="49"/>
        <v>0008-1013-0012</v>
      </c>
      <c r="L1240" s="96" t="str">
        <f>VLOOKUP(K1240,COA!$A$3:$B$337,2,FALSE)</f>
        <v>C76</v>
      </c>
      <c r="M1240" s="96" t="str">
        <f t="shared" si="50"/>
        <v>C76</v>
      </c>
      <c r="N1240" s="96" t="str">
        <f>VLOOKUP(M1240,CAC!$A$2:$B$198,2,FALSE)</f>
        <v>DOILG</v>
      </c>
    </row>
    <row r="1241" spans="5:14" x14ac:dyDescent="0.25">
      <c r="E1241" s="136">
        <v>201607</v>
      </c>
      <c r="F1241" s="138" t="s">
        <v>549</v>
      </c>
      <c r="G1241" s="138" t="s">
        <v>352</v>
      </c>
      <c r="H1241" s="138" t="s">
        <v>672</v>
      </c>
      <c r="I1241" s="139">
        <v>0</v>
      </c>
      <c r="K1241" s="96" t="str">
        <f t="shared" si="49"/>
        <v>0026-1004-0058</v>
      </c>
      <c r="L1241" s="96" t="str">
        <f>VLOOKUP(K1241,COA!$A$3:$B$337,2,FALSE)</f>
        <v>L44</v>
      </c>
      <c r="M1241" s="96" t="str">
        <f t="shared" si="50"/>
        <v>L44</v>
      </c>
      <c r="N1241" s="96" t="e">
        <f>VLOOKUP(M1241,CAC!$A$2:$B$198,2,FALSE)</f>
        <v>#N/A</v>
      </c>
    </row>
    <row r="1242" spans="5:14" x14ac:dyDescent="0.25">
      <c r="E1242" s="136">
        <v>201606</v>
      </c>
      <c r="F1242" s="138" t="s">
        <v>563</v>
      </c>
      <c r="G1242" s="138" t="s">
        <v>356</v>
      </c>
      <c r="H1242" s="138" t="s">
        <v>344</v>
      </c>
      <c r="I1242" s="139">
        <v>0</v>
      </c>
      <c r="K1242" s="96" t="str">
        <f t="shared" si="49"/>
        <v>0003-1002-0012</v>
      </c>
      <c r="L1242" s="96" t="str">
        <f>VLOOKUP(K1242,COA!$A$3:$B$337,2,FALSE)</f>
        <v>F61</v>
      </c>
      <c r="M1242" s="96" t="str">
        <f t="shared" si="50"/>
        <v>F61</v>
      </c>
      <c r="N1242" s="96" t="str">
        <f>VLOOKUP(M1242,CAC!$A$2:$B$198,2,FALSE)</f>
        <v>PPOPMR</v>
      </c>
    </row>
    <row r="1243" spans="5:14" x14ac:dyDescent="0.25">
      <c r="E1243" s="136">
        <v>201505</v>
      </c>
      <c r="F1243" s="138" t="s">
        <v>563</v>
      </c>
      <c r="G1243" s="138" t="s">
        <v>348</v>
      </c>
      <c r="H1243" s="138" t="s">
        <v>358</v>
      </c>
      <c r="I1243" s="139">
        <v>0</v>
      </c>
      <c r="K1243" s="96" t="str">
        <f t="shared" si="49"/>
        <v>0003-1010-0024</v>
      </c>
      <c r="L1243" s="96" t="str">
        <f>VLOOKUP(K1243,COA!$A$3:$B$337,2,FALSE)</f>
        <v>S56</v>
      </c>
      <c r="M1243" s="96" t="str">
        <f t="shared" si="50"/>
        <v>S56</v>
      </c>
      <c r="N1243" s="96" t="str">
        <f>VLOOKUP(M1243,CAC!$A$2:$B$198,2,FALSE)</f>
        <v>PPOSG</v>
      </c>
    </row>
    <row r="1244" spans="5:14" x14ac:dyDescent="0.25">
      <c r="E1244" s="136">
        <v>201701</v>
      </c>
      <c r="F1244" s="138" t="s">
        <v>344</v>
      </c>
      <c r="G1244" s="138" t="s">
        <v>350</v>
      </c>
      <c r="H1244" s="138" t="s">
        <v>344</v>
      </c>
      <c r="I1244" s="139">
        <v>48</v>
      </c>
      <c r="K1244" s="96" t="str">
        <f t="shared" si="49"/>
        <v>0012-1012-0012</v>
      </c>
      <c r="L1244" s="96" t="str">
        <f>VLOOKUP(K1244,COA!$A$3:$B$337,2,FALSE)</f>
        <v>K12</v>
      </c>
      <c r="M1244" s="96" t="str">
        <f t="shared" si="50"/>
        <v>K12</v>
      </c>
      <c r="N1244" s="96" t="str">
        <f>VLOOKUP(M1244,CAC!$A$2:$B$198,2,FALSE)</f>
        <v>HMOPMR</v>
      </c>
    </row>
    <row r="1245" spans="5:14" x14ac:dyDescent="0.25">
      <c r="E1245" s="136">
        <v>201602</v>
      </c>
      <c r="F1245" s="138" t="s">
        <v>413</v>
      </c>
      <c r="G1245" s="138" t="s">
        <v>356</v>
      </c>
      <c r="H1245" s="138" t="s">
        <v>344</v>
      </c>
      <c r="I1245" s="139">
        <v>0</v>
      </c>
      <c r="K1245" s="96" t="str">
        <f t="shared" si="49"/>
        <v>0008-1002-0012</v>
      </c>
      <c r="L1245" s="96" t="str">
        <f>VLOOKUP(K1245,COA!$A$3:$B$337,2,FALSE)</f>
        <v>C74</v>
      </c>
      <c r="M1245" s="96" t="str">
        <f t="shared" si="50"/>
        <v>C74</v>
      </c>
      <c r="N1245" s="96" t="str">
        <f>VLOOKUP(M1245,CAC!$A$2:$B$198,2,FALSE)</f>
        <v>DOILG</v>
      </c>
    </row>
    <row r="1246" spans="5:14" x14ac:dyDescent="0.25">
      <c r="E1246" s="136">
        <v>201606</v>
      </c>
      <c r="F1246" s="138" t="s">
        <v>345</v>
      </c>
      <c r="G1246" s="138" t="s">
        <v>348</v>
      </c>
      <c r="H1246" s="138" t="s">
        <v>349</v>
      </c>
      <c r="I1246" s="139">
        <v>21372.46</v>
      </c>
      <c r="K1246" s="96" t="str">
        <f t="shared" si="49"/>
        <v>0011-1010-0017</v>
      </c>
      <c r="L1246" s="96" t="str">
        <f>VLOOKUP(K1246,COA!$A$3:$B$337,2,FALSE)</f>
        <v>S11</v>
      </c>
      <c r="M1246" s="96" t="str">
        <f t="shared" si="50"/>
        <v>S11</v>
      </c>
      <c r="N1246" s="96" t="str">
        <f>VLOOKUP(M1246,CAC!$A$2:$B$198,2,FALSE)</f>
        <v>HMOSG</v>
      </c>
    </row>
    <row r="1247" spans="5:14" x14ac:dyDescent="0.25">
      <c r="E1247" s="136">
        <v>201611</v>
      </c>
      <c r="F1247" s="138" t="s">
        <v>413</v>
      </c>
      <c r="G1247" s="138" t="s">
        <v>365</v>
      </c>
      <c r="H1247" s="138" t="s">
        <v>344</v>
      </c>
      <c r="I1247" s="139">
        <v>0</v>
      </c>
      <c r="K1247" s="96" t="str">
        <f t="shared" si="49"/>
        <v>0008-1001-0012</v>
      </c>
      <c r="L1247" s="96" t="str">
        <f>VLOOKUP(K1247,COA!$A$3:$B$337,2,FALSE)</f>
        <v>C95</v>
      </c>
      <c r="M1247" s="96" t="str">
        <f t="shared" si="50"/>
        <v>C95</v>
      </c>
      <c r="N1247" s="96" t="str">
        <f>VLOOKUP(M1247,CAC!$A$2:$B$198,2,FALSE)</f>
        <v>DOIIFP</v>
      </c>
    </row>
    <row r="1248" spans="5:14" x14ac:dyDescent="0.25">
      <c r="E1248" s="136">
        <v>201710</v>
      </c>
      <c r="F1248" s="138" t="s">
        <v>563</v>
      </c>
      <c r="G1248" s="138" t="s">
        <v>361</v>
      </c>
      <c r="H1248" s="138" t="s">
        <v>344</v>
      </c>
      <c r="I1248" s="139">
        <v>0</v>
      </c>
      <c r="K1248" s="96" t="str">
        <f t="shared" si="49"/>
        <v>0003-1003-0012</v>
      </c>
      <c r="L1248" s="96" t="str">
        <f>VLOOKUP(K1248,COA!$A$3:$B$337,2,FALSE)</f>
        <v>N61</v>
      </c>
      <c r="M1248" s="96" t="str">
        <f t="shared" si="50"/>
        <v>N61</v>
      </c>
      <c r="N1248" s="96" t="str">
        <f>VLOOKUP(M1248,CAC!$A$2:$B$198,2,FALSE)</f>
        <v>PPOPMR</v>
      </c>
    </row>
    <row r="1249" spans="5:14" x14ac:dyDescent="0.25">
      <c r="E1249" s="136">
        <v>201602</v>
      </c>
      <c r="F1249" s="138" t="s">
        <v>746</v>
      </c>
      <c r="G1249" s="138" t="s">
        <v>356</v>
      </c>
      <c r="H1249" s="138" t="s">
        <v>764</v>
      </c>
      <c r="I1249" s="139">
        <v>6</v>
      </c>
      <c r="K1249" s="96" t="str">
        <f t="shared" si="49"/>
        <v>0016-1002-0064</v>
      </c>
      <c r="L1249" s="96" t="str">
        <f>VLOOKUP(K1249,COA!$A$3:$B$337,2,FALSE)</f>
        <v>R25</v>
      </c>
      <c r="M1249" s="96" t="str">
        <f t="shared" si="50"/>
        <v>R25</v>
      </c>
      <c r="N1249" s="96" t="str">
        <f>VLOOKUP(M1249,CAC!$A$2:$B$198,2,FALSE)</f>
        <v>HMOMG</v>
      </c>
    </row>
    <row r="1250" spans="5:14" x14ac:dyDescent="0.25">
      <c r="E1250" s="136">
        <v>201608</v>
      </c>
      <c r="F1250" s="138" t="s">
        <v>563</v>
      </c>
      <c r="G1250" s="138" t="s">
        <v>369</v>
      </c>
      <c r="H1250" s="138" t="s">
        <v>345</v>
      </c>
      <c r="I1250" s="139">
        <v>0</v>
      </c>
      <c r="K1250" s="96" t="str">
        <f t="shared" si="49"/>
        <v>0003-1009-0011</v>
      </c>
      <c r="L1250" s="96" t="str">
        <f>VLOOKUP(K1250,COA!$A$3:$B$337,2,FALSE)</f>
        <v>V91</v>
      </c>
      <c r="M1250" s="96" t="str">
        <f t="shared" si="50"/>
        <v>V91</v>
      </c>
      <c r="N1250" s="96" t="str">
        <f>VLOOKUP(M1250,CAC!$A$2:$B$198,2,FALSE)</f>
        <v>PPOMM</v>
      </c>
    </row>
    <row r="1251" spans="5:14" x14ac:dyDescent="0.25">
      <c r="E1251" s="136">
        <v>201711</v>
      </c>
      <c r="F1251" s="138" t="s">
        <v>746</v>
      </c>
      <c r="G1251" s="138" t="s">
        <v>356</v>
      </c>
      <c r="H1251" s="138" t="s">
        <v>344</v>
      </c>
      <c r="I1251" s="139">
        <v>142</v>
      </c>
      <c r="K1251" s="96" t="str">
        <f t="shared" si="49"/>
        <v>0016-1002-0012</v>
      </c>
      <c r="L1251" s="96" t="str">
        <f>VLOOKUP(K1251,COA!$A$3:$B$337,2,FALSE)</f>
        <v>R18</v>
      </c>
      <c r="M1251" s="96" t="str">
        <f t="shared" si="50"/>
        <v>R18</v>
      </c>
      <c r="N1251" s="96" t="str">
        <f>VLOOKUP(M1251,CAC!$A$2:$B$198,2,FALSE)</f>
        <v>HMOMG</v>
      </c>
    </row>
    <row r="1252" spans="5:14" x14ac:dyDescent="0.25">
      <c r="E1252" s="136">
        <v>201610</v>
      </c>
      <c r="F1252" s="138" t="s">
        <v>413</v>
      </c>
      <c r="G1252" s="138" t="s">
        <v>356</v>
      </c>
      <c r="H1252" s="138" t="s">
        <v>344</v>
      </c>
      <c r="I1252" s="139">
        <v>0</v>
      </c>
      <c r="K1252" s="96" t="str">
        <f t="shared" si="49"/>
        <v>0008-1002-0012</v>
      </c>
      <c r="L1252" s="96" t="str">
        <f>VLOOKUP(K1252,COA!$A$3:$B$337,2,FALSE)</f>
        <v>C74</v>
      </c>
      <c r="M1252" s="96" t="str">
        <f t="shared" si="50"/>
        <v>C74</v>
      </c>
      <c r="N1252" s="96" t="str">
        <f>VLOOKUP(M1252,CAC!$A$2:$B$198,2,FALSE)</f>
        <v>DOILG</v>
      </c>
    </row>
    <row r="1253" spans="5:14" x14ac:dyDescent="0.25">
      <c r="E1253" s="136">
        <v>201603</v>
      </c>
      <c r="F1253" s="138" t="s">
        <v>563</v>
      </c>
      <c r="G1253" s="138" t="s">
        <v>354</v>
      </c>
      <c r="H1253" s="138" t="s">
        <v>626</v>
      </c>
      <c r="I1253" s="139">
        <v>0</v>
      </c>
      <c r="K1253" s="96" t="str">
        <f t="shared" si="49"/>
        <v>0003-1013-0057</v>
      </c>
      <c r="L1253" s="96" t="str">
        <f>VLOOKUP(K1253,COA!$A$3:$B$337,2,FALSE)</f>
        <v>N55</v>
      </c>
      <c r="M1253" s="96" t="str">
        <f t="shared" si="50"/>
        <v>N55</v>
      </c>
      <c r="N1253" s="96" t="str">
        <f>VLOOKUP(M1253,CAC!$A$2:$B$198,2,FALSE)</f>
        <v>PPOPMR</v>
      </c>
    </row>
    <row r="1254" spans="5:14" x14ac:dyDescent="0.25">
      <c r="E1254" s="136">
        <v>201709</v>
      </c>
      <c r="F1254" s="138" t="s">
        <v>746</v>
      </c>
      <c r="G1254" s="138" t="s">
        <v>350</v>
      </c>
      <c r="H1254" s="138" t="s">
        <v>344</v>
      </c>
      <c r="I1254" s="139">
        <v>32</v>
      </c>
      <c r="K1254" s="96" t="str">
        <f t="shared" si="49"/>
        <v>0016-1012-0012</v>
      </c>
      <c r="L1254" s="96" t="str">
        <f>VLOOKUP(K1254,COA!$A$3:$B$337,2,FALSE)</f>
        <v>R19</v>
      </c>
      <c r="M1254" s="96" t="str">
        <f t="shared" si="50"/>
        <v>R19</v>
      </c>
      <c r="N1254" s="96" t="str">
        <f>VLOOKUP(M1254,CAC!$A$2:$B$198,2,FALSE)</f>
        <v>HMOMG</v>
      </c>
    </row>
    <row r="1255" spans="5:14" x14ac:dyDescent="0.25">
      <c r="E1255" s="136">
        <v>201605</v>
      </c>
      <c r="F1255" s="138" t="s">
        <v>563</v>
      </c>
      <c r="G1255" s="138" t="s">
        <v>354</v>
      </c>
      <c r="H1255" s="138" t="s">
        <v>653</v>
      </c>
      <c r="I1255" s="139">
        <v>0</v>
      </c>
      <c r="K1255" s="96" t="str">
        <f t="shared" si="49"/>
        <v>0003-1013-0047</v>
      </c>
      <c r="L1255" s="96" t="str">
        <f>VLOOKUP(K1255,COA!$A$3:$B$337,2,FALSE)</f>
        <v>N57</v>
      </c>
      <c r="M1255" s="96" t="str">
        <f t="shared" si="50"/>
        <v>N57</v>
      </c>
      <c r="N1255" s="96" t="str">
        <f>VLOOKUP(M1255,CAC!$A$2:$B$198,2,FALSE)</f>
        <v>PPOPMR</v>
      </c>
    </row>
    <row r="1256" spans="5:14" x14ac:dyDescent="0.25">
      <c r="E1256" s="136">
        <v>201709</v>
      </c>
      <c r="F1256" s="138" t="s">
        <v>563</v>
      </c>
      <c r="G1256" s="138" t="s">
        <v>352</v>
      </c>
      <c r="H1256" s="138" t="s">
        <v>626</v>
      </c>
      <c r="I1256" s="139">
        <v>0</v>
      </c>
      <c r="K1256" s="96" t="str">
        <f t="shared" si="49"/>
        <v>0003-1004-0057</v>
      </c>
      <c r="L1256" s="96" t="e">
        <f>VLOOKUP(K1256,COA!$A$3:$B$337,2,FALSE)</f>
        <v>#N/A</v>
      </c>
      <c r="M1256" s="96" t="str">
        <f t="shared" si="50"/>
        <v>XXX</v>
      </c>
      <c r="N1256" s="96" t="str">
        <f>VLOOKUP(M1256,CAC!$A$2:$B$198,2,FALSE)</f>
        <v>XXX</v>
      </c>
    </row>
    <row r="1257" spans="5:14" x14ac:dyDescent="0.25">
      <c r="E1257" s="136">
        <v>201801</v>
      </c>
      <c r="F1257" s="138" t="s">
        <v>563</v>
      </c>
      <c r="G1257" s="138" t="s">
        <v>369</v>
      </c>
      <c r="H1257" s="138" t="s">
        <v>353</v>
      </c>
      <c r="I1257" s="139">
        <v>0</v>
      </c>
      <c r="K1257" s="96" t="str">
        <f t="shared" si="49"/>
        <v>0003-1009-0023</v>
      </c>
      <c r="L1257" s="96" t="e">
        <f>VLOOKUP(K1257,COA!$A$3:$B$337,2,FALSE)</f>
        <v>#N/A</v>
      </c>
      <c r="M1257" s="96" t="str">
        <f t="shared" si="50"/>
        <v>XXX</v>
      </c>
      <c r="N1257" s="96" t="str">
        <f>VLOOKUP(M1257,CAC!$A$2:$B$198,2,FALSE)</f>
        <v>XXX</v>
      </c>
    </row>
    <row r="1258" spans="5:14" x14ac:dyDescent="0.25">
      <c r="E1258" s="136">
        <v>201712</v>
      </c>
      <c r="F1258" s="138" t="s">
        <v>563</v>
      </c>
      <c r="G1258" s="138" t="s">
        <v>365</v>
      </c>
      <c r="H1258" s="138" t="s">
        <v>367</v>
      </c>
      <c r="I1258" s="139">
        <v>0</v>
      </c>
      <c r="K1258" s="96" t="str">
        <f t="shared" si="49"/>
        <v>0003-1001-0022</v>
      </c>
      <c r="L1258" s="96" t="str">
        <f>VLOOKUP(K1258,COA!$A$3:$B$337,2,FALSE)</f>
        <v>V54</v>
      </c>
      <c r="M1258" s="96" t="str">
        <f t="shared" si="50"/>
        <v>V54</v>
      </c>
      <c r="N1258" s="96" t="str">
        <f>VLOOKUP(M1258,CAC!$A$2:$B$198,2,FALSE)</f>
        <v>PPOIFP</v>
      </c>
    </row>
    <row r="1259" spans="5:14" x14ac:dyDescent="0.25">
      <c r="E1259" s="136">
        <v>201606</v>
      </c>
      <c r="F1259" s="138" t="s">
        <v>563</v>
      </c>
      <c r="G1259" s="138" t="s">
        <v>348</v>
      </c>
      <c r="H1259" s="138" t="s">
        <v>358</v>
      </c>
      <c r="I1259" s="139">
        <v>0</v>
      </c>
      <c r="K1259" s="96" t="str">
        <f t="shared" si="49"/>
        <v>0003-1010-0024</v>
      </c>
      <c r="L1259" s="96" t="str">
        <f>VLOOKUP(K1259,COA!$A$3:$B$337,2,FALSE)</f>
        <v>S56</v>
      </c>
      <c r="M1259" s="96" t="str">
        <f t="shared" si="50"/>
        <v>S56</v>
      </c>
      <c r="N1259" s="96" t="str">
        <f>VLOOKUP(M1259,CAC!$A$2:$B$198,2,FALSE)</f>
        <v>PPOSG</v>
      </c>
    </row>
    <row r="1260" spans="5:14" x14ac:dyDescent="0.25">
      <c r="E1260" s="136">
        <v>201502</v>
      </c>
      <c r="F1260" s="138" t="s">
        <v>563</v>
      </c>
      <c r="G1260" s="138" t="s">
        <v>365</v>
      </c>
      <c r="H1260" s="138" t="s">
        <v>344</v>
      </c>
      <c r="I1260" s="139">
        <v>0</v>
      </c>
      <c r="K1260" s="96" t="str">
        <f t="shared" si="49"/>
        <v>0003-1001-0012</v>
      </c>
      <c r="L1260" s="96" t="str">
        <f>VLOOKUP(K1260,COA!$A$3:$B$337,2,FALSE)</f>
        <v>V51</v>
      </c>
      <c r="M1260" s="96" t="str">
        <f t="shared" si="50"/>
        <v>V51</v>
      </c>
      <c r="N1260" s="96" t="str">
        <f>VLOOKUP(M1260,CAC!$A$2:$B$198,2,FALSE)</f>
        <v>PPOIFP</v>
      </c>
    </row>
    <row r="1261" spans="5:14" x14ac:dyDescent="0.25">
      <c r="E1261" s="136">
        <v>201607</v>
      </c>
      <c r="F1261" s="138" t="s">
        <v>344</v>
      </c>
      <c r="G1261" s="138" t="s">
        <v>359</v>
      </c>
      <c r="H1261" s="138" t="s">
        <v>344</v>
      </c>
      <c r="I1261" s="139">
        <v>138</v>
      </c>
      <c r="K1261" s="96" t="str">
        <f t="shared" si="49"/>
        <v>0012-1005-0012</v>
      </c>
      <c r="L1261" s="96" t="str">
        <f>VLOOKUP(K1261,COA!$A$3:$B$337,2,FALSE)</f>
        <v>N13</v>
      </c>
      <c r="M1261" s="96" t="str">
        <f t="shared" si="50"/>
        <v>N13</v>
      </c>
      <c r="N1261" s="96" t="str">
        <f>VLOOKUP(M1261,CAC!$A$2:$B$198,2,FALSE)</f>
        <v>HMOLG</v>
      </c>
    </row>
    <row r="1262" spans="5:14" x14ac:dyDescent="0.25">
      <c r="E1262" s="136">
        <v>201606</v>
      </c>
      <c r="F1262" s="138" t="s">
        <v>345</v>
      </c>
      <c r="G1262" s="138" t="s">
        <v>352</v>
      </c>
      <c r="H1262" s="138" t="s">
        <v>344</v>
      </c>
      <c r="I1262" s="139">
        <v>13384.38</v>
      </c>
      <c r="K1262" s="96" t="str">
        <f t="shared" si="49"/>
        <v>0011-1004-0012</v>
      </c>
      <c r="L1262" s="96" t="str">
        <f>VLOOKUP(K1262,COA!$A$3:$B$337,2,FALSE)</f>
        <v>L11</v>
      </c>
      <c r="M1262" s="96" t="str">
        <f t="shared" si="50"/>
        <v>L11</v>
      </c>
      <c r="N1262" s="96" t="str">
        <f>VLOOKUP(M1262,CAC!$A$2:$B$198,2,FALSE)</f>
        <v>HMOLG</v>
      </c>
    </row>
    <row r="1263" spans="5:14" x14ac:dyDescent="0.25">
      <c r="E1263" s="136">
        <v>201704</v>
      </c>
      <c r="F1263" s="138" t="s">
        <v>345</v>
      </c>
      <c r="G1263" s="138" t="s">
        <v>348</v>
      </c>
      <c r="H1263" s="138" t="s">
        <v>353</v>
      </c>
      <c r="I1263" s="139">
        <v>351</v>
      </c>
      <c r="K1263" s="96" t="str">
        <f t="shared" si="49"/>
        <v>0011-1010-0023</v>
      </c>
      <c r="L1263" s="96" t="str">
        <f>VLOOKUP(K1263,COA!$A$3:$B$337,2,FALSE)</f>
        <v>S13</v>
      </c>
      <c r="M1263" s="96" t="str">
        <f t="shared" si="50"/>
        <v>S13</v>
      </c>
      <c r="N1263" s="96" t="str">
        <f>VLOOKUP(M1263,CAC!$A$2:$B$198,2,FALSE)</f>
        <v>HMOSG</v>
      </c>
    </row>
    <row r="1264" spans="5:14" x14ac:dyDescent="0.25">
      <c r="E1264" s="136">
        <v>201505</v>
      </c>
      <c r="F1264" s="138" t="s">
        <v>746</v>
      </c>
      <c r="G1264" s="138" t="s">
        <v>361</v>
      </c>
      <c r="H1264" s="138" t="s">
        <v>344</v>
      </c>
      <c r="I1264" s="139">
        <v>447</v>
      </c>
      <c r="K1264" s="96" t="str">
        <f t="shared" si="49"/>
        <v>0016-1003-0012</v>
      </c>
      <c r="L1264" s="96" t="str">
        <f>VLOOKUP(K1264,COA!$A$3:$B$337,2,FALSE)</f>
        <v>R18</v>
      </c>
      <c r="M1264" s="96" t="str">
        <f t="shared" si="50"/>
        <v>R18</v>
      </c>
      <c r="N1264" s="96" t="str">
        <f>VLOOKUP(M1264,CAC!$A$2:$B$198,2,FALSE)</f>
        <v>HMOMG</v>
      </c>
    </row>
    <row r="1265" spans="5:14" x14ac:dyDescent="0.25">
      <c r="E1265" s="136">
        <v>201607</v>
      </c>
      <c r="F1265" s="138" t="s">
        <v>746</v>
      </c>
      <c r="G1265" s="138" t="s">
        <v>354</v>
      </c>
      <c r="H1265" s="138" t="s">
        <v>344</v>
      </c>
      <c r="I1265" s="139">
        <v>80</v>
      </c>
      <c r="K1265" s="96" t="str">
        <f t="shared" si="49"/>
        <v>0016-1013-0012</v>
      </c>
      <c r="L1265" s="96" t="str">
        <f>VLOOKUP(K1265,COA!$A$3:$B$337,2,FALSE)</f>
        <v>R19</v>
      </c>
      <c r="M1265" s="96" t="str">
        <f t="shared" si="50"/>
        <v>R19</v>
      </c>
      <c r="N1265" s="96" t="str">
        <f>VLOOKUP(M1265,CAC!$A$2:$B$198,2,FALSE)</f>
        <v>HMOMG</v>
      </c>
    </row>
    <row r="1266" spans="5:14" x14ac:dyDescent="0.25">
      <c r="E1266" s="136">
        <v>201712</v>
      </c>
      <c r="F1266" s="138" t="s">
        <v>345</v>
      </c>
      <c r="G1266" s="138" t="s">
        <v>348</v>
      </c>
      <c r="H1266" s="138" t="s">
        <v>358</v>
      </c>
      <c r="I1266" s="139">
        <v>336</v>
      </c>
      <c r="K1266" s="96" t="str">
        <f t="shared" si="49"/>
        <v>0011-1010-0024</v>
      </c>
      <c r="L1266" s="96" t="str">
        <f>VLOOKUP(K1266,COA!$A$3:$B$337,2,FALSE)</f>
        <v>S14</v>
      </c>
      <c r="M1266" s="96" t="str">
        <f t="shared" si="50"/>
        <v>S14</v>
      </c>
      <c r="N1266" s="96" t="str">
        <f>VLOOKUP(M1266,CAC!$A$2:$B$198,2,FALSE)</f>
        <v>HMOSG</v>
      </c>
    </row>
    <row r="1267" spans="5:14" x14ac:dyDescent="0.25">
      <c r="E1267" s="136">
        <v>201712</v>
      </c>
      <c r="F1267" s="138" t="s">
        <v>413</v>
      </c>
      <c r="G1267" s="138" t="s">
        <v>355</v>
      </c>
      <c r="H1267" s="138" t="s">
        <v>344</v>
      </c>
      <c r="I1267" s="139">
        <v>0</v>
      </c>
      <c r="K1267" s="96" t="str">
        <f t="shared" si="49"/>
        <v>0008-1006-0012</v>
      </c>
      <c r="L1267" s="96" t="str">
        <f>VLOOKUP(K1267,COA!$A$3:$B$337,2,FALSE)</f>
        <v>C96</v>
      </c>
      <c r="M1267" s="96" t="str">
        <f t="shared" si="50"/>
        <v>C96</v>
      </c>
      <c r="N1267" s="96" t="str">
        <f>VLOOKUP(M1267,CAC!$A$2:$B$198,2,FALSE)</f>
        <v>DOILG</v>
      </c>
    </row>
    <row r="1268" spans="5:14" x14ac:dyDescent="0.25">
      <c r="E1268" s="136">
        <v>201704</v>
      </c>
      <c r="F1268" s="138" t="s">
        <v>345</v>
      </c>
      <c r="G1268" s="138" t="s">
        <v>354</v>
      </c>
      <c r="H1268" s="138" t="s">
        <v>368</v>
      </c>
      <c r="I1268" s="139">
        <v>1</v>
      </c>
      <c r="K1268" s="96" t="str">
        <f t="shared" si="49"/>
        <v>0011-1013-0056</v>
      </c>
      <c r="L1268" s="96" t="str">
        <f>VLOOKUP(K1268,COA!$A$3:$B$337,2,FALSE)</f>
        <v>N20</v>
      </c>
      <c r="M1268" s="96" t="str">
        <f t="shared" si="50"/>
        <v>N20</v>
      </c>
      <c r="N1268" s="96" t="str">
        <f>VLOOKUP(M1268,CAC!$A$2:$B$198,2,FALSE)</f>
        <v>HMOPMR</v>
      </c>
    </row>
    <row r="1269" spans="5:14" x14ac:dyDescent="0.25">
      <c r="E1269" s="136">
        <v>201707</v>
      </c>
      <c r="F1269" s="138" t="s">
        <v>345</v>
      </c>
      <c r="G1269" s="138" t="s">
        <v>354</v>
      </c>
      <c r="H1269" s="138" t="s">
        <v>360</v>
      </c>
      <c r="I1269" s="139">
        <v>5097</v>
      </c>
      <c r="K1269" s="96" t="str">
        <f t="shared" si="49"/>
        <v>0011-1013-0048</v>
      </c>
      <c r="L1269" s="96" t="str">
        <f>VLOOKUP(K1269,COA!$A$3:$B$337,2,FALSE)</f>
        <v>N21</v>
      </c>
      <c r="M1269" s="96" t="str">
        <f t="shared" si="50"/>
        <v>N21</v>
      </c>
      <c r="N1269" s="96" t="str">
        <f>VLOOKUP(M1269,CAC!$A$2:$B$198,2,FALSE)</f>
        <v>HMFLEX</v>
      </c>
    </row>
    <row r="1270" spans="5:14" x14ac:dyDescent="0.25">
      <c r="E1270" s="136">
        <v>201610</v>
      </c>
      <c r="F1270" s="138" t="s">
        <v>345</v>
      </c>
      <c r="G1270" s="138" t="s">
        <v>350</v>
      </c>
      <c r="H1270" s="138" t="s">
        <v>357</v>
      </c>
      <c r="I1270" s="139">
        <v>1955.49</v>
      </c>
      <c r="K1270" s="96" t="str">
        <f t="shared" si="49"/>
        <v>0011-1012-0038</v>
      </c>
      <c r="L1270" s="96" t="str">
        <f>VLOOKUP(K1270,COA!$A$3:$B$337,2,FALSE)</f>
        <v>K14</v>
      </c>
      <c r="M1270" s="96" t="str">
        <f t="shared" si="50"/>
        <v>K14</v>
      </c>
      <c r="N1270" s="96" t="str">
        <f>VLOOKUP(M1270,CAC!$A$2:$B$198,2,FALSE)</f>
        <v>HMOPMR</v>
      </c>
    </row>
    <row r="1271" spans="5:14" x14ac:dyDescent="0.25">
      <c r="E1271" s="136">
        <v>201504</v>
      </c>
      <c r="F1271" s="138" t="s">
        <v>563</v>
      </c>
      <c r="G1271" s="138" t="s">
        <v>356</v>
      </c>
      <c r="H1271" s="138" t="s">
        <v>344</v>
      </c>
      <c r="I1271" s="139">
        <v>0</v>
      </c>
      <c r="K1271" s="96" t="str">
        <f t="shared" si="49"/>
        <v>0003-1002-0012</v>
      </c>
      <c r="L1271" s="96" t="str">
        <f>VLOOKUP(K1271,COA!$A$3:$B$337,2,FALSE)</f>
        <v>F61</v>
      </c>
      <c r="M1271" s="96" t="str">
        <f t="shared" si="50"/>
        <v>F61</v>
      </c>
      <c r="N1271" s="96" t="str">
        <f>VLOOKUP(M1271,CAC!$A$2:$B$198,2,FALSE)</f>
        <v>PPOPMR</v>
      </c>
    </row>
    <row r="1272" spans="5:14" x14ac:dyDescent="0.25">
      <c r="E1272" s="136">
        <v>201711</v>
      </c>
      <c r="F1272" s="138" t="s">
        <v>563</v>
      </c>
      <c r="G1272" s="138" t="s">
        <v>352</v>
      </c>
      <c r="H1272" s="138" t="s">
        <v>344</v>
      </c>
      <c r="I1272" s="139">
        <v>0</v>
      </c>
      <c r="K1272" s="96" t="str">
        <f t="shared" si="49"/>
        <v>0003-1004-0012</v>
      </c>
      <c r="L1272" s="96" t="str">
        <f>VLOOKUP(K1272,COA!$A$3:$B$337,2,FALSE)</f>
        <v>L51</v>
      </c>
      <c r="M1272" s="96" t="str">
        <f t="shared" si="50"/>
        <v>L51</v>
      </c>
      <c r="N1272" s="96" t="str">
        <f>VLOOKUP(M1272,CAC!$A$2:$B$198,2,FALSE)</f>
        <v>PPOLG</v>
      </c>
    </row>
    <row r="1273" spans="5:14" x14ac:dyDescent="0.25">
      <c r="E1273" s="136">
        <v>201612</v>
      </c>
      <c r="F1273" s="138" t="s">
        <v>746</v>
      </c>
      <c r="G1273" s="138" t="s">
        <v>350</v>
      </c>
      <c r="H1273" s="138" t="s">
        <v>344</v>
      </c>
      <c r="I1273" s="139">
        <v>61</v>
      </c>
      <c r="K1273" s="96" t="str">
        <f t="shared" si="49"/>
        <v>0016-1012-0012</v>
      </c>
      <c r="L1273" s="96" t="str">
        <f>VLOOKUP(K1273,COA!$A$3:$B$337,2,FALSE)</f>
        <v>R19</v>
      </c>
      <c r="M1273" s="96" t="str">
        <f t="shared" si="50"/>
        <v>R19</v>
      </c>
      <c r="N1273" s="96" t="str">
        <f>VLOOKUP(M1273,CAC!$A$2:$B$198,2,FALSE)</f>
        <v>HMOMG</v>
      </c>
    </row>
    <row r="1274" spans="5:14" x14ac:dyDescent="0.25">
      <c r="E1274" s="136">
        <v>201707</v>
      </c>
      <c r="F1274" s="138" t="s">
        <v>345</v>
      </c>
      <c r="G1274" s="138" t="s">
        <v>365</v>
      </c>
      <c r="H1274" s="138" t="s">
        <v>366</v>
      </c>
      <c r="I1274" s="139">
        <v>1315.27</v>
      </c>
      <c r="K1274" s="96" t="str">
        <f t="shared" si="49"/>
        <v>0011-1001-0021</v>
      </c>
      <c r="L1274" s="96" t="str">
        <f>VLOOKUP(K1274,COA!$A$3:$B$337,2,FALSE)</f>
        <v>V13</v>
      </c>
      <c r="M1274" s="96" t="str">
        <f t="shared" si="50"/>
        <v>V13</v>
      </c>
      <c r="N1274" s="96" t="str">
        <f>VLOOKUP(M1274,CAC!$A$2:$B$198,2,FALSE)</f>
        <v>HMOIFP</v>
      </c>
    </row>
    <row r="1275" spans="5:14" x14ac:dyDescent="0.25">
      <c r="E1275" s="136">
        <v>201512</v>
      </c>
      <c r="F1275" s="138" t="s">
        <v>413</v>
      </c>
      <c r="G1275" s="138" t="s">
        <v>359</v>
      </c>
      <c r="H1275" s="138" t="s">
        <v>344</v>
      </c>
      <c r="I1275" s="139">
        <v>0</v>
      </c>
      <c r="K1275" s="96" t="str">
        <f t="shared" si="49"/>
        <v>0008-1005-0012</v>
      </c>
      <c r="L1275" s="96" t="str">
        <f>VLOOKUP(K1275,COA!$A$3:$B$337,2,FALSE)</f>
        <v>C73</v>
      </c>
      <c r="M1275" s="96" t="str">
        <f t="shared" si="50"/>
        <v>C73</v>
      </c>
      <c r="N1275" s="96" t="str">
        <f>VLOOKUP(M1275,CAC!$A$2:$B$198,2,FALSE)</f>
        <v>DOILG</v>
      </c>
    </row>
    <row r="1276" spans="5:14" x14ac:dyDescent="0.25">
      <c r="E1276" s="136">
        <v>201702</v>
      </c>
      <c r="F1276" s="138" t="s">
        <v>563</v>
      </c>
      <c r="G1276" s="138" t="s">
        <v>350</v>
      </c>
      <c r="H1276" s="138" t="s">
        <v>626</v>
      </c>
      <c r="I1276" s="139">
        <v>0</v>
      </c>
      <c r="K1276" s="96" t="str">
        <f t="shared" si="49"/>
        <v>0003-1012-0057</v>
      </c>
      <c r="L1276" s="96" t="str">
        <f>VLOOKUP(K1276,COA!$A$3:$B$337,2,FALSE)</f>
        <v>K51</v>
      </c>
      <c r="M1276" s="96" t="str">
        <f t="shared" si="50"/>
        <v>K51</v>
      </c>
      <c r="N1276" s="96" t="str">
        <f>VLOOKUP(M1276,CAC!$A$2:$B$198,2,FALSE)</f>
        <v>PPOPMR</v>
      </c>
    </row>
    <row r="1277" spans="5:14" x14ac:dyDescent="0.25">
      <c r="E1277" s="136">
        <v>201610</v>
      </c>
      <c r="F1277" s="138" t="s">
        <v>345</v>
      </c>
      <c r="G1277" s="138" t="s">
        <v>355</v>
      </c>
      <c r="H1277" s="138" t="s">
        <v>344</v>
      </c>
      <c r="I1277" s="139">
        <v>20950.689999999999</v>
      </c>
      <c r="K1277" s="96" t="str">
        <f t="shared" si="49"/>
        <v>0011-1006-0012</v>
      </c>
      <c r="L1277" s="96" t="str">
        <f>VLOOKUP(K1277,COA!$A$3:$B$337,2,FALSE)</f>
        <v>L13</v>
      </c>
      <c r="M1277" s="96" t="str">
        <f t="shared" si="50"/>
        <v>L13</v>
      </c>
      <c r="N1277" s="96" t="str">
        <f>VLOOKUP(M1277,CAC!$A$2:$B$198,2,FALSE)</f>
        <v>HMOLG</v>
      </c>
    </row>
    <row r="1278" spans="5:14" x14ac:dyDescent="0.25">
      <c r="E1278" s="136">
        <v>201602</v>
      </c>
      <c r="F1278" s="138" t="s">
        <v>345</v>
      </c>
      <c r="G1278" s="138" t="s">
        <v>359</v>
      </c>
      <c r="H1278" s="138" t="s">
        <v>344</v>
      </c>
      <c r="I1278" s="139">
        <v>3918.38</v>
      </c>
      <c r="K1278" s="96" t="str">
        <f t="shared" si="49"/>
        <v>0011-1005-0012</v>
      </c>
      <c r="L1278" s="96" t="str">
        <f>VLOOKUP(K1278,COA!$A$3:$B$337,2,FALSE)</f>
        <v>N11</v>
      </c>
      <c r="M1278" s="96" t="str">
        <f t="shared" si="50"/>
        <v>N11</v>
      </c>
      <c r="N1278" s="96" t="str">
        <f>VLOOKUP(M1278,CAC!$A$2:$B$198,2,FALSE)</f>
        <v>HMOLG</v>
      </c>
    </row>
    <row r="1279" spans="5:14" x14ac:dyDescent="0.25">
      <c r="E1279" s="136">
        <v>201701</v>
      </c>
      <c r="F1279" s="138" t="s">
        <v>345</v>
      </c>
      <c r="G1279" s="138" t="s">
        <v>350</v>
      </c>
      <c r="H1279" s="138" t="s">
        <v>344</v>
      </c>
      <c r="I1279" s="139">
        <v>16451.009999999998</v>
      </c>
      <c r="K1279" s="96" t="str">
        <f t="shared" si="49"/>
        <v>0011-1012-0012</v>
      </c>
      <c r="L1279" s="96" t="str">
        <f>VLOOKUP(K1279,COA!$A$3:$B$337,2,FALSE)</f>
        <v>K11</v>
      </c>
      <c r="M1279" s="96" t="str">
        <f t="shared" si="50"/>
        <v>K11</v>
      </c>
      <c r="N1279" s="96" t="str">
        <f>VLOOKUP(M1279,CAC!$A$2:$B$198,2,FALSE)</f>
        <v>HMOPMR</v>
      </c>
    </row>
    <row r="1280" spans="5:14" x14ac:dyDescent="0.25">
      <c r="E1280" s="136">
        <v>201508</v>
      </c>
      <c r="F1280" s="138" t="s">
        <v>413</v>
      </c>
      <c r="G1280" s="138" t="s">
        <v>355</v>
      </c>
      <c r="H1280" s="138" t="s">
        <v>344</v>
      </c>
      <c r="I1280" s="139">
        <v>0</v>
      </c>
      <c r="K1280" s="96" t="str">
        <f t="shared" si="49"/>
        <v>0008-1006-0012</v>
      </c>
      <c r="L1280" s="96" t="str">
        <f>VLOOKUP(K1280,COA!$A$3:$B$337,2,FALSE)</f>
        <v>C96</v>
      </c>
      <c r="M1280" s="96" t="str">
        <f t="shared" si="50"/>
        <v>C96</v>
      </c>
      <c r="N1280" s="96" t="str">
        <f>VLOOKUP(M1280,CAC!$A$2:$B$198,2,FALSE)</f>
        <v>DOILG</v>
      </c>
    </row>
    <row r="1281" spans="5:14" x14ac:dyDescent="0.25">
      <c r="E1281" s="136">
        <v>201608</v>
      </c>
      <c r="F1281" s="138" t="s">
        <v>349</v>
      </c>
      <c r="G1281" s="138" t="s">
        <v>369</v>
      </c>
      <c r="H1281" s="138" t="s">
        <v>764</v>
      </c>
      <c r="I1281" s="139">
        <v>3</v>
      </c>
      <c r="K1281" s="96" t="str">
        <f t="shared" si="49"/>
        <v>0017-1009-0064</v>
      </c>
      <c r="L1281" s="96" t="str">
        <f>VLOOKUP(K1281,COA!$A$3:$B$337,2,FALSE)</f>
        <v>R15</v>
      </c>
      <c r="M1281" s="96" t="str">
        <f t="shared" si="50"/>
        <v>R15</v>
      </c>
      <c r="N1281" s="96" t="str">
        <f>VLOOKUP(M1281,CAC!$A$2:$B$198,2,FALSE)</f>
        <v>HMOMM</v>
      </c>
    </row>
    <row r="1282" spans="5:14" x14ac:dyDescent="0.25">
      <c r="E1282" s="136">
        <v>201705</v>
      </c>
      <c r="F1282" s="138" t="s">
        <v>413</v>
      </c>
      <c r="G1282" s="138" t="s">
        <v>355</v>
      </c>
      <c r="H1282" s="138" t="s">
        <v>344</v>
      </c>
      <c r="I1282" s="139">
        <v>0</v>
      </c>
      <c r="K1282" s="96" t="str">
        <f t="shared" si="49"/>
        <v>0008-1006-0012</v>
      </c>
      <c r="L1282" s="96" t="str">
        <f>VLOOKUP(K1282,COA!$A$3:$B$337,2,FALSE)</f>
        <v>C96</v>
      </c>
      <c r="M1282" s="96" t="str">
        <f t="shared" si="50"/>
        <v>C96</v>
      </c>
      <c r="N1282" s="96" t="str">
        <f>VLOOKUP(M1282,CAC!$A$2:$B$198,2,FALSE)</f>
        <v>DOILG</v>
      </c>
    </row>
    <row r="1283" spans="5:14" x14ac:dyDescent="0.25">
      <c r="E1283" s="136">
        <v>201509</v>
      </c>
      <c r="F1283" s="138" t="s">
        <v>413</v>
      </c>
      <c r="G1283" s="138" t="s">
        <v>365</v>
      </c>
      <c r="H1283" s="138" t="s">
        <v>344</v>
      </c>
      <c r="I1283" s="139">
        <v>0</v>
      </c>
      <c r="K1283" s="96" t="str">
        <f t="shared" ref="K1283:K1346" si="51">F1283&amp;"-"&amp;G1283&amp;"-"&amp;H1283</f>
        <v>0008-1001-0012</v>
      </c>
      <c r="L1283" s="96" t="str">
        <f>VLOOKUP(K1283,COA!$A$3:$B$337,2,FALSE)</f>
        <v>C95</v>
      </c>
      <c r="M1283" s="96" t="str">
        <f t="shared" si="50"/>
        <v>C95</v>
      </c>
      <c r="N1283" s="96" t="str">
        <f>VLOOKUP(M1283,CAC!$A$2:$B$198,2,FALSE)</f>
        <v>DOIIFP</v>
      </c>
    </row>
    <row r="1284" spans="5:14" x14ac:dyDescent="0.25">
      <c r="E1284" s="136">
        <v>201505</v>
      </c>
      <c r="F1284" s="138" t="s">
        <v>563</v>
      </c>
      <c r="G1284" s="138" t="s">
        <v>365</v>
      </c>
      <c r="H1284" s="138" t="s">
        <v>344</v>
      </c>
      <c r="I1284" s="139">
        <v>0</v>
      </c>
      <c r="K1284" s="96" t="str">
        <f t="shared" si="51"/>
        <v>0003-1001-0012</v>
      </c>
      <c r="L1284" s="96" t="str">
        <f>VLOOKUP(K1284,COA!$A$3:$B$337,2,FALSE)</f>
        <v>V51</v>
      </c>
      <c r="M1284" s="96" t="str">
        <f t="shared" ref="M1284:M1347" si="52">IF(ISNA(L1284),"XXX",L1284)</f>
        <v>V51</v>
      </c>
      <c r="N1284" s="96" t="str">
        <f>VLOOKUP(M1284,CAC!$A$2:$B$198,2,FALSE)</f>
        <v>PPOIFP</v>
      </c>
    </row>
    <row r="1285" spans="5:14" x14ac:dyDescent="0.25">
      <c r="E1285" s="136">
        <v>201603</v>
      </c>
      <c r="F1285" s="138" t="s">
        <v>413</v>
      </c>
      <c r="G1285" s="138" t="s">
        <v>356</v>
      </c>
      <c r="H1285" s="138" t="s">
        <v>344</v>
      </c>
      <c r="I1285" s="139">
        <v>0</v>
      </c>
      <c r="K1285" s="96" t="str">
        <f t="shared" si="51"/>
        <v>0008-1002-0012</v>
      </c>
      <c r="L1285" s="96" t="str">
        <f>VLOOKUP(K1285,COA!$A$3:$B$337,2,FALSE)</f>
        <v>C74</v>
      </c>
      <c r="M1285" s="96" t="str">
        <f t="shared" si="52"/>
        <v>C74</v>
      </c>
      <c r="N1285" s="96" t="str">
        <f>VLOOKUP(M1285,CAC!$A$2:$B$198,2,FALSE)</f>
        <v>DOILG</v>
      </c>
    </row>
    <row r="1286" spans="5:14" x14ac:dyDescent="0.25">
      <c r="E1286" s="136">
        <v>201503</v>
      </c>
      <c r="F1286" s="138" t="s">
        <v>413</v>
      </c>
      <c r="G1286" s="138" t="s">
        <v>359</v>
      </c>
      <c r="H1286" s="138" t="s">
        <v>344</v>
      </c>
      <c r="I1286" s="139">
        <v>0</v>
      </c>
      <c r="K1286" s="96" t="str">
        <f t="shared" si="51"/>
        <v>0008-1005-0012</v>
      </c>
      <c r="L1286" s="96" t="str">
        <f>VLOOKUP(K1286,COA!$A$3:$B$337,2,FALSE)</f>
        <v>C73</v>
      </c>
      <c r="M1286" s="96" t="str">
        <f t="shared" si="52"/>
        <v>C73</v>
      </c>
      <c r="N1286" s="96" t="str">
        <f>VLOOKUP(M1286,CAC!$A$2:$B$198,2,FALSE)</f>
        <v>DOILG</v>
      </c>
    </row>
    <row r="1287" spans="5:14" x14ac:dyDescent="0.25">
      <c r="E1287" s="136">
        <v>201609</v>
      </c>
      <c r="F1287" s="138" t="s">
        <v>413</v>
      </c>
      <c r="G1287" s="138" t="s">
        <v>365</v>
      </c>
      <c r="H1287" s="138" t="s">
        <v>344</v>
      </c>
      <c r="I1287" s="139">
        <v>0</v>
      </c>
      <c r="K1287" s="96" t="str">
        <f t="shared" si="51"/>
        <v>0008-1001-0012</v>
      </c>
      <c r="L1287" s="96" t="str">
        <f>VLOOKUP(K1287,COA!$A$3:$B$337,2,FALSE)</f>
        <v>C95</v>
      </c>
      <c r="M1287" s="96" t="str">
        <f t="shared" si="52"/>
        <v>C95</v>
      </c>
      <c r="N1287" s="96" t="str">
        <f>VLOOKUP(M1287,CAC!$A$2:$B$198,2,FALSE)</f>
        <v>DOIIFP</v>
      </c>
    </row>
    <row r="1288" spans="5:14" x14ac:dyDescent="0.25">
      <c r="E1288" s="136">
        <v>201610</v>
      </c>
      <c r="F1288" s="138" t="s">
        <v>345</v>
      </c>
      <c r="G1288" s="138" t="s">
        <v>361</v>
      </c>
      <c r="H1288" s="138" t="s">
        <v>344</v>
      </c>
      <c r="I1288" s="139">
        <v>4159.9399999999996</v>
      </c>
      <c r="K1288" s="96" t="str">
        <f t="shared" si="51"/>
        <v>0011-1003-0012</v>
      </c>
      <c r="L1288" s="96" t="str">
        <f>VLOOKUP(K1288,COA!$A$3:$B$337,2,FALSE)</f>
        <v>N16</v>
      </c>
      <c r="M1288" s="96" t="str">
        <f t="shared" si="52"/>
        <v>N16</v>
      </c>
      <c r="N1288" s="96" t="str">
        <f>VLOOKUP(M1288,CAC!$A$2:$B$198,2,FALSE)</f>
        <v>HMOPMR</v>
      </c>
    </row>
    <row r="1289" spans="5:14" x14ac:dyDescent="0.25">
      <c r="E1289" s="136">
        <v>201611</v>
      </c>
      <c r="F1289" s="138" t="s">
        <v>506</v>
      </c>
      <c r="G1289" s="138" t="s">
        <v>350</v>
      </c>
      <c r="H1289" s="138" t="s">
        <v>592</v>
      </c>
      <c r="I1289" s="139">
        <v>0</v>
      </c>
      <c r="K1289" s="96" t="str">
        <f t="shared" si="51"/>
        <v>0013-1012-0035</v>
      </c>
      <c r="L1289" s="96" t="str">
        <f>VLOOKUP(K1289,COA!$A$3:$B$337,2,FALSE)</f>
        <v>K41</v>
      </c>
      <c r="M1289" s="96" t="str">
        <f t="shared" si="52"/>
        <v>K41</v>
      </c>
      <c r="N1289" s="96" t="e">
        <f>VLOOKUP(M1289,CAC!$A$2:$B$198,2,FALSE)</f>
        <v>#N/A</v>
      </c>
    </row>
    <row r="1290" spans="5:14" x14ac:dyDescent="0.25">
      <c r="E1290" s="136">
        <v>201509</v>
      </c>
      <c r="F1290" s="138" t="s">
        <v>413</v>
      </c>
      <c r="G1290" s="138" t="s">
        <v>355</v>
      </c>
      <c r="H1290" s="138" t="s">
        <v>344</v>
      </c>
      <c r="I1290" s="139">
        <v>0</v>
      </c>
      <c r="K1290" s="96" t="str">
        <f t="shared" si="51"/>
        <v>0008-1006-0012</v>
      </c>
      <c r="L1290" s="96" t="str">
        <f>VLOOKUP(K1290,COA!$A$3:$B$337,2,FALSE)</f>
        <v>C96</v>
      </c>
      <c r="M1290" s="96" t="str">
        <f t="shared" si="52"/>
        <v>C96</v>
      </c>
      <c r="N1290" s="96" t="str">
        <f>VLOOKUP(M1290,CAC!$A$2:$B$198,2,FALSE)</f>
        <v>DOILG</v>
      </c>
    </row>
    <row r="1291" spans="5:14" x14ac:dyDescent="0.25">
      <c r="E1291" s="136">
        <v>201703</v>
      </c>
      <c r="F1291" s="138" t="s">
        <v>563</v>
      </c>
      <c r="G1291" s="138" t="s">
        <v>350</v>
      </c>
      <c r="H1291" s="138" t="s">
        <v>344</v>
      </c>
      <c r="I1291" s="139">
        <v>0</v>
      </c>
      <c r="K1291" s="96" t="str">
        <f t="shared" si="51"/>
        <v>0003-1012-0012</v>
      </c>
      <c r="L1291" s="96" t="str">
        <f>VLOOKUP(K1291,COA!$A$3:$B$337,2,FALSE)</f>
        <v>K51</v>
      </c>
      <c r="M1291" s="96" t="str">
        <f t="shared" si="52"/>
        <v>K51</v>
      </c>
      <c r="N1291" s="96" t="str">
        <f>VLOOKUP(M1291,CAC!$A$2:$B$198,2,FALSE)</f>
        <v>PPOPMR</v>
      </c>
    </row>
    <row r="1292" spans="5:14" x14ac:dyDescent="0.25">
      <c r="E1292" s="136">
        <v>201608</v>
      </c>
      <c r="F1292" s="138" t="s">
        <v>413</v>
      </c>
      <c r="G1292" s="138" t="s">
        <v>359</v>
      </c>
      <c r="H1292" s="138" t="s">
        <v>344</v>
      </c>
      <c r="I1292" s="139">
        <v>0</v>
      </c>
      <c r="K1292" s="96" t="str">
        <f t="shared" si="51"/>
        <v>0008-1005-0012</v>
      </c>
      <c r="L1292" s="96" t="str">
        <f>VLOOKUP(K1292,COA!$A$3:$B$337,2,FALSE)</f>
        <v>C73</v>
      </c>
      <c r="M1292" s="96" t="str">
        <f t="shared" si="52"/>
        <v>C73</v>
      </c>
      <c r="N1292" s="96" t="str">
        <f>VLOOKUP(M1292,CAC!$A$2:$B$198,2,FALSE)</f>
        <v>DOILG</v>
      </c>
    </row>
    <row r="1293" spans="5:14" x14ac:dyDescent="0.25">
      <c r="E1293" s="136">
        <v>201507</v>
      </c>
      <c r="F1293" s="138" t="s">
        <v>405</v>
      </c>
      <c r="G1293" s="138" t="s">
        <v>362</v>
      </c>
      <c r="H1293" s="138" t="s">
        <v>342</v>
      </c>
      <c r="I1293" s="139">
        <v>0</v>
      </c>
      <c r="K1293" s="96" t="str">
        <f t="shared" si="51"/>
        <v>0019-1008-0031</v>
      </c>
      <c r="L1293" s="96" t="str">
        <f>VLOOKUP(K1293,COA!$A$3:$B$337,2,FALSE)</f>
        <v>P53</v>
      </c>
      <c r="M1293" s="96" t="str">
        <f t="shared" si="52"/>
        <v>P53</v>
      </c>
      <c r="N1293" s="96" t="str">
        <f>VLOOKUP(M1293,CAC!$A$2:$B$198,2,FALSE)</f>
        <v>HMOPERA</v>
      </c>
    </row>
    <row r="1294" spans="5:14" x14ac:dyDescent="0.25">
      <c r="E1294" s="136">
        <v>201507</v>
      </c>
      <c r="F1294" s="138" t="s">
        <v>345</v>
      </c>
      <c r="G1294" s="138" t="s">
        <v>351</v>
      </c>
      <c r="H1294" s="138" t="s">
        <v>349</v>
      </c>
      <c r="I1294" s="139">
        <v>1</v>
      </c>
      <c r="K1294" s="96" t="str">
        <f t="shared" si="51"/>
        <v>0011-0000-0017</v>
      </c>
      <c r="L1294" s="96" t="e">
        <f>VLOOKUP(K1294,COA!$A$3:$B$337,2,FALSE)</f>
        <v>#N/A</v>
      </c>
      <c r="M1294" s="96" t="str">
        <f t="shared" si="52"/>
        <v>XXX</v>
      </c>
      <c r="N1294" s="96" t="str">
        <f>VLOOKUP(M1294,CAC!$A$2:$B$198,2,FALSE)</f>
        <v>XXX</v>
      </c>
    </row>
    <row r="1295" spans="5:14" x14ac:dyDescent="0.25">
      <c r="E1295" s="136">
        <v>201708</v>
      </c>
      <c r="F1295" s="138" t="s">
        <v>345</v>
      </c>
      <c r="G1295" s="138" t="s">
        <v>350</v>
      </c>
      <c r="H1295" s="138" t="s">
        <v>344</v>
      </c>
      <c r="I1295" s="139">
        <v>17635.47</v>
      </c>
      <c r="K1295" s="96" t="str">
        <f t="shared" si="51"/>
        <v>0011-1012-0012</v>
      </c>
      <c r="L1295" s="96" t="str">
        <f>VLOOKUP(K1295,COA!$A$3:$B$337,2,FALSE)</f>
        <v>K11</v>
      </c>
      <c r="M1295" s="96" t="str">
        <f t="shared" si="52"/>
        <v>K11</v>
      </c>
      <c r="N1295" s="96" t="str">
        <f>VLOOKUP(M1295,CAC!$A$2:$B$198,2,FALSE)</f>
        <v>HMOPMR</v>
      </c>
    </row>
    <row r="1296" spans="5:14" x14ac:dyDescent="0.25">
      <c r="E1296" s="136">
        <v>201701</v>
      </c>
      <c r="F1296" s="138" t="s">
        <v>563</v>
      </c>
      <c r="G1296" s="138" t="s">
        <v>365</v>
      </c>
      <c r="H1296" s="138" t="s">
        <v>798</v>
      </c>
      <c r="I1296" s="139">
        <v>0</v>
      </c>
      <c r="K1296" s="96" t="str">
        <f t="shared" si="51"/>
        <v>0003-1001-0065</v>
      </c>
      <c r="L1296" s="96" t="str">
        <f>VLOOKUP(K1296,COA!$A$3:$B$337,2,FALSE)</f>
        <v>V55</v>
      </c>
      <c r="M1296" s="96" t="str">
        <f t="shared" si="52"/>
        <v>V55</v>
      </c>
      <c r="N1296" s="96" t="e">
        <f>VLOOKUP(M1296,CAC!$A$2:$B$198,2,FALSE)</f>
        <v>#N/A</v>
      </c>
    </row>
    <row r="1297" spans="5:14" x14ac:dyDescent="0.25">
      <c r="E1297" s="136">
        <v>201702</v>
      </c>
      <c r="F1297" s="138" t="s">
        <v>563</v>
      </c>
      <c r="G1297" s="138" t="s">
        <v>354</v>
      </c>
      <c r="H1297" s="138" t="s">
        <v>360</v>
      </c>
      <c r="I1297" s="139">
        <v>0</v>
      </c>
      <c r="K1297" s="96" t="str">
        <f t="shared" si="51"/>
        <v>0003-1013-0048</v>
      </c>
      <c r="L1297" s="96" t="str">
        <f>VLOOKUP(K1297,COA!$A$3:$B$337,2,FALSE)</f>
        <v>N56</v>
      </c>
      <c r="M1297" s="96" t="str">
        <f t="shared" si="52"/>
        <v>N56</v>
      </c>
      <c r="N1297" s="96" t="str">
        <f>VLOOKUP(M1297,CAC!$A$2:$B$198,2,FALSE)</f>
        <v>HMFLEX</v>
      </c>
    </row>
    <row r="1298" spans="5:14" x14ac:dyDescent="0.25">
      <c r="E1298" s="136">
        <v>201612</v>
      </c>
      <c r="F1298" s="138" t="s">
        <v>506</v>
      </c>
      <c r="G1298" s="138" t="s">
        <v>354</v>
      </c>
      <c r="H1298" s="138" t="s">
        <v>592</v>
      </c>
      <c r="I1298" s="139">
        <v>0</v>
      </c>
      <c r="K1298" s="96" t="str">
        <f t="shared" si="51"/>
        <v>0013-1013-0035</v>
      </c>
      <c r="L1298" s="96" t="str">
        <f>VLOOKUP(K1298,COA!$A$3:$B$337,2,FALSE)</f>
        <v>N44</v>
      </c>
      <c r="M1298" s="96" t="str">
        <f t="shared" si="52"/>
        <v>N44</v>
      </c>
      <c r="N1298" s="96" t="e">
        <f>VLOOKUP(M1298,CAC!$A$2:$B$198,2,FALSE)</f>
        <v>#N/A</v>
      </c>
    </row>
    <row r="1299" spans="5:14" x14ac:dyDescent="0.25">
      <c r="E1299" s="136">
        <v>201610</v>
      </c>
      <c r="F1299" s="138" t="s">
        <v>345</v>
      </c>
      <c r="G1299" s="138" t="s">
        <v>359</v>
      </c>
      <c r="H1299" s="138" t="s">
        <v>344</v>
      </c>
      <c r="I1299" s="139">
        <v>4071.94</v>
      </c>
      <c r="K1299" s="96" t="str">
        <f t="shared" si="51"/>
        <v>0011-1005-0012</v>
      </c>
      <c r="L1299" s="96" t="str">
        <f>VLOOKUP(K1299,COA!$A$3:$B$337,2,FALSE)</f>
        <v>N11</v>
      </c>
      <c r="M1299" s="96" t="str">
        <f t="shared" si="52"/>
        <v>N11</v>
      </c>
      <c r="N1299" s="96" t="str">
        <f>VLOOKUP(M1299,CAC!$A$2:$B$198,2,FALSE)</f>
        <v>HMOLG</v>
      </c>
    </row>
    <row r="1300" spans="5:14" x14ac:dyDescent="0.25">
      <c r="E1300" s="136">
        <v>201603</v>
      </c>
      <c r="F1300" s="138" t="s">
        <v>506</v>
      </c>
      <c r="G1300" s="138" t="s">
        <v>359</v>
      </c>
      <c r="H1300" s="138" t="s">
        <v>592</v>
      </c>
      <c r="I1300" s="139">
        <v>0</v>
      </c>
      <c r="K1300" s="96" t="str">
        <f t="shared" si="51"/>
        <v>0013-1005-0035</v>
      </c>
      <c r="L1300" s="96" t="str">
        <f>VLOOKUP(K1300,COA!$A$3:$B$337,2,FALSE)</f>
        <v>N41</v>
      </c>
      <c r="M1300" s="96" t="str">
        <f t="shared" si="52"/>
        <v>N41</v>
      </c>
      <c r="N1300" s="96" t="e">
        <f>VLOOKUP(M1300,CAC!$A$2:$B$198,2,FALSE)</f>
        <v>#N/A</v>
      </c>
    </row>
    <row r="1301" spans="5:14" x14ac:dyDescent="0.25">
      <c r="E1301" s="136">
        <v>201708</v>
      </c>
      <c r="F1301" s="138" t="s">
        <v>345</v>
      </c>
      <c r="G1301" s="138" t="s">
        <v>354</v>
      </c>
      <c r="H1301" s="138" t="s">
        <v>360</v>
      </c>
      <c r="I1301" s="139">
        <v>5114.55</v>
      </c>
      <c r="K1301" s="96" t="str">
        <f t="shared" si="51"/>
        <v>0011-1013-0048</v>
      </c>
      <c r="L1301" s="96" t="str">
        <f>VLOOKUP(K1301,COA!$A$3:$B$337,2,FALSE)</f>
        <v>N21</v>
      </c>
      <c r="M1301" s="96" t="str">
        <f t="shared" si="52"/>
        <v>N21</v>
      </c>
      <c r="N1301" s="96" t="str">
        <f>VLOOKUP(M1301,CAC!$A$2:$B$198,2,FALSE)</f>
        <v>HMFLEX</v>
      </c>
    </row>
    <row r="1302" spans="5:14" x14ac:dyDescent="0.25">
      <c r="E1302" s="136">
        <v>201512</v>
      </c>
      <c r="F1302" s="138" t="s">
        <v>345</v>
      </c>
      <c r="G1302" s="138" t="s">
        <v>362</v>
      </c>
      <c r="H1302" s="138" t="s">
        <v>370</v>
      </c>
      <c r="I1302" s="139">
        <v>2393</v>
      </c>
      <c r="K1302" s="96" t="str">
        <f t="shared" si="51"/>
        <v>0011-1008-0055</v>
      </c>
      <c r="L1302" s="96" t="str">
        <f>VLOOKUP(K1302,COA!$A$3:$B$337,2,FALSE)</f>
        <v>P28</v>
      </c>
      <c r="M1302" s="96" t="str">
        <f t="shared" si="52"/>
        <v>P28</v>
      </c>
      <c r="N1302" s="96" t="str">
        <f>VLOOKUP(M1302,CAC!$A$2:$B$198,2,FALSE)</f>
        <v>PERMEDN</v>
      </c>
    </row>
    <row r="1303" spans="5:14" x14ac:dyDescent="0.25">
      <c r="E1303" s="136">
        <v>201509</v>
      </c>
      <c r="F1303" s="138" t="s">
        <v>506</v>
      </c>
      <c r="G1303" s="138" t="s">
        <v>359</v>
      </c>
      <c r="H1303" s="138" t="s">
        <v>592</v>
      </c>
      <c r="I1303" s="139">
        <v>0</v>
      </c>
      <c r="K1303" s="96" t="str">
        <f t="shared" si="51"/>
        <v>0013-1005-0035</v>
      </c>
      <c r="L1303" s="96" t="str">
        <f>VLOOKUP(K1303,COA!$A$3:$B$337,2,FALSE)</f>
        <v>N41</v>
      </c>
      <c r="M1303" s="96" t="str">
        <f t="shared" si="52"/>
        <v>N41</v>
      </c>
      <c r="N1303" s="96" t="e">
        <f>VLOOKUP(M1303,CAC!$A$2:$B$198,2,FALSE)</f>
        <v>#N/A</v>
      </c>
    </row>
    <row r="1304" spans="5:14" x14ac:dyDescent="0.25">
      <c r="E1304" s="136">
        <v>201712</v>
      </c>
      <c r="F1304" s="138" t="s">
        <v>413</v>
      </c>
      <c r="G1304" s="138" t="s">
        <v>359</v>
      </c>
      <c r="H1304" s="138" t="s">
        <v>344</v>
      </c>
      <c r="I1304" s="139">
        <v>0</v>
      </c>
      <c r="K1304" s="96" t="str">
        <f t="shared" si="51"/>
        <v>0008-1005-0012</v>
      </c>
      <c r="L1304" s="96" t="str">
        <f>VLOOKUP(K1304,COA!$A$3:$B$337,2,FALSE)</f>
        <v>C73</v>
      </c>
      <c r="M1304" s="96" t="str">
        <f t="shared" si="52"/>
        <v>C73</v>
      </c>
      <c r="N1304" s="96" t="str">
        <f>VLOOKUP(M1304,CAC!$A$2:$B$198,2,FALSE)</f>
        <v>DOILG</v>
      </c>
    </row>
    <row r="1305" spans="5:14" x14ac:dyDescent="0.25">
      <c r="E1305" s="136">
        <v>201601</v>
      </c>
      <c r="F1305" s="138" t="s">
        <v>345</v>
      </c>
      <c r="G1305" s="138" t="s">
        <v>362</v>
      </c>
      <c r="H1305" s="138" t="s">
        <v>364</v>
      </c>
      <c r="I1305" s="139">
        <v>38364.35</v>
      </c>
      <c r="K1305" s="96" t="str">
        <f t="shared" si="51"/>
        <v>0011-1008-0037</v>
      </c>
      <c r="L1305" s="96" t="str">
        <f>VLOOKUP(K1305,COA!$A$3:$B$337,2,FALSE)</f>
        <v>P12</v>
      </c>
      <c r="M1305" s="96" t="str">
        <f t="shared" si="52"/>
        <v>P12</v>
      </c>
      <c r="N1305" s="96" t="str">
        <f>VLOOKUP(M1305,CAC!$A$2:$B$198,2,FALSE)</f>
        <v>HMOPERA</v>
      </c>
    </row>
    <row r="1306" spans="5:14" x14ac:dyDescent="0.25">
      <c r="E1306" s="136">
        <v>201503</v>
      </c>
      <c r="F1306" s="138" t="s">
        <v>746</v>
      </c>
      <c r="G1306" s="138" t="s">
        <v>362</v>
      </c>
      <c r="H1306" s="138" t="s">
        <v>364</v>
      </c>
      <c r="I1306" s="139">
        <v>5672</v>
      </c>
      <c r="K1306" s="96" t="str">
        <f t="shared" si="51"/>
        <v>0016-1008-0037</v>
      </c>
      <c r="L1306" s="96" t="str">
        <f>VLOOKUP(K1306,COA!$A$3:$B$337,2,FALSE)</f>
        <v>R24</v>
      </c>
      <c r="M1306" s="96" t="str">
        <f t="shared" si="52"/>
        <v>R24</v>
      </c>
      <c r="N1306" s="96" t="str">
        <f>VLOOKUP(M1306,CAC!$A$2:$B$198,2,FALSE)</f>
        <v>PERMAPD</v>
      </c>
    </row>
    <row r="1307" spans="5:14" x14ac:dyDescent="0.25">
      <c r="E1307" s="136">
        <v>201608</v>
      </c>
      <c r="F1307" s="138" t="s">
        <v>746</v>
      </c>
      <c r="G1307" s="138" t="s">
        <v>356</v>
      </c>
      <c r="H1307" s="138" t="s">
        <v>344</v>
      </c>
      <c r="I1307" s="139">
        <v>136</v>
      </c>
      <c r="K1307" s="96" t="str">
        <f t="shared" si="51"/>
        <v>0016-1002-0012</v>
      </c>
      <c r="L1307" s="96" t="str">
        <f>VLOOKUP(K1307,COA!$A$3:$B$337,2,FALSE)</f>
        <v>R18</v>
      </c>
      <c r="M1307" s="96" t="str">
        <f t="shared" si="52"/>
        <v>R18</v>
      </c>
      <c r="N1307" s="96" t="str">
        <f>VLOOKUP(M1307,CAC!$A$2:$B$198,2,FALSE)</f>
        <v>HMOMG</v>
      </c>
    </row>
    <row r="1308" spans="5:14" x14ac:dyDescent="0.25">
      <c r="E1308" s="136">
        <v>201610</v>
      </c>
      <c r="F1308" s="138" t="s">
        <v>563</v>
      </c>
      <c r="G1308" s="138" t="s">
        <v>365</v>
      </c>
      <c r="H1308" s="138" t="s">
        <v>367</v>
      </c>
      <c r="I1308" s="139">
        <v>0</v>
      </c>
      <c r="K1308" s="96" t="str">
        <f t="shared" si="51"/>
        <v>0003-1001-0022</v>
      </c>
      <c r="L1308" s="96" t="str">
        <f>VLOOKUP(K1308,COA!$A$3:$B$337,2,FALSE)</f>
        <v>V54</v>
      </c>
      <c r="M1308" s="96" t="str">
        <f t="shared" si="52"/>
        <v>V54</v>
      </c>
      <c r="N1308" s="96" t="str">
        <f>VLOOKUP(M1308,CAC!$A$2:$B$198,2,FALSE)</f>
        <v>PPOIFP</v>
      </c>
    </row>
    <row r="1309" spans="5:14" x14ac:dyDescent="0.25">
      <c r="E1309" s="136">
        <v>201711</v>
      </c>
      <c r="F1309" s="138" t="s">
        <v>563</v>
      </c>
      <c r="G1309" s="138" t="s">
        <v>355</v>
      </c>
      <c r="H1309" s="138" t="s">
        <v>344</v>
      </c>
      <c r="I1309" s="139">
        <v>0</v>
      </c>
      <c r="K1309" s="96" t="str">
        <f t="shared" si="51"/>
        <v>0003-1006-0012</v>
      </c>
      <c r="L1309" s="96" t="str">
        <f>VLOOKUP(K1309,COA!$A$3:$B$337,2,FALSE)</f>
        <v>L52</v>
      </c>
      <c r="M1309" s="96" t="str">
        <f t="shared" si="52"/>
        <v>L52</v>
      </c>
      <c r="N1309" s="96" t="str">
        <f>VLOOKUP(M1309,CAC!$A$2:$B$198,2,FALSE)</f>
        <v>PPOLG</v>
      </c>
    </row>
    <row r="1310" spans="5:14" x14ac:dyDescent="0.25">
      <c r="E1310" s="136">
        <v>201611</v>
      </c>
      <c r="F1310" s="138" t="s">
        <v>746</v>
      </c>
      <c r="G1310" s="138" t="s">
        <v>356</v>
      </c>
      <c r="H1310" s="138" t="s">
        <v>344</v>
      </c>
      <c r="I1310" s="139">
        <v>135</v>
      </c>
      <c r="K1310" s="96" t="str">
        <f t="shared" si="51"/>
        <v>0016-1002-0012</v>
      </c>
      <c r="L1310" s="96" t="str">
        <f>VLOOKUP(K1310,COA!$A$3:$B$337,2,FALSE)</f>
        <v>R18</v>
      </c>
      <c r="M1310" s="96" t="str">
        <f t="shared" si="52"/>
        <v>R18</v>
      </c>
      <c r="N1310" s="96" t="str">
        <f>VLOOKUP(M1310,CAC!$A$2:$B$198,2,FALSE)</f>
        <v>HMOMG</v>
      </c>
    </row>
    <row r="1311" spans="5:14" x14ac:dyDescent="0.25">
      <c r="E1311" s="136">
        <v>201702</v>
      </c>
      <c r="F1311" s="138" t="s">
        <v>746</v>
      </c>
      <c r="G1311" s="138" t="s">
        <v>350</v>
      </c>
      <c r="H1311" s="138" t="s">
        <v>764</v>
      </c>
      <c r="I1311" s="139">
        <v>18</v>
      </c>
      <c r="K1311" s="96" t="str">
        <f t="shared" si="51"/>
        <v>0016-1012-0064</v>
      </c>
      <c r="L1311" s="96" t="str">
        <f>VLOOKUP(K1311,COA!$A$3:$B$337,2,FALSE)</f>
        <v>R25</v>
      </c>
      <c r="M1311" s="96" t="str">
        <f t="shared" si="52"/>
        <v>R25</v>
      </c>
      <c r="N1311" s="96" t="str">
        <f>VLOOKUP(M1311,CAC!$A$2:$B$198,2,FALSE)</f>
        <v>HMOMG</v>
      </c>
    </row>
    <row r="1312" spans="5:14" x14ac:dyDescent="0.25">
      <c r="E1312" s="136">
        <v>201609</v>
      </c>
      <c r="F1312" s="138" t="s">
        <v>345</v>
      </c>
      <c r="G1312" s="138" t="s">
        <v>354</v>
      </c>
      <c r="H1312" s="138" t="s">
        <v>344</v>
      </c>
      <c r="I1312" s="139">
        <v>6817.35</v>
      </c>
      <c r="K1312" s="96" t="str">
        <f t="shared" si="51"/>
        <v>0011-1013-0012</v>
      </c>
      <c r="L1312" s="96" t="str">
        <f>VLOOKUP(K1312,COA!$A$3:$B$337,2,FALSE)</f>
        <v>N20</v>
      </c>
      <c r="M1312" s="96" t="str">
        <f t="shared" si="52"/>
        <v>N20</v>
      </c>
      <c r="N1312" s="96" t="str">
        <f>VLOOKUP(M1312,CAC!$A$2:$B$198,2,FALSE)</f>
        <v>HMOPMR</v>
      </c>
    </row>
    <row r="1313" spans="5:14" x14ac:dyDescent="0.25">
      <c r="E1313" s="136">
        <v>201712</v>
      </c>
      <c r="F1313" s="138" t="s">
        <v>506</v>
      </c>
      <c r="G1313" s="138" t="s">
        <v>354</v>
      </c>
      <c r="H1313" s="138" t="s">
        <v>592</v>
      </c>
      <c r="I1313" s="139">
        <v>0</v>
      </c>
      <c r="K1313" s="96" t="str">
        <f t="shared" si="51"/>
        <v>0013-1013-0035</v>
      </c>
      <c r="L1313" s="96" t="str">
        <f>VLOOKUP(K1313,COA!$A$3:$B$337,2,FALSE)</f>
        <v>N44</v>
      </c>
      <c r="M1313" s="96" t="str">
        <f t="shared" si="52"/>
        <v>N44</v>
      </c>
      <c r="N1313" s="96" t="e">
        <f>VLOOKUP(M1313,CAC!$A$2:$B$198,2,FALSE)</f>
        <v>#N/A</v>
      </c>
    </row>
    <row r="1314" spans="5:14" x14ac:dyDescent="0.25">
      <c r="E1314" s="136">
        <v>201602</v>
      </c>
      <c r="F1314" s="138" t="s">
        <v>563</v>
      </c>
      <c r="G1314" s="138" t="s">
        <v>354</v>
      </c>
      <c r="H1314" s="138" t="s">
        <v>653</v>
      </c>
      <c r="I1314" s="139">
        <v>0</v>
      </c>
      <c r="K1314" s="96" t="str">
        <f t="shared" si="51"/>
        <v>0003-1013-0047</v>
      </c>
      <c r="L1314" s="96" t="str">
        <f>VLOOKUP(K1314,COA!$A$3:$B$337,2,FALSE)</f>
        <v>N57</v>
      </c>
      <c r="M1314" s="96" t="str">
        <f t="shared" si="52"/>
        <v>N57</v>
      </c>
      <c r="N1314" s="96" t="str">
        <f>VLOOKUP(M1314,CAC!$A$2:$B$198,2,FALSE)</f>
        <v>PPOPMR</v>
      </c>
    </row>
    <row r="1315" spans="5:14" x14ac:dyDescent="0.25">
      <c r="E1315" s="136">
        <v>201605</v>
      </c>
      <c r="F1315" s="138" t="s">
        <v>413</v>
      </c>
      <c r="G1315" s="138" t="s">
        <v>359</v>
      </c>
      <c r="H1315" s="138" t="s">
        <v>344</v>
      </c>
      <c r="I1315" s="139">
        <v>0</v>
      </c>
      <c r="K1315" s="96" t="str">
        <f t="shared" si="51"/>
        <v>0008-1005-0012</v>
      </c>
      <c r="L1315" s="96" t="str">
        <f>VLOOKUP(K1315,COA!$A$3:$B$337,2,FALSE)</f>
        <v>C73</v>
      </c>
      <c r="M1315" s="96" t="str">
        <f t="shared" si="52"/>
        <v>C73</v>
      </c>
      <c r="N1315" s="96" t="str">
        <f>VLOOKUP(M1315,CAC!$A$2:$B$198,2,FALSE)</f>
        <v>DOILG</v>
      </c>
    </row>
    <row r="1316" spans="5:14" x14ac:dyDescent="0.25">
      <c r="E1316" s="136">
        <v>201601</v>
      </c>
      <c r="F1316" s="138" t="s">
        <v>344</v>
      </c>
      <c r="G1316" s="138" t="s">
        <v>359</v>
      </c>
      <c r="H1316" s="138" t="s">
        <v>344</v>
      </c>
      <c r="I1316" s="139">
        <v>129</v>
      </c>
      <c r="K1316" s="96" t="str">
        <f t="shared" si="51"/>
        <v>0012-1005-0012</v>
      </c>
      <c r="L1316" s="96" t="str">
        <f>VLOOKUP(K1316,COA!$A$3:$B$337,2,FALSE)</f>
        <v>N13</v>
      </c>
      <c r="M1316" s="96" t="str">
        <f t="shared" si="52"/>
        <v>N13</v>
      </c>
      <c r="N1316" s="96" t="str">
        <f>VLOOKUP(M1316,CAC!$A$2:$B$198,2,FALSE)</f>
        <v>HMOLG</v>
      </c>
    </row>
    <row r="1317" spans="5:14" x14ac:dyDescent="0.25">
      <c r="E1317" s="136">
        <v>201508</v>
      </c>
      <c r="F1317" s="138" t="s">
        <v>563</v>
      </c>
      <c r="G1317" s="138" t="s">
        <v>365</v>
      </c>
      <c r="H1317" s="138" t="s">
        <v>366</v>
      </c>
      <c r="I1317" s="139">
        <v>0</v>
      </c>
      <c r="K1317" s="96" t="str">
        <f t="shared" si="51"/>
        <v>0003-1001-0021</v>
      </c>
      <c r="L1317" s="96" t="str">
        <f>VLOOKUP(K1317,COA!$A$3:$B$337,2,FALSE)</f>
        <v>V53</v>
      </c>
      <c r="M1317" s="96" t="str">
        <f t="shared" si="52"/>
        <v>V53</v>
      </c>
      <c r="N1317" s="96" t="str">
        <f>VLOOKUP(M1317,CAC!$A$2:$B$198,2,FALSE)</f>
        <v>PPOIFP</v>
      </c>
    </row>
    <row r="1318" spans="5:14" x14ac:dyDescent="0.25">
      <c r="E1318" s="136">
        <v>201801</v>
      </c>
      <c r="F1318" s="138" t="s">
        <v>563</v>
      </c>
      <c r="G1318" s="138" t="s">
        <v>365</v>
      </c>
      <c r="H1318" s="138" t="s">
        <v>344</v>
      </c>
      <c r="I1318" s="139">
        <v>0</v>
      </c>
      <c r="K1318" s="96" t="str">
        <f t="shared" si="51"/>
        <v>0003-1001-0012</v>
      </c>
      <c r="L1318" s="96" t="str">
        <f>VLOOKUP(K1318,COA!$A$3:$B$337,2,FALSE)</f>
        <v>V51</v>
      </c>
      <c r="M1318" s="96" t="str">
        <f t="shared" si="52"/>
        <v>V51</v>
      </c>
      <c r="N1318" s="96" t="str">
        <f>VLOOKUP(M1318,CAC!$A$2:$B$198,2,FALSE)</f>
        <v>PPOIFP</v>
      </c>
    </row>
    <row r="1319" spans="5:14" x14ac:dyDescent="0.25">
      <c r="E1319" s="136">
        <v>201703</v>
      </c>
      <c r="F1319" s="138" t="s">
        <v>344</v>
      </c>
      <c r="G1319" s="138" t="s">
        <v>361</v>
      </c>
      <c r="H1319" s="138" t="s">
        <v>344</v>
      </c>
      <c r="I1319" s="139">
        <v>9624.82</v>
      </c>
      <c r="K1319" s="96" t="str">
        <f t="shared" si="51"/>
        <v>0012-1003-0012</v>
      </c>
      <c r="L1319" s="96" t="str">
        <f>VLOOKUP(K1319,COA!$A$3:$B$337,2,FALSE)</f>
        <v>N15</v>
      </c>
      <c r="M1319" s="96" t="str">
        <f t="shared" si="52"/>
        <v>N15</v>
      </c>
      <c r="N1319" s="96" t="str">
        <f>VLOOKUP(M1319,CAC!$A$2:$B$198,2,FALSE)</f>
        <v>HMOPMR</v>
      </c>
    </row>
    <row r="1320" spans="5:14" x14ac:dyDescent="0.25">
      <c r="E1320" s="136">
        <v>201709</v>
      </c>
      <c r="F1320" s="138" t="s">
        <v>342</v>
      </c>
      <c r="G1320" s="138" t="s">
        <v>343</v>
      </c>
      <c r="H1320" s="138" t="s">
        <v>344</v>
      </c>
      <c r="I1320" s="139">
        <v>5649.21</v>
      </c>
      <c r="K1320" s="96" t="str">
        <f t="shared" si="51"/>
        <v>0031-1000-0012</v>
      </c>
      <c r="L1320" s="96" t="str">
        <f>VLOOKUP(K1320,COA!$A$3:$B$337,2,FALSE)</f>
        <v>F27</v>
      </c>
      <c r="M1320" s="96" t="str">
        <f t="shared" si="52"/>
        <v>F27</v>
      </c>
      <c r="N1320" s="96" t="str">
        <f>VLOOKUP(M1320,CAC!$A$2:$B$198,2,FALSE)</f>
        <v>HMOFEP</v>
      </c>
    </row>
    <row r="1321" spans="5:14" x14ac:dyDescent="0.25">
      <c r="E1321" s="136">
        <v>201509</v>
      </c>
      <c r="F1321" s="138" t="s">
        <v>413</v>
      </c>
      <c r="G1321" s="138" t="s">
        <v>359</v>
      </c>
      <c r="H1321" s="138" t="s">
        <v>344</v>
      </c>
      <c r="I1321" s="139">
        <v>0</v>
      </c>
      <c r="K1321" s="96" t="str">
        <f t="shared" si="51"/>
        <v>0008-1005-0012</v>
      </c>
      <c r="L1321" s="96" t="str">
        <f>VLOOKUP(K1321,COA!$A$3:$B$337,2,FALSE)</f>
        <v>C73</v>
      </c>
      <c r="M1321" s="96" t="str">
        <f t="shared" si="52"/>
        <v>C73</v>
      </c>
      <c r="N1321" s="96" t="str">
        <f>VLOOKUP(M1321,CAC!$A$2:$B$198,2,FALSE)</f>
        <v>DOILG</v>
      </c>
    </row>
    <row r="1322" spans="5:14" x14ac:dyDescent="0.25">
      <c r="E1322" s="136">
        <v>201610</v>
      </c>
      <c r="F1322" s="138" t="s">
        <v>563</v>
      </c>
      <c r="G1322" s="138" t="s">
        <v>356</v>
      </c>
      <c r="H1322" s="138" t="s">
        <v>344</v>
      </c>
      <c r="I1322" s="139">
        <v>0</v>
      </c>
      <c r="K1322" s="96" t="str">
        <f t="shared" si="51"/>
        <v>0003-1002-0012</v>
      </c>
      <c r="L1322" s="96" t="str">
        <f>VLOOKUP(K1322,COA!$A$3:$B$337,2,FALSE)</f>
        <v>F61</v>
      </c>
      <c r="M1322" s="96" t="str">
        <f t="shared" si="52"/>
        <v>F61</v>
      </c>
      <c r="N1322" s="96" t="str">
        <f>VLOOKUP(M1322,CAC!$A$2:$B$198,2,FALSE)</f>
        <v>PPOPMR</v>
      </c>
    </row>
    <row r="1323" spans="5:14" x14ac:dyDescent="0.25">
      <c r="E1323" s="136">
        <v>201609</v>
      </c>
      <c r="F1323" s="138" t="s">
        <v>413</v>
      </c>
      <c r="G1323" s="138" t="s">
        <v>356</v>
      </c>
      <c r="H1323" s="138" t="s">
        <v>344</v>
      </c>
      <c r="I1323" s="139">
        <v>0</v>
      </c>
      <c r="K1323" s="96" t="str">
        <f t="shared" si="51"/>
        <v>0008-1002-0012</v>
      </c>
      <c r="L1323" s="96" t="str">
        <f>VLOOKUP(K1323,COA!$A$3:$B$337,2,FALSE)</f>
        <v>C74</v>
      </c>
      <c r="M1323" s="96" t="str">
        <f t="shared" si="52"/>
        <v>C74</v>
      </c>
      <c r="N1323" s="96" t="str">
        <f>VLOOKUP(M1323,CAC!$A$2:$B$198,2,FALSE)</f>
        <v>DOILG</v>
      </c>
    </row>
    <row r="1324" spans="5:14" x14ac:dyDescent="0.25">
      <c r="E1324" s="136">
        <v>201510</v>
      </c>
      <c r="F1324" s="138" t="s">
        <v>563</v>
      </c>
      <c r="G1324" s="138" t="s">
        <v>365</v>
      </c>
      <c r="H1324" s="138" t="s">
        <v>367</v>
      </c>
      <c r="I1324" s="139">
        <v>0</v>
      </c>
      <c r="K1324" s="96" t="str">
        <f t="shared" si="51"/>
        <v>0003-1001-0022</v>
      </c>
      <c r="L1324" s="96" t="str">
        <f>VLOOKUP(K1324,COA!$A$3:$B$337,2,FALSE)</f>
        <v>V54</v>
      </c>
      <c r="M1324" s="96" t="str">
        <f t="shared" si="52"/>
        <v>V54</v>
      </c>
      <c r="N1324" s="96" t="str">
        <f>VLOOKUP(M1324,CAC!$A$2:$B$198,2,FALSE)</f>
        <v>PPOIFP</v>
      </c>
    </row>
    <row r="1325" spans="5:14" x14ac:dyDescent="0.25">
      <c r="E1325" s="136">
        <v>201601</v>
      </c>
      <c r="F1325" s="138" t="s">
        <v>345</v>
      </c>
      <c r="G1325" s="138" t="s">
        <v>359</v>
      </c>
      <c r="H1325" s="138" t="s">
        <v>344</v>
      </c>
      <c r="I1325" s="139">
        <v>3870.28</v>
      </c>
      <c r="K1325" s="96" t="str">
        <f t="shared" si="51"/>
        <v>0011-1005-0012</v>
      </c>
      <c r="L1325" s="96" t="str">
        <f>VLOOKUP(K1325,COA!$A$3:$B$337,2,FALSE)</f>
        <v>N11</v>
      </c>
      <c r="M1325" s="96" t="str">
        <f t="shared" si="52"/>
        <v>N11</v>
      </c>
      <c r="N1325" s="96" t="str">
        <f>VLOOKUP(M1325,CAC!$A$2:$B$198,2,FALSE)</f>
        <v>HMOLG</v>
      </c>
    </row>
    <row r="1326" spans="5:14" x14ac:dyDescent="0.25">
      <c r="E1326" s="136">
        <v>201603</v>
      </c>
      <c r="F1326" s="138" t="s">
        <v>552</v>
      </c>
      <c r="G1326" s="138" t="s">
        <v>356</v>
      </c>
      <c r="H1326" s="138" t="s">
        <v>672</v>
      </c>
      <c r="I1326" s="139">
        <v>0</v>
      </c>
      <c r="K1326" s="96" t="str">
        <f t="shared" si="51"/>
        <v>0027-1002-0058</v>
      </c>
      <c r="L1326" s="96" t="str">
        <f>VLOOKUP(K1326,COA!$A$3:$B$337,2,FALSE)</f>
        <v>L45</v>
      </c>
      <c r="M1326" s="96" t="str">
        <f t="shared" si="52"/>
        <v>L45</v>
      </c>
      <c r="N1326" s="96" t="e">
        <f>VLOOKUP(M1326,CAC!$A$2:$B$198,2,FALSE)</f>
        <v>#N/A</v>
      </c>
    </row>
    <row r="1327" spans="5:14" x14ac:dyDescent="0.25">
      <c r="E1327" s="136">
        <v>201607</v>
      </c>
      <c r="F1327" s="138" t="s">
        <v>563</v>
      </c>
      <c r="G1327" s="138" t="s">
        <v>361</v>
      </c>
      <c r="H1327" s="138" t="s">
        <v>344</v>
      </c>
      <c r="I1327" s="139">
        <v>0</v>
      </c>
      <c r="K1327" s="96" t="str">
        <f t="shared" si="51"/>
        <v>0003-1003-0012</v>
      </c>
      <c r="L1327" s="96" t="str">
        <f>VLOOKUP(K1327,COA!$A$3:$B$337,2,FALSE)</f>
        <v>N61</v>
      </c>
      <c r="M1327" s="96" t="str">
        <f t="shared" si="52"/>
        <v>N61</v>
      </c>
      <c r="N1327" s="96" t="str">
        <f>VLOOKUP(M1327,CAC!$A$2:$B$198,2,FALSE)</f>
        <v>PPOPMR</v>
      </c>
    </row>
    <row r="1328" spans="5:14" x14ac:dyDescent="0.25">
      <c r="E1328" s="136">
        <v>201707</v>
      </c>
      <c r="F1328" s="138" t="s">
        <v>405</v>
      </c>
      <c r="G1328" s="138" t="s">
        <v>362</v>
      </c>
      <c r="H1328" s="138" t="s">
        <v>342</v>
      </c>
      <c r="I1328" s="139">
        <v>0</v>
      </c>
      <c r="K1328" s="96" t="str">
        <f t="shared" si="51"/>
        <v>0019-1008-0031</v>
      </c>
      <c r="L1328" s="96" t="str">
        <f>VLOOKUP(K1328,COA!$A$3:$B$337,2,FALSE)</f>
        <v>P53</v>
      </c>
      <c r="M1328" s="96" t="str">
        <f t="shared" si="52"/>
        <v>P53</v>
      </c>
      <c r="N1328" s="96" t="str">
        <f>VLOOKUP(M1328,CAC!$A$2:$B$198,2,FALSE)</f>
        <v>HMOPERA</v>
      </c>
    </row>
    <row r="1329" spans="5:14" x14ac:dyDescent="0.25">
      <c r="E1329" s="136">
        <v>201602</v>
      </c>
      <c r="F1329" s="138" t="s">
        <v>746</v>
      </c>
      <c r="G1329" s="138" t="s">
        <v>350</v>
      </c>
      <c r="H1329" s="138" t="s">
        <v>764</v>
      </c>
      <c r="I1329" s="139">
        <v>10</v>
      </c>
      <c r="K1329" s="96" t="str">
        <f t="shared" si="51"/>
        <v>0016-1012-0064</v>
      </c>
      <c r="L1329" s="96" t="str">
        <f>VLOOKUP(K1329,COA!$A$3:$B$337,2,FALSE)</f>
        <v>R25</v>
      </c>
      <c r="M1329" s="96" t="str">
        <f t="shared" si="52"/>
        <v>R25</v>
      </c>
      <c r="N1329" s="96" t="str">
        <f>VLOOKUP(M1329,CAC!$A$2:$B$198,2,FALSE)</f>
        <v>HMOMG</v>
      </c>
    </row>
    <row r="1330" spans="5:14" x14ac:dyDescent="0.25">
      <c r="E1330" s="136">
        <v>201609</v>
      </c>
      <c r="F1330" s="138" t="s">
        <v>345</v>
      </c>
      <c r="G1330" s="138" t="s">
        <v>351</v>
      </c>
      <c r="H1330" s="138" t="s">
        <v>353</v>
      </c>
      <c r="I1330" s="139">
        <v>0</v>
      </c>
      <c r="K1330" s="96" t="str">
        <f t="shared" si="51"/>
        <v>0011-0000-0023</v>
      </c>
      <c r="L1330" s="96" t="e">
        <f>VLOOKUP(K1330,COA!$A$3:$B$337,2,FALSE)</f>
        <v>#N/A</v>
      </c>
      <c r="M1330" s="96" t="str">
        <f t="shared" si="52"/>
        <v>XXX</v>
      </c>
      <c r="N1330" s="96" t="str">
        <f>VLOOKUP(M1330,CAC!$A$2:$B$198,2,FALSE)</f>
        <v>XXX</v>
      </c>
    </row>
    <row r="1331" spans="5:14" x14ac:dyDescent="0.25">
      <c r="E1331" s="136">
        <v>201602</v>
      </c>
      <c r="F1331" s="138" t="s">
        <v>345</v>
      </c>
      <c r="G1331" s="138" t="s">
        <v>350</v>
      </c>
      <c r="H1331" s="138" t="s">
        <v>360</v>
      </c>
      <c r="I1331" s="139">
        <v>5989.35</v>
      </c>
      <c r="K1331" s="96" t="str">
        <f t="shared" si="51"/>
        <v>0011-1012-0048</v>
      </c>
      <c r="L1331" s="96" t="str">
        <f>VLOOKUP(K1331,COA!$A$3:$B$337,2,FALSE)</f>
        <v>K21</v>
      </c>
      <c r="M1331" s="96" t="str">
        <f t="shared" si="52"/>
        <v>K21</v>
      </c>
      <c r="N1331" s="96" t="str">
        <f>VLOOKUP(M1331,CAC!$A$2:$B$198,2,FALSE)</f>
        <v>HMFLEX</v>
      </c>
    </row>
    <row r="1332" spans="5:14" x14ac:dyDescent="0.25">
      <c r="E1332" s="136">
        <v>201709</v>
      </c>
      <c r="F1332" s="138" t="s">
        <v>349</v>
      </c>
      <c r="G1332" s="138" t="s">
        <v>369</v>
      </c>
      <c r="H1332" s="138" t="s">
        <v>344</v>
      </c>
      <c r="I1332" s="139">
        <v>44133</v>
      </c>
      <c r="K1332" s="96" t="str">
        <f t="shared" si="51"/>
        <v>0017-1009-0012</v>
      </c>
      <c r="L1332" s="96" t="str">
        <f>VLOOKUP(K1332,COA!$A$3:$B$337,2,FALSE)</f>
        <v>R12</v>
      </c>
      <c r="M1332" s="96" t="str">
        <f t="shared" si="52"/>
        <v>R12</v>
      </c>
      <c r="N1332" s="96" t="str">
        <f>VLOOKUP(M1332,CAC!$A$2:$B$198,2,FALSE)</f>
        <v>HMOMM</v>
      </c>
    </row>
    <row r="1333" spans="5:14" x14ac:dyDescent="0.25">
      <c r="E1333" s="136">
        <v>201702</v>
      </c>
      <c r="F1333" s="138" t="s">
        <v>345</v>
      </c>
      <c r="G1333" s="138" t="s">
        <v>359</v>
      </c>
      <c r="H1333" s="138" t="s">
        <v>344</v>
      </c>
      <c r="I1333" s="139">
        <v>4908.79</v>
      </c>
      <c r="K1333" s="96" t="str">
        <f t="shared" si="51"/>
        <v>0011-1005-0012</v>
      </c>
      <c r="L1333" s="96" t="str">
        <f>VLOOKUP(K1333,COA!$A$3:$B$337,2,FALSE)</f>
        <v>N11</v>
      </c>
      <c r="M1333" s="96" t="str">
        <f t="shared" si="52"/>
        <v>N11</v>
      </c>
      <c r="N1333" s="96" t="str">
        <f>VLOOKUP(M1333,CAC!$A$2:$B$198,2,FALSE)</f>
        <v>HMOLG</v>
      </c>
    </row>
    <row r="1334" spans="5:14" x14ac:dyDescent="0.25">
      <c r="E1334" s="136">
        <v>201705</v>
      </c>
      <c r="F1334" s="138" t="s">
        <v>342</v>
      </c>
      <c r="G1334" s="138" t="s">
        <v>343</v>
      </c>
      <c r="H1334" s="138" t="s">
        <v>344</v>
      </c>
      <c r="I1334" s="139">
        <v>5706.26</v>
      </c>
      <c r="K1334" s="96" t="str">
        <f t="shared" si="51"/>
        <v>0031-1000-0012</v>
      </c>
      <c r="L1334" s="96" t="str">
        <f>VLOOKUP(K1334,COA!$A$3:$B$337,2,FALSE)</f>
        <v>F27</v>
      </c>
      <c r="M1334" s="96" t="str">
        <f t="shared" si="52"/>
        <v>F27</v>
      </c>
      <c r="N1334" s="96" t="str">
        <f>VLOOKUP(M1334,CAC!$A$2:$B$198,2,FALSE)</f>
        <v>HMOFEP</v>
      </c>
    </row>
    <row r="1335" spans="5:14" x14ac:dyDescent="0.25">
      <c r="E1335" s="136">
        <v>201612</v>
      </c>
      <c r="F1335" s="138" t="s">
        <v>413</v>
      </c>
      <c r="G1335" s="138" t="s">
        <v>356</v>
      </c>
      <c r="H1335" s="138" t="s">
        <v>344</v>
      </c>
      <c r="I1335" s="139">
        <v>0</v>
      </c>
      <c r="K1335" s="96" t="str">
        <f t="shared" si="51"/>
        <v>0008-1002-0012</v>
      </c>
      <c r="L1335" s="96" t="str">
        <f>VLOOKUP(K1335,COA!$A$3:$B$337,2,FALSE)</f>
        <v>C74</v>
      </c>
      <c r="M1335" s="96" t="str">
        <f t="shared" si="52"/>
        <v>C74</v>
      </c>
      <c r="N1335" s="96" t="str">
        <f>VLOOKUP(M1335,CAC!$A$2:$B$198,2,FALSE)</f>
        <v>DOILG</v>
      </c>
    </row>
    <row r="1336" spans="5:14" x14ac:dyDescent="0.25">
      <c r="E1336" s="136">
        <v>201502</v>
      </c>
      <c r="F1336" s="138" t="s">
        <v>746</v>
      </c>
      <c r="G1336" s="138" t="s">
        <v>356</v>
      </c>
      <c r="H1336" s="138" t="s">
        <v>344</v>
      </c>
      <c r="I1336" s="139">
        <v>124</v>
      </c>
      <c r="K1336" s="96" t="str">
        <f t="shared" si="51"/>
        <v>0016-1002-0012</v>
      </c>
      <c r="L1336" s="96" t="str">
        <f>VLOOKUP(K1336,COA!$A$3:$B$337,2,FALSE)</f>
        <v>R18</v>
      </c>
      <c r="M1336" s="96" t="str">
        <f t="shared" si="52"/>
        <v>R18</v>
      </c>
      <c r="N1336" s="96" t="str">
        <f>VLOOKUP(M1336,CAC!$A$2:$B$198,2,FALSE)</f>
        <v>HMOMG</v>
      </c>
    </row>
    <row r="1337" spans="5:14" x14ac:dyDescent="0.25">
      <c r="E1337" s="136">
        <v>201601</v>
      </c>
      <c r="F1337" s="138" t="s">
        <v>563</v>
      </c>
      <c r="G1337" s="138" t="s">
        <v>348</v>
      </c>
      <c r="H1337" s="138" t="s">
        <v>344</v>
      </c>
      <c r="I1337" s="139">
        <v>0</v>
      </c>
      <c r="K1337" s="96" t="str">
        <f t="shared" si="51"/>
        <v>0003-1010-0012</v>
      </c>
      <c r="L1337" s="96" t="e">
        <f>VLOOKUP(K1337,COA!$A$3:$B$337,2,FALSE)</f>
        <v>#N/A</v>
      </c>
      <c r="M1337" s="96" t="str">
        <f t="shared" si="52"/>
        <v>XXX</v>
      </c>
      <c r="N1337" s="96" t="str">
        <f>VLOOKUP(M1337,CAC!$A$2:$B$198,2,FALSE)</f>
        <v>XXX</v>
      </c>
    </row>
    <row r="1338" spans="5:14" x14ac:dyDescent="0.25">
      <c r="E1338" s="136">
        <v>201610</v>
      </c>
      <c r="F1338" s="138" t="s">
        <v>563</v>
      </c>
      <c r="G1338" s="138" t="s">
        <v>354</v>
      </c>
      <c r="H1338" s="138" t="s">
        <v>360</v>
      </c>
      <c r="I1338" s="139">
        <v>0</v>
      </c>
      <c r="K1338" s="96" t="str">
        <f t="shared" si="51"/>
        <v>0003-1013-0048</v>
      </c>
      <c r="L1338" s="96" t="str">
        <f>VLOOKUP(K1338,COA!$A$3:$B$337,2,FALSE)</f>
        <v>N56</v>
      </c>
      <c r="M1338" s="96" t="str">
        <f t="shared" si="52"/>
        <v>N56</v>
      </c>
      <c r="N1338" s="96" t="str">
        <f>VLOOKUP(M1338,CAC!$A$2:$B$198,2,FALSE)</f>
        <v>HMFLEX</v>
      </c>
    </row>
    <row r="1339" spans="5:14" x14ac:dyDescent="0.25">
      <c r="E1339" s="136">
        <v>201603</v>
      </c>
      <c r="F1339" s="138" t="s">
        <v>349</v>
      </c>
      <c r="G1339" s="138" t="s">
        <v>369</v>
      </c>
      <c r="H1339" s="138" t="s">
        <v>764</v>
      </c>
      <c r="I1339" s="139">
        <v>3</v>
      </c>
      <c r="K1339" s="96" t="str">
        <f t="shared" si="51"/>
        <v>0017-1009-0064</v>
      </c>
      <c r="L1339" s="96" t="str">
        <f>VLOOKUP(K1339,COA!$A$3:$B$337,2,FALSE)</f>
        <v>R15</v>
      </c>
      <c r="M1339" s="96" t="str">
        <f t="shared" si="52"/>
        <v>R15</v>
      </c>
      <c r="N1339" s="96" t="str">
        <f>VLOOKUP(M1339,CAC!$A$2:$B$198,2,FALSE)</f>
        <v>HMOMM</v>
      </c>
    </row>
    <row r="1340" spans="5:14" x14ac:dyDescent="0.25">
      <c r="E1340" s="136">
        <v>201610</v>
      </c>
      <c r="F1340" s="138" t="s">
        <v>563</v>
      </c>
      <c r="G1340" s="138" t="s">
        <v>352</v>
      </c>
      <c r="H1340" s="138" t="s">
        <v>653</v>
      </c>
      <c r="I1340" s="139">
        <v>0</v>
      </c>
      <c r="K1340" s="96" t="str">
        <f t="shared" si="51"/>
        <v>0003-1004-0047</v>
      </c>
      <c r="L1340" s="96" t="str">
        <f>VLOOKUP(K1340,COA!$A$3:$B$337,2,FALSE)</f>
        <v>L57</v>
      </c>
      <c r="M1340" s="96" t="str">
        <f t="shared" si="52"/>
        <v>L57</v>
      </c>
      <c r="N1340" s="96" t="str">
        <f>VLOOKUP(M1340,CAC!$A$2:$B$198,2,FALSE)</f>
        <v>PPOLG</v>
      </c>
    </row>
    <row r="1341" spans="5:14" x14ac:dyDescent="0.25">
      <c r="E1341" s="136">
        <v>201512</v>
      </c>
      <c r="F1341" s="138" t="s">
        <v>413</v>
      </c>
      <c r="G1341" s="138" t="s">
        <v>354</v>
      </c>
      <c r="H1341" s="138" t="s">
        <v>344</v>
      </c>
      <c r="I1341" s="139">
        <v>0</v>
      </c>
      <c r="K1341" s="96" t="str">
        <f t="shared" si="51"/>
        <v>0008-1013-0012</v>
      </c>
      <c r="L1341" s="96" t="str">
        <f>VLOOKUP(K1341,COA!$A$3:$B$337,2,FALSE)</f>
        <v>C76</v>
      </c>
      <c r="M1341" s="96" t="str">
        <f t="shared" si="52"/>
        <v>C76</v>
      </c>
      <c r="N1341" s="96" t="str">
        <f>VLOOKUP(M1341,CAC!$A$2:$B$198,2,FALSE)</f>
        <v>DOILG</v>
      </c>
    </row>
    <row r="1342" spans="5:14" x14ac:dyDescent="0.25">
      <c r="E1342" s="136">
        <v>201608</v>
      </c>
      <c r="F1342" s="138" t="s">
        <v>746</v>
      </c>
      <c r="G1342" s="138" t="s">
        <v>355</v>
      </c>
      <c r="H1342" s="138" t="s">
        <v>344</v>
      </c>
      <c r="I1342" s="139">
        <v>0</v>
      </c>
      <c r="K1342" s="96" t="str">
        <f t="shared" si="51"/>
        <v>0016-1006-0012</v>
      </c>
      <c r="L1342" s="96" t="str">
        <f>VLOOKUP(K1342,COA!$A$3:$B$337,2,FALSE)</f>
        <v>R21</v>
      </c>
      <c r="M1342" s="96" t="str">
        <f t="shared" si="52"/>
        <v>R21</v>
      </c>
      <c r="N1342" s="96" t="str">
        <f>VLOOKUP(M1342,CAC!$A$2:$B$198,2,FALSE)</f>
        <v>HMOMG</v>
      </c>
    </row>
    <row r="1343" spans="5:14" x14ac:dyDescent="0.25">
      <c r="E1343" s="136">
        <v>201704</v>
      </c>
      <c r="F1343" s="138" t="s">
        <v>746</v>
      </c>
      <c r="G1343" s="138" t="s">
        <v>356</v>
      </c>
      <c r="H1343" s="138" t="s">
        <v>344</v>
      </c>
      <c r="I1343" s="139">
        <v>136</v>
      </c>
      <c r="K1343" s="96" t="str">
        <f t="shared" si="51"/>
        <v>0016-1002-0012</v>
      </c>
      <c r="L1343" s="96" t="str">
        <f>VLOOKUP(K1343,COA!$A$3:$B$337,2,FALSE)</f>
        <v>R18</v>
      </c>
      <c r="M1343" s="96" t="str">
        <f t="shared" si="52"/>
        <v>R18</v>
      </c>
      <c r="N1343" s="96" t="str">
        <f>VLOOKUP(M1343,CAC!$A$2:$B$198,2,FALSE)</f>
        <v>HMOMG</v>
      </c>
    </row>
    <row r="1344" spans="5:14" x14ac:dyDescent="0.25">
      <c r="E1344" s="136">
        <v>201705</v>
      </c>
      <c r="F1344" s="138" t="s">
        <v>345</v>
      </c>
      <c r="G1344" s="138" t="s">
        <v>350</v>
      </c>
      <c r="H1344" s="138" t="s">
        <v>360</v>
      </c>
      <c r="I1344" s="139">
        <v>4040.16</v>
      </c>
      <c r="K1344" s="96" t="str">
        <f t="shared" si="51"/>
        <v>0011-1012-0048</v>
      </c>
      <c r="L1344" s="96" t="str">
        <f>VLOOKUP(K1344,COA!$A$3:$B$337,2,FALSE)</f>
        <v>K21</v>
      </c>
      <c r="M1344" s="96" t="str">
        <f t="shared" si="52"/>
        <v>K21</v>
      </c>
      <c r="N1344" s="96" t="str">
        <f>VLOOKUP(M1344,CAC!$A$2:$B$198,2,FALSE)</f>
        <v>HMFLEX</v>
      </c>
    </row>
    <row r="1345" spans="5:14" x14ac:dyDescent="0.25">
      <c r="E1345" s="136">
        <v>201603</v>
      </c>
      <c r="F1345" s="138" t="s">
        <v>563</v>
      </c>
      <c r="G1345" s="138" t="s">
        <v>348</v>
      </c>
      <c r="H1345" s="138" t="s">
        <v>358</v>
      </c>
      <c r="I1345" s="139">
        <v>0</v>
      </c>
      <c r="K1345" s="96" t="str">
        <f t="shared" si="51"/>
        <v>0003-1010-0024</v>
      </c>
      <c r="L1345" s="96" t="str">
        <f>VLOOKUP(K1345,COA!$A$3:$B$337,2,FALSE)</f>
        <v>S56</v>
      </c>
      <c r="M1345" s="96" t="str">
        <f t="shared" si="52"/>
        <v>S56</v>
      </c>
      <c r="N1345" s="96" t="str">
        <f>VLOOKUP(M1345,CAC!$A$2:$B$198,2,FALSE)</f>
        <v>PPOSG</v>
      </c>
    </row>
    <row r="1346" spans="5:14" x14ac:dyDescent="0.25">
      <c r="E1346" s="136">
        <v>201509</v>
      </c>
      <c r="F1346" s="138" t="s">
        <v>549</v>
      </c>
      <c r="G1346" s="138" t="s">
        <v>352</v>
      </c>
      <c r="H1346" s="138" t="s">
        <v>672</v>
      </c>
      <c r="I1346" s="139">
        <v>0</v>
      </c>
      <c r="K1346" s="96" t="str">
        <f t="shared" si="51"/>
        <v>0026-1004-0058</v>
      </c>
      <c r="L1346" s="96" t="str">
        <f>VLOOKUP(K1346,COA!$A$3:$B$337,2,FALSE)</f>
        <v>L44</v>
      </c>
      <c r="M1346" s="96" t="str">
        <f t="shared" si="52"/>
        <v>L44</v>
      </c>
      <c r="N1346" s="96" t="e">
        <f>VLOOKUP(M1346,CAC!$A$2:$B$198,2,FALSE)</f>
        <v>#N/A</v>
      </c>
    </row>
    <row r="1347" spans="5:14" x14ac:dyDescent="0.25">
      <c r="E1347" s="136">
        <v>201601</v>
      </c>
      <c r="F1347" s="138" t="s">
        <v>563</v>
      </c>
      <c r="G1347" s="138" t="s">
        <v>354</v>
      </c>
      <c r="H1347" s="138" t="s">
        <v>653</v>
      </c>
      <c r="I1347" s="139">
        <v>0</v>
      </c>
      <c r="K1347" s="96" t="str">
        <f t="shared" ref="K1347:K1410" si="53">F1347&amp;"-"&amp;G1347&amp;"-"&amp;H1347</f>
        <v>0003-1013-0047</v>
      </c>
      <c r="L1347" s="96" t="str">
        <f>VLOOKUP(K1347,COA!$A$3:$B$337,2,FALSE)</f>
        <v>N57</v>
      </c>
      <c r="M1347" s="96" t="str">
        <f t="shared" si="52"/>
        <v>N57</v>
      </c>
      <c r="N1347" s="96" t="str">
        <f>VLOOKUP(M1347,CAC!$A$2:$B$198,2,FALSE)</f>
        <v>PPOPMR</v>
      </c>
    </row>
    <row r="1348" spans="5:14" x14ac:dyDescent="0.25">
      <c r="E1348" s="136">
        <v>201606</v>
      </c>
      <c r="F1348" s="138" t="s">
        <v>405</v>
      </c>
      <c r="G1348" s="138" t="s">
        <v>362</v>
      </c>
      <c r="H1348" s="138" t="s">
        <v>342</v>
      </c>
      <c r="I1348" s="139">
        <v>0</v>
      </c>
      <c r="K1348" s="96" t="str">
        <f t="shared" si="53"/>
        <v>0019-1008-0031</v>
      </c>
      <c r="L1348" s="96" t="str">
        <f>VLOOKUP(K1348,COA!$A$3:$B$337,2,FALSE)</f>
        <v>P53</v>
      </c>
      <c r="M1348" s="96" t="str">
        <f t="shared" ref="M1348:M1411" si="54">IF(ISNA(L1348),"XXX",L1348)</f>
        <v>P53</v>
      </c>
      <c r="N1348" s="96" t="str">
        <f>VLOOKUP(M1348,CAC!$A$2:$B$198,2,FALSE)</f>
        <v>HMOPERA</v>
      </c>
    </row>
    <row r="1349" spans="5:14" x14ac:dyDescent="0.25">
      <c r="E1349" s="136">
        <v>201503</v>
      </c>
      <c r="F1349" s="138" t="s">
        <v>563</v>
      </c>
      <c r="G1349" s="138" t="s">
        <v>352</v>
      </c>
      <c r="H1349" s="138" t="s">
        <v>653</v>
      </c>
      <c r="I1349" s="139">
        <v>0</v>
      </c>
      <c r="K1349" s="96" t="str">
        <f t="shared" si="53"/>
        <v>0003-1004-0047</v>
      </c>
      <c r="L1349" s="96" t="str">
        <f>VLOOKUP(K1349,COA!$A$3:$B$337,2,FALSE)</f>
        <v>L57</v>
      </c>
      <c r="M1349" s="96" t="str">
        <f t="shared" si="54"/>
        <v>L57</v>
      </c>
      <c r="N1349" s="96" t="str">
        <f>VLOOKUP(M1349,CAC!$A$2:$B$198,2,FALSE)</f>
        <v>PPOLG</v>
      </c>
    </row>
    <row r="1350" spans="5:14" x14ac:dyDescent="0.25">
      <c r="E1350" s="136">
        <v>201710</v>
      </c>
      <c r="F1350" s="138" t="s">
        <v>746</v>
      </c>
      <c r="G1350" s="138" t="s">
        <v>354</v>
      </c>
      <c r="H1350" s="138" t="s">
        <v>344</v>
      </c>
      <c r="I1350" s="139">
        <v>108</v>
      </c>
      <c r="K1350" s="96" t="str">
        <f t="shared" si="53"/>
        <v>0016-1013-0012</v>
      </c>
      <c r="L1350" s="96" t="str">
        <f>VLOOKUP(K1350,COA!$A$3:$B$337,2,FALSE)</f>
        <v>R19</v>
      </c>
      <c r="M1350" s="96" t="str">
        <f t="shared" si="54"/>
        <v>R19</v>
      </c>
      <c r="N1350" s="96" t="str">
        <f>VLOOKUP(M1350,CAC!$A$2:$B$198,2,FALSE)</f>
        <v>HMOMG</v>
      </c>
    </row>
    <row r="1351" spans="5:14" x14ac:dyDescent="0.25">
      <c r="E1351" s="136">
        <v>201710</v>
      </c>
      <c r="F1351" s="138" t="s">
        <v>344</v>
      </c>
      <c r="G1351" s="138" t="s">
        <v>359</v>
      </c>
      <c r="H1351" s="138" t="s">
        <v>344</v>
      </c>
      <c r="I1351" s="139">
        <v>95</v>
      </c>
      <c r="K1351" s="96" t="str">
        <f t="shared" si="53"/>
        <v>0012-1005-0012</v>
      </c>
      <c r="L1351" s="96" t="str">
        <f>VLOOKUP(K1351,COA!$A$3:$B$337,2,FALSE)</f>
        <v>N13</v>
      </c>
      <c r="M1351" s="96" t="str">
        <f t="shared" si="54"/>
        <v>N13</v>
      </c>
      <c r="N1351" s="96" t="str">
        <f>VLOOKUP(M1351,CAC!$A$2:$B$198,2,FALSE)</f>
        <v>HMOLG</v>
      </c>
    </row>
    <row r="1352" spans="5:14" x14ac:dyDescent="0.25">
      <c r="E1352" s="136">
        <v>201701</v>
      </c>
      <c r="F1352" s="138" t="s">
        <v>345</v>
      </c>
      <c r="G1352" s="138" t="s">
        <v>362</v>
      </c>
      <c r="H1352" s="138" t="s">
        <v>364</v>
      </c>
      <c r="I1352" s="139">
        <v>48471.8</v>
      </c>
      <c r="K1352" s="96" t="str">
        <f t="shared" si="53"/>
        <v>0011-1008-0037</v>
      </c>
      <c r="L1352" s="96" t="str">
        <f>VLOOKUP(K1352,COA!$A$3:$B$337,2,FALSE)</f>
        <v>P12</v>
      </c>
      <c r="M1352" s="96" t="str">
        <f t="shared" si="54"/>
        <v>P12</v>
      </c>
      <c r="N1352" s="96" t="str">
        <f>VLOOKUP(M1352,CAC!$A$2:$B$198,2,FALSE)</f>
        <v>HMOPERA</v>
      </c>
    </row>
    <row r="1353" spans="5:14" x14ac:dyDescent="0.25">
      <c r="E1353" s="136">
        <v>201512</v>
      </c>
      <c r="F1353" s="138" t="s">
        <v>345</v>
      </c>
      <c r="G1353" s="138" t="s">
        <v>362</v>
      </c>
      <c r="H1353" s="138" t="s">
        <v>363</v>
      </c>
      <c r="I1353" s="139">
        <v>59214.080000000002</v>
      </c>
      <c r="K1353" s="96" t="str">
        <f t="shared" si="53"/>
        <v>0011-1008-0054</v>
      </c>
      <c r="L1353" s="96" t="str">
        <f>VLOOKUP(K1353,COA!$A$3:$B$337,2,FALSE)</f>
        <v>P23</v>
      </c>
      <c r="M1353" s="96" t="str">
        <f t="shared" si="54"/>
        <v>P23</v>
      </c>
      <c r="N1353" s="96" t="str">
        <f>VLOOKUP(M1353,CAC!$A$2:$B$198,2,FALSE)</f>
        <v>HMOPERN</v>
      </c>
    </row>
    <row r="1354" spans="5:14" x14ac:dyDescent="0.25">
      <c r="E1354" s="136">
        <v>201605</v>
      </c>
      <c r="F1354" s="138" t="s">
        <v>563</v>
      </c>
      <c r="G1354" s="138" t="s">
        <v>361</v>
      </c>
      <c r="H1354" s="138" t="s">
        <v>344</v>
      </c>
      <c r="I1354" s="139">
        <v>0</v>
      </c>
      <c r="K1354" s="96" t="str">
        <f t="shared" si="53"/>
        <v>0003-1003-0012</v>
      </c>
      <c r="L1354" s="96" t="str">
        <f>VLOOKUP(K1354,COA!$A$3:$B$337,2,FALSE)</f>
        <v>N61</v>
      </c>
      <c r="M1354" s="96" t="str">
        <f t="shared" si="54"/>
        <v>N61</v>
      </c>
      <c r="N1354" s="96" t="str">
        <f>VLOOKUP(M1354,CAC!$A$2:$B$198,2,FALSE)</f>
        <v>PPOPMR</v>
      </c>
    </row>
    <row r="1355" spans="5:14" x14ac:dyDescent="0.25">
      <c r="E1355" s="136">
        <v>201601</v>
      </c>
      <c r="F1355" s="138" t="s">
        <v>349</v>
      </c>
      <c r="G1355" s="138" t="s">
        <v>369</v>
      </c>
      <c r="H1355" s="138" t="s">
        <v>764</v>
      </c>
      <c r="I1355" s="139">
        <v>3</v>
      </c>
      <c r="K1355" s="96" t="str">
        <f t="shared" si="53"/>
        <v>0017-1009-0064</v>
      </c>
      <c r="L1355" s="96" t="str">
        <f>VLOOKUP(K1355,COA!$A$3:$B$337,2,FALSE)</f>
        <v>R15</v>
      </c>
      <c r="M1355" s="96" t="str">
        <f t="shared" si="54"/>
        <v>R15</v>
      </c>
      <c r="N1355" s="96" t="str">
        <f>VLOOKUP(M1355,CAC!$A$2:$B$198,2,FALSE)</f>
        <v>HMOMM</v>
      </c>
    </row>
    <row r="1356" spans="5:14" x14ac:dyDescent="0.25">
      <c r="E1356" s="136">
        <v>201506</v>
      </c>
      <c r="F1356" s="138" t="s">
        <v>345</v>
      </c>
      <c r="G1356" s="138" t="s">
        <v>354</v>
      </c>
      <c r="H1356" s="138" t="s">
        <v>344</v>
      </c>
      <c r="I1356" s="139">
        <v>95.6</v>
      </c>
      <c r="K1356" s="96" t="str">
        <f t="shared" si="53"/>
        <v>0011-1013-0012</v>
      </c>
      <c r="L1356" s="96" t="str">
        <f>VLOOKUP(K1356,COA!$A$3:$B$337,2,FALSE)</f>
        <v>N20</v>
      </c>
      <c r="M1356" s="96" t="str">
        <f t="shared" si="54"/>
        <v>N20</v>
      </c>
      <c r="N1356" s="96" t="str">
        <f>VLOOKUP(M1356,CAC!$A$2:$B$198,2,FALSE)</f>
        <v>HMOPMR</v>
      </c>
    </row>
    <row r="1357" spans="5:14" x14ac:dyDescent="0.25">
      <c r="E1357" s="136">
        <v>201508</v>
      </c>
      <c r="F1357" s="138" t="s">
        <v>345</v>
      </c>
      <c r="G1357" s="138" t="s">
        <v>355</v>
      </c>
      <c r="H1357" s="138" t="s">
        <v>344</v>
      </c>
      <c r="I1357" s="139">
        <v>24597.74</v>
      </c>
      <c r="K1357" s="96" t="str">
        <f t="shared" si="53"/>
        <v>0011-1006-0012</v>
      </c>
      <c r="L1357" s="96" t="str">
        <f>VLOOKUP(K1357,COA!$A$3:$B$337,2,FALSE)</f>
        <v>L13</v>
      </c>
      <c r="M1357" s="96" t="str">
        <f t="shared" si="54"/>
        <v>L13</v>
      </c>
      <c r="N1357" s="96" t="str">
        <f>VLOOKUP(M1357,CAC!$A$2:$B$198,2,FALSE)</f>
        <v>HMOLG</v>
      </c>
    </row>
    <row r="1358" spans="5:14" x14ac:dyDescent="0.25">
      <c r="E1358" s="136">
        <v>201801</v>
      </c>
      <c r="F1358" s="138" t="s">
        <v>344</v>
      </c>
      <c r="G1358" s="138" t="s">
        <v>361</v>
      </c>
      <c r="H1358" s="138" t="s">
        <v>344</v>
      </c>
      <c r="I1358" s="139">
        <v>9846.8700000000008</v>
      </c>
      <c r="K1358" s="96" t="str">
        <f t="shared" si="53"/>
        <v>0012-1003-0012</v>
      </c>
      <c r="L1358" s="96" t="str">
        <f>VLOOKUP(K1358,COA!$A$3:$B$337,2,FALSE)</f>
        <v>N15</v>
      </c>
      <c r="M1358" s="96" t="str">
        <f t="shared" si="54"/>
        <v>N15</v>
      </c>
      <c r="N1358" s="96" t="str">
        <f>VLOOKUP(M1358,CAC!$A$2:$B$198,2,FALSE)</f>
        <v>HMOPMR</v>
      </c>
    </row>
    <row r="1359" spans="5:14" x14ac:dyDescent="0.25">
      <c r="E1359" s="136">
        <v>201710</v>
      </c>
      <c r="F1359" s="138" t="s">
        <v>344</v>
      </c>
      <c r="G1359" s="138" t="s">
        <v>361</v>
      </c>
      <c r="H1359" s="138" t="s">
        <v>344</v>
      </c>
      <c r="I1359" s="139">
        <v>9737.27</v>
      </c>
      <c r="K1359" s="96" t="str">
        <f t="shared" si="53"/>
        <v>0012-1003-0012</v>
      </c>
      <c r="L1359" s="96" t="str">
        <f>VLOOKUP(K1359,COA!$A$3:$B$337,2,FALSE)</f>
        <v>N15</v>
      </c>
      <c r="M1359" s="96" t="str">
        <f t="shared" si="54"/>
        <v>N15</v>
      </c>
      <c r="N1359" s="96" t="str">
        <f>VLOOKUP(M1359,CAC!$A$2:$B$198,2,FALSE)</f>
        <v>HMOPMR</v>
      </c>
    </row>
    <row r="1360" spans="5:14" x14ac:dyDescent="0.25">
      <c r="E1360" s="136">
        <v>201704</v>
      </c>
      <c r="F1360" s="138" t="s">
        <v>563</v>
      </c>
      <c r="G1360" s="138" t="s">
        <v>350</v>
      </c>
      <c r="H1360" s="138" t="s">
        <v>344</v>
      </c>
      <c r="I1360" s="139">
        <v>0</v>
      </c>
      <c r="K1360" s="96" t="str">
        <f t="shared" si="53"/>
        <v>0003-1012-0012</v>
      </c>
      <c r="L1360" s="96" t="str">
        <f>VLOOKUP(K1360,COA!$A$3:$B$337,2,FALSE)</f>
        <v>K51</v>
      </c>
      <c r="M1360" s="96" t="str">
        <f t="shared" si="54"/>
        <v>K51</v>
      </c>
      <c r="N1360" s="96" t="str">
        <f>VLOOKUP(M1360,CAC!$A$2:$B$198,2,FALSE)</f>
        <v>PPOPMR</v>
      </c>
    </row>
    <row r="1361" spans="5:14" x14ac:dyDescent="0.25">
      <c r="E1361" s="136">
        <v>201712</v>
      </c>
      <c r="F1361" s="138" t="s">
        <v>405</v>
      </c>
      <c r="G1361" s="138" t="s">
        <v>362</v>
      </c>
      <c r="H1361" s="138" t="s">
        <v>342</v>
      </c>
      <c r="I1361" s="139">
        <v>0</v>
      </c>
      <c r="K1361" s="96" t="str">
        <f t="shared" si="53"/>
        <v>0019-1008-0031</v>
      </c>
      <c r="L1361" s="96" t="str">
        <f>VLOOKUP(K1361,COA!$A$3:$B$337,2,FALSE)</f>
        <v>P53</v>
      </c>
      <c r="M1361" s="96" t="str">
        <f t="shared" si="54"/>
        <v>P53</v>
      </c>
      <c r="N1361" s="96" t="str">
        <f>VLOOKUP(M1361,CAC!$A$2:$B$198,2,FALSE)</f>
        <v>HMOPERA</v>
      </c>
    </row>
    <row r="1362" spans="5:14" x14ac:dyDescent="0.25">
      <c r="E1362" s="136">
        <v>201711</v>
      </c>
      <c r="F1362" s="138" t="s">
        <v>563</v>
      </c>
      <c r="G1362" s="138" t="s">
        <v>369</v>
      </c>
      <c r="H1362" s="138" t="s">
        <v>353</v>
      </c>
      <c r="I1362" s="139">
        <v>0</v>
      </c>
      <c r="K1362" s="96" t="str">
        <f t="shared" si="53"/>
        <v>0003-1009-0023</v>
      </c>
      <c r="L1362" s="96" t="e">
        <f>VLOOKUP(K1362,COA!$A$3:$B$337,2,FALSE)</f>
        <v>#N/A</v>
      </c>
      <c r="M1362" s="96" t="str">
        <f t="shared" si="54"/>
        <v>XXX</v>
      </c>
      <c r="N1362" s="96" t="str">
        <f>VLOOKUP(M1362,CAC!$A$2:$B$198,2,FALSE)</f>
        <v>XXX</v>
      </c>
    </row>
    <row r="1363" spans="5:14" x14ac:dyDescent="0.25">
      <c r="E1363" s="136">
        <v>201712</v>
      </c>
      <c r="F1363" s="138" t="s">
        <v>344</v>
      </c>
      <c r="G1363" s="138" t="s">
        <v>352</v>
      </c>
      <c r="H1363" s="138" t="s">
        <v>344</v>
      </c>
      <c r="I1363" s="139">
        <v>1148</v>
      </c>
      <c r="K1363" s="96" t="str">
        <f t="shared" si="53"/>
        <v>0012-1004-0012</v>
      </c>
      <c r="L1363" s="96" t="str">
        <f>VLOOKUP(K1363,COA!$A$3:$B$337,2,FALSE)</f>
        <v>L12</v>
      </c>
      <c r="M1363" s="96" t="str">
        <f t="shared" si="54"/>
        <v>L12</v>
      </c>
      <c r="N1363" s="96" t="str">
        <f>VLOOKUP(M1363,CAC!$A$2:$B$198,2,FALSE)</f>
        <v>HMOLG</v>
      </c>
    </row>
    <row r="1364" spans="5:14" x14ac:dyDescent="0.25">
      <c r="E1364" s="136">
        <v>201502</v>
      </c>
      <c r="F1364" s="138" t="s">
        <v>563</v>
      </c>
      <c r="G1364" s="138" t="s">
        <v>359</v>
      </c>
      <c r="H1364" s="138" t="s">
        <v>344</v>
      </c>
      <c r="I1364" s="139">
        <v>0</v>
      </c>
      <c r="K1364" s="96" t="str">
        <f t="shared" si="53"/>
        <v>0003-1005-0012</v>
      </c>
      <c r="L1364" s="96" t="str">
        <f>VLOOKUP(K1364,COA!$A$3:$B$337,2,FALSE)</f>
        <v>N51</v>
      </c>
      <c r="M1364" s="96" t="str">
        <f t="shared" si="54"/>
        <v>N51</v>
      </c>
      <c r="N1364" s="96" t="str">
        <f>VLOOKUP(M1364,CAC!$A$2:$B$198,2,FALSE)</f>
        <v>PPOLG</v>
      </c>
    </row>
    <row r="1365" spans="5:14" x14ac:dyDescent="0.25">
      <c r="E1365" s="136">
        <v>201604</v>
      </c>
      <c r="F1365" s="138" t="s">
        <v>413</v>
      </c>
      <c r="G1365" s="138" t="s">
        <v>365</v>
      </c>
      <c r="H1365" s="138" t="s">
        <v>411</v>
      </c>
      <c r="I1365" s="139">
        <v>0</v>
      </c>
      <c r="K1365" s="96" t="str">
        <f t="shared" si="53"/>
        <v>0008-1001-0007</v>
      </c>
      <c r="L1365" s="96" t="str">
        <f>VLOOKUP(K1365,COA!$A$3:$B$337,2,FALSE)</f>
        <v>C99</v>
      </c>
      <c r="M1365" s="96" t="str">
        <f t="shared" si="54"/>
        <v>C99</v>
      </c>
      <c r="N1365" s="96" t="str">
        <f>VLOOKUP(M1365,CAC!$A$2:$B$198,2,FALSE)</f>
        <v>DOIIFP</v>
      </c>
    </row>
    <row r="1366" spans="5:14" x14ac:dyDescent="0.25">
      <c r="E1366" s="136">
        <v>201601</v>
      </c>
      <c r="F1366" s="138" t="s">
        <v>563</v>
      </c>
      <c r="G1366" s="138" t="s">
        <v>352</v>
      </c>
      <c r="H1366" s="138" t="s">
        <v>344</v>
      </c>
      <c r="I1366" s="139">
        <v>0</v>
      </c>
      <c r="K1366" s="96" t="str">
        <f t="shared" si="53"/>
        <v>0003-1004-0012</v>
      </c>
      <c r="L1366" s="96" t="str">
        <f>VLOOKUP(K1366,COA!$A$3:$B$337,2,FALSE)</f>
        <v>L51</v>
      </c>
      <c r="M1366" s="96" t="str">
        <f t="shared" si="54"/>
        <v>L51</v>
      </c>
      <c r="N1366" s="96" t="str">
        <f>VLOOKUP(M1366,CAC!$A$2:$B$198,2,FALSE)</f>
        <v>PPOLG</v>
      </c>
    </row>
    <row r="1367" spans="5:14" x14ac:dyDescent="0.25">
      <c r="E1367" s="136">
        <v>201801</v>
      </c>
      <c r="F1367" s="138" t="s">
        <v>345</v>
      </c>
      <c r="G1367" s="138" t="s">
        <v>350</v>
      </c>
      <c r="H1367" s="138" t="s">
        <v>344</v>
      </c>
      <c r="I1367" s="139">
        <v>38031.54</v>
      </c>
      <c r="K1367" s="96" t="str">
        <f t="shared" si="53"/>
        <v>0011-1012-0012</v>
      </c>
      <c r="L1367" s="96" t="str">
        <f>VLOOKUP(K1367,COA!$A$3:$B$337,2,FALSE)</f>
        <v>K11</v>
      </c>
      <c r="M1367" s="96" t="str">
        <f t="shared" si="54"/>
        <v>K11</v>
      </c>
      <c r="N1367" s="96" t="str">
        <f>VLOOKUP(M1367,CAC!$A$2:$B$198,2,FALSE)</f>
        <v>HMOPMR</v>
      </c>
    </row>
    <row r="1368" spans="5:14" x14ac:dyDescent="0.25">
      <c r="E1368" s="136">
        <v>201711</v>
      </c>
      <c r="F1368" s="138" t="s">
        <v>549</v>
      </c>
      <c r="G1368" s="138" t="s">
        <v>352</v>
      </c>
      <c r="H1368" s="138" t="s">
        <v>672</v>
      </c>
      <c r="I1368" s="139">
        <v>0</v>
      </c>
      <c r="K1368" s="96" t="str">
        <f t="shared" si="53"/>
        <v>0026-1004-0058</v>
      </c>
      <c r="L1368" s="96" t="str">
        <f>VLOOKUP(K1368,COA!$A$3:$B$337,2,FALSE)</f>
        <v>L44</v>
      </c>
      <c r="M1368" s="96" t="str">
        <f t="shared" si="54"/>
        <v>L44</v>
      </c>
      <c r="N1368" s="96" t="e">
        <f>VLOOKUP(M1368,CAC!$A$2:$B$198,2,FALSE)</f>
        <v>#N/A</v>
      </c>
    </row>
    <row r="1369" spans="5:14" x14ac:dyDescent="0.25">
      <c r="E1369" s="136">
        <v>201706</v>
      </c>
      <c r="F1369" s="138" t="s">
        <v>344</v>
      </c>
      <c r="G1369" s="138" t="s">
        <v>355</v>
      </c>
      <c r="H1369" s="138" t="s">
        <v>344</v>
      </c>
      <c r="I1369" s="139">
        <v>54</v>
      </c>
      <c r="K1369" s="96" t="str">
        <f t="shared" si="53"/>
        <v>0012-1006-0012</v>
      </c>
      <c r="L1369" s="96" t="str">
        <f>VLOOKUP(K1369,COA!$A$3:$B$337,2,FALSE)</f>
        <v>L16</v>
      </c>
      <c r="M1369" s="96" t="str">
        <f t="shared" si="54"/>
        <v>L16</v>
      </c>
      <c r="N1369" s="96" t="str">
        <f>VLOOKUP(M1369,CAC!$A$2:$B$198,2,FALSE)</f>
        <v>HMOLG</v>
      </c>
    </row>
    <row r="1370" spans="5:14" x14ac:dyDescent="0.25">
      <c r="E1370" s="136">
        <v>201701</v>
      </c>
      <c r="F1370" s="138" t="s">
        <v>344</v>
      </c>
      <c r="G1370" s="138" t="s">
        <v>354</v>
      </c>
      <c r="H1370" s="138" t="s">
        <v>344</v>
      </c>
      <c r="I1370" s="139">
        <v>282</v>
      </c>
      <c r="K1370" s="96" t="str">
        <f t="shared" si="53"/>
        <v>0012-1013-0012</v>
      </c>
      <c r="L1370" s="96" t="str">
        <f>VLOOKUP(K1370,COA!$A$3:$B$337,2,FALSE)</f>
        <v>N14</v>
      </c>
      <c r="M1370" s="96" t="str">
        <f t="shared" si="54"/>
        <v>N14</v>
      </c>
      <c r="N1370" s="96" t="str">
        <f>VLOOKUP(M1370,CAC!$A$2:$B$198,2,FALSE)</f>
        <v>HMOPMR</v>
      </c>
    </row>
    <row r="1371" spans="5:14" x14ac:dyDescent="0.25">
      <c r="E1371" s="136">
        <v>201601</v>
      </c>
      <c r="F1371" s="138" t="s">
        <v>413</v>
      </c>
      <c r="G1371" s="138" t="s">
        <v>365</v>
      </c>
      <c r="H1371" s="138" t="s">
        <v>411</v>
      </c>
      <c r="I1371" s="139">
        <v>0</v>
      </c>
      <c r="K1371" s="96" t="str">
        <f t="shared" si="53"/>
        <v>0008-1001-0007</v>
      </c>
      <c r="L1371" s="96" t="str">
        <f>VLOOKUP(K1371,COA!$A$3:$B$337,2,FALSE)</f>
        <v>C99</v>
      </c>
      <c r="M1371" s="96" t="str">
        <f t="shared" si="54"/>
        <v>C99</v>
      </c>
      <c r="N1371" s="96" t="str">
        <f>VLOOKUP(M1371,CAC!$A$2:$B$198,2,FALSE)</f>
        <v>DOIIFP</v>
      </c>
    </row>
    <row r="1372" spans="5:14" x14ac:dyDescent="0.25">
      <c r="E1372" s="136">
        <v>201609</v>
      </c>
      <c r="F1372" s="138" t="s">
        <v>552</v>
      </c>
      <c r="G1372" s="138" t="s">
        <v>356</v>
      </c>
      <c r="H1372" s="138" t="s">
        <v>672</v>
      </c>
      <c r="I1372" s="139">
        <v>0</v>
      </c>
      <c r="K1372" s="96" t="str">
        <f t="shared" si="53"/>
        <v>0027-1002-0058</v>
      </c>
      <c r="L1372" s="96" t="str">
        <f>VLOOKUP(K1372,COA!$A$3:$B$337,2,FALSE)</f>
        <v>L45</v>
      </c>
      <c r="M1372" s="96" t="str">
        <f t="shared" si="54"/>
        <v>L45</v>
      </c>
      <c r="N1372" s="96" t="e">
        <f>VLOOKUP(M1372,CAC!$A$2:$B$198,2,FALSE)</f>
        <v>#N/A</v>
      </c>
    </row>
    <row r="1373" spans="5:14" x14ac:dyDescent="0.25">
      <c r="E1373" s="136">
        <v>201705</v>
      </c>
      <c r="F1373" s="138" t="s">
        <v>344</v>
      </c>
      <c r="G1373" s="138" t="s">
        <v>350</v>
      </c>
      <c r="H1373" s="138" t="s">
        <v>344</v>
      </c>
      <c r="I1373" s="139">
        <v>29</v>
      </c>
      <c r="K1373" s="96" t="str">
        <f t="shared" si="53"/>
        <v>0012-1012-0012</v>
      </c>
      <c r="L1373" s="96" t="str">
        <f>VLOOKUP(K1373,COA!$A$3:$B$337,2,FALSE)</f>
        <v>K12</v>
      </c>
      <c r="M1373" s="96" t="str">
        <f t="shared" si="54"/>
        <v>K12</v>
      </c>
      <c r="N1373" s="96" t="str">
        <f>VLOOKUP(M1373,CAC!$A$2:$B$198,2,FALSE)</f>
        <v>HMOPMR</v>
      </c>
    </row>
    <row r="1374" spans="5:14" x14ac:dyDescent="0.25">
      <c r="E1374" s="136">
        <v>201505</v>
      </c>
      <c r="F1374" s="138" t="s">
        <v>746</v>
      </c>
      <c r="G1374" s="138" t="s">
        <v>356</v>
      </c>
      <c r="H1374" s="138" t="s">
        <v>344</v>
      </c>
      <c r="I1374" s="139">
        <v>122</v>
      </c>
      <c r="K1374" s="96" t="str">
        <f t="shared" si="53"/>
        <v>0016-1002-0012</v>
      </c>
      <c r="L1374" s="96" t="str">
        <f>VLOOKUP(K1374,COA!$A$3:$B$337,2,FALSE)</f>
        <v>R18</v>
      </c>
      <c r="M1374" s="96" t="str">
        <f t="shared" si="54"/>
        <v>R18</v>
      </c>
      <c r="N1374" s="96" t="str">
        <f>VLOOKUP(M1374,CAC!$A$2:$B$198,2,FALSE)</f>
        <v>HMOMG</v>
      </c>
    </row>
    <row r="1375" spans="5:14" x14ac:dyDescent="0.25">
      <c r="E1375" s="136">
        <v>201711</v>
      </c>
      <c r="F1375" s="138" t="s">
        <v>345</v>
      </c>
      <c r="G1375" s="138" t="s">
        <v>352</v>
      </c>
      <c r="H1375" s="138" t="s">
        <v>344</v>
      </c>
      <c r="I1375" s="139">
        <v>13733.95</v>
      </c>
      <c r="K1375" s="96" t="str">
        <f t="shared" si="53"/>
        <v>0011-1004-0012</v>
      </c>
      <c r="L1375" s="96" t="str">
        <f>VLOOKUP(K1375,COA!$A$3:$B$337,2,FALSE)</f>
        <v>L11</v>
      </c>
      <c r="M1375" s="96" t="str">
        <f t="shared" si="54"/>
        <v>L11</v>
      </c>
      <c r="N1375" s="96" t="str">
        <f>VLOOKUP(M1375,CAC!$A$2:$B$198,2,FALSE)</f>
        <v>HMOLG</v>
      </c>
    </row>
    <row r="1376" spans="5:14" x14ac:dyDescent="0.25">
      <c r="E1376" s="136">
        <v>201706</v>
      </c>
      <c r="F1376" s="138" t="s">
        <v>563</v>
      </c>
      <c r="G1376" s="138" t="s">
        <v>365</v>
      </c>
      <c r="H1376" s="138" t="s">
        <v>798</v>
      </c>
      <c r="I1376" s="139">
        <v>0</v>
      </c>
      <c r="K1376" s="96" t="str">
        <f t="shared" si="53"/>
        <v>0003-1001-0065</v>
      </c>
      <c r="L1376" s="96" t="str">
        <f>VLOOKUP(K1376,COA!$A$3:$B$337,2,FALSE)</f>
        <v>V55</v>
      </c>
      <c r="M1376" s="96" t="str">
        <f t="shared" si="54"/>
        <v>V55</v>
      </c>
      <c r="N1376" s="96" t="e">
        <f>VLOOKUP(M1376,CAC!$A$2:$B$198,2,FALSE)</f>
        <v>#N/A</v>
      </c>
    </row>
    <row r="1377" spans="5:14" x14ac:dyDescent="0.25">
      <c r="E1377" s="136">
        <v>201712</v>
      </c>
      <c r="F1377" s="138" t="s">
        <v>344</v>
      </c>
      <c r="G1377" s="138" t="s">
        <v>361</v>
      </c>
      <c r="H1377" s="138" t="s">
        <v>344</v>
      </c>
      <c r="I1377" s="139">
        <v>9907.19</v>
      </c>
      <c r="K1377" s="96" t="str">
        <f t="shared" si="53"/>
        <v>0012-1003-0012</v>
      </c>
      <c r="L1377" s="96" t="str">
        <f>VLOOKUP(K1377,COA!$A$3:$B$337,2,FALSE)</f>
        <v>N15</v>
      </c>
      <c r="M1377" s="96" t="str">
        <f t="shared" si="54"/>
        <v>N15</v>
      </c>
      <c r="N1377" s="96" t="str">
        <f>VLOOKUP(M1377,CAC!$A$2:$B$198,2,FALSE)</f>
        <v>HMOPMR</v>
      </c>
    </row>
    <row r="1378" spans="5:14" x14ac:dyDescent="0.25">
      <c r="E1378" s="136">
        <v>201801</v>
      </c>
      <c r="F1378" s="138" t="s">
        <v>345</v>
      </c>
      <c r="G1378" s="138" t="s">
        <v>346</v>
      </c>
      <c r="H1378" s="138" t="s">
        <v>360</v>
      </c>
      <c r="I1378" s="139">
        <v>366</v>
      </c>
      <c r="K1378" s="96" t="str">
        <f t="shared" si="53"/>
        <v>0011-1014-0048</v>
      </c>
      <c r="L1378" s="96" t="str">
        <f>VLOOKUP(K1378,COA!$A$3:$B$337,2,FALSE)</f>
        <v>K23</v>
      </c>
      <c r="M1378" s="96" t="str">
        <f t="shared" si="54"/>
        <v>K23</v>
      </c>
      <c r="N1378" s="96" t="str">
        <f>VLOOKUP(M1378,CAC!$A$2:$B$198,2,FALSE)</f>
        <v>HMFLEX</v>
      </c>
    </row>
    <row r="1379" spans="5:14" x14ac:dyDescent="0.25">
      <c r="E1379" s="136">
        <v>201706</v>
      </c>
      <c r="F1379" s="138" t="s">
        <v>549</v>
      </c>
      <c r="G1379" s="138" t="s">
        <v>352</v>
      </c>
      <c r="H1379" s="138" t="s">
        <v>672</v>
      </c>
      <c r="I1379" s="139">
        <v>0</v>
      </c>
      <c r="K1379" s="96" t="str">
        <f t="shared" si="53"/>
        <v>0026-1004-0058</v>
      </c>
      <c r="L1379" s="96" t="str">
        <f>VLOOKUP(K1379,COA!$A$3:$B$337,2,FALSE)</f>
        <v>L44</v>
      </c>
      <c r="M1379" s="96" t="str">
        <f t="shared" si="54"/>
        <v>L44</v>
      </c>
      <c r="N1379" s="96" t="e">
        <f>VLOOKUP(M1379,CAC!$A$2:$B$198,2,FALSE)</f>
        <v>#N/A</v>
      </c>
    </row>
    <row r="1380" spans="5:14" x14ac:dyDescent="0.25">
      <c r="E1380" s="136">
        <v>201703</v>
      </c>
      <c r="F1380" s="138" t="s">
        <v>746</v>
      </c>
      <c r="G1380" s="138" t="s">
        <v>354</v>
      </c>
      <c r="H1380" s="138" t="s">
        <v>344</v>
      </c>
      <c r="I1380" s="139">
        <v>79</v>
      </c>
      <c r="K1380" s="96" t="str">
        <f t="shared" si="53"/>
        <v>0016-1013-0012</v>
      </c>
      <c r="L1380" s="96" t="str">
        <f>VLOOKUP(K1380,COA!$A$3:$B$337,2,FALSE)</f>
        <v>R19</v>
      </c>
      <c r="M1380" s="96" t="str">
        <f t="shared" si="54"/>
        <v>R19</v>
      </c>
      <c r="N1380" s="96" t="str">
        <f>VLOOKUP(M1380,CAC!$A$2:$B$198,2,FALSE)</f>
        <v>HMOMG</v>
      </c>
    </row>
    <row r="1381" spans="5:14" x14ac:dyDescent="0.25">
      <c r="E1381" s="136">
        <v>201606</v>
      </c>
      <c r="F1381" s="138" t="s">
        <v>563</v>
      </c>
      <c r="G1381" s="138" t="s">
        <v>350</v>
      </c>
      <c r="H1381" s="138" t="s">
        <v>626</v>
      </c>
      <c r="I1381" s="139">
        <v>0</v>
      </c>
      <c r="K1381" s="96" t="str">
        <f t="shared" si="53"/>
        <v>0003-1012-0057</v>
      </c>
      <c r="L1381" s="96" t="str">
        <f>VLOOKUP(K1381,COA!$A$3:$B$337,2,FALSE)</f>
        <v>K51</v>
      </c>
      <c r="M1381" s="96" t="str">
        <f t="shared" si="54"/>
        <v>K51</v>
      </c>
      <c r="N1381" s="96" t="str">
        <f>VLOOKUP(M1381,CAC!$A$2:$B$198,2,FALSE)</f>
        <v>PPOPMR</v>
      </c>
    </row>
    <row r="1382" spans="5:14" x14ac:dyDescent="0.25">
      <c r="E1382" s="136">
        <v>201708</v>
      </c>
      <c r="F1382" s="138" t="s">
        <v>563</v>
      </c>
      <c r="G1382" s="138" t="s">
        <v>352</v>
      </c>
      <c r="H1382" s="138" t="s">
        <v>344</v>
      </c>
      <c r="I1382" s="139">
        <v>0</v>
      </c>
      <c r="K1382" s="96" t="str">
        <f t="shared" si="53"/>
        <v>0003-1004-0012</v>
      </c>
      <c r="L1382" s="96" t="str">
        <f>VLOOKUP(K1382,COA!$A$3:$B$337,2,FALSE)</f>
        <v>L51</v>
      </c>
      <c r="M1382" s="96" t="str">
        <f t="shared" si="54"/>
        <v>L51</v>
      </c>
      <c r="N1382" s="96" t="str">
        <f>VLOOKUP(M1382,CAC!$A$2:$B$198,2,FALSE)</f>
        <v>PPOLG</v>
      </c>
    </row>
    <row r="1383" spans="5:14" x14ac:dyDescent="0.25">
      <c r="E1383" s="136">
        <v>201710</v>
      </c>
      <c r="F1383" s="138" t="s">
        <v>349</v>
      </c>
      <c r="G1383" s="138" t="s">
        <v>369</v>
      </c>
      <c r="H1383" s="138" t="s">
        <v>764</v>
      </c>
      <c r="I1383" s="139">
        <v>5312</v>
      </c>
      <c r="K1383" s="96" t="str">
        <f t="shared" si="53"/>
        <v>0017-1009-0064</v>
      </c>
      <c r="L1383" s="96" t="str">
        <f>VLOOKUP(K1383,COA!$A$3:$B$337,2,FALSE)</f>
        <v>R15</v>
      </c>
      <c r="M1383" s="96" t="str">
        <f t="shared" si="54"/>
        <v>R15</v>
      </c>
      <c r="N1383" s="96" t="str">
        <f>VLOOKUP(M1383,CAC!$A$2:$B$198,2,FALSE)</f>
        <v>HMOMM</v>
      </c>
    </row>
    <row r="1384" spans="5:14" x14ac:dyDescent="0.25">
      <c r="E1384" s="136">
        <v>201510</v>
      </c>
      <c r="F1384" s="138" t="s">
        <v>506</v>
      </c>
      <c r="G1384" s="138" t="s">
        <v>350</v>
      </c>
      <c r="H1384" s="138" t="s">
        <v>592</v>
      </c>
      <c r="I1384" s="139">
        <v>0</v>
      </c>
      <c r="K1384" s="96" t="str">
        <f t="shared" si="53"/>
        <v>0013-1012-0035</v>
      </c>
      <c r="L1384" s="96" t="str">
        <f>VLOOKUP(K1384,COA!$A$3:$B$337,2,FALSE)</f>
        <v>K41</v>
      </c>
      <c r="M1384" s="96" t="str">
        <f t="shared" si="54"/>
        <v>K41</v>
      </c>
      <c r="N1384" s="96" t="e">
        <f>VLOOKUP(M1384,CAC!$A$2:$B$198,2,FALSE)</f>
        <v>#N/A</v>
      </c>
    </row>
    <row r="1385" spans="5:14" x14ac:dyDescent="0.25">
      <c r="E1385" s="136">
        <v>201708</v>
      </c>
      <c r="F1385" s="138" t="s">
        <v>746</v>
      </c>
      <c r="G1385" s="138" t="s">
        <v>356</v>
      </c>
      <c r="H1385" s="138" t="s">
        <v>344</v>
      </c>
      <c r="I1385" s="139">
        <v>140</v>
      </c>
      <c r="K1385" s="96" t="str">
        <f t="shared" si="53"/>
        <v>0016-1002-0012</v>
      </c>
      <c r="L1385" s="96" t="str">
        <f>VLOOKUP(K1385,COA!$A$3:$B$337,2,FALSE)</f>
        <v>R18</v>
      </c>
      <c r="M1385" s="96" t="str">
        <f t="shared" si="54"/>
        <v>R18</v>
      </c>
      <c r="N1385" s="96" t="str">
        <f>VLOOKUP(M1385,CAC!$A$2:$B$198,2,FALSE)</f>
        <v>HMOMG</v>
      </c>
    </row>
    <row r="1386" spans="5:14" x14ac:dyDescent="0.25">
      <c r="E1386" s="136">
        <v>201502</v>
      </c>
      <c r="F1386" s="138" t="s">
        <v>746</v>
      </c>
      <c r="G1386" s="138" t="s">
        <v>361</v>
      </c>
      <c r="H1386" s="138" t="s">
        <v>344</v>
      </c>
      <c r="I1386" s="139">
        <v>437</v>
      </c>
      <c r="K1386" s="96" t="str">
        <f t="shared" si="53"/>
        <v>0016-1003-0012</v>
      </c>
      <c r="L1386" s="96" t="str">
        <f>VLOOKUP(K1386,COA!$A$3:$B$337,2,FALSE)</f>
        <v>R18</v>
      </c>
      <c r="M1386" s="96" t="str">
        <f t="shared" si="54"/>
        <v>R18</v>
      </c>
      <c r="N1386" s="96" t="str">
        <f>VLOOKUP(M1386,CAC!$A$2:$B$198,2,FALSE)</f>
        <v>HMOMG</v>
      </c>
    </row>
    <row r="1387" spans="5:14" x14ac:dyDescent="0.25">
      <c r="E1387" s="136">
        <v>201512</v>
      </c>
      <c r="F1387" s="138" t="s">
        <v>345</v>
      </c>
      <c r="G1387" s="138" t="s">
        <v>354</v>
      </c>
      <c r="H1387" s="138" t="s">
        <v>344</v>
      </c>
      <c r="I1387" s="139">
        <v>6602.58</v>
      </c>
      <c r="K1387" s="96" t="str">
        <f t="shared" si="53"/>
        <v>0011-1013-0012</v>
      </c>
      <c r="L1387" s="96" t="str">
        <f>VLOOKUP(K1387,COA!$A$3:$B$337,2,FALSE)</f>
        <v>N20</v>
      </c>
      <c r="M1387" s="96" t="str">
        <f t="shared" si="54"/>
        <v>N20</v>
      </c>
      <c r="N1387" s="96" t="str">
        <f>VLOOKUP(M1387,CAC!$A$2:$B$198,2,FALSE)</f>
        <v>HMOPMR</v>
      </c>
    </row>
    <row r="1388" spans="5:14" x14ac:dyDescent="0.25">
      <c r="E1388" s="136">
        <v>201512</v>
      </c>
      <c r="F1388" s="138" t="s">
        <v>563</v>
      </c>
      <c r="G1388" s="138" t="s">
        <v>365</v>
      </c>
      <c r="H1388" s="138" t="s">
        <v>366</v>
      </c>
      <c r="I1388" s="139">
        <v>0</v>
      </c>
      <c r="K1388" s="96" t="str">
        <f t="shared" si="53"/>
        <v>0003-1001-0021</v>
      </c>
      <c r="L1388" s="96" t="str">
        <f>VLOOKUP(K1388,COA!$A$3:$B$337,2,FALSE)</f>
        <v>V53</v>
      </c>
      <c r="M1388" s="96" t="str">
        <f t="shared" si="54"/>
        <v>V53</v>
      </c>
      <c r="N1388" s="96" t="str">
        <f>VLOOKUP(M1388,CAC!$A$2:$B$198,2,FALSE)</f>
        <v>PPOIFP</v>
      </c>
    </row>
    <row r="1389" spans="5:14" x14ac:dyDescent="0.25">
      <c r="E1389" s="136">
        <v>201602</v>
      </c>
      <c r="F1389" s="138" t="s">
        <v>345</v>
      </c>
      <c r="G1389" s="138" t="s">
        <v>350</v>
      </c>
      <c r="H1389" s="138" t="s">
        <v>344</v>
      </c>
      <c r="I1389" s="139">
        <v>14995.24</v>
      </c>
      <c r="K1389" s="96" t="str">
        <f t="shared" si="53"/>
        <v>0011-1012-0012</v>
      </c>
      <c r="L1389" s="96" t="str">
        <f>VLOOKUP(K1389,COA!$A$3:$B$337,2,FALSE)</f>
        <v>K11</v>
      </c>
      <c r="M1389" s="96" t="str">
        <f t="shared" si="54"/>
        <v>K11</v>
      </c>
      <c r="N1389" s="96" t="str">
        <f>VLOOKUP(M1389,CAC!$A$2:$B$198,2,FALSE)</f>
        <v>HMOPMR</v>
      </c>
    </row>
    <row r="1390" spans="5:14" x14ac:dyDescent="0.25">
      <c r="E1390" s="136">
        <v>201701</v>
      </c>
      <c r="F1390" s="138" t="s">
        <v>549</v>
      </c>
      <c r="G1390" s="138" t="s">
        <v>352</v>
      </c>
      <c r="H1390" s="138" t="s">
        <v>672</v>
      </c>
      <c r="I1390" s="139">
        <v>0</v>
      </c>
      <c r="K1390" s="96" t="str">
        <f t="shared" si="53"/>
        <v>0026-1004-0058</v>
      </c>
      <c r="L1390" s="96" t="str">
        <f>VLOOKUP(K1390,COA!$A$3:$B$337,2,FALSE)</f>
        <v>L44</v>
      </c>
      <c r="M1390" s="96" t="str">
        <f t="shared" si="54"/>
        <v>L44</v>
      </c>
      <c r="N1390" s="96" t="e">
        <f>VLOOKUP(M1390,CAC!$A$2:$B$198,2,FALSE)</f>
        <v>#N/A</v>
      </c>
    </row>
    <row r="1391" spans="5:14" x14ac:dyDescent="0.25">
      <c r="E1391" s="136">
        <v>201708</v>
      </c>
      <c r="F1391" s="138" t="s">
        <v>506</v>
      </c>
      <c r="G1391" s="138" t="s">
        <v>352</v>
      </c>
      <c r="H1391" s="138" t="s">
        <v>592</v>
      </c>
      <c r="I1391" s="139">
        <v>0</v>
      </c>
      <c r="K1391" s="96" t="str">
        <f t="shared" si="53"/>
        <v>0013-1004-0035</v>
      </c>
      <c r="L1391" s="96" t="str">
        <f>VLOOKUP(K1391,COA!$A$3:$B$337,2,FALSE)</f>
        <v>L41</v>
      </c>
      <c r="M1391" s="96" t="str">
        <f t="shared" si="54"/>
        <v>L41</v>
      </c>
      <c r="N1391" s="96" t="e">
        <f>VLOOKUP(M1391,CAC!$A$2:$B$198,2,FALSE)</f>
        <v>#N/A</v>
      </c>
    </row>
    <row r="1392" spans="5:14" x14ac:dyDescent="0.25">
      <c r="E1392" s="136">
        <v>201612</v>
      </c>
      <c r="F1392" s="138" t="s">
        <v>345</v>
      </c>
      <c r="G1392" s="138" t="s">
        <v>350</v>
      </c>
      <c r="H1392" s="138" t="s">
        <v>357</v>
      </c>
      <c r="I1392" s="139">
        <v>1956.77</v>
      </c>
      <c r="K1392" s="96" t="str">
        <f t="shared" si="53"/>
        <v>0011-1012-0038</v>
      </c>
      <c r="L1392" s="96" t="str">
        <f>VLOOKUP(K1392,COA!$A$3:$B$337,2,FALSE)</f>
        <v>K14</v>
      </c>
      <c r="M1392" s="96" t="str">
        <f t="shared" si="54"/>
        <v>K14</v>
      </c>
      <c r="N1392" s="96" t="str">
        <f>VLOOKUP(M1392,CAC!$A$2:$B$198,2,FALSE)</f>
        <v>HMOPMR</v>
      </c>
    </row>
    <row r="1393" spans="5:14" x14ac:dyDescent="0.25">
      <c r="E1393" s="136">
        <v>201510</v>
      </c>
      <c r="F1393" s="138" t="s">
        <v>746</v>
      </c>
      <c r="G1393" s="138" t="s">
        <v>352</v>
      </c>
      <c r="H1393" s="138" t="s">
        <v>344</v>
      </c>
      <c r="I1393" s="139">
        <v>0</v>
      </c>
      <c r="K1393" s="96" t="str">
        <f t="shared" si="53"/>
        <v>0016-1004-0012</v>
      </c>
      <c r="L1393" s="96" t="str">
        <f>VLOOKUP(K1393,COA!$A$3:$B$337,2,FALSE)</f>
        <v>R20</v>
      </c>
      <c r="M1393" s="96" t="str">
        <f t="shared" si="54"/>
        <v>R20</v>
      </c>
      <c r="N1393" s="96" t="str">
        <f>VLOOKUP(M1393,CAC!$A$2:$B$198,2,FALSE)</f>
        <v>HMOMG</v>
      </c>
    </row>
    <row r="1394" spans="5:14" x14ac:dyDescent="0.25">
      <c r="E1394" s="136">
        <v>201605</v>
      </c>
      <c r="F1394" s="138" t="s">
        <v>563</v>
      </c>
      <c r="G1394" s="138" t="s">
        <v>350</v>
      </c>
      <c r="H1394" s="138" t="s">
        <v>626</v>
      </c>
      <c r="I1394" s="139">
        <v>0</v>
      </c>
      <c r="K1394" s="96" t="str">
        <f t="shared" si="53"/>
        <v>0003-1012-0057</v>
      </c>
      <c r="L1394" s="96" t="str">
        <f>VLOOKUP(K1394,COA!$A$3:$B$337,2,FALSE)</f>
        <v>K51</v>
      </c>
      <c r="M1394" s="96" t="str">
        <f t="shared" si="54"/>
        <v>K51</v>
      </c>
      <c r="N1394" s="96" t="str">
        <f>VLOOKUP(M1394,CAC!$A$2:$B$198,2,FALSE)</f>
        <v>PPOPMR</v>
      </c>
    </row>
    <row r="1395" spans="5:14" x14ac:dyDescent="0.25">
      <c r="E1395" s="136">
        <v>201608</v>
      </c>
      <c r="F1395" s="138" t="s">
        <v>563</v>
      </c>
      <c r="G1395" s="138" t="s">
        <v>365</v>
      </c>
      <c r="H1395" s="138" t="s">
        <v>366</v>
      </c>
      <c r="I1395" s="139">
        <v>0</v>
      </c>
      <c r="K1395" s="96" t="str">
        <f t="shared" si="53"/>
        <v>0003-1001-0021</v>
      </c>
      <c r="L1395" s="96" t="str">
        <f>VLOOKUP(K1395,COA!$A$3:$B$337,2,FALSE)</f>
        <v>V53</v>
      </c>
      <c r="M1395" s="96" t="str">
        <f t="shared" si="54"/>
        <v>V53</v>
      </c>
      <c r="N1395" s="96" t="str">
        <f>VLOOKUP(M1395,CAC!$A$2:$B$198,2,FALSE)</f>
        <v>PPOIFP</v>
      </c>
    </row>
    <row r="1396" spans="5:14" x14ac:dyDescent="0.25">
      <c r="E1396" s="136">
        <v>201703</v>
      </c>
      <c r="F1396" s="138" t="s">
        <v>345</v>
      </c>
      <c r="G1396" s="138" t="s">
        <v>354</v>
      </c>
      <c r="H1396" s="138" t="s">
        <v>360</v>
      </c>
      <c r="I1396" s="139">
        <v>5131</v>
      </c>
      <c r="K1396" s="96" t="str">
        <f t="shared" si="53"/>
        <v>0011-1013-0048</v>
      </c>
      <c r="L1396" s="96" t="str">
        <f>VLOOKUP(K1396,COA!$A$3:$B$337,2,FALSE)</f>
        <v>N21</v>
      </c>
      <c r="M1396" s="96" t="str">
        <f t="shared" si="54"/>
        <v>N21</v>
      </c>
      <c r="N1396" s="96" t="str">
        <f>VLOOKUP(M1396,CAC!$A$2:$B$198,2,FALSE)</f>
        <v>HMFLEX</v>
      </c>
    </row>
    <row r="1397" spans="5:14" x14ac:dyDescent="0.25">
      <c r="E1397" s="136">
        <v>201502</v>
      </c>
      <c r="F1397" s="138" t="s">
        <v>345</v>
      </c>
      <c r="G1397" s="138" t="s">
        <v>348</v>
      </c>
      <c r="H1397" s="138" t="s">
        <v>349</v>
      </c>
      <c r="I1397" s="139">
        <v>17539.93</v>
      </c>
      <c r="K1397" s="96" t="str">
        <f t="shared" si="53"/>
        <v>0011-1010-0017</v>
      </c>
      <c r="L1397" s="96" t="str">
        <f>VLOOKUP(K1397,COA!$A$3:$B$337,2,FALSE)</f>
        <v>S11</v>
      </c>
      <c r="M1397" s="96" t="str">
        <f t="shared" si="54"/>
        <v>S11</v>
      </c>
      <c r="N1397" s="96" t="str">
        <f>VLOOKUP(M1397,CAC!$A$2:$B$198,2,FALSE)</f>
        <v>HMOSG</v>
      </c>
    </row>
    <row r="1398" spans="5:14" x14ac:dyDescent="0.25">
      <c r="E1398" s="136">
        <v>201703</v>
      </c>
      <c r="F1398" s="138" t="s">
        <v>344</v>
      </c>
      <c r="G1398" s="138" t="s">
        <v>352</v>
      </c>
      <c r="H1398" s="138" t="s">
        <v>360</v>
      </c>
      <c r="I1398" s="139">
        <v>216</v>
      </c>
      <c r="K1398" s="96" t="str">
        <f t="shared" si="53"/>
        <v>0012-1004-0048</v>
      </c>
      <c r="L1398" s="96" t="str">
        <f>VLOOKUP(K1398,COA!$A$3:$B$337,2,FALSE)</f>
        <v>L22</v>
      </c>
      <c r="M1398" s="96" t="str">
        <f t="shared" si="54"/>
        <v>L22</v>
      </c>
      <c r="N1398" s="96" t="str">
        <f>VLOOKUP(M1398,CAC!$A$2:$B$198,2,FALSE)</f>
        <v>HMFLEX</v>
      </c>
    </row>
    <row r="1399" spans="5:14" x14ac:dyDescent="0.25">
      <c r="E1399" s="136">
        <v>201701</v>
      </c>
      <c r="F1399" s="138" t="s">
        <v>563</v>
      </c>
      <c r="G1399" s="138" t="s">
        <v>352</v>
      </c>
      <c r="H1399" s="138" t="s">
        <v>344</v>
      </c>
      <c r="I1399" s="139">
        <v>0</v>
      </c>
      <c r="K1399" s="96" t="str">
        <f t="shared" si="53"/>
        <v>0003-1004-0012</v>
      </c>
      <c r="L1399" s="96" t="str">
        <f>VLOOKUP(K1399,COA!$A$3:$B$337,2,FALSE)</f>
        <v>L51</v>
      </c>
      <c r="M1399" s="96" t="str">
        <f t="shared" si="54"/>
        <v>L51</v>
      </c>
      <c r="N1399" s="96" t="str">
        <f>VLOOKUP(M1399,CAC!$A$2:$B$198,2,FALSE)</f>
        <v>PPOLG</v>
      </c>
    </row>
    <row r="1400" spans="5:14" x14ac:dyDescent="0.25">
      <c r="E1400" s="136">
        <v>201512</v>
      </c>
      <c r="F1400" s="138" t="s">
        <v>524</v>
      </c>
      <c r="G1400" s="138" t="s">
        <v>356</v>
      </c>
      <c r="H1400" s="138" t="s">
        <v>672</v>
      </c>
      <c r="I1400" s="139">
        <v>0</v>
      </c>
      <c r="K1400" s="96" t="str">
        <f t="shared" si="53"/>
        <v>0025-1002-0058</v>
      </c>
      <c r="L1400" s="96" t="str">
        <f>VLOOKUP(K1400,COA!$A$3:$B$337,2,FALSE)</f>
        <v>L45</v>
      </c>
      <c r="M1400" s="96" t="str">
        <f t="shared" si="54"/>
        <v>L45</v>
      </c>
      <c r="N1400" s="96" t="e">
        <f>VLOOKUP(M1400,CAC!$A$2:$B$198,2,FALSE)</f>
        <v>#N/A</v>
      </c>
    </row>
    <row r="1401" spans="5:14" x14ac:dyDescent="0.25">
      <c r="E1401" s="136">
        <v>201702</v>
      </c>
      <c r="F1401" s="138" t="s">
        <v>506</v>
      </c>
      <c r="G1401" s="138" t="s">
        <v>350</v>
      </c>
      <c r="H1401" s="138" t="s">
        <v>592</v>
      </c>
      <c r="I1401" s="139">
        <v>0</v>
      </c>
      <c r="K1401" s="96" t="str">
        <f t="shared" si="53"/>
        <v>0013-1012-0035</v>
      </c>
      <c r="L1401" s="96" t="str">
        <f>VLOOKUP(K1401,COA!$A$3:$B$337,2,FALSE)</f>
        <v>K41</v>
      </c>
      <c r="M1401" s="96" t="str">
        <f t="shared" si="54"/>
        <v>K41</v>
      </c>
      <c r="N1401" s="96" t="e">
        <f>VLOOKUP(M1401,CAC!$A$2:$B$198,2,FALSE)</f>
        <v>#N/A</v>
      </c>
    </row>
    <row r="1402" spans="5:14" x14ac:dyDescent="0.25">
      <c r="E1402" s="136">
        <v>201505</v>
      </c>
      <c r="F1402" s="138" t="s">
        <v>345</v>
      </c>
      <c r="G1402" s="138" t="s">
        <v>351</v>
      </c>
      <c r="H1402" s="138" t="s">
        <v>349</v>
      </c>
      <c r="I1402" s="139">
        <v>1</v>
      </c>
      <c r="K1402" s="96" t="str">
        <f t="shared" si="53"/>
        <v>0011-0000-0017</v>
      </c>
      <c r="L1402" s="96" t="e">
        <f>VLOOKUP(K1402,COA!$A$3:$B$337,2,FALSE)</f>
        <v>#N/A</v>
      </c>
      <c r="M1402" s="96" t="str">
        <f t="shared" si="54"/>
        <v>XXX</v>
      </c>
      <c r="N1402" s="96" t="str">
        <f>VLOOKUP(M1402,CAC!$A$2:$B$198,2,FALSE)</f>
        <v>XXX</v>
      </c>
    </row>
    <row r="1403" spans="5:14" x14ac:dyDescent="0.25">
      <c r="E1403" s="136">
        <v>201705</v>
      </c>
      <c r="F1403" s="138" t="s">
        <v>563</v>
      </c>
      <c r="G1403" s="138" t="s">
        <v>361</v>
      </c>
      <c r="H1403" s="138" t="s">
        <v>344</v>
      </c>
      <c r="I1403" s="139">
        <v>0</v>
      </c>
      <c r="K1403" s="96" t="str">
        <f t="shared" si="53"/>
        <v>0003-1003-0012</v>
      </c>
      <c r="L1403" s="96" t="str">
        <f>VLOOKUP(K1403,COA!$A$3:$B$337,2,FALSE)</f>
        <v>N61</v>
      </c>
      <c r="M1403" s="96" t="str">
        <f t="shared" si="54"/>
        <v>N61</v>
      </c>
      <c r="N1403" s="96" t="str">
        <f>VLOOKUP(M1403,CAC!$A$2:$B$198,2,FALSE)</f>
        <v>PPOPMR</v>
      </c>
    </row>
    <row r="1404" spans="5:14" x14ac:dyDescent="0.25">
      <c r="E1404" s="136">
        <v>201602</v>
      </c>
      <c r="F1404" s="138" t="s">
        <v>413</v>
      </c>
      <c r="G1404" s="138" t="s">
        <v>355</v>
      </c>
      <c r="H1404" s="138" t="s">
        <v>344</v>
      </c>
      <c r="I1404" s="139">
        <v>0</v>
      </c>
      <c r="K1404" s="96" t="str">
        <f t="shared" si="53"/>
        <v>0008-1006-0012</v>
      </c>
      <c r="L1404" s="96" t="str">
        <f>VLOOKUP(K1404,COA!$A$3:$B$337,2,FALSE)</f>
        <v>C96</v>
      </c>
      <c r="M1404" s="96" t="str">
        <f t="shared" si="54"/>
        <v>C96</v>
      </c>
      <c r="N1404" s="96" t="str">
        <f>VLOOKUP(M1404,CAC!$A$2:$B$198,2,FALSE)</f>
        <v>DOILG</v>
      </c>
    </row>
    <row r="1405" spans="5:14" x14ac:dyDescent="0.25">
      <c r="E1405" s="136">
        <v>201510</v>
      </c>
      <c r="F1405" s="138" t="s">
        <v>345</v>
      </c>
      <c r="G1405" s="138" t="s">
        <v>352</v>
      </c>
      <c r="H1405" s="138" t="s">
        <v>344</v>
      </c>
      <c r="I1405" s="139">
        <v>10110.450000000001</v>
      </c>
      <c r="K1405" s="96" t="str">
        <f t="shared" si="53"/>
        <v>0011-1004-0012</v>
      </c>
      <c r="L1405" s="96" t="str">
        <f>VLOOKUP(K1405,COA!$A$3:$B$337,2,FALSE)</f>
        <v>L11</v>
      </c>
      <c r="M1405" s="96" t="str">
        <f t="shared" si="54"/>
        <v>L11</v>
      </c>
      <c r="N1405" s="96" t="str">
        <f>VLOOKUP(M1405,CAC!$A$2:$B$198,2,FALSE)</f>
        <v>HMOLG</v>
      </c>
    </row>
    <row r="1406" spans="5:14" x14ac:dyDescent="0.25">
      <c r="E1406" s="136">
        <v>201710</v>
      </c>
      <c r="F1406" s="138" t="s">
        <v>345</v>
      </c>
      <c r="G1406" s="138" t="s">
        <v>354</v>
      </c>
      <c r="H1406" s="138" t="s">
        <v>344</v>
      </c>
      <c r="I1406" s="139">
        <v>4261</v>
      </c>
      <c r="K1406" s="96" t="str">
        <f t="shared" si="53"/>
        <v>0011-1013-0012</v>
      </c>
      <c r="L1406" s="96" t="str">
        <f>VLOOKUP(K1406,COA!$A$3:$B$337,2,FALSE)</f>
        <v>N20</v>
      </c>
      <c r="M1406" s="96" t="str">
        <f t="shared" si="54"/>
        <v>N20</v>
      </c>
      <c r="N1406" s="96" t="str">
        <f>VLOOKUP(M1406,CAC!$A$2:$B$198,2,FALSE)</f>
        <v>HMOPMR</v>
      </c>
    </row>
    <row r="1407" spans="5:14" x14ac:dyDescent="0.25">
      <c r="E1407" s="136">
        <v>201603</v>
      </c>
      <c r="F1407" s="138" t="s">
        <v>563</v>
      </c>
      <c r="G1407" s="138" t="s">
        <v>354</v>
      </c>
      <c r="H1407" s="138" t="s">
        <v>344</v>
      </c>
      <c r="I1407" s="139">
        <v>0</v>
      </c>
      <c r="K1407" s="96" t="str">
        <f t="shared" si="53"/>
        <v>0003-1013-0012</v>
      </c>
      <c r="L1407" s="96" t="str">
        <f>VLOOKUP(K1407,COA!$A$3:$B$337,2,FALSE)</f>
        <v>N55</v>
      </c>
      <c r="M1407" s="96" t="str">
        <f t="shared" si="54"/>
        <v>N55</v>
      </c>
      <c r="N1407" s="96" t="str">
        <f>VLOOKUP(M1407,CAC!$A$2:$B$198,2,FALSE)</f>
        <v>PPOPMR</v>
      </c>
    </row>
    <row r="1408" spans="5:14" x14ac:dyDescent="0.25">
      <c r="E1408" s="136">
        <v>201512</v>
      </c>
      <c r="F1408" s="138" t="s">
        <v>563</v>
      </c>
      <c r="G1408" s="138" t="s">
        <v>352</v>
      </c>
      <c r="H1408" s="138" t="s">
        <v>653</v>
      </c>
      <c r="I1408" s="139">
        <v>0</v>
      </c>
      <c r="K1408" s="96" t="str">
        <f t="shared" si="53"/>
        <v>0003-1004-0047</v>
      </c>
      <c r="L1408" s="96" t="str">
        <f>VLOOKUP(K1408,COA!$A$3:$B$337,2,FALSE)</f>
        <v>L57</v>
      </c>
      <c r="M1408" s="96" t="str">
        <f t="shared" si="54"/>
        <v>L57</v>
      </c>
      <c r="N1408" s="96" t="str">
        <f>VLOOKUP(M1408,CAC!$A$2:$B$198,2,FALSE)</f>
        <v>PPOLG</v>
      </c>
    </row>
    <row r="1409" spans="5:14" x14ac:dyDescent="0.25">
      <c r="E1409" s="136">
        <v>201510</v>
      </c>
      <c r="F1409" s="138" t="s">
        <v>563</v>
      </c>
      <c r="G1409" s="138" t="s">
        <v>354</v>
      </c>
      <c r="H1409" s="138" t="s">
        <v>344</v>
      </c>
      <c r="I1409" s="139">
        <v>0</v>
      </c>
      <c r="K1409" s="96" t="str">
        <f t="shared" si="53"/>
        <v>0003-1013-0012</v>
      </c>
      <c r="L1409" s="96" t="str">
        <f>VLOOKUP(K1409,COA!$A$3:$B$337,2,FALSE)</f>
        <v>N55</v>
      </c>
      <c r="M1409" s="96" t="str">
        <f t="shared" si="54"/>
        <v>N55</v>
      </c>
      <c r="N1409" s="96" t="str">
        <f>VLOOKUP(M1409,CAC!$A$2:$B$198,2,FALSE)</f>
        <v>PPOPMR</v>
      </c>
    </row>
    <row r="1410" spans="5:14" x14ac:dyDescent="0.25">
      <c r="E1410" s="136">
        <v>201606</v>
      </c>
      <c r="F1410" s="138" t="s">
        <v>563</v>
      </c>
      <c r="G1410" s="138" t="s">
        <v>354</v>
      </c>
      <c r="H1410" s="138" t="s">
        <v>626</v>
      </c>
      <c r="I1410" s="139">
        <v>0</v>
      </c>
      <c r="K1410" s="96" t="str">
        <f t="shared" si="53"/>
        <v>0003-1013-0057</v>
      </c>
      <c r="L1410" s="96" t="str">
        <f>VLOOKUP(K1410,COA!$A$3:$B$337,2,FALSE)</f>
        <v>N55</v>
      </c>
      <c r="M1410" s="96" t="str">
        <f t="shared" si="54"/>
        <v>N55</v>
      </c>
      <c r="N1410" s="96" t="str">
        <f>VLOOKUP(M1410,CAC!$A$2:$B$198,2,FALSE)</f>
        <v>PPOPMR</v>
      </c>
    </row>
    <row r="1411" spans="5:14" x14ac:dyDescent="0.25">
      <c r="E1411" s="136">
        <v>201612</v>
      </c>
      <c r="F1411" s="138" t="s">
        <v>345</v>
      </c>
      <c r="G1411" s="138" t="s">
        <v>348</v>
      </c>
      <c r="H1411" s="138" t="s">
        <v>349</v>
      </c>
      <c r="I1411" s="139">
        <v>25676.83</v>
      </c>
      <c r="K1411" s="96" t="str">
        <f t="shared" ref="K1411:K1474" si="55">F1411&amp;"-"&amp;G1411&amp;"-"&amp;H1411</f>
        <v>0011-1010-0017</v>
      </c>
      <c r="L1411" s="96" t="str">
        <f>VLOOKUP(K1411,COA!$A$3:$B$337,2,FALSE)</f>
        <v>S11</v>
      </c>
      <c r="M1411" s="96" t="str">
        <f t="shared" si="54"/>
        <v>S11</v>
      </c>
      <c r="N1411" s="96" t="str">
        <f>VLOOKUP(M1411,CAC!$A$2:$B$198,2,FALSE)</f>
        <v>HMOSG</v>
      </c>
    </row>
    <row r="1412" spans="5:14" x14ac:dyDescent="0.25">
      <c r="E1412" s="136">
        <v>201801</v>
      </c>
      <c r="F1412" s="138" t="s">
        <v>413</v>
      </c>
      <c r="G1412" s="138" t="s">
        <v>365</v>
      </c>
      <c r="H1412" s="138" t="s">
        <v>344</v>
      </c>
      <c r="I1412" s="139">
        <v>0</v>
      </c>
      <c r="K1412" s="96" t="str">
        <f t="shared" si="55"/>
        <v>0008-1001-0012</v>
      </c>
      <c r="L1412" s="96" t="str">
        <f>VLOOKUP(K1412,COA!$A$3:$B$337,2,FALSE)</f>
        <v>C95</v>
      </c>
      <c r="M1412" s="96" t="str">
        <f t="shared" ref="M1412:M1475" si="56">IF(ISNA(L1412),"XXX",L1412)</f>
        <v>C95</v>
      </c>
      <c r="N1412" s="96" t="str">
        <f>VLOOKUP(M1412,CAC!$A$2:$B$198,2,FALSE)</f>
        <v>DOIIFP</v>
      </c>
    </row>
    <row r="1413" spans="5:14" x14ac:dyDescent="0.25">
      <c r="E1413" s="136">
        <v>201504</v>
      </c>
      <c r="F1413" s="138" t="s">
        <v>345</v>
      </c>
      <c r="G1413" s="138" t="s">
        <v>359</v>
      </c>
      <c r="H1413" s="138" t="s">
        <v>344</v>
      </c>
      <c r="I1413" s="139">
        <v>1984.94</v>
      </c>
      <c r="K1413" s="96" t="str">
        <f t="shared" si="55"/>
        <v>0011-1005-0012</v>
      </c>
      <c r="L1413" s="96" t="str">
        <f>VLOOKUP(K1413,COA!$A$3:$B$337,2,FALSE)</f>
        <v>N11</v>
      </c>
      <c r="M1413" s="96" t="str">
        <f t="shared" si="56"/>
        <v>N11</v>
      </c>
      <c r="N1413" s="96" t="str">
        <f>VLOOKUP(M1413,CAC!$A$2:$B$198,2,FALSE)</f>
        <v>HMOLG</v>
      </c>
    </row>
    <row r="1414" spans="5:14" x14ac:dyDescent="0.25">
      <c r="E1414" s="136">
        <v>201609</v>
      </c>
      <c r="F1414" s="138" t="s">
        <v>344</v>
      </c>
      <c r="G1414" s="138" t="s">
        <v>352</v>
      </c>
      <c r="H1414" s="138" t="s">
        <v>344</v>
      </c>
      <c r="I1414" s="139">
        <v>451</v>
      </c>
      <c r="K1414" s="96" t="str">
        <f t="shared" si="55"/>
        <v>0012-1004-0012</v>
      </c>
      <c r="L1414" s="96" t="str">
        <f>VLOOKUP(K1414,COA!$A$3:$B$337,2,FALSE)</f>
        <v>L12</v>
      </c>
      <c r="M1414" s="96" t="str">
        <f t="shared" si="56"/>
        <v>L12</v>
      </c>
      <c r="N1414" s="96" t="str">
        <f>VLOOKUP(M1414,CAC!$A$2:$B$198,2,FALSE)</f>
        <v>HMOLG</v>
      </c>
    </row>
    <row r="1415" spans="5:14" x14ac:dyDescent="0.25">
      <c r="E1415" s="136">
        <v>201607</v>
      </c>
      <c r="F1415" s="138" t="s">
        <v>345</v>
      </c>
      <c r="G1415" s="138" t="s">
        <v>352</v>
      </c>
      <c r="H1415" s="138" t="s">
        <v>344</v>
      </c>
      <c r="I1415" s="139">
        <v>13370.21</v>
      </c>
      <c r="K1415" s="96" t="str">
        <f t="shared" si="55"/>
        <v>0011-1004-0012</v>
      </c>
      <c r="L1415" s="96" t="str">
        <f>VLOOKUP(K1415,COA!$A$3:$B$337,2,FALSE)</f>
        <v>L11</v>
      </c>
      <c r="M1415" s="96" t="str">
        <f t="shared" si="56"/>
        <v>L11</v>
      </c>
      <c r="N1415" s="96" t="str">
        <f>VLOOKUP(M1415,CAC!$A$2:$B$198,2,FALSE)</f>
        <v>HMOLG</v>
      </c>
    </row>
    <row r="1416" spans="5:14" x14ac:dyDescent="0.25">
      <c r="E1416" s="136">
        <v>201507</v>
      </c>
      <c r="F1416" s="138" t="s">
        <v>746</v>
      </c>
      <c r="G1416" s="138" t="s">
        <v>356</v>
      </c>
      <c r="H1416" s="138" t="s">
        <v>344</v>
      </c>
      <c r="I1416" s="139">
        <v>120</v>
      </c>
      <c r="K1416" s="96" t="str">
        <f t="shared" si="55"/>
        <v>0016-1002-0012</v>
      </c>
      <c r="L1416" s="96" t="str">
        <f>VLOOKUP(K1416,COA!$A$3:$B$337,2,FALSE)</f>
        <v>R18</v>
      </c>
      <c r="M1416" s="96" t="str">
        <f t="shared" si="56"/>
        <v>R18</v>
      </c>
      <c r="N1416" s="96" t="str">
        <f>VLOOKUP(M1416,CAC!$A$2:$B$198,2,FALSE)</f>
        <v>HMOMG</v>
      </c>
    </row>
    <row r="1417" spans="5:14" x14ac:dyDescent="0.25">
      <c r="E1417" s="136">
        <v>201601</v>
      </c>
      <c r="F1417" s="138" t="s">
        <v>563</v>
      </c>
      <c r="G1417" s="138" t="s">
        <v>350</v>
      </c>
      <c r="H1417" s="138" t="s">
        <v>360</v>
      </c>
      <c r="I1417" s="139">
        <v>0</v>
      </c>
      <c r="K1417" s="96" t="str">
        <f t="shared" si="55"/>
        <v>0003-1012-0048</v>
      </c>
      <c r="L1417" s="96" t="str">
        <f>VLOOKUP(K1417,COA!$A$3:$B$337,2,FALSE)</f>
        <v>K56</v>
      </c>
      <c r="M1417" s="96" t="str">
        <f t="shared" si="56"/>
        <v>K56</v>
      </c>
      <c r="N1417" s="96" t="str">
        <f>VLOOKUP(M1417,CAC!$A$2:$B$198,2,FALSE)</f>
        <v>HMFLEX</v>
      </c>
    </row>
    <row r="1418" spans="5:14" x14ac:dyDescent="0.25">
      <c r="E1418" s="136">
        <v>201505</v>
      </c>
      <c r="F1418" s="138" t="s">
        <v>746</v>
      </c>
      <c r="G1418" s="138" t="s">
        <v>350</v>
      </c>
      <c r="H1418" s="138" t="s">
        <v>344</v>
      </c>
      <c r="I1418" s="139">
        <v>137</v>
      </c>
      <c r="K1418" s="96" t="str">
        <f t="shared" si="55"/>
        <v>0016-1012-0012</v>
      </c>
      <c r="L1418" s="96" t="str">
        <f>VLOOKUP(K1418,COA!$A$3:$B$337,2,FALSE)</f>
        <v>R19</v>
      </c>
      <c r="M1418" s="96" t="str">
        <f t="shared" si="56"/>
        <v>R19</v>
      </c>
      <c r="N1418" s="96" t="str">
        <f>VLOOKUP(M1418,CAC!$A$2:$B$198,2,FALSE)</f>
        <v>HMOMG</v>
      </c>
    </row>
    <row r="1419" spans="5:14" x14ac:dyDescent="0.25">
      <c r="E1419" s="136">
        <v>201508</v>
      </c>
      <c r="F1419" s="138" t="s">
        <v>345</v>
      </c>
      <c r="G1419" s="138" t="s">
        <v>350</v>
      </c>
      <c r="H1419" s="138" t="s">
        <v>360</v>
      </c>
      <c r="I1419" s="139">
        <v>600</v>
      </c>
      <c r="K1419" s="96" t="str">
        <f t="shared" si="55"/>
        <v>0011-1012-0048</v>
      </c>
      <c r="L1419" s="96" t="str">
        <f>VLOOKUP(K1419,COA!$A$3:$B$337,2,FALSE)</f>
        <v>K21</v>
      </c>
      <c r="M1419" s="96" t="str">
        <f t="shared" si="56"/>
        <v>K21</v>
      </c>
      <c r="N1419" s="96" t="str">
        <f>VLOOKUP(M1419,CAC!$A$2:$B$198,2,FALSE)</f>
        <v>HMFLEX</v>
      </c>
    </row>
    <row r="1420" spans="5:14" x14ac:dyDescent="0.25">
      <c r="E1420" s="136">
        <v>201702</v>
      </c>
      <c r="F1420" s="138" t="s">
        <v>345</v>
      </c>
      <c r="G1420" s="138" t="s">
        <v>361</v>
      </c>
      <c r="H1420" s="138" t="s">
        <v>344</v>
      </c>
      <c r="I1420" s="139">
        <v>931</v>
      </c>
      <c r="K1420" s="96" t="str">
        <f t="shared" si="55"/>
        <v>0011-1003-0012</v>
      </c>
      <c r="L1420" s="96" t="str">
        <f>VLOOKUP(K1420,COA!$A$3:$B$337,2,FALSE)</f>
        <v>N16</v>
      </c>
      <c r="M1420" s="96" t="str">
        <f t="shared" si="56"/>
        <v>N16</v>
      </c>
      <c r="N1420" s="96" t="str">
        <f>VLOOKUP(M1420,CAC!$A$2:$B$198,2,FALSE)</f>
        <v>HMOPMR</v>
      </c>
    </row>
    <row r="1421" spans="5:14" x14ac:dyDescent="0.25">
      <c r="E1421" s="136">
        <v>201606</v>
      </c>
      <c r="F1421" s="138" t="s">
        <v>345</v>
      </c>
      <c r="G1421" s="138" t="s">
        <v>350</v>
      </c>
      <c r="H1421" s="138" t="s">
        <v>357</v>
      </c>
      <c r="I1421" s="139">
        <v>1961.15</v>
      </c>
      <c r="K1421" s="96" t="str">
        <f t="shared" si="55"/>
        <v>0011-1012-0038</v>
      </c>
      <c r="L1421" s="96" t="str">
        <f>VLOOKUP(K1421,COA!$A$3:$B$337,2,FALSE)</f>
        <v>K14</v>
      </c>
      <c r="M1421" s="96" t="str">
        <f t="shared" si="56"/>
        <v>K14</v>
      </c>
      <c r="N1421" s="96" t="str">
        <f>VLOOKUP(M1421,CAC!$A$2:$B$198,2,FALSE)</f>
        <v>HMOPMR</v>
      </c>
    </row>
    <row r="1422" spans="5:14" x14ac:dyDescent="0.25">
      <c r="E1422" s="136">
        <v>201509</v>
      </c>
      <c r="F1422" s="138" t="s">
        <v>405</v>
      </c>
      <c r="G1422" s="138" t="s">
        <v>362</v>
      </c>
      <c r="H1422" s="138" t="s">
        <v>342</v>
      </c>
      <c r="I1422" s="139">
        <v>0</v>
      </c>
      <c r="K1422" s="96" t="str">
        <f t="shared" si="55"/>
        <v>0019-1008-0031</v>
      </c>
      <c r="L1422" s="96" t="str">
        <f>VLOOKUP(K1422,COA!$A$3:$B$337,2,FALSE)</f>
        <v>P53</v>
      </c>
      <c r="M1422" s="96" t="str">
        <f t="shared" si="56"/>
        <v>P53</v>
      </c>
      <c r="N1422" s="96" t="str">
        <f>VLOOKUP(M1422,CAC!$A$2:$B$198,2,FALSE)</f>
        <v>HMOPERA</v>
      </c>
    </row>
    <row r="1423" spans="5:14" x14ac:dyDescent="0.25">
      <c r="E1423" s="136">
        <v>201709</v>
      </c>
      <c r="F1423" s="138" t="s">
        <v>506</v>
      </c>
      <c r="G1423" s="138" t="s">
        <v>361</v>
      </c>
      <c r="H1423" s="138" t="s">
        <v>592</v>
      </c>
      <c r="I1423" s="139">
        <v>0</v>
      </c>
      <c r="K1423" s="96" t="str">
        <f t="shared" si="55"/>
        <v>0013-1003-0035</v>
      </c>
      <c r="L1423" s="96" t="str">
        <f>VLOOKUP(K1423,COA!$A$3:$B$337,2,FALSE)</f>
        <v>N32</v>
      </c>
      <c r="M1423" s="96" t="str">
        <f t="shared" si="56"/>
        <v>N32</v>
      </c>
      <c r="N1423" s="96" t="e">
        <f>VLOOKUP(M1423,CAC!$A$2:$B$198,2,FALSE)</f>
        <v>#N/A</v>
      </c>
    </row>
    <row r="1424" spans="5:14" x14ac:dyDescent="0.25">
      <c r="E1424" s="136">
        <v>201504</v>
      </c>
      <c r="F1424" s="138" t="s">
        <v>344</v>
      </c>
      <c r="G1424" s="138" t="s">
        <v>359</v>
      </c>
      <c r="H1424" s="138" t="s">
        <v>344</v>
      </c>
      <c r="I1424" s="139">
        <v>75.819999999999993</v>
      </c>
      <c r="K1424" s="96" t="str">
        <f t="shared" si="55"/>
        <v>0012-1005-0012</v>
      </c>
      <c r="L1424" s="96" t="str">
        <f>VLOOKUP(K1424,COA!$A$3:$B$337,2,FALSE)</f>
        <v>N13</v>
      </c>
      <c r="M1424" s="96" t="str">
        <f t="shared" si="56"/>
        <v>N13</v>
      </c>
      <c r="N1424" s="96" t="str">
        <f>VLOOKUP(M1424,CAC!$A$2:$B$198,2,FALSE)</f>
        <v>HMOLG</v>
      </c>
    </row>
    <row r="1425" spans="5:14" x14ac:dyDescent="0.25">
      <c r="E1425" s="136">
        <v>201707</v>
      </c>
      <c r="F1425" s="138" t="s">
        <v>345</v>
      </c>
      <c r="G1425" s="138" t="s">
        <v>348</v>
      </c>
      <c r="H1425" s="138" t="s">
        <v>349</v>
      </c>
      <c r="I1425" s="139">
        <v>26181.52</v>
      </c>
      <c r="K1425" s="96" t="str">
        <f t="shared" si="55"/>
        <v>0011-1010-0017</v>
      </c>
      <c r="L1425" s="96" t="str">
        <f>VLOOKUP(K1425,COA!$A$3:$B$337,2,FALSE)</f>
        <v>S11</v>
      </c>
      <c r="M1425" s="96" t="str">
        <f t="shared" si="56"/>
        <v>S11</v>
      </c>
      <c r="N1425" s="96" t="str">
        <f>VLOOKUP(M1425,CAC!$A$2:$B$198,2,FALSE)</f>
        <v>HMOSG</v>
      </c>
    </row>
    <row r="1426" spans="5:14" x14ac:dyDescent="0.25">
      <c r="E1426" s="136">
        <v>201612</v>
      </c>
      <c r="F1426" s="138" t="s">
        <v>563</v>
      </c>
      <c r="G1426" s="138" t="s">
        <v>359</v>
      </c>
      <c r="H1426" s="138" t="s">
        <v>344</v>
      </c>
      <c r="I1426" s="139">
        <v>0</v>
      </c>
      <c r="K1426" s="96" t="str">
        <f t="shared" si="55"/>
        <v>0003-1005-0012</v>
      </c>
      <c r="L1426" s="96" t="str">
        <f>VLOOKUP(K1426,COA!$A$3:$B$337,2,FALSE)</f>
        <v>N51</v>
      </c>
      <c r="M1426" s="96" t="str">
        <f t="shared" si="56"/>
        <v>N51</v>
      </c>
      <c r="N1426" s="96" t="str">
        <f>VLOOKUP(M1426,CAC!$A$2:$B$198,2,FALSE)</f>
        <v>PPOLG</v>
      </c>
    </row>
    <row r="1427" spans="5:14" x14ac:dyDescent="0.25">
      <c r="E1427" s="136">
        <v>201801</v>
      </c>
      <c r="F1427" s="138" t="s">
        <v>563</v>
      </c>
      <c r="G1427" s="138" t="s">
        <v>352</v>
      </c>
      <c r="H1427" s="138" t="s">
        <v>653</v>
      </c>
      <c r="I1427" s="139">
        <v>0</v>
      </c>
      <c r="K1427" s="96" t="str">
        <f t="shared" si="55"/>
        <v>0003-1004-0047</v>
      </c>
      <c r="L1427" s="96" t="str">
        <f>VLOOKUP(K1427,COA!$A$3:$B$337,2,FALSE)</f>
        <v>L57</v>
      </c>
      <c r="M1427" s="96" t="str">
        <f t="shared" si="56"/>
        <v>L57</v>
      </c>
      <c r="N1427" s="96" t="str">
        <f>VLOOKUP(M1427,CAC!$A$2:$B$198,2,FALSE)</f>
        <v>PPOLG</v>
      </c>
    </row>
    <row r="1428" spans="5:14" x14ac:dyDescent="0.25">
      <c r="E1428" s="136">
        <v>201601</v>
      </c>
      <c r="F1428" s="138" t="s">
        <v>563</v>
      </c>
      <c r="G1428" s="138" t="s">
        <v>361</v>
      </c>
      <c r="H1428" s="138" t="s">
        <v>344</v>
      </c>
      <c r="I1428" s="139">
        <v>0</v>
      </c>
      <c r="K1428" s="96" t="str">
        <f t="shared" si="55"/>
        <v>0003-1003-0012</v>
      </c>
      <c r="L1428" s="96" t="str">
        <f>VLOOKUP(K1428,COA!$A$3:$B$337,2,FALSE)</f>
        <v>N61</v>
      </c>
      <c r="M1428" s="96" t="str">
        <f t="shared" si="56"/>
        <v>N61</v>
      </c>
      <c r="N1428" s="96" t="str">
        <f>VLOOKUP(M1428,CAC!$A$2:$B$198,2,FALSE)</f>
        <v>PPOPMR</v>
      </c>
    </row>
    <row r="1429" spans="5:14" x14ac:dyDescent="0.25">
      <c r="E1429" s="136">
        <v>201504</v>
      </c>
      <c r="F1429" s="138" t="s">
        <v>345</v>
      </c>
      <c r="G1429" s="138" t="s">
        <v>356</v>
      </c>
      <c r="H1429" s="138" t="s">
        <v>344</v>
      </c>
      <c r="I1429" s="139">
        <v>148</v>
      </c>
      <c r="K1429" s="96" t="str">
        <f t="shared" si="55"/>
        <v>0011-1002-0012</v>
      </c>
      <c r="L1429" s="96" t="str">
        <f>VLOOKUP(K1429,COA!$A$3:$B$337,2,FALSE)</f>
        <v>F20</v>
      </c>
      <c r="M1429" s="96" t="str">
        <f t="shared" si="56"/>
        <v>F20</v>
      </c>
      <c r="N1429" s="96" t="str">
        <f>VLOOKUP(M1429,CAC!$A$2:$B$198,2,FALSE)</f>
        <v>HMOPMR</v>
      </c>
    </row>
    <row r="1430" spans="5:14" x14ac:dyDescent="0.25">
      <c r="E1430" s="136">
        <v>201610</v>
      </c>
      <c r="F1430" s="138" t="s">
        <v>344</v>
      </c>
      <c r="G1430" s="138" t="s">
        <v>350</v>
      </c>
      <c r="H1430" s="138" t="s">
        <v>344</v>
      </c>
      <c r="I1430" s="139">
        <v>103</v>
      </c>
      <c r="K1430" s="96" t="str">
        <f t="shared" si="55"/>
        <v>0012-1012-0012</v>
      </c>
      <c r="L1430" s="96" t="str">
        <f>VLOOKUP(K1430,COA!$A$3:$B$337,2,FALSE)</f>
        <v>K12</v>
      </c>
      <c r="M1430" s="96" t="str">
        <f t="shared" si="56"/>
        <v>K12</v>
      </c>
      <c r="N1430" s="96" t="str">
        <f>VLOOKUP(M1430,CAC!$A$2:$B$198,2,FALSE)</f>
        <v>HMOPMR</v>
      </c>
    </row>
    <row r="1431" spans="5:14" x14ac:dyDescent="0.25">
      <c r="E1431" s="136">
        <v>201503</v>
      </c>
      <c r="F1431" s="138" t="s">
        <v>563</v>
      </c>
      <c r="G1431" s="138" t="s">
        <v>352</v>
      </c>
      <c r="H1431" s="138" t="s">
        <v>344</v>
      </c>
      <c r="I1431" s="139">
        <v>0</v>
      </c>
      <c r="K1431" s="96" t="str">
        <f t="shared" si="55"/>
        <v>0003-1004-0012</v>
      </c>
      <c r="L1431" s="96" t="str">
        <f>VLOOKUP(K1431,COA!$A$3:$B$337,2,FALSE)</f>
        <v>L51</v>
      </c>
      <c r="M1431" s="96" t="str">
        <f t="shared" si="56"/>
        <v>L51</v>
      </c>
      <c r="N1431" s="96" t="str">
        <f>VLOOKUP(M1431,CAC!$A$2:$B$198,2,FALSE)</f>
        <v>PPOLG</v>
      </c>
    </row>
    <row r="1432" spans="5:14" x14ac:dyDescent="0.25">
      <c r="E1432" s="136">
        <v>201512</v>
      </c>
      <c r="F1432" s="138" t="s">
        <v>746</v>
      </c>
      <c r="G1432" s="138" t="s">
        <v>362</v>
      </c>
      <c r="H1432" s="138" t="s">
        <v>364</v>
      </c>
      <c r="I1432" s="139">
        <v>5980</v>
      </c>
      <c r="K1432" s="96" t="str">
        <f t="shared" si="55"/>
        <v>0016-1008-0037</v>
      </c>
      <c r="L1432" s="96" t="str">
        <f>VLOOKUP(K1432,COA!$A$3:$B$337,2,FALSE)</f>
        <v>R24</v>
      </c>
      <c r="M1432" s="96" t="str">
        <f t="shared" si="56"/>
        <v>R24</v>
      </c>
      <c r="N1432" s="96" t="str">
        <f>VLOOKUP(M1432,CAC!$A$2:$B$198,2,FALSE)</f>
        <v>PERMAPD</v>
      </c>
    </row>
    <row r="1433" spans="5:14" x14ac:dyDescent="0.25">
      <c r="E1433" s="136">
        <v>201510</v>
      </c>
      <c r="F1433" s="138" t="s">
        <v>549</v>
      </c>
      <c r="G1433" s="138" t="s">
        <v>352</v>
      </c>
      <c r="H1433" s="138" t="s">
        <v>672</v>
      </c>
      <c r="I1433" s="139">
        <v>0</v>
      </c>
      <c r="K1433" s="96" t="str">
        <f t="shared" si="55"/>
        <v>0026-1004-0058</v>
      </c>
      <c r="L1433" s="96" t="str">
        <f>VLOOKUP(K1433,COA!$A$3:$B$337,2,FALSE)</f>
        <v>L44</v>
      </c>
      <c r="M1433" s="96" t="str">
        <f t="shared" si="56"/>
        <v>L44</v>
      </c>
      <c r="N1433" s="96" t="e">
        <f>VLOOKUP(M1433,CAC!$A$2:$B$198,2,FALSE)</f>
        <v>#N/A</v>
      </c>
    </row>
    <row r="1434" spans="5:14" x14ac:dyDescent="0.25">
      <c r="E1434" s="136">
        <v>201608</v>
      </c>
      <c r="F1434" s="138" t="s">
        <v>344</v>
      </c>
      <c r="G1434" s="138" t="s">
        <v>359</v>
      </c>
      <c r="H1434" s="138" t="s">
        <v>344</v>
      </c>
      <c r="I1434" s="139">
        <v>136</v>
      </c>
      <c r="K1434" s="96" t="str">
        <f t="shared" si="55"/>
        <v>0012-1005-0012</v>
      </c>
      <c r="L1434" s="96" t="str">
        <f>VLOOKUP(K1434,COA!$A$3:$B$337,2,FALSE)</f>
        <v>N13</v>
      </c>
      <c r="M1434" s="96" t="str">
        <f t="shared" si="56"/>
        <v>N13</v>
      </c>
      <c r="N1434" s="96" t="str">
        <f>VLOOKUP(M1434,CAC!$A$2:$B$198,2,FALSE)</f>
        <v>HMOLG</v>
      </c>
    </row>
    <row r="1435" spans="5:14" x14ac:dyDescent="0.25">
      <c r="E1435" s="136">
        <v>201603</v>
      </c>
      <c r="F1435" s="138" t="s">
        <v>345</v>
      </c>
      <c r="G1435" s="138" t="s">
        <v>350</v>
      </c>
      <c r="H1435" s="138" t="s">
        <v>357</v>
      </c>
      <c r="I1435" s="139">
        <v>706.16</v>
      </c>
      <c r="K1435" s="96" t="str">
        <f t="shared" si="55"/>
        <v>0011-1012-0038</v>
      </c>
      <c r="L1435" s="96" t="str">
        <f>VLOOKUP(K1435,COA!$A$3:$B$337,2,FALSE)</f>
        <v>K14</v>
      </c>
      <c r="M1435" s="96" t="str">
        <f t="shared" si="56"/>
        <v>K14</v>
      </c>
      <c r="N1435" s="96" t="str">
        <f>VLOOKUP(M1435,CAC!$A$2:$B$198,2,FALSE)</f>
        <v>HMOPMR</v>
      </c>
    </row>
    <row r="1436" spans="5:14" x14ac:dyDescent="0.25">
      <c r="E1436" s="136">
        <v>201604</v>
      </c>
      <c r="F1436" s="138" t="s">
        <v>345</v>
      </c>
      <c r="G1436" s="138" t="s">
        <v>350</v>
      </c>
      <c r="H1436" s="138" t="s">
        <v>344</v>
      </c>
      <c r="I1436" s="139">
        <v>14228.93</v>
      </c>
      <c r="K1436" s="96" t="str">
        <f t="shared" si="55"/>
        <v>0011-1012-0012</v>
      </c>
      <c r="L1436" s="96" t="str">
        <f>VLOOKUP(K1436,COA!$A$3:$B$337,2,FALSE)</f>
        <v>K11</v>
      </c>
      <c r="M1436" s="96" t="str">
        <f t="shared" si="56"/>
        <v>K11</v>
      </c>
      <c r="N1436" s="96" t="str">
        <f>VLOOKUP(M1436,CAC!$A$2:$B$198,2,FALSE)</f>
        <v>HMOPMR</v>
      </c>
    </row>
    <row r="1437" spans="5:14" x14ac:dyDescent="0.25">
      <c r="E1437" s="136">
        <v>201702</v>
      </c>
      <c r="F1437" s="138" t="s">
        <v>506</v>
      </c>
      <c r="G1437" s="138" t="s">
        <v>352</v>
      </c>
      <c r="H1437" s="138" t="s">
        <v>592</v>
      </c>
      <c r="I1437" s="139">
        <v>0</v>
      </c>
      <c r="K1437" s="96" t="str">
        <f t="shared" si="55"/>
        <v>0013-1004-0035</v>
      </c>
      <c r="L1437" s="96" t="str">
        <f>VLOOKUP(K1437,COA!$A$3:$B$337,2,FALSE)</f>
        <v>L41</v>
      </c>
      <c r="M1437" s="96" t="str">
        <f t="shared" si="56"/>
        <v>L41</v>
      </c>
      <c r="N1437" s="96" t="e">
        <f>VLOOKUP(M1437,CAC!$A$2:$B$198,2,FALSE)</f>
        <v>#N/A</v>
      </c>
    </row>
    <row r="1438" spans="5:14" x14ac:dyDescent="0.25">
      <c r="E1438" s="136">
        <v>201609</v>
      </c>
      <c r="F1438" s="138" t="s">
        <v>345</v>
      </c>
      <c r="G1438" s="138" t="s">
        <v>361</v>
      </c>
      <c r="H1438" s="138" t="s">
        <v>344</v>
      </c>
      <c r="I1438" s="139">
        <v>4175</v>
      </c>
      <c r="K1438" s="96" t="str">
        <f t="shared" si="55"/>
        <v>0011-1003-0012</v>
      </c>
      <c r="L1438" s="96" t="str">
        <f>VLOOKUP(K1438,COA!$A$3:$B$337,2,FALSE)</f>
        <v>N16</v>
      </c>
      <c r="M1438" s="96" t="str">
        <f t="shared" si="56"/>
        <v>N16</v>
      </c>
      <c r="N1438" s="96" t="str">
        <f>VLOOKUP(M1438,CAC!$A$2:$B$198,2,FALSE)</f>
        <v>HMOPMR</v>
      </c>
    </row>
    <row r="1439" spans="5:14" x14ac:dyDescent="0.25">
      <c r="E1439" s="136">
        <v>201603</v>
      </c>
      <c r="F1439" s="138" t="s">
        <v>746</v>
      </c>
      <c r="G1439" s="138" t="s">
        <v>350</v>
      </c>
      <c r="H1439" s="138" t="s">
        <v>344</v>
      </c>
      <c r="I1439" s="139">
        <v>60</v>
      </c>
      <c r="K1439" s="96" t="str">
        <f t="shared" si="55"/>
        <v>0016-1012-0012</v>
      </c>
      <c r="L1439" s="96" t="str">
        <f>VLOOKUP(K1439,COA!$A$3:$B$337,2,FALSE)</f>
        <v>R19</v>
      </c>
      <c r="M1439" s="96" t="str">
        <f t="shared" si="56"/>
        <v>R19</v>
      </c>
      <c r="N1439" s="96" t="str">
        <f>VLOOKUP(M1439,CAC!$A$2:$B$198,2,FALSE)</f>
        <v>HMOMG</v>
      </c>
    </row>
    <row r="1440" spans="5:14" x14ac:dyDescent="0.25">
      <c r="E1440" s="136">
        <v>201510</v>
      </c>
      <c r="F1440" s="138" t="s">
        <v>746</v>
      </c>
      <c r="G1440" s="138" t="s">
        <v>356</v>
      </c>
      <c r="H1440" s="138" t="s">
        <v>344</v>
      </c>
      <c r="I1440" s="139">
        <v>119</v>
      </c>
      <c r="K1440" s="96" t="str">
        <f t="shared" si="55"/>
        <v>0016-1002-0012</v>
      </c>
      <c r="L1440" s="96" t="str">
        <f>VLOOKUP(K1440,COA!$A$3:$B$337,2,FALSE)</f>
        <v>R18</v>
      </c>
      <c r="M1440" s="96" t="str">
        <f t="shared" si="56"/>
        <v>R18</v>
      </c>
      <c r="N1440" s="96" t="str">
        <f>VLOOKUP(M1440,CAC!$A$2:$B$198,2,FALSE)</f>
        <v>HMOMG</v>
      </c>
    </row>
    <row r="1441" spans="5:14" x14ac:dyDescent="0.25">
      <c r="E1441" s="136">
        <v>201502</v>
      </c>
      <c r="F1441" s="138" t="s">
        <v>563</v>
      </c>
      <c r="G1441" s="138" t="s">
        <v>356</v>
      </c>
      <c r="H1441" s="138" t="s">
        <v>344</v>
      </c>
      <c r="I1441" s="139">
        <v>0</v>
      </c>
      <c r="K1441" s="96" t="str">
        <f t="shared" si="55"/>
        <v>0003-1002-0012</v>
      </c>
      <c r="L1441" s="96" t="str">
        <f>VLOOKUP(K1441,COA!$A$3:$B$337,2,FALSE)</f>
        <v>F61</v>
      </c>
      <c r="M1441" s="96" t="str">
        <f t="shared" si="56"/>
        <v>F61</v>
      </c>
      <c r="N1441" s="96" t="str">
        <f>VLOOKUP(M1441,CAC!$A$2:$B$198,2,FALSE)</f>
        <v>PPOPMR</v>
      </c>
    </row>
    <row r="1442" spans="5:14" x14ac:dyDescent="0.25">
      <c r="E1442" s="136">
        <v>201505</v>
      </c>
      <c r="F1442" s="138" t="s">
        <v>345</v>
      </c>
      <c r="G1442" s="138" t="s">
        <v>355</v>
      </c>
      <c r="H1442" s="138" t="s">
        <v>344</v>
      </c>
      <c r="I1442" s="139">
        <v>24632.93</v>
      </c>
      <c r="K1442" s="96" t="str">
        <f t="shared" si="55"/>
        <v>0011-1006-0012</v>
      </c>
      <c r="L1442" s="96" t="str">
        <f>VLOOKUP(K1442,COA!$A$3:$B$337,2,FALSE)</f>
        <v>L13</v>
      </c>
      <c r="M1442" s="96" t="str">
        <f t="shared" si="56"/>
        <v>L13</v>
      </c>
      <c r="N1442" s="96" t="str">
        <f>VLOOKUP(M1442,CAC!$A$2:$B$198,2,FALSE)</f>
        <v>HMOLG</v>
      </c>
    </row>
    <row r="1443" spans="5:14" x14ac:dyDescent="0.25">
      <c r="E1443" s="136">
        <v>201710</v>
      </c>
      <c r="F1443" s="138" t="s">
        <v>563</v>
      </c>
      <c r="G1443" s="138" t="s">
        <v>348</v>
      </c>
      <c r="H1443" s="138" t="s">
        <v>349</v>
      </c>
      <c r="I1443" s="139">
        <v>0</v>
      </c>
      <c r="K1443" s="96" t="str">
        <f t="shared" si="55"/>
        <v>0003-1010-0017</v>
      </c>
      <c r="L1443" s="96" t="str">
        <f>VLOOKUP(K1443,COA!$A$3:$B$337,2,FALSE)</f>
        <v>S51</v>
      </c>
      <c r="M1443" s="96" t="str">
        <f t="shared" si="56"/>
        <v>S51</v>
      </c>
      <c r="N1443" s="96" t="str">
        <f>VLOOKUP(M1443,CAC!$A$2:$B$198,2,FALSE)</f>
        <v>PPOSG</v>
      </c>
    </row>
    <row r="1444" spans="5:14" x14ac:dyDescent="0.25">
      <c r="E1444" s="136">
        <v>201604</v>
      </c>
      <c r="F1444" s="138" t="s">
        <v>345</v>
      </c>
      <c r="G1444" s="138" t="s">
        <v>354</v>
      </c>
      <c r="H1444" s="138" t="s">
        <v>344</v>
      </c>
      <c r="I1444" s="139">
        <v>6705.93</v>
      </c>
      <c r="K1444" s="96" t="str">
        <f t="shared" si="55"/>
        <v>0011-1013-0012</v>
      </c>
      <c r="L1444" s="96" t="str">
        <f>VLOOKUP(K1444,COA!$A$3:$B$337,2,FALSE)</f>
        <v>N20</v>
      </c>
      <c r="M1444" s="96" t="str">
        <f t="shared" si="56"/>
        <v>N20</v>
      </c>
      <c r="N1444" s="96" t="str">
        <f>VLOOKUP(M1444,CAC!$A$2:$B$198,2,FALSE)</f>
        <v>HMOPMR</v>
      </c>
    </row>
    <row r="1445" spans="5:14" x14ac:dyDescent="0.25">
      <c r="E1445" s="136">
        <v>201511</v>
      </c>
      <c r="F1445" s="138" t="s">
        <v>506</v>
      </c>
      <c r="G1445" s="138" t="s">
        <v>359</v>
      </c>
      <c r="H1445" s="138" t="s">
        <v>592</v>
      </c>
      <c r="I1445" s="139">
        <v>0</v>
      </c>
      <c r="K1445" s="96" t="str">
        <f t="shared" si="55"/>
        <v>0013-1005-0035</v>
      </c>
      <c r="L1445" s="96" t="str">
        <f>VLOOKUP(K1445,COA!$A$3:$B$337,2,FALSE)</f>
        <v>N41</v>
      </c>
      <c r="M1445" s="96" t="str">
        <f t="shared" si="56"/>
        <v>N41</v>
      </c>
      <c r="N1445" s="96" t="e">
        <f>VLOOKUP(M1445,CAC!$A$2:$B$198,2,FALSE)</f>
        <v>#N/A</v>
      </c>
    </row>
    <row r="1446" spans="5:14" x14ac:dyDescent="0.25">
      <c r="E1446" s="136">
        <v>201606</v>
      </c>
      <c r="F1446" s="138" t="s">
        <v>563</v>
      </c>
      <c r="G1446" s="138" t="s">
        <v>365</v>
      </c>
      <c r="H1446" s="138" t="s">
        <v>367</v>
      </c>
      <c r="I1446" s="139">
        <v>0</v>
      </c>
      <c r="K1446" s="96" t="str">
        <f t="shared" si="55"/>
        <v>0003-1001-0022</v>
      </c>
      <c r="L1446" s="96" t="str">
        <f>VLOOKUP(K1446,COA!$A$3:$B$337,2,FALSE)</f>
        <v>V54</v>
      </c>
      <c r="M1446" s="96" t="str">
        <f t="shared" si="56"/>
        <v>V54</v>
      </c>
      <c r="N1446" s="96" t="str">
        <f>VLOOKUP(M1446,CAC!$A$2:$B$198,2,FALSE)</f>
        <v>PPOIFP</v>
      </c>
    </row>
    <row r="1447" spans="5:14" x14ac:dyDescent="0.25">
      <c r="E1447" s="136">
        <v>201709</v>
      </c>
      <c r="F1447" s="138" t="s">
        <v>413</v>
      </c>
      <c r="G1447" s="138" t="s">
        <v>365</v>
      </c>
      <c r="H1447" s="138" t="s">
        <v>344</v>
      </c>
      <c r="I1447" s="139">
        <v>0</v>
      </c>
      <c r="K1447" s="96" t="str">
        <f t="shared" si="55"/>
        <v>0008-1001-0012</v>
      </c>
      <c r="L1447" s="96" t="str">
        <f>VLOOKUP(K1447,COA!$A$3:$B$337,2,FALSE)</f>
        <v>C95</v>
      </c>
      <c r="M1447" s="96" t="str">
        <f t="shared" si="56"/>
        <v>C95</v>
      </c>
      <c r="N1447" s="96" t="str">
        <f>VLOOKUP(M1447,CAC!$A$2:$B$198,2,FALSE)</f>
        <v>DOIIFP</v>
      </c>
    </row>
    <row r="1448" spans="5:14" x14ac:dyDescent="0.25">
      <c r="E1448" s="136">
        <v>201506</v>
      </c>
      <c r="F1448" s="138" t="s">
        <v>342</v>
      </c>
      <c r="G1448" s="138" t="s">
        <v>343</v>
      </c>
      <c r="H1448" s="138" t="s">
        <v>344</v>
      </c>
      <c r="I1448" s="139">
        <v>6598.16</v>
      </c>
      <c r="K1448" s="96" t="str">
        <f t="shared" si="55"/>
        <v>0031-1000-0012</v>
      </c>
      <c r="L1448" s="96" t="str">
        <f>VLOOKUP(K1448,COA!$A$3:$B$337,2,FALSE)</f>
        <v>F27</v>
      </c>
      <c r="M1448" s="96" t="str">
        <f t="shared" si="56"/>
        <v>F27</v>
      </c>
      <c r="N1448" s="96" t="str">
        <f>VLOOKUP(M1448,CAC!$A$2:$B$198,2,FALSE)</f>
        <v>HMOFEP</v>
      </c>
    </row>
    <row r="1449" spans="5:14" x14ac:dyDescent="0.25">
      <c r="E1449" s="136">
        <v>201710</v>
      </c>
      <c r="F1449" s="138" t="s">
        <v>345</v>
      </c>
      <c r="G1449" s="138" t="s">
        <v>356</v>
      </c>
      <c r="H1449" s="138" t="s">
        <v>344</v>
      </c>
      <c r="I1449" s="139">
        <v>16146.68</v>
      </c>
      <c r="K1449" s="96" t="str">
        <f t="shared" si="55"/>
        <v>0011-1002-0012</v>
      </c>
      <c r="L1449" s="96" t="str">
        <f>VLOOKUP(K1449,COA!$A$3:$B$337,2,FALSE)</f>
        <v>F20</v>
      </c>
      <c r="M1449" s="96" t="str">
        <f t="shared" si="56"/>
        <v>F20</v>
      </c>
      <c r="N1449" s="96" t="str">
        <f>VLOOKUP(M1449,CAC!$A$2:$B$198,2,FALSE)</f>
        <v>HMOPMR</v>
      </c>
    </row>
    <row r="1450" spans="5:14" x14ac:dyDescent="0.25">
      <c r="E1450" s="136">
        <v>201801</v>
      </c>
      <c r="F1450" s="138" t="s">
        <v>563</v>
      </c>
      <c r="G1450" s="138" t="s">
        <v>354</v>
      </c>
      <c r="H1450" s="138" t="s">
        <v>626</v>
      </c>
      <c r="I1450" s="139">
        <v>0</v>
      </c>
      <c r="K1450" s="96" t="str">
        <f t="shared" si="55"/>
        <v>0003-1013-0057</v>
      </c>
      <c r="L1450" s="96" t="str">
        <f>VLOOKUP(K1450,COA!$A$3:$B$337,2,FALSE)</f>
        <v>N55</v>
      </c>
      <c r="M1450" s="96" t="str">
        <f t="shared" si="56"/>
        <v>N55</v>
      </c>
      <c r="N1450" s="96" t="str">
        <f>VLOOKUP(M1450,CAC!$A$2:$B$198,2,FALSE)</f>
        <v>PPOPMR</v>
      </c>
    </row>
    <row r="1451" spans="5:14" x14ac:dyDescent="0.25">
      <c r="E1451" s="136">
        <v>201603</v>
      </c>
      <c r="F1451" s="138" t="s">
        <v>345</v>
      </c>
      <c r="G1451" s="138" t="s">
        <v>351</v>
      </c>
      <c r="H1451" s="138" t="s">
        <v>349</v>
      </c>
      <c r="I1451" s="139">
        <v>0</v>
      </c>
      <c r="K1451" s="96" t="str">
        <f t="shared" si="55"/>
        <v>0011-0000-0017</v>
      </c>
      <c r="L1451" s="96" t="e">
        <f>VLOOKUP(K1451,COA!$A$3:$B$337,2,FALSE)</f>
        <v>#N/A</v>
      </c>
      <c r="M1451" s="96" t="str">
        <f t="shared" si="56"/>
        <v>XXX</v>
      </c>
      <c r="N1451" s="96" t="str">
        <f>VLOOKUP(M1451,CAC!$A$2:$B$198,2,FALSE)</f>
        <v>XXX</v>
      </c>
    </row>
    <row r="1452" spans="5:14" x14ac:dyDescent="0.25">
      <c r="E1452" s="136">
        <v>201601</v>
      </c>
      <c r="F1452" s="138" t="s">
        <v>345</v>
      </c>
      <c r="G1452" s="138" t="s">
        <v>350</v>
      </c>
      <c r="H1452" s="138" t="s">
        <v>360</v>
      </c>
      <c r="I1452" s="139">
        <v>5992.73</v>
      </c>
      <c r="K1452" s="96" t="str">
        <f t="shared" si="55"/>
        <v>0011-1012-0048</v>
      </c>
      <c r="L1452" s="96" t="str">
        <f>VLOOKUP(K1452,COA!$A$3:$B$337,2,FALSE)</f>
        <v>K21</v>
      </c>
      <c r="M1452" s="96" t="str">
        <f t="shared" si="56"/>
        <v>K21</v>
      </c>
      <c r="N1452" s="96" t="str">
        <f>VLOOKUP(M1452,CAC!$A$2:$B$198,2,FALSE)</f>
        <v>HMFLEX</v>
      </c>
    </row>
    <row r="1453" spans="5:14" x14ac:dyDescent="0.25">
      <c r="E1453" s="136">
        <v>201611</v>
      </c>
      <c r="F1453" s="138" t="s">
        <v>345</v>
      </c>
      <c r="G1453" s="138" t="s">
        <v>362</v>
      </c>
      <c r="H1453" s="138" t="s">
        <v>363</v>
      </c>
      <c r="I1453" s="139">
        <v>35683.339999999997</v>
      </c>
      <c r="K1453" s="96" t="str">
        <f t="shared" si="55"/>
        <v>0011-1008-0054</v>
      </c>
      <c r="L1453" s="96" t="str">
        <f>VLOOKUP(K1453,COA!$A$3:$B$337,2,FALSE)</f>
        <v>P23</v>
      </c>
      <c r="M1453" s="96" t="str">
        <f t="shared" si="56"/>
        <v>P23</v>
      </c>
      <c r="N1453" s="96" t="str">
        <f>VLOOKUP(M1453,CAC!$A$2:$B$198,2,FALSE)</f>
        <v>HMOPERN</v>
      </c>
    </row>
    <row r="1454" spans="5:14" x14ac:dyDescent="0.25">
      <c r="E1454" s="136">
        <v>201602</v>
      </c>
      <c r="F1454" s="138" t="s">
        <v>506</v>
      </c>
      <c r="G1454" s="138" t="s">
        <v>346</v>
      </c>
      <c r="H1454" s="138" t="s">
        <v>592</v>
      </c>
      <c r="I1454" s="139">
        <v>0</v>
      </c>
      <c r="K1454" s="96" t="str">
        <f t="shared" si="55"/>
        <v>0013-1014-0035</v>
      </c>
      <c r="L1454" s="96" t="str">
        <f>VLOOKUP(K1454,COA!$A$3:$B$337,2,FALSE)</f>
        <v>K42</v>
      </c>
      <c r="M1454" s="96" t="str">
        <f t="shared" si="56"/>
        <v>K42</v>
      </c>
      <c r="N1454" s="96" t="str">
        <f>VLOOKUP(M1454,CAC!$A$2:$B$198,2,FALSE)</f>
        <v>HMFLEX</v>
      </c>
    </row>
    <row r="1455" spans="5:14" x14ac:dyDescent="0.25">
      <c r="E1455" s="136">
        <v>201604</v>
      </c>
      <c r="F1455" s="138" t="s">
        <v>563</v>
      </c>
      <c r="G1455" s="138" t="s">
        <v>365</v>
      </c>
      <c r="H1455" s="138" t="s">
        <v>411</v>
      </c>
      <c r="I1455" s="139">
        <v>0</v>
      </c>
      <c r="K1455" s="96" t="str">
        <f t="shared" si="55"/>
        <v>0003-1001-0007</v>
      </c>
      <c r="L1455" s="96" t="str">
        <f>VLOOKUP(K1455,COA!$A$3:$B$337,2,FALSE)</f>
        <v>V52</v>
      </c>
      <c r="M1455" s="96" t="str">
        <f t="shared" si="56"/>
        <v>V52</v>
      </c>
      <c r="N1455" s="96" t="str">
        <f>VLOOKUP(M1455,CAC!$A$2:$B$198,2,FALSE)</f>
        <v>PPOIFP</v>
      </c>
    </row>
    <row r="1456" spans="5:14" x14ac:dyDescent="0.25">
      <c r="E1456" s="136">
        <v>201705</v>
      </c>
      <c r="F1456" s="138" t="s">
        <v>345</v>
      </c>
      <c r="G1456" s="138" t="s">
        <v>348</v>
      </c>
      <c r="H1456" s="138" t="s">
        <v>358</v>
      </c>
      <c r="I1456" s="139">
        <v>93</v>
      </c>
      <c r="K1456" s="96" t="str">
        <f t="shared" si="55"/>
        <v>0011-1010-0024</v>
      </c>
      <c r="L1456" s="96" t="str">
        <f>VLOOKUP(K1456,COA!$A$3:$B$337,2,FALSE)</f>
        <v>S14</v>
      </c>
      <c r="M1456" s="96" t="str">
        <f t="shared" si="56"/>
        <v>S14</v>
      </c>
      <c r="N1456" s="96" t="str">
        <f>VLOOKUP(M1456,CAC!$A$2:$B$198,2,FALSE)</f>
        <v>HMOSG</v>
      </c>
    </row>
    <row r="1457" spans="5:14" x14ac:dyDescent="0.25">
      <c r="E1457" s="136">
        <v>201801</v>
      </c>
      <c r="F1457" s="138" t="s">
        <v>345</v>
      </c>
      <c r="G1457" s="138" t="s">
        <v>356</v>
      </c>
      <c r="H1457" s="138" t="s">
        <v>344</v>
      </c>
      <c r="I1457" s="139">
        <v>16764.03</v>
      </c>
      <c r="K1457" s="96" t="str">
        <f t="shared" si="55"/>
        <v>0011-1002-0012</v>
      </c>
      <c r="L1457" s="96" t="str">
        <f>VLOOKUP(K1457,COA!$A$3:$B$337,2,FALSE)</f>
        <v>F20</v>
      </c>
      <c r="M1457" s="96" t="str">
        <f t="shared" si="56"/>
        <v>F20</v>
      </c>
      <c r="N1457" s="96" t="str">
        <f>VLOOKUP(M1457,CAC!$A$2:$B$198,2,FALSE)</f>
        <v>HMOPMR</v>
      </c>
    </row>
    <row r="1458" spans="5:14" x14ac:dyDescent="0.25">
      <c r="E1458" s="136">
        <v>201505</v>
      </c>
      <c r="F1458" s="138" t="s">
        <v>563</v>
      </c>
      <c r="G1458" s="138" t="s">
        <v>348</v>
      </c>
      <c r="H1458" s="138" t="s">
        <v>349</v>
      </c>
      <c r="I1458" s="139">
        <v>0</v>
      </c>
      <c r="K1458" s="96" t="str">
        <f t="shared" si="55"/>
        <v>0003-1010-0017</v>
      </c>
      <c r="L1458" s="96" t="str">
        <f>VLOOKUP(K1458,COA!$A$3:$B$337,2,FALSE)</f>
        <v>S51</v>
      </c>
      <c r="M1458" s="96" t="str">
        <f t="shared" si="56"/>
        <v>S51</v>
      </c>
      <c r="N1458" s="96" t="str">
        <f>VLOOKUP(M1458,CAC!$A$2:$B$198,2,FALSE)</f>
        <v>PPOSG</v>
      </c>
    </row>
    <row r="1459" spans="5:14" x14ac:dyDescent="0.25">
      <c r="E1459" s="136">
        <v>201511</v>
      </c>
      <c r="F1459" s="138" t="s">
        <v>345</v>
      </c>
      <c r="G1459" s="138" t="s">
        <v>359</v>
      </c>
      <c r="H1459" s="138" t="s">
        <v>344</v>
      </c>
      <c r="I1459" s="139">
        <v>3452.46</v>
      </c>
      <c r="K1459" s="96" t="str">
        <f t="shared" si="55"/>
        <v>0011-1005-0012</v>
      </c>
      <c r="L1459" s="96" t="str">
        <f>VLOOKUP(K1459,COA!$A$3:$B$337,2,FALSE)</f>
        <v>N11</v>
      </c>
      <c r="M1459" s="96" t="str">
        <f t="shared" si="56"/>
        <v>N11</v>
      </c>
      <c r="N1459" s="96" t="str">
        <f>VLOOKUP(M1459,CAC!$A$2:$B$198,2,FALSE)</f>
        <v>HMOLG</v>
      </c>
    </row>
    <row r="1460" spans="5:14" x14ac:dyDescent="0.25">
      <c r="E1460" s="136">
        <v>201602</v>
      </c>
      <c r="F1460" s="138" t="s">
        <v>563</v>
      </c>
      <c r="G1460" s="138" t="s">
        <v>361</v>
      </c>
      <c r="H1460" s="138" t="s">
        <v>344</v>
      </c>
      <c r="I1460" s="139">
        <v>0</v>
      </c>
      <c r="K1460" s="96" t="str">
        <f t="shared" si="55"/>
        <v>0003-1003-0012</v>
      </c>
      <c r="L1460" s="96" t="str">
        <f>VLOOKUP(K1460,COA!$A$3:$B$337,2,FALSE)</f>
        <v>N61</v>
      </c>
      <c r="M1460" s="96" t="str">
        <f t="shared" si="56"/>
        <v>N61</v>
      </c>
      <c r="N1460" s="96" t="str">
        <f>VLOOKUP(M1460,CAC!$A$2:$B$198,2,FALSE)</f>
        <v>PPOPMR</v>
      </c>
    </row>
    <row r="1461" spans="5:14" x14ac:dyDescent="0.25">
      <c r="E1461" s="136">
        <v>201702</v>
      </c>
      <c r="F1461" s="138" t="s">
        <v>506</v>
      </c>
      <c r="G1461" s="138" t="s">
        <v>346</v>
      </c>
      <c r="H1461" s="138" t="s">
        <v>592</v>
      </c>
      <c r="I1461" s="139">
        <v>0</v>
      </c>
      <c r="K1461" s="96" t="str">
        <f t="shared" si="55"/>
        <v>0013-1014-0035</v>
      </c>
      <c r="L1461" s="96" t="str">
        <f>VLOOKUP(K1461,COA!$A$3:$B$337,2,FALSE)</f>
        <v>K42</v>
      </c>
      <c r="M1461" s="96" t="str">
        <f t="shared" si="56"/>
        <v>K42</v>
      </c>
      <c r="N1461" s="96" t="str">
        <f>VLOOKUP(M1461,CAC!$A$2:$B$198,2,FALSE)</f>
        <v>HMFLEX</v>
      </c>
    </row>
    <row r="1462" spans="5:14" x14ac:dyDescent="0.25">
      <c r="E1462" s="136">
        <v>201507</v>
      </c>
      <c r="F1462" s="138" t="s">
        <v>563</v>
      </c>
      <c r="G1462" s="138" t="s">
        <v>365</v>
      </c>
      <c r="H1462" s="138" t="s">
        <v>344</v>
      </c>
      <c r="I1462" s="139">
        <v>0</v>
      </c>
      <c r="K1462" s="96" t="str">
        <f t="shared" si="55"/>
        <v>0003-1001-0012</v>
      </c>
      <c r="L1462" s="96" t="str">
        <f>VLOOKUP(K1462,COA!$A$3:$B$337,2,FALSE)</f>
        <v>V51</v>
      </c>
      <c r="M1462" s="96" t="str">
        <f t="shared" si="56"/>
        <v>V51</v>
      </c>
      <c r="N1462" s="96" t="str">
        <f>VLOOKUP(M1462,CAC!$A$2:$B$198,2,FALSE)</f>
        <v>PPOIFP</v>
      </c>
    </row>
    <row r="1463" spans="5:14" x14ac:dyDescent="0.25">
      <c r="E1463" s="136">
        <v>201504</v>
      </c>
      <c r="F1463" s="138" t="s">
        <v>345</v>
      </c>
      <c r="G1463" s="138" t="s">
        <v>346</v>
      </c>
      <c r="H1463" s="138" t="s">
        <v>360</v>
      </c>
      <c r="I1463" s="139">
        <v>407</v>
      </c>
      <c r="K1463" s="96" t="str">
        <f t="shared" si="55"/>
        <v>0011-1014-0048</v>
      </c>
      <c r="L1463" s="96" t="str">
        <f>VLOOKUP(K1463,COA!$A$3:$B$337,2,FALSE)</f>
        <v>K23</v>
      </c>
      <c r="M1463" s="96" t="str">
        <f t="shared" si="56"/>
        <v>K23</v>
      </c>
      <c r="N1463" s="96" t="str">
        <f>VLOOKUP(M1463,CAC!$A$2:$B$198,2,FALSE)</f>
        <v>HMFLEX</v>
      </c>
    </row>
    <row r="1464" spans="5:14" x14ac:dyDescent="0.25">
      <c r="E1464" s="136">
        <v>201506</v>
      </c>
      <c r="F1464" s="138" t="s">
        <v>563</v>
      </c>
      <c r="G1464" s="138" t="s">
        <v>352</v>
      </c>
      <c r="H1464" s="138" t="s">
        <v>344</v>
      </c>
      <c r="I1464" s="139">
        <v>0</v>
      </c>
      <c r="K1464" s="96" t="str">
        <f t="shared" si="55"/>
        <v>0003-1004-0012</v>
      </c>
      <c r="L1464" s="96" t="str">
        <f>VLOOKUP(K1464,COA!$A$3:$B$337,2,FALSE)</f>
        <v>L51</v>
      </c>
      <c r="M1464" s="96" t="str">
        <f t="shared" si="56"/>
        <v>L51</v>
      </c>
      <c r="N1464" s="96" t="str">
        <f>VLOOKUP(M1464,CAC!$A$2:$B$198,2,FALSE)</f>
        <v>PPOLG</v>
      </c>
    </row>
    <row r="1465" spans="5:14" x14ac:dyDescent="0.25">
      <c r="E1465" s="136">
        <v>201503</v>
      </c>
      <c r="F1465" s="138" t="s">
        <v>345</v>
      </c>
      <c r="G1465" s="138" t="s">
        <v>352</v>
      </c>
      <c r="H1465" s="138" t="s">
        <v>344</v>
      </c>
      <c r="I1465" s="139">
        <v>5459.39</v>
      </c>
      <c r="K1465" s="96" t="str">
        <f t="shared" si="55"/>
        <v>0011-1004-0012</v>
      </c>
      <c r="L1465" s="96" t="str">
        <f>VLOOKUP(K1465,COA!$A$3:$B$337,2,FALSE)</f>
        <v>L11</v>
      </c>
      <c r="M1465" s="96" t="str">
        <f t="shared" si="56"/>
        <v>L11</v>
      </c>
      <c r="N1465" s="96" t="str">
        <f>VLOOKUP(M1465,CAC!$A$2:$B$198,2,FALSE)</f>
        <v>HMOLG</v>
      </c>
    </row>
    <row r="1466" spans="5:14" x14ac:dyDescent="0.25">
      <c r="E1466" s="136">
        <v>201701</v>
      </c>
      <c r="F1466" s="138" t="s">
        <v>552</v>
      </c>
      <c r="G1466" s="138" t="s">
        <v>356</v>
      </c>
      <c r="H1466" s="138" t="s">
        <v>672</v>
      </c>
      <c r="I1466" s="139">
        <v>0</v>
      </c>
      <c r="K1466" s="96" t="str">
        <f t="shared" si="55"/>
        <v>0027-1002-0058</v>
      </c>
      <c r="L1466" s="96" t="str">
        <f>VLOOKUP(K1466,COA!$A$3:$B$337,2,FALSE)</f>
        <v>L45</v>
      </c>
      <c r="M1466" s="96" t="str">
        <f t="shared" si="56"/>
        <v>L45</v>
      </c>
      <c r="N1466" s="96" t="e">
        <f>VLOOKUP(M1466,CAC!$A$2:$B$198,2,FALSE)</f>
        <v>#N/A</v>
      </c>
    </row>
    <row r="1467" spans="5:14" x14ac:dyDescent="0.25">
      <c r="E1467" s="136">
        <v>201503</v>
      </c>
      <c r="F1467" s="138" t="s">
        <v>563</v>
      </c>
      <c r="G1467" s="138" t="s">
        <v>365</v>
      </c>
      <c r="H1467" s="138" t="s">
        <v>411</v>
      </c>
      <c r="I1467" s="139">
        <v>0</v>
      </c>
      <c r="K1467" s="96" t="str">
        <f t="shared" si="55"/>
        <v>0003-1001-0007</v>
      </c>
      <c r="L1467" s="96" t="str">
        <f>VLOOKUP(K1467,COA!$A$3:$B$337,2,FALSE)</f>
        <v>V52</v>
      </c>
      <c r="M1467" s="96" t="str">
        <f t="shared" si="56"/>
        <v>V52</v>
      </c>
      <c r="N1467" s="96" t="str">
        <f>VLOOKUP(M1467,CAC!$A$2:$B$198,2,FALSE)</f>
        <v>PPOIFP</v>
      </c>
    </row>
    <row r="1468" spans="5:14" x14ac:dyDescent="0.25">
      <c r="E1468" s="136">
        <v>201710</v>
      </c>
      <c r="F1468" s="138" t="s">
        <v>563</v>
      </c>
      <c r="G1468" s="138" t="s">
        <v>369</v>
      </c>
      <c r="H1468" s="138" t="s">
        <v>353</v>
      </c>
      <c r="I1468" s="139">
        <v>0</v>
      </c>
      <c r="K1468" s="96" t="str">
        <f t="shared" si="55"/>
        <v>0003-1009-0023</v>
      </c>
      <c r="L1468" s="96" t="e">
        <f>VLOOKUP(K1468,COA!$A$3:$B$337,2,FALSE)</f>
        <v>#N/A</v>
      </c>
      <c r="M1468" s="96" t="str">
        <f t="shared" si="56"/>
        <v>XXX</v>
      </c>
      <c r="N1468" s="96" t="str">
        <f>VLOOKUP(M1468,CAC!$A$2:$B$198,2,FALSE)</f>
        <v>XXX</v>
      </c>
    </row>
    <row r="1469" spans="5:14" x14ac:dyDescent="0.25">
      <c r="E1469" s="136">
        <v>201711</v>
      </c>
      <c r="F1469" s="138" t="s">
        <v>345</v>
      </c>
      <c r="G1469" s="138" t="s">
        <v>365</v>
      </c>
      <c r="H1469" s="138" t="s">
        <v>366</v>
      </c>
      <c r="I1469" s="139">
        <v>1496.63</v>
      </c>
      <c r="K1469" s="96" t="str">
        <f t="shared" si="55"/>
        <v>0011-1001-0021</v>
      </c>
      <c r="L1469" s="96" t="str">
        <f>VLOOKUP(K1469,COA!$A$3:$B$337,2,FALSE)</f>
        <v>V13</v>
      </c>
      <c r="M1469" s="96" t="str">
        <f t="shared" si="56"/>
        <v>V13</v>
      </c>
      <c r="N1469" s="96" t="str">
        <f>VLOOKUP(M1469,CAC!$A$2:$B$198,2,FALSE)</f>
        <v>HMOIFP</v>
      </c>
    </row>
    <row r="1470" spans="5:14" x14ac:dyDescent="0.25">
      <c r="E1470" s="136">
        <v>201612</v>
      </c>
      <c r="F1470" s="138" t="s">
        <v>563</v>
      </c>
      <c r="G1470" s="138" t="s">
        <v>354</v>
      </c>
      <c r="H1470" s="138" t="s">
        <v>626</v>
      </c>
      <c r="I1470" s="139">
        <v>0</v>
      </c>
      <c r="K1470" s="96" t="str">
        <f t="shared" si="55"/>
        <v>0003-1013-0057</v>
      </c>
      <c r="L1470" s="96" t="str">
        <f>VLOOKUP(K1470,COA!$A$3:$B$337,2,FALSE)</f>
        <v>N55</v>
      </c>
      <c r="M1470" s="96" t="str">
        <f t="shared" si="56"/>
        <v>N55</v>
      </c>
      <c r="N1470" s="96" t="str">
        <f>VLOOKUP(M1470,CAC!$A$2:$B$198,2,FALSE)</f>
        <v>PPOPMR</v>
      </c>
    </row>
    <row r="1471" spans="5:14" x14ac:dyDescent="0.25">
      <c r="E1471" s="136">
        <v>201504</v>
      </c>
      <c r="F1471" s="138" t="s">
        <v>345</v>
      </c>
      <c r="G1471" s="138" t="s">
        <v>348</v>
      </c>
      <c r="H1471" s="138" t="s">
        <v>349</v>
      </c>
      <c r="I1471" s="139">
        <v>17778.810000000001</v>
      </c>
      <c r="K1471" s="96" t="str">
        <f t="shared" si="55"/>
        <v>0011-1010-0017</v>
      </c>
      <c r="L1471" s="96" t="str">
        <f>VLOOKUP(K1471,COA!$A$3:$B$337,2,FALSE)</f>
        <v>S11</v>
      </c>
      <c r="M1471" s="96" t="str">
        <f t="shared" si="56"/>
        <v>S11</v>
      </c>
      <c r="N1471" s="96" t="str">
        <f>VLOOKUP(M1471,CAC!$A$2:$B$198,2,FALSE)</f>
        <v>HMOSG</v>
      </c>
    </row>
    <row r="1472" spans="5:14" x14ac:dyDescent="0.25">
      <c r="E1472" s="136">
        <v>201612</v>
      </c>
      <c r="F1472" s="138" t="s">
        <v>345</v>
      </c>
      <c r="G1472" s="138" t="s">
        <v>355</v>
      </c>
      <c r="H1472" s="138" t="s">
        <v>344</v>
      </c>
      <c r="I1472" s="139">
        <v>17763.63</v>
      </c>
      <c r="K1472" s="96" t="str">
        <f t="shared" si="55"/>
        <v>0011-1006-0012</v>
      </c>
      <c r="L1472" s="96" t="str">
        <f>VLOOKUP(K1472,COA!$A$3:$B$337,2,FALSE)</f>
        <v>L13</v>
      </c>
      <c r="M1472" s="96" t="str">
        <f t="shared" si="56"/>
        <v>L13</v>
      </c>
      <c r="N1472" s="96" t="str">
        <f>VLOOKUP(M1472,CAC!$A$2:$B$198,2,FALSE)</f>
        <v>HMOLG</v>
      </c>
    </row>
    <row r="1473" spans="5:14" x14ac:dyDescent="0.25">
      <c r="E1473" s="136">
        <v>201611</v>
      </c>
      <c r="F1473" s="138" t="s">
        <v>563</v>
      </c>
      <c r="G1473" s="138" t="s">
        <v>365</v>
      </c>
      <c r="H1473" s="138" t="s">
        <v>798</v>
      </c>
      <c r="I1473" s="139">
        <v>0</v>
      </c>
      <c r="K1473" s="96" t="str">
        <f t="shared" si="55"/>
        <v>0003-1001-0065</v>
      </c>
      <c r="L1473" s="96" t="str">
        <f>VLOOKUP(K1473,COA!$A$3:$B$337,2,FALSE)</f>
        <v>V55</v>
      </c>
      <c r="M1473" s="96" t="str">
        <f t="shared" si="56"/>
        <v>V55</v>
      </c>
      <c r="N1473" s="96" t="e">
        <f>VLOOKUP(M1473,CAC!$A$2:$B$198,2,FALSE)</f>
        <v>#N/A</v>
      </c>
    </row>
    <row r="1474" spans="5:14" x14ac:dyDescent="0.25">
      <c r="E1474" s="136">
        <v>201610</v>
      </c>
      <c r="F1474" s="138" t="s">
        <v>345</v>
      </c>
      <c r="G1474" s="138" t="s">
        <v>346</v>
      </c>
      <c r="H1474" s="138" t="s">
        <v>360</v>
      </c>
      <c r="I1474" s="139">
        <v>360</v>
      </c>
      <c r="K1474" s="96" t="str">
        <f t="shared" si="55"/>
        <v>0011-1014-0048</v>
      </c>
      <c r="L1474" s="96" t="str">
        <f>VLOOKUP(K1474,COA!$A$3:$B$337,2,FALSE)</f>
        <v>K23</v>
      </c>
      <c r="M1474" s="96" t="str">
        <f t="shared" si="56"/>
        <v>K23</v>
      </c>
      <c r="N1474" s="96" t="str">
        <f>VLOOKUP(M1474,CAC!$A$2:$B$198,2,FALSE)</f>
        <v>HMFLEX</v>
      </c>
    </row>
    <row r="1475" spans="5:14" x14ac:dyDescent="0.25">
      <c r="E1475" s="136">
        <v>201606</v>
      </c>
      <c r="F1475" s="138" t="s">
        <v>413</v>
      </c>
      <c r="G1475" s="138" t="s">
        <v>359</v>
      </c>
      <c r="H1475" s="138" t="s">
        <v>344</v>
      </c>
      <c r="I1475" s="139">
        <v>0</v>
      </c>
      <c r="K1475" s="96" t="str">
        <f t="shared" ref="K1475:K1538" si="57">F1475&amp;"-"&amp;G1475&amp;"-"&amp;H1475</f>
        <v>0008-1005-0012</v>
      </c>
      <c r="L1475" s="96" t="str">
        <f>VLOOKUP(K1475,COA!$A$3:$B$337,2,FALSE)</f>
        <v>C73</v>
      </c>
      <c r="M1475" s="96" t="str">
        <f t="shared" si="56"/>
        <v>C73</v>
      </c>
      <c r="N1475" s="96" t="str">
        <f>VLOOKUP(M1475,CAC!$A$2:$B$198,2,FALSE)</f>
        <v>DOILG</v>
      </c>
    </row>
    <row r="1476" spans="5:14" x14ac:dyDescent="0.25">
      <c r="E1476" s="136">
        <v>201710</v>
      </c>
      <c r="F1476" s="138" t="s">
        <v>563</v>
      </c>
      <c r="G1476" s="138" t="s">
        <v>352</v>
      </c>
      <c r="H1476" s="138" t="s">
        <v>653</v>
      </c>
      <c r="I1476" s="139">
        <v>0</v>
      </c>
      <c r="K1476" s="96" t="str">
        <f t="shared" si="57"/>
        <v>0003-1004-0047</v>
      </c>
      <c r="L1476" s="96" t="str">
        <f>VLOOKUP(K1476,COA!$A$3:$B$337,2,FALSE)</f>
        <v>L57</v>
      </c>
      <c r="M1476" s="96" t="str">
        <f t="shared" ref="M1476:M1539" si="58">IF(ISNA(L1476),"XXX",L1476)</f>
        <v>L57</v>
      </c>
      <c r="N1476" s="96" t="str">
        <f>VLOOKUP(M1476,CAC!$A$2:$B$198,2,FALSE)</f>
        <v>PPOLG</v>
      </c>
    </row>
    <row r="1477" spans="5:14" x14ac:dyDescent="0.25">
      <c r="E1477" s="136">
        <v>201606</v>
      </c>
      <c r="F1477" s="138" t="s">
        <v>345</v>
      </c>
      <c r="G1477" s="138" t="s">
        <v>348</v>
      </c>
      <c r="H1477" s="138" t="s">
        <v>353</v>
      </c>
      <c r="I1477" s="139">
        <v>325</v>
      </c>
      <c r="K1477" s="96" t="str">
        <f t="shared" si="57"/>
        <v>0011-1010-0023</v>
      </c>
      <c r="L1477" s="96" t="str">
        <f>VLOOKUP(K1477,COA!$A$3:$B$337,2,FALSE)</f>
        <v>S13</v>
      </c>
      <c r="M1477" s="96" t="str">
        <f t="shared" si="58"/>
        <v>S13</v>
      </c>
      <c r="N1477" s="96" t="str">
        <f>VLOOKUP(M1477,CAC!$A$2:$B$198,2,FALSE)</f>
        <v>HMOSG</v>
      </c>
    </row>
    <row r="1478" spans="5:14" x14ac:dyDescent="0.25">
      <c r="E1478" s="136">
        <v>201603</v>
      </c>
      <c r="F1478" s="138" t="s">
        <v>344</v>
      </c>
      <c r="G1478" s="138" t="s">
        <v>355</v>
      </c>
      <c r="H1478" s="138" t="s">
        <v>344</v>
      </c>
      <c r="I1478" s="139">
        <v>111</v>
      </c>
      <c r="K1478" s="96" t="str">
        <f t="shared" si="57"/>
        <v>0012-1006-0012</v>
      </c>
      <c r="L1478" s="96" t="str">
        <f>VLOOKUP(K1478,COA!$A$3:$B$337,2,FALSE)</f>
        <v>L16</v>
      </c>
      <c r="M1478" s="96" t="str">
        <f t="shared" si="58"/>
        <v>L16</v>
      </c>
      <c r="N1478" s="96" t="str">
        <f>VLOOKUP(M1478,CAC!$A$2:$B$198,2,FALSE)</f>
        <v>HMOLG</v>
      </c>
    </row>
    <row r="1479" spans="5:14" x14ac:dyDescent="0.25">
      <c r="E1479" s="136">
        <v>201705</v>
      </c>
      <c r="F1479" s="138" t="s">
        <v>345</v>
      </c>
      <c r="G1479" s="138" t="s">
        <v>352</v>
      </c>
      <c r="H1479" s="138" t="s">
        <v>653</v>
      </c>
      <c r="I1479" s="139">
        <v>0</v>
      </c>
      <c r="K1479" s="96" t="str">
        <f t="shared" si="57"/>
        <v>0011-1004-0047</v>
      </c>
      <c r="L1479" s="96" t="str">
        <f>VLOOKUP(K1479,COA!$A$3:$B$337,2,FALSE)</f>
        <v>L17</v>
      </c>
      <c r="M1479" s="96" t="str">
        <f t="shared" si="58"/>
        <v>L17</v>
      </c>
      <c r="N1479" s="96" t="str">
        <f>VLOOKUP(M1479,CAC!$A$2:$B$198,2,FALSE)</f>
        <v>HMOLG</v>
      </c>
    </row>
    <row r="1480" spans="5:14" x14ac:dyDescent="0.25">
      <c r="E1480" s="136">
        <v>201606</v>
      </c>
      <c r="F1480" s="138" t="s">
        <v>746</v>
      </c>
      <c r="G1480" s="138" t="s">
        <v>350</v>
      </c>
      <c r="H1480" s="138" t="s">
        <v>764</v>
      </c>
      <c r="I1480" s="139">
        <v>8</v>
      </c>
      <c r="K1480" s="96" t="str">
        <f t="shared" si="57"/>
        <v>0016-1012-0064</v>
      </c>
      <c r="L1480" s="96" t="str">
        <f>VLOOKUP(K1480,COA!$A$3:$B$337,2,FALSE)</f>
        <v>R25</v>
      </c>
      <c r="M1480" s="96" t="str">
        <f t="shared" si="58"/>
        <v>R25</v>
      </c>
      <c r="N1480" s="96" t="str">
        <f>VLOOKUP(M1480,CAC!$A$2:$B$198,2,FALSE)</f>
        <v>HMOMG</v>
      </c>
    </row>
    <row r="1481" spans="5:14" x14ac:dyDescent="0.25">
      <c r="E1481" s="136">
        <v>201712</v>
      </c>
      <c r="F1481" s="138" t="s">
        <v>563</v>
      </c>
      <c r="G1481" s="138" t="s">
        <v>354</v>
      </c>
      <c r="H1481" s="138" t="s">
        <v>344</v>
      </c>
      <c r="I1481" s="139">
        <v>0</v>
      </c>
      <c r="K1481" s="96" t="str">
        <f t="shared" si="57"/>
        <v>0003-1013-0012</v>
      </c>
      <c r="L1481" s="96" t="str">
        <f>VLOOKUP(K1481,COA!$A$3:$B$337,2,FALSE)</f>
        <v>N55</v>
      </c>
      <c r="M1481" s="96" t="str">
        <f t="shared" si="58"/>
        <v>N55</v>
      </c>
      <c r="N1481" s="96" t="str">
        <f>VLOOKUP(M1481,CAC!$A$2:$B$198,2,FALSE)</f>
        <v>PPOPMR</v>
      </c>
    </row>
    <row r="1482" spans="5:14" x14ac:dyDescent="0.25">
      <c r="E1482" s="136">
        <v>201607</v>
      </c>
      <c r="F1482" s="138" t="s">
        <v>506</v>
      </c>
      <c r="G1482" s="138" t="s">
        <v>346</v>
      </c>
      <c r="H1482" s="138" t="s">
        <v>592</v>
      </c>
      <c r="I1482" s="139">
        <v>0</v>
      </c>
      <c r="K1482" s="96" t="str">
        <f t="shared" si="57"/>
        <v>0013-1014-0035</v>
      </c>
      <c r="L1482" s="96" t="str">
        <f>VLOOKUP(K1482,COA!$A$3:$B$337,2,FALSE)</f>
        <v>K42</v>
      </c>
      <c r="M1482" s="96" t="str">
        <f t="shared" si="58"/>
        <v>K42</v>
      </c>
      <c r="N1482" s="96" t="str">
        <f>VLOOKUP(M1482,CAC!$A$2:$B$198,2,FALSE)</f>
        <v>HMFLEX</v>
      </c>
    </row>
    <row r="1483" spans="5:14" x14ac:dyDescent="0.25">
      <c r="E1483" s="136">
        <v>201512</v>
      </c>
      <c r="F1483" s="138" t="s">
        <v>413</v>
      </c>
      <c r="G1483" s="138" t="s">
        <v>352</v>
      </c>
      <c r="H1483" s="138" t="s">
        <v>344</v>
      </c>
      <c r="I1483" s="139">
        <v>0</v>
      </c>
      <c r="K1483" s="96" t="str">
        <f t="shared" si="57"/>
        <v>0008-1004-0012</v>
      </c>
      <c r="L1483" s="96" t="str">
        <f>VLOOKUP(K1483,COA!$A$3:$B$337,2,FALSE)</f>
        <v>C93</v>
      </c>
      <c r="M1483" s="96" t="str">
        <f t="shared" si="58"/>
        <v>C93</v>
      </c>
      <c r="N1483" s="96" t="str">
        <f>VLOOKUP(M1483,CAC!$A$2:$B$198,2,FALSE)</f>
        <v>DOILG</v>
      </c>
    </row>
    <row r="1484" spans="5:14" x14ac:dyDescent="0.25">
      <c r="E1484" s="136">
        <v>201605</v>
      </c>
      <c r="F1484" s="138" t="s">
        <v>344</v>
      </c>
      <c r="G1484" s="138" t="s">
        <v>354</v>
      </c>
      <c r="H1484" s="138" t="s">
        <v>344</v>
      </c>
      <c r="I1484" s="139">
        <v>282</v>
      </c>
      <c r="K1484" s="96" t="str">
        <f t="shared" si="57"/>
        <v>0012-1013-0012</v>
      </c>
      <c r="L1484" s="96" t="str">
        <f>VLOOKUP(K1484,COA!$A$3:$B$337,2,FALSE)</f>
        <v>N14</v>
      </c>
      <c r="M1484" s="96" t="str">
        <f t="shared" si="58"/>
        <v>N14</v>
      </c>
      <c r="N1484" s="96" t="str">
        <f>VLOOKUP(M1484,CAC!$A$2:$B$198,2,FALSE)</f>
        <v>HMOPMR</v>
      </c>
    </row>
    <row r="1485" spans="5:14" x14ac:dyDescent="0.25">
      <c r="E1485" s="136">
        <v>201712</v>
      </c>
      <c r="F1485" s="138" t="s">
        <v>746</v>
      </c>
      <c r="G1485" s="138" t="s">
        <v>352</v>
      </c>
      <c r="H1485" s="138" t="s">
        <v>344</v>
      </c>
      <c r="I1485" s="139">
        <v>3</v>
      </c>
      <c r="K1485" s="96" t="str">
        <f t="shared" si="57"/>
        <v>0016-1004-0012</v>
      </c>
      <c r="L1485" s="96" t="str">
        <f>VLOOKUP(K1485,COA!$A$3:$B$337,2,FALSE)</f>
        <v>R20</v>
      </c>
      <c r="M1485" s="96" t="str">
        <f t="shared" si="58"/>
        <v>R20</v>
      </c>
      <c r="N1485" s="96" t="str">
        <f>VLOOKUP(M1485,CAC!$A$2:$B$198,2,FALSE)</f>
        <v>HMOMG</v>
      </c>
    </row>
    <row r="1486" spans="5:14" x14ac:dyDescent="0.25">
      <c r="E1486" s="136">
        <v>201508</v>
      </c>
      <c r="F1486" s="138" t="s">
        <v>345</v>
      </c>
      <c r="G1486" s="138" t="s">
        <v>362</v>
      </c>
      <c r="H1486" s="138" t="s">
        <v>363</v>
      </c>
      <c r="I1486" s="139">
        <v>59653.9</v>
      </c>
      <c r="K1486" s="96" t="str">
        <f t="shared" si="57"/>
        <v>0011-1008-0054</v>
      </c>
      <c r="L1486" s="96" t="str">
        <f>VLOOKUP(K1486,COA!$A$3:$B$337,2,FALSE)</f>
        <v>P23</v>
      </c>
      <c r="M1486" s="96" t="str">
        <f t="shared" si="58"/>
        <v>P23</v>
      </c>
      <c r="N1486" s="96" t="str">
        <f>VLOOKUP(M1486,CAC!$A$2:$B$198,2,FALSE)</f>
        <v>HMOPERN</v>
      </c>
    </row>
    <row r="1487" spans="5:14" x14ac:dyDescent="0.25">
      <c r="E1487" s="136">
        <v>201507</v>
      </c>
      <c r="F1487" s="138" t="s">
        <v>746</v>
      </c>
      <c r="G1487" s="138" t="s">
        <v>350</v>
      </c>
      <c r="H1487" s="138" t="s">
        <v>344</v>
      </c>
      <c r="I1487" s="139">
        <v>63</v>
      </c>
      <c r="K1487" s="96" t="str">
        <f t="shared" si="57"/>
        <v>0016-1012-0012</v>
      </c>
      <c r="L1487" s="96" t="str">
        <f>VLOOKUP(K1487,COA!$A$3:$B$337,2,FALSE)</f>
        <v>R19</v>
      </c>
      <c r="M1487" s="96" t="str">
        <f t="shared" si="58"/>
        <v>R19</v>
      </c>
      <c r="N1487" s="96" t="str">
        <f>VLOOKUP(M1487,CAC!$A$2:$B$198,2,FALSE)</f>
        <v>HMOMG</v>
      </c>
    </row>
    <row r="1488" spans="5:14" x14ac:dyDescent="0.25">
      <c r="E1488" s="136">
        <v>201511</v>
      </c>
      <c r="F1488" s="138" t="s">
        <v>563</v>
      </c>
      <c r="G1488" s="138" t="s">
        <v>352</v>
      </c>
      <c r="H1488" s="138" t="s">
        <v>653</v>
      </c>
      <c r="I1488" s="139">
        <v>0</v>
      </c>
      <c r="K1488" s="96" t="str">
        <f t="shared" si="57"/>
        <v>0003-1004-0047</v>
      </c>
      <c r="L1488" s="96" t="str">
        <f>VLOOKUP(K1488,COA!$A$3:$B$337,2,FALSE)</f>
        <v>L57</v>
      </c>
      <c r="M1488" s="96" t="str">
        <f t="shared" si="58"/>
        <v>L57</v>
      </c>
      <c r="N1488" s="96" t="str">
        <f>VLOOKUP(M1488,CAC!$A$2:$B$198,2,FALSE)</f>
        <v>PPOLG</v>
      </c>
    </row>
    <row r="1489" spans="5:14" x14ac:dyDescent="0.25">
      <c r="E1489" s="136">
        <v>201702</v>
      </c>
      <c r="F1489" s="138" t="s">
        <v>345</v>
      </c>
      <c r="G1489" s="138" t="s">
        <v>354</v>
      </c>
      <c r="H1489" s="138" t="s">
        <v>368</v>
      </c>
      <c r="I1489" s="139">
        <v>1</v>
      </c>
      <c r="K1489" s="96" t="str">
        <f t="shared" si="57"/>
        <v>0011-1013-0056</v>
      </c>
      <c r="L1489" s="96" t="str">
        <f>VLOOKUP(K1489,COA!$A$3:$B$337,2,FALSE)</f>
        <v>N20</v>
      </c>
      <c r="M1489" s="96" t="str">
        <f t="shared" si="58"/>
        <v>N20</v>
      </c>
      <c r="N1489" s="96" t="str">
        <f>VLOOKUP(M1489,CAC!$A$2:$B$198,2,FALSE)</f>
        <v>HMOPMR</v>
      </c>
    </row>
    <row r="1490" spans="5:14" x14ac:dyDescent="0.25">
      <c r="E1490" s="136">
        <v>201612</v>
      </c>
      <c r="F1490" s="138" t="s">
        <v>345</v>
      </c>
      <c r="G1490" s="138" t="s">
        <v>352</v>
      </c>
      <c r="H1490" s="138" t="s">
        <v>344</v>
      </c>
      <c r="I1490" s="139">
        <v>10710.97</v>
      </c>
      <c r="K1490" s="96" t="str">
        <f t="shared" si="57"/>
        <v>0011-1004-0012</v>
      </c>
      <c r="L1490" s="96" t="str">
        <f>VLOOKUP(K1490,COA!$A$3:$B$337,2,FALSE)</f>
        <v>L11</v>
      </c>
      <c r="M1490" s="96" t="str">
        <f t="shared" si="58"/>
        <v>L11</v>
      </c>
      <c r="N1490" s="96" t="str">
        <f>VLOOKUP(M1490,CAC!$A$2:$B$198,2,FALSE)</f>
        <v>HMOLG</v>
      </c>
    </row>
    <row r="1491" spans="5:14" x14ac:dyDescent="0.25">
      <c r="E1491" s="136">
        <v>201602</v>
      </c>
      <c r="F1491" s="138" t="s">
        <v>563</v>
      </c>
      <c r="G1491" s="138" t="s">
        <v>365</v>
      </c>
      <c r="H1491" s="138" t="s">
        <v>366</v>
      </c>
      <c r="I1491" s="139">
        <v>0</v>
      </c>
      <c r="K1491" s="96" t="str">
        <f t="shared" si="57"/>
        <v>0003-1001-0021</v>
      </c>
      <c r="L1491" s="96" t="str">
        <f>VLOOKUP(K1491,COA!$A$3:$B$337,2,FALSE)</f>
        <v>V53</v>
      </c>
      <c r="M1491" s="96" t="str">
        <f t="shared" si="58"/>
        <v>V53</v>
      </c>
      <c r="N1491" s="96" t="str">
        <f>VLOOKUP(M1491,CAC!$A$2:$B$198,2,FALSE)</f>
        <v>PPOIFP</v>
      </c>
    </row>
    <row r="1492" spans="5:14" x14ac:dyDescent="0.25">
      <c r="E1492" s="136">
        <v>201801</v>
      </c>
      <c r="F1492" s="138" t="s">
        <v>746</v>
      </c>
      <c r="G1492" s="138" t="s">
        <v>356</v>
      </c>
      <c r="H1492" s="138" t="s">
        <v>344</v>
      </c>
      <c r="I1492" s="139">
        <v>133</v>
      </c>
      <c r="K1492" s="96" t="str">
        <f t="shared" si="57"/>
        <v>0016-1002-0012</v>
      </c>
      <c r="L1492" s="96" t="str">
        <f>VLOOKUP(K1492,COA!$A$3:$B$337,2,FALSE)</f>
        <v>R18</v>
      </c>
      <c r="M1492" s="96" t="str">
        <f t="shared" si="58"/>
        <v>R18</v>
      </c>
      <c r="N1492" s="96" t="str">
        <f>VLOOKUP(M1492,CAC!$A$2:$B$198,2,FALSE)</f>
        <v>HMOMG</v>
      </c>
    </row>
    <row r="1493" spans="5:14" x14ac:dyDescent="0.25">
      <c r="E1493" s="136">
        <v>201507</v>
      </c>
      <c r="F1493" s="138" t="s">
        <v>746</v>
      </c>
      <c r="G1493" s="138" t="s">
        <v>362</v>
      </c>
      <c r="H1493" s="138" t="s">
        <v>364</v>
      </c>
      <c r="I1493" s="139">
        <v>5890</v>
      </c>
      <c r="K1493" s="96" t="str">
        <f t="shared" si="57"/>
        <v>0016-1008-0037</v>
      </c>
      <c r="L1493" s="96" t="str">
        <f>VLOOKUP(K1493,COA!$A$3:$B$337,2,FALSE)</f>
        <v>R24</v>
      </c>
      <c r="M1493" s="96" t="str">
        <f t="shared" si="58"/>
        <v>R24</v>
      </c>
      <c r="N1493" s="96" t="str">
        <f>VLOOKUP(M1493,CAC!$A$2:$B$198,2,FALSE)</f>
        <v>PERMAPD</v>
      </c>
    </row>
    <row r="1494" spans="5:14" x14ac:dyDescent="0.25">
      <c r="E1494" s="136">
        <v>201705</v>
      </c>
      <c r="F1494" s="138" t="s">
        <v>746</v>
      </c>
      <c r="G1494" s="138" t="s">
        <v>356</v>
      </c>
      <c r="H1494" s="138" t="s">
        <v>764</v>
      </c>
      <c r="I1494" s="139">
        <v>637</v>
      </c>
      <c r="K1494" s="96" t="str">
        <f t="shared" si="57"/>
        <v>0016-1002-0064</v>
      </c>
      <c r="L1494" s="96" t="str">
        <f>VLOOKUP(K1494,COA!$A$3:$B$337,2,FALSE)</f>
        <v>R25</v>
      </c>
      <c r="M1494" s="96" t="str">
        <f t="shared" si="58"/>
        <v>R25</v>
      </c>
      <c r="N1494" s="96" t="str">
        <f>VLOOKUP(M1494,CAC!$A$2:$B$198,2,FALSE)</f>
        <v>HMOMG</v>
      </c>
    </row>
    <row r="1495" spans="5:14" x14ac:dyDescent="0.25">
      <c r="E1495" s="136">
        <v>201504</v>
      </c>
      <c r="F1495" s="138" t="s">
        <v>345</v>
      </c>
      <c r="G1495" s="138" t="s">
        <v>351</v>
      </c>
      <c r="H1495" s="138" t="s">
        <v>353</v>
      </c>
      <c r="I1495" s="139">
        <v>1</v>
      </c>
      <c r="K1495" s="96" t="str">
        <f t="shared" si="57"/>
        <v>0011-0000-0023</v>
      </c>
      <c r="L1495" s="96" t="e">
        <f>VLOOKUP(K1495,COA!$A$3:$B$337,2,FALSE)</f>
        <v>#N/A</v>
      </c>
      <c r="M1495" s="96" t="str">
        <f t="shared" si="58"/>
        <v>XXX</v>
      </c>
      <c r="N1495" s="96" t="str">
        <f>VLOOKUP(M1495,CAC!$A$2:$B$198,2,FALSE)</f>
        <v>XXX</v>
      </c>
    </row>
    <row r="1496" spans="5:14" x14ac:dyDescent="0.25">
      <c r="E1496" s="136">
        <v>201504</v>
      </c>
      <c r="F1496" s="138" t="s">
        <v>746</v>
      </c>
      <c r="G1496" s="138" t="s">
        <v>362</v>
      </c>
      <c r="H1496" s="138" t="s">
        <v>364</v>
      </c>
      <c r="I1496" s="139">
        <v>5680</v>
      </c>
      <c r="K1496" s="96" t="str">
        <f t="shared" si="57"/>
        <v>0016-1008-0037</v>
      </c>
      <c r="L1496" s="96" t="str">
        <f>VLOOKUP(K1496,COA!$A$3:$B$337,2,FALSE)</f>
        <v>R24</v>
      </c>
      <c r="M1496" s="96" t="str">
        <f t="shared" si="58"/>
        <v>R24</v>
      </c>
      <c r="N1496" s="96" t="str">
        <f>VLOOKUP(M1496,CAC!$A$2:$B$198,2,FALSE)</f>
        <v>PERMAPD</v>
      </c>
    </row>
    <row r="1497" spans="5:14" x14ac:dyDescent="0.25">
      <c r="E1497" s="136">
        <v>201507</v>
      </c>
      <c r="F1497" s="138" t="s">
        <v>345</v>
      </c>
      <c r="G1497" s="138" t="s">
        <v>362</v>
      </c>
      <c r="H1497" s="138" t="s">
        <v>363</v>
      </c>
      <c r="I1497" s="139">
        <v>59927.44</v>
      </c>
      <c r="K1497" s="96" t="str">
        <f t="shared" si="57"/>
        <v>0011-1008-0054</v>
      </c>
      <c r="L1497" s="96" t="str">
        <f>VLOOKUP(K1497,COA!$A$3:$B$337,2,FALSE)</f>
        <v>P23</v>
      </c>
      <c r="M1497" s="96" t="str">
        <f t="shared" si="58"/>
        <v>P23</v>
      </c>
      <c r="N1497" s="96" t="str">
        <f>VLOOKUP(M1497,CAC!$A$2:$B$198,2,FALSE)</f>
        <v>HMOPERN</v>
      </c>
    </row>
    <row r="1498" spans="5:14" x14ac:dyDescent="0.25">
      <c r="E1498" s="136">
        <v>201708</v>
      </c>
      <c r="F1498" s="138" t="s">
        <v>345</v>
      </c>
      <c r="G1498" s="138" t="s">
        <v>354</v>
      </c>
      <c r="H1498" s="138" t="s">
        <v>344</v>
      </c>
      <c r="I1498" s="139">
        <v>4238.97</v>
      </c>
      <c r="K1498" s="96" t="str">
        <f t="shared" si="57"/>
        <v>0011-1013-0012</v>
      </c>
      <c r="L1498" s="96" t="str">
        <f>VLOOKUP(K1498,COA!$A$3:$B$337,2,FALSE)</f>
        <v>N20</v>
      </c>
      <c r="M1498" s="96" t="str">
        <f t="shared" si="58"/>
        <v>N20</v>
      </c>
      <c r="N1498" s="96" t="str">
        <f>VLOOKUP(M1498,CAC!$A$2:$B$198,2,FALSE)</f>
        <v>HMOPMR</v>
      </c>
    </row>
    <row r="1499" spans="5:14" x14ac:dyDescent="0.25">
      <c r="E1499" s="136">
        <v>201608</v>
      </c>
      <c r="F1499" s="138" t="s">
        <v>413</v>
      </c>
      <c r="G1499" s="138" t="s">
        <v>352</v>
      </c>
      <c r="H1499" s="138" t="s">
        <v>344</v>
      </c>
      <c r="I1499" s="139">
        <v>0</v>
      </c>
      <c r="K1499" s="96" t="str">
        <f t="shared" si="57"/>
        <v>0008-1004-0012</v>
      </c>
      <c r="L1499" s="96" t="str">
        <f>VLOOKUP(K1499,COA!$A$3:$B$337,2,FALSE)</f>
        <v>C93</v>
      </c>
      <c r="M1499" s="96" t="str">
        <f t="shared" si="58"/>
        <v>C93</v>
      </c>
      <c r="N1499" s="96" t="str">
        <f>VLOOKUP(M1499,CAC!$A$2:$B$198,2,FALSE)</f>
        <v>DOILG</v>
      </c>
    </row>
    <row r="1500" spans="5:14" x14ac:dyDescent="0.25">
      <c r="E1500" s="136">
        <v>201705</v>
      </c>
      <c r="F1500" s="138" t="s">
        <v>563</v>
      </c>
      <c r="G1500" s="138" t="s">
        <v>350</v>
      </c>
      <c r="H1500" s="138" t="s">
        <v>626</v>
      </c>
      <c r="I1500" s="139">
        <v>0</v>
      </c>
      <c r="K1500" s="96" t="str">
        <f t="shared" si="57"/>
        <v>0003-1012-0057</v>
      </c>
      <c r="L1500" s="96" t="str">
        <f>VLOOKUP(K1500,COA!$A$3:$B$337,2,FALSE)</f>
        <v>K51</v>
      </c>
      <c r="M1500" s="96" t="str">
        <f t="shared" si="58"/>
        <v>K51</v>
      </c>
      <c r="N1500" s="96" t="str">
        <f>VLOOKUP(M1500,CAC!$A$2:$B$198,2,FALSE)</f>
        <v>PPOPMR</v>
      </c>
    </row>
    <row r="1501" spans="5:14" x14ac:dyDescent="0.25">
      <c r="E1501" s="136">
        <v>201510</v>
      </c>
      <c r="F1501" s="138" t="s">
        <v>344</v>
      </c>
      <c r="G1501" s="138" t="s">
        <v>350</v>
      </c>
      <c r="H1501" s="138" t="s">
        <v>344</v>
      </c>
      <c r="I1501" s="139">
        <v>111</v>
      </c>
      <c r="K1501" s="96" t="str">
        <f t="shared" si="57"/>
        <v>0012-1012-0012</v>
      </c>
      <c r="L1501" s="96" t="str">
        <f>VLOOKUP(K1501,COA!$A$3:$B$337,2,FALSE)</f>
        <v>K12</v>
      </c>
      <c r="M1501" s="96" t="str">
        <f t="shared" si="58"/>
        <v>K12</v>
      </c>
      <c r="N1501" s="96" t="str">
        <f>VLOOKUP(M1501,CAC!$A$2:$B$198,2,FALSE)</f>
        <v>HMOPMR</v>
      </c>
    </row>
    <row r="1502" spans="5:14" x14ac:dyDescent="0.25">
      <c r="E1502" s="136">
        <v>201511</v>
      </c>
      <c r="F1502" s="138" t="s">
        <v>345</v>
      </c>
      <c r="G1502" s="138" t="s">
        <v>348</v>
      </c>
      <c r="H1502" s="138" t="s">
        <v>358</v>
      </c>
      <c r="I1502" s="139">
        <v>67</v>
      </c>
      <c r="K1502" s="96" t="str">
        <f t="shared" si="57"/>
        <v>0011-1010-0024</v>
      </c>
      <c r="L1502" s="96" t="str">
        <f>VLOOKUP(K1502,COA!$A$3:$B$337,2,FALSE)</f>
        <v>S14</v>
      </c>
      <c r="M1502" s="96" t="str">
        <f t="shared" si="58"/>
        <v>S14</v>
      </c>
      <c r="N1502" s="96" t="str">
        <f>VLOOKUP(M1502,CAC!$A$2:$B$198,2,FALSE)</f>
        <v>HMOSG</v>
      </c>
    </row>
    <row r="1503" spans="5:14" x14ac:dyDescent="0.25">
      <c r="E1503" s="136">
        <v>201708</v>
      </c>
      <c r="F1503" s="138" t="s">
        <v>563</v>
      </c>
      <c r="G1503" s="138" t="s">
        <v>352</v>
      </c>
      <c r="H1503" s="138" t="s">
        <v>626</v>
      </c>
      <c r="I1503" s="139">
        <v>0</v>
      </c>
      <c r="K1503" s="96" t="str">
        <f t="shared" si="57"/>
        <v>0003-1004-0057</v>
      </c>
      <c r="L1503" s="96" t="e">
        <f>VLOOKUP(K1503,COA!$A$3:$B$337,2,FALSE)</f>
        <v>#N/A</v>
      </c>
      <c r="M1503" s="96" t="str">
        <f t="shared" si="58"/>
        <v>XXX</v>
      </c>
      <c r="N1503" s="96" t="str">
        <f>VLOOKUP(M1503,CAC!$A$2:$B$198,2,FALSE)</f>
        <v>XXX</v>
      </c>
    </row>
    <row r="1504" spans="5:14" x14ac:dyDescent="0.25">
      <c r="E1504" s="136">
        <v>201609</v>
      </c>
      <c r="F1504" s="138" t="s">
        <v>746</v>
      </c>
      <c r="G1504" s="138" t="s">
        <v>350</v>
      </c>
      <c r="H1504" s="138" t="s">
        <v>764</v>
      </c>
      <c r="I1504" s="139">
        <v>6</v>
      </c>
      <c r="K1504" s="96" t="str">
        <f t="shared" si="57"/>
        <v>0016-1012-0064</v>
      </c>
      <c r="L1504" s="96" t="str">
        <f>VLOOKUP(K1504,COA!$A$3:$B$337,2,FALSE)</f>
        <v>R25</v>
      </c>
      <c r="M1504" s="96" t="str">
        <f t="shared" si="58"/>
        <v>R25</v>
      </c>
      <c r="N1504" s="96" t="str">
        <f>VLOOKUP(M1504,CAC!$A$2:$B$198,2,FALSE)</f>
        <v>HMOMG</v>
      </c>
    </row>
    <row r="1505" spans="5:14" x14ac:dyDescent="0.25">
      <c r="E1505" s="136">
        <v>201601</v>
      </c>
      <c r="F1505" s="138" t="s">
        <v>563</v>
      </c>
      <c r="G1505" s="138" t="s">
        <v>359</v>
      </c>
      <c r="H1505" s="138" t="s">
        <v>344</v>
      </c>
      <c r="I1505" s="139">
        <v>0</v>
      </c>
      <c r="K1505" s="96" t="str">
        <f t="shared" si="57"/>
        <v>0003-1005-0012</v>
      </c>
      <c r="L1505" s="96" t="str">
        <f>VLOOKUP(K1505,COA!$A$3:$B$337,2,FALSE)</f>
        <v>N51</v>
      </c>
      <c r="M1505" s="96" t="str">
        <f t="shared" si="58"/>
        <v>N51</v>
      </c>
      <c r="N1505" s="96" t="str">
        <f>VLOOKUP(M1505,CAC!$A$2:$B$198,2,FALSE)</f>
        <v>PPOLG</v>
      </c>
    </row>
    <row r="1506" spans="5:14" x14ac:dyDescent="0.25">
      <c r="E1506" s="136">
        <v>201706</v>
      </c>
      <c r="F1506" s="138" t="s">
        <v>345</v>
      </c>
      <c r="G1506" s="138" t="s">
        <v>352</v>
      </c>
      <c r="H1506" s="138" t="s">
        <v>344</v>
      </c>
      <c r="I1506" s="139">
        <v>9320.9699999999993</v>
      </c>
      <c r="K1506" s="96" t="str">
        <f t="shared" si="57"/>
        <v>0011-1004-0012</v>
      </c>
      <c r="L1506" s="96" t="str">
        <f>VLOOKUP(K1506,COA!$A$3:$B$337,2,FALSE)</f>
        <v>L11</v>
      </c>
      <c r="M1506" s="96" t="str">
        <f t="shared" si="58"/>
        <v>L11</v>
      </c>
      <c r="N1506" s="96" t="str">
        <f>VLOOKUP(M1506,CAC!$A$2:$B$198,2,FALSE)</f>
        <v>HMOLG</v>
      </c>
    </row>
    <row r="1507" spans="5:14" x14ac:dyDescent="0.25">
      <c r="E1507" s="136">
        <v>201604</v>
      </c>
      <c r="F1507" s="138" t="s">
        <v>413</v>
      </c>
      <c r="G1507" s="138" t="s">
        <v>365</v>
      </c>
      <c r="H1507" s="138" t="s">
        <v>344</v>
      </c>
      <c r="I1507" s="139">
        <v>0</v>
      </c>
      <c r="K1507" s="96" t="str">
        <f t="shared" si="57"/>
        <v>0008-1001-0012</v>
      </c>
      <c r="L1507" s="96" t="str">
        <f>VLOOKUP(K1507,COA!$A$3:$B$337,2,FALSE)</f>
        <v>C95</v>
      </c>
      <c r="M1507" s="96" t="str">
        <f t="shared" si="58"/>
        <v>C95</v>
      </c>
      <c r="N1507" s="96" t="str">
        <f>VLOOKUP(M1507,CAC!$A$2:$B$198,2,FALSE)</f>
        <v>DOIIFP</v>
      </c>
    </row>
    <row r="1508" spans="5:14" x14ac:dyDescent="0.25">
      <c r="E1508" s="136">
        <v>201704</v>
      </c>
      <c r="F1508" s="138" t="s">
        <v>506</v>
      </c>
      <c r="G1508" s="138" t="s">
        <v>352</v>
      </c>
      <c r="H1508" s="138" t="s">
        <v>592</v>
      </c>
      <c r="I1508" s="139">
        <v>0</v>
      </c>
      <c r="K1508" s="96" t="str">
        <f t="shared" si="57"/>
        <v>0013-1004-0035</v>
      </c>
      <c r="L1508" s="96" t="str">
        <f>VLOOKUP(K1508,COA!$A$3:$B$337,2,FALSE)</f>
        <v>L41</v>
      </c>
      <c r="M1508" s="96" t="str">
        <f t="shared" si="58"/>
        <v>L41</v>
      </c>
      <c r="N1508" s="96" t="e">
        <f>VLOOKUP(M1508,CAC!$A$2:$B$198,2,FALSE)</f>
        <v>#N/A</v>
      </c>
    </row>
    <row r="1509" spans="5:14" x14ac:dyDescent="0.25">
      <c r="E1509" s="136">
        <v>201503</v>
      </c>
      <c r="F1509" s="138" t="s">
        <v>344</v>
      </c>
      <c r="G1509" s="138" t="s">
        <v>352</v>
      </c>
      <c r="H1509" s="138" t="s">
        <v>344</v>
      </c>
      <c r="I1509" s="139">
        <v>270</v>
      </c>
      <c r="K1509" s="96" t="str">
        <f t="shared" si="57"/>
        <v>0012-1004-0012</v>
      </c>
      <c r="L1509" s="96" t="str">
        <f>VLOOKUP(K1509,COA!$A$3:$B$337,2,FALSE)</f>
        <v>L12</v>
      </c>
      <c r="M1509" s="96" t="str">
        <f t="shared" si="58"/>
        <v>L12</v>
      </c>
      <c r="N1509" s="96" t="str">
        <f>VLOOKUP(M1509,CAC!$A$2:$B$198,2,FALSE)</f>
        <v>HMOLG</v>
      </c>
    </row>
    <row r="1510" spans="5:14" x14ac:dyDescent="0.25">
      <c r="E1510" s="136">
        <v>201607</v>
      </c>
      <c r="F1510" s="138" t="s">
        <v>345</v>
      </c>
      <c r="G1510" s="138" t="s">
        <v>346</v>
      </c>
      <c r="H1510" s="138" t="s">
        <v>344</v>
      </c>
      <c r="I1510" s="139">
        <v>0</v>
      </c>
      <c r="K1510" s="96" t="str">
        <f t="shared" si="57"/>
        <v>0011-1014-0012</v>
      </c>
      <c r="L1510" s="96" t="e">
        <f>VLOOKUP(K1510,COA!$A$3:$B$337,2,FALSE)</f>
        <v>#N/A</v>
      </c>
      <c r="M1510" s="96" t="str">
        <f t="shared" si="58"/>
        <v>XXX</v>
      </c>
      <c r="N1510" s="96" t="str">
        <f>VLOOKUP(M1510,CAC!$A$2:$B$198,2,FALSE)</f>
        <v>XXX</v>
      </c>
    </row>
    <row r="1511" spans="5:14" x14ac:dyDescent="0.25">
      <c r="E1511" s="136">
        <v>201502</v>
      </c>
      <c r="F1511" s="138" t="s">
        <v>413</v>
      </c>
      <c r="G1511" s="138" t="s">
        <v>355</v>
      </c>
      <c r="H1511" s="138" t="s">
        <v>344</v>
      </c>
      <c r="I1511" s="139">
        <v>0</v>
      </c>
      <c r="K1511" s="96" t="str">
        <f t="shared" si="57"/>
        <v>0008-1006-0012</v>
      </c>
      <c r="L1511" s="96" t="str">
        <f>VLOOKUP(K1511,COA!$A$3:$B$337,2,FALSE)</f>
        <v>C96</v>
      </c>
      <c r="M1511" s="96" t="str">
        <f t="shared" si="58"/>
        <v>C96</v>
      </c>
      <c r="N1511" s="96" t="str">
        <f>VLOOKUP(M1511,CAC!$A$2:$B$198,2,FALSE)</f>
        <v>DOILG</v>
      </c>
    </row>
    <row r="1512" spans="5:14" x14ac:dyDescent="0.25">
      <c r="E1512" s="136">
        <v>201711</v>
      </c>
      <c r="F1512" s="138" t="s">
        <v>563</v>
      </c>
      <c r="G1512" s="138" t="s">
        <v>356</v>
      </c>
      <c r="H1512" s="138" t="s">
        <v>344</v>
      </c>
      <c r="I1512" s="139">
        <v>0</v>
      </c>
      <c r="K1512" s="96" t="str">
        <f t="shared" si="57"/>
        <v>0003-1002-0012</v>
      </c>
      <c r="L1512" s="96" t="str">
        <f>VLOOKUP(K1512,COA!$A$3:$B$337,2,FALSE)</f>
        <v>F61</v>
      </c>
      <c r="M1512" s="96" t="str">
        <f t="shared" si="58"/>
        <v>F61</v>
      </c>
      <c r="N1512" s="96" t="str">
        <f>VLOOKUP(M1512,CAC!$A$2:$B$198,2,FALSE)</f>
        <v>PPOPMR</v>
      </c>
    </row>
    <row r="1513" spans="5:14" x14ac:dyDescent="0.25">
      <c r="E1513" s="136">
        <v>201710</v>
      </c>
      <c r="F1513" s="138" t="s">
        <v>746</v>
      </c>
      <c r="G1513" s="138" t="s">
        <v>361</v>
      </c>
      <c r="H1513" s="138" t="s">
        <v>344</v>
      </c>
      <c r="I1513" s="139">
        <v>502</v>
      </c>
      <c r="K1513" s="96" t="str">
        <f t="shared" si="57"/>
        <v>0016-1003-0012</v>
      </c>
      <c r="L1513" s="96" t="str">
        <f>VLOOKUP(K1513,COA!$A$3:$B$337,2,FALSE)</f>
        <v>R18</v>
      </c>
      <c r="M1513" s="96" t="str">
        <f t="shared" si="58"/>
        <v>R18</v>
      </c>
      <c r="N1513" s="96" t="str">
        <f>VLOOKUP(M1513,CAC!$A$2:$B$198,2,FALSE)</f>
        <v>HMOMG</v>
      </c>
    </row>
    <row r="1514" spans="5:14" x14ac:dyDescent="0.25">
      <c r="E1514" s="136">
        <v>201601</v>
      </c>
      <c r="F1514" s="138" t="s">
        <v>563</v>
      </c>
      <c r="G1514" s="138" t="s">
        <v>354</v>
      </c>
      <c r="H1514" s="138" t="s">
        <v>626</v>
      </c>
      <c r="I1514" s="139">
        <v>0</v>
      </c>
      <c r="K1514" s="96" t="str">
        <f t="shared" si="57"/>
        <v>0003-1013-0057</v>
      </c>
      <c r="L1514" s="96" t="str">
        <f>VLOOKUP(K1514,COA!$A$3:$B$337,2,FALSE)</f>
        <v>N55</v>
      </c>
      <c r="M1514" s="96" t="str">
        <f t="shared" si="58"/>
        <v>N55</v>
      </c>
      <c r="N1514" s="96" t="str">
        <f>VLOOKUP(M1514,CAC!$A$2:$B$198,2,FALSE)</f>
        <v>PPOPMR</v>
      </c>
    </row>
    <row r="1515" spans="5:14" x14ac:dyDescent="0.25">
      <c r="E1515" s="136">
        <v>201509</v>
      </c>
      <c r="F1515" s="138" t="s">
        <v>563</v>
      </c>
      <c r="G1515" s="138" t="s">
        <v>365</v>
      </c>
      <c r="H1515" s="138" t="s">
        <v>366</v>
      </c>
      <c r="I1515" s="139">
        <v>0</v>
      </c>
      <c r="K1515" s="96" t="str">
        <f t="shared" si="57"/>
        <v>0003-1001-0021</v>
      </c>
      <c r="L1515" s="96" t="str">
        <f>VLOOKUP(K1515,COA!$A$3:$B$337,2,FALSE)</f>
        <v>V53</v>
      </c>
      <c r="M1515" s="96" t="str">
        <f t="shared" si="58"/>
        <v>V53</v>
      </c>
      <c r="N1515" s="96" t="str">
        <f>VLOOKUP(M1515,CAC!$A$2:$B$198,2,FALSE)</f>
        <v>PPOIFP</v>
      </c>
    </row>
    <row r="1516" spans="5:14" x14ac:dyDescent="0.25">
      <c r="E1516" s="136">
        <v>201506</v>
      </c>
      <c r="F1516" s="138" t="s">
        <v>563</v>
      </c>
      <c r="G1516" s="138" t="s">
        <v>359</v>
      </c>
      <c r="H1516" s="138" t="s">
        <v>344</v>
      </c>
      <c r="I1516" s="139">
        <v>0</v>
      </c>
      <c r="K1516" s="96" t="str">
        <f t="shared" si="57"/>
        <v>0003-1005-0012</v>
      </c>
      <c r="L1516" s="96" t="str">
        <f>VLOOKUP(K1516,COA!$A$3:$B$337,2,FALSE)</f>
        <v>N51</v>
      </c>
      <c r="M1516" s="96" t="str">
        <f t="shared" si="58"/>
        <v>N51</v>
      </c>
      <c r="N1516" s="96" t="str">
        <f>VLOOKUP(M1516,CAC!$A$2:$B$198,2,FALSE)</f>
        <v>PPOLG</v>
      </c>
    </row>
    <row r="1517" spans="5:14" x14ac:dyDescent="0.25">
      <c r="E1517" s="136">
        <v>201608</v>
      </c>
      <c r="F1517" s="138" t="s">
        <v>563</v>
      </c>
      <c r="G1517" s="138" t="s">
        <v>352</v>
      </c>
      <c r="H1517" s="138" t="s">
        <v>653</v>
      </c>
      <c r="I1517" s="139">
        <v>0</v>
      </c>
      <c r="K1517" s="96" t="str">
        <f t="shared" si="57"/>
        <v>0003-1004-0047</v>
      </c>
      <c r="L1517" s="96" t="str">
        <f>VLOOKUP(K1517,COA!$A$3:$B$337,2,FALSE)</f>
        <v>L57</v>
      </c>
      <c r="M1517" s="96" t="str">
        <f t="shared" si="58"/>
        <v>L57</v>
      </c>
      <c r="N1517" s="96" t="str">
        <f>VLOOKUP(M1517,CAC!$A$2:$B$198,2,FALSE)</f>
        <v>PPOLG</v>
      </c>
    </row>
    <row r="1518" spans="5:14" x14ac:dyDescent="0.25">
      <c r="E1518" s="136">
        <v>201710</v>
      </c>
      <c r="F1518" s="138" t="s">
        <v>563</v>
      </c>
      <c r="G1518" s="138" t="s">
        <v>351</v>
      </c>
      <c r="H1518" s="138" t="s">
        <v>353</v>
      </c>
      <c r="I1518" s="139">
        <v>0</v>
      </c>
      <c r="K1518" s="96" t="str">
        <f t="shared" si="57"/>
        <v>0003-0000-0023</v>
      </c>
      <c r="L1518" s="96" t="e">
        <f>VLOOKUP(K1518,COA!$A$3:$B$337,2,FALSE)</f>
        <v>#N/A</v>
      </c>
      <c r="M1518" s="96" t="str">
        <f t="shared" si="58"/>
        <v>XXX</v>
      </c>
      <c r="N1518" s="96" t="str">
        <f>VLOOKUP(M1518,CAC!$A$2:$B$198,2,FALSE)</f>
        <v>XXX</v>
      </c>
    </row>
    <row r="1519" spans="5:14" x14ac:dyDescent="0.25">
      <c r="E1519" s="136">
        <v>201705</v>
      </c>
      <c r="F1519" s="138" t="s">
        <v>345</v>
      </c>
      <c r="G1519" s="138" t="s">
        <v>354</v>
      </c>
      <c r="H1519" s="138" t="s">
        <v>368</v>
      </c>
      <c r="I1519" s="139">
        <v>1</v>
      </c>
      <c r="K1519" s="96" t="str">
        <f t="shared" si="57"/>
        <v>0011-1013-0056</v>
      </c>
      <c r="L1519" s="96" t="str">
        <f>VLOOKUP(K1519,COA!$A$3:$B$337,2,FALSE)</f>
        <v>N20</v>
      </c>
      <c r="M1519" s="96" t="str">
        <f t="shared" si="58"/>
        <v>N20</v>
      </c>
      <c r="N1519" s="96" t="str">
        <f>VLOOKUP(M1519,CAC!$A$2:$B$198,2,FALSE)</f>
        <v>HMOPMR</v>
      </c>
    </row>
    <row r="1520" spans="5:14" x14ac:dyDescent="0.25">
      <c r="E1520" s="136">
        <v>201608</v>
      </c>
      <c r="F1520" s="138" t="s">
        <v>345</v>
      </c>
      <c r="G1520" s="138" t="s">
        <v>348</v>
      </c>
      <c r="H1520" s="138" t="s">
        <v>358</v>
      </c>
      <c r="I1520" s="139">
        <v>73</v>
      </c>
      <c r="K1520" s="96" t="str">
        <f t="shared" si="57"/>
        <v>0011-1010-0024</v>
      </c>
      <c r="L1520" s="96" t="str">
        <f>VLOOKUP(K1520,COA!$A$3:$B$337,2,FALSE)</f>
        <v>S14</v>
      </c>
      <c r="M1520" s="96" t="str">
        <f t="shared" si="58"/>
        <v>S14</v>
      </c>
      <c r="N1520" s="96" t="str">
        <f>VLOOKUP(M1520,CAC!$A$2:$B$198,2,FALSE)</f>
        <v>HMOSG</v>
      </c>
    </row>
    <row r="1521" spans="5:14" x14ac:dyDescent="0.25">
      <c r="E1521" s="136">
        <v>201711</v>
      </c>
      <c r="F1521" s="138" t="s">
        <v>563</v>
      </c>
      <c r="G1521" s="138" t="s">
        <v>361</v>
      </c>
      <c r="H1521" s="138" t="s">
        <v>344</v>
      </c>
      <c r="I1521" s="139">
        <v>0</v>
      </c>
      <c r="K1521" s="96" t="str">
        <f t="shared" si="57"/>
        <v>0003-1003-0012</v>
      </c>
      <c r="L1521" s="96" t="str">
        <f>VLOOKUP(K1521,COA!$A$3:$B$337,2,FALSE)</f>
        <v>N61</v>
      </c>
      <c r="M1521" s="96" t="str">
        <f t="shared" si="58"/>
        <v>N61</v>
      </c>
      <c r="N1521" s="96" t="str">
        <f>VLOOKUP(M1521,CAC!$A$2:$B$198,2,FALSE)</f>
        <v>PPOPMR</v>
      </c>
    </row>
    <row r="1522" spans="5:14" x14ac:dyDescent="0.25">
      <c r="E1522" s="136">
        <v>201612</v>
      </c>
      <c r="F1522" s="138" t="s">
        <v>344</v>
      </c>
      <c r="G1522" s="138" t="s">
        <v>352</v>
      </c>
      <c r="H1522" s="138" t="s">
        <v>360</v>
      </c>
      <c r="I1522" s="139">
        <v>215</v>
      </c>
      <c r="K1522" s="96" t="str">
        <f t="shared" si="57"/>
        <v>0012-1004-0048</v>
      </c>
      <c r="L1522" s="96" t="str">
        <f>VLOOKUP(K1522,COA!$A$3:$B$337,2,FALSE)</f>
        <v>L22</v>
      </c>
      <c r="M1522" s="96" t="str">
        <f t="shared" si="58"/>
        <v>L22</v>
      </c>
      <c r="N1522" s="96" t="str">
        <f>VLOOKUP(M1522,CAC!$A$2:$B$198,2,FALSE)</f>
        <v>HMFLEX</v>
      </c>
    </row>
    <row r="1523" spans="5:14" x14ac:dyDescent="0.25">
      <c r="E1523" s="136">
        <v>201601</v>
      </c>
      <c r="F1523" s="138" t="s">
        <v>345</v>
      </c>
      <c r="G1523" s="138" t="s">
        <v>361</v>
      </c>
      <c r="H1523" s="138" t="s">
        <v>344</v>
      </c>
      <c r="I1523" s="139">
        <v>4065.86</v>
      </c>
      <c r="K1523" s="96" t="str">
        <f t="shared" si="57"/>
        <v>0011-1003-0012</v>
      </c>
      <c r="L1523" s="96" t="str">
        <f>VLOOKUP(K1523,COA!$A$3:$B$337,2,FALSE)</f>
        <v>N16</v>
      </c>
      <c r="M1523" s="96" t="str">
        <f t="shared" si="58"/>
        <v>N16</v>
      </c>
      <c r="N1523" s="96" t="str">
        <f>VLOOKUP(M1523,CAC!$A$2:$B$198,2,FALSE)</f>
        <v>HMOPMR</v>
      </c>
    </row>
    <row r="1524" spans="5:14" x14ac:dyDescent="0.25">
      <c r="E1524" s="136">
        <v>201707</v>
      </c>
      <c r="F1524" s="138" t="s">
        <v>345</v>
      </c>
      <c r="G1524" s="138" t="s">
        <v>348</v>
      </c>
      <c r="H1524" s="138" t="s">
        <v>353</v>
      </c>
      <c r="I1524" s="139">
        <v>355</v>
      </c>
      <c r="K1524" s="96" t="str">
        <f t="shared" si="57"/>
        <v>0011-1010-0023</v>
      </c>
      <c r="L1524" s="96" t="str">
        <f>VLOOKUP(K1524,COA!$A$3:$B$337,2,FALSE)</f>
        <v>S13</v>
      </c>
      <c r="M1524" s="96" t="str">
        <f t="shared" si="58"/>
        <v>S13</v>
      </c>
      <c r="N1524" s="96" t="str">
        <f>VLOOKUP(M1524,CAC!$A$2:$B$198,2,FALSE)</f>
        <v>HMOSG</v>
      </c>
    </row>
    <row r="1525" spans="5:14" x14ac:dyDescent="0.25">
      <c r="E1525" s="136">
        <v>201510</v>
      </c>
      <c r="F1525" s="138" t="s">
        <v>413</v>
      </c>
      <c r="G1525" s="138" t="s">
        <v>356</v>
      </c>
      <c r="H1525" s="138" t="s">
        <v>344</v>
      </c>
      <c r="I1525" s="139">
        <v>0</v>
      </c>
      <c r="K1525" s="96" t="str">
        <f t="shared" si="57"/>
        <v>0008-1002-0012</v>
      </c>
      <c r="L1525" s="96" t="str">
        <f>VLOOKUP(K1525,COA!$A$3:$B$337,2,FALSE)</f>
        <v>C74</v>
      </c>
      <c r="M1525" s="96" t="str">
        <f t="shared" si="58"/>
        <v>C74</v>
      </c>
      <c r="N1525" s="96" t="str">
        <f>VLOOKUP(M1525,CAC!$A$2:$B$198,2,FALSE)</f>
        <v>DOILG</v>
      </c>
    </row>
    <row r="1526" spans="5:14" x14ac:dyDescent="0.25">
      <c r="E1526" s="136">
        <v>201611</v>
      </c>
      <c r="F1526" s="138" t="s">
        <v>345</v>
      </c>
      <c r="G1526" s="138" t="s">
        <v>355</v>
      </c>
      <c r="H1526" s="138" t="s">
        <v>344</v>
      </c>
      <c r="I1526" s="139">
        <v>20915.240000000002</v>
      </c>
      <c r="K1526" s="96" t="str">
        <f t="shared" si="57"/>
        <v>0011-1006-0012</v>
      </c>
      <c r="L1526" s="96" t="str">
        <f>VLOOKUP(K1526,COA!$A$3:$B$337,2,FALSE)</f>
        <v>L13</v>
      </c>
      <c r="M1526" s="96" t="str">
        <f t="shared" si="58"/>
        <v>L13</v>
      </c>
      <c r="N1526" s="96" t="str">
        <f>VLOOKUP(M1526,CAC!$A$2:$B$198,2,FALSE)</f>
        <v>HMOLG</v>
      </c>
    </row>
    <row r="1527" spans="5:14" x14ac:dyDescent="0.25">
      <c r="E1527" s="136">
        <v>201607</v>
      </c>
      <c r="F1527" s="138" t="s">
        <v>345</v>
      </c>
      <c r="G1527" s="138" t="s">
        <v>359</v>
      </c>
      <c r="H1527" s="138" t="s">
        <v>344</v>
      </c>
      <c r="I1527" s="139">
        <v>4185.51</v>
      </c>
      <c r="K1527" s="96" t="str">
        <f t="shared" si="57"/>
        <v>0011-1005-0012</v>
      </c>
      <c r="L1527" s="96" t="str">
        <f>VLOOKUP(K1527,COA!$A$3:$B$337,2,FALSE)</f>
        <v>N11</v>
      </c>
      <c r="M1527" s="96" t="str">
        <f t="shared" si="58"/>
        <v>N11</v>
      </c>
      <c r="N1527" s="96" t="str">
        <f>VLOOKUP(M1527,CAC!$A$2:$B$198,2,FALSE)</f>
        <v>HMOLG</v>
      </c>
    </row>
    <row r="1528" spans="5:14" x14ac:dyDescent="0.25">
      <c r="E1528" s="136">
        <v>201701</v>
      </c>
      <c r="F1528" s="138" t="s">
        <v>345</v>
      </c>
      <c r="G1528" s="138" t="s">
        <v>354</v>
      </c>
      <c r="H1528" s="138" t="s">
        <v>344</v>
      </c>
      <c r="I1528" s="139">
        <v>5651.06</v>
      </c>
      <c r="K1528" s="96" t="str">
        <f t="shared" si="57"/>
        <v>0011-1013-0012</v>
      </c>
      <c r="L1528" s="96" t="str">
        <f>VLOOKUP(K1528,COA!$A$3:$B$337,2,FALSE)</f>
        <v>N20</v>
      </c>
      <c r="M1528" s="96" t="str">
        <f t="shared" si="58"/>
        <v>N20</v>
      </c>
      <c r="N1528" s="96" t="str">
        <f>VLOOKUP(M1528,CAC!$A$2:$B$198,2,FALSE)</f>
        <v>HMOPMR</v>
      </c>
    </row>
    <row r="1529" spans="5:14" x14ac:dyDescent="0.25">
      <c r="E1529" s="136">
        <v>201504</v>
      </c>
      <c r="F1529" s="138" t="s">
        <v>563</v>
      </c>
      <c r="G1529" s="138" t="s">
        <v>365</v>
      </c>
      <c r="H1529" s="138" t="s">
        <v>344</v>
      </c>
      <c r="I1529" s="139">
        <v>0</v>
      </c>
      <c r="K1529" s="96" t="str">
        <f t="shared" si="57"/>
        <v>0003-1001-0012</v>
      </c>
      <c r="L1529" s="96" t="str">
        <f>VLOOKUP(K1529,COA!$A$3:$B$337,2,FALSE)</f>
        <v>V51</v>
      </c>
      <c r="M1529" s="96" t="str">
        <f t="shared" si="58"/>
        <v>V51</v>
      </c>
      <c r="N1529" s="96" t="str">
        <f>VLOOKUP(M1529,CAC!$A$2:$B$198,2,FALSE)</f>
        <v>PPOIFP</v>
      </c>
    </row>
    <row r="1530" spans="5:14" x14ac:dyDescent="0.25">
      <c r="E1530" s="136">
        <v>201612</v>
      </c>
      <c r="F1530" s="138" t="s">
        <v>563</v>
      </c>
      <c r="G1530" s="138" t="s">
        <v>369</v>
      </c>
      <c r="H1530" s="138" t="s">
        <v>345</v>
      </c>
      <c r="I1530" s="139">
        <v>0</v>
      </c>
      <c r="K1530" s="96" t="str">
        <f t="shared" si="57"/>
        <v>0003-1009-0011</v>
      </c>
      <c r="L1530" s="96" t="str">
        <f>VLOOKUP(K1530,COA!$A$3:$B$337,2,FALSE)</f>
        <v>V91</v>
      </c>
      <c r="M1530" s="96" t="str">
        <f t="shared" si="58"/>
        <v>V91</v>
      </c>
      <c r="N1530" s="96" t="str">
        <f>VLOOKUP(M1530,CAC!$A$2:$B$198,2,FALSE)</f>
        <v>PPOMM</v>
      </c>
    </row>
    <row r="1531" spans="5:14" x14ac:dyDescent="0.25">
      <c r="E1531" s="136">
        <v>201709</v>
      </c>
      <c r="F1531" s="138" t="s">
        <v>344</v>
      </c>
      <c r="G1531" s="138" t="s">
        <v>361</v>
      </c>
      <c r="H1531" s="138" t="s">
        <v>344</v>
      </c>
      <c r="I1531" s="139">
        <v>9689.8700000000008</v>
      </c>
      <c r="K1531" s="96" t="str">
        <f t="shared" si="57"/>
        <v>0012-1003-0012</v>
      </c>
      <c r="L1531" s="96" t="str">
        <f>VLOOKUP(K1531,COA!$A$3:$B$337,2,FALSE)</f>
        <v>N15</v>
      </c>
      <c r="M1531" s="96" t="str">
        <f t="shared" si="58"/>
        <v>N15</v>
      </c>
      <c r="N1531" s="96" t="str">
        <f>VLOOKUP(M1531,CAC!$A$2:$B$198,2,FALSE)</f>
        <v>HMOPMR</v>
      </c>
    </row>
    <row r="1532" spans="5:14" x14ac:dyDescent="0.25">
      <c r="E1532" s="136">
        <v>201512</v>
      </c>
      <c r="F1532" s="138" t="s">
        <v>345</v>
      </c>
      <c r="G1532" s="138" t="s">
        <v>352</v>
      </c>
      <c r="H1532" s="138" t="s">
        <v>653</v>
      </c>
      <c r="I1532" s="139">
        <v>0</v>
      </c>
      <c r="K1532" s="96" t="str">
        <f t="shared" si="57"/>
        <v>0011-1004-0047</v>
      </c>
      <c r="L1532" s="96" t="str">
        <f>VLOOKUP(K1532,COA!$A$3:$B$337,2,FALSE)</f>
        <v>L17</v>
      </c>
      <c r="M1532" s="96" t="str">
        <f t="shared" si="58"/>
        <v>L17</v>
      </c>
      <c r="N1532" s="96" t="str">
        <f>VLOOKUP(M1532,CAC!$A$2:$B$198,2,FALSE)</f>
        <v>HMOLG</v>
      </c>
    </row>
    <row r="1533" spans="5:14" x14ac:dyDescent="0.25">
      <c r="E1533" s="136">
        <v>201801</v>
      </c>
      <c r="F1533" s="138" t="s">
        <v>345</v>
      </c>
      <c r="G1533" s="138" t="s">
        <v>369</v>
      </c>
      <c r="H1533" s="138" t="s">
        <v>353</v>
      </c>
      <c r="I1533" s="139">
        <v>1</v>
      </c>
      <c r="K1533" s="96" t="str">
        <f t="shared" si="57"/>
        <v>0011-1009-0023</v>
      </c>
      <c r="L1533" s="96" t="e">
        <f>VLOOKUP(K1533,COA!$A$3:$B$337,2,FALSE)</f>
        <v>#N/A</v>
      </c>
      <c r="M1533" s="96" t="str">
        <f t="shared" si="58"/>
        <v>XXX</v>
      </c>
      <c r="N1533" s="96" t="str">
        <f>VLOOKUP(M1533,CAC!$A$2:$B$198,2,FALSE)</f>
        <v>XXX</v>
      </c>
    </row>
    <row r="1534" spans="5:14" x14ac:dyDescent="0.25">
      <c r="E1534" s="136">
        <v>201708</v>
      </c>
      <c r="F1534" s="138" t="s">
        <v>345</v>
      </c>
      <c r="G1534" s="138" t="s">
        <v>362</v>
      </c>
      <c r="H1534" s="138" t="s">
        <v>364</v>
      </c>
      <c r="I1534" s="139">
        <v>46959.839999999997</v>
      </c>
      <c r="K1534" s="96" t="str">
        <f t="shared" si="57"/>
        <v>0011-1008-0037</v>
      </c>
      <c r="L1534" s="96" t="str">
        <f>VLOOKUP(K1534,COA!$A$3:$B$337,2,FALSE)</f>
        <v>P12</v>
      </c>
      <c r="M1534" s="96" t="str">
        <f t="shared" si="58"/>
        <v>P12</v>
      </c>
      <c r="N1534" s="96" t="str">
        <f>VLOOKUP(M1534,CAC!$A$2:$B$198,2,FALSE)</f>
        <v>HMOPERA</v>
      </c>
    </row>
    <row r="1535" spans="5:14" x14ac:dyDescent="0.25">
      <c r="E1535" s="136">
        <v>201604</v>
      </c>
      <c r="F1535" s="138" t="s">
        <v>344</v>
      </c>
      <c r="G1535" s="138" t="s">
        <v>356</v>
      </c>
      <c r="H1535" s="138" t="s">
        <v>344</v>
      </c>
      <c r="I1535" s="139">
        <v>4160</v>
      </c>
      <c r="K1535" s="96" t="str">
        <f t="shared" si="57"/>
        <v>0012-1002-0012</v>
      </c>
      <c r="L1535" s="96" t="str">
        <f>VLOOKUP(K1535,COA!$A$3:$B$337,2,FALSE)</f>
        <v>F22</v>
      </c>
      <c r="M1535" s="96" t="str">
        <f t="shared" si="58"/>
        <v>F22</v>
      </c>
      <c r="N1535" s="96" t="str">
        <f>VLOOKUP(M1535,CAC!$A$2:$B$198,2,FALSE)</f>
        <v>HMOPMR</v>
      </c>
    </row>
    <row r="1536" spans="5:14" x14ac:dyDescent="0.25">
      <c r="E1536" s="136">
        <v>201704</v>
      </c>
      <c r="F1536" s="138" t="s">
        <v>345</v>
      </c>
      <c r="G1536" s="138" t="s">
        <v>350</v>
      </c>
      <c r="H1536" s="138" t="s">
        <v>344</v>
      </c>
      <c r="I1536" s="139">
        <v>17365.5</v>
      </c>
      <c r="K1536" s="96" t="str">
        <f t="shared" si="57"/>
        <v>0011-1012-0012</v>
      </c>
      <c r="L1536" s="96" t="str">
        <f>VLOOKUP(K1536,COA!$A$3:$B$337,2,FALSE)</f>
        <v>K11</v>
      </c>
      <c r="M1536" s="96" t="str">
        <f t="shared" si="58"/>
        <v>K11</v>
      </c>
      <c r="N1536" s="96" t="str">
        <f>VLOOKUP(M1536,CAC!$A$2:$B$198,2,FALSE)</f>
        <v>HMOPMR</v>
      </c>
    </row>
    <row r="1537" spans="5:14" x14ac:dyDescent="0.25">
      <c r="E1537" s="136">
        <v>201611</v>
      </c>
      <c r="F1537" s="138" t="s">
        <v>344</v>
      </c>
      <c r="G1537" s="138" t="s">
        <v>352</v>
      </c>
      <c r="H1537" s="138" t="s">
        <v>344</v>
      </c>
      <c r="I1537" s="139">
        <v>339</v>
      </c>
      <c r="K1537" s="96" t="str">
        <f t="shared" si="57"/>
        <v>0012-1004-0012</v>
      </c>
      <c r="L1537" s="96" t="str">
        <f>VLOOKUP(K1537,COA!$A$3:$B$337,2,FALSE)</f>
        <v>L12</v>
      </c>
      <c r="M1537" s="96" t="str">
        <f t="shared" si="58"/>
        <v>L12</v>
      </c>
      <c r="N1537" s="96" t="str">
        <f>VLOOKUP(M1537,CAC!$A$2:$B$198,2,FALSE)</f>
        <v>HMOLG</v>
      </c>
    </row>
    <row r="1538" spans="5:14" x14ac:dyDescent="0.25">
      <c r="E1538" s="136">
        <v>201607</v>
      </c>
      <c r="F1538" s="138" t="s">
        <v>345</v>
      </c>
      <c r="G1538" s="138" t="s">
        <v>348</v>
      </c>
      <c r="H1538" s="138" t="s">
        <v>358</v>
      </c>
      <c r="I1538" s="139">
        <v>73</v>
      </c>
      <c r="K1538" s="96" t="str">
        <f t="shared" si="57"/>
        <v>0011-1010-0024</v>
      </c>
      <c r="L1538" s="96" t="str">
        <f>VLOOKUP(K1538,COA!$A$3:$B$337,2,FALSE)</f>
        <v>S14</v>
      </c>
      <c r="M1538" s="96" t="str">
        <f t="shared" si="58"/>
        <v>S14</v>
      </c>
      <c r="N1538" s="96" t="str">
        <f>VLOOKUP(M1538,CAC!$A$2:$B$198,2,FALSE)</f>
        <v>HMOSG</v>
      </c>
    </row>
    <row r="1539" spans="5:14" x14ac:dyDescent="0.25">
      <c r="E1539" s="136">
        <v>201703</v>
      </c>
      <c r="F1539" s="138" t="s">
        <v>506</v>
      </c>
      <c r="G1539" s="138" t="s">
        <v>354</v>
      </c>
      <c r="H1539" s="138" t="s">
        <v>592</v>
      </c>
      <c r="I1539" s="139">
        <v>0</v>
      </c>
      <c r="K1539" s="96" t="str">
        <f t="shared" ref="K1539:K1602" si="59">F1539&amp;"-"&amp;G1539&amp;"-"&amp;H1539</f>
        <v>0013-1013-0035</v>
      </c>
      <c r="L1539" s="96" t="str">
        <f>VLOOKUP(K1539,COA!$A$3:$B$337,2,FALSE)</f>
        <v>N44</v>
      </c>
      <c r="M1539" s="96" t="str">
        <f t="shared" si="58"/>
        <v>N44</v>
      </c>
      <c r="N1539" s="96" t="e">
        <f>VLOOKUP(M1539,CAC!$A$2:$B$198,2,FALSE)</f>
        <v>#N/A</v>
      </c>
    </row>
    <row r="1540" spans="5:14" x14ac:dyDescent="0.25">
      <c r="E1540" s="136">
        <v>201604</v>
      </c>
      <c r="F1540" s="138" t="s">
        <v>506</v>
      </c>
      <c r="G1540" s="138" t="s">
        <v>354</v>
      </c>
      <c r="H1540" s="138" t="s">
        <v>592</v>
      </c>
      <c r="I1540" s="139">
        <v>0</v>
      </c>
      <c r="K1540" s="96" t="str">
        <f t="shared" si="59"/>
        <v>0013-1013-0035</v>
      </c>
      <c r="L1540" s="96" t="str">
        <f>VLOOKUP(K1540,COA!$A$3:$B$337,2,FALSE)</f>
        <v>N44</v>
      </c>
      <c r="M1540" s="96" t="str">
        <f t="shared" ref="M1540:M1603" si="60">IF(ISNA(L1540),"XXX",L1540)</f>
        <v>N44</v>
      </c>
      <c r="N1540" s="96" t="e">
        <f>VLOOKUP(M1540,CAC!$A$2:$B$198,2,FALSE)</f>
        <v>#N/A</v>
      </c>
    </row>
    <row r="1541" spans="5:14" x14ac:dyDescent="0.25">
      <c r="E1541" s="136">
        <v>201609</v>
      </c>
      <c r="F1541" s="138" t="s">
        <v>563</v>
      </c>
      <c r="G1541" s="138" t="s">
        <v>350</v>
      </c>
      <c r="H1541" s="138" t="s">
        <v>344</v>
      </c>
      <c r="I1541" s="139">
        <v>0</v>
      </c>
      <c r="K1541" s="96" t="str">
        <f t="shared" si="59"/>
        <v>0003-1012-0012</v>
      </c>
      <c r="L1541" s="96" t="str">
        <f>VLOOKUP(K1541,COA!$A$3:$B$337,2,FALSE)</f>
        <v>K51</v>
      </c>
      <c r="M1541" s="96" t="str">
        <f t="shared" si="60"/>
        <v>K51</v>
      </c>
      <c r="N1541" s="96" t="str">
        <f>VLOOKUP(M1541,CAC!$A$2:$B$198,2,FALSE)</f>
        <v>PPOPMR</v>
      </c>
    </row>
    <row r="1542" spans="5:14" x14ac:dyDescent="0.25">
      <c r="E1542" s="136">
        <v>201608</v>
      </c>
      <c r="F1542" s="138" t="s">
        <v>506</v>
      </c>
      <c r="G1542" s="138" t="s">
        <v>346</v>
      </c>
      <c r="H1542" s="138" t="s">
        <v>592</v>
      </c>
      <c r="I1542" s="139">
        <v>0</v>
      </c>
      <c r="K1542" s="96" t="str">
        <f t="shared" si="59"/>
        <v>0013-1014-0035</v>
      </c>
      <c r="L1542" s="96" t="str">
        <f>VLOOKUP(K1542,COA!$A$3:$B$337,2,FALSE)</f>
        <v>K42</v>
      </c>
      <c r="M1542" s="96" t="str">
        <f t="shared" si="60"/>
        <v>K42</v>
      </c>
      <c r="N1542" s="96" t="str">
        <f>VLOOKUP(M1542,CAC!$A$2:$B$198,2,FALSE)</f>
        <v>HMFLEX</v>
      </c>
    </row>
    <row r="1543" spans="5:14" x14ac:dyDescent="0.25">
      <c r="E1543" s="136">
        <v>201710</v>
      </c>
      <c r="F1543" s="138" t="s">
        <v>506</v>
      </c>
      <c r="G1543" s="138" t="s">
        <v>361</v>
      </c>
      <c r="H1543" s="138" t="s">
        <v>592</v>
      </c>
      <c r="I1543" s="139">
        <v>0</v>
      </c>
      <c r="K1543" s="96" t="str">
        <f t="shared" si="59"/>
        <v>0013-1003-0035</v>
      </c>
      <c r="L1543" s="96" t="str">
        <f>VLOOKUP(K1543,COA!$A$3:$B$337,2,FALSE)</f>
        <v>N32</v>
      </c>
      <c r="M1543" s="96" t="str">
        <f t="shared" si="60"/>
        <v>N32</v>
      </c>
      <c r="N1543" s="96" t="e">
        <f>VLOOKUP(M1543,CAC!$A$2:$B$198,2,FALSE)</f>
        <v>#N/A</v>
      </c>
    </row>
    <row r="1544" spans="5:14" x14ac:dyDescent="0.25">
      <c r="E1544" s="136">
        <v>201510</v>
      </c>
      <c r="F1544" s="138" t="s">
        <v>563</v>
      </c>
      <c r="G1544" s="138" t="s">
        <v>352</v>
      </c>
      <c r="H1544" s="138" t="s">
        <v>344</v>
      </c>
      <c r="I1544" s="139">
        <v>0</v>
      </c>
      <c r="K1544" s="96" t="str">
        <f t="shared" si="59"/>
        <v>0003-1004-0012</v>
      </c>
      <c r="L1544" s="96" t="str">
        <f>VLOOKUP(K1544,COA!$A$3:$B$337,2,FALSE)</f>
        <v>L51</v>
      </c>
      <c r="M1544" s="96" t="str">
        <f t="shared" si="60"/>
        <v>L51</v>
      </c>
      <c r="N1544" s="96" t="str">
        <f>VLOOKUP(M1544,CAC!$A$2:$B$198,2,FALSE)</f>
        <v>PPOLG</v>
      </c>
    </row>
    <row r="1545" spans="5:14" x14ac:dyDescent="0.25">
      <c r="E1545" s="136">
        <v>201710</v>
      </c>
      <c r="F1545" s="138" t="s">
        <v>344</v>
      </c>
      <c r="G1545" s="138" t="s">
        <v>356</v>
      </c>
      <c r="H1545" s="138" t="s">
        <v>344</v>
      </c>
      <c r="I1545" s="139">
        <v>4311</v>
      </c>
      <c r="K1545" s="96" t="str">
        <f t="shared" si="59"/>
        <v>0012-1002-0012</v>
      </c>
      <c r="L1545" s="96" t="str">
        <f>VLOOKUP(K1545,COA!$A$3:$B$337,2,FALSE)</f>
        <v>F22</v>
      </c>
      <c r="M1545" s="96" t="str">
        <f t="shared" si="60"/>
        <v>F22</v>
      </c>
      <c r="N1545" s="96" t="str">
        <f>VLOOKUP(M1545,CAC!$A$2:$B$198,2,FALSE)</f>
        <v>HMOPMR</v>
      </c>
    </row>
    <row r="1546" spans="5:14" x14ac:dyDescent="0.25">
      <c r="E1546" s="136">
        <v>201503</v>
      </c>
      <c r="F1546" s="138" t="s">
        <v>345</v>
      </c>
      <c r="G1546" s="138" t="s">
        <v>348</v>
      </c>
      <c r="H1546" s="138" t="s">
        <v>353</v>
      </c>
      <c r="I1546" s="139">
        <v>275</v>
      </c>
      <c r="K1546" s="96" t="str">
        <f t="shared" si="59"/>
        <v>0011-1010-0023</v>
      </c>
      <c r="L1546" s="96" t="str">
        <f>VLOOKUP(K1546,COA!$A$3:$B$337,2,FALSE)</f>
        <v>S13</v>
      </c>
      <c r="M1546" s="96" t="str">
        <f t="shared" si="60"/>
        <v>S13</v>
      </c>
      <c r="N1546" s="96" t="str">
        <f>VLOOKUP(M1546,CAC!$A$2:$B$198,2,FALSE)</f>
        <v>HMOSG</v>
      </c>
    </row>
    <row r="1547" spans="5:14" x14ac:dyDescent="0.25">
      <c r="E1547" s="136">
        <v>201605</v>
      </c>
      <c r="F1547" s="138" t="s">
        <v>413</v>
      </c>
      <c r="G1547" s="138" t="s">
        <v>352</v>
      </c>
      <c r="H1547" s="138" t="s">
        <v>344</v>
      </c>
      <c r="I1547" s="139">
        <v>0</v>
      </c>
      <c r="K1547" s="96" t="str">
        <f t="shared" si="59"/>
        <v>0008-1004-0012</v>
      </c>
      <c r="L1547" s="96" t="str">
        <f>VLOOKUP(K1547,COA!$A$3:$B$337,2,FALSE)</f>
        <v>C93</v>
      </c>
      <c r="M1547" s="96" t="str">
        <f t="shared" si="60"/>
        <v>C93</v>
      </c>
      <c r="N1547" s="96" t="str">
        <f>VLOOKUP(M1547,CAC!$A$2:$B$198,2,FALSE)</f>
        <v>DOILG</v>
      </c>
    </row>
    <row r="1548" spans="5:14" x14ac:dyDescent="0.25">
      <c r="E1548" s="136">
        <v>201708</v>
      </c>
      <c r="F1548" s="138" t="s">
        <v>563</v>
      </c>
      <c r="G1548" s="138" t="s">
        <v>361</v>
      </c>
      <c r="H1548" s="138" t="s">
        <v>344</v>
      </c>
      <c r="I1548" s="139">
        <v>0</v>
      </c>
      <c r="K1548" s="96" t="str">
        <f t="shared" si="59"/>
        <v>0003-1003-0012</v>
      </c>
      <c r="L1548" s="96" t="str">
        <f>VLOOKUP(K1548,COA!$A$3:$B$337,2,FALSE)</f>
        <v>N61</v>
      </c>
      <c r="M1548" s="96" t="str">
        <f t="shared" si="60"/>
        <v>N61</v>
      </c>
      <c r="N1548" s="96" t="str">
        <f>VLOOKUP(M1548,CAC!$A$2:$B$198,2,FALSE)</f>
        <v>PPOPMR</v>
      </c>
    </row>
    <row r="1549" spans="5:14" x14ac:dyDescent="0.25">
      <c r="E1549" s="136">
        <v>201705</v>
      </c>
      <c r="F1549" s="138" t="s">
        <v>344</v>
      </c>
      <c r="G1549" s="138" t="s">
        <v>359</v>
      </c>
      <c r="H1549" s="138" t="s">
        <v>344</v>
      </c>
      <c r="I1549" s="139">
        <v>165</v>
      </c>
      <c r="K1549" s="96" t="str">
        <f t="shared" si="59"/>
        <v>0012-1005-0012</v>
      </c>
      <c r="L1549" s="96" t="str">
        <f>VLOOKUP(K1549,COA!$A$3:$B$337,2,FALSE)</f>
        <v>N13</v>
      </c>
      <c r="M1549" s="96" t="str">
        <f t="shared" si="60"/>
        <v>N13</v>
      </c>
      <c r="N1549" s="96" t="str">
        <f>VLOOKUP(M1549,CAC!$A$2:$B$198,2,FALSE)</f>
        <v>HMOLG</v>
      </c>
    </row>
    <row r="1550" spans="5:14" x14ac:dyDescent="0.25">
      <c r="E1550" s="136">
        <v>201508</v>
      </c>
      <c r="F1550" s="138" t="s">
        <v>345</v>
      </c>
      <c r="G1550" s="138" t="s">
        <v>348</v>
      </c>
      <c r="H1550" s="138" t="s">
        <v>358</v>
      </c>
      <c r="I1550" s="139">
        <v>55</v>
      </c>
      <c r="K1550" s="96" t="str">
        <f t="shared" si="59"/>
        <v>0011-1010-0024</v>
      </c>
      <c r="L1550" s="96" t="str">
        <f>VLOOKUP(K1550,COA!$A$3:$B$337,2,FALSE)</f>
        <v>S14</v>
      </c>
      <c r="M1550" s="96" t="str">
        <f t="shared" si="60"/>
        <v>S14</v>
      </c>
      <c r="N1550" s="96" t="str">
        <f>VLOOKUP(M1550,CAC!$A$2:$B$198,2,FALSE)</f>
        <v>HMOSG</v>
      </c>
    </row>
    <row r="1551" spans="5:14" x14ac:dyDescent="0.25">
      <c r="E1551" s="136">
        <v>201511</v>
      </c>
      <c r="F1551" s="138" t="s">
        <v>413</v>
      </c>
      <c r="G1551" s="138" t="s">
        <v>348</v>
      </c>
      <c r="H1551" s="138" t="s">
        <v>349</v>
      </c>
      <c r="I1551" s="139">
        <v>0</v>
      </c>
      <c r="K1551" s="96" t="str">
        <f t="shared" si="59"/>
        <v>0008-1010-0017</v>
      </c>
      <c r="L1551" s="96" t="str">
        <f>VLOOKUP(K1551,COA!$A$3:$B$337,2,FALSE)</f>
        <v>C94</v>
      </c>
      <c r="M1551" s="96" t="str">
        <f t="shared" si="60"/>
        <v>C94</v>
      </c>
      <c r="N1551" s="96" t="str">
        <f>VLOOKUP(M1551,CAC!$A$2:$B$198,2,FALSE)</f>
        <v>DOISG</v>
      </c>
    </row>
    <row r="1552" spans="5:14" x14ac:dyDescent="0.25">
      <c r="E1552" s="136">
        <v>201801</v>
      </c>
      <c r="F1552" s="138" t="s">
        <v>345</v>
      </c>
      <c r="G1552" s="138" t="s">
        <v>352</v>
      </c>
      <c r="H1552" s="138" t="s">
        <v>653</v>
      </c>
      <c r="I1552" s="139">
        <v>0</v>
      </c>
      <c r="K1552" s="96" t="str">
        <f t="shared" si="59"/>
        <v>0011-1004-0047</v>
      </c>
      <c r="L1552" s="96" t="str">
        <f>VLOOKUP(K1552,COA!$A$3:$B$337,2,FALSE)</f>
        <v>L17</v>
      </c>
      <c r="M1552" s="96" t="str">
        <f t="shared" si="60"/>
        <v>L17</v>
      </c>
      <c r="N1552" s="96" t="str">
        <f>VLOOKUP(M1552,CAC!$A$2:$B$198,2,FALSE)</f>
        <v>HMOLG</v>
      </c>
    </row>
    <row r="1553" spans="5:14" x14ac:dyDescent="0.25">
      <c r="E1553" s="136">
        <v>201706</v>
      </c>
      <c r="F1553" s="138" t="s">
        <v>746</v>
      </c>
      <c r="G1553" s="138" t="s">
        <v>352</v>
      </c>
      <c r="H1553" s="138" t="s">
        <v>344</v>
      </c>
      <c r="I1553" s="139">
        <v>3</v>
      </c>
      <c r="K1553" s="96" t="str">
        <f t="shared" si="59"/>
        <v>0016-1004-0012</v>
      </c>
      <c r="L1553" s="96" t="str">
        <f>VLOOKUP(K1553,COA!$A$3:$B$337,2,FALSE)</f>
        <v>R20</v>
      </c>
      <c r="M1553" s="96" t="str">
        <f t="shared" si="60"/>
        <v>R20</v>
      </c>
      <c r="N1553" s="96" t="str">
        <f>VLOOKUP(M1553,CAC!$A$2:$B$198,2,FALSE)</f>
        <v>HMOMG</v>
      </c>
    </row>
    <row r="1554" spans="5:14" x14ac:dyDescent="0.25">
      <c r="E1554" s="136">
        <v>201509</v>
      </c>
      <c r="F1554" s="138" t="s">
        <v>345</v>
      </c>
      <c r="G1554" s="138" t="s">
        <v>351</v>
      </c>
      <c r="H1554" s="138" t="s">
        <v>353</v>
      </c>
      <c r="I1554" s="139">
        <v>1</v>
      </c>
      <c r="K1554" s="96" t="str">
        <f t="shared" si="59"/>
        <v>0011-0000-0023</v>
      </c>
      <c r="L1554" s="96" t="e">
        <f>VLOOKUP(K1554,COA!$A$3:$B$337,2,FALSE)</f>
        <v>#N/A</v>
      </c>
      <c r="M1554" s="96" t="str">
        <f t="shared" si="60"/>
        <v>XXX</v>
      </c>
      <c r="N1554" s="96" t="str">
        <f>VLOOKUP(M1554,CAC!$A$2:$B$198,2,FALSE)</f>
        <v>XXX</v>
      </c>
    </row>
    <row r="1555" spans="5:14" x14ac:dyDescent="0.25">
      <c r="E1555" s="136">
        <v>201611</v>
      </c>
      <c r="F1555" s="138" t="s">
        <v>563</v>
      </c>
      <c r="G1555" s="138" t="s">
        <v>365</v>
      </c>
      <c r="H1555" s="138" t="s">
        <v>366</v>
      </c>
      <c r="I1555" s="139">
        <v>0</v>
      </c>
      <c r="K1555" s="96" t="str">
        <f t="shared" si="59"/>
        <v>0003-1001-0021</v>
      </c>
      <c r="L1555" s="96" t="str">
        <f>VLOOKUP(K1555,COA!$A$3:$B$337,2,FALSE)</f>
        <v>V53</v>
      </c>
      <c r="M1555" s="96" t="str">
        <f t="shared" si="60"/>
        <v>V53</v>
      </c>
      <c r="N1555" s="96" t="str">
        <f>VLOOKUP(M1555,CAC!$A$2:$B$198,2,FALSE)</f>
        <v>PPOIFP</v>
      </c>
    </row>
    <row r="1556" spans="5:14" x14ac:dyDescent="0.25">
      <c r="E1556" s="136">
        <v>201708</v>
      </c>
      <c r="F1556" s="138" t="s">
        <v>563</v>
      </c>
      <c r="G1556" s="138" t="s">
        <v>348</v>
      </c>
      <c r="H1556" s="138" t="s">
        <v>349</v>
      </c>
      <c r="I1556" s="139">
        <v>0</v>
      </c>
      <c r="K1556" s="96" t="str">
        <f t="shared" si="59"/>
        <v>0003-1010-0017</v>
      </c>
      <c r="L1556" s="96" t="str">
        <f>VLOOKUP(K1556,COA!$A$3:$B$337,2,FALSE)</f>
        <v>S51</v>
      </c>
      <c r="M1556" s="96" t="str">
        <f t="shared" si="60"/>
        <v>S51</v>
      </c>
      <c r="N1556" s="96" t="str">
        <f>VLOOKUP(M1556,CAC!$A$2:$B$198,2,FALSE)</f>
        <v>PPOSG</v>
      </c>
    </row>
    <row r="1557" spans="5:14" x14ac:dyDescent="0.25">
      <c r="E1557" s="136">
        <v>201606</v>
      </c>
      <c r="F1557" s="138" t="s">
        <v>506</v>
      </c>
      <c r="G1557" s="138" t="s">
        <v>361</v>
      </c>
      <c r="H1557" s="138" t="s">
        <v>592</v>
      </c>
      <c r="I1557" s="139">
        <v>0</v>
      </c>
      <c r="K1557" s="96" t="str">
        <f t="shared" si="59"/>
        <v>0013-1003-0035</v>
      </c>
      <c r="L1557" s="96" t="str">
        <f>VLOOKUP(K1557,COA!$A$3:$B$337,2,FALSE)</f>
        <v>N32</v>
      </c>
      <c r="M1557" s="96" t="str">
        <f t="shared" si="60"/>
        <v>N32</v>
      </c>
      <c r="N1557" s="96" t="e">
        <f>VLOOKUP(M1557,CAC!$A$2:$B$198,2,FALSE)</f>
        <v>#N/A</v>
      </c>
    </row>
    <row r="1558" spans="5:14" x14ac:dyDescent="0.25">
      <c r="E1558" s="136">
        <v>201604</v>
      </c>
      <c r="F1558" s="138" t="s">
        <v>506</v>
      </c>
      <c r="G1558" s="138" t="s">
        <v>346</v>
      </c>
      <c r="H1558" s="138" t="s">
        <v>592</v>
      </c>
      <c r="I1558" s="139">
        <v>0</v>
      </c>
      <c r="K1558" s="96" t="str">
        <f t="shared" si="59"/>
        <v>0013-1014-0035</v>
      </c>
      <c r="L1558" s="96" t="str">
        <f>VLOOKUP(K1558,COA!$A$3:$B$337,2,FALSE)</f>
        <v>K42</v>
      </c>
      <c r="M1558" s="96" t="str">
        <f t="shared" si="60"/>
        <v>K42</v>
      </c>
      <c r="N1558" s="96" t="str">
        <f>VLOOKUP(M1558,CAC!$A$2:$B$198,2,FALSE)</f>
        <v>HMFLEX</v>
      </c>
    </row>
    <row r="1559" spans="5:14" x14ac:dyDescent="0.25">
      <c r="E1559" s="136">
        <v>201607</v>
      </c>
      <c r="F1559" s="138" t="s">
        <v>563</v>
      </c>
      <c r="G1559" s="138" t="s">
        <v>351</v>
      </c>
      <c r="H1559" s="138" t="s">
        <v>349</v>
      </c>
      <c r="I1559" s="139">
        <v>0</v>
      </c>
      <c r="K1559" s="96" t="str">
        <f t="shared" si="59"/>
        <v>0003-0000-0017</v>
      </c>
      <c r="L1559" s="96" t="e">
        <f>VLOOKUP(K1559,COA!$A$3:$B$337,2,FALSE)</f>
        <v>#N/A</v>
      </c>
      <c r="M1559" s="96" t="str">
        <f t="shared" si="60"/>
        <v>XXX</v>
      </c>
      <c r="N1559" s="96" t="str">
        <f>VLOOKUP(M1559,CAC!$A$2:$B$198,2,FALSE)</f>
        <v>XXX</v>
      </c>
    </row>
    <row r="1560" spans="5:14" x14ac:dyDescent="0.25">
      <c r="E1560" s="136">
        <v>201606</v>
      </c>
      <c r="F1560" s="138" t="s">
        <v>413</v>
      </c>
      <c r="G1560" s="138" t="s">
        <v>365</v>
      </c>
      <c r="H1560" s="138" t="s">
        <v>344</v>
      </c>
      <c r="I1560" s="139">
        <v>0</v>
      </c>
      <c r="K1560" s="96" t="str">
        <f t="shared" si="59"/>
        <v>0008-1001-0012</v>
      </c>
      <c r="L1560" s="96" t="str">
        <f>VLOOKUP(K1560,COA!$A$3:$B$337,2,FALSE)</f>
        <v>C95</v>
      </c>
      <c r="M1560" s="96" t="str">
        <f t="shared" si="60"/>
        <v>C95</v>
      </c>
      <c r="N1560" s="96" t="str">
        <f>VLOOKUP(M1560,CAC!$A$2:$B$198,2,FALSE)</f>
        <v>DOIIFP</v>
      </c>
    </row>
    <row r="1561" spans="5:14" x14ac:dyDescent="0.25">
      <c r="E1561" s="136">
        <v>201505</v>
      </c>
      <c r="F1561" s="138" t="s">
        <v>563</v>
      </c>
      <c r="G1561" s="138" t="s">
        <v>359</v>
      </c>
      <c r="H1561" s="138" t="s">
        <v>344</v>
      </c>
      <c r="I1561" s="139">
        <v>0</v>
      </c>
      <c r="K1561" s="96" t="str">
        <f t="shared" si="59"/>
        <v>0003-1005-0012</v>
      </c>
      <c r="L1561" s="96" t="str">
        <f>VLOOKUP(K1561,COA!$A$3:$B$337,2,FALSE)</f>
        <v>N51</v>
      </c>
      <c r="M1561" s="96" t="str">
        <f t="shared" si="60"/>
        <v>N51</v>
      </c>
      <c r="N1561" s="96" t="str">
        <f>VLOOKUP(M1561,CAC!$A$2:$B$198,2,FALSE)</f>
        <v>PPOLG</v>
      </c>
    </row>
    <row r="1562" spans="5:14" x14ac:dyDescent="0.25">
      <c r="E1562" s="136">
        <v>201710</v>
      </c>
      <c r="F1562" s="138" t="s">
        <v>344</v>
      </c>
      <c r="G1562" s="138" t="s">
        <v>352</v>
      </c>
      <c r="H1562" s="138" t="s">
        <v>344</v>
      </c>
      <c r="I1562" s="139">
        <v>1144</v>
      </c>
      <c r="K1562" s="96" t="str">
        <f t="shared" si="59"/>
        <v>0012-1004-0012</v>
      </c>
      <c r="L1562" s="96" t="str">
        <f>VLOOKUP(K1562,COA!$A$3:$B$337,2,FALSE)</f>
        <v>L12</v>
      </c>
      <c r="M1562" s="96" t="str">
        <f t="shared" si="60"/>
        <v>L12</v>
      </c>
      <c r="N1562" s="96" t="str">
        <f>VLOOKUP(M1562,CAC!$A$2:$B$198,2,FALSE)</f>
        <v>HMOLG</v>
      </c>
    </row>
    <row r="1563" spans="5:14" x14ac:dyDescent="0.25">
      <c r="E1563" s="136">
        <v>201608</v>
      </c>
      <c r="F1563" s="138" t="s">
        <v>506</v>
      </c>
      <c r="G1563" s="138" t="s">
        <v>359</v>
      </c>
      <c r="H1563" s="138" t="s">
        <v>592</v>
      </c>
      <c r="I1563" s="139">
        <v>0</v>
      </c>
      <c r="K1563" s="96" t="str">
        <f t="shared" si="59"/>
        <v>0013-1005-0035</v>
      </c>
      <c r="L1563" s="96" t="str">
        <f>VLOOKUP(K1563,COA!$A$3:$B$337,2,FALSE)</f>
        <v>N41</v>
      </c>
      <c r="M1563" s="96" t="str">
        <f t="shared" si="60"/>
        <v>N41</v>
      </c>
      <c r="N1563" s="96" t="e">
        <f>VLOOKUP(M1563,CAC!$A$2:$B$198,2,FALSE)</f>
        <v>#N/A</v>
      </c>
    </row>
    <row r="1564" spans="5:14" x14ac:dyDescent="0.25">
      <c r="E1564" s="136">
        <v>201507</v>
      </c>
      <c r="F1564" s="138" t="s">
        <v>345</v>
      </c>
      <c r="G1564" s="138" t="s">
        <v>362</v>
      </c>
      <c r="H1564" s="138" t="s">
        <v>370</v>
      </c>
      <c r="I1564" s="139">
        <v>2254</v>
      </c>
      <c r="K1564" s="96" t="str">
        <f t="shared" si="59"/>
        <v>0011-1008-0055</v>
      </c>
      <c r="L1564" s="96" t="str">
        <f>VLOOKUP(K1564,COA!$A$3:$B$337,2,FALSE)</f>
        <v>P28</v>
      </c>
      <c r="M1564" s="96" t="str">
        <f t="shared" si="60"/>
        <v>P28</v>
      </c>
      <c r="N1564" s="96" t="str">
        <f>VLOOKUP(M1564,CAC!$A$2:$B$198,2,FALSE)</f>
        <v>PERMEDN</v>
      </c>
    </row>
    <row r="1565" spans="5:14" x14ac:dyDescent="0.25">
      <c r="E1565" s="136">
        <v>201608</v>
      </c>
      <c r="F1565" s="138" t="s">
        <v>345</v>
      </c>
      <c r="G1565" s="138" t="s">
        <v>362</v>
      </c>
      <c r="H1565" s="138" t="s">
        <v>363</v>
      </c>
      <c r="I1565" s="139">
        <v>36840.71</v>
      </c>
      <c r="K1565" s="96" t="str">
        <f t="shared" si="59"/>
        <v>0011-1008-0054</v>
      </c>
      <c r="L1565" s="96" t="str">
        <f>VLOOKUP(K1565,COA!$A$3:$B$337,2,FALSE)</f>
        <v>P23</v>
      </c>
      <c r="M1565" s="96" t="str">
        <f t="shared" si="60"/>
        <v>P23</v>
      </c>
      <c r="N1565" s="96" t="str">
        <f>VLOOKUP(M1565,CAC!$A$2:$B$198,2,FALSE)</f>
        <v>HMOPERN</v>
      </c>
    </row>
    <row r="1566" spans="5:14" x14ac:dyDescent="0.25">
      <c r="E1566" s="136">
        <v>201801</v>
      </c>
      <c r="F1566" s="138" t="s">
        <v>563</v>
      </c>
      <c r="G1566" s="138" t="s">
        <v>365</v>
      </c>
      <c r="H1566" s="138" t="s">
        <v>367</v>
      </c>
      <c r="I1566" s="139">
        <v>0</v>
      </c>
      <c r="K1566" s="96" t="str">
        <f t="shared" si="59"/>
        <v>0003-1001-0022</v>
      </c>
      <c r="L1566" s="96" t="str">
        <f>VLOOKUP(K1566,COA!$A$3:$B$337,2,FALSE)</f>
        <v>V54</v>
      </c>
      <c r="M1566" s="96" t="str">
        <f t="shared" si="60"/>
        <v>V54</v>
      </c>
      <c r="N1566" s="96" t="str">
        <f>VLOOKUP(M1566,CAC!$A$2:$B$198,2,FALSE)</f>
        <v>PPOIFP</v>
      </c>
    </row>
    <row r="1567" spans="5:14" x14ac:dyDescent="0.25">
      <c r="E1567" s="136">
        <v>201712</v>
      </c>
      <c r="F1567" s="138" t="s">
        <v>345</v>
      </c>
      <c r="G1567" s="138" t="s">
        <v>352</v>
      </c>
      <c r="H1567" s="138" t="s">
        <v>344</v>
      </c>
      <c r="I1567" s="139">
        <v>13970.65</v>
      </c>
      <c r="K1567" s="96" t="str">
        <f t="shared" si="59"/>
        <v>0011-1004-0012</v>
      </c>
      <c r="L1567" s="96" t="str">
        <f>VLOOKUP(K1567,COA!$A$3:$B$337,2,FALSE)</f>
        <v>L11</v>
      </c>
      <c r="M1567" s="96" t="str">
        <f t="shared" si="60"/>
        <v>L11</v>
      </c>
      <c r="N1567" s="96" t="str">
        <f>VLOOKUP(M1567,CAC!$A$2:$B$198,2,FALSE)</f>
        <v>HMOLG</v>
      </c>
    </row>
    <row r="1568" spans="5:14" x14ac:dyDescent="0.25">
      <c r="E1568" s="136">
        <v>201601</v>
      </c>
      <c r="F1568" s="138" t="s">
        <v>563</v>
      </c>
      <c r="G1568" s="138" t="s">
        <v>365</v>
      </c>
      <c r="H1568" s="138" t="s">
        <v>798</v>
      </c>
      <c r="I1568" s="139">
        <v>0</v>
      </c>
      <c r="K1568" s="96" t="str">
        <f t="shared" si="59"/>
        <v>0003-1001-0065</v>
      </c>
      <c r="L1568" s="96" t="str">
        <f>VLOOKUP(K1568,COA!$A$3:$B$337,2,FALSE)</f>
        <v>V55</v>
      </c>
      <c r="M1568" s="96" t="str">
        <f t="shared" si="60"/>
        <v>V55</v>
      </c>
      <c r="N1568" s="96" t="e">
        <f>VLOOKUP(M1568,CAC!$A$2:$B$198,2,FALSE)</f>
        <v>#N/A</v>
      </c>
    </row>
    <row r="1569" spans="5:14" x14ac:dyDescent="0.25">
      <c r="E1569" s="136">
        <v>201607</v>
      </c>
      <c r="F1569" s="138" t="s">
        <v>506</v>
      </c>
      <c r="G1569" s="138" t="s">
        <v>352</v>
      </c>
      <c r="H1569" s="138" t="s">
        <v>592</v>
      </c>
      <c r="I1569" s="139">
        <v>0</v>
      </c>
      <c r="K1569" s="96" t="str">
        <f t="shared" si="59"/>
        <v>0013-1004-0035</v>
      </c>
      <c r="L1569" s="96" t="str">
        <f>VLOOKUP(K1569,COA!$A$3:$B$337,2,FALSE)</f>
        <v>L41</v>
      </c>
      <c r="M1569" s="96" t="str">
        <f t="shared" si="60"/>
        <v>L41</v>
      </c>
      <c r="N1569" s="96" t="e">
        <f>VLOOKUP(M1569,CAC!$A$2:$B$198,2,FALSE)</f>
        <v>#N/A</v>
      </c>
    </row>
    <row r="1570" spans="5:14" x14ac:dyDescent="0.25">
      <c r="E1570" s="136">
        <v>201605</v>
      </c>
      <c r="F1570" s="138" t="s">
        <v>563</v>
      </c>
      <c r="G1570" s="138" t="s">
        <v>365</v>
      </c>
      <c r="H1570" s="138" t="s">
        <v>344</v>
      </c>
      <c r="I1570" s="139">
        <v>0</v>
      </c>
      <c r="K1570" s="96" t="str">
        <f t="shared" si="59"/>
        <v>0003-1001-0012</v>
      </c>
      <c r="L1570" s="96" t="str">
        <f>VLOOKUP(K1570,COA!$A$3:$B$337,2,FALSE)</f>
        <v>V51</v>
      </c>
      <c r="M1570" s="96" t="str">
        <f t="shared" si="60"/>
        <v>V51</v>
      </c>
      <c r="N1570" s="96" t="str">
        <f>VLOOKUP(M1570,CAC!$A$2:$B$198,2,FALSE)</f>
        <v>PPOIFP</v>
      </c>
    </row>
    <row r="1571" spans="5:14" x14ac:dyDescent="0.25">
      <c r="E1571" s="136">
        <v>201611</v>
      </c>
      <c r="F1571" s="138" t="s">
        <v>342</v>
      </c>
      <c r="G1571" s="138" t="s">
        <v>343</v>
      </c>
      <c r="H1571" s="138" t="s">
        <v>344</v>
      </c>
      <c r="I1571" s="139">
        <v>5970.4</v>
      </c>
      <c r="K1571" s="96" t="str">
        <f t="shared" si="59"/>
        <v>0031-1000-0012</v>
      </c>
      <c r="L1571" s="96" t="str">
        <f>VLOOKUP(K1571,COA!$A$3:$B$337,2,FALSE)</f>
        <v>F27</v>
      </c>
      <c r="M1571" s="96" t="str">
        <f t="shared" si="60"/>
        <v>F27</v>
      </c>
      <c r="N1571" s="96" t="str">
        <f>VLOOKUP(M1571,CAC!$A$2:$B$198,2,FALSE)</f>
        <v>HMOFEP</v>
      </c>
    </row>
    <row r="1572" spans="5:14" x14ac:dyDescent="0.25">
      <c r="E1572" s="136">
        <v>201610</v>
      </c>
      <c r="F1572" s="138" t="s">
        <v>563</v>
      </c>
      <c r="G1572" s="138" t="s">
        <v>350</v>
      </c>
      <c r="H1572" s="138" t="s">
        <v>344</v>
      </c>
      <c r="I1572" s="139">
        <v>0</v>
      </c>
      <c r="K1572" s="96" t="str">
        <f t="shared" si="59"/>
        <v>0003-1012-0012</v>
      </c>
      <c r="L1572" s="96" t="str">
        <f>VLOOKUP(K1572,COA!$A$3:$B$337,2,FALSE)</f>
        <v>K51</v>
      </c>
      <c r="M1572" s="96" t="str">
        <f t="shared" si="60"/>
        <v>K51</v>
      </c>
      <c r="N1572" s="96" t="str">
        <f>VLOOKUP(M1572,CAC!$A$2:$B$198,2,FALSE)</f>
        <v>PPOPMR</v>
      </c>
    </row>
    <row r="1573" spans="5:14" x14ac:dyDescent="0.25">
      <c r="E1573" s="136">
        <v>201504</v>
      </c>
      <c r="F1573" s="138" t="s">
        <v>563</v>
      </c>
      <c r="G1573" s="138" t="s">
        <v>352</v>
      </c>
      <c r="H1573" s="138" t="s">
        <v>653</v>
      </c>
      <c r="I1573" s="139">
        <v>0</v>
      </c>
      <c r="K1573" s="96" t="str">
        <f t="shared" si="59"/>
        <v>0003-1004-0047</v>
      </c>
      <c r="L1573" s="96" t="str">
        <f>VLOOKUP(K1573,COA!$A$3:$B$337,2,FALSE)</f>
        <v>L57</v>
      </c>
      <c r="M1573" s="96" t="str">
        <f t="shared" si="60"/>
        <v>L57</v>
      </c>
      <c r="N1573" s="96" t="str">
        <f>VLOOKUP(M1573,CAC!$A$2:$B$198,2,FALSE)</f>
        <v>PPOLG</v>
      </c>
    </row>
    <row r="1574" spans="5:14" x14ac:dyDescent="0.25">
      <c r="E1574" s="136">
        <v>201712</v>
      </c>
      <c r="F1574" s="138" t="s">
        <v>746</v>
      </c>
      <c r="G1574" s="138" t="s">
        <v>350</v>
      </c>
      <c r="H1574" s="138" t="s">
        <v>344</v>
      </c>
      <c r="I1574" s="139">
        <v>3</v>
      </c>
      <c r="K1574" s="96" t="str">
        <f t="shared" si="59"/>
        <v>0016-1012-0012</v>
      </c>
      <c r="L1574" s="96" t="str">
        <f>VLOOKUP(K1574,COA!$A$3:$B$337,2,FALSE)</f>
        <v>R19</v>
      </c>
      <c r="M1574" s="96" t="str">
        <f t="shared" si="60"/>
        <v>R19</v>
      </c>
      <c r="N1574" s="96" t="str">
        <f>VLOOKUP(M1574,CAC!$A$2:$B$198,2,FALSE)</f>
        <v>HMOMG</v>
      </c>
    </row>
    <row r="1575" spans="5:14" x14ac:dyDescent="0.25">
      <c r="E1575" s="136">
        <v>201707</v>
      </c>
      <c r="F1575" s="138" t="s">
        <v>345</v>
      </c>
      <c r="G1575" s="138" t="s">
        <v>356</v>
      </c>
      <c r="H1575" s="138" t="s">
        <v>344</v>
      </c>
      <c r="I1575" s="139">
        <v>16107.51</v>
      </c>
      <c r="K1575" s="96" t="str">
        <f t="shared" si="59"/>
        <v>0011-1002-0012</v>
      </c>
      <c r="L1575" s="96" t="str">
        <f>VLOOKUP(K1575,COA!$A$3:$B$337,2,FALSE)</f>
        <v>F20</v>
      </c>
      <c r="M1575" s="96" t="str">
        <f t="shared" si="60"/>
        <v>F20</v>
      </c>
      <c r="N1575" s="96" t="str">
        <f>VLOOKUP(M1575,CAC!$A$2:$B$198,2,FALSE)</f>
        <v>HMOPMR</v>
      </c>
    </row>
    <row r="1576" spans="5:14" x14ac:dyDescent="0.25">
      <c r="E1576" s="136">
        <v>201608</v>
      </c>
      <c r="F1576" s="138" t="s">
        <v>563</v>
      </c>
      <c r="G1576" s="138" t="s">
        <v>354</v>
      </c>
      <c r="H1576" s="138" t="s">
        <v>344</v>
      </c>
      <c r="I1576" s="139">
        <v>0</v>
      </c>
      <c r="K1576" s="96" t="str">
        <f t="shared" si="59"/>
        <v>0003-1013-0012</v>
      </c>
      <c r="L1576" s="96" t="str">
        <f>VLOOKUP(K1576,COA!$A$3:$B$337,2,FALSE)</f>
        <v>N55</v>
      </c>
      <c r="M1576" s="96" t="str">
        <f t="shared" si="60"/>
        <v>N55</v>
      </c>
      <c r="N1576" s="96" t="str">
        <f>VLOOKUP(M1576,CAC!$A$2:$B$198,2,FALSE)</f>
        <v>PPOPMR</v>
      </c>
    </row>
    <row r="1577" spans="5:14" x14ac:dyDescent="0.25">
      <c r="E1577" s="136">
        <v>201704</v>
      </c>
      <c r="F1577" s="138" t="s">
        <v>563</v>
      </c>
      <c r="G1577" s="138" t="s">
        <v>348</v>
      </c>
      <c r="H1577" s="138" t="s">
        <v>358</v>
      </c>
      <c r="I1577" s="139">
        <v>0</v>
      </c>
      <c r="K1577" s="96" t="str">
        <f t="shared" si="59"/>
        <v>0003-1010-0024</v>
      </c>
      <c r="L1577" s="96" t="str">
        <f>VLOOKUP(K1577,COA!$A$3:$B$337,2,FALSE)</f>
        <v>S56</v>
      </c>
      <c r="M1577" s="96" t="str">
        <f t="shared" si="60"/>
        <v>S56</v>
      </c>
      <c r="N1577" s="96" t="str">
        <f>VLOOKUP(M1577,CAC!$A$2:$B$198,2,FALSE)</f>
        <v>PPOSG</v>
      </c>
    </row>
    <row r="1578" spans="5:14" x14ac:dyDescent="0.25">
      <c r="E1578" s="136">
        <v>201609</v>
      </c>
      <c r="F1578" s="138" t="s">
        <v>506</v>
      </c>
      <c r="G1578" s="138" t="s">
        <v>346</v>
      </c>
      <c r="H1578" s="138" t="s">
        <v>592</v>
      </c>
      <c r="I1578" s="139">
        <v>0</v>
      </c>
      <c r="K1578" s="96" t="str">
        <f t="shared" si="59"/>
        <v>0013-1014-0035</v>
      </c>
      <c r="L1578" s="96" t="str">
        <f>VLOOKUP(K1578,COA!$A$3:$B$337,2,FALSE)</f>
        <v>K42</v>
      </c>
      <c r="M1578" s="96" t="str">
        <f t="shared" si="60"/>
        <v>K42</v>
      </c>
      <c r="N1578" s="96" t="str">
        <f>VLOOKUP(M1578,CAC!$A$2:$B$198,2,FALSE)</f>
        <v>HMFLEX</v>
      </c>
    </row>
    <row r="1579" spans="5:14" x14ac:dyDescent="0.25">
      <c r="E1579" s="136">
        <v>201709</v>
      </c>
      <c r="F1579" s="138" t="s">
        <v>506</v>
      </c>
      <c r="G1579" s="138" t="s">
        <v>346</v>
      </c>
      <c r="H1579" s="138" t="s">
        <v>592</v>
      </c>
      <c r="I1579" s="139">
        <v>0</v>
      </c>
      <c r="K1579" s="96" t="str">
        <f t="shared" si="59"/>
        <v>0013-1014-0035</v>
      </c>
      <c r="L1579" s="96" t="str">
        <f>VLOOKUP(K1579,COA!$A$3:$B$337,2,FALSE)</f>
        <v>K42</v>
      </c>
      <c r="M1579" s="96" t="str">
        <f t="shared" si="60"/>
        <v>K42</v>
      </c>
      <c r="N1579" s="96" t="str">
        <f>VLOOKUP(M1579,CAC!$A$2:$B$198,2,FALSE)</f>
        <v>HMFLEX</v>
      </c>
    </row>
    <row r="1580" spans="5:14" x14ac:dyDescent="0.25">
      <c r="E1580" s="136">
        <v>201603</v>
      </c>
      <c r="F1580" s="138" t="s">
        <v>563</v>
      </c>
      <c r="G1580" s="138" t="s">
        <v>348</v>
      </c>
      <c r="H1580" s="138" t="s">
        <v>349</v>
      </c>
      <c r="I1580" s="139">
        <v>0</v>
      </c>
      <c r="K1580" s="96" t="str">
        <f t="shared" si="59"/>
        <v>0003-1010-0017</v>
      </c>
      <c r="L1580" s="96" t="str">
        <f>VLOOKUP(K1580,COA!$A$3:$B$337,2,FALSE)</f>
        <v>S51</v>
      </c>
      <c r="M1580" s="96" t="str">
        <f t="shared" si="60"/>
        <v>S51</v>
      </c>
      <c r="N1580" s="96" t="str">
        <f>VLOOKUP(M1580,CAC!$A$2:$B$198,2,FALSE)</f>
        <v>PPOSG</v>
      </c>
    </row>
    <row r="1581" spans="5:14" x14ac:dyDescent="0.25">
      <c r="E1581" s="136">
        <v>201610</v>
      </c>
      <c r="F1581" s="138" t="s">
        <v>563</v>
      </c>
      <c r="G1581" s="138" t="s">
        <v>355</v>
      </c>
      <c r="H1581" s="138" t="s">
        <v>344</v>
      </c>
      <c r="I1581" s="139">
        <v>0</v>
      </c>
      <c r="K1581" s="96" t="str">
        <f t="shared" si="59"/>
        <v>0003-1006-0012</v>
      </c>
      <c r="L1581" s="96" t="str">
        <f>VLOOKUP(K1581,COA!$A$3:$B$337,2,FALSE)</f>
        <v>L52</v>
      </c>
      <c r="M1581" s="96" t="str">
        <f t="shared" si="60"/>
        <v>L52</v>
      </c>
      <c r="N1581" s="96" t="str">
        <f>VLOOKUP(M1581,CAC!$A$2:$B$198,2,FALSE)</f>
        <v>PPOLG</v>
      </c>
    </row>
    <row r="1582" spans="5:14" x14ac:dyDescent="0.25">
      <c r="E1582" s="136">
        <v>201711</v>
      </c>
      <c r="F1582" s="138" t="s">
        <v>563</v>
      </c>
      <c r="G1582" s="138" t="s">
        <v>352</v>
      </c>
      <c r="H1582" s="138" t="s">
        <v>653</v>
      </c>
      <c r="I1582" s="139">
        <v>0</v>
      </c>
      <c r="K1582" s="96" t="str">
        <f t="shared" si="59"/>
        <v>0003-1004-0047</v>
      </c>
      <c r="L1582" s="96" t="str">
        <f>VLOOKUP(K1582,COA!$A$3:$B$337,2,FALSE)</f>
        <v>L57</v>
      </c>
      <c r="M1582" s="96" t="str">
        <f t="shared" si="60"/>
        <v>L57</v>
      </c>
      <c r="N1582" s="96" t="str">
        <f>VLOOKUP(M1582,CAC!$A$2:$B$198,2,FALSE)</f>
        <v>PPOLG</v>
      </c>
    </row>
    <row r="1583" spans="5:14" x14ac:dyDescent="0.25">
      <c r="E1583" s="136">
        <v>201509</v>
      </c>
      <c r="F1583" s="138" t="s">
        <v>405</v>
      </c>
      <c r="G1583" s="138" t="s">
        <v>362</v>
      </c>
      <c r="H1583" s="138" t="s">
        <v>759</v>
      </c>
      <c r="I1583" s="139">
        <v>0</v>
      </c>
      <c r="K1583" s="96" t="str">
        <f t="shared" si="59"/>
        <v>0019-1008-0032</v>
      </c>
      <c r="L1583" s="96" t="str">
        <f>VLOOKUP(K1583,COA!$A$3:$B$337,2,FALSE)</f>
        <v>P58</v>
      </c>
      <c r="M1583" s="96" t="str">
        <f t="shared" si="60"/>
        <v>P58</v>
      </c>
      <c r="N1583" s="96" t="str">
        <f>VLOOKUP(M1583,CAC!$A$2:$B$198,2,FALSE)</f>
        <v>PERMEDA</v>
      </c>
    </row>
    <row r="1584" spans="5:14" x14ac:dyDescent="0.25">
      <c r="E1584" s="136">
        <v>201708</v>
      </c>
      <c r="F1584" s="138" t="s">
        <v>344</v>
      </c>
      <c r="G1584" s="138" t="s">
        <v>350</v>
      </c>
      <c r="H1584" s="138" t="s">
        <v>344</v>
      </c>
      <c r="I1584" s="139">
        <v>28</v>
      </c>
      <c r="K1584" s="96" t="str">
        <f t="shared" si="59"/>
        <v>0012-1012-0012</v>
      </c>
      <c r="L1584" s="96" t="str">
        <f>VLOOKUP(K1584,COA!$A$3:$B$337,2,FALSE)</f>
        <v>K12</v>
      </c>
      <c r="M1584" s="96" t="str">
        <f t="shared" si="60"/>
        <v>K12</v>
      </c>
      <c r="N1584" s="96" t="str">
        <f>VLOOKUP(M1584,CAC!$A$2:$B$198,2,FALSE)</f>
        <v>HMOPMR</v>
      </c>
    </row>
    <row r="1585" spans="5:14" x14ac:dyDescent="0.25">
      <c r="E1585" s="136">
        <v>201711</v>
      </c>
      <c r="F1585" s="138" t="s">
        <v>563</v>
      </c>
      <c r="G1585" s="138" t="s">
        <v>354</v>
      </c>
      <c r="H1585" s="138" t="s">
        <v>626</v>
      </c>
      <c r="I1585" s="139">
        <v>0</v>
      </c>
      <c r="K1585" s="96" t="str">
        <f t="shared" si="59"/>
        <v>0003-1013-0057</v>
      </c>
      <c r="L1585" s="96" t="str">
        <f>VLOOKUP(K1585,COA!$A$3:$B$337,2,FALSE)</f>
        <v>N55</v>
      </c>
      <c r="M1585" s="96" t="str">
        <f t="shared" si="60"/>
        <v>N55</v>
      </c>
      <c r="N1585" s="96" t="str">
        <f>VLOOKUP(M1585,CAC!$A$2:$B$198,2,FALSE)</f>
        <v>PPOPMR</v>
      </c>
    </row>
    <row r="1586" spans="5:14" x14ac:dyDescent="0.25">
      <c r="E1586" s="136">
        <v>201606</v>
      </c>
      <c r="F1586" s="138" t="s">
        <v>506</v>
      </c>
      <c r="G1586" s="138" t="s">
        <v>359</v>
      </c>
      <c r="H1586" s="138" t="s">
        <v>592</v>
      </c>
      <c r="I1586" s="139">
        <v>0</v>
      </c>
      <c r="K1586" s="96" t="str">
        <f t="shared" si="59"/>
        <v>0013-1005-0035</v>
      </c>
      <c r="L1586" s="96" t="str">
        <f>VLOOKUP(K1586,COA!$A$3:$B$337,2,FALSE)</f>
        <v>N41</v>
      </c>
      <c r="M1586" s="96" t="str">
        <f t="shared" si="60"/>
        <v>N41</v>
      </c>
      <c r="N1586" s="96" t="e">
        <f>VLOOKUP(M1586,CAC!$A$2:$B$198,2,FALSE)</f>
        <v>#N/A</v>
      </c>
    </row>
    <row r="1587" spans="5:14" x14ac:dyDescent="0.25">
      <c r="E1587" s="136">
        <v>201608</v>
      </c>
      <c r="F1587" s="138" t="s">
        <v>345</v>
      </c>
      <c r="G1587" s="138" t="s">
        <v>350</v>
      </c>
      <c r="H1587" s="138" t="s">
        <v>360</v>
      </c>
      <c r="I1587" s="139">
        <v>6552.58</v>
      </c>
      <c r="K1587" s="96" t="str">
        <f t="shared" si="59"/>
        <v>0011-1012-0048</v>
      </c>
      <c r="L1587" s="96" t="str">
        <f>VLOOKUP(K1587,COA!$A$3:$B$337,2,FALSE)</f>
        <v>K21</v>
      </c>
      <c r="M1587" s="96" t="str">
        <f t="shared" si="60"/>
        <v>K21</v>
      </c>
      <c r="N1587" s="96" t="str">
        <f>VLOOKUP(M1587,CAC!$A$2:$B$198,2,FALSE)</f>
        <v>HMFLEX</v>
      </c>
    </row>
    <row r="1588" spans="5:14" x14ac:dyDescent="0.25">
      <c r="E1588" s="136">
        <v>201610</v>
      </c>
      <c r="F1588" s="138" t="s">
        <v>746</v>
      </c>
      <c r="G1588" s="138" t="s">
        <v>350</v>
      </c>
      <c r="H1588" s="138" t="s">
        <v>344</v>
      </c>
      <c r="I1588" s="139">
        <v>62</v>
      </c>
      <c r="K1588" s="96" t="str">
        <f t="shared" si="59"/>
        <v>0016-1012-0012</v>
      </c>
      <c r="L1588" s="96" t="str">
        <f>VLOOKUP(K1588,COA!$A$3:$B$337,2,FALSE)</f>
        <v>R19</v>
      </c>
      <c r="M1588" s="96" t="str">
        <f t="shared" si="60"/>
        <v>R19</v>
      </c>
      <c r="N1588" s="96" t="str">
        <f>VLOOKUP(M1588,CAC!$A$2:$B$198,2,FALSE)</f>
        <v>HMOMG</v>
      </c>
    </row>
    <row r="1589" spans="5:14" x14ac:dyDescent="0.25">
      <c r="E1589" s="136">
        <v>201601</v>
      </c>
      <c r="F1589" s="138" t="s">
        <v>746</v>
      </c>
      <c r="G1589" s="138" t="s">
        <v>356</v>
      </c>
      <c r="H1589" s="138" t="s">
        <v>764</v>
      </c>
      <c r="I1589" s="139">
        <v>6</v>
      </c>
      <c r="K1589" s="96" t="str">
        <f t="shared" si="59"/>
        <v>0016-1002-0064</v>
      </c>
      <c r="L1589" s="96" t="str">
        <f>VLOOKUP(K1589,COA!$A$3:$B$337,2,FALSE)</f>
        <v>R25</v>
      </c>
      <c r="M1589" s="96" t="str">
        <f t="shared" si="60"/>
        <v>R25</v>
      </c>
      <c r="N1589" s="96" t="str">
        <f>VLOOKUP(M1589,CAC!$A$2:$B$198,2,FALSE)</f>
        <v>HMOMG</v>
      </c>
    </row>
    <row r="1590" spans="5:14" x14ac:dyDescent="0.25">
      <c r="E1590" s="136">
        <v>201612</v>
      </c>
      <c r="F1590" s="138" t="s">
        <v>746</v>
      </c>
      <c r="G1590" s="138" t="s">
        <v>352</v>
      </c>
      <c r="H1590" s="138" t="s">
        <v>344</v>
      </c>
      <c r="I1590" s="139">
        <v>2</v>
      </c>
      <c r="K1590" s="96" t="str">
        <f t="shared" si="59"/>
        <v>0016-1004-0012</v>
      </c>
      <c r="L1590" s="96" t="str">
        <f>VLOOKUP(K1590,COA!$A$3:$B$337,2,FALSE)</f>
        <v>R20</v>
      </c>
      <c r="M1590" s="96" t="str">
        <f t="shared" si="60"/>
        <v>R20</v>
      </c>
      <c r="N1590" s="96" t="str">
        <f>VLOOKUP(M1590,CAC!$A$2:$B$198,2,FALSE)</f>
        <v>HMOMG</v>
      </c>
    </row>
    <row r="1591" spans="5:14" x14ac:dyDescent="0.25">
      <c r="E1591" s="136">
        <v>201707</v>
      </c>
      <c r="F1591" s="138" t="s">
        <v>345</v>
      </c>
      <c r="G1591" s="138" t="s">
        <v>354</v>
      </c>
      <c r="H1591" s="138" t="s">
        <v>368</v>
      </c>
      <c r="I1591" s="139">
        <v>1</v>
      </c>
      <c r="K1591" s="96" t="str">
        <f t="shared" si="59"/>
        <v>0011-1013-0056</v>
      </c>
      <c r="L1591" s="96" t="str">
        <f>VLOOKUP(K1591,COA!$A$3:$B$337,2,FALSE)</f>
        <v>N20</v>
      </c>
      <c r="M1591" s="96" t="str">
        <f t="shared" si="60"/>
        <v>N20</v>
      </c>
      <c r="N1591" s="96" t="str">
        <f>VLOOKUP(M1591,CAC!$A$2:$B$198,2,FALSE)</f>
        <v>HMOPMR</v>
      </c>
    </row>
    <row r="1592" spans="5:14" x14ac:dyDescent="0.25">
      <c r="E1592" s="136">
        <v>201510</v>
      </c>
      <c r="F1592" s="138" t="s">
        <v>345</v>
      </c>
      <c r="G1592" s="138" t="s">
        <v>346</v>
      </c>
      <c r="H1592" s="138" t="s">
        <v>360</v>
      </c>
      <c r="I1592" s="139">
        <v>394</v>
      </c>
      <c r="K1592" s="96" t="str">
        <f t="shared" si="59"/>
        <v>0011-1014-0048</v>
      </c>
      <c r="L1592" s="96" t="str">
        <f>VLOOKUP(K1592,COA!$A$3:$B$337,2,FALSE)</f>
        <v>K23</v>
      </c>
      <c r="M1592" s="96" t="str">
        <f t="shared" si="60"/>
        <v>K23</v>
      </c>
      <c r="N1592" s="96" t="str">
        <f>VLOOKUP(M1592,CAC!$A$2:$B$198,2,FALSE)</f>
        <v>HMFLEX</v>
      </c>
    </row>
    <row r="1593" spans="5:14" x14ac:dyDescent="0.25">
      <c r="E1593" s="136">
        <v>201504</v>
      </c>
      <c r="F1593" s="138" t="s">
        <v>746</v>
      </c>
      <c r="G1593" s="138" t="s">
        <v>361</v>
      </c>
      <c r="H1593" s="138" t="s">
        <v>344</v>
      </c>
      <c r="I1593" s="139">
        <v>445</v>
      </c>
      <c r="K1593" s="96" t="str">
        <f t="shared" si="59"/>
        <v>0016-1003-0012</v>
      </c>
      <c r="L1593" s="96" t="str">
        <f>VLOOKUP(K1593,COA!$A$3:$B$337,2,FALSE)</f>
        <v>R18</v>
      </c>
      <c r="M1593" s="96" t="str">
        <f t="shared" si="60"/>
        <v>R18</v>
      </c>
      <c r="N1593" s="96" t="str">
        <f>VLOOKUP(M1593,CAC!$A$2:$B$198,2,FALSE)</f>
        <v>HMOMG</v>
      </c>
    </row>
    <row r="1594" spans="5:14" x14ac:dyDescent="0.25">
      <c r="E1594" s="136">
        <v>201703</v>
      </c>
      <c r="F1594" s="138" t="s">
        <v>345</v>
      </c>
      <c r="G1594" s="138" t="s">
        <v>365</v>
      </c>
      <c r="H1594" s="138" t="s">
        <v>366</v>
      </c>
      <c r="I1594" s="139">
        <v>1089.06</v>
      </c>
      <c r="K1594" s="96" t="str">
        <f t="shared" si="59"/>
        <v>0011-1001-0021</v>
      </c>
      <c r="L1594" s="96" t="str">
        <f>VLOOKUP(K1594,COA!$A$3:$B$337,2,FALSE)</f>
        <v>V13</v>
      </c>
      <c r="M1594" s="96" t="str">
        <f t="shared" si="60"/>
        <v>V13</v>
      </c>
      <c r="N1594" s="96" t="str">
        <f>VLOOKUP(M1594,CAC!$A$2:$B$198,2,FALSE)</f>
        <v>HMOIFP</v>
      </c>
    </row>
    <row r="1595" spans="5:14" x14ac:dyDescent="0.25">
      <c r="E1595" s="136">
        <v>201710</v>
      </c>
      <c r="F1595" s="138" t="s">
        <v>345</v>
      </c>
      <c r="G1595" s="138" t="s">
        <v>354</v>
      </c>
      <c r="H1595" s="138" t="s">
        <v>360</v>
      </c>
      <c r="I1595" s="139">
        <v>5058</v>
      </c>
      <c r="K1595" s="96" t="str">
        <f t="shared" si="59"/>
        <v>0011-1013-0048</v>
      </c>
      <c r="L1595" s="96" t="str">
        <f>VLOOKUP(K1595,COA!$A$3:$B$337,2,FALSE)</f>
        <v>N21</v>
      </c>
      <c r="M1595" s="96" t="str">
        <f t="shared" si="60"/>
        <v>N21</v>
      </c>
      <c r="N1595" s="96" t="str">
        <f>VLOOKUP(M1595,CAC!$A$2:$B$198,2,FALSE)</f>
        <v>HMFLEX</v>
      </c>
    </row>
    <row r="1596" spans="5:14" x14ac:dyDescent="0.25">
      <c r="E1596" s="136">
        <v>201610</v>
      </c>
      <c r="F1596" s="138" t="s">
        <v>345</v>
      </c>
      <c r="G1596" s="138" t="s">
        <v>354</v>
      </c>
      <c r="H1596" s="138" t="s">
        <v>360</v>
      </c>
      <c r="I1596" s="139">
        <v>5027</v>
      </c>
      <c r="K1596" s="96" t="str">
        <f t="shared" si="59"/>
        <v>0011-1013-0048</v>
      </c>
      <c r="L1596" s="96" t="str">
        <f>VLOOKUP(K1596,COA!$A$3:$B$337,2,FALSE)</f>
        <v>N21</v>
      </c>
      <c r="M1596" s="96" t="str">
        <f t="shared" si="60"/>
        <v>N21</v>
      </c>
      <c r="N1596" s="96" t="str">
        <f>VLOOKUP(M1596,CAC!$A$2:$B$198,2,FALSE)</f>
        <v>HMFLEX</v>
      </c>
    </row>
    <row r="1597" spans="5:14" x14ac:dyDescent="0.25">
      <c r="E1597" s="136">
        <v>201507</v>
      </c>
      <c r="F1597" s="138" t="s">
        <v>345</v>
      </c>
      <c r="G1597" s="138" t="s">
        <v>346</v>
      </c>
      <c r="H1597" s="138" t="s">
        <v>347</v>
      </c>
      <c r="I1597" s="139">
        <v>10</v>
      </c>
      <c r="K1597" s="96" t="str">
        <f t="shared" si="59"/>
        <v>0011-1014-0039</v>
      </c>
      <c r="L1597" s="96" t="str">
        <f>VLOOKUP(K1597,COA!$A$3:$B$337,2,FALSE)</f>
        <v>K24</v>
      </c>
      <c r="M1597" s="96" t="str">
        <f t="shared" si="60"/>
        <v>K24</v>
      </c>
      <c r="N1597" s="96" t="str">
        <f>VLOOKUP(M1597,CAC!$A$2:$B$198,2,FALSE)</f>
        <v>HMFLEX</v>
      </c>
    </row>
    <row r="1598" spans="5:14" x14ac:dyDescent="0.25">
      <c r="E1598" s="136">
        <v>201602</v>
      </c>
      <c r="F1598" s="138" t="s">
        <v>345</v>
      </c>
      <c r="G1598" s="138" t="s">
        <v>348</v>
      </c>
      <c r="H1598" s="138" t="s">
        <v>353</v>
      </c>
      <c r="I1598" s="139">
        <v>329</v>
      </c>
      <c r="K1598" s="96" t="str">
        <f t="shared" si="59"/>
        <v>0011-1010-0023</v>
      </c>
      <c r="L1598" s="96" t="str">
        <f>VLOOKUP(K1598,COA!$A$3:$B$337,2,FALSE)</f>
        <v>S13</v>
      </c>
      <c r="M1598" s="96" t="str">
        <f t="shared" si="60"/>
        <v>S13</v>
      </c>
      <c r="N1598" s="96" t="str">
        <f>VLOOKUP(M1598,CAC!$A$2:$B$198,2,FALSE)</f>
        <v>HMOSG</v>
      </c>
    </row>
    <row r="1599" spans="5:14" x14ac:dyDescent="0.25">
      <c r="E1599" s="136">
        <v>201701</v>
      </c>
      <c r="F1599" s="138" t="s">
        <v>413</v>
      </c>
      <c r="G1599" s="138" t="s">
        <v>352</v>
      </c>
      <c r="H1599" s="138" t="s">
        <v>344</v>
      </c>
      <c r="I1599" s="139">
        <v>0</v>
      </c>
      <c r="K1599" s="96" t="str">
        <f t="shared" si="59"/>
        <v>0008-1004-0012</v>
      </c>
      <c r="L1599" s="96" t="str">
        <f>VLOOKUP(K1599,COA!$A$3:$B$337,2,FALSE)</f>
        <v>C93</v>
      </c>
      <c r="M1599" s="96" t="str">
        <f t="shared" si="60"/>
        <v>C93</v>
      </c>
      <c r="N1599" s="96" t="str">
        <f>VLOOKUP(M1599,CAC!$A$2:$B$198,2,FALSE)</f>
        <v>DOILG</v>
      </c>
    </row>
    <row r="1600" spans="5:14" x14ac:dyDescent="0.25">
      <c r="E1600" s="136">
        <v>201511</v>
      </c>
      <c r="F1600" s="138" t="s">
        <v>413</v>
      </c>
      <c r="G1600" s="138" t="s">
        <v>365</v>
      </c>
      <c r="H1600" s="138" t="s">
        <v>411</v>
      </c>
      <c r="I1600" s="139">
        <v>0</v>
      </c>
      <c r="K1600" s="96" t="str">
        <f t="shared" si="59"/>
        <v>0008-1001-0007</v>
      </c>
      <c r="L1600" s="96" t="str">
        <f>VLOOKUP(K1600,COA!$A$3:$B$337,2,FALSE)</f>
        <v>C99</v>
      </c>
      <c r="M1600" s="96" t="str">
        <f t="shared" si="60"/>
        <v>C99</v>
      </c>
      <c r="N1600" s="96" t="str">
        <f>VLOOKUP(M1600,CAC!$A$2:$B$198,2,FALSE)</f>
        <v>DOIIFP</v>
      </c>
    </row>
    <row r="1601" spans="5:14" x14ac:dyDescent="0.25">
      <c r="E1601" s="136">
        <v>201601</v>
      </c>
      <c r="F1601" s="138" t="s">
        <v>413</v>
      </c>
      <c r="G1601" s="138" t="s">
        <v>356</v>
      </c>
      <c r="H1601" s="138" t="s">
        <v>344</v>
      </c>
      <c r="I1601" s="139">
        <v>0</v>
      </c>
      <c r="K1601" s="96" t="str">
        <f t="shared" si="59"/>
        <v>0008-1002-0012</v>
      </c>
      <c r="L1601" s="96" t="str">
        <f>VLOOKUP(K1601,COA!$A$3:$B$337,2,FALSE)</f>
        <v>C74</v>
      </c>
      <c r="M1601" s="96" t="str">
        <f t="shared" si="60"/>
        <v>C74</v>
      </c>
      <c r="N1601" s="96" t="str">
        <f>VLOOKUP(M1601,CAC!$A$2:$B$198,2,FALSE)</f>
        <v>DOILG</v>
      </c>
    </row>
    <row r="1602" spans="5:14" x14ac:dyDescent="0.25">
      <c r="E1602" s="136">
        <v>201605</v>
      </c>
      <c r="F1602" s="138" t="s">
        <v>342</v>
      </c>
      <c r="G1602" s="138" t="s">
        <v>343</v>
      </c>
      <c r="H1602" s="138" t="s">
        <v>344</v>
      </c>
      <c r="I1602" s="139">
        <v>6085.52</v>
      </c>
      <c r="K1602" s="96" t="str">
        <f t="shared" si="59"/>
        <v>0031-1000-0012</v>
      </c>
      <c r="L1602" s="96" t="str">
        <f>VLOOKUP(K1602,COA!$A$3:$B$337,2,FALSE)</f>
        <v>F27</v>
      </c>
      <c r="M1602" s="96" t="str">
        <f t="shared" si="60"/>
        <v>F27</v>
      </c>
      <c r="N1602" s="96" t="str">
        <f>VLOOKUP(M1602,CAC!$A$2:$B$198,2,FALSE)</f>
        <v>HMOFEP</v>
      </c>
    </row>
    <row r="1603" spans="5:14" x14ac:dyDescent="0.25">
      <c r="E1603" s="136">
        <v>201709</v>
      </c>
      <c r="F1603" s="138" t="s">
        <v>506</v>
      </c>
      <c r="G1603" s="138" t="s">
        <v>359</v>
      </c>
      <c r="H1603" s="138" t="s">
        <v>592</v>
      </c>
      <c r="I1603" s="139">
        <v>0</v>
      </c>
      <c r="K1603" s="96" t="str">
        <f t="shared" ref="K1603:K1666" si="61">F1603&amp;"-"&amp;G1603&amp;"-"&amp;H1603</f>
        <v>0013-1005-0035</v>
      </c>
      <c r="L1603" s="96" t="str">
        <f>VLOOKUP(K1603,COA!$A$3:$B$337,2,FALSE)</f>
        <v>N41</v>
      </c>
      <c r="M1603" s="96" t="str">
        <f t="shared" si="60"/>
        <v>N41</v>
      </c>
      <c r="N1603" s="96" t="e">
        <f>VLOOKUP(M1603,CAC!$A$2:$B$198,2,FALSE)</f>
        <v>#N/A</v>
      </c>
    </row>
    <row r="1604" spans="5:14" x14ac:dyDescent="0.25">
      <c r="E1604" s="136">
        <v>201601</v>
      </c>
      <c r="F1604" s="138" t="s">
        <v>413</v>
      </c>
      <c r="G1604" s="138" t="s">
        <v>354</v>
      </c>
      <c r="H1604" s="138" t="s">
        <v>344</v>
      </c>
      <c r="I1604" s="139">
        <v>0</v>
      </c>
      <c r="K1604" s="96" t="str">
        <f t="shared" si="61"/>
        <v>0008-1013-0012</v>
      </c>
      <c r="L1604" s="96" t="str">
        <f>VLOOKUP(K1604,COA!$A$3:$B$337,2,FALSE)</f>
        <v>C76</v>
      </c>
      <c r="M1604" s="96" t="str">
        <f t="shared" ref="M1604:M1667" si="62">IF(ISNA(L1604),"XXX",L1604)</f>
        <v>C76</v>
      </c>
      <c r="N1604" s="96" t="str">
        <f>VLOOKUP(M1604,CAC!$A$2:$B$198,2,FALSE)</f>
        <v>DOILG</v>
      </c>
    </row>
    <row r="1605" spans="5:14" x14ac:dyDescent="0.25">
      <c r="E1605" s="136">
        <v>201702</v>
      </c>
      <c r="F1605" s="138" t="s">
        <v>345</v>
      </c>
      <c r="G1605" s="138" t="s">
        <v>348</v>
      </c>
      <c r="H1605" s="138" t="s">
        <v>358</v>
      </c>
      <c r="I1605" s="139">
        <v>80</v>
      </c>
      <c r="K1605" s="96" t="str">
        <f t="shared" si="61"/>
        <v>0011-1010-0024</v>
      </c>
      <c r="L1605" s="96" t="str">
        <f>VLOOKUP(K1605,COA!$A$3:$B$337,2,FALSE)</f>
        <v>S14</v>
      </c>
      <c r="M1605" s="96" t="str">
        <f t="shared" si="62"/>
        <v>S14</v>
      </c>
      <c r="N1605" s="96" t="str">
        <f>VLOOKUP(M1605,CAC!$A$2:$B$198,2,FALSE)</f>
        <v>HMOSG</v>
      </c>
    </row>
    <row r="1606" spans="5:14" x14ac:dyDescent="0.25">
      <c r="E1606" s="136">
        <v>201704</v>
      </c>
      <c r="F1606" s="138" t="s">
        <v>746</v>
      </c>
      <c r="G1606" s="138" t="s">
        <v>352</v>
      </c>
      <c r="H1606" s="138" t="s">
        <v>344</v>
      </c>
      <c r="I1606" s="139">
        <v>3</v>
      </c>
      <c r="K1606" s="96" t="str">
        <f t="shared" si="61"/>
        <v>0016-1004-0012</v>
      </c>
      <c r="L1606" s="96" t="str">
        <f>VLOOKUP(K1606,COA!$A$3:$B$337,2,FALSE)</f>
        <v>R20</v>
      </c>
      <c r="M1606" s="96" t="str">
        <f t="shared" si="62"/>
        <v>R20</v>
      </c>
      <c r="N1606" s="96" t="str">
        <f>VLOOKUP(M1606,CAC!$A$2:$B$198,2,FALSE)</f>
        <v>HMOMG</v>
      </c>
    </row>
    <row r="1607" spans="5:14" x14ac:dyDescent="0.25">
      <c r="E1607" s="136">
        <v>201611</v>
      </c>
      <c r="F1607" s="138" t="s">
        <v>563</v>
      </c>
      <c r="G1607" s="138" t="s">
        <v>352</v>
      </c>
      <c r="H1607" s="138" t="s">
        <v>626</v>
      </c>
      <c r="I1607" s="139">
        <v>0</v>
      </c>
      <c r="K1607" s="96" t="str">
        <f t="shared" si="61"/>
        <v>0003-1004-0057</v>
      </c>
      <c r="L1607" s="96" t="e">
        <f>VLOOKUP(K1607,COA!$A$3:$B$337,2,FALSE)</f>
        <v>#N/A</v>
      </c>
      <c r="M1607" s="96" t="str">
        <f t="shared" si="62"/>
        <v>XXX</v>
      </c>
      <c r="N1607" s="96" t="str">
        <f>VLOOKUP(M1607,CAC!$A$2:$B$198,2,FALSE)</f>
        <v>XXX</v>
      </c>
    </row>
    <row r="1608" spans="5:14" x14ac:dyDescent="0.25">
      <c r="E1608" s="136">
        <v>201611</v>
      </c>
      <c r="F1608" s="138" t="s">
        <v>506</v>
      </c>
      <c r="G1608" s="138" t="s">
        <v>354</v>
      </c>
      <c r="H1608" s="138" t="s">
        <v>592</v>
      </c>
      <c r="I1608" s="139">
        <v>0</v>
      </c>
      <c r="K1608" s="96" t="str">
        <f t="shared" si="61"/>
        <v>0013-1013-0035</v>
      </c>
      <c r="L1608" s="96" t="str">
        <f>VLOOKUP(K1608,COA!$A$3:$B$337,2,FALSE)</f>
        <v>N44</v>
      </c>
      <c r="M1608" s="96" t="str">
        <f t="shared" si="62"/>
        <v>N44</v>
      </c>
      <c r="N1608" s="96" t="e">
        <f>VLOOKUP(M1608,CAC!$A$2:$B$198,2,FALSE)</f>
        <v>#N/A</v>
      </c>
    </row>
    <row r="1609" spans="5:14" x14ac:dyDescent="0.25">
      <c r="E1609" s="136">
        <v>201509</v>
      </c>
      <c r="F1609" s="138" t="s">
        <v>345</v>
      </c>
      <c r="G1609" s="138" t="s">
        <v>356</v>
      </c>
      <c r="H1609" s="138" t="s">
        <v>344</v>
      </c>
      <c r="I1609" s="139">
        <v>15035</v>
      </c>
      <c r="K1609" s="96" t="str">
        <f t="shared" si="61"/>
        <v>0011-1002-0012</v>
      </c>
      <c r="L1609" s="96" t="str">
        <f>VLOOKUP(K1609,COA!$A$3:$B$337,2,FALSE)</f>
        <v>F20</v>
      </c>
      <c r="M1609" s="96" t="str">
        <f t="shared" si="62"/>
        <v>F20</v>
      </c>
      <c r="N1609" s="96" t="str">
        <f>VLOOKUP(M1609,CAC!$A$2:$B$198,2,FALSE)</f>
        <v>HMOPMR</v>
      </c>
    </row>
    <row r="1610" spans="5:14" x14ac:dyDescent="0.25">
      <c r="E1610" s="136">
        <v>201611</v>
      </c>
      <c r="F1610" s="138" t="s">
        <v>506</v>
      </c>
      <c r="G1610" s="138" t="s">
        <v>359</v>
      </c>
      <c r="H1610" s="138" t="s">
        <v>592</v>
      </c>
      <c r="I1610" s="139">
        <v>0</v>
      </c>
      <c r="K1610" s="96" t="str">
        <f t="shared" si="61"/>
        <v>0013-1005-0035</v>
      </c>
      <c r="L1610" s="96" t="str">
        <f>VLOOKUP(K1610,COA!$A$3:$B$337,2,FALSE)</f>
        <v>N41</v>
      </c>
      <c r="M1610" s="96" t="str">
        <f t="shared" si="62"/>
        <v>N41</v>
      </c>
      <c r="N1610" s="96" t="e">
        <f>VLOOKUP(M1610,CAC!$A$2:$B$198,2,FALSE)</f>
        <v>#N/A</v>
      </c>
    </row>
    <row r="1611" spans="5:14" x14ac:dyDescent="0.25">
      <c r="E1611" s="136">
        <v>201512</v>
      </c>
      <c r="F1611" s="138" t="s">
        <v>563</v>
      </c>
      <c r="G1611" s="138" t="s">
        <v>356</v>
      </c>
      <c r="H1611" s="138" t="s">
        <v>344</v>
      </c>
      <c r="I1611" s="139">
        <v>0</v>
      </c>
      <c r="K1611" s="96" t="str">
        <f t="shared" si="61"/>
        <v>0003-1002-0012</v>
      </c>
      <c r="L1611" s="96" t="str">
        <f>VLOOKUP(K1611,COA!$A$3:$B$337,2,FALSE)</f>
        <v>F61</v>
      </c>
      <c r="M1611" s="96" t="str">
        <f t="shared" si="62"/>
        <v>F61</v>
      </c>
      <c r="N1611" s="96" t="str">
        <f>VLOOKUP(M1611,CAC!$A$2:$B$198,2,FALSE)</f>
        <v>PPOPMR</v>
      </c>
    </row>
    <row r="1612" spans="5:14" x14ac:dyDescent="0.25">
      <c r="E1612" s="136">
        <v>201611</v>
      </c>
      <c r="F1612" s="138" t="s">
        <v>563</v>
      </c>
      <c r="G1612" s="138" t="s">
        <v>355</v>
      </c>
      <c r="H1612" s="138" t="s">
        <v>344</v>
      </c>
      <c r="I1612" s="139">
        <v>0</v>
      </c>
      <c r="K1612" s="96" t="str">
        <f t="shared" si="61"/>
        <v>0003-1006-0012</v>
      </c>
      <c r="L1612" s="96" t="str">
        <f>VLOOKUP(K1612,COA!$A$3:$B$337,2,FALSE)</f>
        <v>L52</v>
      </c>
      <c r="M1612" s="96" t="str">
        <f t="shared" si="62"/>
        <v>L52</v>
      </c>
      <c r="N1612" s="96" t="str">
        <f>VLOOKUP(M1612,CAC!$A$2:$B$198,2,FALSE)</f>
        <v>PPOLG</v>
      </c>
    </row>
    <row r="1613" spans="5:14" x14ac:dyDescent="0.25">
      <c r="E1613" s="136">
        <v>201503</v>
      </c>
      <c r="F1613" s="138" t="s">
        <v>746</v>
      </c>
      <c r="G1613" s="138" t="s">
        <v>356</v>
      </c>
      <c r="H1613" s="138" t="s">
        <v>344</v>
      </c>
      <c r="I1613" s="139">
        <v>124</v>
      </c>
      <c r="K1613" s="96" t="str">
        <f t="shared" si="61"/>
        <v>0016-1002-0012</v>
      </c>
      <c r="L1613" s="96" t="str">
        <f>VLOOKUP(K1613,COA!$A$3:$B$337,2,FALSE)</f>
        <v>R18</v>
      </c>
      <c r="M1613" s="96" t="str">
        <f t="shared" si="62"/>
        <v>R18</v>
      </c>
      <c r="N1613" s="96" t="str">
        <f>VLOOKUP(M1613,CAC!$A$2:$B$198,2,FALSE)</f>
        <v>HMOMG</v>
      </c>
    </row>
    <row r="1614" spans="5:14" x14ac:dyDescent="0.25">
      <c r="E1614" s="136">
        <v>201702</v>
      </c>
      <c r="F1614" s="138" t="s">
        <v>746</v>
      </c>
      <c r="G1614" s="138" t="s">
        <v>354</v>
      </c>
      <c r="H1614" s="138" t="s">
        <v>344</v>
      </c>
      <c r="I1614" s="139">
        <v>79</v>
      </c>
      <c r="K1614" s="96" t="str">
        <f t="shared" si="61"/>
        <v>0016-1013-0012</v>
      </c>
      <c r="L1614" s="96" t="str">
        <f>VLOOKUP(K1614,COA!$A$3:$B$337,2,FALSE)</f>
        <v>R19</v>
      </c>
      <c r="M1614" s="96" t="str">
        <f t="shared" si="62"/>
        <v>R19</v>
      </c>
      <c r="N1614" s="96" t="str">
        <f>VLOOKUP(M1614,CAC!$A$2:$B$198,2,FALSE)</f>
        <v>HMOMG</v>
      </c>
    </row>
    <row r="1615" spans="5:14" x14ac:dyDescent="0.25">
      <c r="E1615" s="136">
        <v>201602</v>
      </c>
      <c r="F1615" s="138" t="s">
        <v>345</v>
      </c>
      <c r="G1615" s="138" t="s">
        <v>351</v>
      </c>
      <c r="H1615" s="138" t="s">
        <v>349</v>
      </c>
      <c r="I1615" s="139">
        <v>0</v>
      </c>
      <c r="K1615" s="96" t="str">
        <f t="shared" si="61"/>
        <v>0011-0000-0017</v>
      </c>
      <c r="L1615" s="96" t="e">
        <f>VLOOKUP(K1615,COA!$A$3:$B$337,2,FALSE)</f>
        <v>#N/A</v>
      </c>
      <c r="M1615" s="96" t="str">
        <f t="shared" si="62"/>
        <v>XXX</v>
      </c>
      <c r="N1615" s="96" t="str">
        <f>VLOOKUP(M1615,CAC!$A$2:$B$198,2,FALSE)</f>
        <v>XXX</v>
      </c>
    </row>
    <row r="1616" spans="5:14" x14ac:dyDescent="0.25">
      <c r="E1616" s="136">
        <v>201706</v>
      </c>
      <c r="F1616" s="138" t="s">
        <v>345</v>
      </c>
      <c r="G1616" s="138" t="s">
        <v>348</v>
      </c>
      <c r="H1616" s="138" t="s">
        <v>349</v>
      </c>
      <c r="I1616" s="139">
        <v>26347.13</v>
      </c>
      <c r="K1616" s="96" t="str">
        <f t="shared" si="61"/>
        <v>0011-1010-0017</v>
      </c>
      <c r="L1616" s="96" t="str">
        <f>VLOOKUP(K1616,COA!$A$3:$B$337,2,FALSE)</f>
        <v>S11</v>
      </c>
      <c r="M1616" s="96" t="str">
        <f t="shared" si="62"/>
        <v>S11</v>
      </c>
      <c r="N1616" s="96" t="str">
        <f>VLOOKUP(M1616,CAC!$A$2:$B$198,2,FALSE)</f>
        <v>HMOSG</v>
      </c>
    </row>
    <row r="1617" spans="5:14" x14ac:dyDescent="0.25">
      <c r="E1617" s="136">
        <v>201604</v>
      </c>
      <c r="F1617" s="138" t="s">
        <v>563</v>
      </c>
      <c r="G1617" s="138" t="s">
        <v>365</v>
      </c>
      <c r="H1617" s="138" t="s">
        <v>366</v>
      </c>
      <c r="I1617" s="139">
        <v>0</v>
      </c>
      <c r="K1617" s="96" t="str">
        <f t="shared" si="61"/>
        <v>0003-1001-0021</v>
      </c>
      <c r="L1617" s="96" t="str">
        <f>VLOOKUP(K1617,COA!$A$3:$B$337,2,FALSE)</f>
        <v>V53</v>
      </c>
      <c r="M1617" s="96" t="str">
        <f t="shared" si="62"/>
        <v>V53</v>
      </c>
      <c r="N1617" s="96" t="str">
        <f>VLOOKUP(M1617,CAC!$A$2:$B$198,2,FALSE)</f>
        <v>PPOIFP</v>
      </c>
    </row>
    <row r="1618" spans="5:14" x14ac:dyDescent="0.25">
      <c r="E1618" s="136">
        <v>201701</v>
      </c>
      <c r="F1618" s="138" t="s">
        <v>349</v>
      </c>
      <c r="G1618" s="138" t="s">
        <v>369</v>
      </c>
      <c r="H1618" s="138" t="s">
        <v>764</v>
      </c>
      <c r="I1618" s="139">
        <v>5509</v>
      </c>
      <c r="K1618" s="96" t="str">
        <f t="shared" si="61"/>
        <v>0017-1009-0064</v>
      </c>
      <c r="L1618" s="96" t="str">
        <f>VLOOKUP(K1618,COA!$A$3:$B$337,2,FALSE)</f>
        <v>R15</v>
      </c>
      <c r="M1618" s="96" t="str">
        <f t="shared" si="62"/>
        <v>R15</v>
      </c>
      <c r="N1618" s="96" t="str">
        <f>VLOOKUP(M1618,CAC!$A$2:$B$198,2,FALSE)</f>
        <v>HMOMM</v>
      </c>
    </row>
    <row r="1619" spans="5:14" x14ac:dyDescent="0.25">
      <c r="E1619" s="136">
        <v>201508</v>
      </c>
      <c r="F1619" s="138" t="s">
        <v>506</v>
      </c>
      <c r="G1619" s="138" t="s">
        <v>359</v>
      </c>
      <c r="H1619" s="138" t="s">
        <v>592</v>
      </c>
      <c r="I1619" s="139">
        <v>0</v>
      </c>
      <c r="K1619" s="96" t="str">
        <f t="shared" si="61"/>
        <v>0013-1005-0035</v>
      </c>
      <c r="L1619" s="96" t="str">
        <f>VLOOKUP(K1619,COA!$A$3:$B$337,2,FALSE)</f>
        <v>N41</v>
      </c>
      <c r="M1619" s="96" t="str">
        <f t="shared" si="62"/>
        <v>N41</v>
      </c>
      <c r="N1619" s="96" t="e">
        <f>VLOOKUP(M1619,CAC!$A$2:$B$198,2,FALSE)</f>
        <v>#N/A</v>
      </c>
    </row>
    <row r="1620" spans="5:14" x14ac:dyDescent="0.25">
      <c r="E1620" s="136">
        <v>201701</v>
      </c>
      <c r="F1620" s="138" t="s">
        <v>746</v>
      </c>
      <c r="G1620" s="138" t="s">
        <v>350</v>
      </c>
      <c r="H1620" s="138" t="s">
        <v>344</v>
      </c>
      <c r="I1620" s="139">
        <v>25</v>
      </c>
      <c r="K1620" s="96" t="str">
        <f t="shared" si="61"/>
        <v>0016-1012-0012</v>
      </c>
      <c r="L1620" s="96" t="str">
        <f>VLOOKUP(K1620,COA!$A$3:$B$337,2,FALSE)</f>
        <v>R19</v>
      </c>
      <c r="M1620" s="96" t="str">
        <f t="shared" si="62"/>
        <v>R19</v>
      </c>
      <c r="N1620" s="96" t="str">
        <f>VLOOKUP(M1620,CAC!$A$2:$B$198,2,FALSE)</f>
        <v>HMOMG</v>
      </c>
    </row>
    <row r="1621" spans="5:14" x14ac:dyDescent="0.25">
      <c r="E1621" s="136">
        <v>201702</v>
      </c>
      <c r="F1621" s="138" t="s">
        <v>413</v>
      </c>
      <c r="G1621" s="138" t="s">
        <v>365</v>
      </c>
      <c r="H1621" s="138" t="s">
        <v>344</v>
      </c>
      <c r="I1621" s="139">
        <v>0</v>
      </c>
      <c r="K1621" s="96" t="str">
        <f t="shared" si="61"/>
        <v>0008-1001-0012</v>
      </c>
      <c r="L1621" s="96" t="str">
        <f>VLOOKUP(K1621,COA!$A$3:$B$337,2,FALSE)</f>
        <v>C95</v>
      </c>
      <c r="M1621" s="96" t="str">
        <f t="shared" si="62"/>
        <v>C95</v>
      </c>
      <c r="N1621" s="96" t="str">
        <f>VLOOKUP(M1621,CAC!$A$2:$B$198,2,FALSE)</f>
        <v>DOIIFP</v>
      </c>
    </row>
    <row r="1622" spans="5:14" x14ac:dyDescent="0.25">
      <c r="E1622" s="136">
        <v>201603</v>
      </c>
      <c r="F1622" s="138" t="s">
        <v>563</v>
      </c>
      <c r="G1622" s="138" t="s">
        <v>365</v>
      </c>
      <c r="H1622" s="138" t="s">
        <v>344</v>
      </c>
      <c r="I1622" s="139">
        <v>0</v>
      </c>
      <c r="K1622" s="96" t="str">
        <f t="shared" si="61"/>
        <v>0003-1001-0012</v>
      </c>
      <c r="L1622" s="96" t="str">
        <f>VLOOKUP(K1622,COA!$A$3:$B$337,2,FALSE)</f>
        <v>V51</v>
      </c>
      <c r="M1622" s="96" t="str">
        <f t="shared" si="62"/>
        <v>V51</v>
      </c>
      <c r="N1622" s="96" t="str">
        <f>VLOOKUP(M1622,CAC!$A$2:$B$198,2,FALSE)</f>
        <v>PPOIFP</v>
      </c>
    </row>
    <row r="1623" spans="5:14" x14ac:dyDescent="0.25">
      <c r="E1623" s="136">
        <v>201708</v>
      </c>
      <c r="F1623" s="138" t="s">
        <v>506</v>
      </c>
      <c r="G1623" s="138" t="s">
        <v>350</v>
      </c>
      <c r="H1623" s="138" t="s">
        <v>592</v>
      </c>
      <c r="I1623" s="139">
        <v>0</v>
      </c>
      <c r="K1623" s="96" t="str">
        <f t="shared" si="61"/>
        <v>0013-1012-0035</v>
      </c>
      <c r="L1623" s="96" t="str">
        <f>VLOOKUP(K1623,COA!$A$3:$B$337,2,FALSE)</f>
        <v>K41</v>
      </c>
      <c r="M1623" s="96" t="str">
        <f t="shared" si="62"/>
        <v>K41</v>
      </c>
      <c r="N1623" s="96" t="e">
        <f>VLOOKUP(M1623,CAC!$A$2:$B$198,2,FALSE)</f>
        <v>#N/A</v>
      </c>
    </row>
    <row r="1624" spans="5:14" x14ac:dyDescent="0.25">
      <c r="E1624" s="136">
        <v>201602</v>
      </c>
      <c r="F1624" s="138" t="s">
        <v>563</v>
      </c>
      <c r="G1624" s="138" t="s">
        <v>352</v>
      </c>
      <c r="H1624" s="138" t="s">
        <v>653</v>
      </c>
      <c r="I1624" s="139">
        <v>0</v>
      </c>
      <c r="K1624" s="96" t="str">
        <f t="shared" si="61"/>
        <v>0003-1004-0047</v>
      </c>
      <c r="L1624" s="96" t="str">
        <f>VLOOKUP(K1624,COA!$A$3:$B$337,2,FALSE)</f>
        <v>L57</v>
      </c>
      <c r="M1624" s="96" t="str">
        <f t="shared" si="62"/>
        <v>L57</v>
      </c>
      <c r="N1624" s="96" t="str">
        <f>VLOOKUP(M1624,CAC!$A$2:$B$198,2,FALSE)</f>
        <v>PPOLG</v>
      </c>
    </row>
    <row r="1625" spans="5:14" x14ac:dyDescent="0.25">
      <c r="E1625" s="136">
        <v>201607</v>
      </c>
      <c r="F1625" s="138" t="s">
        <v>345</v>
      </c>
      <c r="G1625" s="138" t="s">
        <v>346</v>
      </c>
      <c r="H1625" s="138" t="s">
        <v>360</v>
      </c>
      <c r="I1625" s="139">
        <v>358</v>
      </c>
      <c r="K1625" s="96" t="str">
        <f t="shared" si="61"/>
        <v>0011-1014-0048</v>
      </c>
      <c r="L1625" s="96" t="str">
        <f>VLOOKUP(K1625,COA!$A$3:$B$337,2,FALSE)</f>
        <v>K23</v>
      </c>
      <c r="M1625" s="96" t="str">
        <f t="shared" si="62"/>
        <v>K23</v>
      </c>
      <c r="N1625" s="96" t="str">
        <f>VLOOKUP(M1625,CAC!$A$2:$B$198,2,FALSE)</f>
        <v>HMFLEX</v>
      </c>
    </row>
    <row r="1626" spans="5:14" x14ac:dyDescent="0.25">
      <c r="E1626" s="136">
        <v>201704</v>
      </c>
      <c r="F1626" s="138" t="s">
        <v>563</v>
      </c>
      <c r="G1626" s="138" t="s">
        <v>365</v>
      </c>
      <c r="H1626" s="138" t="s">
        <v>366</v>
      </c>
      <c r="I1626" s="139">
        <v>0</v>
      </c>
      <c r="K1626" s="96" t="str">
        <f t="shared" si="61"/>
        <v>0003-1001-0021</v>
      </c>
      <c r="L1626" s="96" t="str">
        <f>VLOOKUP(K1626,COA!$A$3:$B$337,2,FALSE)</f>
        <v>V53</v>
      </c>
      <c r="M1626" s="96" t="str">
        <f t="shared" si="62"/>
        <v>V53</v>
      </c>
      <c r="N1626" s="96" t="str">
        <f>VLOOKUP(M1626,CAC!$A$2:$B$198,2,FALSE)</f>
        <v>PPOIFP</v>
      </c>
    </row>
    <row r="1627" spans="5:14" x14ac:dyDescent="0.25">
      <c r="E1627" s="136">
        <v>201510</v>
      </c>
      <c r="F1627" s="138" t="s">
        <v>345</v>
      </c>
      <c r="G1627" s="138" t="s">
        <v>356</v>
      </c>
      <c r="H1627" s="138" t="s">
        <v>344</v>
      </c>
      <c r="I1627" s="139">
        <v>15169</v>
      </c>
      <c r="K1627" s="96" t="str">
        <f t="shared" si="61"/>
        <v>0011-1002-0012</v>
      </c>
      <c r="L1627" s="96" t="str">
        <f>VLOOKUP(K1627,COA!$A$3:$B$337,2,FALSE)</f>
        <v>F20</v>
      </c>
      <c r="M1627" s="96" t="str">
        <f t="shared" si="62"/>
        <v>F20</v>
      </c>
      <c r="N1627" s="96" t="str">
        <f>VLOOKUP(M1627,CAC!$A$2:$B$198,2,FALSE)</f>
        <v>HMOPMR</v>
      </c>
    </row>
    <row r="1628" spans="5:14" x14ac:dyDescent="0.25">
      <c r="E1628" s="136">
        <v>201602</v>
      </c>
      <c r="F1628" s="138" t="s">
        <v>746</v>
      </c>
      <c r="G1628" s="138" t="s">
        <v>361</v>
      </c>
      <c r="H1628" s="138" t="s">
        <v>344</v>
      </c>
      <c r="I1628" s="139">
        <v>461</v>
      </c>
      <c r="K1628" s="96" t="str">
        <f t="shared" si="61"/>
        <v>0016-1003-0012</v>
      </c>
      <c r="L1628" s="96" t="str">
        <f>VLOOKUP(K1628,COA!$A$3:$B$337,2,FALSE)</f>
        <v>R18</v>
      </c>
      <c r="M1628" s="96" t="str">
        <f t="shared" si="62"/>
        <v>R18</v>
      </c>
      <c r="N1628" s="96" t="str">
        <f>VLOOKUP(M1628,CAC!$A$2:$B$198,2,FALSE)</f>
        <v>HMOMG</v>
      </c>
    </row>
    <row r="1629" spans="5:14" x14ac:dyDescent="0.25">
      <c r="E1629" s="136">
        <v>201711</v>
      </c>
      <c r="F1629" s="138" t="s">
        <v>344</v>
      </c>
      <c r="G1629" s="138" t="s">
        <v>356</v>
      </c>
      <c r="H1629" s="138" t="s">
        <v>344</v>
      </c>
      <c r="I1629" s="139">
        <v>4308.7700000000004</v>
      </c>
      <c r="K1629" s="96" t="str">
        <f t="shared" si="61"/>
        <v>0012-1002-0012</v>
      </c>
      <c r="L1629" s="96" t="str">
        <f>VLOOKUP(K1629,COA!$A$3:$B$337,2,FALSE)</f>
        <v>F22</v>
      </c>
      <c r="M1629" s="96" t="str">
        <f t="shared" si="62"/>
        <v>F22</v>
      </c>
      <c r="N1629" s="96" t="str">
        <f>VLOOKUP(M1629,CAC!$A$2:$B$198,2,FALSE)</f>
        <v>HMOPMR</v>
      </c>
    </row>
    <row r="1630" spans="5:14" x14ac:dyDescent="0.25">
      <c r="E1630" s="136">
        <v>201702</v>
      </c>
      <c r="F1630" s="138" t="s">
        <v>563</v>
      </c>
      <c r="G1630" s="138" t="s">
        <v>365</v>
      </c>
      <c r="H1630" s="138" t="s">
        <v>366</v>
      </c>
      <c r="I1630" s="139">
        <v>0</v>
      </c>
      <c r="K1630" s="96" t="str">
        <f t="shared" si="61"/>
        <v>0003-1001-0021</v>
      </c>
      <c r="L1630" s="96" t="str">
        <f>VLOOKUP(K1630,COA!$A$3:$B$337,2,FALSE)</f>
        <v>V53</v>
      </c>
      <c r="M1630" s="96" t="str">
        <f t="shared" si="62"/>
        <v>V53</v>
      </c>
      <c r="N1630" s="96" t="str">
        <f>VLOOKUP(M1630,CAC!$A$2:$B$198,2,FALSE)</f>
        <v>PPOIFP</v>
      </c>
    </row>
    <row r="1631" spans="5:14" x14ac:dyDescent="0.25">
      <c r="E1631" s="136">
        <v>201708</v>
      </c>
      <c r="F1631" s="138" t="s">
        <v>345</v>
      </c>
      <c r="G1631" s="138" t="s">
        <v>352</v>
      </c>
      <c r="H1631" s="138" t="s">
        <v>344</v>
      </c>
      <c r="I1631" s="139">
        <v>10140.39</v>
      </c>
      <c r="K1631" s="96" t="str">
        <f t="shared" si="61"/>
        <v>0011-1004-0012</v>
      </c>
      <c r="L1631" s="96" t="str">
        <f>VLOOKUP(K1631,COA!$A$3:$B$337,2,FALSE)</f>
        <v>L11</v>
      </c>
      <c r="M1631" s="96" t="str">
        <f t="shared" si="62"/>
        <v>L11</v>
      </c>
      <c r="N1631" s="96" t="str">
        <f>VLOOKUP(M1631,CAC!$A$2:$B$198,2,FALSE)</f>
        <v>HMOLG</v>
      </c>
    </row>
    <row r="1632" spans="5:14" x14ac:dyDescent="0.25">
      <c r="E1632" s="136">
        <v>201610</v>
      </c>
      <c r="F1632" s="138" t="s">
        <v>344</v>
      </c>
      <c r="G1632" s="138" t="s">
        <v>352</v>
      </c>
      <c r="H1632" s="138" t="s">
        <v>360</v>
      </c>
      <c r="I1632" s="139">
        <v>210</v>
      </c>
      <c r="K1632" s="96" t="str">
        <f t="shared" si="61"/>
        <v>0012-1004-0048</v>
      </c>
      <c r="L1632" s="96" t="str">
        <f>VLOOKUP(K1632,COA!$A$3:$B$337,2,FALSE)</f>
        <v>L22</v>
      </c>
      <c r="M1632" s="96" t="str">
        <f t="shared" si="62"/>
        <v>L22</v>
      </c>
      <c r="N1632" s="96" t="str">
        <f>VLOOKUP(M1632,CAC!$A$2:$B$198,2,FALSE)</f>
        <v>HMFLEX</v>
      </c>
    </row>
    <row r="1633" spans="5:14" x14ac:dyDescent="0.25">
      <c r="E1633" s="136">
        <v>201702</v>
      </c>
      <c r="F1633" s="138" t="s">
        <v>345</v>
      </c>
      <c r="G1633" s="138" t="s">
        <v>348</v>
      </c>
      <c r="H1633" s="138" t="s">
        <v>353</v>
      </c>
      <c r="I1633" s="139">
        <v>316</v>
      </c>
      <c r="K1633" s="96" t="str">
        <f t="shared" si="61"/>
        <v>0011-1010-0023</v>
      </c>
      <c r="L1633" s="96" t="str">
        <f>VLOOKUP(K1633,COA!$A$3:$B$337,2,FALSE)</f>
        <v>S13</v>
      </c>
      <c r="M1633" s="96" t="str">
        <f t="shared" si="62"/>
        <v>S13</v>
      </c>
      <c r="N1633" s="96" t="str">
        <f>VLOOKUP(M1633,CAC!$A$2:$B$198,2,FALSE)</f>
        <v>HMOSG</v>
      </c>
    </row>
    <row r="1634" spans="5:14" x14ac:dyDescent="0.25">
      <c r="E1634" s="136">
        <v>201710</v>
      </c>
      <c r="F1634" s="138" t="s">
        <v>506</v>
      </c>
      <c r="G1634" s="138" t="s">
        <v>346</v>
      </c>
      <c r="H1634" s="138" t="s">
        <v>592</v>
      </c>
      <c r="I1634" s="139">
        <v>0</v>
      </c>
      <c r="K1634" s="96" t="str">
        <f t="shared" si="61"/>
        <v>0013-1014-0035</v>
      </c>
      <c r="L1634" s="96" t="str">
        <f>VLOOKUP(K1634,COA!$A$3:$B$337,2,FALSE)</f>
        <v>K42</v>
      </c>
      <c r="M1634" s="96" t="str">
        <f t="shared" si="62"/>
        <v>K42</v>
      </c>
      <c r="N1634" s="96" t="str">
        <f>VLOOKUP(M1634,CAC!$A$2:$B$198,2,FALSE)</f>
        <v>HMFLEX</v>
      </c>
    </row>
    <row r="1635" spans="5:14" x14ac:dyDescent="0.25">
      <c r="E1635" s="136">
        <v>201706</v>
      </c>
      <c r="F1635" s="138" t="s">
        <v>506</v>
      </c>
      <c r="G1635" s="138" t="s">
        <v>350</v>
      </c>
      <c r="H1635" s="138" t="s">
        <v>592</v>
      </c>
      <c r="I1635" s="139">
        <v>0</v>
      </c>
      <c r="K1635" s="96" t="str">
        <f t="shared" si="61"/>
        <v>0013-1012-0035</v>
      </c>
      <c r="L1635" s="96" t="str">
        <f>VLOOKUP(K1635,COA!$A$3:$B$337,2,FALSE)</f>
        <v>K41</v>
      </c>
      <c r="M1635" s="96" t="str">
        <f t="shared" si="62"/>
        <v>K41</v>
      </c>
      <c r="N1635" s="96" t="e">
        <f>VLOOKUP(M1635,CAC!$A$2:$B$198,2,FALSE)</f>
        <v>#N/A</v>
      </c>
    </row>
    <row r="1636" spans="5:14" x14ac:dyDescent="0.25">
      <c r="E1636" s="136">
        <v>201709</v>
      </c>
      <c r="F1636" s="138" t="s">
        <v>563</v>
      </c>
      <c r="G1636" s="138" t="s">
        <v>354</v>
      </c>
      <c r="H1636" s="138" t="s">
        <v>626</v>
      </c>
      <c r="I1636" s="139">
        <v>0</v>
      </c>
      <c r="K1636" s="96" t="str">
        <f t="shared" si="61"/>
        <v>0003-1013-0057</v>
      </c>
      <c r="L1636" s="96" t="str">
        <f>VLOOKUP(K1636,COA!$A$3:$B$337,2,FALSE)</f>
        <v>N55</v>
      </c>
      <c r="M1636" s="96" t="str">
        <f t="shared" si="62"/>
        <v>N55</v>
      </c>
      <c r="N1636" s="96" t="str">
        <f>VLOOKUP(M1636,CAC!$A$2:$B$198,2,FALSE)</f>
        <v>PPOPMR</v>
      </c>
    </row>
    <row r="1637" spans="5:14" x14ac:dyDescent="0.25">
      <c r="E1637" s="136">
        <v>201801</v>
      </c>
      <c r="F1637" s="138" t="s">
        <v>746</v>
      </c>
      <c r="G1637" s="138" t="s">
        <v>352</v>
      </c>
      <c r="H1637" s="138" t="s">
        <v>344</v>
      </c>
      <c r="I1637" s="139">
        <v>2</v>
      </c>
      <c r="K1637" s="96" t="str">
        <f t="shared" si="61"/>
        <v>0016-1004-0012</v>
      </c>
      <c r="L1637" s="96" t="str">
        <f>VLOOKUP(K1637,COA!$A$3:$B$337,2,FALSE)</f>
        <v>R20</v>
      </c>
      <c r="M1637" s="96" t="str">
        <f t="shared" si="62"/>
        <v>R20</v>
      </c>
      <c r="N1637" s="96" t="str">
        <f>VLOOKUP(M1637,CAC!$A$2:$B$198,2,FALSE)</f>
        <v>HMOMG</v>
      </c>
    </row>
    <row r="1638" spans="5:14" x14ac:dyDescent="0.25">
      <c r="E1638" s="136">
        <v>201705</v>
      </c>
      <c r="F1638" s="138" t="s">
        <v>563</v>
      </c>
      <c r="G1638" s="138" t="s">
        <v>365</v>
      </c>
      <c r="H1638" s="138" t="s">
        <v>798</v>
      </c>
      <c r="I1638" s="139">
        <v>0</v>
      </c>
      <c r="K1638" s="96" t="str">
        <f t="shared" si="61"/>
        <v>0003-1001-0065</v>
      </c>
      <c r="L1638" s="96" t="str">
        <f>VLOOKUP(K1638,COA!$A$3:$B$337,2,FALSE)</f>
        <v>V55</v>
      </c>
      <c r="M1638" s="96" t="str">
        <f t="shared" si="62"/>
        <v>V55</v>
      </c>
      <c r="N1638" s="96" t="e">
        <f>VLOOKUP(M1638,CAC!$A$2:$B$198,2,FALSE)</f>
        <v>#N/A</v>
      </c>
    </row>
    <row r="1639" spans="5:14" x14ac:dyDescent="0.25">
      <c r="E1639" s="136">
        <v>201702</v>
      </c>
      <c r="F1639" s="138" t="s">
        <v>552</v>
      </c>
      <c r="G1639" s="138" t="s">
        <v>356</v>
      </c>
      <c r="H1639" s="138" t="s">
        <v>672</v>
      </c>
      <c r="I1639" s="139">
        <v>0</v>
      </c>
      <c r="K1639" s="96" t="str">
        <f t="shared" si="61"/>
        <v>0027-1002-0058</v>
      </c>
      <c r="L1639" s="96" t="str">
        <f>VLOOKUP(K1639,COA!$A$3:$B$337,2,FALSE)</f>
        <v>L45</v>
      </c>
      <c r="M1639" s="96" t="str">
        <f t="shared" si="62"/>
        <v>L45</v>
      </c>
      <c r="N1639" s="96" t="e">
        <f>VLOOKUP(M1639,CAC!$A$2:$B$198,2,FALSE)</f>
        <v>#N/A</v>
      </c>
    </row>
    <row r="1640" spans="5:14" x14ac:dyDescent="0.25">
      <c r="E1640" s="136">
        <v>201508</v>
      </c>
      <c r="F1640" s="138" t="s">
        <v>413</v>
      </c>
      <c r="G1640" s="138" t="s">
        <v>365</v>
      </c>
      <c r="H1640" s="138" t="s">
        <v>344</v>
      </c>
      <c r="I1640" s="139">
        <v>0</v>
      </c>
      <c r="K1640" s="96" t="str">
        <f t="shared" si="61"/>
        <v>0008-1001-0012</v>
      </c>
      <c r="L1640" s="96" t="str">
        <f>VLOOKUP(K1640,COA!$A$3:$B$337,2,FALSE)</f>
        <v>C95</v>
      </c>
      <c r="M1640" s="96" t="str">
        <f t="shared" si="62"/>
        <v>C95</v>
      </c>
      <c r="N1640" s="96" t="str">
        <f>VLOOKUP(M1640,CAC!$A$2:$B$198,2,FALSE)</f>
        <v>DOIIFP</v>
      </c>
    </row>
    <row r="1641" spans="5:14" x14ac:dyDescent="0.25">
      <c r="E1641" s="136">
        <v>201701</v>
      </c>
      <c r="F1641" s="138" t="s">
        <v>563</v>
      </c>
      <c r="G1641" s="138" t="s">
        <v>356</v>
      </c>
      <c r="H1641" s="138" t="s">
        <v>344</v>
      </c>
      <c r="I1641" s="139">
        <v>0</v>
      </c>
      <c r="K1641" s="96" t="str">
        <f t="shared" si="61"/>
        <v>0003-1002-0012</v>
      </c>
      <c r="L1641" s="96" t="str">
        <f>VLOOKUP(K1641,COA!$A$3:$B$337,2,FALSE)</f>
        <v>F61</v>
      </c>
      <c r="M1641" s="96" t="str">
        <f t="shared" si="62"/>
        <v>F61</v>
      </c>
      <c r="N1641" s="96" t="str">
        <f>VLOOKUP(M1641,CAC!$A$2:$B$198,2,FALSE)</f>
        <v>PPOPMR</v>
      </c>
    </row>
    <row r="1642" spans="5:14" x14ac:dyDescent="0.25">
      <c r="E1642" s="136">
        <v>201705</v>
      </c>
      <c r="F1642" s="138" t="s">
        <v>506</v>
      </c>
      <c r="G1642" s="138" t="s">
        <v>361</v>
      </c>
      <c r="H1642" s="138" t="s">
        <v>592</v>
      </c>
      <c r="I1642" s="139">
        <v>0</v>
      </c>
      <c r="K1642" s="96" t="str">
        <f t="shared" si="61"/>
        <v>0013-1003-0035</v>
      </c>
      <c r="L1642" s="96" t="str">
        <f>VLOOKUP(K1642,COA!$A$3:$B$337,2,FALSE)</f>
        <v>N32</v>
      </c>
      <c r="M1642" s="96" t="str">
        <f t="shared" si="62"/>
        <v>N32</v>
      </c>
      <c r="N1642" s="96" t="e">
        <f>VLOOKUP(M1642,CAC!$A$2:$B$198,2,FALSE)</f>
        <v>#N/A</v>
      </c>
    </row>
    <row r="1643" spans="5:14" x14ac:dyDescent="0.25">
      <c r="E1643" s="136">
        <v>201507</v>
      </c>
      <c r="F1643" s="138" t="s">
        <v>345</v>
      </c>
      <c r="G1643" s="138" t="s">
        <v>362</v>
      </c>
      <c r="H1643" s="138" t="s">
        <v>364</v>
      </c>
      <c r="I1643" s="139">
        <v>39830.42</v>
      </c>
      <c r="K1643" s="96" t="str">
        <f t="shared" si="61"/>
        <v>0011-1008-0037</v>
      </c>
      <c r="L1643" s="96" t="str">
        <f>VLOOKUP(K1643,COA!$A$3:$B$337,2,FALSE)</f>
        <v>P12</v>
      </c>
      <c r="M1643" s="96" t="str">
        <f t="shared" si="62"/>
        <v>P12</v>
      </c>
      <c r="N1643" s="96" t="str">
        <f>VLOOKUP(M1643,CAC!$A$2:$B$198,2,FALSE)</f>
        <v>HMOPERA</v>
      </c>
    </row>
    <row r="1644" spans="5:14" x14ac:dyDescent="0.25">
      <c r="E1644" s="136">
        <v>201711</v>
      </c>
      <c r="F1644" s="138" t="s">
        <v>345</v>
      </c>
      <c r="G1644" s="138" t="s">
        <v>348</v>
      </c>
      <c r="H1644" s="138" t="s">
        <v>349</v>
      </c>
      <c r="I1644" s="139">
        <v>27531.14</v>
      </c>
      <c r="K1644" s="96" t="str">
        <f t="shared" si="61"/>
        <v>0011-1010-0017</v>
      </c>
      <c r="L1644" s="96" t="str">
        <f>VLOOKUP(K1644,COA!$A$3:$B$337,2,FALSE)</f>
        <v>S11</v>
      </c>
      <c r="M1644" s="96" t="str">
        <f t="shared" si="62"/>
        <v>S11</v>
      </c>
      <c r="N1644" s="96" t="str">
        <f>VLOOKUP(M1644,CAC!$A$2:$B$198,2,FALSE)</f>
        <v>HMOSG</v>
      </c>
    </row>
    <row r="1645" spans="5:14" x14ac:dyDescent="0.25">
      <c r="E1645" s="136">
        <v>201710</v>
      </c>
      <c r="F1645" s="138" t="s">
        <v>345</v>
      </c>
      <c r="G1645" s="138" t="s">
        <v>359</v>
      </c>
      <c r="H1645" s="138" t="s">
        <v>344</v>
      </c>
      <c r="I1645" s="139">
        <v>7044.06</v>
      </c>
      <c r="K1645" s="96" t="str">
        <f t="shared" si="61"/>
        <v>0011-1005-0012</v>
      </c>
      <c r="L1645" s="96" t="str">
        <f>VLOOKUP(K1645,COA!$A$3:$B$337,2,FALSE)</f>
        <v>N11</v>
      </c>
      <c r="M1645" s="96" t="str">
        <f t="shared" si="62"/>
        <v>N11</v>
      </c>
      <c r="N1645" s="96" t="str">
        <f>VLOOKUP(M1645,CAC!$A$2:$B$198,2,FALSE)</f>
        <v>HMOLG</v>
      </c>
    </row>
    <row r="1646" spans="5:14" x14ac:dyDescent="0.25">
      <c r="E1646" s="136">
        <v>201801</v>
      </c>
      <c r="F1646" s="138" t="s">
        <v>563</v>
      </c>
      <c r="G1646" s="138" t="s">
        <v>348</v>
      </c>
      <c r="H1646" s="138" t="s">
        <v>353</v>
      </c>
      <c r="I1646" s="139">
        <v>0</v>
      </c>
      <c r="K1646" s="96" t="str">
        <f t="shared" si="61"/>
        <v>0003-1010-0023</v>
      </c>
      <c r="L1646" s="96" t="str">
        <f>VLOOKUP(K1646,COA!$A$3:$B$337,2,FALSE)</f>
        <v>S54</v>
      </c>
      <c r="M1646" s="96" t="str">
        <f t="shared" si="62"/>
        <v>S54</v>
      </c>
      <c r="N1646" s="96" t="str">
        <f>VLOOKUP(M1646,CAC!$A$2:$B$198,2,FALSE)</f>
        <v>PPOSG</v>
      </c>
    </row>
    <row r="1647" spans="5:14" x14ac:dyDescent="0.25">
      <c r="E1647" s="136">
        <v>201605</v>
      </c>
      <c r="F1647" s="138" t="s">
        <v>746</v>
      </c>
      <c r="G1647" s="138" t="s">
        <v>354</v>
      </c>
      <c r="H1647" s="138" t="s">
        <v>344</v>
      </c>
      <c r="I1647" s="139">
        <v>81</v>
      </c>
      <c r="K1647" s="96" t="str">
        <f t="shared" si="61"/>
        <v>0016-1013-0012</v>
      </c>
      <c r="L1647" s="96" t="str">
        <f>VLOOKUP(K1647,COA!$A$3:$B$337,2,FALSE)</f>
        <v>R19</v>
      </c>
      <c r="M1647" s="96" t="str">
        <f t="shared" si="62"/>
        <v>R19</v>
      </c>
      <c r="N1647" s="96" t="str">
        <f>VLOOKUP(M1647,CAC!$A$2:$B$198,2,FALSE)</f>
        <v>HMOMG</v>
      </c>
    </row>
    <row r="1648" spans="5:14" x14ac:dyDescent="0.25">
      <c r="E1648" s="136">
        <v>201606</v>
      </c>
      <c r="F1648" s="138" t="s">
        <v>345</v>
      </c>
      <c r="G1648" s="138" t="s">
        <v>352</v>
      </c>
      <c r="H1648" s="138" t="s">
        <v>653</v>
      </c>
      <c r="I1648" s="139">
        <v>0</v>
      </c>
      <c r="K1648" s="96" t="str">
        <f t="shared" si="61"/>
        <v>0011-1004-0047</v>
      </c>
      <c r="L1648" s="96" t="str">
        <f>VLOOKUP(K1648,COA!$A$3:$B$337,2,FALSE)</f>
        <v>L17</v>
      </c>
      <c r="M1648" s="96" t="str">
        <f t="shared" si="62"/>
        <v>L17</v>
      </c>
      <c r="N1648" s="96" t="str">
        <f>VLOOKUP(M1648,CAC!$A$2:$B$198,2,FALSE)</f>
        <v>HMOLG</v>
      </c>
    </row>
    <row r="1649" spans="5:14" x14ac:dyDescent="0.25">
      <c r="E1649" s="136">
        <v>201508</v>
      </c>
      <c r="F1649" s="138" t="s">
        <v>563</v>
      </c>
      <c r="G1649" s="138" t="s">
        <v>348</v>
      </c>
      <c r="H1649" s="138" t="s">
        <v>349</v>
      </c>
      <c r="I1649" s="139">
        <v>0</v>
      </c>
      <c r="K1649" s="96" t="str">
        <f t="shared" si="61"/>
        <v>0003-1010-0017</v>
      </c>
      <c r="L1649" s="96" t="str">
        <f>VLOOKUP(K1649,COA!$A$3:$B$337,2,FALSE)</f>
        <v>S51</v>
      </c>
      <c r="M1649" s="96" t="str">
        <f t="shared" si="62"/>
        <v>S51</v>
      </c>
      <c r="N1649" s="96" t="str">
        <f>VLOOKUP(M1649,CAC!$A$2:$B$198,2,FALSE)</f>
        <v>PPOSG</v>
      </c>
    </row>
    <row r="1650" spans="5:14" x14ac:dyDescent="0.25">
      <c r="E1650" s="136">
        <v>201512</v>
      </c>
      <c r="F1650" s="138" t="s">
        <v>345</v>
      </c>
      <c r="G1650" s="138" t="s">
        <v>362</v>
      </c>
      <c r="H1650" s="138" t="s">
        <v>364</v>
      </c>
      <c r="I1650" s="139">
        <v>39659.519999999997</v>
      </c>
      <c r="K1650" s="96" t="str">
        <f t="shared" si="61"/>
        <v>0011-1008-0037</v>
      </c>
      <c r="L1650" s="96" t="str">
        <f>VLOOKUP(K1650,COA!$A$3:$B$337,2,FALSE)</f>
        <v>P12</v>
      </c>
      <c r="M1650" s="96" t="str">
        <f t="shared" si="62"/>
        <v>P12</v>
      </c>
      <c r="N1650" s="96" t="str">
        <f>VLOOKUP(M1650,CAC!$A$2:$B$198,2,FALSE)</f>
        <v>HMOPERA</v>
      </c>
    </row>
    <row r="1651" spans="5:14" x14ac:dyDescent="0.25">
      <c r="E1651" s="136">
        <v>201707</v>
      </c>
      <c r="F1651" s="138" t="s">
        <v>345</v>
      </c>
      <c r="G1651" s="138" t="s">
        <v>350</v>
      </c>
      <c r="H1651" s="138" t="s">
        <v>360</v>
      </c>
      <c r="I1651" s="139">
        <v>9863.15</v>
      </c>
      <c r="K1651" s="96" t="str">
        <f t="shared" si="61"/>
        <v>0011-1012-0048</v>
      </c>
      <c r="L1651" s="96" t="str">
        <f>VLOOKUP(K1651,COA!$A$3:$B$337,2,FALSE)</f>
        <v>K21</v>
      </c>
      <c r="M1651" s="96" t="str">
        <f t="shared" si="62"/>
        <v>K21</v>
      </c>
      <c r="N1651" s="96" t="str">
        <f>VLOOKUP(M1651,CAC!$A$2:$B$198,2,FALSE)</f>
        <v>HMFLEX</v>
      </c>
    </row>
    <row r="1652" spans="5:14" x14ac:dyDescent="0.25">
      <c r="E1652" s="136">
        <v>201708</v>
      </c>
      <c r="F1652" s="138" t="s">
        <v>345</v>
      </c>
      <c r="G1652" s="138" t="s">
        <v>365</v>
      </c>
      <c r="H1652" s="138" t="s">
        <v>367</v>
      </c>
      <c r="I1652" s="139">
        <v>775.93</v>
      </c>
      <c r="K1652" s="96" t="str">
        <f t="shared" si="61"/>
        <v>0011-1001-0022</v>
      </c>
      <c r="L1652" s="96" t="str">
        <f>VLOOKUP(K1652,COA!$A$3:$B$337,2,FALSE)</f>
        <v>V14</v>
      </c>
      <c r="M1652" s="96" t="str">
        <f t="shared" si="62"/>
        <v>V14</v>
      </c>
      <c r="N1652" s="96" t="str">
        <f>VLOOKUP(M1652,CAC!$A$2:$B$198,2,FALSE)</f>
        <v>HMOIFP</v>
      </c>
    </row>
    <row r="1653" spans="5:14" x14ac:dyDescent="0.25">
      <c r="E1653" s="136">
        <v>201801</v>
      </c>
      <c r="F1653" s="138" t="s">
        <v>563</v>
      </c>
      <c r="G1653" s="138" t="s">
        <v>356</v>
      </c>
      <c r="H1653" s="138" t="s">
        <v>344</v>
      </c>
      <c r="I1653" s="139">
        <v>0</v>
      </c>
      <c r="K1653" s="96" t="str">
        <f t="shared" si="61"/>
        <v>0003-1002-0012</v>
      </c>
      <c r="L1653" s="96" t="str">
        <f>VLOOKUP(K1653,COA!$A$3:$B$337,2,FALSE)</f>
        <v>F61</v>
      </c>
      <c r="M1653" s="96" t="str">
        <f t="shared" si="62"/>
        <v>F61</v>
      </c>
      <c r="N1653" s="96" t="str">
        <f>VLOOKUP(M1653,CAC!$A$2:$B$198,2,FALSE)</f>
        <v>PPOPMR</v>
      </c>
    </row>
    <row r="1654" spans="5:14" x14ac:dyDescent="0.25">
      <c r="E1654" s="136">
        <v>201604</v>
      </c>
      <c r="F1654" s="138" t="s">
        <v>405</v>
      </c>
      <c r="G1654" s="138" t="s">
        <v>362</v>
      </c>
      <c r="H1654" s="138" t="s">
        <v>342</v>
      </c>
      <c r="I1654" s="139">
        <v>0</v>
      </c>
      <c r="K1654" s="96" t="str">
        <f t="shared" si="61"/>
        <v>0019-1008-0031</v>
      </c>
      <c r="L1654" s="96" t="str">
        <f>VLOOKUP(K1654,COA!$A$3:$B$337,2,FALSE)</f>
        <v>P53</v>
      </c>
      <c r="M1654" s="96" t="str">
        <f t="shared" si="62"/>
        <v>P53</v>
      </c>
      <c r="N1654" s="96" t="str">
        <f>VLOOKUP(M1654,CAC!$A$2:$B$198,2,FALSE)</f>
        <v>HMOPERA</v>
      </c>
    </row>
    <row r="1655" spans="5:14" x14ac:dyDescent="0.25">
      <c r="E1655" s="136">
        <v>201705</v>
      </c>
      <c r="F1655" s="138" t="s">
        <v>563</v>
      </c>
      <c r="G1655" s="138" t="s">
        <v>369</v>
      </c>
      <c r="H1655" s="138" t="s">
        <v>353</v>
      </c>
      <c r="I1655" s="139">
        <v>0</v>
      </c>
      <c r="K1655" s="96" t="str">
        <f t="shared" si="61"/>
        <v>0003-1009-0023</v>
      </c>
      <c r="L1655" s="96" t="e">
        <f>VLOOKUP(K1655,COA!$A$3:$B$337,2,FALSE)</f>
        <v>#N/A</v>
      </c>
      <c r="M1655" s="96" t="str">
        <f t="shared" si="62"/>
        <v>XXX</v>
      </c>
      <c r="N1655" s="96" t="str">
        <f>VLOOKUP(M1655,CAC!$A$2:$B$198,2,FALSE)</f>
        <v>XXX</v>
      </c>
    </row>
    <row r="1656" spans="5:14" x14ac:dyDescent="0.25">
      <c r="E1656" s="136">
        <v>201605</v>
      </c>
      <c r="F1656" s="138" t="s">
        <v>563</v>
      </c>
      <c r="G1656" s="138" t="s">
        <v>355</v>
      </c>
      <c r="H1656" s="138" t="s">
        <v>344</v>
      </c>
      <c r="I1656" s="139">
        <v>0</v>
      </c>
      <c r="K1656" s="96" t="str">
        <f t="shared" si="61"/>
        <v>0003-1006-0012</v>
      </c>
      <c r="L1656" s="96" t="str">
        <f>VLOOKUP(K1656,COA!$A$3:$B$337,2,FALSE)</f>
        <v>L52</v>
      </c>
      <c r="M1656" s="96" t="str">
        <f t="shared" si="62"/>
        <v>L52</v>
      </c>
      <c r="N1656" s="96" t="str">
        <f>VLOOKUP(M1656,CAC!$A$2:$B$198,2,FALSE)</f>
        <v>PPOLG</v>
      </c>
    </row>
    <row r="1657" spans="5:14" x14ac:dyDescent="0.25">
      <c r="E1657" s="136">
        <v>201504</v>
      </c>
      <c r="F1657" s="138" t="s">
        <v>349</v>
      </c>
      <c r="G1657" s="138" t="s">
        <v>369</v>
      </c>
      <c r="H1657" s="138" t="s">
        <v>344</v>
      </c>
      <c r="I1657" s="139">
        <v>36017</v>
      </c>
      <c r="K1657" s="96" t="str">
        <f t="shared" si="61"/>
        <v>0017-1009-0012</v>
      </c>
      <c r="L1657" s="96" t="str">
        <f>VLOOKUP(K1657,COA!$A$3:$B$337,2,FALSE)</f>
        <v>R12</v>
      </c>
      <c r="M1657" s="96" t="str">
        <f t="shared" si="62"/>
        <v>R12</v>
      </c>
      <c r="N1657" s="96" t="str">
        <f>VLOOKUP(M1657,CAC!$A$2:$B$198,2,FALSE)</f>
        <v>HMOMM</v>
      </c>
    </row>
    <row r="1658" spans="5:14" x14ac:dyDescent="0.25">
      <c r="E1658" s="136">
        <v>201602</v>
      </c>
      <c r="F1658" s="138" t="s">
        <v>345</v>
      </c>
      <c r="G1658" s="138" t="s">
        <v>356</v>
      </c>
      <c r="H1658" s="138" t="s">
        <v>344</v>
      </c>
      <c r="I1658" s="139">
        <v>15621.98</v>
      </c>
      <c r="K1658" s="96" t="str">
        <f t="shared" si="61"/>
        <v>0011-1002-0012</v>
      </c>
      <c r="L1658" s="96" t="str">
        <f>VLOOKUP(K1658,COA!$A$3:$B$337,2,FALSE)</f>
        <v>F20</v>
      </c>
      <c r="M1658" s="96" t="str">
        <f t="shared" si="62"/>
        <v>F20</v>
      </c>
      <c r="N1658" s="96" t="str">
        <f>VLOOKUP(M1658,CAC!$A$2:$B$198,2,FALSE)</f>
        <v>HMOPMR</v>
      </c>
    </row>
    <row r="1659" spans="5:14" x14ac:dyDescent="0.25">
      <c r="E1659" s="136">
        <v>201707</v>
      </c>
      <c r="F1659" s="138" t="s">
        <v>563</v>
      </c>
      <c r="G1659" s="138" t="s">
        <v>354</v>
      </c>
      <c r="H1659" s="138" t="s">
        <v>344</v>
      </c>
      <c r="I1659" s="139">
        <v>0</v>
      </c>
      <c r="K1659" s="96" t="str">
        <f t="shared" si="61"/>
        <v>0003-1013-0012</v>
      </c>
      <c r="L1659" s="96" t="str">
        <f>VLOOKUP(K1659,COA!$A$3:$B$337,2,FALSE)</f>
        <v>N55</v>
      </c>
      <c r="M1659" s="96" t="str">
        <f t="shared" si="62"/>
        <v>N55</v>
      </c>
      <c r="N1659" s="96" t="str">
        <f>VLOOKUP(M1659,CAC!$A$2:$B$198,2,FALSE)</f>
        <v>PPOPMR</v>
      </c>
    </row>
    <row r="1660" spans="5:14" x14ac:dyDescent="0.25">
      <c r="E1660" s="136">
        <v>201505</v>
      </c>
      <c r="F1660" s="138" t="s">
        <v>345</v>
      </c>
      <c r="G1660" s="138" t="s">
        <v>361</v>
      </c>
      <c r="H1660" s="138" t="s">
        <v>344</v>
      </c>
      <c r="I1660" s="139">
        <v>9</v>
      </c>
      <c r="K1660" s="96" t="str">
        <f t="shared" si="61"/>
        <v>0011-1003-0012</v>
      </c>
      <c r="L1660" s="96" t="str">
        <f>VLOOKUP(K1660,COA!$A$3:$B$337,2,FALSE)</f>
        <v>N16</v>
      </c>
      <c r="M1660" s="96" t="str">
        <f t="shared" si="62"/>
        <v>N16</v>
      </c>
      <c r="N1660" s="96" t="str">
        <f>VLOOKUP(M1660,CAC!$A$2:$B$198,2,FALSE)</f>
        <v>HMOPMR</v>
      </c>
    </row>
    <row r="1661" spans="5:14" x14ac:dyDescent="0.25">
      <c r="E1661" s="136">
        <v>201508</v>
      </c>
      <c r="F1661" s="138" t="s">
        <v>746</v>
      </c>
      <c r="G1661" s="138" t="s">
        <v>354</v>
      </c>
      <c r="H1661" s="138" t="s">
        <v>344</v>
      </c>
      <c r="I1661" s="139">
        <v>81</v>
      </c>
      <c r="K1661" s="96" t="str">
        <f t="shared" si="61"/>
        <v>0016-1013-0012</v>
      </c>
      <c r="L1661" s="96" t="str">
        <f>VLOOKUP(K1661,COA!$A$3:$B$337,2,FALSE)</f>
        <v>R19</v>
      </c>
      <c r="M1661" s="96" t="str">
        <f t="shared" si="62"/>
        <v>R19</v>
      </c>
      <c r="N1661" s="96" t="str">
        <f>VLOOKUP(M1661,CAC!$A$2:$B$198,2,FALSE)</f>
        <v>HMOMG</v>
      </c>
    </row>
    <row r="1662" spans="5:14" x14ac:dyDescent="0.25">
      <c r="E1662" s="136">
        <v>201706</v>
      </c>
      <c r="F1662" s="138" t="s">
        <v>345</v>
      </c>
      <c r="G1662" s="138" t="s">
        <v>362</v>
      </c>
      <c r="H1662" s="138" t="s">
        <v>364</v>
      </c>
      <c r="I1662" s="139">
        <v>47360</v>
      </c>
      <c r="K1662" s="96" t="str">
        <f t="shared" si="61"/>
        <v>0011-1008-0037</v>
      </c>
      <c r="L1662" s="96" t="str">
        <f>VLOOKUP(K1662,COA!$A$3:$B$337,2,FALSE)</f>
        <v>P12</v>
      </c>
      <c r="M1662" s="96" t="str">
        <f t="shared" si="62"/>
        <v>P12</v>
      </c>
      <c r="N1662" s="96" t="str">
        <f>VLOOKUP(M1662,CAC!$A$2:$B$198,2,FALSE)</f>
        <v>HMOPERA</v>
      </c>
    </row>
    <row r="1663" spans="5:14" x14ac:dyDescent="0.25">
      <c r="E1663" s="136">
        <v>201610</v>
      </c>
      <c r="F1663" s="138" t="s">
        <v>345</v>
      </c>
      <c r="G1663" s="138" t="s">
        <v>348</v>
      </c>
      <c r="H1663" s="138" t="s">
        <v>349</v>
      </c>
      <c r="I1663" s="139">
        <v>22324.41</v>
      </c>
      <c r="K1663" s="96" t="str">
        <f t="shared" si="61"/>
        <v>0011-1010-0017</v>
      </c>
      <c r="L1663" s="96" t="str">
        <f>VLOOKUP(K1663,COA!$A$3:$B$337,2,FALSE)</f>
        <v>S11</v>
      </c>
      <c r="M1663" s="96" t="str">
        <f t="shared" si="62"/>
        <v>S11</v>
      </c>
      <c r="N1663" s="96" t="str">
        <f>VLOOKUP(M1663,CAC!$A$2:$B$198,2,FALSE)</f>
        <v>HMOSG</v>
      </c>
    </row>
    <row r="1664" spans="5:14" x14ac:dyDescent="0.25">
      <c r="E1664" s="136">
        <v>201801</v>
      </c>
      <c r="F1664" s="138" t="s">
        <v>345</v>
      </c>
      <c r="G1664" s="138" t="s">
        <v>365</v>
      </c>
      <c r="H1664" s="138" t="s">
        <v>367</v>
      </c>
      <c r="I1664" s="139">
        <v>3913.34</v>
      </c>
      <c r="K1664" s="96" t="str">
        <f t="shared" si="61"/>
        <v>0011-1001-0022</v>
      </c>
      <c r="L1664" s="96" t="str">
        <f>VLOOKUP(K1664,COA!$A$3:$B$337,2,FALSE)</f>
        <v>V14</v>
      </c>
      <c r="M1664" s="96" t="str">
        <f t="shared" si="62"/>
        <v>V14</v>
      </c>
      <c r="N1664" s="96" t="str">
        <f>VLOOKUP(M1664,CAC!$A$2:$B$198,2,FALSE)</f>
        <v>HMOIFP</v>
      </c>
    </row>
    <row r="1665" spans="5:14" x14ac:dyDescent="0.25">
      <c r="E1665" s="136">
        <v>201702</v>
      </c>
      <c r="F1665" s="138" t="s">
        <v>349</v>
      </c>
      <c r="G1665" s="138" t="s">
        <v>369</v>
      </c>
      <c r="H1665" s="138" t="s">
        <v>764</v>
      </c>
      <c r="I1665" s="139">
        <v>5471</v>
      </c>
      <c r="K1665" s="96" t="str">
        <f t="shared" si="61"/>
        <v>0017-1009-0064</v>
      </c>
      <c r="L1665" s="96" t="str">
        <f>VLOOKUP(K1665,COA!$A$3:$B$337,2,FALSE)</f>
        <v>R15</v>
      </c>
      <c r="M1665" s="96" t="str">
        <f t="shared" si="62"/>
        <v>R15</v>
      </c>
      <c r="N1665" s="96" t="str">
        <f>VLOOKUP(M1665,CAC!$A$2:$B$198,2,FALSE)</f>
        <v>HMOMM</v>
      </c>
    </row>
    <row r="1666" spans="5:14" x14ac:dyDescent="0.25">
      <c r="E1666" s="136">
        <v>201710</v>
      </c>
      <c r="F1666" s="138" t="s">
        <v>563</v>
      </c>
      <c r="G1666" s="138" t="s">
        <v>365</v>
      </c>
      <c r="H1666" s="138" t="s">
        <v>344</v>
      </c>
      <c r="I1666" s="139">
        <v>0</v>
      </c>
      <c r="K1666" s="96" t="str">
        <f t="shared" si="61"/>
        <v>0003-1001-0012</v>
      </c>
      <c r="L1666" s="96" t="str">
        <f>VLOOKUP(K1666,COA!$A$3:$B$337,2,FALSE)</f>
        <v>V51</v>
      </c>
      <c r="M1666" s="96" t="str">
        <f t="shared" si="62"/>
        <v>V51</v>
      </c>
      <c r="N1666" s="96" t="str">
        <f>VLOOKUP(M1666,CAC!$A$2:$B$198,2,FALSE)</f>
        <v>PPOIFP</v>
      </c>
    </row>
    <row r="1667" spans="5:14" x14ac:dyDescent="0.25">
      <c r="E1667" s="136">
        <v>201704</v>
      </c>
      <c r="F1667" s="138" t="s">
        <v>345</v>
      </c>
      <c r="G1667" s="138" t="s">
        <v>348</v>
      </c>
      <c r="H1667" s="138" t="s">
        <v>349</v>
      </c>
      <c r="I1667" s="139">
        <v>26478.13</v>
      </c>
      <c r="K1667" s="96" t="str">
        <f t="shared" ref="K1667:K1730" si="63">F1667&amp;"-"&amp;G1667&amp;"-"&amp;H1667</f>
        <v>0011-1010-0017</v>
      </c>
      <c r="L1667" s="96" t="str">
        <f>VLOOKUP(K1667,COA!$A$3:$B$337,2,FALSE)</f>
        <v>S11</v>
      </c>
      <c r="M1667" s="96" t="str">
        <f t="shared" si="62"/>
        <v>S11</v>
      </c>
      <c r="N1667" s="96" t="str">
        <f>VLOOKUP(M1667,CAC!$A$2:$B$198,2,FALSE)</f>
        <v>HMOSG</v>
      </c>
    </row>
    <row r="1668" spans="5:14" x14ac:dyDescent="0.25">
      <c r="E1668" s="136">
        <v>201602</v>
      </c>
      <c r="F1668" s="138" t="s">
        <v>345</v>
      </c>
      <c r="G1668" s="138" t="s">
        <v>354</v>
      </c>
      <c r="H1668" s="138" t="s">
        <v>360</v>
      </c>
      <c r="I1668" s="139">
        <v>2166</v>
      </c>
      <c r="K1668" s="96" t="str">
        <f t="shared" si="63"/>
        <v>0011-1013-0048</v>
      </c>
      <c r="L1668" s="96" t="str">
        <f>VLOOKUP(K1668,COA!$A$3:$B$337,2,FALSE)</f>
        <v>N21</v>
      </c>
      <c r="M1668" s="96" t="str">
        <f t="shared" ref="M1668:M1731" si="64">IF(ISNA(L1668),"XXX",L1668)</f>
        <v>N21</v>
      </c>
      <c r="N1668" s="96" t="str">
        <f>VLOOKUP(M1668,CAC!$A$2:$B$198,2,FALSE)</f>
        <v>HMFLEX</v>
      </c>
    </row>
    <row r="1669" spans="5:14" x14ac:dyDescent="0.25">
      <c r="E1669" s="136">
        <v>201605</v>
      </c>
      <c r="F1669" s="138" t="s">
        <v>344</v>
      </c>
      <c r="G1669" s="138" t="s">
        <v>361</v>
      </c>
      <c r="H1669" s="138" t="s">
        <v>344</v>
      </c>
      <c r="I1669" s="139">
        <v>9554.6299999999992</v>
      </c>
      <c r="K1669" s="96" t="str">
        <f t="shared" si="63"/>
        <v>0012-1003-0012</v>
      </c>
      <c r="L1669" s="96" t="str">
        <f>VLOOKUP(K1669,COA!$A$3:$B$337,2,FALSE)</f>
        <v>N15</v>
      </c>
      <c r="M1669" s="96" t="str">
        <f t="shared" si="64"/>
        <v>N15</v>
      </c>
      <c r="N1669" s="96" t="str">
        <f>VLOOKUP(M1669,CAC!$A$2:$B$198,2,FALSE)</f>
        <v>HMOPMR</v>
      </c>
    </row>
    <row r="1670" spans="5:14" x14ac:dyDescent="0.25">
      <c r="E1670" s="136">
        <v>201712</v>
      </c>
      <c r="F1670" s="138" t="s">
        <v>563</v>
      </c>
      <c r="G1670" s="138" t="s">
        <v>365</v>
      </c>
      <c r="H1670" s="138" t="s">
        <v>366</v>
      </c>
      <c r="I1670" s="139">
        <v>0</v>
      </c>
      <c r="K1670" s="96" t="str">
        <f t="shared" si="63"/>
        <v>0003-1001-0021</v>
      </c>
      <c r="L1670" s="96" t="str">
        <f>VLOOKUP(K1670,COA!$A$3:$B$337,2,FALSE)</f>
        <v>V53</v>
      </c>
      <c r="M1670" s="96" t="str">
        <f t="shared" si="64"/>
        <v>V53</v>
      </c>
      <c r="N1670" s="96" t="str">
        <f>VLOOKUP(M1670,CAC!$A$2:$B$198,2,FALSE)</f>
        <v>PPOIFP</v>
      </c>
    </row>
    <row r="1671" spans="5:14" x14ac:dyDescent="0.25">
      <c r="E1671" s="136">
        <v>201502</v>
      </c>
      <c r="F1671" s="138" t="s">
        <v>345</v>
      </c>
      <c r="G1671" s="138" t="s">
        <v>359</v>
      </c>
      <c r="H1671" s="138" t="s">
        <v>344</v>
      </c>
      <c r="I1671" s="139">
        <v>1444.8</v>
      </c>
      <c r="K1671" s="96" t="str">
        <f t="shared" si="63"/>
        <v>0011-1005-0012</v>
      </c>
      <c r="L1671" s="96" t="str">
        <f>VLOOKUP(K1671,COA!$A$3:$B$337,2,FALSE)</f>
        <v>N11</v>
      </c>
      <c r="M1671" s="96" t="str">
        <f t="shared" si="64"/>
        <v>N11</v>
      </c>
      <c r="N1671" s="96" t="str">
        <f>VLOOKUP(M1671,CAC!$A$2:$B$198,2,FALSE)</f>
        <v>HMOLG</v>
      </c>
    </row>
    <row r="1672" spans="5:14" x14ac:dyDescent="0.25">
      <c r="E1672" s="136">
        <v>201604</v>
      </c>
      <c r="F1672" s="138" t="s">
        <v>345</v>
      </c>
      <c r="G1672" s="138" t="s">
        <v>352</v>
      </c>
      <c r="H1672" s="138" t="s">
        <v>653</v>
      </c>
      <c r="I1672" s="139">
        <v>0</v>
      </c>
      <c r="K1672" s="96" t="str">
        <f t="shared" si="63"/>
        <v>0011-1004-0047</v>
      </c>
      <c r="L1672" s="96" t="str">
        <f>VLOOKUP(K1672,COA!$A$3:$B$337,2,FALSE)</f>
        <v>L17</v>
      </c>
      <c r="M1672" s="96" t="str">
        <f t="shared" si="64"/>
        <v>L17</v>
      </c>
      <c r="N1672" s="96" t="str">
        <f>VLOOKUP(M1672,CAC!$A$2:$B$198,2,FALSE)</f>
        <v>HMOLG</v>
      </c>
    </row>
    <row r="1673" spans="5:14" x14ac:dyDescent="0.25">
      <c r="E1673" s="136">
        <v>201603</v>
      </c>
      <c r="F1673" s="138" t="s">
        <v>344</v>
      </c>
      <c r="G1673" s="138" t="s">
        <v>352</v>
      </c>
      <c r="H1673" s="138" t="s">
        <v>360</v>
      </c>
      <c r="I1673" s="139">
        <v>230</v>
      </c>
      <c r="K1673" s="96" t="str">
        <f t="shared" si="63"/>
        <v>0012-1004-0048</v>
      </c>
      <c r="L1673" s="96" t="str">
        <f>VLOOKUP(K1673,COA!$A$3:$B$337,2,FALSE)</f>
        <v>L22</v>
      </c>
      <c r="M1673" s="96" t="str">
        <f t="shared" si="64"/>
        <v>L22</v>
      </c>
      <c r="N1673" s="96" t="str">
        <f>VLOOKUP(M1673,CAC!$A$2:$B$198,2,FALSE)</f>
        <v>HMFLEX</v>
      </c>
    </row>
    <row r="1674" spans="5:14" x14ac:dyDescent="0.25">
      <c r="E1674" s="136">
        <v>201708</v>
      </c>
      <c r="F1674" s="138" t="s">
        <v>344</v>
      </c>
      <c r="G1674" s="138" t="s">
        <v>359</v>
      </c>
      <c r="H1674" s="138" t="s">
        <v>344</v>
      </c>
      <c r="I1674" s="139">
        <v>91</v>
      </c>
      <c r="K1674" s="96" t="str">
        <f t="shared" si="63"/>
        <v>0012-1005-0012</v>
      </c>
      <c r="L1674" s="96" t="str">
        <f>VLOOKUP(K1674,COA!$A$3:$B$337,2,FALSE)</f>
        <v>N13</v>
      </c>
      <c r="M1674" s="96" t="str">
        <f t="shared" si="64"/>
        <v>N13</v>
      </c>
      <c r="N1674" s="96" t="str">
        <f>VLOOKUP(M1674,CAC!$A$2:$B$198,2,FALSE)</f>
        <v>HMOLG</v>
      </c>
    </row>
    <row r="1675" spans="5:14" x14ac:dyDescent="0.25">
      <c r="E1675" s="136">
        <v>201611</v>
      </c>
      <c r="F1675" s="138" t="s">
        <v>746</v>
      </c>
      <c r="G1675" s="138" t="s">
        <v>350</v>
      </c>
      <c r="H1675" s="138" t="s">
        <v>764</v>
      </c>
      <c r="I1675" s="139">
        <v>11</v>
      </c>
      <c r="K1675" s="96" t="str">
        <f t="shared" si="63"/>
        <v>0016-1012-0064</v>
      </c>
      <c r="L1675" s="96" t="str">
        <f>VLOOKUP(K1675,COA!$A$3:$B$337,2,FALSE)</f>
        <v>R25</v>
      </c>
      <c r="M1675" s="96" t="str">
        <f t="shared" si="64"/>
        <v>R25</v>
      </c>
      <c r="N1675" s="96" t="str">
        <f>VLOOKUP(M1675,CAC!$A$2:$B$198,2,FALSE)</f>
        <v>HMOMG</v>
      </c>
    </row>
    <row r="1676" spans="5:14" x14ac:dyDescent="0.25">
      <c r="E1676" s="136">
        <v>201702</v>
      </c>
      <c r="F1676" s="138" t="s">
        <v>345</v>
      </c>
      <c r="G1676" s="138" t="s">
        <v>362</v>
      </c>
      <c r="H1676" s="138" t="s">
        <v>364</v>
      </c>
      <c r="I1676" s="139">
        <v>48114.18</v>
      </c>
      <c r="K1676" s="96" t="str">
        <f t="shared" si="63"/>
        <v>0011-1008-0037</v>
      </c>
      <c r="L1676" s="96" t="str">
        <f>VLOOKUP(K1676,COA!$A$3:$B$337,2,FALSE)</f>
        <v>P12</v>
      </c>
      <c r="M1676" s="96" t="str">
        <f t="shared" si="64"/>
        <v>P12</v>
      </c>
      <c r="N1676" s="96" t="str">
        <f>VLOOKUP(M1676,CAC!$A$2:$B$198,2,FALSE)</f>
        <v>HMOPERA</v>
      </c>
    </row>
    <row r="1677" spans="5:14" x14ac:dyDescent="0.25">
      <c r="E1677" s="136">
        <v>201705</v>
      </c>
      <c r="F1677" s="138" t="s">
        <v>746</v>
      </c>
      <c r="G1677" s="138" t="s">
        <v>356</v>
      </c>
      <c r="H1677" s="138" t="s">
        <v>344</v>
      </c>
      <c r="I1677" s="139">
        <v>138</v>
      </c>
      <c r="K1677" s="96" t="str">
        <f t="shared" si="63"/>
        <v>0016-1002-0012</v>
      </c>
      <c r="L1677" s="96" t="str">
        <f>VLOOKUP(K1677,COA!$A$3:$B$337,2,FALSE)</f>
        <v>R18</v>
      </c>
      <c r="M1677" s="96" t="str">
        <f t="shared" si="64"/>
        <v>R18</v>
      </c>
      <c r="N1677" s="96" t="str">
        <f>VLOOKUP(M1677,CAC!$A$2:$B$198,2,FALSE)</f>
        <v>HMOMG</v>
      </c>
    </row>
    <row r="1678" spans="5:14" x14ac:dyDescent="0.25">
      <c r="E1678" s="136">
        <v>201604</v>
      </c>
      <c r="F1678" s="138" t="s">
        <v>746</v>
      </c>
      <c r="G1678" s="138" t="s">
        <v>350</v>
      </c>
      <c r="H1678" s="138" t="s">
        <v>764</v>
      </c>
      <c r="I1678" s="139">
        <v>9</v>
      </c>
      <c r="K1678" s="96" t="str">
        <f t="shared" si="63"/>
        <v>0016-1012-0064</v>
      </c>
      <c r="L1678" s="96" t="str">
        <f>VLOOKUP(K1678,COA!$A$3:$B$337,2,FALSE)</f>
        <v>R25</v>
      </c>
      <c r="M1678" s="96" t="str">
        <f t="shared" si="64"/>
        <v>R25</v>
      </c>
      <c r="N1678" s="96" t="str">
        <f>VLOOKUP(M1678,CAC!$A$2:$B$198,2,FALSE)</f>
        <v>HMOMG</v>
      </c>
    </row>
    <row r="1679" spans="5:14" x14ac:dyDescent="0.25">
      <c r="E1679" s="136">
        <v>201505</v>
      </c>
      <c r="F1679" s="138" t="s">
        <v>413</v>
      </c>
      <c r="G1679" s="138" t="s">
        <v>348</v>
      </c>
      <c r="H1679" s="138" t="s">
        <v>349</v>
      </c>
      <c r="I1679" s="139">
        <v>0</v>
      </c>
      <c r="K1679" s="96" t="str">
        <f t="shared" si="63"/>
        <v>0008-1010-0017</v>
      </c>
      <c r="L1679" s="96" t="str">
        <f>VLOOKUP(K1679,COA!$A$3:$B$337,2,FALSE)</f>
        <v>C94</v>
      </c>
      <c r="M1679" s="96" t="str">
        <f t="shared" si="64"/>
        <v>C94</v>
      </c>
      <c r="N1679" s="96" t="str">
        <f>VLOOKUP(M1679,CAC!$A$2:$B$198,2,FALSE)</f>
        <v>DOISG</v>
      </c>
    </row>
    <row r="1680" spans="5:14" x14ac:dyDescent="0.25">
      <c r="E1680" s="136">
        <v>201602</v>
      </c>
      <c r="F1680" s="138" t="s">
        <v>506</v>
      </c>
      <c r="G1680" s="138" t="s">
        <v>350</v>
      </c>
      <c r="H1680" s="138" t="s">
        <v>592</v>
      </c>
      <c r="I1680" s="139">
        <v>0</v>
      </c>
      <c r="K1680" s="96" t="str">
        <f t="shared" si="63"/>
        <v>0013-1012-0035</v>
      </c>
      <c r="L1680" s="96" t="str">
        <f>VLOOKUP(K1680,COA!$A$3:$B$337,2,FALSE)</f>
        <v>K41</v>
      </c>
      <c r="M1680" s="96" t="str">
        <f t="shared" si="64"/>
        <v>K41</v>
      </c>
      <c r="N1680" s="96" t="e">
        <f>VLOOKUP(M1680,CAC!$A$2:$B$198,2,FALSE)</f>
        <v>#N/A</v>
      </c>
    </row>
    <row r="1681" spans="5:14" x14ac:dyDescent="0.25">
      <c r="E1681" s="136">
        <v>201611</v>
      </c>
      <c r="F1681" s="138" t="s">
        <v>563</v>
      </c>
      <c r="G1681" s="138" t="s">
        <v>365</v>
      </c>
      <c r="H1681" s="138" t="s">
        <v>344</v>
      </c>
      <c r="I1681" s="139">
        <v>0</v>
      </c>
      <c r="K1681" s="96" t="str">
        <f t="shared" si="63"/>
        <v>0003-1001-0012</v>
      </c>
      <c r="L1681" s="96" t="str">
        <f>VLOOKUP(K1681,COA!$A$3:$B$337,2,FALSE)</f>
        <v>V51</v>
      </c>
      <c r="M1681" s="96" t="str">
        <f t="shared" si="64"/>
        <v>V51</v>
      </c>
      <c r="N1681" s="96" t="str">
        <f>VLOOKUP(M1681,CAC!$A$2:$B$198,2,FALSE)</f>
        <v>PPOIFP</v>
      </c>
    </row>
    <row r="1682" spans="5:14" x14ac:dyDescent="0.25">
      <c r="E1682" s="136">
        <v>201502</v>
      </c>
      <c r="F1682" s="138" t="s">
        <v>342</v>
      </c>
      <c r="G1682" s="138" t="s">
        <v>343</v>
      </c>
      <c r="H1682" s="138" t="s">
        <v>344</v>
      </c>
      <c r="I1682" s="139">
        <v>6625.3</v>
      </c>
      <c r="K1682" s="96" t="str">
        <f t="shared" si="63"/>
        <v>0031-1000-0012</v>
      </c>
      <c r="L1682" s="96" t="str">
        <f>VLOOKUP(K1682,COA!$A$3:$B$337,2,FALSE)</f>
        <v>F27</v>
      </c>
      <c r="M1682" s="96" t="str">
        <f t="shared" si="64"/>
        <v>F27</v>
      </c>
      <c r="N1682" s="96" t="str">
        <f>VLOOKUP(M1682,CAC!$A$2:$B$198,2,FALSE)</f>
        <v>HMOFEP</v>
      </c>
    </row>
    <row r="1683" spans="5:14" x14ac:dyDescent="0.25">
      <c r="E1683" s="136">
        <v>201611</v>
      </c>
      <c r="F1683" s="138" t="s">
        <v>345</v>
      </c>
      <c r="G1683" s="138" t="s">
        <v>350</v>
      </c>
      <c r="H1683" s="138" t="s">
        <v>360</v>
      </c>
      <c r="I1683" s="139">
        <v>4024.03</v>
      </c>
      <c r="K1683" s="96" t="str">
        <f t="shared" si="63"/>
        <v>0011-1012-0048</v>
      </c>
      <c r="L1683" s="96" t="str">
        <f>VLOOKUP(K1683,COA!$A$3:$B$337,2,FALSE)</f>
        <v>K21</v>
      </c>
      <c r="M1683" s="96" t="str">
        <f t="shared" si="64"/>
        <v>K21</v>
      </c>
      <c r="N1683" s="96" t="str">
        <f>VLOOKUP(M1683,CAC!$A$2:$B$198,2,FALSE)</f>
        <v>HMFLEX</v>
      </c>
    </row>
    <row r="1684" spans="5:14" x14ac:dyDescent="0.25">
      <c r="E1684" s="136">
        <v>201701</v>
      </c>
      <c r="F1684" s="138" t="s">
        <v>405</v>
      </c>
      <c r="G1684" s="138" t="s">
        <v>362</v>
      </c>
      <c r="H1684" s="138" t="s">
        <v>342</v>
      </c>
      <c r="I1684" s="139">
        <v>0</v>
      </c>
      <c r="K1684" s="96" t="str">
        <f t="shared" si="63"/>
        <v>0019-1008-0031</v>
      </c>
      <c r="L1684" s="96" t="str">
        <f>VLOOKUP(K1684,COA!$A$3:$B$337,2,FALSE)</f>
        <v>P53</v>
      </c>
      <c r="M1684" s="96" t="str">
        <f t="shared" si="64"/>
        <v>P53</v>
      </c>
      <c r="N1684" s="96" t="str">
        <f>VLOOKUP(M1684,CAC!$A$2:$B$198,2,FALSE)</f>
        <v>HMOPERA</v>
      </c>
    </row>
    <row r="1685" spans="5:14" x14ac:dyDescent="0.25">
      <c r="E1685" s="136">
        <v>201704</v>
      </c>
      <c r="F1685" s="138" t="s">
        <v>552</v>
      </c>
      <c r="G1685" s="138" t="s">
        <v>356</v>
      </c>
      <c r="H1685" s="138" t="s">
        <v>672</v>
      </c>
      <c r="I1685" s="139">
        <v>0</v>
      </c>
      <c r="K1685" s="96" t="str">
        <f t="shared" si="63"/>
        <v>0027-1002-0058</v>
      </c>
      <c r="L1685" s="96" t="str">
        <f>VLOOKUP(K1685,COA!$A$3:$B$337,2,FALSE)</f>
        <v>L45</v>
      </c>
      <c r="M1685" s="96" t="str">
        <f t="shared" si="64"/>
        <v>L45</v>
      </c>
      <c r="N1685" s="96" t="e">
        <f>VLOOKUP(M1685,CAC!$A$2:$B$198,2,FALSE)</f>
        <v>#N/A</v>
      </c>
    </row>
    <row r="1686" spans="5:14" x14ac:dyDescent="0.25">
      <c r="E1686" s="136">
        <v>201706</v>
      </c>
      <c r="F1686" s="138" t="s">
        <v>344</v>
      </c>
      <c r="G1686" s="138" t="s">
        <v>352</v>
      </c>
      <c r="H1686" s="138" t="s">
        <v>360</v>
      </c>
      <c r="I1686" s="139">
        <v>218</v>
      </c>
      <c r="K1686" s="96" t="str">
        <f t="shared" si="63"/>
        <v>0012-1004-0048</v>
      </c>
      <c r="L1686" s="96" t="str">
        <f>VLOOKUP(K1686,COA!$A$3:$B$337,2,FALSE)</f>
        <v>L22</v>
      </c>
      <c r="M1686" s="96" t="str">
        <f t="shared" si="64"/>
        <v>L22</v>
      </c>
      <c r="N1686" s="96" t="str">
        <f>VLOOKUP(M1686,CAC!$A$2:$B$198,2,FALSE)</f>
        <v>HMFLEX</v>
      </c>
    </row>
    <row r="1687" spans="5:14" x14ac:dyDescent="0.25">
      <c r="E1687" s="136">
        <v>201706</v>
      </c>
      <c r="F1687" s="138" t="s">
        <v>344</v>
      </c>
      <c r="G1687" s="138" t="s">
        <v>352</v>
      </c>
      <c r="H1687" s="138" t="s">
        <v>344</v>
      </c>
      <c r="I1687" s="139">
        <v>890</v>
      </c>
      <c r="K1687" s="96" t="str">
        <f t="shared" si="63"/>
        <v>0012-1004-0012</v>
      </c>
      <c r="L1687" s="96" t="str">
        <f>VLOOKUP(K1687,COA!$A$3:$B$337,2,FALSE)</f>
        <v>L12</v>
      </c>
      <c r="M1687" s="96" t="str">
        <f t="shared" si="64"/>
        <v>L12</v>
      </c>
      <c r="N1687" s="96" t="str">
        <f>VLOOKUP(M1687,CAC!$A$2:$B$198,2,FALSE)</f>
        <v>HMOLG</v>
      </c>
    </row>
    <row r="1688" spans="5:14" x14ac:dyDescent="0.25">
      <c r="E1688" s="136">
        <v>201503</v>
      </c>
      <c r="F1688" s="138" t="s">
        <v>746</v>
      </c>
      <c r="G1688" s="138" t="s">
        <v>352</v>
      </c>
      <c r="H1688" s="138" t="s">
        <v>344</v>
      </c>
      <c r="I1688" s="139">
        <v>0</v>
      </c>
      <c r="K1688" s="96" t="str">
        <f t="shared" si="63"/>
        <v>0016-1004-0012</v>
      </c>
      <c r="L1688" s="96" t="str">
        <f>VLOOKUP(K1688,COA!$A$3:$B$337,2,FALSE)</f>
        <v>R20</v>
      </c>
      <c r="M1688" s="96" t="str">
        <f t="shared" si="64"/>
        <v>R20</v>
      </c>
      <c r="N1688" s="96" t="str">
        <f>VLOOKUP(M1688,CAC!$A$2:$B$198,2,FALSE)</f>
        <v>HMOMG</v>
      </c>
    </row>
    <row r="1689" spans="5:14" x14ac:dyDescent="0.25">
      <c r="E1689" s="136">
        <v>201602</v>
      </c>
      <c r="F1689" s="138" t="s">
        <v>344</v>
      </c>
      <c r="G1689" s="138" t="s">
        <v>352</v>
      </c>
      <c r="H1689" s="138" t="s">
        <v>344</v>
      </c>
      <c r="I1689" s="139">
        <v>425</v>
      </c>
      <c r="K1689" s="96" t="str">
        <f t="shared" si="63"/>
        <v>0012-1004-0012</v>
      </c>
      <c r="L1689" s="96" t="str">
        <f>VLOOKUP(K1689,COA!$A$3:$B$337,2,FALSE)</f>
        <v>L12</v>
      </c>
      <c r="M1689" s="96" t="str">
        <f t="shared" si="64"/>
        <v>L12</v>
      </c>
      <c r="N1689" s="96" t="str">
        <f>VLOOKUP(M1689,CAC!$A$2:$B$198,2,FALSE)</f>
        <v>HMOLG</v>
      </c>
    </row>
    <row r="1690" spans="5:14" x14ac:dyDescent="0.25">
      <c r="E1690" s="136">
        <v>201707</v>
      </c>
      <c r="F1690" s="138" t="s">
        <v>746</v>
      </c>
      <c r="G1690" s="138" t="s">
        <v>350</v>
      </c>
      <c r="H1690" s="138" t="s">
        <v>344</v>
      </c>
      <c r="I1690" s="139">
        <v>31</v>
      </c>
      <c r="K1690" s="96" t="str">
        <f t="shared" si="63"/>
        <v>0016-1012-0012</v>
      </c>
      <c r="L1690" s="96" t="str">
        <f>VLOOKUP(K1690,COA!$A$3:$B$337,2,FALSE)</f>
        <v>R19</v>
      </c>
      <c r="M1690" s="96" t="str">
        <f t="shared" si="64"/>
        <v>R19</v>
      </c>
      <c r="N1690" s="96" t="str">
        <f>VLOOKUP(M1690,CAC!$A$2:$B$198,2,FALSE)</f>
        <v>HMOMG</v>
      </c>
    </row>
    <row r="1691" spans="5:14" x14ac:dyDescent="0.25">
      <c r="E1691" s="136">
        <v>201505</v>
      </c>
      <c r="F1691" s="138" t="s">
        <v>563</v>
      </c>
      <c r="G1691" s="138" t="s">
        <v>351</v>
      </c>
      <c r="H1691" s="138" t="s">
        <v>349</v>
      </c>
      <c r="I1691" s="139">
        <v>0</v>
      </c>
      <c r="K1691" s="96" t="str">
        <f t="shared" si="63"/>
        <v>0003-0000-0017</v>
      </c>
      <c r="L1691" s="96" t="e">
        <f>VLOOKUP(K1691,COA!$A$3:$B$337,2,FALSE)</f>
        <v>#N/A</v>
      </c>
      <c r="M1691" s="96" t="str">
        <f t="shared" si="64"/>
        <v>XXX</v>
      </c>
      <c r="N1691" s="96" t="str">
        <f>VLOOKUP(M1691,CAC!$A$2:$B$198,2,FALSE)</f>
        <v>XXX</v>
      </c>
    </row>
    <row r="1692" spans="5:14" x14ac:dyDescent="0.25">
      <c r="E1692" s="136">
        <v>201610</v>
      </c>
      <c r="F1692" s="138" t="s">
        <v>345</v>
      </c>
      <c r="G1692" s="138" t="s">
        <v>346</v>
      </c>
      <c r="H1692" s="138" t="s">
        <v>344</v>
      </c>
      <c r="I1692" s="139">
        <v>0</v>
      </c>
      <c r="K1692" s="96" t="str">
        <f t="shared" si="63"/>
        <v>0011-1014-0012</v>
      </c>
      <c r="L1692" s="96" t="e">
        <f>VLOOKUP(K1692,COA!$A$3:$B$337,2,FALSE)</f>
        <v>#N/A</v>
      </c>
      <c r="M1692" s="96" t="str">
        <f t="shared" si="64"/>
        <v>XXX</v>
      </c>
      <c r="N1692" s="96" t="str">
        <f>VLOOKUP(M1692,CAC!$A$2:$B$198,2,FALSE)</f>
        <v>XXX</v>
      </c>
    </row>
    <row r="1693" spans="5:14" x14ac:dyDescent="0.25">
      <c r="E1693" s="136">
        <v>201605</v>
      </c>
      <c r="F1693" s="138" t="s">
        <v>345</v>
      </c>
      <c r="G1693" s="138" t="s">
        <v>350</v>
      </c>
      <c r="H1693" s="138" t="s">
        <v>344</v>
      </c>
      <c r="I1693" s="139">
        <v>14130.22</v>
      </c>
      <c r="K1693" s="96" t="str">
        <f t="shared" si="63"/>
        <v>0011-1012-0012</v>
      </c>
      <c r="L1693" s="96" t="str">
        <f>VLOOKUP(K1693,COA!$A$3:$B$337,2,FALSE)</f>
        <v>K11</v>
      </c>
      <c r="M1693" s="96" t="str">
        <f t="shared" si="64"/>
        <v>K11</v>
      </c>
      <c r="N1693" s="96" t="str">
        <f>VLOOKUP(M1693,CAC!$A$2:$B$198,2,FALSE)</f>
        <v>HMOPMR</v>
      </c>
    </row>
    <row r="1694" spans="5:14" x14ac:dyDescent="0.25">
      <c r="E1694" s="136">
        <v>201609</v>
      </c>
      <c r="F1694" s="138" t="s">
        <v>563</v>
      </c>
      <c r="G1694" s="138" t="s">
        <v>361</v>
      </c>
      <c r="H1694" s="138" t="s">
        <v>344</v>
      </c>
      <c r="I1694" s="139">
        <v>0</v>
      </c>
      <c r="K1694" s="96" t="str">
        <f t="shared" si="63"/>
        <v>0003-1003-0012</v>
      </c>
      <c r="L1694" s="96" t="str">
        <f>VLOOKUP(K1694,COA!$A$3:$B$337,2,FALSE)</f>
        <v>N61</v>
      </c>
      <c r="M1694" s="96" t="str">
        <f t="shared" si="64"/>
        <v>N61</v>
      </c>
      <c r="N1694" s="96" t="str">
        <f>VLOOKUP(M1694,CAC!$A$2:$B$198,2,FALSE)</f>
        <v>PPOPMR</v>
      </c>
    </row>
    <row r="1695" spans="5:14" x14ac:dyDescent="0.25">
      <c r="E1695" s="136">
        <v>201606</v>
      </c>
      <c r="F1695" s="138" t="s">
        <v>345</v>
      </c>
      <c r="G1695" s="138" t="s">
        <v>355</v>
      </c>
      <c r="H1695" s="138" t="s">
        <v>344</v>
      </c>
      <c r="I1695" s="139">
        <v>23002.71</v>
      </c>
      <c r="K1695" s="96" t="str">
        <f t="shared" si="63"/>
        <v>0011-1006-0012</v>
      </c>
      <c r="L1695" s="96" t="str">
        <f>VLOOKUP(K1695,COA!$A$3:$B$337,2,FALSE)</f>
        <v>L13</v>
      </c>
      <c r="M1695" s="96" t="str">
        <f t="shared" si="64"/>
        <v>L13</v>
      </c>
      <c r="N1695" s="96" t="str">
        <f>VLOOKUP(M1695,CAC!$A$2:$B$198,2,FALSE)</f>
        <v>HMOLG</v>
      </c>
    </row>
    <row r="1696" spans="5:14" x14ac:dyDescent="0.25">
      <c r="E1696" s="136">
        <v>201604</v>
      </c>
      <c r="F1696" s="138" t="s">
        <v>345</v>
      </c>
      <c r="G1696" s="138" t="s">
        <v>356</v>
      </c>
      <c r="H1696" s="138" t="s">
        <v>344</v>
      </c>
      <c r="I1696" s="139">
        <v>15713</v>
      </c>
      <c r="K1696" s="96" t="str">
        <f t="shared" si="63"/>
        <v>0011-1002-0012</v>
      </c>
      <c r="L1696" s="96" t="str">
        <f>VLOOKUP(K1696,COA!$A$3:$B$337,2,FALSE)</f>
        <v>F20</v>
      </c>
      <c r="M1696" s="96" t="str">
        <f t="shared" si="64"/>
        <v>F20</v>
      </c>
      <c r="N1696" s="96" t="str">
        <f>VLOOKUP(M1696,CAC!$A$2:$B$198,2,FALSE)</f>
        <v>HMOPMR</v>
      </c>
    </row>
    <row r="1697" spans="5:14" x14ac:dyDescent="0.25">
      <c r="E1697" s="136">
        <v>201606</v>
      </c>
      <c r="F1697" s="138" t="s">
        <v>413</v>
      </c>
      <c r="G1697" s="138" t="s">
        <v>356</v>
      </c>
      <c r="H1697" s="138" t="s">
        <v>344</v>
      </c>
      <c r="I1697" s="139">
        <v>0</v>
      </c>
      <c r="K1697" s="96" t="str">
        <f t="shared" si="63"/>
        <v>0008-1002-0012</v>
      </c>
      <c r="L1697" s="96" t="str">
        <f>VLOOKUP(K1697,COA!$A$3:$B$337,2,FALSE)</f>
        <v>C74</v>
      </c>
      <c r="M1697" s="96" t="str">
        <f t="shared" si="64"/>
        <v>C74</v>
      </c>
      <c r="N1697" s="96" t="str">
        <f>VLOOKUP(M1697,CAC!$A$2:$B$198,2,FALSE)</f>
        <v>DOILG</v>
      </c>
    </row>
    <row r="1698" spans="5:14" x14ac:dyDescent="0.25">
      <c r="E1698" s="136">
        <v>201712</v>
      </c>
      <c r="F1698" s="138" t="s">
        <v>563</v>
      </c>
      <c r="G1698" s="138" t="s">
        <v>354</v>
      </c>
      <c r="H1698" s="138" t="s">
        <v>626</v>
      </c>
      <c r="I1698" s="139">
        <v>0</v>
      </c>
      <c r="K1698" s="96" t="str">
        <f t="shared" si="63"/>
        <v>0003-1013-0057</v>
      </c>
      <c r="L1698" s="96" t="str">
        <f>VLOOKUP(K1698,COA!$A$3:$B$337,2,FALSE)</f>
        <v>N55</v>
      </c>
      <c r="M1698" s="96" t="str">
        <f t="shared" si="64"/>
        <v>N55</v>
      </c>
      <c r="N1698" s="96" t="str">
        <f>VLOOKUP(M1698,CAC!$A$2:$B$198,2,FALSE)</f>
        <v>PPOPMR</v>
      </c>
    </row>
    <row r="1699" spans="5:14" x14ac:dyDescent="0.25">
      <c r="E1699" s="136">
        <v>201702</v>
      </c>
      <c r="F1699" s="138" t="s">
        <v>563</v>
      </c>
      <c r="G1699" s="138" t="s">
        <v>352</v>
      </c>
      <c r="H1699" s="138" t="s">
        <v>626</v>
      </c>
      <c r="I1699" s="139">
        <v>0</v>
      </c>
      <c r="K1699" s="96" t="str">
        <f t="shared" si="63"/>
        <v>0003-1004-0057</v>
      </c>
      <c r="L1699" s="96" t="e">
        <f>VLOOKUP(K1699,COA!$A$3:$B$337,2,FALSE)</f>
        <v>#N/A</v>
      </c>
      <c r="M1699" s="96" t="str">
        <f t="shared" si="64"/>
        <v>XXX</v>
      </c>
      <c r="N1699" s="96" t="str">
        <f>VLOOKUP(M1699,CAC!$A$2:$B$198,2,FALSE)</f>
        <v>XXX</v>
      </c>
    </row>
    <row r="1700" spans="5:14" x14ac:dyDescent="0.25">
      <c r="E1700" s="136">
        <v>201703</v>
      </c>
      <c r="F1700" s="138" t="s">
        <v>345</v>
      </c>
      <c r="G1700" s="138" t="s">
        <v>355</v>
      </c>
      <c r="H1700" s="138" t="s">
        <v>344</v>
      </c>
      <c r="I1700" s="139">
        <v>15718.03</v>
      </c>
      <c r="K1700" s="96" t="str">
        <f t="shared" si="63"/>
        <v>0011-1006-0012</v>
      </c>
      <c r="L1700" s="96" t="str">
        <f>VLOOKUP(K1700,COA!$A$3:$B$337,2,FALSE)</f>
        <v>L13</v>
      </c>
      <c r="M1700" s="96" t="str">
        <f t="shared" si="64"/>
        <v>L13</v>
      </c>
      <c r="N1700" s="96" t="str">
        <f>VLOOKUP(M1700,CAC!$A$2:$B$198,2,FALSE)</f>
        <v>HMOLG</v>
      </c>
    </row>
    <row r="1701" spans="5:14" x14ac:dyDescent="0.25">
      <c r="E1701" s="136">
        <v>201707</v>
      </c>
      <c r="F1701" s="138" t="s">
        <v>506</v>
      </c>
      <c r="G1701" s="138" t="s">
        <v>354</v>
      </c>
      <c r="H1701" s="138" t="s">
        <v>592</v>
      </c>
      <c r="I1701" s="139">
        <v>0</v>
      </c>
      <c r="K1701" s="96" t="str">
        <f t="shared" si="63"/>
        <v>0013-1013-0035</v>
      </c>
      <c r="L1701" s="96" t="str">
        <f>VLOOKUP(K1701,COA!$A$3:$B$337,2,FALSE)</f>
        <v>N44</v>
      </c>
      <c r="M1701" s="96" t="str">
        <f t="shared" si="64"/>
        <v>N44</v>
      </c>
      <c r="N1701" s="96" t="e">
        <f>VLOOKUP(M1701,CAC!$A$2:$B$198,2,FALSE)</f>
        <v>#N/A</v>
      </c>
    </row>
    <row r="1702" spans="5:14" x14ac:dyDescent="0.25">
      <c r="E1702" s="136">
        <v>201604</v>
      </c>
      <c r="F1702" s="138" t="s">
        <v>563</v>
      </c>
      <c r="G1702" s="138" t="s">
        <v>365</v>
      </c>
      <c r="H1702" s="138" t="s">
        <v>344</v>
      </c>
      <c r="I1702" s="139">
        <v>0</v>
      </c>
      <c r="K1702" s="96" t="str">
        <f t="shared" si="63"/>
        <v>0003-1001-0012</v>
      </c>
      <c r="L1702" s="96" t="str">
        <f>VLOOKUP(K1702,COA!$A$3:$B$337,2,FALSE)</f>
        <v>V51</v>
      </c>
      <c r="M1702" s="96" t="str">
        <f t="shared" si="64"/>
        <v>V51</v>
      </c>
      <c r="N1702" s="96" t="str">
        <f>VLOOKUP(M1702,CAC!$A$2:$B$198,2,FALSE)</f>
        <v>PPOIFP</v>
      </c>
    </row>
    <row r="1703" spans="5:14" x14ac:dyDescent="0.25">
      <c r="E1703" s="136">
        <v>201511</v>
      </c>
      <c r="F1703" s="138" t="s">
        <v>524</v>
      </c>
      <c r="G1703" s="138" t="s">
        <v>352</v>
      </c>
      <c r="H1703" s="138" t="s">
        <v>672</v>
      </c>
      <c r="I1703" s="139">
        <v>0</v>
      </c>
      <c r="K1703" s="96" t="str">
        <f t="shared" si="63"/>
        <v>0025-1004-0058</v>
      </c>
      <c r="L1703" s="96" t="str">
        <f>VLOOKUP(K1703,COA!$A$3:$B$337,2,FALSE)</f>
        <v>L44</v>
      </c>
      <c r="M1703" s="96" t="str">
        <f t="shared" si="64"/>
        <v>L44</v>
      </c>
      <c r="N1703" s="96" t="e">
        <f>VLOOKUP(M1703,CAC!$A$2:$B$198,2,FALSE)</f>
        <v>#N/A</v>
      </c>
    </row>
    <row r="1704" spans="5:14" x14ac:dyDescent="0.25">
      <c r="E1704" s="136">
        <v>201709</v>
      </c>
      <c r="F1704" s="138" t="s">
        <v>344</v>
      </c>
      <c r="G1704" s="138" t="s">
        <v>350</v>
      </c>
      <c r="H1704" s="138" t="s">
        <v>344</v>
      </c>
      <c r="I1704" s="139">
        <v>28</v>
      </c>
      <c r="K1704" s="96" t="str">
        <f t="shared" si="63"/>
        <v>0012-1012-0012</v>
      </c>
      <c r="L1704" s="96" t="str">
        <f>VLOOKUP(K1704,COA!$A$3:$B$337,2,FALSE)</f>
        <v>K12</v>
      </c>
      <c r="M1704" s="96" t="str">
        <f t="shared" si="64"/>
        <v>K12</v>
      </c>
      <c r="N1704" s="96" t="str">
        <f>VLOOKUP(M1704,CAC!$A$2:$B$198,2,FALSE)</f>
        <v>HMOPMR</v>
      </c>
    </row>
    <row r="1705" spans="5:14" x14ac:dyDescent="0.25">
      <c r="E1705" s="136">
        <v>201507</v>
      </c>
      <c r="F1705" s="138" t="s">
        <v>413</v>
      </c>
      <c r="G1705" s="138" t="s">
        <v>359</v>
      </c>
      <c r="H1705" s="138" t="s">
        <v>344</v>
      </c>
      <c r="I1705" s="139">
        <v>0</v>
      </c>
      <c r="K1705" s="96" t="str">
        <f t="shared" si="63"/>
        <v>0008-1005-0012</v>
      </c>
      <c r="L1705" s="96" t="str">
        <f>VLOOKUP(K1705,COA!$A$3:$B$337,2,FALSE)</f>
        <v>C73</v>
      </c>
      <c r="M1705" s="96" t="str">
        <f t="shared" si="64"/>
        <v>C73</v>
      </c>
      <c r="N1705" s="96" t="str">
        <f>VLOOKUP(M1705,CAC!$A$2:$B$198,2,FALSE)</f>
        <v>DOILG</v>
      </c>
    </row>
    <row r="1706" spans="5:14" x14ac:dyDescent="0.25">
      <c r="E1706" s="136">
        <v>201612</v>
      </c>
      <c r="F1706" s="138" t="s">
        <v>563</v>
      </c>
      <c r="G1706" s="138" t="s">
        <v>350</v>
      </c>
      <c r="H1706" s="138" t="s">
        <v>626</v>
      </c>
      <c r="I1706" s="139">
        <v>0</v>
      </c>
      <c r="K1706" s="96" t="str">
        <f t="shared" si="63"/>
        <v>0003-1012-0057</v>
      </c>
      <c r="L1706" s="96" t="str">
        <f>VLOOKUP(K1706,COA!$A$3:$B$337,2,FALSE)</f>
        <v>K51</v>
      </c>
      <c r="M1706" s="96" t="str">
        <f t="shared" si="64"/>
        <v>K51</v>
      </c>
      <c r="N1706" s="96" t="str">
        <f>VLOOKUP(M1706,CAC!$A$2:$B$198,2,FALSE)</f>
        <v>PPOPMR</v>
      </c>
    </row>
    <row r="1707" spans="5:14" x14ac:dyDescent="0.25">
      <c r="E1707" s="136">
        <v>201602</v>
      </c>
      <c r="F1707" s="138" t="s">
        <v>563</v>
      </c>
      <c r="G1707" s="138" t="s">
        <v>355</v>
      </c>
      <c r="H1707" s="138" t="s">
        <v>344</v>
      </c>
      <c r="I1707" s="139">
        <v>0</v>
      </c>
      <c r="K1707" s="96" t="str">
        <f t="shared" si="63"/>
        <v>0003-1006-0012</v>
      </c>
      <c r="L1707" s="96" t="str">
        <f>VLOOKUP(K1707,COA!$A$3:$B$337,2,FALSE)</f>
        <v>L52</v>
      </c>
      <c r="M1707" s="96" t="str">
        <f t="shared" si="64"/>
        <v>L52</v>
      </c>
      <c r="N1707" s="96" t="str">
        <f>VLOOKUP(M1707,CAC!$A$2:$B$198,2,FALSE)</f>
        <v>PPOLG</v>
      </c>
    </row>
    <row r="1708" spans="5:14" x14ac:dyDescent="0.25">
      <c r="E1708" s="136">
        <v>201703</v>
      </c>
      <c r="F1708" s="138" t="s">
        <v>563</v>
      </c>
      <c r="G1708" s="138" t="s">
        <v>352</v>
      </c>
      <c r="H1708" s="138" t="s">
        <v>653</v>
      </c>
      <c r="I1708" s="139">
        <v>0</v>
      </c>
      <c r="K1708" s="96" t="str">
        <f t="shared" si="63"/>
        <v>0003-1004-0047</v>
      </c>
      <c r="L1708" s="96" t="str">
        <f>VLOOKUP(K1708,COA!$A$3:$B$337,2,FALSE)</f>
        <v>L57</v>
      </c>
      <c r="M1708" s="96" t="str">
        <f t="shared" si="64"/>
        <v>L57</v>
      </c>
      <c r="N1708" s="96" t="str">
        <f>VLOOKUP(M1708,CAC!$A$2:$B$198,2,FALSE)</f>
        <v>PPOLG</v>
      </c>
    </row>
    <row r="1709" spans="5:14" x14ac:dyDescent="0.25">
      <c r="E1709" s="136">
        <v>201604</v>
      </c>
      <c r="F1709" s="138" t="s">
        <v>549</v>
      </c>
      <c r="G1709" s="138" t="s">
        <v>352</v>
      </c>
      <c r="H1709" s="138" t="s">
        <v>672</v>
      </c>
      <c r="I1709" s="139">
        <v>0</v>
      </c>
      <c r="K1709" s="96" t="str">
        <f t="shared" si="63"/>
        <v>0026-1004-0058</v>
      </c>
      <c r="L1709" s="96" t="str">
        <f>VLOOKUP(K1709,COA!$A$3:$B$337,2,FALSE)</f>
        <v>L44</v>
      </c>
      <c r="M1709" s="96" t="str">
        <f t="shared" si="64"/>
        <v>L44</v>
      </c>
      <c r="N1709" s="96" t="e">
        <f>VLOOKUP(M1709,CAC!$A$2:$B$198,2,FALSE)</f>
        <v>#N/A</v>
      </c>
    </row>
    <row r="1710" spans="5:14" x14ac:dyDescent="0.25">
      <c r="E1710" s="136">
        <v>201507</v>
      </c>
      <c r="F1710" s="138" t="s">
        <v>345</v>
      </c>
      <c r="G1710" s="138" t="s">
        <v>348</v>
      </c>
      <c r="H1710" s="138" t="s">
        <v>353</v>
      </c>
      <c r="I1710" s="139">
        <v>348</v>
      </c>
      <c r="K1710" s="96" t="str">
        <f t="shared" si="63"/>
        <v>0011-1010-0023</v>
      </c>
      <c r="L1710" s="96" t="str">
        <f>VLOOKUP(K1710,COA!$A$3:$B$337,2,FALSE)</f>
        <v>S13</v>
      </c>
      <c r="M1710" s="96" t="str">
        <f t="shared" si="64"/>
        <v>S13</v>
      </c>
      <c r="N1710" s="96" t="str">
        <f>VLOOKUP(M1710,CAC!$A$2:$B$198,2,FALSE)</f>
        <v>HMOSG</v>
      </c>
    </row>
    <row r="1711" spans="5:14" x14ac:dyDescent="0.25">
      <c r="E1711" s="136">
        <v>201603</v>
      </c>
      <c r="F1711" s="138" t="s">
        <v>349</v>
      </c>
      <c r="G1711" s="138" t="s">
        <v>369</v>
      </c>
      <c r="H1711" s="138" t="s">
        <v>344</v>
      </c>
      <c r="I1711" s="139">
        <v>39263.03</v>
      </c>
      <c r="K1711" s="96" t="str">
        <f t="shared" si="63"/>
        <v>0017-1009-0012</v>
      </c>
      <c r="L1711" s="96" t="str">
        <f>VLOOKUP(K1711,COA!$A$3:$B$337,2,FALSE)</f>
        <v>R12</v>
      </c>
      <c r="M1711" s="96" t="str">
        <f t="shared" si="64"/>
        <v>R12</v>
      </c>
      <c r="N1711" s="96" t="str">
        <f>VLOOKUP(M1711,CAC!$A$2:$B$198,2,FALSE)</f>
        <v>HMOMM</v>
      </c>
    </row>
    <row r="1712" spans="5:14" x14ac:dyDescent="0.25">
      <c r="E1712" s="136">
        <v>201608</v>
      </c>
      <c r="F1712" s="138" t="s">
        <v>349</v>
      </c>
      <c r="G1712" s="138" t="s">
        <v>369</v>
      </c>
      <c r="H1712" s="138" t="s">
        <v>344</v>
      </c>
      <c r="I1712" s="139">
        <v>39714</v>
      </c>
      <c r="K1712" s="96" t="str">
        <f t="shared" si="63"/>
        <v>0017-1009-0012</v>
      </c>
      <c r="L1712" s="96" t="str">
        <f>VLOOKUP(K1712,COA!$A$3:$B$337,2,FALSE)</f>
        <v>R12</v>
      </c>
      <c r="M1712" s="96" t="str">
        <f t="shared" si="64"/>
        <v>R12</v>
      </c>
      <c r="N1712" s="96" t="str">
        <f>VLOOKUP(M1712,CAC!$A$2:$B$198,2,FALSE)</f>
        <v>HMOMM</v>
      </c>
    </row>
    <row r="1713" spans="5:14" x14ac:dyDescent="0.25">
      <c r="E1713" s="136">
        <v>201512</v>
      </c>
      <c r="F1713" s="138" t="s">
        <v>344</v>
      </c>
      <c r="G1713" s="138" t="s">
        <v>355</v>
      </c>
      <c r="H1713" s="138" t="s">
        <v>344</v>
      </c>
      <c r="I1713" s="139">
        <v>246</v>
      </c>
      <c r="K1713" s="96" t="str">
        <f t="shared" si="63"/>
        <v>0012-1006-0012</v>
      </c>
      <c r="L1713" s="96" t="str">
        <f>VLOOKUP(K1713,COA!$A$3:$B$337,2,FALSE)</f>
        <v>L16</v>
      </c>
      <c r="M1713" s="96" t="str">
        <f t="shared" si="64"/>
        <v>L16</v>
      </c>
      <c r="N1713" s="96" t="str">
        <f>VLOOKUP(M1713,CAC!$A$2:$B$198,2,FALSE)</f>
        <v>HMOLG</v>
      </c>
    </row>
    <row r="1714" spans="5:14" x14ac:dyDescent="0.25">
      <c r="E1714" s="136">
        <v>201605</v>
      </c>
      <c r="F1714" s="138" t="s">
        <v>405</v>
      </c>
      <c r="G1714" s="138" t="s">
        <v>362</v>
      </c>
      <c r="H1714" s="138" t="s">
        <v>342</v>
      </c>
      <c r="I1714" s="139">
        <v>0</v>
      </c>
      <c r="K1714" s="96" t="str">
        <f t="shared" si="63"/>
        <v>0019-1008-0031</v>
      </c>
      <c r="L1714" s="96" t="str">
        <f>VLOOKUP(K1714,COA!$A$3:$B$337,2,FALSE)</f>
        <v>P53</v>
      </c>
      <c r="M1714" s="96" t="str">
        <f t="shared" si="64"/>
        <v>P53</v>
      </c>
      <c r="N1714" s="96" t="str">
        <f>VLOOKUP(M1714,CAC!$A$2:$B$198,2,FALSE)</f>
        <v>HMOPERA</v>
      </c>
    </row>
    <row r="1715" spans="5:14" x14ac:dyDescent="0.25">
      <c r="E1715" s="136">
        <v>201505</v>
      </c>
      <c r="F1715" s="138" t="s">
        <v>413</v>
      </c>
      <c r="G1715" s="138" t="s">
        <v>365</v>
      </c>
      <c r="H1715" s="138" t="s">
        <v>344</v>
      </c>
      <c r="I1715" s="139">
        <v>0</v>
      </c>
      <c r="K1715" s="96" t="str">
        <f t="shared" si="63"/>
        <v>0008-1001-0012</v>
      </c>
      <c r="L1715" s="96" t="str">
        <f>VLOOKUP(K1715,COA!$A$3:$B$337,2,FALSE)</f>
        <v>C95</v>
      </c>
      <c r="M1715" s="96" t="str">
        <f t="shared" si="64"/>
        <v>C95</v>
      </c>
      <c r="N1715" s="96" t="str">
        <f>VLOOKUP(M1715,CAC!$A$2:$B$198,2,FALSE)</f>
        <v>DOIIFP</v>
      </c>
    </row>
    <row r="1716" spans="5:14" x14ac:dyDescent="0.25">
      <c r="E1716" s="136">
        <v>201602</v>
      </c>
      <c r="F1716" s="138" t="s">
        <v>506</v>
      </c>
      <c r="G1716" s="138" t="s">
        <v>361</v>
      </c>
      <c r="H1716" s="138" t="s">
        <v>592</v>
      </c>
      <c r="I1716" s="139">
        <v>0</v>
      </c>
      <c r="K1716" s="96" t="str">
        <f t="shared" si="63"/>
        <v>0013-1003-0035</v>
      </c>
      <c r="L1716" s="96" t="str">
        <f>VLOOKUP(K1716,COA!$A$3:$B$337,2,FALSE)</f>
        <v>N32</v>
      </c>
      <c r="M1716" s="96" t="str">
        <f t="shared" si="64"/>
        <v>N32</v>
      </c>
      <c r="N1716" s="96" t="e">
        <f>VLOOKUP(M1716,CAC!$A$2:$B$198,2,FALSE)</f>
        <v>#N/A</v>
      </c>
    </row>
    <row r="1717" spans="5:14" x14ac:dyDescent="0.25">
      <c r="E1717" s="136">
        <v>201709</v>
      </c>
      <c r="F1717" s="138" t="s">
        <v>344</v>
      </c>
      <c r="G1717" s="138" t="s">
        <v>352</v>
      </c>
      <c r="H1717" s="138" t="s">
        <v>344</v>
      </c>
      <c r="I1717" s="139">
        <v>1166</v>
      </c>
      <c r="K1717" s="96" t="str">
        <f t="shared" si="63"/>
        <v>0012-1004-0012</v>
      </c>
      <c r="L1717" s="96" t="str">
        <f>VLOOKUP(K1717,COA!$A$3:$B$337,2,FALSE)</f>
        <v>L12</v>
      </c>
      <c r="M1717" s="96" t="str">
        <f t="shared" si="64"/>
        <v>L12</v>
      </c>
      <c r="N1717" s="96" t="str">
        <f>VLOOKUP(M1717,CAC!$A$2:$B$198,2,FALSE)</f>
        <v>HMOLG</v>
      </c>
    </row>
    <row r="1718" spans="5:14" x14ac:dyDescent="0.25">
      <c r="E1718" s="136">
        <v>201704</v>
      </c>
      <c r="F1718" s="138" t="s">
        <v>345</v>
      </c>
      <c r="G1718" s="138" t="s">
        <v>352</v>
      </c>
      <c r="H1718" s="138" t="s">
        <v>653</v>
      </c>
      <c r="I1718" s="139">
        <v>0</v>
      </c>
      <c r="K1718" s="96" t="str">
        <f t="shared" si="63"/>
        <v>0011-1004-0047</v>
      </c>
      <c r="L1718" s="96" t="str">
        <f>VLOOKUP(K1718,COA!$A$3:$B$337,2,FALSE)</f>
        <v>L17</v>
      </c>
      <c r="M1718" s="96" t="str">
        <f t="shared" si="64"/>
        <v>L17</v>
      </c>
      <c r="N1718" s="96" t="str">
        <f>VLOOKUP(M1718,CAC!$A$2:$B$198,2,FALSE)</f>
        <v>HMOLG</v>
      </c>
    </row>
    <row r="1719" spans="5:14" x14ac:dyDescent="0.25">
      <c r="E1719" s="136">
        <v>201705</v>
      </c>
      <c r="F1719" s="138" t="s">
        <v>746</v>
      </c>
      <c r="G1719" s="138" t="s">
        <v>354</v>
      </c>
      <c r="H1719" s="138" t="s">
        <v>344</v>
      </c>
      <c r="I1719" s="139">
        <v>82</v>
      </c>
      <c r="K1719" s="96" t="str">
        <f t="shared" si="63"/>
        <v>0016-1013-0012</v>
      </c>
      <c r="L1719" s="96" t="str">
        <f>VLOOKUP(K1719,COA!$A$3:$B$337,2,FALSE)</f>
        <v>R19</v>
      </c>
      <c r="M1719" s="96" t="str">
        <f t="shared" si="64"/>
        <v>R19</v>
      </c>
      <c r="N1719" s="96" t="str">
        <f>VLOOKUP(M1719,CAC!$A$2:$B$198,2,FALSE)</f>
        <v>HMOMG</v>
      </c>
    </row>
    <row r="1720" spans="5:14" x14ac:dyDescent="0.25">
      <c r="E1720" s="136">
        <v>201708</v>
      </c>
      <c r="F1720" s="138" t="s">
        <v>344</v>
      </c>
      <c r="G1720" s="138" t="s">
        <v>361</v>
      </c>
      <c r="H1720" s="138" t="s">
        <v>344</v>
      </c>
      <c r="I1720" s="139">
        <v>9646.41</v>
      </c>
      <c r="K1720" s="96" t="str">
        <f t="shared" si="63"/>
        <v>0012-1003-0012</v>
      </c>
      <c r="L1720" s="96" t="str">
        <f>VLOOKUP(K1720,COA!$A$3:$B$337,2,FALSE)</f>
        <v>N15</v>
      </c>
      <c r="M1720" s="96" t="str">
        <f t="shared" si="64"/>
        <v>N15</v>
      </c>
      <c r="N1720" s="96" t="str">
        <f>VLOOKUP(M1720,CAC!$A$2:$B$198,2,FALSE)</f>
        <v>HMOPMR</v>
      </c>
    </row>
    <row r="1721" spans="5:14" x14ac:dyDescent="0.25">
      <c r="E1721" s="136">
        <v>201610</v>
      </c>
      <c r="F1721" s="138" t="s">
        <v>506</v>
      </c>
      <c r="G1721" s="138" t="s">
        <v>350</v>
      </c>
      <c r="H1721" s="138" t="s">
        <v>592</v>
      </c>
      <c r="I1721" s="139">
        <v>0</v>
      </c>
      <c r="K1721" s="96" t="str">
        <f t="shared" si="63"/>
        <v>0013-1012-0035</v>
      </c>
      <c r="L1721" s="96" t="str">
        <f>VLOOKUP(K1721,COA!$A$3:$B$337,2,FALSE)</f>
        <v>K41</v>
      </c>
      <c r="M1721" s="96" t="str">
        <f t="shared" si="64"/>
        <v>K41</v>
      </c>
      <c r="N1721" s="96" t="e">
        <f>VLOOKUP(M1721,CAC!$A$2:$B$198,2,FALSE)</f>
        <v>#N/A</v>
      </c>
    </row>
    <row r="1722" spans="5:14" x14ac:dyDescent="0.25">
      <c r="E1722" s="136">
        <v>201508</v>
      </c>
      <c r="F1722" s="138" t="s">
        <v>563</v>
      </c>
      <c r="G1722" s="138" t="s">
        <v>354</v>
      </c>
      <c r="H1722" s="138" t="s">
        <v>344</v>
      </c>
      <c r="I1722" s="139">
        <v>0</v>
      </c>
      <c r="K1722" s="96" t="str">
        <f t="shared" si="63"/>
        <v>0003-1013-0012</v>
      </c>
      <c r="L1722" s="96" t="str">
        <f>VLOOKUP(K1722,COA!$A$3:$B$337,2,FALSE)</f>
        <v>N55</v>
      </c>
      <c r="M1722" s="96" t="str">
        <f t="shared" si="64"/>
        <v>N55</v>
      </c>
      <c r="N1722" s="96" t="str">
        <f>VLOOKUP(M1722,CAC!$A$2:$B$198,2,FALSE)</f>
        <v>PPOPMR</v>
      </c>
    </row>
    <row r="1723" spans="5:14" x14ac:dyDescent="0.25">
      <c r="E1723" s="136">
        <v>201703</v>
      </c>
      <c r="F1723" s="138" t="s">
        <v>345</v>
      </c>
      <c r="G1723" s="138" t="s">
        <v>352</v>
      </c>
      <c r="H1723" s="138" t="s">
        <v>344</v>
      </c>
      <c r="I1723" s="139">
        <v>8836.0300000000007</v>
      </c>
      <c r="K1723" s="96" t="str">
        <f t="shared" si="63"/>
        <v>0011-1004-0012</v>
      </c>
      <c r="L1723" s="96" t="str">
        <f>VLOOKUP(K1723,COA!$A$3:$B$337,2,FALSE)</f>
        <v>L11</v>
      </c>
      <c r="M1723" s="96" t="str">
        <f t="shared" si="64"/>
        <v>L11</v>
      </c>
      <c r="N1723" s="96" t="str">
        <f>VLOOKUP(M1723,CAC!$A$2:$B$198,2,FALSE)</f>
        <v>HMOLG</v>
      </c>
    </row>
    <row r="1724" spans="5:14" x14ac:dyDescent="0.25">
      <c r="E1724" s="136">
        <v>201703</v>
      </c>
      <c r="F1724" s="138" t="s">
        <v>563</v>
      </c>
      <c r="G1724" s="138" t="s">
        <v>365</v>
      </c>
      <c r="H1724" s="138" t="s">
        <v>366</v>
      </c>
      <c r="I1724" s="139">
        <v>0</v>
      </c>
      <c r="K1724" s="96" t="str">
        <f t="shared" si="63"/>
        <v>0003-1001-0021</v>
      </c>
      <c r="L1724" s="96" t="str">
        <f>VLOOKUP(K1724,COA!$A$3:$B$337,2,FALSE)</f>
        <v>V53</v>
      </c>
      <c r="M1724" s="96" t="str">
        <f t="shared" si="64"/>
        <v>V53</v>
      </c>
      <c r="N1724" s="96" t="str">
        <f>VLOOKUP(M1724,CAC!$A$2:$B$198,2,FALSE)</f>
        <v>PPOIFP</v>
      </c>
    </row>
    <row r="1725" spans="5:14" x14ac:dyDescent="0.25">
      <c r="E1725" s="136">
        <v>201606</v>
      </c>
      <c r="F1725" s="138" t="s">
        <v>345</v>
      </c>
      <c r="G1725" s="138" t="s">
        <v>362</v>
      </c>
      <c r="H1725" s="138" t="s">
        <v>363</v>
      </c>
      <c r="I1725" s="139">
        <v>37177.089999999997</v>
      </c>
      <c r="K1725" s="96" t="str">
        <f t="shared" si="63"/>
        <v>0011-1008-0054</v>
      </c>
      <c r="L1725" s="96" t="str">
        <f>VLOOKUP(K1725,COA!$A$3:$B$337,2,FALSE)</f>
        <v>P23</v>
      </c>
      <c r="M1725" s="96" t="str">
        <f t="shared" si="64"/>
        <v>P23</v>
      </c>
      <c r="N1725" s="96" t="str">
        <f>VLOOKUP(M1725,CAC!$A$2:$B$198,2,FALSE)</f>
        <v>HMOPERN</v>
      </c>
    </row>
    <row r="1726" spans="5:14" x14ac:dyDescent="0.25">
      <c r="E1726" s="136">
        <v>201710</v>
      </c>
      <c r="F1726" s="138" t="s">
        <v>345</v>
      </c>
      <c r="G1726" s="138" t="s">
        <v>350</v>
      </c>
      <c r="H1726" s="138" t="s">
        <v>360</v>
      </c>
      <c r="I1726" s="139">
        <v>10435</v>
      </c>
      <c r="K1726" s="96" t="str">
        <f t="shared" si="63"/>
        <v>0011-1012-0048</v>
      </c>
      <c r="L1726" s="96" t="str">
        <f>VLOOKUP(K1726,COA!$A$3:$B$337,2,FALSE)</f>
        <v>K21</v>
      </c>
      <c r="M1726" s="96" t="str">
        <f t="shared" si="64"/>
        <v>K21</v>
      </c>
      <c r="N1726" s="96" t="str">
        <f>VLOOKUP(M1726,CAC!$A$2:$B$198,2,FALSE)</f>
        <v>HMFLEX</v>
      </c>
    </row>
    <row r="1727" spans="5:14" x14ac:dyDescent="0.25">
      <c r="E1727" s="136">
        <v>201612</v>
      </c>
      <c r="F1727" s="138" t="s">
        <v>413</v>
      </c>
      <c r="G1727" s="138" t="s">
        <v>355</v>
      </c>
      <c r="H1727" s="138" t="s">
        <v>344</v>
      </c>
      <c r="I1727" s="139">
        <v>0</v>
      </c>
      <c r="K1727" s="96" t="str">
        <f t="shared" si="63"/>
        <v>0008-1006-0012</v>
      </c>
      <c r="L1727" s="96" t="str">
        <f>VLOOKUP(K1727,COA!$A$3:$B$337,2,FALSE)</f>
        <v>C96</v>
      </c>
      <c r="M1727" s="96" t="str">
        <f t="shared" si="64"/>
        <v>C96</v>
      </c>
      <c r="N1727" s="96" t="str">
        <f>VLOOKUP(M1727,CAC!$A$2:$B$198,2,FALSE)</f>
        <v>DOILG</v>
      </c>
    </row>
    <row r="1728" spans="5:14" x14ac:dyDescent="0.25">
      <c r="E1728" s="136">
        <v>201509</v>
      </c>
      <c r="F1728" s="138" t="s">
        <v>345</v>
      </c>
      <c r="G1728" s="138" t="s">
        <v>348</v>
      </c>
      <c r="H1728" s="138" t="s">
        <v>353</v>
      </c>
      <c r="I1728" s="139">
        <v>348.06</v>
      </c>
      <c r="K1728" s="96" t="str">
        <f t="shared" si="63"/>
        <v>0011-1010-0023</v>
      </c>
      <c r="L1728" s="96" t="str">
        <f>VLOOKUP(K1728,COA!$A$3:$B$337,2,FALSE)</f>
        <v>S13</v>
      </c>
      <c r="M1728" s="96" t="str">
        <f t="shared" si="64"/>
        <v>S13</v>
      </c>
      <c r="N1728" s="96" t="str">
        <f>VLOOKUP(M1728,CAC!$A$2:$B$198,2,FALSE)</f>
        <v>HMOSG</v>
      </c>
    </row>
    <row r="1729" spans="5:14" x14ac:dyDescent="0.25">
      <c r="E1729" s="136">
        <v>201603</v>
      </c>
      <c r="F1729" s="138" t="s">
        <v>506</v>
      </c>
      <c r="G1729" s="138" t="s">
        <v>350</v>
      </c>
      <c r="H1729" s="138" t="s">
        <v>592</v>
      </c>
      <c r="I1729" s="139">
        <v>0</v>
      </c>
      <c r="K1729" s="96" t="str">
        <f t="shared" si="63"/>
        <v>0013-1012-0035</v>
      </c>
      <c r="L1729" s="96" t="str">
        <f>VLOOKUP(K1729,COA!$A$3:$B$337,2,FALSE)</f>
        <v>K41</v>
      </c>
      <c r="M1729" s="96" t="str">
        <f t="shared" si="64"/>
        <v>K41</v>
      </c>
      <c r="N1729" s="96" t="e">
        <f>VLOOKUP(M1729,CAC!$A$2:$B$198,2,FALSE)</f>
        <v>#N/A</v>
      </c>
    </row>
    <row r="1730" spans="5:14" x14ac:dyDescent="0.25">
      <c r="E1730" s="136">
        <v>201710</v>
      </c>
      <c r="F1730" s="138" t="s">
        <v>746</v>
      </c>
      <c r="G1730" s="138" t="s">
        <v>356</v>
      </c>
      <c r="H1730" s="138" t="s">
        <v>764</v>
      </c>
      <c r="I1730" s="139">
        <v>648</v>
      </c>
      <c r="K1730" s="96" t="str">
        <f t="shared" si="63"/>
        <v>0016-1002-0064</v>
      </c>
      <c r="L1730" s="96" t="str">
        <f>VLOOKUP(K1730,COA!$A$3:$B$337,2,FALSE)</f>
        <v>R25</v>
      </c>
      <c r="M1730" s="96" t="str">
        <f t="shared" si="64"/>
        <v>R25</v>
      </c>
      <c r="N1730" s="96" t="str">
        <f>VLOOKUP(M1730,CAC!$A$2:$B$198,2,FALSE)</f>
        <v>HMOMG</v>
      </c>
    </row>
    <row r="1731" spans="5:14" x14ac:dyDescent="0.25">
      <c r="E1731" s="136">
        <v>201703</v>
      </c>
      <c r="F1731" s="138" t="s">
        <v>746</v>
      </c>
      <c r="G1731" s="138" t="s">
        <v>356</v>
      </c>
      <c r="H1731" s="138" t="s">
        <v>344</v>
      </c>
      <c r="I1731" s="139">
        <v>137</v>
      </c>
      <c r="K1731" s="96" t="str">
        <f t="shared" ref="K1731:K1794" si="65">F1731&amp;"-"&amp;G1731&amp;"-"&amp;H1731</f>
        <v>0016-1002-0012</v>
      </c>
      <c r="L1731" s="96" t="str">
        <f>VLOOKUP(K1731,COA!$A$3:$B$337,2,FALSE)</f>
        <v>R18</v>
      </c>
      <c r="M1731" s="96" t="str">
        <f t="shared" si="64"/>
        <v>R18</v>
      </c>
      <c r="N1731" s="96" t="str">
        <f>VLOOKUP(M1731,CAC!$A$2:$B$198,2,FALSE)</f>
        <v>HMOMG</v>
      </c>
    </row>
    <row r="1732" spans="5:14" x14ac:dyDescent="0.25">
      <c r="E1732" s="136">
        <v>201707</v>
      </c>
      <c r="F1732" s="138" t="s">
        <v>563</v>
      </c>
      <c r="G1732" s="138" t="s">
        <v>350</v>
      </c>
      <c r="H1732" s="138" t="s">
        <v>344</v>
      </c>
      <c r="I1732" s="139">
        <v>0</v>
      </c>
      <c r="K1732" s="96" t="str">
        <f t="shared" si="65"/>
        <v>0003-1012-0012</v>
      </c>
      <c r="L1732" s="96" t="str">
        <f>VLOOKUP(K1732,COA!$A$3:$B$337,2,FALSE)</f>
        <v>K51</v>
      </c>
      <c r="M1732" s="96" t="str">
        <f t="shared" ref="M1732:M1795" si="66">IF(ISNA(L1732),"XXX",L1732)</f>
        <v>K51</v>
      </c>
      <c r="N1732" s="96" t="str">
        <f>VLOOKUP(M1732,CAC!$A$2:$B$198,2,FALSE)</f>
        <v>PPOPMR</v>
      </c>
    </row>
    <row r="1733" spans="5:14" x14ac:dyDescent="0.25">
      <c r="E1733" s="136">
        <v>201610</v>
      </c>
      <c r="F1733" s="138" t="s">
        <v>746</v>
      </c>
      <c r="G1733" s="138" t="s">
        <v>356</v>
      </c>
      <c r="H1733" s="138" t="s">
        <v>764</v>
      </c>
      <c r="I1733" s="139">
        <v>624</v>
      </c>
      <c r="K1733" s="96" t="str">
        <f t="shared" si="65"/>
        <v>0016-1002-0064</v>
      </c>
      <c r="L1733" s="96" t="str">
        <f>VLOOKUP(K1733,COA!$A$3:$B$337,2,FALSE)</f>
        <v>R25</v>
      </c>
      <c r="M1733" s="96" t="str">
        <f t="shared" si="66"/>
        <v>R25</v>
      </c>
      <c r="N1733" s="96" t="str">
        <f>VLOOKUP(M1733,CAC!$A$2:$B$198,2,FALSE)</f>
        <v>HMOMG</v>
      </c>
    </row>
    <row r="1734" spans="5:14" x14ac:dyDescent="0.25">
      <c r="E1734" s="136">
        <v>201611</v>
      </c>
      <c r="F1734" s="138" t="s">
        <v>345</v>
      </c>
      <c r="G1734" s="138" t="s">
        <v>359</v>
      </c>
      <c r="H1734" s="138" t="s">
        <v>344</v>
      </c>
      <c r="I1734" s="139">
        <v>3986</v>
      </c>
      <c r="K1734" s="96" t="str">
        <f t="shared" si="65"/>
        <v>0011-1005-0012</v>
      </c>
      <c r="L1734" s="96" t="str">
        <f>VLOOKUP(K1734,COA!$A$3:$B$337,2,FALSE)</f>
        <v>N11</v>
      </c>
      <c r="M1734" s="96" t="str">
        <f t="shared" si="66"/>
        <v>N11</v>
      </c>
      <c r="N1734" s="96" t="str">
        <f>VLOOKUP(M1734,CAC!$A$2:$B$198,2,FALSE)</f>
        <v>HMOLG</v>
      </c>
    </row>
    <row r="1735" spans="5:14" x14ac:dyDescent="0.25">
      <c r="E1735" s="136">
        <v>201606</v>
      </c>
      <c r="F1735" s="138" t="s">
        <v>506</v>
      </c>
      <c r="G1735" s="138" t="s">
        <v>352</v>
      </c>
      <c r="H1735" s="138" t="s">
        <v>592</v>
      </c>
      <c r="I1735" s="139">
        <v>0</v>
      </c>
      <c r="K1735" s="96" t="str">
        <f t="shared" si="65"/>
        <v>0013-1004-0035</v>
      </c>
      <c r="L1735" s="96" t="str">
        <f>VLOOKUP(K1735,COA!$A$3:$B$337,2,FALSE)</f>
        <v>L41</v>
      </c>
      <c r="M1735" s="96" t="str">
        <f t="shared" si="66"/>
        <v>L41</v>
      </c>
      <c r="N1735" s="96" t="e">
        <f>VLOOKUP(M1735,CAC!$A$2:$B$198,2,FALSE)</f>
        <v>#N/A</v>
      </c>
    </row>
    <row r="1736" spans="5:14" x14ac:dyDescent="0.25">
      <c r="E1736" s="136">
        <v>201701</v>
      </c>
      <c r="F1736" s="138" t="s">
        <v>563</v>
      </c>
      <c r="G1736" s="138" t="s">
        <v>355</v>
      </c>
      <c r="H1736" s="138" t="s">
        <v>344</v>
      </c>
      <c r="I1736" s="139">
        <v>0</v>
      </c>
      <c r="K1736" s="96" t="str">
        <f t="shared" si="65"/>
        <v>0003-1006-0012</v>
      </c>
      <c r="L1736" s="96" t="str">
        <f>VLOOKUP(K1736,COA!$A$3:$B$337,2,FALSE)</f>
        <v>L52</v>
      </c>
      <c r="M1736" s="96" t="str">
        <f t="shared" si="66"/>
        <v>L52</v>
      </c>
      <c r="N1736" s="96" t="str">
        <f>VLOOKUP(M1736,CAC!$A$2:$B$198,2,FALSE)</f>
        <v>PPOLG</v>
      </c>
    </row>
    <row r="1737" spans="5:14" x14ac:dyDescent="0.25">
      <c r="E1737" s="136">
        <v>201709</v>
      </c>
      <c r="F1737" s="138" t="s">
        <v>563</v>
      </c>
      <c r="G1737" s="138" t="s">
        <v>359</v>
      </c>
      <c r="H1737" s="138" t="s">
        <v>344</v>
      </c>
      <c r="I1737" s="139">
        <v>0</v>
      </c>
      <c r="K1737" s="96" t="str">
        <f t="shared" si="65"/>
        <v>0003-1005-0012</v>
      </c>
      <c r="L1737" s="96" t="str">
        <f>VLOOKUP(K1737,COA!$A$3:$B$337,2,FALSE)</f>
        <v>N51</v>
      </c>
      <c r="M1737" s="96" t="str">
        <f t="shared" si="66"/>
        <v>N51</v>
      </c>
      <c r="N1737" s="96" t="str">
        <f>VLOOKUP(M1737,CAC!$A$2:$B$198,2,FALSE)</f>
        <v>PPOLG</v>
      </c>
    </row>
    <row r="1738" spans="5:14" x14ac:dyDescent="0.25">
      <c r="E1738" s="136">
        <v>201512</v>
      </c>
      <c r="F1738" s="138" t="s">
        <v>342</v>
      </c>
      <c r="G1738" s="138" t="s">
        <v>343</v>
      </c>
      <c r="H1738" s="138" t="s">
        <v>344</v>
      </c>
      <c r="I1738" s="139">
        <v>6679.35</v>
      </c>
      <c r="K1738" s="96" t="str">
        <f t="shared" si="65"/>
        <v>0031-1000-0012</v>
      </c>
      <c r="L1738" s="96" t="str">
        <f>VLOOKUP(K1738,COA!$A$3:$B$337,2,FALSE)</f>
        <v>F27</v>
      </c>
      <c r="M1738" s="96" t="str">
        <f t="shared" si="66"/>
        <v>F27</v>
      </c>
      <c r="N1738" s="96" t="str">
        <f>VLOOKUP(M1738,CAC!$A$2:$B$198,2,FALSE)</f>
        <v>HMOFEP</v>
      </c>
    </row>
    <row r="1739" spans="5:14" x14ac:dyDescent="0.25">
      <c r="E1739" s="136">
        <v>201511</v>
      </c>
      <c r="F1739" s="138" t="s">
        <v>563</v>
      </c>
      <c r="G1739" s="138" t="s">
        <v>356</v>
      </c>
      <c r="H1739" s="138" t="s">
        <v>344</v>
      </c>
      <c r="I1739" s="139">
        <v>0</v>
      </c>
      <c r="K1739" s="96" t="str">
        <f t="shared" si="65"/>
        <v>0003-1002-0012</v>
      </c>
      <c r="L1739" s="96" t="str">
        <f>VLOOKUP(K1739,COA!$A$3:$B$337,2,FALSE)</f>
        <v>F61</v>
      </c>
      <c r="M1739" s="96" t="str">
        <f t="shared" si="66"/>
        <v>F61</v>
      </c>
      <c r="N1739" s="96" t="str">
        <f>VLOOKUP(M1739,CAC!$A$2:$B$198,2,FALSE)</f>
        <v>PPOPMR</v>
      </c>
    </row>
    <row r="1740" spans="5:14" x14ac:dyDescent="0.25">
      <c r="E1740" s="136">
        <v>201510</v>
      </c>
      <c r="F1740" s="138" t="s">
        <v>344</v>
      </c>
      <c r="G1740" s="138" t="s">
        <v>359</v>
      </c>
      <c r="H1740" s="138" t="s">
        <v>344</v>
      </c>
      <c r="I1740" s="139">
        <v>68</v>
      </c>
      <c r="K1740" s="96" t="str">
        <f t="shared" si="65"/>
        <v>0012-1005-0012</v>
      </c>
      <c r="L1740" s="96" t="str">
        <f>VLOOKUP(K1740,COA!$A$3:$B$337,2,FALSE)</f>
        <v>N13</v>
      </c>
      <c r="M1740" s="96" t="str">
        <f t="shared" si="66"/>
        <v>N13</v>
      </c>
      <c r="N1740" s="96" t="str">
        <f>VLOOKUP(M1740,CAC!$A$2:$B$198,2,FALSE)</f>
        <v>HMOLG</v>
      </c>
    </row>
    <row r="1741" spans="5:14" x14ac:dyDescent="0.25">
      <c r="E1741" s="136">
        <v>201711</v>
      </c>
      <c r="F1741" s="138" t="s">
        <v>506</v>
      </c>
      <c r="G1741" s="138" t="s">
        <v>361</v>
      </c>
      <c r="H1741" s="138" t="s">
        <v>592</v>
      </c>
      <c r="I1741" s="139">
        <v>0</v>
      </c>
      <c r="K1741" s="96" t="str">
        <f t="shared" si="65"/>
        <v>0013-1003-0035</v>
      </c>
      <c r="L1741" s="96" t="str">
        <f>VLOOKUP(K1741,COA!$A$3:$B$337,2,FALSE)</f>
        <v>N32</v>
      </c>
      <c r="M1741" s="96" t="str">
        <f t="shared" si="66"/>
        <v>N32</v>
      </c>
      <c r="N1741" s="96" t="e">
        <f>VLOOKUP(M1741,CAC!$A$2:$B$198,2,FALSE)</f>
        <v>#N/A</v>
      </c>
    </row>
    <row r="1742" spans="5:14" x14ac:dyDescent="0.25">
      <c r="E1742" s="136">
        <v>201711</v>
      </c>
      <c r="F1742" s="138" t="s">
        <v>345</v>
      </c>
      <c r="G1742" s="138" t="s">
        <v>352</v>
      </c>
      <c r="H1742" s="138" t="s">
        <v>360</v>
      </c>
      <c r="I1742" s="139">
        <v>230</v>
      </c>
      <c r="K1742" s="96" t="str">
        <f t="shared" si="65"/>
        <v>0011-1004-0048</v>
      </c>
      <c r="L1742" s="96" t="str">
        <f>VLOOKUP(K1742,COA!$A$3:$B$337,2,FALSE)</f>
        <v>L21</v>
      </c>
      <c r="M1742" s="96" t="str">
        <f t="shared" si="66"/>
        <v>L21</v>
      </c>
      <c r="N1742" s="96" t="str">
        <f>VLOOKUP(M1742,CAC!$A$2:$B$198,2,FALSE)</f>
        <v>HMFLEX</v>
      </c>
    </row>
    <row r="1743" spans="5:14" x14ac:dyDescent="0.25">
      <c r="E1743" s="136">
        <v>201801</v>
      </c>
      <c r="F1743" s="138" t="s">
        <v>746</v>
      </c>
      <c r="G1743" s="138" t="s">
        <v>354</v>
      </c>
      <c r="H1743" s="138" t="s">
        <v>344</v>
      </c>
      <c r="I1743" s="139">
        <v>101</v>
      </c>
      <c r="K1743" s="96" t="str">
        <f t="shared" si="65"/>
        <v>0016-1013-0012</v>
      </c>
      <c r="L1743" s="96" t="str">
        <f>VLOOKUP(K1743,COA!$A$3:$B$337,2,FALSE)</f>
        <v>R19</v>
      </c>
      <c r="M1743" s="96" t="str">
        <f t="shared" si="66"/>
        <v>R19</v>
      </c>
      <c r="N1743" s="96" t="str">
        <f>VLOOKUP(M1743,CAC!$A$2:$B$198,2,FALSE)</f>
        <v>HMOMG</v>
      </c>
    </row>
    <row r="1744" spans="5:14" x14ac:dyDescent="0.25">
      <c r="E1744" s="136">
        <v>201801</v>
      </c>
      <c r="F1744" s="138" t="s">
        <v>345</v>
      </c>
      <c r="G1744" s="138" t="s">
        <v>365</v>
      </c>
      <c r="H1744" s="138" t="s">
        <v>366</v>
      </c>
      <c r="I1744" s="139">
        <v>11146.49</v>
      </c>
      <c r="K1744" s="96" t="str">
        <f t="shared" si="65"/>
        <v>0011-1001-0021</v>
      </c>
      <c r="L1744" s="96" t="str">
        <f>VLOOKUP(K1744,COA!$A$3:$B$337,2,FALSE)</f>
        <v>V13</v>
      </c>
      <c r="M1744" s="96" t="str">
        <f t="shared" si="66"/>
        <v>V13</v>
      </c>
      <c r="N1744" s="96" t="str">
        <f>VLOOKUP(M1744,CAC!$A$2:$B$198,2,FALSE)</f>
        <v>HMOIFP</v>
      </c>
    </row>
    <row r="1745" spans="5:14" x14ac:dyDescent="0.25">
      <c r="E1745" s="136">
        <v>201702</v>
      </c>
      <c r="F1745" s="138" t="s">
        <v>563</v>
      </c>
      <c r="G1745" s="138" t="s">
        <v>356</v>
      </c>
      <c r="H1745" s="138" t="s">
        <v>344</v>
      </c>
      <c r="I1745" s="139">
        <v>0</v>
      </c>
      <c r="K1745" s="96" t="str">
        <f t="shared" si="65"/>
        <v>0003-1002-0012</v>
      </c>
      <c r="L1745" s="96" t="str">
        <f>VLOOKUP(K1745,COA!$A$3:$B$337,2,FALSE)</f>
        <v>F61</v>
      </c>
      <c r="M1745" s="96" t="str">
        <f t="shared" si="66"/>
        <v>F61</v>
      </c>
      <c r="N1745" s="96" t="str">
        <f>VLOOKUP(M1745,CAC!$A$2:$B$198,2,FALSE)</f>
        <v>PPOPMR</v>
      </c>
    </row>
    <row r="1746" spans="5:14" x14ac:dyDescent="0.25">
      <c r="E1746" s="136">
        <v>201708</v>
      </c>
      <c r="F1746" s="138" t="s">
        <v>549</v>
      </c>
      <c r="G1746" s="138" t="s">
        <v>352</v>
      </c>
      <c r="H1746" s="138" t="s">
        <v>672</v>
      </c>
      <c r="I1746" s="139">
        <v>0</v>
      </c>
      <c r="K1746" s="96" t="str">
        <f t="shared" si="65"/>
        <v>0026-1004-0058</v>
      </c>
      <c r="L1746" s="96" t="str">
        <f>VLOOKUP(K1746,COA!$A$3:$B$337,2,FALSE)</f>
        <v>L44</v>
      </c>
      <c r="M1746" s="96" t="str">
        <f t="shared" si="66"/>
        <v>L44</v>
      </c>
      <c r="N1746" s="96" t="e">
        <f>VLOOKUP(M1746,CAC!$A$2:$B$198,2,FALSE)</f>
        <v>#N/A</v>
      </c>
    </row>
    <row r="1747" spans="5:14" x14ac:dyDescent="0.25">
      <c r="E1747" s="136">
        <v>201611</v>
      </c>
      <c r="F1747" s="138" t="s">
        <v>563</v>
      </c>
      <c r="G1747" s="138" t="s">
        <v>350</v>
      </c>
      <c r="H1747" s="138" t="s">
        <v>626</v>
      </c>
      <c r="I1747" s="139">
        <v>0</v>
      </c>
      <c r="K1747" s="96" t="str">
        <f t="shared" si="65"/>
        <v>0003-1012-0057</v>
      </c>
      <c r="L1747" s="96" t="str">
        <f>VLOOKUP(K1747,COA!$A$3:$B$337,2,FALSE)</f>
        <v>K51</v>
      </c>
      <c r="M1747" s="96" t="str">
        <f t="shared" si="66"/>
        <v>K51</v>
      </c>
      <c r="N1747" s="96" t="str">
        <f>VLOOKUP(M1747,CAC!$A$2:$B$198,2,FALSE)</f>
        <v>PPOPMR</v>
      </c>
    </row>
    <row r="1748" spans="5:14" x14ac:dyDescent="0.25">
      <c r="E1748" s="136">
        <v>201507</v>
      </c>
      <c r="F1748" s="138" t="s">
        <v>563</v>
      </c>
      <c r="G1748" s="138" t="s">
        <v>356</v>
      </c>
      <c r="H1748" s="138" t="s">
        <v>344</v>
      </c>
      <c r="I1748" s="139">
        <v>0</v>
      </c>
      <c r="K1748" s="96" t="str">
        <f t="shared" si="65"/>
        <v>0003-1002-0012</v>
      </c>
      <c r="L1748" s="96" t="str">
        <f>VLOOKUP(K1748,COA!$A$3:$B$337,2,FALSE)</f>
        <v>F61</v>
      </c>
      <c r="M1748" s="96" t="str">
        <f t="shared" si="66"/>
        <v>F61</v>
      </c>
      <c r="N1748" s="96" t="str">
        <f>VLOOKUP(M1748,CAC!$A$2:$B$198,2,FALSE)</f>
        <v>PPOPMR</v>
      </c>
    </row>
    <row r="1749" spans="5:14" x14ac:dyDescent="0.25">
      <c r="E1749" s="136">
        <v>201507</v>
      </c>
      <c r="F1749" s="138" t="s">
        <v>563</v>
      </c>
      <c r="G1749" s="138" t="s">
        <v>348</v>
      </c>
      <c r="H1749" s="138" t="s">
        <v>358</v>
      </c>
      <c r="I1749" s="139">
        <v>0</v>
      </c>
      <c r="K1749" s="96" t="str">
        <f t="shared" si="65"/>
        <v>0003-1010-0024</v>
      </c>
      <c r="L1749" s="96" t="str">
        <f>VLOOKUP(K1749,COA!$A$3:$B$337,2,FALSE)</f>
        <v>S56</v>
      </c>
      <c r="M1749" s="96" t="str">
        <f t="shared" si="66"/>
        <v>S56</v>
      </c>
      <c r="N1749" s="96" t="str">
        <f>VLOOKUP(M1749,CAC!$A$2:$B$198,2,FALSE)</f>
        <v>PPOSG</v>
      </c>
    </row>
    <row r="1750" spans="5:14" x14ac:dyDescent="0.25">
      <c r="E1750" s="136">
        <v>201609</v>
      </c>
      <c r="F1750" s="138" t="s">
        <v>746</v>
      </c>
      <c r="G1750" s="138" t="s">
        <v>355</v>
      </c>
      <c r="H1750" s="138" t="s">
        <v>344</v>
      </c>
      <c r="I1750" s="139">
        <v>0</v>
      </c>
      <c r="K1750" s="96" t="str">
        <f t="shared" si="65"/>
        <v>0016-1006-0012</v>
      </c>
      <c r="L1750" s="96" t="str">
        <f>VLOOKUP(K1750,COA!$A$3:$B$337,2,FALSE)</f>
        <v>R21</v>
      </c>
      <c r="M1750" s="96" t="str">
        <f t="shared" si="66"/>
        <v>R21</v>
      </c>
      <c r="N1750" s="96" t="str">
        <f>VLOOKUP(M1750,CAC!$A$2:$B$198,2,FALSE)</f>
        <v>HMOMG</v>
      </c>
    </row>
    <row r="1751" spans="5:14" x14ac:dyDescent="0.25">
      <c r="E1751" s="136">
        <v>201506</v>
      </c>
      <c r="F1751" s="138" t="s">
        <v>413</v>
      </c>
      <c r="G1751" s="138" t="s">
        <v>348</v>
      </c>
      <c r="H1751" s="138" t="s">
        <v>349</v>
      </c>
      <c r="I1751" s="139">
        <v>0</v>
      </c>
      <c r="K1751" s="96" t="str">
        <f t="shared" si="65"/>
        <v>0008-1010-0017</v>
      </c>
      <c r="L1751" s="96" t="str">
        <f>VLOOKUP(K1751,COA!$A$3:$B$337,2,FALSE)</f>
        <v>C94</v>
      </c>
      <c r="M1751" s="96" t="str">
        <f t="shared" si="66"/>
        <v>C94</v>
      </c>
      <c r="N1751" s="96" t="str">
        <f>VLOOKUP(M1751,CAC!$A$2:$B$198,2,FALSE)</f>
        <v>DOISG</v>
      </c>
    </row>
    <row r="1752" spans="5:14" x14ac:dyDescent="0.25">
      <c r="E1752" s="136">
        <v>201711</v>
      </c>
      <c r="F1752" s="138" t="s">
        <v>563</v>
      </c>
      <c r="G1752" s="138" t="s">
        <v>348</v>
      </c>
      <c r="H1752" s="138" t="s">
        <v>358</v>
      </c>
      <c r="I1752" s="139">
        <v>0</v>
      </c>
      <c r="K1752" s="96" t="str">
        <f t="shared" si="65"/>
        <v>0003-1010-0024</v>
      </c>
      <c r="L1752" s="96" t="str">
        <f>VLOOKUP(K1752,COA!$A$3:$B$337,2,FALSE)</f>
        <v>S56</v>
      </c>
      <c r="M1752" s="96" t="str">
        <f t="shared" si="66"/>
        <v>S56</v>
      </c>
      <c r="N1752" s="96" t="str">
        <f>VLOOKUP(M1752,CAC!$A$2:$B$198,2,FALSE)</f>
        <v>PPOSG</v>
      </c>
    </row>
    <row r="1753" spans="5:14" x14ac:dyDescent="0.25">
      <c r="E1753" s="136">
        <v>201706</v>
      </c>
      <c r="F1753" s="138" t="s">
        <v>413</v>
      </c>
      <c r="G1753" s="138" t="s">
        <v>355</v>
      </c>
      <c r="H1753" s="138" t="s">
        <v>344</v>
      </c>
      <c r="I1753" s="139">
        <v>0</v>
      </c>
      <c r="K1753" s="96" t="str">
        <f t="shared" si="65"/>
        <v>0008-1006-0012</v>
      </c>
      <c r="L1753" s="96" t="str">
        <f>VLOOKUP(K1753,COA!$A$3:$B$337,2,FALSE)</f>
        <v>C96</v>
      </c>
      <c r="M1753" s="96" t="str">
        <f t="shared" si="66"/>
        <v>C96</v>
      </c>
      <c r="N1753" s="96" t="str">
        <f>VLOOKUP(M1753,CAC!$A$2:$B$198,2,FALSE)</f>
        <v>DOILG</v>
      </c>
    </row>
    <row r="1754" spans="5:14" x14ac:dyDescent="0.25">
      <c r="E1754" s="136">
        <v>201510</v>
      </c>
      <c r="F1754" s="138" t="s">
        <v>563</v>
      </c>
      <c r="G1754" s="138" t="s">
        <v>348</v>
      </c>
      <c r="H1754" s="138" t="s">
        <v>358</v>
      </c>
      <c r="I1754" s="139">
        <v>0</v>
      </c>
      <c r="K1754" s="96" t="str">
        <f t="shared" si="65"/>
        <v>0003-1010-0024</v>
      </c>
      <c r="L1754" s="96" t="str">
        <f>VLOOKUP(K1754,COA!$A$3:$B$337,2,FALSE)</f>
        <v>S56</v>
      </c>
      <c r="M1754" s="96" t="str">
        <f t="shared" si="66"/>
        <v>S56</v>
      </c>
      <c r="N1754" s="96" t="str">
        <f>VLOOKUP(M1754,CAC!$A$2:$B$198,2,FALSE)</f>
        <v>PPOSG</v>
      </c>
    </row>
    <row r="1755" spans="5:14" x14ac:dyDescent="0.25">
      <c r="E1755" s="136">
        <v>201505</v>
      </c>
      <c r="F1755" s="138" t="s">
        <v>563</v>
      </c>
      <c r="G1755" s="138" t="s">
        <v>350</v>
      </c>
      <c r="H1755" s="138" t="s">
        <v>344</v>
      </c>
      <c r="I1755" s="139">
        <v>0</v>
      </c>
      <c r="K1755" s="96" t="str">
        <f t="shared" si="65"/>
        <v>0003-1012-0012</v>
      </c>
      <c r="L1755" s="96" t="str">
        <f>VLOOKUP(K1755,COA!$A$3:$B$337,2,FALSE)</f>
        <v>K51</v>
      </c>
      <c r="M1755" s="96" t="str">
        <f t="shared" si="66"/>
        <v>K51</v>
      </c>
      <c r="N1755" s="96" t="str">
        <f>VLOOKUP(M1755,CAC!$A$2:$B$198,2,FALSE)</f>
        <v>PPOPMR</v>
      </c>
    </row>
    <row r="1756" spans="5:14" x14ac:dyDescent="0.25">
      <c r="E1756" s="136">
        <v>201605</v>
      </c>
      <c r="F1756" s="138" t="s">
        <v>345</v>
      </c>
      <c r="G1756" s="138" t="s">
        <v>348</v>
      </c>
      <c r="H1756" s="138" t="s">
        <v>349</v>
      </c>
      <c r="I1756" s="139">
        <v>21245.59</v>
      </c>
      <c r="K1756" s="96" t="str">
        <f t="shared" si="65"/>
        <v>0011-1010-0017</v>
      </c>
      <c r="L1756" s="96" t="str">
        <f>VLOOKUP(K1756,COA!$A$3:$B$337,2,FALSE)</f>
        <v>S11</v>
      </c>
      <c r="M1756" s="96" t="str">
        <f t="shared" si="66"/>
        <v>S11</v>
      </c>
      <c r="N1756" s="96" t="str">
        <f>VLOOKUP(M1756,CAC!$A$2:$B$198,2,FALSE)</f>
        <v>HMOSG</v>
      </c>
    </row>
    <row r="1757" spans="5:14" x14ac:dyDescent="0.25">
      <c r="E1757" s="136">
        <v>201604</v>
      </c>
      <c r="F1757" s="138" t="s">
        <v>345</v>
      </c>
      <c r="G1757" s="138" t="s">
        <v>359</v>
      </c>
      <c r="H1757" s="138" t="s">
        <v>344</v>
      </c>
      <c r="I1757" s="139">
        <v>4014.11</v>
      </c>
      <c r="K1757" s="96" t="str">
        <f t="shared" si="65"/>
        <v>0011-1005-0012</v>
      </c>
      <c r="L1757" s="96" t="str">
        <f>VLOOKUP(K1757,COA!$A$3:$B$337,2,FALSE)</f>
        <v>N11</v>
      </c>
      <c r="M1757" s="96" t="str">
        <f t="shared" si="66"/>
        <v>N11</v>
      </c>
      <c r="N1757" s="96" t="str">
        <f>VLOOKUP(M1757,CAC!$A$2:$B$198,2,FALSE)</f>
        <v>HMOLG</v>
      </c>
    </row>
    <row r="1758" spans="5:14" x14ac:dyDescent="0.25">
      <c r="E1758" s="136">
        <v>201502</v>
      </c>
      <c r="F1758" s="138" t="s">
        <v>345</v>
      </c>
      <c r="G1758" s="138" t="s">
        <v>352</v>
      </c>
      <c r="H1758" s="138" t="s">
        <v>344</v>
      </c>
      <c r="I1758" s="139">
        <v>4212.97</v>
      </c>
      <c r="K1758" s="96" t="str">
        <f t="shared" si="65"/>
        <v>0011-1004-0012</v>
      </c>
      <c r="L1758" s="96" t="str">
        <f>VLOOKUP(K1758,COA!$A$3:$B$337,2,FALSE)</f>
        <v>L11</v>
      </c>
      <c r="M1758" s="96" t="str">
        <f t="shared" si="66"/>
        <v>L11</v>
      </c>
      <c r="N1758" s="96" t="str">
        <f>VLOOKUP(M1758,CAC!$A$2:$B$198,2,FALSE)</f>
        <v>HMOLG</v>
      </c>
    </row>
    <row r="1759" spans="5:14" x14ac:dyDescent="0.25">
      <c r="E1759" s="136">
        <v>201710</v>
      </c>
      <c r="F1759" s="138" t="s">
        <v>506</v>
      </c>
      <c r="G1759" s="138" t="s">
        <v>359</v>
      </c>
      <c r="H1759" s="138" t="s">
        <v>592</v>
      </c>
      <c r="I1759" s="139">
        <v>0</v>
      </c>
      <c r="K1759" s="96" t="str">
        <f t="shared" si="65"/>
        <v>0013-1005-0035</v>
      </c>
      <c r="L1759" s="96" t="str">
        <f>VLOOKUP(K1759,COA!$A$3:$B$337,2,FALSE)</f>
        <v>N41</v>
      </c>
      <c r="M1759" s="96" t="str">
        <f t="shared" si="66"/>
        <v>N41</v>
      </c>
      <c r="N1759" s="96" t="e">
        <f>VLOOKUP(M1759,CAC!$A$2:$B$198,2,FALSE)</f>
        <v>#N/A</v>
      </c>
    </row>
    <row r="1760" spans="5:14" x14ac:dyDescent="0.25">
      <c r="E1760" s="136">
        <v>201601</v>
      </c>
      <c r="F1760" s="138" t="s">
        <v>413</v>
      </c>
      <c r="G1760" s="138" t="s">
        <v>355</v>
      </c>
      <c r="H1760" s="138" t="s">
        <v>344</v>
      </c>
      <c r="I1760" s="139">
        <v>0</v>
      </c>
      <c r="K1760" s="96" t="str">
        <f t="shared" si="65"/>
        <v>0008-1006-0012</v>
      </c>
      <c r="L1760" s="96" t="str">
        <f>VLOOKUP(K1760,COA!$A$3:$B$337,2,FALSE)</f>
        <v>C96</v>
      </c>
      <c r="M1760" s="96" t="str">
        <f t="shared" si="66"/>
        <v>C96</v>
      </c>
      <c r="N1760" s="96" t="str">
        <f>VLOOKUP(M1760,CAC!$A$2:$B$198,2,FALSE)</f>
        <v>DOILG</v>
      </c>
    </row>
    <row r="1761" spans="5:14" x14ac:dyDescent="0.25">
      <c r="E1761" s="136">
        <v>201606</v>
      </c>
      <c r="F1761" s="138" t="s">
        <v>563</v>
      </c>
      <c r="G1761" s="138" t="s">
        <v>352</v>
      </c>
      <c r="H1761" s="138" t="s">
        <v>653</v>
      </c>
      <c r="I1761" s="139">
        <v>0</v>
      </c>
      <c r="K1761" s="96" t="str">
        <f t="shared" si="65"/>
        <v>0003-1004-0047</v>
      </c>
      <c r="L1761" s="96" t="str">
        <f>VLOOKUP(K1761,COA!$A$3:$B$337,2,FALSE)</f>
        <v>L57</v>
      </c>
      <c r="M1761" s="96" t="str">
        <f t="shared" si="66"/>
        <v>L57</v>
      </c>
      <c r="N1761" s="96" t="str">
        <f>VLOOKUP(M1761,CAC!$A$2:$B$198,2,FALSE)</f>
        <v>PPOLG</v>
      </c>
    </row>
    <row r="1762" spans="5:14" x14ac:dyDescent="0.25">
      <c r="E1762" s="136">
        <v>201506</v>
      </c>
      <c r="F1762" s="138" t="s">
        <v>349</v>
      </c>
      <c r="G1762" s="138" t="s">
        <v>369</v>
      </c>
      <c r="H1762" s="138" t="s">
        <v>344</v>
      </c>
      <c r="I1762" s="139">
        <v>36644</v>
      </c>
      <c r="K1762" s="96" t="str">
        <f t="shared" si="65"/>
        <v>0017-1009-0012</v>
      </c>
      <c r="L1762" s="96" t="str">
        <f>VLOOKUP(K1762,COA!$A$3:$B$337,2,FALSE)</f>
        <v>R12</v>
      </c>
      <c r="M1762" s="96" t="str">
        <f t="shared" si="66"/>
        <v>R12</v>
      </c>
      <c r="N1762" s="96" t="str">
        <f>VLOOKUP(M1762,CAC!$A$2:$B$198,2,FALSE)</f>
        <v>HMOMM</v>
      </c>
    </row>
    <row r="1763" spans="5:14" x14ac:dyDescent="0.25">
      <c r="E1763" s="136">
        <v>201602</v>
      </c>
      <c r="F1763" s="138" t="s">
        <v>413</v>
      </c>
      <c r="G1763" s="138" t="s">
        <v>365</v>
      </c>
      <c r="H1763" s="138" t="s">
        <v>344</v>
      </c>
      <c r="I1763" s="139">
        <v>0</v>
      </c>
      <c r="K1763" s="96" t="str">
        <f t="shared" si="65"/>
        <v>0008-1001-0012</v>
      </c>
      <c r="L1763" s="96" t="str">
        <f>VLOOKUP(K1763,COA!$A$3:$B$337,2,FALSE)</f>
        <v>C95</v>
      </c>
      <c r="M1763" s="96" t="str">
        <f t="shared" si="66"/>
        <v>C95</v>
      </c>
      <c r="N1763" s="96" t="str">
        <f>VLOOKUP(M1763,CAC!$A$2:$B$198,2,FALSE)</f>
        <v>DOIIFP</v>
      </c>
    </row>
    <row r="1764" spans="5:14" x14ac:dyDescent="0.25">
      <c r="E1764" s="136">
        <v>201507</v>
      </c>
      <c r="F1764" s="138" t="s">
        <v>345</v>
      </c>
      <c r="G1764" s="138" t="s">
        <v>354</v>
      </c>
      <c r="H1764" s="138" t="s">
        <v>344</v>
      </c>
      <c r="I1764" s="139">
        <v>435.03</v>
      </c>
      <c r="K1764" s="96" t="str">
        <f t="shared" si="65"/>
        <v>0011-1013-0012</v>
      </c>
      <c r="L1764" s="96" t="str">
        <f>VLOOKUP(K1764,COA!$A$3:$B$337,2,FALSE)</f>
        <v>N20</v>
      </c>
      <c r="M1764" s="96" t="str">
        <f t="shared" si="66"/>
        <v>N20</v>
      </c>
      <c r="N1764" s="96" t="str">
        <f>VLOOKUP(M1764,CAC!$A$2:$B$198,2,FALSE)</f>
        <v>HMOPMR</v>
      </c>
    </row>
    <row r="1765" spans="5:14" x14ac:dyDescent="0.25">
      <c r="E1765" s="136">
        <v>201611</v>
      </c>
      <c r="F1765" s="138" t="s">
        <v>746</v>
      </c>
      <c r="G1765" s="138" t="s">
        <v>350</v>
      </c>
      <c r="H1765" s="138" t="s">
        <v>344</v>
      </c>
      <c r="I1765" s="139">
        <v>62</v>
      </c>
      <c r="K1765" s="96" t="str">
        <f t="shared" si="65"/>
        <v>0016-1012-0012</v>
      </c>
      <c r="L1765" s="96" t="str">
        <f>VLOOKUP(K1765,COA!$A$3:$B$337,2,FALSE)</f>
        <v>R19</v>
      </c>
      <c r="M1765" s="96" t="str">
        <f t="shared" si="66"/>
        <v>R19</v>
      </c>
      <c r="N1765" s="96" t="str">
        <f>VLOOKUP(M1765,CAC!$A$2:$B$198,2,FALSE)</f>
        <v>HMOMG</v>
      </c>
    </row>
    <row r="1766" spans="5:14" x14ac:dyDescent="0.25">
      <c r="E1766" s="136">
        <v>201609</v>
      </c>
      <c r="F1766" s="138" t="s">
        <v>563</v>
      </c>
      <c r="G1766" s="138" t="s">
        <v>348</v>
      </c>
      <c r="H1766" s="138" t="s">
        <v>349</v>
      </c>
      <c r="I1766" s="139">
        <v>0</v>
      </c>
      <c r="K1766" s="96" t="str">
        <f t="shared" si="65"/>
        <v>0003-1010-0017</v>
      </c>
      <c r="L1766" s="96" t="str">
        <f>VLOOKUP(K1766,COA!$A$3:$B$337,2,FALSE)</f>
        <v>S51</v>
      </c>
      <c r="M1766" s="96" t="str">
        <f t="shared" si="66"/>
        <v>S51</v>
      </c>
      <c r="N1766" s="96" t="str">
        <f>VLOOKUP(M1766,CAC!$A$2:$B$198,2,FALSE)</f>
        <v>PPOSG</v>
      </c>
    </row>
    <row r="1767" spans="5:14" x14ac:dyDescent="0.25">
      <c r="E1767" s="136">
        <v>201703</v>
      </c>
      <c r="F1767" s="138" t="s">
        <v>563</v>
      </c>
      <c r="G1767" s="138" t="s">
        <v>354</v>
      </c>
      <c r="H1767" s="138" t="s">
        <v>360</v>
      </c>
      <c r="I1767" s="139">
        <v>0</v>
      </c>
      <c r="K1767" s="96" t="str">
        <f t="shared" si="65"/>
        <v>0003-1013-0048</v>
      </c>
      <c r="L1767" s="96" t="str">
        <f>VLOOKUP(K1767,COA!$A$3:$B$337,2,FALSE)</f>
        <v>N56</v>
      </c>
      <c r="M1767" s="96" t="str">
        <f t="shared" si="66"/>
        <v>N56</v>
      </c>
      <c r="N1767" s="96" t="str">
        <f>VLOOKUP(M1767,CAC!$A$2:$B$198,2,FALSE)</f>
        <v>HMFLEX</v>
      </c>
    </row>
    <row r="1768" spans="5:14" x14ac:dyDescent="0.25">
      <c r="E1768" s="136">
        <v>201707</v>
      </c>
      <c r="F1768" s="138" t="s">
        <v>552</v>
      </c>
      <c r="G1768" s="138" t="s">
        <v>356</v>
      </c>
      <c r="H1768" s="138" t="s">
        <v>672</v>
      </c>
      <c r="I1768" s="139">
        <v>0</v>
      </c>
      <c r="K1768" s="96" t="str">
        <f t="shared" si="65"/>
        <v>0027-1002-0058</v>
      </c>
      <c r="L1768" s="96" t="str">
        <f>VLOOKUP(K1768,COA!$A$3:$B$337,2,FALSE)</f>
        <v>L45</v>
      </c>
      <c r="M1768" s="96" t="str">
        <f t="shared" si="66"/>
        <v>L45</v>
      </c>
      <c r="N1768" s="96" t="e">
        <f>VLOOKUP(M1768,CAC!$A$2:$B$198,2,FALSE)</f>
        <v>#N/A</v>
      </c>
    </row>
    <row r="1769" spans="5:14" x14ac:dyDescent="0.25">
      <c r="E1769" s="136">
        <v>201605</v>
      </c>
      <c r="F1769" s="138" t="s">
        <v>345</v>
      </c>
      <c r="G1769" s="138" t="s">
        <v>348</v>
      </c>
      <c r="H1769" s="138" t="s">
        <v>358</v>
      </c>
      <c r="I1769" s="139">
        <v>91</v>
      </c>
      <c r="K1769" s="96" t="str">
        <f t="shared" si="65"/>
        <v>0011-1010-0024</v>
      </c>
      <c r="L1769" s="96" t="str">
        <f>VLOOKUP(K1769,COA!$A$3:$B$337,2,FALSE)</f>
        <v>S14</v>
      </c>
      <c r="M1769" s="96" t="str">
        <f t="shared" si="66"/>
        <v>S14</v>
      </c>
      <c r="N1769" s="96" t="str">
        <f>VLOOKUP(M1769,CAC!$A$2:$B$198,2,FALSE)</f>
        <v>HMOSG</v>
      </c>
    </row>
    <row r="1770" spans="5:14" x14ac:dyDescent="0.25">
      <c r="E1770" s="136">
        <v>201601</v>
      </c>
      <c r="F1770" s="138" t="s">
        <v>563</v>
      </c>
      <c r="G1770" s="138" t="s">
        <v>365</v>
      </c>
      <c r="H1770" s="138" t="s">
        <v>366</v>
      </c>
      <c r="I1770" s="139">
        <v>0</v>
      </c>
      <c r="K1770" s="96" t="str">
        <f t="shared" si="65"/>
        <v>0003-1001-0021</v>
      </c>
      <c r="L1770" s="96" t="str">
        <f>VLOOKUP(K1770,COA!$A$3:$B$337,2,FALSE)</f>
        <v>V53</v>
      </c>
      <c r="M1770" s="96" t="str">
        <f t="shared" si="66"/>
        <v>V53</v>
      </c>
      <c r="N1770" s="96" t="str">
        <f>VLOOKUP(M1770,CAC!$A$2:$B$198,2,FALSE)</f>
        <v>PPOIFP</v>
      </c>
    </row>
    <row r="1771" spans="5:14" x14ac:dyDescent="0.25">
      <c r="E1771" s="136">
        <v>201509</v>
      </c>
      <c r="F1771" s="138" t="s">
        <v>506</v>
      </c>
      <c r="G1771" s="138" t="s">
        <v>346</v>
      </c>
      <c r="H1771" s="138" t="s">
        <v>592</v>
      </c>
      <c r="I1771" s="139">
        <v>0</v>
      </c>
      <c r="K1771" s="96" t="str">
        <f t="shared" si="65"/>
        <v>0013-1014-0035</v>
      </c>
      <c r="L1771" s="96" t="str">
        <f>VLOOKUP(K1771,COA!$A$3:$B$337,2,FALSE)</f>
        <v>K42</v>
      </c>
      <c r="M1771" s="96" t="str">
        <f t="shared" si="66"/>
        <v>K42</v>
      </c>
      <c r="N1771" s="96" t="str">
        <f>VLOOKUP(M1771,CAC!$A$2:$B$198,2,FALSE)</f>
        <v>HMFLEX</v>
      </c>
    </row>
    <row r="1772" spans="5:14" x14ac:dyDescent="0.25">
      <c r="E1772" s="136">
        <v>201603</v>
      </c>
      <c r="F1772" s="138" t="s">
        <v>563</v>
      </c>
      <c r="G1772" s="138" t="s">
        <v>350</v>
      </c>
      <c r="H1772" s="138" t="s">
        <v>344</v>
      </c>
      <c r="I1772" s="139">
        <v>0</v>
      </c>
      <c r="K1772" s="96" t="str">
        <f t="shared" si="65"/>
        <v>0003-1012-0012</v>
      </c>
      <c r="L1772" s="96" t="str">
        <f>VLOOKUP(K1772,COA!$A$3:$B$337,2,FALSE)</f>
        <v>K51</v>
      </c>
      <c r="M1772" s="96" t="str">
        <f t="shared" si="66"/>
        <v>K51</v>
      </c>
      <c r="N1772" s="96" t="str">
        <f>VLOOKUP(M1772,CAC!$A$2:$B$198,2,FALSE)</f>
        <v>PPOPMR</v>
      </c>
    </row>
    <row r="1773" spans="5:14" x14ac:dyDescent="0.25">
      <c r="E1773" s="136">
        <v>201607</v>
      </c>
      <c r="F1773" s="138" t="s">
        <v>552</v>
      </c>
      <c r="G1773" s="138" t="s">
        <v>356</v>
      </c>
      <c r="H1773" s="138" t="s">
        <v>672</v>
      </c>
      <c r="I1773" s="139">
        <v>0</v>
      </c>
      <c r="K1773" s="96" t="str">
        <f t="shared" si="65"/>
        <v>0027-1002-0058</v>
      </c>
      <c r="L1773" s="96" t="str">
        <f>VLOOKUP(K1773,COA!$A$3:$B$337,2,FALSE)</f>
        <v>L45</v>
      </c>
      <c r="M1773" s="96" t="str">
        <f t="shared" si="66"/>
        <v>L45</v>
      </c>
      <c r="N1773" s="96" t="e">
        <f>VLOOKUP(M1773,CAC!$A$2:$B$198,2,FALSE)</f>
        <v>#N/A</v>
      </c>
    </row>
    <row r="1774" spans="5:14" x14ac:dyDescent="0.25">
      <c r="E1774" s="136">
        <v>201507</v>
      </c>
      <c r="F1774" s="138" t="s">
        <v>345</v>
      </c>
      <c r="G1774" s="138" t="s">
        <v>350</v>
      </c>
      <c r="H1774" s="138" t="s">
        <v>360</v>
      </c>
      <c r="I1774" s="139">
        <v>592</v>
      </c>
      <c r="K1774" s="96" t="str">
        <f t="shared" si="65"/>
        <v>0011-1012-0048</v>
      </c>
      <c r="L1774" s="96" t="str">
        <f>VLOOKUP(K1774,COA!$A$3:$B$337,2,FALSE)</f>
        <v>K21</v>
      </c>
      <c r="M1774" s="96" t="str">
        <f t="shared" si="66"/>
        <v>K21</v>
      </c>
      <c r="N1774" s="96" t="str">
        <f>VLOOKUP(M1774,CAC!$A$2:$B$198,2,FALSE)</f>
        <v>HMFLEX</v>
      </c>
    </row>
    <row r="1775" spans="5:14" x14ac:dyDescent="0.25">
      <c r="E1775" s="136">
        <v>201502</v>
      </c>
      <c r="F1775" s="138" t="s">
        <v>746</v>
      </c>
      <c r="G1775" s="138" t="s">
        <v>352</v>
      </c>
      <c r="H1775" s="138" t="s">
        <v>344</v>
      </c>
      <c r="I1775" s="139">
        <v>0</v>
      </c>
      <c r="K1775" s="96" t="str">
        <f t="shared" si="65"/>
        <v>0016-1004-0012</v>
      </c>
      <c r="L1775" s="96" t="str">
        <f>VLOOKUP(K1775,COA!$A$3:$B$337,2,FALSE)</f>
        <v>R20</v>
      </c>
      <c r="M1775" s="96" t="str">
        <f t="shared" si="66"/>
        <v>R20</v>
      </c>
      <c r="N1775" s="96" t="str">
        <f>VLOOKUP(M1775,CAC!$A$2:$B$198,2,FALSE)</f>
        <v>HMOMG</v>
      </c>
    </row>
    <row r="1776" spans="5:14" x14ac:dyDescent="0.25">
      <c r="E1776" s="136">
        <v>201609</v>
      </c>
      <c r="F1776" s="138" t="s">
        <v>345</v>
      </c>
      <c r="G1776" s="138" t="s">
        <v>362</v>
      </c>
      <c r="H1776" s="138" t="s">
        <v>364</v>
      </c>
      <c r="I1776" s="139">
        <v>37692.019999999997</v>
      </c>
      <c r="K1776" s="96" t="str">
        <f t="shared" si="65"/>
        <v>0011-1008-0037</v>
      </c>
      <c r="L1776" s="96" t="str">
        <f>VLOOKUP(K1776,COA!$A$3:$B$337,2,FALSE)</f>
        <v>P12</v>
      </c>
      <c r="M1776" s="96" t="str">
        <f t="shared" si="66"/>
        <v>P12</v>
      </c>
      <c r="N1776" s="96" t="str">
        <f>VLOOKUP(M1776,CAC!$A$2:$B$198,2,FALSE)</f>
        <v>HMOPERA</v>
      </c>
    </row>
    <row r="1777" spans="5:14" x14ac:dyDescent="0.25">
      <c r="E1777" s="136">
        <v>201510</v>
      </c>
      <c r="F1777" s="138" t="s">
        <v>524</v>
      </c>
      <c r="G1777" s="138" t="s">
        <v>356</v>
      </c>
      <c r="H1777" s="138" t="s">
        <v>672</v>
      </c>
      <c r="I1777" s="139">
        <v>0</v>
      </c>
      <c r="K1777" s="96" t="str">
        <f t="shared" si="65"/>
        <v>0025-1002-0058</v>
      </c>
      <c r="L1777" s="96" t="str">
        <f>VLOOKUP(K1777,COA!$A$3:$B$337,2,FALSE)</f>
        <v>L45</v>
      </c>
      <c r="M1777" s="96" t="str">
        <f t="shared" si="66"/>
        <v>L45</v>
      </c>
      <c r="N1777" s="96" t="e">
        <f>VLOOKUP(M1777,CAC!$A$2:$B$198,2,FALSE)</f>
        <v>#N/A</v>
      </c>
    </row>
    <row r="1778" spans="5:14" x14ac:dyDescent="0.25">
      <c r="E1778" s="136">
        <v>201711</v>
      </c>
      <c r="F1778" s="138" t="s">
        <v>563</v>
      </c>
      <c r="G1778" s="138" t="s">
        <v>365</v>
      </c>
      <c r="H1778" s="138" t="s">
        <v>344</v>
      </c>
      <c r="I1778" s="139">
        <v>0</v>
      </c>
      <c r="K1778" s="96" t="str">
        <f t="shared" si="65"/>
        <v>0003-1001-0012</v>
      </c>
      <c r="L1778" s="96" t="str">
        <f>VLOOKUP(K1778,COA!$A$3:$B$337,2,FALSE)</f>
        <v>V51</v>
      </c>
      <c r="M1778" s="96" t="str">
        <f t="shared" si="66"/>
        <v>V51</v>
      </c>
      <c r="N1778" s="96" t="str">
        <f>VLOOKUP(M1778,CAC!$A$2:$B$198,2,FALSE)</f>
        <v>PPOIFP</v>
      </c>
    </row>
    <row r="1779" spans="5:14" x14ac:dyDescent="0.25">
      <c r="E1779" s="136">
        <v>201601</v>
      </c>
      <c r="F1779" s="138" t="s">
        <v>344</v>
      </c>
      <c r="G1779" s="138" t="s">
        <v>354</v>
      </c>
      <c r="H1779" s="138" t="s">
        <v>344</v>
      </c>
      <c r="I1779" s="139">
        <v>272</v>
      </c>
      <c r="K1779" s="96" t="str">
        <f t="shared" si="65"/>
        <v>0012-1013-0012</v>
      </c>
      <c r="L1779" s="96" t="str">
        <f>VLOOKUP(K1779,COA!$A$3:$B$337,2,FALSE)</f>
        <v>N14</v>
      </c>
      <c r="M1779" s="96" t="str">
        <f t="shared" si="66"/>
        <v>N14</v>
      </c>
      <c r="N1779" s="96" t="str">
        <f>VLOOKUP(M1779,CAC!$A$2:$B$198,2,FALSE)</f>
        <v>HMOPMR</v>
      </c>
    </row>
    <row r="1780" spans="5:14" x14ac:dyDescent="0.25">
      <c r="E1780" s="136">
        <v>201705</v>
      </c>
      <c r="F1780" s="138" t="s">
        <v>345</v>
      </c>
      <c r="G1780" s="138" t="s">
        <v>350</v>
      </c>
      <c r="H1780" s="138" t="s">
        <v>344</v>
      </c>
      <c r="I1780" s="139">
        <v>17460.16</v>
      </c>
      <c r="K1780" s="96" t="str">
        <f t="shared" si="65"/>
        <v>0011-1012-0012</v>
      </c>
      <c r="L1780" s="96" t="str">
        <f>VLOOKUP(K1780,COA!$A$3:$B$337,2,FALSE)</f>
        <v>K11</v>
      </c>
      <c r="M1780" s="96" t="str">
        <f t="shared" si="66"/>
        <v>K11</v>
      </c>
      <c r="N1780" s="96" t="str">
        <f>VLOOKUP(M1780,CAC!$A$2:$B$198,2,FALSE)</f>
        <v>HMOPMR</v>
      </c>
    </row>
    <row r="1781" spans="5:14" x14ac:dyDescent="0.25">
      <c r="E1781" s="136">
        <v>201510</v>
      </c>
      <c r="F1781" s="138" t="s">
        <v>345</v>
      </c>
      <c r="G1781" s="138" t="s">
        <v>348</v>
      </c>
      <c r="H1781" s="138" t="s">
        <v>349</v>
      </c>
      <c r="I1781" s="139">
        <v>19353.57</v>
      </c>
      <c r="K1781" s="96" t="str">
        <f t="shared" si="65"/>
        <v>0011-1010-0017</v>
      </c>
      <c r="L1781" s="96" t="str">
        <f>VLOOKUP(K1781,COA!$A$3:$B$337,2,FALSE)</f>
        <v>S11</v>
      </c>
      <c r="M1781" s="96" t="str">
        <f t="shared" si="66"/>
        <v>S11</v>
      </c>
      <c r="N1781" s="96" t="str">
        <f>VLOOKUP(M1781,CAC!$A$2:$B$198,2,FALSE)</f>
        <v>HMOSG</v>
      </c>
    </row>
    <row r="1782" spans="5:14" x14ac:dyDescent="0.25">
      <c r="E1782" s="136">
        <v>201709</v>
      </c>
      <c r="F1782" s="138" t="s">
        <v>345</v>
      </c>
      <c r="G1782" s="138" t="s">
        <v>356</v>
      </c>
      <c r="H1782" s="138" t="s">
        <v>344</v>
      </c>
      <c r="I1782" s="139">
        <v>16119.15</v>
      </c>
      <c r="K1782" s="96" t="str">
        <f t="shared" si="65"/>
        <v>0011-1002-0012</v>
      </c>
      <c r="L1782" s="96" t="str">
        <f>VLOOKUP(K1782,COA!$A$3:$B$337,2,FALSE)</f>
        <v>F20</v>
      </c>
      <c r="M1782" s="96" t="str">
        <f t="shared" si="66"/>
        <v>F20</v>
      </c>
      <c r="N1782" s="96" t="str">
        <f>VLOOKUP(M1782,CAC!$A$2:$B$198,2,FALSE)</f>
        <v>HMOPMR</v>
      </c>
    </row>
    <row r="1783" spans="5:14" x14ac:dyDescent="0.25">
      <c r="E1783" s="136">
        <v>201711</v>
      </c>
      <c r="F1783" s="138" t="s">
        <v>349</v>
      </c>
      <c r="G1783" s="138" t="s">
        <v>369</v>
      </c>
      <c r="H1783" s="138" t="s">
        <v>764</v>
      </c>
      <c r="I1783" s="139">
        <v>5258</v>
      </c>
      <c r="K1783" s="96" t="str">
        <f t="shared" si="65"/>
        <v>0017-1009-0064</v>
      </c>
      <c r="L1783" s="96" t="str">
        <f>VLOOKUP(K1783,COA!$A$3:$B$337,2,FALSE)</f>
        <v>R15</v>
      </c>
      <c r="M1783" s="96" t="str">
        <f t="shared" si="66"/>
        <v>R15</v>
      </c>
      <c r="N1783" s="96" t="str">
        <f>VLOOKUP(M1783,CAC!$A$2:$B$198,2,FALSE)</f>
        <v>HMOMM</v>
      </c>
    </row>
    <row r="1784" spans="5:14" x14ac:dyDescent="0.25">
      <c r="E1784" s="136">
        <v>201509</v>
      </c>
      <c r="F1784" s="138" t="s">
        <v>506</v>
      </c>
      <c r="G1784" s="138" t="s">
        <v>361</v>
      </c>
      <c r="H1784" s="138" t="s">
        <v>592</v>
      </c>
      <c r="I1784" s="139">
        <v>0</v>
      </c>
      <c r="K1784" s="96" t="str">
        <f t="shared" si="65"/>
        <v>0013-1003-0035</v>
      </c>
      <c r="L1784" s="96" t="str">
        <f>VLOOKUP(K1784,COA!$A$3:$B$337,2,FALSE)</f>
        <v>N32</v>
      </c>
      <c r="M1784" s="96" t="str">
        <f t="shared" si="66"/>
        <v>N32</v>
      </c>
      <c r="N1784" s="96" t="e">
        <f>VLOOKUP(M1784,CAC!$A$2:$B$198,2,FALSE)</f>
        <v>#N/A</v>
      </c>
    </row>
    <row r="1785" spans="5:14" x14ac:dyDescent="0.25">
      <c r="E1785" s="136">
        <v>201706</v>
      </c>
      <c r="F1785" s="138" t="s">
        <v>344</v>
      </c>
      <c r="G1785" s="138" t="s">
        <v>359</v>
      </c>
      <c r="H1785" s="138" t="s">
        <v>344</v>
      </c>
      <c r="I1785" s="139">
        <v>152</v>
      </c>
      <c r="K1785" s="96" t="str">
        <f t="shared" si="65"/>
        <v>0012-1005-0012</v>
      </c>
      <c r="L1785" s="96" t="str">
        <f>VLOOKUP(K1785,COA!$A$3:$B$337,2,FALSE)</f>
        <v>N13</v>
      </c>
      <c r="M1785" s="96" t="str">
        <f t="shared" si="66"/>
        <v>N13</v>
      </c>
      <c r="N1785" s="96" t="str">
        <f>VLOOKUP(M1785,CAC!$A$2:$B$198,2,FALSE)</f>
        <v>HMOLG</v>
      </c>
    </row>
    <row r="1786" spans="5:14" x14ac:dyDescent="0.25">
      <c r="E1786" s="136">
        <v>201511</v>
      </c>
      <c r="F1786" s="138" t="s">
        <v>405</v>
      </c>
      <c r="G1786" s="138" t="s">
        <v>362</v>
      </c>
      <c r="H1786" s="138" t="s">
        <v>759</v>
      </c>
      <c r="I1786" s="139">
        <v>0</v>
      </c>
      <c r="K1786" s="96" t="str">
        <f t="shared" si="65"/>
        <v>0019-1008-0032</v>
      </c>
      <c r="L1786" s="96" t="str">
        <f>VLOOKUP(K1786,COA!$A$3:$B$337,2,FALSE)</f>
        <v>P58</v>
      </c>
      <c r="M1786" s="96" t="str">
        <f t="shared" si="66"/>
        <v>P58</v>
      </c>
      <c r="N1786" s="96" t="str">
        <f>VLOOKUP(M1786,CAC!$A$2:$B$198,2,FALSE)</f>
        <v>PERMEDA</v>
      </c>
    </row>
    <row r="1787" spans="5:14" x14ac:dyDescent="0.25">
      <c r="E1787" s="136">
        <v>201607</v>
      </c>
      <c r="F1787" s="138" t="s">
        <v>563</v>
      </c>
      <c r="G1787" s="138" t="s">
        <v>350</v>
      </c>
      <c r="H1787" s="138" t="s">
        <v>626</v>
      </c>
      <c r="I1787" s="139">
        <v>0</v>
      </c>
      <c r="K1787" s="96" t="str">
        <f t="shared" si="65"/>
        <v>0003-1012-0057</v>
      </c>
      <c r="L1787" s="96" t="str">
        <f>VLOOKUP(K1787,COA!$A$3:$B$337,2,FALSE)</f>
        <v>K51</v>
      </c>
      <c r="M1787" s="96" t="str">
        <f t="shared" si="66"/>
        <v>K51</v>
      </c>
      <c r="N1787" s="96" t="str">
        <f>VLOOKUP(M1787,CAC!$A$2:$B$198,2,FALSE)</f>
        <v>PPOPMR</v>
      </c>
    </row>
    <row r="1788" spans="5:14" x14ac:dyDescent="0.25">
      <c r="E1788" s="136">
        <v>201612</v>
      </c>
      <c r="F1788" s="138" t="s">
        <v>345</v>
      </c>
      <c r="G1788" s="138" t="s">
        <v>356</v>
      </c>
      <c r="H1788" s="138" t="s">
        <v>344</v>
      </c>
      <c r="I1788" s="139">
        <v>15560.13</v>
      </c>
      <c r="K1788" s="96" t="str">
        <f t="shared" si="65"/>
        <v>0011-1002-0012</v>
      </c>
      <c r="L1788" s="96" t="str">
        <f>VLOOKUP(K1788,COA!$A$3:$B$337,2,FALSE)</f>
        <v>F20</v>
      </c>
      <c r="M1788" s="96" t="str">
        <f t="shared" si="66"/>
        <v>F20</v>
      </c>
      <c r="N1788" s="96" t="str">
        <f>VLOOKUP(M1788,CAC!$A$2:$B$198,2,FALSE)</f>
        <v>HMOPMR</v>
      </c>
    </row>
    <row r="1789" spans="5:14" x14ac:dyDescent="0.25">
      <c r="E1789" s="136">
        <v>201609</v>
      </c>
      <c r="F1789" s="138" t="s">
        <v>506</v>
      </c>
      <c r="G1789" s="138" t="s">
        <v>352</v>
      </c>
      <c r="H1789" s="138" t="s">
        <v>592</v>
      </c>
      <c r="I1789" s="139">
        <v>0</v>
      </c>
      <c r="K1789" s="96" t="str">
        <f t="shared" si="65"/>
        <v>0013-1004-0035</v>
      </c>
      <c r="L1789" s="96" t="str">
        <f>VLOOKUP(K1789,COA!$A$3:$B$337,2,FALSE)</f>
        <v>L41</v>
      </c>
      <c r="M1789" s="96" t="str">
        <f t="shared" si="66"/>
        <v>L41</v>
      </c>
      <c r="N1789" s="96" t="e">
        <f>VLOOKUP(M1789,CAC!$A$2:$B$198,2,FALSE)</f>
        <v>#N/A</v>
      </c>
    </row>
    <row r="1790" spans="5:14" x14ac:dyDescent="0.25">
      <c r="E1790" s="136">
        <v>201601</v>
      </c>
      <c r="F1790" s="138" t="s">
        <v>342</v>
      </c>
      <c r="G1790" s="138" t="s">
        <v>343</v>
      </c>
      <c r="H1790" s="138" t="s">
        <v>344</v>
      </c>
      <c r="I1790" s="139">
        <v>6066.57</v>
      </c>
      <c r="K1790" s="96" t="str">
        <f t="shared" si="65"/>
        <v>0031-1000-0012</v>
      </c>
      <c r="L1790" s="96" t="str">
        <f>VLOOKUP(K1790,COA!$A$3:$B$337,2,FALSE)</f>
        <v>F27</v>
      </c>
      <c r="M1790" s="96" t="str">
        <f t="shared" si="66"/>
        <v>F27</v>
      </c>
      <c r="N1790" s="96" t="str">
        <f>VLOOKUP(M1790,CAC!$A$2:$B$198,2,FALSE)</f>
        <v>HMOFEP</v>
      </c>
    </row>
    <row r="1791" spans="5:14" x14ac:dyDescent="0.25">
      <c r="E1791" s="136">
        <v>201701</v>
      </c>
      <c r="F1791" s="138" t="s">
        <v>563</v>
      </c>
      <c r="G1791" s="138" t="s">
        <v>354</v>
      </c>
      <c r="H1791" s="138" t="s">
        <v>344</v>
      </c>
      <c r="I1791" s="139">
        <v>0</v>
      </c>
      <c r="K1791" s="96" t="str">
        <f t="shared" si="65"/>
        <v>0003-1013-0012</v>
      </c>
      <c r="L1791" s="96" t="str">
        <f>VLOOKUP(K1791,COA!$A$3:$B$337,2,FALSE)</f>
        <v>N55</v>
      </c>
      <c r="M1791" s="96" t="str">
        <f t="shared" si="66"/>
        <v>N55</v>
      </c>
      <c r="N1791" s="96" t="str">
        <f>VLOOKUP(M1791,CAC!$A$2:$B$198,2,FALSE)</f>
        <v>PPOPMR</v>
      </c>
    </row>
    <row r="1792" spans="5:14" x14ac:dyDescent="0.25">
      <c r="E1792" s="136">
        <v>201510</v>
      </c>
      <c r="F1792" s="138" t="s">
        <v>524</v>
      </c>
      <c r="G1792" s="138" t="s">
        <v>359</v>
      </c>
      <c r="H1792" s="138" t="s">
        <v>672</v>
      </c>
      <c r="I1792" s="139">
        <v>0</v>
      </c>
      <c r="K1792" s="96" t="str">
        <f t="shared" si="65"/>
        <v>0025-1005-0058</v>
      </c>
      <c r="L1792" s="96" t="str">
        <f>VLOOKUP(K1792,COA!$A$3:$B$337,2,FALSE)</f>
        <v>N46</v>
      </c>
      <c r="M1792" s="96" t="str">
        <f t="shared" si="66"/>
        <v>N46</v>
      </c>
      <c r="N1792" s="96" t="e">
        <f>VLOOKUP(M1792,CAC!$A$2:$B$198,2,FALSE)</f>
        <v>#N/A</v>
      </c>
    </row>
    <row r="1793" spans="5:14" x14ac:dyDescent="0.25">
      <c r="E1793" s="136">
        <v>201708</v>
      </c>
      <c r="F1793" s="138" t="s">
        <v>345</v>
      </c>
      <c r="G1793" s="138" t="s">
        <v>352</v>
      </c>
      <c r="H1793" s="138" t="s">
        <v>653</v>
      </c>
      <c r="I1793" s="139">
        <v>0</v>
      </c>
      <c r="K1793" s="96" t="str">
        <f t="shared" si="65"/>
        <v>0011-1004-0047</v>
      </c>
      <c r="L1793" s="96" t="str">
        <f>VLOOKUP(K1793,COA!$A$3:$B$337,2,FALSE)</f>
        <v>L17</v>
      </c>
      <c r="M1793" s="96" t="str">
        <f t="shared" si="66"/>
        <v>L17</v>
      </c>
      <c r="N1793" s="96" t="str">
        <f>VLOOKUP(M1793,CAC!$A$2:$B$198,2,FALSE)</f>
        <v>HMOLG</v>
      </c>
    </row>
    <row r="1794" spans="5:14" x14ac:dyDescent="0.25">
      <c r="E1794" s="136">
        <v>201509</v>
      </c>
      <c r="F1794" s="138" t="s">
        <v>563</v>
      </c>
      <c r="G1794" s="138" t="s">
        <v>354</v>
      </c>
      <c r="H1794" s="138" t="s">
        <v>626</v>
      </c>
      <c r="I1794" s="139">
        <v>0</v>
      </c>
      <c r="K1794" s="96" t="str">
        <f t="shared" si="65"/>
        <v>0003-1013-0057</v>
      </c>
      <c r="L1794" s="96" t="str">
        <f>VLOOKUP(K1794,COA!$A$3:$B$337,2,FALSE)</f>
        <v>N55</v>
      </c>
      <c r="M1794" s="96" t="str">
        <f t="shared" si="66"/>
        <v>N55</v>
      </c>
      <c r="N1794" s="96" t="str">
        <f>VLOOKUP(M1794,CAC!$A$2:$B$198,2,FALSE)</f>
        <v>PPOPMR</v>
      </c>
    </row>
    <row r="1795" spans="5:14" x14ac:dyDescent="0.25">
      <c r="E1795" s="136">
        <v>201512</v>
      </c>
      <c r="F1795" s="138" t="s">
        <v>345</v>
      </c>
      <c r="G1795" s="138" t="s">
        <v>351</v>
      </c>
      <c r="H1795" s="138" t="s">
        <v>349</v>
      </c>
      <c r="I1795" s="139">
        <v>0</v>
      </c>
      <c r="K1795" s="96" t="str">
        <f t="shared" ref="K1795:K1858" si="67">F1795&amp;"-"&amp;G1795&amp;"-"&amp;H1795</f>
        <v>0011-0000-0017</v>
      </c>
      <c r="L1795" s="96" t="e">
        <f>VLOOKUP(K1795,COA!$A$3:$B$337,2,FALSE)</f>
        <v>#N/A</v>
      </c>
      <c r="M1795" s="96" t="str">
        <f t="shared" si="66"/>
        <v>XXX</v>
      </c>
      <c r="N1795" s="96" t="str">
        <f>VLOOKUP(M1795,CAC!$A$2:$B$198,2,FALSE)</f>
        <v>XXX</v>
      </c>
    </row>
    <row r="1796" spans="5:14" x14ac:dyDescent="0.25">
      <c r="E1796" s="136">
        <v>201711</v>
      </c>
      <c r="F1796" s="138" t="s">
        <v>345</v>
      </c>
      <c r="G1796" s="138" t="s">
        <v>348</v>
      </c>
      <c r="H1796" s="138" t="s">
        <v>353</v>
      </c>
      <c r="I1796" s="139">
        <v>449</v>
      </c>
      <c r="K1796" s="96" t="str">
        <f t="shared" si="67"/>
        <v>0011-1010-0023</v>
      </c>
      <c r="L1796" s="96" t="str">
        <f>VLOOKUP(K1796,COA!$A$3:$B$337,2,FALSE)</f>
        <v>S13</v>
      </c>
      <c r="M1796" s="96" t="str">
        <f t="shared" ref="M1796:M1859" si="68">IF(ISNA(L1796),"XXX",L1796)</f>
        <v>S13</v>
      </c>
      <c r="N1796" s="96" t="str">
        <f>VLOOKUP(M1796,CAC!$A$2:$B$198,2,FALSE)</f>
        <v>HMOSG</v>
      </c>
    </row>
    <row r="1797" spans="5:14" x14ac:dyDescent="0.25">
      <c r="E1797" s="136">
        <v>201610</v>
      </c>
      <c r="F1797" s="138" t="s">
        <v>344</v>
      </c>
      <c r="G1797" s="138" t="s">
        <v>356</v>
      </c>
      <c r="H1797" s="138" t="s">
        <v>344</v>
      </c>
      <c r="I1797" s="139">
        <v>4135</v>
      </c>
      <c r="K1797" s="96" t="str">
        <f t="shared" si="67"/>
        <v>0012-1002-0012</v>
      </c>
      <c r="L1797" s="96" t="str">
        <f>VLOOKUP(K1797,COA!$A$3:$B$337,2,FALSE)</f>
        <v>F22</v>
      </c>
      <c r="M1797" s="96" t="str">
        <f t="shared" si="68"/>
        <v>F22</v>
      </c>
      <c r="N1797" s="96" t="str">
        <f>VLOOKUP(M1797,CAC!$A$2:$B$198,2,FALSE)</f>
        <v>HMOPMR</v>
      </c>
    </row>
    <row r="1798" spans="5:14" x14ac:dyDescent="0.25">
      <c r="E1798" s="136">
        <v>201603</v>
      </c>
      <c r="F1798" s="138" t="s">
        <v>345</v>
      </c>
      <c r="G1798" s="138" t="s">
        <v>354</v>
      </c>
      <c r="H1798" s="138" t="s">
        <v>360</v>
      </c>
      <c r="I1798" s="139">
        <v>2175.94</v>
      </c>
      <c r="K1798" s="96" t="str">
        <f t="shared" si="67"/>
        <v>0011-1013-0048</v>
      </c>
      <c r="L1798" s="96" t="str">
        <f>VLOOKUP(K1798,COA!$A$3:$B$337,2,FALSE)</f>
        <v>N21</v>
      </c>
      <c r="M1798" s="96" t="str">
        <f t="shared" si="68"/>
        <v>N21</v>
      </c>
      <c r="N1798" s="96" t="str">
        <f>VLOOKUP(M1798,CAC!$A$2:$B$198,2,FALSE)</f>
        <v>HMFLEX</v>
      </c>
    </row>
    <row r="1799" spans="5:14" x14ac:dyDescent="0.25">
      <c r="E1799" s="136">
        <v>201710</v>
      </c>
      <c r="F1799" s="138" t="s">
        <v>345</v>
      </c>
      <c r="G1799" s="138" t="s">
        <v>361</v>
      </c>
      <c r="H1799" s="138" t="s">
        <v>344</v>
      </c>
      <c r="I1799" s="139">
        <v>882</v>
      </c>
      <c r="K1799" s="96" t="str">
        <f t="shared" si="67"/>
        <v>0011-1003-0012</v>
      </c>
      <c r="L1799" s="96" t="str">
        <f>VLOOKUP(K1799,COA!$A$3:$B$337,2,FALSE)</f>
        <v>N16</v>
      </c>
      <c r="M1799" s="96" t="str">
        <f t="shared" si="68"/>
        <v>N16</v>
      </c>
      <c r="N1799" s="96" t="str">
        <f>VLOOKUP(M1799,CAC!$A$2:$B$198,2,FALSE)</f>
        <v>HMOPMR</v>
      </c>
    </row>
    <row r="1800" spans="5:14" x14ac:dyDescent="0.25">
      <c r="E1800" s="136">
        <v>201612</v>
      </c>
      <c r="F1800" s="138" t="s">
        <v>746</v>
      </c>
      <c r="G1800" s="138" t="s">
        <v>356</v>
      </c>
      <c r="H1800" s="138" t="s">
        <v>344</v>
      </c>
      <c r="I1800" s="139">
        <v>135</v>
      </c>
      <c r="K1800" s="96" t="str">
        <f t="shared" si="67"/>
        <v>0016-1002-0012</v>
      </c>
      <c r="L1800" s="96" t="str">
        <f>VLOOKUP(K1800,COA!$A$3:$B$337,2,FALSE)</f>
        <v>R18</v>
      </c>
      <c r="M1800" s="96" t="str">
        <f t="shared" si="68"/>
        <v>R18</v>
      </c>
      <c r="N1800" s="96" t="str">
        <f>VLOOKUP(M1800,CAC!$A$2:$B$198,2,FALSE)</f>
        <v>HMOMG</v>
      </c>
    </row>
    <row r="1801" spans="5:14" x14ac:dyDescent="0.25">
      <c r="E1801" s="136">
        <v>201801</v>
      </c>
      <c r="F1801" s="138" t="s">
        <v>563</v>
      </c>
      <c r="G1801" s="138" t="s">
        <v>365</v>
      </c>
      <c r="H1801" s="138" t="s">
        <v>798</v>
      </c>
      <c r="I1801" s="139">
        <v>0</v>
      </c>
      <c r="K1801" s="96" t="str">
        <f t="shared" si="67"/>
        <v>0003-1001-0065</v>
      </c>
      <c r="L1801" s="96" t="str">
        <f>VLOOKUP(K1801,COA!$A$3:$B$337,2,FALSE)</f>
        <v>V55</v>
      </c>
      <c r="M1801" s="96" t="str">
        <f t="shared" si="68"/>
        <v>V55</v>
      </c>
      <c r="N1801" s="96" t="e">
        <f>VLOOKUP(M1801,CAC!$A$2:$B$198,2,FALSE)</f>
        <v>#N/A</v>
      </c>
    </row>
    <row r="1802" spans="5:14" x14ac:dyDescent="0.25">
      <c r="E1802" s="136">
        <v>201507</v>
      </c>
      <c r="F1802" s="138" t="s">
        <v>342</v>
      </c>
      <c r="G1802" s="138" t="s">
        <v>343</v>
      </c>
      <c r="H1802" s="138" t="s">
        <v>344</v>
      </c>
      <c r="I1802" s="139">
        <v>6596.65</v>
      </c>
      <c r="K1802" s="96" t="str">
        <f t="shared" si="67"/>
        <v>0031-1000-0012</v>
      </c>
      <c r="L1802" s="96" t="str">
        <f>VLOOKUP(K1802,COA!$A$3:$B$337,2,FALSE)</f>
        <v>F27</v>
      </c>
      <c r="M1802" s="96" t="str">
        <f t="shared" si="68"/>
        <v>F27</v>
      </c>
      <c r="N1802" s="96" t="str">
        <f>VLOOKUP(M1802,CAC!$A$2:$B$198,2,FALSE)</f>
        <v>HMOFEP</v>
      </c>
    </row>
    <row r="1803" spans="5:14" x14ac:dyDescent="0.25">
      <c r="E1803" s="136">
        <v>201702</v>
      </c>
      <c r="F1803" s="138" t="s">
        <v>342</v>
      </c>
      <c r="G1803" s="138" t="s">
        <v>343</v>
      </c>
      <c r="H1803" s="138" t="s">
        <v>344</v>
      </c>
      <c r="I1803" s="139">
        <v>5690.31</v>
      </c>
      <c r="K1803" s="96" t="str">
        <f t="shared" si="67"/>
        <v>0031-1000-0012</v>
      </c>
      <c r="L1803" s="96" t="str">
        <f>VLOOKUP(K1803,COA!$A$3:$B$337,2,FALSE)</f>
        <v>F27</v>
      </c>
      <c r="M1803" s="96" t="str">
        <f t="shared" si="68"/>
        <v>F27</v>
      </c>
      <c r="N1803" s="96" t="str">
        <f>VLOOKUP(M1803,CAC!$A$2:$B$198,2,FALSE)</f>
        <v>HMOFEP</v>
      </c>
    </row>
    <row r="1804" spans="5:14" x14ac:dyDescent="0.25">
      <c r="E1804" s="136">
        <v>201801</v>
      </c>
      <c r="F1804" s="138" t="s">
        <v>345</v>
      </c>
      <c r="G1804" s="138" t="s">
        <v>354</v>
      </c>
      <c r="H1804" s="138" t="s">
        <v>360</v>
      </c>
      <c r="I1804" s="139">
        <v>5104</v>
      </c>
      <c r="K1804" s="96" t="str">
        <f t="shared" si="67"/>
        <v>0011-1013-0048</v>
      </c>
      <c r="L1804" s="96" t="str">
        <f>VLOOKUP(K1804,COA!$A$3:$B$337,2,FALSE)</f>
        <v>N21</v>
      </c>
      <c r="M1804" s="96" t="str">
        <f t="shared" si="68"/>
        <v>N21</v>
      </c>
      <c r="N1804" s="96" t="str">
        <f>VLOOKUP(M1804,CAC!$A$2:$B$198,2,FALSE)</f>
        <v>HMFLEX</v>
      </c>
    </row>
    <row r="1805" spans="5:14" x14ac:dyDescent="0.25">
      <c r="E1805" s="136">
        <v>201705</v>
      </c>
      <c r="F1805" s="138" t="s">
        <v>344</v>
      </c>
      <c r="G1805" s="138" t="s">
        <v>354</v>
      </c>
      <c r="H1805" s="138" t="s">
        <v>344</v>
      </c>
      <c r="I1805" s="139">
        <v>286</v>
      </c>
      <c r="K1805" s="96" t="str">
        <f t="shared" si="67"/>
        <v>0012-1013-0012</v>
      </c>
      <c r="L1805" s="96" t="str">
        <f>VLOOKUP(K1805,COA!$A$3:$B$337,2,FALSE)</f>
        <v>N14</v>
      </c>
      <c r="M1805" s="96" t="str">
        <f t="shared" si="68"/>
        <v>N14</v>
      </c>
      <c r="N1805" s="96" t="str">
        <f>VLOOKUP(M1805,CAC!$A$2:$B$198,2,FALSE)</f>
        <v>HMOPMR</v>
      </c>
    </row>
    <row r="1806" spans="5:14" x14ac:dyDescent="0.25">
      <c r="E1806" s="136">
        <v>201509</v>
      </c>
      <c r="F1806" s="138" t="s">
        <v>746</v>
      </c>
      <c r="G1806" s="138" t="s">
        <v>354</v>
      </c>
      <c r="H1806" s="138" t="s">
        <v>344</v>
      </c>
      <c r="I1806" s="139">
        <v>82</v>
      </c>
      <c r="K1806" s="96" t="str">
        <f t="shared" si="67"/>
        <v>0016-1013-0012</v>
      </c>
      <c r="L1806" s="96" t="str">
        <f>VLOOKUP(K1806,COA!$A$3:$B$337,2,FALSE)</f>
        <v>R19</v>
      </c>
      <c r="M1806" s="96" t="str">
        <f t="shared" si="68"/>
        <v>R19</v>
      </c>
      <c r="N1806" s="96" t="str">
        <f>VLOOKUP(M1806,CAC!$A$2:$B$198,2,FALSE)</f>
        <v>HMOMG</v>
      </c>
    </row>
    <row r="1807" spans="5:14" x14ac:dyDescent="0.25">
      <c r="E1807" s="136">
        <v>201506</v>
      </c>
      <c r="F1807" s="138" t="s">
        <v>563</v>
      </c>
      <c r="G1807" s="138" t="s">
        <v>350</v>
      </c>
      <c r="H1807" s="138" t="s">
        <v>344</v>
      </c>
      <c r="I1807" s="139">
        <v>0</v>
      </c>
      <c r="K1807" s="96" t="str">
        <f t="shared" si="67"/>
        <v>0003-1012-0012</v>
      </c>
      <c r="L1807" s="96" t="str">
        <f>VLOOKUP(K1807,COA!$A$3:$B$337,2,FALSE)</f>
        <v>K51</v>
      </c>
      <c r="M1807" s="96" t="str">
        <f t="shared" si="68"/>
        <v>K51</v>
      </c>
      <c r="N1807" s="96" t="str">
        <f>VLOOKUP(M1807,CAC!$A$2:$B$198,2,FALSE)</f>
        <v>PPOPMR</v>
      </c>
    </row>
    <row r="1808" spans="5:14" x14ac:dyDescent="0.25">
      <c r="E1808" s="136">
        <v>201702</v>
      </c>
      <c r="F1808" s="138" t="s">
        <v>345</v>
      </c>
      <c r="G1808" s="138" t="s">
        <v>351</v>
      </c>
      <c r="H1808" s="138" t="s">
        <v>349</v>
      </c>
      <c r="I1808" s="139">
        <v>0</v>
      </c>
      <c r="K1808" s="96" t="str">
        <f t="shared" si="67"/>
        <v>0011-0000-0017</v>
      </c>
      <c r="L1808" s="96" t="e">
        <f>VLOOKUP(K1808,COA!$A$3:$B$337,2,FALSE)</f>
        <v>#N/A</v>
      </c>
      <c r="M1808" s="96" t="str">
        <f t="shared" si="68"/>
        <v>XXX</v>
      </c>
      <c r="N1808" s="96" t="str">
        <f>VLOOKUP(M1808,CAC!$A$2:$B$198,2,FALSE)</f>
        <v>XXX</v>
      </c>
    </row>
    <row r="1809" spans="5:14" x14ac:dyDescent="0.25">
      <c r="E1809" s="136">
        <v>201604</v>
      </c>
      <c r="F1809" s="138" t="s">
        <v>563</v>
      </c>
      <c r="G1809" s="138" t="s">
        <v>354</v>
      </c>
      <c r="H1809" s="138" t="s">
        <v>344</v>
      </c>
      <c r="I1809" s="139">
        <v>0</v>
      </c>
      <c r="K1809" s="96" t="str">
        <f t="shared" si="67"/>
        <v>0003-1013-0012</v>
      </c>
      <c r="L1809" s="96" t="str">
        <f>VLOOKUP(K1809,COA!$A$3:$B$337,2,FALSE)</f>
        <v>N55</v>
      </c>
      <c r="M1809" s="96" t="str">
        <f t="shared" si="68"/>
        <v>N55</v>
      </c>
      <c r="N1809" s="96" t="str">
        <f>VLOOKUP(M1809,CAC!$A$2:$B$198,2,FALSE)</f>
        <v>PPOPMR</v>
      </c>
    </row>
    <row r="1810" spans="5:14" x14ac:dyDescent="0.25">
      <c r="E1810" s="136">
        <v>201503</v>
      </c>
      <c r="F1810" s="138" t="s">
        <v>413</v>
      </c>
      <c r="G1810" s="138" t="s">
        <v>365</v>
      </c>
      <c r="H1810" s="138" t="s">
        <v>344</v>
      </c>
      <c r="I1810" s="139">
        <v>0</v>
      </c>
      <c r="K1810" s="96" t="str">
        <f t="shared" si="67"/>
        <v>0008-1001-0012</v>
      </c>
      <c r="L1810" s="96" t="str">
        <f>VLOOKUP(K1810,COA!$A$3:$B$337,2,FALSE)</f>
        <v>C95</v>
      </c>
      <c r="M1810" s="96" t="str">
        <f t="shared" si="68"/>
        <v>C95</v>
      </c>
      <c r="N1810" s="96" t="str">
        <f>VLOOKUP(M1810,CAC!$A$2:$B$198,2,FALSE)</f>
        <v>DOIIFP</v>
      </c>
    </row>
    <row r="1811" spans="5:14" x14ac:dyDescent="0.25">
      <c r="E1811" s="136">
        <v>201603</v>
      </c>
      <c r="F1811" s="138" t="s">
        <v>413</v>
      </c>
      <c r="G1811" s="138" t="s">
        <v>359</v>
      </c>
      <c r="H1811" s="138" t="s">
        <v>344</v>
      </c>
      <c r="I1811" s="139">
        <v>0</v>
      </c>
      <c r="K1811" s="96" t="str">
        <f t="shared" si="67"/>
        <v>0008-1005-0012</v>
      </c>
      <c r="L1811" s="96" t="str">
        <f>VLOOKUP(K1811,COA!$A$3:$B$337,2,FALSE)</f>
        <v>C73</v>
      </c>
      <c r="M1811" s="96" t="str">
        <f t="shared" si="68"/>
        <v>C73</v>
      </c>
      <c r="N1811" s="96" t="str">
        <f>VLOOKUP(M1811,CAC!$A$2:$B$198,2,FALSE)</f>
        <v>DOILG</v>
      </c>
    </row>
    <row r="1812" spans="5:14" x14ac:dyDescent="0.25">
      <c r="E1812" s="136">
        <v>201707</v>
      </c>
      <c r="F1812" s="138" t="s">
        <v>563</v>
      </c>
      <c r="G1812" s="138" t="s">
        <v>352</v>
      </c>
      <c r="H1812" s="138" t="s">
        <v>653</v>
      </c>
      <c r="I1812" s="139">
        <v>0</v>
      </c>
      <c r="K1812" s="96" t="str">
        <f t="shared" si="67"/>
        <v>0003-1004-0047</v>
      </c>
      <c r="L1812" s="96" t="str">
        <f>VLOOKUP(K1812,COA!$A$3:$B$337,2,FALSE)</f>
        <v>L57</v>
      </c>
      <c r="M1812" s="96" t="str">
        <f t="shared" si="68"/>
        <v>L57</v>
      </c>
      <c r="N1812" s="96" t="str">
        <f>VLOOKUP(M1812,CAC!$A$2:$B$198,2,FALSE)</f>
        <v>PPOLG</v>
      </c>
    </row>
    <row r="1813" spans="5:14" x14ac:dyDescent="0.25">
      <c r="E1813" s="136">
        <v>201612</v>
      </c>
      <c r="F1813" s="138" t="s">
        <v>345</v>
      </c>
      <c r="G1813" s="138" t="s">
        <v>361</v>
      </c>
      <c r="H1813" s="138" t="s">
        <v>344</v>
      </c>
      <c r="I1813" s="139">
        <v>4132.8900000000003</v>
      </c>
      <c r="K1813" s="96" t="str">
        <f t="shared" si="67"/>
        <v>0011-1003-0012</v>
      </c>
      <c r="L1813" s="96" t="str">
        <f>VLOOKUP(K1813,COA!$A$3:$B$337,2,FALSE)</f>
        <v>N16</v>
      </c>
      <c r="M1813" s="96" t="str">
        <f t="shared" si="68"/>
        <v>N16</v>
      </c>
      <c r="N1813" s="96" t="str">
        <f>VLOOKUP(M1813,CAC!$A$2:$B$198,2,FALSE)</f>
        <v>HMOPMR</v>
      </c>
    </row>
    <row r="1814" spans="5:14" x14ac:dyDescent="0.25">
      <c r="E1814" s="136">
        <v>201708</v>
      </c>
      <c r="F1814" s="138" t="s">
        <v>344</v>
      </c>
      <c r="G1814" s="138" t="s">
        <v>352</v>
      </c>
      <c r="H1814" s="138" t="s">
        <v>344</v>
      </c>
      <c r="I1814" s="139">
        <v>1165</v>
      </c>
      <c r="K1814" s="96" t="str">
        <f t="shared" si="67"/>
        <v>0012-1004-0012</v>
      </c>
      <c r="L1814" s="96" t="str">
        <f>VLOOKUP(K1814,COA!$A$3:$B$337,2,FALSE)</f>
        <v>L12</v>
      </c>
      <c r="M1814" s="96" t="str">
        <f t="shared" si="68"/>
        <v>L12</v>
      </c>
      <c r="N1814" s="96" t="str">
        <f>VLOOKUP(M1814,CAC!$A$2:$B$198,2,FALSE)</f>
        <v>HMOLG</v>
      </c>
    </row>
    <row r="1815" spans="5:14" x14ac:dyDescent="0.25">
      <c r="E1815" s="136">
        <v>201703</v>
      </c>
      <c r="F1815" s="138" t="s">
        <v>552</v>
      </c>
      <c r="G1815" s="138" t="s">
        <v>356</v>
      </c>
      <c r="H1815" s="138" t="s">
        <v>672</v>
      </c>
      <c r="I1815" s="139">
        <v>0</v>
      </c>
      <c r="K1815" s="96" t="str">
        <f t="shared" si="67"/>
        <v>0027-1002-0058</v>
      </c>
      <c r="L1815" s="96" t="str">
        <f>VLOOKUP(K1815,COA!$A$3:$B$337,2,FALSE)</f>
        <v>L45</v>
      </c>
      <c r="M1815" s="96" t="str">
        <f t="shared" si="68"/>
        <v>L45</v>
      </c>
      <c r="N1815" s="96" t="e">
        <f>VLOOKUP(M1815,CAC!$A$2:$B$198,2,FALSE)</f>
        <v>#N/A</v>
      </c>
    </row>
    <row r="1816" spans="5:14" x14ac:dyDescent="0.25">
      <c r="E1816" s="136">
        <v>201609</v>
      </c>
      <c r="F1816" s="138" t="s">
        <v>345</v>
      </c>
      <c r="G1816" s="138" t="s">
        <v>348</v>
      </c>
      <c r="H1816" s="138" t="s">
        <v>358</v>
      </c>
      <c r="I1816" s="139">
        <v>73</v>
      </c>
      <c r="K1816" s="96" t="str">
        <f t="shared" si="67"/>
        <v>0011-1010-0024</v>
      </c>
      <c r="L1816" s="96" t="str">
        <f>VLOOKUP(K1816,COA!$A$3:$B$337,2,FALSE)</f>
        <v>S14</v>
      </c>
      <c r="M1816" s="96" t="str">
        <f t="shared" si="68"/>
        <v>S14</v>
      </c>
      <c r="N1816" s="96" t="str">
        <f>VLOOKUP(M1816,CAC!$A$2:$B$198,2,FALSE)</f>
        <v>HMOSG</v>
      </c>
    </row>
    <row r="1817" spans="5:14" x14ac:dyDescent="0.25">
      <c r="E1817" s="136">
        <v>201503</v>
      </c>
      <c r="F1817" s="138" t="s">
        <v>563</v>
      </c>
      <c r="G1817" s="138" t="s">
        <v>365</v>
      </c>
      <c r="H1817" s="138" t="s">
        <v>367</v>
      </c>
      <c r="I1817" s="139">
        <v>0</v>
      </c>
      <c r="K1817" s="96" t="str">
        <f t="shared" si="67"/>
        <v>0003-1001-0022</v>
      </c>
      <c r="L1817" s="96" t="str">
        <f>VLOOKUP(K1817,COA!$A$3:$B$337,2,FALSE)</f>
        <v>V54</v>
      </c>
      <c r="M1817" s="96" t="str">
        <f t="shared" si="68"/>
        <v>V54</v>
      </c>
      <c r="N1817" s="96" t="str">
        <f>VLOOKUP(M1817,CAC!$A$2:$B$198,2,FALSE)</f>
        <v>PPOIFP</v>
      </c>
    </row>
    <row r="1818" spans="5:14" x14ac:dyDescent="0.25">
      <c r="E1818" s="136">
        <v>201603</v>
      </c>
      <c r="F1818" s="138" t="s">
        <v>345</v>
      </c>
      <c r="G1818" s="138" t="s">
        <v>361</v>
      </c>
      <c r="H1818" s="138" t="s">
        <v>344</v>
      </c>
      <c r="I1818" s="139">
        <v>4104.22</v>
      </c>
      <c r="K1818" s="96" t="str">
        <f t="shared" si="67"/>
        <v>0011-1003-0012</v>
      </c>
      <c r="L1818" s="96" t="str">
        <f>VLOOKUP(K1818,COA!$A$3:$B$337,2,FALSE)</f>
        <v>N16</v>
      </c>
      <c r="M1818" s="96" t="str">
        <f t="shared" si="68"/>
        <v>N16</v>
      </c>
      <c r="N1818" s="96" t="str">
        <f>VLOOKUP(M1818,CAC!$A$2:$B$198,2,FALSE)</f>
        <v>HMOPMR</v>
      </c>
    </row>
    <row r="1819" spans="5:14" x14ac:dyDescent="0.25">
      <c r="E1819" s="136">
        <v>201607</v>
      </c>
      <c r="F1819" s="138" t="s">
        <v>506</v>
      </c>
      <c r="G1819" s="138" t="s">
        <v>359</v>
      </c>
      <c r="H1819" s="138" t="s">
        <v>592</v>
      </c>
      <c r="I1819" s="139">
        <v>0</v>
      </c>
      <c r="K1819" s="96" t="str">
        <f t="shared" si="67"/>
        <v>0013-1005-0035</v>
      </c>
      <c r="L1819" s="96" t="str">
        <f>VLOOKUP(K1819,COA!$A$3:$B$337,2,FALSE)</f>
        <v>N41</v>
      </c>
      <c r="M1819" s="96" t="str">
        <f t="shared" si="68"/>
        <v>N41</v>
      </c>
      <c r="N1819" s="96" t="e">
        <f>VLOOKUP(M1819,CAC!$A$2:$B$198,2,FALSE)</f>
        <v>#N/A</v>
      </c>
    </row>
    <row r="1820" spans="5:14" x14ac:dyDescent="0.25">
      <c r="E1820" s="136">
        <v>201511</v>
      </c>
      <c r="F1820" s="138" t="s">
        <v>344</v>
      </c>
      <c r="G1820" s="138" t="s">
        <v>352</v>
      </c>
      <c r="H1820" s="138" t="s">
        <v>344</v>
      </c>
      <c r="I1820" s="139">
        <v>454</v>
      </c>
      <c r="K1820" s="96" t="str">
        <f t="shared" si="67"/>
        <v>0012-1004-0012</v>
      </c>
      <c r="L1820" s="96" t="str">
        <f>VLOOKUP(K1820,COA!$A$3:$B$337,2,FALSE)</f>
        <v>L12</v>
      </c>
      <c r="M1820" s="96" t="str">
        <f t="shared" si="68"/>
        <v>L12</v>
      </c>
      <c r="N1820" s="96" t="str">
        <f>VLOOKUP(M1820,CAC!$A$2:$B$198,2,FALSE)</f>
        <v>HMOLG</v>
      </c>
    </row>
    <row r="1821" spans="5:14" x14ac:dyDescent="0.25">
      <c r="E1821" s="136">
        <v>201703</v>
      </c>
      <c r="F1821" s="138" t="s">
        <v>345</v>
      </c>
      <c r="G1821" s="138" t="s">
        <v>362</v>
      </c>
      <c r="H1821" s="138" t="s">
        <v>364</v>
      </c>
      <c r="I1821" s="139">
        <v>47829.35</v>
      </c>
      <c r="K1821" s="96" t="str">
        <f t="shared" si="67"/>
        <v>0011-1008-0037</v>
      </c>
      <c r="L1821" s="96" t="str">
        <f>VLOOKUP(K1821,COA!$A$3:$B$337,2,FALSE)</f>
        <v>P12</v>
      </c>
      <c r="M1821" s="96" t="str">
        <f t="shared" si="68"/>
        <v>P12</v>
      </c>
      <c r="N1821" s="96" t="str">
        <f>VLOOKUP(M1821,CAC!$A$2:$B$198,2,FALSE)</f>
        <v>HMOPERA</v>
      </c>
    </row>
    <row r="1822" spans="5:14" x14ac:dyDescent="0.25">
      <c r="E1822" s="136">
        <v>201509</v>
      </c>
      <c r="F1822" s="138" t="s">
        <v>563</v>
      </c>
      <c r="G1822" s="138" t="s">
        <v>365</v>
      </c>
      <c r="H1822" s="138" t="s">
        <v>344</v>
      </c>
      <c r="I1822" s="139">
        <v>0</v>
      </c>
      <c r="K1822" s="96" t="str">
        <f t="shared" si="67"/>
        <v>0003-1001-0012</v>
      </c>
      <c r="L1822" s="96" t="str">
        <f>VLOOKUP(K1822,COA!$A$3:$B$337,2,FALSE)</f>
        <v>V51</v>
      </c>
      <c r="M1822" s="96" t="str">
        <f t="shared" si="68"/>
        <v>V51</v>
      </c>
      <c r="N1822" s="96" t="str">
        <f>VLOOKUP(M1822,CAC!$A$2:$B$198,2,FALSE)</f>
        <v>PPOIFP</v>
      </c>
    </row>
    <row r="1823" spans="5:14" x14ac:dyDescent="0.25">
      <c r="E1823" s="136">
        <v>201705</v>
      </c>
      <c r="F1823" s="138" t="s">
        <v>563</v>
      </c>
      <c r="G1823" s="138" t="s">
        <v>356</v>
      </c>
      <c r="H1823" s="138" t="s">
        <v>344</v>
      </c>
      <c r="I1823" s="139">
        <v>0</v>
      </c>
      <c r="K1823" s="96" t="str">
        <f t="shared" si="67"/>
        <v>0003-1002-0012</v>
      </c>
      <c r="L1823" s="96" t="str">
        <f>VLOOKUP(K1823,COA!$A$3:$B$337,2,FALSE)</f>
        <v>F61</v>
      </c>
      <c r="M1823" s="96" t="str">
        <f t="shared" si="68"/>
        <v>F61</v>
      </c>
      <c r="N1823" s="96" t="str">
        <f>VLOOKUP(M1823,CAC!$A$2:$B$198,2,FALSE)</f>
        <v>PPOPMR</v>
      </c>
    </row>
    <row r="1824" spans="5:14" x14ac:dyDescent="0.25">
      <c r="E1824" s="136">
        <v>201511</v>
      </c>
      <c r="F1824" s="138" t="s">
        <v>563</v>
      </c>
      <c r="G1824" s="138" t="s">
        <v>365</v>
      </c>
      <c r="H1824" s="138" t="s">
        <v>411</v>
      </c>
      <c r="I1824" s="139">
        <v>0</v>
      </c>
      <c r="K1824" s="96" t="str">
        <f t="shared" si="67"/>
        <v>0003-1001-0007</v>
      </c>
      <c r="L1824" s="96" t="str">
        <f>VLOOKUP(K1824,COA!$A$3:$B$337,2,FALSE)</f>
        <v>V52</v>
      </c>
      <c r="M1824" s="96" t="str">
        <f t="shared" si="68"/>
        <v>V52</v>
      </c>
      <c r="N1824" s="96" t="str">
        <f>VLOOKUP(M1824,CAC!$A$2:$B$198,2,FALSE)</f>
        <v>PPOIFP</v>
      </c>
    </row>
    <row r="1825" spans="5:14" x14ac:dyDescent="0.25">
      <c r="E1825" s="136">
        <v>201503</v>
      </c>
      <c r="F1825" s="138" t="s">
        <v>413</v>
      </c>
      <c r="G1825" s="138" t="s">
        <v>365</v>
      </c>
      <c r="H1825" s="138" t="s">
        <v>411</v>
      </c>
      <c r="I1825" s="139">
        <v>0</v>
      </c>
      <c r="K1825" s="96" t="str">
        <f t="shared" si="67"/>
        <v>0008-1001-0007</v>
      </c>
      <c r="L1825" s="96" t="str">
        <f>VLOOKUP(K1825,COA!$A$3:$B$337,2,FALSE)</f>
        <v>C99</v>
      </c>
      <c r="M1825" s="96" t="str">
        <f t="shared" si="68"/>
        <v>C99</v>
      </c>
      <c r="N1825" s="96" t="str">
        <f>VLOOKUP(M1825,CAC!$A$2:$B$198,2,FALSE)</f>
        <v>DOIIFP</v>
      </c>
    </row>
    <row r="1826" spans="5:14" x14ac:dyDescent="0.25">
      <c r="E1826" s="136">
        <v>201507</v>
      </c>
      <c r="F1826" s="138" t="s">
        <v>413</v>
      </c>
      <c r="G1826" s="138" t="s">
        <v>365</v>
      </c>
      <c r="H1826" s="138" t="s">
        <v>411</v>
      </c>
      <c r="I1826" s="139">
        <v>0</v>
      </c>
      <c r="K1826" s="96" t="str">
        <f t="shared" si="67"/>
        <v>0008-1001-0007</v>
      </c>
      <c r="L1826" s="96" t="str">
        <f>VLOOKUP(K1826,COA!$A$3:$B$337,2,FALSE)</f>
        <v>C99</v>
      </c>
      <c r="M1826" s="96" t="str">
        <f t="shared" si="68"/>
        <v>C99</v>
      </c>
      <c r="N1826" s="96" t="str">
        <f>VLOOKUP(M1826,CAC!$A$2:$B$198,2,FALSE)</f>
        <v>DOIIFP</v>
      </c>
    </row>
    <row r="1827" spans="5:14" x14ac:dyDescent="0.25">
      <c r="E1827" s="136">
        <v>201504</v>
      </c>
      <c r="F1827" s="138" t="s">
        <v>345</v>
      </c>
      <c r="G1827" s="138" t="s">
        <v>354</v>
      </c>
      <c r="H1827" s="138" t="s">
        <v>344</v>
      </c>
      <c r="I1827" s="139">
        <v>95</v>
      </c>
      <c r="K1827" s="96" t="str">
        <f t="shared" si="67"/>
        <v>0011-1013-0012</v>
      </c>
      <c r="L1827" s="96" t="str">
        <f>VLOOKUP(K1827,COA!$A$3:$B$337,2,FALSE)</f>
        <v>N20</v>
      </c>
      <c r="M1827" s="96" t="str">
        <f t="shared" si="68"/>
        <v>N20</v>
      </c>
      <c r="N1827" s="96" t="str">
        <f>VLOOKUP(M1827,CAC!$A$2:$B$198,2,FALSE)</f>
        <v>HMOPMR</v>
      </c>
    </row>
    <row r="1828" spans="5:14" x14ac:dyDescent="0.25">
      <c r="E1828" s="136">
        <v>201706</v>
      </c>
      <c r="F1828" s="138" t="s">
        <v>345</v>
      </c>
      <c r="G1828" s="138" t="s">
        <v>346</v>
      </c>
      <c r="H1828" s="138" t="s">
        <v>344</v>
      </c>
      <c r="I1828" s="139">
        <v>0</v>
      </c>
      <c r="K1828" s="96" t="str">
        <f t="shared" si="67"/>
        <v>0011-1014-0012</v>
      </c>
      <c r="L1828" s="96" t="e">
        <f>VLOOKUP(K1828,COA!$A$3:$B$337,2,FALSE)</f>
        <v>#N/A</v>
      </c>
      <c r="M1828" s="96" t="str">
        <f t="shared" si="68"/>
        <v>XXX</v>
      </c>
      <c r="N1828" s="96" t="str">
        <f>VLOOKUP(M1828,CAC!$A$2:$B$198,2,FALSE)</f>
        <v>XXX</v>
      </c>
    </row>
    <row r="1829" spans="5:14" x14ac:dyDescent="0.25">
      <c r="E1829" s="136">
        <v>201801</v>
      </c>
      <c r="F1829" s="138" t="s">
        <v>563</v>
      </c>
      <c r="G1829" s="138" t="s">
        <v>352</v>
      </c>
      <c r="H1829" s="138" t="s">
        <v>344</v>
      </c>
      <c r="I1829" s="139">
        <v>0</v>
      </c>
      <c r="K1829" s="96" t="str">
        <f t="shared" si="67"/>
        <v>0003-1004-0012</v>
      </c>
      <c r="L1829" s="96" t="str">
        <f>VLOOKUP(K1829,COA!$A$3:$B$337,2,FALSE)</f>
        <v>L51</v>
      </c>
      <c r="M1829" s="96" t="str">
        <f t="shared" si="68"/>
        <v>L51</v>
      </c>
      <c r="N1829" s="96" t="str">
        <f>VLOOKUP(M1829,CAC!$A$2:$B$198,2,FALSE)</f>
        <v>PPOLG</v>
      </c>
    </row>
    <row r="1830" spans="5:14" x14ac:dyDescent="0.25">
      <c r="E1830" s="136">
        <v>201605</v>
      </c>
      <c r="F1830" s="138" t="s">
        <v>563</v>
      </c>
      <c r="G1830" s="138" t="s">
        <v>365</v>
      </c>
      <c r="H1830" s="138" t="s">
        <v>798</v>
      </c>
      <c r="I1830" s="139">
        <v>0</v>
      </c>
      <c r="K1830" s="96" t="str">
        <f t="shared" si="67"/>
        <v>0003-1001-0065</v>
      </c>
      <c r="L1830" s="96" t="str">
        <f>VLOOKUP(K1830,COA!$A$3:$B$337,2,FALSE)</f>
        <v>V55</v>
      </c>
      <c r="M1830" s="96" t="str">
        <f t="shared" si="68"/>
        <v>V55</v>
      </c>
      <c r="N1830" s="96" t="e">
        <f>VLOOKUP(M1830,CAC!$A$2:$B$198,2,FALSE)</f>
        <v>#N/A</v>
      </c>
    </row>
    <row r="1831" spans="5:14" x14ac:dyDescent="0.25">
      <c r="E1831" s="136">
        <v>201603</v>
      </c>
      <c r="F1831" s="138" t="s">
        <v>563</v>
      </c>
      <c r="G1831" s="138" t="s">
        <v>355</v>
      </c>
      <c r="H1831" s="138" t="s">
        <v>344</v>
      </c>
      <c r="I1831" s="139">
        <v>0</v>
      </c>
      <c r="K1831" s="96" t="str">
        <f t="shared" si="67"/>
        <v>0003-1006-0012</v>
      </c>
      <c r="L1831" s="96" t="str">
        <f>VLOOKUP(K1831,COA!$A$3:$B$337,2,FALSE)</f>
        <v>L52</v>
      </c>
      <c r="M1831" s="96" t="str">
        <f t="shared" si="68"/>
        <v>L52</v>
      </c>
      <c r="N1831" s="96" t="str">
        <f>VLOOKUP(M1831,CAC!$A$2:$B$198,2,FALSE)</f>
        <v>PPOLG</v>
      </c>
    </row>
    <row r="1832" spans="5:14" x14ac:dyDescent="0.25">
      <c r="E1832" s="136">
        <v>201512</v>
      </c>
      <c r="F1832" s="138" t="s">
        <v>506</v>
      </c>
      <c r="G1832" s="138" t="s">
        <v>352</v>
      </c>
      <c r="H1832" s="138" t="s">
        <v>592</v>
      </c>
      <c r="I1832" s="139">
        <v>0</v>
      </c>
      <c r="K1832" s="96" t="str">
        <f t="shared" si="67"/>
        <v>0013-1004-0035</v>
      </c>
      <c r="L1832" s="96" t="str">
        <f>VLOOKUP(K1832,COA!$A$3:$B$337,2,FALSE)</f>
        <v>L41</v>
      </c>
      <c r="M1832" s="96" t="str">
        <f t="shared" si="68"/>
        <v>L41</v>
      </c>
      <c r="N1832" s="96" t="e">
        <f>VLOOKUP(M1832,CAC!$A$2:$B$198,2,FALSE)</f>
        <v>#N/A</v>
      </c>
    </row>
    <row r="1833" spans="5:14" x14ac:dyDescent="0.25">
      <c r="E1833" s="136">
        <v>201609</v>
      </c>
      <c r="F1833" s="138" t="s">
        <v>342</v>
      </c>
      <c r="G1833" s="138" t="s">
        <v>343</v>
      </c>
      <c r="H1833" s="138" t="s">
        <v>344</v>
      </c>
      <c r="I1833" s="139">
        <v>6034.99</v>
      </c>
      <c r="K1833" s="96" t="str">
        <f t="shared" si="67"/>
        <v>0031-1000-0012</v>
      </c>
      <c r="L1833" s="96" t="str">
        <f>VLOOKUP(K1833,COA!$A$3:$B$337,2,FALSE)</f>
        <v>F27</v>
      </c>
      <c r="M1833" s="96" t="str">
        <f t="shared" si="68"/>
        <v>F27</v>
      </c>
      <c r="N1833" s="96" t="str">
        <f>VLOOKUP(M1833,CAC!$A$2:$B$198,2,FALSE)</f>
        <v>HMOFEP</v>
      </c>
    </row>
    <row r="1834" spans="5:14" x14ac:dyDescent="0.25">
      <c r="E1834" s="136">
        <v>201610</v>
      </c>
      <c r="F1834" s="138" t="s">
        <v>345</v>
      </c>
      <c r="G1834" s="138" t="s">
        <v>352</v>
      </c>
      <c r="H1834" s="138" t="s">
        <v>357</v>
      </c>
      <c r="I1834" s="139">
        <v>1320</v>
      </c>
      <c r="K1834" s="96" t="str">
        <f t="shared" si="67"/>
        <v>0011-1004-0038</v>
      </c>
      <c r="L1834" s="96" t="str">
        <f>VLOOKUP(K1834,COA!$A$3:$B$337,2,FALSE)</f>
        <v>L14</v>
      </c>
      <c r="M1834" s="96" t="str">
        <f t="shared" si="68"/>
        <v>L14</v>
      </c>
      <c r="N1834" s="96" t="str">
        <f>VLOOKUP(M1834,CAC!$A$2:$B$198,2,FALSE)</f>
        <v>HMOLG</v>
      </c>
    </row>
    <row r="1835" spans="5:14" x14ac:dyDescent="0.25">
      <c r="E1835" s="136">
        <v>201801</v>
      </c>
      <c r="F1835" s="138" t="s">
        <v>563</v>
      </c>
      <c r="G1835" s="138" t="s">
        <v>350</v>
      </c>
      <c r="H1835" s="138" t="s">
        <v>344</v>
      </c>
      <c r="I1835" s="139">
        <v>0</v>
      </c>
      <c r="K1835" s="96" t="str">
        <f t="shared" si="67"/>
        <v>0003-1012-0012</v>
      </c>
      <c r="L1835" s="96" t="str">
        <f>VLOOKUP(K1835,COA!$A$3:$B$337,2,FALSE)</f>
        <v>K51</v>
      </c>
      <c r="M1835" s="96" t="str">
        <f t="shared" si="68"/>
        <v>K51</v>
      </c>
      <c r="N1835" s="96" t="str">
        <f>VLOOKUP(M1835,CAC!$A$2:$B$198,2,FALSE)</f>
        <v>PPOPMR</v>
      </c>
    </row>
    <row r="1836" spans="5:14" x14ac:dyDescent="0.25">
      <c r="E1836" s="136">
        <v>201712</v>
      </c>
      <c r="F1836" s="138" t="s">
        <v>563</v>
      </c>
      <c r="G1836" s="138" t="s">
        <v>352</v>
      </c>
      <c r="H1836" s="138" t="s">
        <v>653</v>
      </c>
      <c r="I1836" s="139">
        <v>0</v>
      </c>
      <c r="K1836" s="96" t="str">
        <f t="shared" si="67"/>
        <v>0003-1004-0047</v>
      </c>
      <c r="L1836" s="96" t="str">
        <f>VLOOKUP(K1836,COA!$A$3:$B$337,2,FALSE)</f>
        <v>L57</v>
      </c>
      <c r="M1836" s="96" t="str">
        <f t="shared" si="68"/>
        <v>L57</v>
      </c>
      <c r="N1836" s="96" t="str">
        <f>VLOOKUP(M1836,CAC!$A$2:$B$198,2,FALSE)</f>
        <v>PPOLG</v>
      </c>
    </row>
    <row r="1837" spans="5:14" x14ac:dyDescent="0.25">
      <c r="E1837" s="136">
        <v>201701</v>
      </c>
      <c r="F1837" s="138" t="s">
        <v>345</v>
      </c>
      <c r="G1837" s="138" t="s">
        <v>352</v>
      </c>
      <c r="H1837" s="138" t="s">
        <v>357</v>
      </c>
      <c r="I1837" s="139">
        <v>2259.58</v>
      </c>
      <c r="K1837" s="96" t="str">
        <f t="shared" si="67"/>
        <v>0011-1004-0038</v>
      </c>
      <c r="L1837" s="96" t="str">
        <f>VLOOKUP(K1837,COA!$A$3:$B$337,2,FALSE)</f>
        <v>L14</v>
      </c>
      <c r="M1837" s="96" t="str">
        <f t="shared" si="68"/>
        <v>L14</v>
      </c>
      <c r="N1837" s="96" t="str">
        <f>VLOOKUP(M1837,CAC!$A$2:$B$198,2,FALSE)</f>
        <v>HMOLG</v>
      </c>
    </row>
    <row r="1838" spans="5:14" x14ac:dyDescent="0.25">
      <c r="E1838" s="136">
        <v>201610</v>
      </c>
      <c r="F1838" s="138" t="s">
        <v>746</v>
      </c>
      <c r="G1838" s="138" t="s">
        <v>361</v>
      </c>
      <c r="H1838" s="138" t="s">
        <v>344</v>
      </c>
      <c r="I1838" s="139">
        <v>480</v>
      </c>
      <c r="K1838" s="96" t="str">
        <f t="shared" si="67"/>
        <v>0016-1003-0012</v>
      </c>
      <c r="L1838" s="96" t="str">
        <f>VLOOKUP(K1838,COA!$A$3:$B$337,2,FALSE)</f>
        <v>R18</v>
      </c>
      <c r="M1838" s="96" t="str">
        <f t="shared" si="68"/>
        <v>R18</v>
      </c>
      <c r="N1838" s="96" t="str">
        <f>VLOOKUP(M1838,CAC!$A$2:$B$198,2,FALSE)</f>
        <v>HMOMG</v>
      </c>
    </row>
    <row r="1839" spans="5:14" x14ac:dyDescent="0.25">
      <c r="E1839" s="136">
        <v>201709</v>
      </c>
      <c r="F1839" s="138" t="s">
        <v>563</v>
      </c>
      <c r="G1839" s="138" t="s">
        <v>356</v>
      </c>
      <c r="H1839" s="138" t="s">
        <v>344</v>
      </c>
      <c r="I1839" s="139">
        <v>0</v>
      </c>
      <c r="K1839" s="96" t="str">
        <f t="shared" si="67"/>
        <v>0003-1002-0012</v>
      </c>
      <c r="L1839" s="96" t="str">
        <f>VLOOKUP(K1839,COA!$A$3:$B$337,2,FALSE)</f>
        <v>F61</v>
      </c>
      <c r="M1839" s="96" t="str">
        <f t="shared" si="68"/>
        <v>F61</v>
      </c>
      <c r="N1839" s="96" t="str">
        <f>VLOOKUP(M1839,CAC!$A$2:$B$198,2,FALSE)</f>
        <v>PPOPMR</v>
      </c>
    </row>
    <row r="1840" spans="5:14" x14ac:dyDescent="0.25">
      <c r="E1840" s="136">
        <v>201711</v>
      </c>
      <c r="F1840" s="138" t="s">
        <v>345</v>
      </c>
      <c r="G1840" s="138" t="s">
        <v>350</v>
      </c>
      <c r="H1840" s="138" t="s">
        <v>344</v>
      </c>
      <c r="I1840" s="139">
        <v>17778.060000000001</v>
      </c>
      <c r="K1840" s="96" t="str">
        <f t="shared" si="67"/>
        <v>0011-1012-0012</v>
      </c>
      <c r="L1840" s="96" t="str">
        <f>VLOOKUP(K1840,COA!$A$3:$B$337,2,FALSE)</f>
        <v>K11</v>
      </c>
      <c r="M1840" s="96" t="str">
        <f t="shared" si="68"/>
        <v>K11</v>
      </c>
      <c r="N1840" s="96" t="str">
        <f>VLOOKUP(M1840,CAC!$A$2:$B$198,2,FALSE)</f>
        <v>HMOPMR</v>
      </c>
    </row>
    <row r="1841" spans="5:14" x14ac:dyDescent="0.25">
      <c r="E1841" s="136">
        <v>201509</v>
      </c>
      <c r="F1841" s="138" t="s">
        <v>563</v>
      </c>
      <c r="G1841" s="138" t="s">
        <v>350</v>
      </c>
      <c r="H1841" s="138" t="s">
        <v>360</v>
      </c>
      <c r="I1841" s="139">
        <v>0</v>
      </c>
      <c r="K1841" s="96" t="str">
        <f t="shared" si="67"/>
        <v>0003-1012-0048</v>
      </c>
      <c r="L1841" s="96" t="str">
        <f>VLOOKUP(K1841,COA!$A$3:$B$337,2,FALSE)</f>
        <v>K56</v>
      </c>
      <c r="M1841" s="96" t="str">
        <f t="shared" si="68"/>
        <v>K56</v>
      </c>
      <c r="N1841" s="96" t="str">
        <f>VLOOKUP(M1841,CAC!$A$2:$B$198,2,FALSE)</f>
        <v>HMFLEX</v>
      </c>
    </row>
    <row r="1842" spans="5:14" x14ac:dyDescent="0.25">
      <c r="E1842" s="136">
        <v>201507</v>
      </c>
      <c r="F1842" s="138" t="s">
        <v>345</v>
      </c>
      <c r="G1842" s="138" t="s">
        <v>359</v>
      </c>
      <c r="H1842" s="138" t="s">
        <v>344</v>
      </c>
      <c r="I1842" s="139">
        <v>2374.0300000000002</v>
      </c>
      <c r="K1842" s="96" t="str">
        <f t="shared" si="67"/>
        <v>0011-1005-0012</v>
      </c>
      <c r="L1842" s="96" t="str">
        <f>VLOOKUP(K1842,COA!$A$3:$B$337,2,FALSE)</f>
        <v>N11</v>
      </c>
      <c r="M1842" s="96" t="str">
        <f t="shared" si="68"/>
        <v>N11</v>
      </c>
      <c r="N1842" s="96" t="str">
        <f>VLOOKUP(M1842,CAC!$A$2:$B$198,2,FALSE)</f>
        <v>HMOLG</v>
      </c>
    </row>
    <row r="1843" spans="5:14" x14ac:dyDescent="0.25">
      <c r="E1843" s="136">
        <v>201611</v>
      </c>
      <c r="F1843" s="138" t="s">
        <v>506</v>
      </c>
      <c r="G1843" s="138" t="s">
        <v>346</v>
      </c>
      <c r="H1843" s="138" t="s">
        <v>592</v>
      </c>
      <c r="I1843" s="139">
        <v>0</v>
      </c>
      <c r="K1843" s="96" t="str">
        <f t="shared" si="67"/>
        <v>0013-1014-0035</v>
      </c>
      <c r="L1843" s="96" t="str">
        <f>VLOOKUP(K1843,COA!$A$3:$B$337,2,FALSE)</f>
        <v>K42</v>
      </c>
      <c r="M1843" s="96" t="str">
        <f t="shared" si="68"/>
        <v>K42</v>
      </c>
      <c r="N1843" s="96" t="str">
        <f>VLOOKUP(M1843,CAC!$A$2:$B$198,2,FALSE)</f>
        <v>HMFLEX</v>
      </c>
    </row>
    <row r="1844" spans="5:14" x14ac:dyDescent="0.25">
      <c r="E1844" s="136">
        <v>201610</v>
      </c>
      <c r="F1844" s="138" t="s">
        <v>344</v>
      </c>
      <c r="G1844" s="138" t="s">
        <v>352</v>
      </c>
      <c r="H1844" s="138" t="s">
        <v>344</v>
      </c>
      <c r="I1844" s="139">
        <v>449.97</v>
      </c>
      <c r="K1844" s="96" t="str">
        <f t="shared" si="67"/>
        <v>0012-1004-0012</v>
      </c>
      <c r="L1844" s="96" t="str">
        <f>VLOOKUP(K1844,COA!$A$3:$B$337,2,FALSE)</f>
        <v>L12</v>
      </c>
      <c r="M1844" s="96" t="str">
        <f t="shared" si="68"/>
        <v>L12</v>
      </c>
      <c r="N1844" s="96" t="str">
        <f>VLOOKUP(M1844,CAC!$A$2:$B$198,2,FALSE)</f>
        <v>HMOLG</v>
      </c>
    </row>
    <row r="1845" spans="5:14" x14ac:dyDescent="0.25">
      <c r="E1845" s="136">
        <v>201611</v>
      </c>
      <c r="F1845" s="138" t="s">
        <v>413</v>
      </c>
      <c r="G1845" s="138" t="s">
        <v>354</v>
      </c>
      <c r="H1845" s="138" t="s">
        <v>344</v>
      </c>
      <c r="I1845" s="139">
        <v>0</v>
      </c>
      <c r="K1845" s="96" t="str">
        <f t="shared" si="67"/>
        <v>0008-1013-0012</v>
      </c>
      <c r="L1845" s="96" t="str">
        <f>VLOOKUP(K1845,COA!$A$3:$B$337,2,FALSE)</f>
        <v>C76</v>
      </c>
      <c r="M1845" s="96" t="str">
        <f t="shared" si="68"/>
        <v>C76</v>
      </c>
      <c r="N1845" s="96" t="str">
        <f>VLOOKUP(M1845,CAC!$A$2:$B$198,2,FALSE)</f>
        <v>DOILG</v>
      </c>
    </row>
    <row r="1846" spans="5:14" x14ac:dyDescent="0.25">
      <c r="E1846" s="136">
        <v>201709</v>
      </c>
      <c r="F1846" s="138" t="s">
        <v>345</v>
      </c>
      <c r="G1846" s="138" t="s">
        <v>362</v>
      </c>
      <c r="H1846" s="138" t="s">
        <v>364</v>
      </c>
      <c r="I1846" s="139">
        <v>47129.599999999999</v>
      </c>
      <c r="K1846" s="96" t="str">
        <f t="shared" si="67"/>
        <v>0011-1008-0037</v>
      </c>
      <c r="L1846" s="96" t="str">
        <f>VLOOKUP(K1846,COA!$A$3:$B$337,2,FALSE)</f>
        <v>P12</v>
      </c>
      <c r="M1846" s="96" t="str">
        <f t="shared" si="68"/>
        <v>P12</v>
      </c>
      <c r="N1846" s="96" t="str">
        <f>VLOOKUP(M1846,CAC!$A$2:$B$198,2,FALSE)</f>
        <v>HMOPERA</v>
      </c>
    </row>
    <row r="1847" spans="5:14" x14ac:dyDescent="0.25">
      <c r="E1847" s="136">
        <v>201708</v>
      </c>
      <c r="F1847" s="138" t="s">
        <v>506</v>
      </c>
      <c r="G1847" s="138" t="s">
        <v>354</v>
      </c>
      <c r="H1847" s="138" t="s">
        <v>592</v>
      </c>
      <c r="I1847" s="139">
        <v>0</v>
      </c>
      <c r="K1847" s="96" t="str">
        <f t="shared" si="67"/>
        <v>0013-1013-0035</v>
      </c>
      <c r="L1847" s="96" t="str">
        <f>VLOOKUP(K1847,COA!$A$3:$B$337,2,FALSE)</f>
        <v>N44</v>
      </c>
      <c r="M1847" s="96" t="str">
        <f t="shared" si="68"/>
        <v>N44</v>
      </c>
      <c r="N1847" s="96" t="e">
        <f>VLOOKUP(M1847,CAC!$A$2:$B$198,2,FALSE)</f>
        <v>#N/A</v>
      </c>
    </row>
    <row r="1848" spans="5:14" x14ac:dyDescent="0.25">
      <c r="E1848" s="136">
        <v>201708</v>
      </c>
      <c r="F1848" s="138" t="s">
        <v>345</v>
      </c>
      <c r="G1848" s="138" t="s">
        <v>346</v>
      </c>
      <c r="H1848" s="138" t="s">
        <v>344</v>
      </c>
      <c r="I1848" s="139">
        <v>0</v>
      </c>
      <c r="K1848" s="96" t="str">
        <f t="shared" si="67"/>
        <v>0011-1014-0012</v>
      </c>
      <c r="L1848" s="96" t="e">
        <f>VLOOKUP(K1848,COA!$A$3:$B$337,2,FALSE)</f>
        <v>#N/A</v>
      </c>
      <c r="M1848" s="96" t="str">
        <f t="shared" si="68"/>
        <v>XXX</v>
      </c>
      <c r="N1848" s="96" t="str">
        <f>VLOOKUP(M1848,CAC!$A$2:$B$198,2,FALSE)</f>
        <v>XXX</v>
      </c>
    </row>
    <row r="1849" spans="5:14" x14ac:dyDescent="0.25">
      <c r="E1849" s="136">
        <v>201503</v>
      </c>
      <c r="F1849" s="138" t="s">
        <v>563</v>
      </c>
      <c r="G1849" s="138" t="s">
        <v>348</v>
      </c>
      <c r="H1849" s="138" t="s">
        <v>349</v>
      </c>
      <c r="I1849" s="139">
        <v>0</v>
      </c>
      <c r="K1849" s="96" t="str">
        <f t="shared" si="67"/>
        <v>0003-1010-0017</v>
      </c>
      <c r="L1849" s="96" t="str">
        <f>VLOOKUP(K1849,COA!$A$3:$B$337,2,FALSE)</f>
        <v>S51</v>
      </c>
      <c r="M1849" s="96" t="str">
        <f t="shared" si="68"/>
        <v>S51</v>
      </c>
      <c r="N1849" s="96" t="str">
        <f>VLOOKUP(M1849,CAC!$A$2:$B$198,2,FALSE)</f>
        <v>PPOSG</v>
      </c>
    </row>
    <row r="1850" spans="5:14" x14ac:dyDescent="0.25">
      <c r="E1850" s="136">
        <v>201705</v>
      </c>
      <c r="F1850" s="138" t="s">
        <v>345</v>
      </c>
      <c r="G1850" s="138" t="s">
        <v>356</v>
      </c>
      <c r="H1850" s="138" t="s">
        <v>344</v>
      </c>
      <c r="I1850" s="139">
        <v>16070.03</v>
      </c>
      <c r="K1850" s="96" t="str">
        <f t="shared" si="67"/>
        <v>0011-1002-0012</v>
      </c>
      <c r="L1850" s="96" t="str">
        <f>VLOOKUP(K1850,COA!$A$3:$B$337,2,FALSE)</f>
        <v>F20</v>
      </c>
      <c r="M1850" s="96" t="str">
        <f t="shared" si="68"/>
        <v>F20</v>
      </c>
      <c r="N1850" s="96" t="str">
        <f>VLOOKUP(M1850,CAC!$A$2:$B$198,2,FALSE)</f>
        <v>HMOPMR</v>
      </c>
    </row>
    <row r="1851" spans="5:14" x14ac:dyDescent="0.25">
      <c r="E1851" s="136">
        <v>201704</v>
      </c>
      <c r="F1851" s="138" t="s">
        <v>349</v>
      </c>
      <c r="G1851" s="138" t="s">
        <v>369</v>
      </c>
      <c r="H1851" s="138" t="s">
        <v>344</v>
      </c>
      <c r="I1851" s="139">
        <v>43762</v>
      </c>
      <c r="K1851" s="96" t="str">
        <f t="shared" si="67"/>
        <v>0017-1009-0012</v>
      </c>
      <c r="L1851" s="96" t="str">
        <f>VLOOKUP(K1851,COA!$A$3:$B$337,2,FALSE)</f>
        <v>R12</v>
      </c>
      <c r="M1851" s="96" t="str">
        <f t="shared" si="68"/>
        <v>R12</v>
      </c>
      <c r="N1851" s="96" t="str">
        <f>VLOOKUP(M1851,CAC!$A$2:$B$198,2,FALSE)</f>
        <v>HMOMM</v>
      </c>
    </row>
    <row r="1852" spans="5:14" x14ac:dyDescent="0.25">
      <c r="E1852" s="136">
        <v>201702</v>
      </c>
      <c r="F1852" s="138" t="s">
        <v>345</v>
      </c>
      <c r="G1852" s="138" t="s">
        <v>352</v>
      </c>
      <c r="H1852" s="138" t="s">
        <v>344</v>
      </c>
      <c r="I1852" s="139">
        <v>8634.92</v>
      </c>
      <c r="K1852" s="96" t="str">
        <f t="shared" si="67"/>
        <v>0011-1004-0012</v>
      </c>
      <c r="L1852" s="96" t="str">
        <f>VLOOKUP(K1852,COA!$A$3:$B$337,2,FALSE)</f>
        <v>L11</v>
      </c>
      <c r="M1852" s="96" t="str">
        <f t="shared" si="68"/>
        <v>L11</v>
      </c>
      <c r="N1852" s="96" t="str">
        <f>VLOOKUP(M1852,CAC!$A$2:$B$198,2,FALSE)</f>
        <v>HMOLG</v>
      </c>
    </row>
    <row r="1853" spans="5:14" x14ac:dyDescent="0.25">
      <c r="E1853" s="136">
        <v>201706</v>
      </c>
      <c r="F1853" s="138" t="s">
        <v>345</v>
      </c>
      <c r="G1853" s="138" t="s">
        <v>354</v>
      </c>
      <c r="H1853" s="138" t="s">
        <v>344</v>
      </c>
      <c r="I1853" s="139">
        <v>5654</v>
      </c>
      <c r="K1853" s="96" t="str">
        <f t="shared" si="67"/>
        <v>0011-1013-0012</v>
      </c>
      <c r="L1853" s="96" t="str">
        <f>VLOOKUP(K1853,COA!$A$3:$B$337,2,FALSE)</f>
        <v>N20</v>
      </c>
      <c r="M1853" s="96" t="str">
        <f t="shared" si="68"/>
        <v>N20</v>
      </c>
      <c r="N1853" s="96" t="str">
        <f>VLOOKUP(M1853,CAC!$A$2:$B$198,2,FALSE)</f>
        <v>HMOPMR</v>
      </c>
    </row>
    <row r="1854" spans="5:14" x14ac:dyDescent="0.25">
      <c r="E1854" s="136">
        <v>201504</v>
      </c>
      <c r="F1854" s="138" t="s">
        <v>563</v>
      </c>
      <c r="G1854" s="138" t="s">
        <v>350</v>
      </c>
      <c r="H1854" s="138" t="s">
        <v>344</v>
      </c>
      <c r="I1854" s="139">
        <v>0</v>
      </c>
      <c r="K1854" s="96" t="str">
        <f t="shared" si="67"/>
        <v>0003-1012-0012</v>
      </c>
      <c r="L1854" s="96" t="str">
        <f>VLOOKUP(K1854,COA!$A$3:$B$337,2,FALSE)</f>
        <v>K51</v>
      </c>
      <c r="M1854" s="96" t="str">
        <f t="shared" si="68"/>
        <v>K51</v>
      </c>
      <c r="N1854" s="96" t="str">
        <f>VLOOKUP(M1854,CAC!$A$2:$B$198,2,FALSE)</f>
        <v>PPOPMR</v>
      </c>
    </row>
    <row r="1855" spans="5:14" x14ac:dyDescent="0.25">
      <c r="E1855" s="136">
        <v>201604</v>
      </c>
      <c r="F1855" s="138" t="s">
        <v>345</v>
      </c>
      <c r="G1855" s="138" t="s">
        <v>352</v>
      </c>
      <c r="H1855" s="138" t="s">
        <v>344</v>
      </c>
      <c r="I1855" s="139">
        <v>13450.17</v>
      </c>
      <c r="K1855" s="96" t="str">
        <f t="shared" si="67"/>
        <v>0011-1004-0012</v>
      </c>
      <c r="L1855" s="96" t="str">
        <f>VLOOKUP(K1855,COA!$A$3:$B$337,2,FALSE)</f>
        <v>L11</v>
      </c>
      <c r="M1855" s="96" t="str">
        <f t="shared" si="68"/>
        <v>L11</v>
      </c>
      <c r="N1855" s="96" t="str">
        <f>VLOOKUP(M1855,CAC!$A$2:$B$198,2,FALSE)</f>
        <v>HMOLG</v>
      </c>
    </row>
    <row r="1856" spans="5:14" x14ac:dyDescent="0.25">
      <c r="E1856" s="136">
        <v>201511</v>
      </c>
      <c r="F1856" s="138" t="s">
        <v>563</v>
      </c>
      <c r="G1856" s="138" t="s">
        <v>355</v>
      </c>
      <c r="H1856" s="138" t="s">
        <v>344</v>
      </c>
      <c r="I1856" s="139">
        <v>0</v>
      </c>
      <c r="K1856" s="96" t="str">
        <f t="shared" si="67"/>
        <v>0003-1006-0012</v>
      </c>
      <c r="L1856" s="96" t="str">
        <f>VLOOKUP(K1856,COA!$A$3:$B$337,2,FALSE)</f>
        <v>L52</v>
      </c>
      <c r="M1856" s="96" t="str">
        <f t="shared" si="68"/>
        <v>L52</v>
      </c>
      <c r="N1856" s="96" t="str">
        <f>VLOOKUP(M1856,CAC!$A$2:$B$198,2,FALSE)</f>
        <v>PPOLG</v>
      </c>
    </row>
    <row r="1857" spans="5:14" x14ac:dyDescent="0.25">
      <c r="E1857" s="136">
        <v>201505</v>
      </c>
      <c r="F1857" s="138" t="s">
        <v>345</v>
      </c>
      <c r="G1857" s="138" t="s">
        <v>350</v>
      </c>
      <c r="H1857" s="138" t="s">
        <v>344</v>
      </c>
      <c r="I1857" s="139">
        <v>6791.2</v>
      </c>
      <c r="K1857" s="96" t="str">
        <f t="shared" si="67"/>
        <v>0011-1012-0012</v>
      </c>
      <c r="L1857" s="96" t="str">
        <f>VLOOKUP(K1857,COA!$A$3:$B$337,2,FALSE)</f>
        <v>K11</v>
      </c>
      <c r="M1857" s="96" t="str">
        <f t="shared" si="68"/>
        <v>K11</v>
      </c>
      <c r="N1857" s="96" t="str">
        <f>VLOOKUP(M1857,CAC!$A$2:$B$198,2,FALSE)</f>
        <v>HMOPMR</v>
      </c>
    </row>
    <row r="1858" spans="5:14" x14ac:dyDescent="0.25">
      <c r="E1858" s="136">
        <v>201511</v>
      </c>
      <c r="F1858" s="138" t="s">
        <v>345</v>
      </c>
      <c r="G1858" s="138" t="s">
        <v>348</v>
      </c>
      <c r="H1858" s="138" t="s">
        <v>353</v>
      </c>
      <c r="I1858" s="139">
        <v>368</v>
      </c>
      <c r="K1858" s="96" t="str">
        <f t="shared" si="67"/>
        <v>0011-1010-0023</v>
      </c>
      <c r="L1858" s="96" t="str">
        <f>VLOOKUP(K1858,COA!$A$3:$B$337,2,FALSE)</f>
        <v>S13</v>
      </c>
      <c r="M1858" s="96" t="str">
        <f t="shared" si="68"/>
        <v>S13</v>
      </c>
      <c r="N1858" s="96" t="str">
        <f>VLOOKUP(M1858,CAC!$A$2:$B$198,2,FALSE)</f>
        <v>HMOSG</v>
      </c>
    </row>
    <row r="1859" spans="5:14" x14ac:dyDescent="0.25">
      <c r="E1859" s="136">
        <v>201509</v>
      </c>
      <c r="F1859" s="138" t="s">
        <v>345</v>
      </c>
      <c r="G1859" s="138" t="s">
        <v>362</v>
      </c>
      <c r="H1859" s="138" t="s">
        <v>370</v>
      </c>
      <c r="I1859" s="139">
        <v>2304</v>
      </c>
      <c r="K1859" s="96" t="str">
        <f t="shared" ref="K1859:K1922" si="69">F1859&amp;"-"&amp;G1859&amp;"-"&amp;H1859</f>
        <v>0011-1008-0055</v>
      </c>
      <c r="L1859" s="96" t="str">
        <f>VLOOKUP(K1859,COA!$A$3:$B$337,2,FALSE)</f>
        <v>P28</v>
      </c>
      <c r="M1859" s="96" t="str">
        <f t="shared" si="68"/>
        <v>P28</v>
      </c>
      <c r="N1859" s="96" t="str">
        <f>VLOOKUP(M1859,CAC!$A$2:$B$198,2,FALSE)</f>
        <v>PERMEDN</v>
      </c>
    </row>
    <row r="1860" spans="5:14" x14ac:dyDescent="0.25">
      <c r="E1860" s="136">
        <v>201511</v>
      </c>
      <c r="F1860" s="138" t="s">
        <v>413</v>
      </c>
      <c r="G1860" s="138" t="s">
        <v>354</v>
      </c>
      <c r="H1860" s="138" t="s">
        <v>344</v>
      </c>
      <c r="I1860" s="139">
        <v>0</v>
      </c>
      <c r="K1860" s="96" t="str">
        <f t="shared" si="69"/>
        <v>0008-1013-0012</v>
      </c>
      <c r="L1860" s="96" t="str">
        <f>VLOOKUP(K1860,COA!$A$3:$B$337,2,FALSE)</f>
        <v>C76</v>
      </c>
      <c r="M1860" s="96" t="str">
        <f t="shared" ref="M1860:M1923" si="70">IF(ISNA(L1860),"XXX",L1860)</f>
        <v>C76</v>
      </c>
      <c r="N1860" s="96" t="str">
        <f>VLOOKUP(M1860,CAC!$A$2:$B$198,2,FALSE)</f>
        <v>DOILG</v>
      </c>
    </row>
    <row r="1861" spans="5:14" x14ac:dyDescent="0.25">
      <c r="E1861" s="136">
        <v>201605</v>
      </c>
      <c r="F1861" s="138" t="s">
        <v>345</v>
      </c>
      <c r="G1861" s="138" t="s">
        <v>346</v>
      </c>
      <c r="H1861" s="138" t="s">
        <v>344</v>
      </c>
      <c r="I1861" s="139">
        <v>0</v>
      </c>
      <c r="K1861" s="96" t="str">
        <f t="shared" si="69"/>
        <v>0011-1014-0012</v>
      </c>
      <c r="L1861" s="96" t="e">
        <f>VLOOKUP(K1861,COA!$A$3:$B$337,2,FALSE)</f>
        <v>#N/A</v>
      </c>
      <c r="M1861" s="96" t="str">
        <f t="shared" si="70"/>
        <v>XXX</v>
      </c>
      <c r="N1861" s="96" t="str">
        <f>VLOOKUP(M1861,CAC!$A$2:$B$198,2,FALSE)</f>
        <v>XXX</v>
      </c>
    </row>
    <row r="1862" spans="5:14" x14ac:dyDescent="0.25">
      <c r="E1862" s="136">
        <v>201602</v>
      </c>
      <c r="F1862" s="138" t="s">
        <v>563</v>
      </c>
      <c r="G1862" s="138" t="s">
        <v>365</v>
      </c>
      <c r="H1862" s="138" t="s">
        <v>367</v>
      </c>
      <c r="I1862" s="139">
        <v>0</v>
      </c>
      <c r="K1862" s="96" t="str">
        <f t="shared" si="69"/>
        <v>0003-1001-0022</v>
      </c>
      <c r="L1862" s="96" t="str">
        <f>VLOOKUP(K1862,COA!$A$3:$B$337,2,FALSE)</f>
        <v>V54</v>
      </c>
      <c r="M1862" s="96" t="str">
        <f t="shared" si="70"/>
        <v>V54</v>
      </c>
      <c r="N1862" s="96" t="str">
        <f>VLOOKUP(M1862,CAC!$A$2:$B$198,2,FALSE)</f>
        <v>PPOIFP</v>
      </c>
    </row>
    <row r="1863" spans="5:14" x14ac:dyDescent="0.25">
      <c r="E1863" s="136">
        <v>201711</v>
      </c>
      <c r="F1863" s="138" t="s">
        <v>563</v>
      </c>
      <c r="G1863" s="138" t="s">
        <v>359</v>
      </c>
      <c r="H1863" s="138" t="s">
        <v>344</v>
      </c>
      <c r="I1863" s="139">
        <v>0</v>
      </c>
      <c r="K1863" s="96" t="str">
        <f t="shared" si="69"/>
        <v>0003-1005-0012</v>
      </c>
      <c r="L1863" s="96" t="str">
        <f>VLOOKUP(K1863,COA!$A$3:$B$337,2,FALSE)</f>
        <v>N51</v>
      </c>
      <c r="M1863" s="96" t="str">
        <f t="shared" si="70"/>
        <v>N51</v>
      </c>
      <c r="N1863" s="96" t="str">
        <f>VLOOKUP(M1863,CAC!$A$2:$B$198,2,FALSE)</f>
        <v>PPOLG</v>
      </c>
    </row>
    <row r="1864" spans="5:14" x14ac:dyDescent="0.25">
      <c r="E1864" s="136">
        <v>201710</v>
      </c>
      <c r="F1864" s="138" t="s">
        <v>413</v>
      </c>
      <c r="G1864" s="138" t="s">
        <v>365</v>
      </c>
      <c r="H1864" s="138" t="s">
        <v>344</v>
      </c>
      <c r="I1864" s="139">
        <v>0</v>
      </c>
      <c r="K1864" s="96" t="str">
        <f t="shared" si="69"/>
        <v>0008-1001-0012</v>
      </c>
      <c r="L1864" s="96" t="str">
        <f>VLOOKUP(K1864,COA!$A$3:$B$337,2,FALSE)</f>
        <v>C95</v>
      </c>
      <c r="M1864" s="96" t="str">
        <f t="shared" si="70"/>
        <v>C95</v>
      </c>
      <c r="N1864" s="96" t="str">
        <f>VLOOKUP(M1864,CAC!$A$2:$B$198,2,FALSE)</f>
        <v>DOIIFP</v>
      </c>
    </row>
    <row r="1865" spans="5:14" x14ac:dyDescent="0.25">
      <c r="E1865" s="136">
        <v>201703</v>
      </c>
      <c r="F1865" s="138" t="s">
        <v>345</v>
      </c>
      <c r="G1865" s="138" t="s">
        <v>348</v>
      </c>
      <c r="H1865" s="138" t="s">
        <v>353</v>
      </c>
      <c r="I1865" s="139">
        <v>330.03</v>
      </c>
      <c r="K1865" s="96" t="str">
        <f t="shared" si="69"/>
        <v>0011-1010-0023</v>
      </c>
      <c r="L1865" s="96" t="str">
        <f>VLOOKUP(K1865,COA!$A$3:$B$337,2,FALSE)</f>
        <v>S13</v>
      </c>
      <c r="M1865" s="96" t="str">
        <f t="shared" si="70"/>
        <v>S13</v>
      </c>
      <c r="N1865" s="96" t="str">
        <f>VLOOKUP(M1865,CAC!$A$2:$B$198,2,FALSE)</f>
        <v>HMOSG</v>
      </c>
    </row>
    <row r="1866" spans="5:14" x14ac:dyDescent="0.25">
      <c r="E1866" s="136">
        <v>201602</v>
      </c>
      <c r="F1866" s="138" t="s">
        <v>563</v>
      </c>
      <c r="G1866" s="138" t="s">
        <v>352</v>
      </c>
      <c r="H1866" s="138" t="s">
        <v>344</v>
      </c>
      <c r="I1866" s="139">
        <v>0</v>
      </c>
      <c r="K1866" s="96" t="str">
        <f t="shared" si="69"/>
        <v>0003-1004-0012</v>
      </c>
      <c r="L1866" s="96" t="str">
        <f>VLOOKUP(K1866,COA!$A$3:$B$337,2,FALSE)</f>
        <v>L51</v>
      </c>
      <c r="M1866" s="96" t="str">
        <f t="shared" si="70"/>
        <v>L51</v>
      </c>
      <c r="N1866" s="96" t="str">
        <f>VLOOKUP(M1866,CAC!$A$2:$B$198,2,FALSE)</f>
        <v>PPOLG</v>
      </c>
    </row>
    <row r="1867" spans="5:14" x14ac:dyDescent="0.25">
      <c r="E1867" s="136">
        <v>201612</v>
      </c>
      <c r="F1867" s="138" t="s">
        <v>413</v>
      </c>
      <c r="G1867" s="138" t="s">
        <v>354</v>
      </c>
      <c r="H1867" s="138" t="s">
        <v>344</v>
      </c>
      <c r="I1867" s="139">
        <v>0</v>
      </c>
      <c r="K1867" s="96" t="str">
        <f t="shared" si="69"/>
        <v>0008-1013-0012</v>
      </c>
      <c r="L1867" s="96" t="str">
        <f>VLOOKUP(K1867,COA!$A$3:$B$337,2,FALSE)</f>
        <v>C76</v>
      </c>
      <c r="M1867" s="96" t="str">
        <f t="shared" si="70"/>
        <v>C76</v>
      </c>
      <c r="N1867" s="96" t="str">
        <f>VLOOKUP(M1867,CAC!$A$2:$B$198,2,FALSE)</f>
        <v>DOILG</v>
      </c>
    </row>
    <row r="1868" spans="5:14" x14ac:dyDescent="0.25">
      <c r="E1868" s="136">
        <v>201701</v>
      </c>
      <c r="F1868" s="138" t="s">
        <v>746</v>
      </c>
      <c r="G1868" s="138" t="s">
        <v>361</v>
      </c>
      <c r="H1868" s="138" t="s">
        <v>344</v>
      </c>
      <c r="I1868" s="139">
        <v>486</v>
      </c>
      <c r="K1868" s="96" t="str">
        <f t="shared" si="69"/>
        <v>0016-1003-0012</v>
      </c>
      <c r="L1868" s="96" t="str">
        <f>VLOOKUP(K1868,COA!$A$3:$B$337,2,FALSE)</f>
        <v>R18</v>
      </c>
      <c r="M1868" s="96" t="str">
        <f t="shared" si="70"/>
        <v>R18</v>
      </c>
      <c r="N1868" s="96" t="str">
        <f>VLOOKUP(M1868,CAC!$A$2:$B$198,2,FALSE)</f>
        <v>HMOMG</v>
      </c>
    </row>
    <row r="1869" spans="5:14" x14ac:dyDescent="0.25">
      <c r="E1869" s="136">
        <v>201710</v>
      </c>
      <c r="F1869" s="138" t="s">
        <v>563</v>
      </c>
      <c r="G1869" s="138" t="s">
        <v>348</v>
      </c>
      <c r="H1869" s="138" t="s">
        <v>353</v>
      </c>
      <c r="I1869" s="139">
        <v>0</v>
      </c>
      <c r="K1869" s="96" t="str">
        <f t="shared" si="69"/>
        <v>0003-1010-0023</v>
      </c>
      <c r="L1869" s="96" t="str">
        <f>VLOOKUP(K1869,COA!$A$3:$B$337,2,FALSE)</f>
        <v>S54</v>
      </c>
      <c r="M1869" s="96" t="str">
        <f t="shared" si="70"/>
        <v>S54</v>
      </c>
      <c r="N1869" s="96" t="str">
        <f>VLOOKUP(M1869,CAC!$A$2:$B$198,2,FALSE)</f>
        <v>PPOSG</v>
      </c>
    </row>
    <row r="1870" spans="5:14" x14ac:dyDescent="0.25">
      <c r="E1870" s="136">
        <v>201603</v>
      </c>
      <c r="F1870" s="138" t="s">
        <v>506</v>
      </c>
      <c r="G1870" s="138" t="s">
        <v>361</v>
      </c>
      <c r="H1870" s="138" t="s">
        <v>592</v>
      </c>
      <c r="I1870" s="139">
        <v>0</v>
      </c>
      <c r="K1870" s="96" t="str">
        <f t="shared" si="69"/>
        <v>0013-1003-0035</v>
      </c>
      <c r="L1870" s="96" t="str">
        <f>VLOOKUP(K1870,COA!$A$3:$B$337,2,FALSE)</f>
        <v>N32</v>
      </c>
      <c r="M1870" s="96" t="str">
        <f t="shared" si="70"/>
        <v>N32</v>
      </c>
      <c r="N1870" s="96" t="e">
        <f>VLOOKUP(M1870,CAC!$A$2:$B$198,2,FALSE)</f>
        <v>#N/A</v>
      </c>
    </row>
    <row r="1871" spans="5:14" x14ac:dyDescent="0.25">
      <c r="E1871" s="136">
        <v>201601</v>
      </c>
      <c r="F1871" s="138" t="s">
        <v>552</v>
      </c>
      <c r="G1871" s="138" t="s">
        <v>356</v>
      </c>
      <c r="H1871" s="138" t="s">
        <v>672</v>
      </c>
      <c r="I1871" s="139">
        <v>0</v>
      </c>
      <c r="K1871" s="96" t="str">
        <f t="shared" si="69"/>
        <v>0027-1002-0058</v>
      </c>
      <c r="L1871" s="96" t="str">
        <f>VLOOKUP(K1871,COA!$A$3:$B$337,2,FALSE)</f>
        <v>L45</v>
      </c>
      <c r="M1871" s="96" t="str">
        <f t="shared" si="70"/>
        <v>L45</v>
      </c>
      <c r="N1871" s="96" t="e">
        <f>VLOOKUP(M1871,CAC!$A$2:$B$198,2,FALSE)</f>
        <v>#N/A</v>
      </c>
    </row>
    <row r="1872" spans="5:14" x14ac:dyDescent="0.25">
      <c r="E1872" s="136">
        <v>201703</v>
      </c>
      <c r="F1872" s="138" t="s">
        <v>345</v>
      </c>
      <c r="G1872" s="138" t="s">
        <v>354</v>
      </c>
      <c r="H1872" s="138" t="s">
        <v>368</v>
      </c>
      <c r="I1872" s="139">
        <v>1</v>
      </c>
      <c r="K1872" s="96" t="str">
        <f t="shared" si="69"/>
        <v>0011-1013-0056</v>
      </c>
      <c r="L1872" s="96" t="str">
        <f>VLOOKUP(K1872,COA!$A$3:$B$337,2,FALSE)</f>
        <v>N20</v>
      </c>
      <c r="M1872" s="96" t="str">
        <f t="shared" si="70"/>
        <v>N20</v>
      </c>
      <c r="N1872" s="96" t="str">
        <f>VLOOKUP(M1872,CAC!$A$2:$B$198,2,FALSE)</f>
        <v>HMOPMR</v>
      </c>
    </row>
    <row r="1873" spans="5:14" x14ac:dyDescent="0.25">
      <c r="E1873" s="136">
        <v>201604</v>
      </c>
      <c r="F1873" s="138" t="s">
        <v>344</v>
      </c>
      <c r="G1873" s="138" t="s">
        <v>361</v>
      </c>
      <c r="H1873" s="138" t="s">
        <v>344</v>
      </c>
      <c r="I1873" s="139">
        <v>9627.31</v>
      </c>
      <c r="K1873" s="96" t="str">
        <f t="shared" si="69"/>
        <v>0012-1003-0012</v>
      </c>
      <c r="L1873" s="96" t="str">
        <f>VLOOKUP(K1873,COA!$A$3:$B$337,2,FALSE)</f>
        <v>N15</v>
      </c>
      <c r="M1873" s="96" t="str">
        <f t="shared" si="70"/>
        <v>N15</v>
      </c>
      <c r="N1873" s="96" t="str">
        <f>VLOOKUP(M1873,CAC!$A$2:$B$198,2,FALSE)</f>
        <v>HMOPMR</v>
      </c>
    </row>
    <row r="1874" spans="5:14" x14ac:dyDescent="0.25">
      <c r="E1874" s="136">
        <v>201603</v>
      </c>
      <c r="F1874" s="138" t="s">
        <v>345</v>
      </c>
      <c r="G1874" s="138" t="s">
        <v>356</v>
      </c>
      <c r="H1874" s="138" t="s">
        <v>344</v>
      </c>
      <c r="I1874" s="139">
        <v>15664</v>
      </c>
      <c r="K1874" s="96" t="str">
        <f t="shared" si="69"/>
        <v>0011-1002-0012</v>
      </c>
      <c r="L1874" s="96" t="str">
        <f>VLOOKUP(K1874,COA!$A$3:$B$337,2,FALSE)</f>
        <v>F20</v>
      </c>
      <c r="M1874" s="96" t="str">
        <f t="shared" si="70"/>
        <v>F20</v>
      </c>
      <c r="N1874" s="96" t="str">
        <f>VLOOKUP(M1874,CAC!$A$2:$B$198,2,FALSE)</f>
        <v>HMOPMR</v>
      </c>
    </row>
    <row r="1875" spans="5:14" x14ac:dyDescent="0.25">
      <c r="E1875" s="136">
        <v>201708</v>
      </c>
      <c r="F1875" s="138" t="s">
        <v>563</v>
      </c>
      <c r="G1875" s="138" t="s">
        <v>355</v>
      </c>
      <c r="H1875" s="138" t="s">
        <v>344</v>
      </c>
      <c r="I1875" s="139">
        <v>0</v>
      </c>
      <c r="K1875" s="96" t="str">
        <f t="shared" si="69"/>
        <v>0003-1006-0012</v>
      </c>
      <c r="L1875" s="96" t="str">
        <f>VLOOKUP(K1875,COA!$A$3:$B$337,2,FALSE)</f>
        <v>L52</v>
      </c>
      <c r="M1875" s="96" t="str">
        <f t="shared" si="70"/>
        <v>L52</v>
      </c>
      <c r="N1875" s="96" t="str">
        <f>VLOOKUP(M1875,CAC!$A$2:$B$198,2,FALSE)</f>
        <v>PPOLG</v>
      </c>
    </row>
    <row r="1876" spans="5:14" x14ac:dyDescent="0.25">
      <c r="E1876" s="136">
        <v>201608</v>
      </c>
      <c r="F1876" s="138" t="s">
        <v>344</v>
      </c>
      <c r="G1876" s="138" t="s">
        <v>352</v>
      </c>
      <c r="H1876" s="138" t="s">
        <v>344</v>
      </c>
      <c r="I1876" s="139">
        <v>438</v>
      </c>
      <c r="K1876" s="96" t="str">
        <f t="shared" si="69"/>
        <v>0012-1004-0012</v>
      </c>
      <c r="L1876" s="96" t="str">
        <f>VLOOKUP(K1876,COA!$A$3:$B$337,2,FALSE)</f>
        <v>L12</v>
      </c>
      <c r="M1876" s="96" t="str">
        <f t="shared" si="70"/>
        <v>L12</v>
      </c>
      <c r="N1876" s="96" t="str">
        <f>VLOOKUP(M1876,CAC!$A$2:$B$198,2,FALSE)</f>
        <v>HMOLG</v>
      </c>
    </row>
    <row r="1877" spans="5:14" x14ac:dyDescent="0.25">
      <c r="E1877" s="136">
        <v>201612</v>
      </c>
      <c r="F1877" s="138" t="s">
        <v>413</v>
      </c>
      <c r="G1877" s="138" t="s">
        <v>352</v>
      </c>
      <c r="H1877" s="138" t="s">
        <v>344</v>
      </c>
      <c r="I1877" s="139">
        <v>0</v>
      </c>
      <c r="K1877" s="96" t="str">
        <f t="shared" si="69"/>
        <v>0008-1004-0012</v>
      </c>
      <c r="L1877" s="96" t="str">
        <f>VLOOKUP(K1877,COA!$A$3:$B$337,2,FALSE)</f>
        <v>C93</v>
      </c>
      <c r="M1877" s="96" t="str">
        <f t="shared" si="70"/>
        <v>C93</v>
      </c>
      <c r="N1877" s="96" t="str">
        <f>VLOOKUP(M1877,CAC!$A$2:$B$198,2,FALSE)</f>
        <v>DOILG</v>
      </c>
    </row>
    <row r="1878" spans="5:14" x14ac:dyDescent="0.25">
      <c r="E1878" s="136">
        <v>201701</v>
      </c>
      <c r="F1878" s="138" t="s">
        <v>345</v>
      </c>
      <c r="G1878" s="138" t="s">
        <v>365</v>
      </c>
      <c r="H1878" s="138" t="s">
        <v>367</v>
      </c>
      <c r="I1878" s="139">
        <v>337</v>
      </c>
      <c r="K1878" s="96" t="str">
        <f t="shared" si="69"/>
        <v>0011-1001-0022</v>
      </c>
      <c r="L1878" s="96" t="str">
        <f>VLOOKUP(K1878,COA!$A$3:$B$337,2,FALSE)</f>
        <v>V14</v>
      </c>
      <c r="M1878" s="96" t="str">
        <f t="shared" si="70"/>
        <v>V14</v>
      </c>
      <c r="N1878" s="96" t="str">
        <f>VLOOKUP(M1878,CAC!$A$2:$B$198,2,FALSE)</f>
        <v>HMOIFP</v>
      </c>
    </row>
    <row r="1879" spans="5:14" x14ac:dyDescent="0.25">
      <c r="E1879" s="136">
        <v>201605</v>
      </c>
      <c r="F1879" s="138" t="s">
        <v>345</v>
      </c>
      <c r="G1879" s="138" t="s">
        <v>352</v>
      </c>
      <c r="H1879" s="138" t="s">
        <v>357</v>
      </c>
      <c r="I1879" s="139">
        <v>301</v>
      </c>
      <c r="K1879" s="96" t="str">
        <f t="shared" si="69"/>
        <v>0011-1004-0038</v>
      </c>
      <c r="L1879" s="96" t="str">
        <f>VLOOKUP(K1879,COA!$A$3:$B$337,2,FALSE)</f>
        <v>L14</v>
      </c>
      <c r="M1879" s="96" t="str">
        <f t="shared" si="70"/>
        <v>L14</v>
      </c>
      <c r="N1879" s="96" t="str">
        <f>VLOOKUP(M1879,CAC!$A$2:$B$198,2,FALSE)</f>
        <v>HMOLG</v>
      </c>
    </row>
    <row r="1880" spans="5:14" x14ac:dyDescent="0.25">
      <c r="E1880" s="136">
        <v>201612</v>
      </c>
      <c r="F1880" s="138" t="s">
        <v>345</v>
      </c>
      <c r="G1880" s="138" t="s">
        <v>359</v>
      </c>
      <c r="H1880" s="138" t="s">
        <v>344</v>
      </c>
      <c r="I1880" s="139">
        <v>3957.01</v>
      </c>
      <c r="K1880" s="96" t="str">
        <f t="shared" si="69"/>
        <v>0011-1005-0012</v>
      </c>
      <c r="L1880" s="96" t="str">
        <f>VLOOKUP(K1880,COA!$A$3:$B$337,2,FALSE)</f>
        <v>N11</v>
      </c>
      <c r="M1880" s="96" t="str">
        <f t="shared" si="70"/>
        <v>N11</v>
      </c>
      <c r="N1880" s="96" t="str">
        <f>VLOOKUP(M1880,CAC!$A$2:$B$198,2,FALSE)</f>
        <v>HMOLG</v>
      </c>
    </row>
    <row r="1881" spans="5:14" x14ac:dyDescent="0.25">
      <c r="E1881" s="136">
        <v>201703</v>
      </c>
      <c r="F1881" s="138" t="s">
        <v>413</v>
      </c>
      <c r="G1881" s="138" t="s">
        <v>365</v>
      </c>
      <c r="H1881" s="138" t="s">
        <v>344</v>
      </c>
      <c r="I1881" s="139">
        <v>0</v>
      </c>
      <c r="K1881" s="96" t="str">
        <f t="shared" si="69"/>
        <v>0008-1001-0012</v>
      </c>
      <c r="L1881" s="96" t="str">
        <f>VLOOKUP(K1881,COA!$A$3:$B$337,2,FALSE)</f>
        <v>C95</v>
      </c>
      <c r="M1881" s="96" t="str">
        <f t="shared" si="70"/>
        <v>C95</v>
      </c>
      <c r="N1881" s="96" t="str">
        <f>VLOOKUP(M1881,CAC!$A$2:$B$198,2,FALSE)</f>
        <v>DOIIFP</v>
      </c>
    </row>
    <row r="1882" spans="5:14" x14ac:dyDescent="0.25">
      <c r="E1882" s="136">
        <v>201603</v>
      </c>
      <c r="F1882" s="138" t="s">
        <v>345</v>
      </c>
      <c r="G1882" s="138" t="s">
        <v>355</v>
      </c>
      <c r="H1882" s="138" t="s">
        <v>344</v>
      </c>
      <c r="I1882" s="139">
        <v>24240.6</v>
      </c>
      <c r="K1882" s="96" t="str">
        <f t="shared" si="69"/>
        <v>0011-1006-0012</v>
      </c>
      <c r="L1882" s="96" t="str">
        <f>VLOOKUP(K1882,COA!$A$3:$B$337,2,FALSE)</f>
        <v>L13</v>
      </c>
      <c r="M1882" s="96" t="str">
        <f t="shared" si="70"/>
        <v>L13</v>
      </c>
      <c r="N1882" s="96" t="str">
        <f>VLOOKUP(M1882,CAC!$A$2:$B$198,2,FALSE)</f>
        <v>HMOLG</v>
      </c>
    </row>
    <row r="1883" spans="5:14" x14ac:dyDescent="0.25">
      <c r="E1883" s="136">
        <v>201604</v>
      </c>
      <c r="F1883" s="138" t="s">
        <v>563</v>
      </c>
      <c r="G1883" s="138" t="s">
        <v>365</v>
      </c>
      <c r="H1883" s="138" t="s">
        <v>798</v>
      </c>
      <c r="I1883" s="139">
        <v>0</v>
      </c>
      <c r="K1883" s="96" t="str">
        <f t="shared" si="69"/>
        <v>0003-1001-0065</v>
      </c>
      <c r="L1883" s="96" t="str">
        <f>VLOOKUP(K1883,COA!$A$3:$B$337,2,FALSE)</f>
        <v>V55</v>
      </c>
      <c r="M1883" s="96" t="str">
        <f t="shared" si="70"/>
        <v>V55</v>
      </c>
      <c r="N1883" s="96" t="e">
        <f>VLOOKUP(M1883,CAC!$A$2:$B$198,2,FALSE)</f>
        <v>#N/A</v>
      </c>
    </row>
    <row r="1884" spans="5:14" x14ac:dyDescent="0.25">
      <c r="E1884" s="136">
        <v>201607</v>
      </c>
      <c r="F1884" s="138" t="s">
        <v>344</v>
      </c>
      <c r="G1884" s="138" t="s">
        <v>361</v>
      </c>
      <c r="H1884" s="138" t="s">
        <v>344</v>
      </c>
      <c r="I1884" s="139">
        <v>2750.83</v>
      </c>
      <c r="K1884" s="96" t="str">
        <f t="shared" si="69"/>
        <v>0012-1003-0012</v>
      </c>
      <c r="L1884" s="96" t="str">
        <f>VLOOKUP(K1884,COA!$A$3:$B$337,2,FALSE)</f>
        <v>N15</v>
      </c>
      <c r="M1884" s="96" t="str">
        <f t="shared" si="70"/>
        <v>N15</v>
      </c>
      <c r="N1884" s="96" t="str">
        <f>VLOOKUP(M1884,CAC!$A$2:$B$198,2,FALSE)</f>
        <v>HMOPMR</v>
      </c>
    </row>
    <row r="1885" spans="5:14" x14ac:dyDescent="0.25">
      <c r="E1885" s="136">
        <v>201701</v>
      </c>
      <c r="F1885" s="138" t="s">
        <v>506</v>
      </c>
      <c r="G1885" s="138" t="s">
        <v>346</v>
      </c>
      <c r="H1885" s="138" t="s">
        <v>592</v>
      </c>
      <c r="I1885" s="139">
        <v>0</v>
      </c>
      <c r="K1885" s="96" t="str">
        <f t="shared" si="69"/>
        <v>0013-1014-0035</v>
      </c>
      <c r="L1885" s="96" t="str">
        <f>VLOOKUP(K1885,COA!$A$3:$B$337,2,FALSE)</f>
        <v>K42</v>
      </c>
      <c r="M1885" s="96" t="str">
        <f t="shared" si="70"/>
        <v>K42</v>
      </c>
      <c r="N1885" s="96" t="str">
        <f>VLOOKUP(M1885,CAC!$A$2:$B$198,2,FALSE)</f>
        <v>HMFLEX</v>
      </c>
    </row>
    <row r="1886" spans="5:14" x14ac:dyDescent="0.25">
      <c r="E1886" s="136">
        <v>201604</v>
      </c>
      <c r="F1886" s="138" t="s">
        <v>563</v>
      </c>
      <c r="G1886" s="138" t="s">
        <v>369</v>
      </c>
      <c r="H1886" s="138" t="s">
        <v>345</v>
      </c>
      <c r="I1886" s="139">
        <v>0</v>
      </c>
      <c r="K1886" s="96" t="str">
        <f t="shared" si="69"/>
        <v>0003-1009-0011</v>
      </c>
      <c r="L1886" s="96" t="str">
        <f>VLOOKUP(K1886,COA!$A$3:$B$337,2,FALSE)</f>
        <v>V91</v>
      </c>
      <c r="M1886" s="96" t="str">
        <f t="shared" si="70"/>
        <v>V91</v>
      </c>
      <c r="N1886" s="96" t="str">
        <f>VLOOKUP(M1886,CAC!$A$2:$B$198,2,FALSE)</f>
        <v>PPOMM</v>
      </c>
    </row>
    <row r="1887" spans="5:14" x14ac:dyDescent="0.25">
      <c r="E1887" s="136">
        <v>201611</v>
      </c>
      <c r="F1887" s="138" t="s">
        <v>746</v>
      </c>
      <c r="G1887" s="138" t="s">
        <v>354</v>
      </c>
      <c r="H1887" s="138" t="s">
        <v>344</v>
      </c>
      <c r="I1887" s="139">
        <v>81</v>
      </c>
      <c r="K1887" s="96" t="str">
        <f t="shared" si="69"/>
        <v>0016-1013-0012</v>
      </c>
      <c r="L1887" s="96" t="str">
        <f>VLOOKUP(K1887,COA!$A$3:$B$337,2,FALSE)</f>
        <v>R19</v>
      </c>
      <c r="M1887" s="96" t="str">
        <f t="shared" si="70"/>
        <v>R19</v>
      </c>
      <c r="N1887" s="96" t="str">
        <f>VLOOKUP(M1887,CAC!$A$2:$B$198,2,FALSE)</f>
        <v>HMOMG</v>
      </c>
    </row>
    <row r="1888" spans="5:14" x14ac:dyDescent="0.25">
      <c r="E1888" s="136">
        <v>201702</v>
      </c>
      <c r="F1888" s="138" t="s">
        <v>563</v>
      </c>
      <c r="G1888" s="138" t="s">
        <v>359</v>
      </c>
      <c r="H1888" s="138" t="s">
        <v>344</v>
      </c>
      <c r="I1888" s="139">
        <v>0</v>
      </c>
      <c r="K1888" s="96" t="str">
        <f t="shared" si="69"/>
        <v>0003-1005-0012</v>
      </c>
      <c r="L1888" s="96" t="str">
        <f>VLOOKUP(K1888,COA!$A$3:$B$337,2,FALSE)</f>
        <v>N51</v>
      </c>
      <c r="M1888" s="96" t="str">
        <f t="shared" si="70"/>
        <v>N51</v>
      </c>
      <c r="N1888" s="96" t="str">
        <f>VLOOKUP(M1888,CAC!$A$2:$B$198,2,FALSE)</f>
        <v>PPOLG</v>
      </c>
    </row>
    <row r="1889" spans="5:14" x14ac:dyDescent="0.25">
      <c r="E1889" s="136">
        <v>201509</v>
      </c>
      <c r="F1889" s="138" t="s">
        <v>506</v>
      </c>
      <c r="G1889" s="138" t="s">
        <v>350</v>
      </c>
      <c r="H1889" s="138" t="s">
        <v>592</v>
      </c>
      <c r="I1889" s="139">
        <v>0</v>
      </c>
      <c r="K1889" s="96" t="str">
        <f t="shared" si="69"/>
        <v>0013-1012-0035</v>
      </c>
      <c r="L1889" s="96" t="str">
        <f>VLOOKUP(K1889,COA!$A$3:$B$337,2,FALSE)</f>
        <v>K41</v>
      </c>
      <c r="M1889" s="96" t="str">
        <f t="shared" si="70"/>
        <v>K41</v>
      </c>
      <c r="N1889" s="96" t="e">
        <f>VLOOKUP(M1889,CAC!$A$2:$B$198,2,FALSE)</f>
        <v>#N/A</v>
      </c>
    </row>
    <row r="1890" spans="5:14" x14ac:dyDescent="0.25">
      <c r="E1890" s="136">
        <v>201609</v>
      </c>
      <c r="F1890" s="138" t="s">
        <v>345</v>
      </c>
      <c r="G1890" s="138" t="s">
        <v>352</v>
      </c>
      <c r="H1890" s="138" t="s">
        <v>653</v>
      </c>
      <c r="I1890" s="139">
        <v>0</v>
      </c>
      <c r="K1890" s="96" t="str">
        <f t="shared" si="69"/>
        <v>0011-1004-0047</v>
      </c>
      <c r="L1890" s="96" t="str">
        <f>VLOOKUP(K1890,COA!$A$3:$B$337,2,FALSE)</f>
        <v>L17</v>
      </c>
      <c r="M1890" s="96" t="str">
        <f t="shared" si="70"/>
        <v>L17</v>
      </c>
      <c r="N1890" s="96" t="str">
        <f>VLOOKUP(M1890,CAC!$A$2:$B$198,2,FALSE)</f>
        <v>HMOLG</v>
      </c>
    </row>
    <row r="1891" spans="5:14" x14ac:dyDescent="0.25">
      <c r="E1891" s="136">
        <v>201609</v>
      </c>
      <c r="F1891" s="138" t="s">
        <v>746</v>
      </c>
      <c r="G1891" s="138" t="s">
        <v>354</v>
      </c>
      <c r="H1891" s="138" t="s">
        <v>344</v>
      </c>
      <c r="I1891" s="139">
        <v>80</v>
      </c>
      <c r="K1891" s="96" t="str">
        <f t="shared" si="69"/>
        <v>0016-1013-0012</v>
      </c>
      <c r="L1891" s="96" t="str">
        <f>VLOOKUP(K1891,COA!$A$3:$B$337,2,FALSE)</f>
        <v>R19</v>
      </c>
      <c r="M1891" s="96" t="str">
        <f t="shared" si="70"/>
        <v>R19</v>
      </c>
      <c r="N1891" s="96" t="str">
        <f>VLOOKUP(M1891,CAC!$A$2:$B$198,2,FALSE)</f>
        <v>HMOMG</v>
      </c>
    </row>
    <row r="1892" spans="5:14" x14ac:dyDescent="0.25">
      <c r="E1892" s="136">
        <v>201711</v>
      </c>
      <c r="F1892" s="138" t="s">
        <v>563</v>
      </c>
      <c r="G1892" s="138" t="s">
        <v>354</v>
      </c>
      <c r="H1892" s="138" t="s">
        <v>360</v>
      </c>
      <c r="I1892" s="139">
        <v>0</v>
      </c>
      <c r="K1892" s="96" t="str">
        <f t="shared" si="69"/>
        <v>0003-1013-0048</v>
      </c>
      <c r="L1892" s="96" t="str">
        <f>VLOOKUP(K1892,COA!$A$3:$B$337,2,FALSE)</f>
        <v>N56</v>
      </c>
      <c r="M1892" s="96" t="str">
        <f t="shared" si="70"/>
        <v>N56</v>
      </c>
      <c r="N1892" s="96" t="str">
        <f>VLOOKUP(M1892,CAC!$A$2:$B$198,2,FALSE)</f>
        <v>HMFLEX</v>
      </c>
    </row>
    <row r="1893" spans="5:14" x14ac:dyDescent="0.25">
      <c r="E1893" s="136">
        <v>201704</v>
      </c>
      <c r="F1893" s="138" t="s">
        <v>345</v>
      </c>
      <c r="G1893" s="138" t="s">
        <v>361</v>
      </c>
      <c r="H1893" s="138" t="s">
        <v>344</v>
      </c>
      <c r="I1893" s="139">
        <v>943</v>
      </c>
      <c r="K1893" s="96" t="str">
        <f t="shared" si="69"/>
        <v>0011-1003-0012</v>
      </c>
      <c r="L1893" s="96" t="str">
        <f>VLOOKUP(K1893,COA!$A$3:$B$337,2,FALSE)</f>
        <v>N16</v>
      </c>
      <c r="M1893" s="96" t="str">
        <f t="shared" si="70"/>
        <v>N16</v>
      </c>
      <c r="N1893" s="96" t="str">
        <f>VLOOKUP(M1893,CAC!$A$2:$B$198,2,FALSE)</f>
        <v>HMOPMR</v>
      </c>
    </row>
    <row r="1894" spans="5:14" x14ac:dyDescent="0.25">
      <c r="E1894" s="136">
        <v>201511</v>
      </c>
      <c r="F1894" s="138" t="s">
        <v>552</v>
      </c>
      <c r="G1894" s="138" t="s">
        <v>356</v>
      </c>
      <c r="H1894" s="138" t="s">
        <v>672</v>
      </c>
      <c r="I1894" s="139">
        <v>0</v>
      </c>
      <c r="K1894" s="96" t="str">
        <f t="shared" si="69"/>
        <v>0027-1002-0058</v>
      </c>
      <c r="L1894" s="96" t="str">
        <f>VLOOKUP(K1894,COA!$A$3:$B$337,2,FALSE)</f>
        <v>L45</v>
      </c>
      <c r="M1894" s="96" t="str">
        <f t="shared" si="70"/>
        <v>L45</v>
      </c>
      <c r="N1894" s="96" t="e">
        <f>VLOOKUP(M1894,CAC!$A$2:$B$198,2,FALSE)</f>
        <v>#N/A</v>
      </c>
    </row>
    <row r="1895" spans="5:14" x14ac:dyDescent="0.25">
      <c r="E1895" s="136">
        <v>201504</v>
      </c>
      <c r="F1895" s="138" t="s">
        <v>563</v>
      </c>
      <c r="G1895" s="138" t="s">
        <v>352</v>
      </c>
      <c r="H1895" s="138" t="s">
        <v>344</v>
      </c>
      <c r="I1895" s="139">
        <v>0</v>
      </c>
      <c r="K1895" s="96" t="str">
        <f t="shared" si="69"/>
        <v>0003-1004-0012</v>
      </c>
      <c r="L1895" s="96" t="str">
        <f>VLOOKUP(K1895,COA!$A$3:$B$337,2,FALSE)</f>
        <v>L51</v>
      </c>
      <c r="M1895" s="96" t="str">
        <f t="shared" si="70"/>
        <v>L51</v>
      </c>
      <c r="N1895" s="96" t="str">
        <f>VLOOKUP(M1895,CAC!$A$2:$B$198,2,FALSE)</f>
        <v>PPOLG</v>
      </c>
    </row>
    <row r="1896" spans="5:14" x14ac:dyDescent="0.25">
      <c r="E1896" s="136">
        <v>201712</v>
      </c>
      <c r="F1896" s="138" t="s">
        <v>345</v>
      </c>
      <c r="G1896" s="138" t="s">
        <v>356</v>
      </c>
      <c r="H1896" s="138" t="s">
        <v>344</v>
      </c>
      <c r="I1896" s="139">
        <v>16136.64</v>
      </c>
      <c r="K1896" s="96" t="str">
        <f t="shared" si="69"/>
        <v>0011-1002-0012</v>
      </c>
      <c r="L1896" s="96" t="str">
        <f>VLOOKUP(K1896,COA!$A$3:$B$337,2,FALSE)</f>
        <v>F20</v>
      </c>
      <c r="M1896" s="96" t="str">
        <f t="shared" si="70"/>
        <v>F20</v>
      </c>
      <c r="N1896" s="96" t="str">
        <f>VLOOKUP(M1896,CAC!$A$2:$B$198,2,FALSE)</f>
        <v>HMOPMR</v>
      </c>
    </row>
    <row r="1897" spans="5:14" x14ac:dyDescent="0.25">
      <c r="E1897" s="136">
        <v>201709</v>
      </c>
      <c r="F1897" s="138" t="s">
        <v>345</v>
      </c>
      <c r="G1897" s="138" t="s">
        <v>355</v>
      </c>
      <c r="H1897" s="138" t="s">
        <v>344</v>
      </c>
      <c r="I1897" s="139">
        <v>17713.77</v>
      </c>
      <c r="K1897" s="96" t="str">
        <f t="shared" si="69"/>
        <v>0011-1006-0012</v>
      </c>
      <c r="L1897" s="96" t="str">
        <f>VLOOKUP(K1897,COA!$A$3:$B$337,2,FALSE)</f>
        <v>L13</v>
      </c>
      <c r="M1897" s="96" t="str">
        <f t="shared" si="70"/>
        <v>L13</v>
      </c>
      <c r="N1897" s="96" t="str">
        <f>VLOOKUP(M1897,CAC!$A$2:$B$198,2,FALSE)</f>
        <v>HMOLG</v>
      </c>
    </row>
    <row r="1898" spans="5:14" x14ac:dyDescent="0.25">
      <c r="E1898" s="136">
        <v>201703</v>
      </c>
      <c r="F1898" s="138" t="s">
        <v>506</v>
      </c>
      <c r="G1898" s="138" t="s">
        <v>359</v>
      </c>
      <c r="H1898" s="138" t="s">
        <v>592</v>
      </c>
      <c r="I1898" s="139">
        <v>0</v>
      </c>
      <c r="K1898" s="96" t="str">
        <f t="shared" si="69"/>
        <v>0013-1005-0035</v>
      </c>
      <c r="L1898" s="96" t="str">
        <f>VLOOKUP(K1898,COA!$A$3:$B$337,2,FALSE)</f>
        <v>N41</v>
      </c>
      <c r="M1898" s="96" t="str">
        <f t="shared" si="70"/>
        <v>N41</v>
      </c>
      <c r="N1898" s="96" t="e">
        <f>VLOOKUP(M1898,CAC!$A$2:$B$198,2,FALSE)</f>
        <v>#N/A</v>
      </c>
    </row>
    <row r="1899" spans="5:14" x14ac:dyDescent="0.25">
      <c r="E1899" s="136">
        <v>201503</v>
      </c>
      <c r="F1899" s="138" t="s">
        <v>345</v>
      </c>
      <c r="G1899" s="138" t="s">
        <v>350</v>
      </c>
      <c r="H1899" s="138" t="s">
        <v>344</v>
      </c>
      <c r="I1899" s="139">
        <v>7006</v>
      </c>
      <c r="K1899" s="96" t="str">
        <f t="shared" si="69"/>
        <v>0011-1012-0012</v>
      </c>
      <c r="L1899" s="96" t="str">
        <f>VLOOKUP(K1899,COA!$A$3:$B$337,2,FALSE)</f>
        <v>K11</v>
      </c>
      <c r="M1899" s="96" t="str">
        <f t="shared" si="70"/>
        <v>K11</v>
      </c>
      <c r="N1899" s="96" t="str">
        <f>VLOOKUP(M1899,CAC!$A$2:$B$198,2,FALSE)</f>
        <v>HMOPMR</v>
      </c>
    </row>
    <row r="1900" spans="5:14" x14ac:dyDescent="0.25">
      <c r="E1900" s="136">
        <v>201601</v>
      </c>
      <c r="F1900" s="138" t="s">
        <v>549</v>
      </c>
      <c r="G1900" s="138" t="s">
        <v>356</v>
      </c>
      <c r="H1900" s="138" t="s">
        <v>672</v>
      </c>
      <c r="I1900" s="139">
        <v>0</v>
      </c>
      <c r="K1900" s="96" t="str">
        <f t="shared" si="69"/>
        <v>0026-1002-0058</v>
      </c>
      <c r="L1900" s="96" t="str">
        <f>VLOOKUP(K1900,COA!$A$3:$B$337,2,FALSE)</f>
        <v>L45</v>
      </c>
      <c r="M1900" s="96" t="str">
        <f t="shared" si="70"/>
        <v>L45</v>
      </c>
      <c r="N1900" s="96" t="e">
        <f>VLOOKUP(M1900,CAC!$A$2:$B$198,2,FALSE)</f>
        <v>#N/A</v>
      </c>
    </row>
    <row r="1901" spans="5:14" x14ac:dyDescent="0.25">
      <c r="E1901" s="136">
        <v>201707</v>
      </c>
      <c r="F1901" s="138" t="s">
        <v>345</v>
      </c>
      <c r="G1901" s="138" t="s">
        <v>352</v>
      </c>
      <c r="H1901" s="138" t="s">
        <v>357</v>
      </c>
      <c r="I1901" s="139">
        <v>1960</v>
      </c>
      <c r="K1901" s="96" t="str">
        <f t="shared" si="69"/>
        <v>0011-1004-0038</v>
      </c>
      <c r="L1901" s="96" t="str">
        <f>VLOOKUP(K1901,COA!$A$3:$B$337,2,FALSE)</f>
        <v>L14</v>
      </c>
      <c r="M1901" s="96" t="str">
        <f t="shared" si="70"/>
        <v>L14</v>
      </c>
      <c r="N1901" s="96" t="str">
        <f>VLOOKUP(M1901,CAC!$A$2:$B$198,2,FALSE)</f>
        <v>HMOLG</v>
      </c>
    </row>
    <row r="1902" spans="5:14" x14ac:dyDescent="0.25">
      <c r="E1902" s="136">
        <v>201512</v>
      </c>
      <c r="F1902" s="138" t="s">
        <v>524</v>
      </c>
      <c r="G1902" s="138" t="s">
        <v>361</v>
      </c>
      <c r="H1902" s="138" t="s">
        <v>672</v>
      </c>
      <c r="I1902" s="139">
        <v>0</v>
      </c>
      <c r="K1902" s="96" t="str">
        <f t="shared" si="69"/>
        <v>0025-1003-0058</v>
      </c>
      <c r="L1902" s="96" t="str">
        <f>VLOOKUP(K1902,COA!$A$3:$B$337,2,FALSE)</f>
        <v>N45</v>
      </c>
      <c r="M1902" s="96" t="str">
        <f t="shared" si="70"/>
        <v>N45</v>
      </c>
      <c r="N1902" s="96" t="e">
        <f>VLOOKUP(M1902,CAC!$A$2:$B$198,2,FALSE)</f>
        <v>#N/A</v>
      </c>
    </row>
    <row r="1903" spans="5:14" x14ac:dyDescent="0.25">
      <c r="E1903" s="136">
        <v>201610</v>
      </c>
      <c r="F1903" s="138" t="s">
        <v>563</v>
      </c>
      <c r="G1903" s="138" t="s">
        <v>354</v>
      </c>
      <c r="H1903" s="138" t="s">
        <v>653</v>
      </c>
      <c r="I1903" s="139">
        <v>0</v>
      </c>
      <c r="K1903" s="96" t="str">
        <f t="shared" si="69"/>
        <v>0003-1013-0047</v>
      </c>
      <c r="L1903" s="96" t="str">
        <f>VLOOKUP(K1903,COA!$A$3:$B$337,2,FALSE)</f>
        <v>N57</v>
      </c>
      <c r="M1903" s="96" t="str">
        <f t="shared" si="70"/>
        <v>N57</v>
      </c>
      <c r="N1903" s="96" t="str">
        <f>VLOOKUP(M1903,CAC!$A$2:$B$198,2,FALSE)</f>
        <v>PPOPMR</v>
      </c>
    </row>
    <row r="1904" spans="5:14" x14ac:dyDescent="0.25">
      <c r="E1904" s="136">
        <v>201512</v>
      </c>
      <c r="F1904" s="138" t="s">
        <v>345</v>
      </c>
      <c r="G1904" s="138" t="s">
        <v>356</v>
      </c>
      <c r="H1904" s="138" t="s">
        <v>344</v>
      </c>
      <c r="I1904" s="139">
        <v>15333.03</v>
      </c>
      <c r="K1904" s="96" t="str">
        <f t="shared" si="69"/>
        <v>0011-1002-0012</v>
      </c>
      <c r="L1904" s="96" t="str">
        <f>VLOOKUP(K1904,COA!$A$3:$B$337,2,FALSE)</f>
        <v>F20</v>
      </c>
      <c r="M1904" s="96" t="str">
        <f t="shared" si="70"/>
        <v>F20</v>
      </c>
      <c r="N1904" s="96" t="str">
        <f>VLOOKUP(M1904,CAC!$A$2:$B$198,2,FALSE)</f>
        <v>HMOPMR</v>
      </c>
    </row>
    <row r="1905" spans="5:14" x14ac:dyDescent="0.25">
      <c r="E1905" s="136">
        <v>201602</v>
      </c>
      <c r="F1905" s="138" t="s">
        <v>344</v>
      </c>
      <c r="G1905" s="138" t="s">
        <v>356</v>
      </c>
      <c r="H1905" s="138" t="s">
        <v>344</v>
      </c>
      <c r="I1905" s="139">
        <v>4115.6899999999996</v>
      </c>
      <c r="K1905" s="96" t="str">
        <f t="shared" si="69"/>
        <v>0012-1002-0012</v>
      </c>
      <c r="L1905" s="96" t="str">
        <f>VLOOKUP(K1905,COA!$A$3:$B$337,2,FALSE)</f>
        <v>F22</v>
      </c>
      <c r="M1905" s="96" t="str">
        <f t="shared" si="70"/>
        <v>F22</v>
      </c>
      <c r="N1905" s="96" t="str">
        <f>VLOOKUP(M1905,CAC!$A$2:$B$198,2,FALSE)</f>
        <v>HMOPMR</v>
      </c>
    </row>
    <row r="1906" spans="5:14" x14ac:dyDescent="0.25">
      <c r="E1906" s="136">
        <v>201704</v>
      </c>
      <c r="F1906" s="138" t="s">
        <v>549</v>
      </c>
      <c r="G1906" s="138" t="s">
        <v>352</v>
      </c>
      <c r="H1906" s="138" t="s">
        <v>672</v>
      </c>
      <c r="I1906" s="139">
        <v>0</v>
      </c>
      <c r="K1906" s="96" t="str">
        <f t="shared" si="69"/>
        <v>0026-1004-0058</v>
      </c>
      <c r="L1906" s="96" t="str">
        <f>VLOOKUP(K1906,COA!$A$3:$B$337,2,FALSE)</f>
        <v>L44</v>
      </c>
      <c r="M1906" s="96" t="str">
        <f t="shared" si="70"/>
        <v>L44</v>
      </c>
      <c r="N1906" s="96" t="e">
        <f>VLOOKUP(M1906,CAC!$A$2:$B$198,2,FALSE)</f>
        <v>#N/A</v>
      </c>
    </row>
    <row r="1907" spans="5:14" x14ac:dyDescent="0.25">
      <c r="E1907" s="136">
        <v>201603</v>
      </c>
      <c r="F1907" s="138" t="s">
        <v>746</v>
      </c>
      <c r="G1907" s="138" t="s">
        <v>356</v>
      </c>
      <c r="H1907" s="138" t="s">
        <v>764</v>
      </c>
      <c r="I1907" s="139">
        <v>8</v>
      </c>
      <c r="K1907" s="96" t="str">
        <f t="shared" si="69"/>
        <v>0016-1002-0064</v>
      </c>
      <c r="L1907" s="96" t="str">
        <f>VLOOKUP(K1907,COA!$A$3:$B$337,2,FALSE)</f>
        <v>R25</v>
      </c>
      <c r="M1907" s="96" t="str">
        <f t="shared" si="70"/>
        <v>R25</v>
      </c>
      <c r="N1907" s="96" t="str">
        <f>VLOOKUP(M1907,CAC!$A$2:$B$198,2,FALSE)</f>
        <v>HMOMG</v>
      </c>
    </row>
    <row r="1908" spans="5:14" x14ac:dyDescent="0.25">
      <c r="E1908" s="136">
        <v>201702</v>
      </c>
      <c r="F1908" s="138" t="s">
        <v>345</v>
      </c>
      <c r="G1908" s="138" t="s">
        <v>352</v>
      </c>
      <c r="H1908" s="138" t="s">
        <v>653</v>
      </c>
      <c r="I1908" s="139">
        <v>0</v>
      </c>
      <c r="K1908" s="96" t="str">
        <f t="shared" si="69"/>
        <v>0011-1004-0047</v>
      </c>
      <c r="L1908" s="96" t="str">
        <f>VLOOKUP(K1908,COA!$A$3:$B$337,2,FALSE)</f>
        <v>L17</v>
      </c>
      <c r="M1908" s="96" t="str">
        <f t="shared" si="70"/>
        <v>L17</v>
      </c>
      <c r="N1908" s="96" t="str">
        <f>VLOOKUP(M1908,CAC!$A$2:$B$198,2,FALSE)</f>
        <v>HMOLG</v>
      </c>
    </row>
    <row r="1909" spans="5:14" x14ac:dyDescent="0.25">
      <c r="E1909" s="136">
        <v>201609</v>
      </c>
      <c r="F1909" s="138" t="s">
        <v>345</v>
      </c>
      <c r="G1909" s="138" t="s">
        <v>350</v>
      </c>
      <c r="H1909" s="138" t="s">
        <v>344</v>
      </c>
      <c r="I1909" s="139">
        <v>14679.36</v>
      </c>
      <c r="K1909" s="96" t="str">
        <f t="shared" si="69"/>
        <v>0011-1012-0012</v>
      </c>
      <c r="L1909" s="96" t="str">
        <f>VLOOKUP(K1909,COA!$A$3:$B$337,2,FALSE)</f>
        <v>K11</v>
      </c>
      <c r="M1909" s="96" t="str">
        <f t="shared" si="70"/>
        <v>K11</v>
      </c>
      <c r="N1909" s="96" t="str">
        <f>VLOOKUP(M1909,CAC!$A$2:$B$198,2,FALSE)</f>
        <v>HMOPMR</v>
      </c>
    </row>
    <row r="1910" spans="5:14" x14ac:dyDescent="0.25">
      <c r="E1910" s="136">
        <v>201506</v>
      </c>
      <c r="F1910" s="138" t="s">
        <v>413</v>
      </c>
      <c r="G1910" s="138" t="s">
        <v>365</v>
      </c>
      <c r="H1910" s="138" t="s">
        <v>344</v>
      </c>
      <c r="I1910" s="139">
        <v>0</v>
      </c>
      <c r="K1910" s="96" t="str">
        <f t="shared" si="69"/>
        <v>0008-1001-0012</v>
      </c>
      <c r="L1910" s="96" t="str">
        <f>VLOOKUP(K1910,COA!$A$3:$B$337,2,FALSE)</f>
        <v>C95</v>
      </c>
      <c r="M1910" s="96" t="str">
        <f t="shared" si="70"/>
        <v>C95</v>
      </c>
      <c r="N1910" s="96" t="str">
        <f>VLOOKUP(M1910,CAC!$A$2:$B$198,2,FALSE)</f>
        <v>DOIIFP</v>
      </c>
    </row>
    <row r="1911" spans="5:14" x14ac:dyDescent="0.25">
      <c r="E1911" s="136">
        <v>201711</v>
      </c>
      <c r="F1911" s="138" t="s">
        <v>563</v>
      </c>
      <c r="G1911" s="138" t="s">
        <v>365</v>
      </c>
      <c r="H1911" s="138" t="s">
        <v>367</v>
      </c>
      <c r="I1911" s="139">
        <v>0</v>
      </c>
      <c r="K1911" s="96" t="str">
        <f t="shared" si="69"/>
        <v>0003-1001-0022</v>
      </c>
      <c r="L1911" s="96" t="str">
        <f>VLOOKUP(K1911,COA!$A$3:$B$337,2,FALSE)</f>
        <v>V54</v>
      </c>
      <c r="M1911" s="96" t="str">
        <f t="shared" si="70"/>
        <v>V54</v>
      </c>
      <c r="N1911" s="96" t="str">
        <f>VLOOKUP(M1911,CAC!$A$2:$B$198,2,FALSE)</f>
        <v>PPOIFP</v>
      </c>
    </row>
    <row r="1912" spans="5:14" x14ac:dyDescent="0.25">
      <c r="E1912" s="136">
        <v>201704</v>
      </c>
      <c r="F1912" s="138" t="s">
        <v>413</v>
      </c>
      <c r="G1912" s="138" t="s">
        <v>355</v>
      </c>
      <c r="H1912" s="138" t="s">
        <v>344</v>
      </c>
      <c r="I1912" s="139">
        <v>0</v>
      </c>
      <c r="K1912" s="96" t="str">
        <f t="shared" si="69"/>
        <v>0008-1006-0012</v>
      </c>
      <c r="L1912" s="96" t="str">
        <f>VLOOKUP(K1912,COA!$A$3:$B$337,2,FALSE)</f>
        <v>C96</v>
      </c>
      <c r="M1912" s="96" t="str">
        <f t="shared" si="70"/>
        <v>C96</v>
      </c>
      <c r="N1912" s="96" t="str">
        <f>VLOOKUP(M1912,CAC!$A$2:$B$198,2,FALSE)</f>
        <v>DOILG</v>
      </c>
    </row>
    <row r="1913" spans="5:14" x14ac:dyDescent="0.25">
      <c r="E1913" s="136">
        <v>201510</v>
      </c>
      <c r="F1913" s="138" t="s">
        <v>563</v>
      </c>
      <c r="G1913" s="138" t="s">
        <v>354</v>
      </c>
      <c r="H1913" s="138" t="s">
        <v>653</v>
      </c>
      <c r="I1913" s="139">
        <v>0</v>
      </c>
      <c r="K1913" s="96" t="str">
        <f t="shared" si="69"/>
        <v>0003-1013-0047</v>
      </c>
      <c r="L1913" s="96" t="str">
        <f>VLOOKUP(K1913,COA!$A$3:$B$337,2,FALSE)</f>
        <v>N57</v>
      </c>
      <c r="M1913" s="96" t="str">
        <f t="shared" si="70"/>
        <v>N57</v>
      </c>
      <c r="N1913" s="96" t="str">
        <f>VLOOKUP(M1913,CAC!$A$2:$B$198,2,FALSE)</f>
        <v>PPOPMR</v>
      </c>
    </row>
    <row r="1914" spans="5:14" x14ac:dyDescent="0.25">
      <c r="E1914" s="136">
        <v>201506</v>
      </c>
      <c r="F1914" s="138" t="s">
        <v>413</v>
      </c>
      <c r="G1914" s="138" t="s">
        <v>365</v>
      </c>
      <c r="H1914" s="138" t="s">
        <v>411</v>
      </c>
      <c r="I1914" s="139">
        <v>0</v>
      </c>
      <c r="K1914" s="96" t="str">
        <f t="shared" si="69"/>
        <v>0008-1001-0007</v>
      </c>
      <c r="L1914" s="96" t="str">
        <f>VLOOKUP(K1914,COA!$A$3:$B$337,2,FALSE)</f>
        <v>C99</v>
      </c>
      <c r="M1914" s="96" t="str">
        <f t="shared" si="70"/>
        <v>C99</v>
      </c>
      <c r="N1914" s="96" t="str">
        <f>VLOOKUP(M1914,CAC!$A$2:$B$198,2,FALSE)</f>
        <v>DOIIFP</v>
      </c>
    </row>
    <row r="1915" spans="5:14" x14ac:dyDescent="0.25">
      <c r="E1915" s="136">
        <v>201511</v>
      </c>
      <c r="F1915" s="138" t="s">
        <v>563</v>
      </c>
      <c r="G1915" s="138" t="s">
        <v>365</v>
      </c>
      <c r="H1915" s="138" t="s">
        <v>367</v>
      </c>
      <c r="I1915" s="139">
        <v>0</v>
      </c>
      <c r="K1915" s="96" t="str">
        <f t="shared" si="69"/>
        <v>0003-1001-0022</v>
      </c>
      <c r="L1915" s="96" t="str">
        <f>VLOOKUP(K1915,COA!$A$3:$B$337,2,FALSE)</f>
        <v>V54</v>
      </c>
      <c r="M1915" s="96" t="str">
        <f t="shared" si="70"/>
        <v>V54</v>
      </c>
      <c r="N1915" s="96" t="str">
        <f>VLOOKUP(M1915,CAC!$A$2:$B$198,2,FALSE)</f>
        <v>PPOIFP</v>
      </c>
    </row>
    <row r="1916" spans="5:14" x14ac:dyDescent="0.25">
      <c r="E1916" s="136">
        <v>201711</v>
      </c>
      <c r="F1916" s="138" t="s">
        <v>345</v>
      </c>
      <c r="G1916" s="138" t="s">
        <v>359</v>
      </c>
      <c r="H1916" s="138" t="s">
        <v>344</v>
      </c>
      <c r="I1916" s="139">
        <v>7047.5</v>
      </c>
      <c r="K1916" s="96" t="str">
        <f t="shared" si="69"/>
        <v>0011-1005-0012</v>
      </c>
      <c r="L1916" s="96" t="str">
        <f>VLOOKUP(K1916,COA!$A$3:$B$337,2,FALSE)</f>
        <v>N11</v>
      </c>
      <c r="M1916" s="96" t="str">
        <f t="shared" si="70"/>
        <v>N11</v>
      </c>
      <c r="N1916" s="96" t="str">
        <f>VLOOKUP(M1916,CAC!$A$2:$B$198,2,FALSE)</f>
        <v>HMOLG</v>
      </c>
    </row>
    <row r="1917" spans="5:14" x14ac:dyDescent="0.25">
      <c r="E1917" s="136">
        <v>201512</v>
      </c>
      <c r="F1917" s="138" t="s">
        <v>563</v>
      </c>
      <c r="G1917" s="138" t="s">
        <v>365</v>
      </c>
      <c r="H1917" s="138" t="s">
        <v>344</v>
      </c>
      <c r="I1917" s="139">
        <v>0</v>
      </c>
      <c r="K1917" s="96" t="str">
        <f t="shared" si="69"/>
        <v>0003-1001-0012</v>
      </c>
      <c r="L1917" s="96" t="str">
        <f>VLOOKUP(K1917,COA!$A$3:$B$337,2,FALSE)</f>
        <v>V51</v>
      </c>
      <c r="M1917" s="96" t="str">
        <f t="shared" si="70"/>
        <v>V51</v>
      </c>
      <c r="N1917" s="96" t="str">
        <f>VLOOKUP(M1917,CAC!$A$2:$B$198,2,FALSE)</f>
        <v>PPOIFP</v>
      </c>
    </row>
    <row r="1918" spans="5:14" x14ac:dyDescent="0.25">
      <c r="E1918" s="136">
        <v>201702</v>
      </c>
      <c r="F1918" s="138" t="s">
        <v>506</v>
      </c>
      <c r="G1918" s="138" t="s">
        <v>359</v>
      </c>
      <c r="H1918" s="138" t="s">
        <v>592</v>
      </c>
      <c r="I1918" s="139">
        <v>0</v>
      </c>
      <c r="K1918" s="96" t="str">
        <f t="shared" si="69"/>
        <v>0013-1005-0035</v>
      </c>
      <c r="L1918" s="96" t="str">
        <f>VLOOKUP(K1918,COA!$A$3:$B$337,2,FALSE)</f>
        <v>N41</v>
      </c>
      <c r="M1918" s="96" t="str">
        <f t="shared" si="70"/>
        <v>N41</v>
      </c>
      <c r="N1918" s="96" t="e">
        <f>VLOOKUP(M1918,CAC!$A$2:$B$198,2,FALSE)</f>
        <v>#N/A</v>
      </c>
    </row>
    <row r="1919" spans="5:14" x14ac:dyDescent="0.25">
      <c r="E1919" s="136">
        <v>201511</v>
      </c>
      <c r="F1919" s="138" t="s">
        <v>344</v>
      </c>
      <c r="G1919" s="138" t="s">
        <v>354</v>
      </c>
      <c r="H1919" s="138" t="s">
        <v>344</v>
      </c>
      <c r="I1919" s="139">
        <v>274</v>
      </c>
      <c r="K1919" s="96" t="str">
        <f t="shared" si="69"/>
        <v>0012-1013-0012</v>
      </c>
      <c r="L1919" s="96" t="str">
        <f>VLOOKUP(K1919,COA!$A$3:$B$337,2,FALSE)</f>
        <v>N14</v>
      </c>
      <c r="M1919" s="96" t="str">
        <f t="shared" si="70"/>
        <v>N14</v>
      </c>
      <c r="N1919" s="96" t="str">
        <f>VLOOKUP(M1919,CAC!$A$2:$B$198,2,FALSE)</f>
        <v>HMOPMR</v>
      </c>
    </row>
    <row r="1920" spans="5:14" x14ac:dyDescent="0.25">
      <c r="E1920" s="136">
        <v>201511</v>
      </c>
      <c r="F1920" s="138" t="s">
        <v>344</v>
      </c>
      <c r="G1920" s="138" t="s">
        <v>355</v>
      </c>
      <c r="H1920" s="138" t="s">
        <v>344</v>
      </c>
      <c r="I1920" s="139">
        <v>238</v>
      </c>
      <c r="K1920" s="96" t="str">
        <f t="shared" si="69"/>
        <v>0012-1006-0012</v>
      </c>
      <c r="L1920" s="96" t="str">
        <f>VLOOKUP(K1920,COA!$A$3:$B$337,2,FALSE)</f>
        <v>L16</v>
      </c>
      <c r="M1920" s="96" t="str">
        <f t="shared" si="70"/>
        <v>L16</v>
      </c>
      <c r="N1920" s="96" t="str">
        <f>VLOOKUP(M1920,CAC!$A$2:$B$198,2,FALSE)</f>
        <v>HMOLG</v>
      </c>
    </row>
    <row r="1921" spans="5:14" x14ac:dyDescent="0.25">
      <c r="E1921" s="136">
        <v>201510</v>
      </c>
      <c r="F1921" s="138" t="s">
        <v>345</v>
      </c>
      <c r="G1921" s="138" t="s">
        <v>362</v>
      </c>
      <c r="H1921" s="138" t="s">
        <v>363</v>
      </c>
      <c r="I1921" s="139">
        <v>59279.839999999997</v>
      </c>
      <c r="K1921" s="96" t="str">
        <f t="shared" si="69"/>
        <v>0011-1008-0054</v>
      </c>
      <c r="L1921" s="96" t="str">
        <f>VLOOKUP(K1921,COA!$A$3:$B$337,2,FALSE)</f>
        <v>P23</v>
      </c>
      <c r="M1921" s="96" t="str">
        <f t="shared" si="70"/>
        <v>P23</v>
      </c>
      <c r="N1921" s="96" t="str">
        <f>VLOOKUP(M1921,CAC!$A$2:$B$198,2,FALSE)</f>
        <v>HMOPERN</v>
      </c>
    </row>
    <row r="1922" spans="5:14" x14ac:dyDescent="0.25">
      <c r="E1922" s="136">
        <v>201709</v>
      </c>
      <c r="F1922" s="138" t="s">
        <v>506</v>
      </c>
      <c r="G1922" s="138" t="s">
        <v>354</v>
      </c>
      <c r="H1922" s="138" t="s">
        <v>592</v>
      </c>
      <c r="I1922" s="139">
        <v>0</v>
      </c>
      <c r="K1922" s="96" t="str">
        <f t="shared" si="69"/>
        <v>0013-1013-0035</v>
      </c>
      <c r="L1922" s="96" t="str">
        <f>VLOOKUP(K1922,COA!$A$3:$B$337,2,FALSE)</f>
        <v>N44</v>
      </c>
      <c r="M1922" s="96" t="str">
        <f t="shared" si="70"/>
        <v>N44</v>
      </c>
      <c r="N1922" s="96" t="e">
        <f>VLOOKUP(M1922,CAC!$A$2:$B$198,2,FALSE)</f>
        <v>#N/A</v>
      </c>
    </row>
    <row r="1923" spans="5:14" x14ac:dyDescent="0.25">
      <c r="E1923" s="136">
        <v>201509</v>
      </c>
      <c r="F1923" s="138" t="s">
        <v>524</v>
      </c>
      <c r="G1923" s="138" t="s">
        <v>356</v>
      </c>
      <c r="H1923" s="138" t="s">
        <v>672</v>
      </c>
      <c r="I1923" s="139">
        <v>0</v>
      </c>
      <c r="K1923" s="96" t="str">
        <f t="shared" ref="K1923:K1986" si="71">F1923&amp;"-"&amp;G1923&amp;"-"&amp;H1923</f>
        <v>0025-1002-0058</v>
      </c>
      <c r="L1923" s="96" t="str">
        <f>VLOOKUP(K1923,COA!$A$3:$B$337,2,FALSE)</f>
        <v>L45</v>
      </c>
      <c r="M1923" s="96" t="str">
        <f t="shared" si="70"/>
        <v>L45</v>
      </c>
      <c r="N1923" s="96" t="e">
        <f>VLOOKUP(M1923,CAC!$A$2:$B$198,2,FALSE)</f>
        <v>#N/A</v>
      </c>
    </row>
    <row r="1924" spans="5:14" x14ac:dyDescent="0.25">
      <c r="E1924" s="136">
        <v>201611</v>
      </c>
      <c r="F1924" s="138" t="s">
        <v>405</v>
      </c>
      <c r="G1924" s="138" t="s">
        <v>362</v>
      </c>
      <c r="H1924" s="138" t="s">
        <v>342</v>
      </c>
      <c r="I1924" s="139">
        <v>0</v>
      </c>
      <c r="K1924" s="96" t="str">
        <f t="shared" si="71"/>
        <v>0019-1008-0031</v>
      </c>
      <c r="L1924" s="96" t="str">
        <f>VLOOKUP(K1924,COA!$A$3:$B$337,2,FALSE)</f>
        <v>P53</v>
      </c>
      <c r="M1924" s="96" t="str">
        <f t="shared" ref="M1924:M1987" si="72">IF(ISNA(L1924),"XXX",L1924)</f>
        <v>P53</v>
      </c>
      <c r="N1924" s="96" t="str">
        <f>VLOOKUP(M1924,CAC!$A$2:$B$198,2,FALSE)</f>
        <v>HMOPERA</v>
      </c>
    </row>
    <row r="1925" spans="5:14" x14ac:dyDescent="0.25">
      <c r="E1925" s="136">
        <v>201508</v>
      </c>
      <c r="F1925" s="138" t="s">
        <v>563</v>
      </c>
      <c r="G1925" s="138" t="s">
        <v>361</v>
      </c>
      <c r="H1925" s="138" t="s">
        <v>344</v>
      </c>
      <c r="I1925" s="139">
        <v>0</v>
      </c>
      <c r="K1925" s="96" t="str">
        <f t="shared" si="71"/>
        <v>0003-1003-0012</v>
      </c>
      <c r="L1925" s="96" t="str">
        <f>VLOOKUP(K1925,COA!$A$3:$B$337,2,FALSE)</f>
        <v>N61</v>
      </c>
      <c r="M1925" s="96" t="str">
        <f t="shared" si="72"/>
        <v>N61</v>
      </c>
      <c r="N1925" s="96" t="str">
        <f>VLOOKUP(M1925,CAC!$A$2:$B$198,2,FALSE)</f>
        <v>PPOPMR</v>
      </c>
    </row>
    <row r="1926" spans="5:14" x14ac:dyDescent="0.25">
      <c r="E1926" s="136">
        <v>201507</v>
      </c>
      <c r="F1926" s="138" t="s">
        <v>344</v>
      </c>
      <c r="G1926" s="138" t="s">
        <v>359</v>
      </c>
      <c r="H1926" s="138" t="s">
        <v>344</v>
      </c>
      <c r="I1926" s="139">
        <v>57</v>
      </c>
      <c r="K1926" s="96" t="str">
        <f t="shared" si="71"/>
        <v>0012-1005-0012</v>
      </c>
      <c r="L1926" s="96" t="str">
        <f>VLOOKUP(K1926,COA!$A$3:$B$337,2,FALSE)</f>
        <v>N13</v>
      </c>
      <c r="M1926" s="96" t="str">
        <f t="shared" si="72"/>
        <v>N13</v>
      </c>
      <c r="N1926" s="96" t="str">
        <f>VLOOKUP(M1926,CAC!$A$2:$B$198,2,FALSE)</f>
        <v>HMOLG</v>
      </c>
    </row>
    <row r="1927" spans="5:14" x14ac:dyDescent="0.25">
      <c r="E1927" s="136">
        <v>201712</v>
      </c>
      <c r="F1927" s="138" t="s">
        <v>413</v>
      </c>
      <c r="G1927" s="138" t="s">
        <v>352</v>
      </c>
      <c r="H1927" s="138" t="s">
        <v>344</v>
      </c>
      <c r="I1927" s="139">
        <v>0</v>
      </c>
      <c r="K1927" s="96" t="str">
        <f t="shared" si="71"/>
        <v>0008-1004-0012</v>
      </c>
      <c r="L1927" s="96" t="str">
        <f>VLOOKUP(K1927,COA!$A$3:$B$337,2,FALSE)</f>
        <v>C93</v>
      </c>
      <c r="M1927" s="96" t="str">
        <f t="shared" si="72"/>
        <v>C93</v>
      </c>
      <c r="N1927" s="96" t="str">
        <f>VLOOKUP(M1927,CAC!$A$2:$B$198,2,FALSE)</f>
        <v>DOILG</v>
      </c>
    </row>
    <row r="1928" spans="5:14" x14ac:dyDescent="0.25">
      <c r="E1928" s="136">
        <v>201601</v>
      </c>
      <c r="F1928" s="138" t="s">
        <v>345</v>
      </c>
      <c r="G1928" s="138" t="s">
        <v>346</v>
      </c>
      <c r="H1928" s="138" t="s">
        <v>344</v>
      </c>
      <c r="I1928" s="139">
        <v>1</v>
      </c>
      <c r="K1928" s="96" t="str">
        <f t="shared" si="71"/>
        <v>0011-1014-0012</v>
      </c>
      <c r="L1928" s="96" t="e">
        <f>VLOOKUP(K1928,COA!$A$3:$B$337,2,FALSE)</f>
        <v>#N/A</v>
      </c>
      <c r="M1928" s="96" t="str">
        <f t="shared" si="72"/>
        <v>XXX</v>
      </c>
      <c r="N1928" s="96" t="str">
        <f>VLOOKUP(M1928,CAC!$A$2:$B$198,2,FALSE)</f>
        <v>XXX</v>
      </c>
    </row>
    <row r="1929" spans="5:14" x14ac:dyDescent="0.25">
      <c r="E1929" s="136">
        <v>201707</v>
      </c>
      <c r="F1929" s="138" t="s">
        <v>563</v>
      </c>
      <c r="G1929" s="138" t="s">
        <v>365</v>
      </c>
      <c r="H1929" s="138" t="s">
        <v>367</v>
      </c>
      <c r="I1929" s="139">
        <v>0</v>
      </c>
      <c r="K1929" s="96" t="str">
        <f t="shared" si="71"/>
        <v>0003-1001-0022</v>
      </c>
      <c r="L1929" s="96" t="str">
        <f>VLOOKUP(K1929,COA!$A$3:$B$337,2,FALSE)</f>
        <v>V54</v>
      </c>
      <c r="M1929" s="96" t="str">
        <f t="shared" si="72"/>
        <v>V54</v>
      </c>
      <c r="N1929" s="96" t="str">
        <f>VLOOKUP(M1929,CAC!$A$2:$B$198,2,FALSE)</f>
        <v>PPOIFP</v>
      </c>
    </row>
    <row r="1930" spans="5:14" x14ac:dyDescent="0.25">
      <c r="E1930" s="136">
        <v>201606</v>
      </c>
      <c r="F1930" s="138" t="s">
        <v>344</v>
      </c>
      <c r="G1930" s="138" t="s">
        <v>356</v>
      </c>
      <c r="H1930" s="138" t="s">
        <v>344</v>
      </c>
      <c r="I1930" s="139">
        <v>4160</v>
      </c>
      <c r="K1930" s="96" t="str">
        <f t="shared" si="71"/>
        <v>0012-1002-0012</v>
      </c>
      <c r="L1930" s="96" t="str">
        <f>VLOOKUP(K1930,COA!$A$3:$B$337,2,FALSE)</f>
        <v>F22</v>
      </c>
      <c r="M1930" s="96" t="str">
        <f t="shared" si="72"/>
        <v>F22</v>
      </c>
      <c r="N1930" s="96" t="str">
        <f>VLOOKUP(M1930,CAC!$A$2:$B$198,2,FALSE)</f>
        <v>HMOPMR</v>
      </c>
    </row>
    <row r="1931" spans="5:14" x14ac:dyDescent="0.25">
      <c r="E1931" s="136">
        <v>201712</v>
      </c>
      <c r="F1931" s="138" t="s">
        <v>506</v>
      </c>
      <c r="G1931" s="138" t="s">
        <v>359</v>
      </c>
      <c r="H1931" s="138" t="s">
        <v>592</v>
      </c>
      <c r="I1931" s="139">
        <v>0</v>
      </c>
      <c r="K1931" s="96" t="str">
        <f t="shared" si="71"/>
        <v>0013-1005-0035</v>
      </c>
      <c r="L1931" s="96" t="str">
        <f>VLOOKUP(K1931,COA!$A$3:$B$337,2,FALSE)</f>
        <v>N41</v>
      </c>
      <c r="M1931" s="96" t="str">
        <f t="shared" si="72"/>
        <v>N41</v>
      </c>
      <c r="N1931" s="96" t="e">
        <f>VLOOKUP(M1931,CAC!$A$2:$B$198,2,FALSE)</f>
        <v>#N/A</v>
      </c>
    </row>
    <row r="1932" spans="5:14" x14ac:dyDescent="0.25">
      <c r="E1932" s="136">
        <v>201609</v>
      </c>
      <c r="F1932" s="138" t="s">
        <v>344</v>
      </c>
      <c r="G1932" s="138" t="s">
        <v>354</v>
      </c>
      <c r="H1932" s="138" t="s">
        <v>344</v>
      </c>
      <c r="I1932" s="139">
        <v>286</v>
      </c>
      <c r="K1932" s="96" t="str">
        <f t="shared" si="71"/>
        <v>0012-1013-0012</v>
      </c>
      <c r="L1932" s="96" t="str">
        <f>VLOOKUP(K1932,COA!$A$3:$B$337,2,FALSE)</f>
        <v>N14</v>
      </c>
      <c r="M1932" s="96" t="str">
        <f t="shared" si="72"/>
        <v>N14</v>
      </c>
      <c r="N1932" s="96" t="str">
        <f>VLOOKUP(M1932,CAC!$A$2:$B$198,2,FALSE)</f>
        <v>HMOPMR</v>
      </c>
    </row>
    <row r="1933" spans="5:14" x14ac:dyDescent="0.25">
      <c r="E1933" s="136">
        <v>201604</v>
      </c>
      <c r="F1933" s="138" t="s">
        <v>563</v>
      </c>
      <c r="G1933" s="138" t="s">
        <v>356</v>
      </c>
      <c r="H1933" s="138" t="s">
        <v>344</v>
      </c>
      <c r="I1933" s="139">
        <v>0</v>
      </c>
      <c r="K1933" s="96" t="str">
        <f t="shared" si="71"/>
        <v>0003-1002-0012</v>
      </c>
      <c r="L1933" s="96" t="str">
        <f>VLOOKUP(K1933,COA!$A$3:$B$337,2,FALSE)</f>
        <v>F61</v>
      </c>
      <c r="M1933" s="96" t="str">
        <f t="shared" si="72"/>
        <v>F61</v>
      </c>
      <c r="N1933" s="96" t="str">
        <f>VLOOKUP(M1933,CAC!$A$2:$B$198,2,FALSE)</f>
        <v>PPOPMR</v>
      </c>
    </row>
    <row r="1934" spans="5:14" x14ac:dyDescent="0.25">
      <c r="E1934" s="136">
        <v>201711</v>
      </c>
      <c r="F1934" s="138" t="s">
        <v>506</v>
      </c>
      <c r="G1934" s="138" t="s">
        <v>354</v>
      </c>
      <c r="H1934" s="138" t="s">
        <v>592</v>
      </c>
      <c r="I1934" s="139">
        <v>0</v>
      </c>
      <c r="K1934" s="96" t="str">
        <f t="shared" si="71"/>
        <v>0013-1013-0035</v>
      </c>
      <c r="L1934" s="96" t="str">
        <f>VLOOKUP(K1934,COA!$A$3:$B$337,2,FALSE)</f>
        <v>N44</v>
      </c>
      <c r="M1934" s="96" t="str">
        <f t="shared" si="72"/>
        <v>N44</v>
      </c>
      <c r="N1934" s="96" t="e">
        <f>VLOOKUP(M1934,CAC!$A$2:$B$198,2,FALSE)</f>
        <v>#N/A</v>
      </c>
    </row>
    <row r="1935" spans="5:14" x14ac:dyDescent="0.25">
      <c r="E1935" s="136">
        <v>201703</v>
      </c>
      <c r="F1935" s="138" t="s">
        <v>563</v>
      </c>
      <c r="G1935" s="138" t="s">
        <v>365</v>
      </c>
      <c r="H1935" s="138" t="s">
        <v>367</v>
      </c>
      <c r="I1935" s="139">
        <v>0</v>
      </c>
      <c r="K1935" s="96" t="str">
        <f t="shared" si="71"/>
        <v>0003-1001-0022</v>
      </c>
      <c r="L1935" s="96" t="str">
        <f>VLOOKUP(K1935,COA!$A$3:$B$337,2,FALSE)</f>
        <v>V54</v>
      </c>
      <c r="M1935" s="96" t="str">
        <f t="shared" si="72"/>
        <v>V54</v>
      </c>
      <c r="N1935" s="96" t="str">
        <f>VLOOKUP(M1935,CAC!$A$2:$B$198,2,FALSE)</f>
        <v>PPOIFP</v>
      </c>
    </row>
    <row r="1936" spans="5:14" x14ac:dyDescent="0.25">
      <c r="E1936" s="136">
        <v>201601</v>
      </c>
      <c r="F1936" s="138" t="s">
        <v>345</v>
      </c>
      <c r="G1936" s="138" t="s">
        <v>348</v>
      </c>
      <c r="H1936" s="138" t="s">
        <v>349</v>
      </c>
      <c r="I1936" s="139">
        <v>20343.330000000002</v>
      </c>
      <c r="K1936" s="96" t="str">
        <f t="shared" si="71"/>
        <v>0011-1010-0017</v>
      </c>
      <c r="L1936" s="96" t="str">
        <f>VLOOKUP(K1936,COA!$A$3:$B$337,2,FALSE)</f>
        <v>S11</v>
      </c>
      <c r="M1936" s="96" t="str">
        <f t="shared" si="72"/>
        <v>S11</v>
      </c>
      <c r="N1936" s="96" t="str">
        <f>VLOOKUP(M1936,CAC!$A$2:$B$198,2,FALSE)</f>
        <v>HMOSG</v>
      </c>
    </row>
    <row r="1937" spans="5:14" x14ac:dyDescent="0.25">
      <c r="E1937" s="136">
        <v>201512</v>
      </c>
      <c r="F1937" s="138" t="s">
        <v>345</v>
      </c>
      <c r="G1937" s="138" t="s">
        <v>355</v>
      </c>
      <c r="H1937" s="138" t="s">
        <v>344</v>
      </c>
      <c r="I1937" s="139">
        <v>26172.38</v>
      </c>
      <c r="K1937" s="96" t="str">
        <f t="shared" si="71"/>
        <v>0011-1006-0012</v>
      </c>
      <c r="L1937" s="96" t="str">
        <f>VLOOKUP(K1937,COA!$A$3:$B$337,2,FALSE)</f>
        <v>L13</v>
      </c>
      <c r="M1937" s="96" t="str">
        <f t="shared" si="72"/>
        <v>L13</v>
      </c>
      <c r="N1937" s="96" t="str">
        <f>VLOOKUP(M1937,CAC!$A$2:$B$198,2,FALSE)</f>
        <v>HMOLG</v>
      </c>
    </row>
    <row r="1938" spans="5:14" x14ac:dyDescent="0.25">
      <c r="E1938" s="136">
        <v>201609</v>
      </c>
      <c r="F1938" s="138" t="s">
        <v>563</v>
      </c>
      <c r="G1938" s="138" t="s">
        <v>354</v>
      </c>
      <c r="H1938" s="138" t="s">
        <v>653</v>
      </c>
      <c r="I1938" s="139">
        <v>0</v>
      </c>
      <c r="K1938" s="96" t="str">
        <f t="shared" si="71"/>
        <v>0003-1013-0047</v>
      </c>
      <c r="L1938" s="96" t="str">
        <f>VLOOKUP(K1938,COA!$A$3:$B$337,2,FALSE)</f>
        <v>N57</v>
      </c>
      <c r="M1938" s="96" t="str">
        <f t="shared" si="72"/>
        <v>N57</v>
      </c>
      <c r="N1938" s="96" t="str">
        <f>VLOOKUP(M1938,CAC!$A$2:$B$198,2,FALSE)</f>
        <v>PPOPMR</v>
      </c>
    </row>
    <row r="1939" spans="5:14" x14ac:dyDescent="0.25">
      <c r="E1939" s="136">
        <v>201512</v>
      </c>
      <c r="F1939" s="138" t="s">
        <v>345</v>
      </c>
      <c r="G1939" s="138" t="s">
        <v>348</v>
      </c>
      <c r="H1939" s="138" t="s">
        <v>349</v>
      </c>
      <c r="I1939" s="139">
        <v>20284.09</v>
      </c>
      <c r="K1939" s="96" t="str">
        <f t="shared" si="71"/>
        <v>0011-1010-0017</v>
      </c>
      <c r="L1939" s="96" t="str">
        <f>VLOOKUP(K1939,COA!$A$3:$B$337,2,FALSE)</f>
        <v>S11</v>
      </c>
      <c r="M1939" s="96" t="str">
        <f t="shared" si="72"/>
        <v>S11</v>
      </c>
      <c r="N1939" s="96" t="str">
        <f>VLOOKUP(M1939,CAC!$A$2:$B$198,2,FALSE)</f>
        <v>HMOSG</v>
      </c>
    </row>
    <row r="1940" spans="5:14" x14ac:dyDescent="0.25">
      <c r="E1940" s="136">
        <v>201502</v>
      </c>
      <c r="F1940" s="138" t="s">
        <v>345</v>
      </c>
      <c r="G1940" s="138" t="s">
        <v>346</v>
      </c>
      <c r="H1940" s="138" t="s">
        <v>347</v>
      </c>
      <c r="I1940" s="139">
        <v>10</v>
      </c>
      <c r="K1940" s="96" t="str">
        <f t="shared" si="71"/>
        <v>0011-1014-0039</v>
      </c>
      <c r="L1940" s="96" t="str">
        <f>VLOOKUP(K1940,COA!$A$3:$B$337,2,FALSE)</f>
        <v>K24</v>
      </c>
      <c r="M1940" s="96" t="str">
        <f t="shared" si="72"/>
        <v>K24</v>
      </c>
      <c r="N1940" s="96" t="str">
        <f>VLOOKUP(M1940,CAC!$A$2:$B$198,2,FALSE)</f>
        <v>HMFLEX</v>
      </c>
    </row>
    <row r="1941" spans="5:14" x14ac:dyDescent="0.25">
      <c r="E1941" s="136">
        <v>201706</v>
      </c>
      <c r="F1941" s="138" t="s">
        <v>552</v>
      </c>
      <c r="G1941" s="138" t="s">
        <v>356</v>
      </c>
      <c r="H1941" s="138" t="s">
        <v>672</v>
      </c>
      <c r="I1941" s="139">
        <v>0</v>
      </c>
      <c r="K1941" s="96" t="str">
        <f t="shared" si="71"/>
        <v>0027-1002-0058</v>
      </c>
      <c r="L1941" s="96" t="str">
        <f>VLOOKUP(K1941,COA!$A$3:$B$337,2,FALSE)</f>
        <v>L45</v>
      </c>
      <c r="M1941" s="96" t="str">
        <f t="shared" si="72"/>
        <v>L45</v>
      </c>
      <c r="N1941" s="96" t="e">
        <f>VLOOKUP(M1941,CAC!$A$2:$B$198,2,FALSE)</f>
        <v>#N/A</v>
      </c>
    </row>
    <row r="1942" spans="5:14" x14ac:dyDescent="0.25">
      <c r="E1942" s="136">
        <v>201510</v>
      </c>
      <c r="F1942" s="138" t="s">
        <v>345</v>
      </c>
      <c r="G1942" s="138" t="s">
        <v>348</v>
      </c>
      <c r="H1942" s="138" t="s">
        <v>353</v>
      </c>
      <c r="I1942" s="139">
        <v>364</v>
      </c>
      <c r="K1942" s="96" t="str">
        <f t="shared" si="71"/>
        <v>0011-1010-0023</v>
      </c>
      <c r="L1942" s="96" t="str">
        <f>VLOOKUP(K1942,COA!$A$3:$B$337,2,FALSE)</f>
        <v>S13</v>
      </c>
      <c r="M1942" s="96" t="str">
        <f t="shared" si="72"/>
        <v>S13</v>
      </c>
      <c r="N1942" s="96" t="str">
        <f>VLOOKUP(M1942,CAC!$A$2:$B$198,2,FALSE)</f>
        <v>HMOSG</v>
      </c>
    </row>
    <row r="1943" spans="5:14" x14ac:dyDescent="0.25">
      <c r="E1943" s="136">
        <v>201603</v>
      </c>
      <c r="F1943" s="138" t="s">
        <v>413</v>
      </c>
      <c r="G1943" s="138" t="s">
        <v>348</v>
      </c>
      <c r="H1943" s="138" t="s">
        <v>349</v>
      </c>
      <c r="I1943" s="139">
        <v>0</v>
      </c>
      <c r="K1943" s="96" t="str">
        <f t="shared" si="71"/>
        <v>0008-1010-0017</v>
      </c>
      <c r="L1943" s="96" t="str">
        <f>VLOOKUP(K1943,COA!$A$3:$B$337,2,FALSE)</f>
        <v>C94</v>
      </c>
      <c r="M1943" s="96" t="str">
        <f t="shared" si="72"/>
        <v>C94</v>
      </c>
      <c r="N1943" s="96" t="str">
        <f>VLOOKUP(M1943,CAC!$A$2:$B$198,2,FALSE)</f>
        <v>DOISG</v>
      </c>
    </row>
    <row r="1944" spans="5:14" x14ac:dyDescent="0.25">
      <c r="E1944" s="136">
        <v>201508</v>
      </c>
      <c r="F1944" s="138" t="s">
        <v>345</v>
      </c>
      <c r="G1944" s="138" t="s">
        <v>362</v>
      </c>
      <c r="H1944" s="138" t="s">
        <v>364</v>
      </c>
      <c r="I1944" s="139">
        <v>39642.71</v>
      </c>
      <c r="K1944" s="96" t="str">
        <f t="shared" si="71"/>
        <v>0011-1008-0037</v>
      </c>
      <c r="L1944" s="96" t="str">
        <f>VLOOKUP(K1944,COA!$A$3:$B$337,2,FALSE)</f>
        <v>P12</v>
      </c>
      <c r="M1944" s="96" t="str">
        <f t="shared" si="72"/>
        <v>P12</v>
      </c>
      <c r="N1944" s="96" t="str">
        <f>VLOOKUP(M1944,CAC!$A$2:$B$198,2,FALSE)</f>
        <v>HMOPERA</v>
      </c>
    </row>
    <row r="1945" spans="5:14" x14ac:dyDescent="0.25">
      <c r="E1945" s="136">
        <v>201611</v>
      </c>
      <c r="F1945" s="138" t="s">
        <v>413</v>
      </c>
      <c r="G1945" s="138" t="s">
        <v>359</v>
      </c>
      <c r="H1945" s="138" t="s">
        <v>344</v>
      </c>
      <c r="I1945" s="139">
        <v>0</v>
      </c>
      <c r="K1945" s="96" t="str">
        <f t="shared" si="71"/>
        <v>0008-1005-0012</v>
      </c>
      <c r="L1945" s="96" t="str">
        <f>VLOOKUP(K1945,COA!$A$3:$B$337,2,FALSE)</f>
        <v>C73</v>
      </c>
      <c r="M1945" s="96" t="str">
        <f t="shared" si="72"/>
        <v>C73</v>
      </c>
      <c r="N1945" s="96" t="str">
        <f>VLOOKUP(M1945,CAC!$A$2:$B$198,2,FALSE)</f>
        <v>DOILG</v>
      </c>
    </row>
    <row r="1946" spans="5:14" x14ac:dyDescent="0.25">
      <c r="E1946" s="136">
        <v>201709</v>
      </c>
      <c r="F1946" s="138" t="s">
        <v>345</v>
      </c>
      <c r="G1946" s="138" t="s">
        <v>348</v>
      </c>
      <c r="H1946" s="138" t="s">
        <v>353</v>
      </c>
      <c r="I1946" s="139">
        <v>358</v>
      </c>
      <c r="K1946" s="96" t="str">
        <f t="shared" si="71"/>
        <v>0011-1010-0023</v>
      </c>
      <c r="L1946" s="96" t="str">
        <f>VLOOKUP(K1946,COA!$A$3:$B$337,2,FALSE)</f>
        <v>S13</v>
      </c>
      <c r="M1946" s="96" t="str">
        <f t="shared" si="72"/>
        <v>S13</v>
      </c>
      <c r="N1946" s="96" t="str">
        <f>VLOOKUP(M1946,CAC!$A$2:$B$198,2,FALSE)</f>
        <v>HMOSG</v>
      </c>
    </row>
    <row r="1947" spans="5:14" x14ac:dyDescent="0.25">
      <c r="E1947" s="136">
        <v>201512</v>
      </c>
      <c r="F1947" s="138" t="s">
        <v>405</v>
      </c>
      <c r="G1947" s="138" t="s">
        <v>362</v>
      </c>
      <c r="H1947" s="138" t="s">
        <v>342</v>
      </c>
      <c r="I1947" s="139">
        <v>0</v>
      </c>
      <c r="K1947" s="96" t="str">
        <f t="shared" si="71"/>
        <v>0019-1008-0031</v>
      </c>
      <c r="L1947" s="96" t="str">
        <f>VLOOKUP(K1947,COA!$A$3:$B$337,2,FALSE)</f>
        <v>P53</v>
      </c>
      <c r="M1947" s="96" t="str">
        <f t="shared" si="72"/>
        <v>P53</v>
      </c>
      <c r="N1947" s="96" t="str">
        <f>VLOOKUP(M1947,CAC!$A$2:$B$198,2,FALSE)</f>
        <v>HMOPERA</v>
      </c>
    </row>
    <row r="1948" spans="5:14" x14ac:dyDescent="0.25">
      <c r="E1948" s="136">
        <v>201705</v>
      </c>
      <c r="F1948" s="138" t="s">
        <v>746</v>
      </c>
      <c r="G1948" s="138" t="s">
        <v>350</v>
      </c>
      <c r="H1948" s="138" t="s">
        <v>344</v>
      </c>
      <c r="I1948" s="139">
        <v>27</v>
      </c>
      <c r="K1948" s="96" t="str">
        <f t="shared" si="71"/>
        <v>0016-1012-0012</v>
      </c>
      <c r="L1948" s="96" t="str">
        <f>VLOOKUP(K1948,COA!$A$3:$B$337,2,FALSE)</f>
        <v>R19</v>
      </c>
      <c r="M1948" s="96" t="str">
        <f t="shared" si="72"/>
        <v>R19</v>
      </c>
      <c r="N1948" s="96" t="str">
        <f>VLOOKUP(M1948,CAC!$A$2:$B$198,2,FALSE)</f>
        <v>HMOMG</v>
      </c>
    </row>
    <row r="1949" spans="5:14" x14ac:dyDescent="0.25">
      <c r="E1949" s="136">
        <v>201508</v>
      </c>
      <c r="F1949" s="138" t="s">
        <v>345</v>
      </c>
      <c r="G1949" s="138" t="s">
        <v>351</v>
      </c>
      <c r="H1949" s="138" t="s">
        <v>349</v>
      </c>
      <c r="I1949" s="139">
        <v>1</v>
      </c>
      <c r="K1949" s="96" t="str">
        <f t="shared" si="71"/>
        <v>0011-0000-0017</v>
      </c>
      <c r="L1949" s="96" t="e">
        <f>VLOOKUP(K1949,COA!$A$3:$B$337,2,FALSE)</f>
        <v>#N/A</v>
      </c>
      <c r="M1949" s="96" t="str">
        <f t="shared" si="72"/>
        <v>XXX</v>
      </c>
      <c r="N1949" s="96" t="str">
        <f>VLOOKUP(M1949,CAC!$A$2:$B$198,2,FALSE)</f>
        <v>XXX</v>
      </c>
    </row>
    <row r="1950" spans="5:14" x14ac:dyDescent="0.25">
      <c r="E1950" s="136">
        <v>201702</v>
      </c>
      <c r="F1950" s="138" t="s">
        <v>345</v>
      </c>
      <c r="G1950" s="138" t="s">
        <v>346</v>
      </c>
      <c r="H1950" s="138" t="s">
        <v>344</v>
      </c>
      <c r="I1950" s="139">
        <v>0</v>
      </c>
      <c r="K1950" s="96" t="str">
        <f t="shared" si="71"/>
        <v>0011-1014-0012</v>
      </c>
      <c r="L1950" s="96" t="e">
        <f>VLOOKUP(K1950,COA!$A$3:$B$337,2,FALSE)</f>
        <v>#N/A</v>
      </c>
      <c r="M1950" s="96" t="str">
        <f t="shared" si="72"/>
        <v>XXX</v>
      </c>
      <c r="N1950" s="96" t="str">
        <f>VLOOKUP(M1950,CAC!$A$2:$B$198,2,FALSE)</f>
        <v>XXX</v>
      </c>
    </row>
    <row r="1951" spans="5:14" x14ac:dyDescent="0.25">
      <c r="E1951" s="136">
        <v>201601</v>
      </c>
      <c r="F1951" s="138" t="s">
        <v>563</v>
      </c>
      <c r="G1951" s="138" t="s">
        <v>365</v>
      </c>
      <c r="H1951" s="138" t="s">
        <v>367</v>
      </c>
      <c r="I1951" s="139">
        <v>0</v>
      </c>
      <c r="K1951" s="96" t="str">
        <f t="shared" si="71"/>
        <v>0003-1001-0022</v>
      </c>
      <c r="L1951" s="96" t="str">
        <f>VLOOKUP(K1951,COA!$A$3:$B$337,2,FALSE)</f>
        <v>V54</v>
      </c>
      <c r="M1951" s="96" t="str">
        <f t="shared" si="72"/>
        <v>V54</v>
      </c>
      <c r="N1951" s="96" t="str">
        <f>VLOOKUP(M1951,CAC!$A$2:$B$198,2,FALSE)</f>
        <v>PPOIFP</v>
      </c>
    </row>
    <row r="1952" spans="5:14" x14ac:dyDescent="0.25">
      <c r="E1952" s="136">
        <v>201509</v>
      </c>
      <c r="F1952" s="138" t="s">
        <v>413</v>
      </c>
      <c r="G1952" s="138" t="s">
        <v>354</v>
      </c>
      <c r="H1952" s="138" t="s">
        <v>344</v>
      </c>
      <c r="I1952" s="139">
        <v>0</v>
      </c>
      <c r="K1952" s="96" t="str">
        <f t="shared" si="71"/>
        <v>0008-1013-0012</v>
      </c>
      <c r="L1952" s="96" t="str">
        <f>VLOOKUP(K1952,COA!$A$3:$B$337,2,FALSE)</f>
        <v>C76</v>
      </c>
      <c r="M1952" s="96" t="str">
        <f t="shared" si="72"/>
        <v>C76</v>
      </c>
      <c r="N1952" s="96" t="str">
        <f>VLOOKUP(M1952,CAC!$A$2:$B$198,2,FALSE)</f>
        <v>DOILG</v>
      </c>
    </row>
    <row r="1953" spans="5:14" x14ac:dyDescent="0.25">
      <c r="E1953" s="136">
        <v>201605</v>
      </c>
      <c r="F1953" s="138" t="s">
        <v>746</v>
      </c>
      <c r="G1953" s="138" t="s">
        <v>350</v>
      </c>
      <c r="H1953" s="138" t="s">
        <v>344</v>
      </c>
      <c r="I1953" s="139">
        <v>62</v>
      </c>
      <c r="K1953" s="96" t="str">
        <f t="shared" si="71"/>
        <v>0016-1012-0012</v>
      </c>
      <c r="L1953" s="96" t="str">
        <f>VLOOKUP(K1953,COA!$A$3:$B$337,2,FALSE)</f>
        <v>R19</v>
      </c>
      <c r="M1953" s="96" t="str">
        <f t="shared" si="72"/>
        <v>R19</v>
      </c>
      <c r="N1953" s="96" t="str">
        <f>VLOOKUP(M1953,CAC!$A$2:$B$198,2,FALSE)</f>
        <v>HMOMG</v>
      </c>
    </row>
    <row r="1954" spans="5:14" x14ac:dyDescent="0.25">
      <c r="E1954" s="136">
        <v>201510</v>
      </c>
      <c r="F1954" s="138" t="s">
        <v>506</v>
      </c>
      <c r="G1954" s="138" t="s">
        <v>354</v>
      </c>
      <c r="H1954" s="138" t="s">
        <v>592</v>
      </c>
      <c r="I1954" s="139">
        <v>0</v>
      </c>
      <c r="K1954" s="96" t="str">
        <f t="shared" si="71"/>
        <v>0013-1013-0035</v>
      </c>
      <c r="L1954" s="96" t="str">
        <f>VLOOKUP(K1954,COA!$A$3:$B$337,2,FALSE)</f>
        <v>N44</v>
      </c>
      <c r="M1954" s="96" t="str">
        <f t="shared" si="72"/>
        <v>N44</v>
      </c>
      <c r="N1954" s="96" t="e">
        <f>VLOOKUP(M1954,CAC!$A$2:$B$198,2,FALSE)</f>
        <v>#N/A</v>
      </c>
    </row>
    <row r="1955" spans="5:14" x14ac:dyDescent="0.25">
      <c r="E1955" s="136">
        <v>201703</v>
      </c>
      <c r="F1955" s="138" t="s">
        <v>345</v>
      </c>
      <c r="G1955" s="138" t="s">
        <v>350</v>
      </c>
      <c r="H1955" s="138" t="s">
        <v>344</v>
      </c>
      <c r="I1955" s="139">
        <v>16078.3</v>
      </c>
      <c r="K1955" s="96" t="str">
        <f t="shared" si="71"/>
        <v>0011-1012-0012</v>
      </c>
      <c r="L1955" s="96" t="str">
        <f>VLOOKUP(K1955,COA!$A$3:$B$337,2,FALSE)</f>
        <v>K11</v>
      </c>
      <c r="M1955" s="96" t="str">
        <f t="shared" si="72"/>
        <v>K11</v>
      </c>
      <c r="N1955" s="96" t="str">
        <f>VLOOKUP(M1955,CAC!$A$2:$B$198,2,FALSE)</f>
        <v>HMOPMR</v>
      </c>
    </row>
    <row r="1956" spans="5:14" x14ac:dyDescent="0.25">
      <c r="E1956" s="136">
        <v>201703</v>
      </c>
      <c r="F1956" s="138" t="s">
        <v>413</v>
      </c>
      <c r="G1956" s="138" t="s">
        <v>355</v>
      </c>
      <c r="H1956" s="138" t="s">
        <v>344</v>
      </c>
      <c r="I1956" s="139">
        <v>0</v>
      </c>
      <c r="K1956" s="96" t="str">
        <f t="shared" si="71"/>
        <v>0008-1006-0012</v>
      </c>
      <c r="L1956" s="96" t="str">
        <f>VLOOKUP(K1956,COA!$A$3:$B$337,2,FALSE)</f>
        <v>C96</v>
      </c>
      <c r="M1956" s="96" t="str">
        <f t="shared" si="72"/>
        <v>C96</v>
      </c>
      <c r="N1956" s="96" t="str">
        <f>VLOOKUP(M1956,CAC!$A$2:$B$198,2,FALSE)</f>
        <v>DOILG</v>
      </c>
    </row>
    <row r="1957" spans="5:14" x14ac:dyDescent="0.25">
      <c r="E1957" s="136">
        <v>201606</v>
      </c>
      <c r="F1957" s="138" t="s">
        <v>563</v>
      </c>
      <c r="G1957" s="138" t="s">
        <v>361</v>
      </c>
      <c r="H1957" s="138" t="s">
        <v>344</v>
      </c>
      <c r="I1957" s="139">
        <v>0</v>
      </c>
      <c r="K1957" s="96" t="str">
        <f t="shared" si="71"/>
        <v>0003-1003-0012</v>
      </c>
      <c r="L1957" s="96" t="str">
        <f>VLOOKUP(K1957,COA!$A$3:$B$337,2,FALSE)</f>
        <v>N61</v>
      </c>
      <c r="M1957" s="96" t="str">
        <f t="shared" si="72"/>
        <v>N61</v>
      </c>
      <c r="N1957" s="96" t="str">
        <f>VLOOKUP(M1957,CAC!$A$2:$B$198,2,FALSE)</f>
        <v>PPOPMR</v>
      </c>
    </row>
    <row r="1958" spans="5:14" x14ac:dyDescent="0.25">
      <c r="E1958" s="136">
        <v>201708</v>
      </c>
      <c r="F1958" s="138" t="s">
        <v>563</v>
      </c>
      <c r="G1958" s="138" t="s">
        <v>365</v>
      </c>
      <c r="H1958" s="138" t="s">
        <v>344</v>
      </c>
      <c r="I1958" s="139">
        <v>0</v>
      </c>
      <c r="K1958" s="96" t="str">
        <f t="shared" si="71"/>
        <v>0003-1001-0012</v>
      </c>
      <c r="L1958" s="96" t="str">
        <f>VLOOKUP(K1958,COA!$A$3:$B$337,2,FALSE)</f>
        <v>V51</v>
      </c>
      <c r="M1958" s="96" t="str">
        <f t="shared" si="72"/>
        <v>V51</v>
      </c>
      <c r="N1958" s="96" t="str">
        <f>VLOOKUP(M1958,CAC!$A$2:$B$198,2,FALSE)</f>
        <v>PPOIFP</v>
      </c>
    </row>
    <row r="1959" spans="5:14" x14ac:dyDescent="0.25">
      <c r="E1959" s="136">
        <v>201510</v>
      </c>
      <c r="F1959" s="138" t="s">
        <v>563</v>
      </c>
      <c r="G1959" s="138" t="s">
        <v>352</v>
      </c>
      <c r="H1959" s="138" t="s">
        <v>653</v>
      </c>
      <c r="I1959" s="139">
        <v>0</v>
      </c>
      <c r="K1959" s="96" t="str">
        <f t="shared" si="71"/>
        <v>0003-1004-0047</v>
      </c>
      <c r="L1959" s="96" t="str">
        <f>VLOOKUP(K1959,COA!$A$3:$B$337,2,FALSE)</f>
        <v>L57</v>
      </c>
      <c r="M1959" s="96" t="str">
        <f t="shared" si="72"/>
        <v>L57</v>
      </c>
      <c r="N1959" s="96" t="str">
        <f>VLOOKUP(M1959,CAC!$A$2:$B$198,2,FALSE)</f>
        <v>PPOLG</v>
      </c>
    </row>
    <row r="1960" spans="5:14" x14ac:dyDescent="0.25">
      <c r="E1960" s="136">
        <v>201712</v>
      </c>
      <c r="F1960" s="138" t="s">
        <v>344</v>
      </c>
      <c r="G1960" s="138" t="s">
        <v>350</v>
      </c>
      <c r="H1960" s="138" t="s">
        <v>344</v>
      </c>
      <c r="I1960" s="139">
        <v>25</v>
      </c>
      <c r="K1960" s="96" t="str">
        <f t="shared" si="71"/>
        <v>0012-1012-0012</v>
      </c>
      <c r="L1960" s="96" t="str">
        <f>VLOOKUP(K1960,COA!$A$3:$B$337,2,FALSE)</f>
        <v>K12</v>
      </c>
      <c r="M1960" s="96" t="str">
        <f t="shared" si="72"/>
        <v>K12</v>
      </c>
      <c r="N1960" s="96" t="str">
        <f>VLOOKUP(M1960,CAC!$A$2:$B$198,2,FALSE)</f>
        <v>HMOPMR</v>
      </c>
    </row>
    <row r="1961" spans="5:14" x14ac:dyDescent="0.25">
      <c r="E1961" s="136">
        <v>201707</v>
      </c>
      <c r="F1961" s="138" t="s">
        <v>344</v>
      </c>
      <c r="G1961" s="138" t="s">
        <v>361</v>
      </c>
      <c r="H1961" s="138" t="s">
        <v>344</v>
      </c>
      <c r="I1961" s="139">
        <v>3388.05</v>
      </c>
      <c r="K1961" s="96" t="str">
        <f t="shared" si="71"/>
        <v>0012-1003-0012</v>
      </c>
      <c r="L1961" s="96" t="str">
        <f>VLOOKUP(K1961,COA!$A$3:$B$337,2,FALSE)</f>
        <v>N15</v>
      </c>
      <c r="M1961" s="96" t="str">
        <f t="shared" si="72"/>
        <v>N15</v>
      </c>
      <c r="N1961" s="96" t="str">
        <f>VLOOKUP(M1961,CAC!$A$2:$B$198,2,FALSE)</f>
        <v>HMOPMR</v>
      </c>
    </row>
    <row r="1962" spans="5:14" x14ac:dyDescent="0.25">
      <c r="E1962" s="136">
        <v>201712</v>
      </c>
      <c r="F1962" s="138" t="s">
        <v>563</v>
      </c>
      <c r="G1962" s="138" t="s">
        <v>348</v>
      </c>
      <c r="H1962" s="138" t="s">
        <v>358</v>
      </c>
      <c r="I1962" s="139">
        <v>0</v>
      </c>
      <c r="K1962" s="96" t="str">
        <f t="shared" si="71"/>
        <v>0003-1010-0024</v>
      </c>
      <c r="L1962" s="96" t="str">
        <f>VLOOKUP(K1962,COA!$A$3:$B$337,2,FALSE)</f>
        <v>S56</v>
      </c>
      <c r="M1962" s="96" t="str">
        <f t="shared" si="72"/>
        <v>S56</v>
      </c>
      <c r="N1962" s="96" t="str">
        <f>VLOOKUP(M1962,CAC!$A$2:$B$198,2,FALSE)</f>
        <v>PPOSG</v>
      </c>
    </row>
    <row r="1963" spans="5:14" x14ac:dyDescent="0.25">
      <c r="E1963" s="136">
        <v>201503</v>
      </c>
      <c r="F1963" s="138" t="s">
        <v>746</v>
      </c>
      <c r="G1963" s="138" t="s">
        <v>350</v>
      </c>
      <c r="H1963" s="138" t="s">
        <v>344</v>
      </c>
      <c r="I1963" s="139">
        <v>139</v>
      </c>
      <c r="K1963" s="96" t="str">
        <f t="shared" si="71"/>
        <v>0016-1012-0012</v>
      </c>
      <c r="L1963" s="96" t="str">
        <f>VLOOKUP(K1963,COA!$A$3:$B$337,2,FALSE)</f>
        <v>R19</v>
      </c>
      <c r="M1963" s="96" t="str">
        <f t="shared" si="72"/>
        <v>R19</v>
      </c>
      <c r="N1963" s="96" t="str">
        <f>VLOOKUP(M1963,CAC!$A$2:$B$198,2,FALSE)</f>
        <v>HMOMG</v>
      </c>
    </row>
    <row r="1964" spans="5:14" x14ac:dyDescent="0.25">
      <c r="E1964" s="136">
        <v>201509</v>
      </c>
      <c r="F1964" s="138" t="s">
        <v>746</v>
      </c>
      <c r="G1964" s="138" t="s">
        <v>361</v>
      </c>
      <c r="H1964" s="138" t="s">
        <v>344</v>
      </c>
      <c r="I1964" s="139">
        <v>450</v>
      </c>
      <c r="K1964" s="96" t="str">
        <f t="shared" si="71"/>
        <v>0016-1003-0012</v>
      </c>
      <c r="L1964" s="96" t="str">
        <f>VLOOKUP(K1964,COA!$A$3:$B$337,2,FALSE)</f>
        <v>R18</v>
      </c>
      <c r="M1964" s="96" t="str">
        <f t="shared" si="72"/>
        <v>R18</v>
      </c>
      <c r="N1964" s="96" t="str">
        <f>VLOOKUP(M1964,CAC!$A$2:$B$198,2,FALSE)</f>
        <v>HMOMG</v>
      </c>
    </row>
    <row r="1965" spans="5:14" x14ac:dyDescent="0.25">
      <c r="E1965" s="136">
        <v>201508</v>
      </c>
      <c r="F1965" s="138" t="s">
        <v>563</v>
      </c>
      <c r="G1965" s="138" t="s">
        <v>350</v>
      </c>
      <c r="H1965" s="138" t="s">
        <v>344</v>
      </c>
      <c r="I1965" s="139">
        <v>0</v>
      </c>
      <c r="K1965" s="96" t="str">
        <f t="shared" si="71"/>
        <v>0003-1012-0012</v>
      </c>
      <c r="L1965" s="96" t="str">
        <f>VLOOKUP(K1965,COA!$A$3:$B$337,2,FALSE)</f>
        <v>K51</v>
      </c>
      <c r="M1965" s="96" t="str">
        <f t="shared" si="72"/>
        <v>K51</v>
      </c>
      <c r="N1965" s="96" t="str">
        <f>VLOOKUP(M1965,CAC!$A$2:$B$198,2,FALSE)</f>
        <v>PPOPMR</v>
      </c>
    </row>
    <row r="1966" spans="5:14" x14ac:dyDescent="0.25">
      <c r="E1966" s="136">
        <v>201507</v>
      </c>
      <c r="F1966" s="138" t="s">
        <v>746</v>
      </c>
      <c r="G1966" s="138" t="s">
        <v>361</v>
      </c>
      <c r="H1966" s="138" t="s">
        <v>344</v>
      </c>
      <c r="I1966" s="139">
        <v>445</v>
      </c>
      <c r="K1966" s="96" t="str">
        <f t="shared" si="71"/>
        <v>0016-1003-0012</v>
      </c>
      <c r="L1966" s="96" t="str">
        <f>VLOOKUP(K1966,COA!$A$3:$B$337,2,FALSE)</f>
        <v>R18</v>
      </c>
      <c r="M1966" s="96" t="str">
        <f t="shared" si="72"/>
        <v>R18</v>
      </c>
      <c r="N1966" s="96" t="str">
        <f>VLOOKUP(M1966,CAC!$A$2:$B$198,2,FALSE)</f>
        <v>HMOMG</v>
      </c>
    </row>
    <row r="1967" spans="5:14" x14ac:dyDescent="0.25">
      <c r="E1967" s="136">
        <v>201609</v>
      </c>
      <c r="F1967" s="138" t="s">
        <v>345</v>
      </c>
      <c r="G1967" s="138" t="s">
        <v>352</v>
      </c>
      <c r="H1967" s="138" t="s">
        <v>357</v>
      </c>
      <c r="I1967" s="139">
        <v>301</v>
      </c>
      <c r="K1967" s="96" t="str">
        <f t="shared" si="71"/>
        <v>0011-1004-0038</v>
      </c>
      <c r="L1967" s="96" t="str">
        <f>VLOOKUP(K1967,COA!$A$3:$B$337,2,FALSE)</f>
        <v>L14</v>
      </c>
      <c r="M1967" s="96" t="str">
        <f t="shared" si="72"/>
        <v>L14</v>
      </c>
      <c r="N1967" s="96" t="str">
        <f>VLOOKUP(M1967,CAC!$A$2:$B$198,2,FALSE)</f>
        <v>HMOLG</v>
      </c>
    </row>
    <row r="1968" spans="5:14" x14ac:dyDescent="0.25">
      <c r="E1968" s="136">
        <v>201602</v>
      </c>
      <c r="F1968" s="138" t="s">
        <v>563</v>
      </c>
      <c r="G1968" s="138" t="s">
        <v>348</v>
      </c>
      <c r="H1968" s="138" t="s">
        <v>358</v>
      </c>
      <c r="I1968" s="139">
        <v>0</v>
      </c>
      <c r="K1968" s="96" t="str">
        <f t="shared" si="71"/>
        <v>0003-1010-0024</v>
      </c>
      <c r="L1968" s="96" t="str">
        <f>VLOOKUP(K1968,COA!$A$3:$B$337,2,FALSE)</f>
        <v>S56</v>
      </c>
      <c r="M1968" s="96" t="str">
        <f t="shared" si="72"/>
        <v>S56</v>
      </c>
      <c r="N1968" s="96" t="str">
        <f>VLOOKUP(M1968,CAC!$A$2:$B$198,2,FALSE)</f>
        <v>PPOSG</v>
      </c>
    </row>
    <row r="1969" spans="5:14" x14ac:dyDescent="0.25">
      <c r="E1969" s="136">
        <v>201707</v>
      </c>
      <c r="F1969" s="138" t="s">
        <v>746</v>
      </c>
      <c r="G1969" s="138" t="s">
        <v>350</v>
      </c>
      <c r="H1969" s="138" t="s">
        <v>764</v>
      </c>
      <c r="I1969" s="139">
        <v>21</v>
      </c>
      <c r="K1969" s="96" t="str">
        <f t="shared" si="71"/>
        <v>0016-1012-0064</v>
      </c>
      <c r="L1969" s="96" t="str">
        <f>VLOOKUP(K1969,COA!$A$3:$B$337,2,FALSE)</f>
        <v>R25</v>
      </c>
      <c r="M1969" s="96" t="str">
        <f t="shared" si="72"/>
        <v>R25</v>
      </c>
      <c r="N1969" s="96" t="str">
        <f>VLOOKUP(M1969,CAC!$A$2:$B$198,2,FALSE)</f>
        <v>HMOMG</v>
      </c>
    </row>
    <row r="1970" spans="5:14" x14ac:dyDescent="0.25">
      <c r="E1970" s="136">
        <v>201605</v>
      </c>
      <c r="F1970" s="138" t="s">
        <v>746</v>
      </c>
      <c r="G1970" s="138" t="s">
        <v>355</v>
      </c>
      <c r="H1970" s="138" t="s">
        <v>344</v>
      </c>
      <c r="I1970" s="139">
        <v>0</v>
      </c>
      <c r="K1970" s="96" t="str">
        <f t="shared" si="71"/>
        <v>0016-1006-0012</v>
      </c>
      <c r="L1970" s="96" t="str">
        <f>VLOOKUP(K1970,COA!$A$3:$B$337,2,FALSE)</f>
        <v>R21</v>
      </c>
      <c r="M1970" s="96" t="str">
        <f t="shared" si="72"/>
        <v>R21</v>
      </c>
      <c r="N1970" s="96" t="str">
        <f>VLOOKUP(M1970,CAC!$A$2:$B$198,2,FALSE)</f>
        <v>HMOMG</v>
      </c>
    </row>
    <row r="1971" spans="5:14" x14ac:dyDescent="0.25">
      <c r="E1971" s="136">
        <v>201702</v>
      </c>
      <c r="F1971" s="138" t="s">
        <v>563</v>
      </c>
      <c r="G1971" s="138" t="s">
        <v>348</v>
      </c>
      <c r="H1971" s="138" t="s">
        <v>349</v>
      </c>
      <c r="I1971" s="139">
        <v>0</v>
      </c>
      <c r="K1971" s="96" t="str">
        <f t="shared" si="71"/>
        <v>0003-1010-0017</v>
      </c>
      <c r="L1971" s="96" t="str">
        <f>VLOOKUP(K1971,COA!$A$3:$B$337,2,FALSE)</f>
        <v>S51</v>
      </c>
      <c r="M1971" s="96" t="str">
        <f t="shared" si="72"/>
        <v>S51</v>
      </c>
      <c r="N1971" s="96" t="str">
        <f>VLOOKUP(M1971,CAC!$A$2:$B$198,2,FALSE)</f>
        <v>PPOSG</v>
      </c>
    </row>
    <row r="1972" spans="5:14" x14ac:dyDescent="0.25">
      <c r="E1972" s="136">
        <v>201609</v>
      </c>
      <c r="F1972" s="138" t="s">
        <v>345</v>
      </c>
      <c r="G1972" s="138" t="s">
        <v>362</v>
      </c>
      <c r="H1972" s="138" t="s">
        <v>363</v>
      </c>
      <c r="I1972" s="139">
        <v>36485.79</v>
      </c>
      <c r="K1972" s="96" t="str">
        <f t="shared" si="71"/>
        <v>0011-1008-0054</v>
      </c>
      <c r="L1972" s="96" t="str">
        <f>VLOOKUP(K1972,COA!$A$3:$B$337,2,FALSE)</f>
        <v>P23</v>
      </c>
      <c r="M1972" s="96" t="str">
        <f t="shared" si="72"/>
        <v>P23</v>
      </c>
      <c r="N1972" s="96" t="str">
        <f>VLOOKUP(M1972,CAC!$A$2:$B$198,2,FALSE)</f>
        <v>HMOPERN</v>
      </c>
    </row>
    <row r="1973" spans="5:14" x14ac:dyDescent="0.25">
      <c r="E1973" s="136">
        <v>201605</v>
      </c>
      <c r="F1973" s="138" t="s">
        <v>563</v>
      </c>
      <c r="G1973" s="138" t="s">
        <v>352</v>
      </c>
      <c r="H1973" s="138" t="s">
        <v>344</v>
      </c>
      <c r="I1973" s="139">
        <v>0</v>
      </c>
      <c r="K1973" s="96" t="str">
        <f t="shared" si="71"/>
        <v>0003-1004-0012</v>
      </c>
      <c r="L1973" s="96" t="str">
        <f>VLOOKUP(K1973,COA!$A$3:$B$337,2,FALSE)</f>
        <v>L51</v>
      </c>
      <c r="M1973" s="96" t="str">
        <f t="shared" si="72"/>
        <v>L51</v>
      </c>
      <c r="N1973" s="96" t="str">
        <f>VLOOKUP(M1973,CAC!$A$2:$B$198,2,FALSE)</f>
        <v>PPOLG</v>
      </c>
    </row>
    <row r="1974" spans="5:14" x14ac:dyDescent="0.25">
      <c r="E1974" s="136">
        <v>201508</v>
      </c>
      <c r="F1974" s="138" t="s">
        <v>345</v>
      </c>
      <c r="G1974" s="138" t="s">
        <v>350</v>
      </c>
      <c r="H1974" s="138" t="s">
        <v>344</v>
      </c>
      <c r="I1974" s="139">
        <v>9156</v>
      </c>
      <c r="K1974" s="96" t="str">
        <f t="shared" si="71"/>
        <v>0011-1012-0012</v>
      </c>
      <c r="L1974" s="96" t="str">
        <f>VLOOKUP(K1974,COA!$A$3:$B$337,2,FALSE)</f>
        <v>K11</v>
      </c>
      <c r="M1974" s="96" t="str">
        <f t="shared" si="72"/>
        <v>K11</v>
      </c>
      <c r="N1974" s="96" t="str">
        <f>VLOOKUP(M1974,CAC!$A$2:$B$198,2,FALSE)</f>
        <v>HMOPMR</v>
      </c>
    </row>
    <row r="1975" spans="5:14" x14ac:dyDescent="0.25">
      <c r="E1975" s="136">
        <v>201709</v>
      </c>
      <c r="F1975" s="138" t="s">
        <v>345</v>
      </c>
      <c r="G1975" s="138" t="s">
        <v>354</v>
      </c>
      <c r="H1975" s="138" t="s">
        <v>360</v>
      </c>
      <c r="I1975" s="139">
        <v>5097</v>
      </c>
      <c r="K1975" s="96" t="str">
        <f t="shared" si="71"/>
        <v>0011-1013-0048</v>
      </c>
      <c r="L1975" s="96" t="str">
        <f>VLOOKUP(K1975,COA!$A$3:$B$337,2,FALSE)</f>
        <v>N21</v>
      </c>
      <c r="M1975" s="96" t="str">
        <f t="shared" si="72"/>
        <v>N21</v>
      </c>
      <c r="N1975" s="96" t="str">
        <f>VLOOKUP(M1975,CAC!$A$2:$B$198,2,FALSE)</f>
        <v>HMFLEX</v>
      </c>
    </row>
    <row r="1976" spans="5:14" x14ac:dyDescent="0.25">
      <c r="E1976" s="136">
        <v>201707</v>
      </c>
      <c r="F1976" s="138" t="s">
        <v>342</v>
      </c>
      <c r="G1976" s="138" t="s">
        <v>343</v>
      </c>
      <c r="H1976" s="138" t="s">
        <v>344</v>
      </c>
      <c r="I1976" s="139">
        <v>5670.25</v>
      </c>
      <c r="K1976" s="96" t="str">
        <f t="shared" si="71"/>
        <v>0031-1000-0012</v>
      </c>
      <c r="L1976" s="96" t="str">
        <f>VLOOKUP(K1976,COA!$A$3:$B$337,2,FALSE)</f>
        <v>F27</v>
      </c>
      <c r="M1976" s="96" t="str">
        <f t="shared" si="72"/>
        <v>F27</v>
      </c>
      <c r="N1976" s="96" t="str">
        <f>VLOOKUP(M1976,CAC!$A$2:$B$198,2,FALSE)</f>
        <v>HMOFEP</v>
      </c>
    </row>
    <row r="1977" spans="5:14" x14ac:dyDescent="0.25">
      <c r="E1977" s="136">
        <v>201610</v>
      </c>
      <c r="F1977" s="138" t="s">
        <v>563</v>
      </c>
      <c r="G1977" s="138" t="s">
        <v>354</v>
      </c>
      <c r="H1977" s="138" t="s">
        <v>626</v>
      </c>
      <c r="I1977" s="139">
        <v>0</v>
      </c>
      <c r="K1977" s="96" t="str">
        <f t="shared" si="71"/>
        <v>0003-1013-0057</v>
      </c>
      <c r="L1977" s="96" t="str">
        <f>VLOOKUP(K1977,COA!$A$3:$B$337,2,FALSE)</f>
        <v>N55</v>
      </c>
      <c r="M1977" s="96" t="str">
        <f t="shared" si="72"/>
        <v>N55</v>
      </c>
      <c r="N1977" s="96" t="str">
        <f>VLOOKUP(M1977,CAC!$A$2:$B$198,2,FALSE)</f>
        <v>PPOPMR</v>
      </c>
    </row>
    <row r="1978" spans="5:14" x14ac:dyDescent="0.25">
      <c r="E1978" s="136">
        <v>201610</v>
      </c>
      <c r="F1978" s="138" t="s">
        <v>344</v>
      </c>
      <c r="G1978" s="138" t="s">
        <v>354</v>
      </c>
      <c r="H1978" s="138" t="s">
        <v>344</v>
      </c>
      <c r="I1978" s="139">
        <v>285</v>
      </c>
      <c r="K1978" s="96" t="str">
        <f t="shared" si="71"/>
        <v>0012-1013-0012</v>
      </c>
      <c r="L1978" s="96" t="str">
        <f>VLOOKUP(K1978,COA!$A$3:$B$337,2,FALSE)</f>
        <v>N14</v>
      </c>
      <c r="M1978" s="96" t="str">
        <f t="shared" si="72"/>
        <v>N14</v>
      </c>
      <c r="N1978" s="96" t="str">
        <f>VLOOKUP(M1978,CAC!$A$2:$B$198,2,FALSE)</f>
        <v>HMOPMR</v>
      </c>
    </row>
    <row r="1979" spans="5:14" x14ac:dyDescent="0.25">
      <c r="E1979" s="136">
        <v>201703</v>
      </c>
      <c r="F1979" s="138" t="s">
        <v>345</v>
      </c>
      <c r="G1979" s="138" t="s">
        <v>346</v>
      </c>
      <c r="H1979" s="138" t="s">
        <v>360</v>
      </c>
      <c r="I1979" s="139">
        <v>345</v>
      </c>
      <c r="K1979" s="96" t="str">
        <f t="shared" si="71"/>
        <v>0011-1014-0048</v>
      </c>
      <c r="L1979" s="96" t="str">
        <f>VLOOKUP(K1979,COA!$A$3:$B$337,2,FALSE)</f>
        <v>K23</v>
      </c>
      <c r="M1979" s="96" t="str">
        <f t="shared" si="72"/>
        <v>K23</v>
      </c>
      <c r="N1979" s="96" t="str">
        <f>VLOOKUP(M1979,CAC!$A$2:$B$198,2,FALSE)</f>
        <v>HMFLEX</v>
      </c>
    </row>
    <row r="1980" spans="5:14" x14ac:dyDescent="0.25">
      <c r="E1980" s="136">
        <v>201606</v>
      </c>
      <c r="F1980" s="138" t="s">
        <v>746</v>
      </c>
      <c r="G1980" s="138" t="s">
        <v>356</v>
      </c>
      <c r="H1980" s="138" t="s">
        <v>344</v>
      </c>
      <c r="I1980" s="139">
        <v>131</v>
      </c>
      <c r="K1980" s="96" t="str">
        <f t="shared" si="71"/>
        <v>0016-1002-0012</v>
      </c>
      <c r="L1980" s="96" t="str">
        <f>VLOOKUP(K1980,COA!$A$3:$B$337,2,FALSE)</f>
        <v>R18</v>
      </c>
      <c r="M1980" s="96" t="str">
        <f t="shared" si="72"/>
        <v>R18</v>
      </c>
      <c r="N1980" s="96" t="str">
        <f>VLOOKUP(M1980,CAC!$A$2:$B$198,2,FALSE)</f>
        <v>HMOMG</v>
      </c>
    </row>
    <row r="1981" spans="5:14" x14ac:dyDescent="0.25">
      <c r="E1981" s="136">
        <v>201510</v>
      </c>
      <c r="F1981" s="138" t="s">
        <v>345</v>
      </c>
      <c r="G1981" s="138" t="s">
        <v>351</v>
      </c>
      <c r="H1981" s="138" t="s">
        <v>349</v>
      </c>
      <c r="I1981" s="139">
        <v>1</v>
      </c>
      <c r="K1981" s="96" t="str">
        <f t="shared" si="71"/>
        <v>0011-0000-0017</v>
      </c>
      <c r="L1981" s="96" t="e">
        <f>VLOOKUP(K1981,COA!$A$3:$B$337,2,FALSE)</f>
        <v>#N/A</v>
      </c>
      <c r="M1981" s="96" t="str">
        <f t="shared" si="72"/>
        <v>XXX</v>
      </c>
      <c r="N1981" s="96" t="str">
        <f>VLOOKUP(M1981,CAC!$A$2:$B$198,2,FALSE)</f>
        <v>XXX</v>
      </c>
    </row>
    <row r="1982" spans="5:14" x14ac:dyDescent="0.25">
      <c r="E1982" s="136">
        <v>201705</v>
      </c>
      <c r="F1982" s="138" t="s">
        <v>345</v>
      </c>
      <c r="G1982" s="138" t="s">
        <v>352</v>
      </c>
      <c r="H1982" s="138" t="s">
        <v>344</v>
      </c>
      <c r="I1982" s="139">
        <v>9255.81</v>
      </c>
      <c r="K1982" s="96" t="str">
        <f t="shared" si="71"/>
        <v>0011-1004-0012</v>
      </c>
      <c r="L1982" s="96" t="str">
        <f>VLOOKUP(K1982,COA!$A$3:$B$337,2,FALSE)</f>
        <v>L11</v>
      </c>
      <c r="M1982" s="96" t="str">
        <f t="shared" si="72"/>
        <v>L11</v>
      </c>
      <c r="N1982" s="96" t="str">
        <f>VLOOKUP(M1982,CAC!$A$2:$B$198,2,FALSE)</f>
        <v>HMOLG</v>
      </c>
    </row>
    <row r="1983" spans="5:14" x14ac:dyDescent="0.25">
      <c r="E1983" s="136">
        <v>201510</v>
      </c>
      <c r="F1983" s="138" t="s">
        <v>345</v>
      </c>
      <c r="G1983" s="138" t="s">
        <v>361</v>
      </c>
      <c r="H1983" s="138" t="s">
        <v>344</v>
      </c>
      <c r="I1983" s="139">
        <v>802</v>
      </c>
      <c r="K1983" s="96" t="str">
        <f t="shared" si="71"/>
        <v>0011-1003-0012</v>
      </c>
      <c r="L1983" s="96" t="str">
        <f>VLOOKUP(K1983,COA!$A$3:$B$337,2,FALSE)</f>
        <v>N16</v>
      </c>
      <c r="M1983" s="96" t="str">
        <f t="shared" si="72"/>
        <v>N16</v>
      </c>
      <c r="N1983" s="96" t="str">
        <f>VLOOKUP(M1983,CAC!$A$2:$B$198,2,FALSE)</f>
        <v>HMOPMR</v>
      </c>
    </row>
    <row r="1984" spans="5:14" x14ac:dyDescent="0.25">
      <c r="E1984" s="136">
        <v>201705</v>
      </c>
      <c r="F1984" s="138" t="s">
        <v>563</v>
      </c>
      <c r="G1984" s="138" t="s">
        <v>352</v>
      </c>
      <c r="H1984" s="138" t="s">
        <v>653</v>
      </c>
      <c r="I1984" s="139">
        <v>0</v>
      </c>
      <c r="K1984" s="96" t="str">
        <f t="shared" si="71"/>
        <v>0003-1004-0047</v>
      </c>
      <c r="L1984" s="96" t="str">
        <f>VLOOKUP(K1984,COA!$A$3:$B$337,2,FALSE)</f>
        <v>L57</v>
      </c>
      <c r="M1984" s="96" t="str">
        <f t="shared" si="72"/>
        <v>L57</v>
      </c>
      <c r="N1984" s="96" t="str">
        <f>VLOOKUP(M1984,CAC!$A$2:$B$198,2,FALSE)</f>
        <v>PPOLG</v>
      </c>
    </row>
    <row r="1985" spans="5:14" x14ac:dyDescent="0.25">
      <c r="E1985" s="136">
        <v>201710</v>
      </c>
      <c r="F1985" s="138" t="s">
        <v>345</v>
      </c>
      <c r="G1985" s="138" t="s">
        <v>346</v>
      </c>
      <c r="H1985" s="138" t="s">
        <v>344</v>
      </c>
      <c r="I1985" s="139">
        <v>0</v>
      </c>
      <c r="K1985" s="96" t="str">
        <f t="shared" si="71"/>
        <v>0011-1014-0012</v>
      </c>
      <c r="L1985" s="96" t="e">
        <f>VLOOKUP(K1985,COA!$A$3:$B$337,2,FALSE)</f>
        <v>#N/A</v>
      </c>
      <c r="M1985" s="96" t="str">
        <f t="shared" si="72"/>
        <v>XXX</v>
      </c>
      <c r="N1985" s="96" t="str">
        <f>VLOOKUP(M1985,CAC!$A$2:$B$198,2,FALSE)</f>
        <v>XXX</v>
      </c>
    </row>
    <row r="1986" spans="5:14" x14ac:dyDescent="0.25">
      <c r="E1986" s="136">
        <v>201609</v>
      </c>
      <c r="F1986" s="138" t="s">
        <v>563</v>
      </c>
      <c r="G1986" s="138" t="s">
        <v>354</v>
      </c>
      <c r="H1986" s="138" t="s">
        <v>344</v>
      </c>
      <c r="I1986" s="139">
        <v>0</v>
      </c>
      <c r="K1986" s="96" t="str">
        <f t="shared" si="71"/>
        <v>0003-1013-0012</v>
      </c>
      <c r="L1986" s="96" t="str">
        <f>VLOOKUP(K1986,COA!$A$3:$B$337,2,FALSE)</f>
        <v>N55</v>
      </c>
      <c r="M1986" s="96" t="str">
        <f t="shared" si="72"/>
        <v>N55</v>
      </c>
      <c r="N1986" s="96" t="str">
        <f>VLOOKUP(M1986,CAC!$A$2:$B$198,2,FALSE)</f>
        <v>PPOPMR</v>
      </c>
    </row>
    <row r="1987" spans="5:14" x14ac:dyDescent="0.25">
      <c r="E1987" s="136">
        <v>201710</v>
      </c>
      <c r="F1987" s="138" t="s">
        <v>345</v>
      </c>
      <c r="G1987" s="138" t="s">
        <v>365</v>
      </c>
      <c r="H1987" s="138" t="s">
        <v>367</v>
      </c>
      <c r="I1987" s="139">
        <v>827.26</v>
      </c>
      <c r="K1987" s="96" t="str">
        <f t="shared" ref="K1987:K2050" si="73">F1987&amp;"-"&amp;G1987&amp;"-"&amp;H1987</f>
        <v>0011-1001-0022</v>
      </c>
      <c r="L1987" s="96" t="str">
        <f>VLOOKUP(K1987,COA!$A$3:$B$337,2,FALSE)</f>
        <v>V14</v>
      </c>
      <c r="M1987" s="96" t="str">
        <f t="shared" si="72"/>
        <v>V14</v>
      </c>
      <c r="N1987" s="96" t="str">
        <f>VLOOKUP(M1987,CAC!$A$2:$B$198,2,FALSE)</f>
        <v>HMOIFP</v>
      </c>
    </row>
    <row r="1988" spans="5:14" x14ac:dyDescent="0.25">
      <c r="E1988" s="136">
        <v>201701</v>
      </c>
      <c r="F1988" s="138" t="s">
        <v>746</v>
      </c>
      <c r="G1988" s="138" t="s">
        <v>356</v>
      </c>
      <c r="H1988" s="138" t="s">
        <v>764</v>
      </c>
      <c r="I1988" s="139">
        <v>632</v>
      </c>
      <c r="K1988" s="96" t="str">
        <f t="shared" si="73"/>
        <v>0016-1002-0064</v>
      </c>
      <c r="L1988" s="96" t="str">
        <f>VLOOKUP(K1988,COA!$A$3:$B$337,2,FALSE)</f>
        <v>R25</v>
      </c>
      <c r="M1988" s="96" t="str">
        <f t="shared" ref="M1988:M2051" si="74">IF(ISNA(L1988),"XXX",L1988)</f>
        <v>R25</v>
      </c>
      <c r="N1988" s="96" t="str">
        <f>VLOOKUP(M1988,CAC!$A$2:$B$198,2,FALSE)</f>
        <v>HMOMG</v>
      </c>
    </row>
    <row r="1989" spans="5:14" x14ac:dyDescent="0.25">
      <c r="E1989" s="136">
        <v>201709</v>
      </c>
      <c r="F1989" s="138" t="s">
        <v>405</v>
      </c>
      <c r="G1989" s="138" t="s">
        <v>362</v>
      </c>
      <c r="H1989" s="138" t="s">
        <v>342</v>
      </c>
      <c r="I1989" s="139">
        <v>0</v>
      </c>
      <c r="K1989" s="96" t="str">
        <f t="shared" si="73"/>
        <v>0019-1008-0031</v>
      </c>
      <c r="L1989" s="96" t="str">
        <f>VLOOKUP(K1989,COA!$A$3:$B$337,2,FALSE)</f>
        <v>P53</v>
      </c>
      <c r="M1989" s="96" t="str">
        <f t="shared" si="74"/>
        <v>P53</v>
      </c>
      <c r="N1989" s="96" t="str">
        <f>VLOOKUP(M1989,CAC!$A$2:$B$198,2,FALSE)</f>
        <v>HMOPERA</v>
      </c>
    </row>
    <row r="1990" spans="5:14" x14ac:dyDescent="0.25">
      <c r="E1990" s="136">
        <v>201601</v>
      </c>
      <c r="F1990" s="138" t="s">
        <v>563</v>
      </c>
      <c r="G1990" s="138" t="s">
        <v>351</v>
      </c>
      <c r="H1990" s="138" t="s">
        <v>349</v>
      </c>
      <c r="I1990" s="139">
        <v>0</v>
      </c>
      <c r="K1990" s="96" t="str">
        <f t="shared" si="73"/>
        <v>0003-0000-0017</v>
      </c>
      <c r="L1990" s="96" t="e">
        <f>VLOOKUP(K1990,COA!$A$3:$B$337,2,FALSE)</f>
        <v>#N/A</v>
      </c>
      <c r="M1990" s="96" t="str">
        <f t="shared" si="74"/>
        <v>XXX</v>
      </c>
      <c r="N1990" s="96" t="str">
        <f>VLOOKUP(M1990,CAC!$A$2:$B$198,2,FALSE)</f>
        <v>XXX</v>
      </c>
    </row>
    <row r="1991" spans="5:14" x14ac:dyDescent="0.25">
      <c r="E1991" s="136">
        <v>201608</v>
      </c>
      <c r="F1991" s="138" t="s">
        <v>563</v>
      </c>
      <c r="G1991" s="138" t="s">
        <v>348</v>
      </c>
      <c r="H1991" s="138" t="s">
        <v>349</v>
      </c>
      <c r="I1991" s="139">
        <v>0</v>
      </c>
      <c r="K1991" s="96" t="str">
        <f t="shared" si="73"/>
        <v>0003-1010-0017</v>
      </c>
      <c r="L1991" s="96" t="str">
        <f>VLOOKUP(K1991,COA!$A$3:$B$337,2,FALSE)</f>
        <v>S51</v>
      </c>
      <c r="M1991" s="96" t="str">
        <f t="shared" si="74"/>
        <v>S51</v>
      </c>
      <c r="N1991" s="96" t="str">
        <f>VLOOKUP(M1991,CAC!$A$2:$B$198,2,FALSE)</f>
        <v>PPOSG</v>
      </c>
    </row>
    <row r="1992" spans="5:14" x14ac:dyDescent="0.25">
      <c r="E1992" s="136">
        <v>201507</v>
      </c>
      <c r="F1992" s="138" t="s">
        <v>563</v>
      </c>
      <c r="G1992" s="138" t="s">
        <v>348</v>
      </c>
      <c r="H1992" s="138" t="s">
        <v>349</v>
      </c>
      <c r="I1992" s="139">
        <v>0</v>
      </c>
      <c r="K1992" s="96" t="str">
        <f t="shared" si="73"/>
        <v>0003-1010-0017</v>
      </c>
      <c r="L1992" s="96" t="str">
        <f>VLOOKUP(K1992,COA!$A$3:$B$337,2,FALSE)</f>
        <v>S51</v>
      </c>
      <c r="M1992" s="96" t="str">
        <f t="shared" si="74"/>
        <v>S51</v>
      </c>
      <c r="N1992" s="96" t="str">
        <f>VLOOKUP(M1992,CAC!$A$2:$B$198,2,FALSE)</f>
        <v>PPOSG</v>
      </c>
    </row>
    <row r="1993" spans="5:14" x14ac:dyDescent="0.25">
      <c r="E1993" s="136">
        <v>201512</v>
      </c>
      <c r="F1993" s="138" t="s">
        <v>413</v>
      </c>
      <c r="G1993" s="138" t="s">
        <v>365</v>
      </c>
      <c r="H1993" s="138" t="s">
        <v>344</v>
      </c>
      <c r="I1993" s="139">
        <v>0</v>
      </c>
      <c r="K1993" s="96" t="str">
        <f t="shared" si="73"/>
        <v>0008-1001-0012</v>
      </c>
      <c r="L1993" s="96" t="str">
        <f>VLOOKUP(K1993,COA!$A$3:$B$337,2,FALSE)</f>
        <v>C95</v>
      </c>
      <c r="M1993" s="96" t="str">
        <f t="shared" si="74"/>
        <v>C95</v>
      </c>
      <c r="N1993" s="96" t="str">
        <f>VLOOKUP(M1993,CAC!$A$2:$B$198,2,FALSE)</f>
        <v>DOIIFP</v>
      </c>
    </row>
    <row r="1994" spans="5:14" x14ac:dyDescent="0.25">
      <c r="E1994" s="136">
        <v>201502</v>
      </c>
      <c r="F1994" s="138" t="s">
        <v>746</v>
      </c>
      <c r="G1994" s="138" t="s">
        <v>350</v>
      </c>
      <c r="H1994" s="138" t="s">
        <v>344</v>
      </c>
      <c r="I1994" s="139">
        <v>137</v>
      </c>
      <c r="K1994" s="96" t="str">
        <f t="shared" si="73"/>
        <v>0016-1012-0012</v>
      </c>
      <c r="L1994" s="96" t="str">
        <f>VLOOKUP(K1994,COA!$A$3:$B$337,2,FALSE)</f>
        <v>R19</v>
      </c>
      <c r="M1994" s="96" t="str">
        <f t="shared" si="74"/>
        <v>R19</v>
      </c>
      <c r="N1994" s="96" t="str">
        <f>VLOOKUP(M1994,CAC!$A$2:$B$198,2,FALSE)</f>
        <v>HMOMG</v>
      </c>
    </row>
    <row r="1995" spans="5:14" x14ac:dyDescent="0.25">
      <c r="E1995" s="136">
        <v>201602</v>
      </c>
      <c r="F1995" s="138" t="s">
        <v>413</v>
      </c>
      <c r="G1995" s="138" t="s">
        <v>359</v>
      </c>
      <c r="H1995" s="138" t="s">
        <v>344</v>
      </c>
      <c r="I1995" s="139">
        <v>0</v>
      </c>
      <c r="K1995" s="96" t="str">
        <f t="shared" si="73"/>
        <v>0008-1005-0012</v>
      </c>
      <c r="L1995" s="96" t="str">
        <f>VLOOKUP(K1995,COA!$A$3:$B$337,2,FALSE)</f>
        <v>C73</v>
      </c>
      <c r="M1995" s="96" t="str">
        <f t="shared" si="74"/>
        <v>C73</v>
      </c>
      <c r="N1995" s="96" t="str">
        <f>VLOOKUP(M1995,CAC!$A$2:$B$198,2,FALSE)</f>
        <v>DOILG</v>
      </c>
    </row>
    <row r="1996" spans="5:14" x14ac:dyDescent="0.25">
      <c r="E1996" s="136">
        <v>201502</v>
      </c>
      <c r="F1996" s="138" t="s">
        <v>344</v>
      </c>
      <c r="G1996" s="138" t="s">
        <v>352</v>
      </c>
      <c r="H1996" s="138" t="s">
        <v>344</v>
      </c>
      <c r="I1996" s="139">
        <v>142.04</v>
      </c>
      <c r="K1996" s="96" t="str">
        <f t="shared" si="73"/>
        <v>0012-1004-0012</v>
      </c>
      <c r="L1996" s="96" t="str">
        <f>VLOOKUP(K1996,COA!$A$3:$B$337,2,FALSE)</f>
        <v>L12</v>
      </c>
      <c r="M1996" s="96" t="str">
        <f t="shared" si="74"/>
        <v>L12</v>
      </c>
      <c r="N1996" s="96" t="str">
        <f>VLOOKUP(M1996,CAC!$A$2:$B$198,2,FALSE)</f>
        <v>HMOLG</v>
      </c>
    </row>
    <row r="1997" spans="5:14" x14ac:dyDescent="0.25">
      <c r="E1997" s="136">
        <v>201507</v>
      </c>
      <c r="F1997" s="138" t="s">
        <v>746</v>
      </c>
      <c r="G1997" s="138" t="s">
        <v>352</v>
      </c>
      <c r="H1997" s="138" t="s">
        <v>344</v>
      </c>
      <c r="I1997" s="139">
        <v>0</v>
      </c>
      <c r="K1997" s="96" t="str">
        <f t="shared" si="73"/>
        <v>0016-1004-0012</v>
      </c>
      <c r="L1997" s="96" t="str">
        <f>VLOOKUP(K1997,COA!$A$3:$B$337,2,FALSE)</f>
        <v>R20</v>
      </c>
      <c r="M1997" s="96" t="str">
        <f t="shared" si="74"/>
        <v>R20</v>
      </c>
      <c r="N1997" s="96" t="str">
        <f>VLOOKUP(M1997,CAC!$A$2:$B$198,2,FALSE)</f>
        <v>HMOMG</v>
      </c>
    </row>
    <row r="1998" spans="5:14" x14ac:dyDescent="0.25">
      <c r="E1998" s="136">
        <v>201612</v>
      </c>
      <c r="F1998" s="138" t="s">
        <v>563</v>
      </c>
      <c r="G1998" s="138" t="s">
        <v>351</v>
      </c>
      <c r="H1998" s="138" t="s">
        <v>349</v>
      </c>
      <c r="I1998" s="139">
        <v>0</v>
      </c>
      <c r="K1998" s="96" t="str">
        <f t="shared" si="73"/>
        <v>0003-0000-0017</v>
      </c>
      <c r="L1998" s="96" t="e">
        <f>VLOOKUP(K1998,COA!$A$3:$B$337,2,FALSE)</f>
        <v>#N/A</v>
      </c>
      <c r="M1998" s="96" t="str">
        <f t="shared" si="74"/>
        <v>XXX</v>
      </c>
      <c r="N1998" s="96" t="str">
        <f>VLOOKUP(M1998,CAC!$A$2:$B$198,2,FALSE)</f>
        <v>XXX</v>
      </c>
    </row>
    <row r="1999" spans="5:14" x14ac:dyDescent="0.25">
      <c r="E1999" s="136">
        <v>201607</v>
      </c>
      <c r="F1999" s="138" t="s">
        <v>746</v>
      </c>
      <c r="G1999" s="138" t="s">
        <v>350</v>
      </c>
      <c r="H1999" s="138" t="s">
        <v>764</v>
      </c>
      <c r="I1999" s="139">
        <v>8</v>
      </c>
      <c r="K1999" s="96" t="str">
        <f t="shared" si="73"/>
        <v>0016-1012-0064</v>
      </c>
      <c r="L1999" s="96" t="str">
        <f>VLOOKUP(K1999,COA!$A$3:$B$337,2,FALSE)</f>
        <v>R25</v>
      </c>
      <c r="M1999" s="96" t="str">
        <f t="shared" si="74"/>
        <v>R25</v>
      </c>
      <c r="N1999" s="96" t="str">
        <f>VLOOKUP(M1999,CAC!$A$2:$B$198,2,FALSE)</f>
        <v>HMOMG</v>
      </c>
    </row>
    <row r="2000" spans="5:14" x14ac:dyDescent="0.25">
      <c r="E2000" s="136">
        <v>201604</v>
      </c>
      <c r="F2000" s="138" t="s">
        <v>345</v>
      </c>
      <c r="G2000" s="138" t="s">
        <v>362</v>
      </c>
      <c r="H2000" s="138" t="s">
        <v>363</v>
      </c>
      <c r="I2000" s="139">
        <v>37716.39</v>
      </c>
      <c r="K2000" s="96" t="str">
        <f t="shared" si="73"/>
        <v>0011-1008-0054</v>
      </c>
      <c r="L2000" s="96" t="str">
        <f>VLOOKUP(K2000,COA!$A$3:$B$337,2,FALSE)</f>
        <v>P23</v>
      </c>
      <c r="M2000" s="96" t="str">
        <f t="shared" si="74"/>
        <v>P23</v>
      </c>
      <c r="N2000" s="96" t="str">
        <f>VLOOKUP(M2000,CAC!$A$2:$B$198,2,FALSE)</f>
        <v>HMOPERN</v>
      </c>
    </row>
    <row r="2001" spans="5:14" x14ac:dyDescent="0.25">
      <c r="E2001" s="136">
        <v>201708</v>
      </c>
      <c r="F2001" s="138" t="s">
        <v>345</v>
      </c>
      <c r="G2001" s="138" t="s">
        <v>350</v>
      </c>
      <c r="H2001" s="138" t="s">
        <v>360</v>
      </c>
      <c r="I2001" s="139">
        <v>9927</v>
      </c>
      <c r="K2001" s="96" t="str">
        <f t="shared" si="73"/>
        <v>0011-1012-0048</v>
      </c>
      <c r="L2001" s="96" t="str">
        <f>VLOOKUP(K2001,COA!$A$3:$B$337,2,FALSE)</f>
        <v>K21</v>
      </c>
      <c r="M2001" s="96" t="str">
        <f t="shared" si="74"/>
        <v>K21</v>
      </c>
      <c r="N2001" s="96" t="str">
        <f>VLOOKUP(M2001,CAC!$A$2:$B$198,2,FALSE)</f>
        <v>HMFLEX</v>
      </c>
    </row>
    <row r="2002" spans="5:14" x14ac:dyDescent="0.25">
      <c r="E2002" s="136">
        <v>201801</v>
      </c>
      <c r="F2002" s="138" t="s">
        <v>552</v>
      </c>
      <c r="G2002" s="138" t="s">
        <v>356</v>
      </c>
      <c r="H2002" s="138" t="s">
        <v>672</v>
      </c>
      <c r="I2002" s="139">
        <v>0</v>
      </c>
      <c r="K2002" s="96" t="str">
        <f t="shared" si="73"/>
        <v>0027-1002-0058</v>
      </c>
      <c r="L2002" s="96" t="str">
        <f>VLOOKUP(K2002,COA!$A$3:$B$337,2,FALSE)</f>
        <v>L45</v>
      </c>
      <c r="M2002" s="96" t="str">
        <f t="shared" si="74"/>
        <v>L45</v>
      </c>
      <c r="N2002" s="96" t="e">
        <f>VLOOKUP(M2002,CAC!$A$2:$B$198,2,FALSE)</f>
        <v>#N/A</v>
      </c>
    </row>
    <row r="2003" spans="5:14" x14ac:dyDescent="0.25">
      <c r="E2003" s="136">
        <v>201502</v>
      </c>
      <c r="F2003" s="138" t="s">
        <v>746</v>
      </c>
      <c r="G2003" s="138" t="s">
        <v>362</v>
      </c>
      <c r="H2003" s="138" t="s">
        <v>364</v>
      </c>
      <c r="I2003" s="139">
        <v>5621</v>
      </c>
      <c r="K2003" s="96" t="str">
        <f t="shared" si="73"/>
        <v>0016-1008-0037</v>
      </c>
      <c r="L2003" s="96" t="str">
        <f>VLOOKUP(K2003,COA!$A$3:$B$337,2,FALSE)</f>
        <v>R24</v>
      </c>
      <c r="M2003" s="96" t="str">
        <f t="shared" si="74"/>
        <v>R24</v>
      </c>
      <c r="N2003" s="96" t="str">
        <f>VLOOKUP(M2003,CAC!$A$2:$B$198,2,FALSE)</f>
        <v>PERMAPD</v>
      </c>
    </row>
    <row r="2004" spans="5:14" x14ac:dyDescent="0.25">
      <c r="E2004" s="136">
        <v>201604</v>
      </c>
      <c r="F2004" s="138" t="s">
        <v>349</v>
      </c>
      <c r="G2004" s="138" t="s">
        <v>369</v>
      </c>
      <c r="H2004" s="138" t="s">
        <v>764</v>
      </c>
      <c r="I2004" s="139">
        <v>3</v>
      </c>
      <c r="K2004" s="96" t="str">
        <f t="shared" si="73"/>
        <v>0017-1009-0064</v>
      </c>
      <c r="L2004" s="96" t="str">
        <f>VLOOKUP(K2004,COA!$A$3:$B$337,2,FALSE)</f>
        <v>R15</v>
      </c>
      <c r="M2004" s="96" t="str">
        <f t="shared" si="74"/>
        <v>R15</v>
      </c>
      <c r="N2004" s="96" t="str">
        <f>VLOOKUP(M2004,CAC!$A$2:$B$198,2,FALSE)</f>
        <v>HMOMM</v>
      </c>
    </row>
    <row r="2005" spans="5:14" x14ac:dyDescent="0.25">
      <c r="E2005" s="136">
        <v>201609</v>
      </c>
      <c r="F2005" s="138" t="s">
        <v>506</v>
      </c>
      <c r="G2005" s="138" t="s">
        <v>359</v>
      </c>
      <c r="H2005" s="138" t="s">
        <v>592</v>
      </c>
      <c r="I2005" s="139">
        <v>0</v>
      </c>
      <c r="K2005" s="96" t="str">
        <f t="shared" si="73"/>
        <v>0013-1005-0035</v>
      </c>
      <c r="L2005" s="96" t="str">
        <f>VLOOKUP(K2005,COA!$A$3:$B$337,2,FALSE)</f>
        <v>N41</v>
      </c>
      <c r="M2005" s="96" t="str">
        <f t="shared" si="74"/>
        <v>N41</v>
      </c>
      <c r="N2005" s="96" t="e">
        <f>VLOOKUP(M2005,CAC!$A$2:$B$198,2,FALSE)</f>
        <v>#N/A</v>
      </c>
    </row>
    <row r="2006" spans="5:14" x14ac:dyDescent="0.25">
      <c r="E2006" s="136">
        <v>201703</v>
      </c>
      <c r="F2006" s="138" t="s">
        <v>563</v>
      </c>
      <c r="G2006" s="138" t="s">
        <v>350</v>
      </c>
      <c r="H2006" s="138" t="s">
        <v>626</v>
      </c>
      <c r="I2006" s="139">
        <v>0</v>
      </c>
      <c r="K2006" s="96" t="str">
        <f t="shared" si="73"/>
        <v>0003-1012-0057</v>
      </c>
      <c r="L2006" s="96" t="str">
        <f>VLOOKUP(K2006,COA!$A$3:$B$337,2,FALSE)</f>
        <v>K51</v>
      </c>
      <c r="M2006" s="96" t="str">
        <f t="shared" si="74"/>
        <v>K51</v>
      </c>
      <c r="N2006" s="96" t="str">
        <f>VLOOKUP(M2006,CAC!$A$2:$B$198,2,FALSE)</f>
        <v>PPOPMR</v>
      </c>
    </row>
    <row r="2007" spans="5:14" x14ac:dyDescent="0.25">
      <c r="E2007" s="136">
        <v>201504</v>
      </c>
      <c r="F2007" s="138" t="s">
        <v>413</v>
      </c>
      <c r="G2007" s="138" t="s">
        <v>348</v>
      </c>
      <c r="H2007" s="138" t="s">
        <v>349</v>
      </c>
      <c r="I2007" s="139">
        <v>0</v>
      </c>
      <c r="K2007" s="96" t="str">
        <f t="shared" si="73"/>
        <v>0008-1010-0017</v>
      </c>
      <c r="L2007" s="96" t="str">
        <f>VLOOKUP(K2007,COA!$A$3:$B$337,2,FALSE)</f>
        <v>C94</v>
      </c>
      <c r="M2007" s="96" t="str">
        <f t="shared" si="74"/>
        <v>C94</v>
      </c>
      <c r="N2007" s="96" t="str">
        <f>VLOOKUP(M2007,CAC!$A$2:$B$198,2,FALSE)</f>
        <v>DOISG</v>
      </c>
    </row>
    <row r="2008" spans="5:14" x14ac:dyDescent="0.25">
      <c r="E2008" s="136">
        <v>201708</v>
      </c>
      <c r="F2008" s="138" t="s">
        <v>506</v>
      </c>
      <c r="G2008" s="138" t="s">
        <v>361</v>
      </c>
      <c r="H2008" s="138" t="s">
        <v>592</v>
      </c>
      <c r="I2008" s="139">
        <v>0</v>
      </c>
      <c r="K2008" s="96" t="str">
        <f t="shared" si="73"/>
        <v>0013-1003-0035</v>
      </c>
      <c r="L2008" s="96" t="str">
        <f>VLOOKUP(K2008,COA!$A$3:$B$337,2,FALSE)</f>
        <v>N32</v>
      </c>
      <c r="M2008" s="96" t="str">
        <f t="shared" si="74"/>
        <v>N32</v>
      </c>
      <c r="N2008" s="96" t="e">
        <f>VLOOKUP(M2008,CAC!$A$2:$B$198,2,FALSE)</f>
        <v>#N/A</v>
      </c>
    </row>
    <row r="2009" spans="5:14" x14ac:dyDescent="0.25">
      <c r="E2009" s="136">
        <v>201512</v>
      </c>
      <c r="F2009" s="138" t="s">
        <v>344</v>
      </c>
      <c r="G2009" s="138" t="s">
        <v>359</v>
      </c>
      <c r="H2009" s="138" t="s">
        <v>344</v>
      </c>
      <c r="I2009" s="139">
        <v>125</v>
      </c>
      <c r="K2009" s="96" t="str">
        <f t="shared" si="73"/>
        <v>0012-1005-0012</v>
      </c>
      <c r="L2009" s="96" t="str">
        <f>VLOOKUP(K2009,COA!$A$3:$B$337,2,FALSE)</f>
        <v>N13</v>
      </c>
      <c r="M2009" s="96" t="str">
        <f t="shared" si="74"/>
        <v>N13</v>
      </c>
      <c r="N2009" s="96" t="str">
        <f>VLOOKUP(M2009,CAC!$A$2:$B$198,2,FALSE)</f>
        <v>HMOLG</v>
      </c>
    </row>
    <row r="2010" spans="5:14" x14ac:dyDescent="0.25">
      <c r="E2010" s="136">
        <v>201509</v>
      </c>
      <c r="F2010" s="138" t="s">
        <v>345</v>
      </c>
      <c r="G2010" s="138" t="s">
        <v>351</v>
      </c>
      <c r="H2010" s="138" t="s">
        <v>349</v>
      </c>
      <c r="I2010" s="139">
        <v>1</v>
      </c>
      <c r="K2010" s="96" t="str">
        <f t="shared" si="73"/>
        <v>0011-0000-0017</v>
      </c>
      <c r="L2010" s="96" t="e">
        <f>VLOOKUP(K2010,COA!$A$3:$B$337,2,FALSE)</f>
        <v>#N/A</v>
      </c>
      <c r="M2010" s="96" t="str">
        <f t="shared" si="74"/>
        <v>XXX</v>
      </c>
      <c r="N2010" s="96" t="str">
        <f>VLOOKUP(M2010,CAC!$A$2:$B$198,2,FALSE)</f>
        <v>XXX</v>
      </c>
    </row>
    <row r="2011" spans="5:14" x14ac:dyDescent="0.25">
      <c r="E2011" s="136">
        <v>201604</v>
      </c>
      <c r="F2011" s="138" t="s">
        <v>549</v>
      </c>
      <c r="G2011" s="138" t="s">
        <v>356</v>
      </c>
      <c r="H2011" s="138" t="s">
        <v>672</v>
      </c>
      <c r="I2011" s="139">
        <v>0</v>
      </c>
      <c r="K2011" s="96" t="str">
        <f t="shared" si="73"/>
        <v>0026-1002-0058</v>
      </c>
      <c r="L2011" s="96" t="str">
        <f>VLOOKUP(K2011,COA!$A$3:$B$337,2,FALSE)</f>
        <v>L45</v>
      </c>
      <c r="M2011" s="96" t="str">
        <f t="shared" si="74"/>
        <v>L45</v>
      </c>
      <c r="N2011" s="96" t="e">
        <f>VLOOKUP(M2011,CAC!$A$2:$B$198,2,FALSE)</f>
        <v>#N/A</v>
      </c>
    </row>
    <row r="2012" spans="5:14" x14ac:dyDescent="0.25">
      <c r="E2012" s="136">
        <v>201511</v>
      </c>
      <c r="F2012" s="138" t="s">
        <v>345</v>
      </c>
      <c r="G2012" s="138" t="s">
        <v>348</v>
      </c>
      <c r="H2012" s="138" t="s">
        <v>349</v>
      </c>
      <c r="I2012" s="139">
        <v>19520.54</v>
      </c>
      <c r="K2012" s="96" t="str">
        <f t="shared" si="73"/>
        <v>0011-1010-0017</v>
      </c>
      <c r="L2012" s="96" t="str">
        <f>VLOOKUP(K2012,COA!$A$3:$B$337,2,FALSE)</f>
        <v>S11</v>
      </c>
      <c r="M2012" s="96" t="str">
        <f t="shared" si="74"/>
        <v>S11</v>
      </c>
      <c r="N2012" s="96" t="str">
        <f>VLOOKUP(M2012,CAC!$A$2:$B$198,2,FALSE)</f>
        <v>HMOSG</v>
      </c>
    </row>
    <row r="2013" spans="5:14" x14ac:dyDescent="0.25">
      <c r="E2013" s="136">
        <v>201704</v>
      </c>
      <c r="F2013" s="138" t="s">
        <v>345</v>
      </c>
      <c r="G2013" s="138" t="s">
        <v>365</v>
      </c>
      <c r="H2013" s="138" t="s">
        <v>367</v>
      </c>
      <c r="I2013" s="139">
        <v>642.84</v>
      </c>
      <c r="K2013" s="96" t="str">
        <f t="shared" si="73"/>
        <v>0011-1001-0022</v>
      </c>
      <c r="L2013" s="96" t="str">
        <f>VLOOKUP(K2013,COA!$A$3:$B$337,2,FALSE)</f>
        <v>V14</v>
      </c>
      <c r="M2013" s="96" t="str">
        <f t="shared" si="74"/>
        <v>V14</v>
      </c>
      <c r="N2013" s="96" t="str">
        <f>VLOOKUP(M2013,CAC!$A$2:$B$198,2,FALSE)</f>
        <v>HMOIFP</v>
      </c>
    </row>
    <row r="2014" spans="5:14" x14ac:dyDescent="0.25">
      <c r="E2014" s="136">
        <v>201509</v>
      </c>
      <c r="F2014" s="138" t="s">
        <v>563</v>
      </c>
      <c r="G2014" s="138" t="s">
        <v>354</v>
      </c>
      <c r="H2014" s="138" t="s">
        <v>653</v>
      </c>
      <c r="I2014" s="139">
        <v>0</v>
      </c>
      <c r="K2014" s="96" t="str">
        <f t="shared" si="73"/>
        <v>0003-1013-0047</v>
      </c>
      <c r="L2014" s="96" t="str">
        <f>VLOOKUP(K2014,COA!$A$3:$B$337,2,FALSE)</f>
        <v>N57</v>
      </c>
      <c r="M2014" s="96" t="str">
        <f t="shared" si="74"/>
        <v>N57</v>
      </c>
      <c r="N2014" s="96" t="str">
        <f>VLOOKUP(M2014,CAC!$A$2:$B$198,2,FALSE)</f>
        <v>PPOPMR</v>
      </c>
    </row>
    <row r="2015" spans="5:14" x14ac:dyDescent="0.25">
      <c r="E2015" s="136">
        <v>201508</v>
      </c>
      <c r="F2015" s="138" t="s">
        <v>413</v>
      </c>
      <c r="G2015" s="138" t="s">
        <v>359</v>
      </c>
      <c r="H2015" s="138" t="s">
        <v>344</v>
      </c>
      <c r="I2015" s="139">
        <v>0</v>
      </c>
      <c r="K2015" s="96" t="str">
        <f t="shared" si="73"/>
        <v>0008-1005-0012</v>
      </c>
      <c r="L2015" s="96" t="str">
        <f>VLOOKUP(K2015,COA!$A$3:$B$337,2,FALSE)</f>
        <v>C73</v>
      </c>
      <c r="M2015" s="96" t="str">
        <f t="shared" si="74"/>
        <v>C73</v>
      </c>
      <c r="N2015" s="96" t="str">
        <f>VLOOKUP(M2015,CAC!$A$2:$B$198,2,FALSE)</f>
        <v>DOILG</v>
      </c>
    </row>
    <row r="2016" spans="5:14" x14ac:dyDescent="0.25">
      <c r="E2016" s="136">
        <v>201504</v>
      </c>
      <c r="F2016" s="138" t="s">
        <v>746</v>
      </c>
      <c r="G2016" s="138" t="s">
        <v>354</v>
      </c>
      <c r="H2016" s="138" t="s">
        <v>344</v>
      </c>
      <c r="I2016" s="139">
        <v>79</v>
      </c>
      <c r="K2016" s="96" t="str">
        <f t="shared" si="73"/>
        <v>0016-1013-0012</v>
      </c>
      <c r="L2016" s="96" t="str">
        <f>VLOOKUP(K2016,COA!$A$3:$B$337,2,FALSE)</f>
        <v>R19</v>
      </c>
      <c r="M2016" s="96" t="str">
        <f t="shared" si="74"/>
        <v>R19</v>
      </c>
      <c r="N2016" s="96" t="str">
        <f>VLOOKUP(M2016,CAC!$A$2:$B$198,2,FALSE)</f>
        <v>HMOMG</v>
      </c>
    </row>
    <row r="2017" spans="5:14" x14ac:dyDescent="0.25">
      <c r="E2017" s="136">
        <v>201610</v>
      </c>
      <c r="F2017" s="138" t="s">
        <v>563</v>
      </c>
      <c r="G2017" s="138" t="s">
        <v>365</v>
      </c>
      <c r="H2017" s="138" t="s">
        <v>798</v>
      </c>
      <c r="I2017" s="139">
        <v>0</v>
      </c>
      <c r="K2017" s="96" t="str">
        <f t="shared" si="73"/>
        <v>0003-1001-0065</v>
      </c>
      <c r="L2017" s="96" t="str">
        <f>VLOOKUP(K2017,COA!$A$3:$B$337,2,FALSE)</f>
        <v>V55</v>
      </c>
      <c r="M2017" s="96" t="str">
        <f t="shared" si="74"/>
        <v>V55</v>
      </c>
      <c r="N2017" s="96" t="e">
        <f>VLOOKUP(M2017,CAC!$A$2:$B$198,2,FALSE)</f>
        <v>#N/A</v>
      </c>
    </row>
    <row r="2018" spans="5:14" x14ac:dyDescent="0.25">
      <c r="E2018" s="136">
        <v>201603</v>
      </c>
      <c r="F2018" s="138" t="s">
        <v>345</v>
      </c>
      <c r="G2018" s="138" t="s">
        <v>348</v>
      </c>
      <c r="H2018" s="138" t="s">
        <v>349</v>
      </c>
      <c r="I2018" s="139">
        <v>20815.25</v>
      </c>
      <c r="K2018" s="96" t="str">
        <f t="shared" si="73"/>
        <v>0011-1010-0017</v>
      </c>
      <c r="L2018" s="96" t="str">
        <f>VLOOKUP(K2018,COA!$A$3:$B$337,2,FALSE)</f>
        <v>S11</v>
      </c>
      <c r="M2018" s="96" t="str">
        <f t="shared" si="74"/>
        <v>S11</v>
      </c>
      <c r="N2018" s="96" t="str">
        <f>VLOOKUP(M2018,CAC!$A$2:$B$198,2,FALSE)</f>
        <v>HMOSG</v>
      </c>
    </row>
    <row r="2019" spans="5:14" x14ac:dyDescent="0.25">
      <c r="E2019" s="136">
        <v>201604</v>
      </c>
      <c r="F2019" s="138" t="s">
        <v>345</v>
      </c>
      <c r="G2019" s="138" t="s">
        <v>348</v>
      </c>
      <c r="H2019" s="138" t="s">
        <v>349</v>
      </c>
      <c r="I2019" s="139">
        <v>21060.53</v>
      </c>
      <c r="K2019" s="96" t="str">
        <f t="shared" si="73"/>
        <v>0011-1010-0017</v>
      </c>
      <c r="L2019" s="96" t="str">
        <f>VLOOKUP(K2019,COA!$A$3:$B$337,2,FALSE)</f>
        <v>S11</v>
      </c>
      <c r="M2019" s="96" t="str">
        <f t="shared" si="74"/>
        <v>S11</v>
      </c>
      <c r="N2019" s="96" t="str">
        <f>VLOOKUP(M2019,CAC!$A$2:$B$198,2,FALSE)</f>
        <v>HMOSG</v>
      </c>
    </row>
    <row r="2020" spans="5:14" x14ac:dyDescent="0.25">
      <c r="E2020" s="136">
        <v>201610</v>
      </c>
      <c r="F2020" s="138" t="s">
        <v>563</v>
      </c>
      <c r="G2020" s="138" t="s">
        <v>351</v>
      </c>
      <c r="H2020" s="138" t="s">
        <v>349</v>
      </c>
      <c r="I2020" s="139">
        <v>0</v>
      </c>
      <c r="K2020" s="96" t="str">
        <f t="shared" si="73"/>
        <v>0003-0000-0017</v>
      </c>
      <c r="L2020" s="96" t="e">
        <f>VLOOKUP(K2020,COA!$A$3:$B$337,2,FALSE)</f>
        <v>#N/A</v>
      </c>
      <c r="M2020" s="96" t="str">
        <f t="shared" si="74"/>
        <v>XXX</v>
      </c>
      <c r="N2020" s="96" t="str">
        <f>VLOOKUP(M2020,CAC!$A$2:$B$198,2,FALSE)</f>
        <v>XXX</v>
      </c>
    </row>
    <row r="2021" spans="5:14" x14ac:dyDescent="0.25">
      <c r="E2021" s="136">
        <v>201609</v>
      </c>
      <c r="F2021" s="138" t="s">
        <v>563</v>
      </c>
      <c r="G2021" s="138" t="s">
        <v>355</v>
      </c>
      <c r="H2021" s="138" t="s">
        <v>344</v>
      </c>
      <c r="I2021" s="139">
        <v>0</v>
      </c>
      <c r="K2021" s="96" t="str">
        <f t="shared" si="73"/>
        <v>0003-1006-0012</v>
      </c>
      <c r="L2021" s="96" t="str">
        <f>VLOOKUP(K2021,COA!$A$3:$B$337,2,FALSE)</f>
        <v>L52</v>
      </c>
      <c r="M2021" s="96" t="str">
        <f t="shared" si="74"/>
        <v>L52</v>
      </c>
      <c r="N2021" s="96" t="str">
        <f>VLOOKUP(M2021,CAC!$A$2:$B$198,2,FALSE)</f>
        <v>PPOLG</v>
      </c>
    </row>
    <row r="2022" spans="5:14" x14ac:dyDescent="0.25">
      <c r="E2022" s="136">
        <v>201504</v>
      </c>
      <c r="F2022" s="138" t="s">
        <v>345</v>
      </c>
      <c r="G2022" s="138" t="s">
        <v>351</v>
      </c>
      <c r="H2022" s="138" t="s">
        <v>349</v>
      </c>
      <c r="I2022" s="139">
        <v>1</v>
      </c>
      <c r="K2022" s="96" t="str">
        <f t="shared" si="73"/>
        <v>0011-0000-0017</v>
      </c>
      <c r="L2022" s="96" t="e">
        <f>VLOOKUP(K2022,COA!$A$3:$B$337,2,FALSE)</f>
        <v>#N/A</v>
      </c>
      <c r="M2022" s="96" t="str">
        <f t="shared" si="74"/>
        <v>XXX</v>
      </c>
      <c r="N2022" s="96" t="str">
        <f>VLOOKUP(M2022,CAC!$A$2:$B$198,2,FALSE)</f>
        <v>XXX</v>
      </c>
    </row>
    <row r="2023" spans="5:14" x14ac:dyDescent="0.25">
      <c r="E2023" s="136">
        <v>201611</v>
      </c>
      <c r="F2023" s="138" t="s">
        <v>345</v>
      </c>
      <c r="G2023" s="138" t="s">
        <v>351</v>
      </c>
      <c r="H2023" s="138" t="s">
        <v>349</v>
      </c>
      <c r="I2023" s="139">
        <v>0</v>
      </c>
      <c r="K2023" s="96" t="str">
        <f t="shared" si="73"/>
        <v>0011-0000-0017</v>
      </c>
      <c r="L2023" s="96" t="e">
        <f>VLOOKUP(K2023,COA!$A$3:$B$337,2,FALSE)</f>
        <v>#N/A</v>
      </c>
      <c r="M2023" s="96" t="str">
        <f t="shared" si="74"/>
        <v>XXX</v>
      </c>
      <c r="N2023" s="96" t="str">
        <f>VLOOKUP(M2023,CAC!$A$2:$B$198,2,FALSE)</f>
        <v>XXX</v>
      </c>
    </row>
    <row r="2024" spans="5:14" x14ac:dyDescent="0.25">
      <c r="E2024" s="136">
        <v>201610</v>
      </c>
      <c r="F2024" s="138" t="s">
        <v>506</v>
      </c>
      <c r="G2024" s="138" t="s">
        <v>354</v>
      </c>
      <c r="H2024" s="138" t="s">
        <v>592</v>
      </c>
      <c r="I2024" s="139">
        <v>0</v>
      </c>
      <c r="K2024" s="96" t="str">
        <f t="shared" si="73"/>
        <v>0013-1013-0035</v>
      </c>
      <c r="L2024" s="96" t="str">
        <f>VLOOKUP(K2024,COA!$A$3:$B$337,2,FALSE)</f>
        <v>N44</v>
      </c>
      <c r="M2024" s="96" t="str">
        <f t="shared" si="74"/>
        <v>N44</v>
      </c>
      <c r="N2024" s="96" t="e">
        <f>VLOOKUP(M2024,CAC!$A$2:$B$198,2,FALSE)</f>
        <v>#N/A</v>
      </c>
    </row>
    <row r="2025" spans="5:14" x14ac:dyDescent="0.25">
      <c r="E2025" s="136">
        <v>201711</v>
      </c>
      <c r="F2025" s="138" t="s">
        <v>345</v>
      </c>
      <c r="G2025" s="138" t="s">
        <v>346</v>
      </c>
      <c r="H2025" s="138" t="s">
        <v>360</v>
      </c>
      <c r="I2025" s="139">
        <v>340</v>
      </c>
      <c r="K2025" s="96" t="str">
        <f t="shared" si="73"/>
        <v>0011-1014-0048</v>
      </c>
      <c r="L2025" s="96" t="str">
        <f>VLOOKUP(K2025,COA!$A$3:$B$337,2,FALSE)</f>
        <v>K23</v>
      </c>
      <c r="M2025" s="96" t="str">
        <f t="shared" si="74"/>
        <v>K23</v>
      </c>
      <c r="N2025" s="96" t="str">
        <f>VLOOKUP(M2025,CAC!$A$2:$B$198,2,FALSE)</f>
        <v>HMFLEX</v>
      </c>
    </row>
    <row r="2026" spans="5:14" x14ac:dyDescent="0.25">
      <c r="E2026" s="136">
        <v>201608</v>
      </c>
      <c r="F2026" s="138" t="s">
        <v>506</v>
      </c>
      <c r="G2026" s="138" t="s">
        <v>352</v>
      </c>
      <c r="H2026" s="138" t="s">
        <v>592</v>
      </c>
      <c r="I2026" s="139">
        <v>0</v>
      </c>
      <c r="K2026" s="96" t="str">
        <f t="shared" si="73"/>
        <v>0013-1004-0035</v>
      </c>
      <c r="L2026" s="96" t="str">
        <f>VLOOKUP(K2026,COA!$A$3:$B$337,2,FALSE)</f>
        <v>L41</v>
      </c>
      <c r="M2026" s="96" t="str">
        <f t="shared" si="74"/>
        <v>L41</v>
      </c>
      <c r="N2026" s="96" t="e">
        <f>VLOOKUP(M2026,CAC!$A$2:$B$198,2,FALSE)</f>
        <v>#N/A</v>
      </c>
    </row>
    <row r="2027" spans="5:14" x14ac:dyDescent="0.25">
      <c r="E2027" s="136">
        <v>201506</v>
      </c>
      <c r="F2027" s="138" t="s">
        <v>345</v>
      </c>
      <c r="G2027" s="138" t="s">
        <v>348</v>
      </c>
      <c r="H2027" s="138" t="s">
        <v>353</v>
      </c>
      <c r="I2027" s="139">
        <v>332</v>
      </c>
      <c r="K2027" s="96" t="str">
        <f t="shared" si="73"/>
        <v>0011-1010-0023</v>
      </c>
      <c r="L2027" s="96" t="str">
        <f>VLOOKUP(K2027,COA!$A$3:$B$337,2,FALSE)</f>
        <v>S13</v>
      </c>
      <c r="M2027" s="96" t="str">
        <f t="shared" si="74"/>
        <v>S13</v>
      </c>
      <c r="N2027" s="96" t="str">
        <f>VLOOKUP(M2027,CAC!$A$2:$B$198,2,FALSE)</f>
        <v>HMOSG</v>
      </c>
    </row>
    <row r="2028" spans="5:14" x14ac:dyDescent="0.25">
      <c r="E2028" s="136">
        <v>201504</v>
      </c>
      <c r="F2028" s="138" t="s">
        <v>344</v>
      </c>
      <c r="G2028" s="138" t="s">
        <v>352</v>
      </c>
      <c r="H2028" s="138" t="s">
        <v>344</v>
      </c>
      <c r="I2028" s="139">
        <v>272</v>
      </c>
      <c r="K2028" s="96" t="str">
        <f t="shared" si="73"/>
        <v>0012-1004-0012</v>
      </c>
      <c r="L2028" s="96" t="str">
        <f>VLOOKUP(K2028,COA!$A$3:$B$337,2,FALSE)</f>
        <v>L12</v>
      </c>
      <c r="M2028" s="96" t="str">
        <f t="shared" si="74"/>
        <v>L12</v>
      </c>
      <c r="N2028" s="96" t="str">
        <f>VLOOKUP(M2028,CAC!$A$2:$B$198,2,FALSE)</f>
        <v>HMOLG</v>
      </c>
    </row>
    <row r="2029" spans="5:14" x14ac:dyDescent="0.25">
      <c r="E2029" s="136">
        <v>201702</v>
      </c>
      <c r="F2029" s="138" t="s">
        <v>563</v>
      </c>
      <c r="G2029" s="138" t="s">
        <v>354</v>
      </c>
      <c r="H2029" s="138" t="s">
        <v>626</v>
      </c>
      <c r="I2029" s="139">
        <v>0</v>
      </c>
      <c r="K2029" s="96" t="str">
        <f t="shared" si="73"/>
        <v>0003-1013-0057</v>
      </c>
      <c r="L2029" s="96" t="str">
        <f>VLOOKUP(K2029,COA!$A$3:$B$337,2,FALSE)</f>
        <v>N55</v>
      </c>
      <c r="M2029" s="96" t="str">
        <f t="shared" si="74"/>
        <v>N55</v>
      </c>
      <c r="N2029" s="96" t="str">
        <f>VLOOKUP(M2029,CAC!$A$2:$B$198,2,FALSE)</f>
        <v>PPOPMR</v>
      </c>
    </row>
    <row r="2030" spans="5:14" x14ac:dyDescent="0.25">
      <c r="E2030" s="136">
        <v>201710</v>
      </c>
      <c r="F2030" s="138" t="s">
        <v>563</v>
      </c>
      <c r="G2030" s="138" t="s">
        <v>355</v>
      </c>
      <c r="H2030" s="138" t="s">
        <v>344</v>
      </c>
      <c r="I2030" s="139">
        <v>0</v>
      </c>
      <c r="K2030" s="96" t="str">
        <f t="shared" si="73"/>
        <v>0003-1006-0012</v>
      </c>
      <c r="L2030" s="96" t="str">
        <f>VLOOKUP(K2030,COA!$A$3:$B$337,2,FALSE)</f>
        <v>L52</v>
      </c>
      <c r="M2030" s="96" t="str">
        <f t="shared" si="74"/>
        <v>L52</v>
      </c>
      <c r="N2030" s="96" t="str">
        <f>VLOOKUP(M2030,CAC!$A$2:$B$198,2,FALSE)</f>
        <v>PPOLG</v>
      </c>
    </row>
    <row r="2031" spans="5:14" x14ac:dyDescent="0.25">
      <c r="E2031" s="136">
        <v>201801</v>
      </c>
      <c r="F2031" s="138" t="s">
        <v>345</v>
      </c>
      <c r="G2031" s="138" t="s">
        <v>348</v>
      </c>
      <c r="H2031" s="138" t="s">
        <v>349</v>
      </c>
      <c r="I2031" s="139">
        <v>35423.83</v>
      </c>
      <c r="K2031" s="96" t="str">
        <f t="shared" si="73"/>
        <v>0011-1010-0017</v>
      </c>
      <c r="L2031" s="96" t="str">
        <f>VLOOKUP(K2031,COA!$A$3:$B$337,2,FALSE)</f>
        <v>S11</v>
      </c>
      <c r="M2031" s="96" t="str">
        <f t="shared" si="74"/>
        <v>S11</v>
      </c>
      <c r="N2031" s="96" t="str">
        <f>VLOOKUP(M2031,CAC!$A$2:$B$198,2,FALSE)</f>
        <v>HMOSG</v>
      </c>
    </row>
    <row r="2032" spans="5:14" x14ac:dyDescent="0.25">
      <c r="E2032" s="136">
        <v>201612</v>
      </c>
      <c r="F2032" s="138" t="s">
        <v>552</v>
      </c>
      <c r="G2032" s="138" t="s">
        <v>356</v>
      </c>
      <c r="H2032" s="138" t="s">
        <v>672</v>
      </c>
      <c r="I2032" s="139">
        <v>0</v>
      </c>
      <c r="K2032" s="96" t="str">
        <f t="shared" si="73"/>
        <v>0027-1002-0058</v>
      </c>
      <c r="L2032" s="96" t="str">
        <f>VLOOKUP(K2032,COA!$A$3:$B$337,2,FALSE)</f>
        <v>L45</v>
      </c>
      <c r="M2032" s="96" t="str">
        <f t="shared" si="74"/>
        <v>L45</v>
      </c>
      <c r="N2032" s="96" t="e">
        <f>VLOOKUP(M2032,CAC!$A$2:$B$198,2,FALSE)</f>
        <v>#N/A</v>
      </c>
    </row>
    <row r="2033" spans="5:14" x14ac:dyDescent="0.25">
      <c r="E2033" s="136">
        <v>201707</v>
      </c>
      <c r="F2033" s="138" t="s">
        <v>506</v>
      </c>
      <c r="G2033" s="138" t="s">
        <v>361</v>
      </c>
      <c r="H2033" s="138" t="s">
        <v>592</v>
      </c>
      <c r="I2033" s="139">
        <v>0</v>
      </c>
      <c r="K2033" s="96" t="str">
        <f t="shared" si="73"/>
        <v>0013-1003-0035</v>
      </c>
      <c r="L2033" s="96" t="str">
        <f>VLOOKUP(K2033,COA!$A$3:$B$337,2,FALSE)</f>
        <v>N32</v>
      </c>
      <c r="M2033" s="96" t="str">
        <f t="shared" si="74"/>
        <v>N32</v>
      </c>
      <c r="N2033" s="96" t="e">
        <f>VLOOKUP(M2033,CAC!$A$2:$B$198,2,FALSE)</f>
        <v>#N/A</v>
      </c>
    </row>
    <row r="2034" spans="5:14" x14ac:dyDescent="0.25">
      <c r="E2034" s="136">
        <v>201703</v>
      </c>
      <c r="F2034" s="138" t="s">
        <v>345</v>
      </c>
      <c r="G2034" s="138" t="s">
        <v>352</v>
      </c>
      <c r="H2034" s="138" t="s">
        <v>653</v>
      </c>
      <c r="I2034" s="139">
        <v>0</v>
      </c>
      <c r="K2034" s="96" t="str">
        <f t="shared" si="73"/>
        <v>0011-1004-0047</v>
      </c>
      <c r="L2034" s="96" t="str">
        <f>VLOOKUP(K2034,COA!$A$3:$B$337,2,FALSE)</f>
        <v>L17</v>
      </c>
      <c r="M2034" s="96" t="str">
        <f t="shared" si="74"/>
        <v>L17</v>
      </c>
      <c r="N2034" s="96" t="str">
        <f>VLOOKUP(M2034,CAC!$A$2:$B$198,2,FALSE)</f>
        <v>HMOLG</v>
      </c>
    </row>
    <row r="2035" spans="5:14" x14ac:dyDescent="0.25">
      <c r="E2035" s="136">
        <v>201612</v>
      </c>
      <c r="F2035" s="138" t="s">
        <v>563</v>
      </c>
      <c r="G2035" s="138" t="s">
        <v>354</v>
      </c>
      <c r="H2035" s="138" t="s">
        <v>360</v>
      </c>
      <c r="I2035" s="139">
        <v>0</v>
      </c>
      <c r="K2035" s="96" t="str">
        <f t="shared" si="73"/>
        <v>0003-1013-0048</v>
      </c>
      <c r="L2035" s="96" t="str">
        <f>VLOOKUP(K2035,COA!$A$3:$B$337,2,FALSE)</f>
        <v>N56</v>
      </c>
      <c r="M2035" s="96" t="str">
        <f t="shared" si="74"/>
        <v>N56</v>
      </c>
      <c r="N2035" s="96" t="str">
        <f>VLOOKUP(M2035,CAC!$A$2:$B$198,2,FALSE)</f>
        <v>HMFLEX</v>
      </c>
    </row>
    <row r="2036" spans="5:14" x14ac:dyDescent="0.25">
      <c r="E2036" s="136">
        <v>201606</v>
      </c>
      <c r="F2036" s="138" t="s">
        <v>345</v>
      </c>
      <c r="G2036" s="138" t="s">
        <v>361</v>
      </c>
      <c r="H2036" s="138" t="s">
        <v>344</v>
      </c>
      <c r="I2036" s="139">
        <v>4088.45</v>
      </c>
      <c r="K2036" s="96" t="str">
        <f t="shared" si="73"/>
        <v>0011-1003-0012</v>
      </c>
      <c r="L2036" s="96" t="str">
        <f>VLOOKUP(K2036,COA!$A$3:$B$337,2,FALSE)</f>
        <v>N16</v>
      </c>
      <c r="M2036" s="96" t="str">
        <f t="shared" si="74"/>
        <v>N16</v>
      </c>
      <c r="N2036" s="96" t="str">
        <f>VLOOKUP(M2036,CAC!$A$2:$B$198,2,FALSE)</f>
        <v>HMOPMR</v>
      </c>
    </row>
    <row r="2037" spans="5:14" x14ac:dyDescent="0.25">
      <c r="E2037" s="136">
        <v>201709</v>
      </c>
      <c r="F2037" s="138" t="s">
        <v>345</v>
      </c>
      <c r="G2037" s="138" t="s">
        <v>361</v>
      </c>
      <c r="H2037" s="138" t="s">
        <v>344</v>
      </c>
      <c r="I2037" s="139">
        <v>915</v>
      </c>
      <c r="K2037" s="96" t="str">
        <f t="shared" si="73"/>
        <v>0011-1003-0012</v>
      </c>
      <c r="L2037" s="96" t="str">
        <f>VLOOKUP(K2037,COA!$A$3:$B$337,2,FALSE)</f>
        <v>N16</v>
      </c>
      <c r="M2037" s="96" t="str">
        <f t="shared" si="74"/>
        <v>N16</v>
      </c>
      <c r="N2037" s="96" t="str">
        <f>VLOOKUP(M2037,CAC!$A$2:$B$198,2,FALSE)</f>
        <v>HMOPMR</v>
      </c>
    </row>
    <row r="2038" spans="5:14" x14ac:dyDescent="0.25">
      <c r="E2038" s="136">
        <v>201510</v>
      </c>
      <c r="F2038" s="138" t="s">
        <v>349</v>
      </c>
      <c r="G2038" s="138" t="s">
        <v>369</v>
      </c>
      <c r="H2038" s="138" t="s">
        <v>344</v>
      </c>
      <c r="I2038" s="139">
        <v>37140</v>
      </c>
      <c r="K2038" s="96" t="str">
        <f t="shared" si="73"/>
        <v>0017-1009-0012</v>
      </c>
      <c r="L2038" s="96" t="str">
        <f>VLOOKUP(K2038,COA!$A$3:$B$337,2,FALSE)</f>
        <v>R12</v>
      </c>
      <c r="M2038" s="96" t="str">
        <f t="shared" si="74"/>
        <v>R12</v>
      </c>
      <c r="N2038" s="96" t="str">
        <f>VLOOKUP(M2038,CAC!$A$2:$B$198,2,FALSE)</f>
        <v>HMOMM</v>
      </c>
    </row>
    <row r="2039" spans="5:14" x14ac:dyDescent="0.25">
      <c r="E2039" s="136">
        <v>201609</v>
      </c>
      <c r="F2039" s="138" t="s">
        <v>563</v>
      </c>
      <c r="G2039" s="138" t="s">
        <v>348</v>
      </c>
      <c r="H2039" s="138" t="s">
        <v>353</v>
      </c>
      <c r="I2039" s="139">
        <v>0</v>
      </c>
      <c r="K2039" s="96" t="str">
        <f t="shared" si="73"/>
        <v>0003-1010-0023</v>
      </c>
      <c r="L2039" s="96" t="str">
        <f>VLOOKUP(K2039,COA!$A$3:$B$337,2,FALSE)</f>
        <v>S54</v>
      </c>
      <c r="M2039" s="96" t="str">
        <f t="shared" si="74"/>
        <v>S54</v>
      </c>
      <c r="N2039" s="96" t="str">
        <f>VLOOKUP(M2039,CAC!$A$2:$B$198,2,FALSE)</f>
        <v>PPOSG</v>
      </c>
    </row>
    <row r="2040" spans="5:14" x14ac:dyDescent="0.25">
      <c r="E2040" s="136">
        <v>201801</v>
      </c>
      <c r="F2040" s="138" t="s">
        <v>563</v>
      </c>
      <c r="G2040" s="138" t="s">
        <v>354</v>
      </c>
      <c r="H2040" s="138" t="s">
        <v>344</v>
      </c>
      <c r="I2040" s="139">
        <v>0</v>
      </c>
      <c r="K2040" s="96" t="str">
        <f t="shared" si="73"/>
        <v>0003-1013-0012</v>
      </c>
      <c r="L2040" s="96" t="str">
        <f>VLOOKUP(K2040,COA!$A$3:$B$337,2,FALSE)</f>
        <v>N55</v>
      </c>
      <c r="M2040" s="96" t="str">
        <f t="shared" si="74"/>
        <v>N55</v>
      </c>
      <c r="N2040" s="96" t="str">
        <f>VLOOKUP(M2040,CAC!$A$2:$B$198,2,FALSE)</f>
        <v>PPOPMR</v>
      </c>
    </row>
    <row r="2041" spans="5:14" x14ac:dyDescent="0.25">
      <c r="E2041" s="136">
        <v>201611</v>
      </c>
      <c r="F2041" s="138" t="s">
        <v>345</v>
      </c>
      <c r="G2041" s="138" t="s">
        <v>350</v>
      </c>
      <c r="H2041" s="138" t="s">
        <v>357</v>
      </c>
      <c r="I2041" s="139">
        <v>1956</v>
      </c>
      <c r="K2041" s="96" t="str">
        <f t="shared" si="73"/>
        <v>0011-1012-0038</v>
      </c>
      <c r="L2041" s="96" t="str">
        <f>VLOOKUP(K2041,COA!$A$3:$B$337,2,FALSE)</f>
        <v>K14</v>
      </c>
      <c r="M2041" s="96" t="str">
        <f t="shared" si="74"/>
        <v>K14</v>
      </c>
      <c r="N2041" s="96" t="str">
        <f>VLOOKUP(M2041,CAC!$A$2:$B$198,2,FALSE)</f>
        <v>HMOPMR</v>
      </c>
    </row>
    <row r="2042" spans="5:14" x14ac:dyDescent="0.25">
      <c r="E2042" s="136">
        <v>201710</v>
      </c>
      <c r="F2042" s="138" t="s">
        <v>345</v>
      </c>
      <c r="G2042" s="138" t="s">
        <v>352</v>
      </c>
      <c r="H2042" s="138" t="s">
        <v>360</v>
      </c>
      <c r="I2042" s="139">
        <v>230</v>
      </c>
      <c r="K2042" s="96" t="str">
        <f t="shared" si="73"/>
        <v>0011-1004-0048</v>
      </c>
      <c r="L2042" s="96" t="str">
        <f>VLOOKUP(K2042,COA!$A$3:$B$337,2,FALSE)</f>
        <v>L21</v>
      </c>
      <c r="M2042" s="96" t="str">
        <f t="shared" si="74"/>
        <v>L21</v>
      </c>
      <c r="N2042" s="96" t="str">
        <f>VLOOKUP(M2042,CAC!$A$2:$B$198,2,FALSE)</f>
        <v>HMFLEX</v>
      </c>
    </row>
    <row r="2043" spans="5:14" x14ac:dyDescent="0.25">
      <c r="E2043" s="136">
        <v>201711</v>
      </c>
      <c r="F2043" s="138" t="s">
        <v>746</v>
      </c>
      <c r="G2043" s="138" t="s">
        <v>356</v>
      </c>
      <c r="H2043" s="138" t="s">
        <v>764</v>
      </c>
      <c r="I2043" s="139">
        <v>645</v>
      </c>
      <c r="K2043" s="96" t="str">
        <f t="shared" si="73"/>
        <v>0016-1002-0064</v>
      </c>
      <c r="L2043" s="96" t="str">
        <f>VLOOKUP(K2043,COA!$A$3:$B$337,2,FALSE)</f>
        <v>R25</v>
      </c>
      <c r="M2043" s="96" t="str">
        <f t="shared" si="74"/>
        <v>R25</v>
      </c>
      <c r="N2043" s="96" t="str">
        <f>VLOOKUP(M2043,CAC!$A$2:$B$198,2,FALSE)</f>
        <v>HMOMG</v>
      </c>
    </row>
    <row r="2044" spans="5:14" x14ac:dyDescent="0.25">
      <c r="E2044" s="136">
        <v>201711</v>
      </c>
      <c r="F2044" s="138" t="s">
        <v>746</v>
      </c>
      <c r="G2044" s="138" t="s">
        <v>350</v>
      </c>
      <c r="H2044" s="138" t="s">
        <v>764</v>
      </c>
      <c r="I2044" s="139">
        <v>22</v>
      </c>
      <c r="K2044" s="96" t="str">
        <f t="shared" si="73"/>
        <v>0016-1012-0064</v>
      </c>
      <c r="L2044" s="96" t="str">
        <f>VLOOKUP(K2044,COA!$A$3:$B$337,2,FALSE)</f>
        <v>R25</v>
      </c>
      <c r="M2044" s="96" t="str">
        <f t="shared" si="74"/>
        <v>R25</v>
      </c>
      <c r="N2044" s="96" t="str">
        <f>VLOOKUP(M2044,CAC!$A$2:$B$198,2,FALSE)</f>
        <v>HMOMG</v>
      </c>
    </row>
    <row r="2045" spans="5:14" x14ac:dyDescent="0.25">
      <c r="E2045" s="136">
        <v>201611</v>
      </c>
      <c r="F2045" s="138" t="s">
        <v>349</v>
      </c>
      <c r="G2045" s="138" t="s">
        <v>369</v>
      </c>
      <c r="H2045" s="138" t="s">
        <v>344</v>
      </c>
      <c r="I2045" s="139">
        <v>39987</v>
      </c>
      <c r="K2045" s="96" t="str">
        <f t="shared" si="73"/>
        <v>0017-1009-0012</v>
      </c>
      <c r="L2045" s="96" t="str">
        <f>VLOOKUP(K2045,COA!$A$3:$B$337,2,FALSE)</f>
        <v>R12</v>
      </c>
      <c r="M2045" s="96" t="str">
        <f t="shared" si="74"/>
        <v>R12</v>
      </c>
      <c r="N2045" s="96" t="str">
        <f>VLOOKUP(M2045,CAC!$A$2:$B$198,2,FALSE)</f>
        <v>HMOMM</v>
      </c>
    </row>
    <row r="2046" spans="5:14" x14ac:dyDescent="0.25">
      <c r="E2046" s="136">
        <v>201511</v>
      </c>
      <c r="F2046" s="138" t="s">
        <v>345</v>
      </c>
      <c r="G2046" s="138" t="s">
        <v>362</v>
      </c>
      <c r="H2046" s="138" t="s">
        <v>363</v>
      </c>
      <c r="I2046" s="139">
        <v>59480.55</v>
      </c>
      <c r="K2046" s="96" t="str">
        <f t="shared" si="73"/>
        <v>0011-1008-0054</v>
      </c>
      <c r="L2046" s="96" t="str">
        <f>VLOOKUP(K2046,COA!$A$3:$B$337,2,FALSE)</f>
        <v>P23</v>
      </c>
      <c r="M2046" s="96" t="str">
        <f t="shared" si="74"/>
        <v>P23</v>
      </c>
      <c r="N2046" s="96" t="str">
        <f>VLOOKUP(M2046,CAC!$A$2:$B$198,2,FALSE)</f>
        <v>HMOPERN</v>
      </c>
    </row>
    <row r="2047" spans="5:14" x14ac:dyDescent="0.25">
      <c r="E2047" s="136">
        <v>201601</v>
      </c>
      <c r="F2047" s="138" t="s">
        <v>506</v>
      </c>
      <c r="G2047" s="138" t="s">
        <v>352</v>
      </c>
      <c r="H2047" s="138" t="s">
        <v>592</v>
      </c>
      <c r="I2047" s="139">
        <v>0</v>
      </c>
      <c r="K2047" s="96" t="str">
        <f t="shared" si="73"/>
        <v>0013-1004-0035</v>
      </c>
      <c r="L2047" s="96" t="str">
        <f>VLOOKUP(K2047,COA!$A$3:$B$337,2,FALSE)</f>
        <v>L41</v>
      </c>
      <c r="M2047" s="96" t="str">
        <f t="shared" si="74"/>
        <v>L41</v>
      </c>
      <c r="N2047" s="96" t="e">
        <f>VLOOKUP(M2047,CAC!$A$2:$B$198,2,FALSE)</f>
        <v>#N/A</v>
      </c>
    </row>
    <row r="2048" spans="5:14" x14ac:dyDescent="0.25">
      <c r="E2048" s="136">
        <v>201608</v>
      </c>
      <c r="F2048" s="138" t="s">
        <v>563</v>
      </c>
      <c r="G2048" s="138" t="s">
        <v>350</v>
      </c>
      <c r="H2048" s="138" t="s">
        <v>626</v>
      </c>
      <c r="I2048" s="139">
        <v>0</v>
      </c>
      <c r="K2048" s="96" t="str">
        <f t="shared" si="73"/>
        <v>0003-1012-0057</v>
      </c>
      <c r="L2048" s="96" t="str">
        <f>VLOOKUP(K2048,COA!$A$3:$B$337,2,FALSE)</f>
        <v>K51</v>
      </c>
      <c r="M2048" s="96" t="str">
        <f t="shared" si="74"/>
        <v>K51</v>
      </c>
      <c r="N2048" s="96" t="str">
        <f>VLOOKUP(M2048,CAC!$A$2:$B$198,2,FALSE)</f>
        <v>PPOPMR</v>
      </c>
    </row>
    <row r="2049" spans="5:14" x14ac:dyDescent="0.25">
      <c r="E2049" s="136">
        <v>201604</v>
      </c>
      <c r="F2049" s="138" t="s">
        <v>563</v>
      </c>
      <c r="G2049" s="138" t="s">
        <v>348</v>
      </c>
      <c r="H2049" s="138" t="s">
        <v>349</v>
      </c>
      <c r="I2049" s="139">
        <v>0</v>
      </c>
      <c r="K2049" s="96" t="str">
        <f t="shared" si="73"/>
        <v>0003-1010-0017</v>
      </c>
      <c r="L2049" s="96" t="str">
        <f>VLOOKUP(K2049,COA!$A$3:$B$337,2,FALSE)</f>
        <v>S51</v>
      </c>
      <c r="M2049" s="96" t="str">
        <f t="shared" si="74"/>
        <v>S51</v>
      </c>
      <c r="N2049" s="96" t="str">
        <f>VLOOKUP(M2049,CAC!$A$2:$B$198,2,FALSE)</f>
        <v>PPOSG</v>
      </c>
    </row>
    <row r="2050" spans="5:14" x14ac:dyDescent="0.25">
      <c r="E2050" s="136">
        <v>201801</v>
      </c>
      <c r="F2050" s="138" t="s">
        <v>344</v>
      </c>
      <c r="G2050" s="138" t="s">
        <v>356</v>
      </c>
      <c r="H2050" s="138" t="s">
        <v>344</v>
      </c>
      <c r="I2050" s="139">
        <v>4257.13</v>
      </c>
      <c r="K2050" s="96" t="str">
        <f t="shared" si="73"/>
        <v>0012-1002-0012</v>
      </c>
      <c r="L2050" s="96" t="str">
        <f>VLOOKUP(K2050,COA!$A$3:$B$337,2,FALSE)</f>
        <v>F22</v>
      </c>
      <c r="M2050" s="96" t="str">
        <f t="shared" si="74"/>
        <v>F22</v>
      </c>
      <c r="N2050" s="96" t="str">
        <f>VLOOKUP(M2050,CAC!$A$2:$B$198,2,FALSE)</f>
        <v>HMOPMR</v>
      </c>
    </row>
    <row r="2051" spans="5:14" x14ac:dyDescent="0.25">
      <c r="E2051" s="136">
        <v>201606</v>
      </c>
      <c r="F2051" s="138" t="s">
        <v>345</v>
      </c>
      <c r="G2051" s="138" t="s">
        <v>362</v>
      </c>
      <c r="H2051" s="138" t="s">
        <v>364</v>
      </c>
      <c r="I2051" s="139">
        <v>37791.360000000001</v>
      </c>
      <c r="K2051" s="96" t="str">
        <f t="shared" ref="K2051:K2114" si="75">F2051&amp;"-"&amp;G2051&amp;"-"&amp;H2051</f>
        <v>0011-1008-0037</v>
      </c>
      <c r="L2051" s="96" t="str">
        <f>VLOOKUP(K2051,COA!$A$3:$B$337,2,FALSE)</f>
        <v>P12</v>
      </c>
      <c r="M2051" s="96" t="str">
        <f t="shared" si="74"/>
        <v>P12</v>
      </c>
      <c r="N2051" s="96" t="str">
        <f>VLOOKUP(M2051,CAC!$A$2:$B$198,2,FALSE)</f>
        <v>HMOPERA</v>
      </c>
    </row>
    <row r="2052" spans="5:14" x14ac:dyDescent="0.25">
      <c r="E2052" s="136">
        <v>201602</v>
      </c>
      <c r="F2052" s="138" t="s">
        <v>405</v>
      </c>
      <c r="G2052" s="138" t="s">
        <v>362</v>
      </c>
      <c r="H2052" s="138" t="s">
        <v>342</v>
      </c>
      <c r="I2052" s="139">
        <v>0</v>
      </c>
      <c r="K2052" s="96" t="str">
        <f t="shared" si="75"/>
        <v>0019-1008-0031</v>
      </c>
      <c r="L2052" s="96" t="str">
        <f>VLOOKUP(K2052,COA!$A$3:$B$337,2,FALSE)</f>
        <v>P53</v>
      </c>
      <c r="M2052" s="96" t="str">
        <f t="shared" ref="M2052:M2115" si="76">IF(ISNA(L2052),"XXX",L2052)</f>
        <v>P53</v>
      </c>
      <c r="N2052" s="96" t="str">
        <f>VLOOKUP(M2052,CAC!$A$2:$B$198,2,FALSE)</f>
        <v>HMOPERA</v>
      </c>
    </row>
    <row r="2053" spans="5:14" x14ac:dyDescent="0.25">
      <c r="E2053" s="136">
        <v>201701</v>
      </c>
      <c r="F2053" s="138" t="s">
        <v>345</v>
      </c>
      <c r="G2053" s="138" t="s">
        <v>361</v>
      </c>
      <c r="H2053" s="138" t="s">
        <v>344</v>
      </c>
      <c r="I2053" s="139">
        <v>939.88</v>
      </c>
      <c r="K2053" s="96" t="str">
        <f t="shared" si="75"/>
        <v>0011-1003-0012</v>
      </c>
      <c r="L2053" s="96" t="str">
        <f>VLOOKUP(K2053,COA!$A$3:$B$337,2,FALSE)</f>
        <v>N16</v>
      </c>
      <c r="M2053" s="96" t="str">
        <f t="shared" si="76"/>
        <v>N16</v>
      </c>
      <c r="N2053" s="96" t="str">
        <f>VLOOKUP(M2053,CAC!$A$2:$B$198,2,FALSE)</f>
        <v>HMOPMR</v>
      </c>
    </row>
    <row r="2054" spans="5:14" x14ac:dyDescent="0.25">
      <c r="E2054" s="136">
        <v>201610</v>
      </c>
      <c r="F2054" s="138" t="s">
        <v>549</v>
      </c>
      <c r="G2054" s="138" t="s">
        <v>352</v>
      </c>
      <c r="H2054" s="138" t="s">
        <v>672</v>
      </c>
      <c r="I2054" s="139">
        <v>0</v>
      </c>
      <c r="K2054" s="96" t="str">
        <f t="shared" si="75"/>
        <v>0026-1004-0058</v>
      </c>
      <c r="L2054" s="96" t="str">
        <f>VLOOKUP(K2054,COA!$A$3:$B$337,2,FALSE)</f>
        <v>L44</v>
      </c>
      <c r="M2054" s="96" t="str">
        <f t="shared" si="76"/>
        <v>L44</v>
      </c>
      <c r="N2054" s="96" t="e">
        <f>VLOOKUP(M2054,CAC!$A$2:$B$198,2,FALSE)</f>
        <v>#N/A</v>
      </c>
    </row>
    <row r="2055" spans="5:14" x14ac:dyDescent="0.25">
      <c r="E2055" s="136">
        <v>201602</v>
      </c>
      <c r="F2055" s="138" t="s">
        <v>345</v>
      </c>
      <c r="G2055" s="138" t="s">
        <v>350</v>
      </c>
      <c r="H2055" s="138" t="s">
        <v>357</v>
      </c>
      <c r="I2055" s="139">
        <v>693.07</v>
      </c>
      <c r="K2055" s="96" t="str">
        <f t="shared" si="75"/>
        <v>0011-1012-0038</v>
      </c>
      <c r="L2055" s="96" t="str">
        <f>VLOOKUP(K2055,COA!$A$3:$B$337,2,FALSE)</f>
        <v>K14</v>
      </c>
      <c r="M2055" s="96" t="str">
        <f t="shared" si="76"/>
        <v>K14</v>
      </c>
      <c r="N2055" s="96" t="str">
        <f>VLOOKUP(M2055,CAC!$A$2:$B$198,2,FALSE)</f>
        <v>HMOPMR</v>
      </c>
    </row>
    <row r="2056" spans="5:14" x14ac:dyDescent="0.25">
      <c r="E2056" s="136">
        <v>201707</v>
      </c>
      <c r="F2056" s="138" t="s">
        <v>563</v>
      </c>
      <c r="G2056" s="138" t="s">
        <v>352</v>
      </c>
      <c r="H2056" s="138" t="s">
        <v>626</v>
      </c>
      <c r="I2056" s="139">
        <v>0</v>
      </c>
      <c r="K2056" s="96" t="str">
        <f t="shared" si="75"/>
        <v>0003-1004-0057</v>
      </c>
      <c r="L2056" s="96" t="e">
        <f>VLOOKUP(K2056,COA!$A$3:$B$337,2,FALSE)</f>
        <v>#N/A</v>
      </c>
      <c r="M2056" s="96" t="str">
        <f t="shared" si="76"/>
        <v>XXX</v>
      </c>
      <c r="N2056" s="96" t="str">
        <f>VLOOKUP(M2056,CAC!$A$2:$B$198,2,FALSE)</f>
        <v>XXX</v>
      </c>
    </row>
    <row r="2057" spans="5:14" x14ac:dyDescent="0.25">
      <c r="E2057" s="136">
        <v>201711</v>
      </c>
      <c r="F2057" s="138" t="s">
        <v>563</v>
      </c>
      <c r="G2057" s="138" t="s">
        <v>365</v>
      </c>
      <c r="H2057" s="138" t="s">
        <v>798</v>
      </c>
      <c r="I2057" s="139">
        <v>0</v>
      </c>
      <c r="K2057" s="96" t="str">
        <f t="shared" si="75"/>
        <v>0003-1001-0065</v>
      </c>
      <c r="L2057" s="96" t="str">
        <f>VLOOKUP(K2057,COA!$A$3:$B$337,2,FALSE)</f>
        <v>V55</v>
      </c>
      <c r="M2057" s="96" t="str">
        <f t="shared" si="76"/>
        <v>V55</v>
      </c>
      <c r="N2057" s="96" t="e">
        <f>VLOOKUP(M2057,CAC!$A$2:$B$198,2,FALSE)</f>
        <v>#N/A</v>
      </c>
    </row>
    <row r="2058" spans="5:14" x14ac:dyDescent="0.25">
      <c r="E2058" s="136">
        <v>201712</v>
      </c>
      <c r="F2058" s="138" t="s">
        <v>563</v>
      </c>
      <c r="G2058" s="138" t="s">
        <v>359</v>
      </c>
      <c r="H2058" s="138" t="s">
        <v>344</v>
      </c>
      <c r="I2058" s="139">
        <v>0</v>
      </c>
      <c r="K2058" s="96" t="str">
        <f t="shared" si="75"/>
        <v>0003-1005-0012</v>
      </c>
      <c r="L2058" s="96" t="str">
        <f>VLOOKUP(K2058,COA!$A$3:$B$337,2,FALSE)</f>
        <v>N51</v>
      </c>
      <c r="M2058" s="96" t="str">
        <f t="shared" si="76"/>
        <v>N51</v>
      </c>
      <c r="N2058" s="96" t="str">
        <f>VLOOKUP(M2058,CAC!$A$2:$B$198,2,FALSE)</f>
        <v>PPOLG</v>
      </c>
    </row>
    <row r="2059" spans="5:14" x14ac:dyDescent="0.25">
      <c r="E2059" s="136">
        <v>201503</v>
      </c>
      <c r="F2059" s="138" t="s">
        <v>345</v>
      </c>
      <c r="G2059" s="138" t="s">
        <v>348</v>
      </c>
      <c r="H2059" s="138" t="s">
        <v>349</v>
      </c>
      <c r="I2059" s="139">
        <v>17693.259999999998</v>
      </c>
      <c r="K2059" s="96" t="str">
        <f t="shared" si="75"/>
        <v>0011-1010-0017</v>
      </c>
      <c r="L2059" s="96" t="str">
        <f>VLOOKUP(K2059,COA!$A$3:$B$337,2,FALSE)</f>
        <v>S11</v>
      </c>
      <c r="M2059" s="96" t="str">
        <f t="shared" si="76"/>
        <v>S11</v>
      </c>
      <c r="N2059" s="96" t="str">
        <f>VLOOKUP(M2059,CAC!$A$2:$B$198,2,FALSE)</f>
        <v>HMOSG</v>
      </c>
    </row>
    <row r="2060" spans="5:14" x14ac:dyDescent="0.25">
      <c r="E2060" s="136">
        <v>201701</v>
      </c>
      <c r="F2060" s="138" t="s">
        <v>345</v>
      </c>
      <c r="G2060" s="138" t="s">
        <v>354</v>
      </c>
      <c r="H2060" s="138" t="s">
        <v>360</v>
      </c>
      <c r="I2060" s="139">
        <v>5027</v>
      </c>
      <c r="K2060" s="96" t="str">
        <f t="shared" si="75"/>
        <v>0011-1013-0048</v>
      </c>
      <c r="L2060" s="96" t="str">
        <f>VLOOKUP(K2060,COA!$A$3:$B$337,2,FALSE)</f>
        <v>N21</v>
      </c>
      <c r="M2060" s="96" t="str">
        <f t="shared" si="76"/>
        <v>N21</v>
      </c>
      <c r="N2060" s="96" t="str">
        <f>VLOOKUP(M2060,CAC!$A$2:$B$198,2,FALSE)</f>
        <v>HMFLEX</v>
      </c>
    </row>
    <row r="2061" spans="5:14" x14ac:dyDescent="0.25">
      <c r="E2061" s="136">
        <v>201606</v>
      </c>
      <c r="F2061" s="138" t="s">
        <v>344</v>
      </c>
      <c r="G2061" s="138" t="s">
        <v>359</v>
      </c>
      <c r="H2061" s="138" t="s">
        <v>344</v>
      </c>
      <c r="I2061" s="139">
        <v>138</v>
      </c>
      <c r="K2061" s="96" t="str">
        <f t="shared" si="75"/>
        <v>0012-1005-0012</v>
      </c>
      <c r="L2061" s="96" t="str">
        <f>VLOOKUP(K2061,COA!$A$3:$B$337,2,FALSE)</f>
        <v>N13</v>
      </c>
      <c r="M2061" s="96" t="str">
        <f t="shared" si="76"/>
        <v>N13</v>
      </c>
      <c r="N2061" s="96" t="str">
        <f>VLOOKUP(M2061,CAC!$A$2:$B$198,2,FALSE)</f>
        <v>HMOLG</v>
      </c>
    </row>
    <row r="2062" spans="5:14" x14ac:dyDescent="0.25">
      <c r="E2062" s="136">
        <v>201507</v>
      </c>
      <c r="F2062" s="138" t="s">
        <v>563</v>
      </c>
      <c r="G2062" s="138" t="s">
        <v>352</v>
      </c>
      <c r="H2062" s="138" t="s">
        <v>344</v>
      </c>
      <c r="I2062" s="139">
        <v>0</v>
      </c>
      <c r="K2062" s="96" t="str">
        <f t="shared" si="75"/>
        <v>0003-1004-0012</v>
      </c>
      <c r="L2062" s="96" t="str">
        <f>VLOOKUP(K2062,COA!$A$3:$B$337,2,FALSE)</f>
        <v>L51</v>
      </c>
      <c r="M2062" s="96" t="str">
        <f t="shared" si="76"/>
        <v>L51</v>
      </c>
      <c r="N2062" s="96" t="str">
        <f>VLOOKUP(M2062,CAC!$A$2:$B$198,2,FALSE)</f>
        <v>PPOLG</v>
      </c>
    </row>
    <row r="2063" spans="5:14" x14ac:dyDescent="0.25">
      <c r="E2063" s="136">
        <v>201712</v>
      </c>
      <c r="F2063" s="138" t="s">
        <v>563</v>
      </c>
      <c r="G2063" s="138" t="s">
        <v>365</v>
      </c>
      <c r="H2063" s="138" t="s">
        <v>344</v>
      </c>
      <c r="I2063" s="139">
        <v>0</v>
      </c>
      <c r="K2063" s="96" t="str">
        <f t="shared" si="75"/>
        <v>0003-1001-0012</v>
      </c>
      <c r="L2063" s="96" t="str">
        <f>VLOOKUP(K2063,COA!$A$3:$B$337,2,FALSE)</f>
        <v>V51</v>
      </c>
      <c r="M2063" s="96" t="str">
        <f t="shared" si="76"/>
        <v>V51</v>
      </c>
      <c r="N2063" s="96" t="str">
        <f>VLOOKUP(M2063,CAC!$A$2:$B$198,2,FALSE)</f>
        <v>PPOIFP</v>
      </c>
    </row>
    <row r="2064" spans="5:14" x14ac:dyDescent="0.25">
      <c r="E2064" s="136">
        <v>201711</v>
      </c>
      <c r="F2064" s="138" t="s">
        <v>345</v>
      </c>
      <c r="G2064" s="138" t="s">
        <v>365</v>
      </c>
      <c r="H2064" s="138" t="s">
        <v>367</v>
      </c>
      <c r="I2064" s="139">
        <v>833.94</v>
      </c>
      <c r="K2064" s="96" t="str">
        <f t="shared" si="75"/>
        <v>0011-1001-0022</v>
      </c>
      <c r="L2064" s="96" t="str">
        <f>VLOOKUP(K2064,COA!$A$3:$B$337,2,FALSE)</f>
        <v>V14</v>
      </c>
      <c r="M2064" s="96" t="str">
        <f t="shared" si="76"/>
        <v>V14</v>
      </c>
      <c r="N2064" s="96" t="str">
        <f>VLOOKUP(M2064,CAC!$A$2:$B$198,2,FALSE)</f>
        <v>HMOIFP</v>
      </c>
    </row>
    <row r="2065" spans="5:14" x14ac:dyDescent="0.25">
      <c r="E2065" s="136">
        <v>201612</v>
      </c>
      <c r="F2065" s="138" t="s">
        <v>413</v>
      </c>
      <c r="G2065" s="138" t="s">
        <v>365</v>
      </c>
      <c r="H2065" s="138" t="s">
        <v>344</v>
      </c>
      <c r="I2065" s="139">
        <v>0</v>
      </c>
      <c r="K2065" s="96" t="str">
        <f t="shared" si="75"/>
        <v>0008-1001-0012</v>
      </c>
      <c r="L2065" s="96" t="str">
        <f>VLOOKUP(K2065,COA!$A$3:$B$337,2,FALSE)</f>
        <v>C95</v>
      </c>
      <c r="M2065" s="96" t="str">
        <f t="shared" si="76"/>
        <v>C95</v>
      </c>
      <c r="N2065" s="96" t="str">
        <f>VLOOKUP(M2065,CAC!$A$2:$B$198,2,FALSE)</f>
        <v>DOIIFP</v>
      </c>
    </row>
    <row r="2066" spans="5:14" x14ac:dyDescent="0.25">
      <c r="E2066" s="136">
        <v>201606</v>
      </c>
      <c r="F2066" s="138" t="s">
        <v>344</v>
      </c>
      <c r="G2066" s="138" t="s">
        <v>350</v>
      </c>
      <c r="H2066" s="138" t="s">
        <v>344</v>
      </c>
      <c r="I2066" s="139">
        <v>107</v>
      </c>
      <c r="K2066" s="96" t="str">
        <f t="shared" si="75"/>
        <v>0012-1012-0012</v>
      </c>
      <c r="L2066" s="96" t="str">
        <f>VLOOKUP(K2066,COA!$A$3:$B$337,2,FALSE)</f>
        <v>K12</v>
      </c>
      <c r="M2066" s="96" t="str">
        <f t="shared" si="76"/>
        <v>K12</v>
      </c>
      <c r="N2066" s="96" t="str">
        <f>VLOOKUP(M2066,CAC!$A$2:$B$198,2,FALSE)</f>
        <v>HMOPMR</v>
      </c>
    </row>
    <row r="2067" spans="5:14" x14ac:dyDescent="0.25">
      <c r="E2067" s="136">
        <v>201612</v>
      </c>
      <c r="F2067" s="138" t="s">
        <v>563</v>
      </c>
      <c r="G2067" s="138" t="s">
        <v>365</v>
      </c>
      <c r="H2067" s="138" t="s">
        <v>367</v>
      </c>
      <c r="I2067" s="139">
        <v>0</v>
      </c>
      <c r="K2067" s="96" t="str">
        <f t="shared" si="75"/>
        <v>0003-1001-0022</v>
      </c>
      <c r="L2067" s="96" t="str">
        <f>VLOOKUP(K2067,COA!$A$3:$B$337,2,FALSE)</f>
        <v>V54</v>
      </c>
      <c r="M2067" s="96" t="str">
        <f t="shared" si="76"/>
        <v>V54</v>
      </c>
      <c r="N2067" s="96" t="str">
        <f>VLOOKUP(M2067,CAC!$A$2:$B$198,2,FALSE)</f>
        <v>PPOIFP</v>
      </c>
    </row>
    <row r="2068" spans="5:14" x14ac:dyDescent="0.25">
      <c r="E2068" s="136">
        <v>201611</v>
      </c>
      <c r="F2068" s="138" t="s">
        <v>563</v>
      </c>
      <c r="G2068" s="138" t="s">
        <v>354</v>
      </c>
      <c r="H2068" s="138" t="s">
        <v>360</v>
      </c>
      <c r="I2068" s="139">
        <v>0</v>
      </c>
      <c r="K2068" s="96" t="str">
        <f t="shared" si="75"/>
        <v>0003-1013-0048</v>
      </c>
      <c r="L2068" s="96" t="str">
        <f>VLOOKUP(K2068,COA!$A$3:$B$337,2,FALSE)</f>
        <v>N56</v>
      </c>
      <c r="M2068" s="96" t="str">
        <f t="shared" si="76"/>
        <v>N56</v>
      </c>
      <c r="N2068" s="96" t="str">
        <f>VLOOKUP(M2068,CAC!$A$2:$B$198,2,FALSE)</f>
        <v>HMFLEX</v>
      </c>
    </row>
    <row r="2069" spans="5:14" x14ac:dyDescent="0.25">
      <c r="E2069" s="136">
        <v>201711</v>
      </c>
      <c r="F2069" s="138" t="s">
        <v>342</v>
      </c>
      <c r="G2069" s="138" t="s">
        <v>343</v>
      </c>
      <c r="H2069" s="138" t="s">
        <v>344</v>
      </c>
      <c r="I2069" s="139">
        <v>5607.92</v>
      </c>
      <c r="K2069" s="96" t="str">
        <f t="shared" si="75"/>
        <v>0031-1000-0012</v>
      </c>
      <c r="L2069" s="96" t="str">
        <f>VLOOKUP(K2069,COA!$A$3:$B$337,2,FALSE)</f>
        <v>F27</v>
      </c>
      <c r="M2069" s="96" t="str">
        <f t="shared" si="76"/>
        <v>F27</v>
      </c>
      <c r="N2069" s="96" t="str">
        <f>VLOOKUP(M2069,CAC!$A$2:$B$198,2,FALSE)</f>
        <v>HMOFEP</v>
      </c>
    </row>
    <row r="2070" spans="5:14" x14ac:dyDescent="0.25">
      <c r="E2070" s="136">
        <v>201801</v>
      </c>
      <c r="F2070" s="138" t="s">
        <v>413</v>
      </c>
      <c r="G2070" s="138" t="s">
        <v>352</v>
      </c>
      <c r="H2070" s="138" t="s">
        <v>344</v>
      </c>
      <c r="I2070" s="139">
        <v>0</v>
      </c>
      <c r="K2070" s="96" t="str">
        <f t="shared" si="75"/>
        <v>0008-1004-0012</v>
      </c>
      <c r="L2070" s="96" t="str">
        <f>VLOOKUP(K2070,COA!$A$3:$B$337,2,FALSE)</f>
        <v>C93</v>
      </c>
      <c r="M2070" s="96" t="str">
        <f t="shared" si="76"/>
        <v>C93</v>
      </c>
      <c r="N2070" s="96" t="str">
        <f>VLOOKUP(M2070,CAC!$A$2:$B$198,2,FALSE)</f>
        <v>DOILG</v>
      </c>
    </row>
    <row r="2071" spans="5:14" x14ac:dyDescent="0.25">
      <c r="E2071" s="136">
        <v>201605</v>
      </c>
      <c r="F2071" s="138" t="s">
        <v>345</v>
      </c>
      <c r="G2071" s="138" t="s">
        <v>352</v>
      </c>
      <c r="H2071" s="138" t="s">
        <v>653</v>
      </c>
      <c r="I2071" s="139">
        <v>0</v>
      </c>
      <c r="K2071" s="96" t="str">
        <f t="shared" si="75"/>
        <v>0011-1004-0047</v>
      </c>
      <c r="L2071" s="96" t="str">
        <f>VLOOKUP(K2071,COA!$A$3:$B$337,2,FALSE)</f>
        <v>L17</v>
      </c>
      <c r="M2071" s="96" t="str">
        <f t="shared" si="76"/>
        <v>L17</v>
      </c>
      <c r="N2071" s="96" t="str">
        <f>VLOOKUP(M2071,CAC!$A$2:$B$198,2,FALSE)</f>
        <v>HMOLG</v>
      </c>
    </row>
    <row r="2072" spans="5:14" x14ac:dyDescent="0.25">
      <c r="E2072" s="136">
        <v>201605</v>
      </c>
      <c r="F2072" s="138" t="s">
        <v>563</v>
      </c>
      <c r="G2072" s="138" t="s">
        <v>365</v>
      </c>
      <c r="H2072" s="138" t="s">
        <v>367</v>
      </c>
      <c r="I2072" s="139">
        <v>0</v>
      </c>
      <c r="K2072" s="96" t="str">
        <f t="shared" si="75"/>
        <v>0003-1001-0022</v>
      </c>
      <c r="L2072" s="96" t="str">
        <f>VLOOKUP(K2072,COA!$A$3:$B$337,2,FALSE)</f>
        <v>V54</v>
      </c>
      <c r="M2072" s="96" t="str">
        <f t="shared" si="76"/>
        <v>V54</v>
      </c>
      <c r="N2072" s="96" t="str">
        <f>VLOOKUP(M2072,CAC!$A$2:$B$198,2,FALSE)</f>
        <v>PPOIFP</v>
      </c>
    </row>
    <row r="2073" spans="5:14" x14ac:dyDescent="0.25">
      <c r="E2073" s="136">
        <v>201608</v>
      </c>
      <c r="F2073" s="138" t="s">
        <v>345</v>
      </c>
      <c r="G2073" s="138" t="s">
        <v>348</v>
      </c>
      <c r="H2073" s="138" t="s">
        <v>349</v>
      </c>
      <c r="I2073" s="139">
        <v>21835.91</v>
      </c>
      <c r="K2073" s="96" t="str">
        <f t="shared" si="75"/>
        <v>0011-1010-0017</v>
      </c>
      <c r="L2073" s="96" t="str">
        <f>VLOOKUP(K2073,COA!$A$3:$B$337,2,FALSE)</f>
        <v>S11</v>
      </c>
      <c r="M2073" s="96" t="str">
        <f t="shared" si="76"/>
        <v>S11</v>
      </c>
      <c r="N2073" s="96" t="str">
        <f>VLOOKUP(M2073,CAC!$A$2:$B$198,2,FALSE)</f>
        <v>HMOSG</v>
      </c>
    </row>
    <row r="2074" spans="5:14" x14ac:dyDescent="0.25">
      <c r="E2074" s="136">
        <v>201511</v>
      </c>
      <c r="F2074" s="138" t="s">
        <v>563</v>
      </c>
      <c r="G2074" s="138" t="s">
        <v>365</v>
      </c>
      <c r="H2074" s="138" t="s">
        <v>344</v>
      </c>
      <c r="I2074" s="139">
        <v>0</v>
      </c>
      <c r="K2074" s="96" t="str">
        <f t="shared" si="75"/>
        <v>0003-1001-0012</v>
      </c>
      <c r="L2074" s="96" t="str">
        <f>VLOOKUP(K2074,COA!$A$3:$B$337,2,FALSE)</f>
        <v>V51</v>
      </c>
      <c r="M2074" s="96" t="str">
        <f t="shared" si="76"/>
        <v>V51</v>
      </c>
      <c r="N2074" s="96" t="str">
        <f>VLOOKUP(M2074,CAC!$A$2:$B$198,2,FALSE)</f>
        <v>PPOIFP</v>
      </c>
    </row>
    <row r="2075" spans="5:14" x14ac:dyDescent="0.25">
      <c r="E2075" s="136">
        <v>201705</v>
      </c>
      <c r="F2075" s="138" t="s">
        <v>345</v>
      </c>
      <c r="G2075" s="138" t="s">
        <v>354</v>
      </c>
      <c r="H2075" s="138" t="s">
        <v>344</v>
      </c>
      <c r="I2075" s="139">
        <v>5509.81</v>
      </c>
      <c r="K2075" s="96" t="str">
        <f t="shared" si="75"/>
        <v>0011-1013-0012</v>
      </c>
      <c r="L2075" s="96" t="str">
        <f>VLOOKUP(K2075,COA!$A$3:$B$337,2,FALSE)</f>
        <v>N20</v>
      </c>
      <c r="M2075" s="96" t="str">
        <f t="shared" si="76"/>
        <v>N20</v>
      </c>
      <c r="N2075" s="96" t="str">
        <f>VLOOKUP(M2075,CAC!$A$2:$B$198,2,FALSE)</f>
        <v>HMOPMR</v>
      </c>
    </row>
    <row r="2076" spans="5:14" x14ac:dyDescent="0.25">
      <c r="E2076" s="136">
        <v>201701</v>
      </c>
      <c r="F2076" s="138" t="s">
        <v>506</v>
      </c>
      <c r="G2076" s="138" t="s">
        <v>350</v>
      </c>
      <c r="H2076" s="138" t="s">
        <v>592</v>
      </c>
      <c r="I2076" s="139">
        <v>0</v>
      </c>
      <c r="K2076" s="96" t="str">
        <f t="shared" si="75"/>
        <v>0013-1012-0035</v>
      </c>
      <c r="L2076" s="96" t="str">
        <f>VLOOKUP(K2076,COA!$A$3:$B$337,2,FALSE)</f>
        <v>K41</v>
      </c>
      <c r="M2076" s="96" t="str">
        <f t="shared" si="76"/>
        <v>K41</v>
      </c>
      <c r="N2076" s="96" t="e">
        <f>VLOOKUP(M2076,CAC!$A$2:$B$198,2,FALSE)</f>
        <v>#N/A</v>
      </c>
    </row>
    <row r="2077" spans="5:14" x14ac:dyDescent="0.25">
      <c r="E2077" s="136">
        <v>201607</v>
      </c>
      <c r="F2077" s="138" t="s">
        <v>746</v>
      </c>
      <c r="G2077" s="138" t="s">
        <v>356</v>
      </c>
      <c r="H2077" s="138" t="s">
        <v>344</v>
      </c>
      <c r="I2077" s="139">
        <v>134</v>
      </c>
      <c r="K2077" s="96" t="str">
        <f t="shared" si="75"/>
        <v>0016-1002-0012</v>
      </c>
      <c r="L2077" s="96" t="str">
        <f>VLOOKUP(K2077,COA!$A$3:$B$337,2,FALSE)</f>
        <v>R18</v>
      </c>
      <c r="M2077" s="96" t="str">
        <f t="shared" si="76"/>
        <v>R18</v>
      </c>
      <c r="N2077" s="96" t="str">
        <f>VLOOKUP(M2077,CAC!$A$2:$B$198,2,FALSE)</f>
        <v>HMOMG</v>
      </c>
    </row>
    <row r="2078" spans="5:14" x14ac:dyDescent="0.25">
      <c r="E2078" s="136">
        <v>201611</v>
      </c>
      <c r="F2078" s="138" t="s">
        <v>344</v>
      </c>
      <c r="G2078" s="138" t="s">
        <v>355</v>
      </c>
      <c r="H2078" s="138" t="s">
        <v>344</v>
      </c>
      <c r="I2078" s="139">
        <v>81</v>
      </c>
      <c r="K2078" s="96" t="str">
        <f t="shared" si="75"/>
        <v>0012-1006-0012</v>
      </c>
      <c r="L2078" s="96" t="str">
        <f>VLOOKUP(K2078,COA!$A$3:$B$337,2,FALSE)</f>
        <v>L16</v>
      </c>
      <c r="M2078" s="96" t="str">
        <f t="shared" si="76"/>
        <v>L16</v>
      </c>
      <c r="N2078" s="96" t="str">
        <f>VLOOKUP(M2078,CAC!$A$2:$B$198,2,FALSE)</f>
        <v>HMOLG</v>
      </c>
    </row>
    <row r="2079" spans="5:14" x14ac:dyDescent="0.25">
      <c r="E2079" s="136">
        <v>201701</v>
      </c>
      <c r="F2079" s="138" t="s">
        <v>345</v>
      </c>
      <c r="G2079" s="138" t="s">
        <v>355</v>
      </c>
      <c r="H2079" s="138" t="s">
        <v>344</v>
      </c>
      <c r="I2079" s="139">
        <v>15741.15</v>
      </c>
      <c r="K2079" s="96" t="str">
        <f t="shared" si="75"/>
        <v>0011-1006-0012</v>
      </c>
      <c r="L2079" s="96" t="str">
        <f>VLOOKUP(K2079,COA!$A$3:$B$337,2,FALSE)</f>
        <v>L13</v>
      </c>
      <c r="M2079" s="96" t="str">
        <f t="shared" si="76"/>
        <v>L13</v>
      </c>
      <c r="N2079" s="96" t="str">
        <f>VLOOKUP(M2079,CAC!$A$2:$B$198,2,FALSE)</f>
        <v>HMOLG</v>
      </c>
    </row>
    <row r="2080" spans="5:14" x14ac:dyDescent="0.25">
      <c r="E2080" s="136">
        <v>201608</v>
      </c>
      <c r="F2080" s="138" t="s">
        <v>345</v>
      </c>
      <c r="G2080" s="138" t="s">
        <v>350</v>
      </c>
      <c r="H2080" s="138" t="s">
        <v>344</v>
      </c>
      <c r="I2080" s="139">
        <v>14617.54</v>
      </c>
      <c r="K2080" s="96" t="str">
        <f t="shared" si="75"/>
        <v>0011-1012-0012</v>
      </c>
      <c r="L2080" s="96" t="str">
        <f>VLOOKUP(K2080,COA!$A$3:$B$337,2,FALSE)</f>
        <v>K11</v>
      </c>
      <c r="M2080" s="96" t="str">
        <f t="shared" si="76"/>
        <v>K11</v>
      </c>
      <c r="N2080" s="96" t="str">
        <f>VLOOKUP(M2080,CAC!$A$2:$B$198,2,FALSE)</f>
        <v>HMOPMR</v>
      </c>
    </row>
    <row r="2081" spans="5:14" x14ac:dyDescent="0.25">
      <c r="E2081" s="136">
        <v>201609</v>
      </c>
      <c r="F2081" s="138" t="s">
        <v>563</v>
      </c>
      <c r="G2081" s="138" t="s">
        <v>354</v>
      </c>
      <c r="H2081" s="138" t="s">
        <v>360</v>
      </c>
      <c r="I2081" s="139">
        <v>0</v>
      </c>
      <c r="K2081" s="96" t="str">
        <f t="shared" si="75"/>
        <v>0003-1013-0048</v>
      </c>
      <c r="L2081" s="96" t="str">
        <f>VLOOKUP(K2081,COA!$A$3:$B$337,2,FALSE)</f>
        <v>N56</v>
      </c>
      <c r="M2081" s="96" t="str">
        <f t="shared" si="76"/>
        <v>N56</v>
      </c>
      <c r="N2081" s="96" t="str">
        <f>VLOOKUP(M2081,CAC!$A$2:$B$198,2,FALSE)</f>
        <v>HMFLEX</v>
      </c>
    </row>
    <row r="2082" spans="5:14" x14ac:dyDescent="0.25">
      <c r="E2082" s="136">
        <v>201708</v>
      </c>
      <c r="F2082" s="138" t="s">
        <v>563</v>
      </c>
      <c r="G2082" s="138" t="s">
        <v>350</v>
      </c>
      <c r="H2082" s="138" t="s">
        <v>344</v>
      </c>
      <c r="I2082" s="139">
        <v>0</v>
      </c>
      <c r="K2082" s="96" t="str">
        <f t="shared" si="75"/>
        <v>0003-1012-0012</v>
      </c>
      <c r="L2082" s="96" t="str">
        <f>VLOOKUP(K2082,COA!$A$3:$B$337,2,FALSE)</f>
        <v>K51</v>
      </c>
      <c r="M2082" s="96" t="str">
        <f t="shared" si="76"/>
        <v>K51</v>
      </c>
      <c r="N2082" s="96" t="str">
        <f>VLOOKUP(M2082,CAC!$A$2:$B$198,2,FALSE)</f>
        <v>PPOPMR</v>
      </c>
    </row>
    <row r="2083" spans="5:14" x14ac:dyDescent="0.25">
      <c r="E2083" s="136">
        <v>201708</v>
      </c>
      <c r="F2083" s="138" t="s">
        <v>563</v>
      </c>
      <c r="G2083" s="138" t="s">
        <v>356</v>
      </c>
      <c r="H2083" s="138" t="s">
        <v>344</v>
      </c>
      <c r="I2083" s="139">
        <v>0</v>
      </c>
      <c r="K2083" s="96" t="str">
        <f t="shared" si="75"/>
        <v>0003-1002-0012</v>
      </c>
      <c r="L2083" s="96" t="str">
        <f>VLOOKUP(K2083,COA!$A$3:$B$337,2,FALSE)</f>
        <v>F61</v>
      </c>
      <c r="M2083" s="96" t="str">
        <f t="shared" si="76"/>
        <v>F61</v>
      </c>
      <c r="N2083" s="96" t="str">
        <f>VLOOKUP(M2083,CAC!$A$2:$B$198,2,FALSE)</f>
        <v>PPOPMR</v>
      </c>
    </row>
    <row r="2084" spans="5:14" x14ac:dyDescent="0.25">
      <c r="E2084" s="136">
        <v>201706</v>
      </c>
      <c r="F2084" s="138" t="s">
        <v>506</v>
      </c>
      <c r="G2084" s="138" t="s">
        <v>361</v>
      </c>
      <c r="H2084" s="138" t="s">
        <v>592</v>
      </c>
      <c r="I2084" s="139">
        <v>0</v>
      </c>
      <c r="K2084" s="96" t="str">
        <f t="shared" si="75"/>
        <v>0013-1003-0035</v>
      </c>
      <c r="L2084" s="96" t="str">
        <f>VLOOKUP(K2084,COA!$A$3:$B$337,2,FALSE)</f>
        <v>N32</v>
      </c>
      <c r="M2084" s="96" t="str">
        <f t="shared" si="76"/>
        <v>N32</v>
      </c>
      <c r="N2084" s="96" t="e">
        <f>VLOOKUP(M2084,CAC!$A$2:$B$198,2,FALSE)</f>
        <v>#N/A</v>
      </c>
    </row>
    <row r="2085" spans="5:14" x14ac:dyDescent="0.25">
      <c r="E2085" s="136">
        <v>201607</v>
      </c>
      <c r="F2085" s="138" t="s">
        <v>345</v>
      </c>
      <c r="G2085" s="138" t="s">
        <v>351</v>
      </c>
      <c r="H2085" s="138" t="s">
        <v>349</v>
      </c>
      <c r="I2085" s="139">
        <v>0</v>
      </c>
      <c r="K2085" s="96" t="str">
        <f t="shared" si="75"/>
        <v>0011-0000-0017</v>
      </c>
      <c r="L2085" s="96" t="e">
        <f>VLOOKUP(K2085,COA!$A$3:$B$337,2,FALSE)</f>
        <v>#N/A</v>
      </c>
      <c r="M2085" s="96" t="str">
        <f t="shared" si="76"/>
        <v>XXX</v>
      </c>
      <c r="N2085" s="96" t="str">
        <f>VLOOKUP(M2085,CAC!$A$2:$B$198,2,FALSE)</f>
        <v>XXX</v>
      </c>
    </row>
    <row r="2086" spans="5:14" x14ac:dyDescent="0.25">
      <c r="E2086" s="136">
        <v>201608</v>
      </c>
      <c r="F2086" s="138" t="s">
        <v>413</v>
      </c>
      <c r="G2086" s="138" t="s">
        <v>356</v>
      </c>
      <c r="H2086" s="138" t="s">
        <v>344</v>
      </c>
      <c r="I2086" s="139">
        <v>0</v>
      </c>
      <c r="K2086" s="96" t="str">
        <f t="shared" si="75"/>
        <v>0008-1002-0012</v>
      </c>
      <c r="L2086" s="96" t="str">
        <f>VLOOKUP(K2086,COA!$A$3:$B$337,2,FALSE)</f>
        <v>C74</v>
      </c>
      <c r="M2086" s="96" t="str">
        <f t="shared" si="76"/>
        <v>C74</v>
      </c>
      <c r="N2086" s="96" t="str">
        <f>VLOOKUP(M2086,CAC!$A$2:$B$198,2,FALSE)</f>
        <v>DOILG</v>
      </c>
    </row>
    <row r="2087" spans="5:14" x14ac:dyDescent="0.25">
      <c r="E2087" s="136">
        <v>201512</v>
      </c>
      <c r="F2087" s="138" t="s">
        <v>563</v>
      </c>
      <c r="G2087" s="138" t="s">
        <v>365</v>
      </c>
      <c r="H2087" s="138" t="s">
        <v>367</v>
      </c>
      <c r="I2087" s="139">
        <v>0</v>
      </c>
      <c r="K2087" s="96" t="str">
        <f t="shared" si="75"/>
        <v>0003-1001-0022</v>
      </c>
      <c r="L2087" s="96" t="str">
        <f>VLOOKUP(K2087,COA!$A$3:$B$337,2,FALSE)</f>
        <v>V54</v>
      </c>
      <c r="M2087" s="96" t="str">
        <f t="shared" si="76"/>
        <v>V54</v>
      </c>
      <c r="N2087" s="96" t="str">
        <f>VLOOKUP(M2087,CAC!$A$2:$B$198,2,FALSE)</f>
        <v>PPOIFP</v>
      </c>
    </row>
    <row r="2088" spans="5:14" x14ac:dyDescent="0.25">
      <c r="E2088" s="136">
        <v>201702</v>
      </c>
      <c r="F2088" s="138" t="s">
        <v>345</v>
      </c>
      <c r="G2088" s="138" t="s">
        <v>352</v>
      </c>
      <c r="H2088" s="138" t="s">
        <v>357</v>
      </c>
      <c r="I2088" s="139">
        <v>2259</v>
      </c>
      <c r="K2088" s="96" t="str">
        <f t="shared" si="75"/>
        <v>0011-1004-0038</v>
      </c>
      <c r="L2088" s="96" t="str">
        <f>VLOOKUP(K2088,COA!$A$3:$B$337,2,FALSE)</f>
        <v>L14</v>
      </c>
      <c r="M2088" s="96" t="str">
        <f t="shared" si="76"/>
        <v>L14</v>
      </c>
      <c r="N2088" s="96" t="str">
        <f>VLOOKUP(M2088,CAC!$A$2:$B$198,2,FALSE)</f>
        <v>HMOLG</v>
      </c>
    </row>
    <row r="2089" spans="5:14" x14ac:dyDescent="0.25">
      <c r="E2089" s="136">
        <v>201602</v>
      </c>
      <c r="F2089" s="138" t="s">
        <v>746</v>
      </c>
      <c r="G2089" s="138" t="s">
        <v>354</v>
      </c>
      <c r="H2089" s="138" t="s">
        <v>344</v>
      </c>
      <c r="I2089" s="139">
        <v>82</v>
      </c>
      <c r="K2089" s="96" t="str">
        <f t="shared" si="75"/>
        <v>0016-1013-0012</v>
      </c>
      <c r="L2089" s="96" t="str">
        <f>VLOOKUP(K2089,COA!$A$3:$B$337,2,FALSE)</f>
        <v>R19</v>
      </c>
      <c r="M2089" s="96" t="str">
        <f t="shared" si="76"/>
        <v>R19</v>
      </c>
      <c r="N2089" s="96" t="str">
        <f>VLOOKUP(M2089,CAC!$A$2:$B$198,2,FALSE)</f>
        <v>HMOMG</v>
      </c>
    </row>
    <row r="2090" spans="5:14" x14ac:dyDescent="0.25">
      <c r="E2090" s="136">
        <v>201610</v>
      </c>
      <c r="F2090" s="138" t="s">
        <v>345</v>
      </c>
      <c r="G2090" s="138" t="s">
        <v>362</v>
      </c>
      <c r="H2090" s="138" t="s">
        <v>363</v>
      </c>
      <c r="I2090" s="139">
        <v>35996.959999999999</v>
      </c>
      <c r="K2090" s="96" t="str">
        <f t="shared" si="75"/>
        <v>0011-1008-0054</v>
      </c>
      <c r="L2090" s="96" t="str">
        <f>VLOOKUP(K2090,COA!$A$3:$B$337,2,FALSE)</f>
        <v>P23</v>
      </c>
      <c r="M2090" s="96" t="str">
        <f t="shared" si="76"/>
        <v>P23</v>
      </c>
      <c r="N2090" s="96" t="str">
        <f>VLOOKUP(M2090,CAC!$A$2:$B$198,2,FALSE)</f>
        <v>HMOPERN</v>
      </c>
    </row>
    <row r="2091" spans="5:14" x14ac:dyDescent="0.25">
      <c r="E2091" s="136">
        <v>201604</v>
      </c>
      <c r="F2091" s="138" t="s">
        <v>563</v>
      </c>
      <c r="G2091" s="138" t="s">
        <v>354</v>
      </c>
      <c r="H2091" s="138" t="s">
        <v>653</v>
      </c>
      <c r="I2091" s="139">
        <v>0</v>
      </c>
      <c r="K2091" s="96" t="str">
        <f t="shared" si="75"/>
        <v>0003-1013-0047</v>
      </c>
      <c r="L2091" s="96" t="str">
        <f>VLOOKUP(K2091,COA!$A$3:$B$337,2,FALSE)</f>
        <v>N57</v>
      </c>
      <c r="M2091" s="96" t="str">
        <f t="shared" si="76"/>
        <v>N57</v>
      </c>
      <c r="N2091" s="96" t="str">
        <f>VLOOKUP(M2091,CAC!$A$2:$B$198,2,FALSE)</f>
        <v>PPOPMR</v>
      </c>
    </row>
    <row r="2092" spans="5:14" x14ac:dyDescent="0.25">
      <c r="E2092" s="136">
        <v>201503</v>
      </c>
      <c r="F2092" s="138" t="s">
        <v>345</v>
      </c>
      <c r="G2092" s="138" t="s">
        <v>359</v>
      </c>
      <c r="H2092" s="138" t="s">
        <v>344</v>
      </c>
      <c r="I2092" s="139">
        <v>1950.07</v>
      </c>
      <c r="K2092" s="96" t="str">
        <f t="shared" si="75"/>
        <v>0011-1005-0012</v>
      </c>
      <c r="L2092" s="96" t="str">
        <f>VLOOKUP(K2092,COA!$A$3:$B$337,2,FALSE)</f>
        <v>N11</v>
      </c>
      <c r="M2092" s="96" t="str">
        <f t="shared" si="76"/>
        <v>N11</v>
      </c>
      <c r="N2092" s="96" t="str">
        <f>VLOOKUP(M2092,CAC!$A$2:$B$198,2,FALSE)</f>
        <v>HMOLG</v>
      </c>
    </row>
    <row r="2093" spans="5:14" x14ac:dyDescent="0.25">
      <c r="E2093" s="136">
        <v>201609</v>
      </c>
      <c r="F2093" s="138" t="s">
        <v>746</v>
      </c>
      <c r="G2093" s="138" t="s">
        <v>356</v>
      </c>
      <c r="H2093" s="138" t="s">
        <v>764</v>
      </c>
      <c r="I2093" s="139">
        <v>11</v>
      </c>
      <c r="K2093" s="96" t="str">
        <f t="shared" si="75"/>
        <v>0016-1002-0064</v>
      </c>
      <c r="L2093" s="96" t="str">
        <f>VLOOKUP(K2093,COA!$A$3:$B$337,2,FALSE)</f>
        <v>R25</v>
      </c>
      <c r="M2093" s="96" t="str">
        <f t="shared" si="76"/>
        <v>R25</v>
      </c>
      <c r="N2093" s="96" t="str">
        <f>VLOOKUP(M2093,CAC!$A$2:$B$198,2,FALSE)</f>
        <v>HMOMG</v>
      </c>
    </row>
    <row r="2094" spans="5:14" x14ac:dyDescent="0.25">
      <c r="E2094" s="136">
        <v>201611</v>
      </c>
      <c r="F2094" s="138" t="s">
        <v>549</v>
      </c>
      <c r="G2094" s="138" t="s">
        <v>352</v>
      </c>
      <c r="H2094" s="138" t="s">
        <v>672</v>
      </c>
      <c r="I2094" s="139">
        <v>0</v>
      </c>
      <c r="K2094" s="96" t="str">
        <f t="shared" si="75"/>
        <v>0026-1004-0058</v>
      </c>
      <c r="L2094" s="96" t="str">
        <f>VLOOKUP(K2094,COA!$A$3:$B$337,2,FALSE)</f>
        <v>L44</v>
      </c>
      <c r="M2094" s="96" t="str">
        <f t="shared" si="76"/>
        <v>L44</v>
      </c>
      <c r="N2094" s="96" t="e">
        <f>VLOOKUP(M2094,CAC!$A$2:$B$198,2,FALSE)</f>
        <v>#N/A</v>
      </c>
    </row>
    <row r="2095" spans="5:14" x14ac:dyDescent="0.25">
      <c r="E2095" s="136">
        <v>201611</v>
      </c>
      <c r="F2095" s="138" t="s">
        <v>563</v>
      </c>
      <c r="G2095" s="138" t="s">
        <v>348</v>
      </c>
      <c r="H2095" s="138" t="s">
        <v>353</v>
      </c>
      <c r="I2095" s="139">
        <v>0</v>
      </c>
      <c r="K2095" s="96" t="str">
        <f t="shared" si="75"/>
        <v>0003-1010-0023</v>
      </c>
      <c r="L2095" s="96" t="str">
        <f>VLOOKUP(K2095,COA!$A$3:$B$337,2,FALSE)</f>
        <v>S54</v>
      </c>
      <c r="M2095" s="96" t="str">
        <f t="shared" si="76"/>
        <v>S54</v>
      </c>
      <c r="N2095" s="96" t="str">
        <f>VLOOKUP(M2095,CAC!$A$2:$B$198,2,FALSE)</f>
        <v>PPOSG</v>
      </c>
    </row>
    <row r="2096" spans="5:14" x14ac:dyDescent="0.25">
      <c r="E2096" s="136">
        <v>201708</v>
      </c>
      <c r="F2096" s="138" t="s">
        <v>413</v>
      </c>
      <c r="G2096" s="138" t="s">
        <v>352</v>
      </c>
      <c r="H2096" s="138" t="s">
        <v>344</v>
      </c>
      <c r="I2096" s="139">
        <v>0</v>
      </c>
      <c r="K2096" s="96" t="str">
        <f t="shared" si="75"/>
        <v>0008-1004-0012</v>
      </c>
      <c r="L2096" s="96" t="str">
        <f>VLOOKUP(K2096,COA!$A$3:$B$337,2,FALSE)</f>
        <v>C93</v>
      </c>
      <c r="M2096" s="96" t="str">
        <f t="shared" si="76"/>
        <v>C93</v>
      </c>
      <c r="N2096" s="96" t="str">
        <f>VLOOKUP(M2096,CAC!$A$2:$B$198,2,FALSE)</f>
        <v>DOILG</v>
      </c>
    </row>
    <row r="2097" spans="5:14" x14ac:dyDescent="0.25">
      <c r="E2097" s="136">
        <v>201508</v>
      </c>
      <c r="F2097" s="138" t="s">
        <v>413</v>
      </c>
      <c r="G2097" s="138" t="s">
        <v>352</v>
      </c>
      <c r="H2097" s="138" t="s">
        <v>344</v>
      </c>
      <c r="I2097" s="139">
        <v>0</v>
      </c>
      <c r="K2097" s="96" t="str">
        <f t="shared" si="75"/>
        <v>0008-1004-0012</v>
      </c>
      <c r="L2097" s="96" t="str">
        <f>VLOOKUP(K2097,COA!$A$3:$B$337,2,FALSE)</f>
        <v>C93</v>
      </c>
      <c r="M2097" s="96" t="str">
        <f t="shared" si="76"/>
        <v>C93</v>
      </c>
      <c r="N2097" s="96" t="str">
        <f>VLOOKUP(M2097,CAC!$A$2:$B$198,2,FALSE)</f>
        <v>DOILG</v>
      </c>
    </row>
    <row r="2098" spans="5:14" x14ac:dyDescent="0.25">
      <c r="E2098" s="136">
        <v>201508</v>
      </c>
      <c r="F2098" s="138" t="s">
        <v>344</v>
      </c>
      <c r="G2098" s="138" t="s">
        <v>359</v>
      </c>
      <c r="H2098" s="138" t="s">
        <v>344</v>
      </c>
      <c r="I2098" s="139">
        <v>69</v>
      </c>
      <c r="K2098" s="96" t="str">
        <f t="shared" si="75"/>
        <v>0012-1005-0012</v>
      </c>
      <c r="L2098" s="96" t="str">
        <f>VLOOKUP(K2098,COA!$A$3:$B$337,2,FALSE)</f>
        <v>N13</v>
      </c>
      <c r="M2098" s="96" t="str">
        <f t="shared" si="76"/>
        <v>N13</v>
      </c>
      <c r="N2098" s="96" t="str">
        <f>VLOOKUP(M2098,CAC!$A$2:$B$198,2,FALSE)</f>
        <v>HMOLG</v>
      </c>
    </row>
    <row r="2099" spans="5:14" x14ac:dyDescent="0.25">
      <c r="E2099" s="136">
        <v>201705</v>
      </c>
      <c r="F2099" s="138" t="s">
        <v>563</v>
      </c>
      <c r="G2099" s="138" t="s">
        <v>354</v>
      </c>
      <c r="H2099" s="138" t="s">
        <v>360</v>
      </c>
      <c r="I2099" s="139">
        <v>0</v>
      </c>
      <c r="K2099" s="96" t="str">
        <f t="shared" si="75"/>
        <v>0003-1013-0048</v>
      </c>
      <c r="L2099" s="96" t="str">
        <f>VLOOKUP(K2099,COA!$A$3:$B$337,2,FALSE)</f>
        <v>N56</v>
      </c>
      <c r="M2099" s="96" t="str">
        <f t="shared" si="76"/>
        <v>N56</v>
      </c>
      <c r="N2099" s="96" t="str">
        <f>VLOOKUP(M2099,CAC!$A$2:$B$198,2,FALSE)</f>
        <v>HMFLEX</v>
      </c>
    </row>
    <row r="2100" spans="5:14" x14ac:dyDescent="0.25">
      <c r="E2100" s="136">
        <v>201604</v>
      </c>
      <c r="F2100" s="138" t="s">
        <v>506</v>
      </c>
      <c r="G2100" s="138" t="s">
        <v>350</v>
      </c>
      <c r="H2100" s="138" t="s">
        <v>592</v>
      </c>
      <c r="I2100" s="139">
        <v>0</v>
      </c>
      <c r="K2100" s="96" t="str">
        <f t="shared" si="75"/>
        <v>0013-1012-0035</v>
      </c>
      <c r="L2100" s="96" t="str">
        <f>VLOOKUP(K2100,COA!$A$3:$B$337,2,FALSE)</f>
        <v>K41</v>
      </c>
      <c r="M2100" s="96" t="str">
        <f t="shared" si="76"/>
        <v>K41</v>
      </c>
      <c r="N2100" s="96" t="e">
        <f>VLOOKUP(M2100,CAC!$A$2:$B$198,2,FALSE)</f>
        <v>#N/A</v>
      </c>
    </row>
    <row r="2101" spans="5:14" x14ac:dyDescent="0.25">
      <c r="E2101" s="136">
        <v>201705</v>
      </c>
      <c r="F2101" s="138" t="s">
        <v>563</v>
      </c>
      <c r="G2101" s="138" t="s">
        <v>348</v>
      </c>
      <c r="H2101" s="138" t="s">
        <v>358</v>
      </c>
      <c r="I2101" s="139">
        <v>0</v>
      </c>
      <c r="K2101" s="96" t="str">
        <f t="shared" si="75"/>
        <v>0003-1010-0024</v>
      </c>
      <c r="L2101" s="96" t="str">
        <f>VLOOKUP(K2101,COA!$A$3:$B$337,2,FALSE)</f>
        <v>S56</v>
      </c>
      <c r="M2101" s="96" t="str">
        <f t="shared" si="76"/>
        <v>S56</v>
      </c>
      <c r="N2101" s="96" t="str">
        <f>VLOOKUP(M2101,CAC!$A$2:$B$198,2,FALSE)</f>
        <v>PPOSG</v>
      </c>
    </row>
    <row r="2102" spans="5:14" x14ac:dyDescent="0.25">
      <c r="E2102" s="136">
        <v>201612</v>
      </c>
      <c r="F2102" s="138" t="s">
        <v>344</v>
      </c>
      <c r="G2102" s="138" t="s">
        <v>359</v>
      </c>
      <c r="H2102" s="138" t="s">
        <v>344</v>
      </c>
      <c r="I2102" s="139">
        <v>137</v>
      </c>
      <c r="K2102" s="96" t="str">
        <f t="shared" si="75"/>
        <v>0012-1005-0012</v>
      </c>
      <c r="L2102" s="96" t="str">
        <f>VLOOKUP(K2102,COA!$A$3:$B$337,2,FALSE)</f>
        <v>N13</v>
      </c>
      <c r="M2102" s="96" t="str">
        <f t="shared" si="76"/>
        <v>N13</v>
      </c>
      <c r="N2102" s="96" t="str">
        <f>VLOOKUP(M2102,CAC!$A$2:$B$198,2,FALSE)</f>
        <v>HMOLG</v>
      </c>
    </row>
    <row r="2103" spans="5:14" x14ac:dyDescent="0.25">
      <c r="E2103" s="136">
        <v>201504</v>
      </c>
      <c r="F2103" s="138" t="s">
        <v>746</v>
      </c>
      <c r="G2103" s="138" t="s">
        <v>352</v>
      </c>
      <c r="H2103" s="138" t="s">
        <v>344</v>
      </c>
      <c r="I2103" s="139">
        <v>0</v>
      </c>
      <c r="K2103" s="96" t="str">
        <f t="shared" si="75"/>
        <v>0016-1004-0012</v>
      </c>
      <c r="L2103" s="96" t="str">
        <f>VLOOKUP(K2103,COA!$A$3:$B$337,2,FALSE)</f>
        <v>R20</v>
      </c>
      <c r="M2103" s="96" t="str">
        <f t="shared" si="76"/>
        <v>R20</v>
      </c>
      <c r="N2103" s="96" t="str">
        <f>VLOOKUP(M2103,CAC!$A$2:$B$198,2,FALSE)</f>
        <v>HMOMG</v>
      </c>
    </row>
    <row r="2104" spans="5:14" x14ac:dyDescent="0.25">
      <c r="E2104" s="136">
        <v>201706</v>
      </c>
      <c r="F2104" s="138" t="s">
        <v>563</v>
      </c>
      <c r="G2104" s="138" t="s">
        <v>355</v>
      </c>
      <c r="H2104" s="138" t="s">
        <v>344</v>
      </c>
      <c r="I2104" s="139">
        <v>0</v>
      </c>
      <c r="K2104" s="96" t="str">
        <f t="shared" si="75"/>
        <v>0003-1006-0012</v>
      </c>
      <c r="L2104" s="96" t="str">
        <f>VLOOKUP(K2104,COA!$A$3:$B$337,2,FALSE)</f>
        <v>L52</v>
      </c>
      <c r="M2104" s="96" t="str">
        <f t="shared" si="76"/>
        <v>L52</v>
      </c>
      <c r="N2104" s="96" t="str">
        <f>VLOOKUP(M2104,CAC!$A$2:$B$198,2,FALSE)</f>
        <v>PPOLG</v>
      </c>
    </row>
    <row r="2105" spans="5:14" x14ac:dyDescent="0.25">
      <c r="E2105" s="136">
        <v>201610</v>
      </c>
      <c r="F2105" s="138" t="s">
        <v>413</v>
      </c>
      <c r="G2105" s="138" t="s">
        <v>352</v>
      </c>
      <c r="H2105" s="138" t="s">
        <v>344</v>
      </c>
      <c r="I2105" s="139">
        <v>0</v>
      </c>
      <c r="K2105" s="96" t="str">
        <f t="shared" si="75"/>
        <v>0008-1004-0012</v>
      </c>
      <c r="L2105" s="96" t="str">
        <f>VLOOKUP(K2105,COA!$A$3:$B$337,2,FALSE)</f>
        <v>C93</v>
      </c>
      <c r="M2105" s="96" t="str">
        <f t="shared" si="76"/>
        <v>C93</v>
      </c>
      <c r="N2105" s="96" t="str">
        <f>VLOOKUP(M2105,CAC!$A$2:$B$198,2,FALSE)</f>
        <v>DOILG</v>
      </c>
    </row>
    <row r="2106" spans="5:14" x14ac:dyDescent="0.25">
      <c r="E2106" s="136">
        <v>201608</v>
      </c>
      <c r="F2106" s="138" t="s">
        <v>563</v>
      </c>
      <c r="G2106" s="138" t="s">
        <v>354</v>
      </c>
      <c r="H2106" s="138" t="s">
        <v>360</v>
      </c>
      <c r="I2106" s="139">
        <v>0</v>
      </c>
      <c r="K2106" s="96" t="str">
        <f t="shared" si="75"/>
        <v>0003-1013-0048</v>
      </c>
      <c r="L2106" s="96" t="str">
        <f>VLOOKUP(K2106,COA!$A$3:$B$337,2,FALSE)</f>
        <v>N56</v>
      </c>
      <c r="M2106" s="96" t="str">
        <f t="shared" si="76"/>
        <v>N56</v>
      </c>
      <c r="N2106" s="96" t="str">
        <f>VLOOKUP(M2106,CAC!$A$2:$B$198,2,FALSE)</f>
        <v>HMFLEX</v>
      </c>
    </row>
    <row r="2107" spans="5:14" x14ac:dyDescent="0.25">
      <c r="E2107" s="136">
        <v>201712</v>
      </c>
      <c r="F2107" s="138" t="s">
        <v>506</v>
      </c>
      <c r="G2107" s="138" t="s">
        <v>350</v>
      </c>
      <c r="H2107" s="138" t="s">
        <v>592</v>
      </c>
      <c r="I2107" s="139">
        <v>0</v>
      </c>
      <c r="K2107" s="96" t="str">
        <f t="shared" si="75"/>
        <v>0013-1012-0035</v>
      </c>
      <c r="L2107" s="96" t="str">
        <f>VLOOKUP(K2107,COA!$A$3:$B$337,2,FALSE)</f>
        <v>K41</v>
      </c>
      <c r="M2107" s="96" t="str">
        <f t="shared" si="76"/>
        <v>K41</v>
      </c>
      <c r="N2107" s="96" t="e">
        <f>VLOOKUP(M2107,CAC!$A$2:$B$198,2,FALSE)</f>
        <v>#N/A</v>
      </c>
    </row>
    <row r="2108" spans="5:14" x14ac:dyDescent="0.25">
      <c r="E2108" s="136">
        <v>201711</v>
      </c>
      <c r="F2108" s="138" t="s">
        <v>563</v>
      </c>
      <c r="G2108" s="138" t="s">
        <v>348</v>
      </c>
      <c r="H2108" s="138" t="s">
        <v>353</v>
      </c>
      <c r="I2108" s="139">
        <v>0</v>
      </c>
      <c r="K2108" s="96" t="str">
        <f t="shared" si="75"/>
        <v>0003-1010-0023</v>
      </c>
      <c r="L2108" s="96" t="str">
        <f>VLOOKUP(K2108,COA!$A$3:$B$337,2,FALSE)</f>
        <v>S54</v>
      </c>
      <c r="M2108" s="96" t="str">
        <f t="shared" si="76"/>
        <v>S54</v>
      </c>
      <c r="N2108" s="96" t="str">
        <f>VLOOKUP(M2108,CAC!$A$2:$B$198,2,FALSE)</f>
        <v>PPOSG</v>
      </c>
    </row>
    <row r="2109" spans="5:14" x14ac:dyDescent="0.25">
      <c r="E2109" s="136">
        <v>201601</v>
      </c>
      <c r="F2109" s="138" t="s">
        <v>344</v>
      </c>
      <c r="G2109" s="138" t="s">
        <v>352</v>
      </c>
      <c r="H2109" s="138" t="s">
        <v>344</v>
      </c>
      <c r="I2109" s="139">
        <v>429</v>
      </c>
      <c r="K2109" s="96" t="str">
        <f t="shared" si="75"/>
        <v>0012-1004-0012</v>
      </c>
      <c r="L2109" s="96" t="str">
        <f>VLOOKUP(K2109,COA!$A$3:$B$337,2,FALSE)</f>
        <v>L12</v>
      </c>
      <c r="M2109" s="96" t="str">
        <f t="shared" si="76"/>
        <v>L12</v>
      </c>
      <c r="N2109" s="96" t="str">
        <f>VLOOKUP(M2109,CAC!$A$2:$B$198,2,FALSE)</f>
        <v>HMOLG</v>
      </c>
    </row>
    <row r="2110" spans="5:14" x14ac:dyDescent="0.25">
      <c r="E2110" s="136">
        <v>201511</v>
      </c>
      <c r="F2110" s="138" t="s">
        <v>413</v>
      </c>
      <c r="G2110" s="138" t="s">
        <v>355</v>
      </c>
      <c r="H2110" s="138" t="s">
        <v>344</v>
      </c>
      <c r="I2110" s="139">
        <v>0</v>
      </c>
      <c r="K2110" s="96" t="str">
        <f t="shared" si="75"/>
        <v>0008-1006-0012</v>
      </c>
      <c r="L2110" s="96" t="str">
        <f>VLOOKUP(K2110,COA!$A$3:$B$337,2,FALSE)</f>
        <v>C96</v>
      </c>
      <c r="M2110" s="96" t="str">
        <f t="shared" si="76"/>
        <v>C96</v>
      </c>
      <c r="N2110" s="96" t="str">
        <f>VLOOKUP(M2110,CAC!$A$2:$B$198,2,FALSE)</f>
        <v>DOILG</v>
      </c>
    </row>
    <row r="2111" spans="5:14" x14ac:dyDescent="0.25">
      <c r="E2111" s="136">
        <v>201508</v>
      </c>
      <c r="F2111" s="138" t="s">
        <v>349</v>
      </c>
      <c r="G2111" s="138" t="s">
        <v>369</v>
      </c>
      <c r="H2111" s="138" t="s">
        <v>344</v>
      </c>
      <c r="I2111" s="139">
        <v>36994</v>
      </c>
      <c r="K2111" s="96" t="str">
        <f t="shared" si="75"/>
        <v>0017-1009-0012</v>
      </c>
      <c r="L2111" s="96" t="str">
        <f>VLOOKUP(K2111,COA!$A$3:$B$337,2,FALSE)</f>
        <v>R12</v>
      </c>
      <c r="M2111" s="96" t="str">
        <f t="shared" si="76"/>
        <v>R12</v>
      </c>
      <c r="N2111" s="96" t="str">
        <f>VLOOKUP(M2111,CAC!$A$2:$B$198,2,FALSE)</f>
        <v>HMOMM</v>
      </c>
    </row>
    <row r="2112" spans="5:14" x14ac:dyDescent="0.25">
      <c r="E2112" s="136">
        <v>201712</v>
      </c>
      <c r="F2112" s="138" t="s">
        <v>345</v>
      </c>
      <c r="G2112" s="138" t="s">
        <v>365</v>
      </c>
      <c r="H2112" s="138" t="s">
        <v>367</v>
      </c>
      <c r="I2112" s="139">
        <v>835.15</v>
      </c>
      <c r="K2112" s="96" t="str">
        <f t="shared" si="75"/>
        <v>0011-1001-0022</v>
      </c>
      <c r="L2112" s="96" t="str">
        <f>VLOOKUP(K2112,COA!$A$3:$B$337,2,FALSE)</f>
        <v>V14</v>
      </c>
      <c r="M2112" s="96" t="str">
        <f t="shared" si="76"/>
        <v>V14</v>
      </c>
      <c r="N2112" s="96" t="str">
        <f>VLOOKUP(M2112,CAC!$A$2:$B$198,2,FALSE)</f>
        <v>HMOIFP</v>
      </c>
    </row>
    <row r="2113" spans="5:14" x14ac:dyDescent="0.25">
      <c r="E2113" s="136">
        <v>201608</v>
      </c>
      <c r="F2113" s="138" t="s">
        <v>563</v>
      </c>
      <c r="G2113" s="138" t="s">
        <v>365</v>
      </c>
      <c r="H2113" s="138" t="s">
        <v>411</v>
      </c>
      <c r="I2113" s="139">
        <v>0</v>
      </c>
      <c r="K2113" s="96" t="str">
        <f t="shared" si="75"/>
        <v>0003-1001-0007</v>
      </c>
      <c r="L2113" s="96" t="str">
        <f>VLOOKUP(K2113,COA!$A$3:$B$337,2,FALSE)</f>
        <v>V52</v>
      </c>
      <c r="M2113" s="96" t="str">
        <f t="shared" si="76"/>
        <v>V52</v>
      </c>
      <c r="N2113" s="96" t="str">
        <f>VLOOKUP(M2113,CAC!$A$2:$B$198,2,FALSE)</f>
        <v>PPOIFP</v>
      </c>
    </row>
    <row r="2114" spans="5:14" x14ac:dyDescent="0.25">
      <c r="E2114" s="136">
        <v>201509</v>
      </c>
      <c r="F2114" s="138" t="s">
        <v>746</v>
      </c>
      <c r="G2114" s="138" t="s">
        <v>356</v>
      </c>
      <c r="H2114" s="138" t="s">
        <v>344</v>
      </c>
      <c r="I2114" s="139">
        <v>122</v>
      </c>
      <c r="K2114" s="96" t="str">
        <f t="shared" si="75"/>
        <v>0016-1002-0012</v>
      </c>
      <c r="L2114" s="96" t="str">
        <f>VLOOKUP(K2114,COA!$A$3:$B$337,2,FALSE)</f>
        <v>R18</v>
      </c>
      <c r="M2114" s="96" t="str">
        <f t="shared" si="76"/>
        <v>R18</v>
      </c>
      <c r="N2114" s="96" t="str">
        <f>VLOOKUP(M2114,CAC!$A$2:$B$198,2,FALSE)</f>
        <v>HMOMG</v>
      </c>
    </row>
    <row r="2115" spans="5:14" x14ac:dyDescent="0.25">
      <c r="E2115" s="136">
        <v>201609</v>
      </c>
      <c r="F2115" s="138" t="s">
        <v>344</v>
      </c>
      <c r="G2115" s="138" t="s">
        <v>356</v>
      </c>
      <c r="H2115" s="138" t="s">
        <v>344</v>
      </c>
      <c r="I2115" s="139">
        <v>4124</v>
      </c>
      <c r="K2115" s="96" t="str">
        <f t="shared" ref="K2115:K2178" si="77">F2115&amp;"-"&amp;G2115&amp;"-"&amp;H2115</f>
        <v>0012-1002-0012</v>
      </c>
      <c r="L2115" s="96" t="str">
        <f>VLOOKUP(K2115,COA!$A$3:$B$337,2,FALSE)</f>
        <v>F22</v>
      </c>
      <c r="M2115" s="96" t="str">
        <f t="shared" si="76"/>
        <v>F22</v>
      </c>
      <c r="N2115" s="96" t="str">
        <f>VLOOKUP(M2115,CAC!$A$2:$B$198,2,FALSE)</f>
        <v>HMOPMR</v>
      </c>
    </row>
    <row r="2116" spans="5:14" x14ac:dyDescent="0.25">
      <c r="E2116" s="136">
        <v>201602</v>
      </c>
      <c r="F2116" s="138" t="s">
        <v>349</v>
      </c>
      <c r="G2116" s="138" t="s">
        <v>369</v>
      </c>
      <c r="H2116" s="138" t="s">
        <v>344</v>
      </c>
      <c r="I2116" s="139">
        <v>39219.94</v>
      </c>
      <c r="K2116" s="96" t="str">
        <f t="shared" si="77"/>
        <v>0017-1009-0012</v>
      </c>
      <c r="L2116" s="96" t="str">
        <f>VLOOKUP(K2116,COA!$A$3:$B$337,2,FALSE)</f>
        <v>R12</v>
      </c>
      <c r="M2116" s="96" t="str">
        <f t="shared" ref="M2116:M2179" si="78">IF(ISNA(L2116),"XXX",L2116)</f>
        <v>R12</v>
      </c>
      <c r="N2116" s="96" t="str">
        <f>VLOOKUP(M2116,CAC!$A$2:$B$198,2,FALSE)</f>
        <v>HMOMM</v>
      </c>
    </row>
    <row r="2117" spans="5:14" x14ac:dyDescent="0.25">
      <c r="E2117" s="136">
        <v>201604</v>
      </c>
      <c r="F2117" s="138" t="s">
        <v>345</v>
      </c>
      <c r="G2117" s="138" t="s">
        <v>361</v>
      </c>
      <c r="H2117" s="138" t="s">
        <v>344</v>
      </c>
      <c r="I2117" s="139">
        <v>4092.33</v>
      </c>
      <c r="K2117" s="96" t="str">
        <f t="shared" si="77"/>
        <v>0011-1003-0012</v>
      </c>
      <c r="L2117" s="96" t="str">
        <f>VLOOKUP(K2117,COA!$A$3:$B$337,2,FALSE)</f>
        <v>N16</v>
      </c>
      <c r="M2117" s="96" t="str">
        <f t="shared" si="78"/>
        <v>N16</v>
      </c>
      <c r="N2117" s="96" t="str">
        <f>VLOOKUP(M2117,CAC!$A$2:$B$198,2,FALSE)</f>
        <v>HMOPMR</v>
      </c>
    </row>
    <row r="2118" spans="5:14" x14ac:dyDescent="0.25">
      <c r="E2118" s="136">
        <v>201511</v>
      </c>
      <c r="F2118" s="138" t="s">
        <v>344</v>
      </c>
      <c r="G2118" s="138" t="s">
        <v>350</v>
      </c>
      <c r="H2118" s="138" t="s">
        <v>344</v>
      </c>
      <c r="I2118" s="139">
        <v>123</v>
      </c>
      <c r="K2118" s="96" t="str">
        <f t="shared" si="77"/>
        <v>0012-1012-0012</v>
      </c>
      <c r="L2118" s="96" t="str">
        <f>VLOOKUP(K2118,COA!$A$3:$B$337,2,FALSE)</f>
        <v>K12</v>
      </c>
      <c r="M2118" s="96" t="str">
        <f t="shared" si="78"/>
        <v>K12</v>
      </c>
      <c r="N2118" s="96" t="str">
        <f>VLOOKUP(M2118,CAC!$A$2:$B$198,2,FALSE)</f>
        <v>HMOPMR</v>
      </c>
    </row>
    <row r="2119" spans="5:14" x14ac:dyDescent="0.25">
      <c r="E2119" s="136">
        <v>201704</v>
      </c>
      <c r="F2119" s="138" t="s">
        <v>563</v>
      </c>
      <c r="G2119" s="138" t="s">
        <v>352</v>
      </c>
      <c r="H2119" s="138" t="s">
        <v>653</v>
      </c>
      <c r="I2119" s="139">
        <v>0</v>
      </c>
      <c r="K2119" s="96" t="str">
        <f t="shared" si="77"/>
        <v>0003-1004-0047</v>
      </c>
      <c r="L2119" s="96" t="str">
        <f>VLOOKUP(K2119,COA!$A$3:$B$337,2,FALSE)</f>
        <v>L57</v>
      </c>
      <c r="M2119" s="96" t="str">
        <f t="shared" si="78"/>
        <v>L57</v>
      </c>
      <c r="N2119" s="96" t="str">
        <f>VLOOKUP(M2119,CAC!$A$2:$B$198,2,FALSE)</f>
        <v>PPOLG</v>
      </c>
    </row>
    <row r="2120" spans="5:14" x14ac:dyDescent="0.25">
      <c r="E2120" s="136">
        <v>201704</v>
      </c>
      <c r="F2120" s="138" t="s">
        <v>344</v>
      </c>
      <c r="G2120" s="138" t="s">
        <v>354</v>
      </c>
      <c r="H2120" s="138" t="s">
        <v>344</v>
      </c>
      <c r="I2120" s="139">
        <v>286</v>
      </c>
      <c r="K2120" s="96" t="str">
        <f t="shared" si="77"/>
        <v>0012-1013-0012</v>
      </c>
      <c r="L2120" s="96" t="str">
        <f>VLOOKUP(K2120,COA!$A$3:$B$337,2,FALSE)</f>
        <v>N14</v>
      </c>
      <c r="M2120" s="96" t="str">
        <f t="shared" si="78"/>
        <v>N14</v>
      </c>
      <c r="N2120" s="96" t="str">
        <f>VLOOKUP(M2120,CAC!$A$2:$B$198,2,FALSE)</f>
        <v>HMOPMR</v>
      </c>
    </row>
    <row r="2121" spans="5:14" x14ac:dyDescent="0.25">
      <c r="E2121" s="136">
        <v>201702</v>
      </c>
      <c r="F2121" s="138" t="s">
        <v>345</v>
      </c>
      <c r="G2121" s="138" t="s">
        <v>365</v>
      </c>
      <c r="H2121" s="138" t="s">
        <v>366</v>
      </c>
      <c r="I2121" s="139">
        <v>912.11</v>
      </c>
      <c r="K2121" s="96" t="str">
        <f t="shared" si="77"/>
        <v>0011-1001-0021</v>
      </c>
      <c r="L2121" s="96" t="str">
        <f>VLOOKUP(K2121,COA!$A$3:$B$337,2,FALSE)</f>
        <v>V13</v>
      </c>
      <c r="M2121" s="96" t="str">
        <f t="shared" si="78"/>
        <v>V13</v>
      </c>
      <c r="N2121" s="96" t="str">
        <f>VLOOKUP(M2121,CAC!$A$2:$B$198,2,FALSE)</f>
        <v>HMOIFP</v>
      </c>
    </row>
    <row r="2122" spans="5:14" x14ac:dyDescent="0.25">
      <c r="E2122" s="136">
        <v>201506</v>
      </c>
      <c r="F2122" s="138" t="s">
        <v>413</v>
      </c>
      <c r="G2122" s="138" t="s">
        <v>359</v>
      </c>
      <c r="H2122" s="138" t="s">
        <v>344</v>
      </c>
      <c r="I2122" s="139">
        <v>0</v>
      </c>
      <c r="K2122" s="96" t="str">
        <f t="shared" si="77"/>
        <v>0008-1005-0012</v>
      </c>
      <c r="L2122" s="96" t="str">
        <f>VLOOKUP(K2122,COA!$A$3:$B$337,2,FALSE)</f>
        <v>C73</v>
      </c>
      <c r="M2122" s="96" t="str">
        <f t="shared" si="78"/>
        <v>C73</v>
      </c>
      <c r="N2122" s="96" t="str">
        <f>VLOOKUP(M2122,CAC!$A$2:$B$198,2,FALSE)</f>
        <v>DOILG</v>
      </c>
    </row>
    <row r="2123" spans="5:14" x14ac:dyDescent="0.25">
      <c r="E2123" s="136">
        <v>201509</v>
      </c>
      <c r="F2123" s="138" t="s">
        <v>524</v>
      </c>
      <c r="G2123" s="138" t="s">
        <v>359</v>
      </c>
      <c r="H2123" s="138" t="s">
        <v>672</v>
      </c>
      <c r="I2123" s="139">
        <v>0</v>
      </c>
      <c r="K2123" s="96" t="str">
        <f t="shared" si="77"/>
        <v>0025-1005-0058</v>
      </c>
      <c r="L2123" s="96" t="str">
        <f>VLOOKUP(K2123,COA!$A$3:$B$337,2,FALSE)</f>
        <v>N46</v>
      </c>
      <c r="M2123" s="96" t="str">
        <f t="shared" si="78"/>
        <v>N46</v>
      </c>
      <c r="N2123" s="96" t="e">
        <f>VLOOKUP(M2123,CAC!$A$2:$B$198,2,FALSE)</f>
        <v>#N/A</v>
      </c>
    </row>
    <row r="2124" spans="5:14" x14ac:dyDescent="0.25">
      <c r="E2124" s="136">
        <v>201512</v>
      </c>
      <c r="F2124" s="138" t="s">
        <v>524</v>
      </c>
      <c r="G2124" s="138" t="s">
        <v>359</v>
      </c>
      <c r="H2124" s="138" t="s">
        <v>672</v>
      </c>
      <c r="I2124" s="139">
        <v>0</v>
      </c>
      <c r="K2124" s="96" t="str">
        <f t="shared" si="77"/>
        <v>0025-1005-0058</v>
      </c>
      <c r="L2124" s="96" t="str">
        <f>VLOOKUP(K2124,COA!$A$3:$B$337,2,FALSE)</f>
        <v>N46</v>
      </c>
      <c r="M2124" s="96" t="str">
        <f t="shared" si="78"/>
        <v>N46</v>
      </c>
      <c r="N2124" s="96" t="e">
        <f>VLOOKUP(M2124,CAC!$A$2:$B$198,2,FALSE)</f>
        <v>#N/A</v>
      </c>
    </row>
    <row r="2125" spans="5:14" x14ac:dyDescent="0.25">
      <c r="E2125" s="136">
        <v>201706</v>
      </c>
      <c r="F2125" s="138" t="s">
        <v>506</v>
      </c>
      <c r="G2125" s="138" t="s">
        <v>352</v>
      </c>
      <c r="H2125" s="138" t="s">
        <v>592</v>
      </c>
      <c r="I2125" s="139">
        <v>0</v>
      </c>
      <c r="K2125" s="96" t="str">
        <f t="shared" si="77"/>
        <v>0013-1004-0035</v>
      </c>
      <c r="L2125" s="96" t="str">
        <f>VLOOKUP(K2125,COA!$A$3:$B$337,2,FALSE)</f>
        <v>L41</v>
      </c>
      <c r="M2125" s="96" t="str">
        <f t="shared" si="78"/>
        <v>L41</v>
      </c>
      <c r="N2125" s="96" t="e">
        <f>VLOOKUP(M2125,CAC!$A$2:$B$198,2,FALSE)</f>
        <v>#N/A</v>
      </c>
    </row>
    <row r="2126" spans="5:14" x14ac:dyDescent="0.25">
      <c r="E2126" s="136">
        <v>201607</v>
      </c>
      <c r="F2126" s="138" t="s">
        <v>746</v>
      </c>
      <c r="G2126" s="138" t="s">
        <v>350</v>
      </c>
      <c r="H2126" s="138" t="s">
        <v>344</v>
      </c>
      <c r="I2126" s="139">
        <v>63</v>
      </c>
      <c r="K2126" s="96" t="str">
        <f t="shared" si="77"/>
        <v>0016-1012-0012</v>
      </c>
      <c r="L2126" s="96" t="str">
        <f>VLOOKUP(K2126,COA!$A$3:$B$337,2,FALSE)</f>
        <v>R19</v>
      </c>
      <c r="M2126" s="96" t="str">
        <f t="shared" si="78"/>
        <v>R19</v>
      </c>
      <c r="N2126" s="96" t="str">
        <f>VLOOKUP(M2126,CAC!$A$2:$B$198,2,FALSE)</f>
        <v>HMOMG</v>
      </c>
    </row>
    <row r="2127" spans="5:14" x14ac:dyDescent="0.25">
      <c r="E2127" s="136">
        <v>201609</v>
      </c>
      <c r="F2127" s="138" t="s">
        <v>549</v>
      </c>
      <c r="G2127" s="138" t="s">
        <v>352</v>
      </c>
      <c r="H2127" s="138" t="s">
        <v>672</v>
      </c>
      <c r="I2127" s="139">
        <v>0</v>
      </c>
      <c r="K2127" s="96" t="str">
        <f t="shared" si="77"/>
        <v>0026-1004-0058</v>
      </c>
      <c r="L2127" s="96" t="str">
        <f>VLOOKUP(K2127,COA!$A$3:$B$337,2,FALSE)</f>
        <v>L44</v>
      </c>
      <c r="M2127" s="96" t="str">
        <f t="shared" si="78"/>
        <v>L44</v>
      </c>
      <c r="N2127" s="96" t="e">
        <f>VLOOKUP(M2127,CAC!$A$2:$B$198,2,FALSE)</f>
        <v>#N/A</v>
      </c>
    </row>
    <row r="2128" spans="5:14" x14ac:dyDescent="0.25">
      <c r="E2128" s="136">
        <v>201509</v>
      </c>
      <c r="F2128" s="138" t="s">
        <v>344</v>
      </c>
      <c r="G2128" s="138" t="s">
        <v>350</v>
      </c>
      <c r="H2128" s="138" t="s">
        <v>344</v>
      </c>
      <c r="I2128" s="139">
        <v>113</v>
      </c>
      <c r="K2128" s="96" t="str">
        <f t="shared" si="77"/>
        <v>0012-1012-0012</v>
      </c>
      <c r="L2128" s="96" t="str">
        <f>VLOOKUP(K2128,COA!$A$3:$B$337,2,FALSE)</f>
        <v>K12</v>
      </c>
      <c r="M2128" s="96" t="str">
        <f t="shared" si="78"/>
        <v>K12</v>
      </c>
      <c r="N2128" s="96" t="str">
        <f>VLOOKUP(M2128,CAC!$A$2:$B$198,2,FALSE)</f>
        <v>HMOPMR</v>
      </c>
    </row>
    <row r="2129" spans="5:14" x14ac:dyDescent="0.25">
      <c r="E2129" s="136">
        <v>201702</v>
      </c>
      <c r="F2129" s="138" t="s">
        <v>344</v>
      </c>
      <c r="G2129" s="138" t="s">
        <v>359</v>
      </c>
      <c r="H2129" s="138" t="s">
        <v>344</v>
      </c>
      <c r="I2129" s="139">
        <v>141</v>
      </c>
      <c r="K2129" s="96" t="str">
        <f t="shared" si="77"/>
        <v>0012-1005-0012</v>
      </c>
      <c r="L2129" s="96" t="str">
        <f>VLOOKUP(K2129,COA!$A$3:$B$337,2,FALSE)</f>
        <v>N13</v>
      </c>
      <c r="M2129" s="96" t="str">
        <f t="shared" si="78"/>
        <v>N13</v>
      </c>
      <c r="N2129" s="96" t="str">
        <f>VLOOKUP(M2129,CAC!$A$2:$B$198,2,FALSE)</f>
        <v>HMOLG</v>
      </c>
    </row>
    <row r="2130" spans="5:14" x14ac:dyDescent="0.25">
      <c r="E2130" s="136">
        <v>201710</v>
      </c>
      <c r="F2130" s="138" t="s">
        <v>344</v>
      </c>
      <c r="G2130" s="138" t="s">
        <v>355</v>
      </c>
      <c r="H2130" s="138" t="s">
        <v>344</v>
      </c>
      <c r="I2130" s="139">
        <v>51</v>
      </c>
      <c r="K2130" s="96" t="str">
        <f t="shared" si="77"/>
        <v>0012-1006-0012</v>
      </c>
      <c r="L2130" s="96" t="str">
        <f>VLOOKUP(K2130,COA!$A$3:$B$337,2,FALSE)</f>
        <v>L16</v>
      </c>
      <c r="M2130" s="96" t="str">
        <f t="shared" si="78"/>
        <v>L16</v>
      </c>
      <c r="N2130" s="96" t="str">
        <f>VLOOKUP(M2130,CAC!$A$2:$B$198,2,FALSE)</f>
        <v>HMOLG</v>
      </c>
    </row>
    <row r="2131" spans="5:14" x14ac:dyDescent="0.25">
      <c r="E2131" s="136">
        <v>201712</v>
      </c>
      <c r="F2131" s="138" t="s">
        <v>746</v>
      </c>
      <c r="G2131" s="138" t="s">
        <v>350</v>
      </c>
      <c r="H2131" s="138" t="s">
        <v>764</v>
      </c>
      <c r="I2131" s="139">
        <v>21</v>
      </c>
      <c r="K2131" s="96" t="str">
        <f t="shared" si="77"/>
        <v>0016-1012-0064</v>
      </c>
      <c r="L2131" s="96" t="str">
        <f>VLOOKUP(K2131,COA!$A$3:$B$337,2,FALSE)</f>
        <v>R25</v>
      </c>
      <c r="M2131" s="96" t="str">
        <f t="shared" si="78"/>
        <v>R25</v>
      </c>
      <c r="N2131" s="96" t="str">
        <f>VLOOKUP(M2131,CAC!$A$2:$B$198,2,FALSE)</f>
        <v>HMOMG</v>
      </c>
    </row>
    <row r="2132" spans="5:14" x14ac:dyDescent="0.25">
      <c r="E2132" s="136">
        <v>201509</v>
      </c>
      <c r="F2132" s="138" t="s">
        <v>345</v>
      </c>
      <c r="G2132" s="138" t="s">
        <v>352</v>
      </c>
      <c r="H2132" s="138" t="s">
        <v>344</v>
      </c>
      <c r="I2132" s="139">
        <v>9134.4</v>
      </c>
      <c r="K2132" s="96" t="str">
        <f t="shared" si="77"/>
        <v>0011-1004-0012</v>
      </c>
      <c r="L2132" s="96" t="str">
        <f>VLOOKUP(K2132,COA!$A$3:$B$337,2,FALSE)</f>
        <v>L11</v>
      </c>
      <c r="M2132" s="96" t="str">
        <f t="shared" si="78"/>
        <v>L11</v>
      </c>
      <c r="N2132" s="96" t="str">
        <f>VLOOKUP(M2132,CAC!$A$2:$B$198,2,FALSE)</f>
        <v>HMOLG</v>
      </c>
    </row>
    <row r="2133" spans="5:14" x14ac:dyDescent="0.25">
      <c r="E2133" s="136">
        <v>201702</v>
      </c>
      <c r="F2133" s="138" t="s">
        <v>563</v>
      </c>
      <c r="G2133" s="138" t="s">
        <v>354</v>
      </c>
      <c r="H2133" s="138" t="s">
        <v>344</v>
      </c>
      <c r="I2133" s="139">
        <v>0</v>
      </c>
      <c r="K2133" s="96" t="str">
        <f t="shared" si="77"/>
        <v>0003-1013-0012</v>
      </c>
      <c r="L2133" s="96" t="str">
        <f>VLOOKUP(K2133,COA!$A$3:$B$337,2,FALSE)</f>
        <v>N55</v>
      </c>
      <c r="M2133" s="96" t="str">
        <f t="shared" si="78"/>
        <v>N55</v>
      </c>
      <c r="N2133" s="96" t="str">
        <f>VLOOKUP(M2133,CAC!$A$2:$B$198,2,FALSE)</f>
        <v>PPOPMR</v>
      </c>
    </row>
    <row r="2134" spans="5:14" x14ac:dyDescent="0.25">
      <c r="E2134" s="136">
        <v>201509</v>
      </c>
      <c r="F2134" s="138" t="s">
        <v>563</v>
      </c>
      <c r="G2134" s="138" t="s">
        <v>348</v>
      </c>
      <c r="H2134" s="138" t="s">
        <v>358</v>
      </c>
      <c r="I2134" s="139">
        <v>0</v>
      </c>
      <c r="K2134" s="96" t="str">
        <f t="shared" si="77"/>
        <v>0003-1010-0024</v>
      </c>
      <c r="L2134" s="96" t="str">
        <f>VLOOKUP(K2134,COA!$A$3:$B$337,2,FALSE)</f>
        <v>S56</v>
      </c>
      <c r="M2134" s="96" t="str">
        <f t="shared" si="78"/>
        <v>S56</v>
      </c>
      <c r="N2134" s="96" t="str">
        <f>VLOOKUP(M2134,CAC!$A$2:$B$198,2,FALSE)</f>
        <v>PPOSG</v>
      </c>
    </row>
    <row r="2135" spans="5:14" x14ac:dyDescent="0.25">
      <c r="E2135" s="136">
        <v>201702</v>
      </c>
      <c r="F2135" s="138" t="s">
        <v>413</v>
      </c>
      <c r="G2135" s="138" t="s">
        <v>355</v>
      </c>
      <c r="H2135" s="138" t="s">
        <v>344</v>
      </c>
      <c r="I2135" s="139">
        <v>0</v>
      </c>
      <c r="K2135" s="96" t="str">
        <f t="shared" si="77"/>
        <v>0008-1006-0012</v>
      </c>
      <c r="L2135" s="96" t="str">
        <f>VLOOKUP(K2135,COA!$A$3:$B$337,2,FALSE)</f>
        <v>C96</v>
      </c>
      <c r="M2135" s="96" t="str">
        <f t="shared" si="78"/>
        <v>C96</v>
      </c>
      <c r="N2135" s="96" t="str">
        <f>VLOOKUP(M2135,CAC!$A$2:$B$198,2,FALSE)</f>
        <v>DOILG</v>
      </c>
    </row>
    <row r="2136" spans="5:14" x14ac:dyDescent="0.25">
      <c r="E2136" s="136">
        <v>201506</v>
      </c>
      <c r="F2136" s="138" t="s">
        <v>345</v>
      </c>
      <c r="G2136" s="138" t="s">
        <v>355</v>
      </c>
      <c r="H2136" s="138" t="s">
        <v>344</v>
      </c>
      <c r="I2136" s="139">
        <v>24740.76</v>
      </c>
      <c r="K2136" s="96" t="str">
        <f t="shared" si="77"/>
        <v>0011-1006-0012</v>
      </c>
      <c r="L2136" s="96" t="str">
        <f>VLOOKUP(K2136,COA!$A$3:$B$337,2,FALSE)</f>
        <v>L13</v>
      </c>
      <c r="M2136" s="96" t="str">
        <f t="shared" si="78"/>
        <v>L13</v>
      </c>
      <c r="N2136" s="96" t="str">
        <f>VLOOKUP(M2136,CAC!$A$2:$B$198,2,FALSE)</f>
        <v>HMOLG</v>
      </c>
    </row>
    <row r="2137" spans="5:14" x14ac:dyDescent="0.25">
      <c r="E2137" s="136">
        <v>201604</v>
      </c>
      <c r="F2137" s="138" t="s">
        <v>506</v>
      </c>
      <c r="G2137" s="138" t="s">
        <v>352</v>
      </c>
      <c r="H2137" s="138" t="s">
        <v>592</v>
      </c>
      <c r="I2137" s="139">
        <v>0</v>
      </c>
      <c r="K2137" s="96" t="str">
        <f t="shared" si="77"/>
        <v>0013-1004-0035</v>
      </c>
      <c r="L2137" s="96" t="str">
        <f>VLOOKUP(K2137,COA!$A$3:$B$337,2,FALSE)</f>
        <v>L41</v>
      </c>
      <c r="M2137" s="96" t="str">
        <f t="shared" si="78"/>
        <v>L41</v>
      </c>
      <c r="N2137" s="96" t="e">
        <f>VLOOKUP(M2137,CAC!$A$2:$B$198,2,FALSE)</f>
        <v>#N/A</v>
      </c>
    </row>
    <row r="2138" spans="5:14" x14ac:dyDescent="0.25">
      <c r="E2138" s="136">
        <v>201801</v>
      </c>
      <c r="F2138" s="138" t="s">
        <v>342</v>
      </c>
      <c r="G2138" s="138" t="s">
        <v>343</v>
      </c>
      <c r="H2138" s="138" t="s">
        <v>344</v>
      </c>
      <c r="I2138" s="139">
        <v>5304.06</v>
      </c>
      <c r="K2138" s="96" t="str">
        <f t="shared" si="77"/>
        <v>0031-1000-0012</v>
      </c>
      <c r="L2138" s="96" t="str">
        <f>VLOOKUP(K2138,COA!$A$3:$B$337,2,FALSE)</f>
        <v>F27</v>
      </c>
      <c r="M2138" s="96" t="str">
        <f t="shared" si="78"/>
        <v>F27</v>
      </c>
      <c r="N2138" s="96" t="str">
        <f>VLOOKUP(M2138,CAC!$A$2:$B$198,2,FALSE)</f>
        <v>HMOFEP</v>
      </c>
    </row>
    <row r="2139" spans="5:14" x14ac:dyDescent="0.25">
      <c r="E2139" s="136">
        <v>201702</v>
      </c>
      <c r="F2139" s="138" t="s">
        <v>344</v>
      </c>
      <c r="G2139" s="138" t="s">
        <v>352</v>
      </c>
      <c r="H2139" s="138" t="s">
        <v>360</v>
      </c>
      <c r="I2139" s="139">
        <v>218</v>
      </c>
      <c r="K2139" s="96" t="str">
        <f t="shared" si="77"/>
        <v>0012-1004-0048</v>
      </c>
      <c r="L2139" s="96" t="str">
        <f>VLOOKUP(K2139,COA!$A$3:$B$337,2,FALSE)</f>
        <v>L22</v>
      </c>
      <c r="M2139" s="96" t="str">
        <f t="shared" si="78"/>
        <v>L22</v>
      </c>
      <c r="N2139" s="96" t="str">
        <f>VLOOKUP(M2139,CAC!$A$2:$B$198,2,FALSE)</f>
        <v>HMFLEX</v>
      </c>
    </row>
    <row r="2140" spans="5:14" x14ac:dyDescent="0.25">
      <c r="E2140" s="136">
        <v>201605</v>
      </c>
      <c r="F2140" s="138" t="s">
        <v>344</v>
      </c>
      <c r="G2140" s="138" t="s">
        <v>350</v>
      </c>
      <c r="H2140" s="138" t="s">
        <v>344</v>
      </c>
      <c r="I2140" s="139">
        <v>108</v>
      </c>
      <c r="K2140" s="96" t="str">
        <f t="shared" si="77"/>
        <v>0012-1012-0012</v>
      </c>
      <c r="L2140" s="96" t="str">
        <f>VLOOKUP(K2140,COA!$A$3:$B$337,2,FALSE)</f>
        <v>K12</v>
      </c>
      <c r="M2140" s="96" t="str">
        <f t="shared" si="78"/>
        <v>K12</v>
      </c>
      <c r="N2140" s="96" t="str">
        <f>VLOOKUP(M2140,CAC!$A$2:$B$198,2,FALSE)</f>
        <v>HMOPMR</v>
      </c>
    </row>
    <row r="2141" spans="5:14" x14ac:dyDescent="0.25">
      <c r="E2141" s="136">
        <v>201604</v>
      </c>
      <c r="F2141" s="138" t="s">
        <v>345</v>
      </c>
      <c r="G2141" s="138" t="s">
        <v>348</v>
      </c>
      <c r="H2141" s="138" t="s">
        <v>358</v>
      </c>
      <c r="I2141" s="139">
        <v>88</v>
      </c>
      <c r="K2141" s="96" t="str">
        <f t="shared" si="77"/>
        <v>0011-1010-0024</v>
      </c>
      <c r="L2141" s="96" t="str">
        <f>VLOOKUP(K2141,COA!$A$3:$B$337,2,FALSE)</f>
        <v>S14</v>
      </c>
      <c r="M2141" s="96" t="str">
        <f t="shared" si="78"/>
        <v>S14</v>
      </c>
      <c r="N2141" s="96" t="str">
        <f>VLOOKUP(M2141,CAC!$A$2:$B$198,2,FALSE)</f>
        <v>HMOSG</v>
      </c>
    </row>
    <row r="2142" spans="5:14" x14ac:dyDescent="0.25">
      <c r="E2142" s="136">
        <v>201708</v>
      </c>
      <c r="F2142" s="138" t="s">
        <v>563</v>
      </c>
      <c r="G2142" s="138" t="s">
        <v>348</v>
      </c>
      <c r="H2142" s="138" t="s">
        <v>353</v>
      </c>
      <c r="I2142" s="139">
        <v>0</v>
      </c>
      <c r="K2142" s="96" t="str">
        <f t="shared" si="77"/>
        <v>0003-1010-0023</v>
      </c>
      <c r="L2142" s="96" t="str">
        <f>VLOOKUP(K2142,COA!$A$3:$B$337,2,FALSE)</f>
        <v>S54</v>
      </c>
      <c r="M2142" s="96" t="str">
        <f t="shared" si="78"/>
        <v>S54</v>
      </c>
      <c r="N2142" s="96" t="str">
        <f>VLOOKUP(M2142,CAC!$A$2:$B$198,2,FALSE)</f>
        <v>PPOSG</v>
      </c>
    </row>
    <row r="2143" spans="5:14" x14ac:dyDescent="0.25">
      <c r="E2143" s="136">
        <v>201505</v>
      </c>
      <c r="F2143" s="138" t="s">
        <v>563</v>
      </c>
      <c r="G2143" s="138" t="s">
        <v>352</v>
      </c>
      <c r="H2143" s="138" t="s">
        <v>344</v>
      </c>
      <c r="I2143" s="139">
        <v>0</v>
      </c>
      <c r="K2143" s="96" t="str">
        <f t="shared" si="77"/>
        <v>0003-1004-0012</v>
      </c>
      <c r="L2143" s="96" t="str">
        <f>VLOOKUP(K2143,COA!$A$3:$B$337,2,FALSE)</f>
        <v>L51</v>
      </c>
      <c r="M2143" s="96" t="str">
        <f t="shared" si="78"/>
        <v>L51</v>
      </c>
      <c r="N2143" s="96" t="str">
        <f>VLOOKUP(M2143,CAC!$A$2:$B$198,2,FALSE)</f>
        <v>PPOLG</v>
      </c>
    </row>
    <row r="2144" spans="5:14" x14ac:dyDescent="0.25">
      <c r="E2144" s="136">
        <v>201801</v>
      </c>
      <c r="F2144" s="138" t="s">
        <v>345</v>
      </c>
      <c r="G2144" s="138" t="s">
        <v>348</v>
      </c>
      <c r="H2144" s="138" t="s">
        <v>358</v>
      </c>
      <c r="I2144" s="139">
        <v>495</v>
      </c>
      <c r="K2144" s="96" t="str">
        <f t="shared" si="77"/>
        <v>0011-1010-0024</v>
      </c>
      <c r="L2144" s="96" t="str">
        <f>VLOOKUP(K2144,COA!$A$3:$B$337,2,FALSE)</f>
        <v>S14</v>
      </c>
      <c r="M2144" s="96" t="str">
        <f t="shared" si="78"/>
        <v>S14</v>
      </c>
      <c r="N2144" s="96" t="str">
        <f>VLOOKUP(M2144,CAC!$A$2:$B$198,2,FALSE)</f>
        <v>HMOSG</v>
      </c>
    </row>
    <row r="2145" spans="5:14" x14ac:dyDescent="0.25">
      <c r="E2145" s="136">
        <v>201507</v>
      </c>
      <c r="F2145" s="138" t="s">
        <v>345</v>
      </c>
      <c r="G2145" s="138" t="s">
        <v>348</v>
      </c>
      <c r="H2145" s="138" t="s">
        <v>358</v>
      </c>
      <c r="I2145" s="139">
        <v>61</v>
      </c>
      <c r="K2145" s="96" t="str">
        <f t="shared" si="77"/>
        <v>0011-1010-0024</v>
      </c>
      <c r="L2145" s="96" t="str">
        <f>VLOOKUP(K2145,COA!$A$3:$B$337,2,FALSE)</f>
        <v>S14</v>
      </c>
      <c r="M2145" s="96" t="str">
        <f t="shared" si="78"/>
        <v>S14</v>
      </c>
      <c r="N2145" s="96" t="str">
        <f>VLOOKUP(M2145,CAC!$A$2:$B$198,2,FALSE)</f>
        <v>HMOSG</v>
      </c>
    </row>
    <row r="2146" spans="5:14" x14ac:dyDescent="0.25">
      <c r="E2146" s="136">
        <v>201702</v>
      </c>
      <c r="F2146" s="138" t="s">
        <v>344</v>
      </c>
      <c r="G2146" s="138" t="s">
        <v>355</v>
      </c>
      <c r="H2146" s="138" t="s">
        <v>344</v>
      </c>
      <c r="I2146" s="139">
        <v>41</v>
      </c>
      <c r="K2146" s="96" t="str">
        <f t="shared" si="77"/>
        <v>0012-1006-0012</v>
      </c>
      <c r="L2146" s="96" t="str">
        <f>VLOOKUP(K2146,COA!$A$3:$B$337,2,FALSE)</f>
        <v>L16</v>
      </c>
      <c r="M2146" s="96" t="str">
        <f t="shared" si="78"/>
        <v>L16</v>
      </c>
      <c r="N2146" s="96" t="str">
        <f>VLOOKUP(M2146,CAC!$A$2:$B$198,2,FALSE)</f>
        <v>HMOLG</v>
      </c>
    </row>
    <row r="2147" spans="5:14" x14ac:dyDescent="0.25">
      <c r="E2147" s="136">
        <v>201509</v>
      </c>
      <c r="F2147" s="138" t="s">
        <v>563</v>
      </c>
      <c r="G2147" s="138" t="s">
        <v>365</v>
      </c>
      <c r="H2147" s="138" t="s">
        <v>367</v>
      </c>
      <c r="I2147" s="139">
        <v>0</v>
      </c>
      <c r="K2147" s="96" t="str">
        <f t="shared" si="77"/>
        <v>0003-1001-0022</v>
      </c>
      <c r="L2147" s="96" t="str">
        <f>VLOOKUP(K2147,COA!$A$3:$B$337,2,FALSE)</f>
        <v>V54</v>
      </c>
      <c r="M2147" s="96" t="str">
        <f t="shared" si="78"/>
        <v>V54</v>
      </c>
      <c r="N2147" s="96" t="str">
        <f>VLOOKUP(M2147,CAC!$A$2:$B$198,2,FALSE)</f>
        <v>PPOIFP</v>
      </c>
    </row>
    <row r="2148" spans="5:14" x14ac:dyDescent="0.25">
      <c r="E2148" s="136">
        <v>201602</v>
      </c>
      <c r="F2148" s="138" t="s">
        <v>563</v>
      </c>
      <c r="G2148" s="138" t="s">
        <v>365</v>
      </c>
      <c r="H2148" s="138" t="s">
        <v>798</v>
      </c>
      <c r="I2148" s="139">
        <v>0</v>
      </c>
      <c r="K2148" s="96" t="str">
        <f t="shared" si="77"/>
        <v>0003-1001-0065</v>
      </c>
      <c r="L2148" s="96" t="str">
        <f>VLOOKUP(K2148,COA!$A$3:$B$337,2,FALSE)</f>
        <v>V55</v>
      </c>
      <c r="M2148" s="96" t="str">
        <f t="shared" si="78"/>
        <v>V55</v>
      </c>
      <c r="N2148" s="96" t="e">
        <f>VLOOKUP(M2148,CAC!$A$2:$B$198,2,FALSE)</f>
        <v>#N/A</v>
      </c>
    </row>
    <row r="2149" spans="5:14" x14ac:dyDescent="0.25">
      <c r="E2149" s="136">
        <v>201605</v>
      </c>
      <c r="F2149" s="138" t="s">
        <v>345</v>
      </c>
      <c r="G2149" s="138" t="s">
        <v>352</v>
      </c>
      <c r="H2149" s="138" t="s">
        <v>344</v>
      </c>
      <c r="I2149" s="139">
        <v>13529.3</v>
      </c>
      <c r="K2149" s="96" t="str">
        <f t="shared" si="77"/>
        <v>0011-1004-0012</v>
      </c>
      <c r="L2149" s="96" t="str">
        <f>VLOOKUP(K2149,COA!$A$3:$B$337,2,FALSE)</f>
        <v>L11</v>
      </c>
      <c r="M2149" s="96" t="str">
        <f t="shared" si="78"/>
        <v>L11</v>
      </c>
      <c r="N2149" s="96" t="str">
        <f>VLOOKUP(M2149,CAC!$A$2:$B$198,2,FALSE)</f>
        <v>HMOLG</v>
      </c>
    </row>
    <row r="2150" spans="5:14" x14ac:dyDescent="0.25">
      <c r="E2150" s="136">
        <v>201612</v>
      </c>
      <c r="F2150" s="138" t="s">
        <v>344</v>
      </c>
      <c r="G2150" s="138" t="s">
        <v>356</v>
      </c>
      <c r="H2150" s="138" t="s">
        <v>344</v>
      </c>
      <c r="I2150" s="139">
        <v>4130.4799999999996</v>
      </c>
      <c r="K2150" s="96" t="str">
        <f t="shared" si="77"/>
        <v>0012-1002-0012</v>
      </c>
      <c r="L2150" s="96" t="str">
        <f>VLOOKUP(K2150,COA!$A$3:$B$337,2,FALSE)</f>
        <v>F22</v>
      </c>
      <c r="M2150" s="96" t="str">
        <f t="shared" si="78"/>
        <v>F22</v>
      </c>
      <c r="N2150" s="96" t="str">
        <f>VLOOKUP(M2150,CAC!$A$2:$B$198,2,FALSE)</f>
        <v>HMOPMR</v>
      </c>
    </row>
    <row r="2151" spans="5:14" x14ac:dyDescent="0.25">
      <c r="E2151" s="136">
        <v>201611</v>
      </c>
      <c r="F2151" s="138" t="s">
        <v>345</v>
      </c>
      <c r="G2151" s="138" t="s">
        <v>348</v>
      </c>
      <c r="H2151" s="138" t="s">
        <v>353</v>
      </c>
      <c r="I2151" s="139">
        <v>315</v>
      </c>
      <c r="K2151" s="96" t="str">
        <f t="shared" si="77"/>
        <v>0011-1010-0023</v>
      </c>
      <c r="L2151" s="96" t="str">
        <f>VLOOKUP(K2151,COA!$A$3:$B$337,2,FALSE)</f>
        <v>S13</v>
      </c>
      <c r="M2151" s="96" t="str">
        <f t="shared" si="78"/>
        <v>S13</v>
      </c>
      <c r="N2151" s="96" t="str">
        <f>VLOOKUP(M2151,CAC!$A$2:$B$198,2,FALSE)</f>
        <v>HMOSG</v>
      </c>
    </row>
    <row r="2152" spans="5:14" x14ac:dyDescent="0.25">
      <c r="E2152" s="136">
        <v>201505</v>
      </c>
      <c r="F2152" s="138" t="s">
        <v>413</v>
      </c>
      <c r="G2152" s="138" t="s">
        <v>355</v>
      </c>
      <c r="H2152" s="138" t="s">
        <v>344</v>
      </c>
      <c r="I2152" s="139">
        <v>0</v>
      </c>
      <c r="K2152" s="96" t="str">
        <f t="shared" si="77"/>
        <v>0008-1006-0012</v>
      </c>
      <c r="L2152" s="96" t="str">
        <f>VLOOKUP(K2152,COA!$A$3:$B$337,2,FALSE)</f>
        <v>C96</v>
      </c>
      <c r="M2152" s="96" t="str">
        <f t="shared" si="78"/>
        <v>C96</v>
      </c>
      <c r="N2152" s="96" t="str">
        <f>VLOOKUP(M2152,CAC!$A$2:$B$198,2,FALSE)</f>
        <v>DOILG</v>
      </c>
    </row>
    <row r="2153" spans="5:14" x14ac:dyDescent="0.25">
      <c r="E2153" s="136">
        <v>201504</v>
      </c>
      <c r="F2153" s="138" t="s">
        <v>563</v>
      </c>
      <c r="G2153" s="138" t="s">
        <v>354</v>
      </c>
      <c r="H2153" s="138" t="s">
        <v>344</v>
      </c>
      <c r="I2153" s="139">
        <v>0</v>
      </c>
      <c r="K2153" s="96" t="str">
        <f t="shared" si="77"/>
        <v>0003-1013-0012</v>
      </c>
      <c r="L2153" s="96" t="str">
        <f>VLOOKUP(K2153,COA!$A$3:$B$337,2,FALSE)</f>
        <v>N55</v>
      </c>
      <c r="M2153" s="96" t="str">
        <f t="shared" si="78"/>
        <v>N55</v>
      </c>
      <c r="N2153" s="96" t="str">
        <f>VLOOKUP(M2153,CAC!$A$2:$B$198,2,FALSE)</f>
        <v>PPOPMR</v>
      </c>
    </row>
    <row r="2154" spans="5:14" x14ac:dyDescent="0.25">
      <c r="E2154" s="136">
        <v>201505</v>
      </c>
      <c r="F2154" s="138" t="s">
        <v>746</v>
      </c>
      <c r="G2154" s="138" t="s">
        <v>352</v>
      </c>
      <c r="H2154" s="138" t="s">
        <v>344</v>
      </c>
      <c r="I2154" s="139">
        <v>0</v>
      </c>
      <c r="K2154" s="96" t="str">
        <f t="shared" si="77"/>
        <v>0016-1004-0012</v>
      </c>
      <c r="L2154" s="96" t="str">
        <f>VLOOKUP(K2154,COA!$A$3:$B$337,2,FALSE)</f>
        <v>R20</v>
      </c>
      <c r="M2154" s="96" t="str">
        <f t="shared" si="78"/>
        <v>R20</v>
      </c>
      <c r="N2154" s="96" t="str">
        <f>VLOOKUP(M2154,CAC!$A$2:$B$198,2,FALSE)</f>
        <v>HMOMG</v>
      </c>
    </row>
    <row r="2155" spans="5:14" x14ac:dyDescent="0.25">
      <c r="E2155" s="136">
        <v>201505</v>
      </c>
      <c r="F2155" s="138" t="s">
        <v>563</v>
      </c>
      <c r="G2155" s="138" t="s">
        <v>365</v>
      </c>
      <c r="H2155" s="138" t="s">
        <v>366</v>
      </c>
      <c r="I2155" s="139">
        <v>0</v>
      </c>
      <c r="K2155" s="96" t="str">
        <f t="shared" si="77"/>
        <v>0003-1001-0021</v>
      </c>
      <c r="L2155" s="96" t="str">
        <f>VLOOKUP(K2155,COA!$A$3:$B$337,2,FALSE)</f>
        <v>V53</v>
      </c>
      <c r="M2155" s="96" t="str">
        <f t="shared" si="78"/>
        <v>V53</v>
      </c>
      <c r="N2155" s="96" t="str">
        <f>VLOOKUP(M2155,CAC!$A$2:$B$198,2,FALSE)</f>
        <v>PPOIFP</v>
      </c>
    </row>
    <row r="2156" spans="5:14" x14ac:dyDescent="0.25">
      <c r="E2156" s="136">
        <v>201503</v>
      </c>
      <c r="F2156" s="138" t="s">
        <v>563</v>
      </c>
      <c r="G2156" s="138" t="s">
        <v>365</v>
      </c>
      <c r="H2156" s="138" t="s">
        <v>366</v>
      </c>
      <c r="I2156" s="139">
        <v>0</v>
      </c>
      <c r="K2156" s="96" t="str">
        <f t="shared" si="77"/>
        <v>0003-1001-0021</v>
      </c>
      <c r="L2156" s="96" t="str">
        <f>VLOOKUP(K2156,COA!$A$3:$B$337,2,FALSE)</f>
        <v>V53</v>
      </c>
      <c r="M2156" s="96" t="str">
        <f t="shared" si="78"/>
        <v>V53</v>
      </c>
      <c r="N2156" s="96" t="str">
        <f>VLOOKUP(M2156,CAC!$A$2:$B$198,2,FALSE)</f>
        <v>PPOIFP</v>
      </c>
    </row>
    <row r="2157" spans="5:14" x14ac:dyDescent="0.25">
      <c r="E2157" s="136">
        <v>201509</v>
      </c>
      <c r="F2157" s="138" t="s">
        <v>506</v>
      </c>
      <c r="G2157" s="138" t="s">
        <v>354</v>
      </c>
      <c r="H2157" s="138" t="s">
        <v>592</v>
      </c>
      <c r="I2157" s="139">
        <v>0</v>
      </c>
      <c r="K2157" s="96" t="str">
        <f t="shared" si="77"/>
        <v>0013-1013-0035</v>
      </c>
      <c r="L2157" s="96" t="str">
        <f>VLOOKUP(K2157,COA!$A$3:$B$337,2,FALSE)</f>
        <v>N44</v>
      </c>
      <c r="M2157" s="96" t="str">
        <f t="shared" si="78"/>
        <v>N44</v>
      </c>
      <c r="N2157" s="96" t="e">
        <f>VLOOKUP(M2157,CAC!$A$2:$B$198,2,FALSE)</f>
        <v>#N/A</v>
      </c>
    </row>
    <row r="2158" spans="5:14" x14ac:dyDescent="0.25">
      <c r="E2158" s="136">
        <v>201510</v>
      </c>
      <c r="F2158" s="138" t="s">
        <v>563</v>
      </c>
      <c r="G2158" s="138" t="s">
        <v>365</v>
      </c>
      <c r="H2158" s="138" t="s">
        <v>411</v>
      </c>
      <c r="I2158" s="139">
        <v>0</v>
      </c>
      <c r="K2158" s="96" t="str">
        <f t="shared" si="77"/>
        <v>0003-1001-0007</v>
      </c>
      <c r="L2158" s="96" t="str">
        <f>VLOOKUP(K2158,COA!$A$3:$B$337,2,FALSE)</f>
        <v>V52</v>
      </c>
      <c r="M2158" s="96" t="str">
        <f t="shared" si="78"/>
        <v>V52</v>
      </c>
      <c r="N2158" s="96" t="str">
        <f>VLOOKUP(M2158,CAC!$A$2:$B$198,2,FALSE)</f>
        <v>PPOIFP</v>
      </c>
    </row>
    <row r="2159" spans="5:14" x14ac:dyDescent="0.25">
      <c r="E2159" s="136">
        <v>201605</v>
      </c>
      <c r="F2159" s="138" t="s">
        <v>345</v>
      </c>
      <c r="G2159" s="138" t="s">
        <v>351</v>
      </c>
      <c r="H2159" s="138" t="s">
        <v>353</v>
      </c>
      <c r="I2159" s="139">
        <v>0</v>
      </c>
      <c r="K2159" s="96" t="str">
        <f t="shared" si="77"/>
        <v>0011-0000-0023</v>
      </c>
      <c r="L2159" s="96" t="e">
        <f>VLOOKUP(K2159,COA!$A$3:$B$337,2,FALSE)</f>
        <v>#N/A</v>
      </c>
      <c r="M2159" s="96" t="str">
        <f t="shared" si="78"/>
        <v>XXX</v>
      </c>
      <c r="N2159" s="96" t="str">
        <f>VLOOKUP(M2159,CAC!$A$2:$B$198,2,FALSE)</f>
        <v>XXX</v>
      </c>
    </row>
    <row r="2160" spans="5:14" x14ac:dyDescent="0.25">
      <c r="E2160" s="136">
        <v>201607</v>
      </c>
      <c r="F2160" s="138" t="s">
        <v>563</v>
      </c>
      <c r="G2160" s="138" t="s">
        <v>359</v>
      </c>
      <c r="H2160" s="138" t="s">
        <v>344</v>
      </c>
      <c r="I2160" s="139">
        <v>0</v>
      </c>
      <c r="K2160" s="96" t="str">
        <f t="shared" si="77"/>
        <v>0003-1005-0012</v>
      </c>
      <c r="L2160" s="96" t="str">
        <f>VLOOKUP(K2160,COA!$A$3:$B$337,2,FALSE)</f>
        <v>N51</v>
      </c>
      <c r="M2160" s="96" t="str">
        <f t="shared" si="78"/>
        <v>N51</v>
      </c>
      <c r="N2160" s="96" t="str">
        <f>VLOOKUP(M2160,CAC!$A$2:$B$198,2,FALSE)</f>
        <v>PPOLG</v>
      </c>
    </row>
    <row r="2161" spans="5:14" x14ac:dyDescent="0.25">
      <c r="E2161" s="136">
        <v>201507</v>
      </c>
      <c r="F2161" s="138" t="s">
        <v>506</v>
      </c>
      <c r="G2161" s="138" t="s">
        <v>354</v>
      </c>
      <c r="H2161" s="138" t="s">
        <v>592</v>
      </c>
      <c r="I2161" s="139">
        <v>0</v>
      </c>
      <c r="K2161" s="96" t="str">
        <f t="shared" si="77"/>
        <v>0013-1013-0035</v>
      </c>
      <c r="L2161" s="96" t="str">
        <f>VLOOKUP(K2161,COA!$A$3:$B$337,2,FALSE)</f>
        <v>N44</v>
      </c>
      <c r="M2161" s="96" t="str">
        <f t="shared" si="78"/>
        <v>N44</v>
      </c>
      <c r="N2161" s="96" t="e">
        <f>VLOOKUP(M2161,CAC!$A$2:$B$198,2,FALSE)</f>
        <v>#N/A</v>
      </c>
    </row>
    <row r="2162" spans="5:14" x14ac:dyDescent="0.25">
      <c r="E2162" s="136">
        <v>201706</v>
      </c>
      <c r="F2162" s="138" t="s">
        <v>345</v>
      </c>
      <c r="G2162" s="138" t="s">
        <v>350</v>
      </c>
      <c r="H2162" s="138" t="s">
        <v>344</v>
      </c>
      <c r="I2162" s="139">
        <v>17428.439999999999</v>
      </c>
      <c r="K2162" s="96" t="str">
        <f t="shared" si="77"/>
        <v>0011-1012-0012</v>
      </c>
      <c r="L2162" s="96" t="str">
        <f>VLOOKUP(K2162,COA!$A$3:$B$337,2,FALSE)</f>
        <v>K11</v>
      </c>
      <c r="M2162" s="96" t="str">
        <f t="shared" si="78"/>
        <v>K11</v>
      </c>
      <c r="N2162" s="96" t="str">
        <f>VLOOKUP(M2162,CAC!$A$2:$B$198,2,FALSE)</f>
        <v>HMOPMR</v>
      </c>
    </row>
    <row r="2163" spans="5:14" x14ac:dyDescent="0.25">
      <c r="E2163" s="136">
        <v>201801</v>
      </c>
      <c r="F2163" s="138" t="s">
        <v>506</v>
      </c>
      <c r="G2163" s="138" t="s">
        <v>354</v>
      </c>
      <c r="H2163" s="138" t="s">
        <v>592</v>
      </c>
      <c r="I2163" s="139">
        <v>0</v>
      </c>
      <c r="K2163" s="96" t="str">
        <f t="shared" si="77"/>
        <v>0013-1013-0035</v>
      </c>
      <c r="L2163" s="96" t="str">
        <f>VLOOKUP(K2163,COA!$A$3:$B$337,2,FALSE)</f>
        <v>N44</v>
      </c>
      <c r="M2163" s="96" t="str">
        <f t="shared" si="78"/>
        <v>N44</v>
      </c>
      <c r="N2163" s="96" t="e">
        <f>VLOOKUP(M2163,CAC!$A$2:$B$198,2,FALSE)</f>
        <v>#N/A</v>
      </c>
    </row>
    <row r="2164" spans="5:14" x14ac:dyDescent="0.25">
      <c r="E2164" s="136">
        <v>201506</v>
      </c>
      <c r="F2164" s="138" t="s">
        <v>345</v>
      </c>
      <c r="G2164" s="138" t="s">
        <v>350</v>
      </c>
      <c r="H2164" s="138" t="s">
        <v>344</v>
      </c>
      <c r="I2164" s="139">
        <v>6922</v>
      </c>
      <c r="K2164" s="96" t="str">
        <f t="shared" si="77"/>
        <v>0011-1012-0012</v>
      </c>
      <c r="L2164" s="96" t="str">
        <f>VLOOKUP(K2164,COA!$A$3:$B$337,2,FALSE)</f>
        <v>K11</v>
      </c>
      <c r="M2164" s="96" t="str">
        <f t="shared" si="78"/>
        <v>K11</v>
      </c>
      <c r="N2164" s="96" t="str">
        <f>VLOOKUP(M2164,CAC!$A$2:$B$198,2,FALSE)</f>
        <v>HMOPMR</v>
      </c>
    </row>
    <row r="2165" spans="5:14" x14ac:dyDescent="0.25">
      <c r="E2165" s="136">
        <v>201711</v>
      </c>
      <c r="F2165" s="138" t="s">
        <v>413</v>
      </c>
      <c r="G2165" s="138" t="s">
        <v>359</v>
      </c>
      <c r="H2165" s="138" t="s">
        <v>344</v>
      </c>
      <c r="I2165" s="139">
        <v>0</v>
      </c>
      <c r="K2165" s="96" t="str">
        <f t="shared" si="77"/>
        <v>0008-1005-0012</v>
      </c>
      <c r="L2165" s="96" t="str">
        <f>VLOOKUP(K2165,COA!$A$3:$B$337,2,FALSE)</f>
        <v>C73</v>
      </c>
      <c r="M2165" s="96" t="str">
        <f t="shared" si="78"/>
        <v>C73</v>
      </c>
      <c r="N2165" s="96" t="str">
        <f>VLOOKUP(M2165,CAC!$A$2:$B$198,2,FALSE)</f>
        <v>DOILG</v>
      </c>
    </row>
    <row r="2166" spans="5:14" x14ac:dyDescent="0.25">
      <c r="E2166" s="136">
        <v>201611</v>
      </c>
      <c r="F2166" s="138" t="s">
        <v>349</v>
      </c>
      <c r="G2166" s="138" t="s">
        <v>369</v>
      </c>
      <c r="H2166" s="138" t="s">
        <v>764</v>
      </c>
      <c r="I2166" s="139">
        <v>5653</v>
      </c>
      <c r="K2166" s="96" t="str">
        <f t="shared" si="77"/>
        <v>0017-1009-0064</v>
      </c>
      <c r="L2166" s="96" t="str">
        <f>VLOOKUP(K2166,COA!$A$3:$B$337,2,FALSE)</f>
        <v>R15</v>
      </c>
      <c r="M2166" s="96" t="str">
        <f t="shared" si="78"/>
        <v>R15</v>
      </c>
      <c r="N2166" s="96" t="str">
        <f>VLOOKUP(M2166,CAC!$A$2:$B$198,2,FALSE)</f>
        <v>HMOMM</v>
      </c>
    </row>
    <row r="2167" spans="5:14" x14ac:dyDescent="0.25">
      <c r="E2167" s="136">
        <v>201610</v>
      </c>
      <c r="F2167" s="138" t="s">
        <v>563</v>
      </c>
      <c r="G2167" s="138" t="s">
        <v>352</v>
      </c>
      <c r="H2167" s="138" t="s">
        <v>626</v>
      </c>
      <c r="I2167" s="139">
        <v>0</v>
      </c>
      <c r="K2167" s="96" t="str">
        <f t="shared" si="77"/>
        <v>0003-1004-0057</v>
      </c>
      <c r="L2167" s="96" t="e">
        <f>VLOOKUP(K2167,COA!$A$3:$B$337,2,FALSE)</f>
        <v>#N/A</v>
      </c>
      <c r="M2167" s="96" t="str">
        <f t="shared" si="78"/>
        <v>XXX</v>
      </c>
      <c r="N2167" s="96" t="str">
        <f>VLOOKUP(M2167,CAC!$A$2:$B$198,2,FALSE)</f>
        <v>XXX</v>
      </c>
    </row>
    <row r="2168" spans="5:14" x14ac:dyDescent="0.25">
      <c r="E2168" s="136">
        <v>201711</v>
      </c>
      <c r="F2168" s="138" t="s">
        <v>506</v>
      </c>
      <c r="G2168" s="138" t="s">
        <v>359</v>
      </c>
      <c r="H2168" s="138" t="s">
        <v>592</v>
      </c>
      <c r="I2168" s="139">
        <v>0</v>
      </c>
      <c r="K2168" s="96" t="str">
        <f t="shared" si="77"/>
        <v>0013-1005-0035</v>
      </c>
      <c r="L2168" s="96" t="str">
        <f>VLOOKUP(K2168,COA!$A$3:$B$337,2,FALSE)</f>
        <v>N41</v>
      </c>
      <c r="M2168" s="96" t="str">
        <f t="shared" si="78"/>
        <v>N41</v>
      </c>
      <c r="N2168" s="96" t="e">
        <f>VLOOKUP(M2168,CAC!$A$2:$B$198,2,FALSE)</f>
        <v>#N/A</v>
      </c>
    </row>
    <row r="2169" spans="5:14" x14ac:dyDescent="0.25">
      <c r="E2169" s="136">
        <v>201503</v>
      </c>
      <c r="F2169" s="138" t="s">
        <v>413</v>
      </c>
      <c r="G2169" s="138" t="s">
        <v>355</v>
      </c>
      <c r="H2169" s="138" t="s">
        <v>344</v>
      </c>
      <c r="I2169" s="139">
        <v>0</v>
      </c>
      <c r="K2169" s="96" t="str">
        <f t="shared" si="77"/>
        <v>0008-1006-0012</v>
      </c>
      <c r="L2169" s="96" t="str">
        <f>VLOOKUP(K2169,COA!$A$3:$B$337,2,FALSE)</f>
        <v>C96</v>
      </c>
      <c r="M2169" s="96" t="str">
        <f t="shared" si="78"/>
        <v>C96</v>
      </c>
      <c r="N2169" s="96" t="str">
        <f>VLOOKUP(M2169,CAC!$A$2:$B$198,2,FALSE)</f>
        <v>DOILG</v>
      </c>
    </row>
    <row r="2170" spans="5:14" x14ac:dyDescent="0.25">
      <c r="E2170" s="136">
        <v>201502</v>
      </c>
      <c r="F2170" s="138" t="s">
        <v>345</v>
      </c>
      <c r="G2170" s="138" t="s">
        <v>346</v>
      </c>
      <c r="H2170" s="138" t="s">
        <v>360</v>
      </c>
      <c r="I2170" s="139">
        <v>405</v>
      </c>
      <c r="K2170" s="96" t="str">
        <f t="shared" si="77"/>
        <v>0011-1014-0048</v>
      </c>
      <c r="L2170" s="96" t="str">
        <f>VLOOKUP(K2170,COA!$A$3:$B$337,2,FALSE)</f>
        <v>K23</v>
      </c>
      <c r="M2170" s="96" t="str">
        <f t="shared" si="78"/>
        <v>K23</v>
      </c>
      <c r="N2170" s="96" t="str">
        <f>VLOOKUP(M2170,CAC!$A$2:$B$198,2,FALSE)</f>
        <v>HMFLEX</v>
      </c>
    </row>
    <row r="2171" spans="5:14" x14ac:dyDescent="0.25">
      <c r="E2171" s="136">
        <v>201712</v>
      </c>
      <c r="F2171" s="138" t="s">
        <v>345</v>
      </c>
      <c r="G2171" s="138" t="s">
        <v>352</v>
      </c>
      <c r="H2171" s="138" t="s">
        <v>349</v>
      </c>
      <c r="I2171" s="139">
        <v>0.03</v>
      </c>
      <c r="K2171" s="96" t="str">
        <f t="shared" si="77"/>
        <v>0011-1004-0017</v>
      </c>
      <c r="L2171" s="96" t="e">
        <f>VLOOKUP(K2171,COA!$A$3:$B$337,2,FALSE)</f>
        <v>#N/A</v>
      </c>
      <c r="M2171" s="96" t="str">
        <f t="shared" si="78"/>
        <v>XXX</v>
      </c>
      <c r="N2171" s="96" t="str">
        <f>VLOOKUP(M2171,CAC!$A$2:$B$198,2,FALSE)</f>
        <v>XXX</v>
      </c>
    </row>
    <row r="2172" spans="5:14" x14ac:dyDescent="0.25">
      <c r="E2172" s="136">
        <v>201801</v>
      </c>
      <c r="F2172" s="138" t="s">
        <v>506</v>
      </c>
      <c r="G2172" s="138" t="s">
        <v>346</v>
      </c>
      <c r="H2172" s="138" t="s">
        <v>592</v>
      </c>
      <c r="I2172" s="139">
        <v>0</v>
      </c>
      <c r="K2172" s="96" t="str">
        <f t="shared" si="77"/>
        <v>0013-1014-0035</v>
      </c>
      <c r="L2172" s="96" t="str">
        <f>VLOOKUP(K2172,COA!$A$3:$B$337,2,FALSE)</f>
        <v>K42</v>
      </c>
      <c r="M2172" s="96" t="str">
        <f t="shared" si="78"/>
        <v>K42</v>
      </c>
      <c r="N2172" s="96" t="str">
        <f>VLOOKUP(M2172,CAC!$A$2:$B$198,2,FALSE)</f>
        <v>HMFLEX</v>
      </c>
    </row>
    <row r="2173" spans="5:14" x14ac:dyDescent="0.25">
      <c r="E2173" s="136">
        <v>201508</v>
      </c>
      <c r="F2173" s="138" t="s">
        <v>344</v>
      </c>
      <c r="G2173" s="138" t="s">
        <v>355</v>
      </c>
      <c r="H2173" s="138" t="s">
        <v>344</v>
      </c>
      <c r="I2173" s="139">
        <v>237</v>
      </c>
      <c r="K2173" s="96" t="str">
        <f t="shared" si="77"/>
        <v>0012-1006-0012</v>
      </c>
      <c r="L2173" s="96" t="str">
        <f>VLOOKUP(K2173,COA!$A$3:$B$337,2,FALSE)</f>
        <v>L16</v>
      </c>
      <c r="M2173" s="96" t="str">
        <f t="shared" si="78"/>
        <v>L16</v>
      </c>
      <c r="N2173" s="96" t="str">
        <f>VLOOKUP(M2173,CAC!$A$2:$B$198,2,FALSE)</f>
        <v>HMOLG</v>
      </c>
    </row>
    <row r="2174" spans="5:14" x14ac:dyDescent="0.25">
      <c r="E2174" s="136">
        <v>201505</v>
      </c>
      <c r="F2174" s="138" t="s">
        <v>563</v>
      </c>
      <c r="G2174" s="138" t="s">
        <v>365</v>
      </c>
      <c r="H2174" s="138" t="s">
        <v>411</v>
      </c>
      <c r="I2174" s="139">
        <v>0</v>
      </c>
      <c r="K2174" s="96" t="str">
        <f t="shared" si="77"/>
        <v>0003-1001-0007</v>
      </c>
      <c r="L2174" s="96" t="str">
        <f>VLOOKUP(K2174,COA!$A$3:$B$337,2,FALSE)</f>
        <v>V52</v>
      </c>
      <c r="M2174" s="96" t="str">
        <f t="shared" si="78"/>
        <v>V52</v>
      </c>
      <c r="N2174" s="96" t="str">
        <f>VLOOKUP(M2174,CAC!$A$2:$B$198,2,FALSE)</f>
        <v>PPOIFP</v>
      </c>
    </row>
    <row r="2175" spans="5:14" x14ac:dyDescent="0.25">
      <c r="E2175" s="136">
        <v>201608</v>
      </c>
      <c r="F2175" s="138" t="s">
        <v>345</v>
      </c>
      <c r="G2175" s="138" t="s">
        <v>352</v>
      </c>
      <c r="H2175" s="138" t="s">
        <v>357</v>
      </c>
      <c r="I2175" s="139">
        <v>292</v>
      </c>
      <c r="K2175" s="96" t="str">
        <f t="shared" si="77"/>
        <v>0011-1004-0038</v>
      </c>
      <c r="L2175" s="96" t="str">
        <f>VLOOKUP(K2175,COA!$A$3:$B$337,2,FALSE)</f>
        <v>L14</v>
      </c>
      <c r="M2175" s="96" t="str">
        <f t="shared" si="78"/>
        <v>L14</v>
      </c>
      <c r="N2175" s="96" t="str">
        <f>VLOOKUP(M2175,CAC!$A$2:$B$198,2,FALSE)</f>
        <v>HMOLG</v>
      </c>
    </row>
    <row r="2176" spans="5:14" x14ac:dyDescent="0.25">
      <c r="E2176" s="136">
        <v>201712</v>
      </c>
      <c r="F2176" s="138" t="s">
        <v>413</v>
      </c>
      <c r="G2176" s="138" t="s">
        <v>365</v>
      </c>
      <c r="H2176" s="138" t="s">
        <v>344</v>
      </c>
      <c r="I2176" s="139">
        <v>0</v>
      </c>
      <c r="K2176" s="96" t="str">
        <f t="shared" si="77"/>
        <v>0008-1001-0012</v>
      </c>
      <c r="L2176" s="96" t="str">
        <f>VLOOKUP(K2176,COA!$A$3:$B$337,2,FALSE)</f>
        <v>C95</v>
      </c>
      <c r="M2176" s="96" t="str">
        <f t="shared" si="78"/>
        <v>C95</v>
      </c>
      <c r="N2176" s="96" t="str">
        <f>VLOOKUP(M2176,CAC!$A$2:$B$198,2,FALSE)</f>
        <v>DOIIFP</v>
      </c>
    </row>
    <row r="2177" spans="5:14" x14ac:dyDescent="0.25">
      <c r="E2177" s="136">
        <v>201703</v>
      </c>
      <c r="F2177" s="138" t="s">
        <v>342</v>
      </c>
      <c r="G2177" s="138" t="s">
        <v>343</v>
      </c>
      <c r="H2177" s="138" t="s">
        <v>344</v>
      </c>
      <c r="I2177" s="139">
        <v>5704.72</v>
      </c>
      <c r="K2177" s="96" t="str">
        <f t="shared" si="77"/>
        <v>0031-1000-0012</v>
      </c>
      <c r="L2177" s="96" t="str">
        <f>VLOOKUP(K2177,COA!$A$3:$B$337,2,FALSE)</f>
        <v>F27</v>
      </c>
      <c r="M2177" s="96" t="str">
        <f t="shared" si="78"/>
        <v>F27</v>
      </c>
      <c r="N2177" s="96" t="str">
        <f>VLOOKUP(M2177,CAC!$A$2:$B$198,2,FALSE)</f>
        <v>HMOFEP</v>
      </c>
    </row>
    <row r="2178" spans="5:14" x14ac:dyDescent="0.25">
      <c r="E2178" s="136">
        <v>201612</v>
      </c>
      <c r="F2178" s="138" t="s">
        <v>563</v>
      </c>
      <c r="G2178" s="138" t="s">
        <v>365</v>
      </c>
      <c r="H2178" s="138" t="s">
        <v>344</v>
      </c>
      <c r="I2178" s="139">
        <v>0</v>
      </c>
      <c r="K2178" s="96" t="str">
        <f t="shared" si="77"/>
        <v>0003-1001-0012</v>
      </c>
      <c r="L2178" s="96" t="str">
        <f>VLOOKUP(K2178,COA!$A$3:$B$337,2,FALSE)</f>
        <v>V51</v>
      </c>
      <c r="M2178" s="96" t="str">
        <f t="shared" si="78"/>
        <v>V51</v>
      </c>
      <c r="N2178" s="96" t="str">
        <f>VLOOKUP(M2178,CAC!$A$2:$B$198,2,FALSE)</f>
        <v>PPOIFP</v>
      </c>
    </row>
    <row r="2179" spans="5:14" x14ac:dyDescent="0.25">
      <c r="E2179" s="136">
        <v>201503</v>
      </c>
      <c r="F2179" s="138" t="s">
        <v>345</v>
      </c>
      <c r="G2179" s="138" t="s">
        <v>346</v>
      </c>
      <c r="H2179" s="138" t="s">
        <v>360</v>
      </c>
      <c r="I2179" s="139">
        <v>414</v>
      </c>
      <c r="K2179" s="96" t="str">
        <f t="shared" ref="K2179:K2242" si="79">F2179&amp;"-"&amp;G2179&amp;"-"&amp;H2179</f>
        <v>0011-1014-0048</v>
      </c>
      <c r="L2179" s="96" t="str">
        <f>VLOOKUP(K2179,COA!$A$3:$B$337,2,FALSE)</f>
        <v>K23</v>
      </c>
      <c r="M2179" s="96" t="str">
        <f t="shared" si="78"/>
        <v>K23</v>
      </c>
      <c r="N2179" s="96" t="str">
        <f>VLOOKUP(M2179,CAC!$A$2:$B$198,2,FALSE)</f>
        <v>HMFLEX</v>
      </c>
    </row>
    <row r="2180" spans="5:14" x14ac:dyDescent="0.25">
      <c r="E2180" s="136">
        <v>201605</v>
      </c>
      <c r="F2180" s="138" t="s">
        <v>413</v>
      </c>
      <c r="G2180" s="138" t="s">
        <v>355</v>
      </c>
      <c r="H2180" s="138" t="s">
        <v>344</v>
      </c>
      <c r="I2180" s="139">
        <v>0</v>
      </c>
      <c r="K2180" s="96" t="str">
        <f t="shared" si="79"/>
        <v>0008-1006-0012</v>
      </c>
      <c r="L2180" s="96" t="str">
        <f>VLOOKUP(K2180,COA!$A$3:$B$337,2,FALSE)</f>
        <v>C96</v>
      </c>
      <c r="M2180" s="96" t="str">
        <f t="shared" ref="M2180:M2243" si="80">IF(ISNA(L2180),"XXX",L2180)</f>
        <v>C96</v>
      </c>
      <c r="N2180" s="96" t="str">
        <f>VLOOKUP(M2180,CAC!$A$2:$B$198,2,FALSE)</f>
        <v>DOILG</v>
      </c>
    </row>
    <row r="2181" spans="5:14" x14ac:dyDescent="0.25">
      <c r="E2181" s="136">
        <v>201711</v>
      </c>
      <c r="F2181" s="138" t="s">
        <v>506</v>
      </c>
      <c r="G2181" s="138" t="s">
        <v>352</v>
      </c>
      <c r="H2181" s="138" t="s">
        <v>592</v>
      </c>
      <c r="I2181" s="139">
        <v>0</v>
      </c>
      <c r="K2181" s="96" t="str">
        <f t="shared" si="79"/>
        <v>0013-1004-0035</v>
      </c>
      <c r="L2181" s="96" t="str">
        <f>VLOOKUP(K2181,COA!$A$3:$B$337,2,FALSE)</f>
        <v>L41</v>
      </c>
      <c r="M2181" s="96" t="str">
        <f t="shared" si="80"/>
        <v>L41</v>
      </c>
      <c r="N2181" s="96" t="e">
        <f>VLOOKUP(M2181,CAC!$A$2:$B$198,2,FALSE)</f>
        <v>#N/A</v>
      </c>
    </row>
    <row r="2182" spans="5:14" x14ac:dyDescent="0.25">
      <c r="E2182" s="136">
        <v>201705</v>
      </c>
      <c r="F2182" s="138" t="s">
        <v>345</v>
      </c>
      <c r="G2182" s="138" t="s">
        <v>352</v>
      </c>
      <c r="H2182" s="138" t="s">
        <v>357</v>
      </c>
      <c r="I2182" s="139">
        <v>1952.03</v>
      </c>
      <c r="K2182" s="96" t="str">
        <f t="shared" si="79"/>
        <v>0011-1004-0038</v>
      </c>
      <c r="L2182" s="96" t="str">
        <f>VLOOKUP(K2182,COA!$A$3:$B$337,2,FALSE)</f>
        <v>L14</v>
      </c>
      <c r="M2182" s="96" t="str">
        <f t="shared" si="80"/>
        <v>L14</v>
      </c>
      <c r="N2182" s="96" t="str">
        <f>VLOOKUP(M2182,CAC!$A$2:$B$198,2,FALSE)</f>
        <v>HMOLG</v>
      </c>
    </row>
    <row r="2183" spans="5:14" x14ac:dyDescent="0.25">
      <c r="E2183" s="136">
        <v>201610</v>
      </c>
      <c r="F2183" s="138" t="s">
        <v>746</v>
      </c>
      <c r="G2183" s="138" t="s">
        <v>352</v>
      </c>
      <c r="H2183" s="138" t="s">
        <v>344</v>
      </c>
      <c r="I2183" s="139">
        <v>0</v>
      </c>
      <c r="K2183" s="96" t="str">
        <f t="shared" si="79"/>
        <v>0016-1004-0012</v>
      </c>
      <c r="L2183" s="96" t="str">
        <f>VLOOKUP(K2183,COA!$A$3:$B$337,2,FALSE)</f>
        <v>R20</v>
      </c>
      <c r="M2183" s="96" t="str">
        <f t="shared" si="80"/>
        <v>R20</v>
      </c>
      <c r="N2183" s="96" t="str">
        <f>VLOOKUP(M2183,CAC!$A$2:$B$198,2,FALSE)</f>
        <v>HMOMG</v>
      </c>
    </row>
    <row r="2184" spans="5:14" x14ac:dyDescent="0.25">
      <c r="E2184" s="136">
        <v>201701</v>
      </c>
      <c r="F2184" s="138" t="s">
        <v>345</v>
      </c>
      <c r="G2184" s="138" t="s">
        <v>350</v>
      </c>
      <c r="H2184" s="138" t="s">
        <v>360</v>
      </c>
      <c r="I2184" s="139">
        <v>4036.03</v>
      </c>
      <c r="K2184" s="96" t="str">
        <f t="shared" si="79"/>
        <v>0011-1012-0048</v>
      </c>
      <c r="L2184" s="96" t="str">
        <f>VLOOKUP(K2184,COA!$A$3:$B$337,2,FALSE)</f>
        <v>K21</v>
      </c>
      <c r="M2184" s="96" t="str">
        <f t="shared" si="80"/>
        <v>K21</v>
      </c>
      <c r="N2184" s="96" t="str">
        <f>VLOOKUP(M2184,CAC!$A$2:$B$198,2,FALSE)</f>
        <v>HMFLEX</v>
      </c>
    </row>
    <row r="2185" spans="5:14" x14ac:dyDescent="0.25">
      <c r="E2185" s="136">
        <v>201603</v>
      </c>
      <c r="F2185" s="138" t="s">
        <v>344</v>
      </c>
      <c r="G2185" s="138" t="s">
        <v>352</v>
      </c>
      <c r="H2185" s="138" t="s">
        <v>344</v>
      </c>
      <c r="I2185" s="139">
        <v>437</v>
      </c>
      <c r="K2185" s="96" t="str">
        <f t="shared" si="79"/>
        <v>0012-1004-0012</v>
      </c>
      <c r="L2185" s="96" t="str">
        <f>VLOOKUP(K2185,COA!$A$3:$B$337,2,FALSE)</f>
        <v>L12</v>
      </c>
      <c r="M2185" s="96" t="str">
        <f t="shared" si="80"/>
        <v>L12</v>
      </c>
      <c r="N2185" s="96" t="str">
        <f>VLOOKUP(M2185,CAC!$A$2:$B$198,2,FALSE)</f>
        <v>HMOLG</v>
      </c>
    </row>
    <row r="2186" spans="5:14" x14ac:dyDescent="0.25">
      <c r="E2186" s="136">
        <v>201512</v>
      </c>
      <c r="F2186" s="138" t="s">
        <v>563</v>
      </c>
      <c r="G2186" s="138" t="s">
        <v>355</v>
      </c>
      <c r="H2186" s="138" t="s">
        <v>344</v>
      </c>
      <c r="I2186" s="139">
        <v>0</v>
      </c>
      <c r="K2186" s="96" t="str">
        <f t="shared" si="79"/>
        <v>0003-1006-0012</v>
      </c>
      <c r="L2186" s="96" t="str">
        <f>VLOOKUP(K2186,COA!$A$3:$B$337,2,FALSE)</f>
        <v>L52</v>
      </c>
      <c r="M2186" s="96" t="str">
        <f t="shared" si="80"/>
        <v>L52</v>
      </c>
      <c r="N2186" s="96" t="str">
        <f>VLOOKUP(M2186,CAC!$A$2:$B$198,2,FALSE)</f>
        <v>PPOLG</v>
      </c>
    </row>
    <row r="2187" spans="5:14" x14ac:dyDescent="0.25">
      <c r="E2187" s="136">
        <v>201707</v>
      </c>
      <c r="F2187" s="138" t="s">
        <v>413</v>
      </c>
      <c r="G2187" s="138" t="s">
        <v>365</v>
      </c>
      <c r="H2187" s="138" t="s">
        <v>344</v>
      </c>
      <c r="I2187" s="139">
        <v>0</v>
      </c>
      <c r="K2187" s="96" t="str">
        <f t="shared" si="79"/>
        <v>0008-1001-0012</v>
      </c>
      <c r="L2187" s="96" t="str">
        <f>VLOOKUP(K2187,COA!$A$3:$B$337,2,FALSE)</f>
        <v>C95</v>
      </c>
      <c r="M2187" s="96" t="str">
        <f t="shared" si="80"/>
        <v>C95</v>
      </c>
      <c r="N2187" s="96" t="str">
        <f>VLOOKUP(M2187,CAC!$A$2:$B$198,2,FALSE)</f>
        <v>DOIIFP</v>
      </c>
    </row>
    <row r="2188" spans="5:14" x14ac:dyDescent="0.25">
      <c r="E2188" s="136">
        <v>201709</v>
      </c>
      <c r="F2188" s="138" t="s">
        <v>563</v>
      </c>
      <c r="G2188" s="138" t="s">
        <v>352</v>
      </c>
      <c r="H2188" s="138" t="s">
        <v>653</v>
      </c>
      <c r="I2188" s="139">
        <v>0</v>
      </c>
      <c r="K2188" s="96" t="str">
        <f t="shared" si="79"/>
        <v>0003-1004-0047</v>
      </c>
      <c r="L2188" s="96" t="str">
        <f>VLOOKUP(K2188,COA!$A$3:$B$337,2,FALSE)</f>
        <v>L57</v>
      </c>
      <c r="M2188" s="96" t="str">
        <f t="shared" si="80"/>
        <v>L57</v>
      </c>
      <c r="N2188" s="96" t="str">
        <f>VLOOKUP(M2188,CAC!$A$2:$B$198,2,FALSE)</f>
        <v>PPOLG</v>
      </c>
    </row>
    <row r="2189" spans="5:14" x14ac:dyDescent="0.25">
      <c r="E2189" s="136">
        <v>201703</v>
      </c>
      <c r="F2189" s="138" t="s">
        <v>345</v>
      </c>
      <c r="G2189" s="138" t="s">
        <v>350</v>
      </c>
      <c r="H2189" s="138" t="s">
        <v>357</v>
      </c>
      <c r="I2189" s="139">
        <v>1229.3900000000001</v>
      </c>
      <c r="K2189" s="96" t="str">
        <f t="shared" si="79"/>
        <v>0011-1012-0038</v>
      </c>
      <c r="L2189" s="96" t="str">
        <f>VLOOKUP(K2189,COA!$A$3:$B$337,2,FALSE)</f>
        <v>K14</v>
      </c>
      <c r="M2189" s="96" t="str">
        <f t="shared" si="80"/>
        <v>K14</v>
      </c>
      <c r="N2189" s="96" t="str">
        <f>VLOOKUP(M2189,CAC!$A$2:$B$198,2,FALSE)</f>
        <v>HMOPMR</v>
      </c>
    </row>
    <row r="2190" spans="5:14" x14ac:dyDescent="0.25">
      <c r="E2190" s="136">
        <v>201506</v>
      </c>
      <c r="F2190" s="138" t="s">
        <v>345</v>
      </c>
      <c r="G2190" s="138" t="s">
        <v>348</v>
      </c>
      <c r="H2190" s="138" t="s">
        <v>358</v>
      </c>
      <c r="I2190" s="139">
        <v>57</v>
      </c>
      <c r="K2190" s="96" t="str">
        <f t="shared" si="79"/>
        <v>0011-1010-0024</v>
      </c>
      <c r="L2190" s="96" t="str">
        <f>VLOOKUP(K2190,COA!$A$3:$B$337,2,FALSE)</f>
        <v>S14</v>
      </c>
      <c r="M2190" s="96" t="str">
        <f t="shared" si="80"/>
        <v>S14</v>
      </c>
      <c r="N2190" s="96" t="str">
        <f>VLOOKUP(M2190,CAC!$A$2:$B$198,2,FALSE)</f>
        <v>HMOSG</v>
      </c>
    </row>
    <row r="2191" spans="5:14" x14ac:dyDescent="0.25">
      <c r="E2191" s="136">
        <v>201608</v>
      </c>
      <c r="F2191" s="138" t="s">
        <v>563</v>
      </c>
      <c r="G2191" s="138" t="s">
        <v>365</v>
      </c>
      <c r="H2191" s="138" t="s">
        <v>798</v>
      </c>
      <c r="I2191" s="139">
        <v>0</v>
      </c>
      <c r="K2191" s="96" t="str">
        <f t="shared" si="79"/>
        <v>0003-1001-0065</v>
      </c>
      <c r="L2191" s="96" t="str">
        <f>VLOOKUP(K2191,COA!$A$3:$B$337,2,FALSE)</f>
        <v>V55</v>
      </c>
      <c r="M2191" s="96" t="str">
        <f t="shared" si="80"/>
        <v>V55</v>
      </c>
      <c r="N2191" s="96" t="e">
        <f>VLOOKUP(M2191,CAC!$A$2:$B$198,2,FALSE)</f>
        <v>#N/A</v>
      </c>
    </row>
    <row r="2192" spans="5:14" x14ac:dyDescent="0.25">
      <c r="E2192" s="136">
        <v>201512</v>
      </c>
      <c r="F2192" s="138" t="s">
        <v>563</v>
      </c>
      <c r="G2192" s="138" t="s">
        <v>348</v>
      </c>
      <c r="H2192" s="138" t="s">
        <v>353</v>
      </c>
      <c r="I2192" s="139">
        <v>0</v>
      </c>
      <c r="K2192" s="96" t="str">
        <f t="shared" si="79"/>
        <v>0003-1010-0023</v>
      </c>
      <c r="L2192" s="96" t="str">
        <f>VLOOKUP(K2192,COA!$A$3:$B$337,2,FALSE)</f>
        <v>S54</v>
      </c>
      <c r="M2192" s="96" t="str">
        <f t="shared" si="80"/>
        <v>S54</v>
      </c>
      <c r="N2192" s="96" t="str">
        <f>VLOOKUP(M2192,CAC!$A$2:$B$198,2,FALSE)</f>
        <v>PPOSG</v>
      </c>
    </row>
    <row r="2193" spans="5:14" x14ac:dyDescent="0.25">
      <c r="E2193" s="136">
        <v>201711</v>
      </c>
      <c r="F2193" s="138" t="s">
        <v>345</v>
      </c>
      <c r="G2193" s="138" t="s">
        <v>352</v>
      </c>
      <c r="H2193" s="138" t="s">
        <v>357</v>
      </c>
      <c r="I2193" s="139">
        <v>18</v>
      </c>
      <c r="K2193" s="96" t="str">
        <f t="shared" si="79"/>
        <v>0011-1004-0038</v>
      </c>
      <c r="L2193" s="96" t="str">
        <f>VLOOKUP(K2193,COA!$A$3:$B$337,2,FALSE)</f>
        <v>L14</v>
      </c>
      <c r="M2193" s="96" t="str">
        <f t="shared" si="80"/>
        <v>L14</v>
      </c>
      <c r="N2193" s="96" t="str">
        <f>VLOOKUP(M2193,CAC!$A$2:$B$198,2,FALSE)</f>
        <v>HMOLG</v>
      </c>
    </row>
    <row r="2194" spans="5:14" x14ac:dyDescent="0.25">
      <c r="E2194" s="136">
        <v>201707</v>
      </c>
      <c r="F2194" s="138" t="s">
        <v>563</v>
      </c>
      <c r="G2194" s="138" t="s">
        <v>354</v>
      </c>
      <c r="H2194" s="138" t="s">
        <v>626</v>
      </c>
      <c r="I2194" s="139">
        <v>0</v>
      </c>
      <c r="K2194" s="96" t="str">
        <f t="shared" si="79"/>
        <v>0003-1013-0057</v>
      </c>
      <c r="L2194" s="96" t="str">
        <f>VLOOKUP(K2194,COA!$A$3:$B$337,2,FALSE)</f>
        <v>N55</v>
      </c>
      <c r="M2194" s="96" t="str">
        <f t="shared" si="80"/>
        <v>N55</v>
      </c>
      <c r="N2194" s="96" t="str">
        <f>VLOOKUP(M2194,CAC!$A$2:$B$198,2,FALSE)</f>
        <v>PPOPMR</v>
      </c>
    </row>
    <row r="2195" spans="5:14" x14ac:dyDescent="0.25">
      <c r="E2195" s="136">
        <v>201608</v>
      </c>
      <c r="F2195" s="138" t="s">
        <v>563</v>
      </c>
      <c r="G2195" s="138" t="s">
        <v>365</v>
      </c>
      <c r="H2195" s="138" t="s">
        <v>367</v>
      </c>
      <c r="I2195" s="139">
        <v>0</v>
      </c>
      <c r="K2195" s="96" t="str">
        <f t="shared" si="79"/>
        <v>0003-1001-0022</v>
      </c>
      <c r="L2195" s="96" t="str">
        <f>VLOOKUP(K2195,COA!$A$3:$B$337,2,FALSE)</f>
        <v>V54</v>
      </c>
      <c r="M2195" s="96" t="str">
        <f t="shared" si="80"/>
        <v>V54</v>
      </c>
      <c r="N2195" s="96" t="str">
        <f>VLOOKUP(M2195,CAC!$A$2:$B$198,2,FALSE)</f>
        <v>PPOIFP</v>
      </c>
    </row>
    <row r="2196" spans="5:14" x14ac:dyDescent="0.25">
      <c r="E2196" s="136">
        <v>201610</v>
      </c>
      <c r="F2196" s="138" t="s">
        <v>563</v>
      </c>
      <c r="G2196" s="138" t="s">
        <v>352</v>
      </c>
      <c r="H2196" s="138" t="s">
        <v>344</v>
      </c>
      <c r="I2196" s="139">
        <v>0</v>
      </c>
      <c r="K2196" s="96" t="str">
        <f t="shared" si="79"/>
        <v>0003-1004-0012</v>
      </c>
      <c r="L2196" s="96" t="str">
        <f>VLOOKUP(K2196,COA!$A$3:$B$337,2,FALSE)</f>
        <v>L51</v>
      </c>
      <c r="M2196" s="96" t="str">
        <f t="shared" si="80"/>
        <v>L51</v>
      </c>
      <c r="N2196" s="96" t="str">
        <f>VLOOKUP(M2196,CAC!$A$2:$B$198,2,FALSE)</f>
        <v>PPOLG</v>
      </c>
    </row>
    <row r="2197" spans="5:14" x14ac:dyDescent="0.25">
      <c r="E2197" s="136">
        <v>201701</v>
      </c>
      <c r="F2197" s="138" t="s">
        <v>344</v>
      </c>
      <c r="G2197" s="138" t="s">
        <v>359</v>
      </c>
      <c r="H2197" s="138" t="s">
        <v>344</v>
      </c>
      <c r="I2197" s="139">
        <v>143</v>
      </c>
      <c r="K2197" s="96" t="str">
        <f t="shared" si="79"/>
        <v>0012-1005-0012</v>
      </c>
      <c r="L2197" s="96" t="str">
        <f>VLOOKUP(K2197,COA!$A$3:$B$337,2,FALSE)</f>
        <v>N13</v>
      </c>
      <c r="M2197" s="96" t="str">
        <f t="shared" si="80"/>
        <v>N13</v>
      </c>
      <c r="N2197" s="96" t="str">
        <f>VLOOKUP(M2197,CAC!$A$2:$B$198,2,FALSE)</f>
        <v>HMOLG</v>
      </c>
    </row>
    <row r="2198" spans="5:14" x14ac:dyDescent="0.25">
      <c r="E2198" s="136">
        <v>201602</v>
      </c>
      <c r="F2198" s="138" t="s">
        <v>345</v>
      </c>
      <c r="G2198" s="138" t="s">
        <v>348</v>
      </c>
      <c r="H2198" s="138" t="s">
        <v>358</v>
      </c>
      <c r="I2198" s="139">
        <v>87</v>
      </c>
      <c r="K2198" s="96" t="str">
        <f t="shared" si="79"/>
        <v>0011-1010-0024</v>
      </c>
      <c r="L2198" s="96" t="str">
        <f>VLOOKUP(K2198,COA!$A$3:$B$337,2,FALSE)</f>
        <v>S14</v>
      </c>
      <c r="M2198" s="96" t="str">
        <f t="shared" si="80"/>
        <v>S14</v>
      </c>
      <c r="N2198" s="96" t="str">
        <f>VLOOKUP(M2198,CAC!$A$2:$B$198,2,FALSE)</f>
        <v>HMOSG</v>
      </c>
    </row>
    <row r="2199" spans="5:14" x14ac:dyDescent="0.25">
      <c r="E2199" s="136">
        <v>201707</v>
      </c>
      <c r="F2199" s="138" t="s">
        <v>549</v>
      </c>
      <c r="G2199" s="138" t="s">
        <v>352</v>
      </c>
      <c r="H2199" s="138" t="s">
        <v>672</v>
      </c>
      <c r="I2199" s="139">
        <v>0</v>
      </c>
      <c r="K2199" s="96" t="str">
        <f t="shared" si="79"/>
        <v>0026-1004-0058</v>
      </c>
      <c r="L2199" s="96" t="str">
        <f>VLOOKUP(K2199,COA!$A$3:$B$337,2,FALSE)</f>
        <v>L44</v>
      </c>
      <c r="M2199" s="96" t="str">
        <f t="shared" si="80"/>
        <v>L44</v>
      </c>
      <c r="N2199" s="96" t="e">
        <f>VLOOKUP(M2199,CAC!$A$2:$B$198,2,FALSE)</f>
        <v>#N/A</v>
      </c>
    </row>
    <row r="2200" spans="5:14" x14ac:dyDescent="0.25">
      <c r="E2200" s="136">
        <v>201708</v>
      </c>
      <c r="F2200" s="138" t="s">
        <v>345</v>
      </c>
      <c r="G2200" s="138" t="s">
        <v>348</v>
      </c>
      <c r="H2200" s="138" t="s">
        <v>353</v>
      </c>
      <c r="I2200" s="139">
        <v>363</v>
      </c>
      <c r="K2200" s="96" t="str">
        <f t="shared" si="79"/>
        <v>0011-1010-0023</v>
      </c>
      <c r="L2200" s="96" t="str">
        <f>VLOOKUP(K2200,COA!$A$3:$B$337,2,FALSE)</f>
        <v>S13</v>
      </c>
      <c r="M2200" s="96" t="str">
        <f t="shared" si="80"/>
        <v>S13</v>
      </c>
      <c r="N2200" s="96" t="str">
        <f>VLOOKUP(M2200,CAC!$A$2:$B$198,2,FALSE)</f>
        <v>HMOSG</v>
      </c>
    </row>
    <row r="2201" spans="5:14" x14ac:dyDescent="0.25">
      <c r="E2201" s="136">
        <v>201605</v>
      </c>
      <c r="F2201" s="138" t="s">
        <v>344</v>
      </c>
      <c r="G2201" s="138" t="s">
        <v>355</v>
      </c>
      <c r="H2201" s="138" t="s">
        <v>344</v>
      </c>
      <c r="I2201" s="139">
        <v>109</v>
      </c>
      <c r="K2201" s="96" t="str">
        <f t="shared" si="79"/>
        <v>0012-1006-0012</v>
      </c>
      <c r="L2201" s="96" t="str">
        <f>VLOOKUP(K2201,COA!$A$3:$B$337,2,FALSE)</f>
        <v>L16</v>
      </c>
      <c r="M2201" s="96" t="str">
        <f t="shared" si="80"/>
        <v>L16</v>
      </c>
      <c r="N2201" s="96" t="str">
        <f>VLOOKUP(M2201,CAC!$A$2:$B$198,2,FALSE)</f>
        <v>HMOLG</v>
      </c>
    </row>
    <row r="2202" spans="5:14" x14ac:dyDescent="0.25">
      <c r="E2202" s="136">
        <v>201502</v>
      </c>
      <c r="F2202" s="138" t="s">
        <v>344</v>
      </c>
      <c r="G2202" s="138" t="s">
        <v>359</v>
      </c>
      <c r="H2202" s="138" t="s">
        <v>344</v>
      </c>
      <c r="I2202" s="139">
        <v>10</v>
      </c>
      <c r="K2202" s="96" t="str">
        <f t="shared" si="79"/>
        <v>0012-1005-0012</v>
      </c>
      <c r="L2202" s="96" t="str">
        <f>VLOOKUP(K2202,COA!$A$3:$B$337,2,FALSE)</f>
        <v>N13</v>
      </c>
      <c r="M2202" s="96" t="str">
        <f t="shared" si="80"/>
        <v>N13</v>
      </c>
      <c r="N2202" s="96" t="str">
        <f>VLOOKUP(M2202,CAC!$A$2:$B$198,2,FALSE)</f>
        <v>HMOLG</v>
      </c>
    </row>
    <row r="2203" spans="5:14" x14ac:dyDescent="0.25">
      <c r="E2203" s="136">
        <v>201701</v>
      </c>
      <c r="F2203" s="138" t="s">
        <v>345</v>
      </c>
      <c r="G2203" s="138" t="s">
        <v>346</v>
      </c>
      <c r="H2203" s="138" t="s">
        <v>344</v>
      </c>
      <c r="I2203" s="139">
        <v>0</v>
      </c>
      <c r="K2203" s="96" t="str">
        <f t="shared" si="79"/>
        <v>0011-1014-0012</v>
      </c>
      <c r="L2203" s="96" t="e">
        <f>VLOOKUP(K2203,COA!$A$3:$B$337,2,FALSE)</f>
        <v>#N/A</v>
      </c>
      <c r="M2203" s="96" t="str">
        <f t="shared" si="80"/>
        <v>XXX</v>
      </c>
      <c r="N2203" s="96" t="str">
        <f>VLOOKUP(M2203,CAC!$A$2:$B$198,2,FALSE)</f>
        <v>XXX</v>
      </c>
    </row>
    <row r="2204" spans="5:14" x14ac:dyDescent="0.25">
      <c r="E2204" s="136">
        <v>201510</v>
      </c>
      <c r="F2204" s="138" t="s">
        <v>345</v>
      </c>
      <c r="G2204" s="138" t="s">
        <v>354</v>
      </c>
      <c r="H2204" s="138" t="s">
        <v>344</v>
      </c>
      <c r="I2204" s="139">
        <v>2553</v>
      </c>
      <c r="K2204" s="96" t="str">
        <f t="shared" si="79"/>
        <v>0011-1013-0012</v>
      </c>
      <c r="L2204" s="96" t="str">
        <f>VLOOKUP(K2204,COA!$A$3:$B$337,2,FALSE)</f>
        <v>N20</v>
      </c>
      <c r="M2204" s="96" t="str">
        <f t="shared" si="80"/>
        <v>N20</v>
      </c>
      <c r="N2204" s="96" t="str">
        <f>VLOOKUP(M2204,CAC!$A$2:$B$198,2,FALSE)</f>
        <v>HMOPMR</v>
      </c>
    </row>
    <row r="2205" spans="5:14" x14ac:dyDescent="0.25">
      <c r="E2205" s="136">
        <v>201702</v>
      </c>
      <c r="F2205" s="138" t="s">
        <v>563</v>
      </c>
      <c r="G2205" s="138" t="s">
        <v>365</v>
      </c>
      <c r="H2205" s="138" t="s">
        <v>344</v>
      </c>
      <c r="I2205" s="139">
        <v>0</v>
      </c>
      <c r="K2205" s="96" t="str">
        <f t="shared" si="79"/>
        <v>0003-1001-0012</v>
      </c>
      <c r="L2205" s="96" t="str">
        <f>VLOOKUP(K2205,COA!$A$3:$B$337,2,FALSE)</f>
        <v>V51</v>
      </c>
      <c r="M2205" s="96" t="str">
        <f t="shared" si="80"/>
        <v>V51</v>
      </c>
      <c r="N2205" s="96" t="str">
        <f>VLOOKUP(M2205,CAC!$A$2:$B$198,2,FALSE)</f>
        <v>PPOIFP</v>
      </c>
    </row>
    <row r="2206" spans="5:14" x14ac:dyDescent="0.25">
      <c r="E2206" s="136">
        <v>201710</v>
      </c>
      <c r="F2206" s="138" t="s">
        <v>345</v>
      </c>
      <c r="G2206" s="138" t="s">
        <v>346</v>
      </c>
      <c r="H2206" s="138" t="s">
        <v>360</v>
      </c>
      <c r="I2206" s="139">
        <v>322</v>
      </c>
      <c r="K2206" s="96" t="str">
        <f t="shared" si="79"/>
        <v>0011-1014-0048</v>
      </c>
      <c r="L2206" s="96" t="str">
        <f>VLOOKUP(K2206,COA!$A$3:$B$337,2,FALSE)</f>
        <v>K23</v>
      </c>
      <c r="M2206" s="96" t="str">
        <f t="shared" si="80"/>
        <v>K23</v>
      </c>
      <c r="N2206" s="96" t="str">
        <f>VLOOKUP(M2206,CAC!$A$2:$B$198,2,FALSE)</f>
        <v>HMFLEX</v>
      </c>
    </row>
    <row r="2207" spans="5:14" x14ac:dyDescent="0.25">
      <c r="E2207" s="136">
        <v>201611</v>
      </c>
      <c r="F2207" s="138" t="s">
        <v>345</v>
      </c>
      <c r="G2207" s="138" t="s">
        <v>352</v>
      </c>
      <c r="H2207" s="138" t="s">
        <v>357</v>
      </c>
      <c r="I2207" s="139">
        <v>2212</v>
      </c>
      <c r="K2207" s="96" t="str">
        <f t="shared" si="79"/>
        <v>0011-1004-0038</v>
      </c>
      <c r="L2207" s="96" t="str">
        <f>VLOOKUP(K2207,COA!$A$3:$B$337,2,FALSE)</f>
        <v>L14</v>
      </c>
      <c r="M2207" s="96" t="str">
        <f t="shared" si="80"/>
        <v>L14</v>
      </c>
      <c r="N2207" s="96" t="str">
        <f>VLOOKUP(M2207,CAC!$A$2:$B$198,2,FALSE)</f>
        <v>HMOLG</v>
      </c>
    </row>
    <row r="2208" spans="5:14" x14ac:dyDescent="0.25">
      <c r="E2208" s="136">
        <v>201711</v>
      </c>
      <c r="F2208" s="138" t="s">
        <v>344</v>
      </c>
      <c r="G2208" s="138" t="s">
        <v>359</v>
      </c>
      <c r="H2208" s="138" t="s">
        <v>344</v>
      </c>
      <c r="I2208" s="139">
        <v>92</v>
      </c>
      <c r="K2208" s="96" t="str">
        <f t="shared" si="79"/>
        <v>0012-1005-0012</v>
      </c>
      <c r="L2208" s="96" t="str">
        <f>VLOOKUP(K2208,COA!$A$3:$B$337,2,FALSE)</f>
        <v>N13</v>
      </c>
      <c r="M2208" s="96" t="str">
        <f t="shared" si="80"/>
        <v>N13</v>
      </c>
      <c r="N2208" s="96" t="str">
        <f>VLOOKUP(M2208,CAC!$A$2:$B$198,2,FALSE)</f>
        <v>HMOLG</v>
      </c>
    </row>
    <row r="2209" spans="5:14" x14ac:dyDescent="0.25">
      <c r="E2209" s="136">
        <v>201702</v>
      </c>
      <c r="F2209" s="138" t="s">
        <v>746</v>
      </c>
      <c r="G2209" s="138" t="s">
        <v>356</v>
      </c>
      <c r="H2209" s="138" t="s">
        <v>764</v>
      </c>
      <c r="I2209" s="139">
        <v>629</v>
      </c>
      <c r="K2209" s="96" t="str">
        <f t="shared" si="79"/>
        <v>0016-1002-0064</v>
      </c>
      <c r="L2209" s="96" t="str">
        <f>VLOOKUP(K2209,COA!$A$3:$B$337,2,FALSE)</f>
        <v>R25</v>
      </c>
      <c r="M2209" s="96" t="str">
        <f t="shared" si="80"/>
        <v>R25</v>
      </c>
      <c r="N2209" s="96" t="str">
        <f>VLOOKUP(M2209,CAC!$A$2:$B$198,2,FALSE)</f>
        <v>HMOMG</v>
      </c>
    </row>
    <row r="2210" spans="5:14" x14ac:dyDescent="0.25">
      <c r="E2210" s="136">
        <v>201503</v>
      </c>
      <c r="F2210" s="138" t="s">
        <v>344</v>
      </c>
      <c r="G2210" s="138" t="s">
        <v>359</v>
      </c>
      <c r="H2210" s="138" t="s">
        <v>344</v>
      </c>
      <c r="I2210" s="139">
        <v>77</v>
      </c>
      <c r="K2210" s="96" t="str">
        <f t="shared" si="79"/>
        <v>0012-1005-0012</v>
      </c>
      <c r="L2210" s="96" t="str">
        <f>VLOOKUP(K2210,COA!$A$3:$B$337,2,FALSE)</f>
        <v>N13</v>
      </c>
      <c r="M2210" s="96" t="str">
        <f t="shared" si="80"/>
        <v>N13</v>
      </c>
      <c r="N2210" s="96" t="str">
        <f>VLOOKUP(M2210,CAC!$A$2:$B$198,2,FALSE)</f>
        <v>HMOLG</v>
      </c>
    </row>
    <row r="2211" spans="5:14" x14ac:dyDescent="0.25">
      <c r="E2211" s="136">
        <v>201609</v>
      </c>
      <c r="F2211" s="138" t="s">
        <v>563</v>
      </c>
      <c r="G2211" s="138" t="s">
        <v>365</v>
      </c>
      <c r="H2211" s="138" t="s">
        <v>798</v>
      </c>
      <c r="I2211" s="139">
        <v>0</v>
      </c>
      <c r="K2211" s="96" t="str">
        <f t="shared" si="79"/>
        <v>0003-1001-0065</v>
      </c>
      <c r="L2211" s="96" t="str">
        <f>VLOOKUP(K2211,COA!$A$3:$B$337,2,FALSE)</f>
        <v>V55</v>
      </c>
      <c r="M2211" s="96" t="str">
        <f t="shared" si="80"/>
        <v>V55</v>
      </c>
      <c r="N2211" s="96" t="e">
        <f>VLOOKUP(M2211,CAC!$A$2:$B$198,2,FALSE)</f>
        <v>#N/A</v>
      </c>
    </row>
    <row r="2212" spans="5:14" x14ac:dyDescent="0.25">
      <c r="E2212" s="136">
        <v>201702</v>
      </c>
      <c r="F2212" s="138" t="s">
        <v>345</v>
      </c>
      <c r="G2212" s="138" t="s">
        <v>350</v>
      </c>
      <c r="H2212" s="138" t="s">
        <v>344</v>
      </c>
      <c r="I2212" s="139">
        <v>16207.82</v>
      </c>
      <c r="K2212" s="96" t="str">
        <f t="shared" si="79"/>
        <v>0011-1012-0012</v>
      </c>
      <c r="L2212" s="96" t="str">
        <f>VLOOKUP(K2212,COA!$A$3:$B$337,2,FALSE)</f>
        <v>K11</v>
      </c>
      <c r="M2212" s="96" t="str">
        <f t="shared" si="80"/>
        <v>K11</v>
      </c>
      <c r="N2212" s="96" t="str">
        <f>VLOOKUP(M2212,CAC!$A$2:$B$198,2,FALSE)</f>
        <v>HMOPMR</v>
      </c>
    </row>
    <row r="2213" spans="5:14" x14ac:dyDescent="0.25">
      <c r="E2213" s="136">
        <v>201609</v>
      </c>
      <c r="F2213" s="138" t="s">
        <v>563</v>
      </c>
      <c r="G2213" s="138" t="s">
        <v>365</v>
      </c>
      <c r="H2213" s="138" t="s">
        <v>367</v>
      </c>
      <c r="I2213" s="139">
        <v>0</v>
      </c>
      <c r="K2213" s="96" t="str">
        <f t="shared" si="79"/>
        <v>0003-1001-0022</v>
      </c>
      <c r="L2213" s="96" t="str">
        <f>VLOOKUP(K2213,COA!$A$3:$B$337,2,FALSE)</f>
        <v>V54</v>
      </c>
      <c r="M2213" s="96" t="str">
        <f t="shared" si="80"/>
        <v>V54</v>
      </c>
      <c r="N2213" s="96" t="str">
        <f>VLOOKUP(M2213,CAC!$A$2:$B$198,2,FALSE)</f>
        <v>PPOIFP</v>
      </c>
    </row>
    <row r="2214" spans="5:14" x14ac:dyDescent="0.25">
      <c r="E2214" s="136">
        <v>201506</v>
      </c>
      <c r="F2214" s="138" t="s">
        <v>563</v>
      </c>
      <c r="G2214" s="138" t="s">
        <v>355</v>
      </c>
      <c r="H2214" s="138" t="s">
        <v>344</v>
      </c>
      <c r="I2214" s="139">
        <v>0</v>
      </c>
      <c r="K2214" s="96" t="str">
        <f t="shared" si="79"/>
        <v>0003-1006-0012</v>
      </c>
      <c r="L2214" s="96" t="str">
        <f>VLOOKUP(K2214,COA!$A$3:$B$337,2,FALSE)</f>
        <v>L52</v>
      </c>
      <c r="M2214" s="96" t="str">
        <f t="shared" si="80"/>
        <v>L52</v>
      </c>
      <c r="N2214" s="96" t="str">
        <f>VLOOKUP(M2214,CAC!$A$2:$B$198,2,FALSE)</f>
        <v>PPOLG</v>
      </c>
    </row>
    <row r="2215" spans="5:14" x14ac:dyDescent="0.25">
      <c r="E2215" s="136">
        <v>201711</v>
      </c>
      <c r="F2215" s="138" t="s">
        <v>413</v>
      </c>
      <c r="G2215" s="138" t="s">
        <v>365</v>
      </c>
      <c r="H2215" s="138" t="s">
        <v>344</v>
      </c>
      <c r="I2215" s="139">
        <v>0</v>
      </c>
      <c r="K2215" s="96" t="str">
        <f t="shared" si="79"/>
        <v>0008-1001-0012</v>
      </c>
      <c r="L2215" s="96" t="str">
        <f>VLOOKUP(K2215,COA!$A$3:$B$337,2,FALSE)</f>
        <v>C95</v>
      </c>
      <c r="M2215" s="96" t="str">
        <f t="shared" si="80"/>
        <v>C95</v>
      </c>
      <c r="N2215" s="96" t="str">
        <f>VLOOKUP(M2215,CAC!$A$2:$B$198,2,FALSE)</f>
        <v>DOIIFP</v>
      </c>
    </row>
    <row r="2216" spans="5:14" x14ac:dyDescent="0.25">
      <c r="E2216" s="136">
        <v>201605</v>
      </c>
      <c r="F2216" s="138" t="s">
        <v>413</v>
      </c>
      <c r="G2216" s="138" t="s">
        <v>354</v>
      </c>
      <c r="H2216" s="138" t="s">
        <v>344</v>
      </c>
      <c r="I2216" s="139">
        <v>0</v>
      </c>
      <c r="K2216" s="96" t="str">
        <f t="shared" si="79"/>
        <v>0008-1013-0012</v>
      </c>
      <c r="L2216" s="96" t="str">
        <f>VLOOKUP(K2216,COA!$A$3:$B$337,2,FALSE)</f>
        <v>C76</v>
      </c>
      <c r="M2216" s="96" t="str">
        <f t="shared" si="80"/>
        <v>C76</v>
      </c>
      <c r="N2216" s="96" t="str">
        <f>VLOOKUP(M2216,CAC!$A$2:$B$198,2,FALSE)</f>
        <v>DOILG</v>
      </c>
    </row>
    <row r="2217" spans="5:14" x14ac:dyDescent="0.25">
      <c r="E2217" s="136">
        <v>201504</v>
      </c>
      <c r="F2217" s="138" t="s">
        <v>746</v>
      </c>
      <c r="G2217" s="138" t="s">
        <v>350</v>
      </c>
      <c r="H2217" s="138" t="s">
        <v>344</v>
      </c>
      <c r="I2217" s="139">
        <v>138</v>
      </c>
      <c r="K2217" s="96" t="str">
        <f t="shared" si="79"/>
        <v>0016-1012-0012</v>
      </c>
      <c r="L2217" s="96" t="str">
        <f>VLOOKUP(K2217,COA!$A$3:$B$337,2,FALSE)</f>
        <v>R19</v>
      </c>
      <c r="M2217" s="96" t="str">
        <f t="shared" si="80"/>
        <v>R19</v>
      </c>
      <c r="N2217" s="96" t="str">
        <f>VLOOKUP(M2217,CAC!$A$2:$B$198,2,FALSE)</f>
        <v>HMOMG</v>
      </c>
    </row>
    <row r="2218" spans="5:14" x14ac:dyDescent="0.25">
      <c r="E2218" s="136">
        <v>201605</v>
      </c>
      <c r="F2218" s="138" t="s">
        <v>506</v>
      </c>
      <c r="G2218" s="138" t="s">
        <v>350</v>
      </c>
      <c r="H2218" s="138" t="s">
        <v>592</v>
      </c>
      <c r="I2218" s="139">
        <v>0</v>
      </c>
      <c r="K2218" s="96" t="str">
        <f t="shared" si="79"/>
        <v>0013-1012-0035</v>
      </c>
      <c r="L2218" s="96" t="str">
        <f>VLOOKUP(K2218,COA!$A$3:$B$337,2,FALSE)</f>
        <v>K41</v>
      </c>
      <c r="M2218" s="96" t="str">
        <f t="shared" si="80"/>
        <v>K41</v>
      </c>
      <c r="N2218" s="96" t="e">
        <f>VLOOKUP(M2218,CAC!$A$2:$B$198,2,FALSE)</f>
        <v>#N/A</v>
      </c>
    </row>
    <row r="2219" spans="5:14" x14ac:dyDescent="0.25">
      <c r="E2219" s="136">
        <v>201510</v>
      </c>
      <c r="F2219" s="138" t="s">
        <v>563</v>
      </c>
      <c r="G2219" s="138" t="s">
        <v>354</v>
      </c>
      <c r="H2219" s="138" t="s">
        <v>626</v>
      </c>
      <c r="I2219" s="139">
        <v>0</v>
      </c>
      <c r="K2219" s="96" t="str">
        <f t="shared" si="79"/>
        <v>0003-1013-0057</v>
      </c>
      <c r="L2219" s="96" t="str">
        <f>VLOOKUP(K2219,COA!$A$3:$B$337,2,FALSE)</f>
        <v>N55</v>
      </c>
      <c r="M2219" s="96" t="str">
        <f t="shared" si="80"/>
        <v>N55</v>
      </c>
      <c r="N2219" s="96" t="str">
        <f>VLOOKUP(M2219,CAC!$A$2:$B$198,2,FALSE)</f>
        <v>PPOPMR</v>
      </c>
    </row>
    <row r="2220" spans="5:14" x14ac:dyDescent="0.25">
      <c r="E2220" s="136">
        <v>201504</v>
      </c>
      <c r="F2220" s="138" t="s">
        <v>563</v>
      </c>
      <c r="G2220" s="138" t="s">
        <v>365</v>
      </c>
      <c r="H2220" s="138" t="s">
        <v>411</v>
      </c>
      <c r="I2220" s="139">
        <v>0</v>
      </c>
      <c r="K2220" s="96" t="str">
        <f t="shared" si="79"/>
        <v>0003-1001-0007</v>
      </c>
      <c r="L2220" s="96" t="str">
        <f>VLOOKUP(K2220,COA!$A$3:$B$337,2,FALSE)</f>
        <v>V52</v>
      </c>
      <c r="M2220" s="96" t="str">
        <f t="shared" si="80"/>
        <v>V52</v>
      </c>
      <c r="N2220" s="96" t="str">
        <f>VLOOKUP(M2220,CAC!$A$2:$B$198,2,FALSE)</f>
        <v>PPOIFP</v>
      </c>
    </row>
    <row r="2221" spans="5:14" x14ac:dyDescent="0.25">
      <c r="E2221" s="136">
        <v>201508</v>
      </c>
      <c r="F2221" s="138" t="s">
        <v>746</v>
      </c>
      <c r="G2221" s="138" t="s">
        <v>350</v>
      </c>
      <c r="H2221" s="138" t="s">
        <v>344</v>
      </c>
      <c r="I2221" s="139">
        <v>63</v>
      </c>
      <c r="K2221" s="96" t="str">
        <f t="shared" si="79"/>
        <v>0016-1012-0012</v>
      </c>
      <c r="L2221" s="96" t="str">
        <f>VLOOKUP(K2221,COA!$A$3:$B$337,2,FALSE)</f>
        <v>R19</v>
      </c>
      <c r="M2221" s="96" t="str">
        <f t="shared" si="80"/>
        <v>R19</v>
      </c>
      <c r="N2221" s="96" t="str">
        <f>VLOOKUP(M2221,CAC!$A$2:$B$198,2,FALSE)</f>
        <v>HMOMG</v>
      </c>
    </row>
    <row r="2222" spans="5:14" x14ac:dyDescent="0.25">
      <c r="E2222" s="136">
        <v>201705</v>
      </c>
      <c r="F2222" s="138" t="s">
        <v>349</v>
      </c>
      <c r="G2222" s="138" t="s">
        <v>369</v>
      </c>
      <c r="H2222" s="138" t="s">
        <v>764</v>
      </c>
      <c r="I2222" s="139">
        <v>5411</v>
      </c>
      <c r="K2222" s="96" t="str">
        <f t="shared" si="79"/>
        <v>0017-1009-0064</v>
      </c>
      <c r="L2222" s="96" t="str">
        <f>VLOOKUP(K2222,COA!$A$3:$B$337,2,FALSE)</f>
        <v>R15</v>
      </c>
      <c r="M2222" s="96" t="str">
        <f t="shared" si="80"/>
        <v>R15</v>
      </c>
      <c r="N2222" s="96" t="str">
        <f>VLOOKUP(M2222,CAC!$A$2:$B$198,2,FALSE)</f>
        <v>HMOMM</v>
      </c>
    </row>
    <row r="2223" spans="5:14" x14ac:dyDescent="0.25">
      <c r="E2223" s="136">
        <v>201612</v>
      </c>
      <c r="F2223" s="138" t="s">
        <v>413</v>
      </c>
      <c r="G2223" s="138" t="s">
        <v>365</v>
      </c>
      <c r="H2223" s="138" t="s">
        <v>411</v>
      </c>
      <c r="I2223" s="139">
        <v>0</v>
      </c>
      <c r="K2223" s="96" t="str">
        <f t="shared" si="79"/>
        <v>0008-1001-0007</v>
      </c>
      <c r="L2223" s="96" t="str">
        <f>VLOOKUP(K2223,COA!$A$3:$B$337,2,FALSE)</f>
        <v>C99</v>
      </c>
      <c r="M2223" s="96" t="str">
        <f t="shared" si="80"/>
        <v>C99</v>
      </c>
      <c r="N2223" s="96" t="str">
        <f>VLOOKUP(M2223,CAC!$A$2:$B$198,2,FALSE)</f>
        <v>DOIIFP</v>
      </c>
    </row>
    <row r="2224" spans="5:14" x14ac:dyDescent="0.25">
      <c r="E2224" s="136">
        <v>201709</v>
      </c>
      <c r="F2224" s="138" t="s">
        <v>345</v>
      </c>
      <c r="G2224" s="138" t="s">
        <v>365</v>
      </c>
      <c r="H2224" s="138" t="s">
        <v>367</v>
      </c>
      <c r="I2224" s="139">
        <v>814.47</v>
      </c>
      <c r="K2224" s="96" t="str">
        <f t="shared" si="79"/>
        <v>0011-1001-0022</v>
      </c>
      <c r="L2224" s="96" t="str">
        <f>VLOOKUP(K2224,COA!$A$3:$B$337,2,FALSE)</f>
        <v>V14</v>
      </c>
      <c r="M2224" s="96" t="str">
        <f t="shared" si="80"/>
        <v>V14</v>
      </c>
      <c r="N2224" s="96" t="str">
        <f>VLOOKUP(M2224,CAC!$A$2:$B$198,2,FALSE)</f>
        <v>HMOIFP</v>
      </c>
    </row>
    <row r="2225" spans="5:14" x14ac:dyDescent="0.25">
      <c r="E2225" s="136">
        <v>201607</v>
      </c>
      <c r="F2225" s="138" t="s">
        <v>413</v>
      </c>
      <c r="G2225" s="138" t="s">
        <v>359</v>
      </c>
      <c r="H2225" s="138" t="s">
        <v>344</v>
      </c>
      <c r="I2225" s="139">
        <v>0</v>
      </c>
      <c r="K2225" s="96" t="str">
        <f t="shared" si="79"/>
        <v>0008-1005-0012</v>
      </c>
      <c r="L2225" s="96" t="str">
        <f>VLOOKUP(K2225,COA!$A$3:$B$337,2,FALSE)</f>
        <v>C73</v>
      </c>
      <c r="M2225" s="96" t="str">
        <f t="shared" si="80"/>
        <v>C73</v>
      </c>
      <c r="N2225" s="96" t="str">
        <f>VLOOKUP(M2225,CAC!$A$2:$B$198,2,FALSE)</f>
        <v>DOILG</v>
      </c>
    </row>
    <row r="2226" spans="5:14" x14ac:dyDescent="0.25">
      <c r="E2226" s="136">
        <v>201605</v>
      </c>
      <c r="F2226" s="138" t="s">
        <v>563</v>
      </c>
      <c r="G2226" s="138" t="s">
        <v>356</v>
      </c>
      <c r="H2226" s="138" t="s">
        <v>344</v>
      </c>
      <c r="I2226" s="139">
        <v>0</v>
      </c>
      <c r="K2226" s="96" t="str">
        <f t="shared" si="79"/>
        <v>0003-1002-0012</v>
      </c>
      <c r="L2226" s="96" t="str">
        <f>VLOOKUP(K2226,COA!$A$3:$B$337,2,FALSE)</f>
        <v>F61</v>
      </c>
      <c r="M2226" s="96" t="str">
        <f t="shared" si="80"/>
        <v>F61</v>
      </c>
      <c r="N2226" s="96" t="str">
        <f>VLOOKUP(M2226,CAC!$A$2:$B$198,2,FALSE)</f>
        <v>PPOPMR</v>
      </c>
    </row>
    <row r="2227" spans="5:14" x14ac:dyDescent="0.25">
      <c r="E2227" s="136">
        <v>201508</v>
      </c>
      <c r="F2227" s="138" t="s">
        <v>344</v>
      </c>
      <c r="G2227" s="138" t="s">
        <v>352</v>
      </c>
      <c r="H2227" s="138" t="s">
        <v>344</v>
      </c>
      <c r="I2227" s="139">
        <v>265</v>
      </c>
      <c r="K2227" s="96" t="str">
        <f t="shared" si="79"/>
        <v>0012-1004-0012</v>
      </c>
      <c r="L2227" s="96" t="str">
        <f>VLOOKUP(K2227,COA!$A$3:$B$337,2,FALSE)</f>
        <v>L12</v>
      </c>
      <c r="M2227" s="96" t="str">
        <f t="shared" si="80"/>
        <v>L12</v>
      </c>
      <c r="N2227" s="96" t="str">
        <f>VLOOKUP(M2227,CAC!$A$2:$B$198,2,FALSE)</f>
        <v>HMOLG</v>
      </c>
    </row>
    <row r="2228" spans="5:14" x14ac:dyDescent="0.25">
      <c r="E2228" s="136">
        <v>201603</v>
      </c>
      <c r="F2228" s="138" t="s">
        <v>344</v>
      </c>
      <c r="G2228" s="138" t="s">
        <v>359</v>
      </c>
      <c r="H2228" s="138" t="s">
        <v>344</v>
      </c>
      <c r="I2228" s="139">
        <v>129</v>
      </c>
      <c r="K2228" s="96" t="str">
        <f t="shared" si="79"/>
        <v>0012-1005-0012</v>
      </c>
      <c r="L2228" s="96" t="str">
        <f>VLOOKUP(K2228,COA!$A$3:$B$337,2,FALSE)</f>
        <v>N13</v>
      </c>
      <c r="M2228" s="96" t="str">
        <f t="shared" si="80"/>
        <v>N13</v>
      </c>
      <c r="N2228" s="96" t="str">
        <f>VLOOKUP(M2228,CAC!$A$2:$B$198,2,FALSE)</f>
        <v>HMOLG</v>
      </c>
    </row>
    <row r="2229" spans="5:14" x14ac:dyDescent="0.25">
      <c r="E2229" s="136">
        <v>201606</v>
      </c>
      <c r="F2229" s="138" t="s">
        <v>563</v>
      </c>
      <c r="G2229" s="138" t="s">
        <v>352</v>
      </c>
      <c r="H2229" s="138" t="s">
        <v>344</v>
      </c>
      <c r="I2229" s="139">
        <v>0</v>
      </c>
      <c r="K2229" s="96" t="str">
        <f t="shared" si="79"/>
        <v>0003-1004-0012</v>
      </c>
      <c r="L2229" s="96" t="str">
        <f>VLOOKUP(K2229,COA!$A$3:$B$337,2,FALSE)</f>
        <v>L51</v>
      </c>
      <c r="M2229" s="96" t="str">
        <f t="shared" si="80"/>
        <v>L51</v>
      </c>
      <c r="N2229" s="96" t="str">
        <f>VLOOKUP(M2229,CAC!$A$2:$B$198,2,FALSE)</f>
        <v>PPOLG</v>
      </c>
    </row>
    <row r="2230" spans="5:14" x14ac:dyDescent="0.25">
      <c r="E2230" s="136">
        <v>201603</v>
      </c>
      <c r="F2230" s="138" t="s">
        <v>342</v>
      </c>
      <c r="G2230" s="138" t="s">
        <v>343</v>
      </c>
      <c r="H2230" s="138" t="s">
        <v>344</v>
      </c>
      <c r="I2230" s="139">
        <v>6106.8</v>
      </c>
      <c r="K2230" s="96" t="str">
        <f t="shared" si="79"/>
        <v>0031-1000-0012</v>
      </c>
      <c r="L2230" s="96" t="str">
        <f>VLOOKUP(K2230,COA!$A$3:$B$337,2,FALSE)</f>
        <v>F27</v>
      </c>
      <c r="M2230" s="96" t="str">
        <f t="shared" si="80"/>
        <v>F27</v>
      </c>
      <c r="N2230" s="96" t="str">
        <f>VLOOKUP(M2230,CAC!$A$2:$B$198,2,FALSE)</f>
        <v>HMOFEP</v>
      </c>
    </row>
    <row r="2231" spans="5:14" x14ac:dyDescent="0.25">
      <c r="E2231" s="136">
        <v>201610</v>
      </c>
      <c r="F2231" s="138" t="s">
        <v>563</v>
      </c>
      <c r="G2231" s="138" t="s">
        <v>361</v>
      </c>
      <c r="H2231" s="138" t="s">
        <v>344</v>
      </c>
      <c r="I2231" s="139">
        <v>0</v>
      </c>
      <c r="K2231" s="96" t="str">
        <f t="shared" si="79"/>
        <v>0003-1003-0012</v>
      </c>
      <c r="L2231" s="96" t="str">
        <f>VLOOKUP(K2231,COA!$A$3:$B$337,2,FALSE)</f>
        <v>N61</v>
      </c>
      <c r="M2231" s="96" t="str">
        <f t="shared" si="80"/>
        <v>N61</v>
      </c>
      <c r="N2231" s="96" t="str">
        <f>VLOOKUP(M2231,CAC!$A$2:$B$198,2,FALSE)</f>
        <v>PPOPMR</v>
      </c>
    </row>
    <row r="2232" spans="5:14" x14ac:dyDescent="0.25">
      <c r="E2232" s="136">
        <v>201801</v>
      </c>
      <c r="F2232" s="138" t="s">
        <v>563</v>
      </c>
      <c r="G2232" s="138" t="s">
        <v>348</v>
      </c>
      <c r="H2232" s="138" t="s">
        <v>349</v>
      </c>
      <c r="I2232" s="139">
        <v>0</v>
      </c>
      <c r="K2232" s="96" t="str">
        <f t="shared" si="79"/>
        <v>0003-1010-0017</v>
      </c>
      <c r="L2232" s="96" t="str">
        <f>VLOOKUP(K2232,COA!$A$3:$B$337,2,FALSE)</f>
        <v>S51</v>
      </c>
      <c r="M2232" s="96" t="str">
        <f t="shared" si="80"/>
        <v>S51</v>
      </c>
      <c r="N2232" s="96" t="str">
        <f>VLOOKUP(M2232,CAC!$A$2:$B$198,2,FALSE)</f>
        <v>PPOSG</v>
      </c>
    </row>
    <row r="2233" spans="5:14" x14ac:dyDescent="0.25">
      <c r="E2233" s="136">
        <v>201601</v>
      </c>
      <c r="F2233" s="138" t="s">
        <v>344</v>
      </c>
      <c r="G2233" s="138" t="s">
        <v>361</v>
      </c>
      <c r="H2233" s="138" t="s">
        <v>344</v>
      </c>
      <c r="I2233" s="139">
        <v>9829.1299999999992</v>
      </c>
      <c r="K2233" s="96" t="str">
        <f t="shared" si="79"/>
        <v>0012-1003-0012</v>
      </c>
      <c r="L2233" s="96" t="str">
        <f>VLOOKUP(K2233,COA!$A$3:$B$337,2,FALSE)</f>
        <v>N15</v>
      </c>
      <c r="M2233" s="96" t="str">
        <f t="shared" si="80"/>
        <v>N15</v>
      </c>
      <c r="N2233" s="96" t="str">
        <f>VLOOKUP(M2233,CAC!$A$2:$B$198,2,FALSE)</f>
        <v>HMOPMR</v>
      </c>
    </row>
    <row r="2234" spans="5:14" x14ac:dyDescent="0.25">
      <c r="E2234" s="136">
        <v>201512</v>
      </c>
      <c r="F2234" s="138" t="s">
        <v>345</v>
      </c>
      <c r="G2234" s="138" t="s">
        <v>362</v>
      </c>
      <c r="H2234" s="138" t="s">
        <v>371</v>
      </c>
      <c r="I2234" s="139">
        <v>6343.03</v>
      </c>
      <c r="K2234" s="96" t="str">
        <f t="shared" si="79"/>
        <v>0011-1008-0033</v>
      </c>
      <c r="L2234" s="96" t="str">
        <f>VLOOKUP(K2234,COA!$A$3:$B$337,2,FALSE)</f>
        <v>P13</v>
      </c>
      <c r="M2234" s="96" t="str">
        <f t="shared" si="80"/>
        <v>P13</v>
      </c>
      <c r="N2234" s="96" t="str">
        <f>VLOOKUP(M2234,CAC!$A$2:$B$198,2,FALSE)</f>
        <v>PERMEDA</v>
      </c>
    </row>
    <row r="2235" spans="5:14" x14ac:dyDescent="0.25">
      <c r="E2235" s="136">
        <v>201510</v>
      </c>
      <c r="F2235" s="138" t="s">
        <v>506</v>
      </c>
      <c r="G2235" s="138" t="s">
        <v>352</v>
      </c>
      <c r="H2235" s="138" t="s">
        <v>592</v>
      </c>
      <c r="I2235" s="139">
        <v>0</v>
      </c>
      <c r="K2235" s="96" t="str">
        <f t="shared" si="79"/>
        <v>0013-1004-0035</v>
      </c>
      <c r="L2235" s="96" t="str">
        <f>VLOOKUP(K2235,COA!$A$3:$B$337,2,FALSE)</f>
        <v>L41</v>
      </c>
      <c r="M2235" s="96" t="str">
        <f t="shared" si="80"/>
        <v>L41</v>
      </c>
      <c r="N2235" s="96" t="e">
        <f>VLOOKUP(M2235,CAC!$A$2:$B$198,2,FALSE)</f>
        <v>#N/A</v>
      </c>
    </row>
    <row r="2236" spans="5:14" x14ac:dyDescent="0.25">
      <c r="E2236" s="136">
        <v>201702</v>
      </c>
      <c r="F2236" s="138" t="s">
        <v>345</v>
      </c>
      <c r="G2236" s="138" t="s">
        <v>348</v>
      </c>
      <c r="H2236" s="138" t="s">
        <v>349</v>
      </c>
      <c r="I2236" s="139">
        <v>26295.25</v>
      </c>
      <c r="K2236" s="96" t="str">
        <f t="shared" si="79"/>
        <v>0011-1010-0017</v>
      </c>
      <c r="L2236" s="96" t="str">
        <f>VLOOKUP(K2236,COA!$A$3:$B$337,2,FALSE)</f>
        <v>S11</v>
      </c>
      <c r="M2236" s="96" t="str">
        <f t="shared" si="80"/>
        <v>S11</v>
      </c>
      <c r="N2236" s="96" t="str">
        <f>VLOOKUP(M2236,CAC!$A$2:$B$198,2,FALSE)</f>
        <v>HMOSG</v>
      </c>
    </row>
    <row r="2237" spans="5:14" x14ac:dyDescent="0.25">
      <c r="E2237" s="136">
        <v>201508</v>
      </c>
      <c r="F2237" s="138" t="s">
        <v>345</v>
      </c>
      <c r="G2237" s="138" t="s">
        <v>346</v>
      </c>
      <c r="H2237" s="138" t="s">
        <v>360</v>
      </c>
      <c r="I2237" s="139">
        <v>396.09</v>
      </c>
      <c r="K2237" s="96" t="str">
        <f t="shared" si="79"/>
        <v>0011-1014-0048</v>
      </c>
      <c r="L2237" s="96" t="str">
        <f>VLOOKUP(K2237,COA!$A$3:$B$337,2,FALSE)</f>
        <v>K23</v>
      </c>
      <c r="M2237" s="96" t="str">
        <f t="shared" si="80"/>
        <v>K23</v>
      </c>
      <c r="N2237" s="96" t="str">
        <f>VLOOKUP(M2237,CAC!$A$2:$B$198,2,FALSE)</f>
        <v>HMFLEX</v>
      </c>
    </row>
    <row r="2238" spans="5:14" x14ac:dyDescent="0.25">
      <c r="E2238" s="136">
        <v>201509</v>
      </c>
      <c r="F2238" s="138" t="s">
        <v>345</v>
      </c>
      <c r="G2238" s="138" t="s">
        <v>362</v>
      </c>
      <c r="H2238" s="138" t="s">
        <v>364</v>
      </c>
      <c r="I2238" s="139">
        <v>39484.230000000003</v>
      </c>
      <c r="K2238" s="96" t="str">
        <f t="shared" si="79"/>
        <v>0011-1008-0037</v>
      </c>
      <c r="L2238" s="96" t="str">
        <f>VLOOKUP(K2238,COA!$A$3:$B$337,2,FALSE)</f>
        <v>P12</v>
      </c>
      <c r="M2238" s="96" t="str">
        <f t="shared" si="80"/>
        <v>P12</v>
      </c>
      <c r="N2238" s="96" t="str">
        <f>VLOOKUP(M2238,CAC!$A$2:$B$198,2,FALSE)</f>
        <v>HMOPERA</v>
      </c>
    </row>
    <row r="2239" spans="5:14" x14ac:dyDescent="0.25">
      <c r="E2239" s="136">
        <v>201511</v>
      </c>
      <c r="F2239" s="138" t="s">
        <v>345</v>
      </c>
      <c r="G2239" s="138" t="s">
        <v>362</v>
      </c>
      <c r="H2239" s="138" t="s">
        <v>371</v>
      </c>
      <c r="I2239" s="139">
        <v>6326</v>
      </c>
      <c r="K2239" s="96" t="str">
        <f t="shared" si="79"/>
        <v>0011-1008-0033</v>
      </c>
      <c r="L2239" s="96" t="str">
        <f>VLOOKUP(K2239,COA!$A$3:$B$337,2,FALSE)</f>
        <v>P13</v>
      </c>
      <c r="M2239" s="96" t="str">
        <f t="shared" si="80"/>
        <v>P13</v>
      </c>
      <c r="N2239" s="96" t="str">
        <f>VLOOKUP(M2239,CAC!$A$2:$B$198,2,FALSE)</f>
        <v>PERMEDA</v>
      </c>
    </row>
    <row r="2240" spans="5:14" x14ac:dyDescent="0.25">
      <c r="E2240" s="136">
        <v>201701</v>
      </c>
      <c r="F2240" s="138" t="s">
        <v>345</v>
      </c>
      <c r="G2240" s="138" t="s">
        <v>352</v>
      </c>
      <c r="H2240" s="138" t="s">
        <v>653</v>
      </c>
      <c r="I2240" s="139">
        <v>0</v>
      </c>
      <c r="K2240" s="96" t="str">
        <f t="shared" si="79"/>
        <v>0011-1004-0047</v>
      </c>
      <c r="L2240" s="96" t="str">
        <f>VLOOKUP(K2240,COA!$A$3:$B$337,2,FALSE)</f>
        <v>L17</v>
      </c>
      <c r="M2240" s="96" t="str">
        <f t="shared" si="80"/>
        <v>L17</v>
      </c>
      <c r="N2240" s="96" t="str">
        <f>VLOOKUP(M2240,CAC!$A$2:$B$198,2,FALSE)</f>
        <v>HMOLG</v>
      </c>
    </row>
    <row r="2241" spans="5:14" x14ac:dyDescent="0.25">
      <c r="E2241" s="136">
        <v>201801</v>
      </c>
      <c r="F2241" s="138" t="s">
        <v>506</v>
      </c>
      <c r="G2241" s="138" t="s">
        <v>352</v>
      </c>
      <c r="H2241" s="138" t="s">
        <v>592</v>
      </c>
      <c r="I2241" s="139">
        <v>0</v>
      </c>
      <c r="K2241" s="96" t="str">
        <f t="shared" si="79"/>
        <v>0013-1004-0035</v>
      </c>
      <c r="L2241" s="96" t="str">
        <f>VLOOKUP(K2241,COA!$A$3:$B$337,2,FALSE)</f>
        <v>L41</v>
      </c>
      <c r="M2241" s="96" t="str">
        <f t="shared" si="80"/>
        <v>L41</v>
      </c>
      <c r="N2241" s="96" t="e">
        <f>VLOOKUP(M2241,CAC!$A$2:$B$198,2,FALSE)</f>
        <v>#N/A</v>
      </c>
    </row>
    <row r="2242" spans="5:14" x14ac:dyDescent="0.25">
      <c r="E2242" s="136">
        <v>201604</v>
      </c>
      <c r="F2242" s="138" t="s">
        <v>563</v>
      </c>
      <c r="G2242" s="138" t="s">
        <v>350</v>
      </c>
      <c r="H2242" s="138" t="s">
        <v>360</v>
      </c>
      <c r="I2242" s="139">
        <v>0</v>
      </c>
      <c r="K2242" s="96" t="str">
        <f t="shared" si="79"/>
        <v>0003-1012-0048</v>
      </c>
      <c r="L2242" s="96" t="str">
        <f>VLOOKUP(K2242,COA!$A$3:$B$337,2,FALSE)</f>
        <v>K56</v>
      </c>
      <c r="M2242" s="96" t="str">
        <f t="shared" si="80"/>
        <v>K56</v>
      </c>
      <c r="N2242" s="96" t="str">
        <f>VLOOKUP(M2242,CAC!$A$2:$B$198,2,FALSE)</f>
        <v>HMFLEX</v>
      </c>
    </row>
    <row r="2243" spans="5:14" x14ac:dyDescent="0.25">
      <c r="E2243" s="136">
        <v>201708</v>
      </c>
      <c r="F2243" s="138" t="s">
        <v>413</v>
      </c>
      <c r="G2243" s="138" t="s">
        <v>365</v>
      </c>
      <c r="H2243" s="138" t="s">
        <v>344</v>
      </c>
      <c r="I2243" s="139">
        <v>0</v>
      </c>
      <c r="K2243" s="96" t="str">
        <f t="shared" ref="K2243:K2259" si="81">F2243&amp;"-"&amp;G2243&amp;"-"&amp;H2243</f>
        <v>0008-1001-0012</v>
      </c>
      <c r="L2243" s="96" t="str">
        <f>VLOOKUP(K2243,COA!$A$3:$B$337,2,FALSE)</f>
        <v>C95</v>
      </c>
      <c r="M2243" s="96" t="str">
        <f t="shared" si="80"/>
        <v>C95</v>
      </c>
      <c r="N2243" s="96" t="str">
        <f>VLOOKUP(M2243,CAC!$A$2:$B$198,2,FALSE)</f>
        <v>DOIIFP</v>
      </c>
    </row>
    <row r="2244" spans="5:14" x14ac:dyDescent="0.25">
      <c r="E2244" s="136">
        <v>201601</v>
      </c>
      <c r="F2244" s="138" t="s">
        <v>413</v>
      </c>
      <c r="G2244" s="138" t="s">
        <v>359</v>
      </c>
      <c r="H2244" s="138" t="s">
        <v>344</v>
      </c>
      <c r="I2244" s="139">
        <v>0</v>
      </c>
      <c r="K2244" s="96" t="str">
        <f t="shared" si="81"/>
        <v>0008-1005-0012</v>
      </c>
      <c r="L2244" s="96" t="str">
        <f>VLOOKUP(K2244,COA!$A$3:$B$337,2,FALSE)</f>
        <v>C73</v>
      </c>
      <c r="M2244" s="96" t="str">
        <f t="shared" ref="M2244:M2307" si="82">IF(ISNA(L2244),"XXX",L2244)</f>
        <v>C73</v>
      </c>
      <c r="N2244" s="96" t="str">
        <f>VLOOKUP(M2244,CAC!$A$2:$B$198,2,FALSE)</f>
        <v>DOILG</v>
      </c>
    </row>
    <row r="2245" spans="5:14" x14ac:dyDescent="0.25">
      <c r="E2245" s="136">
        <v>201703</v>
      </c>
      <c r="F2245" s="138" t="s">
        <v>746</v>
      </c>
      <c r="G2245" s="138" t="s">
        <v>352</v>
      </c>
      <c r="H2245" s="138" t="s">
        <v>344</v>
      </c>
      <c r="I2245" s="139">
        <v>3</v>
      </c>
      <c r="K2245" s="96" t="str">
        <f t="shared" si="81"/>
        <v>0016-1004-0012</v>
      </c>
      <c r="L2245" s="96" t="str">
        <f>VLOOKUP(K2245,COA!$A$3:$B$337,2,FALSE)</f>
        <v>R20</v>
      </c>
      <c r="M2245" s="96" t="str">
        <f t="shared" si="82"/>
        <v>R20</v>
      </c>
      <c r="N2245" s="96" t="str">
        <f>VLOOKUP(M2245,CAC!$A$2:$B$198,2,FALSE)</f>
        <v>HMOMG</v>
      </c>
    </row>
    <row r="2246" spans="5:14" x14ac:dyDescent="0.25">
      <c r="E2246" s="136">
        <v>201709</v>
      </c>
      <c r="F2246" s="138" t="s">
        <v>563</v>
      </c>
      <c r="G2246" s="138" t="s">
        <v>365</v>
      </c>
      <c r="H2246" s="138" t="s">
        <v>366</v>
      </c>
      <c r="I2246" s="139">
        <v>0</v>
      </c>
      <c r="K2246" s="96" t="str">
        <f t="shared" si="81"/>
        <v>0003-1001-0021</v>
      </c>
      <c r="L2246" s="96" t="str">
        <f>VLOOKUP(K2246,COA!$A$3:$B$337,2,FALSE)</f>
        <v>V53</v>
      </c>
      <c r="M2246" s="96" t="str">
        <f t="shared" si="82"/>
        <v>V53</v>
      </c>
      <c r="N2246" s="96" t="str">
        <f>VLOOKUP(M2246,CAC!$A$2:$B$198,2,FALSE)</f>
        <v>PPOIFP</v>
      </c>
    </row>
    <row r="2247" spans="5:14" x14ac:dyDescent="0.25">
      <c r="E2247" s="136">
        <v>201612</v>
      </c>
      <c r="F2247" s="138" t="s">
        <v>345</v>
      </c>
      <c r="G2247" s="138" t="s">
        <v>350</v>
      </c>
      <c r="H2247" s="138" t="s">
        <v>360</v>
      </c>
      <c r="I2247" s="139">
        <v>4012.97</v>
      </c>
      <c r="K2247" s="96" t="str">
        <f t="shared" si="81"/>
        <v>0011-1012-0048</v>
      </c>
      <c r="L2247" s="96" t="str">
        <f>VLOOKUP(K2247,COA!$A$3:$B$337,2,FALSE)</f>
        <v>K21</v>
      </c>
      <c r="M2247" s="96" t="str">
        <f t="shared" si="82"/>
        <v>K21</v>
      </c>
      <c r="N2247" s="96" t="str">
        <f>VLOOKUP(M2247,CAC!$A$2:$B$198,2,FALSE)</f>
        <v>HMFLEX</v>
      </c>
    </row>
    <row r="2248" spans="5:14" x14ac:dyDescent="0.25">
      <c r="E2248" s="136">
        <v>201702</v>
      </c>
      <c r="F2248" s="138" t="s">
        <v>345</v>
      </c>
      <c r="G2248" s="138" t="s">
        <v>354</v>
      </c>
      <c r="H2248" s="138" t="s">
        <v>344</v>
      </c>
      <c r="I2248" s="139">
        <v>5647.82</v>
      </c>
      <c r="K2248" s="96" t="str">
        <f t="shared" si="81"/>
        <v>0011-1013-0012</v>
      </c>
      <c r="L2248" s="96" t="str">
        <f>VLOOKUP(K2248,COA!$A$3:$B$337,2,FALSE)</f>
        <v>N20</v>
      </c>
      <c r="M2248" s="96" t="str">
        <f t="shared" si="82"/>
        <v>N20</v>
      </c>
      <c r="N2248" s="96" t="str">
        <f>VLOOKUP(M2248,CAC!$A$2:$B$198,2,FALSE)</f>
        <v>HMOPMR</v>
      </c>
    </row>
    <row r="2249" spans="5:14" x14ac:dyDescent="0.25">
      <c r="E2249" s="136">
        <v>201612</v>
      </c>
      <c r="F2249" s="138" t="s">
        <v>349</v>
      </c>
      <c r="G2249" s="138" t="s">
        <v>369</v>
      </c>
      <c r="H2249" s="138" t="s">
        <v>764</v>
      </c>
      <c r="I2249" s="139">
        <v>5627</v>
      </c>
      <c r="K2249" s="96" t="str">
        <f t="shared" si="81"/>
        <v>0017-1009-0064</v>
      </c>
      <c r="L2249" s="96" t="str">
        <f>VLOOKUP(K2249,COA!$A$3:$B$337,2,FALSE)</f>
        <v>R15</v>
      </c>
      <c r="M2249" s="96" t="str">
        <f t="shared" si="82"/>
        <v>R15</v>
      </c>
      <c r="N2249" s="96" t="str">
        <f>VLOOKUP(M2249,CAC!$A$2:$B$198,2,FALSE)</f>
        <v>HMOMM</v>
      </c>
    </row>
    <row r="2250" spans="5:14" x14ac:dyDescent="0.25">
      <c r="E2250" s="136">
        <v>201504</v>
      </c>
      <c r="F2250" s="138" t="s">
        <v>563</v>
      </c>
      <c r="G2250" s="138" t="s">
        <v>359</v>
      </c>
      <c r="H2250" s="138" t="s">
        <v>344</v>
      </c>
      <c r="I2250" s="139">
        <v>0</v>
      </c>
      <c r="K2250" s="96" t="str">
        <f t="shared" si="81"/>
        <v>0003-1005-0012</v>
      </c>
      <c r="L2250" s="96" t="str">
        <f>VLOOKUP(K2250,COA!$A$3:$B$337,2,FALSE)</f>
        <v>N51</v>
      </c>
      <c r="M2250" s="96" t="str">
        <f t="shared" si="82"/>
        <v>N51</v>
      </c>
      <c r="N2250" s="96" t="str">
        <f>VLOOKUP(M2250,CAC!$A$2:$B$198,2,FALSE)</f>
        <v>PPOLG</v>
      </c>
    </row>
    <row r="2251" spans="5:14" x14ac:dyDescent="0.25">
      <c r="E2251" s="136">
        <v>201708</v>
      </c>
      <c r="F2251" s="138" t="s">
        <v>345</v>
      </c>
      <c r="G2251" s="138" t="s">
        <v>365</v>
      </c>
      <c r="H2251" s="138" t="s">
        <v>366</v>
      </c>
      <c r="I2251" s="139">
        <v>1368.97</v>
      </c>
      <c r="K2251" s="96" t="str">
        <f t="shared" si="81"/>
        <v>0011-1001-0021</v>
      </c>
      <c r="L2251" s="96" t="str">
        <f>VLOOKUP(K2251,COA!$A$3:$B$337,2,FALSE)</f>
        <v>V13</v>
      </c>
      <c r="M2251" s="96" t="str">
        <f t="shared" si="82"/>
        <v>V13</v>
      </c>
      <c r="N2251" s="96" t="str">
        <f>VLOOKUP(M2251,CAC!$A$2:$B$198,2,FALSE)</f>
        <v>HMOIFP</v>
      </c>
    </row>
    <row r="2252" spans="5:14" x14ac:dyDescent="0.25">
      <c r="E2252" s="136">
        <v>201711</v>
      </c>
      <c r="F2252" s="138" t="s">
        <v>413</v>
      </c>
      <c r="G2252" s="138" t="s">
        <v>352</v>
      </c>
      <c r="H2252" s="138" t="s">
        <v>344</v>
      </c>
      <c r="I2252" s="139">
        <v>0</v>
      </c>
      <c r="K2252" s="96" t="str">
        <f t="shared" si="81"/>
        <v>0008-1004-0012</v>
      </c>
      <c r="L2252" s="96" t="str">
        <f>VLOOKUP(K2252,COA!$A$3:$B$337,2,FALSE)</f>
        <v>C93</v>
      </c>
      <c r="M2252" s="96" t="str">
        <f t="shared" si="82"/>
        <v>C93</v>
      </c>
      <c r="N2252" s="96" t="str">
        <f>VLOOKUP(M2252,CAC!$A$2:$B$198,2,FALSE)</f>
        <v>DOILG</v>
      </c>
    </row>
    <row r="2253" spans="5:14" x14ac:dyDescent="0.25">
      <c r="E2253" s="136">
        <v>201612</v>
      </c>
      <c r="F2253" s="138" t="s">
        <v>344</v>
      </c>
      <c r="G2253" s="138" t="s">
        <v>350</v>
      </c>
      <c r="H2253" s="138" t="s">
        <v>344</v>
      </c>
      <c r="I2253" s="139">
        <v>98</v>
      </c>
      <c r="K2253" s="96" t="str">
        <f t="shared" si="81"/>
        <v>0012-1012-0012</v>
      </c>
      <c r="L2253" s="96" t="str">
        <f>VLOOKUP(K2253,COA!$A$3:$B$337,2,FALSE)</f>
        <v>K12</v>
      </c>
      <c r="M2253" s="96" t="str">
        <f t="shared" si="82"/>
        <v>K12</v>
      </c>
      <c r="N2253" s="96" t="str">
        <f>VLOOKUP(M2253,CAC!$A$2:$B$198,2,FALSE)</f>
        <v>HMOPMR</v>
      </c>
    </row>
    <row r="2254" spans="5:14" x14ac:dyDescent="0.25">
      <c r="E2254" s="136">
        <v>201505</v>
      </c>
      <c r="F2254" s="138" t="s">
        <v>413</v>
      </c>
      <c r="G2254" s="138" t="s">
        <v>365</v>
      </c>
      <c r="H2254" s="138" t="s">
        <v>411</v>
      </c>
      <c r="I2254" s="139">
        <v>0</v>
      </c>
      <c r="K2254" s="96" t="str">
        <f t="shared" si="81"/>
        <v>0008-1001-0007</v>
      </c>
      <c r="L2254" s="96" t="str">
        <f>VLOOKUP(K2254,COA!$A$3:$B$337,2,FALSE)</f>
        <v>C99</v>
      </c>
      <c r="M2254" s="96" t="str">
        <f t="shared" si="82"/>
        <v>C99</v>
      </c>
      <c r="N2254" s="96" t="str">
        <f>VLOOKUP(M2254,CAC!$A$2:$B$198,2,FALSE)</f>
        <v>DOIIFP</v>
      </c>
    </row>
    <row r="2255" spans="5:14" x14ac:dyDescent="0.25">
      <c r="E2255" s="136">
        <v>201507</v>
      </c>
      <c r="F2255" s="138" t="s">
        <v>345</v>
      </c>
      <c r="G2255" s="138" t="s">
        <v>362</v>
      </c>
      <c r="H2255" s="138" t="s">
        <v>371</v>
      </c>
      <c r="I2255" s="139">
        <v>6196</v>
      </c>
      <c r="K2255" s="96" t="str">
        <f t="shared" si="81"/>
        <v>0011-1008-0033</v>
      </c>
      <c r="L2255" s="96" t="str">
        <f>VLOOKUP(K2255,COA!$A$3:$B$337,2,FALSE)</f>
        <v>P13</v>
      </c>
      <c r="M2255" s="96" t="str">
        <f t="shared" si="82"/>
        <v>P13</v>
      </c>
      <c r="N2255" s="96" t="str">
        <f>VLOOKUP(M2255,CAC!$A$2:$B$198,2,FALSE)</f>
        <v>PERMEDA</v>
      </c>
    </row>
    <row r="2256" spans="5:14" x14ac:dyDescent="0.25">
      <c r="E2256" s="136">
        <v>201512</v>
      </c>
      <c r="F2256" s="138" t="s">
        <v>563</v>
      </c>
      <c r="G2256" s="138" t="s">
        <v>354</v>
      </c>
      <c r="H2256" s="138" t="s">
        <v>653</v>
      </c>
      <c r="I2256" s="139">
        <v>0</v>
      </c>
      <c r="K2256" s="96" t="str">
        <f t="shared" si="81"/>
        <v>0003-1013-0047</v>
      </c>
      <c r="L2256" s="96" t="str">
        <f>VLOOKUP(K2256,COA!$A$3:$B$337,2,FALSE)</f>
        <v>N57</v>
      </c>
      <c r="M2256" s="96" t="str">
        <f t="shared" si="82"/>
        <v>N57</v>
      </c>
      <c r="N2256" s="96" t="str">
        <f>VLOOKUP(M2256,CAC!$A$2:$B$198,2,FALSE)</f>
        <v>PPOPMR</v>
      </c>
    </row>
    <row r="2257" spans="5:16" x14ac:dyDescent="0.25">
      <c r="E2257" s="136">
        <v>201607</v>
      </c>
      <c r="F2257" s="138" t="s">
        <v>563</v>
      </c>
      <c r="G2257" s="138" t="s">
        <v>354</v>
      </c>
      <c r="H2257" s="138" t="s">
        <v>344</v>
      </c>
      <c r="I2257" s="139">
        <v>0</v>
      </c>
      <c r="K2257" s="96" t="str">
        <f t="shared" si="81"/>
        <v>0003-1013-0012</v>
      </c>
      <c r="L2257" s="96" t="str">
        <f>VLOOKUP(K2257,COA!$A$3:$B$337,2,FALSE)</f>
        <v>N55</v>
      </c>
      <c r="M2257" s="96" t="str">
        <f t="shared" si="82"/>
        <v>N55</v>
      </c>
      <c r="N2257" s="96" t="str">
        <f>VLOOKUP(M2257,CAC!$A$2:$B$198,2,FALSE)</f>
        <v>PPOPMR</v>
      </c>
    </row>
    <row r="2258" spans="5:16" x14ac:dyDescent="0.25">
      <c r="E2258" s="136">
        <v>201506</v>
      </c>
      <c r="F2258" s="138" t="s">
        <v>345</v>
      </c>
      <c r="G2258" s="138" t="s">
        <v>346</v>
      </c>
      <c r="H2258" s="138" t="s">
        <v>347</v>
      </c>
      <c r="I2258" s="139">
        <v>11</v>
      </c>
      <c r="K2258" s="96" t="str">
        <f t="shared" si="81"/>
        <v>0011-1014-0039</v>
      </c>
      <c r="L2258" s="96" t="str">
        <f>VLOOKUP(K2258,COA!$A$3:$B$337,2,FALSE)</f>
        <v>K24</v>
      </c>
      <c r="M2258" s="96" t="str">
        <f t="shared" si="82"/>
        <v>K24</v>
      </c>
      <c r="N2258" s="96" t="str">
        <f>VLOOKUP(M2258,CAC!$A$2:$B$198,2,FALSE)</f>
        <v>HMFLEX</v>
      </c>
    </row>
    <row r="2259" spans="5:16" x14ac:dyDescent="0.25">
      <c r="E2259" s="136">
        <v>201601</v>
      </c>
      <c r="F2259" s="138" t="s">
        <v>345</v>
      </c>
      <c r="G2259" s="138" t="s">
        <v>346</v>
      </c>
      <c r="H2259" s="138" t="s">
        <v>360</v>
      </c>
      <c r="I2259" s="139">
        <v>375.18</v>
      </c>
      <c r="K2259" s="96" t="str">
        <f t="shared" si="81"/>
        <v>0011-1014-0048</v>
      </c>
      <c r="L2259" s="96" t="str">
        <f>VLOOKUP(K2259,COA!$A$3:$B$337,2,FALSE)</f>
        <v>K23</v>
      </c>
      <c r="M2259" s="96" t="str">
        <f t="shared" si="82"/>
        <v>K23</v>
      </c>
      <c r="N2259" s="96" t="str">
        <f>VLOOKUP(M2259,CAC!$A$2:$B$198,2,FALSE)</f>
        <v>HMFLEX</v>
      </c>
      <c r="O2259" s="82"/>
      <c r="P2259" s="82"/>
    </row>
    <row r="2260" spans="5:16" x14ac:dyDescent="0.25">
      <c r="E2260" s="136">
        <v>201604</v>
      </c>
      <c r="F2260" s="138" t="s">
        <v>344</v>
      </c>
      <c r="G2260" s="138" t="s">
        <v>354</v>
      </c>
      <c r="H2260" s="138" t="s">
        <v>344</v>
      </c>
      <c r="I2260" s="139">
        <v>279</v>
      </c>
      <c r="K2260" s="99" t="str">
        <f t="shared" ref="K2260:K2323" si="83">F2260&amp;"-"&amp;G2260&amp;"-"&amp;H2260</f>
        <v>0012-1013-0012</v>
      </c>
      <c r="L2260" s="99" t="str">
        <f>VLOOKUP(K2260,COA!$A$3:$B$337,2,FALSE)</f>
        <v>N14</v>
      </c>
      <c r="M2260" s="99" t="str">
        <f t="shared" si="82"/>
        <v>N14</v>
      </c>
      <c r="N2260" s="99" t="str">
        <f>VLOOKUP(M2260,CAC!$A$2:$B$198,2,FALSE)</f>
        <v>HMOPMR</v>
      </c>
    </row>
    <row r="2261" spans="5:16" x14ac:dyDescent="0.25">
      <c r="E2261" s="136">
        <v>201606</v>
      </c>
      <c r="F2261" s="138" t="s">
        <v>563</v>
      </c>
      <c r="G2261" s="138" t="s">
        <v>365</v>
      </c>
      <c r="H2261" s="138" t="s">
        <v>411</v>
      </c>
      <c r="I2261" s="139">
        <v>0</v>
      </c>
      <c r="K2261" s="99" t="str">
        <f t="shared" si="83"/>
        <v>0003-1001-0007</v>
      </c>
      <c r="L2261" s="99" t="str">
        <f>VLOOKUP(K2261,COA!$A$3:$B$337,2,FALSE)</f>
        <v>V52</v>
      </c>
      <c r="M2261" s="99" t="str">
        <f t="shared" si="82"/>
        <v>V52</v>
      </c>
      <c r="N2261" s="99" t="str">
        <f>VLOOKUP(M2261,CAC!$A$2:$B$198,2,FALSE)</f>
        <v>PPOIFP</v>
      </c>
    </row>
    <row r="2262" spans="5:16" x14ac:dyDescent="0.25">
      <c r="E2262" s="136">
        <v>201612</v>
      </c>
      <c r="F2262" s="138" t="s">
        <v>746</v>
      </c>
      <c r="G2262" s="138" t="s">
        <v>354</v>
      </c>
      <c r="H2262" s="138" t="s">
        <v>344</v>
      </c>
      <c r="I2262" s="139">
        <v>81</v>
      </c>
      <c r="K2262" s="99" t="str">
        <f t="shared" si="83"/>
        <v>0016-1013-0012</v>
      </c>
      <c r="L2262" s="99" t="str">
        <f>VLOOKUP(K2262,COA!$A$3:$B$337,2,FALSE)</f>
        <v>R19</v>
      </c>
      <c r="M2262" s="99" t="str">
        <f t="shared" si="82"/>
        <v>R19</v>
      </c>
      <c r="N2262" s="99" t="str">
        <f>VLOOKUP(M2262,CAC!$A$2:$B$198,2,FALSE)</f>
        <v>HMOMG</v>
      </c>
    </row>
    <row r="2263" spans="5:16" x14ac:dyDescent="0.25">
      <c r="E2263" s="136">
        <v>201601</v>
      </c>
      <c r="F2263" s="138" t="s">
        <v>413</v>
      </c>
      <c r="G2263" s="138" t="s">
        <v>365</v>
      </c>
      <c r="H2263" s="138" t="s">
        <v>344</v>
      </c>
      <c r="I2263" s="139">
        <v>0</v>
      </c>
      <c r="K2263" s="99" t="str">
        <f t="shared" si="83"/>
        <v>0008-1001-0012</v>
      </c>
      <c r="L2263" s="99" t="str">
        <f>VLOOKUP(K2263,COA!$A$3:$B$337,2,FALSE)</f>
        <v>C95</v>
      </c>
      <c r="M2263" s="99" t="str">
        <f t="shared" si="82"/>
        <v>C95</v>
      </c>
      <c r="N2263" s="99" t="str">
        <f>VLOOKUP(M2263,CAC!$A$2:$B$198,2,FALSE)</f>
        <v>DOIIFP</v>
      </c>
    </row>
    <row r="2264" spans="5:16" x14ac:dyDescent="0.25">
      <c r="E2264" s="136">
        <v>201507</v>
      </c>
      <c r="F2264" s="138" t="s">
        <v>345</v>
      </c>
      <c r="G2264" s="138" t="s">
        <v>350</v>
      </c>
      <c r="H2264" s="138" t="s">
        <v>344</v>
      </c>
      <c r="I2264" s="139">
        <v>9106</v>
      </c>
      <c r="K2264" s="99" t="str">
        <f t="shared" si="83"/>
        <v>0011-1012-0012</v>
      </c>
      <c r="L2264" s="99" t="str">
        <f>VLOOKUP(K2264,COA!$A$3:$B$337,2,FALSE)</f>
        <v>K11</v>
      </c>
      <c r="M2264" s="99" t="str">
        <f t="shared" si="82"/>
        <v>K11</v>
      </c>
      <c r="N2264" s="99" t="str">
        <f>VLOOKUP(M2264,CAC!$A$2:$B$198,2,FALSE)</f>
        <v>HMOPMR</v>
      </c>
    </row>
    <row r="2265" spans="5:16" x14ac:dyDescent="0.25">
      <c r="E2265" s="136">
        <v>201608</v>
      </c>
      <c r="F2265" s="138" t="s">
        <v>344</v>
      </c>
      <c r="G2265" s="138" t="s">
        <v>352</v>
      </c>
      <c r="H2265" s="138" t="s">
        <v>360</v>
      </c>
      <c r="I2265" s="139">
        <v>206</v>
      </c>
      <c r="K2265" s="99" t="str">
        <f t="shared" si="83"/>
        <v>0012-1004-0048</v>
      </c>
      <c r="L2265" s="99" t="str">
        <f>VLOOKUP(K2265,COA!$A$3:$B$337,2,FALSE)</f>
        <v>L22</v>
      </c>
      <c r="M2265" s="99" t="str">
        <f t="shared" si="82"/>
        <v>L22</v>
      </c>
      <c r="N2265" s="99" t="str">
        <f>VLOOKUP(M2265,CAC!$A$2:$B$198,2,FALSE)</f>
        <v>HMFLEX</v>
      </c>
    </row>
    <row r="2266" spans="5:16" x14ac:dyDescent="0.25">
      <c r="E2266" s="136">
        <v>201703</v>
      </c>
      <c r="F2266" s="138" t="s">
        <v>345</v>
      </c>
      <c r="G2266" s="138" t="s">
        <v>352</v>
      </c>
      <c r="H2266" s="138" t="s">
        <v>357</v>
      </c>
      <c r="I2266" s="139">
        <v>2267</v>
      </c>
      <c r="K2266" s="99" t="str">
        <f t="shared" si="83"/>
        <v>0011-1004-0038</v>
      </c>
      <c r="L2266" s="99" t="str">
        <f>VLOOKUP(K2266,COA!$A$3:$B$337,2,FALSE)</f>
        <v>L14</v>
      </c>
      <c r="M2266" s="99" t="str">
        <f t="shared" si="82"/>
        <v>L14</v>
      </c>
      <c r="N2266" s="99" t="str">
        <f>VLOOKUP(M2266,CAC!$A$2:$B$198,2,FALSE)</f>
        <v>HMOLG</v>
      </c>
    </row>
    <row r="2267" spans="5:16" x14ac:dyDescent="0.25">
      <c r="E2267" s="136">
        <v>201707</v>
      </c>
      <c r="F2267" s="138" t="s">
        <v>345</v>
      </c>
      <c r="G2267" s="138" t="s">
        <v>352</v>
      </c>
      <c r="H2267" s="138" t="s">
        <v>653</v>
      </c>
      <c r="I2267" s="139">
        <v>0</v>
      </c>
      <c r="K2267" s="99" t="str">
        <f t="shared" si="83"/>
        <v>0011-1004-0047</v>
      </c>
      <c r="L2267" s="99" t="str">
        <f>VLOOKUP(K2267,COA!$A$3:$B$337,2,FALSE)</f>
        <v>L17</v>
      </c>
      <c r="M2267" s="99" t="str">
        <f t="shared" si="82"/>
        <v>L17</v>
      </c>
      <c r="N2267" s="99" t="str">
        <f>VLOOKUP(M2267,CAC!$A$2:$B$198,2,FALSE)</f>
        <v>HMOLG</v>
      </c>
    </row>
    <row r="2268" spans="5:16" x14ac:dyDescent="0.25">
      <c r="E2268" s="136">
        <v>201705</v>
      </c>
      <c r="F2268" s="138" t="s">
        <v>413</v>
      </c>
      <c r="G2268" s="138" t="s">
        <v>352</v>
      </c>
      <c r="H2268" s="138" t="s">
        <v>344</v>
      </c>
      <c r="I2268" s="139">
        <v>0</v>
      </c>
      <c r="K2268" s="99" t="str">
        <f t="shared" si="83"/>
        <v>0008-1004-0012</v>
      </c>
      <c r="L2268" s="99" t="str">
        <f>VLOOKUP(K2268,COA!$A$3:$B$337,2,FALSE)</f>
        <v>C93</v>
      </c>
      <c r="M2268" s="99" t="str">
        <f t="shared" si="82"/>
        <v>C93</v>
      </c>
      <c r="N2268" s="99" t="str">
        <f>VLOOKUP(M2268,CAC!$A$2:$B$198,2,FALSE)</f>
        <v>DOILG</v>
      </c>
    </row>
    <row r="2269" spans="5:16" x14ac:dyDescent="0.25">
      <c r="E2269" s="136">
        <v>201612</v>
      </c>
      <c r="F2269" s="138" t="s">
        <v>563</v>
      </c>
      <c r="G2269" s="138" t="s">
        <v>365</v>
      </c>
      <c r="H2269" s="138" t="s">
        <v>798</v>
      </c>
      <c r="I2269" s="139">
        <v>0</v>
      </c>
      <c r="K2269" s="99" t="str">
        <f t="shared" si="83"/>
        <v>0003-1001-0065</v>
      </c>
      <c r="L2269" s="99" t="str">
        <f>VLOOKUP(K2269,COA!$A$3:$B$337,2,FALSE)</f>
        <v>V55</v>
      </c>
      <c r="M2269" s="99" t="str">
        <f t="shared" si="82"/>
        <v>V55</v>
      </c>
      <c r="N2269" s="99" t="e">
        <f>VLOOKUP(M2269,CAC!$A$2:$B$198,2,FALSE)</f>
        <v>#N/A</v>
      </c>
    </row>
    <row r="2270" spans="5:16" x14ac:dyDescent="0.25">
      <c r="E2270" s="136">
        <v>201511</v>
      </c>
      <c r="F2270" s="138" t="s">
        <v>563</v>
      </c>
      <c r="G2270" s="138" t="s">
        <v>350</v>
      </c>
      <c r="H2270" s="138" t="s">
        <v>344</v>
      </c>
      <c r="I2270" s="139">
        <v>0</v>
      </c>
      <c r="K2270" s="99" t="str">
        <f t="shared" si="83"/>
        <v>0003-1012-0012</v>
      </c>
      <c r="L2270" s="99" t="str">
        <f>VLOOKUP(K2270,COA!$A$3:$B$337,2,FALSE)</f>
        <v>K51</v>
      </c>
      <c r="M2270" s="99" t="str">
        <f t="shared" si="82"/>
        <v>K51</v>
      </c>
      <c r="N2270" s="99" t="str">
        <f>VLOOKUP(M2270,CAC!$A$2:$B$198,2,FALSE)</f>
        <v>PPOPMR</v>
      </c>
    </row>
    <row r="2271" spans="5:16" x14ac:dyDescent="0.25">
      <c r="E2271" s="136">
        <v>201701</v>
      </c>
      <c r="F2271" s="138" t="s">
        <v>345</v>
      </c>
      <c r="G2271" s="138" t="s">
        <v>365</v>
      </c>
      <c r="H2271" s="138" t="s">
        <v>366</v>
      </c>
      <c r="I2271" s="139">
        <v>715.03</v>
      </c>
      <c r="K2271" s="99" t="str">
        <f t="shared" si="83"/>
        <v>0011-1001-0021</v>
      </c>
      <c r="L2271" s="99" t="str">
        <f>VLOOKUP(K2271,COA!$A$3:$B$337,2,FALSE)</f>
        <v>V13</v>
      </c>
      <c r="M2271" s="99" t="str">
        <f t="shared" si="82"/>
        <v>V13</v>
      </c>
      <c r="N2271" s="99" t="str">
        <f>VLOOKUP(M2271,CAC!$A$2:$B$198,2,FALSE)</f>
        <v>HMOIFP</v>
      </c>
    </row>
    <row r="2272" spans="5:16" x14ac:dyDescent="0.25">
      <c r="E2272" s="136">
        <v>201701</v>
      </c>
      <c r="F2272" s="138" t="s">
        <v>344</v>
      </c>
      <c r="G2272" s="138" t="s">
        <v>352</v>
      </c>
      <c r="H2272" s="138" t="s">
        <v>360</v>
      </c>
      <c r="I2272" s="139">
        <v>218</v>
      </c>
      <c r="K2272" s="99" t="str">
        <f t="shared" si="83"/>
        <v>0012-1004-0048</v>
      </c>
      <c r="L2272" s="99" t="str">
        <f>VLOOKUP(K2272,COA!$A$3:$B$337,2,FALSE)</f>
        <v>L22</v>
      </c>
      <c r="M2272" s="99" t="str">
        <f t="shared" si="82"/>
        <v>L22</v>
      </c>
      <c r="N2272" s="99" t="str">
        <f>VLOOKUP(M2272,CAC!$A$2:$B$198,2,FALSE)</f>
        <v>HMFLEX</v>
      </c>
    </row>
    <row r="2273" spans="5:14" x14ac:dyDescent="0.25">
      <c r="E2273" s="136">
        <v>201608</v>
      </c>
      <c r="F2273" s="138" t="s">
        <v>746</v>
      </c>
      <c r="G2273" s="138" t="s">
        <v>361</v>
      </c>
      <c r="H2273" s="138" t="s">
        <v>344</v>
      </c>
      <c r="I2273" s="139">
        <v>469</v>
      </c>
      <c r="K2273" s="99" t="str">
        <f t="shared" si="83"/>
        <v>0016-1003-0012</v>
      </c>
      <c r="L2273" s="99" t="str">
        <f>VLOOKUP(K2273,COA!$A$3:$B$337,2,FALSE)</f>
        <v>R18</v>
      </c>
      <c r="M2273" s="99" t="str">
        <f t="shared" si="82"/>
        <v>R18</v>
      </c>
      <c r="N2273" s="99" t="str">
        <f>VLOOKUP(M2273,CAC!$A$2:$B$198,2,FALSE)</f>
        <v>HMOMG</v>
      </c>
    </row>
    <row r="2274" spans="5:14" x14ac:dyDescent="0.25">
      <c r="E2274" s="136">
        <v>201607</v>
      </c>
      <c r="F2274" s="138" t="s">
        <v>413</v>
      </c>
      <c r="G2274" s="138" t="s">
        <v>352</v>
      </c>
      <c r="H2274" s="138" t="s">
        <v>344</v>
      </c>
      <c r="I2274" s="139">
        <v>0</v>
      </c>
      <c r="K2274" s="99" t="str">
        <f t="shared" si="83"/>
        <v>0008-1004-0012</v>
      </c>
      <c r="L2274" s="99" t="str">
        <f>VLOOKUP(K2274,COA!$A$3:$B$337,2,FALSE)</f>
        <v>C93</v>
      </c>
      <c r="M2274" s="99" t="str">
        <f t="shared" si="82"/>
        <v>C93</v>
      </c>
      <c r="N2274" s="99" t="str">
        <f>VLOOKUP(M2274,CAC!$A$2:$B$198,2,FALSE)</f>
        <v>DOILG</v>
      </c>
    </row>
    <row r="2275" spans="5:14" x14ac:dyDescent="0.25">
      <c r="E2275" s="136">
        <v>201505</v>
      </c>
      <c r="F2275" s="138" t="s">
        <v>345</v>
      </c>
      <c r="G2275" s="138" t="s">
        <v>348</v>
      </c>
      <c r="H2275" s="138" t="s">
        <v>349</v>
      </c>
      <c r="I2275" s="139">
        <v>18066.060000000001</v>
      </c>
      <c r="K2275" s="99" t="str">
        <f t="shared" si="83"/>
        <v>0011-1010-0017</v>
      </c>
      <c r="L2275" s="99" t="str">
        <f>VLOOKUP(K2275,COA!$A$3:$B$337,2,FALSE)</f>
        <v>S11</v>
      </c>
      <c r="M2275" s="99" t="str">
        <f t="shared" si="82"/>
        <v>S11</v>
      </c>
      <c r="N2275" s="99" t="str">
        <f>VLOOKUP(M2275,CAC!$A$2:$B$198,2,FALSE)</f>
        <v>HMOSG</v>
      </c>
    </row>
    <row r="2276" spans="5:14" x14ac:dyDescent="0.25">
      <c r="E2276" s="136">
        <v>201612</v>
      </c>
      <c r="F2276" s="138" t="s">
        <v>563</v>
      </c>
      <c r="G2276" s="138" t="s">
        <v>350</v>
      </c>
      <c r="H2276" s="138" t="s">
        <v>344</v>
      </c>
      <c r="I2276" s="139">
        <v>0</v>
      </c>
      <c r="K2276" s="99" t="str">
        <f t="shared" si="83"/>
        <v>0003-1012-0012</v>
      </c>
      <c r="L2276" s="99" t="str">
        <f>VLOOKUP(K2276,COA!$A$3:$B$337,2,FALSE)</f>
        <v>K51</v>
      </c>
      <c r="M2276" s="99" t="str">
        <f t="shared" si="82"/>
        <v>K51</v>
      </c>
      <c r="N2276" s="99" t="str">
        <f>VLOOKUP(M2276,CAC!$A$2:$B$198,2,FALSE)</f>
        <v>PPOPMR</v>
      </c>
    </row>
    <row r="2277" spans="5:14" x14ac:dyDescent="0.25">
      <c r="E2277" s="136">
        <v>201608</v>
      </c>
      <c r="F2277" s="138" t="s">
        <v>563</v>
      </c>
      <c r="G2277" s="138" t="s">
        <v>356</v>
      </c>
      <c r="H2277" s="138" t="s">
        <v>344</v>
      </c>
      <c r="I2277" s="139">
        <v>0</v>
      </c>
      <c r="K2277" s="99" t="str">
        <f t="shared" si="83"/>
        <v>0003-1002-0012</v>
      </c>
      <c r="L2277" s="99" t="str">
        <f>VLOOKUP(K2277,COA!$A$3:$B$337,2,FALSE)</f>
        <v>F61</v>
      </c>
      <c r="M2277" s="99" t="str">
        <f t="shared" si="82"/>
        <v>F61</v>
      </c>
      <c r="N2277" s="99" t="str">
        <f>VLOOKUP(M2277,CAC!$A$2:$B$198,2,FALSE)</f>
        <v>PPOPMR</v>
      </c>
    </row>
    <row r="2278" spans="5:14" x14ac:dyDescent="0.25">
      <c r="E2278" s="136">
        <v>201611</v>
      </c>
      <c r="F2278" s="138" t="s">
        <v>413</v>
      </c>
      <c r="G2278" s="138" t="s">
        <v>356</v>
      </c>
      <c r="H2278" s="138" t="s">
        <v>344</v>
      </c>
      <c r="I2278" s="139">
        <v>0</v>
      </c>
      <c r="K2278" s="99" t="str">
        <f t="shared" si="83"/>
        <v>0008-1002-0012</v>
      </c>
      <c r="L2278" s="99" t="str">
        <f>VLOOKUP(K2278,COA!$A$3:$B$337,2,FALSE)</f>
        <v>C74</v>
      </c>
      <c r="M2278" s="99" t="str">
        <f t="shared" si="82"/>
        <v>C74</v>
      </c>
      <c r="N2278" s="99" t="str">
        <f>VLOOKUP(M2278,CAC!$A$2:$B$198,2,FALSE)</f>
        <v>DOILG</v>
      </c>
    </row>
    <row r="2279" spans="5:14" x14ac:dyDescent="0.25">
      <c r="E2279" s="136">
        <v>201604</v>
      </c>
      <c r="F2279" s="138" t="s">
        <v>563</v>
      </c>
      <c r="G2279" s="138" t="s">
        <v>365</v>
      </c>
      <c r="H2279" s="138" t="s">
        <v>367</v>
      </c>
      <c r="I2279" s="139">
        <v>0</v>
      </c>
      <c r="K2279" s="99" t="str">
        <f t="shared" si="83"/>
        <v>0003-1001-0022</v>
      </c>
      <c r="L2279" s="99" t="str">
        <f>VLOOKUP(K2279,COA!$A$3:$B$337,2,FALSE)</f>
        <v>V54</v>
      </c>
      <c r="M2279" s="99" t="str">
        <f t="shared" si="82"/>
        <v>V54</v>
      </c>
      <c r="N2279" s="99" t="str">
        <f>VLOOKUP(M2279,CAC!$A$2:$B$198,2,FALSE)</f>
        <v>PPOIFP</v>
      </c>
    </row>
    <row r="2280" spans="5:14" x14ac:dyDescent="0.25">
      <c r="E2280" s="136">
        <v>201510</v>
      </c>
      <c r="F2280" s="138" t="s">
        <v>345</v>
      </c>
      <c r="G2280" s="138" t="s">
        <v>350</v>
      </c>
      <c r="H2280" s="138" t="s">
        <v>344</v>
      </c>
      <c r="I2280" s="139">
        <v>10386.52</v>
      </c>
      <c r="K2280" s="99" t="str">
        <f t="shared" si="83"/>
        <v>0011-1012-0012</v>
      </c>
      <c r="L2280" s="99" t="str">
        <f>VLOOKUP(K2280,COA!$A$3:$B$337,2,FALSE)</f>
        <v>K11</v>
      </c>
      <c r="M2280" s="99" t="str">
        <f t="shared" si="82"/>
        <v>K11</v>
      </c>
      <c r="N2280" s="99" t="str">
        <f>VLOOKUP(M2280,CAC!$A$2:$B$198,2,FALSE)</f>
        <v>HMOPMR</v>
      </c>
    </row>
    <row r="2281" spans="5:14" x14ac:dyDescent="0.25">
      <c r="E2281" s="136">
        <v>201511</v>
      </c>
      <c r="F2281" s="138" t="s">
        <v>342</v>
      </c>
      <c r="G2281" s="138" t="s">
        <v>343</v>
      </c>
      <c r="H2281" s="138" t="s">
        <v>344</v>
      </c>
      <c r="I2281" s="139">
        <v>6687.34</v>
      </c>
      <c r="K2281" s="99" t="str">
        <f t="shared" si="83"/>
        <v>0031-1000-0012</v>
      </c>
      <c r="L2281" s="99" t="str">
        <f>VLOOKUP(K2281,COA!$A$3:$B$337,2,FALSE)</f>
        <v>F27</v>
      </c>
      <c r="M2281" s="99" t="str">
        <f t="shared" si="82"/>
        <v>F27</v>
      </c>
      <c r="N2281" s="99" t="str">
        <f>VLOOKUP(M2281,CAC!$A$2:$B$198,2,FALSE)</f>
        <v>HMOFEP</v>
      </c>
    </row>
    <row r="2282" spans="5:14" x14ac:dyDescent="0.25">
      <c r="E2282" s="136">
        <v>201508</v>
      </c>
      <c r="F2282" s="138" t="s">
        <v>563</v>
      </c>
      <c r="G2282" s="138" t="s">
        <v>365</v>
      </c>
      <c r="H2282" s="138" t="s">
        <v>344</v>
      </c>
      <c r="I2282" s="139">
        <v>0</v>
      </c>
      <c r="K2282" s="99" t="str">
        <f t="shared" si="83"/>
        <v>0003-1001-0012</v>
      </c>
      <c r="L2282" s="99" t="str">
        <f>VLOOKUP(K2282,COA!$A$3:$B$337,2,FALSE)</f>
        <v>V51</v>
      </c>
      <c r="M2282" s="99" t="str">
        <f t="shared" si="82"/>
        <v>V51</v>
      </c>
      <c r="N2282" s="99" t="str">
        <f>VLOOKUP(M2282,CAC!$A$2:$B$198,2,FALSE)</f>
        <v>PPOIFP</v>
      </c>
    </row>
    <row r="2283" spans="5:14" x14ac:dyDescent="0.25">
      <c r="E2283" s="136">
        <v>201601</v>
      </c>
      <c r="F2283" s="138" t="s">
        <v>563</v>
      </c>
      <c r="G2283" s="138" t="s">
        <v>350</v>
      </c>
      <c r="H2283" s="138" t="s">
        <v>344</v>
      </c>
      <c r="I2283" s="139">
        <v>0</v>
      </c>
      <c r="K2283" s="99" t="str">
        <f t="shared" si="83"/>
        <v>0003-1012-0012</v>
      </c>
      <c r="L2283" s="99" t="str">
        <f>VLOOKUP(K2283,COA!$A$3:$B$337,2,FALSE)</f>
        <v>K51</v>
      </c>
      <c r="M2283" s="99" t="str">
        <f t="shared" si="82"/>
        <v>K51</v>
      </c>
      <c r="N2283" s="99" t="str">
        <f>VLOOKUP(M2283,CAC!$A$2:$B$198,2,FALSE)</f>
        <v>PPOPMR</v>
      </c>
    </row>
    <row r="2284" spans="5:14" x14ac:dyDescent="0.25">
      <c r="E2284" s="136">
        <v>201606</v>
      </c>
      <c r="F2284" s="138" t="s">
        <v>549</v>
      </c>
      <c r="G2284" s="138" t="s">
        <v>356</v>
      </c>
      <c r="H2284" s="138" t="s">
        <v>672</v>
      </c>
      <c r="I2284" s="139">
        <v>0</v>
      </c>
      <c r="K2284" s="99" t="str">
        <f t="shared" si="83"/>
        <v>0026-1002-0058</v>
      </c>
      <c r="L2284" s="99" t="str">
        <f>VLOOKUP(K2284,COA!$A$3:$B$337,2,FALSE)</f>
        <v>L45</v>
      </c>
      <c r="M2284" s="99" t="str">
        <f t="shared" si="82"/>
        <v>L45</v>
      </c>
      <c r="N2284" s="99" t="e">
        <f>VLOOKUP(M2284,CAC!$A$2:$B$198,2,FALSE)</f>
        <v>#N/A</v>
      </c>
    </row>
    <row r="2285" spans="5:14" x14ac:dyDescent="0.25">
      <c r="E2285" s="136">
        <v>201604</v>
      </c>
      <c r="F2285" s="138" t="s">
        <v>552</v>
      </c>
      <c r="G2285" s="138" t="s">
        <v>356</v>
      </c>
      <c r="H2285" s="138" t="s">
        <v>672</v>
      </c>
      <c r="I2285" s="139">
        <v>0</v>
      </c>
      <c r="K2285" s="99" t="str">
        <f t="shared" si="83"/>
        <v>0027-1002-0058</v>
      </c>
      <c r="L2285" s="99" t="str">
        <f>VLOOKUP(K2285,COA!$A$3:$B$337,2,FALSE)</f>
        <v>L45</v>
      </c>
      <c r="M2285" s="99" t="str">
        <f t="shared" si="82"/>
        <v>L45</v>
      </c>
      <c r="N2285" s="99" t="e">
        <f>VLOOKUP(M2285,CAC!$A$2:$B$198,2,FALSE)</f>
        <v>#N/A</v>
      </c>
    </row>
    <row r="2286" spans="5:14" x14ac:dyDescent="0.25">
      <c r="E2286" s="136">
        <v>201603</v>
      </c>
      <c r="F2286" s="138" t="s">
        <v>344</v>
      </c>
      <c r="G2286" s="138" t="s">
        <v>354</v>
      </c>
      <c r="H2286" s="138" t="s">
        <v>344</v>
      </c>
      <c r="I2286" s="139">
        <v>277</v>
      </c>
      <c r="K2286" s="99" t="str">
        <f t="shared" si="83"/>
        <v>0012-1013-0012</v>
      </c>
      <c r="L2286" s="99" t="str">
        <f>VLOOKUP(K2286,COA!$A$3:$B$337,2,FALSE)</f>
        <v>N14</v>
      </c>
      <c r="M2286" s="99" t="str">
        <f t="shared" si="82"/>
        <v>N14</v>
      </c>
      <c r="N2286" s="99" t="str">
        <f>VLOOKUP(M2286,CAC!$A$2:$B$198,2,FALSE)</f>
        <v>HMOPMR</v>
      </c>
    </row>
    <row r="2287" spans="5:14" x14ac:dyDescent="0.25">
      <c r="E2287" s="136">
        <v>201704</v>
      </c>
      <c r="F2287" s="138" t="s">
        <v>413</v>
      </c>
      <c r="G2287" s="138" t="s">
        <v>352</v>
      </c>
      <c r="H2287" s="138" t="s">
        <v>344</v>
      </c>
      <c r="I2287" s="139">
        <v>0</v>
      </c>
      <c r="K2287" s="99" t="str">
        <f t="shared" si="83"/>
        <v>0008-1004-0012</v>
      </c>
      <c r="L2287" s="99" t="str">
        <f>VLOOKUP(K2287,COA!$A$3:$B$337,2,FALSE)</f>
        <v>C93</v>
      </c>
      <c r="M2287" s="99" t="str">
        <f t="shared" si="82"/>
        <v>C93</v>
      </c>
      <c r="N2287" s="99" t="str">
        <f>VLOOKUP(M2287,CAC!$A$2:$B$198,2,FALSE)</f>
        <v>DOILG</v>
      </c>
    </row>
    <row r="2288" spans="5:14" x14ac:dyDescent="0.25">
      <c r="E2288" s="136">
        <v>201705</v>
      </c>
      <c r="F2288" s="138" t="s">
        <v>563</v>
      </c>
      <c r="G2288" s="138" t="s">
        <v>365</v>
      </c>
      <c r="H2288" s="138" t="s">
        <v>366</v>
      </c>
      <c r="I2288" s="139">
        <v>0</v>
      </c>
      <c r="K2288" s="99" t="str">
        <f t="shared" si="83"/>
        <v>0003-1001-0021</v>
      </c>
      <c r="L2288" s="99" t="str">
        <f>VLOOKUP(K2288,COA!$A$3:$B$337,2,FALSE)</f>
        <v>V53</v>
      </c>
      <c r="M2288" s="99" t="str">
        <f t="shared" si="82"/>
        <v>V53</v>
      </c>
      <c r="N2288" s="99" t="str">
        <f>VLOOKUP(M2288,CAC!$A$2:$B$198,2,FALSE)</f>
        <v>PPOIFP</v>
      </c>
    </row>
    <row r="2289" spans="5:14" x14ac:dyDescent="0.25">
      <c r="E2289" s="136">
        <v>201503</v>
      </c>
      <c r="F2289" s="138" t="s">
        <v>345</v>
      </c>
      <c r="G2289" s="138" t="s">
        <v>355</v>
      </c>
      <c r="H2289" s="138" t="s">
        <v>344</v>
      </c>
      <c r="I2289" s="139">
        <v>24132.43</v>
      </c>
      <c r="K2289" s="99" t="str">
        <f t="shared" si="83"/>
        <v>0011-1006-0012</v>
      </c>
      <c r="L2289" s="99" t="str">
        <f>VLOOKUP(K2289,COA!$A$3:$B$337,2,FALSE)</f>
        <v>L13</v>
      </c>
      <c r="M2289" s="99" t="str">
        <f t="shared" si="82"/>
        <v>L13</v>
      </c>
      <c r="N2289" s="99" t="str">
        <f>VLOOKUP(M2289,CAC!$A$2:$B$198,2,FALSE)</f>
        <v>HMOLG</v>
      </c>
    </row>
    <row r="2290" spans="5:14" x14ac:dyDescent="0.25">
      <c r="E2290" s="136">
        <v>201605</v>
      </c>
      <c r="F2290" s="138" t="s">
        <v>349</v>
      </c>
      <c r="G2290" s="138" t="s">
        <v>369</v>
      </c>
      <c r="H2290" s="138" t="s">
        <v>344</v>
      </c>
      <c r="I2290" s="139">
        <v>39407</v>
      </c>
      <c r="K2290" s="99" t="str">
        <f t="shared" si="83"/>
        <v>0017-1009-0012</v>
      </c>
      <c r="L2290" s="99" t="str">
        <f>VLOOKUP(K2290,COA!$A$3:$B$337,2,FALSE)</f>
        <v>R12</v>
      </c>
      <c r="M2290" s="99" t="str">
        <f t="shared" si="82"/>
        <v>R12</v>
      </c>
      <c r="N2290" s="99" t="str">
        <f>VLOOKUP(M2290,CAC!$A$2:$B$198,2,FALSE)</f>
        <v>HMOMM</v>
      </c>
    </row>
    <row r="2291" spans="5:14" x14ac:dyDescent="0.25">
      <c r="E2291" s="136">
        <v>201706</v>
      </c>
      <c r="F2291" s="138" t="s">
        <v>344</v>
      </c>
      <c r="G2291" s="138" t="s">
        <v>356</v>
      </c>
      <c r="H2291" s="138" t="s">
        <v>344</v>
      </c>
      <c r="I2291" s="139">
        <v>4285.97</v>
      </c>
      <c r="K2291" s="99" t="str">
        <f t="shared" si="83"/>
        <v>0012-1002-0012</v>
      </c>
      <c r="L2291" s="99" t="str">
        <f>VLOOKUP(K2291,COA!$A$3:$B$337,2,FALSE)</f>
        <v>F22</v>
      </c>
      <c r="M2291" s="99" t="str">
        <f t="shared" si="82"/>
        <v>F22</v>
      </c>
      <c r="N2291" s="99" t="str">
        <f>VLOOKUP(M2291,CAC!$A$2:$B$198,2,FALSE)</f>
        <v>HMOPMR</v>
      </c>
    </row>
    <row r="2292" spans="5:14" x14ac:dyDescent="0.25">
      <c r="E2292" s="136">
        <v>201512</v>
      </c>
      <c r="F2292" s="138" t="s">
        <v>345</v>
      </c>
      <c r="G2292" s="138" t="s">
        <v>346</v>
      </c>
      <c r="H2292" s="138" t="s">
        <v>360</v>
      </c>
      <c r="I2292" s="139">
        <v>392</v>
      </c>
      <c r="K2292" s="99" t="str">
        <f t="shared" si="83"/>
        <v>0011-1014-0048</v>
      </c>
      <c r="L2292" s="99" t="str">
        <f>VLOOKUP(K2292,COA!$A$3:$B$337,2,FALSE)</f>
        <v>K23</v>
      </c>
      <c r="M2292" s="99" t="str">
        <f t="shared" si="82"/>
        <v>K23</v>
      </c>
      <c r="N2292" s="99" t="str">
        <f>VLOOKUP(M2292,CAC!$A$2:$B$198,2,FALSE)</f>
        <v>HMFLEX</v>
      </c>
    </row>
    <row r="2293" spans="5:14" x14ac:dyDescent="0.25">
      <c r="E2293" s="136">
        <v>201510</v>
      </c>
      <c r="F2293" s="138" t="s">
        <v>746</v>
      </c>
      <c r="G2293" s="138" t="s">
        <v>355</v>
      </c>
      <c r="H2293" s="138" t="s">
        <v>344</v>
      </c>
      <c r="I2293" s="139">
        <v>1</v>
      </c>
      <c r="K2293" s="99" t="str">
        <f t="shared" si="83"/>
        <v>0016-1006-0012</v>
      </c>
      <c r="L2293" s="99" t="str">
        <f>VLOOKUP(K2293,COA!$A$3:$B$337,2,FALSE)</f>
        <v>R21</v>
      </c>
      <c r="M2293" s="99" t="str">
        <f t="shared" si="82"/>
        <v>R21</v>
      </c>
      <c r="N2293" s="99" t="str">
        <f>VLOOKUP(M2293,CAC!$A$2:$B$198,2,FALSE)</f>
        <v>HMOMG</v>
      </c>
    </row>
    <row r="2294" spans="5:14" x14ac:dyDescent="0.25">
      <c r="E2294" s="136">
        <v>201704</v>
      </c>
      <c r="F2294" s="138" t="s">
        <v>563</v>
      </c>
      <c r="G2294" s="138" t="s">
        <v>359</v>
      </c>
      <c r="H2294" s="138" t="s">
        <v>344</v>
      </c>
      <c r="I2294" s="139">
        <v>0</v>
      </c>
      <c r="K2294" s="99" t="str">
        <f t="shared" si="83"/>
        <v>0003-1005-0012</v>
      </c>
      <c r="L2294" s="99" t="str">
        <f>VLOOKUP(K2294,COA!$A$3:$B$337,2,FALSE)</f>
        <v>N51</v>
      </c>
      <c r="M2294" s="99" t="str">
        <f t="shared" si="82"/>
        <v>N51</v>
      </c>
      <c r="N2294" s="99" t="str">
        <f>VLOOKUP(M2294,CAC!$A$2:$B$198,2,FALSE)</f>
        <v>PPOLG</v>
      </c>
    </row>
    <row r="2295" spans="5:14" x14ac:dyDescent="0.25">
      <c r="E2295" s="136">
        <v>201712</v>
      </c>
      <c r="F2295" s="138" t="s">
        <v>342</v>
      </c>
      <c r="G2295" s="138" t="s">
        <v>343</v>
      </c>
      <c r="H2295" s="138" t="s">
        <v>344</v>
      </c>
      <c r="I2295" s="139">
        <v>5573.43</v>
      </c>
      <c r="K2295" s="99" t="str">
        <f t="shared" si="83"/>
        <v>0031-1000-0012</v>
      </c>
      <c r="L2295" s="99" t="str">
        <f>VLOOKUP(K2295,COA!$A$3:$B$337,2,FALSE)</f>
        <v>F27</v>
      </c>
      <c r="M2295" s="99" t="str">
        <f t="shared" si="82"/>
        <v>F27</v>
      </c>
      <c r="N2295" s="99" t="str">
        <f>VLOOKUP(M2295,CAC!$A$2:$B$198,2,FALSE)</f>
        <v>HMOFEP</v>
      </c>
    </row>
    <row r="2296" spans="5:14" x14ac:dyDescent="0.25">
      <c r="E2296" s="136">
        <v>201708</v>
      </c>
      <c r="F2296" s="138" t="s">
        <v>563</v>
      </c>
      <c r="G2296" s="138" t="s">
        <v>354</v>
      </c>
      <c r="H2296" s="138" t="s">
        <v>360</v>
      </c>
      <c r="I2296" s="139">
        <v>0</v>
      </c>
      <c r="K2296" s="99" t="str">
        <f t="shared" si="83"/>
        <v>0003-1013-0048</v>
      </c>
      <c r="L2296" s="99" t="str">
        <f>VLOOKUP(K2296,COA!$A$3:$B$337,2,FALSE)</f>
        <v>N56</v>
      </c>
      <c r="M2296" s="99" t="str">
        <f t="shared" si="82"/>
        <v>N56</v>
      </c>
      <c r="N2296" s="99" t="str">
        <f>VLOOKUP(M2296,CAC!$A$2:$B$198,2,FALSE)</f>
        <v>HMFLEX</v>
      </c>
    </row>
    <row r="2297" spans="5:14" x14ac:dyDescent="0.25">
      <c r="E2297" s="136">
        <v>201601</v>
      </c>
      <c r="F2297" s="138" t="s">
        <v>563</v>
      </c>
      <c r="G2297" s="138" t="s">
        <v>369</v>
      </c>
      <c r="H2297" s="138" t="s">
        <v>345</v>
      </c>
      <c r="I2297" s="139">
        <v>0</v>
      </c>
      <c r="K2297" s="99" t="str">
        <f t="shared" si="83"/>
        <v>0003-1009-0011</v>
      </c>
      <c r="L2297" s="99" t="str">
        <f>VLOOKUP(K2297,COA!$A$3:$B$337,2,FALSE)</f>
        <v>V91</v>
      </c>
      <c r="M2297" s="99" t="str">
        <f t="shared" si="82"/>
        <v>V91</v>
      </c>
      <c r="N2297" s="99" t="str">
        <f>VLOOKUP(M2297,CAC!$A$2:$B$198,2,FALSE)</f>
        <v>PPOMM</v>
      </c>
    </row>
    <row r="2298" spans="5:14" x14ac:dyDescent="0.25">
      <c r="E2298" s="136">
        <v>201608</v>
      </c>
      <c r="F2298" s="138" t="s">
        <v>342</v>
      </c>
      <c r="G2298" s="138" t="s">
        <v>343</v>
      </c>
      <c r="H2298" s="138" t="s">
        <v>344</v>
      </c>
      <c r="I2298" s="139">
        <v>6060.52</v>
      </c>
      <c r="K2298" s="99" t="str">
        <f t="shared" si="83"/>
        <v>0031-1000-0012</v>
      </c>
      <c r="L2298" s="99" t="str">
        <f>VLOOKUP(K2298,COA!$A$3:$B$337,2,FALSE)</f>
        <v>F27</v>
      </c>
      <c r="M2298" s="99" t="str">
        <f t="shared" si="82"/>
        <v>F27</v>
      </c>
      <c r="N2298" s="99" t="str">
        <f>VLOOKUP(M2298,CAC!$A$2:$B$198,2,FALSE)</f>
        <v>HMOFEP</v>
      </c>
    </row>
    <row r="2299" spans="5:14" x14ac:dyDescent="0.25">
      <c r="E2299" s="136">
        <v>201507</v>
      </c>
      <c r="F2299" s="138" t="s">
        <v>345</v>
      </c>
      <c r="G2299" s="138" t="s">
        <v>348</v>
      </c>
      <c r="H2299" s="138" t="s">
        <v>349</v>
      </c>
      <c r="I2299" s="139">
        <v>18207.990000000002</v>
      </c>
      <c r="K2299" s="99" t="str">
        <f t="shared" si="83"/>
        <v>0011-1010-0017</v>
      </c>
      <c r="L2299" s="99" t="str">
        <f>VLOOKUP(K2299,COA!$A$3:$B$337,2,FALSE)</f>
        <v>S11</v>
      </c>
      <c r="M2299" s="99" t="str">
        <f t="shared" si="82"/>
        <v>S11</v>
      </c>
      <c r="N2299" s="99" t="str">
        <f>VLOOKUP(M2299,CAC!$A$2:$B$198,2,FALSE)</f>
        <v>HMOSG</v>
      </c>
    </row>
    <row r="2300" spans="5:14" x14ac:dyDescent="0.25">
      <c r="E2300" s="136">
        <v>201505</v>
      </c>
      <c r="F2300" s="138" t="s">
        <v>563</v>
      </c>
      <c r="G2300" s="138" t="s">
        <v>355</v>
      </c>
      <c r="H2300" s="138" t="s">
        <v>344</v>
      </c>
      <c r="I2300" s="139">
        <v>0</v>
      </c>
      <c r="K2300" s="99" t="str">
        <f t="shared" si="83"/>
        <v>0003-1006-0012</v>
      </c>
      <c r="L2300" s="99" t="str">
        <f>VLOOKUP(K2300,COA!$A$3:$B$337,2,FALSE)</f>
        <v>L52</v>
      </c>
      <c r="M2300" s="99" t="str">
        <f t="shared" si="82"/>
        <v>L52</v>
      </c>
      <c r="N2300" s="99" t="str">
        <f>VLOOKUP(M2300,CAC!$A$2:$B$198,2,FALSE)</f>
        <v>PPOLG</v>
      </c>
    </row>
    <row r="2301" spans="5:14" x14ac:dyDescent="0.25">
      <c r="E2301" s="136">
        <v>201606</v>
      </c>
      <c r="F2301" s="138" t="s">
        <v>345</v>
      </c>
      <c r="G2301" s="138" t="s">
        <v>354</v>
      </c>
      <c r="H2301" s="138" t="s">
        <v>344</v>
      </c>
      <c r="I2301" s="139">
        <v>6718.06</v>
      </c>
      <c r="K2301" s="99" t="str">
        <f t="shared" si="83"/>
        <v>0011-1013-0012</v>
      </c>
      <c r="L2301" s="99" t="str">
        <f>VLOOKUP(K2301,COA!$A$3:$B$337,2,FALSE)</f>
        <v>N20</v>
      </c>
      <c r="M2301" s="99" t="str">
        <f t="shared" si="82"/>
        <v>N20</v>
      </c>
      <c r="N2301" s="99" t="str">
        <f>VLOOKUP(M2301,CAC!$A$2:$B$198,2,FALSE)</f>
        <v>HMOPMR</v>
      </c>
    </row>
    <row r="2302" spans="5:14" x14ac:dyDescent="0.25">
      <c r="E2302" s="136">
        <v>201709</v>
      </c>
      <c r="F2302" s="138" t="s">
        <v>413</v>
      </c>
      <c r="G2302" s="138" t="s">
        <v>355</v>
      </c>
      <c r="H2302" s="138" t="s">
        <v>344</v>
      </c>
      <c r="I2302" s="139">
        <v>0</v>
      </c>
      <c r="K2302" s="99" t="str">
        <f t="shared" si="83"/>
        <v>0008-1006-0012</v>
      </c>
      <c r="L2302" s="99" t="str">
        <f>VLOOKUP(K2302,COA!$A$3:$B$337,2,FALSE)</f>
        <v>C96</v>
      </c>
      <c r="M2302" s="99" t="str">
        <f t="shared" si="82"/>
        <v>C96</v>
      </c>
      <c r="N2302" s="99" t="str">
        <f>VLOOKUP(M2302,CAC!$A$2:$B$198,2,FALSE)</f>
        <v>DOILG</v>
      </c>
    </row>
    <row r="2303" spans="5:14" x14ac:dyDescent="0.25">
      <c r="E2303" s="136">
        <v>201701</v>
      </c>
      <c r="F2303" s="138" t="s">
        <v>563</v>
      </c>
      <c r="G2303" s="138" t="s">
        <v>351</v>
      </c>
      <c r="H2303" s="138" t="s">
        <v>349</v>
      </c>
      <c r="I2303" s="139">
        <v>0</v>
      </c>
      <c r="K2303" s="99" t="str">
        <f t="shared" si="83"/>
        <v>0003-0000-0017</v>
      </c>
      <c r="L2303" s="99" t="e">
        <f>VLOOKUP(K2303,COA!$A$3:$B$337,2,FALSE)</f>
        <v>#N/A</v>
      </c>
      <c r="M2303" s="99" t="str">
        <f t="shared" si="82"/>
        <v>XXX</v>
      </c>
      <c r="N2303" s="99" t="str">
        <f>VLOOKUP(M2303,CAC!$A$2:$B$198,2,FALSE)</f>
        <v>XXX</v>
      </c>
    </row>
    <row r="2304" spans="5:14" x14ac:dyDescent="0.25">
      <c r="E2304" s="136">
        <v>201601</v>
      </c>
      <c r="F2304" s="138" t="s">
        <v>345</v>
      </c>
      <c r="G2304" s="138" t="s">
        <v>352</v>
      </c>
      <c r="H2304" s="138" t="s">
        <v>344</v>
      </c>
      <c r="I2304" s="139">
        <v>13632.08</v>
      </c>
      <c r="K2304" s="99" t="str">
        <f t="shared" si="83"/>
        <v>0011-1004-0012</v>
      </c>
      <c r="L2304" s="99" t="str">
        <f>VLOOKUP(K2304,COA!$A$3:$B$337,2,FALSE)</f>
        <v>L11</v>
      </c>
      <c r="M2304" s="99" t="str">
        <f t="shared" si="82"/>
        <v>L11</v>
      </c>
      <c r="N2304" s="99" t="str">
        <f>VLOOKUP(M2304,CAC!$A$2:$B$198,2,FALSE)</f>
        <v>HMOLG</v>
      </c>
    </row>
    <row r="2305" spans="5:14" x14ac:dyDescent="0.25">
      <c r="E2305" s="136">
        <v>201712</v>
      </c>
      <c r="F2305" s="138" t="s">
        <v>345</v>
      </c>
      <c r="G2305" s="138" t="s">
        <v>354</v>
      </c>
      <c r="H2305" s="138" t="s">
        <v>360</v>
      </c>
      <c r="I2305" s="139">
        <v>5184</v>
      </c>
      <c r="K2305" s="99" t="str">
        <f t="shared" si="83"/>
        <v>0011-1013-0048</v>
      </c>
      <c r="L2305" s="99" t="str">
        <f>VLOOKUP(K2305,COA!$A$3:$B$337,2,FALSE)</f>
        <v>N21</v>
      </c>
      <c r="M2305" s="99" t="str">
        <f t="shared" si="82"/>
        <v>N21</v>
      </c>
      <c r="N2305" s="99" t="str">
        <f>VLOOKUP(M2305,CAC!$A$2:$B$198,2,FALSE)</f>
        <v>HMFLEX</v>
      </c>
    </row>
    <row r="2306" spans="5:14" x14ac:dyDescent="0.25">
      <c r="E2306" s="136">
        <v>201711</v>
      </c>
      <c r="F2306" s="138" t="s">
        <v>345</v>
      </c>
      <c r="G2306" s="138" t="s">
        <v>361</v>
      </c>
      <c r="H2306" s="138" t="s">
        <v>344</v>
      </c>
      <c r="I2306" s="139">
        <v>874</v>
      </c>
      <c r="K2306" s="99" t="str">
        <f t="shared" si="83"/>
        <v>0011-1003-0012</v>
      </c>
      <c r="L2306" s="99" t="str">
        <f>VLOOKUP(K2306,COA!$A$3:$B$337,2,FALSE)</f>
        <v>N16</v>
      </c>
      <c r="M2306" s="99" t="str">
        <f t="shared" si="82"/>
        <v>N16</v>
      </c>
      <c r="N2306" s="99" t="str">
        <f>VLOOKUP(M2306,CAC!$A$2:$B$198,2,FALSE)</f>
        <v>HMOPMR</v>
      </c>
    </row>
    <row r="2307" spans="5:14" x14ac:dyDescent="0.25">
      <c r="E2307" s="136">
        <v>201607</v>
      </c>
      <c r="F2307" s="138" t="s">
        <v>506</v>
      </c>
      <c r="G2307" s="138" t="s">
        <v>350</v>
      </c>
      <c r="H2307" s="138" t="s">
        <v>592</v>
      </c>
      <c r="I2307" s="139">
        <v>0</v>
      </c>
      <c r="K2307" s="99" t="str">
        <f t="shared" si="83"/>
        <v>0013-1012-0035</v>
      </c>
      <c r="L2307" s="99" t="str">
        <f>VLOOKUP(K2307,COA!$A$3:$B$337,2,FALSE)</f>
        <v>K41</v>
      </c>
      <c r="M2307" s="99" t="str">
        <f t="shared" si="82"/>
        <v>K41</v>
      </c>
      <c r="N2307" s="99" t="e">
        <f>VLOOKUP(M2307,CAC!$A$2:$B$198,2,FALSE)</f>
        <v>#N/A</v>
      </c>
    </row>
    <row r="2308" spans="5:14" x14ac:dyDescent="0.25">
      <c r="E2308" s="136">
        <v>201605</v>
      </c>
      <c r="F2308" s="138" t="s">
        <v>345</v>
      </c>
      <c r="G2308" s="138" t="s">
        <v>348</v>
      </c>
      <c r="H2308" s="138" t="s">
        <v>353</v>
      </c>
      <c r="I2308" s="139">
        <v>315</v>
      </c>
      <c r="K2308" s="99" t="str">
        <f t="shared" si="83"/>
        <v>0011-1010-0023</v>
      </c>
      <c r="L2308" s="99" t="str">
        <f>VLOOKUP(K2308,COA!$A$3:$B$337,2,FALSE)</f>
        <v>S13</v>
      </c>
      <c r="M2308" s="99" t="str">
        <f t="shared" ref="M2308:M2371" si="84">IF(ISNA(L2308),"XXX",L2308)</f>
        <v>S13</v>
      </c>
      <c r="N2308" s="99" t="str">
        <f>VLOOKUP(M2308,CAC!$A$2:$B$198,2,FALSE)</f>
        <v>HMOSG</v>
      </c>
    </row>
    <row r="2309" spans="5:14" x14ac:dyDescent="0.25">
      <c r="E2309" s="136">
        <v>201509</v>
      </c>
      <c r="F2309" s="138" t="s">
        <v>563</v>
      </c>
      <c r="G2309" s="138" t="s">
        <v>361</v>
      </c>
      <c r="H2309" s="138" t="s">
        <v>344</v>
      </c>
      <c r="I2309" s="139">
        <v>0</v>
      </c>
      <c r="K2309" s="99" t="str">
        <f t="shared" si="83"/>
        <v>0003-1003-0012</v>
      </c>
      <c r="L2309" s="99" t="str">
        <f>VLOOKUP(K2309,COA!$A$3:$B$337,2,FALSE)</f>
        <v>N61</v>
      </c>
      <c r="M2309" s="99" t="str">
        <f t="shared" si="84"/>
        <v>N61</v>
      </c>
      <c r="N2309" s="99" t="str">
        <f>VLOOKUP(M2309,CAC!$A$2:$B$198,2,FALSE)</f>
        <v>PPOPMR</v>
      </c>
    </row>
    <row r="2310" spans="5:14" x14ac:dyDescent="0.25">
      <c r="E2310" s="136">
        <v>201710</v>
      </c>
      <c r="F2310" s="138" t="s">
        <v>506</v>
      </c>
      <c r="G2310" s="138" t="s">
        <v>350</v>
      </c>
      <c r="H2310" s="138" t="s">
        <v>592</v>
      </c>
      <c r="I2310" s="139">
        <v>0</v>
      </c>
      <c r="K2310" s="99" t="str">
        <f t="shared" si="83"/>
        <v>0013-1012-0035</v>
      </c>
      <c r="L2310" s="99" t="str">
        <f>VLOOKUP(K2310,COA!$A$3:$B$337,2,FALSE)</f>
        <v>K41</v>
      </c>
      <c r="M2310" s="99" t="str">
        <f t="shared" si="84"/>
        <v>K41</v>
      </c>
      <c r="N2310" s="99" t="e">
        <f>VLOOKUP(M2310,CAC!$A$2:$B$198,2,FALSE)</f>
        <v>#N/A</v>
      </c>
    </row>
    <row r="2311" spans="5:14" x14ac:dyDescent="0.25">
      <c r="E2311" s="136">
        <v>201602</v>
      </c>
      <c r="F2311" s="138" t="s">
        <v>344</v>
      </c>
      <c r="G2311" s="138" t="s">
        <v>350</v>
      </c>
      <c r="H2311" s="138" t="s">
        <v>344</v>
      </c>
      <c r="I2311" s="139">
        <v>108</v>
      </c>
      <c r="K2311" s="99" t="str">
        <f t="shared" si="83"/>
        <v>0012-1012-0012</v>
      </c>
      <c r="L2311" s="99" t="str">
        <f>VLOOKUP(K2311,COA!$A$3:$B$337,2,FALSE)</f>
        <v>K12</v>
      </c>
      <c r="M2311" s="99" t="str">
        <f t="shared" si="84"/>
        <v>K12</v>
      </c>
      <c r="N2311" s="99" t="str">
        <f>VLOOKUP(M2311,CAC!$A$2:$B$198,2,FALSE)</f>
        <v>HMOPMR</v>
      </c>
    </row>
    <row r="2312" spans="5:14" x14ac:dyDescent="0.25">
      <c r="E2312" s="136">
        <v>201502</v>
      </c>
      <c r="F2312" s="138" t="s">
        <v>344</v>
      </c>
      <c r="G2312" s="138" t="s">
        <v>355</v>
      </c>
      <c r="H2312" s="138" t="s">
        <v>344</v>
      </c>
      <c r="I2312" s="139">
        <v>263.88</v>
      </c>
      <c r="K2312" s="99" t="str">
        <f t="shared" si="83"/>
        <v>0012-1006-0012</v>
      </c>
      <c r="L2312" s="99" t="str">
        <f>VLOOKUP(K2312,COA!$A$3:$B$337,2,FALSE)</f>
        <v>L16</v>
      </c>
      <c r="M2312" s="99" t="str">
        <f t="shared" si="84"/>
        <v>L16</v>
      </c>
      <c r="N2312" s="99" t="str">
        <f>VLOOKUP(M2312,CAC!$A$2:$B$198,2,FALSE)</f>
        <v>HMOLG</v>
      </c>
    </row>
    <row r="2313" spans="5:14" x14ac:dyDescent="0.25">
      <c r="E2313" s="136">
        <v>201607</v>
      </c>
      <c r="F2313" s="138" t="s">
        <v>563</v>
      </c>
      <c r="G2313" s="138" t="s">
        <v>369</v>
      </c>
      <c r="H2313" s="138" t="s">
        <v>345</v>
      </c>
      <c r="I2313" s="139">
        <v>0</v>
      </c>
      <c r="K2313" s="99" t="str">
        <f t="shared" si="83"/>
        <v>0003-1009-0011</v>
      </c>
      <c r="L2313" s="99" t="str">
        <f>VLOOKUP(K2313,COA!$A$3:$B$337,2,FALSE)</f>
        <v>V91</v>
      </c>
      <c r="M2313" s="99" t="str">
        <f t="shared" si="84"/>
        <v>V91</v>
      </c>
      <c r="N2313" s="99" t="str">
        <f>VLOOKUP(M2313,CAC!$A$2:$B$198,2,FALSE)</f>
        <v>PPOMM</v>
      </c>
    </row>
    <row r="2314" spans="5:14" x14ac:dyDescent="0.25">
      <c r="E2314" s="136">
        <v>201703</v>
      </c>
      <c r="F2314" s="138" t="s">
        <v>563</v>
      </c>
      <c r="G2314" s="138" t="s">
        <v>352</v>
      </c>
      <c r="H2314" s="138" t="s">
        <v>626</v>
      </c>
      <c r="I2314" s="139">
        <v>0</v>
      </c>
      <c r="K2314" s="99" t="str">
        <f t="shared" si="83"/>
        <v>0003-1004-0057</v>
      </c>
      <c r="L2314" s="99" t="e">
        <f>VLOOKUP(K2314,COA!$A$3:$B$337,2,FALSE)</f>
        <v>#N/A</v>
      </c>
      <c r="M2314" s="99" t="str">
        <f t="shared" si="84"/>
        <v>XXX</v>
      </c>
      <c r="N2314" s="99" t="str">
        <f>VLOOKUP(M2314,CAC!$A$2:$B$198,2,FALSE)</f>
        <v>XXX</v>
      </c>
    </row>
    <row r="2315" spans="5:14" x14ac:dyDescent="0.25">
      <c r="E2315" s="136">
        <v>201610</v>
      </c>
      <c r="F2315" s="138" t="s">
        <v>746</v>
      </c>
      <c r="G2315" s="138" t="s">
        <v>354</v>
      </c>
      <c r="H2315" s="138" t="s">
        <v>344</v>
      </c>
      <c r="I2315" s="139">
        <v>80</v>
      </c>
      <c r="K2315" s="99" t="str">
        <f t="shared" si="83"/>
        <v>0016-1013-0012</v>
      </c>
      <c r="L2315" s="99" t="str">
        <f>VLOOKUP(K2315,COA!$A$3:$B$337,2,FALSE)</f>
        <v>R19</v>
      </c>
      <c r="M2315" s="99" t="str">
        <f t="shared" si="84"/>
        <v>R19</v>
      </c>
      <c r="N2315" s="99" t="str">
        <f>VLOOKUP(M2315,CAC!$A$2:$B$198,2,FALSE)</f>
        <v>HMOMG</v>
      </c>
    </row>
    <row r="2316" spans="5:14" x14ac:dyDescent="0.25">
      <c r="E2316" s="136">
        <v>201609</v>
      </c>
      <c r="F2316" s="138" t="s">
        <v>345</v>
      </c>
      <c r="G2316" s="138" t="s">
        <v>352</v>
      </c>
      <c r="H2316" s="138" t="s">
        <v>344</v>
      </c>
      <c r="I2316" s="139">
        <v>13149.17</v>
      </c>
      <c r="K2316" s="99" t="str">
        <f t="shared" si="83"/>
        <v>0011-1004-0012</v>
      </c>
      <c r="L2316" s="99" t="str">
        <f>VLOOKUP(K2316,COA!$A$3:$B$337,2,FALSE)</f>
        <v>L11</v>
      </c>
      <c r="M2316" s="99" t="str">
        <f t="shared" si="84"/>
        <v>L11</v>
      </c>
      <c r="N2316" s="99" t="str">
        <f>VLOOKUP(M2316,CAC!$A$2:$B$198,2,FALSE)</f>
        <v>HMOLG</v>
      </c>
    </row>
    <row r="2317" spans="5:14" x14ac:dyDescent="0.25">
      <c r="E2317" s="136">
        <v>201703</v>
      </c>
      <c r="F2317" s="138" t="s">
        <v>563</v>
      </c>
      <c r="G2317" s="138" t="s">
        <v>365</v>
      </c>
      <c r="H2317" s="138" t="s">
        <v>798</v>
      </c>
      <c r="I2317" s="139">
        <v>0</v>
      </c>
      <c r="K2317" s="99" t="str">
        <f t="shared" si="83"/>
        <v>0003-1001-0065</v>
      </c>
      <c r="L2317" s="99" t="str">
        <f>VLOOKUP(K2317,COA!$A$3:$B$337,2,FALSE)</f>
        <v>V55</v>
      </c>
      <c r="M2317" s="99" t="str">
        <f t="shared" si="84"/>
        <v>V55</v>
      </c>
      <c r="N2317" s="99" t="e">
        <f>VLOOKUP(M2317,CAC!$A$2:$B$198,2,FALSE)</f>
        <v>#N/A</v>
      </c>
    </row>
    <row r="2318" spans="5:14" x14ac:dyDescent="0.25">
      <c r="E2318" s="136">
        <v>201608</v>
      </c>
      <c r="F2318" s="138" t="s">
        <v>344</v>
      </c>
      <c r="G2318" s="138" t="s">
        <v>354</v>
      </c>
      <c r="H2318" s="138" t="s">
        <v>344</v>
      </c>
      <c r="I2318" s="139">
        <v>290</v>
      </c>
      <c r="K2318" s="99" t="str">
        <f t="shared" si="83"/>
        <v>0012-1013-0012</v>
      </c>
      <c r="L2318" s="99" t="str">
        <f>VLOOKUP(K2318,COA!$A$3:$B$337,2,FALSE)</f>
        <v>N14</v>
      </c>
      <c r="M2318" s="99" t="str">
        <f t="shared" si="84"/>
        <v>N14</v>
      </c>
      <c r="N2318" s="99" t="str">
        <f>VLOOKUP(M2318,CAC!$A$2:$B$198,2,FALSE)</f>
        <v>HMOPMR</v>
      </c>
    </row>
    <row r="2319" spans="5:14" x14ac:dyDescent="0.25">
      <c r="E2319" s="136">
        <v>201712</v>
      </c>
      <c r="F2319" s="138" t="s">
        <v>563</v>
      </c>
      <c r="G2319" s="138" t="s">
        <v>356</v>
      </c>
      <c r="H2319" s="138" t="s">
        <v>344</v>
      </c>
      <c r="I2319" s="139">
        <v>0</v>
      </c>
      <c r="K2319" s="99" t="str">
        <f t="shared" si="83"/>
        <v>0003-1002-0012</v>
      </c>
      <c r="L2319" s="99" t="str">
        <f>VLOOKUP(K2319,COA!$A$3:$B$337,2,FALSE)</f>
        <v>F61</v>
      </c>
      <c r="M2319" s="99" t="str">
        <f t="shared" si="84"/>
        <v>F61</v>
      </c>
      <c r="N2319" s="99" t="str">
        <f>VLOOKUP(M2319,CAC!$A$2:$B$198,2,FALSE)</f>
        <v>PPOPMR</v>
      </c>
    </row>
    <row r="2320" spans="5:14" x14ac:dyDescent="0.25">
      <c r="E2320" s="136">
        <v>201607</v>
      </c>
      <c r="F2320" s="138" t="s">
        <v>345</v>
      </c>
      <c r="G2320" s="138" t="s">
        <v>355</v>
      </c>
      <c r="H2320" s="138" t="s">
        <v>344</v>
      </c>
      <c r="I2320" s="139">
        <v>22947.94</v>
      </c>
      <c r="K2320" s="99" t="str">
        <f t="shared" si="83"/>
        <v>0011-1006-0012</v>
      </c>
      <c r="L2320" s="99" t="str">
        <f>VLOOKUP(K2320,COA!$A$3:$B$337,2,FALSE)</f>
        <v>L13</v>
      </c>
      <c r="M2320" s="99" t="str">
        <f t="shared" si="84"/>
        <v>L13</v>
      </c>
      <c r="N2320" s="99" t="str">
        <f>VLOOKUP(M2320,CAC!$A$2:$B$198,2,FALSE)</f>
        <v>HMOLG</v>
      </c>
    </row>
    <row r="2321" spans="5:14" x14ac:dyDescent="0.25">
      <c r="E2321" s="136">
        <v>201704</v>
      </c>
      <c r="F2321" s="138" t="s">
        <v>344</v>
      </c>
      <c r="G2321" s="138" t="s">
        <v>352</v>
      </c>
      <c r="H2321" s="138" t="s">
        <v>360</v>
      </c>
      <c r="I2321" s="139">
        <v>217</v>
      </c>
      <c r="K2321" s="99" t="str">
        <f t="shared" si="83"/>
        <v>0012-1004-0048</v>
      </c>
      <c r="L2321" s="99" t="str">
        <f>VLOOKUP(K2321,COA!$A$3:$B$337,2,FALSE)</f>
        <v>L22</v>
      </c>
      <c r="M2321" s="99" t="str">
        <f t="shared" si="84"/>
        <v>L22</v>
      </c>
      <c r="N2321" s="99" t="str">
        <f>VLOOKUP(M2321,CAC!$A$2:$B$198,2,FALSE)</f>
        <v>HMFLEX</v>
      </c>
    </row>
    <row r="2322" spans="5:14" x14ac:dyDescent="0.25">
      <c r="E2322" s="136">
        <v>201602</v>
      </c>
      <c r="F2322" s="138" t="s">
        <v>345</v>
      </c>
      <c r="G2322" s="138" t="s">
        <v>346</v>
      </c>
      <c r="H2322" s="138" t="s">
        <v>344</v>
      </c>
      <c r="I2322" s="139">
        <v>1</v>
      </c>
      <c r="K2322" s="99" t="str">
        <f t="shared" si="83"/>
        <v>0011-1014-0012</v>
      </c>
      <c r="L2322" s="99" t="e">
        <f>VLOOKUP(K2322,COA!$A$3:$B$337,2,FALSE)</f>
        <v>#N/A</v>
      </c>
      <c r="M2322" s="99" t="str">
        <f t="shared" si="84"/>
        <v>XXX</v>
      </c>
      <c r="N2322" s="99" t="str">
        <f>VLOOKUP(M2322,CAC!$A$2:$B$198,2,FALSE)</f>
        <v>XXX</v>
      </c>
    </row>
    <row r="2323" spans="5:14" x14ac:dyDescent="0.25">
      <c r="E2323" s="136">
        <v>201707</v>
      </c>
      <c r="F2323" s="138" t="s">
        <v>345</v>
      </c>
      <c r="G2323" s="138" t="s">
        <v>359</v>
      </c>
      <c r="H2323" s="138" t="s">
        <v>344</v>
      </c>
      <c r="I2323" s="139">
        <v>6621</v>
      </c>
      <c r="K2323" s="99" t="str">
        <f t="shared" si="83"/>
        <v>0011-1005-0012</v>
      </c>
      <c r="L2323" s="99" t="str">
        <f>VLOOKUP(K2323,COA!$A$3:$B$337,2,FALSE)</f>
        <v>N11</v>
      </c>
      <c r="M2323" s="99" t="str">
        <f t="shared" si="84"/>
        <v>N11</v>
      </c>
      <c r="N2323" s="99" t="str">
        <f>VLOOKUP(M2323,CAC!$A$2:$B$198,2,FALSE)</f>
        <v>HMOLG</v>
      </c>
    </row>
    <row r="2324" spans="5:14" x14ac:dyDescent="0.25">
      <c r="E2324" s="136">
        <v>201509</v>
      </c>
      <c r="F2324" s="138" t="s">
        <v>746</v>
      </c>
      <c r="G2324" s="138" t="s">
        <v>362</v>
      </c>
      <c r="H2324" s="138" t="s">
        <v>364</v>
      </c>
      <c r="I2324" s="139">
        <v>5958</v>
      </c>
      <c r="K2324" s="99" t="str">
        <f t="shared" ref="K2324:K2387" si="85">F2324&amp;"-"&amp;G2324&amp;"-"&amp;H2324</f>
        <v>0016-1008-0037</v>
      </c>
      <c r="L2324" s="99" t="str">
        <f>VLOOKUP(K2324,COA!$A$3:$B$337,2,FALSE)</f>
        <v>R24</v>
      </c>
      <c r="M2324" s="99" t="str">
        <f t="shared" si="84"/>
        <v>R24</v>
      </c>
      <c r="N2324" s="99" t="str">
        <f>VLOOKUP(M2324,CAC!$A$2:$B$198,2,FALSE)</f>
        <v>PERMAPD</v>
      </c>
    </row>
    <row r="2325" spans="5:14" x14ac:dyDescent="0.25">
      <c r="E2325" s="136">
        <v>201608</v>
      </c>
      <c r="F2325" s="138" t="s">
        <v>344</v>
      </c>
      <c r="G2325" s="138" t="s">
        <v>361</v>
      </c>
      <c r="H2325" s="138" t="s">
        <v>344</v>
      </c>
      <c r="I2325" s="139">
        <v>9511.51</v>
      </c>
      <c r="K2325" s="99" t="str">
        <f t="shared" si="85"/>
        <v>0012-1003-0012</v>
      </c>
      <c r="L2325" s="99" t="str">
        <f>VLOOKUP(K2325,COA!$A$3:$B$337,2,FALSE)</f>
        <v>N15</v>
      </c>
      <c r="M2325" s="99" t="str">
        <f t="shared" si="84"/>
        <v>N15</v>
      </c>
      <c r="N2325" s="99" t="str">
        <f>VLOOKUP(M2325,CAC!$A$2:$B$198,2,FALSE)</f>
        <v>HMOPMR</v>
      </c>
    </row>
    <row r="2326" spans="5:14" x14ac:dyDescent="0.25">
      <c r="E2326" s="136">
        <v>201607</v>
      </c>
      <c r="F2326" s="138" t="s">
        <v>563</v>
      </c>
      <c r="G2326" s="138" t="s">
        <v>352</v>
      </c>
      <c r="H2326" s="138" t="s">
        <v>344</v>
      </c>
      <c r="I2326" s="139">
        <v>0</v>
      </c>
      <c r="K2326" s="99" t="str">
        <f t="shared" si="85"/>
        <v>0003-1004-0012</v>
      </c>
      <c r="L2326" s="99" t="str">
        <f>VLOOKUP(K2326,COA!$A$3:$B$337,2,FALSE)</f>
        <v>L51</v>
      </c>
      <c r="M2326" s="99" t="str">
        <f t="shared" si="84"/>
        <v>L51</v>
      </c>
      <c r="N2326" s="99" t="str">
        <f>VLOOKUP(M2326,CAC!$A$2:$B$198,2,FALSE)</f>
        <v>PPOLG</v>
      </c>
    </row>
    <row r="2327" spans="5:14" x14ac:dyDescent="0.25">
      <c r="E2327" s="136">
        <v>201609</v>
      </c>
      <c r="F2327" s="138" t="s">
        <v>563</v>
      </c>
      <c r="G2327" s="138" t="s">
        <v>352</v>
      </c>
      <c r="H2327" s="138" t="s">
        <v>344</v>
      </c>
      <c r="I2327" s="139">
        <v>0</v>
      </c>
      <c r="K2327" s="99" t="str">
        <f t="shared" si="85"/>
        <v>0003-1004-0012</v>
      </c>
      <c r="L2327" s="99" t="str">
        <f>VLOOKUP(K2327,COA!$A$3:$B$337,2,FALSE)</f>
        <v>L51</v>
      </c>
      <c r="M2327" s="99" t="str">
        <f t="shared" si="84"/>
        <v>L51</v>
      </c>
      <c r="N2327" s="99" t="str">
        <f>VLOOKUP(M2327,CAC!$A$2:$B$198,2,FALSE)</f>
        <v>PPOLG</v>
      </c>
    </row>
    <row r="2328" spans="5:14" x14ac:dyDescent="0.25">
      <c r="E2328" s="136">
        <v>201611</v>
      </c>
      <c r="F2328" s="138" t="s">
        <v>413</v>
      </c>
      <c r="G2328" s="138" t="s">
        <v>352</v>
      </c>
      <c r="H2328" s="138" t="s">
        <v>344</v>
      </c>
      <c r="I2328" s="139">
        <v>0</v>
      </c>
      <c r="K2328" s="99" t="str">
        <f t="shared" si="85"/>
        <v>0008-1004-0012</v>
      </c>
      <c r="L2328" s="99" t="str">
        <f>VLOOKUP(K2328,COA!$A$3:$B$337,2,FALSE)</f>
        <v>C93</v>
      </c>
      <c r="M2328" s="99" t="str">
        <f t="shared" si="84"/>
        <v>C93</v>
      </c>
      <c r="N2328" s="99" t="str">
        <f>VLOOKUP(M2328,CAC!$A$2:$B$198,2,FALSE)</f>
        <v>DOILG</v>
      </c>
    </row>
    <row r="2329" spans="5:14" x14ac:dyDescent="0.25">
      <c r="E2329" s="136">
        <v>201707</v>
      </c>
      <c r="F2329" s="138" t="s">
        <v>345</v>
      </c>
      <c r="G2329" s="138" t="s">
        <v>352</v>
      </c>
      <c r="H2329" s="138" t="s">
        <v>344</v>
      </c>
      <c r="I2329" s="139">
        <v>10100.27</v>
      </c>
      <c r="K2329" s="99" t="str">
        <f t="shared" si="85"/>
        <v>0011-1004-0012</v>
      </c>
      <c r="L2329" s="99" t="str">
        <f>VLOOKUP(K2329,COA!$A$3:$B$337,2,FALSE)</f>
        <v>L11</v>
      </c>
      <c r="M2329" s="99" t="str">
        <f t="shared" si="84"/>
        <v>L11</v>
      </c>
      <c r="N2329" s="99" t="str">
        <f>VLOOKUP(M2329,CAC!$A$2:$B$198,2,FALSE)</f>
        <v>HMOLG</v>
      </c>
    </row>
    <row r="2330" spans="5:14" x14ac:dyDescent="0.25">
      <c r="E2330" s="136">
        <v>201603</v>
      </c>
      <c r="F2330" s="138" t="s">
        <v>506</v>
      </c>
      <c r="G2330" s="138" t="s">
        <v>354</v>
      </c>
      <c r="H2330" s="138" t="s">
        <v>592</v>
      </c>
      <c r="I2330" s="139">
        <v>0</v>
      </c>
      <c r="K2330" s="99" t="str">
        <f t="shared" si="85"/>
        <v>0013-1013-0035</v>
      </c>
      <c r="L2330" s="99" t="str">
        <f>VLOOKUP(K2330,COA!$A$3:$B$337,2,FALSE)</f>
        <v>N44</v>
      </c>
      <c r="M2330" s="99" t="str">
        <f t="shared" si="84"/>
        <v>N44</v>
      </c>
      <c r="N2330" s="99" t="e">
        <f>VLOOKUP(M2330,CAC!$A$2:$B$198,2,FALSE)</f>
        <v>#N/A</v>
      </c>
    </row>
    <row r="2331" spans="5:14" x14ac:dyDescent="0.25">
      <c r="E2331" s="136">
        <v>201606</v>
      </c>
      <c r="F2331" s="138" t="s">
        <v>345</v>
      </c>
      <c r="G2331" s="138" t="s">
        <v>354</v>
      </c>
      <c r="H2331" s="138" t="s">
        <v>360</v>
      </c>
      <c r="I2331" s="139">
        <v>2181.27</v>
      </c>
      <c r="K2331" s="99" t="str">
        <f t="shared" si="85"/>
        <v>0011-1013-0048</v>
      </c>
      <c r="L2331" s="99" t="str">
        <f>VLOOKUP(K2331,COA!$A$3:$B$337,2,FALSE)</f>
        <v>N21</v>
      </c>
      <c r="M2331" s="99" t="str">
        <f t="shared" si="84"/>
        <v>N21</v>
      </c>
      <c r="N2331" s="99" t="str">
        <f>VLOOKUP(M2331,CAC!$A$2:$B$198,2,FALSE)</f>
        <v>HMFLEX</v>
      </c>
    </row>
    <row r="2332" spans="5:14" x14ac:dyDescent="0.25">
      <c r="E2332" s="136">
        <v>201610</v>
      </c>
      <c r="F2332" s="138" t="s">
        <v>345</v>
      </c>
      <c r="G2332" s="138" t="s">
        <v>348</v>
      </c>
      <c r="H2332" s="138" t="s">
        <v>358</v>
      </c>
      <c r="I2332" s="139">
        <v>80</v>
      </c>
      <c r="K2332" s="99" t="str">
        <f t="shared" si="85"/>
        <v>0011-1010-0024</v>
      </c>
      <c r="L2332" s="99" t="str">
        <f>VLOOKUP(K2332,COA!$A$3:$B$337,2,FALSE)</f>
        <v>S14</v>
      </c>
      <c r="M2332" s="99" t="str">
        <f t="shared" si="84"/>
        <v>S14</v>
      </c>
      <c r="N2332" s="99" t="str">
        <f>VLOOKUP(M2332,CAC!$A$2:$B$198,2,FALSE)</f>
        <v>HMOSG</v>
      </c>
    </row>
    <row r="2333" spans="5:14" x14ac:dyDescent="0.25">
      <c r="E2333" s="136">
        <v>201601</v>
      </c>
      <c r="F2333" s="138" t="s">
        <v>563</v>
      </c>
      <c r="G2333" s="138" t="s">
        <v>365</v>
      </c>
      <c r="H2333" s="138" t="s">
        <v>411</v>
      </c>
      <c r="I2333" s="139">
        <v>0</v>
      </c>
      <c r="K2333" s="99" t="str">
        <f t="shared" si="85"/>
        <v>0003-1001-0007</v>
      </c>
      <c r="L2333" s="99" t="str">
        <f>VLOOKUP(K2333,COA!$A$3:$B$337,2,FALSE)</f>
        <v>V52</v>
      </c>
      <c r="M2333" s="99" t="str">
        <f t="shared" si="84"/>
        <v>V52</v>
      </c>
      <c r="N2333" s="99" t="str">
        <f>VLOOKUP(M2333,CAC!$A$2:$B$198,2,FALSE)</f>
        <v>PPOIFP</v>
      </c>
    </row>
    <row r="2334" spans="5:14" x14ac:dyDescent="0.25">
      <c r="E2334" s="136">
        <v>201603</v>
      </c>
      <c r="F2334" s="138" t="s">
        <v>746</v>
      </c>
      <c r="G2334" s="138" t="s">
        <v>354</v>
      </c>
      <c r="H2334" s="138" t="s">
        <v>344</v>
      </c>
      <c r="I2334" s="139">
        <v>83</v>
      </c>
      <c r="K2334" s="99" t="str">
        <f t="shared" si="85"/>
        <v>0016-1013-0012</v>
      </c>
      <c r="L2334" s="99" t="str">
        <f>VLOOKUP(K2334,COA!$A$3:$B$337,2,FALSE)</f>
        <v>R19</v>
      </c>
      <c r="M2334" s="99" t="str">
        <f t="shared" si="84"/>
        <v>R19</v>
      </c>
      <c r="N2334" s="99" t="str">
        <f>VLOOKUP(M2334,CAC!$A$2:$B$198,2,FALSE)</f>
        <v>HMOMG</v>
      </c>
    </row>
    <row r="2335" spans="5:14" x14ac:dyDescent="0.25">
      <c r="E2335" s="136">
        <v>201508</v>
      </c>
      <c r="F2335" s="138" t="s">
        <v>746</v>
      </c>
      <c r="G2335" s="138" t="s">
        <v>362</v>
      </c>
      <c r="H2335" s="138" t="s">
        <v>364</v>
      </c>
      <c r="I2335" s="139">
        <v>5926</v>
      </c>
      <c r="K2335" s="99" t="str">
        <f t="shared" si="85"/>
        <v>0016-1008-0037</v>
      </c>
      <c r="L2335" s="99" t="str">
        <f>VLOOKUP(K2335,COA!$A$3:$B$337,2,FALSE)</f>
        <v>R24</v>
      </c>
      <c r="M2335" s="99" t="str">
        <f t="shared" si="84"/>
        <v>R24</v>
      </c>
      <c r="N2335" s="99" t="str">
        <f>VLOOKUP(M2335,CAC!$A$2:$B$198,2,FALSE)</f>
        <v>PERMAPD</v>
      </c>
    </row>
    <row r="2336" spans="5:14" x14ac:dyDescent="0.25">
      <c r="E2336" s="136">
        <v>201703</v>
      </c>
      <c r="F2336" s="138" t="s">
        <v>344</v>
      </c>
      <c r="G2336" s="138" t="s">
        <v>352</v>
      </c>
      <c r="H2336" s="138" t="s">
        <v>344</v>
      </c>
      <c r="I2336" s="139">
        <v>275</v>
      </c>
      <c r="K2336" s="99" t="str">
        <f t="shared" si="85"/>
        <v>0012-1004-0012</v>
      </c>
      <c r="L2336" s="99" t="str">
        <f>VLOOKUP(K2336,COA!$A$3:$B$337,2,FALSE)</f>
        <v>L12</v>
      </c>
      <c r="M2336" s="99" t="str">
        <f t="shared" si="84"/>
        <v>L12</v>
      </c>
      <c r="N2336" s="99" t="str">
        <f>VLOOKUP(M2336,CAC!$A$2:$B$198,2,FALSE)</f>
        <v>HMOLG</v>
      </c>
    </row>
    <row r="2337" spans="5:14" x14ac:dyDescent="0.25">
      <c r="E2337" s="136">
        <v>201701</v>
      </c>
      <c r="F2337" s="138" t="s">
        <v>345</v>
      </c>
      <c r="G2337" s="138" t="s">
        <v>354</v>
      </c>
      <c r="H2337" s="138" t="s">
        <v>368</v>
      </c>
      <c r="I2337" s="139">
        <v>0</v>
      </c>
      <c r="K2337" s="99" t="str">
        <f t="shared" si="85"/>
        <v>0011-1013-0056</v>
      </c>
      <c r="L2337" s="99" t="str">
        <f>VLOOKUP(K2337,COA!$A$3:$B$337,2,FALSE)</f>
        <v>N20</v>
      </c>
      <c r="M2337" s="99" t="str">
        <f t="shared" si="84"/>
        <v>N20</v>
      </c>
      <c r="N2337" s="99" t="str">
        <f>VLOOKUP(M2337,CAC!$A$2:$B$198,2,FALSE)</f>
        <v>HMOPMR</v>
      </c>
    </row>
    <row r="2338" spans="5:14" x14ac:dyDescent="0.25">
      <c r="E2338" s="136">
        <v>201711</v>
      </c>
      <c r="F2338" s="138" t="s">
        <v>345</v>
      </c>
      <c r="G2338" s="138" t="s">
        <v>346</v>
      </c>
      <c r="H2338" s="138" t="s">
        <v>344</v>
      </c>
      <c r="I2338" s="139">
        <v>0</v>
      </c>
      <c r="K2338" s="99" t="str">
        <f t="shared" si="85"/>
        <v>0011-1014-0012</v>
      </c>
      <c r="L2338" s="99" t="e">
        <f>VLOOKUP(K2338,COA!$A$3:$B$337,2,FALSE)</f>
        <v>#N/A</v>
      </c>
      <c r="M2338" s="99" t="str">
        <f t="shared" si="84"/>
        <v>XXX</v>
      </c>
      <c r="N2338" s="99" t="str">
        <f>VLOOKUP(M2338,CAC!$A$2:$B$198,2,FALSE)</f>
        <v>XXX</v>
      </c>
    </row>
    <row r="2339" spans="5:14" x14ac:dyDescent="0.25">
      <c r="E2339" s="136">
        <v>201801</v>
      </c>
      <c r="F2339" s="138" t="s">
        <v>345</v>
      </c>
      <c r="G2339" s="138" t="s">
        <v>362</v>
      </c>
      <c r="H2339" s="138" t="s">
        <v>364</v>
      </c>
      <c r="I2339" s="139">
        <v>50005.89</v>
      </c>
      <c r="K2339" s="99" t="str">
        <f t="shared" si="85"/>
        <v>0011-1008-0037</v>
      </c>
      <c r="L2339" s="99" t="str">
        <f>VLOOKUP(K2339,COA!$A$3:$B$337,2,FALSE)</f>
        <v>P12</v>
      </c>
      <c r="M2339" s="99" t="str">
        <f t="shared" si="84"/>
        <v>P12</v>
      </c>
      <c r="N2339" s="99" t="str">
        <f>VLOOKUP(M2339,CAC!$A$2:$B$198,2,FALSE)</f>
        <v>HMOPERA</v>
      </c>
    </row>
    <row r="2340" spans="5:14" x14ac:dyDescent="0.25">
      <c r="E2340" s="136">
        <v>201704</v>
      </c>
      <c r="F2340" s="138" t="s">
        <v>345</v>
      </c>
      <c r="G2340" s="138" t="s">
        <v>362</v>
      </c>
      <c r="H2340" s="138" t="s">
        <v>364</v>
      </c>
      <c r="I2340" s="139">
        <v>47696.5</v>
      </c>
      <c r="K2340" s="99" t="str">
        <f t="shared" si="85"/>
        <v>0011-1008-0037</v>
      </c>
      <c r="L2340" s="99" t="str">
        <f>VLOOKUP(K2340,COA!$A$3:$B$337,2,FALSE)</f>
        <v>P12</v>
      </c>
      <c r="M2340" s="99" t="str">
        <f t="shared" si="84"/>
        <v>P12</v>
      </c>
      <c r="N2340" s="99" t="str">
        <f>VLOOKUP(M2340,CAC!$A$2:$B$198,2,FALSE)</f>
        <v>HMOPERA</v>
      </c>
    </row>
    <row r="2341" spans="5:14" x14ac:dyDescent="0.25">
      <c r="E2341" s="136">
        <v>201511</v>
      </c>
      <c r="F2341" s="138" t="s">
        <v>345</v>
      </c>
      <c r="G2341" s="138" t="s">
        <v>350</v>
      </c>
      <c r="H2341" s="138" t="s">
        <v>344</v>
      </c>
      <c r="I2341" s="139">
        <v>14486.6</v>
      </c>
      <c r="K2341" s="99" t="str">
        <f t="shared" si="85"/>
        <v>0011-1012-0012</v>
      </c>
      <c r="L2341" s="99" t="str">
        <f>VLOOKUP(K2341,COA!$A$3:$B$337,2,FALSE)</f>
        <v>K11</v>
      </c>
      <c r="M2341" s="99" t="str">
        <f t="shared" si="84"/>
        <v>K11</v>
      </c>
      <c r="N2341" s="99" t="str">
        <f>VLOOKUP(M2341,CAC!$A$2:$B$198,2,FALSE)</f>
        <v>HMOPMR</v>
      </c>
    </row>
    <row r="2342" spans="5:14" x14ac:dyDescent="0.25">
      <c r="E2342" s="136">
        <v>201709</v>
      </c>
      <c r="F2342" s="138" t="s">
        <v>549</v>
      </c>
      <c r="G2342" s="138" t="s">
        <v>352</v>
      </c>
      <c r="H2342" s="138" t="s">
        <v>672</v>
      </c>
      <c r="I2342" s="139">
        <v>0</v>
      </c>
      <c r="K2342" s="99" t="str">
        <f t="shared" si="85"/>
        <v>0026-1004-0058</v>
      </c>
      <c r="L2342" s="99" t="str">
        <f>VLOOKUP(K2342,COA!$A$3:$B$337,2,FALSE)</f>
        <v>L44</v>
      </c>
      <c r="M2342" s="99" t="str">
        <f t="shared" si="84"/>
        <v>L44</v>
      </c>
      <c r="N2342" s="99" t="e">
        <f>VLOOKUP(M2342,CAC!$A$2:$B$198,2,FALSE)</f>
        <v>#N/A</v>
      </c>
    </row>
    <row r="2343" spans="5:14" x14ac:dyDescent="0.25">
      <c r="E2343" s="136">
        <v>201604</v>
      </c>
      <c r="F2343" s="138" t="s">
        <v>746</v>
      </c>
      <c r="G2343" s="138" t="s">
        <v>361</v>
      </c>
      <c r="H2343" s="138" t="s">
        <v>344</v>
      </c>
      <c r="I2343" s="139">
        <v>463</v>
      </c>
      <c r="K2343" s="99" t="str">
        <f t="shared" si="85"/>
        <v>0016-1003-0012</v>
      </c>
      <c r="L2343" s="99" t="str">
        <f>VLOOKUP(K2343,COA!$A$3:$B$337,2,FALSE)</f>
        <v>R18</v>
      </c>
      <c r="M2343" s="99" t="str">
        <f t="shared" si="84"/>
        <v>R18</v>
      </c>
      <c r="N2343" s="99" t="str">
        <f>VLOOKUP(M2343,CAC!$A$2:$B$198,2,FALSE)</f>
        <v>HMOMG</v>
      </c>
    </row>
    <row r="2344" spans="5:14" x14ac:dyDescent="0.25">
      <c r="E2344" s="136">
        <v>201612</v>
      </c>
      <c r="F2344" s="138" t="s">
        <v>563</v>
      </c>
      <c r="G2344" s="138" t="s">
        <v>361</v>
      </c>
      <c r="H2344" s="138" t="s">
        <v>344</v>
      </c>
      <c r="I2344" s="139">
        <v>0</v>
      </c>
      <c r="K2344" s="99" t="str">
        <f t="shared" si="85"/>
        <v>0003-1003-0012</v>
      </c>
      <c r="L2344" s="99" t="str">
        <f>VLOOKUP(K2344,COA!$A$3:$B$337,2,FALSE)</f>
        <v>N61</v>
      </c>
      <c r="M2344" s="99" t="str">
        <f t="shared" si="84"/>
        <v>N61</v>
      </c>
      <c r="N2344" s="99" t="str">
        <f>VLOOKUP(M2344,CAC!$A$2:$B$198,2,FALSE)</f>
        <v>PPOPMR</v>
      </c>
    </row>
    <row r="2345" spans="5:14" x14ac:dyDescent="0.25">
      <c r="E2345" s="136">
        <v>201611</v>
      </c>
      <c r="F2345" s="138" t="s">
        <v>345</v>
      </c>
      <c r="G2345" s="138" t="s">
        <v>352</v>
      </c>
      <c r="H2345" s="138" t="s">
        <v>344</v>
      </c>
      <c r="I2345" s="139">
        <v>11590.49</v>
      </c>
      <c r="K2345" s="99" t="str">
        <f t="shared" si="85"/>
        <v>0011-1004-0012</v>
      </c>
      <c r="L2345" s="99" t="str">
        <f>VLOOKUP(K2345,COA!$A$3:$B$337,2,FALSE)</f>
        <v>L11</v>
      </c>
      <c r="M2345" s="99" t="str">
        <f t="shared" si="84"/>
        <v>L11</v>
      </c>
      <c r="N2345" s="99" t="str">
        <f>VLOOKUP(M2345,CAC!$A$2:$B$198,2,FALSE)</f>
        <v>HMOLG</v>
      </c>
    </row>
    <row r="2346" spans="5:14" x14ac:dyDescent="0.25">
      <c r="E2346" s="136">
        <v>201705</v>
      </c>
      <c r="F2346" s="138" t="s">
        <v>506</v>
      </c>
      <c r="G2346" s="138" t="s">
        <v>346</v>
      </c>
      <c r="H2346" s="138" t="s">
        <v>592</v>
      </c>
      <c r="I2346" s="139">
        <v>0</v>
      </c>
      <c r="K2346" s="99" t="str">
        <f t="shared" si="85"/>
        <v>0013-1014-0035</v>
      </c>
      <c r="L2346" s="99" t="str">
        <f>VLOOKUP(K2346,COA!$A$3:$B$337,2,FALSE)</f>
        <v>K42</v>
      </c>
      <c r="M2346" s="99" t="str">
        <f t="shared" si="84"/>
        <v>K42</v>
      </c>
      <c r="N2346" s="99" t="str">
        <f>VLOOKUP(M2346,CAC!$A$2:$B$198,2,FALSE)</f>
        <v>HMFLEX</v>
      </c>
    </row>
    <row r="2347" spans="5:14" x14ac:dyDescent="0.25">
      <c r="E2347" s="136">
        <v>201801</v>
      </c>
      <c r="F2347" s="138" t="s">
        <v>506</v>
      </c>
      <c r="G2347" s="138" t="s">
        <v>361</v>
      </c>
      <c r="H2347" s="138" t="s">
        <v>592</v>
      </c>
      <c r="I2347" s="139">
        <v>0</v>
      </c>
      <c r="K2347" s="99" t="str">
        <f t="shared" si="85"/>
        <v>0013-1003-0035</v>
      </c>
      <c r="L2347" s="99" t="str">
        <f>VLOOKUP(K2347,COA!$A$3:$B$337,2,FALSE)</f>
        <v>N32</v>
      </c>
      <c r="M2347" s="99" t="str">
        <f t="shared" si="84"/>
        <v>N32</v>
      </c>
      <c r="N2347" s="99" t="e">
        <f>VLOOKUP(M2347,CAC!$A$2:$B$198,2,FALSE)</f>
        <v>#N/A</v>
      </c>
    </row>
    <row r="2348" spans="5:14" x14ac:dyDescent="0.25">
      <c r="E2348" s="136">
        <v>201606</v>
      </c>
      <c r="F2348" s="138" t="s">
        <v>413</v>
      </c>
      <c r="G2348" s="138" t="s">
        <v>355</v>
      </c>
      <c r="H2348" s="138" t="s">
        <v>344</v>
      </c>
      <c r="I2348" s="139">
        <v>0</v>
      </c>
      <c r="K2348" s="99" t="str">
        <f t="shared" si="85"/>
        <v>0008-1006-0012</v>
      </c>
      <c r="L2348" s="99" t="str">
        <f>VLOOKUP(K2348,COA!$A$3:$B$337,2,FALSE)</f>
        <v>C96</v>
      </c>
      <c r="M2348" s="99" t="str">
        <f t="shared" si="84"/>
        <v>C96</v>
      </c>
      <c r="N2348" s="99" t="str">
        <f>VLOOKUP(M2348,CAC!$A$2:$B$198,2,FALSE)</f>
        <v>DOILG</v>
      </c>
    </row>
    <row r="2349" spans="5:14" x14ac:dyDescent="0.25">
      <c r="E2349" s="136">
        <v>201608</v>
      </c>
      <c r="F2349" s="138" t="s">
        <v>563</v>
      </c>
      <c r="G2349" s="138" t="s">
        <v>350</v>
      </c>
      <c r="H2349" s="138" t="s">
        <v>360</v>
      </c>
      <c r="I2349" s="139">
        <v>0</v>
      </c>
      <c r="K2349" s="99" t="str">
        <f t="shared" si="85"/>
        <v>0003-1012-0048</v>
      </c>
      <c r="L2349" s="99" t="str">
        <f>VLOOKUP(K2349,COA!$A$3:$B$337,2,FALSE)</f>
        <v>K56</v>
      </c>
      <c r="M2349" s="99" t="str">
        <f t="shared" si="84"/>
        <v>K56</v>
      </c>
      <c r="N2349" s="99" t="str">
        <f>VLOOKUP(M2349,CAC!$A$2:$B$198,2,FALSE)</f>
        <v>HMFLEX</v>
      </c>
    </row>
    <row r="2350" spans="5:14" x14ac:dyDescent="0.25">
      <c r="E2350" s="136">
        <v>201511</v>
      </c>
      <c r="F2350" s="138" t="s">
        <v>563</v>
      </c>
      <c r="G2350" s="138" t="s">
        <v>352</v>
      </c>
      <c r="H2350" s="138" t="s">
        <v>344</v>
      </c>
      <c r="I2350" s="139">
        <v>0</v>
      </c>
      <c r="K2350" s="99" t="str">
        <f t="shared" si="85"/>
        <v>0003-1004-0012</v>
      </c>
      <c r="L2350" s="99" t="str">
        <f>VLOOKUP(K2350,COA!$A$3:$B$337,2,FALSE)</f>
        <v>L51</v>
      </c>
      <c r="M2350" s="99" t="str">
        <f t="shared" si="84"/>
        <v>L51</v>
      </c>
      <c r="N2350" s="99" t="str">
        <f>VLOOKUP(M2350,CAC!$A$2:$B$198,2,FALSE)</f>
        <v>PPOLG</v>
      </c>
    </row>
    <row r="2351" spans="5:14" x14ac:dyDescent="0.25">
      <c r="E2351" s="136">
        <v>201504</v>
      </c>
      <c r="F2351" s="138" t="s">
        <v>342</v>
      </c>
      <c r="G2351" s="138" t="s">
        <v>343</v>
      </c>
      <c r="H2351" s="138" t="s">
        <v>344</v>
      </c>
      <c r="I2351" s="139">
        <v>6626.95</v>
      </c>
      <c r="K2351" s="99" t="str">
        <f t="shared" si="85"/>
        <v>0031-1000-0012</v>
      </c>
      <c r="L2351" s="99" t="str">
        <f>VLOOKUP(K2351,COA!$A$3:$B$337,2,FALSE)</f>
        <v>F27</v>
      </c>
      <c r="M2351" s="99" t="str">
        <f t="shared" si="84"/>
        <v>F27</v>
      </c>
      <c r="N2351" s="99" t="str">
        <f>VLOOKUP(M2351,CAC!$A$2:$B$198,2,FALSE)</f>
        <v>HMOFEP</v>
      </c>
    </row>
    <row r="2352" spans="5:14" x14ac:dyDescent="0.25">
      <c r="E2352" s="136">
        <v>201602</v>
      </c>
      <c r="F2352" s="138" t="s">
        <v>345</v>
      </c>
      <c r="G2352" s="138" t="s">
        <v>354</v>
      </c>
      <c r="H2352" s="138" t="s">
        <v>344</v>
      </c>
      <c r="I2352" s="139">
        <v>6649</v>
      </c>
      <c r="K2352" s="99" t="str">
        <f t="shared" si="85"/>
        <v>0011-1013-0012</v>
      </c>
      <c r="L2352" s="99" t="str">
        <f>VLOOKUP(K2352,COA!$A$3:$B$337,2,FALSE)</f>
        <v>N20</v>
      </c>
      <c r="M2352" s="99" t="str">
        <f t="shared" si="84"/>
        <v>N20</v>
      </c>
      <c r="N2352" s="99" t="str">
        <f>VLOOKUP(M2352,CAC!$A$2:$B$198,2,FALSE)</f>
        <v>HMOPMR</v>
      </c>
    </row>
    <row r="2353" spans="5:14" x14ac:dyDescent="0.25">
      <c r="E2353" s="136">
        <v>201512</v>
      </c>
      <c r="F2353" s="138" t="s">
        <v>524</v>
      </c>
      <c r="G2353" s="138" t="s">
        <v>352</v>
      </c>
      <c r="H2353" s="138" t="s">
        <v>672</v>
      </c>
      <c r="I2353" s="139">
        <v>0</v>
      </c>
      <c r="K2353" s="99" t="str">
        <f t="shared" si="85"/>
        <v>0025-1004-0058</v>
      </c>
      <c r="L2353" s="99" t="str">
        <f>VLOOKUP(K2353,COA!$A$3:$B$337,2,FALSE)</f>
        <v>L44</v>
      </c>
      <c r="M2353" s="99" t="str">
        <f t="shared" si="84"/>
        <v>L44</v>
      </c>
      <c r="N2353" s="99" t="e">
        <f>VLOOKUP(M2353,CAC!$A$2:$B$198,2,FALSE)</f>
        <v>#N/A</v>
      </c>
    </row>
    <row r="2354" spans="5:14" x14ac:dyDescent="0.25">
      <c r="E2354" s="136">
        <v>201602</v>
      </c>
      <c r="F2354" s="138" t="s">
        <v>563</v>
      </c>
      <c r="G2354" s="138" t="s">
        <v>350</v>
      </c>
      <c r="H2354" s="138" t="s">
        <v>344</v>
      </c>
      <c r="I2354" s="139">
        <v>0</v>
      </c>
      <c r="K2354" s="99" t="str">
        <f t="shared" si="85"/>
        <v>0003-1012-0012</v>
      </c>
      <c r="L2354" s="99" t="str">
        <f>VLOOKUP(K2354,COA!$A$3:$B$337,2,FALSE)</f>
        <v>K51</v>
      </c>
      <c r="M2354" s="99" t="str">
        <f t="shared" si="84"/>
        <v>K51</v>
      </c>
      <c r="N2354" s="99" t="str">
        <f>VLOOKUP(M2354,CAC!$A$2:$B$198,2,FALSE)</f>
        <v>PPOPMR</v>
      </c>
    </row>
    <row r="2355" spans="5:14" x14ac:dyDescent="0.25">
      <c r="E2355" s="136">
        <v>201509</v>
      </c>
      <c r="F2355" s="138" t="s">
        <v>563</v>
      </c>
      <c r="G2355" s="138" t="s">
        <v>354</v>
      </c>
      <c r="H2355" s="138" t="s">
        <v>344</v>
      </c>
      <c r="I2355" s="139">
        <v>0</v>
      </c>
      <c r="K2355" s="99" t="str">
        <f t="shared" si="85"/>
        <v>0003-1013-0012</v>
      </c>
      <c r="L2355" s="99" t="str">
        <f>VLOOKUP(K2355,COA!$A$3:$B$337,2,FALSE)</f>
        <v>N55</v>
      </c>
      <c r="M2355" s="99" t="str">
        <f t="shared" si="84"/>
        <v>N55</v>
      </c>
      <c r="N2355" s="99" t="str">
        <f>VLOOKUP(M2355,CAC!$A$2:$B$198,2,FALSE)</f>
        <v>PPOPMR</v>
      </c>
    </row>
    <row r="2356" spans="5:14" x14ac:dyDescent="0.25">
      <c r="E2356" s="136">
        <v>201709</v>
      </c>
      <c r="F2356" s="138" t="s">
        <v>413</v>
      </c>
      <c r="G2356" s="138" t="s">
        <v>359</v>
      </c>
      <c r="H2356" s="138" t="s">
        <v>344</v>
      </c>
      <c r="I2356" s="139">
        <v>0</v>
      </c>
      <c r="K2356" s="99" t="str">
        <f t="shared" si="85"/>
        <v>0008-1005-0012</v>
      </c>
      <c r="L2356" s="99" t="str">
        <f>VLOOKUP(K2356,COA!$A$3:$B$337,2,FALSE)</f>
        <v>C73</v>
      </c>
      <c r="M2356" s="99" t="str">
        <f t="shared" si="84"/>
        <v>C73</v>
      </c>
      <c r="N2356" s="99" t="str">
        <f>VLOOKUP(M2356,CAC!$A$2:$B$198,2,FALSE)</f>
        <v>DOILG</v>
      </c>
    </row>
    <row r="2357" spans="5:14" x14ac:dyDescent="0.25">
      <c r="E2357" s="136">
        <v>201704</v>
      </c>
      <c r="F2357" s="138" t="s">
        <v>344</v>
      </c>
      <c r="G2357" s="138" t="s">
        <v>355</v>
      </c>
      <c r="H2357" s="138" t="s">
        <v>344</v>
      </c>
      <c r="I2357" s="139">
        <v>52</v>
      </c>
      <c r="K2357" s="99" t="str">
        <f t="shared" si="85"/>
        <v>0012-1006-0012</v>
      </c>
      <c r="L2357" s="99" t="str">
        <f>VLOOKUP(K2357,COA!$A$3:$B$337,2,FALSE)</f>
        <v>L16</v>
      </c>
      <c r="M2357" s="99" t="str">
        <f t="shared" si="84"/>
        <v>L16</v>
      </c>
      <c r="N2357" s="99" t="str">
        <f>VLOOKUP(M2357,CAC!$A$2:$B$198,2,FALSE)</f>
        <v>HMOLG</v>
      </c>
    </row>
    <row r="2358" spans="5:14" x14ac:dyDescent="0.25">
      <c r="E2358" s="136">
        <v>201510</v>
      </c>
      <c r="F2358" s="138" t="s">
        <v>345</v>
      </c>
      <c r="G2358" s="138" t="s">
        <v>346</v>
      </c>
      <c r="H2358" s="138" t="s">
        <v>347</v>
      </c>
      <c r="I2358" s="139">
        <v>8</v>
      </c>
      <c r="K2358" s="99" t="str">
        <f t="shared" si="85"/>
        <v>0011-1014-0039</v>
      </c>
      <c r="L2358" s="99" t="str">
        <f>VLOOKUP(K2358,COA!$A$3:$B$337,2,FALSE)</f>
        <v>K24</v>
      </c>
      <c r="M2358" s="99" t="str">
        <f t="shared" si="84"/>
        <v>K24</v>
      </c>
      <c r="N2358" s="99" t="str">
        <f>VLOOKUP(M2358,CAC!$A$2:$B$198,2,FALSE)</f>
        <v>HMFLEX</v>
      </c>
    </row>
    <row r="2359" spans="5:14" x14ac:dyDescent="0.25">
      <c r="E2359" s="136">
        <v>201509</v>
      </c>
      <c r="F2359" s="138" t="s">
        <v>563</v>
      </c>
      <c r="G2359" s="138" t="s">
        <v>348</v>
      </c>
      <c r="H2359" s="138" t="s">
        <v>353</v>
      </c>
      <c r="I2359" s="139">
        <v>0</v>
      </c>
      <c r="K2359" s="99" t="str">
        <f t="shared" si="85"/>
        <v>0003-1010-0023</v>
      </c>
      <c r="L2359" s="99" t="str">
        <f>VLOOKUP(K2359,COA!$A$3:$B$337,2,FALSE)</f>
        <v>S54</v>
      </c>
      <c r="M2359" s="99" t="str">
        <f t="shared" si="84"/>
        <v>S54</v>
      </c>
      <c r="N2359" s="99" t="str">
        <f>VLOOKUP(M2359,CAC!$A$2:$B$198,2,FALSE)</f>
        <v>PPOSG</v>
      </c>
    </row>
    <row r="2360" spans="5:14" x14ac:dyDescent="0.25">
      <c r="E2360" s="136">
        <v>201610</v>
      </c>
      <c r="F2360" s="138" t="s">
        <v>345</v>
      </c>
      <c r="G2360" s="138" t="s">
        <v>350</v>
      </c>
      <c r="H2360" s="138" t="s">
        <v>360</v>
      </c>
      <c r="I2360" s="139">
        <v>4035</v>
      </c>
      <c r="K2360" s="99" t="str">
        <f t="shared" si="85"/>
        <v>0011-1012-0048</v>
      </c>
      <c r="L2360" s="99" t="str">
        <f>VLOOKUP(K2360,COA!$A$3:$B$337,2,FALSE)</f>
        <v>K21</v>
      </c>
      <c r="M2360" s="99" t="str">
        <f t="shared" si="84"/>
        <v>K21</v>
      </c>
      <c r="N2360" s="99" t="str">
        <f>VLOOKUP(M2360,CAC!$A$2:$B$198,2,FALSE)</f>
        <v>HMFLEX</v>
      </c>
    </row>
    <row r="2361" spans="5:14" x14ac:dyDescent="0.25">
      <c r="E2361" s="136">
        <v>201603</v>
      </c>
      <c r="F2361" s="138" t="s">
        <v>563</v>
      </c>
      <c r="G2361" s="138" t="s">
        <v>361</v>
      </c>
      <c r="H2361" s="138" t="s">
        <v>344</v>
      </c>
      <c r="I2361" s="139">
        <v>0</v>
      </c>
      <c r="K2361" s="99" t="str">
        <f t="shared" si="85"/>
        <v>0003-1003-0012</v>
      </c>
      <c r="L2361" s="99" t="str">
        <f>VLOOKUP(K2361,COA!$A$3:$B$337,2,FALSE)</f>
        <v>N61</v>
      </c>
      <c r="M2361" s="99" t="str">
        <f t="shared" si="84"/>
        <v>N61</v>
      </c>
      <c r="N2361" s="99" t="str">
        <f>VLOOKUP(M2361,CAC!$A$2:$B$198,2,FALSE)</f>
        <v>PPOPMR</v>
      </c>
    </row>
    <row r="2362" spans="5:14" x14ac:dyDescent="0.25">
      <c r="E2362" s="136">
        <v>201604</v>
      </c>
      <c r="F2362" s="138" t="s">
        <v>344</v>
      </c>
      <c r="G2362" s="138" t="s">
        <v>350</v>
      </c>
      <c r="H2362" s="138" t="s">
        <v>344</v>
      </c>
      <c r="I2362" s="139">
        <v>108</v>
      </c>
      <c r="K2362" s="99" t="str">
        <f t="shared" si="85"/>
        <v>0012-1012-0012</v>
      </c>
      <c r="L2362" s="99" t="str">
        <f>VLOOKUP(K2362,COA!$A$3:$B$337,2,FALSE)</f>
        <v>K12</v>
      </c>
      <c r="M2362" s="99" t="str">
        <f t="shared" si="84"/>
        <v>K12</v>
      </c>
      <c r="N2362" s="99" t="str">
        <f>VLOOKUP(M2362,CAC!$A$2:$B$198,2,FALSE)</f>
        <v>HMOPMR</v>
      </c>
    </row>
    <row r="2363" spans="5:14" x14ac:dyDescent="0.25">
      <c r="E2363" s="136">
        <v>201606</v>
      </c>
      <c r="F2363" s="138" t="s">
        <v>746</v>
      </c>
      <c r="G2363" s="138" t="s">
        <v>354</v>
      </c>
      <c r="H2363" s="138" t="s">
        <v>344</v>
      </c>
      <c r="I2363" s="139">
        <v>81</v>
      </c>
      <c r="K2363" s="99" t="str">
        <f t="shared" si="85"/>
        <v>0016-1013-0012</v>
      </c>
      <c r="L2363" s="99" t="str">
        <f>VLOOKUP(K2363,COA!$A$3:$B$337,2,FALSE)</f>
        <v>R19</v>
      </c>
      <c r="M2363" s="99" t="str">
        <f t="shared" si="84"/>
        <v>R19</v>
      </c>
      <c r="N2363" s="99" t="str">
        <f>VLOOKUP(M2363,CAC!$A$2:$B$198,2,FALSE)</f>
        <v>HMOMG</v>
      </c>
    </row>
    <row r="2364" spans="5:14" x14ac:dyDescent="0.25">
      <c r="E2364" s="136">
        <v>201711</v>
      </c>
      <c r="F2364" s="138" t="s">
        <v>344</v>
      </c>
      <c r="G2364" s="138" t="s">
        <v>361</v>
      </c>
      <c r="H2364" s="138" t="s">
        <v>344</v>
      </c>
      <c r="I2364" s="139">
        <v>9782.8799999999992</v>
      </c>
      <c r="K2364" s="99" t="str">
        <f t="shared" si="85"/>
        <v>0012-1003-0012</v>
      </c>
      <c r="L2364" s="99" t="str">
        <f>VLOOKUP(K2364,COA!$A$3:$B$337,2,FALSE)</f>
        <v>N15</v>
      </c>
      <c r="M2364" s="99" t="str">
        <f t="shared" si="84"/>
        <v>N15</v>
      </c>
      <c r="N2364" s="99" t="str">
        <f>VLOOKUP(M2364,CAC!$A$2:$B$198,2,FALSE)</f>
        <v>HMOPMR</v>
      </c>
    </row>
    <row r="2365" spans="5:14" x14ac:dyDescent="0.25">
      <c r="E2365" s="136">
        <v>201611</v>
      </c>
      <c r="F2365" s="138" t="s">
        <v>345</v>
      </c>
      <c r="G2365" s="138" t="s">
        <v>356</v>
      </c>
      <c r="H2365" s="138" t="s">
        <v>344</v>
      </c>
      <c r="I2365" s="139">
        <v>15583.27</v>
      </c>
      <c r="K2365" s="99" t="str">
        <f t="shared" si="85"/>
        <v>0011-1002-0012</v>
      </c>
      <c r="L2365" s="99" t="str">
        <f>VLOOKUP(K2365,COA!$A$3:$B$337,2,FALSE)</f>
        <v>F20</v>
      </c>
      <c r="M2365" s="99" t="str">
        <f t="shared" si="84"/>
        <v>F20</v>
      </c>
      <c r="N2365" s="99" t="str">
        <f>VLOOKUP(M2365,CAC!$A$2:$B$198,2,FALSE)</f>
        <v>HMOPMR</v>
      </c>
    </row>
    <row r="2366" spans="5:14" x14ac:dyDescent="0.25">
      <c r="E2366" s="136">
        <v>201708</v>
      </c>
      <c r="F2366" s="138" t="s">
        <v>349</v>
      </c>
      <c r="G2366" s="138" t="s">
        <v>369</v>
      </c>
      <c r="H2366" s="138" t="s">
        <v>764</v>
      </c>
      <c r="I2366" s="139">
        <v>5368</v>
      </c>
      <c r="K2366" s="99" t="str">
        <f t="shared" si="85"/>
        <v>0017-1009-0064</v>
      </c>
      <c r="L2366" s="99" t="str">
        <f>VLOOKUP(K2366,COA!$A$3:$B$337,2,FALSE)</f>
        <v>R15</v>
      </c>
      <c r="M2366" s="99" t="str">
        <f t="shared" si="84"/>
        <v>R15</v>
      </c>
      <c r="N2366" s="99" t="str">
        <f>VLOOKUP(M2366,CAC!$A$2:$B$198,2,FALSE)</f>
        <v>HMOMM</v>
      </c>
    </row>
    <row r="2367" spans="5:14" x14ac:dyDescent="0.25">
      <c r="E2367" s="136">
        <v>201505</v>
      </c>
      <c r="F2367" s="138" t="s">
        <v>345</v>
      </c>
      <c r="G2367" s="138" t="s">
        <v>348</v>
      </c>
      <c r="H2367" s="138" t="s">
        <v>353</v>
      </c>
      <c r="I2367" s="139">
        <v>320</v>
      </c>
      <c r="K2367" s="99" t="str">
        <f t="shared" si="85"/>
        <v>0011-1010-0023</v>
      </c>
      <c r="L2367" s="99" t="str">
        <f>VLOOKUP(K2367,COA!$A$3:$B$337,2,FALSE)</f>
        <v>S13</v>
      </c>
      <c r="M2367" s="99" t="str">
        <f t="shared" si="84"/>
        <v>S13</v>
      </c>
      <c r="N2367" s="99" t="str">
        <f>VLOOKUP(M2367,CAC!$A$2:$B$198,2,FALSE)</f>
        <v>HMOSG</v>
      </c>
    </row>
    <row r="2368" spans="5:14" x14ac:dyDescent="0.25">
      <c r="E2368" s="136">
        <v>201611</v>
      </c>
      <c r="F2368" s="138" t="s">
        <v>563</v>
      </c>
      <c r="G2368" s="138" t="s">
        <v>351</v>
      </c>
      <c r="H2368" s="138" t="s">
        <v>349</v>
      </c>
      <c r="I2368" s="139">
        <v>0</v>
      </c>
      <c r="K2368" s="99" t="str">
        <f t="shared" si="85"/>
        <v>0003-0000-0017</v>
      </c>
      <c r="L2368" s="99" t="e">
        <f>VLOOKUP(K2368,COA!$A$3:$B$337,2,FALSE)</f>
        <v>#N/A</v>
      </c>
      <c r="M2368" s="99" t="str">
        <f t="shared" si="84"/>
        <v>XXX</v>
      </c>
      <c r="N2368" s="99" t="str">
        <f>VLOOKUP(M2368,CAC!$A$2:$B$198,2,FALSE)</f>
        <v>XXX</v>
      </c>
    </row>
    <row r="2369" spans="5:14" x14ac:dyDescent="0.25">
      <c r="E2369" s="136">
        <v>201608</v>
      </c>
      <c r="F2369" s="138" t="s">
        <v>345</v>
      </c>
      <c r="G2369" s="138" t="s">
        <v>351</v>
      </c>
      <c r="H2369" s="138" t="s">
        <v>353</v>
      </c>
      <c r="I2369" s="139">
        <v>0</v>
      </c>
      <c r="K2369" s="99" t="str">
        <f t="shared" si="85"/>
        <v>0011-0000-0023</v>
      </c>
      <c r="L2369" s="99" t="e">
        <f>VLOOKUP(K2369,COA!$A$3:$B$337,2,FALSE)</f>
        <v>#N/A</v>
      </c>
      <c r="M2369" s="99" t="str">
        <f t="shared" si="84"/>
        <v>XXX</v>
      </c>
      <c r="N2369" s="99" t="str">
        <f>VLOOKUP(M2369,CAC!$A$2:$B$198,2,FALSE)</f>
        <v>XXX</v>
      </c>
    </row>
    <row r="2370" spans="5:14" x14ac:dyDescent="0.25">
      <c r="E2370" s="136">
        <v>201605</v>
      </c>
      <c r="F2370" s="138" t="s">
        <v>563</v>
      </c>
      <c r="G2370" s="138" t="s">
        <v>359</v>
      </c>
      <c r="H2370" s="138" t="s">
        <v>344</v>
      </c>
      <c r="I2370" s="139">
        <v>0</v>
      </c>
      <c r="K2370" s="99" t="str">
        <f t="shared" si="85"/>
        <v>0003-1005-0012</v>
      </c>
      <c r="L2370" s="99" t="str">
        <f>VLOOKUP(K2370,COA!$A$3:$B$337,2,FALSE)</f>
        <v>N51</v>
      </c>
      <c r="M2370" s="99" t="str">
        <f t="shared" si="84"/>
        <v>N51</v>
      </c>
      <c r="N2370" s="99" t="str">
        <f>VLOOKUP(M2370,CAC!$A$2:$B$198,2,FALSE)</f>
        <v>PPOLG</v>
      </c>
    </row>
    <row r="2371" spans="5:14" x14ac:dyDescent="0.25">
      <c r="E2371" s="136">
        <v>201512</v>
      </c>
      <c r="F2371" s="138" t="s">
        <v>563</v>
      </c>
      <c r="G2371" s="138" t="s">
        <v>348</v>
      </c>
      <c r="H2371" s="138" t="s">
        <v>349</v>
      </c>
      <c r="I2371" s="139">
        <v>0</v>
      </c>
      <c r="K2371" s="99" t="str">
        <f t="shared" si="85"/>
        <v>0003-1010-0017</v>
      </c>
      <c r="L2371" s="99" t="str">
        <f>VLOOKUP(K2371,COA!$A$3:$B$337,2,FALSE)</f>
        <v>S51</v>
      </c>
      <c r="M2371" s="99" t="str">
        <f t="shared" si="84"/>
        <v>S51</v>
      </c>
      <c r="N2371" s="99" t="str">
        <f>VLOOKUP(M2371,CAC!$A$2:$B$198,2,FALSE)</f>
        <v>PPOSG</v>
      </c>
    </row>
    <row r="2372" spans="5:14" x14ac:dyDescent="0.25">
      <c r="E2372" s="136">
        <v>201511</v>
      </c>
      <c r="F2372" s="138" t="s">
        <v>345</v>
      </c>
      <c r="G2372" s="138" t="s">
        <v>355</v>
      </c>
      <c r="H2372" s="138" t="s">
        <v>344</v>
      </c>
      <c r="I2372" s="139">
        <v>25983.35</v>
      </c>
      <c r="K2372" s="99" t="str">
        <f t="shared" si="85"/>
        <v>0011-1006-0012</v>
      </c>
      <c r="L2372" s="99" t="str">
        <f>VLOOKUP(K2372,COA!$A$3:$B$337,2,FALSE)</f>
        <v>L13</v>
      </c>
      <c r="M2372" s="99" t="str">
        <f t="shared" ref="M2372:M2428" si="86">IF(ISNA(L2372),"XXX",L2372)</f>
        <v>L13</v>
      </c>
      <c r="N2372" s="99" t="str">
        <f>VLOOKUP(M2372,CAC!$A$2:$B$198,2,FALSE)</f>
        <v>HMOLG</v>
      </c>
    </row>
    <row r="2373" spans="5:14" x14ac:dyDescent="0.25">
      <c r="E2373" s="136">
        <v>201607</v>
      </c>
      <c r="F2373" s="138" t="s">
        <v>345</v>
      </c>
      <c r="G2373" s="138" t="s">
        <v>352</v>
      </c>
      <c r="H2373" s="138" t="s">
        <v>357</v>
      </c>
      <c r="I2373" s="139">
        <v>298</v>
      </c>
      <c r="K2373" s="99" t="str">
        <f t="shared" si="85"/>
        <v>0011-1004-0038</v>
      </c>
      <c r="L2373" s="99" t="str">
        <f>VLOOKUP(K2373,COA!$A$3:$B$337,2,FALSE)</f>
        <v>L14</v>
      </c>
      <c r="M2373" s="99" t="str">
        <f t="shared" si="86"/>
        <v>L14</v>
      </c>
      <c r="N2373" s="99" t="str">
        <f>VLOOKUP(M2373,CAC!$A$2:$B$198,2,FALSE)</f>
        <v>HMOLG</v>
      </c>
    </row>
    <row r="2374" spans="5:14" x14ac:dyDescent="0.25">
      <c r="E2374" s="136">
        <v>201505</v>
      </c>
      <c r="F2374" s="138" t="s">
        <v>563</v>
      </c>
      <c r="G2374" s="138" t="s">
        <v>354</v>
      </c>
      <c r="H2374" s="138" t="s">
        <v>344</v>
      </c>
      <c r="I2374" s="139">
        <v>0</v>
      </c>
      <c r="K2374" s="99" t="str">
        <f t="shared" si="85"/>
        <v>0003-1013-0012</v>
      </c>
      <c r="L2374" s="99" t="str">
        <f>VLOOKUP(K2374,COA!$A$3:$B$337,2,FALSE)</f>
        <v>N55</v>
      </c>
      <c r="M2374" s="99" t="str">
        <f t="shared" si="86"/>
        <v>N55</v>
      </c>
      <c r="N2374" s="99" t="str">
        <f>VLOOKUP(M2374,CAC!$A$2:$B$198,2,FALSE)</f>
        <v>PPOPMR</v>
      </c>
    </row>
    <row r="2375" spans="5:14" x14ac:dyDescent="0.25">
      <c r="E2375" s="136">
        <v>201612</v>
      </c>
      <c r="F2375" s="138" t="s">
        <v>563</v>
      </c>
      <c r="G2375" s="138" t="s">
        <v>365</v>
      </c>
      <c r="H2375" s="138" t="s">
        <v>411</v>
      </c>
      <c r="I2375" s="139">
        <v>0</v>
      </c>
      <c r="K2375" s="99" t="str">
        <f t="shared" si="85"/>
        <v>0003-1001-0007</v>
      </c>
      <c r="L2375" s="99" t="str">
        <f>VLOOKUP(K2375,COA!$A$3:$B$337,2,FALSE)</f>
        <v>V52</v>
      </c>
      <c r="M2375" s="99" t="str">
        <f t="shared" si="86"/>
        <v>V52</v>
      </c>
      <c r="N2375" s="99" t="str">
        <f>VLOOKUP(M2375,CAC!$A$2:$B$198,2,FALSE)</f>
        <v>PPOIFP</v>
      </c>
    </row>
    <row r="2376" spans="5:14" x14ac:dyDescent="0.25">
      <c r="E2376" s="136">
        <v>201511</v>
      </c>
      <c r="F2376" s="138" t="s">
        <v>506</v>
      </c>
      <c r="G2376" s="138" t="s">
        <v>346</v>
      </c>
      <c r="H2376" s="138" t="s">
        <v>592</v>
      </c>
      <c r="I2376" s="139">
        <v>0</v>
      </c>
      <c r="K2376" s="99" t="str">
        <f t="shared" si="85"/>
        <v>0013-1014-0035</v>
      </c>
      <c r="L2376" s="99" t="str">
        <f>VLOOKUP(K2376,COA!$A$3:$B$337,2,FALSE)</f>
        <v>K42</v>
      </c>
      <c r="M2376" s="99" t="str">
        <f t="shared" si="86"/>
        <v>K42</v>
      </c>
      <c r="N2376" s="99" t="str">
        <f>VLOOKUP(M2376,CAC!$A$2:$B$198,2,FALSE)</f>
        <v>HMFLEX</v>
      </c>
    </row>
    <row r="2377" spans="5:14" x14ac:dyDescent="0.25">
      <c r="E2377" s="136">
        <v>201609</v>
      </c>
      <c r="F2377" s="138" t="s">
        <v>563</v>
      </c>
      <c r="G2377" s="138" t="s">
        <v>352</v>
      </c>
      <c r="H2377" s="138" t="s">
        <v>653</v>
      </c>
      <c r="I2377" s="139">
        <v>0</v>
      </c>
      <c r="K2377" s="99" t="str">
        <f t="shared" si="85"/>
        <v>0003-1004-0047</v>
      </c>
      <c r="L2377" s="99" t="str">
        <f>VLOOKUP(K2377,COA!$A$3:$B$337,2,FALSE)</f>
        <v>L57</v>
      </c>
      <c r="M2377" s="99" t="str">
        <f t="shared" si="86"/>
        <v>L57</v>
      </c>
      <c r="N2377" s="99" t="str">
        <f>VLOOKUP(M2377,CAC!$A$2:$B$198,2,FALSE)</f>
        <v>PPOLG</v>
      </c>
    </row>
    <row r="2378" spans="5:14" x14ac:dyDescent="0.25">
      <c r="E2378" s="136">
        <v>201707</v>
      </c>
      <c r="F2378" s="138" t="s">
        <v>746</v>
      </c>
      <c r="G2378" s="138" t="s">
        <v>361</v>
      </c>
      <c r="H2378" s="138" t="s">
        <v>344</v>
      </c>
      <c r="I2378" s="139">
        <v>494</v>
      </c>
      <c r="K2378" s="99" t="str">
        <f t="shared" si="85"/>
        <v>0016-1003-0012</v>
      </c>
      <c r="L2378" s="99" t="str">
        <f>VLOOKUP(K2378,COA!$A$3:$B$337,2,FALSE)</f>
        <v>R18</v>
      </c>
      <c r="M2378" s="99" t="str">
        <f t="shared" si="86"/>
        <v>R18</v>
      </c>
      <c r="N2378" s="99" t="str">
        <f>VLOOKUP(M2378,CAC!$A$2:$B$198,2,FALSE)</f>
        <v>HMOMG</v>
      </c>
    </row>
    <row r="2379" spans="5:14" x14ac:dyDescent="0.25">
      <c r="E2379" s="136">
        <v>201702</v>
      </c>
      <c r="F2379" s="138" t="s">
        <v>405</v>
      </c>
      <c r="G2379" s="138" t="s">
        <v>362</v>
      </c>
      <c r="H2379" s="138" t="s">
        <v>342</v>
      </c>
      <c r="I2379" s="139">
        <v>0</v>
      </c>
      <c r="K2379" s="99" t="str">
        <f t="shared" si="85"/>
        <v>0019-1008-0031</v>
      </c>
      <c r="L2379" s="99" t="str">
        <f>VLOOKUP(K2379,COA!$A$3:$B$337,2,FALSE)</f>
        <v>P53</v>
      </c>
      <c r="M2379" s="99" t="str">
        <f t="shared" si="86"/>
        <v>P53</v>
      </c>
      <c r="N2379" s="99" t="str">
        <f>VLOOKUP(M2379,CAC!$A$2:$B$198,2,FALSE)</f>
        <v>HMOPERA</v>
      </c>
    </row>
    <row r="2380" spans="5:14" x14ac:dyDescent="0.25">
      <c r="E2380" s="136">
        <v>201604</v>
      </c>
      <c r="F2380" s="138" t="s">
        <v>563</v>
      </c>
      <c r="G2380" s="138" t="s">
        <v>354</v>
      </c>
      <c r="H2380" s="138" t="s">
        <v>626</v>
      </c>
      <c r="I2380" s="139">
        <v>0</v>
      </c>
      <c r="K2380" s="99" t="str">
        <f t="shared" si="85"/>
        <v>0003-1013-0057</v>
      </c>
      <c r="L2380" s="99" t="str">
        <f>VLOOKUP(K2380,COA!$A$3:$B$337,2,FALSE)</f>
        <v>N55</v>
      </c>
      <c r="M2380" s="99" t="str">
        <f t="shared" si="86"/>
        <v>N55</v>
      </c>
      <c r="N2380" s="99" t="str">
        <f>VLOOKUP(M2380,CAC!$A$2:$B$198,2,FALSE)</f>
        <v>PPOPMR</v>
      </c>
    </row>
    <row r="2381" spans="5:14" x14ac:dyDescent="0.25">
      <c r="E2381" s="136">
        <v>201604</v>
      </c>
      <c r="F2381" s="138" t="s">
        <v>345</v>
      </c>
      <c r="G2381" s="138" t="s">
        <v>351</v>
      </c>
      <c r="H2381" s="138" t="s">
        <v>353</v>
      </c>
      <c r="I2381" s="139">
        <v>3</v>
      </c>
      <c r="K2381" s="99" t="str">
        <f t="shared" si="85"/>
        <v>0011-0000-0023</v>
      </c>
      <c r="L2381" s="99" t="e">
        <f>VLOOKUP(K2381,COA!$A$3:$B$337,2,FALSE)</f>
        <v>#N/A</v>
      </c>
      <c r="M2381" s="99" t="str">
        <f t="shared" si="86"/>
        <v>XXX</v>
      </c>
      <c r="N2381" s="99" t="str">
        <f>VLOOKUP(M2381,CAC!$A$2:$B$198,2,FALSE)</f>
        <v>XXX</v>
      </c>
    </row>
    <row r="2382" spans="5:14" x14ac:dyDescent="0.25">
      <c r="E2382" s="136">
        <v>201706</v>
      </c>
      <c r="F2382" s="138" t="s">
        <v>563</v>
      </c>
      <c r="G2382" s="138" t="s">
        <v>354</v>
      </c>
      <c r="H2382" s="138" t="s">
        <v>360</v>
      </c>
      <c r="I2382" s="139">
        <v>0</v>
      </c>
      <c r="K2382" s="99" t="str">
        <f t="shared" si="85"/>
        <v>0003-1013-0048</v>
      </c>
      <c r="L2382" s="99" t="str">
        <f>VLOOKUP(K2382,COA!$A$3:$B$337,2,FALSE)</f>
        <v>N56</v>
      </c>
      <c r="M2382" s="99" t="str">
        <f t="shared" si="86"/>
        <v>N56</v>
      </c>
      <c r="N2382" s="99" t="str">
        <f>VLOOKUP(M2382,CAC!$A$2:$B$198,2,FALSE)</f>
        <v>HMFLEX</v>
      </c>
    </row>
    <row r="2383" spans="5:14" x14ac:dyDescent="0.25">
      <c r="E2383" s="136">
        <v>201601</v>
      </c>
      <c r="F2383" s="138" t="s">
        <v>563</v>
      </c>
      <c r="G2383" s="138" t="s">
        <v>355</v>
      </c>
      <c r="H2383" s="138" t="s">
        <v>344</v>
      </c>
      <c r="I2383" s="139">
        <v>0</v>
      </c>
      <c r="K2383" s="99" t="str">
        <f t="shared" si="85"/>
        <v>0003-1006-0012</v>
      </c>
      <c r="L2383" s="99" t="str">
        <f>VLOOKUP(K2383,COA!$A$3:$B$337,2,FALSE)</f>
        <v>L52</v>
      </c>
      <c r="M2383" s="99" t="str">
        <f t="shared" si="86"/>
        <v>L52</v>
      </c>
      <c r="N2383" s="99" t="str">
        <f>VLOOKUP(M2383,CAC!$A$2:$B$198,2,FALSE)</f>
        <v>PPOLG</v>
      </c>
    </row>
    <row r="2384" spans="5:14" x14ac:dyDescent="0.25">
      <c r="E2384" s="136">
        <v>201609</v>
      </c>
      <c r="F2384" s="138" t="s">
        <v>563</v>
      </c>
      <c r="G2384" s="138" t="s">
        <v>356</v>
      </c>
      <c r="H2384" s="138" t="s">
        <v>344</v>
      </c>
      <c r="I2384" s="139">
        <v>0</v>
      </c>
      <c r="K2384" s="99" t="str">
        <f t="shared" si="85"/>
        <v>0003-1002-0012</v>
      </c>
      <c r="L2384" s="99" t="str">
        <f>VLOOKUP(K2384,COA!$A$3:$B$337,2,FALSE)</f>
        <v>F61</v>
      </c>
      <c r="M2384" s="99" t="str">
        <f t="shared" si="86"/>
        <v>F61</v>
      </c>
      <c r="N2384" s="99" t="str">
        <f>VLOOKUP(M2384,CAC!$A$2:$B$198,2,FALSE)</f>
        <v>PPOPMR</v>
      </c>
    </row>
    <row r="2385" spans="5:14" x14ac:dyDescent="0.25">
      <c r="E2385" s="136">
        <v>201503</v>
      </c>
      <c r="F2385" s="138" t="s">
        <v>563</v>
      </c>
      <c r="G2385" s="138" t="s">
        <v>348</v>
      </c>
      <c r="H2385" s="138" t="s">
        <v>358</v>
      </c>
      <c r="I2385" s="139">
        <v>0</v>
      </c>
      <c r="K2385" s="99" t="str">
        <f t="shared" si="85"/>
        <v>0003-1010-0024</v>
      </c>
      <c r="L2385" s="99" t="str">
        <f>VLOOKUP(K2385,COA!$A$3:$B$337,2,FALSE)</f>
        <v>S56</v>
      </c>
      <c r="M2385" s="99" t="str">
        <f t="shared" si="86"/>
        <v>S56</v>
      </c>
      <c r="N2385" s="99" t="str">
        <f>VLOOKUP(M2385,CAC!$A$2:$B$198,2,FALSE)</f>
        <v>PPOSG</v>
      </c>
    </row>
    <row r="2386" spans="5:14" x14ac:dyDescent="0.25">
      <c r="E2386" s="136">
        <v>201504</v>
      </c>
      <c r="F2386" s="138" t="s">
        <v>345</v>
      </c>
      <c r="G2386" s="138" t="s">
        <v>352</v>
      </c>
      <c r="H2386" s="138" t="s">
        <v>344</v>
      </c>
      <c r="I2386" s="139">
        <v>5490.48</v>
      </c>
      <c r="K2386" s="99" t="str">
        <f t="shared" si="85"/>
        <v>0011-1004-0012</v>
      </c>
      <c r="L2386" s="99" t="str">
        <f>VLOOKUP(K2386,COA!$A$3:$B$337,2,FALSE)</f>
        <v>L11</v>
      </c>
      <c r="M2386" s="99" t="str">
        <f t="shared" si="86"/>
        <v>L11</v>
      </c>
      <c r="N2386" s="99" t="str">
        <f>VLOOKUP(M2386,CAC!$A$2:$B$198,2,FALSE)</f>
        <v>HMOLG</v>
      </c>
    </row>
    <row r="2387" spans="5:14" x14ac:dyDescent="0.25">
      <c r="E2387" s="136">
        <v>201706</v>
      </c>
      <c r="F2387" s="138" t="s">
        <v>344</v>
      </c>
      <c r="G2387" s="138" t="s">
        <v>350</v>
      </c>
      <c r="H2387" s="138" t="s">
        <v>344</v>
      </c>
      <c r="I2387" s="139">
        <v>29</v>
      </c>
      <c r="K2387" s="99" t="str">
        <f t="shared" si="85"/>
        <v>0012-1012-0012</v>
      </c>
      <c r="L2387" s="99" t="str">
        <f>VLOOKUP(K2387,COA!$A$3:$B$337,2,FALSE)</f>
        <v>K12</v>
      </c>
      <c r="M2387" s="99" t="str">
        <f t="shared" si="86"/>
        <v>K12</v>
      </c>
      <c r="N2387" s="99" t="str">
        <f>VLOOKUP(M2387,CAC!$A$2:$B$198,2,FALSE)</f>
        <v>HMOPMR</v>
      </c>
    </row>
    <row r="2388" spans="5:14" x14ac:dyDescent="0.25">
      <c r="E2388" s="136">
        <v>201610</v>
      </c>
      <c r="F2388" s="138" t="s">
        <v>746</v>
      </c>
      <c r="G2388" s="138" t="s">
        <v>356</v>
      </c>
      <c r="H2388" s="138" t="s">
        <v>344</v>
      </c>
      <c r="I2388" s="139">
        <v>134</v>
      </c>
      <c r="K2388" s="99" t="str">
        <f t="shared" ref="K2388:K2428" si="87">F2388&amp;"-"&amp;G2388&amp;"-"&amp;H2388</f>
        <v>0016-1002-0012</v>
      </c>
      <c r="L2388" s="99" t="str">
        <f>VLOOKUP(K2388,COA!$A$3:$B$337,2,FALSE)</f>
        <v>R18</v>
      </c>
      <c r="M2388" s="99" t="str">
        <f t="shared" si="86"/>
        <v>R18</v>
      </c>
      <c r="N2388" s="99" t="str">
        <f>VLOOKUP(M2388,CAC!$A$2:$B$198,2,FALSE)</f>
        <v>HMOMG</v>
      </c>
    </row>
    <row r="2389" spans="5:14" x14ac:dyDescent="0.25">
      <c r="E2389" s="136">
        <v>201611</v>
      </c>
      <c r="F2389" s="138" t="s">
        <v>344</v>
      </c>
      <c r="G2389" s="138" t="s">
        <v>354</v>
      </c>
      <c r="H2389" s="138" t="s">
        <v>344</v>
      </c>
      <c r="I2389" s="139">
        <v>285</v>
      </c>
      <c r="K2389" s="99" t="str">
        <f t="shared" si="87"/>
        <v>0012-1013-0012</v>
      </c>
      <c r="L2389" s="99" t="str">
        <f>VLOOKUP(K2389,COA!$A$3:$B$337,2,FALSE)</f>
        <v>N14</v>
      </c>
      <c r="M2389" s="99" t="str">
        <f t="shared" si="86"/>
        <v>N14</v>
      </c>
      <c r="N2389" s="99" t="str">
        <f>VLOOKUP(M2389,CAC!$A$2:$B$198,2,FALSE)</f>
        <v>HMOPMR</v>
      </c>
    </row>
    <row r="2390" spans="5:14" x14ac:dyDescent="0.25">
      <c r="E2390" s="136">
        <v>201511</v>
      </c>
      <c r="F2390" s="138" t="s">
        <v>413</v>
      </c>
      <c r="G2390" s="138" t="s">
        <v>356</v>
      </c>
      <c r="H2390" s="138" t="s">
        <v>344</v>
      </c>
      <c r="I2390" s="139">
        <v>0</v>
      </c>
      <c r="K2390" s="99" t="str">
        <f t="shared" si="87"/>
        <v>0008-1002-0012</v>
      </c>
      <c r="L2390" s="99" t="str">
        <f>VLOOKUP(K2390,COA!$A$3:$B$337,2,FALSE)</f>
        <v>C74</v>
      </c>
      <c r="M2390" s="99" t="str">
        <f t="shared" si="86"/>
        <v>C74</v>
      </c>
      <c r="N2390" s="99" t="str">
        <f>VLOOKUP(M2390,CAC!$A$2:$B$198,2,FALSE)</f>
        <v>DOILG</v>
      </c>
    </row>
    <row r="2391" spans="5:14" x14ac:dyDescent="0.25">
      <c r="E2391" s="136">
        <v>201509</v>
      </c>
      <c r="F2391" s="138" t="s">
        <v>413</v>
      </c>
      <c r="G2391" s="138" t="s">
        <v>348</v>
      </c>
      <c r="H2391" s="138" t="s">
        <v>349</v>
      </c>
      <c r="I2391" s="139">
        <v>0</v>
      </c>
      <c r="K2391" s="99" t="str">
        <f t="shared" si="87"/>
        <v>0008-1010-0017</v>
      </c>
      <c r="L2391" s="99" t="str">
        <f>VLOOKUP(K2391,COA!$A$3:$B$337,2,FALSE)</f>
        <v>C94</v>
      </c>
      <c r="M2391" s="99" t="str">
        <f t="shared" si="86"/>
        <v>C94</v>
      </c>
      <c r="N2391" s="99" t="str">
        <f>VLOOKUP(M2391,CAC!$A$2:$B$198,2,FALSE)</f>
        <v>DOISG</v>
      </c>
    </row>
    <row r="2392" spans="5:14" x14ac:dyDescent="0.25">
      <c r="E2392" s="136">
        <v>201508</v>
      </c>
      <c r="F2392" s="138" t="s">
        <v>345</v>
      </c>
      <c r="G2392" s="138" t="s">
        <v>356</v>
      </c>
      <c r="H2392" s="138" t="s">
        <v>344</v>
      </c>
      <c r="I2392" s="139">
        <v>14725.74</v>
      </c>
      <c r="K2392" s="99" t="str">
        <f t="shared" si="87"/>
        <v>0011-1002-0012</v>
      </c>
      <c r="L2392" s="99" t="str">
        <f>VLOOKUP(K2392,COA!$A$3:$B$337,2,FALSE)</f>
        <v>F20</v>
      </c>
      <c r="M2392" s="99" t="str">
        <f t="shared" si="86"/>
        <v>F20</v>
      </c>
      <c r="N2392" s="99" t="str">
        <f>VLOOKUP(M2392,CAC!$A$2:$B$198,2,FALSE)</f>
        <v>HMOPMR</v>
      </c>
    </row>
    <row r="2393" spans="5:14" x14ac:dyDescent="0.25">
      <c r="E2393" s="136">
        <v>201611</v>
      </c>
      <c r="F2393" s="138" t="s">
        <v>345</v>
      </c>
      <c r="G2393" s="138" t="s">
        <v>354</v>
      </c>
      <c r="H2393" s="138" t="s">
        <v>360</v>
      </c>
      <c r="I2393" s="139">
        <v>5073</v>
      </c>
      <c r="K2393" s="99" t="str">
        <f t="shared" si="87"/>
        <v>0011-1013-0048</v>
      </c>
      <c r="L2393" s="99" t="str">
        <f>VLOOKUP(K2393,COA!$A$3:$B$337,2,FALSE)</f>
        <v>N21</v>
      </c>
      <c r="M2393" s="99" t="str">
        <f t="shared" si="86"/>
        <v>N21</v>
      </c>
      <c r="N2393" s="99" t="str">
        <f>VLOOKUP(M2393,CAC!$A$2:$B$198,2,FALSE)</f>
        <v>HMFLEX</v>
      </c>
    </row>
    <row r="2394" spans="5:14" x14ac:dyDescent="0.25">
      <c r="E2394" s="136">
        <v>201504</v>
      </c>
      <c r="F2394" s="138" t="s">
        <v>413</v>
      </c>
      <c r="G2394" s="138" t="s">
        <v>365</v>
      </c>
      <c r="H2394" s="138" t="s">
        <v>344</v>
      </c>
      <c r="I2394" s="139">
        <v>0</v>
      </c>
      <c r="K2394" s="99" t="str">
        <f t="shared" si="87"/>
        <v>0008-1001-0012</v>
      </c>
      <c r="L2394" s="99" t="str">
        <f>VLOOKUP(K2394,COA!$A$3:$B$337,2,FALSE)</f>
        <v>C95</v>
      </c>
      <c r="M2394" s="99" t="str">
        <f t="shared" si="86"/>
        <v>C95</v>
      </c>
      <c r="N2394" s="99" t="str">
        <f>VLOOKUP(M2394,CAC!$A$2:$B$198,2,FALSE)</f>
        <v>DOIIFP</v>
      </c>
    </row>
    <row r="2395" spans="5:14" x14ac:dyDescent="0.25">
      <c r="E2395" s="136">
        <v>201612</v>
      </c>
      <c r="F2395" s="138" t="s">
        <v>345</v>
      </c>
      <c r="G2395" s="138" t="s">
        <v>354</v>
      </c>
      <c r="H2395" s="138" t="s">
        <v>344</v>
      </c>
      <c r="I2395" s="139">
        <v>6825</v>
      </c>
      <c r="K2395" s="99" t="str">
        <f t="shared" si="87"/>
        <v>0011-1013-0012</v>
      </c>
      <c r="L2395" s="99" t="str">
        <f>VLOOKUP(K2395,COA!$A$3:$B$337,2,FALSE)</f>
        <v>N20</v>
      </c>
      <c r="M2395" s="99" t="str">
        <f t="shared" si="86"/>
        <v>N20</v>
      </c>
      <c r="N2395" s="99" t="str">
        <f>VLOOKUP(M2395,CAC!$A$2:$B$198,2,FALSE)</f>
        <v>HMOPMR</v>
      </c>
    </row>
    <row r="2396" spans="5:14" x14ac:dyDescent="0.25">
      <c r="E2396" s="136">
        <v>201707</v>
      </c>
      <c r="F2396" s="138" t="s">
        <v>563</v>
      </c>
      <c r="G2396" s="138" t="s">
        <v>348</v>
      </c>
      <c r="H2396" s="138" t="s">
        <v>349</v>
      </c>
      <c r="I2396" s="139">
        <v>0</v>
      </c>
      <c r="K2396" s="99" t="str">
        <f t="shared" si="87"/>
        <v>0003-1010-0017</v>
      </c>
      <c r="L2396" s="99" t="str">
        <f>VLOOKUP(K2396,COA!$A$3:$B$337,2,FALSE)</f>
        <v>S51</v>
      </c>
      <c r="M2396" s="99" t="str">
        <f t="shared" si="86"/>
        <v>S51</v>
      </c>
      <c r="N2396" s="99" t="str">
        <f>VLOOKUP(M2396,CAC!$A$2:$B$198,2,FALSE)</f>
        <v>PPOSG</v>
      </c>
    </row>
    <row r="2397" spans="5:14" x14ac:dyDescent="0.25">
      <c r="E2397" s="136">
        <v>201506</v>
      </c>
      <c r="F2397" s="138" t="s">
        <v>345</v>
      </c>
      <c r="G2397" s="138" t="s">
        <v>348</v>
      </c>
      <c r="H2397" s="138" t="s">
        <v>349</v>
      </c>
      <c r="I2397" s="139">
        <v>18258.98</v>
      </c>
      <c r="K2397" s="99" t="str">
        <f t="shared" si="87"/>
        <v>0011-1010-0017</v>
      </c>
      <c r="L2397" s="99" t="str">
        <f>VLOOKUP(K2397,COA!$A$3:$B$337,2,FALSE)</f>
        <v>S11</v>
      </c>
      <c r="M2397" s="99" t="str">
        <f t="shared" si="86"/>
        <v>S11</v>
      </c>
      <c r="N2397" s="99" t="str">
        <f>VLOOKUP(M2397,CAC!$A$2:$B$198,2,FALSE)</f>
        <v>HMOSG</v>
      </c>
    </row>
    <row r="2398" spans="5:14" x14ac:dyDescent="0.25">
      <c r="E2398" s="136">
        <v>201511</v>
      </c>
      <c r="F2398" s="138" t="s">
        <v>345</v>
      </c>
      <c r="G2398" s="138" t="s">
        <v>361</v>
      </c>
      <c r="H2398" s="138" t="s">
        <v>344</v>
      </c>
      <c r="I2398" s="139">
        <v>874</v>
      </c>
      <c r="K2398" s="99" t="str">
        <f t="shared" si="87"/>
        <v>0011-1003-0012</v>
      </c>
      <c r="L2398" s="99" t="str">
        <f>VLOOKUP(K2398,COA!$A$3:$B$337,2,FALSE)</f>
        <v>N16</v>
      </c>
      <c r="M2398" s="99" t="str">
        <f t="shared" si="86"/>
        <v>N16</v>
      </c>
      <c r="N2398" s="99" t="str">
        <f>VLOOKUP(M2398,CAC!$A$2:$B$198,2,FALSE)</f>
        <v>HMOPMR</v>
      </c>
    </row>
    <row r="2399" spans="5:14" x14ac:dyDescent="0.25">
      <c r="E2399" s="136">
        <v>201707</v>
      </c>
      <c r="F2399" s="138" t="s">
        <v>506</v>
      </c>
      <c r="G2399" s="138" t="s">
        <v>350</v>
      </c>
      <c r="H2399" s="138" t="s">
        <v>592</v>
      </c>
      <c r="I2399" s="139">
        <v>0</v>
      </c>
      <c r="K2399" s="99" t="str">
        <f t="shared" si="87"/>
        <v>0013-1012-0035</v>
      </c>
      <c r="L2399" s="99" t="str">
        <f>VLOOKUP(K2399,COA!$A$3:$B$337,2,FALSE)</f>
        <v>K41</v>
      </c>
      <c r="M2399" s="99" t="str">
        <f t="shared" si="86"/>
        <v>K41</v>
      </c>
      <c r="N2399" s="99" t="e">
        <f>VLOOKUP(M2399,CAC!$A$2:$B$198,2,FALSE)</f>
        <v>#N/A</v>
      </c>
    </row>
    <row r="2400" spans="5:14" x14ac:dyDescent="0.25">
      <c r="E2400" s="136">
        <v>201602</v>
      </c>
      <c r="F2400" s="138" t="s">
        <v>549</v>
      </c>
      <c r="G2400" s="138" t="s">
        <v>352</v>
      </c>
      <c r="H2400" s="138" t="s">
        <v>672</v>
      </c>
      <c r="I2400" s="139">
        <v>0</v>
      </c>
      <c r="K2400" s="99" t="str">
        <f t="shared" si="87"/>
        <v>0026-1004-0058</v>
      </c>
      <c r="L2400" s="99" t="str">
        <f>VLOOKUP(K2400,COA!$A$3:$B$337,2,FALSE)</f>
        <v>L44</v>
      </c>
      <c r="M2400" s="99" t="str">
        <f t="shared" si="86"/>
        <v>L44</v>
      </c>
      <c r="N2400" s="99" t="e">
        <f>VLOOKUP(M2400,CAC!$A$2:$B$198,2,FALSE)</f>
        <v>#N/A</v>
      </c>
    </row>
    <row r="2401" spans="5:14" x14ac:dyDescent="0.25">
      <c r="E2401" s="136">
        <v>201510</v>
      </c>
      <c r="F2401" s="138" t="s">
        <v>413</v>
      </c>
      <c r="G2401" s="138" t="s">
        <v>365</v>
      </c>
      <c r="H2401" s="138" t="s">
        <v>411</v>
      </c>
      <c r="I2401" s="139">
        <v>0</v>
      </c>
      <c r="K2401" s="99" t="str">
        <f t="shared" si="87"/>
        <v>0008-1001-0007</v>
      </c>
      <c r="L2401" s="99" t="str">
        <f>VLOOKUP(K2401,COA!$A$3:$B$337,2,FALSE)</f>
        <v>C99</v>
      </c>
      <c r="M2401" s="99" t="str">
        <f t="shared" si="86"/>
        <v>C99</v>
      </c>
      <c r="N2401" s="99" t="str">
        <f>VLOOKUP(M2401,CAC!$A$2:$B$198,2,FALSE)</f>
        <v>DOIIFP</v>
      </c>
    </row>
    <row r="2402" spans="5:14" x14ac:dyDescent="0.25">
      <c r="E2402" s="136">
        <v>201611</v>
      </c>
      <c r="F2402" s="138" t="s">
        <v>563</v>
      </c>
      <c r="G2402" s="138" t="s">
        <v>348</v>
      </c>
      <c r="H2402" s="138" t="s">
        <v>349</v>
      </c>
      <c r="I2402" s="139">
        <v>0</v>
      </c>
      <c r="K2402" s="99" t="str">
        <f t="shared" si="87"/>
        <v>0003-1010-0017</v>
      </c>
      <c r="L2402" s="99" t="str">
        <f>VLOOKUP(K2402,COA!$A$3:$B$337,2,FALSE)</f>
        <v>S51</v>
      </c>
      <c r="M2402" s="99" t="str">
        <f t="shared" si="86"/>
        <v>S51</v>
      </c>
      <c r="N2402" s="99" t="str">
        <f>VLOOKUP(M2402,CAC!$A$2:$B$198,2,FALSE)</f>
        <v>PPOSG</v>
      </c>
    </row>
    <row r="2403" spans="5:14" x14ac:dyDescent="0.25">
      <c r="E2403" s="136">
        <v>201610</v>
      </c>
      <c r="F2403" s="138" t="s">
        <v>563</v>
      </c>
      <c r="G2403" s="138" t="s">
        <v>359</v>
      </c>
      <c r="H2403" s="138" t="s">
        <v>344</v>
      </c>
      <c r="I2403" s="139">
        <v>0</v>
      </c>
      <c r="K2403" s="99" t="str">
        <f t="shared" si="87"/>
        <v>0003-1005-0012</v>
      </c>
      <c r="L2403" s="99" t="str">
        <f>VLOOKUP(K2403,COA!$A$3:$B$337,2,FALSE)</f>
        <v>N51</v>
      </c>
      <c r="M2403" s="99" t="str">
        <f t="shared" si="86"/>
        <v>N51</v>
      </c>
      <c r="N2403" s="99" t="str">
        <f>VLOOKUP(M2403,CAC!$A$2:$B$198,2,FALSE)</f>
        <v>PPOLG</v>
      </c>
    </row>
    <row r="2404" spans="5:14" x14ac:dyDescent="0.25">
      <c r="E2404" s="136">
        <v>201709</v>
      </c>
      <c r="F2404" s="138" t="s">
        <v>506</v>
      </c>
      <c r="G2404" s="138" t="s">
        <v>352</v>
      </c>
      <c r="H2404" s="138" t="s">
        <v>592</v>
      </c>
      <c r="I2404" s="139">
        <v>0</v>
      </c>
      <c r="K2404" s="99" t="str">
        <f t="shared" si="87"/>
        <v>0013-1004-0035</v>
      </c>
      <c r="L2404" s="99" t="str">
        <f>VLOOKUP(K2404,COA!$A$3:$B$337,2,FALSE)</f>
        <v>L41</v>
      </c>
      <c r="M2404" s="99" t="str">
        <f t="shared" si="86"/>
        <v>L41</v>
      </c>
      <c r="N2404" s="99" t="e">
        <f>VLOOKUP(M2404,CAC!$A$2:$B$198,2,FALSE)</f>
        <v>#N/A</v>
      </c>
    </row>
    <row r="2405" spans="5:14" x14ac:dyDescent="0.25">
      <c r="E2405" s="136">
        <v>201610</v>
      </c>
      <c r="F2405" s="138" t="s">
        <v>563</v>
      </c>
      <c r="G2405" s="138" t="s">
        <v>369</v>
      </c>
      <c r="H2405" s="138" t="s">
        <v>345</v>
      </c>
      <c r="I2405" s="139">
        <v>0</v>
      </c>
      <c r="K2405" s="99" t="str">
        <f t="shared" si="87"/>
        <v>0003-1009-0011</v>
      </c>
      <c r="L2405" s="99" t="str">
        <f>VLOOKUP(K2405,COA!$A$3:$B$337,2,FALSE)</f>
        <v>V91</v>
      </c>
      <c r="M2405" s="99" t="str">
        <f t="shared" si="86"/>
        <v>V91</v>
      </c>
      <c r="N2405" s="99" t="str">
        <f>VLOOKUP(M2405,CAC!$A$2:$B$198,2,FALSE)</f>
        <v>PPOMM</v>
      </c>
    </row>
    <row r="2406" spans="5:14" x14ac:dyDescent="0.25">
      <c r="E2406" s="136">
        <v>201712</v>
      </c>
      <c r="F2406" s="138" t="s">
        <v>345</v>
      </c>
      <c r="G2406" s="138" t="s">
        <v>362</v>
      </c>
      <c r="H2406" s="138" t="s">
        <v>364</v>
      </c>
      <c r="I2406" s="139">
        <v>46140.87</v>
      </c>
      <c r="K2406" s="99" t="str">
        <f t="shared" si="87"/>
        <v>0011-1008-0037</v>
      </c>
      <c r="L2406" s="99" t="str">
        <f>VLOOKUP(K2406,COA!$A$3:$B$337,2,FALSE)</f>
        <v>P12</v>
      </c>
      <c r="M2406" s="99" t="str">
        <f t="shared" si="86"/>
        <v>P12</v>
      </c>
      <c r="N2406" s="99" t="str">
        <f>VLOOKUP(M2406,CAC!$A$2:$B$198,2,FALSE)</f>
        <v>HMOPERA</v>
      </c>
    </row>
    <row r="2407" spans="5:14" x14ac:dyDescent="0.25">
      <c r="E2407" s="136">
        <v>201511</v>
      </c>
      <c r="F2407" s="138" t="s">
        <v>345</v>
      </c>
      <c r="G2407" s="138" t="s">
        <v>350</v>
      </c>
      <c r="H2407" s="138" t="s">
        <v>360</v>
      </c>
      <c r="I2407" s="139">
        <v>6079</v>
      </c>
      <c r="K2407" s="99" t="str">
        <f t="shared" si="87"/>
        <v>0011-1012-0048</v>
      </c>
      <c r="L2407" s="99" t="str">
        <f>VLOOKUP(K2407,COA!$A$3:$B$337,2,FALSE)</f>
        <v>K21</v>
      </c>
      <c r="M2407" s="99" t="str">
        <f t="shared" si="86"/>
        <v>K21</v>
      </c>
      <c r="N2407" s="99" t="str">
        <f>VLOOKUP(M2407,CAC!$A$2:$B$198,2,FALSE)</f>
        <v>HMFLEX</v>
      </c>
    </row>
    <row r="2408" spans="5:14" x14ac:dyDescent="0.25">
      <c r="E2408" s="136">
        <v>201702</v>
      </c>
      <c r="F2408" s="138" t="s">
        <v>344</v>
      </c>
      <c r="G2408" s="138" t="s">
        <v>350</v>
      </c>
      <c r="H2408" s="138" t="s">
        <v>344</v>
      </c>
      <c r="I2408" s="139">
        <v>36</v>
      </c>
      <c r="K2408" s="99" t="str">
        <f t="shared" si="87"/>
        <v>0012-1012-0012</v>
      </c>
      <c r="L2408" s="99" t="str">
        <f>VLOOKUP(K2408,COA!$A$3:$B$337,2,FALSE)</f>
        <v>K12</v>
      </c>
      <c r="M2408" s="99" t="str">
        <f t="shared" si="86"/>
        <v>K12</v>
      </c>
      <c r="N2408" s="99" t="str">
        <f>VLOOKUP(M2408,CAC!$A$2:$B$198,2,FALSE)</f>
        <v>HMOPMR</v>
      </c>
    </row>
    <row r="2409" spans="5:14" x14ac:dyDescent="0.25">
      <c r="E2409" s="136">
        <v>201602</v>
      </c>
      <c r="F2409" s="138" t="s">
        <v>746</v>
      </c>
      <c r="G2409" s="138" t="s">
        <v>355</v>
      </c>
      <c r="H2409" s="138" t="s">
        <v>344</v>
      </c>
      <c r="I2409" s="139">
        <v>0</v>
      </c>
      <c r="K2409" s="99" t="str">
        <f t="shared" si="87"/>
        <v>0016-1006-0012</v>
      </c>
      <c r="L2409" s="99" t="str">
        <f>VLOOKUP(K2409,COA!$A$3:$B$337,2,FALSE)</f>
        <v>R21</v>
      </c>
      <c r="M2409" s="99" t="str">
        <f t="shared" si="86"/>
        <v>R21</v>
      </c>
      <c r="N2409" s="99" t="str">
        <f>VLOOKUP(M2409,CAC!$A$2:$B$198,2,FALSE)</f>
        <v>HMOMG</v>
      </c>
    </row>
    <row r="2410" spans="5:14" x14ac:dyDescent="0.25">
      <c r="E2410" s="136">
        <v>201704</v>
      </c>
      <c r="F2410" s="138" t="s">
        <v>563</v>
      </c>
      <c r="G2410" s="138" t="s">
        <v>354</v>
      </c>
      <c r="H2410" s="138" t="s">
        <v>360</v>
      </c>
      <c r="I2410" s="139">
        <v>0</v>
      </c>
      <c r="K2410" s="99" t="str">
        <f t="shared" si="87"/>
        <v>0003-1013-0048</v>
      </c>
      <c r="L2410" s="99" t="str">
        <f>VLOOKUP(K2410,COA!$A$3:$B$337,2,FALSE)</f>
        <v>N56</v>
      </c>
      <c r="M2410" s="99" t="str">
        <f t="shared" si="86"/>
        <v>N56</v>
      </c>
      <c r="N2410" s="99" t="str">
        <f>VLOOKUP(M2410,CAC!$A$2:$B$198,2,FALSE)</f>
        <v>HMFLEX</v>
      </c>
    </row>
    <row r="2411" spans="5:14" x14ac:dyDescent="0.25">
      <c r="E2411" s="136">
        <v>201508</v>
      </c>
      <c r="F2411" s="138" t="s">
        <v>345</v>
      </c>
      <c r="G2411" s="138" t="s">
        <v>354</v>
      </c>
      <c r="H2411" s="138" t="s">
        <v>344</v>
      </c>
      <c r="I2411" s="139">
        <v>404</v>
      </c>
      <c r="K2411" s="99" t="str">
        <f t="shared" si="87"/>
        <v>0011-1013-0012</v>
      </c>
      <c r="L2411" s="99" t="str">
        <f>VLOOKUP(K2411,COA!$A$3:$B$337,2,FALSE)</f>
        <v>N20</v>
      </c>
      <c r="M2411" s="99" t="str">
        <f t="shared" si="86"/>
        <v>N20</v>
      </c>
      <c r="N2411" s="99" t="str">
        <f>VLOOKUP(M2411,CAC!$A$2:$B$198,2,FALSE)</f>
        <v>HMOPMR</v>
      </c>
    </row>
    <row r="2412" spans="5:14" x14ac:dyDescent="0.25">
      <c r="E2412" s="136">
        <v>201707</v>
      </c>
      <c r="F2412" s="138" t="s">
        <v>506</v>
      </c>
      <c r="G2412" s="138" t="s">
        <v>359</v>
      </c>
      <c r="H2412" s="138" t="s">
        <v>592</v>
      </c>
      <c r="I2412" s="139">
        <v>0</v>
      </c>
      <c r="K2412" s="99" t="str">
        <f t="shared" si="87"/>
        <v>0013-1005-0035</v>
      </c>
      <c r="L2412" s="99" t="str">
        <f>VLOOKUP(K2412,COA!$A$3:$B$337,2,FALSE)</f>
        <v>N41</v>
      </c>
      <c r="M2412" s="99" t="str">
        <f t="shared" si="86"/>
        <v>N41</v>
      </c>
      <c r="N2412" s="99" t="e">
        <f>VLOOKUP(M2412,CAC!$A$2:$B$198,2,FALSE)</f>
        <v>#N/A</v>
      </c>
    </row>
    <row r="2413" spans="5:14" x14ac:dyDescent="0.25">
      <c r="E2413" s="136">
        <v>201609</v>
      </c>
      <c r="F2413" s="138" t="s">
        <v>405</v>
      </c>
      <c r="G2413" s="138" t="s">
        <v>362</v>
      </c>
      <c r="H2413" s="138" t="s">
        <v>342</v>
      </c>
      <c r="I2413" s="139">
        <v>0</v>
      </c>
      <c r="K2413" s="99" t="str">
        <f t="shared" si="87"/>
        <v>0019-1008-0031</v>
      </c>
      <c r="L2413" s="99" t="str">
        <f>VLOOKUP(K2413,COA!$A$3:$B$337,2,FALSE)</f>
        <v>P53</v>
      </c>
      <c r="M2413" s="99" t="str">
        <f t="shared" si="86"/>
        <v>P53</v>
      </c>
      <c r="N2413" s="99" t="str">
        <f>VLOOKUP(M2413,CAC!$A$2:$B$198,2,FALSE)</f>
        <v>HMOPERA</v>
      </c>
    </row>
    <row r="2414" spans="5:14" x14ac:dyDescent="0.25">
      <c r="E2414" s="136">
        <v>201504</v>
      </c>
      <c r="F2414" s="138" t="s">
        <v>345</v>
      </c>
      <c r="G2414" s="138" t="s">
        <v>348</v>
      </c>
      <c r="H2414" s="138" t="s">
        <v>358</v>
      </c>
      <c r="I2414" s="139">
        <v>58</v>
      </c>
      <c r="K2414" s="99" t="str">
        <f t="shared" si="87"/>
        <v>0011-1010-0024</v>
      </c>
      <c r="L2414" s="99" t="str">
        <f>VLOOKUP(K2414,COA!$A$3:$B$337,2,FALSE)</f>
        <v>S14</v>
      </c>
      <c r="M2414" s="99" t="str">
        <f t="shared" si="86"/>
        <v>S14</v>
      </c>
      <c r="N2414" s="99" t="str">
        <f>VLOOKUP(M2414,CAC!$A$2:$B$198,2,FALSE)</f>
        <v>HMOSG</v>
      </c>
    </row>
    <row r="2415" spans="5:14" x14ac:dyDescent="0.25">
      <c r="E2415" s="136">
        <v>201602</v>
      </c>
      <c r="F2415" s="138" t="s">
        <v>549</v>
      </c>
      <c r="G2415" s="138" t="s">
        <v>356</v>
      </c>
      <c r="H2415" s="138" t="s">
        <v>672</v>
      </c>
      <c r="I2415" s="139">
        <v>0</v>
      </c>
      <c r="K2415" s="99" t="str">
        <f t="shared" si="87"/>
        <v>0026-1002-0058</v>
      </c>
      <c r="L2415" s="99" t="str">
        <f>VLOOKUP(K2415,COA!$A$3:$B$337,2,FALSE)</f>
        <v>L45</v>
      </c>
      <c r="M2415" s="99" t="str">
        <f t="shared" si="86"/>
        <v>L45</v>
      </c>
      <c r="N2415" s="99" t="e">
        <f>VLOOKUP(M2415,CAC!$A$2:$B$198,2,FALSE)</f>
        <v>#N/A</v>
      </c>
    </row>
    <row r="2416" spans="5:14" x14ac:dyDescent="0.25">
      <c r="E2416" s="136">
        <v>201610</v>
      </c>
      <c r="F2416" s="138" t="s">
        <v>342</v>
      </c>
      <c r="G2416" s="138" t="s">
        <v>343</v>
      </c>
      <c r="H2416" s="138" t="s">
        <v>344</v>
      </c>
      <c r="I2416" s="139">
        <v>5997.27</v>
      </c>
      <c r="K2416" s="99" t="str">
        <f t="shared" si="87"/>
        <v>0031-1000-0012</v>
      </c>
      <c r="L2416" s="99" t="str">
        <f>VLOOKUP(K2416,COA!$A$3:$B$337,2,FALSE)</f>
        <v>F27</v>
      </c>
      <c r="M2416" s="99" t="str">
        <f t="shared" si="86"/>
        <v>F27</v>
      </c>
      <c r="N2416" s="99" t="str">
        <f>VLOOKUP(M2416,CAC!$A$2:$B$198,2,FALSE)</f>
        <v>HMOFEP</v>
      </c>
    </row>
    <row r="2417" spans="5:14" x14ac:dyDescent="0.25">
      <c r="E2417" s="136">
        <v>201709</v>
      </c>
      <c r="F2417" s="138" t="s">
        <v>563</v>
      </c>
      <c r="G2417" s="138" t="s">
        <v>348</v>
      </c>
      <c r="H2417" s="138" t="s">
        <v>353</v>
      </c>
      <c r="I2417" s="139">
        <v>0</v>
      </c>
      <c r="K2417" s="99" t="str">
        <f t="shared" si="87"/>
        <v>0003-1010-0023</v>
      </c>
      <c r="L2417" s="99" t="str">
        <f>VLOOKUP(K2417,COA!$A$3:$B$337,2,FALSE)</f>
        <v>S54</v>
      </c>
      <c r="M2417" s="99" t="str">
        <f t="shared" si="86"/>
        <v>S54</v>
      </c>
      <c r="N2417" s="99" t="str">
        <f>VLOOKUP(M2417,CAC!$A$2:$B$198,2,FALSE)</f>
        <v>PPOSG</v>
      </c>
    </row>
    <row r="2418" spans="5:14" x14ac:dyDescent="0.25">
      <c r="E2418" s="136">
        <v>201608</v>
      </c>
      <c r="F2418" s="138" t="s">
        <v>345</v>
      </c>
      <c r="G2418" s="138" t="s">
        <v>348</v>
      </c>
      <c r="H2418" s="138" t="s">
        <v>353</v>
      </c>
      <c r="I2418" s="139">
        <v>326</v>
      </c>
      <c r="K2418" s="99" t="str">
        <f t="shared" si="87"/>
        <v>0011-1010-0023</v>
      </c>
      <c r="L2418" s="99" t="str">
        <f>VLOOKUP(K2418,COA!$A$3:$B$337,2,FALSE)</f>
        <v>S13</v>
      </c>
      <c r="M2418" s="99" t="str">
        <f t="shared" si="86"/>
        <v>S13</v>
      </c>
      <c r="N2418" s="99" t="str">
        <f>VLOOKUP(M2418,CAC!$A$2:$B$198,2,FALSE)</f>
        <v>HMOSG</v>
      </c>
    </row>
    <row r="2419" spans="5:14" x14ac:dyDescent="0.25">
      <c r="E2419" s="136">
        <v>201502</v>
      </c>
      <c r="F2419" s="138" t="s">
        <v>345</v>
      </c>
      <c r="G2419" s="138" t="s">
        <v>348</v>
      </c>
      <c r="H2419" s="138" t="s">
        <v>358</v>
      </c>
      <c r="I2419" s="139">
        <v>49</v>
      </c>
      <c r="K2419" s="99" t="str">
        <f t="shared" si="87"/>
        <v>0011-1010-0024</v>
      </c>
      <c r="L2419" s="99" t="str">
        <f>VLOOKUP(K2419,COA!$A$3:$B$337,2,FALSE)</f>
        <v>S14</v>
      </c>
      <c r="M2419" s="99" t="str">
        <f t="shared" si="86"/>
        <v>S14</v>
      </c>
      <c r="N2419" s="99" t="str">
        <f>VLOOKUP(M2419,CAC!$A$2:$B$198,2,FALSE)</f>
        <v>HMOSG</v>
      </c>
    </row>
    <row r="2420" spans="5:14" x14ac:dyDescent="0.25">
      <c r="E2420" s="136">
        <v>201707</v>
      </c>
      <c r="F2420" s="138" t="s">
        <v>746</v>
      </c>
      <c r="G2420" s="138" t="s">
        <v>354</v>
      </c>
      <c r="H2420" s="138" t="s">
        <v>344</v>
      </c>
      <c r="I2420" s="139">
        <v>81</v>
      </c>
      <c r="K2420" s="99" t="str">
        <f t="shared" si="87"/>
        <v>0016-1013-0012</v>
      </c>
      <c r="L2420" s="99" t="str">
        <f>VLOOKUP(K2420,COA!$A$3:$B$337,2,FALSE)</f>
        <v>R19</v>
      </c>
      <c r="M2420" s="99" t="str">
        <f t="shared" si="86"/>
        <v>R19</v>
      </c>
      <c r="N2420" s="99" t="str">
        <f>VLOOKUP(M2420,CAC!$A$2:$B$198,2,FALSE)</f>
        <v>HMOMG</v>
      </c>
    </row>
    <row r="2421" spans="5:14" x14ac:dyDescent="0.25">
      <c r="E2421" s="136">
        <v>201703</v>
      </c>
      <c r="F2421" s="138" t="s">
        <v>746</v>
      </c>
      <c r="G2421" s="138" t="s">
        <v>350</v>
      </c>
      <c r="H2421" s="138" t="s">
        <v>344</v>
      </c>
      <c r="I2421" s="139">
        <v>27</v>
      </c>
      <c r="K2421" s="99" t="str">
        <f t="shared" si="87"/>
        <v>0016-1012-0012</v>
      </c>
      <c r="L2421" s="99" t="str">
        <f>VLOOKUP(K2421,COA!$A$3:$B$337,2,FALSE)</f>
        <v>R19</v>
      </c>
      <c r="M2421" s="99" t="str">
        <f t="shared" si="86"/>
        <v>R19</v>
      </c>
      <c r="N2421" s="99" t="str">
        <f>VLOOKUP(M2421,CAC!$A$2:$B$198,2,FALSE)</f>
        <v>HMOMG</v>
      </c>
    </row>
    <row r="2422" spans="5:14" x14ac:dyDescent="0.25">
      <c r="E2422" s="136">
        <v>201704</v>
      </c>
      <c r="F2422" s="138" t="s">
        <v>563</v>
      </c>
      <c r="G2422" s="138" t="s">
        <v>352</v>
      </c>
      <c r="H2422" s="138" t="s">
        <v>344</v>
      </c>
      <c r="I2422" s="139">
        <v>0</v>
      </c>
      <c r="K2422" s="99" t="str">
        <f t="shared" si="87"/>
        <v>0003-1004-0012</v>
      </c>
      <c r="L2422" s="99" t="str">
        <f>VLOOKUP(K2422,COA!$A$3:$B$337,2,FALSE)</f>
        <v>L51</v>
      </c>
      <c r="M2422" s="99" t="str">
        <f t="shared" si="86"/>
        <v>L51</v>
      </c>
      <c r="N2422" s="99" t="str">
        <f>VLOOKUP(M2422,CAC!$A$2:$B$198,2,FALSE)</f>
        <v>PPOLG</v>
      </c>
    </row>
    <row r="2423" spans="5:14" x14ac:dyDescent="0.25">
      <c r="E2423" s="136">
        <v>201606</v>
      </c>
      <c r="F2423" s="138" t="s">
        <v>563</v>
      </c>
      <c r="G2423" s="138" t="s">
        <v>365</v>
      </c>
      <c r="H2423" s="138" t="s">
        <v>798</v>
      </c>
      <c r="I2423" s="139">
        <v>0</v>
      </c>
      <c r="K2423" s="99" t="str">
        <f t="shared" si="87"/>
        <v>0003-1001-0065</v>
      </c>
      <c r="L2423" s="99" t="str">
        <f>VLOOKUP(K2423,COA!$A$3:$B$337,2,FALSE)</f>
        <v>V55</v>
      </c>
      <c r="M2423" s="99" t="str">
        <f t="shared" si="86"/>
        <v>V55</v>
      </c>
      <c r="N2423" s="99" t="e">
        <f>VLOOKUP(M2423,CAC!$A$2:$B$198,2,FALSE)</f>
        <v>#N/A</v>
      </c>
    </row>
    <row r="2424" spans="5:14" x14ac:dyDescent="0.25">
      <c r="E2424" s="136">
        <v>201703</v>
      </c>
      <c r="F2424" s="138" t="s">
        <v>345</v>
      </c>
      <c r="G2424" s="138" t="s">
        <v>356</v>
      </c>
      <c r="H2424" s="138" t="s">
        <v>344</v>
      </c>
      <c r="I2424" s="139">
        <v>16086.48</v>
      </c>
      <c r="K2424" s="99" t="str">
        <f t="shared" si="87"/>
        <v>0011-1002-0012</v>
      </c>
      <c r="L2424" s="99" t="str">
        <f>VLOOKUP(K2424,COA!$A$3:$B$337,2,FALSE)</f>
        <v>F20</v>
      </c>
      <c r="M2424" s="99" t="str">
        <f t="shared" si="86"/>
        <v>F20</v>
      </c>
      <c r="N2424" s="99" t="str">
        <f>VLOOKUP(M2424,CAC!$A$2:$B$198,2,FALSE)</f>
        <v>HMOPMR</v>
      </c>
    </row>
    <row r="2425" spans="5:14" x14ac:dyDescent="0.25">
      <c r="E2425" s="136">
        <v>201505</v>
      </c>
      <c r="F2425" s="138" t="s">
        <v>506</v>
      </c>
      <c r="G2425" s="138" t="s">
        <v>346</v>
      </c>
      <c r="H2425" s="138" t="s">
        <v>592</v>
      </c>
      <c r="I2425" s="139">
        <v>0</v>
      </c>
      <c r="K2425" s="99" t="str">
        <f t="shared" si="87"/>
        <v>0013-1014-0035</v>
      </c>
      <c r="L2425" s="99" t="str">
        <f>VLOOKUP(K2425,COA!$A$3:$B$337,2,FALSE)</f>
        <v>K42</v>
      </c>
      <c r="M2425" s="99" t="str">
        <f t="shared" si="86"/>
        <v>K42</v>
      </c>
      <c r="N2425" s="99" t="str">
        <f>VLOOKUP(M2425,CAC!$A$2:$B$198,2,FALSE)</f>
        <v>HMFLEX</v>
      </c>
    </row>
    <row r="2426" spans="5:14" x14ac:dyDescent="0.25">
      <c r="E2426" s="136">
        <v>201605</v>
      </c>
      <c r="F2426" s="138" t="s">
        <v>345</v>
      </c>
      <c r="G2426" s="138" t="s">
        <v>351</v>
      </c>
      <c r="H2426" s="138" t="s">
        <v>349</v>
      </c>
      <c r="I2426" s="139">
        <v>0</v>
      </c>
      <c r="K2426" s="99" t="str">
        <f t="shared" si="87"/>
        <v>0011-0000-0017</v>
      </c>
      <c r="L2426" s="99" t="e">
        <f>VLOOKUP(K2426,COA!$A$3:$B$337,2,FALSE)</f>
        <v>#N/A</v>
      </c>
      <c r="M2426" s="99" t="str">
        <f t="shared" si="86"/>
        <v>XXX</v>
      </c>
      <c r="N2426" s="99" t="str">
        <f>VLOOKUP(M2426,CAC!$A$2:$B$198,2,FALSE)</f>
        <v>XXX</v>
      </c>
    </row>
    <row r="2427" spans="5:14" x14ac:dyDescent="0.25">
      <c r="E2427" s="136">
        <v>201512</v>
      </c>
      <c r="F2427" s="138" t="s">
        <v>413</v>
      </c>
      <c r="G2427" s="138" t="s">
        <v>355</v>
      </c>
      <c r="H2427" s="138" t="s">
        <v>344</v>
      </c>
      <c r="I2427" s="139">
        <v>0</v>
      </c>
      <c r="K2427" s="99" t="str">
        <f t="shared" si="87"/>
        <v>0008-1006-0012</v>
      </c>
      <c r="L2427" s="99" t="str">
        <f>VLOOKUP(K2427,COA!$A$3:$B$337,2,FALSE)</f>
        <v>C96</v>
      </c>
      <c r="M2427" s="99" t="str">
        <f t="shared" si="86"/>
        <v>C96</v>
      </c>
      <c r="N2427" s="99" t="str">
        <f>VLOOKUP(M2427,CAC!$A$2:$B$198,2,FALSE)</f>
        <v>DOILG</v>
      </c>
    </row>
    <row r="2428" spans="5:14" x14ac:dyDescent="0.25">
      <c r="E2428" s="136">
        <v>201708</v>
      </c>
      <c r="F2428" s="138" t="s">
        <v>405</v>
      </c>
      <c r="G2428" s="138" t="s">
        <v>362</v>
      </c>
      <c r="H2428" s="138" t="s">
        <v>342</v>
      </c>
      <c r="I2428" s="139">
        <v>0</v>
      </c>
      <c r="K2428" s="99" t="str">
        <f t="shared" si="87"/>
        <v>0019-1008-0031</v>
      </c>
      <c r="L2428" s="99" t="str">
        <f>VLOOKUP(K2428,COA!$A$3:$B$337,2,FALSE)</f>
        <v>P53</v>
      </c>
      <c r="M2428" s="99" t="str">
        <f t="shared" si="86"/>
        <v>P53</v>
      </c>
      <c r="N2428" s="99" t="str">
        <f>VLOOKUP(M2428,CAC!$A$2:$B$198,2,FALSE)</f>
        <v>HMOPERA</v>
      </c>
    </row>
    <row r="2429" spans="5:14" x14ac:dyDescent="0.25">
      <c r="E2429" s="136">
        <v>201712</v>
      </c>
      <c r="F2429" s="138" t="s">
        <v>349</v>
      </c>
      <c r="G2429" s="138" t="s">
        <v>369</v>
      </c>
      <c r="H2429" s="138" t="s">
        <v>764</v>
      </c>
      <c r="I2429" s="139">
        <v>5226</v>
      </c>
      <c r="K2429" s="105" t="str">
        <f t="shared" ref="K2429:K2492" si="88">F2429&amp;"-"&amp;G2429&amp;"-"&amp;H2429</f>
        <v>0017-1009-0064</v>
      </c>
      <c r="L2429" s="105" t="str">
        <f>VLOOKUP(K2429,COA!$A$3:$B$337,2,FALSE)</f>
        <v>R15</v>
      </c>
      <c r="M2429" s="105" t="str">
        <f t="shared" ref="M2429:M2492" si="89">IF(ISNA(L2429),"XXX",L2429)</f>
        <v>R15</v>
      </c>
      <c r="N2429" s="105" t="str">
        <f>VLOOKUP(M2429,CAC!$A$2:$B$198,2,FALSE)</f>
        <v>HMOMM</v>
      </c>
    </row>
    <row r="2430" spans="5:14" x14ac:dyDescent="0.25">
      <c r="E2430" s="136">
        <v>201703</v>
      </c>
      <c r="F2430" s="138" t="s">
        <v>563</v>
      </c>
      <c r="G2430" s="138" t="s">
        <v>348</v>
      </c>
      <c r="H2430" s="138" t="s">
        <v>358</v>
      </c>
      <c r="I2430" s="139">
        <v>0</v>
      </c>
      <c r="K2430" s="105" t="str">
        <f t="shared" si="88"/>
        <v>0003-1010-0024</v>
      </c>
      <c r="L2430" s="105" t="str">
        <f>VLOOKUP(K2430,COA!$A$3:$B$337,2,FALSE)</f>
        <v>S56</v>
      </c>
      <c r="M2430" s="105" t="str">
        <f t="shared" si="89"/>
        <v>S56</v>
      </c>
      <c r="N2430" s="105" t="str">
        <f>VLOOKUP(M2430,CAC!$A$2:$B$198,2,FALSE)</f>
        <v>PPOSG</v>
      </c>
    </row>
    <row r="2431" spans="5:14" x14ac:dyDescent="0.25">
      <c r="E2431" s="136">
        <v>201705</v>
      </c>
      <c r="F2431" s="138" t="s">
        <v>563</v>
      </c>
      <c r="G2431" s="138" t="s">
        <v>348</v>
      </c>
      <c r="H2431" s="138" t="s">
        <v>349</v>
      </c>
      <c r="I2431" s="139">
        <v>0</v>
      </c>
      <c r="K2431" s="105" t="str">
        <f t="shared" si="88"/>
        <v>0003-1010-0017</v>
      </c>
      <c r="L2431" s="105" t="str">
        <f>VLOOKUP(K2431,COA!$A$3:$B$337,2,FALSE)</f>
        <v>S51</v>
      </c>
      <c r="M2431" s="105" t="str">
        <f t="shared" si="89"/>
        <v>S51</v>
      </c>
      <c r="N2431" s="105" t="str">
        <f>VLOOKUP(M2431,CAC!$A$2:$B$198,2,FALSE)</f>
        <v>PPOSG</v>
      </c>
    </row>
    <row r="2432" spans="5:14" x14ac:dyDescent="0.25">
      <c r="E2432" s="136">
        <v>201603</v>
      </c>
      <c r="F2432" s="138" t="s">
        <v>345</v>
      </c>
      <c r="G2432" s="138" t="s">
        <v>354</v>
      </c>
      <c r="H2432" s="138" t="s">
        <v>344</v>
      </c>
      <c r="I2432" s="139">
        <v>6706.03</v>
      </c>
      <c r="K2432" s="105" t="str">
        <f t="shared" si="88"/>
        <v>0011-1013-0012</v>
      </c>
      <c r="L2432" s="105" t="str">
        <f>VLOOKUP(K2432,COA!$A$3:$B$337,2,FALSE)</f>
        <v>N20</v>
      </c>
      <c r="M2432" s="105" t="str">
        <f t="shared" si="89"/>
        <v>N20</v>
      </c>
      <c r="N2432" s="105" t="str">
        <f>VLOOKUP(M2432,CAC!$A$2:$B$198,2,FALSE)</f>
        <v>HMOPMR</v>
      </c>
    </row>
    <row r="2433" spans="5:14" x14ac:dyDescent="0.25">
      <c r="E2433" s="136">
        <v>201512</v>
      </c>
      <c r="F2433" s="138" t="s">
        <v>563</v>
      </c>
      <c r="G2433" s="138" t="s">
        <v>361</v>
      </c>
      <c r="H2433" s="138" t="s">
        <v>344</v>
      </c>
      <c r="I2433" s="139">
        <v>0</v>
      </c>
      <c r="K2433" s="105" t="str">
        <f t="shared" si="88"/>
        <v>0003-1003-0012</v>
      </c>
      <c r="L2433" s="105" t="str">
        <f>VLOOKUP(K2433,COA!$A$3:$B$337,2,FALSE)</f>
        <v>N61</v>
      </c>
      <c r="M2433" s="105" t="str">
        <f t="shared" si="89"/>
        <v>N61</v>
      </c>
      <c r="N2433" s="105" t="str">
        <f>VLOOKUP(M2433,CAC!$A$2:$B$198,2,FALSE)</f>
        <v>PPOPMR</v>
      </c>
    </row>
    <row r="2434" spans="5:14" x14ac:dyDescent="0.25">
      <c r="E2434" s="136">
        <v>201702</v>
      </c>
      <c r="F2434" s="138" t="s">
        <v>345</v>
      </c>
      <c r="G2434" s="138" t="s">
        <v>365</v>
      </c>
      <c r="H2434" s="138" t="s">
        <v>367</v>
      </c>
      <c r="I2434" s="139">
        <v>465</v>
      </c>
      <c r="K2434" s="105" t="str">
        <f t="shared" si="88"/>
        <v>0011-1001-0022</v>
      </c>
      <c r="L2434" s="105" t="str">
        <f>VLOOKUP(K2434,COA!$A$3:$B$337,2,FALSE)</f>
        <v>V14</v>
      </c>
      <c r="M2434" s="105" t="str">
        <f t="shared" si="89"/>
        <v>V14</v>
      </c>
      <c r="N2434" s="105" t="str">
        <f>VLOOKUP(M2434,CAC!$A$2:$B$198,2,FALSE)</f>
        <v>HMOIFP</v>
      </c>
    </row>
    <row r="2435" spans="5:14" x14ac:dyDescent="0.25">
      <c r="E2435" s="136">
        <v>201610</v>
      </c>
      <c r="F2435" s="138" t="s">
        <v>563</v>
      </c>
      <c r="G2435" s="138" t="s">
        <v>348</v>
      </c>
      <c r="H2435" s="138" t="s">
        <v>358</v>
      </c>
      <c r="I2435" s="139">
        <v>0</v>
      </c>
      <c r="K2435" s="105" t="str">
        <f t="shared" si="88"/>
        <v>0003-1010-0024</v>
      </c>
      <c r="L2435" s="105" t="str">
        <f>VLOOKUP(K2435,COA!$A$3:$B$337,2,FALSE)</f>
        <v>S56</v>
      </c>
      <c r="M2435" s="105" t="str">
        <f t="shared" si="89"/>
        <v>S56</v>
      </c>
      <c r="N2435" s="105" t="str">
        <f>VLOOKUP(M2435,CAC!$A$2:$B$198,2,FALSE)</f>
        <v>PPOSG</v>
      </c>
    </row>
    <row r="2436" spans="5:14" x14ac:dyDescent="0.25">
      <c r="E2436" s="136">
        <v>201703</v>
      </c>
      <c r="F2436" s="138" t="s">
        <v>563</v>
      </c>
      <c r="G2436" s="138" t="s">
        <v>354</v>
      </c>
      <c r="H2436" s="138" t="s">
        <v>626</v>
      </c>
      <c r="I2436" s="139">
        <v>0</v>
      </c>
      <c r="K2436" s="105" t="str">
        <f t="shared" si="88"/>
        <v>0003-1013-0057</v>
      </c>
      <c r="L2436" s="105" t="str">
        <f>VLOOKUP(K2436,COA!$A$3:$B$337,2,FALSE)</f>
        <v>N55</v>
      </c>
      <c r="M2436" s="105" t="str">
        <f t="shared" si="89"/>
        <v>N55</v>
      </c>
      <c r="N2436" s="105" t="str">
        <f>VLOOKUP(M2436,CAC!$A$2:$B$198,2,FALSE)</f>
        <v>PPOPMR</v>
      </c>
    </row>
    <row r="2437" spans="5:14" x14ac:dyDescent="0.25">
      <c r="E2437" s="136">
        <v>201503</v>
      </c>
      <c r="F2437" s="138" t="s">
        <v>345</v>
      </c>
      <c r="G2437" s="138" t="s">
        <v>351</v>
      </c>
      <c r="H2437" s="138" t="s">
        <v>349</v>
      </c>
      <c r="I2437" s="139">
        <v>1</v>
      </c>
      <c r="K2437" s="105" t="str">
        <f t="shared" si="88"/>
        <v>0011-0000-0017</v>
      </c>
      <c r="L2437" s="105" t="e">
        <f>VLOOKUP(K2437,COA!$A$3:$B$337,2,FALSE)</f>
        <v>#N/A</v>
      </c>
      <c r="M2437" s="105" t="str">
        <f t="shared" si="89"/>
        <v>XXX</v>
      </c>
      <c r="N2437" s="105" t="str">
        <f>VLOOKUP(M2437,CAC!$A$2:$B$198,2,FALSE)</f>
        <v>XXX</v>
      </c>
    </row>
    <row r="2438" spans="5:14" x14ac:dyDescent="0.25">
      <c r="E2438" s="136">
        <v>201604</v>
      </c>
      <c r="F2438" s="138" t="s">
        <v>506</v>
      </c>
      <c r="G2438" s="138" t="s">
        <v>359</v>
      </c>
      <c r="H2438" s="138" t="s">
        <v>592</v>
      </c>
      <c r="I2438" s="139">
        <v>0</v>
      </c>
      <c r="K2438" s="105" t="str">
        <f t="shared" si="88"/>
        <v>0013-1005-0035</v>
      </c>
      <c r="L2438" s="105" t="str">
        <f>VLOOKUP(K2438,COA!$A$3:$B$337,2,FALSE)</f>
        <v>N41</v>
      </c>
      <c r="M2438" s="105" t="str">
        <f t="shared" si="89"/>
        <v>N41</v>
      </c>
      <c r="N2438" s="105" t="e">
        <f>VLOOKUP(M2438,CAC!$A$2:$B$198,2,FALSE)</f>
        <v>#N/A</v>
      </c>
    </row>
    <row r="2439" spans="5:14" x14ac:dyDescent="0.25">
      <c r="E2439" s="136">
        <v>201605</v>
      </c>
      <c r="F2439" s="138" t="s">
        <v>549</v>
      </c>
      <c r="G2439" s="138" t="s">
        <v>352</v>
      </c>
      <c r="H2439" s="138" t="s">
        <v>672</v>
      </c>
      <c r="I2439" s="139">
        <v>0</v>
      </c>
      <c r="K2439" s="105" t="str">
        <f t="shared" si="88"/>
        <v>0026-1004-0058</v>
      </c>
      <c r="L2439" s="105" t="str">
        <f>VLOOKUP(K2439,COA!$A$3:$B$337,2,FALSE)</f>
        <v>L44</v>
      </c>
      <c r="M2439" s="105" t="str">
        <f t="shared" si="89"/>
        <v>L44</v>
      </c>
      <c r="N2439" s="105" t="e">
        <f>VLOOKUP(M2439,CAC!$A$2:$B$198,2,FALSE)</f>
        <v>#N/A</v>
      </c>
    </row>
    <row r="2440" spans="5:14" x14ac:dyDescent="0.25">
      <c r="E2440" s="136">
        <v>201611</v>
      </c>
      <c r="F2440" s="138" t="s">
        <v>563</v>
      </c>
      <c r="G2440" s="138" t="s">
        <v>352</v>
      </c>
      <c r="H2440" s="138" t="s">
        <v>344</v>
      </c>
      <c r="I2440" s="139">
        <v>0</v>
      </c>
      <c r="K2440" s="105" t="str">
        <f t="shared" si="88"/>
        <v>0003-1004-0012</v>
      </c>
      <c r="L2440" s="105" t="str">
        <f>VLOOKUP(K2440,COA!$A$3:$B$337,2,FALSE)</f>
        <v>L51</v>
      </c>
      <c r="M2440" s="105" t="str">
        <f t="shared" si="89"/>
        <v>L51</v>
      </c>
      <c r="N2440" s="105" t="str">
        <f>VLOOKUP(M2440,CAC!$A$2:$B$198,2,FALSE)</f>
        <v>PPOLG</v>
      </c>
    </row>
    <row r="2441" spans="5:14" x14ac:dyDescent="0.25">
      <c r="E2441" s="136">
        <v>201511</v>
      </c>
      <c r="F2441" s="138" t="s">
        <v>345</v>
      </c>
      <c r="G2441" s="138" t="s">
        <v>354</v>
      </c>
      <c r="H2441" s="138" t="s">
        <v>344</v>
      </c>
      <c r="I2441" s="139">
        <v>6589.94</v>
      </c>
      <c r="K2441" s="105" t="str">
        <f t="shared" si="88"/>
        <v>0011-1013-0012</v>
      </c>
      <c r="L2441" s="105" t="str">
        <f>VLOOKUP(K2441,COA!$A$3:$B$337,2,FALSE)</f>
        <v>N20</v>
      </c>
      <c r="M2441" s="105" t="str">
        <f t="shared" si="89"/>
        <v>N20</v>
      </c>
      <c r="N2441" s="105" t="str">
        <f>VLOOKUP(M2441,CAC!$A$2:$B$198,2,FALSE)</f>
        <v>HMOPMR</v>
      </c>
    </row>
    <row r="2442" spans="5:14" x14ac:dyDescent="0.25">
      <c r="E2442" s="136">
        <v>201801</v>
      </c>
      <c r="F2442" s="138" t="s">
        <v>506</v>
      </c>
      <c r="G2442" s="138" t="s">
        <v>350</v>
      </c>
      <c r="H2442" s="138" t="s">
        <v>592</v>
      </c>
      <c r="I2442" s="139">
        <v>0</v>
      </c>
      <c r="K2442" s="105" t="str">
        <f t="shared" si="88"/>
        <v>0013-1012-0035</v>
      </c>
      <c r="L2442" s="105" t="str">
        <f>VLOOKUP(K2442,COA!$A$3:$B$337,2,FALSE)</f>
        <v>K41</v>
      </c>
      <c r="M2442" s="105" t="str">
        <f t="shared" si="89"/>
        <v>K41</v>
      </c>
      <c r="N2442" s="105" t="e">
        <f>VLOOKUP(M2442,CAC!$A$2:$B$198,2,FALSE)</f>
        <v>#N/A</v>
      </c>
    </row>
    <row r="2443" spans="5:14" x14ac:dyDescent="0.25">
      <c r="E2443" s="136">
        <v>201609</v>
      </c>
      <c r="F2443" s="138" t="s">
        <v>506</v>
      </c>
      <c r="G2443" s="138" t="s">
        <v>350</v>
      </c>
      <c r="H2443" s="138" t="s">
        <v>592</v>
      </c>
      <c r="I2443" s="139">
        <v>0</v>
      </c>
      <c r="K2443" s="105" t="str">
        <f t="shared" si="88"/>
        <v>0013-1012-0035</v>
      </c>
      <c r="L2443" s="105" t="str">
        <f>VLOOKUP(K2443,COA!$A$3:$B$337,2,FALSE)</f>
        <v>K41</v>
      </c>
      <c r="M2443" s="105" t="str">
        <f t="shared" si="89"/>
        <v>K41</v>
      </c>
      <c r="N2443" s="105" t="e">
        <f>VLOOKUP(M2443,CAC!$A$2:$B$198,2,FALSE)</f>
        <v>#N/A</v>
      </c>
    </row>
    <row r="2444" spans="5:14" x14ac:dyDescent="0.25">
      <c r="E2444" s="136">
        <v>201801</v>
      </c>
      <c r="F2444" s="138" t="s">
        <v>746</v>
      </c>
      <c r="G2444" s="138" t="s">
        <v>350</v>
      </c>
      <c r="H2444" s="138" t="s">
        <v>344</v>
      </c>
      <c r="I2444" s="139">
        <v>3</v>
      </c>
      <c r="K2444" s="105" t="str">
        <f t="shared" si="88"/>
        <v>0016-1012-0012</v>
      </c>
      <c r="L2444" s="105" t="str">
        <f>VLOOKUP(K2444,COA!$A$3:$B$337,2,FALSE)</f>
        <v>R19</v>
      </c>
      <c r="M2444" s="105" t="str">
        <f t="shared" si="89"/>
        <v>R19</v>
      </c>
      <c r="N2444" s="105" t="str">
        <f>VLOOKUP(M2444,CAC!$A$2:$B$198,2,FALSE)</f>
        <v>HMOMG</v>
      </c>
    </row>
    <row r="2445" spans="5:14" x14ac:dyDescent="0.25">
      <c r="E2445" s="136">
        <v>201801</v>
      </c>
      <c r="F2445" s="138" t="s">
        <v>345</v>
      </c>
      <c r="G2445" s="138" t="s">
        <v>350</v>
      </c>
      <c r="H2445" s="138" t="s">
        <v>360</v>
      </c>
      <c r="I2445" s="139">
        <v>10564</v>
      </c>
      <c r="K2445" s="105" t="str">
        <f t="shared" si="88"/>
        <v>0011-1012-0048</v>
      </c>
      <c r="L2445" s="105" t="str">
        <f>VLOOKUP(K2445,COA!$A$3:$B$337,2,FALSE)</f>
        <v>K21</v>
      </c>
      <c r="M2445" s="105" t="str">
        <f t="shared" si="89"/>
        <v>K21</v>
      </c>
      <c r="N2445" s="105" t="str">
        <f>VLOOKUP(M2445,CAC!$A$2:$B$198,2,FALSE)</f>
        <v>HMFLEX</v>
      </c>
    </row>
    <row r="2446" spans="5:14" x14ac:dyDescent="0.25">
      <c r="E2446" s="136">
        <v>201612</v>
      </c>
      <c r="F2446" s="138" t="s">
        <v>345</v>
      </c>
      <c r="G2446" s="138" t="s">
        <v>346</v>
      </c>
      <c r="H2446" s="138" t="s">
        <v>360</v>
      </c>
      <c r="I2446" s="139">
        <v>341</v>
      </c>
      <c r="K2446" s="105" t="str">
        <f t="shared" si="88"/>
        <v>0011-1014-0048</v>
      </c>
      <c r="L2446" s="105" t="str">
        <f>VLOOKUP(K2446,COA!$A$3:$B$337,2,FALSE)</f>
        <v>K23</v>
      </c>
      <c r="M2446" s="105" t="str">
        <f t="shared" si="89"/>
        <v>K23</v>
      </c>
      <c r="N2446" s="105" t="str">
        <f>VLOOKUP(M2446,CAC!$A$2:$B$198,2,FALSE)</f>
        <v>HMFLEX</v>
      </c>
    </row>
    <row r="2447" spans="5:14" x14ac:dyDescent="0.25">
      <c r="E2447" s="136">
        <v>201604</v>
      </c>
      <c r="F2447" s="138" t="s">
        <v>746</v>
      </c>
      <c r="G2447" s="138" t="s">
        <v>350</v>
      </c>
      <c r="H2447" s="138" t="s">
        <v>344</v>
      </c>
      <c r="I2447" s="139">
        <v>62</v>
      </c>
      <c r="K2447" s="105" t="str">
        <f t="shared" si="88"/>
        <v>0016-1012-0012</v>
      </c>
      <c r="L2447" s="105" t="str">
        <f>VLOOKUP(K2447,COA!$A$3:$B$337,2,FALSE)</f>
        <v>R19</v>
      </c>
      <c r="M2447" s="105" t="str">
        <f t="shared" si="89"/>
        <v>R19</v>
      </c>
      <c r="N2447" s="105" t="str">
        <f>VLOOKUP(M2447,CAC!$A$2:$B$198,2,FALSE)</f>
        <v>HMOMG</v>
      </c>
    </row>
    <row r="2448" spans="5:14" x14ac:dyDescent="0.25">
      <c r="E2448" s="136">
        <v>201603</v>
      </c>
      <c r="F2448" s="138" t="s">
        <v>506</v>
      </c>
      <c r="G2448" s="138" t="s">
        <v>352</v>
      </c>
      <c r="H2448" s="138" t="s">
        <v>592</v>
      </c>
      <c r="I2448" s="139">
        <v>0</v>
      </c>
      <c r="K2448" s="105" t="str">
        <f t="shared" si="88"/>
        <v>0013-1004-0035</v>
      </c>
      <c r="L2448" s="105" t="str">
        <f>VLOOKUP(K2448,COA!$A$3:$B$337,2,FALSE)</f>
        <v>L41</v>
      </c>
      <c r="M2448" s="105" t="str">
        <f t="shared" si="89"/>
        <v>L41</v>
      </c>
      <c r="N2448" s="105" t="e">
        <f>VLOOKUP(M2448,CAC!$A$2:$B$198,2,FALSE)</f>
        <v>#N/A</v>
      </c>
    </row>
    <row r="2449" spans="5:14" x14ac:dyDescent="0.25">
      <c r="E2449" s="136">
        <v>201609</v>
      </c>
      <c r="F2449" s="138" t="s">
        <v>563</v>
      </c>
      <c r="G2449" s="138" t="s">
        <v>348</v>
      </c>
      <c r="H2449" s="138" t="s">
        <v>358</v>
      </c>
      <c r="I2449" s="139">
        <v>0</v>
      </c>
      <c r="K2449" s="105" t="str">
        <f t="shared" si="88"/>
        <v>0003-1010-0024</v>
      </c>
      <c r="L2449" s="105" t="str">
        <f>VLOOKUP(K2449,COA!$A$3:$B$337,2,FALSE)</f>
        <v>S56</v>
      </c>
      <c r="M2449" s="105" t="str">
        <f t="shared" si="89"/>
        <v>S56</v>
      </c>
      <c r="N2449" s="105" t="str">
        <f>VLOOKUP(M2449,CAC!$A$2:$B$198,2,FALSE)</f>
        <v>PPOSG</v>
      </c>
    </row>
    <row r="2450" spans="5:14" x14ac:dyDescent="0.25">
      <c r="E2450" s="136">
        <v>201602</v>
      </c>
      <c r="F2450" s="138" t="s">
        <v>345</v>
      </c>
      <c r="G2450" s="138" t="s">
        <v>351</v>
      </c>
      <c r="H2450" s="138" t="s">
        <v>353</v>
      </c>
      <c r="I2450" s="139">
        <v>3</v>
      </c>
      <c r="K2450" s="105" t="str">
        <f t="shared" si="88"/>
        <v>0011-0000-0023</v>
      </c>
      <c r="L2450" s="105" t="e">
        <f>VLOOKUP(K2450,COA!$A$3:$B$337,2,FALSE)</f>
        <v>#N/A</v>
      </c>
      <c r="M2450" s="105" t="str">
        <f t="shared" si="89"/>
        <v>XXX</v>
      </c>
      <c r="N2450" s="105" t="str">
        <f>VLOOKUP(M2450,CAC!$A$2:$B$198,2,FALSE)</f>
        <v>XXX</v>
      </c>
    </row>
    <row r="2451" spans="5:14" x14ac:dyDescent="0.25">
      <c r="E2451" s="136">
        <v>201709</v>
      </c>
      <c r="F2451" s="138" t="s">
        <v>506</v>
      </c>
      <c r="G2451" s="138" t="s">
        <v>350</v>
      </c>
      <c r="H2451" s="138" t="s">
        <v>592</v>
      </c>
      <c r="I2451" s="139">
        <v>0</v>
      </c>
      <c r="K2451" s="105" t="str">
        <f t="shared" si="88"/>
        <v>0013-1012-0035</v>
      </c>
      <c r="L2451" s="105" t="str">
        <f>VLOOKUP(K2451,COA!$A$3:$B$337,2,FALSE)</f>
        <v>K41</v>
      </c>
      <c r="M2451" s="105" t="str">
        <f t="shared" si="89"/>
        <v>K41</v>
      </c>
      <c r="N2451" s="105" t="e">
        <f>VLOOKUP(M2451,CAC!$A$2:$B$198,2,FALSE)</f>
        <v>#N/A</v>
      </c>
    </row>
    <row r="2452" spans="5:14" x14ac:dyDescent="0.25">
      <c r="E2452" s="136">
        <v>201705</v>
      </c>
      <c r="F2452" s="138" t="s">
        <v>563</v>
      </c>
      <c r="G2452" s="138" t="s">
        <v>355</v>
      </c>
      <c r="H2452" s="138" t="s">
        <v>344</v>
      </c>
      <c r="I2452" s="139">
        <v>0</v>
      </c>
      <c r="K2452" s="105" t="str">
        <f t="shared" si="88"/>
        <v>0003-1006-0012</v>
      </c>
      <c r="L2452" s="105" t="str">
        <f>VLOOKUP(K2452,COA!$A$3:$B$337,2,FALSE)</f>
        <v>L52</v>
      </c>
      <c r="M2452" s="105" t="str">
        <f t="shared" si="89"/>
        <v>L52</v>
      </c>
      <c r="N2452" s="105" t="str">
        <f>VLOOKUP(M2452,CAC!$A$2:$B$198,2,FALSE)</f>
        <v>PPOLG</v>
      </c>
    </row>
    <row r="2453" spans="5:14" x14ac:dyDescent="0.25">
      <c r="E2453" s="136">
        <v>201712</v>
      </c>
      <c r="F2453" s="138" t="s">
        <v>563</v>
      </c>
      <c r="G2453" s="138" t="s">
        <v>350</v>
      </c>
      <c r="H2453" s="138" t="s">
        <v>344</v>
      </c>
      <c r="I2453" s="139">
        <v>0</v>
      </c>
      <c r="K2453" s="105" t="str">
        <f t="shared" si="88"/>
        <v>0003-1012-0012</v>
      </c>
      <c r="L2453" s="105" t="str">
        <f>VLOOKUP(K2453,COA!$A$3:$B$337,2,FALSE)</f>
        <v>K51</v>
      </c>
      <c r="M2453" s="105" t="str">
        <f t="shared" si="89"/>
        <v>K51</v>
      </c>
      <c r="N2453" s="105" t="str">
        <f>VLOOKUP(M2453,CAC!$A$2:$B$198,2,FALSE)</f>
        <v>PPOPMR</v>
      </c>
    </row>
    <row r="2454" spans="5:14" x14ac:dyDescent="0.25">
      <c r="E2454" s="136">
        <v>201705</v>
      </c>
      <c r="F2454" s="138" t="s">
        <v>344</v>
      </c>
      <c r="G2454" s="138" t="s">
        <v>352</v>
      </c>
      <c r="H2454" s="138" t="s">
        <v>360</v>
      </c>
      <c r="I2454" s="139">
        <v>219</v>
      </c>
      <c r="K2454" s="105" t="str">
        <f t="shared" si="88"/>
        <v>0012-1004-0048</v>
      </c>
      <c r="L2454" s="105" t="str">
        <f>VLOOKUP(K2454,COA!$A$3:$B$337,2,FALSE)</f>
        <v>L22</v>
      </c>
      <c r="M2454" s="105" t="str">
        <f t="shared" si="89"/>
        <v>L22</v>
      </c>
      <c r="N2454" s="105" t="str">
        <f>VLOOKUP(M2454,CAC!$A$2:$B$198,2,FALSE)</f>
        <v>HMFLEX</v>
      </c>
    </row>
    <row r="2455" spans="5:14" x14ac:dyDescent="0.25">
      <c r="E2455" s="136">
        <v>201603</v>
      </c>
      <c r="F2455" s="138" t="s">
        <v>345</v>
      </c>
      <c r="G2455" s="138" t="s">
        <v>348</v>
      </c>
      <c r="H2455" s="138" t="s">
        <v>353</v>
      </c>
      <c r="I2455" s="139">
        <v>310.23</v>
      </c>
      <c r="K2455" s="105" t="str">
        <f t="shared" si="88"/>
        <v>0011-1010-0023</v>
      </c>
      <c r="L2455" s="105" t="str">
        <f>VLOOKUP(K2455,COA!$A$3:$B$337,2,FALSE)</f>
        <v>S13</v>
      </c>
      <c r="M2455" s="105" t="str">
        <f t="shared" si="89"/>
        <v>S13</v>
      </c>
      <c r="N2455" s="105" t="str">
        <f>VLOOKUP(M2455,CAC!$A$2:$B$198,2,FALSE)</f>
        <v>HMOSG</v>
      </c>
    </row>
    <row r="2456" spans="5:14" x14ac:dyDescent="0.25">
      <c r="E2456" s="136">
        <v>201712</v>
      </c>
      <c r="F2456" s="138" t="s">
        <v>563</v>
      </c>
      <c r="G2456" s="138" t="s">
        <v>352</v>
      </c>
      <c r="H2456" s="138" t="s">
        <v>349</v>
      </c>
      <c r="I2456" s="139">
        <v>0</v>
      </c>
      <c r="K2456" s="105" t="str">
        <f t="shared" si="88"/>
        <v>0003-1004-0017</v>
      </c>
      <c r="L2456" s="105" t="e">
        <f>VLOOKUP(K2456,COA!$A$3:$B$337,2,FALSE)</f>
        <v>#N/A</v>
      </c>
      <c r="M2456" s="105" t="str">
        <f t="shared" si="89"/>
        <v>XXX</v>
      </c>
      <c r="N2456" s="105" t="str">
        <f>VLOOKUP(M2456,CAC!$A$2:$B$198,2,FALSE)</f>
        <v>XXX</v>
      </c>
    </row>
    <row r="2457" spans="5:14" x14ac:dyDescent="0.25">
      <c r="E2457" s="136">
        <v>201508</v>
      </c>
      <c r="F2457" s="138" t="s">
        <v>563</v>
      </c>
      <c r="G2457" s="138" t="s">
        <v>355</v>
      </c>
      <c r="H2457" s="138" t="s">
        <v>344</v>
      </c>
      <c r="I2457" s="139">
        <v>0</v>
      </c>
      <c r="K2457" s="105" t="str">
        <f t="shared" si="88"/>
        <v>0003-1006-0012</v>
      </c>
      <c r="L2457" s="105" t="str">
        <f>VLOOKUP(K2457,COA!$A$3:$B$337,2,FALSE)</f>
        <v>L52</v>
      </c>
      <c r="M2457" s="105" t="str">
        <f t="shared" si="89"/>
        <v>L52</v>
      </c>
      <c r="N2457" s="105" t="str">
        <f>VLOOKUP(M2457,CAC!$A$2:$B$198,2,FALSE)</f>
        <v>PPOLG</v>
      </c>
    </row>
    <row r="2458" spans="5:14" x14ac:dyDescent="0.25">
      <c r="E2458" s="136">
        <v>201502</v>
      </c>
      <c r="F2458" s="138" t="s">
        <v>563</v>
      </c>
      <c r="G2458" s="138" t="s">
        <v>365</v>
      </c>
      <c r="H2458" s="138" t="s">
        <v>367</v>
      </c>
      <c r="I2458" s="139">
        <v>0</v>
      </c>
      <c r="K2458" s="105" t="str">
        <f t="shared" si="88"/>
        <v>0003-1001-0022</v>
      </c>
      <c r="L2458" s="105" t="str">
        <f>VLOOKUP(K2458,COA!$A$3:$B$337,2,FALSE)</f>
        <v>V54</v>
      </c>
      <c r="M2458" s="105" t="str">
        <f t="shared" si="89"/>
        <v>V54</v>
      </c>
      <c r="N2458" s="105" t="str">
        <f>VLOOKUP(M2458,CAC!$A$2:$B$198,2,FALSE)</f>
        <v>PPOIFP</v>
      </c>
    </row>
    <row r="2459" spans="5:14" x14ac:dyDescent="0.25">
      <c r="E2459" s="136">
        <v>201603</v>
      </c>
      <c r="F2459" s="138" t="s">
        <v>563</v>
      </c>
      <c r="G2459" s="138" t="s">
        <v>365</v>
      </c>
      <c r="H2459" s="138" t="s">
        <v>367</v>
      </c>
      <c r="I2459" s="139">
        <v>0</v>
      </c>
      <c r="K2459" s="105" t="str">
        <f t="shared" si="88"/>
        <v>0003-1001-0022</v>
      </c>
      <c r="L2459" s="105" t="str">
        <f>VLOOKUP(K2459,COA!$A$3:$B$337,2,FALSE)</f>
        <v>V54</v>
      </c>
      <c r="M2459" s="105" t="str">
        <f t="shared" si="89"/>
        <v>V54</v>
      </c>
      <c r="N2459" s="105" t="str">
        <f>VLOOKUP(M2459,CAC!$A$2:$B$198,2,FALSE)</f>
        <v>PPOIFP</v>
      </c>
    </row>
    <row r="2460" spans="5:14" x14ac:dyDescent="0.25">
      <c r="E2460" s="136">
        <v>201507</v>
      </c>
      <c r="F2460" s="138" t="s">
        <v>413</v>
      </c>
      <c r="G2460" s="138" t="s">
        <v>355</v>
      </c>
      <c r="H2460" s="138" t="s">
        <v>344</v>
      </c>
      <c r="I2460" s="139">
        <v>0</v>
      </c>
      <c r="K2460" s="105" t="str">
        <f t="shared" si="88"/>
        <v>0008-1006-0012</v>
      </c>
      <c r="L2460" s="105" t="str">
        <f>VLOOKUP(K2460,COA!$A$3:$B$337,2,FALSE)</f>
        <v>C96</v>
      </c>
      <c r="M2460" s="105" t="str">
        <f t="shared" si="89"/>
        <v>C96</v>
      </c>
      <c r="N2460" s="105" t="str">
        <f>VLOOKUP(M2460,CAC!$A$2:$B$198,2,FALSE)</f>
        <v>DOILG</v>
      </c>
    </row>
    <row r="2461" spans="5:14" x14ac:dyDescent="0.25">
      <c r="E2461" s="136">
        <v>201502</v>
      </c>
      <c r="F2461" s="138" t="s">
        <v>506</v>
      </c>
      <c r="G2461" s="138" t="s">
        <v>346</v>
      </c>
      <c r="H2461" s="138" t="s">
        <v>592</v>
      </c>
      <c r="I2461" s="139">
        <v>0</v>
      </c>
      <c r="K2461" s="105" t="str">
        <f t="shared" si="88"/>
        <v>0013-1014-0035</v>
      </c>
      <c r="L2461" s="105" t="str">
        <f>VLOOKUP(K2461,COA!$A$3:$B$337,2,FALSE)</f>
        <v>K42</v>
      </c>
      <c r="M2461" s="105" t="str">
        <f t="shared" si="89"/>
        <v>K42</v>
      </c>
      <c r="N2461" s="105" t="str">
        <f>VLOOKUP(M2461,CAC!$A$2:$B$198,2,FALSE)</f>
        <v>HMFLEX</v>
      </c>
    </row>
    <row r="2462" spans="5:14" x14ac:dyDescent="0.25">
      <c r="E2462" s="136">
        <v>201701</v>
      </c>
      <c r="F2462" s="138" t="s">
        <v>506</v>
      </c>
      <c r="G2462" s="138" t="s">
        <v>352</v>
      </c>
      <c r="H2462" s="138" t="s">
        <v>592</v>
      </c>
      <c r="I2462" s="139">
        <v>0</v>
      </c>
      <c r="K2462" s="105" t="str">
        <f t="shared" si="88"/>
        <v>0013-1004-0035</v>
      </c>
      <c r="L2462" s="105" t="str">
        <f>VLOOKUP(K2462,COA!$A$3:$B$337,2,FALSE)</f>
        <v>L41</v>
      </c>
      <c r="M2462" s="105" t="str">
        <f t="shared" si="89"/>
        <v>L41</v>
      </c>
      <c r="N2462" s="105" t="e">
        <f>VLOOKUP(M2462,CAC!$A$2:$B$198,2,FALSE)</f>
        <v>#N/A</v>
      </c>
    </row>
    <row r="2463" spans="5:14" x14ac:dyDescent="0.25">
      <c r="E2463" s="136">
        <v>201506</v>
      </c>
      <c r="F2463" s="138" t="s">
        <v>563</v>
      </c>
      <c r="G2463" s="138" t="s">
        <v>361</v>
      </c>
      <c r="H2463" s="138" t="s">
        <v>344</v>
      </c>
      <c r="I2463" s="139">
        <v>0</v>
      </c>
      <c r="K2463" s="105" t="str">
        <f t="shared" si="88"/>
        <v>0003-1003-0012</v>
      </c>
      <c r="L2463" s="105" t="str">
        <f>VLOOKUP(K2463,COA!$A$3:$B$337,2,FALSE)</f>
        <v>N61</v>
      </c>
      <c r="M2463" s="105" t="str">
        <f t="shared" si="89"/>
        <v>N61</v>
      </c>
      <c r="N2463" s="105" t="str">
        <f>VLOOKUP(M2463,CAC!$A$2:$B$198,2,FALSE)</f>
        <v>PPOPMR</v>
      </c>
    </row>
    <row r="2464" spans="5:14" x14ac:dyDescent="0.25">
      <c r="E2464" s="136">
        <v>201607</v>
      </c>
      <c r="F2464" s="138" t="s">
        <v>563</v>
      </c>
      <c r="G2464" s="138" t="s">
        <v>354</v>
      </c>
      <c r="H2464" s="138" t="s">
        <v>626</v>
      </c>
      <c r="I2464" s="139">
        <v>0</v>
      </c>
      <c r="K2464" s="105" t="str">
        <f t="shared" si="88"/>
        <v>0003-1013-0057</v>
      </c>
      <c r="L2464" s="105" t="str">
        <f>VLOOKUP(K2464,COA!$A$3:$B$337,2,FALSE)</f>
        <v>N55</v>
      </c>
      <c r="M2464" s="105" t="str">
        <f t="shared" si="89"/>
        <v>N55</v>
      </c>
      <c r="N2464" s="105" t="str">
        <f>VLOOKUP(M2464,CAC!$A$2:$B$198,2,FALSE)</f>
        <v>PPOPMR</v>
      </c>
    </row>
    <row r="2465" spans="5:14" x14ac:dyDescent="0.25">
      <c r="E2465" s="136">
        <v>201702</v>
      </c>
      <c r="F2465" s="138" t="s">
        <v>746</v>
      </c>
      <c r="G2465" s="138" t="s">
        <v>352</v>
      </c>
      <c r="H2465" s="138" t="s">
        <v>344</v>
      </c>
      <c r="I2465" s="139">
        <v>3</v>
      </c>
      <c r="K2465" s="105" t="str">
        <f t="shared" si="88"/>
        <v>0016-1004-0012</v>
      </c>
      <c r="L2465" s="105" t="str">
        <f>VLOOKUP(K2465,COA!$A$3:$B$337,2,FALSE)</f>
        <v>R20</v>
      </c>
      <c r="M2465" s="105" t="str">
        <f t="shared" si="89"/>
        <v>R20</v>
      </c>
      <c r="N2465" s="105" t="str">
        <f>VLOOKUP(M2465,CAC!$A$2:$B$198,2,FALSE)</f>
        <v>HMOMG</v>
      </c>
    </row>
    <row r="2466" spans="5:14" x14ac:dyDescent="0.25">
      <c r="E2466" s="136">
        <v>201704</v>
      </c>
      <c r="F2466" s="138" t="s">
        <v>563</v>
      </c>
      <c r="G2466" s="138" t="s">
        <v>365</v>
      </c>
      <c r="H2466" s="138" t="s">
        <v>367</v>
      </c>
      <c r="I2466" s="139">
        <v>0</v>
      </c>
      <c r="K2466" s="105" t="str">
        <f t="shared" si="88"/>
        <v>0003-1001-0022</v>
      </c>
      <c r="L2466" s="105" t="str">
        <f>VLOOKUP(K2466,COA!$A$3:$B$337,2,FALSE)</f>
        <v>V54</v>
      </c>
      <c r="M2466" s="105" t="str">
        <f t="shared" si="89"/>
        <v>V54</v>
      </c>
      <c r="N2466" s="105" t="str">
        <f>VLOOKUP(M2466,CAC!$A$2:$B$198,2,FALSE)</f>
        <v>PPOIFP</v>
      </c>
    </row>
    <row r="2467" spans="5:14" x14ac:dyDescent="0.25">
      <c r="E2467" s="136">
        <v>201612</v>
      </c>
      <c r="F2467" s="138" t="s">
        <v>344</v>
      </c>
      <c r="G2467" s="138" t="s">
        <v>354</v>
      </c>
      <c r="H2467" s="138" t="s">
        <v>344</v>
      </c>
      <c r="I2467" s="139">
        <v>286</v>
      </c>
      <c r="K2467" s="105" t="str">
        <f t="shared" si="88"/>
        <v>0012-1013-0012</v>
      </c>
      <c r="L2467" s="105" t="str">
        <f>VLOOKUP(K2467,COA!$A$3:$B$337,2,FALSE)</f>
        <v>N14</v>
      </c>
      <c r="M2467" s="105" t="str">
        <f t="shared" si="89"/>
        <v>N14</v>
      </c>
      <c r="N2467" s="105" t="str">
        <f>VLOOKUP(M2467,CAC!$A$2:$B$198,2,FALSE)</f>
        <v>HMOPMR</v>
      </c>
    </row>
    <row r="2468" spans="5:14" x14ac:dyDescent="0.25">
      <c r="E2468" s="136">
        <v>201509</v>
      </c>
      <c r="F2468" s="138" t="s">
        <v>345</v>
      </c>
      <c r="G2468" s="138" t="s">
        <v>348</v>
      </c>
      <c r="H2468" s="138" t="s">
        <v>358</v>
      </c>
      <c r="I2468" s="139">
        <v>58</v>
      </c>
      <c r="K2468" s="105" t="str">
        <f t="shared" si="88"/>
        <v>0011-1010-0024</v>
      </c>
      <c r="L2468" s="105" t="str">
        <f>VLOOKUP(K2468,COA!$A$3:$B$337,2,FALSE)</f>
        <v>S14</v>
      </c>
      <c r="M2468" s="105" t="str">
        <f t="shared" si="89"/>
        <v>S14</v>
      </c>
      <c r="N2468" s="105" t="str">
        <f>VLOOKUP(M2468,CAC!$A$2:$B$198,2,FALSE)</f>
        <v>HMOSG</v>
      </c>
    </row>
    <row r="2469" spans="5:14" x14ac:dyDescent="0.25">
      <c r="E2469" s="136">
        <v>201703</v>
      </c>
      <c r="F2469" s="138" t="s">
        <v>345</v>
      </c>
      <c r="G2469" s="138" t="s">
        <v>359</v>
      </c>
      <c r="H2469" s="138" t="s">
        <v>344</v>
      </c>
      <c r="I2469" s="139">
        <v>5111.5200000000004</v>
      </c>
      <c r="K2469" s="105" t="str">
        <f t="shared" si="88"/>
        <v>0011-1005-0012</v>
      </c>
      <c r="L2469" s="105" t="str">
        <f>VLOOKUP(K2469,COA!$A$3:$B$337,2,FALSE)</f>
        <v>N11</v>
      </c>
      <c r="M2469" s="105" t="str">
        <f t="shared" si="89"/>
        <v>N11</v>
      </c>
      <c r="N2469" s="105" t="str">
        <f>VLOOKUP(M2469,CAC!$A$2:$B$198,2,FALSE)</f>
        <v>HMOLG</v>
      </c>
    </row>
    <row r="2470" spans="5:14" x14ac:dyDescent="0.25">
      <c r="E2470" s="136">
        <v>201604</v>
      </c>
      <c r="F2470" s="138" t="s">
        <v>345</v>
      </c>
      <c r="G2470" s="138" t="s">
        <v>354</v>
      </c>
      <c r="H2470" s="138" t="s">
        <v>360</v>
      </c>
      <c r="I2470" s="139">
        <v>2198</v>
      </c>
      <c r="K2470" s="105" t="str">
        <f t="shared" si="88"/>
        <v>0011-1013-0048</v>
      </c>
      <c r="L2470" s="105" t="str">
        <f>VLOOKUP(K2470,COA!$A$3:$B$337,2,FALSE)</f>
        <v>N21</v>
      </c>
      <c r="M2470" s="105" t="str">
        <f t="shared" si="89"/>
        <v>N21</v>
      </c>
      <c r="N2470" s="105" t="str">
        <f>VLOOKUP(M2470,CAC!$A$2:$B$198,2,FALSE)</f>
        <v>HMFLEX</v>
      </c>
    </row>
    <row r="2471" spans="5:14" x14ac:dyDescent="0.25">
      <c r="E2471" s="136">
        <v>201611</v>
      </c>
      <c r="F2471" s="138" t="s">
        <v>413</v>
      </c>
      <c r="G2471" s="138" t="s">
        <v>365</v>
      </c>
      <c r="H2471" s="138" t="s">
        <v>411</v>
      </c>
      <c r="I2471" s="139">
        <v>0</v>
      </c>
      <c r="K2471" s="105" t="str">
        <f t="shared" si="88"/>
        <v>0008-1001-0007</v>
      </c>
      <c r="L2471" s="105" t="str">
        <f>VLOOKUP(K2471,COA!$A$3:$B$337,2,FALSE)</f>
        <v>C99</v>
      </c>
      <c r="M2471" s="105" t="str">
        <f t="shared" si="89"/>
        <v>C99</v>
      </c>
      <c r="N2471" s="105" t="str">
        <f>VLOOKUP(M2471,CAC!$A$2:$B$198,2,FALSE)</f>
        <v>DOIIFP</v>
      </c>
    </row>
    <row r="2472" spans="5:14" x14ac:dyDescent="0.25">
      <c r="E2472" s="136">
        <v>201510</v>
      </c>
      <c r="F2472" s="138" t="s">
        <v>746</v>
      </c>
      <c r="G2472" s="138" t="s">
        <v>362</v>
      </c>
      <c r="H2472" s="138" t="s">
        <v>364</v>
      </c>
      <c r="I2472" s="139">
        <v>5950</v>
      </c>
      <c r="K2472" s="105" t="str">
        <f t="shared" si="88"/>
        <v>0016-1008-0037</v>
      </c>
      <c r="L2472" s="105" t="str">
        <f>VLOOKUP(K2472,COA!$A$3:$B$337,2,FALSE)</f>
        <v>R24</v>
      </c>
      <c r="M2472" s="105" t="str">
        <f t="shared" si="89"/>
        <v>R24</v>
      </c>
      <c r="N2472" s="105" t="str">
        <f>VLOOKUP(M2472,CAC!$A$2:$B$198,2,FALSE)</f>
        <v>PERMAPD</v>
      </c>
    </row>
    <row r="2473" spans="5:14" x14ac:dyDescent="0.25">
      <c r="E2473" s="136">
        <v>201701</v>
      </c>
      <c r="F2473" s="138" t="s">
        <v>345</v>
      </c>
      <c r="G2473" s="138" t="s">
        <v>346</v>
      </c>
      <c r="H2473" s="138" t="s">
        <v>360</v>
      </c>
      <c r="I2473" s="139">
        <v>337.97</v>
      </c>
      <c r="K2473" s="105" t="str">
        <f t="shared" si="88"/>
        <v>0011-1014-0048</v>
      </c>
      <c r="L2473" s="105" t="str">
        <f>VLOOKUP(K2473,COA!$A$3:$B$337,2,FALSE)</f>
        <v>K23</v>
      </c>
      <c r="M2473" s="105" t="str">
        <f t="shared" si="89"/>
        <v>K23</v>
      </c>
      <c r="N2473" s="105" t="str">
        <f>VLOOKUP(M2473,CAC!$A$2:$B$198,2,FALSE)</f>
        <v>HMFLEX</v>
      </c>
    </row>
    <row r="2474" spans="5:14" x14ac:dyDescent="0.25">
      <c r="E2474" s="136">
        <v>201705</v>
      </c>
      <c r="F2474" s="138" t="s">
        <v>563</v>
      </c>
      <c r="G2474" s="138" t="s">
        <v>365</v>
      </c>
      <c r="H2474" s="138" t="s">
        <v>367</v>
      </c>
      <c r="I2474" s="139">
        <v>0</v>
      </c>
      <c r="K2474" s="105" t="str">
        <f t="shared" si="88"/>
        <v>0003-1001-0022</v>
      </c>
      <c r="L2474" s="105" t="str">
        <f>VLOOKUP(K2474,COA!$A$3:$B$337,2,FALSE)</f>
        <v>V54</v>
      </c>
      <c r="M2474" s="105" t="str">
        <f t="shared" si="89"/>
        <v>V54</v>
      </c>
      <c r="N2474" s="105" t="str">
        <f>VLOOKUP(M2474,CAC!$A$2:$B$198,2,FALSE)</f>
        <v>PPOIFP</v>
      </c>
    </row>
    <row r="2475" spans="5:14" x14ac:dyDescent="0.25">
      <c r="E2475" s="136">
        <v>201707</v>
      </c>
      <c r="F2475" s="138" t="s">
        <v>563</v>
      </c>
      <c r="G2475" s="138" t="s">
        <v>359</v>
      </c>
      <c r="H2475" s="138" t="s">
        <v>344</v>
      </c>
      <c r="I2475" s="139">
        <v>0</v>
      </c>
      <c r="K2475" s="105" t="str">
        <f t="shared" si="88"/>
        <v>0003-1005-0012</v>
      </c>
      <c r="L2475" s="105" t="str">
        <f>VLOOKUP(K2475,COA!$A$3:$B$337,2,FALSE)</f>
        <v>N51</v>
      </c>
      <c r="M2475" s="105" t="str">
        <f t="shared" si="89"/>
        <v>N51</v>
      </c>
      <c r="N2475" s="105" t="str">
        <f>VLOOKUP(M2475,CAC!$A$2:$B$198,2,FALSE)</f>
        <v>PPOLG</v>
      </c>
    </row>
    <row r="2476" spans="5:14" x14ac:dyDescent="0.25">
      <c r="E2476" s="136">
        <v>201506</v>
      </c>
      <c r="F2476" s="138" t="s">
        <v>746</v>
      </c>
      <c r="G2476" s="138" t="s">
        <v>362</v>
      </c>
      <c r="H2476" s="138" t="s">
        <v>364</v>
      </c>
      <c r="I2476" s="139">
        <v>5825</v>
      </c>
      <c r="K2476" s="105" t="str">
        <f t="shared" si="88"/>
        <v>0016-1008-0037</v>
      </c>
      <c r="L2476" s="105" t="str">
        <f>VLOOKUP(K2476,COA!$A$3:$B$337,2,FALSE)</f>
        <v>R24</v>
      </c>
      <c r="M2476" s="105" t="str">
        <f t="shared" si="89"/>
        <v>R24</v>
      </c>
      <c r="N2476" s="105" t="str">
        <f>VLOOKUP(M2476,CAC!$A$2:$B$198,2,FALSE)</f>
        <v>PERMAPD</v>
      </c>
    </row>
    <row r="2477" spans="5:14" x14ac:dyDescent="0.25">
      <c r="E2477" s="136">
        <v>201612</v>
      </c>
      <c r="F2477" s="138" t="s">
        <v>506</v>
      </c>
      <c r="G2477" s="138" t="s">
        <v>346</v>
      </c>
      <c r="H2477" s="138" t="s">
        <v>592</v>
      </c>
      <c r="I2477" s="139">
        <v>0</v>
      </c>
      <c r="K2477" s="105" t="str">
        <f t="shared" si="88"/>
        <v>0013-1014-0035</v>
      </c>
      <c r="L2477" s="105" t="str">
        <f>VLOOKUP(K2477,COA!$A$3:$B$337,2,FALSE)</f>
        <v>K42</v>
      </c>
      <c r="M2477" s="105" t="str">
        <f t="shared" si="89"/>
        <v>K42</v>
      </c>
      <c r="N2477" s="105" t="str">
        <f>VLOOKUP(M2477,CAC!$A$2:$B$198,2,FALSE)</f>
        <v>HMFLEX</v>
      </c>
    </row>
    <row r="2478" spans="5:14" x14ac:dyDescent="0.25">
      <c r="E2478" s="136">
        <v>201510</v>
      </c>
      <c r="F2478" s="138" t="s">
        <v>506</v>
      </c>
      <c r="G2478" s="138" t="s">
        <v>359</v>
      </c>
      <c r="H2478" s="138" t="s">
        <v>592</v>
      </c>
      <c r="I2478" s="139">
        <v>0</v>
      </c>
      <c r="K2478" s="105" t="str">
        <f t="shared" si="88"/>
        <v>0013-1005-0035</v>
      </c>
      <c r="L2478" s="105" t="str">
        <f>VLOOKUP(K2478,COA!$A$3:$B$337,2,FALSE)</f>
        <v>N41</v>
      </c>
      <c r="M2478" s="105" t="str">
        <f t="shared" si="89"/>
        <v>N41</v>
      </c>
      <c r="N2478" s="105" t="e">
        <f>VLOOKUP(M2478,CAC!$A$2:$B$198,2,FALSE)</f>
        <v>#N/A</v>
      </c>
    </row>
    <row r="2479" spans="5:14" x14ac:dyDescent="0.25">
      <c r="E2479" s="136">
        <v>201604</v>
      </c>
      <c r="F2479" s="138" t="s">
        <v>345</v>
      </c>
      <c r="G2479" s="138" t="s">
        <v>355</v>
      </c>
      <c r="H2479" s="138" t="s">
        <v>344</v>
      </c>
      <c r="I2479" s="139">
        <v>23949.35</v>
      </c>
      <c r="K2479" s="105" t="str">
        <f t="shared" si="88"/>
        <v>0011-1006-0012</v>
      </c>
      <c r="L2479" s="105" t="str">
        <f>VLOOKUP(K2479,COA!$A$3:$B$337,2,FALSE)</f>
        <v>L13</v>
      </c>
      <c r="M2479" s="105" t="str">
        <f t="shared" si="89"/>
        <v>L13</v>
      </c>
      <c r="N2479" s="105" t="str">
        <f>VLOOKUP(M2479,CAC!$A$2:$B$198,2,FALSE)</f>
        <v>HMOLG</v>
      </c>
    </row>
    <row r="2480" spans="5:14" x14ac:dyDescent="0.25">
      <c r="E2480" s="136">
        <v>201610</v>
      </c>
      <c r="F2480" s="138" t="s">
        <v>345</v>
      </c>
      <c r="G2480" s="138" t="s">
        <v>350</v>
      </c>
      <c r="H2480" s="138" t="s">
        <v>344</v>
      </c>
      <c r="I2480" s="139">
        <v>14520.49</v>
      </c>
      <c r="K2480" s="105" t="str">
        <f t="shared" si="88"/>
        <v>0011-1012-0012</v>
      </c>
      <c r="L2480" s="105" t="str">
        <f>VLOOKUP(K2480,COA!$A$3:$B$337,2,FALSE)</f>
        <v>K11</v>
      </c>
      <c r="M2480" s="105" t="str">
        <f t="shared" si="89"/>
        <v>K11</v>
      </c>
      <c r="N2480" s="105" t="str">
        <f>VLOOKUP(M2480,CAC!$A$2:$B$198,2,FALSE)</f>
        <v>HMOPMR</v>
      </c>
    </row>
    <row r="2481" spans="5:14" x14ac:dyDescent="0.25">
      <c r="E2481" s="136">
        <v>201607</v>
      </c>
      <c r="F2481" s="138" t="s">
        <v>413</v>
      </c>
      <c r="G2481" s="138" t="s">
        <v>354</v>
      </c>
      <c r="H2481" s="138" t="s">
        <v>344</v>
      </c>
      <c r="I2481" s="139">
        <v>0</v>
      </c>
      <c r="K2481" s="105" t="str">
        <f t="shared" si="88"/>
        <v>0008-1013-0012</v>
      </c>
      <c r="L2481" s="105" t="str">
        <f>VLOOKUP(K2481,COA!$A$3:$B$337,2,FALSE)</f>
        <v>C76</v>
      </c>
      <c r="M2481" s="105" t="str">
        <f t="shared" si="89"/>
        <v>C76</v>
      </c>
      <c r="N2481" s="105" t="str">
        <f>VLOOKUP(M2481,CAC!$A$2:$B$198,2,FALSE)</f>
        <v>DOILG</v>
      </c>
    </row>
    <row r="2482" spans="5:14" x14ac:dyDescent="0.25">
      <c r="E2482" s="136">
        <v>201506</v>
      </c>
      <c r="F2482" s="138" t="s">
        <v>563</v>
      </c>
      <c r="G2482" s="138" t="s">
        <v>365</v>
      </c>
      <c r="H2482" s="138" t="s">
        <v>344</v>
      </c>
      <c r="I2482" s="139">
        <v>0</v>
      </c>
      <c r="K2482" s="105" t="str">
        <f t="shared" si="88"/>
        <v>0003-1001-0012</v>
      </c>
      <c r="L2482" s="105" t="str">
        <f>VLOOKUP(K2482,COA!$A$3:$B$337,2,FALSE)</f>
        <v>V51</v>
      </c>
      <c r="M2482" s="105" t="str">
        <f t="shared" si="89"/>
        <v>V51</v>
      </c>
      <c r="N2482" s="105" t="str">
        <f>VLOOKUP(M2482,CAC!$A$2:$B$198,2,FALSE)</f>
        <v>PPOIFP</v>
      </c>
    </row>
    <row r="2483" spans="5:14" x14ac:dyDescent="0.25">
      <c r="E2483" s="136">
        <v>201605</v>
      </c>
      <c r="F2483" s="138" t="s">
        <v>345</v>
      </c>
      <c r="G2483" s="138" t="s">
        <v>346</v>
      </c>
      <c r="H2483" s="138" t="s">
        <v>360</v>
      </c>
      <c r="I2483" s="139">
        <v>360</v>
      </c>
      <c r="K2483" s="105" t="str">
        <f t="shared" si="88"/>
        <v>0011-1014-0048</v>
      </c>
      <c r="L2483" s="105" t="str">
        <f>VLOOKUP(K2483,COA!$A$3:$B$337,2,FALSE)</f>
        <v>K23</v>
      </c>
      <c r="M2483" s="105" t="str">
        <f t="shared" si="89"/>
        <v>K23</v>
      </c>
      <c r="N2483" s="105" t="str">
        <f>VLOOKUP(M2483,CAC!$A$2:$B$198,2,FALSE)</f>
        <v>HMFLEX</v>
      </c>
    </row>
    <row r="2484" spans="5:14" x14ac:dyDescent="0.25">
      <c r="E2484" s="136">
        <v>201503</v>
      </c>
      <c r="F2484" s="138" t="s">
        <v>506</v>
      </c>
      <c r="G2484" s="138" t="s">
        <v>346</v>
      </c>
      <c r="H2484" s="138" t="s">
        <v>592</v>
      </c>
      <c r="I2484" s="139">
        <v>0</v>
      </c>
      <c r="K2484" s="105" t="str">
        <f t="shared" si="88"/>
        <v>0013-1014-0035</v>
      </c>
      <c r="L2484" s="105" t="str">
        <f>VLOOKUP(K2484,COA!$A$3:$B$337,2,FALSE)</f>
        <v>K42</v>
      </c>
      <c r="M2484" s="105" t="str">
        <f t="shared" si="89"/>
        <v>K42</v>
      </c>
      <c r="N2484" s="105" t="str">
        <f>VLOOKUP(M2484,CAC!$A$2:$B$198,2,FALSE)</f>
        <v>HMFLEX</v>
      </c>
    </row>
    <row r="2485" spans="5:14" x14ac:dyDescent="0.25">
      <c r="E2485" s="136">
        <v>201512</v>
      </c>
      <c r="F2485" s="138" t="s">
        <v>506</v>
      </c>
      <c r="G2485" s="138" t="s">
        <v>350</v>
      </c>
      <c r="H2485" s="138" t="s">
        <v>592</v>
      </c>
      <c r="I2485" s="139">
        <v>0</v>
      </c>
      <c r="K2485" s="105" t="str">
        <f t="shared" si="88"/>
        <v>0013-1012-0035</v>
      </c>
      <c r="L2485" s="105" t="str">
        <f>VLOOKUP(K2485,COA!$A$3:$B$337,2,FALSE)</f>
        <v>K41</v>
      </c>
      <c r="M2485" s="105" t="str">
        <f t="shared" si="89"/>
        <v>K41</v>
      </c>
      <c r="N2485" s="105" t="e">
        <f>VLOOKUP(M2485,CAC!$A$2:$B$198,2,FALSE)</f>
        <v>#N/A</v>
      </c>
    </row>
    <row r="2486" spans="5:14" x14ac:dyDescent="0.25">
      <c r="E2486" s="136">
        <v>201506</v>
      </c>
      <c r="F2486" s="138" t="s">
        <v>746</v>
      </c>
      <c r="G2486" s="138" t="s">
        <v>354</v>
      </c>
      <c r="H2486" s="138" t="s">
        <v>344</v>
      </c>
      <c r="I2486" s="139">
        <v>78</v>
      </c>
      <c r="K2486" s="105" t="str">
        <f t="shared" si="88"/>
        <v>0016-1013-0012</v>
      </c>
      <c r="L2486" s="105" t="str">
        <f>VLOOKUP(K2486,COA!$A$3:$B$337,2,FALSE)</f>
        <v>R19</v>
      </c>
      <c r="M2486" s="105" t="str">
        <f t="shared" si="89"/>
        <v>R19</v>
      </c>
      <c r="N2486" s="105" t="str">
        <f>VLOOKUP(M2486,CAC!$A$2:$B$198,2,FALSE)</f>
        <v>HMOMG</v>
      </c>
    </row>
    <row r="2487" spans="5:14" x14ac:dyDescent="0.25">
      <c r="E2487" s="136">
        <v>201801</v>
      </c>
      <c r="F2487" s="138" t="s">
        <v>563</v>
      </c>
      <c r="G2487" s="138" t="s">
        <v>359</v>
      </c>
      <c r="H2487" s="138" t="s">
        <v>349</v>
      </c>
      <c r="I2487" s="139">
        <v>0</v>
      </c>
      <c r="K2487" s="105" t="str">
        <f t="shared" si="88"/>
        <v>0003-1005-0017</v>
      </c>
      <c r="L2487" s="105" t="e">
        <f>VLOOKUP(K2487,COA!$A$3:$B$337,2,FALSE)</f>
        <v>#N/A</v>
      </c>
      <c r="M2487" s="105" t="str">
        <f t="shared" si="89"/>
        <v>XXX</v>
      </c>
      <c r="N2487" s="105" t="str">
        <f>VLOOKUP(M2487,CAC!$A$2:$B$198,2,FALSE)</f>
        <v>XXX</v>
      </c>
    </row>
    <row r="2488" spans="5:14" x14ac:dyDescent="0.25">
      <c r="E2488" s="136">
        <v>201706</v>
      </c>
      <c r="F2488" s="138" t="s">
        <v>413</v>
      </c>
      <c r="G2488" s="138" t="s">
        <v>352</v>
      </c>
      <c r="H2488" s="138" t="s">
        <v>344</v>
      </c>
      <c r="I2488" s="139">
        <v>0</v>
      </c>
      <c r="K2488" s="105" t="str">
        <f t="shared" si="88"/>
        <v>0008-1004-0012</v>
      </c>
      <c r="L2488" s="105" t="str">
        <f>VLOOKUP(K2488,COA!$A$3:$B$337,2,FALSE)</f>
        <v>C93</v>
      </c>
      <c r="M2488" s="105" t="str">
        <f t="shared" si="89"/>
        <v>C93</v>
      </c>
      <c r="N2488" s="105" t="str">
        <f>VLOOKUP(M2488,CAC!$A$2:$B$198,2,FALSE)</f>
        <v>DOILG</v>
      </c>
    </row>
    <row r="2489" spans="5:14" x14ac:dyDescent="0.25">
      <c r="E2489" s="136">
        <v>201604</v>
      </c>
      <c r="F2489" s="138" t="s">
        <v>345</v>
      </c>
      <c r="G2489" s="138" t="s">
        <v>346</v>
      </c>
      <c r="H2489" s="138" t="s">
        <v>360</v>
      </c>
      <c r="I2489" s="139">
        <v>357</v>
      </c>
      <c r="K2489" s="105" t="str">
        <f t="shared" si="88"/>
        <v>0011-1014-0048</v>
      </c>
      <c r="L2489" s="105" t="str">
        <f>VLOOKUP(K2489,COA!$A$3:$B$337,2,FALSE)</f>
        <v>K23</v>
      </c>
      <c r="M2489" s="105" t="str">
        <f t="shared" si="89"/>
        <v>K23</v>
      </c>
      <c r="N2489" s="105" t="str">
        <f>VLOOKUP(M2489,CAC!$A$2:$B$198,2,FALSE)</f>
        <v>HMFLEX</v>
      </c>
    </row>
    <row r="2490" spans="5:14" x14ac:dyDescent="0.25">
      <c r="E2490" s="136">
        <v>201509</v>
      </c>
      <c r="F2490" s="138" t="s">
        <v>345</v>
      </c>
      <c r="G2490" s="138" t="s">
        <v>361</v>
      </c>
      <c r="H2490" s="138" t="s">
        <v>344</v>
      </c>
      <c r="I2490" s="139">
        <v>803</v>
      </c>
      <c r="K2490" s="105" t="str">
        <f t="shared" si="88"/>
        <v>0011-1003-0012</v>
      </c>
      <c r="L2490" s="105" t="str">
        <f>VLOOKUP(K2490,COA!$A$3:$B$337,2,FALSE)</f>
        <v>N16</v>
      </c>
      <c r="M2490" s="105" t="str">
        <f t="shared" si="89"/>
        <v>N16</v>
      </c>
      <c r="N2490" s="105" t="str">
        <f>VLOOKUP(M2490,CAC!$A$2:$B$198,2,FALSE)</f>
        <v>HMOPMR</v>
      </c>
    </row>
    <row r="2491" spans="5:14" x14ac:dyDescent="0.25">
      <c r="E2491" s="136">
        <v>201709</v>
      </c>
      <c r="F2491" s="138" t="s">
        <v>344</v>
      </c>
      <c r="G2491" s="138" t="s">
        <v>359</v>
      </c>
      <c r="H2491" s="138" t="s">
        <v>344</v>
      </c>
      <c r="I2491" s="139">
        <v>95</v>
      </c>
      <c r="K2491" s="105" t="str">
        <f t="shared" si="88"/>
        <v>0012-1005-0012</v>
      </c>
      <c r="L2491" s="105" t="str">
        <f>VLOOKUP(K2491,COA!$A$3:$B$337,2,FALSE)</f>
        <v>N13</v>
      </c>
      <c r="M2491" s="105" t="str">
        <f t="shared" si="89"/>
        <v>N13</v>
      </c>
      <c r="N2491" s="105" t="str">
        <f>VLOOKUP(M2491,CAC!$A$2:$B$198,2,FALSE)</f>
        <v>HMOLG</v>
      </c>
    </row>
    <row r="2492" spans="5:14" x14ac:dyDescent="0.25">
      <c r="E2492" s="136">
        <v>201603</v>
      </c>
      <c r="F2492" s="138" t="s">
        <v>345</v>
      </c>
      <c r="G2492" s="138" t="s">
        <v>362</v>
      </c>
      <c r="H2492" s="138" t="s">
        <v>364</v>
      </c>
      <c r="I2492" s="139">
        <v>38217.65</v>
      </c>
      <c r="K2492" s="105" t="str">
        <f t="shared" si="88"/>
        <v>0011-1008-0037</v>
      </c>
      <c r="L2492" s="105" t="str">
        <f>VLOOKUP(K2492,COA!$A$3:$B$337,2,FALSE)</f>
        <v>P12</v>
      </c>
      <c r="M2492" s="105" t="str">
        <f t="shared" si="89"/>
        <v>P12</v>
      </c>
      <c r="N2492" s="105" t="str">
        <f>VLOOKUP(M2492,CAC!$A$2:$B$198,2,FALSE)</f>
        <v>HMOPERA</v>
      </c>
    </row>
    <row r="2493" spans="5:14" x14ac:dyDescent="0.25">
      <c r="E2493" s="136">
        <v>201609</v>
      </c>
      <c r="F2493" s="138" t="s">
        <v>345</v>
      </c>
      <c r="G2493" s="138" t="s">
        <v>354</v>
      </c>
      <c r="H2493" s="138" t="s">
        <v>360</v>
      </c>
      <c r="I2493" s="139">
        <v>2970.4</v>
      </c>
      <c r="K2493" s="105" t="str">
        <f t="shared" ref="K2493:K2496" si="90">F2493&amp;"-"&amp;G2493&amp;"-"&amp;H2493</f>
        <v>0011-1013-0048</v>
      </c>
      <c r="L2493" s="105" t="str">
        <f>VLOOKUP(K2493,COA!$A$3:$B$337,2,FALSE)</f>
        <v>N21</v>
      </c>
      <c r="M2493" s="105" t="str">
        <f t="shared" ref="M2493:M2496" si="91">IF(ISNA(L2493),"XXX",L2493)</f>
        <v>N21</v>
      </c>
      <c r="N2493" s="105" t="str">
        <f>VLOOKUP(M2493,CAC!$A$2:$B$198,2,FALSE)</f>
        <v>HMFLEX</v>
      </c>
    </row>
    <row r="2494" spans="5:14" x14ac:dyDescent="0.25">
      <c r="E2494" s="136">
        <v>201606</v>
      </c>
      <c r="F2494" s="138" t="s">
        <v>345</v>
      </c>
      <c r="G2494" s="138" t="s">
        <v>356</v>
      </c>
      <c r="H2494" s="138" t="s">
        <v>344</v>
      </c>
      <c r="I2494" s="139">
        <v>15594</v>
      </c>
      <c r="K2494" s="105" t="str">
        <f t="shared" si="90"/>
        <v>0011-1002-0012</v>
      </c>
      <c r="L2494" s="105" t="str">
        <f>VLOOKUP(K2494,COA!$A$3:$B$337,2,FALSE)</f>
        <v>F20</v>
      </c>
      <c r="M2494" s="105" t="str">
        <f t="shared" si="91"/>
        <v>F20</v>
      </c>
      <c r="N2494" s="105" t="str">
        <f>VLOOKUP(M2494,CAC!$A$2:$B$198,2,FALSE)</f>
        <v>HMOPMR</v>
      </c>
    </row>
    <row r="2495" spans="5:14" x14ac:dyDescent="0.25">
      <c r="E2495" s="136">
        <v>201611</v>
      </c>
      <c r="F2495" s="138" t="s">
        <v>344</v>
      </c>
      <c r="G2495" s="138" t="s">
        <v>359</v>
      </c>
      <c r="H2495" s="138" t="s">
        <v>344</v>
      </c>
      <c r="I2495" s="139">
        <v>134</v>
      </c>
      <c r="K2495" s="105" t="str">
        <f t="shared" si="90"/>
        <v>0012-1005-0012</v>
      </c>
      <c r="L2495" s="105" t="str">
        <f>VLOOKUP(K2495,COA!$A$3:$B$337,2,FALSE)</f>
        <v>N13</v>
      </c>
      <c r="M2495" s="105" t="str">
        <f t="shared" si="91"/>
        <v>N13</v>
      </c>
      <c r="N2495" s="105" t="str">
        <f>VLOOKUP(M2495,CAC!$A$2:$B$198,2,FALSE)</f>
        <v>HMOLG</v>
      </c>
    </row>
    <row r="2496" spans="5:14" x14ac:dyDescent="0.25">
      <c r="E2496" s="136">
        <v>201609</v>
      </c>
      <c r="F2496" s="138" t="s">
        <v>413</v>
      </c>
      <c r="G2496" s="138" t="s">
        <v>355</v>
      </c>
      <c r="H2496" s="138" t="s">
        <v>344</v>
      </c>
      <c r="I2496" s="139">
        <v>0</v>
      </c>
      <c r="K2496" s="105" t="str">
        <f t="shared" si="90"/>
        <v>0008-1006-0012</v>
      </c>
      <c r="L2496" s="105" t="str">
        <f>VLOOKUP(K2496,COA!$A$3:$B$337,2,FALSE)</f>
        <v>C96</v>
      </c>
      <c r="M2496" s="105" t="str">
        <f t="shared" si="91"/>
        <v>C96</v>
      </c>
      <c r="N2496" s="105" t="str">
        <f>VLOOKUP(M2496,CAC!$A$2:$B$198,2,FALSE)</f>
        <v>DOILG</v>
      </c>
    </row>
    <row r="2497" spans="5:14" x14ac:dyDescent="0.25">
      <c r="E2497" s="136">
        <v>201603</v>
      </c>
      <c r="F2497" s="138" t="s">
        <v>344</v>
      </c>
      <c r="G2497" s="138" t="s">
        <v>350</v>
      </c>
      <c r="H2497" s="138" t="s">
        <v>344</v>
      </c>
      <c r="I2497" s="139">
        <v>107</v>
      </c>
      <c r="K2497" s="137" t="str">
        <f t="shared" ref="K2497" si="92">F2497&amp;"-"&amp;G2497&amp;"-"&amp;H2497</f>
        <v>0012-1012-0012</v>
      </c>
      <c r="L2497" s="137" t="str">
        <f>VLOOKUP(K2497,COA!$A$3:$B$337,2,FALSE)</f>
        <v>K12</v>
      </c>
      <c r="M2497" s="137" t="str">
        <f t="shared" ref="M2497" si="93">IF(ISNA(L2497),"XXX",L2497)</f>
        <v>K12</v>
      </c>
      <c r="N2497" s="137" t="str">
        <f>VLOOKUP(M2497,CAC!$A$2:$B$198,2,FALSE)</f>
        <v>HMOPMR</v>
      </c>
    </row>
    <row r="2498" spans="5:14" x14ac:dyDescent="0.25">
      <c r="E2498" s="83"/>
      <c r="F2498" s="82"/>
      <c r="G2498" s="82"/>
      <c r="H2498" s="82"/>
      <c r="I2498" s="95"/>
      <c r="K2498" s="99"/>
      <c r="L2498" s="99"/>
      <c r="M2498" s="99"/>
      <c r="N2498" s="99"/>
    </row>
    <row r="2499" spans="5:14" x14ac:dyDescent="0.25">
      <c r="E2499" s="83"/>
      <c r="F2499" s="82"/>
      <c r="G2499" s="82"/>
      <c r="H2499" s="82"/>
      <c r="I2499" s="95"/>
      <c r="J2499" s="82"/>
      <c r="K2499" s="99"/>
      <c r="L2499" s="99"/>
      <c r="M2499" s="99"/>
      <c r="N2499" s="9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8"/>
  <sheetViews>
    <sheetView showGridLines="0" workbookViewId="0"/>
  </sheetViews>
  <sheetFormatPr defaultRowHeight="15" x14ac:dyDescent="0.25"/>
  <sheetData>
    <row r="1" spans="1:2" x14ac:dyDescent="0.25">
      <c r="A1" s="42" t="s">
        <v>140</v>
      </c>
      <c r="B1" s="42" t="s">
        <v>141</v>
      </c>
    </row>
    <row r="2" spans="1:2" x14ac:dyDescent="0.25">
      <c r="A2" s="43" t="s">
        <v>142</v>
      </c>
      <c r="B2" s="44" t="s">
        <v>143</v>
      </c>
    </row>
    <row r="3" spans="1:2" x14ac:dyDescent="0.25">
      <c r="A3" s="45" t="s">
        <v>144</v>
      </c>
      <c r="B3" s="46" t="s">
        <v>143</v>
      </c>
    </row>
    <row r="4" spans="1:2" x14ac:dyDescent="0.25">
      <c r="A4" s="45" t="s">
        <v>145</v>
      </c>
      <c r="B4" s="46" t="s">
        <v>143</v>
      </c>
    </row>
    <row r="5" spans="1:2" x14ac:dyDescent="0.25">
      <c r="A5" s="45" t="s">
        <v>146</v>
      </c>
      <c r="B5" s="46" t="s">
        <v>143</v>
      </c>
    </row>
    <row r="6" spans="1:2" x14ac:dyDescent="0.25">
      <c r="A6" s="45" t="s">
        <v>80</v>
      </c>
      <c r="B6" s="46" t="s">
        <v>10</v>
      </c>
    </row>
    <row r="7" spans="1:2" x14ac:dyDescent="0.25">
      <c r="A7" s="45" t="s">
        <v>147</v>
      </c>
      <c r="B7" s="46" t="s">
        <v>10</v>
      </c>
    </row>
    <row r="8" spans="1:2" x14ac:dyDescent="0.25">
      <c r="A8" s="45" t="s">
        <v>89</v>
      </c>
      <c r="B8" s="46" t="s">
        <v>10</v>
      </c>
    </row>
    <row r="9" spans="1:2" x14ac:dyDescent="0.25">
      <c r="A9" s="45" t="s">
        <v>90</v>
      </c>
      <c r="B9" s="46" t="s">
        <v>10</v>
      </c>
    </row>
    <row r="10" spans="1:2" x14ac:dyDescent="0.25">
      <c r="A10" s="45" t="s">
        <v>148</v>
      </c>
      <c r="B10" s="46" t="s">
        <v>1</v>
      </c>
    </row>
    <row r="11" spans="1:2" x14ac:dyDescent="0.25">
      <c r="A11" s="45" t="s">
        <v>108</v>
      </c>
      <c r="B11" s="46" t="s">
        <v>1</v>
      </c>
    </row>
    <row r="12" spans="1:2" x14ac:dyDescent="0.25">
      <c r="A12" s="45" t="s">
        <v>60</v>
      </c>
      <c r="B12" s="46" t="s">
        <v>1</v>
      </c>
    </row>
    <row r="13" spans="1:2" x14ac:dyDescent="0.25">
      <c r="A13" s="45" t="s">
        <v>61</v>
      </c>
      <c r="B13" s="46" t="s">
        <v>1</v>
      </c>
    </row>
    <row r="14" spans="1:2" x14ac:dyDescent="0.25">
      <c r="A14" s="45" t="s">
        <v>62</v>
      </c>
      <c r="B14" s="46" t="s">
        <v>1</v>
      </c>
    </row>
    <row r="15" spans="1:2" x14ac:dyDescent="0.25">
      <c r="A15" s="45" t="s">
        <v>86</v>
      </c>
      <c r="B15" s="46" t="s">
        <v>1</v>
      </c>
    </row>
    <row r="16" spans="1:2" x14ac:dyDescent="0.25">
      <c r="A16" s="45" t="s">
        <v>149</v>
      </c>
      <c r="B16" s="46" t="s">
        <v>1</v>
      </c>
    </row>
    <row r="17" spans="1:2" x14ac:dyDescent="0.25">
      <c r="A17" s="45" t="s">
        <v>63</v>
      </c>
      <c r="B17" s="46" t="s">
        <v>1</v>
      </c>
    </row>
    <row r="18" spans="1:2" x14ac:dyDescent="0.25">
      <c r="A18" s="45" t="s">
        <v>64</v>
      </c>
      <c r="B18" s="46" t="s">
        <v>1</v>
      </c>
    </row>
    <row r="19" spans="1:2" x14ac:dyDescent="0.25">
      <c r="A19" s="45" t="s">
        <v>150</v>
      </c>
      <c r="B19" s="46" t="s">
        <v>1</v>
      </c>
    </row>
    <row r="20" spans="1:2" x14ac:dyDescent="0.25">
      <c r="A20" s="45" t="s">
        <v>66</v>
      </c>
      <c r="B20" s="46" t="s">
        <v>1</v>
      </c>
    </row>
    <row r="21" spans="1:2" x14ac:dyDescent="0.25">
      <c r="A21" s="45" t="s">
        <v>67</v>
      </c>
      <c r="B21" s="46" t="s">
        <v>1</v>
      </c>
    </row>
    <row r="22" spans="1:2" x14ac:dyDescent="0.25">
      <c r="A22" s="45" t="s">
        <v>151</v>
      </c>
      <c r="B22" s="46" t="s">
        <v>1</v>
      </c>
    </row>
    <row r="23" spans="1:2" x14ac:dyDescent="0.25">
      <c r="A23" s="45" t="s">
        <v>152</v>
      </c>
      <c r="B23" s="46" t="s">
        <v>1</v>
      </c>
    </row>
    <row r="24" spans="1:2" x14ac:dyDescent="0.25">
      <c r="A24" s="45" t="s">
        <v>52</v>
      </c>
      <c r="B24" s="46" t="s">
        <v>2</v>
      </c>
    </row>
    <row r="25" spans="1:2" x14ac:dyDescent="0.25">
      <c r="A25" s="45" t="s">
        <v>53</v>
      </c>
      <c r="B25" s="46" t="s">
        <v>2</v>
      </c>
    </row>
    <row r="26" spans="1:2" x14ac:dyDescent="0.25">
      <c r="A26" s="45" t="s">
        <v>69</v>
      </c>
      <c r="B26" s="46" t="s">
        <v>2</v>
      </c>
    </row>
    <row r="27" spans="1:2" x14ac:dyDescent="0.25">
      <c r="A27" s="45" t="s">
        <v>70</v>
      </c>
      <c r="B27" s="46" t="s">
        <v>2</v>
      </c>
    </row>
    <row r="28" spans="1:2" x14ac:dyDescent="0.25">
      <c r="A28" s="45" t="s">
        <v>55</v>
      </c>
      <c r="B28" s="46" t="s">
        <v>2</v>
      </c>
    </row>
    <row r="29" spans="1:2" x14ac:dyDescent="0.25">
      <c r="A29" s="45" t="s">
        <v>56</v>
      </c>
      <c r="B29" s="46" t="s">
        <v>2</v>
      </c>
    </row>
    <row r="30" spans="1:2" x14ac:dyDescent="0.25">
      <c r="A30" s="45" t="s">
        <v>83</v>
      </c>
      <c r="B30" s="46" t="s">
        <v>2</v>
      </c>
    </row>
    <row r="31" spans="1:2" x14ac:dyDescent="0.25">
      <c r="A31" s="45" t="s">
        <v>153</v>
      </c>
      <c r="B31" s="46" t="s">
        <v>2</v>
      </c>
    </row>
    <row r="32" spans="1:2" x14ac:dyDescent="0.25">
      <c r="A32" s="45" t="s">
        <v>68</v>
      </c>
      <c r="B32" s="46" t="s">
        <v>2</v>
      </c>
    </row>
    <row r="33" spans="1:2" x14ac:dyDescent="0.25">
      <c r="A33" s="45" t="s">
        <v>154</v>
      </c>
      <c r="B33" s="46" t="s">
        <v>1</v>
      </c>
    </row>
    <row r="34" spans="1:2" x14ac:dyDescent="0.25">
      <c r="A34" s="45" t="s">
        <v>71</v>
      </c>
      <c r="B34" s="46" t="s">
        <v>2</v>
      </c>
    </row>
    <row r="35" spans="1:2" x14ac:dyDescent="0.25">
      <c r="A35" s="45" t="s">
        <v>155</v>
      </c>
      <c r="B35" s="46" t="s">
        <v>14</v>
      </c>
    </row>
    <row r="36" spans="1:2" x14ac:dyDescent="0.25">
      <c r="A36" s="45" t="s">
        <v>156</v>
      </c>
      <c r="B36" s="46" t="s">
        <v>14</v>
      </c>
    </row>
    <row r="37" spans="1:2" x14ac:dyDescent="0.25">
      <c r="A37" s="45" t="s">
        <v>157</v>
      </c>
      <c r="B37" s="46" t="s">
        <v>14</v>
      </c>
    </row>
    <row r="38" spans="1:2" x14ac:dyDescent="0.25">
      <c r="A38" s="45" t="s">
        <v>158</v>
      </c>
      <c r="B38" s="46" t="s">
        <v>14</v>
      </c>
    </row>
    <row r="39" spans="1:2" x14ac:dyDescent="0.25">
      <c r="A39" s="45" t="s">
        <v>84</v>
      </c>
      <c r="B39" s="46" t="s">
        <v>14</v>
      </c>
    </row>
    <row r="40" spans="1:2" x14ac:dyDescent="0.25">
      <c r="A40" s="45" t="s">
        <v>159</v>
      </c>
      <c r="B40" s="46" t="s">
        <v>14</v>
      </c>
    </row>
    <row r="41" spans="1:2" x14ac:dyDescent="0.25">
      <c r="A41" s="45" t="s">
        <v>160</v>
      </c>
      <c r="B41" s="46" t="s">
        <v>13</v>
      </c>
    </row>
    <row r="42" spans="1:2" x14ac:dyDescent="0.25">
      <c r="A42" s="45" t="s">
        <v>161</v>
      </c>
      <c r="B42" s="46" t="s">
        <v>13</v>
      </c>
    </row>
    <row r="43" spans="1:2" x14ac:dyDescent="0.25">
      <c r="A43" s="45" t="s">
        <v>162</v>
      </c>
      <c r="B43" s="46" t="s">
        <v>15</v>
      </c>
    </row>
    <row r="44" spans="1:2" x14ac:dyDescent="0.25">
      <c r="A44" s="45" t="s">
        <v>163</v>
      </c>
      <c r="B44" s="46" t="s">
        <v>15</v>
      </c>
    </row>
    <row r="45" spans="1:2" x14ac:dyDescent="0.25">
      <c r="A45" s="45" t="s">
        <v>164</v>
      </c>
      <c r="B45" s="46" t="s">
        <v>15</v>
      </c>
    </row>
    <row r="46" spans="1:2" x14ac:dyDescent="0.25">
      <c r="A46" s="45" t="s">
        <v>165</v>
      </c>
      <c r="B46" s="46" t="s">
        <v>15</v>
      </c>
    </row>
    <row r="47" spans="1:2" x14ac:dyDescent="0.25">
      <c r="A47" s="45" t="s">
        <v>166</v>
      </c>
      <c r="B47" s="46" t="s">
        <v>15</v>
      </c>
    </row>
    <row r="48" spans="1:2" x14ac:dyDescent="0.25">
      <c r="A48" s="45" t="s">
        <v>85</v>
      </c>
      <c r="B48" s="46" t="s">
        <v>15</v>
      </c>
    </row>
    <row r="49" spans="1:2" x14ac:dyDescent="0.25">
      <c r="A49" s="45" t="s">
        <v>98</v>
      </c>
      <c r="B49" s="46" t="s">
        <v>5</v>
      </c>
    </row>
    <row r="50" spans="1:2" x14ac:dyDescent="0.25">
      <c r="A50" s="45" t="s">
        <v>73</v>
      </c>
      <c r="B50" s="46" t="s">
        <v>5</v>
      </c>
    </row>
    <row r="51" spans="1:2" x14ac:dyDescent="0.25">
      <c r="A51" s="45" t="s">
        <v>102</v>
      </c>
      <c r="B51" s="46" t="s">
        <v>6</v>
      </c>
    </row>
    <row r="52" spans="1:2" x14ac:dyDescent="0.25">
      <c r="A52" s="45" t="s">
        <v>75</v>
      </c>
      <c r="B52" s="46" t="s">
        <v>6</v>
      </c>
    </row>
    <row r="53" spans="1:2" x14ac:dyDescent="0.25">
      <c r="A53" s="45" t="s">
        <v>167</v>
      </c>
      <c r="B53" s="46" t="s">
        <v>9</v>
      </c>
    </row>
    <row r="54" spans="1:2" x14ac:dyDescent="0.25">
      <c r="A54" s="45" t="s">
        <v>168</v>
      </c>
      <c r="B54" s="46" t="s">
        <v>9</v>
      </c>
    </row>
    <row r="55" spans="1:2" x14ac:dyDescent="0.25">
      <c r="A55" s="45" t="s">
        <v>77</v>
      </c>
      <c r="B55" s="46" t="s">
        <v>9</v>
      </c>
    </row>
    <row r="56" spans="1:2" x14ac:dyDescent="0.25">
      <c r="A56" s="45" t="s">
        <v>169</v>
      </c>
      <c r="B56" s="46" t="s">
        <v>9</v>
      </c>
    </row>
    <row r="57" spans="1:2" x14ac:dyDescent="0.25">
      <c r="A57" s="45" t="s">
        <v>78</v>
      </c>
      <c r="B57" s="46" t="s">
        <v>9</v>
      </c>
    </row>
    <row r="58" spans="1:2" x14ac:dyDescent="0.25">
      <c r="A58" s="45" t="s">
        <v>79</v>
      </c>
      <c r="B58" s="46" t="s">
        <v>9</v>
      </c>
    </row>
    <row r="59" spans="1:2" x14ac:dyDescent="0.25">
      <c r="A59" s="45" t="s">
        <v>170</v>
      </c>
      <c r="B59" s="46" t="s">
        <v>171</v>
      </c>
    </row>
    <row r="60" spans="1:2" x14ac:dyDescent="0.25">
      <c r="A60" s="45" t="s">
        <v>172</v>
      </c>
      <c r="B60" s="46" t="s">
        <v>171</v>
      </c>
    </row>
    <row r="61" spans="1:2" x14ac:dyDescent="0.25">
      <c r="A61" s="45" t="s">
        <v>173</v>
      </c>
      <c r="B61" s="46" t="s">
        <v>174</v>
      </c>
    </row>
    <row r="62" spans="1:2" x14ac:dyDescent="0.25">
      <c r="A62" s="45" t="s">
        <v>175</v>
      </c>
      <c r="B62" s="46" t="s">
        <v>174</v>
      </c>
    </row>
    <row r="63" spans="1:2" x14ac:dyDescent="0.25">
      <c r="A63" s="45" t="s">
        <v>176</v>
      </c>
      <c r="B63" s="46" t="s">
        <v>3</v>
      </c>
    </row>
    <row r="64" spans="1:2" x14ac:dyDescent="0.25">
      <c r="A64" s="45" t="s">
        <v>177</v>
      </c>
      <c r="B64" s="46" t="s">
        <v>3</v>
      </c>
    </row>
    <row r="65" spans="1:2" x14ac:dyDescent="0.25">
      <c r="A65" s="45" t="s">
        <v>54</v>
      </c>
      <c r="B65" s="46" t="s">
        <v>3</v>
      </c>
    </row>
    <row r="66" spans="1:2" x14ac:dyDescent="0.25">
      <c r="A66" s="45" t="s">
        <v>178</v>
      </c>
      <c r="B66" s="46" t="s">
        <v>7</v>
      </c>
    </row>
    <row r="67" spans="1:2" x14ac:dyDescent="0.25">
      <c r="A67" s="45" t="s">
        <v>74</v>
      </c>
      <c r="B67" s="46" t="s">
        <v>7</v>
      </c>
    </row>
    <row r="68" spans="1:2" x14ac:dyDescent="0.25">
      <c r="A68" s="45" t="s">
        <v>179</v>
      </c>
      <c r="B68" s="46" t="s">
        <v>8</v>
      </c>
    </row>
    <row r="69" spans="1:2" x14ac:dyDescent="0.25">
      <c r="A69" s="45" t="s">
        <v>76</v>
      </c>
      <c r="B69" s="46" t="s">
        <v>8</v>
      </c>
    </row>
    <row r="70" spans="1:2" x14ac:dyDescent="0.25">
      <c r="A70" s="45" t="s">
        <v>180</v>
      </c>
      <c r="B70" s="46" t="s">
        <v>7</v>
      </c>
    </row>
    <row r="71" spans="1:2" x14ac:dyDescent="0.25">
      <c r="A71" s="45" t="s">
        <v>181</v>
      </c>
      <c r="B71" s="46" t="s">
        <v>7</v>
      </c>
    </row>
    <row r="72" spans="1:2" x14ac:dyDescent="0.25">
      <c r="A72" s="45" t="s">
        <v>182</v>
      </c>
      <c r="B72" s="46" t="s">
        <v>183</v>
      </c>
    </row>
    <row r="73" spans="1:2" x14ac:dyDescent="0.25">
      <c r="A73" s="45" t="s">
        <v>184</v>
      </c>
      <c r="B73" s="46" t="s">
        <v>183</v>
      </c>
    </row>
    <row r="74" spans="1:2" x14ac:dyDescent="0.25">
      <c r="A74" s="45" t="s">
        <v>185</v>
      </c>
      <c r="B74" s="46" t="s">
        <v>183</v>
      </c>
    </row>
    <row r="75" spans="1:2" x14ac:dyDescent="0.25">
      <c r="A75" s="45" t="s">
        <v>186</v>
      </c>
      <c r="B75" s="46" t="s">
        <v>183</v>
      </c>
    </row>
    <row r="76" spans="1:2" x14ac:dyDescent="0.25">
      <c r="A76" s="45" t="s">
        <v>187</v>
      </c>
      <c r="B76" s="46" t="s">
        <v>183</v>
      </c>
    </row>
    <row r="77" spans="1:2" x14ac:dyDescent="0.25">
      <c r="A77" s="45" t="s">
        <v>188</v>
      </c>
      <c r="B77" s="46" t="s">
        <v>183</v>
      </c>
    </row>
    <row r="78" spans="1:2" x14ac:dyDescent="0.25">
      <c r="A78" s="45" t="s">
        <v>189</v>
      </c>
      <c r="B78" s="46" t="s">
        <v>183</v>
      </c>
    </row>
    <row r="79" spans="1:2" x14ac:dyDescent="0.25">
      <c r="A79" s="45" t="s">
        <v>190</v>
      </c>
      <c r="B79" s="46" t="s">
        <v>191</v>
      </c>
    </row>
    <row r="80" spans="1:2" x14ac:dyDescent="0.25">
      <c r="A80" s="45" t="s">
        <v>192</v>
      </c>
      <c r="B80" s="46" t="s">
        <v>191</v>
      </c>
    </row>
    <row r="81" spans="1:2" x14ac:dyDescent="0.25">
      <c r="A81" s="45" t="s">
        <v>99</v>
      </c>
      <c r="B81" s="46" t="s">
        <v>191</v>
      </c>
    </row>
    <row r="82" spans="1:2" x14ac:dyDescent="0.25">
      <c r="A82" s="45" t="s">
        <v>193</v>
      </c>
      <c r="B82" s="46" t="s">
        <v>191</v>
      </c>
    </row>
    <row r="83" spans="1:2" x14ac:dyDescent="0.25">
      <c r="A83" s="45" t="s">
        <v>194</v>
      </c>
      <c r="B83" s="46" t="s">
        <v>191</v>
      </c>
    </row>
    <row r="84" spans="1:2" x14ac:dyDescent="0.25">
      <c r="A84" s="45" t="s">
        <v>195</v>
      </c>
      <c r="B84" s="46" t="s">
        <v>191</v>
      </c>
    </row>
    <row r="85" spans="1:2" x14ac:dyDescent="0.25">
      <c r="A85" s="45" t="s">
        <v>196</v>
      </c>
      <c r="B85" s="46" t="s">
        <v>191</v>
      </c>
    </row>
    <row r="86" spans="1:2" x14ac:dyDescent="0.25">
      <c r="A86" s="45" t="s">
        <v>197</v>
      </c>
      <c r="B86" s="46" t="s">
        <v>191</v>
      </c>
    </row>
    <row r="87" spans="1:2" x14ac:dyDescent="0.25">
      <c r="A87" s="45" t="s">
        <v>198</v>
      </c>
      <c r="B87" s="46" t="s">
        <v>191</v>
      </c>
    </row>
    <row r="88" spans="1:2" x14ac:dyDescent="0.25">
      <c r="A88" s="45" t="s">
        <v>199</v>
      </c>
      <c r="B88" s="46" t="s">
        <v>191</v>
      </c>
    </row>
    <row r="89" spans="1:2" x14ac:dyDescent="0.25">
      <c r="A89" s="45" t="s">
        <v>113</v>
      </c>
      <c r="B89" s="46" t="s">
        <v>191</v>
      </c>
    </row>
    <row r="90" spans="1:2" x14ac:dyDescent="0.25">
      <c r="A90" s="45" t="s">
        <v>200</v>
      </c>
      <c r="B90" s="46" t="s">
        <v>191</v>
      </c>
    </row>
    <row r="91" spans="1:2" x14ac:dyDescent="0.25">
      <c r="A91" s="45" t="s">
        <v>201</v>
      </c>
      <c r="B91" s="46" t="s">
        <v>191</v>
      </c>
    </row>
    <row r="92" spans="1:2" x14ac:dyDescent="0.25">
      <c r="A92" s="45" t="s">
        <v>202</v>
      </c>
      <c r="B92" s="46" t="s">
        <v>203</v>
      </c>
    </row>
    <row r="93" spans="1:2" x14ac:dyDescent="0.25">
      <c r="A93" s="45" t="s">
        <v>204</v>
      </c>
      <c r="B93" s="46" t="s">
        <v>203</v>
      </c>
    </row>
    <row r="94" spans="1:2" x14ac:dyDescent="0.25">
      <c r="A94" s="45" t="s">
        <v>205</v>
      </c>
      <c r="B94" s="46" t="s">
        <v>203</v>
      </c>
    </row>
    <row r="95" spans="1:2" x14ac:dyDescent="0.25">
      <c r="A95" s="45" t="s">
        <v>206</v>
      </c>
      <c r="B95" s="46" t="s">
        <v>203</v>
      </c>
    </row>
    <row r="96" spans="1:2" x14ac:dyDescent="0.25">
      <c r="A96" s="45" t="s">
        <v>207</v>
      </c>
      <c r="B96" s="46" t="s">
        <v>203</v>
      </c>
    </row>
    <row r="97" spans="1:2" x14ac:dyDescent="0.25">
      <c r="A97" s="45" t="s">
        <v>208</v>
      </c>
      <c r="B97" s="46" t="s">
        <v>203</v>
      </c>
    </row>
    <row r="98" spans="1:2" x14ac:dyDescent="0.25">
      <c r="A98" s="45" t="s">
        <v>209</v>
      </c>
      <c r="B98" s="46" t="s">
        <v>203</v>
      </c>
    </row>
    <row r="99" spans="1:2" x14ac:dyDescent="0.25">
      <c r="A99" s="45" t="s">
        <v>210</v>
      </c>
      <c r="B99" s="46" t="s">
        <v>211</v>
      </c>
    </row>
    <row r="100" spans="1:2" x14ac:dyDescent="0.25">
      <c r="A100" s="45" t="s">
        <v>212</v>
      </c>
      <c r="B100" s="46" t="s">
        <v>211</v>
      </c>
    </row>
    <row r="101" spans="1:2" x14ac:dyDescent="0.25">
      <c r="A101" s="45" t="s">
        <v>213</v>
      </c>
      <c r="B101" s="46" t="s">
        <v>211</v>
      </c>
    </row>
    <row r="102" spans="1:2" x14ac:dyDescent="0.25">
      <c r="A102" s="45" t="s">
        <v>214</v>
      </c>
      <c r="B102" s="46" t="s">
        <v>211</v>
      </c>
    </row>
    <row r="103" spans="1:2" x14ac:dyDescent="0.25">
      <c r="A103" s="45" t="s">
        <v>215</v>
      </c>
      <c r="B103" s="46" t="s">
        <v>211</v>
      </c>
    </row>
    <row r="104" spans="1:2" x14ac:dyDescent="0.25">
      <c r="A104" s="45" t="s">
        <v>216</v>
      </c>
      <c r="B104" s="46" t="s">
        <v>211</v>
      </c>
    </row>
    <row r="105" spans="1:2" x14ac:dyDescent="0.25">
      <c r="A105" s="45" t="s">
        <v>217</v>
      </c>
      <c r="B105" s="46" t="s">
        <v>5</v>
      </c>
    </row>
    <row r="106" spans="1:2" x14ac:dyDescent="0.25">
      <c r="A106" s="45" t="s">
        <v>218</v>
      </c>
      <c r="B106" s="46" t="s">
        <v>5</v>
      </c>
    </row>
    <row r="107" spans="1:2" x14ac:dyDescent="0.25">
      <c r="A107" s="45" t="s">
        <v>219</v>
      </c>
      <c r="B107" s="46" t="s">
        <v>220</v>
      </c>
    </row>
    <row r="108" spans="1:2" x14ac:dyDescent="0.25">
      <c r="A108" s="45" t="s">
        <v>221</v>
      </c>
      <c r="B108" s="46" t="s">
        <v>220</v>
      </c>
    </row>
    <row r="109" spans="1:2" x14ac:dyDescent="0.25">
      <c r="A109" s="45" t="s">
        <v>222</v>
      </c>
      <c r="B109" s="46" t="s">
        <v>220</v>
      </c>
    </row>
    <row r="110" spans="1:2" x14ac:dyDescent="0.25">
      <c r="A110" s="45" t="s">
        <v>223</v>
      </c>
      <c r="B110" s="46" t="s">
        <v>220</v>
      </c>
    </row>
    <row r="111" spans="1:2" x14ac:dyDescent="0.25">
      <c r="A111" s="45" t="s">
        <v>224</v>
      </c>
      <c r="B111" s="46" t="s">
        <v>220</v>
      </c>
    </row>
    <row r="112" spans="1:2" x14ac:dyDescent="0.25">
      <c r="A112" s="45" t="s">
        <v>225</v>
      </c>
      <c r="B112" s="46" t="s">
        <v>220</v>
      </c>
    </row>
    <row r="113" spans="1:2" x14ac:dyDescent="0.25">
      <c r="A113" s="45" t="s">
        <v>226</v>
      </c>
      <c r="B113" s="46" t="s">
        <v>220</v>
      </c>
    </row>
    <row r="114" spans="1:2" x14ac:dyDescent="0.25">
      <c r="A114" s="45" t="s">
        <v>227</v>
      </c>
      <c r="B114" s="46" t="s">
        <v>228</v>
      </c>
    </row>
    <row r="115" spans="1:2" x14ac:dyDescent="0.25">
      <c r="A115" s="45" t="s">
        <v>229</v>
      </c>
      <c r="B115" s="46" t="s">
        <v>230</v>
      </c>
    </row>
    <row r="116" spans="1:2" x14ac:dyDescent="0.25">
      <c r="A116" s="45" t="s">
        <v>231</v>
      </c>
      <c r="B116" s="46" t="s">
        <v>232</v>
      </c>
    </row>
    <row r="117" spans="1:2" x14ac:dyDescent="0.25">
      <c r="A117" s="45" t="s">
        <v>233</v>
      </c>
      <c r="B117" s="46" t="s">
        <v>232</v>
      </c>
    </row>
    <row r="118" spans="1:2" x14ac:dyDescent="0.25">
      <c r="A118" s="45" t="s">
        <v>234</v>
      </c>
      <c r="B118" s="46" t="s">
        <v>232</v>
      </c>
    </row>
    <row r="119" spans="1:2" x14ac:dyDescent="0.25">
      <c r="A119" s="45" t="s">
        <v>235</v>
      </c>
      <c r="B119" s="46" t="s">
        <v>232</v>
      </c>
    </row>
    <row r="120" spans="1:2" x14ac:dyDescent="0.25">
      <c r="A120" s="45" t="s">
        <v>236</v>
      </c>
      <c r="B120" s="46" t="s">
        <v>232</v>
      </c>
    </row>
    <row r="121" spans="1:2" x14ac:dyDescent="0.25">
      <c r="A121" s="45" t="s">
        <v>237</v>
      </c>
      <c r="B121" s="46" t="s">
        <v>232</v>
      </c>
    </row>
    <row r="122" spans="1:2" x14ac:dyDescent="0.25">
      <c r="A122" s="45" t="s">
        <v>238</v>
      </c>
      <c r="B122" s="46" t="s">
        <v>232</v>
      </c>
    </row>
    <row r="123" spans="1:2" x14ac:dyDescent="0.25">
      <c r="A123" s="45" t="s">
        <v>239</v>
      </c>
      <c r="B123" s="46" t="s">
        <v>240</v>
      </c>
    </row>
    <row r="124" spans="1:2" x14ac:dyDescent="0.25">
      <c r="A124" s="45" t="s">
        <v>241</v>
      </c>
      <c r="B124" s="46" t="s">
        <v>242</v>
      </c>
    </row>
    <row r="125" spans="1:2" x14ac:dyDescent="0.25">
      <c r="A125" s="45" t="s">
        <v>243</v>
      </c>
      <c r="B125" s="46" t="s">
        <v>244</v>
      </c>
    </row>
    <row r="126" spans="1:2" x14ac:dyDescent="0.25">
      <c r="A126" s="45" t="s">
        <v>245</v>
      </c>
      <c r="B126" s="46" t="s">
        <v>246</v>
      </c>
    </row>
    <row r="127" spans="1:2" x14ac:dyDescent="0.25">
      <c r="A127" s="45" t="s">
        <v>247</v>
      </c>
      <c r="B127" s="46" t="s">
        <v>246</v>
      </c>
    </row>
    <row r="128" spans="1:2" x14ac:dyDescent="0.25">
      <c r="A128" s="45" t="s">
        <v>248</v>
      </c>
      <c r="B128" s="46" t="s">
        <v>246</v>
      </c>
    </row>
    <row r="129" spans="1:2" x14ac:dyDescent="0.25">
      <c r="A129" s="45" t="s">
        <v>249</v>
      </c>
      <c r="B129" s="46" t="s">
        <v>246</v>
      </c>
    </row>
    <row r="130" spans="1:2" x14ac:dyDescent="0.25">
      <c r="A130" s="45" t="s">
        <v>250</v>
      </c>
      <c r="B130" s="46" t="s">
        <v>246</v>
      </c>
    </row>
    <row r="131" spans="1:2" x14ac:dyDescent="0.25">
      <c r="A131" s="45" t="s">
        <v>251</v>
      </c>
      <c r="B131" s="46" t="s">
        <v>252</v>
      </c>
    </row>
    <row r="132" spans="1:2" x14ac:dyDescent="0.25">
      <c r="A132" s="45" t="s">
        <v>253</v>
      </c>
      <c r="B132" s="46" t="s">
        <v>252</v>
      </c>
    </row>
    <row r="133" spans="1:2" x14ac:dyDescent="0.25">
      <c r="A133" s="45" t="s">
        <v>254</v>
      </c>
      <c r="B133" s="46" t="s">
        <v>252</v>
      </c>
    </row>
    <row r="134" spans="1:2" x14ac:dyDescent="0.25">
      <c r="A134" s="45" t="s">
        <v>255</v>
      </c>
      <c r="B134" s="46" t="s">
        <v>252</v>
      </c>
    </row>
    <row r="135" spans="1:2" x14ac:dyDescent="0.25">
      <c r="A135" s="45" t="s">
        <v>256</v>
      </c>
      <c r="B135" s="46" t="s">
        <v>252</v>
      </c>
    </row>
    <row r="136" spans="1:2" x14ac:dyDescent="0.25">
      <c r="A136" s="45" t="s">
        <v>257</v>
      </c>
      <c r="B136" s="46" t="s">
        <v>252</v>
      </c>
    </row>
    <row r="137" spans="1:2" x14ac:dyDescent="0.25">
      <c r="A137" s="45" t="s">
        <v>258</v>
      </c>
      <c r="B137" s="46" t="s">
        <v>252</v>
      </c>
    </row>
    <row r="138" spans="1:2" x14ac:dyDescent="0.25">
      <c r="A138" s="45" t="s">
        <v>259</v>
      </c>
      <c r="B138" s="46" t="s">
        <v>252</v>
      </c>
    </row>
    <row r="139" spans="1:2" x14ac:dyDescent="0.25">
      <c r="A139" s="45" t="s">
        <v>260</v>
      </c>
      <c r="B139" s="46" t="s">
        <v>252</v>
      </c>
    </row>
    <row r="140" spans="1:2" x14ac:dyDescent="0.25">
      <c r="A140" s="45" t="s">
        <v>261</v>
      </c>
      <c r="B140" s="46" t="s">
        <v>252</v>
      </c>
    </row>
    <row r="141" spans="1:2" x14ac:dyDescent="0.25">
      <c r="A141" s="45" t="s">
        <v>262</v>
      </c>
      <c r="B141" s="46" t="s">
        <v>252</v>
      </c>
    </row>
    <row r="142" spans="1:2" x14ac:dyDescent="0.25">
      <c r="A142" s="45" t="s">
        <v>263</v>
      </c>
      <c r="B142" s="46" t="s">
        <v>252</v>
      </c>
    </row>
    <row r="143" spans="1:2" x14ac:dyDescent="0.25">
      <c r="A143" s="45" t="s">
        <v>264</v>
      </c>
      <c r="B143" s="46" t="s">
        <v>252</v>
      </c>
    </row>
    <row r="144" spans="1:2" x14ac:dyDescent="0.25">
      <c r="A144" s="45" t="s">
        <v>265</v>
      </c>
      <c r="B144" s="46" t="s">
        <v>252</v>
      </c>
    </row>
    <row r="145" spans="1:2" x14ac:dyDescent="0.25">
      <c r="A145" s="45" t="s">
        <v>266</v>
      </c>
      <c r="B145" s="46" t="s">
        <v>252</v>
      </c>
    </row>
    <row r="146" spans="1:2" x14ac:dyDescent="0.25">
      <c r="A146" s="45" t="s">
        <v>267</v>
      </c>
      <c r="B146" s="46" t="s">
        <v>252</v>
      </c>
    </row>
    <row r="147" spans="1:2" x14ac:dyDescent="0.25">
      <c r="A147" s="45" t="s">
        <v>268</v>
      </c>
      <c r="B147" s="46" t="s">
        <v>252</v>
      </c>
    </row>
    <row r="148" spans="1:2" x14ac:dyDescent="0.25">
      <c r="A148" s="45" t="s">
        <v>269</v>
      </c>
      <c r="B148" s="46" t="s">
        <v>252</v>
      </c>
    </row>
    <row r="149" spans="1:2" x14ac:dyDescent="0.25">
      <c r="A149" s="45" t="s">
        <v>270</v>
      </c>
      <c r="B149" s="46" t="s">
        <v>252</v>
      </c>
    </row>
    <row r="150" spans="1:2" x14ac:dyDescent="0.25">
      <c r="A150" s="45" t="s">
        <v>271</v>
      </c>
      <c r="B150" s="46" t="s">
        <v>252</v>
      </c>
    </row>
    <row r="151" spans="1:2" x14ac:dyDescent="0.25">
      <c r="A151" s="45" t="s">
        <v>272</v>
      </c>
      <c r="B151" s="46" t="s">
        <v>252</v>
      </c>
    </row>
    <row r="152" spans="1:2" x14ac:dyDescent="0.25">
      <c r="A152" s="45" t="s">
        <v>273</v>
      </c>
      <c r="B152" s="46" t="s">
        <v>252</v>
      </c>
    </row>
    <row r="153" spans="1:2" x14ac:dyDescent="0.25">
      <c r="A153" s="45" t="s">
        <v>274</v>
      </c>
      <c r="B153" s="46" t="s">
        <v>252</v>
      </c>
    </row>
    <row r="154" spans="1:2" x14ac:dyDescent="0.25">
      <c r="A154" s="45" t="s">
        <v>275</v>
      </c>
      <c r="B154" s="46" t="s">
        <v>252</v>
      </c>
    </row>
    <row r="155" spans="1:2" x14ac:dyDescent="0.25">
      <c r="A155" s="45" t="s">
        <v>276</v>
      </c>
      <c r="B155" s="46" t="s">
        <v>277</v>
      </c>
    </row>
    <row r="156" spans="1:2" x14ac:dyDescent="0.25">
      <c r="A156" s="45" t="s">
        <v>278</v>
      </c>
      <c r="B156" s="46" t="s">
        <v>277</v>
      </c>
    </row>
    <row r="157" spans="1:2" x14ac:dyDescent="0.25">
      <c r="A157" s="45" t="s">
        <v>279</v>
      </c>
      <c r="B157" s="46" t="s">
        <v>277</v>
      </c>
    </row>
    <row r="158" spans="1:2" x14ac:dyDescent="0.25">
      <c r="A158" s="45" t="s">
        <v>280</v>
      </c>
      <c r="B158" s="46" t="s">
        <v>277</v>
      </c>
    </row>
    <row r="159" spans="1:2" x14ac:dyDescent="0.25">
      <c r="A159" s="45" t="s">
        <v>57</v>
      </c>
      <c r="B159" s="46" t="s">
        <v>4</v>
      </c>
    </row>
    <row r="160" spans="1:2" x14ac:dyDescent="0.25">
      <c r="A160" s="45" t="s">
        <v>281</v>
      </c>
      <c r="B160" s="46" t="s">
        <v>4</v>
      </c>
    </row>
    <row r="161" spans="1:4" x14ac:dyDescent="0.25">
      <c r="A161" s="45" t="s">
        <v>58</v>
      </c>
      <c r="B161" s="46" t="s">
        <v>4</v>
      </c>
    </row>
    <row r="162" spans="1:4" x14ac:dyDescent="0.25">
      <c r="A162" s="45" t="s">
        <v>59</v>
      </c>
      <c r="B162" s="46" t="s">
        <v>4</v>
      </c>
    </row>
    <row r="163" spans="1:4" x14ac:dyDescent="0.25">
      <c r="A163" s="45" t="s">
        <v>282</v>
      </c>
      <c r="B163" s="46" t="s">
        <v>4</v>
      </c>
    </row>
    <row r="164" spans="1:4" x14ac:dyDescent="0.25">
      <c r="A164" s="45" t="s">
        <v>283</v>
      </c>
      <c r="B164" s="46" t="s">
        <v>4</v>
      </c>
      <c r="D164" s="40"/>
    </row>
    <row r="165" spans="1:4" x14ac:dyDescent="0.25">
      <c r="A165" s="45" t="s">
        <v>284</v>
      </c>
      <c r="B165" s="46" t="s">
        <v>4</v>
      </c>
      <c r="D165" s="40"/>
    </row>
    <row r="166" spans="1:4" x14ac:dyDescent="0.25">
      <c r="A166" s="45" t="s">
        <v>285</v>
      </c>
      <c r="B166" s="46" t="s">
        <v>4</v>
      </c>
      <c r="D166" s="40"/>
    </row>
    <row r="167" spans="1:4" x14ac:dyDescent="0.25">
      <c r="A167" s="45" t="s">
        <v>286</v>
      </c>
      <c r="B167" s="46" t="s">
        <v>4</v>
      </c>
      <c r="D167" s="40"/>
    </row>
    <row r="168" spans="1:4" x14ac:dyDescent="0.25">
      <c r="A168" s="45" t="s">
        <v>91</v>
      </c>
      <c r="B168" s="46" t="s">
        <v>4</v>
      </c>
      <c r="D168" s="40"/>
    </row>
    <row r="169" spans="1:4" x14ac:dyDescent="0.25">
      <c r="A169" s="45" t="s">
        <v>65</v>
      </c>
      <c r="B169" s="46" t="s">
        <v>4</v>
      </c>
      <c r="D169" s="40"/>
    </row>
    <row r="170" spans="1:4" x14ac:dyDescent="0.25">
      <c r="A170" s="47" t="s">
        <v>287</v>
      </c>
      <c r="B170" s="46" t="s">
        <v>4</v>
      </c>
      <c r="D170" s="40"/>
    </row>
    <row r="171" spans="1:4" x14ac:dyDescent="0.25">
      <c r="A171" s="47" t="s">
        <v>72</v>
      </c>
      <c r="B171" s="46" t="s">
        <v>4</v>
      </c>
      <c r="D171" s="40"/>
    </row>
    <row r="172" spans="1:4" x14ac:dyDescent="0.25">
      <c r="A172" s="47" t="s">
        <v>288</v>
      </c>
      <c r="B172" s="46" t="s">
        <v>4</v>
      </c>
      <c r="D172" s="40"/>
    </row>
    <row r="173" spans="1:4" x14ac:dyDescent="0.25">
      <c r="A173" s="47" t="s">
        <v>289</v>
      </c>
      <c r="B173" s="46" t="s">
        <v>4</v>
      </c>
      <c r="D173" s="40"/>
    </row>
    <row r="174" spans="1:4" x14ac:dyDescent="0.25">
      <c r="A174" s="47" t="s">
        <v>290</v>
      </c>
      <c r="B174" s="46" t="s">
        <v>4</v>
      </c>
      <c r="D174" s="40"/>
    </row>
    <row r="175" spans="1:4" x14ac:dyDescent="0.25">
      <c r="A175" s="47" t="s">
        <v>291</v>
      </c>
      <c r="B175" s="46" t="s">
        <v>4</v>
      </c>
      <c r="D175" s="40"/>
    </row>
    <row r="176" spans="1:4" x14ac:dyDescent="0.25">
      <c r="A176" s="47" t="s">
        <v>292</v>
      </c>
      <c r="B176" s="48" t="s">
        <v>4</v>
      </c>
      <c r="D176" s="40"/>
    </row>
    <row r="177" spans="1:4" x14ac:dyDescent="0.25">
      <c r="A177" s="47" t="s">
        <v>82</v>
      </c>
      <c r="B177" s="48" t="s">
        <v>11</v>
      </c>
      <c r="D177" s="40"/>
    </row>
    <row r="178" spans="1:4" x14ac:dyDescent="0.25">
      <c r="A178" s="47" t="s">
        <v>293</v>
      </c>
      <c r="B178" s="48" t="s">
        <v>11</v>
      </c>
      <c r="D178" s="40"/>
    </row>
    <row r="179" spans="1:4" x14ac:dyDescent="0.25">
      <c r="A179" s="47" t="s">
        <v>294</v>
      </c>
      <c r="B179" s="48" t="s">
        <v>11</v>
      </c>
      <c r="D179" s="64"/>
    </row>
    <row r="180" spans="1:4" x14ac:dyDescent="0.25">
      <c r="A180" s="47" t="s">
        <v>87</v>
      </c>
      <c r="B180" s="48" t="s">
        <v>301</v>
      </c>
      <c r="D180" s="64"/>
    </row>
    <row r="181" spans="1:4" x14ac:dyDescent="0.25">
      <c r="A181" s="47" t="s">
        <v>37</v>
      </c>
      <c r="B181" s="48" t="s">
        <v>301</v>
      </c>
      <c r="D181" s="64"/>
    </row>
    <row r="182" spans="1:4" x14ac:dyDescent="0.25">
      <c r="A182" s="47" t="s">
        <v>38</v>
      </c>
      <c r="B182" s="48" t="s">
        <v>301</v>
      </c>
      <c r="D182" s="64"/>
    </row>
    <row r="183" spans="1:4" x14ac:dyDescent="0.25">
      <c r="A183" s="47" t="s">
        <v>39</v>
      </c>
      <c r="B183" s="48" t="s">
        <v>301</v>
      </c>
      <c r="D183" s="64"/>
    </row>
    <row r="184" spans="1:4" x14ac:dyDescent="0.25">
      <c r="A184" s="47" t="s">
        <v>40</v>
      </c>
      <c r="B184" s="48" t="s">
        <v>301</v>
      </c>
    </row>
    <row r="185" spans="1:4" x14ac:dyDescent="0.25">
      <c r="A185" s="47" t="s">
        <v>41</v>
      </c>
      <c r="B185" s="48" t="s">
        <v>301</v>
      </c>
    </row>
    <row r="186" spans="1:4" x14ac:dyDescent="0.25">
      <c r="A186" s="47" t="s">
        <v>42</v>
      </c>
      <c r="B186" s="48" t="s">
        <v>301</v>
      </c>
    </row>
    <row r="187" spans="1:4" x14ac:dyDescent="0.25">
      <c r="A187" s="47" t="s">
        <v>43</v>
      </c>
      <c r="B187" s="48" t="s">
        <v>301</v>
      </c>
    </row>
    <row r="188" spans="1:4" x14ac:dyDescent="0.25">
      <c r="A188" s="47" t="s">
        <v>44</v>
      </c>
      <c r="B188" s="48" t="s">
        <v>301</v>
      </c>
    </row>
    <row r="189" spans="1:4" x14ac:dyDescent="0.25">
      <c r="A189" s="47" t="s">
        <v>45</v>
      </c>
      <c r="B189" s="48" t="s">
        <v>301</v>
      </c>
    </row>
    <row r="190" spans="1:4" x14ac:dyDescent="0.25">
      <c r="A190" s="47" t="s">
        <v>46</v>
      </c>
      <c r="B190" s="48" t="s">
        <v>301</v>
      </c>
    </row>
    <row r="191" spans="1:4" x14ac:dyDescent="0.25">
      <c r="A191" s="47" t="s">
        <v>47</v>
      </c>
      <c r="B191" s="48" t="s">
        <v>301</v>
      </c>
    </row>
    <row r="192" spans="1:4" x14ac:dyDescent="0.25">
      <c r="A192" s="47" t="s">
        <v>81</v>
      </c>
      <c r="B192" s="48" t="s">
        <v>301</v>
      </c>
    </row>
    <row r="193" spans="1:2" x14ac:dyDescent="0.25">
      <c r="A193" s="47" t="s">
        <v>88</v>
      </c>
      <c r="B193" s="48" t="s">
        <v>301</v>
      </c>
    </row>
    <row r="194" spans="1:2" x14ac:dyDescent="0.25">
      <c r="A194" s="47" t="s">
        <v>48</v>
      </c>
      <c r="B194" s="48" t="s">
        <v>301</v>
      </c>
    </row>
    <row r="195" spans="1:2" x14ac:dyDescent="0.25">
      <c r="A195" s="47" t="s">
        <v>49</v>
      </c>
      <c r="B195" s="48" t="s">
        <v>301</v>
      </c>
    </row>
    <row r="196" spans="1:2" x14ac:dyDescent="0.25">
      <c r="A196" s="47" t="s">
        <v>50</v>
      </c>
      <c r="B196" s="48" t="s">
        <v>301</v>
      </c>
    </row>
    <row r="197" spans="1:2" s="70" customFormat="1" x14ac:dyDescent="0.25">
      <c r="A197" s="49" t="s">
        <v>51</v>
      </c>
      <c r="B197" s="50" t="s">
        <v>301</v>
      </c>
    </row>
    <row r="198" spans="1:2" x14ac:dyDescent="0.25">
      <c r="A198" s="49" t="s">
        <v>301</v>
      </c>
      <c r="B198" s="50" t="s">
        <v>301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337"/>
  <sheetViews>
    <sheetView showGridLines="0" workbookViewId="0"/>
  </sheetViews>
  <sheetFormatPr defaultRowHeight="15" x14ac:dyDescent="0.25"/>
  <cols>
    <col min="1" max="1" width="14.5703125" style="70" bestFit="1" customWidth="1"/>
    <col min="2" max="2" width="10.42578125" style="70" customWidth="1"/>
    <col min="3" max="3" width="59" style="70" customWidth="1"/>
    <col min="4" max="4" width="11.5703125" style="70" customWidth="1"/>
    <col min="5" max="5" width="28" style="70" customWidth="1"/>
    <col min="6" max="6" width="11.28515625" style="70" customWidth="1"/>
    <col min="7" max="7" width="20.85546875" style="70" customWidth="1"/>
    <col min="8" max="8" width="11.42578125" style="70" customWidth="1"/>
    <col min="9" max="9" width="34.140625" style="70" customWidth="1"/>
    <col min="10" max="10" width="10" style="70" customWidth="1"/>
    <col min="11" max="11" width="16.7109375" style="70" customWidth="1"/>
    <col min="12" max="16384" width="9.140625" style="70"/>
  </cols>
  <sheetData>
    <row r="1" spans="1:11" x14ac:dyDescent="0.25">
      <c r="B1" s="72" t="s">
        <v>373</v>
      </c>
    </row>
    <row r="2" spans="1:11" x14ac:dyDescent="0.25">
      <c r="A2" s="51" t="s">
        <v>372</v>
      </c>
      <c r="B2" s="73" t="s">
        <v>374</v>
      </c>
      <c r="C2" s="73" t="s">
        <v>375</v>
      </c>
      <c r="D2" s="73" t="s">
        <v>376</v>
      </c>
      <c r="E2" s="73" t="s">
        <v>377</v>
      </c>
      <c r="F2" s="73" t="s">
        <v>378</v>
      </c>
      <c r="G2" s="73" t="s">
        <v>379</v>
      </c>
      <c r="H2" s="73" t="s">
        <v>380</v>
      </c>
      <c r="I2" s="73" t="s">
        <v>381</v>
      </c>
      <c r="J2" s="73" t="s">
        <v>382</v>
      </c>
      <c r="K2" s="73" t="s">
        <v>383</v>
      </c>
    </row>
    <row r="3" spans="1:11" x14ac:dyDescent="0.25">
      <c r="A3" s="70" t="str">
        <f>D3&amp;"-"&amp;F3&amp;"-"&amp;H3</f>
        <v>0095-9000-0105</v>
      </c>
      <c r="B3" s="74" t="s">
        <v>384</v>
      </c>
      <c r="C3" s="75" t="s">
        <v>385</v>
      </c>
      <c r="D3" s="74" t="s">
        <v>386</v>
      </c>
      <c r="E3" s="75" t="s">
        <v>385</v>
      </c>
      <c r="F3" s="74" t="s">
        <v>387</v>
      </c>
      <c r="G3" s="75" t="s">
        <v>388</v>
      </c>
      <c r="H3" s="74" t="s">
        <v>389</v>
      </c>
      <c r="I3" s="75" t="s">
        <v>390</v>
      </c>
      <c r="J3" s="74" t="s">
        <v>391</v>
      </c>
      <c r="K3" s="74" t="s">
        <v>392</v>
      </c>
    </row>
    <row r="4" spans="1:11" x14ac:dyDescent="0.25">
      <c r="A4" s="70" t="str">
        <f t="shared" ref="A4:A67" si="0">D4&amp;"-"&amp;F4&amp;"-"&amp;H4</f>
        <v>0096-9000-0105</v>
      </c>
      <c r="B4" s="74" t="s">
        <v>393</v>
      </c>
      <c r="C4" s="75" t="s">
        <v>385</v>
      </c>
      <c r="D4" s="74" t="s">
        <v>394</v>
      </c>
      <c r="E4" s="75" t="s">
        <v>395</v>
      </c>
      <c r="F4" s="74" t="s">
        <v>387</v>
      </c>
      <c r="G4" s="75" t="s">
        <v>388</v>
      </c>
      <c r="H4" s="74" t="s">
        <v>389</v>
      </c>
      <c r="I4" s="75" t="s">
        <v>390</v>
      </c>
      <c r="J4" s="74" t="s">
        <v>391</v>
      </c>
      <c r="K4" s="74" t="s">
        <v>392</v>
      </c>
    </row>
    <row r="5" spans="1:11" x14ac:dyDescent="0.25">
      <c r="A5" s="70" t="str">
        <f t="shared" si="0"/>
        <v>0097-9000-0105</v>
      </c>
      <c r="B5" s="74" t="s">
        <v>396</v>
      </c>
      <c r="C5" s="75" t="s">
        <v>397</v>
      </c>
      <c r="D5" s="74" t="s">
        <v>398</v>
      </c>
      <c r="E5" s="75" t="s">
        <v>397</v>
      </c>
      <c r="F5" s="74" t="s">
        <v>387</v>
      </c>
      <c r="G5" s="75" t="s">
        <v>388</v>
      </c>
      <c r="H5" s="74" t="s">
        <v>389</v>
      </c>
      <c r="I5" s="75" t="s">
        <v>390</v>
      </c>
      <c r="J5" s="74" t="s">
        <v>391</v>
      </c>
      <c r="K5" s="74" t="s">
        <v>392</v>
      </c>
    </row>
    <row r="6" spans="1:11" x14ac:dyDescent="0.25">
      <c r="A6" s="70" t="str">
        <f t="shared" si="0"/>
        <v>0098-9000-0105</v>
      </c>
      <c r="B6" s="74" t="s">
        <v>399</v>
      </c>
      <c r="C6" s="75" t="s">
        <v>400</v>
      </c>
      <c r="D6" s="74" t="s">
        <v>401</v>
      </c>
      <c r="E6" s="75" t="s">
        <v>400</v>
      </c>
      <c r="F6" s="74" t="s">
        <v>387</v>
      </c>
      <c r="G6" s="75" t="s">
        <v>388</v>
      </c>
      <c r="H6" s="74" t="s">
        <v>389</v>
      </c>
      <c r="I6" s="75" t="s">
        <v>390</v>
      </c>
      <c r="J6" s="74" t="s">
        <v>391</v>
      </c>
      <c r="K6" s="74" t="s">
        <v>392</v>
      </c>
    </row>
    <row r="7" spans="1:11" x14ac:dyDescent="0.25">
      <c r="A7" s="70" t="str">
        <f t="shared" si="0"/>
        <v>0011-1010-0019</v>
      </c>
      <c r="B7" s="74" t="s">
        <v>168</v>
      </c>
      <c r="C7" s="75" t="s">
        <v>402</v>
      </c>
      <c r="D7" s="74" t="s">
        <v>345</v>
      </c>
      <c r="E7" s="75" t="s">
        <v>403</v>
      </c>
      <c r="F7" s="74" t="s">
        <v>348</v>
      </c>
      <c r="G7" s="75" t="s">
        <v>404</v>
      </c>
      <c r="H7" s="74" t="s">
        <v>405</v>
      </c>
      <c r="I7" s="75" t="s">
        <v>406</v>
      </c>
      <c r="J7" s="74" t="s">
        <v>391</v>
      </c>
      <c r="K7" s="74" t="s">
        <v>392</v>
      </c>
    </row>
    <row r="8" spans="1:11" x14ac:dyDescent="0.25">
      <c r="A8" s="70" t="str">
        <f t="shared" si="0"/>
        <v>0011-1004-0019</v>
      </c>
      <c r="B8" s="74" t="s">
        <v>108</v>
      </c>
      <c r="C8" s="75" t="s">
        <v>407</v>
      </c>
      <c r="D8" s="74" t="s">
        <v>345</v>
      </c>
      <c r="E8" s="75" t="s">
        <v>403</v>
      </c>
      <c r="F8" s="74" t="s">
        <v>352</v>
      </c>
      <c r="G8" s="75" t="s">
        <v>408</v>
      </c>
      <c r="H8" s="74" t="s">
        <v>405</v>
      </c>
      <c r="I8" s="75" t="s">
        <v>406</v>
      </c>
      <c r="J8" s="74" t="s">
        <v>391</v>
      </c>
      <c r="K8" s="74" t="s">
        <v>392</v>
      </c>
    </row>
    <row r="9" spans="1:11" x14ac:dyDescent="0.25">
      <c r="A9" s="70" t="str">
        <f t="shared" si="0"/>
        <v>0007-1010-0008</v>
      </c>
      <c r="B9" s="74" t="s">
        <v>409</v>
      </c>
      <c r="C9" s="75" t="s">
        <v>410</v>
      </c>
      <c r="D9" s="74" t="s">
        <v>411</v>
      </c>
      <c r="E9" s="75" t="s">
        <v>412</v>
      </c>
      <c r="F9" s="74" t="s">
        <v>348</v>
      </c>
      <c r="G9" s="75" t="s">
        <v>404</v>
      </c>
      <c r="H9" s="74" t="s">
        <v>413</v>
      </c>
      <c r="I9" s="75" t="s">
        <v>414</v>
      </c>
      <c r="J9" s="74" t="s">
        <v>391</v>
      </c>
      <c r="K9" s="74" t="s">
        <v>392</v>
      </c>
    </row>
    <row r="10" spans="1:11" x14ac:dyDescent="0.25">
      <c r="A10" s="70" t="str">
        <f t="shared" si="0"/>
        <v>0005-1010-0001</v>
      </c>
      <c r="B10" s="74" t="s">
        <v>415</v>
      </c>
      <c r="C10" s="75" t="s">
        <v>416</v>
      </c>
      <c r="D10" s="74" t="s">
        <v>417</v>
      </c>
      <c r="E10" s="75" t="s">
        <v>418</v>
      </c>
      <c r="F10" s="74" t="s">
        <v>348</v>
      </c>
      <c r="G10" s="75" t="s">
        <v>404</v>
      </c>
      <c r="H10" s="74" t="s">
        <v>419</v>
      </c>
      <c r="I10" s="75" t="s">
        <v>420</v>
      </c>
      <c r="J10" s="74" t="s">
        <v>391</v>
      </c>
      <c r="K10" s="74" t="s">
        <v>392</v>
      </c>
    </row>
    <row r="11" spans="1:11" x14ac:dyDescent="0.25">
      <c r="A11" s="70" t="str">
        <f t="shared" si="0"/>
        <v>0009-1010-0014</v>
      </c>
      <c r="B11" s="74" t="s">
        <v>51</v>
      </c>
      <c r="C11" s="75" t="s">
        <v>421</v>
      </c>
      <c r="D11" s="74" t="s">
        <v>422</v>
      </c>
      <c r="E11" s="75" t="s">
        <v>423</v>
      </c>
      <c r="F11" s="74" t="s">
        <v>348</v>
      </c>
      <c r="G11" s="75" t="s">
        <v>404</v>
      </c>
      <c r="H11" s="74" t="s">
        <v>424</v>
      </c>
      <c r="I11" s="75" t="s">
        <v>425</v>
      </c>
      <c r="J11" s="74" t="s">
        <v>391</v>
      </c>
      <c r="K11" s="74" t="s">
        <v>392</v>
      </c>
    </row>
    <row r="12" spans="1:11" x14ac:dyDescent="0.25">
      <c r="A12" s="70" t="str">
        <f t="shared" si="0"/>
        <v>0007-1010-0018</v>
      </c>
      <c r="B12" s="74" t="s">
        <v>303</v>
      </c>
      <c r="C12" s="75" t="s">
        <v>426</v>
      </c>
      <c r="D12" s="74" t="s">
        <v>411</v>
      </c>
      <c r="E12" s="75" t="s">
        <v>412</v>
      </c>
      <c r="F12" s="74" t="s">
        <v>348</v>
      </c>
      <c r="G12" s="75" t="s">
        <v>404</v>
      </c>
      <c r="H12" s="74" t="s">
        <v>427</v>
      </c>
      <c r="I12" s="75" t="s">
        <v>428</v>
      </c>
      <c r="J12" s="74" t="s">
        <v>391</v>
      </c>
      <c r="K12" s="74" t="s">
        <v>392</v>
      </c>
    </row>
    <row r="13" spans="1:11" x14ac:dyDescent="0.25">
      <c r="A13" s="70" t="str">
        <f t="shared" si="0"/>
        <v>0007-1002-0018</v>
      </c>
      <c r="B13" s="74" t="s">
        <v>429</v>
      </c>
      <c r="C13" s="75" t="s">
        <v>430</v>
      </c>
      <c r="D13" s="74" t="s">
        <v>411</v>
      </c>
      <c r="E13" s="75" t="s">
        <v>412</v>
      </c>
      <c r="F13" s="74" t="s">
        <v>356</v>
      </c>
      <c r="G13" s="75" t="s">
        <v>431</v>
      </c>
      <c r="H13" s="74" t="s">
        <v>427</v>
      </c>
      <c r="I13" s="75" t="s">
        <v>428</v>
      </c>
      <c r="J13" s="74" t="s">
        <v>432</v>
      </c>
      <c r="K13" s="74" t="s">
        <v>433</v>
      </c>
    </row>
    <row r="14" spans="1:11" x14ac:dyDescent="0.25">
      <c r="A14" s="70" t="str">
        <f t="shared" si="0"/>
        <v>0007-1003-0018</v>
      </c>
      <c r="B14" s="74" t="s">
        <v>429</v>
      </c>
      <c r="C14" s="75" t="s">
        <v>430</v>
      </c>
      <c r="D14" s="74" t="s">
        <v>411</v>
      </c>
      <c r="E14" s="75" t="s">
        <v>412</v>
      </c>
      <c r="F14" s="74" t="s">
        <v>361</v>
      </c>
      <c r="G14" s="75" t="s">
        <v>434</v>
      </c>
      <c r="H14" s="74" t="s">
        <v>427</v>
      </c>
      <c r="I14" s="75" t="s">
        <v>428</v>
      </c>
      <c r="J14" s="74" t="s">
        <v>432</v>
      </c>
      <c r="K14" s="74" t="s">
        <v>433</v>
      </c>
    </row>
    <row r="15" spans="1:11" x14ac:dyDescent="0.25">
      <c r="A15" s="70" t="str">
        <f t="shared" si="0"/>
        <v>0007-1004-0018</v>
      </c>
      <c r="B15" s="74" t="s">
        <v>429</v>
      </c>
      <c r="C15" s="75" t="s">
        <v>430</v>
      </c>
      <c r="D15" s="74" t="s">
        <v>411</v>
      </c>
      <c r="E15" s="75" t="s">
        <v>412</v>
      </c>
      <c r="F15" s="74" t="s">
        <v>352</v>
      </c>
      <c r="G15" s="75" t="s">
        <v>408</v>
      </c>
      <c r="H15" s="74" t="s">
        <v>427</v>
      </c>
      <c r="I15" s="75" t="s">
        <v>428</v>
      </c>
      <c r="J15" s="74" t="s">
        <v>432</v>
      </c>
      <c r="K15" s="74" t="s">
        <v>392</v>
      </c>
    </row>
    <row r="16" spans="1:11" x14ac:dyDescent="0.25">
      <c r="A16" s="70" t="str">
        <f t="shared" si="0"/>
        <v>0007-1005-0018</v>
      </c>
      <c r="B16" s="74" t="s">
        <v>429</v>
      </c>
      <c r="C16" s="75" t="s">
        <v>430</v>
      </c>
      <c r="D16" s="74" t="s">
        <v>411</v>
      </c>
      <c r="E16" s="75" t="s">
        <v>412</v>
      </c>
      <c r="F16" s="74" t="s">
        <v>359</v>
      </c>
      <c r="G16" s="75" t="s">
        <v>435</v>
      </c>
      <c r="H16" s="74" t="s">
        <v>427</v>
      </c>
      <c r="I16" s="75" t="s">
        <v>428</v>
      </c>
      <c r="J16" s="74" t="s">
        <v>432</v>
      </c>
      <c r="K16" s="74" t="s">
        <v>433</v>
      </c>
    </row>
    <row r="17" spans="1:11" x14ac:dyDescent="0.25">
      <c r="A17" s="70" t="str">
        <f t="shared" si="0"/>
        <v>0007-1006-0018</v>
      </c>
      <c r="B17" s="74" t="s">
        <v>429</v>
      </c>
      <c r="C17" s="75" t="s">
        <v>430</v>
      </c>
      <c r="D17" s="74" t="s">
        <v>411</v>
      </c>
      <c r="E17" s="75" t="s">
        <v>412</v>
      </c>
      <c r="F17" s="74" t="s">
        <v>355</v>
      </c>
      <c r="G17" s="75" t="s">
        <v>436</v>
      </c>
      <c r="H17" s="74" t="s">
        <v>427</v>
      </c>
      <c r="I17" s="75" t="s">
        <v>428</v>
      </c>
      <c r="J17" s="74" t="s">
        <v>432</v>
      </c>
      <c r="K17" s="74" t="s">
        <v>433</v>
      </c>
    </row>
    <row r="18" spans="1:11" x14ac:dyDescent="0.25">
      <c r="A18" s="70" t="str">
        <f t="shared" si="0"/>
        <v>0007-1012-0018</v>
      </c>
      <c r="B18" s="74" t="s">
        <v>429</v>
      </c>
      <c r="C18" s="75" t="s">
        <v>430</v>
      </c>
      <c r="D18" s="74" t="s">
        <v>411</v>
      </c>
      <c r="E18" s="75" t="s">
        <v>412</v>
      </c>
      <c r="F18" s="74" t="s">
        <v>350</v>
      </c>
      <c r="G18" s="75" t="s">
        <v>437</v>
      </c>
      <c r="H18" s="74" t="s">
        <v>427</v>
      </c>
      <c r="I18" s="75" t="s">
        <v>428</v>
      </c>
      <c r="J18" s="74" t="s">
        <v>432</v>
      </c>
      <c r="K18" s="74" t="s">
        <v>433</v>
      </c>
    </row>
    <row r="19" spans="1:11" x14ac:dyDescent="0.25">
      <c r="A19" s="70" t="str">
        <f t="shared" si="0"/>
        <v>0007-1013-0018</v>
      </c>
      <c r="B19" s="74" t="s">
        <v>429</v>
      </c>
      <c r="C19" s="75" t="s">
        <v>430</v>
      </c>
      <c r="D19" s="74" t="s">
        <v>411</v>
      </c>
      <c r="E19" s="75" t="s">
        <v>412</v>
      </c>
      <c r="F19" s="74" t="s">
        <v>354</v>
      </c>
      <c r="G19" s="75" t="s">
        <v>438</v>
      </c>
      <c r="H19" s="74" t="s">
        <v>427</v>
      </c>
      <c r="I19" s="75" t="s">
        <v>428</v>
      </c>
      <c r="J19" s="74" t="s">
        <v>432</v>
      </c>
      <c r="K19" s="74" t="s">
        <v>433</v>
      </c>
    </row>
    <row r="20" spans="1:11" x14ac:dyDescent="0.25">
      <c r="A20" s="70" t="str">
        <f t="shared" si="0"/>
        <v>0020-1002-0061</v>
      </c>
      <c r="B20" s="74" t="s">
        <v>439</v>
      </c>
      <c r="C20" s="75" t="s">
        <v>440</v>
      </c>
      <c r="D20" s="74" t="s">
        <v>441</v>
      </c>
      <c r="E20" s="75" t="s">
        <v>442</v>
      </c>
      <c r="F20" s="74" t="s">
        <v>356</v>
      </c>
      <c r="G20" s="75" t="s">
        <v>431</v>
      </c>
      <c r="H20" s="74" t="s">
        <v>443</v>
      </c>
      <c r="I20" s="75" t="s">
        <v>444</v>
      </c>
      <c r="J20" s="74" t="s">
        <v>445</v>
      </c>
      <c r="K20" s="74" t="s">
        <v>433</v>
      </c>
    </row>
    <row r="21" spans="1:11" x14ac:dyDescent="0.25">
      <c r="A21" s="70" t="str">
        <f t="shared" si="0"/>
        <v>0020-1003-0061</v>
      </c>
      <c r="B21" s="74" t="s">
        <v>439</v>
      </c>
      <c r="C21" s="75" t="s">
        <v>440</v>
      </c>
      <c r="D21" s="74" t="s">
        <v>441</v>
      </c>
      <c r="E21" s="75" t="s">
        <v>442</v>
      </c>
      <c r="F21" s="74" t="s">
        <v>361</v>
      </c>
      <c r="G21" s="75" t="s">
        <v>434</v>
      </c>
      <c r="H21" s="74" t="s">
        <v>443</v>
      </c>
      <c r="I21" s="75" t="s">
        <v>444</v>
      </c>
      <c r="J21" s="74" t="s">
        <v>445</v>
      </c>
      <c r="K21" s="74" t="s">
        <v>433</v>
      </c>
    </row>
    <row r="22" spans="1:11" x14ac:dyDescent="0.25">
      <c r="A22" s="70" t="str">
        <f t="shared" si="0"/>
        <v>0020-1012-0061</v>
      </c>
      <c r="B22" s="74" t="s">
        <v>439</v>
      </c>
      <c r="C22" s="75" t="s">
        <v>440</v>
      </c>
      <c r="D22" s="74" t="s">
        <v>441</v>
      </c>
      <c r="E22" s="75" t="s">
        <v>442</v>
      </c>
      <c r="F22" s="74" t="s">
        <v>350</v>
      </c>
      <c r="G22" s="75" t="s">
        <v>437</v>
      </c>
      <c r="H22" s="74" t="s">
        <v>443</v>
      </c>
      <c r="I22" s="75" t="s">
        <v>444</v>
      </c>
      <c r="J22" s="74" t="s">
        <v>445</v>
      </c>
      <c r="K22" s="74" t="s">
        <v>392</v>
      </c>
    </row>
    <row r="23" spans="1:11" x14ac:dyDescent="0.25">
      <c r="A23" s="70" t="str">
        <f t="shared" si="0"/>
        <v>0020-1013-0061</v>
      </c>
      <c r="B23" s="74" t="s">
        <v>439</v>
      </c>
      <c r="C23" s="75" t="s">
        <v>440</v>
      </c>
      <c r="D23" s="74" t="s">
        <v>441</v>
      </c>
      <c r="E23" s="75" t="s">
        <v>442</v>
      </c>
      <c r="F23" s="74" t="s">
        <v>354</v>
      </c>
      <c r="G23" s="75" t="s">
        <v>438</v>
      </c>
      <c r="H23" s="74" t="s">
        <v>443</v>
      </c>
      <c r="I23" s="75" t="s">
        <v>444</v>
      </c>
      <c r="J23" s="74" t="s">
        <v>445</v>
      </c>
      <c r="K23" s="74" t="s">
        <v>433</v>
      </c>
    </row>
    <row r="24" spans="1:11" x14ac:dyDescent="0.25">
      <c r="A24" s="70" t="str">
        <f t="shared" si="0"/>
        <v>0020-1006-0034</v>
      </c>
      <c r="B24" s="74" t="s">
        <v>446</v>
      </c>
      <c r="C24" s="75" t="s">
        <v>447</v>
      </c>
      <c r="D24" s="74" t="s">
        <v>441</v>
      </c>
      <c r="E24" s="75" t="s">
        <v>442</v>
      </c>
      <c r="F24" s="74" t="s">
        <v>355</v>
      </c>
      <c r="G24" s="75" t="s">
        <v>436</v>
      </c>
      <c r="H24" s="74" t="s">
        <v>448</v>
      </c>
      <c r="I24" s="75" t="s">
        <v>449</v>
      </c>
      <c r="J24" s="74" t="s">
        <v>391</v>
      </c>
      <c r="K24" s="74" t="s">
        <v>392</v>
      </c>
    </row>
    <row r="25" spans="1:11" x14ac:dyDescent="0.25">
      <c r="A25" s="70" t="str">
        <f t="shared" si="0"/>
        <v>0007-1014-0008</v>
      </c>
      <c r="B25" s="74" t="s">
        <v>450</v>
      </c>
      <c r="C25" s="75" t="s">
        <v>451</v>
      </c>
      <c r="D25" s="74" t="s">
        <v>411</v>
      </c>
      <c r="E25" s="75" t="s">
        <v>412</v>
      </c>
      <c r="F25" s="74" t="s">
        <v>346</v>
      </c>
      <c r="G25" s="75" t="s">
        <v>452</v>
      </c>
      <c r="H25" s="74" t="s">
        <v>413</v>
      </c>
      <c r="I25" s="75" t="s">
        <v>414</v>
      </c>
      <c r="J25" s="74" t="s">
        <v>391</v>
      </c>
      <c r="K25" s="74" t="s">
        <v>392</v>
      </c>
    </row>
    <row r="26" spans="1:11" x14ac:dyDescent="0.25">
      <c r="A26" s="70" t="str">
        <f t="shared" si="0"/>
        <v>0005-1014-0001</v>
      </c>
      <c r="B26" s="74" t="s">
        <v>453</v>
      </c>
      <c r="C26" s="75" t="s">
        <v>454</v>
      </c>
      <c r="D26" s="74" t="s">
        <v>417</v>
      </c>
      <c r="E26" s="75" t="s">
        <v>418</v>
      </c>
      <c r="F26" s="74" t="s">
        <v>346</v>
      </c>
      <c r="G26" s="75" t="s">
        <v>452</v>
      </c>
      <c r="H26" s="74" t="s">
        <v>419</v>
      </c>
      <c r="I26" s="75" t="s">
        <v>420</v>
      </c>
      <c r="J26" s="74" t="s">
        <v>391</v>
      </c>
      <c r="K26" s="74" t="s">
        <v>392</v>
      </c>
    </row>
    <row r="27" spans="1:11" x14ac:dyDescent="0.25">
      <c r="A27" s="70" t="str">
        <f t="shared" si="0"/>
        <v>0007-1002-0008</v>
      </c>
      <c r="B27" s="74" t="s">
        <v>304</v>
      </c>
      <c r="C27" s="75" t="s">
        <v>455</v>
      </c>
      <c r="D27" s="74" t="s">
        <v>411</v>
      </c>
      <c r="E27" s="75" t="s">
        <v>412</v>
      </c>
      <c r="F27" s="74" t="s">
        <v>356</v>
      </c>
      <c r="G27" s="75" t="s">
        <v>431</v>
      </c>
      <c r="H27" s="74" t="s">
        <v>413</v>
      </c>
      <c r="I27" s="75" t="s">
        <v>414</v>
      </c>
      <c r="J27" s="74" t="s">
        <v>432</v>
      </c>
      <c r="K27" s="74" t="s">
        <v>433</v>
      </c>
    </row>
    <row r="28" spans="1:11" x14ac:dyDescent="0.25">
      <c r="A28" s="70" t="str">
        <f t="shared" si="0"/>
        <v>0007-1003-0008</v>
      </c>
      <c r="B28" s="74" t="s">
        <v>304</v>
      </c>
      <c r="C28" s="75" t="s">
        <v>455</v>
      </c>
      <c r="D28" s="74" t="s">
        <v>411</v>
      </c>
      <c r="E28" s="75" t="s">
        <v>412</v>
      </c>
      <c r="F28" s="74" t="s">
        <v>361</v>
      </c>
      <c r="G28" s="75" t="s">
        <v>434</v>
      </c>
      <c r="H28" s="74" t="s">
        <v>413</v>
      </c>
      <c r="I28" s="75" t="s">
        <v>414</v>
      </c>
      <c r="J28" s="74" t="s">
        <v>432</v>
      </c>
      <c r="K28" s="74" t="s">
        <v>433</v>
      </c>
    </row>
    <row r="29" spans="1:11" x14ac:dyDescent="0.25">
      <c r="A29" s="70" t="str">
        <f t="shared" si="0"/>
        <v>0007-1004-0008</v>
      </c>
      <c r="B29" s="74" t="s">
        <v>304</v>
      </c>
      <c r="C29" s="75" t="s">
        <v>455</v>
      </c>
      <c r="D29" s="74" t="s">
        <v>411</v>
      </c>
      <c r="E29" s="75" t="s">
        <v>412</v>
      </c>
      <c r="F29" s="74" t="s">
        <v>352</v>
      </c>
      <c r="G29" s="75" t="s">
        <v>408</v>
      </c>
      <c r="H29" s="74" t="s">
        <v>413</v>
      </c>
      <c r="I29" s="75" t="s">
        <v>414</v>
      </c>
      <c r="J29" s="74" t="s">
        <v>432</v>
      </c>
      <c r="K29" s="74" t="s">
        <v>433</v>
      </c>
    </row>
    <row r="30" spans="1:11" x14ac:dyDescent="0.25">
      <c r="A30" s="70" t="str">
        <f t="shared" si="0"/>
        <v>0007-1005-0008</v>
      </c>
      <c r="B30" s="74" t="s">
        <v>304</v>
      </c>
      <c r="C30" s="75" t="s">
        <v>455</v>
      </c>
      <c r="D30" s="74" t="s">
        <v>411</v>
      </c>
      <c r="E30" s="75" t="s">
        <v>412</v>
      </c>
      <c r="F30" s="74" t="s">
        <v>359</v>
      </c>
      <c r="G30" s="75" t="s">
        <v>435</v>
      </c>
      <c r="H30" s="74" t="s">
        <v>413</v>
      </c>
      <c r="I30" s="75" t="s">
        <v>414</v>
      </c>
      <c r="J30" s="74" t="s">
        <v>432</v>
      </c>
      <c r="K30" s="74" t="s">
        <v>433</v>
      </c>
    </row>
    <row r="31" spans="1:11" x14ac:dyDescent="0.25">
      <c r="A31" s="70" t="str">
        <f t="shared" si="0"/>
        <v>0007-1006-0008</v>
      </c>
      <c r="B31" s="74" t="s">
        <v>304</v>
      </c>
      <c r="C31" s="75" t="s">
        <v>455</v>
      </c>
      <c r="D31" s="74" t="s">
        <v>411</v>
      </c>
      <c r="E31" s="75" t="s">
        <v>412</v>
      </c>
      <c r="F31" s="74" t="s">
        <v>355</v>
      </c>
      <c r="G31" s="75" t="s">
        <v>436</v>
      </c>
      <c r="H31" s="74" t="s">
        <v>413</v>
      </c>
      <c r="I31" s="75" t="s">
        <v>414</v>
      </c>
      <c r="J31" s="74" t="s">
        <v>432</v>
      </c>
      <c r="K31" s="74" t="s">
        <v>392</v>
      </c>
    </row>
    <row r="32" spans="1:11" x14ac:dyDescent="0.25">
      <c r="A32" s="70" t="str">
        <f t="shared" si="0"/>
        <v>0007-1012-0008</v>
      </c>
      <c r="B32" s="74" t="s">
        <v>304</v>
      </c>
      <c r="C32" s="75" t="s">
        <v>455</v>
      </c>
      <c r="D32" s="74" t="s">
        <v>411</v>
      </c>
      <c r="E32" s="75" t="s">
        <v>412</v>
      </c>
      <c r="F32" s="74" t="s">
        <v>350</v>
      </c>
      <c r="G32" s="75" t="s">
        <v>437</v>
      </c>
      <c r="H32" s="74" t="s">
        <v>413</v>
      </c>
      <c r="I32" s="75" t="s">
        <v>414</v>
      </c>
      <c r="J32" s="74" t="s">
        <v>432</v>
      </c>
      <c r="K32" s="74" t="s">
        <v>433</v>
      </c>
    </row>
    <row r="33" spans="1:11" x14ac:dyDescent="0.25">
      <c r="A33" s="70" t="str">
        <f t="shared" si="0"/>
        <v>0007-1013-0008</v>
      </c>
      <c r="B33" s="74" t="s">
        <v>304</v>
      </c>
      <c r="C33" s="75" t="s">
        <v>455</v>
      </c>
      <c r="D33" s="74" t="s">
        <v>411</v>
      </c>
      <c r="E33" s="75" t="s">
        <v>412</v>
      </c>
      <c r="F33" s="74" t="s">
        <v>354</v>
      </c>
      <c r="G33" s="75" t="s">
        <v>438</v>
      </c>
      <c r="H33" s="74" t="s">
        <v>413</v>
      </c>
      <c r="I33" s="75" t="s">
        <v>414</v>
      </c>
      <c r="J33" s="74" t="s">
        <v>432</v>
      </c>
      <c r="K33" s="74" t="s">
        <v>433</v>
      </c>
    </row>
    <row r="34" spans="1:11" x14ac:dyDescent="0.25">
      <c r="A34" s="70" t="str">
        <f t="shared" si="0"/>
        <v>0005-1001-0001</v>
      </c>
      <c r="B34" s="74" t="s">
        <v>456</v>
      </c>
      <c r="C34" s="75" t="s">
        <v>457</v>
      </c>
      <c r="D34" s="74" t="s">
        <v>417</v>
      </c>
      <c r="E34" s="75" t="s">
        <v>418</v>
      </c>
      <c r="F34" s="74" t="s">
        <v>365</v>
      </c>
      <c r="G34" s="75" t="s">
        <v>458</v>
      </c>
      <c r="H34" s="74" t="s">
        <v>419</v>
      </c>
      <c r="I34" s="75" t="s">
        <v>420</v>
      </c>
      <c r="J34" s="74" t="s">
        <v>459</v>
      </c>
      <c r="K34" s="74" t="s">
        <v>433</v>
      </c>
    </row>
    <row r="35" spans="1:11" x14ac:dyDescent="0.25">
      <c r="A35" s="70" t="str">
        <f t="shared" si="0"/>
        <v>0005-1002-0001</v>
      </c>
      <c r="B35" s="74" t="s">
        <v>456</v>
      </c>
      <c r="C35" s="75" t="s">
        <v>457</v>
      </c>
      <c r="D35" s="74" t="s">
        <v>417</v>
      </c>
      <c r="E35" s="75" t="s">
        <v>418</v>
      </c>
      <c r="F35" s="74" t="s">
        <v>356</v>
      </c>
      <c r="G35" s="75" t="s">
        <v>431</v>
      </c>
      <c r="H35" s="74" t="s">
        <v>419</v>
      </c>
      <c r="I35" s="75" t="s">
        <v>420</v>
      </c>
      <c r="J35" s="74" t="s">
        <v>459</v>
      </c>
      <c r="K35" s="74" t="s">
        <v>433</v>
      </c>
    </row>
    <row r="36" spans="1:11" x14ac:dyDescent="0.25">
      <c r="A36" s="70" t="str">
        <f t="shared" si="0"/>
        <v>0005-1003-0001</v>
      </c>
      <c r="B36" s="74" t="s">
        <v>456</v>
      </c>
      <c r="C36" s="75" t="s">
        <v>457</v>
      </c>
      <c r="D36" s="74" t="s">
        <v>417</v>
      </c>
      <c r="E36" s="75" t="s">
        <v>418</v>
      </c>
      <c r="F36" s="74" t="s">
        <v>361</v>
      </c>
      <c r="G36" s="75" t="s">
        <v>434</v>
      </c>
      <c r="H36" s="74" t="s">
        <v>419</v>
      </c>
      <c r="I36" s="75" t="s">
        <v>420</v>
      </c>
      <c r="J36" s="74" t="s">
        <v>459</v>
      </c>
      <c r="K36" s="74" t="s">
        <v>433</v>
      </c>
    </row>
    <row r="37" spans="1:11" x14ac:dyDescent="0.25">
      <c r="A37" s="70" t="str">
        <f t="shared" si="0"/>
        <v>0005-1004-0001</v>
      </c>
      <c r="B37" s="74" t="s">
        <v>456</v>
      </c>
      <c r="C37" s="75" t="s">
        <v>457</v>
      </c>
      <c r="D37" s="74" t="s">
        <v>417</v>
      </c>
      <c r="E37" s="75" t="s">
        <v>418</v>
      </c>
      <c r="F37" s="74" t="s">
        <v>352</v>
      </c>
      <c r="G37" s="75" t="s">
        <v>408</v>
      </c>
      <c r="H37" s="74" t="s">
        <v>419</v>
      </c>
      <c r="I37" s="75" t="s">
        <v>420</v>
      </c>
      <c r="J37" s="74" t="s">
        <v>459</v>
      </c>
      <c r="K37" s="74" t="s">
        <v>433</v>
      </c>
    </row>
    <row r="38" spans="1:11" x14ac:dyDescent="0.25">
      <c r="A38" s="70" t="str">
        <f t="shared" si="0"/>
        <v>0005-1005-0001</v>
      </c>
      <c r="B38" s="74" t="s">
        <v>456</v>
      </c>
      <c r="C38" s="75" t="s">
        <v>457</v>
      </c>
      <c r="D38" s="74" t="s">
        <v>417</v>
      </c>
      <c r="E38" s="75" t="s">
        <v>418</v>
      </c>
      <c r="F38" s="74" t="s">
        <v>359</v>
      </c>
      <c r="G38" s="75" t="s">
        <v>435</v>
      </c>
      <c r="H38" s="74" t="s">
        <v>419</v>
      </c>
      <c r="I38" s="75" t="s">
        <v>420</v>
      </c>
      <c r="J38" s="74" t="s">
        <v>459</v>
      </c>
      <c r="K38" s="74" t="s">
        <v>433</v>
      </c>
    </row>
    <row r="39" spans="1:11" x14ac:dyDescent="0.25">
      <c r="A39" s="70" t="str">
        <f t="shared" si="0"/>
        <v>0005-1006-0001</v>
      </c>
      <c r="B39" s="74" t="s">
        <v>456</v>
      </c>
      <c r="C39" s="75" t="s">
        <v>457</v>
      </c>
      <c r="D39" s="74" t="s">
        <v>417</v>
      </c>
      <c r="E39" s="75" t="s">
        <v>418</v>
      </c>
      <c r="F39" s="74" t="s">
        <v>355</v>
      </c>
      <c r="G39" s="75" t="s">
        <v>436</v>
      </c>
      <c r="H39" s="74" t="s">
        <v>419</v>
      </c>
      <c r="I39" s="75" t="s">
        <v>420</v>
      </c>
      <c r="J39" s="74" t="s">
        <v>459</v>
      </c>
      <c r="K39" s="74" t="s">
        <v>392</v>
      </c>
    </row>
    <row r="40" spans="1:11" x14ac:dyDescent="0.25">
      <c r="A40" s="70" t="str">
        <f t="shared" si="0"/>
        <v>0005-1012-0001</v>
      </c>
      <c r="B40" s="74" t="s">
        <v>456</v>
      </c>
      <c r="C40" s="75" t="s">
        <v>457</v>
      </c>
      <c r="D40" s="74" t="s">
        <v>417</v>
      </c>
      <c r="E40" s="75" t="s">
        <v>418</v>
      </c>
      <c r="F40" s="74" t="s">
        <v>350</v>
      </c>
      <c r="G40" s="75" t="s">
        <v>437</v>
      </c>
      <c r="H40" s="74" t="s">
        <v>419</v>
      </c>
      <c r="I40" s="75" t="s">
        <v>420</v>
      </c>
      <c r="J40" s="74" t="s">
        <v>459</v>
      </c>
      <c r="K40" s="74" t="s">
        <v>433</v>
      </c>
    </row>
    <row r="41" spans="1:11" x14ac:dyDescent="0.25">
      <c r="A41" s="70" t="str">
        <f t="shared" si="0"/>
        <v>0005-1013-0001</v>
      </c>
      <c r="B41" s="74" t="s">
        <v>456</v>
      </c>
      <c r="C41" s="75" t="s">
        <v>457</v>
      </c>
      <c r="D41" s="74" t="s">
        <v>417</v>
      </c>
      <c r="E41" s="75" t="s">
        <v>418</v>
      </c>
      <c r="F41" s="74" t="s">
        <v>354</v>
      </c>
      <c r="G41" s="75" t="s">
        <v>438</v>
      </c>
      <c r="H41" s="74" t="s">
        <v>419</v>
      </c>
      <c r="I41" s="75" t="s">
        <v>420</v>
      </c>
      <c r="J41" s="74" t="s">
        <v>459</v>
      </c>
      <c r="K41" s="74" t="s">
        <v>433</v>
      </c>
    </row>
    <row r="42" spans="1:11" x14ac:dyDescent="0.25">
      <c r="A42" s="70" t="str">
        <f t="shared" si="0"/>
        <v>0007-1001-0006</v>
      </c>
      <c r="B42" s="74" t="s">
        <v>323</v>
      </c>
      <c r="C42" s="75" t="s">
        <v>460</v>
      </c>
      <c r="D42" s="74" t="s">
        <v>411</v>
      </c>
      <c r="E42" s="75" t="s">
        <v>412</v>
      </c>
      <c r="F42" s="74" t="s">
        <v>365</v>
      </c>
      <c r="G42" s="75" t="s">
        <v>458</v>
      </c>
      <c r="H42" s="74" t="s">
        <v>461</v>
      </c>
      <c r="I42" s="75" t="s">
        <v>462</v>
      </c>
      <c r="J42" s="74" t="s">
        <v>463</v>
      </c>
      <c r="K42" s="74" t="s">
        <v>392</v>
      </c>
    </row>
    <row r="43" spans="1:11" x14ac:dyDescent="0.25">
      <c r="A43" s="70" t="str">
        <f t="shared" si="0"/>
        <v>0090-1001-0104</v>
      </c>
      <c r="B43" s="74" t="s">
        <v>323</v>
      </c>
      <c r="C43" s="75" t="s">
        <v>460</v>
      </c>
      <c r="D43" s="74" t="s">
        <v>464</v>
      </c>
      <c r="E43" s="75" t="s">
        <v>465</v>
      </c>
      <c r="F43" s="74" t="s">
        <v>365</v>
      </c>
      <c r="G43" s="75" t="s">
        <v>458</v>
      </c>
      <c r="H43" s="74" t="s">
        <v>466</v>
      </c>
      <c r="I43" s="75" t="s">
        <v>467</v>
      </c>
      <c r="J43" s="74" t="s">
        <v>463</v>
      </c>
      <c r="K43" s="74" t="s">
        <v>433</v>
      </c>
    </row>
    <row r="44" spans="1:11" x14ac:dyDescent="0.25">
      <c r="A44" s="70" t="str">
        <f t="shared" si="0"/>
        <v>0020-1004-0061</v>
      </c>
      <c r="B44" s="74" t="s">
        <v>468</v>
      </c>
      <c r="C44" s="75" t="s">
        <v>469</v>
      </c>
      <c r="D44" s="74" t="s">
        <v>441</v>
      </c>
      <c r="E44" s="75" t="s">
        <v>442</v>
      </c>
      <c r="F44" s="74" t="s">
        <v>352</v>
      </c>
      <c r="G44" s="75" t="s">
        <v>408</v>
      </c>
      <c r="H44" s="74" t="s">
        <v>443</v>
      </c>
      <c r="I44" s="75" t="s">
        <v>444</v>
      </c>
      <c r="J44" s="74" t="s">
        <v>470</v>
      </c>
      <c r="K44" s="74" t="s">
        <v>392</v>
      </c>
    </row>
    <row r="45" spans="1:11" x14ac:dyDescent="0.25">
      <c r="A45" s="70" t="str">
        <f t="shared" si="0"/>
        <v>0020-1005-0061</v>
      </c>
      <c r="B45" s="74" t="s">
        <v>468</v>
      </c>
      <c r="C45" s="75" t="s">
        <v>469</v>
      </c>
      <c r="D45" s="74" t="s">
        <v>441</v>
      </c>
      <c r="E45" s="75" t="s">
        <v>442</v>
      </c>
      <c r="F45" s="74" t="s">
        <v>359</v>
      </c>
      <c r="G45" s="75" t="s">
        <v>435</v>
      </c>
      <c r="H45" s="74" t="s">
        <v>443</v>
      </c>
      <c r="I45" s="75" t="s">
        <v>444</v>
      </c>
      <c r="J45" s="74" t="s">
        <v>470</v>
      </c>
      <c r="K45" s="74" t="s">
        <v>433</v>
      </c>
    </row>
    <row r="46" spans="1:11" x14ac:dyDescent="0.25">
      <c r="A46" s="70" t="str">
        <f t="shared" si="0"/>
        <v>0020-1006-0061</v>
      </c>
      <c r="B46" s="74" t="s">
        <v>468</v>
      </c>
      <c r="C46" s="75" t="s">
        <v>469</v>
      </c>
      <c r="D46" s="74" t="s">
        <v>441</v>
      </c>
      <c r="E46" s="75" t="s">
        <v>442</v>
      </c>
      <c r="F46" s="74" t="s">
        <v>355</v>
      </c>
      <c r="G46" s="75" t="s">
        <v>436</v>
      </c>
      <c r="H46" s="74" t="s">
        <v>443</v>
      </c>
      <c r="I46" s="75" t="s">
        <v>444</v>
      </c>
      <c r="J46" s="74" t="s">
        <v>470</v>
      </c>
      <c r="K46" s="74" t="s">
        <v>433</v>
      </c>
    </row>
    <row r="47" spans="1:11" x14ac:dyDescent="0.25">
      <c r="A47" s="70" t="str">
        <f t="shared" si="0"/>
        <v>0009-1001-0014</v>
      </c>
      <c r="B47" s="74" t="s">
        <v>471</v>
      </c>
      <c r="C47" s="75" t="s">
        <v>472</v>
      </c>
      <c r="D47" s="74" t="s">
        <v>422</v>
      </c>
      <c r="E47" s="75" t="s">
        <v>423</v>
      </c>
      <c r="F47" s="74" t="s">
        <v>365</v>
      </c>
      <c r="G47" s="75" t="s">
        <v>458</v>
      </c>
      <c r="H47" s="74" t="s">
        <v>424</v>
      </c>
      <c r="I47" s="75" t="s">
        <v>425</v>
      </c>
      <c r="J47" s="74" t="s">
        <v>391</v>
      </c>
      <c r="K47" s="74" t="s">
        <v>392</v>
      </c>
    </row>
    <row r="48" spans="1:11" x14ac:dyDescent="0.25">
      <c r="A48" s="70" t="str">
        <f t="shared" si="0"/>
        <v>0090-1001-0100</v>
      </c>
      <c r="B48" s="74" t="s">
        <v>473</v>
      </c>
      <c r="C48" s="75" t="s">
        <v>465</v>
      </c>
      <c r="D48" s="74" t="s">
        <v>464</v>
      </c>
      <c r="E48" s="75" t="s">
        <v>465</v>
      </c>
      <c r="F48" s="74" t="s">
        <v>365</v>
      </c>
      <c r="G48" s="75" t="s">
        <v>458</v>
      </c>
      <c r="H48" s="74" t="s">
        <v>474</v>
      </c>
      <c r="I48" s="75" t="s">
        <v>475</v>
      </c>
      <c r="J48" s="74" t="s">
        <v>470</v>
      </c>
      <c r="K48" s="74" t="s">
        <v>392</v>
      </c>
    </row>
    <row r="49" spans="1:11" x14ac:dyDescent="0.25">
      <c r="A49" s="70" t="str">
        <f t="shared" si="0"/>
        <v>0090-1001-0101</v>
      </c>
      <c r="B49" s="74" t="s">
        <v>473</v>
      </c>
      <c r="C49" s="75" t="s">
        <v>465</v>
      </c>
      <c r="D49" s="74" t="s">
        <v>464</v>
      </c>
      <c r="E49" s="75" t="s">
        <v>465</v>
      </c>
      <c r="F49" s="74" t="s">
        <v>365</v>
      </c>
      <c r="G49" s="75" t="s">
        <v>458</v>
      </c>
      <c r="H49" s="74" t="s">
        <v>476</v>
      </c>
      <c r="I49" s="75" t="s">
        <v>477</v>
      </c>
      <c r="J49" s="74" t="s">
        <v>470</v>
      </c>
      <c r="K49" s="74" t="s">
        <v>433</v>
      </c>
    </row>
    <row r="50" spans="1:11" x14ac:dyDescent="0.25">
      <c r="A50" s="70" t="str">
        <f t="shared" si="0"/>
        <v>0090-1001-0102</v>
      </c>
      <c r="B50" s="74" t="s">
        <v>473</v>
      </c>
      <c r="C50" s="75" t="s">
        <v>465</v>
      </c>
      <c r="D50" s="74" t="s">
        <v>464</v>
      </c>
      <c r="E50" s="75" t="s">
        <v>465</v>
      </c>
      <c r="F50" s="74" t="s">
        <v>365</v>
      </c>
      <c r="G50" s="75" t="s">
        <v>458</v>
      </c>
      <c r="H50" s="74" t="s">
        <v>478</v>
      </c>
      <c r="I50" s="75" t="s">
        <v>479</v>
      </c>
      <c r="J50" s="74" t="s">
        <v>470</v>
      </c>
      <c r="K50" s="74" t="s">
        <v>433</v>
      </c>
    </row>
    <row r="51" spans="1:11" x14ac:dyDescent="0.25">
      <c r="A51" s="70" t="str">
        <f t="shared" si="0"/>
        <v>0009-1004-0014</v>
      </c>
      <c r="B51" s="74" t="s">
        <v>305</v>
      </c>
      <c r="C51" s="75" t="s">
        <v>480</v>
      </c>
      <c r="D51" s="74" t="s">
        <v>422</v>
      </c>
      <c r="E51" s="75" t="s">
        <v>423</v>
      </c>
      <c r="F51" s="74" t="s">
        <v>352</v>
      </c>
      <c r="G51" s="75" t="s">
        <v>408</v>
      </c>
      <c r="H51" s="74" t="s">
        <v>424</v>
      </c>
      <c r="I51" s="75" t="s">
        <v>425</v>
      </c>
      <c r="J51" s="74" t="s">
        <v>470</v>
      </c>
      <c r="K51" s="74" t="s">
        <v>433</v>
      </c>
    </row>
    <row r="52" spans="1:11" x14ac:dyDescent="0.25">
      <c r="A52" s="70" t="str">
        <f t="shared" si="0"/>
        <v>0009-1005-0014</v>
      </c>
      <c r="B52" s="74" t="s">
        <v>305</v>
      </c>
      <c r="C52" s="75" t="s">
        <v>480</v>
      </c>
      <c r="D52" s="74" t="s">
        <v>422</v>
      </c>
      <c r="E52" s="75" t="s">
        <v>423</v>
      </c>
      <c r="F52" s="74" t="s">
        <v>359</v>
      </c>
      <c r="G52" s="75" t="s">
        <v>435</v>
      </c>
      <c r="H52" s="74" t="s">
        <v>424</v>
      </c>
      <c r="I52" s="75" t="s">
        <v>425</v>
      </c>
      <c r="J52" s="74" t="s">
        <v>470</v>
      </c>
      <c r="K52" s="74" t="s">
        <v>433</v>
      </c>
    </row>
    <row r="53" spans="1:11" x14ac:dyDescent="0.25">
      <c r="A53" s="70" t="str">
        <f t="shared" si="0"/>
        <v>0009-1006-0014</v>
      </c>
      <c r="B53" s="74" t="s">
        <v>305</v>
      </c>
      <c r="C53" s="75" t="s">
        <v>480</v>
      </c>
      <c r="D53" s="74" t="s">
        <v>422</v>
      </c>
      <c r="E53" s="75" t="s">
        <v>423</v>
      </c>
      <c r="F53" s="74" t="s">
        <v>355</v>
      </c>
      <c r="G53" s="75" t="s">
        <v>436</v>
      </c>
      <c r="H53" s="74" t="s">
        <v>424</v>
      </c>
      <c r="I53" s="75" t="s">
        <v>425</v>
      </c>
      <c r="J53" s="74" t="s">
        <v>470</v>
      </c>
      <c r="K53" s="74" t="s">
        <v>392</v>
      </c>
    </row>
    <row r="54" spans="1:11" x14ac:dyDescent="0.25">
      <c r="A54" s="70" t="str">
        <f t="shared" si="0"/>
        <v>0009-1002-0014</v>
      </c>
      <c r="B54" s="74" t="s">
        <v>324</v>
      </c>
      <c r="C54" s="75" t="s">
        <v>481</v>
      </c>
      <c r="D54" s="74" t="s">
        <v>422</v>
      </c>
      <c r="E54" s="75" t="s">
        <v>423</v>
      </c>
      <c r="F54" s="74" t="s">
        <v>356</v>
      </c>
      <c r="G54" s="75" t="s">
        <v>431</v>
      </c>
      <c r="H54" s="74" t="s">
        <v>424</v>
      </c>
      <c r="I54" s="75" t="s">
        <v>425</v>
      </c>
      <c r="J54" s="74" t="s">
        <v>482</v>
      </c>
      <c r="K54" s="74" t="s">
        <v>433</v>
      </c>
    </row>
    <row r="55" spans="1:11" x14ac:dyDescent="0.25">
      <c r="A55" s="70" t="str">
        <f t="shared" si="0"/>
        <v>0009-1003-0014</v>
      </c>
      <c r="B55" s="74" t="s">
        <v>324</v>
      </c>
      <c r="C55" s="75" t="s">
        <v>481</v>
      </c>
      <c r="D55" s="74" t="s">
        <v>422</v>
      </c>
      <c r="E55" s="75" t="s">
        <v>423</v>
      </c>
      <c r="F55" s="74" t="s">
        <v>361</v>
      </c>
      <c r="G55" s="75" t="s">
        <v>434</v>
      </c>
      <c r="H55" s="74" t="s">
        <v>424</v>
      </c>
      <c r="I55" s="75" t="s">
        <v>425</v>
      </c>
      <c r="J55" s="74" t="s">
        <v>482</v>
      </c>
      <c r="K55" s="74" t="s">
        <v>433</v>
      </c>
    </row>
    <row r="56" spans="1:11" x14ac:dyDescent="0.25">
      <c r="A56" s="70" t="str">
        <f t="shared" si="0"/>
        <v>0009-1012-0014</v>
      </c>
      <c r="B56" s="74" t="s">
        <v>324</v>
      </c>
      <c r="C56" s="75" t="s">
        <v>481</v>
      </c>
      <c r="D56" s="74" t="s">
        <v>422</v>
      </c>
      <c r="E56" s="75" t="s">
        <v>423</v>
      </c>
      <c r="F56" s="74" t="s">
        <v>350</v>
      </c>
      <c r="G56" s="75" t="s">
        <v>437</v>
      </c>
      <c r="H56" s="74" t="s">
        <v>424</v>
      </c>
      <c r="I56" s="75" t="s">
        <v>425</v>
      </c>
      <c r="J56" s="74" t="s">
        <v>482</v>
      </c>
      <c r="K56" s="74" t="s">
        <v>392</v>
      </c>
    </row>
    <row r="57" spans="1:11" x14ac:dyDescent="0.25">
      <c r="A57" s="70" t="str">
        <f t="shared" si="0"/>
        <v>0009-1013-0014</v>
      </c>
      <c r="B57" s="74" t="s">
        <v>324</v>
      </c>
      <c r="C57" s="75" t="s">
        <v>481</v>
      </c>
      <c r="D57" s="74" t="s">
        <v>422</v>
      </c>
      <c r="E57" s="75" t="s">
        <v>423</v>
      </c>
      <c r="F57" s="74" t="s">
        <v>354</v>
      </c>
      <c r="G57" s="75" t="s">
        <v>438</v>
      </c>
      <c r="H57" s="74" t="s">
        <v>424</v>
      </c>
      <c r="I57" s="75" t="s">
        <v>425</v>
      </c>
      <c r="J57" s="74" t="s">
        <v>482</v>
      </c>
      <c r="K57" s="74" t="s">
        <v>433</v>
      </c>
    </row>
    <row r="58" spans="1:11" x14ac:dyDescent="0.25">
      <c r="A58" s="70" t="str">
        <f t="shared" si="0"/>
        <v>0009-1014-0014</v>
      </c>
      <c r="B58" s="74" t="s">
        <v>324</v>
      </c>
      <c r="C58" s="75" t="s">
        <v>481</v>
      </c>
      <c r="D58" s="74" t="s">
        <v>422</v>
      </c>
      <c r="E58" s="75" t="s">
        <v>423</v>
      </c>
      <c r="F58" s="74" t="s">
        <v>346</v>
      </c>
      <c r="G58" s="75" t="s">
        <v>452</v>
      </c>
      <c r="H58" s="74" t="s">
        <v>424</v>
      </c>
      <c r="I58" s="75" t="s">
        <v>425</v>
      </c>
      <c r="J58" s="74" t="s">
        <v>482</v>
      </c>
      <c r="K58" s="74" t="s">
        <v>433</v>
      </c>
    </row>
    <row r="59" spans="1:11" x14ac:dyDescent="0.25">
      <c r="A59" s="70" t="str">
        <f t="shared" si="0"/>
        <v>0092-1010-0108</v>
      </c>
      <c r="B59" s="74" t="s">
        <v>483</v>
      </c>
      <c r="C59" s="75" t="s">
        <v>484</v>
      </c>
      <c r="D59" s="74" t="s">
        <v>485</v>
      </c>
      <c r="E59" s="75" t="s">
        <v>486</v>
      </c>
      <c r="F59" s="74" t="s">
        <v>348</v>
      </c>
      <c r="G59" s="75" t="s">
        <v>404</v>
      </c>
      <c r="H59" s="74" t="s">
        <v>487</v>
      </c>
      <c r="I59" s="75" t="s">
        <v>488</v>
      </c>
      <c r="J59" s="74" t="s">
        <v>391</v>
      </c>
      <c r="K59" s="74" t="s">
        <v>392</v>
      </c>
    </row>
    <row r="60" spans="1:11" x14ac:dyDescent="0.25">
      <c r="A60" s="70" t="str">
        <f t="shared" si="0"/>
        <v>0091-1010-0106</v>
      </c>
      <c r="B60" s="74" t="s">
        <v>489</v>
      </c>
      <c r="C60" s="75" t="s">
        <v>490</v>
      </c>
      <c r="D60" s="74" t="s">
        <v>491</v>
      </c>
      <c r="E60" s="75" t="s">
        <v>490</v>
      </c>
      <c r="F60" s="74" t="s">
        <v>348</v>
      </c>
      <c r="G60" s="75" t="s">
        <v>404</v>
      </c>
      <c r="H60" s="74" t="s">
        <v>492</v>
      </c>
      <c r="I60" s="75" t="s">
        <v>490</v>
      </c>
      <c r="J60" s="74" t="s">
        <v>391</v>
      </c>
      <c r="K60" s="74" t="s">
        <v>392</v>
      </c>
    </row>
    <row r="61" spans="1:11" x14ac:dyDescent="0.25">
      <c r="A61" s="70" t="str">
        <f t="shared" si="0"/>
        <v>0092-1001-0103</v>
      </c>
      <c r="B61" s="74" t="s">
        <v>493</v>
      </c>
      <c r="C61" s="75" t="s">
        <v>494</v>
      </c>
      <c r="D61" s="74" t="s">
        <v>485</v>
      </c>
      <c r="E61" s="75" t="s">
        <v>486</v>
      </c>
      <c r="F61" s="74" t="s">
        <v>365</v>
      </c>
      <c r="G61" s="75" t="s">
        <v>458</v>
      </c>
      <c r="H61" s="74" t="s">
        <v>495</v>
      </c>
      <c r="I61" s="75" t="s">
        <v>496</v>
      </c>
      <c r="J61" s="74" t="s">
        <v>470</v>
      </c>
      <c r="K61" s="74" t="s">
        <v>433</v>
      </c>
    </row>
    <row r="62" spans="1:11" x14ac:dyDescent="0.25">
      <c r="A62" s="70" t="str">
        <f t="shared" si="0"/>
        <v>0092-1001-0104</v>
      </c>
      <c r="B62" s="74" t="s">
        <v>493</v>
      </c>
      <c r="C62" s="75" t="s">
        <v>494</v>
      </c>
      <c r="D62" s="74" t="s">
        <v>485</v>
      </c>
      <c r="E62" s="75" t="s">
        <v>486</v>
      </c>
      <c r="F62" s="74" t="s">
        <v>365</v>
      </c>
      <c r="G62" s="75" t="s">
        <v>458</v>
      </c>
      <c r="H62" s="74" t="s">
        <v>466</v>
      </c>
      <c r="I62" s="75" t="s">
        <v>467</v>
      </c>
      <c r="J62" s="74" t="s">
        <v>470</v>
      </c>
      <c r="K62" s="74" t="s">
        <v>433</v>
      </c>
    </row>
    <row r="63" spans="1:11" x14ac:dyDescent="0.25">
      <c r="A63" s="70" t="str">
        <f t="shared" si="0"/>
        <v>0092-1001-0107</v>
      </c>
      <c r="B63" s="74" t="s">
        <v>493</v>
      </c>
      <c r="C63" s="75" t="s">
        <v>494</v>
      </c>
      <c r="D63" s="74" t="s">
        <v>485</v>
      </c>
      <c r="E63" s="75" t="s">
        <v>486</v>
      </c>
      <c r="F63" s="74" t="s">
        <v>365</v>
      </c>
      <c r="G63" s="75" t="s">
        <v>458</v>
      </c>
      <c r="H63" s="74" t="s">
        <v>497</v>
      </c>
      <c r="I63" s="75" t="s">
        <v>498</v>
      </c>
      <c r="J63" s="74" t="s">
        <v>470</v>
      </c>
      <c r="K63" s="74" t="s">
        <v>392</v>
      </c>
    </row>
    <row r="64" spans="1:11" x14ac:dyDescent="0.25">
      <c r="A64" s="70" t="str">
        <f t="shared" si="0"/>
        <v>0006-1001-0002</v>
      </c>
      <c r="B64" s="74" t="s">
        <v>499</v>
      </c>
      <c r="C64" s="75" t="s">
        <v>500</v>
      </c>
      <c r="D64" s="74" t="s">
        <v>461</v>
      </c>
      <c r="E64" s="75" t="s">
        <v>501</v>
      </c>
      <c r="F64" s="74" t="s">
        <v>365</v>
      </c>
      <c r="G64" s="75" t="s">
        <v>458</v>
      </c>
      <c r="H64" s="74" t="s">
        <v>502</v>
      </c>
      <c r="I64" s="75" t="s">
        <v>503</v>
      </c>
      <c r="J64" s="74" t="s">
        <v>391</v>
      </c>
      <c r="K64" s="74" t="s">
        <v>392</v>
      </c>
    </row>
    <row r="65" spans="1:11" x14ac:dyDescent="0.25">
      <c r="A65" s="70" t="str">
        <f t="shared" si="0"/>
        <v>0009-1001-0013</v>
      </c>
      <c r="B65" s="74" t="s">
        <v>504</v>
      </c>
      <c r="C65" s="75" t="s">
        <v>505</v>
      </c>
      <c r="D65" s="74" t="s">
        <v>422</v>
      </c>
      <c r="E65" s="75" t="s">
        <v>423</v>
      </c>
      <c r="F65" s="74" t="s">
        <v>365</v>
      </c>
      <c r="G65" s="75" t="s">
        <v>458</v>
      </c>
      <c r="H65" s="74" t="s">
        <v>506</v>
      </c>
      <c r="I65" s="75" t="s">
        <v>507</v>
      </c>
      <c r="J65" s="74" t="s">
        <v>391</v>
      </c>
      <c r="K65" s="74" t="s">
        <v>392</v>
      </c>
    </row>
    <row r="66" spans="1:11" x14ac:dyDescent="0.25">
      <c r="A66" s="70" t="str">
        <f t="shared" si="0"/>
        <v>0006-1001-0004</v>
      </c>
      <c r="B66" s="74" t="s">
        <v>327</v>
      </c>
      <c r="C66" s="75" t="s">
        <v>508</v>
      </c>
      <c r="D66" s="74" t="s">
        <v>461</v>
      </c>
      <c r="E66" s="75" t="s">
        <v>501</v>
      </c>
      <c r="F66" s="74" t="s">
        <v>365</v>
      </c>
      <c r="G66" s="75" t="s">
        <v>458</v>
      </c>
      <c r="H66" s="74" t="s">
        <v>509</v>
      </c>
      <c r="I66" s="75" t="s">
        <v>510</v>
      </c>
      <c r="J66" s="74" t="s">
        <v>463</v>
      </c>
      <c r="K66" s="74" t="s">
        <v>392</v>
      </c>
    </row>
    <row r="67" spans="1:11" x14ac:dyDescent="0.25">
      <c r="A67" s="70" t="str">
        <f t="shared" si="0"/>
        <v>0006-1009-0004</v>
      </c>
      <c r="B67" s="74" t="s">
        <v>327</v>
      </c>
      <c r="C67" s="75" t="s">
        <v>508</v>
      </c>
      <c r="D67" s="74" t="s">
        <v>461</v>
      </c>
      <c r="E67" s="75" t="s">
        <v>501</v>
      </c>
      <c r="F67" s="74" t="s">
        <v>369</v>
      </c>
      <c r="G67" s="75" t="s">
        <v>511</v>
      </c>
      <c r="H67" s="74" t="s">
        <v>509</v>
      </c>
      <c r="I67" s="75" t="s">
        <v>510</v>
      </c>
      <c r="J67" s="74" t="s">
        <v>463</v>
      </c>
      <c r="K67" s="74" t="s">
        <v>433</v>
      </c>
    </row>
    <row r="68" spans="1:11" x14ac:dyDescent="0.25">
      <c r="A68" s="70" t="str">
        <f t="shared" ref="A68:A131" si="1">D68&amp;"-"&amp;F68&amp;"-"&amp;H68</f>
        <v>0006-1004-0005</v>
      </c>
      <c r="B68" s="74" t="s">
        <v>318</v>
      </c>
      <c r="C68" s="75" t="s">
        <v>512</v>
      </c>
      <c r="D68" s="74" t="s">
        <v>461</v>
      </c>
      <c r="E68" s="75" t="s">
        <v>501</v>
      </c>
      <c r="F68" s="74" t="s">
        <v>352</v>
      </c>
      <c r="G68" s="75" t="s">
        <v>408</v>
      </c>
      <c r="H68" s="74" t="s">
        <v>417</v>
      </c>
      <c r="I68" s="75" t="s">
        <v>513</v>
      </c>
      <c r="J68" s="74" t="s">
        <v>470</v>
      </c>
      <c r="K68" s="74" t="s">
        <v>392</v>
      </c>
    </row>
    <row r="69" spans="1:11" x14ac:dyDescent="0.25">
      <c r="A69" s="70" t="str">
        <f t="shared" si="1"/>
        <v>0006-1005-0005</v>
      </c>
      <c r="B69" s="74" t="s">
        <v>318</v>
      </c>
      <c r="C69" s="75" t="s">
        <v>512</v>
      </c>
      <c r="D69" s="74" t="s">
        <v>461</v>
      </c>
      <c r="E69" s="75" t="s">
        <v>501</v>
      </c>
      <c r="F69" s="74" t="s">
        <v>359</v>
      </c>
      <c r="G69" s="75" t="s">
        <v>435</v>
      </c>
      <c r="H69" s="74" t="s">
        <v>417</v>
      </c>
      <c r="I69" s="75" t="s">
        <v>513</v>
      </c>
      <c r="J69" s="74" t="s">
        <v>470</v>
      </c>
      <c r="K69" s="74" t="s">
        <v>433</v>
      </c>
    </row>
    <row r="70" spans="1:11" x14ac:dyDescent="0.25">
      <c r="A70" s="70" t="str">
        <f t="shared" si="1"/>
        <v>0006-1006-0005</v>
      </c>
      <c r="B70" s="74" t="s">
        <v>318</v>
      </c>
      <c r="C70" s="75" t="s">
        <v>512</v>
      </c>
      <c r="D70" s="74" t="s">
        <v>461</v>
      </c>
      <c r="E70" s="75" t="s">
        <v>501</v>
      </c>
      <c r="F70" s="74" t="s">
        <v>355</v>
      </c>
      <c r="G70" s="75" t="s">
        <v>436</v>
      </c>
      <c r="H70" s="74" t="s">
        <v>417</v>
      </c>
      <c r="I70" s="75" t="s">
        <v>513</v>
      </c>
      <c r="J70" s="74" t="s">
        <v>470</v>
      </c>
      <c r="K70" s="74" t="s">
        <v>433</v>
      </c>
    </row>
    <row r="71" spans="1:11" x14ac:dyDescent="0.25">
      <c r="A71" s="70" t="str">
        <f t="shared" si="1"/>
        <v>0006-1010-0005</v>
      </c>
      <c r="B71" s="74" t="s">
        <v>326</v>
      </c>
      <c r="C71" s="75" t="s">
        <v>514</v>
      </c>
      <c r="D71" s="74" t="s">
        <v>461</v>
      </c>
      <c r="E71" s="75" t="s">
        <v>501</v>
      </c>
      <c r="F71" s="74" t="s">
        <v>348</v>
      </c>
      <c r="G71" s="75" t="s">
        <v>404</v>
      </c>
      <c r="H71" s="74" t="s">
        <v>417</v>
      </c>
      <c r="I71" s="75" t="s">
        <v>513</v>
      </c>
      <c r="J71" s="74" t="s">
        <v>391</v>
      </c>
      <c r="K71" s="74" t="s">
        <v>392</v>
      </c>
    </row>
    <row r="72" spans="1:11" x14ac:dyDescent="0.25">
      <c r="A72" s="70" t="str">
        <f t="shared" si="1"/>
        <v>0006-1001-0030</v>
      </c>
      <c r="B72" s="74" t="s">
        <v>515</v>
      </c>
      <c r="C72" s="75" t="s">
        <v>516</v>
      </c>
      <c r="D72" s="74" t="s">
        <v>461</v>
      </c>
      <c r="E72" s="75" t="s">
        <v>501</v>
      </c>
      <c r="F72" s="74" t="s">
        <v>365</v>
      </c>
      <c r="G72" s="75" t="s">
        <v>458</v>
      </c>
      <c r="H72" s="74" t="s">
        <v>517</v>
      </c>
      <c r="I72" s="75" t="s">
        <v>518</v>
      </c>
      <c r="J72" s="74" t="s">
        <v>391</v>
      </c>
      <c r="K72" s="74" t="s">
        <v>392</v>
      </c>
    </row>
    <row r="73" spans="1:11" x14ac:dyDescent="0.25">
      <c r="A73" s="70" t="str">
        <f t="shared" si="1"/>
        <v>0006-1009-0009</v>
      </c>
      <c r="B73" s="74" t="s">
        <v>519</v>
      </c>
      <c r="C73" s="75" t="s">
        <v>520</v>
      </c>
      <c r="D73" s="74" t="s">
        <v>461</v>
      </c>
      <c r="E73" s="75" t="s">
        <v>501</v>
      </c>
      <c r="F73" s="74" t="s">
        <v>369</v>
      </c>
      <c r="G73" s="75" t="s">
        <v>511</v>
      </c>
      <c r="H73" s="74" t="s">
        <v>422</v>
      </c>
      <c r="I73" s="75" t="s">
        <v>521</v>
      </c>
      <c r="J73" s="74" t="s">
        <v>391</v>
      </c>
      <c r="K73" s="74" t="s">
        <v>392</v>
      </c>
    </row>
    <row r="74" spans="1:11" x14ac:dyDescent="0.25">
      <c r="A74" s="70" t="str">
        <f t="shared" si="1"/>
        <v>0009-1001-0025</v>
      </c>
      <c r="B74" s="74" t="s">
        <v>522</v>
      </c>
      <c r="C74" s="75" t="s">
        <v>523</v>
      </c>
      <c r="D74" s="74" t="s">
        <v>422</v>
      </c>
      <c r="E74" s="75" t="s">
        <v>423</v>
      </c>
      <c r="F74" s="74" t="s">
        <v>365</v>
      </c>
      <c r="G74" s="75" t="s">
        <v>458</v>
      </c>
      <c r="H74" s="74" t="s">
        <v>524</v>
      </c>
      <c r="I74" s="75" t="s">
        <v>525</v>
      </c>
      <c r="J74" s="74" t="s">
        <v>391</v>
      </c>
      <c r="K74" s="74" t="s">
        <v>392</v>
      </c>
    </row>
    <row r="75" spans="1:11" x14ac:dyDescent="0.25">
      <c r="A75" s="70" t="str">
        <f t="shared" si="1"/>
        <v>0009-1009-0009</v>
      </c>
      <c r="B75" s="74" t="s">
        <v>526</v>
      </c>
      <c r="C75" s="75" t="s">
        <v>527</v>
      </c>
      <c r="D75" s="74" t="s">
        <v>422</v>
      </c>
      <c r="E75" s="75" t="s">
        <v>423</v>
      </c>
      <c r="F75" s="74" t="s">
        <v>369</v>
      </c>
      <c r="G75" s="75" t="s">
        <v>511</v>
      </c>
      <c r="H75" s="74" t="s">
        <v>422</v>
      </c>
      <c r="I75" s="75" t="s">
        <v>521</v>
      </c>
      <c r="J75" s="74" t="s">
        <v>391</v>
      </c>
      <c r="K75" s="74" t="s">
        <v>392</v>
      </c>
    </row>
    <row r="76" spans="1:11" x14ac:dyDescent="0.25">
      <c r="A76" s="70" t="str">
        <f t="shared" si="1"/>
        <v>0008-1005-0012</v>
      </c>
      <c r="B76" s="74" t="s">
        <v>231</v>
      </c>
      <c r="C76" s="75" t="s">
        <v>528</v>
      </c>
      <c r="D76" s="74" t="s">
        <v>413</v>
      </c>
      <c r="E76" s="75" t="s">
        <v>529</v>
      </c>
      <c r="F76" s="74" t="s">
        <v>359</v>
      </c>
      <c r="G76" s="75" t="s">
        <v>435</v>
      </c>
      <c r="H76" s="74" t="s">
        <v>344</v>
      </c>
      <c r="I76" s="75" t="s">
        <v>530</v>
      </c>
      <c r="J76" s="74" t="s">
        <v>391</v>
      </c>
      <c r="K76" s="74" t="s">
        <v>392</v>
      </c>
    </row>
    <row r="77" spans="1:11" x14ac:dyDescent="0.25">
      <c r="A77" s="70" t="str">
        <f t="shared" si="1"/>
        <v>0008-1002-0012</v>
      </c>
      <c r="B77" s="74" t="s">
        <v>233</v>
      </c>
      <c r="C77" s="75" t="s">
        <v>531</v>
      </c>
      <c r="D77" s="74" t="s">
        <v>413</v>
      </c>
      <c r="E77" s="75" t="s">
        <v>529</v>
      </c>
      <c r="F77" s="74" t="s">
        <v>356</v>
      </c>
      <c r="G77" s="75" t="s">
        <v>431</v>
      </c>
      <c r="H77" s="74" t="s">
        <v>344</v>
      </c>
      <c r="I77" s="75" t="s">
        <v>530</v>
      </c>
      <c r="J77" s="74" t="s">
        <v>391</v>
      </c>
      <c r="K77" s="74" t="s">
        <v>392</v>
      </c>
    </row>
    <row r="78" spans="1:11" x14ac:dyDescent="0.25">
      <c r="A78" s="70" t="str">
        <f t="shared" si="1"/>
        <v>0008-1012-0012</v>
      </c>
      <c r="B78" s="74" t="s">
        <v>234</v>
      </c>
      <c r="C78" s="75" t="s">
        <v>532</v>
      </c>
      <c r="D78" s="74" t="s">
        <v>413</v>
      </c>
      <c r="E78" s="75" t="s">
        <v>529</v>
      </c>
      <c r="F78" s="74" t="s">
        <v>350</v>
      </c>
      <c r="G78" s="75" t="s">
        <v>437</v>
      </c>
      <c r="H78" s="74" t="s">
        <v>344</v>
      </c>
      <c r="I78" s="75" t="s">
        <v>530</v>
      </c>
      <c r="J78" s="74" t="s">
        <v>391</v>
      </c>
      <c r="K78" s="74" t="s">
        <v>392</v>
      </c>
    </row>
    <row r="79" spans="1:11" x14ac:dyDescent="0.25">
      <c r="A79" s="70" t="str">
        <f t="shared" si="1"/>
        <v>0008-1013-0012</v>
      </c>
      <c r="B79" s="74" t="s">
        <v>235</v>
      </c>
      <c r="C79" s="75" t="s">
        <v>533</v>
      </c>
      <c r="D79" s="74" t="s">
        <v>413</v>
      </c>
      <c r="E79" s="75" t="s">
        <v>529</v>
      </c>
      <c r="F79" s="74" t="s">
        <v>354</v>
      </c>
      <c r="G79" s="75" t="s">
        <v>438</v>
      </c>
      <c r="H79" s="74" t="s">
        <v>344</v>
      </c>
      <c r="I79" s="75" t="s">
        <v>530</v>
      </c>
      <c r="J79" s="74" t="s">
        <v>391</v>
      </c>
      <c r="K79" s="74" t="s">
        <v>392</v>
      </c>
    </row>
    <row r="80" spans="1:11" x14ac:dyDescent="0.25">
      <c r="A80" s="70" t="str">
        <f t="shared" si="1"/>
        <v>0008-1003-0012</v>
      </c>
      <c r="B80" s="74" t="s">
        <v>236</v>
      </c>
      <c r="C80" s="75" t="s">
        <v>534</v>
      </c>
      <c r="D80" s="74" t="s">
        <v>413</v>
      </c>
      <c r="E80" s="75" t="s">
        <v>529</v>
      </c>
      <c r="F80" s="74" t="s">
        <v>361</v>
      </c>
      <c r="G80" s="75" t="s">
        <v>434</v>
      </c>
      <c r="H80" s="74" t="s">
        <v>344</v>
      </c>
      <c r="I80" s="75" t="s">
        <v>530</v>
      </c>
      <c r="J80" s="74" t="s">
        <v>391</v>
      </c>
      <c r="K80" s="74" t="s">
        <v>392</v>
      </c>
    </row>
    <row r="81" spans="1:11" x14ac:dyDescent="0.25">
      <c r="A81" s="70" t="str">
        <f t="shared" si="1"/>
        <v>0008-1001-0021</v>
      </c>
      <c r="B81" s="74" t="s">
        <v>249</v>
      </c>
      <c r="C81" s="75" t="s">
        <v>535</v>
      </c>
      <c r="D81" s="74" t="s">
        <v>413</v>
      </c>
      <c r="E81" s="75" t="s">
        <v>529</v>
      </c>
      <c r="F81" s="74" t="s">
        <v>365</v>
      </c>
      <c r="G81" s="75" t="s">
        <v>458</v>
      </c>
      <c r="H81" s="74" t="s">
        <v>366</v>
      </c>
      <c r="I81" s="75" t="s">
        <v>536</v>
      </c>
      <c r="J81" s="74" t="s">
        <v>391</v>
      </c>
      <c r="K81" s="74" t="s">
        <v>392</v>
      </c>
    </row>
    <row r="82" spans="1:11" x14ac:dyDescent="0.25">
      <c r="A82" s="70" t="str">
        <f t="shared" si="1"/>
        <v>0008-1001-0022</v>
      </c>
      <c r="B82" s="74" t="s">
        <v>250</v>
      </c>
      <c r="C82" s="75" t="s">
        <v>537</v>
      </c>
      <c r="D82" s="74" t="s">
        <v>413</v>
      </c>
      <c r="E82" s="75" t="s">
        <v>529</v>
      </c>
      <c r="F82" s="74" t="s">
        <v>365</v>
      </c>
      <c r="G82" s="75" t="s">
        <v>458</v>
      </c>
      <c r="H82" s="74" t="s">
        <v>367</v>
      </c>
      <c r="I82" s="75" t="s">
        <v>538</v>
      </c>
      <c r="J82" s="74" t="s">
        <v>391</v>
      </c>
      <c r="K82" s="74" t="s">
        <v>392</v>
      </c>
    </row>
    <row r="83" spans="1:11" x14ac:dyDescent="0.25">
      <c r="A83" s="70" t="str">
        <f t="shared" si="1"/>
        <v>0008-1004-0012</v>
      </c>
      <c r="B83" s="74" t="s">
        <v>237</v>
      </c>
      <c r="C83" s="75" t="s">
        <v>539</v>
      </c>
      <c r="D83" s="74" t="s">
        <v>413</v>
      </c>
      <c r="E83" s="75" t="s">
        <v>529</v>
      </c>
      <c r="F83" s="74" t="s">
        <v>352</v>
      </c>
      <c r="G83" s="75" t="s">
        <v>408</v>
      </c>
      <c r="H83" s="74" t="s">
        <v>344</v>
      </c>
      <c r="I83" s="75" t="s">
        <v>530</v>
      </c>
      <c r="J83" s="74" t="s">
        <v>391</v>
      </c>
      <c r="K83" s="74" t="s">
        <v>392</v>
      </c>
    </row>
    <row r="84" spans="1:11" x14ac:dyDescent="0.25">
      <c r="A84" s="70" t="str">
        <f t="shared" si="1"/>
        <v>0008-1010-0017</v>
      </c>
      <c r="B84" s="74" t="s">
        <v>239</v>
      </c>
      <c r="C84" s="75" t="s">
        <v>540</v>
      </c>
      <c r="D84" s="74" t="s">
        <v>413</v>
      </c>
      <c r="E84" s="75" t="s">
        <v>529</v>
      </c>
      <c r="F84" s="74" t="s">
        <v>348</v>
      </c>
      <c r="G84" s="75" t="s">
        <v>404</v>
      </c>
      <c r="H84" s="74" t="s">
        <v>349</v>
      </c>
      <c r="I84" s="75" t="s">
        <v>541</v>
      </c>
      <c r="J84" s="74" t="s">
        <v>391</v>
      </c>
      <c r="K84" s="74" t="s">
        <v>392</v>
      </c>
    </row>
    <row r="85" spans="1:11" x14ac:dyDescent="0.25">
      <c r="A85" s="70" t="str">
        <f t="shared" si="1"/>
        <v>0008-1001-0012</v>
      </c>
      <c r="B85" s="74" t="s">
        <v>247</v>
      </c>
      <c r="C85" s="75" t="s">
        <v>542</v>
      </c>
      <c r="D85" s="74" t="s">
        <v>413</v>
      </c>
      <c r="E85" s="75" t="s">
        <v>529</v>
      </c>
      <c r="F85" s="74" t="s">
        <v>365</v>
      </c>
      <c r="G85" s="75" t="s">
        <v>458</v>
      </c>
      <c r="H85" s="74" t="s">
        <v>344</v>
      </c>
      <c r="I85" s="75" t="s">
        <v>530</v>
      </c>
      <c r="J85" s="74" t="s">
        <v>391</v>
      </c>
      <c r="K85" s="74" t="s">
        <v>392</v>
      </c>
    </row>
    <row r="86" spans="1:11" x14ac:dyDescent="0.25">
      <c r="A86" s="70" t="str">
        <f t="shared" si="1"/>
        <v>0008-1006-0012</v>
      </c>
      <c r="B86" s="74" t="s">
        <v>238</v>
      </c>
      <c r="C86" s="75" t="s">
        <v>543</v>
      </c>
      <c r="D86" s="74" t="s">
        <v>413</v>
      </c>
      <c r="E86" s="75" t="s">
        <v>529</v>
      </c>
      <c r="F86" s="74" t="s">
        <v>355</v>
      </c>
      <c r="G86" s="75" t="s">
        <v>436</v>
      </c>
      <c r="H86" s="74" t="s">
        <v>344</v>
      </c>
      <c r="I86" s="75" t="s">
        <v>530</v>
      </c>
      <c r="J86" s="74" t="s">
        <v>391</v>
      </c>
      <c r="K86" s="74" t="s">
        <v>392</v>
      </c>
    </row>
    <row r="87" spans="1:11" x14ac:dyDescent="0.25">
      <c r="A87" s="70" t="str">
        <f t="shared" si="1"/>
        <v>0008-1009-0009</v>
      </c>
      <c r="B87" s="74" t="s">
        <v>210</v>
      </c>
      <c r="C87" s="75" t="s">
        <v>544</v>
      </c>
      <c r="D87" s="74" t="s">
        <v>413</v>
      </c>
      <c r="E87" s="75" t="s">
        <v>529</v>
      </c>
      <c r="F87" s="74" t="s">
        <v>369</v>
      </c>
      <c r="G87" s="75" t="s">
        <v>511</v>
      </c>
      <c r="H87" s="74" t="s">
        <v>422</v>
      </c>
      <c r="I87" s="75" t="s">
        <v>521</v>
      </c>
      <c r="J87" s="74" t="s">
        <v>391</v>
      </c>
      <c r="K87" s="74" t="s">
        <v>392</v>
      </c>
    </row>
    <row r="88" spans="1:11" x14ac:dyDescent="0.25">
      <c r="A88" s="70" t="str">
        <f t="shared" si="1"/>
        <v>0008-1001-0007</v>
      </c>
      <c r="B88" s="74" t="s">
        <v>248</v>
      </c>
      <c r="C88" s="75" t="s">
        <v>545</v>
      </c>
      <c r="D88" s="74" t="s">
        <v>413</v>
      </c>
      <c r="E88" s="75" t="s">
        <v>529</v>
      </c>
      <c r="F88" s="74" t="s">
        <v>365</v>
      </c>
      <c r="G88" s="75" t="s">
        <v>458</v>
      </c>
      <c r="H88" s="74" t="s">
        <v>411</v>
      </c>
      <c r="I88" s="75" t="s">
        <v>546</v>
      </c>
      <c r="J88" s="74" t="s">
        <v>391</v>
      </c>
      <c r="K88" s="74" t="s">
        <v>392</v>
      </c>
    </row>
    <row r="89" spans="1:11" x14ac:dyDescent="0.25">
      <c r="A89" s="70" t="str">
        <f t="shared" si="1"/>
        <v>0001-1001-0026</v>
      </c>
      <c r="B89" s="74" t="s">
        <v>271</v>
      </c>
      <c r="C89" s="75" t="s">
        <v>547</v>
      </c>
      <c r="D89" s="74" t="s">
        <v>419</v>
      </c>
      <c r="E89" s="75" t="s">
        <v>548</v>
      </c>
      <c r="F89" s="74" t="s">
        <v>365</v>
      </c>
      <c r="G89" s="75" t="s">
        <v>458</v>
      </c>
      <c r="H89" s="74" t="s">
        <v>549</v>
      </c>
      <c r="I89" s="75" t="s">
        <v>550</v>
      </c>
      <c r="J89" s="74" t="s">
        <v>391</v>
      </c>
      <c r="K89" s="74" t="s">
        <v>392</v>
      </c>
    </row>
    <row r="90" spans="1:11" x14ac:dyDescent="0.25">
      <c r="A90" s="70" t="str">
        <f t="shared" si="1"/>
        <v>0001-1001-0027</v>
      </c>
      <c r="B90" s="74" t="s">
        <v>272</v>
      </c>
      <c r="C90" s="75" t="s">
        <v>551</v>
      </c>
      <c r="D90" s="74" t="s">
        <v>419</v>
      </c>
      <c r="E90" s="75" t="s">
        <v>548</v>
      </c>
      <c r="F90" s="74" t="s">
        <v>365</v>
      </c>
      <c r="G90" s="75" t="s">
        <v>458</v>
      </c>
      <c r="H90" s="74" t="s">
        <v>552</v>
      </c>
      <c r="I90" s="75" t="s">
        <v>553</v>
      </c>
      <c r="J90" s="74" t="s">
        <v>391</v>
      </c>
      <c r="K90" s="74" t="s">
        <v>392</v>
      </c>
    </row>
    <row r="91" spans="1:11" x14ac:dyDescent="0.25">
      <c r="A91" s="70" t="str">
        <f t="shared" si="1"/>
        <v>0002-1001-0028</v>
      </c>
      <c r="B91" s="74" t="s">
        <v>273</v>
      </c>
      <c r="C91" s="75" t="s">
        <v>554</v>
      </c>
      <c r="D91" s="74" t="s">
        <v>502</v>
      </c>
      <c r="E91" s="75" t="s">
        <v>555</v>
      </c>
      <c r="F91" s="74" t="s">
        <v>365</v>
      </c>
      <c r="G91" s="75" t="s">
        <v>458</v>
      </c>
      <c r="H91" s="74" t="s">
        <v>556</v>
      </c>
      <c r="I91" s="75" t="s">
        <v>557</v>
      </c>
      <c r="J91" s="74" t="s">
        <v>391</v>
      </c>
      <c r="K91" s="74" t="s">
        <v>392</v>
      </c>
    </row>
    <row r="92" spans="1:11" x14ac:dyDescent="0.25">
      <c r="A92" s="70" t="str">
        <f t="shared" si="1"/>
        <v>0002-1001-0029</v>
      </c>
      <c r="B92" s="74" t="s">
        <v>274</v>
      </c>
      <c r="C92" s="75" t="s">
        <v>558</v>
      </c>
      <c r="D92" s="74" t="s">
        <v>502</v>
      </c>
      <c r="E92" s="75" t="s">
        <v>555</v>
      </c>
      <c r="F92" s="74" t="s">
        <v>365</v>
      </c>
      <c r="G92" s="75" t="s">
        <v>458</v>
      </c>
      <c r="H92" s="74" t="s">
        <v>559</v>
      </c>
      <c r="I92" s="75" t="s">
        <v>560</v>
      </c>
      <c r="J92" s="74" t="s">
        <v>391</v>
      </c>
      <c r="K92" s="74" t="s">
        <v>392</v>
      </c>
    </row>
    <row r="93" spans="1:11" x14ac:dyDescent="0.25">
      <c r="A93" s="70" t="str">
        <f t="shared" si="1"/>
        <v>0002-1010-0028</v>
      </c>
      <c r="B93" s="74" t="s">
        <v>328</v>
      </c>
      <c r="C93" s="75" t="s">
        <v>561</v>
      </c>
      <c r="D93" s="74" t="s">
        <v>502</v>
      </c>
      <c r="E93" s="75" t="s">
        <v>555</v>
      </c>
      <c r="F93" s="74" t="s">
        <v>348</v>
      </c>
      <c r="G93" s="75" t="s">
        <v>404</v>
      </c>
      <c r="H93" s="74" t="s">
        <v>556</v>
      </c>
      <c r="I93" s="75" t="s">
        <v>557</v>
      </c>
      <c r="J93" s="74" t="s">
        <v>391</v>
      </c>
      <c r="K93" s="74" t="s">
        <v>392</v>
      </c>
    </row>
    <row r="94" spans="1:11" x14ac:dyDescent="0.25">
      <c r="A94" s="70" t="str">
        <f t="shared" si="1"/>
        <v>0001-1002-0003</v>
      </c>
      <c r="B94" s="74" t="s">
        <v>251</v>
      </c>
      <c r="C94" s="75" t="s">
        <v>562</v>
      </c>
      <c r="D94" s="74" t="s">
        <v>419</v>
      </c>
      <c r="E94" s="75" t="s">
        <v>548</v>
      </c>
      <c r="F94" s="74" t="s">
        <v>356</v>
      </c>
      <c r="G94" s="75" t="s">
        <v>431</v>
      </c>
      <c r="H94" s="74" t="s">
        <v>563</v>
      </c>
      <c r="I94" s="75" t="s">
        <v>564</v>
      </c>
      <c r="J94" s="74" t="s">
        <v>445</v>
      </c>
      <c r="K94" s="74" t="s">
        <v>433</v>
      </c>
    </row>
    <row r="95" spans="1:11" x14ac:dyDescent="0.25">
      <c r="A95" s="70" t="str">
        <f t="shared" si="1"/>
        <v>0001-1003-0003</v>
      </c>
      <c r="B95" s="74" t="s">
        <v>251</v>
      </c>
      <c r="C95" s="75" t="s">
        <v>562</v>
      </c>
      <c r="D95" s="74" t="s">
        <v>419</v>
      </c>
      <c r="E95" s="75" t="s">
        <v>548</v>
      </c>
      <c r="F95" s="74" t="s">
        <v>361</v>
      </c>
      <c r="G95" s="75" t="s">
        <v>434</v>
      </c>
      <c r="H95" s="74" t="s">
        <v>563</v>
      </c>
      <c r="I95" s="75" t="s">
        <v>564</v>
      </c>
      <c r="J95" s="74" t="s">
        <v>445</v>
      </c>
      <c r="K95" s="74" t="s">
        <v>433</v>
      </c>
    </row>
    <row r="96" spans="1:11" x14ac:dyDescent="0.25">
      <c r="A96" s="70" t="str">
        <f t="shared" si="1"/>
        <v>0001-1012-0003</v>
      </c>
      <c r="B96" s="74" t="s">
        <v>251</v>
      </c>
      <c r="C96" s="75" t="s">
        <v>562</v>
      </c>
      <c r="D96" s="74" t="s">
        <v>419</v>
      </c>
      <c r="E96" s="75" t="s">
        <v>548</v>
      </c>
      <c r="F96" s="74" t="s">
        <v>350</v>
      </c>
      <c r="G96" s="75" t="s">
        <v>437</v>
      </c>
      <c r="H96" s="74" t="s">
        <v>563</v>
      </c>
      <c r="I96" s="75" t="s">
        <v>564</v>
      </c>
      <c r="J96" s="74" t="s">
        <v>445</v>
      </c>
      <c r="K96" s="74" t="s">
        <v>392</v>
      </c>
    </row>
    <row r="97" spans="1:11" x14ac:dyDescent="0.25">
      <c r="A97" s="70" t="str">
        <f t="shared" si="1"/>
        <v>0001-1013-0003</v>
      </c>
      <c r="B97" s="74" t="s">
        <v>251</v>
      </c>
      <c r="C97" s="75" t="s">
        <v>562</v>
      </c>
      <c r="D97" s="74" t="s">
        <v>419</v>
      </c>
      <c r="E97" s="75" t="s">
        <v>548</v>
      </c>
      <c r="F97" s="74" t="s">
        <v>354</v>
      </c>
      <c r="G97" s="75" t="s">
        <v>438</v>
      </c>
      <c r="H97" s="74" t="s">
        <v>563</v>
      </c>
      <c r="I97" s="75" t="s">
        <v>564</v>
      </c>
      <c r="J97" s="74" t="s">
        <v>445</v>
      </c>
      <c r="K97" s="74" t="s">
        <v>433</v>
      </c>
    </row>
    <row r="98" spans="1:11" x14ac:dyDescent="0.25">
      <c r="A98" s="70" t="str">
        <f t="shared" si="1"/>
        <v>0002-1002-0005</v>
      </c>
      <c r="B98" s="74" t="s">
        <v>253</v>
      </c>
      <c r="C98" s="75" t="s">
        <v>544</v>
      </c>
      <c r="D98" s="74" t="s">
        <v>502</v>
      </c>
      <c r="E98" s="75" t="s">
        <v>555</v>
      </c>
      <c r="F98" s="74" t="s">
        <v>356</v>
      </c>
      <c r="G98" s="75" t="s">
        <v>431</v>
      </c>
      <c r="H98" s="74" t="s">
        <v>417</v>
      </c>
      <c r="I98" s="75" t="s">
        <v>513</v>
      </c>
      <c r="J98" s="74" t="s">
        <v>445</v>
      </c>
      <c r="K98" s="74" t="s">
        <v>433</v>
      </c>
    </row>
    <row r="99" spans="1:11" x14ac:dyDescent="0.25">
      <c r="A99" s="70" t="str">
        <f t="shared" si="1"/>
        <v>0002-1003-0005</v>
      </c>
      <c r="B99" s="74" t="s">
        <v>253</v>
      </c>
      <c r="C99" s="75" t="s">
        <v>544</v>
      </c>
      <c r="D99" s="74" t="s">
        <v>502</v>
      </c>
      <c r="E99" s="75" t="s">
        <v>555</v>
      </c>
      <c r="F99" s="74" t="s">
        <v>361</v>
      </c>
      <c r="G99" s="75" t="s">
        <v>434</v>
      </c>
      <c r="H99" s="74" t="s">
        <v>417</v>
      </c>
      <c r="I99" s="75" t="s">
        <v>513</v>
      </c>
      <c r="J99" s="74" t="s">
        <v>445</v>
      </c>
      <c r="K99" s="74" t="s">
        <v>433</v>
      </c>
    </row>
    <row r="100" spans="1:11" x14ac:dyDescent="0.25">
      <c r="A100" s="70" t="str">
        <f t="shared" si="1"/>
        <v>0002-1012-0005</v>
      </c>
      <c r="B100" s="74" t="s">
        <v>253</v>
      </c>
      <c r="C100" s="75" t="s">
        <v>544</v>
      </c>
      <c r="D100" s="74" t="s">
        <v>502</v>
      </c>
      <c r="E100" s="75" t="s">
        <v>555</v>
      </c>
      <c r="F100" s="74" t="s">
        <v>350</v>
      </c>
      <c r="G100" s="75" t="s">
        <v>437</v>
      </c>
      <c r="H100" s="74" t="s">
        <v>417</v>
      </c>
      <c r="I100" s="75" t="s">
        <v>513</v>
      </c>
      <c r="J100" s="74" t="s">
        <v>445</v>
      </c>
      <c r="K100" s="74" t="s">
        <v>392</v>
      </c>
    </row>
    <row r="101" spans="1:11" x14ac:dyDescent="0.25">
      <c r="A101" s="70" t="str">
        <f t="shared" si="1"/>
        <v>0002-1013-0005</v>
      </c>
      <c r="B101" s="74" t="s">
        <v>253</v>
      </c>
      <c r="C101" s="75" t="s">
        <v>544</v>
      </c>
      <c r="D101" s="74" t="s">
        <v>502</v>
      </c>
      <c r="E101" s="75" t="s">
        <v>555</v>
      </c>
      <c r="F101" s="74" t="s">
        <v>354</v>
      </c>
      <c r="G101" s="75" t="s">
        <v>438</v>
      </c>
      <c r="H101" s="74" t="s">
        <v>417</v>
      </c>
      <c r="I101" s="75" t="s">
        <v>513</v>
      </c>
      <c r="J101" s="74" t="s">
        <v>445</v>
      </c>
      <c r="K101" s="74" t="s">
        <v>433</v>
      </c>
    </row>
    <row r="102" spans="1:11" x14ac:dyDescent="0.25">
      <c r="A102" s="70" t="str">
        <f t="shared" si="1"/>
        <v>0014-1002-0042</v>
      </c>
      <c r="B102" s="74" t="s">
        <v>325</v>
      </c>
      <c r="C102" s="75" t="s">
        <v>565</v>
      </c>
      <c r="D102" s="74" t="s">
        <v>424</v>
      </c>
      <c r="E102" s="75" t="s">
        <v>566</v>
      </c>
      <c r="F102" s="74" t="s">
        <v>356</v>
      </c>
      <c r="G102" s="75" t="s">
        <v>431</v>
      </c>
      <c r="H102" s="74" t="s">
        <v>567</v>
      </c>
      <c r="I102" s="75" t="s">
        <v>568</v>
      </c>
      <c r="J102" s="74" t="s">
        <v>445</v>
      </c>
      <c r="K102" s="74" t="s">
        <v>433</v>
      </c>
    </row>
    <row r="103" spans="1:11" x14ac:dyDescent="0.25">
      <c r="A103" s="70" t="str">
        <f t="shared" si="1"/>
        <v>0014-1003-0042</v>
      </c>
      <c r="B103" s="74" t="s">
        <v>325</v>
      </c>
      <c r="C103" s="75" t="s">
        <v>565</v>
      </c>
      <c r="D103" s="74" t="s">
        <v>424</v>
      </c>
      <c r="E103" s="75" t="s">
        <v>566</v>
      </c>
      <c r="F103" s="74" t="s">
        <v>361</v>
      </c>
      <c r="G103" s="75" t="s">
        <v>434</v>
      </c>
      <c r="H103" s="74" t="s">
        <v>567</v>
      </c>
      <c r="I103" s="75" t="s">
        <v>568</v>
      </c>
      <c r="J103" s="74" t="s">
        <v>445</v>
      </c>
      <c r="K103" s="74" t="s">
        <v>433</v>
      </c>
    </row>
    <row r="104" spans="1:11" x14ac:dyDescent="0.25">
      <c r="A104" s="70" t="str">
        <f t="shared" si="1"/>
        <v>0014-1012-0042</v>
      </c>
      <c r="B104" s="74" t="s">
        <v>325</v>
      </c>
      <c r="C104" s="75" t="s">
        <v>565</v>
      </c>
      <c r="D104" s="74" t="s">
        <v>424</v>
      </c>
      <c r="E104" s="75" t="s">
        <v>566</v>
      </c>
      <c r="F104" s="74" t="s">
        <v>350</v>
      </c>
      <c r="G104" s="75" t="s">
        <v>437</v>
      </c>
      <c r="H104" s="74" t="s">
        <v>567</v>
      </c>
      <c r="I104" s="75" t="s">
        <v>568</v>
      </c>
      <c r="J104" s="74" t="s">
        <v>445</v>
      </c>
      <c r="K104" s="74" t="s">
        <v>392</v>
      </c>
    </row>
    <row r="105" spans="1:11" x14ac:dyDescent="0.25">
      <c r="A105" s="70" t="str">
        <f t="shared" si="1"/>
        <v>0014-1013-0042</v>
      </c>
      <c r="B105" s="74" t="s">
        <v>325</v>
      </c>
      <c r="C105" s="75" t="s">
        <v>565</v>
      </c>
      <c r="D105" s="74" t="s">
        <v>424</v>
      </c>
      <c r="E105" s="75" t="s">
        <v>566</v>
      </c>
      <c r="F105" s="74" t="s">
        <v>354</v>
      </c>
      <c r="G105" s="75" t="s">
        <v>438</v>
      </c>
      <c r="H105" s="74" t="s">
        <v>567</v>
      </c>
      <c r="I105" s="75" t="s">
        <v>568</v>
      </c>
      <c r="J105" s="74" t="s">
        <v>445</v>
      </c>
      <c r="K105" s="74" t="s">
        <v>433</v>
      </c>
    </row>
    <row r="106" spans="1:11" x14ac:dyDescent="0.25">
      <c r="A106" s="70" t="str">
        <f t="shared" si="1"/>
        <v>0002-1014-0042</v>
      </c>
      <c r="B106" s="74" t="s">
        <v>254</v>
      </c>
      <c r="C106" s="75" t="s">
        <v>569</v>
      </c>
      <c r="D106" s="74" t="s">
        <v>502</v>
      </c>
      <c r="E106" s="75" t="s">
        <v>555</v>
      </c>
      <c r="F106" s="74" t="s">
        <v>346</v>
      </c>
      <c r="G106" s="75" t="s">
        <v>452</v>
      </c>
      <c r="H106" s="74" t="s">
        <v>567</v>
      </c>
      <c r="I106" s="75" t="s">
        <v>568</v>
      </c>
      <c r="J106" s="74" t="s">
        <v>391</v>
      </c>
      <c r="K106" s="74" t="s">
        <v>392</v>
      </c>
    </row>
    <row r="107" spans="1:11" x14ac:dyDescent="0.25">
      <c r="A107" s="70" t="str">
        <f t="shared" si="1"/>
        <v>0001-1010-0003</v>
      </c>
      <c r="B107" s="74" t="s">
        <v>255</v>
      </c>
      <c r="C107" s="75" t="s">
        <v>570</v>
      </c>
      <c r="D107" s="74" t="s">
        <v>419</v>
      </c>
      <c r="E107" s="75" t="s">
        <v>548</v>
      </c>
      <c r="F107" s="74" t="s">
        <v>348</v>
      </c>
      <c r="G107" s="75" t="s">
        <v>404</v>
      </c>
      <c r="H107" s="74" t="s">
        <v>563</v>
      </c>
      <c r="I107" s="75" t="s">
        <v>564</v>
      </c>
      <c r="J107" s="74" t="s">
        <v>391</v>
      </c>
      <c r="K107" s="74" t="s">
        <v>392</v>
      </c>
    </row>
    <row r="108" spans="1:11" x14ac:dyDescent="0.25">
      <c r="A108" s="70" t="str">
        <f t="shared" si="1"/>
        <v>0002-1010-0004</v>
      </c>
      <c r="B108" s="74" t="s">
        <v>256</v>
      </c>
      <c r="C108" s="75" t="s">
        <v>571</v>
      </c>
      <c r="D108" s="74" t="s">
        <v>502</v>
      </c>
      <c r="E108" s="75" t="s">
        <v>555</v>
      </c>
      <c r="F108" s="74" t="s">
        <v>348</v>
      </c>
      <c r="G108" s="75" t="s">
        <v>404</v>
      </c>
      <c r="H108" s="74" t="s">
        <v>509</v>
      </c>
      <c r="I108" s="75" t="s">
        <v>510</v>
      </c>
      <c r="J108" s="74" t="s">
        <v>463</v>
      </c>
      <c r="K108" s="74" t="s">
        <v>433</v>
      </c>
    </row>
    <row r="109" spans="1:11" x14ac:dyDescent="0.25">
      <c r="A109" s="70" t="str">
        <f t="shared" si="1"/>
        <v>0002-1010-0005</v>
      </c>
      <c r="B109" s="74" t="s">
        <v>256</v>
      </c>
      <c r="C109" s="75" t="s">
        <v>571</v>
      </c>
      <c r="D109" s="74" t="s">
        <v>502</v>
      </c>
      <c r="E109" s="75" t="s">
        <v>555</v>
      </c>
      <c r="F109" s="74" t="s">
        <v>348</v>
      </c>
      <c r="G109" s="75" t="s">
        <v>404</v>
      </c>
      <c r="H109" s="74" t="s">
        <v>417</v>
      </c>
      <c r="I109" s="75" t="s">
        <v>513</v>
      </c>
      <c r="J109" s="74" t="s">
        <v>463</v>
      </c>
      <c r="K109" s="74" t="s">
        <v>392</v>
      </c>
    </row>
    <row r="110" spans="1:11" x14ac:dyDescent="0.25">
      <c r="A110" s="70" t="str">
        <f t="shared" si="1"/>
        <v>0001-1009-0003</v>
      </c>
      <c r="B110" s="74" t="s">
        <v>275</v>
      </c>
      <c r="C110" s="75" t="s">
        <v>572</v>
      </c>
      <c r="D110" s="74" t="s">
        <v>419</v>
      </c>
      <c r="E110" s="75" t="s">
        <v>548</v>
      </c>
      <c r="F110" s="74" t="s">
        <v>369</v>
      </c>
      <c r="G110" s="75" t="s">
        <v>511</v>
      </c>
      <c r="H110" s="74" t="s">
        <v>563</v>
      </c>
      <c r="I110" s="75" t="s">
        <v>564</v>
      </c>
      <c r="J110" s="74" t="s">
        <v>391</v>
      </c>
      <c r="K110" s="74" t="s">
        <v>392</v>
      </c>
    </row>
    <row r="111" spans="1:11" x14ac:dyDescent="0.25">
      <c r="A111" s="70" t="str">
        <f t="shared" si="1"/>
        <v>0001-1000-0003</v>
      </c>
      <c r="B111" s="74" t="s">
        <v>257</v>
      </c>
      <c r="C111" s="75" t="s">
        <v>573</v>
      </c>
      <c r="D111" s="74" t="s">
        <v>419</v>
      </c>
      <c r="E111" s="75" t="s">
        <v>548</v>
      </c>
      <c r="F111" s="74" t="s">
        <v>343</v>
      </c>
      <c r="G111" s="75" t="s">
        <v>574</v>
      </c>
      <c r="H111" s="74" t="s">
        <v>563</v>
      </c>
      <c r="I111" s="75" t="s">
        <v>564</v>
      </c>
      <c r="J111" s="74" t="s">
        <v>445</v>
      </c>
      <c r="K111" s="74" t="s">
        <v>433</v>
      </c>
    </row>
    <row r="112" spans="1:11" x14ac:dyDescent="0.25">
      <c r="A112" s="70" t="str">
        <f t="shared" si="1"/>
        <v>0001-1004-0003</v>
      </c>
      <c r="B112" s="74" t="s">
        <v>257</v>
      </c>
      <c r="C112" s="75" t="s">
        <v>573</v>
      </c>
      <c r="D112" s="74" t="s">
        <v>419</v>
      </c>
      <c r="E112" s="75" t="s">
        <v>548</v>
      </c>
      <c r="F112" s="74" t="s">
        <v>352</v>
      </c>
      <c r="G112" s="75" t="s">
        <v>408</v>
      </c>
      <c r="H112" s="74" t="s">
        <v>563</v>
      </c>
      <c r="I112" s="75" t="s">
        <v>564</v>
      </c>
      <c r="J112" s="74" t="s">
        <v>445</v>
      </c>
      <c r="K112" s="74" t="s">
        <v>392</v>
      </c>
    </row>
    <row r="113" spans="1:11" x14ac:dyDescent="0.25">
      <c r="A113" s="70" t="str">
        <f t="shared" si="1"/>
        <v>0001-1005-0003</v>
      </c>
      <c r="B113" s="74" t="s">
        <v>257</v>
      </c>
      <c r="C113" s="75" t="s">
        <v>573</v>
      </c>
      <c r="D113" s="74" t="s">
        <v>419</v>
      </c>
      <c r="E113" s="75" t="s">
        <v>548</v>
      </c>
      <c r="F113" s="74" t="s">
        <v>359</v>
      </c>
      <c r="G113" s="75" t="s">
        <v>435</v>
      </c>
      <c r="H113" s="74" t="s">
        <v>563</v>
      </c>
      <c r="I113" s="75" t="s">
        <v>564</v>
      </c>
      <c r="J113" s="74" t="s">
        <v>445</v>
      </c>
      <c r="K113" s="74" t="s">
        <v>433</v>
      </c>
    </row>
    <row r="114" spans="1:11" x14ac:dyDescent="0.25">
      <c r="A114" s="70" t="str">
        <f t="shared" si="1"/>
        <v>0001-1006-0003</v>
      </c>
      <c r="B114" s="74" t="s">
        <v>257</v>
      </c>
      <c r="C114" s="75" t="s">
        <v>573</v>
      </c>
      <c r="D114" s="74" t="s">
        <v>419</v>
      </c>
      <c r="E114" s="75" t="s">
        <v>548</v>
      </c>
      <c r="F114" s="74" t="s">
        <v>355</v>
      </c>
      <c r="G114" s="75" t="s">
        <v>436</v>
      </c>
      <c r="H114" s="74" t="s">
        <v>563</v>
      </c>
      <c r="I114" s="75" t="s">
        <v>564</v>
      </c>
      <c r="J114" s="74" t="s">
        <v>445</v>
      </c>
      <c r="K114" s="74" t="s">
        <v>433</v>
      </c>
    </row>
    <row r="115" spans="1:11" x14ac:dyDescent="0.25">
      <c r="A115" s="70" t="str">
        <f t="shared" si="1"/>
        <v>0002-1000-0005</v>
      </c>
      <c r="B115" s="74" t="s">
        <v>258</v>
      </c>
      <c r="C115" s="75" t="s">
        <v>575</v>
      </c>
      <c r="D115" s="74" t="s">
        <v>502</v>
      </c>
      <c r="E115" s="75" t="s">
        <v>555</v>
      </c>
      <c r="F115" s="74" t="s">
        <v>343</v>
      </c>
      <c r="G115" s="75" t="s">
        <v>574</v>
      </c>
      <c r="H115" s="74" t="s">
        <v>417</v>
      </c>
      <c r="I115" s="75" t="s">
        <v>513</v>
      </c>
      <c r="J115" s="74" t="s">
        <v>445</v>
      </c>
      <c r="K115" s="74" t="s">
        <v>433</v>
      </c>
    </row>
    <row r="116" spans="1:11" x14ac:dyDescent="0.25">
      <c r="A116" s="70" t="str">
        <f t="shared" si="1"/>
        <v>0002-1004-0005</v>
      </c>
      <c r="B116" s="74" t="s">
        <v>258</v>
      </c>
      <c r="C116" s="75" t="s">
        <v>575</v>
      </c>
      <c r="D116" s="74" t="s">
        <v>502</v>
      </c>
      <c r="E116" s="75" t="s">
        <v>555</v>
      </c>
      <c r="F116" s="74" t="s">
        <v>352</v>
      </c>
      <c r="G116" s="75" t="s">
        <v>408</v>
      </c>
      <c r="H116" s="74" t="s">
        <v>417</v>
      </c>
      <c r="I116" s="75" t="s">
        <v>513</v>
      </c>
      <c r="J116" s="74" t="s">
        <v>445</v>
      </c>
      <c r="K116" s="74" t="s">
        <v>392</v>
      </c>
    </row>
    <row r="117" spans="1:11" x14ac:dyDescent="0.25">
      <c r="A117" s="70" t="str">
        <f t="shared" si="1"/>
        <v>0002-1005-0005</v>
      </c>
      <c r="B117" s="74" t="s">
        <v>258</v>
      </c>
      <c r="C117" s="75" t="s">
        <v>575</v>
      </c>
      <c r="D117" s="74" t="s">
        <v>502</v>
      </c>
      <c r="E117" s="75" t="s">
        <v>555</v>
      </c>
      <c r="F117" s="74" t="s">
        <v>359</v>
      </c>
      <c r="G117" s="75" t="s">
        <v>435</v>
      </c>
      <c r="H117" s="74" t="s">
        <v>417</v>
      </c>
      <c r="I117" s="75" t="s">
        <v>513</v>
      </c>
      <c r="J117" s="74" t="s">
        <v>445</v>
      </c>
      <c r="K117" s="74" t="s">
        <v>433</v>
      </c>
    </row>
    <row r="118" spans="1:11" x14ac:dyDescent="0.25">
      <c r="A118" s="70" t="str">
        <f t="shared" si="1"/>
        <v>0002-1006-0005</v>
      </c>
      <c r="B118" s="74" t="s">
        <v>258</v>
      </c>
      <c r="C118" s="75" t="s">
        <v>575</v>
      </c>
      <c r="D118" s="74" t="s">
        <v>502</v>
      </c>
      <c r="E118" s="75" t="s">
        <v>555</v>
      </c>
      <c r="F118" s="74" t="s">
        <v>355</v>
      </c>
      <c r="G118" s="75" t="s">
        <v>436</v>
      </c>
      <c r="H118" s="74" t="s">
        <v>417</v>
      </c>
      <c r="I118" s="75" t="s">
        <v>513</v>
      </c>
      <c r="J118" s="74" t="s">
        <v>445</v>
      </c>
      <c r="K118" s="74" t="s">
        <v>433</v>
      </c>
    </row>
    <row r="119" spans="1:11" x14ac:dyDescent="0.25">
      <c r="A119" s="70" t="str">
        <f t="shared" si="1"/>
        <v>0001-1014-0003</v>
      </c>
      <c r="B119" s="74" t="s">
        <v>259</v>
      </c>
      <c r="C119" s="75" t="s">
        <v>562</v>
      </c>
      <c r="D119" s="74" t="s">
        <v>419</v>
      </c>
      <c r="E119" s="75" t="s">
        <v>548</v>
      </c>
      <c r="F119" s="74" t="s">
        <v>346</v>
      </c>
      <c r="G119" s="75" t="s">
        <v>452</v>
      </c>
      <c r="H119" s="74" t="s">
        <v>563</v>
      </c>
      <c r="I119" s="75" t="s">
        <v>564</v>
      </c>
      <c r="J119" s="74" t="s">
        <v>391</v>
      </c>
      <c r="K119" s="74" t="s">
        <v>392</v>
      </c>
    </row>
    <row r="120" spans="1:11" x14ac:dyDescent="0.25">
      <c r="A120" s="70" t="str">
        <f t="shared" si="1"/>
        <v>0002-1002-0043</v>
      </c>
      <c r="B120" s="74" t="s">
        <v>260</v>
      </c>
      <c r="C120" s="75" t="s">
        <v>576</v>
      </c>
      <c r="D120" s="74" t="s">
        <v>502</v>
      </c>
      <c r="E120" s="75" t="s">
        <v>555</v>
      </c>
      <c r="F120" s="74" t="s">
        <v>356</v>
      </c>
      <c r="G120" s="75" t="s">
        <v>431</v>
      </c>
      <c r="H120" s="74" t="s">
        <v>577</v>
      </c>
      <c r="I120" s="75" t="s">
        <v>578</v>
      </c>
      <c r="J120" s="74" t="s">
        <v>432</v>
      </c>
      <c r="K120" s="74" t="s">
        <v>433</v>
      </c>
    </row>
    <row r="121" spans="1:11" x14ac:dyDescent="0.25">
      <c r="A121" s="70" t="str">
        <f t="shared" si="1"/>
        <v>0002-1003-0043</v>
      </c>
      <c r="B121" s="74" t="s">
        <v>260</v>
      </c>
      <c r="C121" s="75" t="s">
        <v>576</v>
      </c>
      <c r="D121" s="74" t="s">
        <v>502</v>
      </c>
      <c r="E121" s="75" t="s">
        <v>555</v>
      </c>
      <c r="F121" s="74" t="s">
        <v>361</v>
      </c>
      <c r="G121" s="75" t="s">
        <v>434</v>
      </c>
      <c r="H121" s="74" t="s">
        <v>577</v>
      </c>
      <c r="I121" s="75" t="s">
        <v>578</v>
      </c>
      <c r="J121" s="74" t="s">
        <v>432</v>
      </c>
      <c r="K121" s="74" t="s">
        <v>433</v>
      </c>
    </row>
    <row r="122" spans="1:11" x14ac:dyDescent="0.25">
      <c r="A122" s="70" t="str">
        <f t="shared" si="1"/>
        <v>0002-1004-0043</v>
      </c>
      <c r="B122" s="74" t="s">
        <v>260</v>
      </c>
      <c r="C122" s="75" t="s">
        <v>576</v>
      </c>
      <c r="D122" s="74" t="s">
        <v>502</v>
      </c>
      <c r="E122" s="75" t="s">
        <v>555</v>
      </c>
      <c r="F122" s="74" t="s">
        <v>352</v>
      </c>
      <c r="G122" s="75" t="s">
        <v>408</v>
      </c>
      <c r="H122" s="74" t="s">
        <v>577</v>
      </c>
      <c r="I122" s="75" t="s">
        <v>578</v>
      </c>
      <c r="J122" s="74" t="s">
        <v>432</v>
      </c>
      <c r="K122" s="74" t="s">
        <v>392</v>
      </c>
    </row>
    <row r="123" spans="1:11" x14ac:dyDescent="0.25">
      <c r="A123" s="70" t="str">
        <f t="shared" si="1"/>
        <v>0002-1005-0043</v>
      </c>
      <c r="B123" s="74" t="s">
        <v>260</v>
      </c>
      <c r="C123" s="75" t="s">
        <v>576</v>
      </c>
      <c r="D123" s="74" t="s">
        <v>502</v>
      </c>
      <c r="E123" s="75" t="s">
        <v>555</v>
      </c>
      <c r="F123" s="74" t="s">
        <v>359</v>
      </c>
      <c r="G123" s="75" t="s">
        <v>435</v>
      </c>
      <c r="H123" s="74" t="s">
        <v>577</v>
      </c>
      <c r="I123" s="75" t="s">
        <v>578</v>
      </c>
      <c r="J123" s="74" t="s">
        <v>432</v>
      </c>
      <c r="K123" s="74" t="s">
        <v>433</v>
      </c>
    </row>
    <row r="124" spans="1:11" x14ac:dyDescent="0.25">
      <c r="A124" s="70" t="str">
        <f t="shared" si="1"/>
        <v>0002-1006-0043</v>
      </c>
      <c r="B124" s="74" t="s">
        <v>260</v>
      </c>
      <c r="C124" s="75" t="s">
        <v>576</v>
      </c>
      <c r="D124" s="74" t="s">
        <v>502</v>
      </c>
      <c r="E124" s="75" t="s">
        <v>555</v>
      </c>
      <c r="F124" s="74" t="s">
        <v>355</v>
      </c>
      <c r="G124" s="75" t="s">
        <v>436</v>
      </c>
      <c r="H124" s="74" t="s">
        <v>577</v>
      </c>
      <c r="I124" s="75" t="s">
        <v>578</v>
      </c>
      <c r="J124" s="74" t="s">
        <v>432</v>
      </c>
      <c r="K124" s="74" t="s">
        <v>433</v>
      </c>
    </row>
    <row r="125" spans="1:11" x14ac:dyDescent="0.25">
      <c r="A125" s="70" t="str">
        <f t="shared" si="1"/>
        <v>0002-1012-0043</v>
      </c>
      <c r="B125" s="74" t="s">
        <v>260</v>
      </c>
      <c r="C125" s="75" t="s">
        <v>576</v>
      </c>
      <c r="D125" s="74" t="s">
        <v>502</v>
      </c>
      <c r="E125" s="75" t="s">
        <v>555</v>
      </c>
      <c r="F125" s="74" t="s">
        <v>350</v>
      </c>
      <c r="G125" s="75" t="s">
        <v>437</v>
      </c>
      <c r="H125" s="74" t="s">
        <v>577</v>
      </c>
      <c r="I125" s="75" t="s">
        <v>578</v>
      </c>
      <c r="J125" s="74" t="s">
        <v>432</v>
      </c>
      <c r="K125" s="74" t="s">
        <v>433</v>
      </c>
    </row>
    <row r="126" spans="1:11" x14ac:dyDescent="0.25">
      <c r="A126" s="70" t="str">
        <f t="shared" si="1"/>
        <v>0002-1013-0043</v>
      </c>
      <c r="B126" s="74" t="s">
        <v>260</v>
      </c>
      <c r="C126" s="75" t="s">
        <v>576</v>
      </c>
      <c r="D126" s="74" t="s">
        <v>502</v>
      </c>
      <c r="E126" s="75" t="s">
        <v>555</v>
      </c>
      <c r="F126" s="74" t="s">
        <v>354</v>
      </c>
      <c r="G126" s="75" t="s">
        <v>438</v>
      </c>
      <c r="H126" s="74" t="s">
        <v>577</v>
      </c>
      <c r="I126" s="75" t="s">
        <v>578</v>
      </c>
      <c r="J126" s="74" t="s">
        <v>432</v>
      </c>
      <c r="K126" s="74" t="s">
        <v>433</v>
      </c>
    </row>
    <row r="127" spans="1:11" x14ac:dyDescent="0.25">
      <c r="A127" s="70" t="str">
        <f t="shared" si="1"/>
        <v>0014-1004-0042</v>
      </c>
      <c r="B127" s="74" t="s">
        <v>329</v>
      </c>
      <c r="C127" s="75" t="s">
        <v>579</v>
      </c>
      <c r="D127" s="74" t="s">
        <v>424</v>
      </c>
      <c r="E127" s="75" t="s">
        <v>566</v>
      </c>
      <c r="F127" s="74" t="s">
        <v>352</v>
      </c>
      <c r="G127" s="75" t="s">
        <v>408</v>
      </c>
      <c r="H127" s="74" t="s">
        <v>567</v>
      </c>
      <c r="I127" s="75" t="s">
        <v>568</v>
      </c>
      <c r="J127" s="74" t="s">
        <v>470</v>
      </c>
      <c r="K127" s="74" t="s">
        <v>392</v>
      </c>
    </row>
    <row r="128" spans="1:11" x14ac:dyDescent="0.25">
      <c r="A128" s="70" t="str">
        <f t="shared" si="1"/>
        <v>0014-1005-0042</v>
      </c>
      <c r="B128" s="74" t="s">
        <v>329</v>
      </c>
      <c r="C128" s="75" t="s">
        <v>579</v>
      </c>
      <c r="D128" s="74" t="s">
        <v>424</v>
      </c>
      <c r="E128" s="75" t="s">
        <v>566</v>
      </c>
      <c r="F128" s="74" t="s">
        <v>359</v>
      </c>
      <c r="G128" s="75" t="s">
        <v>435</v>
      </c>
      <c r="H128" s="74" t="s">
        <v>567</v>
      </c>
      <c r="I128" s="75" t="s">
        <v>568</v>
      </c>
      <c r="J128" s="74" t="s">
        <v>470</v>
      </c>
      <c r="K128" s="74" t="s">
        <v>433</v>
      </c>
    </row>
    <row r="129" spans="1:11" x14ac:dyDescent="0.25">
      <c r="A129" s="70" t="str">
        <f t="shared" si="1"/>
        <v>0014-1006-0042</v>
      </c>
      <c r="B129" s="74" t="s">
        <v>329</v>
      </c>
      <c r="C129" s="75" t="s">
        <v>579</v>
      </c>
      <c r="D129" s="74" t="s">
        <v>424</v>
      </c>
      <c r="E129" s="75" t="s">
        <v>566</v>
      </c>
      <c r="F129" s="74" t="s">
        <v>355</v>
      </c>
      <c r="G129" s="75" t="s">
        <v>436</v>
      </c>
      <c r="H129" s="74" t="s">
        <v>567</v>
      </c>
      <c r="I129" s="75" t="s">
        <v>568</v>
      </c>
      <c r="J129" s="74" t="s">
        <v>470</v>
      </c>
      <c r="K129" s="74" t="s">
        <v>433</v>
      </c>
    </row>
    <row r="130" spans="1:11" x14ac:dyDescent="0.25">
      <c r="A130" s="70" t="str">
        <f t="shared" si="1"/>
        <v>0001-1001-0003</v>
      </c>
      <c r="B130" s="74" t="s">
        <v>261</v>
      </c>
      <c r="C130" s="75" t="s">
        <v>580</v>
      </c>
      <c r="D130" s="74" t="s">
        <v>419</v>
      </c>
      <c r="E130" s="75" t="s">
        <v>548</v>
      </c>
      <c r="F130" s="74" t="s">
        <v>365</v>
      </c>
      <c r="G130" s="75" t="s">
        <v>458</v>
      </c>
      <c r="H130" s="74" t="s">
        <v>563</v>
      </c>
      <c r="I130" s="75" t="s">
        <v>564</v>
      </c>
      <c r="J130" s="74" t="s">
        <v>391</v>
      </c>
      <c r="K130" s="74" t="s">
        <v>392</v>
      </c>
    </row>
    <row r="131" spans="1:11" x14ac:dyDescent="0.25">
      <c r="A131" s="70" t="str">
        <f t="shared" si="1"/>
        <v>0002-1001-0005</v>
      </c>
      <c r="B131" s="74" t="s">
        <v>262</v>
      </c>
      <c r="C131" s="75" t="s">
        <v>581</v>
      </c>
      <c r="D131" s="74" t="s">
        <v>502</v>
      </c>
      <c r="E131" s="75" t="s">
        <v>555</v>
      </c>
      <c r="F131" s="74" t="s">
        <v>365</v>
      </c>
      <c r="G131" s="75" t="s">
        <v>458</v>
      </c>
      <c r="H131" s="74" t="s">
        <v>417</v>
      </c>
      <c r="I131" s="75" t="s">
        <v>513</v>
      </c>
      <c r="J131" s="74" t="s">
        <v>391</v>
      </c>
      <c r="K131" s="74" t="s">
        <v>392</v>
      </c>
    </row>
    <row r="132" spans="1:11" x14ac:dyDescent="0.25">
      <c r="A132" s="70" t="str">
        <f t="shared" ref="A132:A195" si="2">D132&amp;"-"&amp;F132&amp;"-"&amp;H132</f>
        <v>0001-1001-0044</v>
      </c>
      <c r="B132" s="74" t="s">
        <v>263</v>
      </c>
      <c r="C132" s="75" t="s">
        <v>582</v>
      </c>
      <c r="D132" s="74" t="s">
        <v>419</v>
      </c>
      <c r="E132" s="75" t="s">
        <v>548</v>
      </c>
      <c r="F132" s="74" t="s">
        <v>365</v>
      </c>
      <c r="G132" s="75" t="s">
        <v>458</v>
      </c>
      <c r="H132" s="74" t="s">
        <v>583</v>
      </c>
      <c r="I132" s="75" t="s">
        <v>582</v>
      </c>
      <c r="J132" s="74" t="s">
        <v>391</v>
      </c>
      <c r="K132" s="74" t="s">
        <v>392</v>
      </c>
    </row>
    <row r="133" spans="1:11" x14ac:dyDescent="0.25">
      <c r="A133" s="70" t="str">
        <f t="shared" si="2"/>
        <v>0002-1009-0009</v>
      </c>
      <c r="B133" s="74" t="s">
        <v>264</v>
      </c>
      <c r="C133" s="75" t="s">
        <v>584</v>
      </c>
      <c r="D133" s="74" t="s">
        <v>502</v>
      </c>
      <c r="E133" s="75" t="s">
        <v>555</v>
      </c>
      <c r="F133" s="74" t="s">
        <v>369</v>
      </c>
      <c r="G133" s="75" t="s">
        <v>511</v>
      </c>
      <c r="H133" s="74" t="s">
        <v>422</v>
      </c>
      <c r="I133" s="75" t="s">
        <v>521</v>
      </c>
      <c r="J133" s="74" t="s">
        <v>391</v>
      </c>
      <c r="K133" s="74" t="s">
        <v>392</v>
      </c>
    </row>
    <row r="134" spans="1:11" x14ac:dyDescent="0.25">
      <c r="A134" s="70" t="str">
        <f t="shared" si="2"/>
        <v>0004-1001-0025</v>
      </c>
      <c r="B134" s="74" t="s">
        <v>269</v>
      </c>
      <c r="C134" s="75" t="s">
        <v>585</v>
      </c>
      <c r="D134" s="74" t="s">
        <v>509</v>
      </c>
      <c r="E134" s="75" t="s">
        <v>586</v>
      </c>
      <c r="F134" s="74" t="s">
        <v>365</v>
      </c>
      <c r="G134" s="75" t="s">
        <v>458</v>
      </c>
      <c r="H134" s="74" t="s">
        <v>524</v>
      </c>
      <c r="I134" s="75" t="s">
        <v>525</v>
      </c>
      <c r="J134" s="74" t="s">
        <v>391</v>
      </c>
      <c r="K134" s="74" t="s">
        <v>392</v>
      </c>
    </row>
    <row r="135" spans="1:11" x14ac:dyDescent="0.25">
      <c r="A135" s="70" t="str">
        <f t="shared" si="2"/>
        <v>0004-1010-0025</v>
      </c>
      <c r="B135" s="74" t="s">
        <v>319</v>
      </c>
      <c r="C135" s="75" t="s">
        <v>587</v>
      </c>
      <c r="D135" s="74" t="s">
        <v>509</v>
      </c>
      <c r="E135" s="75" t="s">
        <v>586</v>
      </c>
      <c r="F135" s="74" t="s">
        <v>348</v>
      </c>
      <c r="G135" s="75" t="s">
        <v>404</v>
      </c>
      <c r="H135" s="74" t="s">
        <v>524</v>
      </c>
      <c r="I135" s="75" t="s">
        <v>525</v>
      </c>
      <c r="J135" s="74" t="s">
        <v>391</v>
      </c>
      <c r="K135" s="74" t="s">
        <v>392</v>
      </c>
    </row>
    <row r="136" spans="1:11" x14ac:dyDescent="0.25">
      <c r="A136" s="70" t="str">
        <f t="shared" si="2"/>
        <v>0015-1002-0035</v>
      </c>
      <c r="B136" s="74" t="s">
        <v>588</v>
      </c>
      <c r="C136" s="75" t="s">
        <v>589</v>
      </c>
      <c r="D136" s="74" t="s">
        <v>590</v>
      </c>
      <c r="E136" s="75" t="s">
        <v>591</v>
      </c>
      <c r="F136" s="74" t="s">
        <v>356</v>
      </c>
      <c r="G136" s="75" t="s">
        <v>431</v>
      </c>
      <c r="H136" s="74" t="s">
        <v>592</v>
      </c>
      <c r="I136" s="75" t="s">
        <v>593</v>
      </c>
      <c r="J136" s="74" t="s">
        <v>445</v>
      </c>
      <c r="K136" s="74" t="s">
        <v>433</v>
      </c>
    </row>
    <row r="137" spans="1:11" x14ac:dyDescent="0.25">
      <c r="A137" s="70" t="str">
        <f t="shared" si="2"/>
        <v>0015-1003-0035</v>
      </c>
      <c r="B137" s="74" t="s">
        <v>588</v>
      </c>
      <c r="C137" s="75" t="s">
        <v>589</v>
      </c>
      <c r="D137" s="74" t="s">
        <v>590</v>
      </c>
      <c r="E137" s="75" t="s">
        <v>591</v>
      </c>
      <c r="F137" s="74" t="s">
        <v>361</v>
      </c>
      <c r="G137" s="75" t="s">
        <v>434</v>
      </c>
      <c r="H137" s="74" t="s">
        <v>592</v>
      </c>
      <c r="I137" s="75" t="s">
        <v>593</v>
      </c>
      <c r="J137" s="74" t="s">
        <v>445</v>
      </c>
      <c r="K137" s="74" t="s">
        <v>433</v>
      </c>
    </row>
    <row r="138" spans="1:11" x14ac:dyDescent="0.25">
      <c r="A138" s="70" t="str">
        <f t="shared" si="2"/>
        <v>0015-1012-0035</v>
      </c>
      <c r="B138" s="74" t="s">
        <v>588</v>
      </c>
      <c r="C138" s="75" t="s">
        <v>589</v>
      </c>
      <c r="D138" s="74" t="s">
        <v>590</v>
      </c>
      <c r="E138" s="75" t="s">
        <v>591</v>
      </c>
      <c r="F138" s="74" t="s">
        <v>350</v>
      </c>
      <c r="G138" s="75" t="s">
        <v>437</v>
      </c>
      <c r="H138" s="74" t="s">
        <v>592</v>
      </c>
      <c r="I138" s="75" t="s">
        <v>593</v>
      </c>
      <c r="J138" s="74" t="s">
        <v>445</v>
      </c>
      <c r="K138" s="74" t="s">
        <v>392</v>
      </c>
    </row>
    <row r="139" spans="1:11" x14ac:dyDescent="0.25">
      <c r="A139" s="70" t="str">
        <f t="shared" si="2"/>
        <v>0015-1013-0035</v>
      </c>
      <c r="B139" s="74" t="s">
        <v>588</v>
      </c>
      <c r="C139" s="75" t="s">
        <v>589</v>
      </c>
      <c r="D139" s="74" t="s">
        <v>590</v>
      </c>
      <c r="E139" s="75" t="s">
        <v>591</v>
      </c>
      <c r="F139" s="74" t="s">
        <v>354</v>
      </c>
      <c r="G139" s="75" t="s">
        <v>438</v>
      </c>
      <c r="H139" s="74" t="s">
        <v>592</v>
      </c>
      <c r="I139" s="75" t="s">
        <v>593</v>
      </c>
      <c r="J139" s="74" t="s">
        <v>445</v>
      </c>
      <c r="K139" s="74" t="s">
        <v>433</v>
      </c>
    </row>
    <row r="140" spans="1:11" x14ac:dyDescent="0.25">
      <c r="A140" s="70" t="str">
        <f t="shared" si="2"/>
        <v>0004-1002-0012</v>
      </c>
      <c r="B140" s="74" t="s">
        <v>265</v>
      </c>
      <c r="C140" s="75" t="s">
        <v>440</v>
      </c>
      <c r="D140" s="74" t="s">
        <v>509</v>
      </c>
      <c r="E140" s="75" t="s">
        <v>586</v>
      </c>
      <c r="F140" s="74" t="s">
        <v>356</v>
      </c>
      <c r="G140" s="75" t="s">
        <v>431</v>
      </c>
      <c r="H140" s="74" t="s">
        <v>344</v>
      </c>
      <c r="I140" s="75" t="s">
        <v>530</v>
      </c>
      <c r="J140" s="74" t="s">
        <v>482</v>
      </c>
      <c r="K140" s="74" t="s">
        <v>433</v>
      </c>
    </row>
    <row r="141" spans="1:11" x14ac:dyDescent="0.25">
      <c r="A141" s="70" t="str">
        <f t="shared" si="2"/>
        <v>0004-1003-0012</v>
      </c>
      <c r="B141" s="74" t="s">
        <v>265</v>
      </c>
      <c r="C141" s="75" t="s">
        <v>440</v>
      </c>
      <c r="D141" s="74" t="s">
        <v>509</v>
      </c>
      <c r="E141" s="75" t="s">
        <v>586</v>
      </c>
      <c r="F141" s="74" t="s">
        <v>361</v>
      </c>
      <c r="G141" s="75" t="s">
        <v>434</v>
      </c>
      <c r="H141" s="74" t="s">
        <v>344</v>
      </c>
      <c r="I141" s="75" t="s">
        <v>530</v>
      </c>
      <c r="J141" s="74" t="s">
        <v>482</v>
      </c>
      <c r="K141" s="74" t="s">
        <v>433</v>
      </c>
    </row>
    <row r="142" spans="1:11" x14ac:dyDescent="0.25">
      <c r="A142" s="70" t="str">
        <f t="shared" si="2"/>
        <v>0004-1008-0012</v>
      </c>
      <c r="B142" s="74" t="s">
        <v>265</v>
      </c>
      <c r="C142" s="75" t="s">
        <v>440</v>
      </c>
      <c r="D142" s="74" t="s">
        <v>509</v>
      </c>
      <c r="E142" s="75" t="s">
        <v>586</v>
      </c>
      <c r="F142" s="74" t="s">
        <v>362</v>
      </c>
      <c r="G142" s="75" t="s">
        <v>594</v>
      </c>
      <c r="H142" s="74" t="s">
        <v>344</v>
      </c>
      <c r="I142" s="75" t="s">
        <v>530</v>
      </c>
      <c r="J142" s="74" t="s">
        <v>482</v>
      </c>
      <c r="K142" s="74" t="s">
        <v>433</v>
      </c>
    </row>
    <row r="143" spans="1:11" x14ac:dyDescent="0.25">
      <c r="A143" s="70" t="str">
        <f t="shared" si="2"/>
        <v>0004-1012-0012</v>
      </c>
      <c r="B143" s="74" t="s">
        <v>265</v>
      </c>
      <c r="C143" s="75" t="s">
        <v>440</v>
      </c>
      <c r="D143" s="74" t="s">
        <v>509</v>
      </c>
      <c r="E143" s="75" t="s">
        <v>586</v>
      </c>
      <c r="F143" s="74" t="s">
        <v>350</v>
      </c>
      <c r="G143" s="75" t="s">
        <v>437</v>
      </c>
      <c r="H143" s="74" t="s">
        <v>344</v>
      </c>
      <c r="I143" s="75" t="s">
        <v>530</v>
      </c>
      <c r="J143" s="74" t="s">
        <v>482</v>
      </c>
      <c r="K143" s="74" t="s">
        <v>392</v>
      </c>
    </row>
    <row r="144" spans="1:11" x14ac:dyDescent="0.25">
      <c r="A144" s="70" t="str">
        <f t="shared" si="2"/>
        <v>0004-1013-0012</v>
      </c>
      <c r="B144" s="74" t="s">
        <v>265</v>
      </c>
      <c r="C144" s="75" t="s">
        <v>440</v>
      </c>
      <c r="D144" s="74" t="s">
        <v>509</v>
      </c>
      <c r="E144" s="75" t="s">
        <v>586</v>
      </c>
      <c r="F144" s="74" t="s">
        <v>354</v>
      </c>
      <c r="G144" s="75" t="s">
        <v>438</v>
      </c>
      <c r="H144" s="74" t="s">
        <v>344</v>
      </c>
      <c r="I144" s="75" t="s">
        <v>530</v>
      </c>
      <c r="J144" s="74" t="s">
        <v>482</v>
      </c>
      <c r="K144" s="74" t="s">
        <v>433</v>
      </c>
    </row>
    <row r="145" spans="1:11" x14ac:dyDescent="0.25">
      <c r="A145" s="70" t="str">
        <f t="shared" si="2"/>
        <v>0004-1014-0012</v>
      </c>
      <c r="B145" s="74" t="s">
        <v>270</v>
      </c>
      <c r="C145" s="75" t="s">
        <v>595</v>
      </c>
      <c r="D145" s="74" t="s">
        <v>509</v>
      </c>
      <c r="E145" s="75" t="s">
        <v>586</v>
      </c>
      <c r="F145" s="74" t="s">
        <v>346</v>
      </c>
      <c r="G145" s="75" t="s">
        <v>452</v>
      </c>
      <c r="H145" s="74" t="s">
        <v>344</v>
      </c>
      <c r="I145" s="75" t="s">
        <v>530</v>
      </c>
      <c r="J145" s="74" t="s">
        <v>391</v>
      </c>
      <c r="K145" s="74" t="s">
        <v>392</v>
      </c>
    </row>
    <row r="146" spans="1:11" x14ac:dyDescent="0.25">
      <c r="A146" s="70" t="str">
        <f t="shared" si="2"/>
        <v>0004-1010-0012</v>
      </c>
      <c r="B146" s="74" t="s">
        <v>266</v>
      </c>
      <c r="C146" s="75" t="s">
        <v>596</v>
      </c>
      <c r="D146" s="74" t="s">
        <v>509</v>
      </c>
      <c r="E146" s="75" t="s">
        <v>586</v>
      </c>
      <c r="F146" s="74" t="s">
        <v>348</v>
      </c>
      <c r="G146" s="75" t="s">
        <v>404</v>
      </c>
      <c r="H146" s="74" t="s">
        <v>344</v>
      </c>
      <c r="I146" s="75" t="s">
        <v>530</v>
      </c>
      <c r="J146" s="74" t="s">
        <v>391</v>
      </c>
      <c r="K146" s="74" t="s">
        <v>392</v>
      </c>
    </row>
    <row r="147" spans="1:11" x14ac:dyDescent="0.25">
      <c r="A147" s="70" t="str">
        <f t="shared" si="2"/>
        <v>0015-1004-0035</v>
      </c>
      <c r="B147" s="74" t="s">
        <v>267</v>
      </c>
      <c r="C147" s="75" t="s">
        <v>597</v>
      </c>
      <c r="D147" s="74" t="s">
        <v>590</v>
      </c>
      <c r="E147" s="75" t="s">
        <v>591</v>
      </c>
      <c r="F147" s="74" t="s">
        <v>352</v>
      </c>
      <c r="G147" s="75" t="s">
        <v>408</v>
      </c>
      <c r="H147" s="74" t="s">
        <v>592</v>
      </c>
      <c r="I147" s="75" t="s">
        <v>593</v>
      </c>
      <c r="J147" s="74" t="s">
        <v>470</v>
      </c>
      <c r="K147" s="74" t="s">
        <v>392</v>
      </c>
    </row>
    <row r="148" spans="1:11" x14ac:dyDescent="0.25">
      <c r="A148" s="70" t="str">
        <f t="shared" si="2"/>
        <v>0015-1005-0035</v>
      </c>
      <c r="B148" s="74" t="s">
        <v>267</v>
      </c>
      <c r="C148" s="75" t="s">
        <v>597</v>
      </c>
      <c r="D148" s="74" t="s">
        <v>590</v>
      </c>
      <c r="E148" s="75" t="s">
        <v>591</v>
      </c>
      <c r="F148" s="74" t="s">
        <v>359</v>
      </c>
      <c r="G148" s="75" t="s">
        <v>435</v>
      </c>
      <c r="H148" s="74" t="s">
        <v>592</v>
      </c>
      <c r="I148" s="75" t="s">
        <v>593</v>
      </c>
      <c r="J148" s="74" t="s">
        <v>470</v>
      </c>
      <c r="K148" s="74" t="s">
        <v>433</v>
      </c>
    </row>
    <row r="149" spans="1:11" x14ac:dyDescent="0.25">
      <c r="A149" s="70" t="str">
        <f t="shared" si="2"/>
        <v>0015-1006-0035</v>
      </c>
      <c r="B149" s="74" t="s">
        <v>267</v>
      </c>
      <c r="C149" s="75" t="s">
        <v>597</v>
      </c>
      <c r="D149" s="74" t="s">
        <v>590</v>
      </c>
      <c r="E149" s="75" t="s">
        <v>591</v>
      </c>
      <c r="F149" s="74" t="s">
        <v>355</v>
      </c>
      <c r="G149" s="75" t="s">
        <v>436</v>
      </c>
      <c r="H149" s="74" t="s">
        <v>592</v>
      </c>
      <c r="I149" s="75" t="s">
        <v>593</v>
      </c>
      <c r="J149" s="74" t="s">
        <v>470</v>
      </c>
      <c r="K149" s="74" t="s">
        <v>433</v>
      </c>
    </row>
    <row r="150" spans="1:11" x14ac:dyDescent="0.25">
      <c r="A150" s="70" t="str">
        <f t="shared" si="2"/>
        <v>0004-1004-0012</v>
      </c>
      <c r="B150" s="74" t="s">
        <v>268</v>
      </c>
      <c r="C150" s="75" t="s">
        <v>598</v>
      </c>
      <c r="D150" s="74" t="s">
        <v>509</v>
      </c>
      <c r="E150" s="75" t="s">
        <v>586</v>
      </c>
      <c r="F150" s="74" t="s">
        <v>352</v>
      </c>
      <c r="G150" s="75" t="s">
        <v>408</v>
      </c>
      <c r="H150" s="74" t="s">
        <v>344</v>
      </c>
      <c r="I150" s="75" t="s">
        <v>530</v>
      </c>
      <c r="J150" s="74" t="s">
        <v>470</v>
      </c>
      <c r="K150" s="74" t="s">
        <v>392</v>
      </c>
    </row>
    <row r="151" spans="1:11" x14ac:dyDescent="0.25">
      <c r="A151" s="70" t="str">
        <f t="shared" si="2"/>
        <v>0004-1005-0012</v>
      </c>
      <c r="B151" s="74" t="s">
        <v>268</v>
      </c>
      <c r="C151" s="75" t="s">
        <v>598</v>
      </c>
      <c r="D151" s="74" t="s">
        <v>509</v>
      </c>
      <c r="E151" s="75" t="s">
        <v>586</v>
      </c>
      <c r="F151" s="74" t="s">
        <v>359</v>
      </c>
      <c r="G151" s="75" t="s">
        <v>435</v>
      </c>
      <c r="H151" s="74" t="s">
        <v>344</v>
      </c>
      <c r="I151" s="75" t="s">
        <v>530</v>
      </c>
      <c r="J151" s="74" t="s">
        <v>470</v>
      </c>
      <c r="K151" s="74" t="s">
        <v>433</v>
      </c>
    </row>
    <row r="152" spans="1:11" x14ac:dyDescent="0.25">
      <c r="A152" s="70" t="str">
        <f t="shared" si="2"/>
        <v>0004-1006-0012</v>
      </c>
      <c r="B152" s="74" t="s">
        <v>268</v>
      </c>
      <c r="C152" s="75" t="s">
        <v>598</v>
      </c>
      <c r="D152" s="74" t="s">
        <v>509</v>
      </c>
      <c r="E152" s="75" t="s">
        <v>586</v>
      </c>
      <c r="F152" s="74" t="s">
        <v>355</v>
      </c>
      <c r="G152" s="75" t="s">
        <v>436</v>
      </c>
      <c r="H152" s="74" t="s">
        <v>344</v>
      </c>
      <c r="I152" s="75" t="s">
        <v>530</v>
      </c>
      <c r="J152" s="74" t="s">
        <v>470</v>
      </c>
      <c r="K152" s="74" t="s">
        <v>433</v>
      </c>
    </row>
    <row r="153" spans="1:11" x14ac:dyDescent="0.25">
      <c r="A153" s="70" t="str">
        <f t="shared" si="2"/>
        <v>0004-1000-0012</v>
      </c>
      <c r="B153" s="74" t="s">
        <v>599</v>
      </c>
      <c r="C153" s="75" t="s">
        <v>600</v>
      </c>
      <c r="D153" s="74" t="s">
        <v>509</v>
      </c>
      <c r="E153" s="75" t="s">
        <v>586</v>
      </c>
      <c r="F153" s="74" t="s">
        <v>343</v>
      </c>
      <c r="G153" s="75" t="s">
        <v>574</v>
      </c>
      <c r="H153" s="74" t="s">
        <v>344</v>
      </c>
      <c r="I153" s="75" t="s">
        <v>530</v>
      </c>
      <c r="J153" s="74" t="s">
        <v>391</v>
      </c>
      <c r="K153" s="74" t="s">
        <v>392</v>
      </c>
    </row>
    <row r="154" spans="1:11" x14ac:dyDescent="0.25">
      <c r="A154" s="70" t="str">
        <f t="shared" si="2"/>
        <v>0011-1008-0300</v>
      </c>
      <c r="B154" s="74" t="s">
        <v>98</v>
      </c>
      <c r="C154" s="75" t="e">
        <v>#N/A</v>
      </c>
      <c r="D154" s="74" t="s">
        <v>345</v>
      </c>
      <c r="E154" s="75" t="s">
        <v>403</v>
      </c>
      <c r="F154" s="74" t="s">
        <v>362</v>
      </c>
      <c r="G154" s="75" t="s">
        <v>594</v>
      </c>
      <c r="H154" s="74" t="s">
        <v>601</v>
      </c>
      <c r="I154" s="75" t="s">
        <v>602</v>
      </c>
      <c r="J154" s="74" t="s">
        <v>391</v>
      </c>
      <c r="K154" s="74" t="s">
        <v>392</v>
      </c>
    </row>
    <row r="155" spans="1:11" x14ac:dyDescent="0.25">
      <c r="A155" s="70" t="str">
        <f t="shared" si="2"/>
        <v>0011-1008-0300</v>
      </c>
      <c r="B155" s="74" t="s">
        <v>178</v>
      </c>
      <c r="C155" s="75" t="e">
        <v>#N/A</v>
      </c>
      <c r="D155" s="74" t="s">
        <v>345</v>
      </c>
      <c r="E155" s="75" t="s">
        <v>403</v>
      </c>
      <c r="F155" s="74" t="s">
        <v>362</v>
      </c>
      <c r="G155" s="75" t="s">
        <v>594</v>
      </c>
      <c r="H155" s="74" t="s">
        <v>601</v>
      </c>
      <c r="I155" s="75" t="s">
        <v>602</v>
      </c>
      <c r="J155" s="74" t="s">
        <v>391</v>
      </c>
      <c r="K155" s="74" t="s">
        <v>392</v>
      </c>
    </row>
    <row r="156" spans="1:11" x14ac:dyDescent="0.25">
      <c r="A156" s="70" t="str">
        <f t="shared" si="2"/>
        <v>0011-1002-0012</v>
      </c>
      <c r="B156" s="74" t="s">
        <v>52</v>
      </c>
      <c r="C156" s="75" t="s">
        <v>603</v>
      </c>
      <c r="D156" s="74" t="s">
        <v>345</v>
      </c>
      <c r="E156" s="75" t="s">
        <v>403</v>
      </c>
      <c r="F156" s="74" t="s">
        <v>356</v>
      </c>
      <c r="G156" s="75" t="s">
        <v>431</v>
      </c>
      <c r="H156" s="74" t="s">
        <v>344</v>
      </c>
      <c r="I156" s="75" t="s">
        <v>530</v>
      </c>
      <c r="J156" s="74" t="s">
        <v>470</v>
      </c>
      <c r="K156" s="74" t="s">
        <v>392</v>
      </c>
    </row>
    <row r="157" spans="1:11" x14ac:dyDescent="0.25">
      <c r="A157" s="70" t="str">
        <f t="shared" si="2"/>
        <v>0011-1002-0052</v>
      </c>
      <c r="B157" s="74" t="s">
        <v>52</v>
      </c>
      <c r="C157" s="75" t="s">
        <v>603</v>
      </c>
      <c r="D157" s="74" t="s">
        <v>345</v>
      </c>
      <c r="E157" s="75" t="s">
        <v>403</v>
      </c>
      <c r="F157" s="74" t="s">
        <v>356</v>
      </c>
      <c r="G157" s="75" t="s">
        <v>431</v>
      </c>
      <c r="H157" s="74" t="s">
        <v>604</v>
      </c>
      <c r="I157" s="75" t="s">
        <v>605</v>
      </c>
      <c r="J157" s="74" t="s">
        <v>470</v>
      </c>
      <c r="K157" s="74" t="s">
        <v>433</v>
      </c>
    </row>
    <row r="158" spans="1:11" x14ac:dyDescent="0.25">
      <c r="A158" s="70" t="str">
        <f t="shared" si="2"/>
        <v>0011-1002-0056</v>
      </c>
      <c r="B158" s="74" t="s">
        <v>52</v>
      </c>
      <c r="C158" s="75" t="s">
        <v>603</v>
      </c>
      <c r="D158" s="74" t="s">
        <v>345</v>
      </c>
      <c r="E158" s="75" t="s">
        <v>403</v>
      </c>
      <c r="F158" s="74" t="s">
        <v>356</v>
      </c>
      <c r="G158" s="75" t="s">
        <v>431</v>
      </c>
      <c r="H158" s="74" t="s">
        <v>368</v>
      </c>
      <c r="I158" s="75" t="s">
        <v>606</v>
      </c>
      <c r="J158" s="74" t="s">
        <v>470</v>
      </c>
      <c r="K158" s="74" t="s">
        <v>433</v>
      </c>
    </row>
    <row r="159" spans="1:11" x14ac:dyDescent="0.25">
      <c r="A159" s="70" t="str">
        <f t="shared" si="2"/>
        <v>0012-1002-0012</v>
      </c>
      <c r="B159" s="74" t="s">
        <v>53</v>
      </c>
      <c r="C159" s="75" t="s">
        <v>607</v>
      </c>
      <c r="D159" s="74" t="s">
        <v>344</v>
      </c>
      <c r="E159" s="75" t="s">
        <v>608</v>
      </c>
      <c r="F159" s="74" t="s">
        <v>356</v>
      </c>
      <c r="G159" s="75" t="s">
        <v>431</v>
      </c>
      <c r="H159" s="74" t="s">
        <v>344</v>
      </c>
      <c r="I159" s="75" t="s">
        <v>530</v>
      </c>
      <c r="J159" s="74" t="s">
        <v>470</v>
      </c>
      <c r="K159" s="74" t="s">
        <v>392</v>
      </c>
    </row>
    <row r="160" spans="1:11" x14ac:dyDescent="0.25">
      <c r="A160" s="70" t="str">
        <f t="shared" si="2"/>
        <v>0012-1002-0052</v>
      </c>
      <c r="B160" s="74" t="s">
        <v>53</v>
      </c>
      <c r="C160" s="75" t="s">
        <v>607</v>
      </c>
      <c r="D160" s="74" t="s">
        <v>344</v>
      </c>
      <c r="E160" s="75" t="s">
        <v>608</v>
      </c>
      <c r="F160" s="74" t="s">
        <v>356</v>
      </c>
      <c r="G160" s="75" t="s">
        <v>431</v>
      </c>
      <c r="H160" s="74" t="s">
        <v>604</v>
      </c>
      <c r="I160" s="75" t="s">
        <v>605</v>
      </c>
      <c r="J160" s="74" t="s">
        <v>470</v>
      </c>
      <c r="K160" s="74" t="s">
        <v>433</v>
      </c>
    </row>
    <row r="161" spans="1:11" x14ac:dyDescent="0.25">
      <c r="A161" s="70" t="str">
        <f t="shared" si="2"/>
        <v>0012-1002-0056</v>
      </c>
      <c r="B161" s="74" t="s">
        <v>53</v>
      </c>
      <c r="C161" s="75" t="s">
        <v>607</v>
      </c>
      <c r="D161" s="74" t="s">
        <v>344</v>
      </c>
      <c r="E161" s="75" t="s">
        <v>608</v>
      </c>
      <c r="F161" s="74" t="s">
        <v>356</v>
      </c>
      <c r="G161" s="75" t="s">
        <v>431</v>
      </c>
      <c r="H161" s="74" t="s">
        <v>368</v>
      </c>
      <c r="I161" s="75" t="s">
        <v>606</v>
      </c>
      <c r="J161" s="74" t="s">
        <v>470</v>
      </c>
      <c r="K161" s="74" t="s">
        <v>433</v>
      </c>
    </row>
    <row r="162" spans="1:11" x14ac:dyDescent="0.25">
      <c r="A162" s="70" t="str">
        <f t="shared" si="2"/>
        <v>0011-1008-0300</v>
      </c>
      <c r="B162" s="74" t="s">
        <v>102</v>
      </c>
      <c r="C162" s="75" t="e">
        <v>#N/A</v>
      </c>
      <c r="D162" s="74" t="s">
        <v>345</v>
      </c>
      <c r="E162" s="75" t="s">
        <v>403</v>
      </c>
      <c r="F162" s="74" t="s">
        <v>362</v>
      </c>
      <c r="G162" s="75" t="s">
        <v>594</v>
      </c>
      <c r="H162" s="74" t="s">
        <v>601</v>
      </c>
      <c r="I162" s="75" t="s">
        <v>602</v>
      </c>
      <c r="J162" s="74" t="s">
        <v>391</v>
      </c>
      <c r="K162" s="74" t="s">
        <v>392</v>
      </c>
    </row>
    <row r="163" spans="1:11" x14ac:dyDescent="0.25">
      <c r="A163" s="70" t="str">
        <f t="shared" si="2"/>
        <v>0031-1000-0012</v>
      </c>
      <c r="B163" s="74" t="s">
        <v>54</v>
      </c>
      <c r="C163" s="75" t="s">
        <v>609</v>
      </c>
      <c r="D163" s="74" t="s">
        <v>342</v>
      </c>
      <c r="E163" s="75" t="s">
        <v>610</v>
      </c>
      <c r="F163" s="74" t="s">
        <v>343</v>
      </c>
      <c r="G163" s="75" t="s">
        <v>574</v>
      </c>
      <c r="H163" s="74" t="s">
        <v>344</v>
      </c>
      <c r="I163" s="75" t="s">
        <v>530</v>
      </c>
      <c r="J163" s="74" t="s">
        <v>391</v>
      </c>
      <c r="K163" s="74" t="s">
        <v>392</v>
      </c>
    </row>
    <row r="164" spans="1:11" x14ac:dyDescent="0.25">
      <c r="A164" s="70" t="str">
        <f t="shared" si="2"/>
        <v>0011-1008-0300</v>
      </c>
      <c r="B164" s="74" t="s">
        <v>179</v>
      </c>
      <c r="C164" s="75" t="e">
        <v>#N/A</v>
      </c>
      <c r="D164" s="74" t="s">
        <v>345</v>
      </c>
      <c r="E164" s="75" t="s">
        <v>403</v>
      </c>
      <c r="F164" s="74" t="s">
        <v>362</v>
      </c>
      <c r="G164" s="75" t="s">
        <v>594</v>
      </c>
      <c r="H164" s="74" t="s">
        <v>601</v>
      </c>
      <c r="I164" s="75" t="s">
        <v>602</v>
      </c>
      <c r="J164" s="74" t="s">
        <v>391</v>
      </c>
      <c r="K164" s="74" t="s">
        <v>392</v>
      </c>
    </row>
    <row r="165" spans="1:11" x14ac:dyDescent="0.25">
      <c r="A165" s="70" t="str">
        <f t="shared" si="2"/>
        <v>0093-1000-0105</v>
      </c>
      <c r="B165" s="74" t="s">
        <v>276</v>
      </c>
      <c r="C165" s="75" t="s">
        <v>611</v>
      </c>
      <c r="D165" s="74" t="s">
        <v>612</v>
      </c>
      <c r="E165" s="75" t="s">
        <v>611</v>
      </c>
      <c r="F165" s="74" t="s">
        <v>343</v>
      </c>
      <c r="G165" s="75" t="s">
        <v>574</v>
      </c>
      <c r="H165" s="74" t="s">
        <v>389</v>
      </c>
      <c r="I165" s="75" t="s">
        <v>390</v>
      </c>
      <c r="J165" s="74" t="s">
        <v>391</v>
      </c>
      <c r="K165" s="74" t="s">
        <v>392</v>
      </c>
    </row>
    <row r="166" spans="1:11" x14ac:dyDescent="0.25">
      <c r="A166" s="70" t="str">
        <f t="shared" si="2"/>
        <v>0094-1000-0105</v>
      </c>
      <c r="B166" s="74" t="s">
        <v>278</v>
      </c>
      <c r="C166" s="75" t="s">
        <v>613</v>
      </c>
      <c r="D166" s="74" t="s">
        <v>614</v>
      </c>
      <c r="E166" s="75" t="s">
        <v>613</v>
      </c>
      <c r="F166" s="74" t="s">
        <v>343</v>
      </c>
      <c r="G166" s="75" t="s">
        <v>574</v>
      </c>
      <c r="H166" s="74" t="s">
        <v>389</v>
      </c>
      <c r="I166" s="75" t="s">
        <v>390</v>
      </c>
      <c r="J166" s="74" t="s">
        <v>391</v>
      </c>
      <c r="K166" s="74" t="s">
        <v>392</v>
      </c>
    </row>
    <row r="167" spans="1:11" x14ac:dyDescent="0.25">
      <c r="A167" s="70" t="str">
        <f t="shared" si="2"/>
        <v>0013-1002-0035</v>
      </c>
      <c r="B167" s="74" t="s">
        <v>615</v>
      </c>
      <c r="C167" s="75" t="s">
        <v>616</v>
      </c>
      <c r="D167" s="74" t="s">
        <v>506</v>
      </c>
      <c r="E167" s="75" t="s">
        <v>593</v>
      </c>
      <c r="F167" s="74" t="s">
        <v>356</v>
      </c>
      <c r="G167" s="75" t="s">
        <v>431</v>
      </c>
      <c r="H167" s="74" t="s">
        <v>592</v>
      </c>
      <c r="I167" s="75" t="s">
        <v>593</v>
      </c>
      <c r="J167" s="74" t="s">
        <v>391</v>
      </c>
      <c r="K167" s="74" t="s">
        <v>392</v>
      </c>
    </row>
    <row r="168" spans="1:11" x14ac:dyDescent="0.25">
      <c r="A168" s="70" t="str">
        <f t="shared" si="2"/>
        <v>0021-1000-0036</v>
      </c>
      <c r="B168" s="74" t="s">
        <v>279</v>
      </c>
      <c r="C168" s="75" t="s">
        <v>617</v>
      </c>
      <c r="D168" s="74" t="s">
        <v>366</v>
      </c>
      <c r="E168" s="75" t="s">
        <v>618</v>
      </c>
      <c r="F168" s="74" t="s">
        <v>343</v>
      </c>
      <c r="G168" s="75" t="s">
        <v>574</v>
      </c>
      <c r="H168" s="74" t="s">
        <v>619</v>
      </c>
      <c r="I168" s="75" t="s">
        <v>620</v>
      </c>
      <c r="J168" s="74" t="s">
        <v>445</v>
      </c>
      <c r="K168" s="74" t="s">
        <v>433</v>
      </c>
    </row>
    <row r="169" spans="1:11" x14ac:dyDescent="0.25">
      <c r="A169" s="70" t="str">
        <f t="shared" si="2"/>
        <v>0022-1000-0036</v>
      </c>
      <c r="B169" s="74" t="s">
        <v>279</v>
      </c>
      <c r="C169" s="75" t="s">
        <v>617</v>
      </c>
      <c r="D169" s="74" t="s">
        <v>367</v>
      </c>
      <c r="E169" s="75" t="s">
        <v>621</v>
      </c>
      <c r="F169" s="74" t="s">
        <v>343</v>
      </c>
      <c r="G169" s="75" t="s">
        <v>574</v>
      </c>
      <c r="H169" s="74" t="s">
        <v>619</v>
      </c>
      <c r="I169" s="75" t="s">
        <v>620</v>
      </c>
      <c r="J169" s="74" t="s">
        <v>445</v>
      </c>
      <c r="K169" s="74" t="s">
        <v>433</v>
      </c>
    </row>
    <row r="170" spans="1:11" x14ac:dyDescent="0.25">
      <c r="A170" s="70" t="str">
        <f t="shared" si="2"/>
        <v>0029-1000-0012</v>
      </c>
      <c r="B170" s="74" t="s">
        <v>279</v>
      </c>
      <c r="C170" s="75" t="s">
        <v>617</v>
      </c>
      <c r="D170" s="74" t="s">
        <v>559</v>
      </c>
      <c r="E170" s="75" t="s">
        <v>622</v>
      </c>
      <c r="F170" s="74" t="s">
        <v>343</v>
      </c>
      <c r="G170" s="75" t="s">
        <v>574</v>
      </c>
      <c r="H170" s="74" t="s">
        <v>344</v>
      </c>
      <c r="I170" s="75" t="s">
        <v>530</v>
      </c>
      <c r="J170" s="74" t="s">
        <v>445</v>
      </c>
      <c r="K170" s="74" t="s">
        <v>433</v>
      </c>
    </row>
    <row r="171" spans="1:11" x14ac:dyDescent="0.25">
      <c r="A171" s="70" t="str">
        <f t="shared" si="2"/>
        <v>0030-1000-0012</v>
      </c>
      <c r="B171" s="74" t="s">
        <v>279</v>
      </c>
      <c r="C171" s="75" t="s">
        <v>617</v>
      </c>
      <c r="D171" s="74" t="s">
        <v>517</v>
      </c>
      <c r="E171" s="75" t="s">
        <v>623</v>
      </c>
      <c r="F171" s="74" t="s">
        <v>343</v>
      </c>
      <c r="G171" s="75" t="s">
        <v>574</v>
      </c>
      <c r="H171" s="74" t="s">
        <v>344</v>
      </c>
      <c r="I171" s="75" t="s">
        <v>530</v>
      </c>
      <c r="J171" s="74" t="s">
        <v>445</v>
      </c>
      <c r="K171" s="74" t="s">
        <v>392</v>
      </c>
    </row>
    <row r="172" spans="1:11" x14ac:dyDescent="0.25">
      <c r="A172" s="70" t="str">
        <f t="shared" si="2"/>
        <v>0011-1008-0300</v>
      </c>
      <c r="B172" s="74" t="s">
        <v>217</v>
      </c>
      <c r="C172" s="75" t="e">
        <v>#N/A</v>
      </c>
      <c r="D172" s="74" t="s">
        <v>345</v>
      </c>
      <c r="E172" s="75" t="s">
        <v>403</v>
      </c>
      <c r="F172" s="74" t="s">
        <v>362</v>
      </c>
      <c r="G172" s="75" t="s">
        <v>594</v>
      </c>
      <c r="H172" s="74" t="s">
        <v>601</v>
      </c>
      <c r="I172" s="75" t="s">
        <v>602</v>
      </c>
      <c r="J172" s="74" t="s">
        <v>391</v>
      </c>
      <c r="K172" s="74" t="s">
        <v>392</v>
      </c>
    </row>
    <row r="173" spans="1:11" x14ac:dyDescent="0.25">
      <c r="A173" s="70" t="str">
        <f t="shared" si="2"/>
        <v>0011-1008-0300</v>
      </c>
      <c r="B173" s="74" t="s">
        <v>180</v>
      </c>
      <c r="C173" s="75" t="e">
        <v>#N/A</v>
      </c>
      <c r="D173" s="74" t="s">
        <v>345</v>
      </c>
      <c r="E173" s="75" t="s">
        <v>403</v>
      </c>
      <c r="F173" s="74" t="s">
        <v>362</v>
      </c>
      <c r="G173" s="75" t="s">
        <v>594</v>
      </c>
      <c r="H173" s="74" t="s">
        <v>601</v>
      </c>
      <c r="I173" s="75" t="s">
        <v>602</v>
      </c>
      <c r="J173" s="74" t="s">
        <v>391</v>
      </c>
      <c r="K173" s="74" t="s">
        <v>392</v>
      </c>
    </row>
    <row r="174" spans="1:11" x14ac:dyDescent="0.25">
      <c r="A174" s="70" t="str">
        <f t="shared" si="2"/>
        <v>0003-1002-0012</v>
      </c>
      <c r="B174" s="74" t="s">
        <v>202</v>
      </c>
      <c r="C174" s="75" t="s">
        <v>624</v>
      </c>
      <c r="D174" s="74" t="s">
        <v>563</v>
      </c>
      <c r="E174" s="75" t="s">
        <v>625</v>
      </c>
      <c r="F174" s="74" t="s">
        <v>356</v>
      </c>
      <c r="G174" s="75" t="s">
        <v>431</v>
      </c>
      <c r="H174" s="74" t="s">
        <v>344</v>
      </c>
      <c r="I174" s="75" t="s">
        <v>530</v>
      </c>
      <c r="J174" s="74" t="s">
        <v>463</v>
      </c>
      <c r="K174" s="74" t="s">
        <v>392</v>
      </c>
    </row>
    <row r="175" spans="1:11" x14ac:dyDescent="0.25">
      <c r="A175" s="70" t="str">
        <f t="shared" si="2"/>
        <v>0003-1002-0057</v>
      </c>
      <c r="B175" s="74" t="s">
        <v>202</v>
      </c>
      <c r="C175" s="75" t="s">
        <v>624</v>
      </c>
      <c r="D175" s="74" t="s">
        <v>563</v>
      </c>
      <c r="E175" s="75" t="s">
        <v>625</v>
      </c>
      <c r="F175" s="74" t="s">
        <v>356</v>
      </c>
      <c r="G175" s="75" t="s">
        <v>431</v>
      </c>
      <c r="H175" s="74" t="s">
        <v>626</v>
      </c>
      <c r="I175" s="75" t="s">
        <v>627</v>
      </c>
      <c r="J175" s="74" t="s">
        <v>463</v>
      </c>
      <c r="K175" s="74" t="s">
        <v>433</v>
      </c>
    </row>
    <row r="176" spans="1:11" x14ac:dyDescent="0.25">
      <c r="A176" s="70" t="str">
        <f t="shared" si="2"/>
        <v>0095-9001-0105</v>
      </c>
      <c r="B176" s="74" t="s">
        <v>628</v>
      </c>
      <c r="C176" s="75" t="s">
        <v>385</v>
      </c>
      <c r="D176" s="74" t="s">
        <v>386</v>
      </c>
      <c r="E176" s="75" t="s">
        <v>385</v>
      </c>
      <c r="F176" s="74" t="s">
        <v>629</v>
      </c>
      <c r="G176" s="75" t="s">
        <v>385</v>
      </c>
      <c r="H176" s="74" t="s">
        <v>389</v>
      </c>
      <c r="I176" s="75" t="s">
        <v>390</v>
      </c>
      <c r="J176" s="74" t="s">
        <v>391</v>
      </c>
      <c r="K176" s="74" t="s">
        <v>392</v>
      </c>
    </row>
    <row r="177" spans="1:11" x14ac:dyDescent="0.25">
      <c r="A177" s="70" t="str">
        <f t="shared" si="2"/>
        <v>0099-1099-0200</v>
      </c>
      <c r="B177" s="74" t="s">
        <v>630</v>
      </c>
      <c r="C177" s="75" t="s">
        <v>631</v>
      </c>
      <c r="D177" s="74" t="s">
        <v>632</v>
      </c>
      <c r="E177" s="75" t="s">
        <v>631</v>
      </c>
      <c r="F177" s="74" t="s">
        <v>633</v>
      </c>
      <c r="G177" s="75" t="s">
        <v>634</v>
      </c>
      <c r="H177" s="74" t="s">
        <v>635</v>
      </c>
      <c r="I177" s="75" t="s">
        <v>636</v>
      </c>
      <c r="J177" s="74" t="s">
        <v>391</v>
      </c>
      <c r="K177" s="74" t="s">
        <v>392</v>
      </c>
    </row>
    <row r="178" spans="1:11" x14ac:dyDescent="0.25">
      <c r="A178" s="70" t="str">
        <f t="shared" si="2"/>
        <v>0011-1012-0012</v>
      </c>
      <c r="B178" s="74" t="s">
        <v>55</v>
      </c>
      <c r="C178" s="75" t="s">
        <v>637</v>
      </c>
      <c r="D178" s="74" t="s">
        <v>345</v>
      </c>
      <c r="E178" s="75" t="s">
        <v>403</v>
      </c>
      <c r="F178" s="74" t="s">
        <v>350</v>
      </c>
      <c r="G178" s="75" t="s">
        <v>437</v>
      </c>
      <c r="H178" s="74" t="s">
        <v>344</v>
      </c>
      <c r="I178" s="75" t="s">
        <v>530</v>
      </c>
      <c r="J178" s="74" t="s">
        <v>470</v>
      </c>
      <c r="K178" s="74" t="s">
        <v>392</v>
      </c>
    </row>
    <row r="179" spans="1:11" x14ac:dyDescent="0.25">
      <c r="A179" s="70" t="str">
        <f t="shared" si="2"/>
        <v>0011-1012-0052</v>
      </c>
      <c r="B179" s="74" t="s">
        <v>55</v>
      </c>
      <c r="C179" s="75" t="s">
        <v>637</v>
      </c>
      <c r="D179" s="74" t="s">
        <v>345</v>
      </c>
      <c r="E179" s="75" t="s">
        <v>403</v>
      </c>
      <c r="F179" s="74" t="s">
        <v>350</v>
      </c>
      <c r="G179" s="75" t="s">
        <v>437</v>
      </c>
      <c r="H179" s="74" t="s">
        <v>604</v>
      </c>
      <c r="I179" s="75" t="s">
        <v>605</v>
      </c>
      <c r="J179" s="74" t="s">
        <v>470</v>
      </c>
      <c r="K179" s="74" t="s">
        <v>433</v>
      </c>
    </row>
    <row r="180" spans="1:11" x14ac:dyDescent="0.25">
      <c r="A180" s="70" t="str">
        <f t="shared" si="2"/>
        <v>0011-1012-0056</v>
      </c>
      <c r="B180" s="74" t="s">
        <v>55</v>
      </c>
      <c r="C180" s="75" t="s">
        <v>637</v>
      </c>
      <c r="D180" s="74" t="s">
        <v>345</v>
      </c>
      <c r="E180" s="75" t="s">
        <v>403</v>
      </c>
      <c r="F180" s="74" t="s">
        <v>350</v>
      </c>
      <c r="G180" s="75" t="s">
        <v>437</v>
      </c>
      <c r="H180" s="74" t="s">
        <v>368</v>
      </c>
      <c r="I180" s="75" t="s">
        <v>606</v>
      </c>
      <c r="J180" s="74" t="s">
        <v>470</v>
      </c>
      <c r="K180" s="74" t="s">
        <v>433</v>
      </c>
    </row>
    <row r="181" spans="1:11" x14ac:dyDescent="0.25">
      <c r="A181" s="70" t="str">
        <f t="shared" si="2"/>
        <v>0012-1012-0012</v>
      </c>
      <c r="B181" s="74" t="s">
        <v>56</v>
      </c>
      <c r="C181" s="75" t="s">
        <v>638</v>
      </c>
      <c r="D181" s="74" t="s">
        <v>344</v>
      </c>
      <c r="E181" s="75" t="s">
        <v>608</v>
      </c>
      <c r="F181" s="74" t="s">
        <v>350</v>
      </c>
      <c r="G181" s="75" t="s">
        <v>437</v>
      </c>
      <c r="H181" s="74" t="s">
        <v>344</v>
      </c>
      <c r="I181" s="75" t="s">
        <v>530</v>
      </c>
      <c r="J181" s="74" t="s">
        <v>470</v>
      </c>
      <c r="K181" s="74" t="s">
        <v>392</v>
      </c>
    </row>
    <row r="182" spans="1:11" x14ac:dyDescent="0.25">
      <c r="A182" s="70" t="str">
        <f t="shared" si="2"/>
        <v>0012-1012-0052</v>
      </c>
      <c r="B182" s="74" t="s">
        <v>56</v>
      </c>
      <c r="C182" s="75" t="s">
        <v>638</v>
      </c>
      <c r="D182" s="74" t="s">
        <v>344</v>
      </c>
      <c r="E182" s="75" t="s">
        <v>608</v>
      </c>
      <c r="F182" s="74" t="s">
        <v>350</v>
      </c>
      <c r="G182" s="75" t="s">
        <v>437</v>
      </c>
      <c r="H182" s="74" t="s">
        <v>604</v>
      </c>
      <c r="I182" s="75" t="s">
        <v>605</v>
      </c>
      <c r="J182" s="74" t="s">
        <v>470</v>
      </c>
      <c r="K182" s="74" t="s">
        <v>433</v>
      </c>
    </row>
    <row r="183" spans="1:11" x14ac:dyDescent="0.25">
      <c r="A183" s="70" t="str">
        <f t="shared" si="2"/>
        <v>0012-1012-0056</v>
      </c>
      <c r="B183" s="74" t="s">
        <v>56</v>
      </c>
      <c r="C183" s="75" t="s">
        <v>638</v>
      </c>
      <c r="D183" s="74" t="s">
        <v>344</v>
      </c>
      <c r="E183" s="75" t="s">
        <v>608</v>
      </c>
      <c r="F183" s="74" t="s">
        <v>350</v>
      </c>
      <c r="G183" s="75" t="s">
        <v>437</v>
      </c>
      <c r="H183" s="74" t="s">
        <v>368</v>
      </c>
      <c r="I183" s="75" t="s">
        <v>606</v>
      </c>
      <c r="J183" s="74" t="s">
        <v>470</v>
      </c>
      <c r="K183" s="74" t="s">
        <v>433</v>
      </c>
    </row>
    <row r="184" spans="1:11" x14ac:dyDescent="0.25">
      <c r="A184" s="70" t="str">
        <f t="shared" si="2"/>
        <v>0011-1012-0038</v>
      </c>
      <c r="B184" s="74" t="s">
        <v>83</v>
      </c>
      <c r="C184" s="75" t="s">
        <v>639</v>
      </c>
      <c r="D184" s="74" t="s">
        <v>345</v>
      </c>
      <c r="E184" s="75" t="s">
        <v>403</v>
      </c>
      <c r="F184" s="74" t="s">
        <v>350</v>
      </c>
      <c r="G184" s="75" t="s">
        <v>437</v>
      </c>
      <c r="H184" s="74" t="s">
        <v>357</v>
      </c>
      <c r="I184" s="75" t="s">
        <v>640</v>
      </c>
      <c r="J184" s="74" t="s">
        <v>391</v>
      </c>
      <c r="K184" s="74" t="s">
        <v>392</v>
      </c>
    </row>
    <row r="185" spans="1:11" x14ac:dyDescent="0.25">
      <c r="A185" s="70" t="str">
        <f t="shared" si="2"/>
        <v>0012-1012-0038</v>
      </c>
      <c r="B185" s="74" t="s">
        <v>153</v>
      </c>
      <c r="C185" s="75" t="s">
        <v>641</v>
      </c>
      <c r="D185" s="74" t="s">
        <v>344</v>
      </c>
      <c r="E185" s="75" t="s">
        <v>608</v>
      </c>
      <c r="F185" s="74" t="s">
        <v>350</v>
      </c>
      <c r="G185" s="75" t="s">
        <v>437</v>
      </c>
      <c r="H185" s="74" t="s">
        <v>357</v>
      </c>
      <c r="I185" s="75" t="s">
        <v>640</v>
      </c>
      <c r="J185" s="74" t="s">
        <v>391</v>
      </c>
      <c r="K185" s="74" t="s">
        <v>392</v>
      </c>
    </row>
    <row r="186" spans="1:11" x14ac:dyDescent="0.25">
      <c r="A186" s="70" t="str">
        <f t="shared" si="2"/>
        <v>0011-1012-0048</v>
      </c>
      <c r="B186" s="74" t="s">
        <v>57</v>
      </c>
      <c r="C186" s="75" t="s">
        <v>642</v>
      </c>
      <c r="D186" s="74" t="s">
        <v>345</v>
      </c>
      <c r="E186" s="75" t="s">
        <v>403</v>
      </c>
      <c r="F186" s="74" t="s">
        <v>350</v>
      </c>
      <c r="G186" s="75" t="s">
        <v>437</v>
      </c>
      <c r="H186" s="74" t="s">
        <v>360</v>
      </c>
      <c r="I186" s="75" t="s">
        <v>643</v>
      </c>
      <c r="J186" s="74" t="s">
        <v>391</v>
      </c>
      <c r="K186" s="74" t="s">
        <v>392</v>
      </c>
    </row>
    <row r="187" spans="1:11" x14ac:dyDescent="0.25">
      <c r="A187" s="70" t="str">
        <f t="shared" si="2"/>
        <v>0012-1012-0048</v>
      </c>
      <c r="B187" s="74" t="s">
        <v>281</v>
      </c>
      <c r="C187" s="75" t="s">
        <v>644</v>
      </c>
      <c r="D187" s="74" t="s">
        <v>344</v>
      </c>
      <c r="E187" s="75" t="s">
        <v>608</v>
      </c>
      <c r="F187" s="74" t="s">
        <v>350</v>
      </c>
      <c r="G187" s="75" t="s">
        <v>437</v>
      </c>
      <c r="H187" s="74" t="s">
        <v>360</v>
      </c>
      <c r="I187" s="75" t="s">
        <v>643</v>
      </c>
      <c r="J187" s="74" t="s">
        <v>391</v>
      </c>
      <c r="K187" s="74" t="s">
        <v>392</v>
      </c>
    </row>
    <row r="188" spans="1:11" x14ac:dyDescent="0.25">
      <c r="A188" s="70" t="str">
        <f t="shared" si="2"/>
        <v>0011-1014-0048</v>
      </c>
      <c r="B188" s="74" t="s">
        <v>58</v>
      </c>
      <c r="C188" s="75" t="s">
        <v>645</v>
      </c>
      <c r="D188" s="74" t="s">
        <v>345</v>
      </c>
      <c r="E188" s="75" t="s">
        <v>403</v>
      </c>
      <c r="F188" s="74" t="s">
        <v>346</v>
      </c>
      <c r="G188" s="75" t="s">
        <v>452</v>
      </c>
      <c r="H188" s="74" t="s">
        <v>360</v>
      </c>
      <c r="I188" s="75" t="s">
        <v>643</v>
      </c>
      <c r="J188" s="74" t="s">
        <v>391</v>
      </c>
      <c r="K188" s="74" t="s">
        <v>392</v>
      </c>
    </row>
    <row r="189" spans="1:11" x14ac:dyDescent="0.25">
      <c r="A189" s="70" t="str">
        <f t="shared" si="2"/>
        <v>0011-1014-0039</v>
      </c>
      <c r="B189" s="74" t="s">
        <v>59</v>
      </c>
      <c r="C189" s="75" t="s">
        <v>645</v>
      </c>
      <c r="D189" s="74" t="s">
        <v>345</v>
      </c>
      <c r="E189" s="75" t="s">
        <v>403</v>
      </c>
      <c r="F189" s="74" t="s">
        <v>346</v>
      </c>
      <c r="G189" s="75" t="s">
        <v>452</v>
      </c>
      <c r="H189" s="74" t="s">
        <v>347</v>
      </c>
      <c r="I189" s="75" t="s">
        <v>646</v>
      </c>
      <c r="J189" s="74" t="s">
        <v>391</v>
      </c>
      <c r="K189" s="74" t="s">
        <v>392</v>
      </c>
    </row>
    <row r="190" spans="1:11" x14ac:dyDescent="0.25">
      <c r="A190" s="70" t="str">
        <f t="shared" si="2"/>
        <v>0012-1014-0039</v>
      </c>
      <c r="B190" s="74" t="s">
        <v>282</v>
      </c>
      <c r="C190" s="75" t="s">
        <v>645</v>
      </c>
      <c r="D190" s="74" t="s">
        <v>344</v>
      </c>
      <c r="E190" s="75" t="s">
        <v>608</v>
      </c>
      <c r="F190" s="74" t="s">
        <v>346</v>
      </c>
      <c r="G190" s="75" t="s">
        <v>452</v>
      </c>
      <c r="H190" s="74" t="s">
        <v>347</v>
      </c>
      <c r="I190" s="75" t="s">
        <v>646</v>
      </c>
      <c r="J190" s="74" t="s">
        <v>391</v>
      </c>
      <c r="K190" s="74" t="s">
        <v>392</v>
      </c>
    </row>
    <row r="191" spans="1:11" x14ac:dyDescent="0.25">
      <c r="A191" s="70" t="str">
        <f t="shared" si="2"/>
        <v>0013-1012-0035</v>
      </c>
      <c r="B191" s="74" t="s">
        <v>306</v>
      </c>
      <c r="C191" s="75" t="s">
        <v>647</v>
      </c>
      <c r="D191" s="74" t="s">
        <v>506</v>
      </c>
      <c r="E191" s="75" t="s">
        <v>593</v>
      </c>
      <c r="F191" s="74" t="s">
        <v>350</v>
      </c>
      <c r="G191" s="75" t="s">
        <v>437</v>
      </c>
      <c r="H191" s="74" t="s">
        <v>592</v>
      </c>
      <c r="I191" s="75" t="s">
        <v>593</v>
      </c>
      <c r="J191" s="74" t="s">
        <v>391</v>
      </c>
      <c r="K191" s="74" t="s">
        <v>392</v>
      </c>
    </row>
    <row r="192" spans="1:11" x14ac:dyDescent="0.25">
      <c r="A192" s="70" t="str">
        <f t="shared" si="2"/>
        <v>0013-1014-0035</v>
      </c>
      <c r="B192" s="74" t="s">
        <v>283</v>
      </c>
      <c r="C192" s="75" t="s">
        <v>648</v>
      </c>
      <c r="D192" s="74" t="s">
        <v>506</v>
      </c>
      <c r="E192" s="75" t="s">
        <v>593</v>
      </c>
      <c r="F192" s="74" t="s">
        <v>346</v>
      </c>
      <c r="G192" s="75" t="s">
        <v>452</v>
      </c>
      <c r="H192" s="74" t="s">
        <v>592</v>
      </c>
      <c r="I192" s="75" t="s">
        <v>593</v>
      </c>
      <c r="J192" s="74" t="s">
        <v>391</v>
      </c>
      <c r="K192" s="74" t="s">
        <v>392</v>
      </c>
    </row>
    <row r="193" spans="1:11" x14ac:dyDescent="0.25">
      <c r="A193" s="70" t="str">
        <f t="shared" si="2"/>
        <v>0003-1012-0012</v>
      </c>
      <c r="B193" s="74" t="s">
        <v>205</v>
      </c>
      <c r="C193" s="75" t="s">
        <v>649</v>
      </c>
      <c r="D193" s="74" t="s">
        <v>563</v>
      </c>
      <c r="E193" s="75" t="s">
        <v>625</v>
      </c>
      <c r="F193" s="74" t="s">
        <v>350</v>
      </c>
      <c r="G193" s="75" t="s">
        <v>437</v>
      </c>
      <c r="H193" s="74" t="s">
        <v>344</v>
      </c>
      <c r="I193" s="75" t="s">
        <v>530</v>
      </c>
      <c r="J193" s="74" t="s">
        <v>463</v>
      </c>
      <c r="K193" s="74" t="s">
        <v>392</v>
      </c>
    </row>
    <row r="194" spans="1:11" x14ac:dyDescent="0.25">
      <c r="A194" s="70" t="str">
        <f t="shared" si="2"/>
        <v>0003-1012-0057</v>
      </c>
      <c r="B194" s="74" t="s">
        <v>205</v>
      </c>
      <c r="C194" s="75" t="s">
        <v>649</v>
      </c>
      <c r="D194" s="74" t="s">
        <v>563</v>
      </c>
      <c r="E194" s="75" t="s">
        <v>625</v>
      </c>
      <c r="F194" s="74" t="s">
        <v>350</v>
      </c>
      <c r="G194" s="75" t="s">
        <v>437</v>
      </c>
      <c r="H194" s="74" t="s">
        <v>626</v>
      </c>
      <c r="I194" s="75" t="s">
        <v>627</v>
      </c>
      <c r="J194" s="74" t="s">
        <v>463</v>
      </c>
      <c r="K194" s="74" t="s">
        <v>433</v>
      </c>
    </row>
    <row r="195" spans="1:11" x14ac:dyDescent="0.25">
      <c r="A195" s="70" t="str">
        <f t="shared" si="2"/>
        <v>0003-1014-0039</v>
      </c>
      <c r="B195" s="74" t="s">
        <v>285</v>
      </c>
      <c r="C195" s="75" t="s">
        <v>645</v>
      </c>
      <c r="D195" s="74" t="s">
        <v>563</v>
      </c>
      <c r="E195" s="75" t="s">
        <v>625</v>
      </c>
      <c r="F195" s="74" t="s">
        <v>346</v>
      </c>
      <c r="G195" s="75" t="s">
        <v>452</v>
      </c>
      <c r="H195" s="74" t="s">
        <v>347</v>
      </c>
      <c r="I195" s="75" t="s">
        <v>646</v>
      </c>
      <c r="J195" s="74" t="s">
        <v>391</v>
      </c>
      <c r="K195" s="74" t="s">
        <v>392</v>
      </c>
    </row>
    <row r="196" spans="1:11" x14ac:dyDescent="0.25">
      <c r="A196" s="70" t="str">
        <f t="shared" ref="A196:A259" si="3">D196&amp;"-"&amp;F196&amp;"-"&amp;H196</f>
        <v>0003-1012-0038</v>
      </c>
      <c r="B196" s="74" t="s">
        <v>206</v>
      </c>
      <c r="C196" s="75" t="s">
        <v>650</v>
      </c>
      <c r="D196" s="74" t="s">
        <v>563</v>
      </c>
      <c r="E196" s="75" t="s">
        <v>625</v>
      </c>
      <c r="F196" s="74" t="s">
        <v>350</v>
      </c>
      <c r="G196" s="75" t="s">
        <v>437</v>
      </c>
      <c r="H196" s="74" t="s">
        <v>357</v>
      </c>
      <c r="I196" s="75" t="s">
        <v>640</v>
      </c>
      <c r="J196" s="74" t="s">
        <v>391</v>
      </c>
      <c r="K196" s="74" t="s">
        <v>392</v>
      </c>
    </row>
    <row r="197" spans="1:11" x14ac:dyDescent="0.25">
      <c r="A197" s="70" t="str">
        <f t="shared" si="3"/>
        <v>0003-1012-0048</v>
      </c>
      <c r="B197" s="74" t="s">
        <v>286</v>
      </c>
      <c r="C197" s="75" t="s">
        <v>651</v>
      </c>
      <c r="D197" s="74" t="s">
        <v>563</v>
      </c>
      <c r="E197" s="75" t="s">
        <v>625</v>
      </c>
      <c r="F197" s="74" t="s">
        <v>350</v>
      </c>
      <c r="G197" s="75" t="s">
        <v>437</v>
      </c>
      <c r="H197" s="74" t="s">
        <v>360</v>
      </c>
      <c r="I197" s="75" t="s">
        <v>643</v>
      </c>
      <c r="J197" s="74" t="s">
        <v>391</v>
      </c>
      <c r="K197" s="74" t="s">
        <v>392</v>
      </c>
    </row>
    <row r="198" spans="1:11" x14ac:dyDescent="0.25">
      <c r="A198" s="70" t="str">
        <f t="shared" si="3"/>
        <v>0003-1012-0047</v>
      </c>
      <c r="B198" s="74" t="s">
        <v>207</v>
      </c>
      <c r="C198" s="75" t="s">
        <v>652</v>
      </c>
      <c r="D198" s="74" t="s">
        <v>563</v>
      </c>
      <c r="E198" s="75" t="s">
        <v>625</v>
      </c>
      <c r="F198" s="74" t="s">
        <v>350</v>
      </c>
      <c r="G198" s="75" t="s">
        <v>437</v>
      </c>
      <c r="H198" s="74" t="s">
        <v>653</v>
      </c>
      <c r="I198" s="75" t="s">
        <v>654</v>
      </c>
      <c r="J198" s="74" t="s">
        <v>391</v>
      </c>
      <c r="K198" s="74" t="s">
        <v>392</v>
      </c>
    </row>
    <row r="199" spans="1:11" x14ac:dyDescent="0.25">
      <c r="A199" s="70" t="str">
        <f t="shared" si="3"/>
        <v>0011-1004-0012</v>
      </c>
      <c r="B199" s="74" t="s">
        <v>60</v>
      </c>
      <c r="C199" s="75" t="s">
        <v>655</v>
      </c>
      <c r="D199" s="74" t="s">
        <v>345</v>
      </c>
      <c r="E199" s="75" t="s">
        <v>403</v>
      </c>
      <c r="F199" s="74" t="s">
        <v>352</v>
      </c>
      <c r="G199" s="75" t="s">
        <v>408</v>
      </c>
      <c r="H199" s="74" t="s">
        <v>344</v>
      </c>
      <c r="I199" s="75" t="s">
        <v>530</v>
      </c>
      <c r="J199" s="74" t="s">
        <v>391</v>
      </c>
      <c r="K199" s="74" t="s">
        <v>392</v>
      </c>
    </row>
    <row r="200" spans="1:11" x14ac:dyDescent="0.25">
      <c r="A200" s="70" t="str">
        <f t="shared" si="3"/>
        <v>0012-1004-0012</v>
      </c>
      <c r="B200" s="74" t="s">
        <v>61</v>
      </c>
      <c r="C200" s="75" t="s">
        <v>656</v>
      </c>
      <c r="D200" s="74" t="s">
        <v>344</v>
      </c>
      <c r="E200" s="75" t="s">
        <v>608</v>
      </c>
      <c r="F200" s="74" t="s">
        <v>352</v>
      </c>
      <c r="G200" s="75" t="s">
        <v>408</v>
      </c>
      <c r="H200" s="74" t="s">
        <v>344</v>
      </c>
      <c r="I200" s="75" t="s">
        <v>530</v>
      </c>
      <c r="J200" s="74" t="s">
        <v>391</v>
      </c>
      <c r="K200" s="74" t="s">
        <v>392</v>
      </c>
    </row>
    <row r="201" spans="1:11" x14ac:dyDescent="0.25">
      <c r="A201" s="70" t="str">
        <f t="shared" si="3"/>
        <v>0011-1006-0012</v>
      </c>
      <c r="B201" s="74" t="s">
        <v>62</v>
      </c>
      <c r="C201" s="75" t="s">
        <v>657</v>
      </c>
      <c r="D201" s="74" t="s">
        <v>345</v>
      </c>
      <c r="E201" s="75" t="s">
        <v>403</v>
      </c>
      <c r="F201" s="74" t="s">
        <v>355</v>
      </c>
      <c r="G201" s="75" t="s">
        <v>436</v>
      </c>
      <c r="H201" s="74" t="s">
        <v>344</v>
      </c>
      <c r="I201" s="75" t="s">
        <v>530</v>
      </c>
      <c r="J201" s="74" t="s">
        <v>391</v>
      </c>
      <c r="K201" s="74" t="s">
        <v>392</v>
      </c>
    </row>
    <row r="202" spans="1:11" x14ac:dyDescent="0.25">
      <c r="A202" s="70" t="str">
        <f t="shared" si="3"/>
        <v>0011-1004-0038</v>
      </c>
      <c r="B202" s="74" t="s">
        <v>86</v>
      </c>
      <c r="C202" s="75" t="s">
        <v>658</v>
      </c>
      <c r="D202" s="74" t="s">
        <v>345</v>
      </c>
      <c r="E202" s="75" t="s">
        <v>403</v>
      </c>
      <c r="F202" s="74" t="s">
        <v>352</v>
      </c>
      <c r="G202" s="75" t="s">
        <v>408</v>
      </c>
      <c r="H202" s="74" t="s">
        <v>357</v>
      </c>
      <c r="I202" s="75" t="s">
        <v>640</v>
      </c>
      <c r="J202" s="74" t="s">
        <v>391</v>
      </c>
      <c r="K202" s="74" t="s">
        <v>392</v>
      </c>
    </row>
    <row r="203" spans="1:11" x14ac:dyDescent="0.25">
      <c r="A203" s="70" t="str">
        <f t="shared" si="3"/>
        <v>0012-1004-0038</v>
      </c>
      <c r="B203" s="74" t="s">
        <v>149</v>
      </c>
      <c r="C203" s="75" t="s">
        <v>659</v>
      </c>
      <c r="D203" s="74" t="s">
        <v>344</v>
      </c>
      <c r="E203" s="75" t="s">
        <v>608</v>
      </c>
      <c r="F203" s="74" t="s">
        <v>352</v>
      </c>
      <c r="G203" s="75" t="s">
        <v>408</v>
      </c>
      <c r="H203" s="74" t="s">
        <v>357</v>
      </c>
      <c r="I203" s="75" t="s">
        <v>640</v>
      </c>
      <c r="J203" s="74" t="s">
        <v>391</v>
      </c>
      <c r="K203" s="74" t="s">
        <v>392</v>
      </c>
    </row>
    <row r="204" spans="1:11" x14ac:dyDescent="0.25">
      <c r="A204" s="70" t="str">
        <f t="shared" si="3"/>
        <v>0012-1006-0012</v>
      </c>
      <c r="B204" s="74" t="s">
        <v>63</v>
      </c>
      <c r="C204" s="75" t="s">
        <v>660</v>
      </c>
      <c r="D204" s="74" t="s">
        <v>344</v>
      </c>
      <c r="E204" s="75" t="s">
        <v>608</v>
      </c>
      <c r="F204" s="74" t="s">
        <v>355</v>
      </c>
      <c r="G204" s="75" t="s">
        <v>436</v>
      </c>
      <c r="H204" s="74" t="s">
        <v>344</v>
      </c>
      <c r="I204" s="75" t="s">
        <v>530</v>
      </c>
      <c r="J204" s="74" t="s">
        <v>391</v>
      </c>
      <c r="K204" s="74" t="s">
        <v>392</v>
      </c>
    </row>
    <row r="205" spans="1:11" x14ac:dyDescent="0.25">
      <c r="A205" s="70" t="str">
        <f t="shared" si="3"/>
        <v>0011-1004-0047</v>
      </c>
      <c r="B205" s="74" t="s">
        <v>64</v>
      </c>
      <c r="C205" s="75" t="s">
        <v>661</v>
      </c>
      <c r="D205" s="74" t="s">
        <v>345</v>
      </c>
      <c r="E205" s="75" t="s">
        <v>403</v>
      </c>
      <c r="F205" s="74" t="s">
        <v>352</v>
      </c>
      <c r="G205" s="75" t="s">
        <v>408</v>
      </c>
      <c r="H205" s="74" t="s">
        <v>653</v>
      </c>
      <c r="I205" s="75" t="s">
        <v>654</v>
      </c>
      <c r="J205" s="74" t="s">
        <v>391</v>
      </c>
      <c r="K205" s="74" t="s">
        <v>392</v>
      </c>
    </row>
    <row r="206" spans="1:11" x14ac:dyDescent="0.25">
      <c r="A206" s="70" t="str">
        <f t="shared" si="3"/>
        <v>0012-1004-0047</v>
      </c>
      <c r="B206" s="74" t="s">
        <v>150</v>
      </c>
      <c r="C206" s="75" t="s">
        <v>662</v>
      </c>
      <c r="D206" s="74" t="s">
        <v>344</v>
      </c>
      <c r="E206" s="75" t="s">
        <v>608</v>
      </c>
      <c r="F206" s="74" t="s">
        <v>352</v>
      </c>
      <c r="G206" s="75" t="s">
        <v>408</v>
      </c>
      <c r="H206" s="74" t="s">
        <v>653</v>
      </c>
      <c r="I206" s="75" t="s">
        <v>654</v>
      </c>
      <c r="J206" s="74" t="s">
        <v>391</v>
      </c>
      <c r="K206" s="74" t="s">
        <v>392</v>
      </c>
    </row>
    <row r="207" spans="1:11" x14ac:dyDescent="0.25">
      <c r="A207" s="70" t="str">
        <f t="shared" si="3"/>
        <v>0011-1004-0048</v>
      </c>
      <c r="B207" s="74" t="s">
        <v>91</v>
      </c>
      <c r="C207" s="75" t="s">
        <v>663</v>
      </c>
      <c r="D207" s="74" t="s">
        <v>345</v>
      </c>
      <c r="E207" s="75" t="s">
        <v>403</v>
      </c>
      <c r="F207" s="74" t="s">
        <v>352</v>
      </c>
      <c r="G207" s="75" t="s">
        <v>408</v>
      </c>
      <c r="H207" s="74" t="s">
        <v>360</v>
      </c>
      <c r="I207" s="75" t="s">
        <v>643</v>
      </c>
      <c r="J207" s="74" t="s">
        <v>391</v>
      </c>
      <c r="K207" s="74" t="s">
        <v>392</v>
      </c>
    </row>
    <row r="208" spans="1:11" x14ac:dyDescent="0.25">
      <c r="A208" s="70" t="str">
        <f t="shared" si="3"/>
        <v>0012-1004-0048</v>
      </c>
      <c r="B208" s="74" t="s">
        <v>65</v>
      </c>
      <c r="C208" s="75" t="s">
        <v>664</v>
      </c>
      <c r="D208" s="74" t="s">
        <v>344</v>
      </c>
      <c r="E208" s="75" t="s">
        <v>608</v>
      </c>
      <c r="F208" s="74" t="s">
        <v>352</v>
      </c>
      <c r="G208" s="75" t="s">
        <v>408</v>
      </c>
      <c r="H208" s="74" t="s">
        <v>360</v>
      </c>
      <c r="I208" s="75" t="s">
        <v>643</v>
      </c>
      <c r="J208" s="74" t="s">
        <v>391</v>
      </c>
      <c r="K208" s="74" t="s">
        <v>392</v>
      </c>
    </row>
    <row r="209" spans="1:11" x14ac:dyDescent="0.25">
      <c r="A209" s="70" t="str">
        <f t="shared" si="3"/>
        <v>0013-1004-0035</v>
      </c>
      <c r="B209" s="74" t="s">
        <v>307</v>
      </c>
      <c r="C209" s="75" t="s">
        <v>665</v>
      </c>
      <c r="D209" s="74" t="s">
        <v>506</v>
      </c>
      <c r="E209" s="75" t="s">
        <v>593</v>
      </c>
      <c r="F209" s="74" t="s">
        <v>352</v>
      </c>
      <c r="G209" s="75" t="s">
        <v>408</v>
      </c>
      <c r="H209" s="74" t="s">
        <v>592</v>
      </c>
      <c r="I209" s="75" t="s">
        <v>593</v>
      </c>
      <c r="J209" s="74" t="s">
        <v>391</v>
      </c>
      <c r="K209" s="74" t="s">
        <v>392</v>
      </c>
    </row>
    <row r="210" spans="1:11" x14ac:dyDescent="0.25">
      <c r="A210" s="70" t="str">
        <f t="shared" si="3"/>
        <v>0013-1004-0041</v>
      </c>
      <c r="B210" s="74" t="s">
        <v>666</v>
      </c>
      <c r="C210" s="75" t="s">
        <v>667</v>
      </c>
      <c r="D210" s="74" t="s">
        <v>506</v>
      </c>
      <c r="E210" s="75" t="s">
        <v>593</v>
      </c>
      <c r="F210" s="74" t="s">
        <v>352</v>
      </c>
      <c r="G210" s="75" t="s">
        <v>408</v>
      </c>
      <c r="H210" s="74" t="s">
        <v>668</v>
      </c>
      <c r="I210" s="75" t="s">
        <v>669</v>
      </c>
      <c r="J210" s="74" t="s">
        <v>391</v>
      </c>
      <c r="K210" s="74" t="s">
        <v>392</v>
      </c>
    </row>
    <row r="211" spans="1:11" x14ac:dyDescent="0.25">
      <c r="A211" s="70" t="str">
        <f t="shared" si="3"/>
        <v>0025-1004-0058</v>
      </c>
      <c r="B211" s="74" t="s">
        <v>308</v>
      </c>
      <c r="C211" s="75" t="s">
        <v>670</v>
      </c>
      <c r="D211" s="74" t="s">
        <v>524</v>
      </c>
      <c r="E211" s="75" t="s">
        <v>671</v>
      </c>
      <c r="F211" s="74" t="s">
        <v>352</v>
      </c>
      <c r="G211" s="75" t="s">
        <v>408</v>
      </c>
      <c r="H211" s="74" t="s">
        <v>672</v>
      </c>
      <c r="I211" s="75" t="s">
        <v>673</v>
      </c>
      <c r="J211" s="74" t="s">
        <v>470</v>
      </c>
      <c r="K211" s="74" t="s">
        <v>392</v>
      </c>
    </row>
    <row r="212" spans="1:11" x14ac:dyDescent="0.25">
      <c r="A212" s="70" t="str">
        <f t="shared" si="3"/>
        <v>0026-1004-0058</v>
      </c>
      <c r="B212" s="74" t="s">
        <v>308</v>
      </c>
      <c r="C212" s="75" t="s">
        <v>670</v>
      </c>
      <c r="D212" s="74" t="s">
        <v>549</v>
      </c>
      <c r="E212" s="75" t="s">
        <v>674</v>
      </c>
      <c r="F212" s="74" t="s">
        <v>352</v>
      </c>
      <c r="G212" s="75" t="s">
        <v>408</v>
      </c>
      <c r="H212" s="74" t="s">
        <v>672</v>
      </c>
      <c r="I212" s="75" t="s">
        <v>673</v>
      </c>
      <c r="J212" s="74" t="s">
        <v>470</v>
      </c>
      <c r="K212" s="74" t="s">
        <v>433</v>
      </c>
    </row>
    <row r="213" spans="1:11" x14ac:dyDescent="0.25">
      <c r="A213" s="70" t="str">
        <f t="shared" si="3"/>
        <v>0027-1004-0058</v>
      </c>
      <c r="B213" s="74" t="s">
        <v>308</v>
      </c>
      <c r="C213" s="75" t="s">
        <v>670</v>
      </c>
      <c r="D213" s="74" t="s">
        <v>552</v>
      </c>
      <c r="E213" s="75" t="s">
        <v>675</v>
      </c>
      <c r="F213" s="74" t="s">
        <v>352</v>
      </c>
      <c r="G213" s="75" t="s">
        <v>408</v>
      </c>
      <c r="H213" s="74" t="s">
        <v>672</v>
      </c>
      <c r="I213" s="75" t="s">
        <v>673</v>
      </c>
      <c r="J213" s="74" t="s">
        <v>470</v>
      </c>
      <c r="K213" s="74" t="s">
        <v>433</v>
      </c>
    </row>
    <row r="214" spans="1:11" x14ac:dyDescent="0.25">
      <c r="A214" s="70" t="str">
        <f t="shared" si="3"/>
        <v>0025-1002-0058</v>
      </c>
      <c r="B214" s="74" t="s">
        <v>309</v>
      </c>
      <c r="C214" s="75" t="s">
        <v>676</v>
      </c>
      <c r="D214" s="74" t="s">
        <v>524</v>
      </c>
      <c r="E214" s="75" t="s">
        <v>671</v>
      </c>
      <c r="F214" s="74" t="s">
        <v>356</v>
      </c>
      <c r="G214" s="75" t="s">
        <v>431</v>
      </c>
      <c r="H214" s="74" t="s">
        <v>672</v>
      </c>
      <c r="I214" s="75" t="s">
        <v>673</v>
      </c>
      <c r="J214" s="74" t="s">
        <v>445</v>
      </c>
      <c r="K214" s="74" t="s">
        <v>392</v>
      </c>
    </row>
    <row r="215" spans="1:11" x14ac:dyDescent="0.25">
      <c r="A215" s="70" t="str">
        <f t="shared" si="3"/>
        <v>0026-1002-0058</v>
      </c>
      <c r="B215" s="74" t="s">
        <v>309</v>
      </c>
      <c r="C215" s="75" t="s">
        <v>676</v>
      </c>
      <c r="D215" s="74" t="s">
        <v>549</v>
      </c>
      <c r="E215" s="75" t="s">
        <v>674</v>
      </c>
      <c r="F215" s="74" t="s">
        <v>356</v>
      </c>
      <c r="G215" s="75" t="s">
        <v>431</v>
      </c>
      <c r="H215" s="74" t="s">
        <v>672</v>
      </c>
      <c r="I215" s="75" t="s">
        <v>673</v>
      </c>
      <c r="J215" s="74" t="s">
        <v>445</v>
      </c>
      <c r="K215" s="74" t="s">
        <v>433</v>
      </c>
    </row>
    <row r="216" spans="1:11" x14ac:dyDescent="0.25">
      <c r="A216" s="70" t="str">
        <f t="shared" si="3"/>
        <v>0027-1002-0058</v>
      </c>
      <c r="B216" s="74" t="s">
        <v>309</v>
      </c>
      <c r="C216" s="75" t="s">
        <v>676</v>
      </c>
      <c r="D216" s="74" t="s">
        <v>552</v>
      </c>
      <c r="E216" s="75" t="s">
        <v>675</v>
      </c>
      <c r="F216" s="74" t="s">
        <v>356</v>
      </c>
      <c r="G216" s="75" t="s">
        <v>431</v>
      </c>
      <c r="H216" s="74" t="s">
        <v>672</v>
      </c>
      <c r="I216" s="75" t="s">
        <v>673</v>
      </c>
      <c r="J216" s="74" t="s">
        <v>445</v>
      </c>
      <c r="K216" s="74" t="s">
        <v>433</v>
      </c>
    </row>
    <row r="217" spans="1:11" x14ac:dyDescent="0.25">
      <c r="A217" s="70" t="str">
        <f t="shared" si="3"/>
        <v>0028-1002-0058</v>
      </c>
      <c r="B217" s="74" t="s">
        <v>309</v>
      </c>
      <c r="C217" s="75" t="s">
        <v>676</v>
      </c>
      <c r="D217" s="74" t="s">
        <v>556</v>
      </c>
      <c r="E217" s="75" t="s">
        <v>677</v>
      </c>
      <c r="F217" s="74" t="s">
        <v>356</v>
      </c>
      <c r="G217" s="75" t="s">
        <v>431</v>
      </c>
      <c r="H217" s="74" t="s">
        <v>672</v>
      </c>
      <c r="I217" s="75" t="s">
        <v>673</v>
      </c>
      <c r="J217" s="74" t="s">
        <v>445</v>
      </c>
      <c r="K217" s="74" t="s">
        <v>433</v>
      </c>
    </row>
    <row r="218" spans="1:11" x14ac:dyDescent="0.25">
      <c r="A218" s="70" t="str">
        <f t="shared" si="3"/>
        <v>0025-1002-0059</v>
      </c>
      <c r="B218" s="74" t="s">
        <v>678</v>
      </c>
      <c r="C218" s="75" t="s">
        <v>676</v>
      </c>
      <c r="D218" s="74" t="s">
        <v>524</v>
      </c>
      <c r="E218" s="75" t="s">
        <v>671</v>
      </c>
      <c r="F218" s="74" t="s">
        <v>356</v>
      </c>
      <c r="G218" s="75" t="s">
        <v>431</v>
      </c>
      <c r="H218" s="74" t="s">
        <v>679</v>
      </c>
      <c r="I218" s="75" t="s">
        <v>680</v>
      </c>
      <c r="J218" s="74" t="s">
        <v>463</v>
      </c>
      <c r="K218" s="74" t="s">
        <v>392</v>
      </c>
    </row>
    <row r="219" spans="1:11" x14ac:dyDescent="0.25">
      <c r="A219" s="70" t="str">
        <f t="shared" si="3"/>
        <v>0026-1002-0059</v>
      </c>
      <c r="B219" s="74" t="s">
        <v>678</v>
      </c>
      <c r="C219" s="75" t="s">
        <v>676</v>
      </c>
      <c r="D219" s="74" t="s">
        <v>549</v>
      </c>
      <c r="E219" s="75" t="s">
        <v>674</v>
      </c>
      <c r="F219" s="74" t="s">
        <v>356</v>
      </c>
      <c r="G219" s="75" t="s">
        <v>431</v>
      </c>
      <c r="H219" s="74" t="s">
        <v>679</v>
      </c>
      <c r="I219" s="75" t="s">
        <v>680</v>
      </c>
      <c r="J219" s="74" t="s">
        <v>463</v>
      </c>
      <c r="K219" s="74" t="s">
        <v>433</v>
      </c>
    </row>
    <row r="220" spans="1:11" x14ac:dyDescent="0.25">
      <c r="A220" s="70" t="str">
        <f t="shared" si="3"/>
        <v>0013-1006-0035</v>
      </c>
      <c r="B220" s="74" t="s">
        <v>310</v>
      </c>
      <c r="C220" s="75" t="s">
        <v>681</v>
      </c>
      <c r="D220" s="74" t="s">
        <v>506</v>
      </c>
      <c r="E220" s="75" t="s">
        <v>593</v>
      </c>
      <c r="F220" s="74" t="s">
        <v>355</v>
      </c>
      <c r="G220" s="75" t="s">
        <v>436</v>
      </c>
      <c r="H220" s="74" t="s">
        <v>592</v>
      </c>
      <c r="I220" s="75" t="s">
        <v>593</v>
      </c>
      <c r="J220" s="74" t="s">
        <v>391</v>
      </c>
      <c r="K220" s="74" t="s">
        <v>392</v>
      </c>
    </row>
    <row r="221" spans="1:11" x14ac:dyDescent="0.25">
      <c r="A221" s="70" t="str">
        <f t="shared" si="3"/>
        <v>0003-1004-0012</v>
      </c>
      <c r="B221" s="74" t="s">
        <v>99</v>
      </c>
      <c r="C221" s="75" t="s">
        <v>682</v>
      </c>
      <c r="D221" s="74" t="s">
        <v>563</v>
      </c>
      <c r="E221" s="75" t="s">
        <v>625</v>
      </c>
      <c r="F221" s="74" t="s">
        <v>352</v>
      </c>
      <c r="G221" s="75" t="s">
        <v>408</v>
      </c>
      <c r="H221" s="74" t="s">
        <v>344</v>
      </c>
      <c r="I221" s="75" t="s">
        <v>530</v>
      </c>
      <c r="J221" s="74" t="s">
        <v>391</v>
      </c>
      <c r="K221" s="74" t="s">
        <v>392</v>
      </c>
    </row>
    <row r="222" spans="1:11" x14ac:dyDescent="0.25">
      <c r="A222" s="70" t="str">
        <f t="shared" si="3"/>
        <v>0003-1006-0012</v>
      </c>
      <c r="B222" s="74" t="s">
        <v>193</v>
      </c>
      <c r="C222" s="75" t="s">
        <v>683</v>
      </c>
      <c r="D222" s="74" t="s">
        <v>563</v>
      </c>
      <c r="E222" s="75" t="s">
        <v>625</v>
      </c>
      <c r="F222" s="74" t="s">
        <v>355</v>
      </c>
      <c r="G222" s="75" t="s">
        <v>436</v>
      </c>
      <c r="H222" s="74" t="s">
        <v>344</v>
      </c>
      <c r="I222" s="75" t="s">
        <v>530</v>
      </c>
      <c r="J222" s="74" t="s">
        <v>391</v>
      </c>
      <c r="K222" s="74" t="s">
        <v>392</v>
      </c>
    </row>
    <row r="223" spans="1:11" x14ac:dyDescent="0.25">
      <c r="A223" s="70" t="str">
        <f t="shared" si="3"/>
        <v>0003-1004-0038</v>
      </c>
      <c r="B223" s="74" t="s">
        <v>194</v>
      </c>
      <c r="C223" s="75" t="s">
        <v>684</v>
      </c>
      <c r="D223" s="74" t="s">
        <v>563</v>
      </c>
      <c r="E223" s="75" t="s">
        <v>625</v>
      </c>
      <c r="F223" s="74" t="s">
        <v>352</v>
      </c>
      <c r="G223" s="75" t="s">
        <v>408</v>
      </c>
      <c r="H223" s="74" t="s">
        <v>357</v>
      </c>
      <c r="I223" s="75" t="s">
        <v>640</v>
      </c>
      <c r="J223" s="74" t="s">
        <v>391</v>
      </c>
      <c r="K223" s="74" t="s">
        <v>392</v>
      </c>
    </row>
    <row r="224" spans="1:11" x14ac:dyDescent="0.25">
      <c r="A224" s="70" t="str">
        <f t="shared" si="3"/>
        <v>0003-1004-0047</v>
      </c>
      <c r="B224" s="74" t="s">
        <v>196</v>
      </c>
      <c r="C224" s="75" t="s">
        <v>685</v>
      </c>
      <c r="D224" s="74" t="s">
        <v>563</v>
      </c>
      <c r="E224" s="75" t="s">
        <v>625</v>
      </c>
      <c r="F224" s="74" t="s">
        <v>352</v>
      </c>
      <c r="G224" s="75" t="s">
        <v>408</v>
      </c>
      <c r="H224" s="74" t="s">
        <v>653</v>
      </c>
      <c r="I224" s="75" t="s">
        <v>654</v>
      </c>
      <c r="J224" s="74" t="s">
        <v>391</v>
      </c>
      <c r="K224" s="74" t="s">
        <v>392</v>
      </c>
    </row>
    <row r="225" spans="1:11" x14ac:dyDescent="0.25">
      <c r="A225" s="70" t="str">
        <f t="shared" si="3"/>
        <v>0018-1009-0045</v>
      </c>
      <c r="B225" s="74" t="s">
        <v>212</v>
      </c>
      <c r="C225" s="75" t="s">
        <v>686</v>
      </c>
      <c r="D225" s="74" t="s">
        <v>427</v>
      </c>
      <c r="E225" s="75" t="s">
        <v>687</v>
      </c>
      <c r="F225" s="74" t="s">
        <v>369</v>
      </c>
      <c r="G225" s="75" t="s">
        <v>511</v>
      </c>
      <c r="H225" s="74" t="s">
        <v>688</v>
      </c>
      <c r="I225" s="75" t="s">
        <v>689</v>
      </c>
      <c r="J225" s="74" t="s">
        <v>463</v>
      </c>
      <c r="K225" s="74" t="s">
        <v>392</v>
      </c>
    </row>
    <row r="226" spans="1:11" x14ac:dyDescent="0.25">
      <c r="A226" s="70" t="str">
        <f t="shared" si="3"/>
        <v>0018-1009-0060</v>
      </c>
      <c r="B226" s="74" t="s">
        <v>212</v>
      </c>
      <c r="C226" s="75" t="s">
        <v>686</v>
      </c>
      <c r="D226" s="74" t="s">
        <v>427</v>
      </c>
      <c r="E226" s="75" t="s">
        <v>687</v>
      </c>
      <c r="F226" s="74" t="s">
        <v>369</v>
      </c>
      <c r="G226" s="75" t="s">
        <v>511</v>
      </c>
      <c r="H226" s="74" t="s">
        <v>690</v>
      </c>
      <c r="I226" s="75" t="s">
        <v>691</v>
      </c>
      <c r="J226" s="74" t="s">
        <v>463</v>
      </c>
      <c r="K226" s="74" t="s">
        <v>433</v>
      </c>
    </row>
    <row r="227" spans="1:11" x14ac:dyDescent="0.25">
      <c r="A227" s="70" t="str">
        <f t="shared" si="3"/>
        <v>0018-1002-0049</v>
      </c>
      <c r="B227" s="74" t="s">
        <v>213</v>
      </c>
      <c r="C227" s="75" t="s">
        <v>692</v>
      </c>
      <c r="D227" s="74" t="s">
        <v>427</v>
      </c>
      <c r="E227" s="75" t="s">
        <v>687</v>
      </c>
      <c r="F227" s="74" t="s">
        <v>356</v>
      </c>
      <c r="G227" s="75" t="s">
        <v>431</v>
      </c>
      <c r="H227" s="74" t="s">
        <v>693</v>
      </c>
      <c r="I227" s="75" t="s">
        <v>694</v>
      </c>
      <c r="J227" s="74" t="s">
        <v>445</v>
      </c>
      <c r="K227" s="74" t="s">
        <v>433</v>
      </c>
    </row>
    <row r="228" spans="1:11" x14ac:dyDescent="0.25">
      <c r="A228" s="70" t="str">
        <f t="shared" si="3"/>
        <v>0018-1003-0049</v>
      </c>
      <c r="B228" s="74" t="s">
        <v>213</v>
      </c>
      <c r="C228" s="75" t="s">
        <v>692</v>
      </c>
      <c r="D228" s="74" t="s">
        <v>427</v>
      </c>
      <c r="E228" s="75" t="s">
        <v>687</v>
      </c>
      <c r="F228" s="74" t="s">
        <v>361</v>
      </c>
      <c r="G228" s="75" t="s">
        <v>434</v>
      </c>
      <c r="H228" s="74" t="s">
        <v>693</v>
      </c>
      <c r="I228" s="75" t="s">
        <v>694</v>
      </c>
      <c r="J228" s="74" t="s">
        <v>445</v>
      </c>
      <c r="K228" s="74" t="s">
        <v>433</v>
      </c>
    </row>
    <row r="229" spans="1:11" x14ac:dyDescent="0.25">
      <c r="A229" s="70" t="str">
        <f t="shared" si="3"/>
        <v>0018-1012-0049</v>
      </c>
      <c r="B229" s="74" t="s">
        <v>213</v>
      </c>
      <c r="C229" s="75" t="s">
        <v>692</v>
      </c>
      <c r="D229" s="74" t="s">
        <v>427</v>
      </c>
      <c r="E229" s="75" t="s">
        <v>687</v>
      </c>
      <c r="F229" s="74" t="s">
        <v>350</v>
      </c>
      <c r="G229" s="75" t="s">
        <v>437</v>
      </c>
      <c r="H229" s="74" t="s">
        <v>693</v>
      </c>
      <c r="I229" s="75" t="s">
        <v>694</v>
      </c>
      <c r="J229" s="74" t="s">
        <v>445</v>
      </c>
      <c r="K229" s="74" t="s">
        <v>392</v>
      </c>
    </row>
    <row r="230" spans="1:11" x14ac:dyDescent="0.25">
      <c r="A230" s="70" t="str">
        <f t="shared" si="3"/>
        <v>0018-1013-0049</v>
      </c>
      <c r="B230" s="74" t="s">
        <v>213</v>
      </c>
      <c r="C230" s="75" t="s">
        <v>692</v>
      </c>
      <c r="D230" s="74" t="s">
        <v>427</v>
      </c>
      <c r="E230" s="75" t="s">
        <v>687</v>
      </c>
      <c r="F230" s="74" t="s">
        <v>354</v>
      </c>
      <c r="G230" s="75" t="s">
        <v>438</v>
      </c>
      <c r="H230" s="74" t="s">
        <v>693</v>
      </c>
      <c r="I230" s="75" t="s">
        <v>694</v>
      </c>
      <c r="J230" s="74" t="s">
        <v>445</v>
      </c>
      <c r="K230" s="74" t="s">
        <v>433</v>
      </c>
    </row>
    <row r="231" spans="1:11" x14ac:dyDescent="0.25">
      <c r="A231" s="70" t="str">
        <f t="shared" si="3"/>
        <v>0018-1002-0050</v>
      </c>
      <c r="B231" s="74" t="s">
        <v>311</v>
      </c>
      <c r="C231" s="75" t="s">
        <v>695</v>
      </c>
      <c r="D231" s="74" t="s">
        <v>427</v>
      </c>
      <c r="E231" s="75" t="s">
        <v>687</v>
      </c>
      <c r="F231" s="74" t="s">
        <v>356</v>
      </c>
      <c r="G231" s="75" t="s">
        <v>431</v>
      </c>
      <c r="H231" s="74" t="s">
        <v>696</v>
      </c>
      <c r="I231" s="75" t="s">
        <v>697</v>
      </c>
      <c r="J231" s="74" t="s">
        <v>445</v>
      </c>
      <c r="K231" s="74" t="s">
        <v>433</v>
      </c>
    </row>
    <row r="232" spans="1:11" x14ac:dyDescent="0.25">
      <c r="A232" s="70" t="str">
        <f t="shared" si="3"/>
        <v>0018-1003-0050</v>
      </c>
      <c r="B232" s="74" t="s">
        <v>311</v>
      </c>
      <c r="C232" s="75" t="s">
        <v>695</v>
      </c>
      <c r="D232" s="74" t="s">
        <v>427</v>
      </c>
      <c r="E232" s="75" t="s">
        <v>687</v>
      </c>
      <c r="F232" s="74" t="s">
        <v>361</v>
      </c>
      <c r="G232" s="75" t="s">
        <v>434</v>
      </c>
      <c r="H232" s="74" t="s">
        <v>696</v>
      </c>
      <c r="I232" s="75" t="s">
        <v>697</v>
      </c>
      <c r="J232" s="74" t="s">
        <v>445</v>
      </c>
      <c r="K232" s="74" t="s">
        <v>433</v>
      </c>
    </row>
    <row r="233" spans="1:11" x14ac:dyDescent="0.25">
      <c r="A233" s="70" t="str">
        <f t="shared" si="3"/>
        <v>0018-1012-0050</v>
      </c>
      <c r="B233" s="74" t="s">
        <v>311</v>
      </c>
      <c r="C233" s="75" t="s">
        <v>695</v>
      </c>
      <c r="D233" s="74" t="s">
        <v>427</v>
      </c>
      <c r="E233" s="75" t="s">
        <v>687</v>
      </c>
      <c r="F233" s="74" t="s">
        <v>350</v>
      </c>
      <c r="G233" s="75" t="s">
        <v>437</v>
      </c>
      <c r="H233" s="74" t="s">
        <v>696</v>
      </c>
      <c r="I233" s="75" t="s">
        <v>697</v>
      </c>
      <c r="J233" s="74" t="s">
        <v>445</v>
      </c>
      <c r="K233" s="74" t="s">
        <v>433</v>
      </c>
    </row>
    <row r="234" spans="1:11" x14ac:dyDescent="0.25">
      <c r="A234" s="70" t="str">
        <f t="shared" si="3"/>
        <v>0018-1013-0050</v>
      </c>
      <c r="B234" s="74" t="s">
        <v>311</v>
      </c>
      <c r="C234" s="75" t="s">
        <v>695</v>
      </c>
      <c r="D234" s="74" t="s">
        <v>427</v>
      </c>
      <c r="E234" s="75" t="s">
        <v>687</v>
      </c>
      <c r="F234" s="74" t="s">
        <v>354</v>
      </c>
      <c r="G234" s="75" t="s">
        <v>438</v>
      </c>
      <c r="H234" s="74" t="s">
        <v>696</v>
      </c>
      <c r="I234" s="75" t="s">
        <v>697</v>
      </c>
      <c r="J234" s="74" t="s">
        <v>445</v>
      </c>
      <c r="K234" s="74" t="s">
        <v>392</v>
      </c>
    </row>
    <row r="235" spans="1:11" x14ac:dyDescent="0.25">
      <c r="A235" s="70" t="str">
        <f t="shared" si="3"/>
        <v>0018-1002-0051</v>
      </c>
      <c r="B235" s="74" t="s">
        <v>320</v>
      </c>
      <c r="C235" s="75" t="s">
        <v>698</v>
      </c>
      <c r="D235" s="74" t="s">
        <v>427</v>
      </c>
      <c r="E235" s="75" t="s">
        <v>687</v>
      </c>
      <c r="F235" s="74" t="s">
        <v>356</v>
      </c>
      <c r="G235" s="75" t="s">
        <v>431</v>
      </c>
      <c r="H235" s="74" t="s">
        <v>699</v>
      </c>
      <c r="I235" s="75" t="s">
        <v>700</v>
      </c>
      <c r="J235" s="74" t="s">
        <v>445</v>
      </c>
      <c r="K235" s="74" t="s">
        <v>433</v>
      </c>
    </row>
    <row r="236" spans="1:11" x14ac:dyDescent="0.25">
      <c r="A236" s="70" t="str">
        <f t="shared" si="3"/>
        <v>0018-1003-0051</v>
      </c>
      <c r="B236" s="74" t="s">
        <v>320</v>
      </c>
      <c r="C236" s="75" t="s">
        <v>698</v>
      </c>
      <c r="D236" s="74" t="s">
        <v>427</v>
      </c>
      <c r="E236" s="75" t="s">
        <v>687</v>
      </c>
      <c r="F236" s="74" t="s">
        <v>361</v>
      </c>
      <c r="G236" s="75" t="s">
        <v>434</v>
      </c>
      <c r="H236" s="74" t="s">
        <v>699</v>
      </c>
      <c r="I236" s="75" t="s">
        <v>700</v>
      </c>
      <c r="J236" s="74" t="s">
        <v>445</v>
      </c>
      <c r="K236" s="74" t="s">
        <v>433</v>
      </c>
    </row>
    <row r="237" spans="1:11" x14ac:dyDescent="0.25">
      <c r="A237" s="70" t="str">
        <f t="shared" si="3"/>
        <v>0018-1012-0051</v>
      </c>
      <c r="B237" s="74" t="s">
        <v>320</v>
      </c>
      <c r="C237" s="75" t="s">
        <v>698</v>
      </c>
      <c r="D237" s="74" t="s">
        <v>427</v>
      </c>
      <c r="E237" s="75" t="s">
        <v>687</v>
      </c>
      <c r="F237" s="74" t="s">
        <v>350</v>
      </c>
      <c r="G237" s="75" t="s">
        <v>437</v>
      </c>
      <c r="H237" s="74" t="s">
        <v>699</v>
      </c>
      <c r="I237" s="75" t="s">
        <v>700</v>
      </c>
      <c r="J237" s="74" t="s">
        <v>445</v>
      </c>
      <c r="K237" s="74" t="s">
        <v>392</v>
      </c>
    </row>
    <row r="238" spans="1:11" x14ac:dyDescent="0.25">
      <c r="A238" s="70" t="str">
        <f t="shared" si="3"/>
        <v>0018-1013-0051</v>
      </c>
      <c r="B238" s="74" t="s">
        <v>320</v>
      </c>
      <c r="C238" s="75" t="s">
        <v>698</v>
      </c>
      <c r="D238" s="74" t="s">
        <v>427</v>
      </c>
      <c r="E238" s="75" t="s">
        <v>687</v>
      </c>
      <c r="F238" s="74" t="s">
        <v>354</v>
      </c>
      <c r="G238" s="75" t="s">
        <v>438</v>
      </c>
      <c r="H238" s="74" t="s">
        <v>699</v>
      </c>
      <c r="I238" s="75" t="s">
        <v>700</v>
      </c>
      <c r="J238" s="74" t="s">
        <v>445</v>
      </c>
      <c r="K238" s="74" t="s">
        <v>433</v>
      </c>
    </row>
    <row r="239" spans="1:11" x14ac:dyDescent="0.25">
      <c r="A239" s="70" t="str">
        <f t="shared" si="3"/>
        <v>0018-1004-0049</v>
      </c>
      <c r="B239" s="74" t="s">
        <v>321</v>
      </c>
      <c r="C239" s="75" t="s">
        <v>701</v>
      </c>
      <c r="D239" s="74" t="s">
        <v>427</v>
      </c>
      <c r="E239" s="75" t="s">
        <v>687</v>
      </c>
      <c r="F239" s="74" t="s">
        <v>352</v>
      </c>
      <c r="G239" s="75" t="s">
        <v>408</v>
      </c>
      <c r="H239" s="74" t="s">
        <v>693</v>
      </c>
      <c r="I239" s="75" t="s">
        <v>694</v>
      </c>
      <c r="J239" s="74" t="s">
        <v>470</v>
      </c>
      <c r="K239" s="74" t="s">
        <v>392</v>
      </c>
    </row>
    <row r="240" spans="1:11" x14ac:dyDescent="0.25">
      <c r="A240" s="70" t="str">
        <f t="shared" si="3"/>
        <v>0018-1005-0049</v>
      </c>
      <c r="B240" s="74" t="s">
        <v>321</v>
      </c>
      <c r="C240" s="75" t="s">
        <v>701</v>
      </c>
      <c r="D240" s="74" t="s">
        <v>427</v>
      </c>
      <c r="E240" s="75" t="s">
        <v>687</v>
      </c>
      <c r="F240" s="74" t="s">
        <v>359</v>
      </c>
      <c r="G240" s="75" t="s">
        <v>435</v>
      </c>
      <c r="H240" s="74" t="s">
        <v>693</v>
      </c>
      <c r="I240" s="75" t="s">
        <v>694</v>
      </c>
      <c r="J240" s="74" t="s">
        <v>470</v>
      </c>
      <c r="K240" s="74" t="s">
        <v>433</v>
      </c>
    </row>
    <row r="241" spans="1:11" x14ac:dyDescent="0.25">
      <c r="A241" s="70" t="str">
        <f t="shared" si="3"/>
        <v>0018-1006-0049</v>
      </c>
      <c r="B241" s="74" t="s">
        <v>321</v>
      </c>
      <c r="C241" s="75" t="s">
        <v>701</v>
      </c>
      <c r="D241" s="74" t="s">
        <v>427</v>
      </c>
      <c r="E241" s="75" t="s">
        <v>687</v>
      </c>
      <c r="F241" s="74" t="s">
        <v>355</v>
      </c>
      <c r="G241" s="75" t="s">
        <v>436</v>
      </c>
      <c r="H241" s="74" t="s">
        <v>693</v>
      </c>
      <c r="I241" s="75" t="s">
        <v>694</v>
      </c>
      <c r="J241" s="74" t="s">
        <v>470</v>
      </c>
      <c r="K241" s="74" t="s">
        <v>433</v>
      </c>
    </row>
    <row r="242" spans="1:11" x14ac:dyDescent="0.25">
      <c r="A242" s="70" t="str">
        <f t="shared" si="3"/>
        <v>0018-1004-0050</v>
      </c>
      <c r="B242" s="74" t="s">
        <v>702</v>
      </c>
      <c r="C242" s="75" t="s">
        <v>703</v>
      </c>
      <c r="D242" s="74" t="s">
        <v>427</v>
      </c>
      <c r="E242" s="75" t="s">
        <v>687</v>
      </c>
      <c r="F242" s="74" t="s">
        <v>352</v>
      </c>
      <c r="G242" s="75" t="s">
        <v>408</v>
      </c>
      <c r="H242" s="74" t="s">
        <v>696</v>
      </c>
      <c r="I242" s="75" t="s">
        <v>697</v>
      </c>
      <c r="J242" s="74" t="s">
        <v>470</v>
      </c>
      <c r="K242" s="74" t="s">
        <v>392</v>
      </c>
    </row>
    <row r="243" spans="1:11" x14ac:dyDescent="0.25">
      <c r="A243" s="70" t="str">
        <f t="shared" si="3"/>
        <v>0018-1005-0050</v>
      </c>
      <c r="B243" s="74" t="s">
        <v>702</v>
      </c>
      <c r="C243" s="75" t="s">
        <v>703</v>
      </c>
      <c r="D243" s="74" t="s">
        <v>427</v>
      </c>
      <c r="E243" s="75" t="s">
        <v>687</v>
      </c>
      <c r="F243" s="74" t="s">
        <v>359</v>
      </c>
      <c r="G243" s="75" t="s">
        <v>435</v>
      </c>
      <c r="H243" s="74" t="s">
        <v>696</v>
      </c>
      <c r="I243" s="75" t="s">
        <v>697</v>
      </c>
      <c r="J243" s="74" t="s">
        <v>470</v>
      </c>
      <c r="K243" s="74" t="s">
        <v>433</v>
      </c>
    </row>
    <row r="244" spans="1:11" x14ac:dyDescent="0.25">
      <c r="A244" s="70" t="str">
        <f t="shared" si="3"/>
        <v>0018-1006-0050</v>
      </c>
      <c r="B244" s="74" t="s">
        <v>702</v>
      </c>
      <c r="C244" s="75" t="s">
        <v>703</v>
      </c>
      <c r="D244" s="74" t="s">
        <v>427</v>
      </c>
      <c r="E244" s="75" t="s">
        <v>687</v>
      </c>
      <c r="F244" s="74" t="s">
        <v>355</v>
      </c>
      <c r="G244" s="75" t="s">
        <v>436</v>
      </c>
      <c r="H244" s="74" t="s">
        <v>696</v>
      </c>
      <c r="I244" s="75" t="s">
        <v>697</v>
      </c>
      <c r="J244" s="74" t="s">
        <v>470</v>
      </c>
      <c r="K244" s="74" t="s">
        <v>433</v>
      </c>
    </row>
    <row r="245" spans="1:11" x14ac:dyDescent="0.25">
      <c r="A245" s="70" t="str">
        <f t="shared" si="3"/>
        <v>0018-1004-0051</v>
      </c>
      <c r="B245" s="74" t="s">
        <v>704</v>
      </c>
      <c r="C245" s="75" t="s">
        <v>705</v>
      </c>
      <c r="D245" s="74" t="s">
        <v>427</v>
      </c>
      <c r="E245" s="75" t="s">
        <v>687</v>
      </c>
      <c r="F245" s="74" t="s">
        <v>352</v>
      </c>
      <c r="G245" s="75" t="s">
        <v>408</v>
      </c>
      <c r="H245" s="74" t="s">
        <v>699</v>
      </c>
      <c r="I245" s="75" t="s">
        <v>700</v>
      </c>
      <c r="J245" s="74" t="s">
        <v>470</v>
      </c>
      <c r="K245" s="74" t="s">
        <v>392</v>
      </c>
    </row>
    <row r="246" spans="1:11" x14ac:dyDescent="0.25">
      <c r="A246" s="70" t="str">
        <f t="shared" si="3"/>
        <v>0018-1005-0051</v>
      </c>
      <c r="B246" s="74" t="s">
        <v>704</v>
      </c>
      <c r="C246" s="75" t="s">
        <v>705</v>
      </c>
      <c r="D246" s="74" t="s">
        <v>427</v>
      </c>
      <c r="E246" s="75" t="s">
        <v>687</v>
      </c>
      <c r="F246" s="74" t="s">
        <v>359</v>
      </c>
      <c r="G246" s="75" t="s">
        <v>435</v>
      </c>
      <c r="H246" s="74" t="s">
        <v>699</v>
      </c>
      <c r="I246" s="75" t="s">
        <v>700</v>
      </c>
      <c r="J246" s="74" t="s">
        <v>470</v>
      </c>
      <c r="K246" s="74" t="s">
        <v>433</v>
      </c>
    </row>
    <row r="247" spans="1:11" x14ac:dyDescent="0.25">
      <c r="A247" s="70" t="str">
        <f t="shared" si="3"/>
        <v>0018-1006-0051</v>
      </c>
      <c r="B247" s="74" t="s">
        <v>704</v>
      </c>
      <c r="C247" s="75" t="s">
        <v>705</v>
      </c>
      <c r="D247" s="74" t="s">
        <v>427</v>
      </c>
      <c r="E247" s="75" t="s">
        <v>687</v>
      </c>
      <c r="F247" s="74" t="s">
        <v>355</v>
      </c>
      <c r="G247" s="75" t="s">
        <v>436</v>
      </c>
      <c r="H247" s="74" t="s">
        <v>699</v>
      </c>
      <c r="I247" s="75" t="s">
        <v>700</v>
      </c>
      <c r="J247" s="74" t="s">
        <v>470</v>
      </c>
      <c r="K247" s="74" t="s">
        <v>433</v>
      </c>
    </row>
    <row r="248" spans="1:11" x14ac:dyDescent="0.25">
      <c r="A248" s="70" t="str">
        <f t="shared" si="3"/>
        <v>0018-1014-0049</v>
      </c>
      <c r="B248" s="74" t="s">
        <v>312</v>
      </c>
      <c r="C248" s="75" t="s">
        <v>706</v>
      </c>
      <c r="D248" s="74" t="s">
        <v>427</v>
      </c>
      <c r="E248" s="75" t="s">
        <v>687</v>
      </c>
      <c r="F248" s="74" t="s">
        <v>346</v>
      </c>
      <c r="G248" s="75" t="s">
        <v>452</v>
      </c>
      <c r="H248" s="74" t="s">
        <v>693</v>
      </c>
      <c r="I248" s="75" t="s">
        <v>694</v>
      </c>
      <c r="J248" s="74" t="s">
        <v>391</v>
      </c>
      <c r="K248" s="74" t="s">
        <v>392</v>
      </c>
    </row>
    <row r="249" spans="1:11" x14ac:dyDescent="0.25">
      <c r="A249" s="70" t="str">
        <f t="shared" si="3"/>
        <v>0018-1008-0051</v>
      </c>
      <c r="B249" s="74" t="s">
        <v>313</v>
      </c>
      <c r="C249" s="75" t="s">
        <v>707</v>
      </c>
      <c r="D249" s="74" t="s">
        <v>427</v>
      </c>
      <c r="E249" s="75" t="s">
        <v>687</v>
      </c>
      <c r="F249" s="74" t="s">
        <v>362</v>
      </c>
      <c r="G249" s="75" t="s">
        <v>594</v>
      </c>
      <c r="H249" s="74" t="s">
        <v>699</v>
      </c>
      <c r="I249" s="75" t="s">
        <v>700</v>
      </c>
      <c r="J249" s="74" t="s">
        <v>391</v>
      </c>
      <c r="K249" s="74" t="s">
        <v>392</v>
      </c>
    </row>
    <row r="250" spans="1:11" x14ac:dyDescent="0.25">
      <c r="A250" s="70" t="str">
        <f t="shared" si="3"/>
        <v>0018-1009-0046</v>
      </c>
      <c r="B250" s="74" t="s">
        <v>215</v>
      </c>
      <c r="C250" s="75" t="s">
        <v>708</v>
      </c>
      <c r="D250" s="74" t="s">
        <v>427</v>
      </c>
      <c r="E250" s="75" t="s">
        <v>687</v>
      </c>
      <c r="F250" s="74" t="s">
        <v>369</v>
      </c>
      <c r="G250" s="75" t="s">
        <v>511</v>
      </c>
      <c r="H250" s="74" t="s">
        <v>709</v>
      </c>
      <c r="I250" s="75" t="s">
        <v>710</v>
      </c>
      <c r="J250" s="74" t="s">
        <v>391</v>
      </c>
      <c r="K250" s="74" t="s">
        <v>392</v>
      </c>
    </row>
    <row r="251" spans="1:11" x14ac:dyDescent="0.25">
      <c r="A251" s="70" t="str">
        <f t="shared" si="3"/>
        <v>0011-1005-0012</v>
      </c>
      <c r="B251" s="74" t="s">
        <v>66</v>
      </c>
      <c r="C251" s="75" t="s">
        <v>711</v>
      </c>
      <c r="D251" s="74" t="s">
        <v>345</v>
      </c>
      <c r="E251" s="75" t="s">
        <v>403</v>
      </c>
      <c r="F251" s="74" t="s">
        <v>359</v>
      </c>
      <c r="G251" s="75" t="s">
        <v>435</v>
      </c>
      <c r="H251" s="74" t="s">
        <v>344</v>
      </c>
      <c r="I251" s="75" t="s">
        <v>530</v>
      </c>
      <c r="J251" s="74" t="s">
        <v>391</v>
      </c>
      <c r="K251" s="74" t="s">
        <v>392</v>
      </c>
    </row>
    <row r="252" spans="1:11" x14ac:dyDescent="0.25">
      <c r="A252" s="70" t="str">
        <f t="shared" si="3"/>
        <v>0011-1005-0020</v>
      </c>
      <c r="B252" s="74" t="s">
        <v>82</v>
      </c>
      <c r="C252" s="75" t="s">
        <v>712</v>
      </c>
      <c r="D252" s="74" t="s">
        <v>345</v>
      </c>
      <c r="E252" s="75" t="s">
        <v>403</v>
      </c>
      <c r="F252" s="74" t="s">
        <v>359</v>
      </c>
      <c r="G252" s="75" t="s">
        <v>435</v>
      </c>
      <c r="H252" s="74" t="s">
        <v>441</v>
      </c>
      <c r="I252" s="75" t="s">
        <v>713</v>
      </c>
      <c r="J252" s="74" t="s">
        <v>391</v>
      </c>
      <c r="K252" s="74" t="s">
        <v>392</v>
      </c>
    </row>
    <row r="253" spans="1:11" x14ac:dyDescent="0.25">
      <c r="A253" s="70" t="str">
        <f t="shared" si="3"/>
        <v>0012-1005-0012</v>
      </c>
      <c r="B253" s="74" t="s">
        <v>67</v>
      </c>
      <c r="C253" s="75" t="s">
        <v>714</v>
      </c>
      <c r="D253" s="74" t="s">
        <v>344</v>
      </c>
      <c r="E253" s="75" t="s">
        <v>608</v>
      </c>
      <c r="F253" s="74" t="s">
        <v>359</v>
      </c>
      <c r="G253" s="75" t="s">
        <v>435</v>
      </c>
      <c r="H253" s="74" t="s">
        <v>344</v>
      </c>
      <c r="I253" s="75" t="s">
        <v>530</v>
      </c>
      <c r="J253" s="74" t="s">
        <v>391</v>
      </c>
      <c r="K253" s="74" t="s">
        <v>392</v>
      </c>
    </row>
    <row r="254" spans="1:11" x14ac:dyDescent="0.25">
      <c r="A254" s="70" t="str">
        <f t="shared" si="3"/>
        <v>0012-1013-0012</v>
      </c>
      <c r="B254" s="74" t="s">
        <v>68</v>
      </c>
      <c r="C254" s="75" t="s">
        <v>715</v>
      </c>
      <c r="D254" s="74" t="s">
        <v>344</v>
      </c>
      <c r="E254" s="75" t="s">
        <v>608</v>
      </c>
      <c r="F254" s="74" t="s">
        <v>354</v>
      </c>
      <c r="G254" s="75" t="s">
        <v>438</v>
      </c>
      <c r="H254" s="74" t="s">
        <v>344</v>
      </c>
      <c r="I254" s="75" t="s">
        <v>530</v>
      </c>
      <c r="J254" s="74" t="s">
        <v>470</v>
      </c>
      <c r="K254" s="74" t="s">
        <v>392</v>
      </c>
    </row>
    <row r="255" spans="1:11" x14ac:dyDescent="0.25">
      <c r="A255" s="70" t="str">
        <f t="shared" si="3"/>
        <v>0012-1013-0052</v>
      </c>
      <c r="B255" s="74" t="s">
        <v>68</v>
      </c>
      <c r="C255" s="75" t="s">
        <v>715</v>
      </c>
      <c r="D255" s="74" t="s">
        <v>344</v>
      </c>
      <c r="E255" s="75" t="s">
        <v>608</v>
      </c>
      <c r="F255" s="74" t="s">
        <v>354</v>
      </c>
      <c r="G255" s="75" t="s">
        <v>438</v>
      </c>
      <c r="H255" s="74" t="s">
        <v>604</v>
      </c>
      <c r="I255" s="75" t="s">
        <v>605</v>
      </c>
      <c r="J255" s="74" t="s">
        <v>470</v>
      </c>
      <c r="K255" s="74" t="s">
        <v>433</v>
      </c>
    </row>
    <row r="256" spans="1:11" x14ac:dyDescent="0.25">
      <c r="A256" s="70" t="str">
        <f t="shared" si="3"/>
        <v>0012-1013-0056</v>
      </c>
      <c r="B256" s="74" t="s">
        <v>68</v>
      </c>
      <c r="C256" s="75" t="s">
        <v>715</v>
      </c>
      <c r="D256" s="74" t="s">
        <v>344</v>
      </c>
      <c r="E256" s="75" t="s">
        <v>608</v>
      </c>
      <c r="F256" s="74" t="s">
        <v>354</v>
      </c>
      <c r="G256" s="75" t="s">
        <v>438</v>
      </c>
      <c r="H256" s="74" t="s">
        <v>368</v>
      </c>
      <c r="I256" s="75" t="s">
        <v>606</v>
      </c>
      <c r="J256" s="74" t="s">
        <v>470</v>
      </c>
      <c r="K256" s="74" t="s">
        <v>433</v>
      </c>
    </row>
    <row r="257" spans="1:11" x14ac:dyDescent="0.25">
      <c r="A257" s="70" t="str">
        <f t="shared" si="3"/>
        <v>0012-1003-0012</v>
      </c>
      <c r="B257" s="74" t="s">
        <v>69</v>
      </c>
      <c r="C257" s="75" t="s">
        <v>716</v>
      </c>
      <c r="D257" s="74" t="s">
        <v>344</v>
      </c>
      <c r="E257" s="75" t="s">
        <v>608</v>
      </c>
      <c r="F257" s="74" t="s">
        <v>361</v>
      </c>
      <c r="G257" s="75" t="s">
        <v>434</v>
      </c>
      <c r="H257" s="74" t="s">
        <v>344</v>
      </c>
      <c r="I257" s="75" t="s">
        <v>530</v>
      </c>
      <c r="J257" s="74" t="s">
        <v>470</v>
      </c>
      <c r="K257" s="74" t="s">
        <v>392</v>
      </c>
    </row>
    <row r="258" spans="1:11" x14ac:dyDescent="0.25">
      <c r="A258" s="70" t="str">
        <f t="shared" si="3"/>
        <v>0012-1003-0052</v>
      </c>
      <c r="B258" s="74" t="s">
        <v>69</v>
      </c>
      <c r="C258" s="75" t="s">
        <v>716</v>
      </c>
      <c r="D258" s="74" t="s">
        <v>344</v>
      </c>
      <c r="E258" s="75" t="s">
        <v>608</v>
      </c>
      <c r="F258" s="74" t="s">
        <v>361</v>
      </c>
      <c r="G258" s="75" t="s">
        <v>434</v>
      </c>
      <c r="H258" s="74" t="s">
        <v>604</v>
      </c>
      <c r="I258" s="75" t="s">
        <v>605</v>
      </c>
      <c r="J258" s="74" t="s">
        <v>470</v>
      </c>
      <c r="K258" s="74" t="s">
        <v>433</v>
      </c>
    </row>
    <row r="259" spans="1:11" x14ac:dyDescent="0.25">
      <c r="A259" s="70" t="str">
        <f t="shared" si="3"/>
        <v>0012-1003-0056</v>
      </c>
      <c r="B259" s="74" t="s">
        <v>69</v>
      </c>
      <c r="C259" s="75" t="s">
        <v>716</v>
      </c>
      <c r="D259" s="74" t="s">
        <v>344</v>
      </c>
      <c r="E259" s="75" t="s">
        <v>608</v>
      </c>
      <c r="F259" s="74" t="s">
        <v>361</v>
      </c>
      <c r="G259" s="75" t="s">
        <v>434</v>
      </c>
      <c r="H259" s="74" t="s">
        <v>368</v>
      </c>
      <c r="I259" s="75" t="s">
        <v>606</v>
      </c>
      <c r="J259" s="74" t="s">
        <v>470</v>
      </c>
      <c r="K259" s="74" t="s">
        <v>433</v>
      </c>
    </row>
    <row r="260" spans="1:11" x14ac:dyDescent="0.25">
      <c r="A260" s="70" t="str">
        <f t="shared" ref="A260:A323" si="4">D260&amp;"-"&amp;F260&amp;"-"&amp;H260</f>
        <v>0011-1003-0012</v>
      </c>
      <c r="B260" s="74" t="s">
        <v>70</v>
      </c>
      <c r="C260" s="75" t="s">
        <v>717</v>
      </c>
      <c r="D260" s="74" t="s">
        <v>345</v>
      </c>
      <c r="E260" s="75" t="s">
        <v>403</v>
      </c>
      <c r="F260" s="74" t="s">
        <v>361</v>
      </c>
      <c r="G260" s="75" t="s">
        <v>434</v>
      </c>
      <c r="H260" s="74" t="s">
        <v>344</v>
      </c>
      <c r="I260" s="75" t="s">
        <v>530</v>
      </c>
      <c r="J260" s="74" t="s">
        <v>470</v>
      </c>
      <c r="K260" s="74" t="s">
        <v>392</v>
      </c>
    </row>
    <row r="261" spans="1:11" x14ac:dyDescent="0.25">
      <c r="A261" s="70" t="str">
        <f t="shared" si="4"/>
        <v>0011-1003-0052</v>
      </c>
      <c r="B261" s="74" t="s">
        <v>70</v>
      </c>
      <c r="C261" s="75" t="s">
        <v>717</v>
      </c>
      <c r="D261" s="74" t="s">
        <v>345</v>
      </c>
      <c r="E261" s="75" t="s">
        <v>403</v>
      </c>
      <c r="F261" s="74" t="s">
        <v>361</v>
      </c>
      <c r="G261" s="75" t="s">
        <v>434</v>
      </c>
      <c r="H261" s="74" t="s">
        <v>604</v>
      </c>
      <c r="I261" s="75" t="s">
        <v>605</v>
      </c>
      <c r="J261" s="74" t="s">
        <v>470</v>
      </c>
      <c r="K261" s="74" t="s">
        <v>433</v>
      </c>
    </row>
    <row r="262" spans="1:11" x14ac:dyDescent="0.25">
      <c r="A262" s="70" t="str">
        <f t="shared" si="4"/>
        <v>0011-1003-0056</v>
      </c>
      <c r="B262" s="74" t="s">
        <v>70</v>
      </c>
      <c r="C262" s="75" t="s">
        <v>717</v>
      </c>
      <c r="D262" s="74" t="s">
        <v>345</v>
      </c>
      <c r="E262" s="75" t="s">
        <v>403</v>
      </c>
      <c r="F262" s="74" t="s">
        <v>361</v>
      </c>
      <c r="G262" s="75" t="s">
        <v>434</v>
      </c>
      <c r="H262" s="74" t="s">
        <v>368</v>
      </c>
      <c r="I262" s="75" t="s">
        <v>606</v>
      </c>
      <c r="J262" s="74" t="s">
        <v>470</v>
      </c>
      <c r="K262" s="74" t="s">
        <v>433</v>
      </c>
    </row>
    <row r="263" spans="1:11" x14ac:dyDescent="0.25">
      <c r="A263" s="70" t="str">
        <f t="shared" si="4"/>
        <v>0011-1005-0047</v>
      </c>
      <c r="B263" s="74" t="s">
        <v>154</v>
      </c>
      <c r="C263" s="75" t="s">
        <v>718</v>
      </c>
      <c r="D263" s="74" t="s">
        <v>345</v>
      </c>
      <c r="E263" s="75" t="s">
        <v>403</v>
      </c>
      <c r="F263" s="74" t="s">
        <v>359</v>
      </c>
      <c r="G263" s="75" t="s">
        <v>435</v>
      </c>
      <c r="H263" s="74" t="s">
        <v>653</v>
      </c>
      <c r="I263" s="75" t="s">
        <v>654</v>
      </c>
      <c r="J263" s="74" t="s">
        <v>391</v>
      </c>
      <c r="K263" s="74" t="s">
        <v>392</v>
      </c>
    </row>
    <row r="264" spans="1:11" x14ac:dyDescent="0.25">
      <c r="A264" s="70" t="str">
        <f t="shared" si="4"/>
        <v>0012-1005-0047</v>
      </c>
      <c r="B264" s="74" t="s">
        <v>152</v>
      </c>
      <c r="C264" s="75" t="s">
        <v>719</v>
      </c>
      <c r="D264" s="74" t="s">
        <v>344</v>
      </c>
      <c r="E264" s="75" t="s">
        <v>608</v>
      </c>
      <c r="F264" s="74" t="s">
        <v>359</v>
      </c>
      <c r="G264" s="75" t="s">
        <v>435</v>
      </c>
      <c r="H264" s="74" t="s">
        <v>653</v>
      </c>
      <c r="I264" s="75" t="s">
        <v>654</v>
      </c>
      <c r="J264" s="74" t="s">
        <v>391</v>
      </c>
      <c r="K264" s="74" t="s">
        <v>392</v>
      </c>
    </row>
    <row r="265" spans="1:11" x14ac:dyDescent="0.25">
      <c r="A265" s="70" t="str">
        <f t="shared" si="4"/>
        <v>0011-1013-0012</v>
      </c>
      <c r="B265" s="74" t="s">
        <v>71</v>
      </c>
      <c r="C265" s="75" t="s">
        <v>720</v>
      </c>
      <c r="D265" s="74" t="s">
        <v>345</v>
      </c>
      <c r="E265" s="75" t="s">
        <v>403</v>
      </c>
      <c r="F265" s="74" t="s">
        <v>354</v>
      </c>
      <c r="G265" s="75" t="s">
        <v>438</v>
      </c>
      <c r="H265" s="74" t="s">
        <v>344</v>
      </c>
      <c r="I265" s="75" t="s">
        <v>530</v>
      </c>
      <c r="J265" s="74" t="s">
        <v>470</v>
      </c>
      <c r="K265" s="74" t="s">
        <v>392</v>
      </c>
    </row>
    <row r="266" spans="1:11" x14ac:dyDescent="0.25">
      <c r="A266" s="70" t="str">
        <f t="shared" si="4"/>
        <v>0011-1013-0052</v>
      </c>
      <c r="B266" s="74" t="s">
        <v>71</v>
      </c>
      <c r="C266" s="75" t="s">
        <v>720</v>
      </c>
      <c r="D266" s="74" t="s">
        <v>345</v>
      </c>
      <c r="E266" s="75" t="s">
        <v>403</v>
      </c>
      <c r="F266" s="74" t="s">
        <v>354</v>
      </c>
      <c r="G266" s="75" t="s">
        <v>438</v>
      </c>
      <c r="H266" s="74" t="s">
        <v>604</v>
      </c>
      <c r="I266" s="75" t="s">
        <v>605</v>
      </c>
      <c r="J266" s="74" t="s">
        <v>470</v>
      </c>
      <c r="K266" s="74" t="s">
        <v>433</v>
      </c>
    </row>
    <row r="267" spans="1:11" x14ac:dyDescent="0.25">
      <c r="A267" s="70" t="str">
        <f t="shared" si="4"/>
        <v>0011-1013-0056</v>
      </c>
      <c r="B267" s="74" t="s">
        <v>71</v>
      </c>
      <c r="C267" s="75" t="s">
        <v>720</v>
      </c>
      <c r="D267" s="74" t="s">
        <v>345</v>
      </c>
      <c r="E267" s="75" t="s">
        <v>403</v>
      </c>
      <c r="F267" s="74" t="s">
        <v>354</v>
      </c>
      <c r="G267" s="75" t="s">
        <v>438</v>
      </c>
      <c r="H267" s="74" t="s">
        <v>368</v>
      </c>
      <c r="I267" s="75" t="s">
        <v>606</v>
      </c>
      <c r="J267" s="74" t="s">
        <v>470</v>
      </c>
      <c r="K267" s="74" t="s">
        <v>433</v>
      </c>
    </row>
    <row r="268" spans="1:11" x14ac:dyDescent="0.25">
      <c r="A268" s="70" t="str">
        <f t="shared" si="4"/>
        <v>0011-1013-0048</v>
      </c>
      <c r="B268" s="74" t="s">
        <v>72</v>
      </c>
      <c r="C268" s="75" t="s">
        <v>721</v>
      </c>
      <c r="D268" s="74" t="s">
        <v>345</v>
      </c>
      <c r="E268" s="75" t="s">
        <v>403</v>
      </c>
      <c r="F268" s="74" t="s">
        <v>354</v>
      </c>
      <c r="G268" s="75" t="s">
        <v>438</v>
      </c>
      <c r="H268" s="74" t="s">
        <v>360</v>
      </c>
      <c r="I268" s="75" t="s">
        <v>643</v>
      </c>
      <c r="J268" s="74" t="s">
        <v>391</v>
      </c>
      <c r="K268" s="74" t="s">
        <v>392</v>
      </c>
    </row>
    <row r="269" spans="1:11" x14ac:dyDescent="0.25">
      <c r="A269" s="70" t="str">
        <f t="shared" si="4"/>
        <v>0012-1013-0048</v>
      </c>
      <c r="B269" s="74" t="s">
        <v>289</v>
      </c>
      <c r="C269" s="75" t="s">
        <v>722</v>
      </c>
      <c r="D269" s="74" t="s">
        <v>344</v>
      </c>
      <c r="E269" s="75" t="s">
        <v>608</v>
      </c>
      <c r="F269" s="74" t="s">
        <v>354</v>
      </c>
      <c r="G269" s="75" t="s">
        <v>438</v>
      </c>
      <c r="H269" s="74" t="s">
        <v>360</v>
      </c>
      <c r="I269" s="75" t="s">
        <v>643</v>
      </c>
      <c r="J269" s="74" t="s">
        <v>391</v>
      </c>
      <c r="K269" s="74" t="s">
        <v>392</v>
      </c>
    </row>
    <row r="270" spans="1:11" x14ac:dyDescent="0.25">
      <c r="A270" s="70" t="str">
        <f t="shared" si="4"/>
        <v>0013-1003-0035</v>
      </c>
      <c r="B270" s="74" t="s">
        <v>314</v>
      </c>
      <c r="C270" s="75" t="s">
        <v>723</v>
      </c>
      <c r="D270" s="74" t="s">
        <v>506</v>
      </c>
      <c r="E270" s="75" t="s">
        <v>593</v>
      </c>
      <c r="F270" s="74" t="s">
        <v>361</v>
      </c>
      <c r="G270" s="75" t="s">
        <v>434</v>
      </c>
      <c r="H270" s="74" t="s">
        <v>592</v>
      </c>
      <c r="I270" s="75" t="s">
        <v>593</v>
      </c>
      <c r="J270" s="74" t="s">
        <v>391</v>
      </c>
      <c r="K270" s="74" t="s">
        <v>392</v>
      </c>
    </row>
    <row r="271" spans="1:11" x14ac:dyDescent="0.25">
      <c r="A271" s="70" t="str">
        <f t="shared" si="4"/>
        <v>0013-1013-0063</v>
      </c>
      <c r="B271" s="74" t="s">
        <v>322</v>
      </c>
      <c r="C271" s="75" t="s">
        <v>724</v>
      </c>
      <c r="D271" s="74" t="s">
        <v>506</v>
      </c>
      <c r="E271" s="75" t="s">
        <v>593</v>
      </c>
      <c r="F271" s="74" t="s">
        <v>354</v>
      </c>
      <c r="G271" s="75" t="s">
        <v>438</v>
      </c>
      <c r="H271" s="74" t="s">
        <v>725</v>
      </c>
      <c r="I271" s="75" t="s">
        <v>726</v>
      </c>
      <c r="J271" s="74" t="s">
        <v>391</v>
      </c>
      <c r="K271" s="74" t="s">
        <v>392</v>
      </c>
    </row>
    <row r="272" spans="1:11" x14ac:dyDescent="0.25">
      <c r="A272" s="70" t="str">
        <f t="shared" si="4"/>
        <v>0013-1005-0035</v>
      </c>
      <c r="B272" s="74" t="s">
        <v>315</v>
      </c>
      <c r="C272" s="75" t="s">
        <v>727</v>
      </c>
      <c r="D272" s="74" t="s">
        <v>506</v>
      </c>
      <c r="E272" s="75" t="s">
        <v>593</v>
      </c>
      <c r="F272" s="74" t="s">
        <v>359</v>
      </c>
      <c r="G272" s="75" t="s">
        <v>435</v>
      </c>
      <c r="H272" s="74" t="s">
        <v>592</v>
      </c>
      <c r="I272" s="75" t="s">
        <v>593</v>
      </c>
      <c r="J272" s="74" t="s">
        <v>391</v>
      </c>
      <c r="K272" s="74" t="s">
        <v>392</v>
      </c>
    </row>
    <row r="273" spans="1:11" x14ac:dyDescent="0.25">
      <c r="A273" s="70" t="str">
        <f t="shared" si="4"/>
        <v>0013-1005-0040</v>
      </c>
      <c r="B273" s="74" t="s">
        <v>728</v>
      </c>
      <c r="C273" s="75" t="s">
        <v>729</v>
      </c>
      <c r="D273" s="74" t="s">
        <v>506</v>
      </c>
      <c r="E273" s="75" t="s">
        <v>593</v>
      </c>
      <c r="F273" s="74" t="s">
        <v>359</v>
      </c>
      <c r="G273" s="75" t="s">
        <v>435</v>
      </c>
      <c r="H273" s="74" t="s">
        <v>730</v>
      </c>
      <c r="I273" s="75" t="s">
        <v>731</v>
      </c>
      <c r="J273" s="74" t="s">
        <v>391</v>
      </c>
      <c r="K273" s="74" t="s">
        <v>392</v>
      </c>
    </row>
    <row r="274" spans="1:11" x14ac:dyDescent="0.25">
      <c r="A274" s="70" t="str">
        <f t="shared" si="4"/>
        <v>0013-1013-0035</v>
      </c>
      <c r="B274" s="74" t="s">
        <v>112</v>
      </c>
      <c r="C274" s="75" t="s">
        <v>732</v>
      </c>
      <c r="D274" s="74" t="s">
        <v>506</v>
      </c>
      <c r="E274" s="75" t="s">
        <v>593</v>
      </c>
      <c r="F274" s="74" t="s">
        <v>354</v>
      </c>
      <c r="G274" s="75" t="s">
        <v>438</v>
      </c>
      <c r="H274" s="74" t="s">
        <v>592</v>
      </c>
      <c r="I274" s="75" t="s">
        <v>593</v>
      </c>
      <c r="J274" s="74" t="s">
        <v>391</v>
      </c>
      <c r="K274" s="74" t="s">
        <v>392</v>
      </c>
    </row>
    <row r="275" spans="1:11" x14ac:dyDescent="0.25">
      <c r="A275" s="70" t="str">
        <f t="shared" si="4"/>
        <v>0025-1003-0058</v>
      </c>
      <c r="B275" s="74" t="s">
        <v>316</v>
      </c>
      <c r="C275" s="75" t="s">
        <v>733</v>
      </c>
      <c r="D275" s="74" t="s">
        <v>524</v>
      </c>
      <c r="E275" s="75" t="s">
        <v>671</v>
      </c>
      <c r="F275" s="74" t="s">
        <v>361</v>
      </c>
      <c r="G275" s="75" t="s">
        <v>434</v>
      </c>
      <c r="H275" s="74" t="s">
        <v>672</v>
      </c>
      <c r="I275" s="75" t="s">
        <v>673</v>
      </c>
      <c r="J275" s="74" t="s">
        <v>463</v>
      </c>
      <c r="K275" s="74" t="s">
        <v>392</v>
      </c>
    </row>
    <row r="276" spans="1:11" x14ac:dyDescent="0.25">
      <c r="A276" s="70" t="str">
        <f t="shared" si="4"/>
        <v>0026-1003-0058</v>
      </c>
      <c r="B276" s="74" t="s">
        <v>316</v>
      </c>
      <c r="C276" s="75" t="s">
        <v>733</v>
      </c>
      <c r="D276" s="74" t="s">
        <v>549</v>
      </c>
      <c r="E276" s="75" t="s">
        <v>674</v>
      </c>
      <c r="F276" s="74" t="s">
        <v>361</v>
      </c>
      <c r="G276" s="75" t="s">
        <v>434</v>
      </c>
      <c r="H276" s="74" t="s">
        <v>672</v>
      </c>
      <c r="I276" s="75" t="s">
        <v>673</v>
      </c>
      <c r="J276" s="74" t="s">
        <v>463</v>
      </c>
      <c r="K276" s="74" t="s">
        <v>433</v>
      </c>
    </row>
    <row r="277" spans="1:11" x14ac:dyDescent="0.25">
      <c r="A277" s="70" t="str">
        <f t="shared" si="4"/>
        <v>0025-1005-0058</v>
      </c>
      <c r="B277" s="74" t="s">
        <v>317</v>
      </c>
      <c r="C277" s="75" t="s">
        <v>733</v>
      </c>
      <c r="D277" s="74" t="s">
        <v>524</v>
      </c>
      <c r="E277" s="75" t="s">
        <v>671</v>
      </c>
      <c r="F277" s="74" t="s">
        <v>359</v>
      </c>
      <c r="G277" s="75" t="s">
        <v>435</v>
      </c>
      <c r="H277" s="74" t="s">
        <v>672</v>
      </c>
      <c r="I277" s="75" t="s">
        <v>673</v>
      </c>
      <c r="J277" s="74" t="s">
        <v>463</v>
      </c>
      <c r="K277" s="74" t="s">
        <v>392</v>
      </c>
    </row>
    <row r="278" spans="1:11" x14ac:dyDescent="0.25">
      <c r="A278" s="70" t="str">
        <f t="shared" si="4"/>
        <v>0026-1005-0058</v>
      </c>
      <c r="B278" s="74" t="s">
        <v>317</v>
      </c>
      <c r="C278" s="75" t="s">
        <v>733</v>
      </c>
      <c r="D278" s="74" t="s">
        <v>549</v>
      </c>
      <c r="E278" s="75" t="s">
        <v>674</v>
      </c>
      <c r="F278" s="74" t="s">
        <v>359</v>
      </c>
      <c r="G278" s="75" t="s">
        <v>435</v>
      </c>
      <c r="H278" s="74" t="s">
        <v>672</v>
      </c>
      <c r="I278" s="75" t="s">
        <v>673</v>
      </c>
      <c r="J278" s="74" t="s">
        <v>463</v>
      </c>
      <c r="K278" s="74" t="s">
        <v>433</v>
      </c>
    </row>
    <row r="279" spans="1:11" x14ac:dyDescent="0.25">
      <c r="A279" s="70" t="str">
        <f t="shared" si="4"/>
        <v>0003-1005-0012</v>
      </c>
      <c r="B279" s="74" t="s">
        <v>113</v>
      </c>
      <c r="C279" s="75" t="s">
        <v>734</v>
      </c>
      <c r="D279" s="74" t="s">
        <v>563</v>
      </c>
      <c r="E279" s="75" t="s">
        <v>625</v>
      </c>
      <c r="F279" s="74" t="s">
        <v>359</v>
      </c>
      <c r="G279" s="75" t="s">
        <v>435</v>
      </c>
      <c r="H279" s="74" t="s">
        <v>344</v>
      </c>
      <c r="I279" s="75" t="s">
        <v>530</v>
      </c>
      <c r="J279" s="74" t="s">
        <v>391</v>
      </c>
      <c r="K279" s="74" t="s">
        <v>392</v>
      </c>
    </row>
    <row r="280" spans="1:11" x14ac:dyDescent="0.25">
      <c r="A280" s="70" t="str">
        <f t="shared" si="4"/>
        <v>0010-1005-0053</v>
      </c>
      <c r="B280" s="74" t="s">
        <v>293</v>
      </c>
      <c r="C280" s="75" t="e">
        <v>#N/A</v>
      </c>
      <c r="D280" s="74" t="s">
        <v>735</v>
      </c>
      <c r="E280" s="75" t="s">
        <v>736</v>
      </c>
      <c r="F280" s="74" t="s">
        <v>359</v>
      </c>
      <c r="G280" s="75" t="s">
        <v>435</v>
      </c>
      <c r="H280" s="74" t="s">
        <v>737</v>
      </c>
      <c r="I280" s="75" t="s">
        <v>738</v>
      </c>
      <c r="J280" s="74" t="s">
        <v>391</v>
      </c>
      <c r="K280" s="74" t="s">
        <v>392</v>
      </c>
    </row>
    <row r="281" spans="1:11" x14ac:dyDescent="0.25">
      <c r="A281" s="70" t="str">
        <f t="shared" si="4"/>
        <v>0010-1005-0053</v>
      </c>
      <c r="B281" s="74" t="s">
        <v>294</v>
      </c>
      <c r="C281" s="75" t="s">
        <v>739</v>
      </c>
      <c r="D281" s="74" t="s">
        <v>735</v>
      </c>
      <c r="E281" s="75" t="s">
        <v>736</v>
      </c>
      <c r="F281" s="74" t="s">
        <v>359</v>
      </c>
      <c r="G281" s="75" t="s">
        <v>435</v>
      </c>
      <c r="H281" s="74" t="s">
        <v>737</v>
      </c>
      <c r="I281" s="75" t="s">
        <v>738</v>
      </c>
      <c r="J281" s="74" t="s">
        <v>391</v>
      </c>
      <c r="K281" s="74" t="s">
        <v>392</v>
      </c>
    </row>
    <row r="282" spans="1:11" x14ac:dyDescent="0.25">
      <c r="A282" s="70" t="str">
        <f t="shared" si="4"/>
        <v>0003-1013-0012</v>
      </c>
      <c r="B282" s="74" t="s">
        <v>208</v>
      </c>
      <c r="C282" s="75" t="s">
        <v>740</v>
      </c>
      <c r="D282" s="74" t="s">
        <v>563</v>
      </c>
      <c r="E282" s="75" t="s">
        <v>625</v>
      </c>
      <c r="F282" s="74" t="s">
        <v>354</v>
      </c>
      <c r="G282" s="75" t="s">
        <v>438</v>
      </c>
      <c r="H282" s="74" t="s">
        <v>344</v>
      </c>
      <c r="I282" s="75" t="s">
        <v>530</v>
      </c>
      <c r="J282" s="74" t="s">
        <v>463</v>
      </c>
      <c r="K282" s="74" t="s">
        <v>392</v>
      </c>
    </row>
    <row r="283" spans="1:11" x14ac:dyDescent="0.25">
      <c r="A283" s="70" t="str">
        <f t="shared" si="4"/>
        <v>0003-1013-0057</v>
      </c>
      <c r="B283" s="74" t="s">
        <v>208</v>
      </c>
      <c r="C283" s="75" t="s">
        <v>740</v>
      </c>
      <c r="D283" s="74" t="s">
        <v>563</v>
      </c>
      <c r="E283" s="75" t="s">
        <v>625</v>
      </c>
      <c r="F283" s="74" t="s">
        <v>354</v>
      </c>
      <c r="G283" s="75" t="s">
        <v>438</v>
      </c>
      <c r="H283" s="74" t="s">
        <v>626</v>
      </c>
      <c r="I283" s="75" t="s">
        <v>627</v>
      </c>
      <c r="J283" s="74" t="s">
        <v>463</v>
      </c>
      <c r="K283" s="74" t="s">
        <v>433</v>
      </c>
    </row>
    <row r="284" spans="1:11" x14ac:dyDescent="0.25">
      <c r="A284" s="70" t="str">
        <f t="shared" si="4"/>
        <v>0003-1013-0048</v>
      </c>
      <c r="B284" s="74" t="s">
        <v>291</v>
      </c>
      <c r="C284" s="75" t="s">
        <v>741</v>
      </c>
      <c r="D284" s="74" t="s">
        <v>563</v>
      </c>
      <c r="E284" s="75" t="s">
        <v>625</v>
      </c>
      <c r="F284" s="74" t="s">
        <v>354</v>
      </c>
      <c r="G284" s="75" t="s">
        <v>438</v>
      </c>
      <c r="H284" s="74" t="s">
        <v>360</v>
      </c>
      <c r="I284" s="75" t="s">
        <v>643</v>
      </c>
      <c r="J284" s="74" t="s">
        <v>391</v>
      </c>
      <c r="K284" s="74" t="s">
        <v>392</v>
      </c>
    </row>
    <row r="285" spans="1:11" x14ac:dyDescent="0.25">
      <c r="A285" s="70" t="str">
        <f t="shared" si="4"/>
        <v>0003-1013-0047</v>
      </c>
      <c r="B285" s="74" t="s">
        <v>209</v>
      </c>
      <c r="C285" s="75" t="s">
        <v>742</v>
      </c>
      <c r="D285" s="74" t="s">
        <v>563</v>
      </c>
      <c r="E285" s="75" t="s">
        <v>625</v>
      </c>
      <c r="F285" s="74" t="s">
        <v>354</v>
      </c>
      <c r="G285" s="75" t="s">
        <v>438</v>
      </c>
      <c r="H285" s="74" t="s">
        <v>653</v>
      </c>
      <c r="I285" s="75" t="s">
        <v>654</v>
      </c>
      <c r="J285" s="74" t="s">
        <v>391</v>
      </c>
      <c r="K285" s="74" t="s">
        <v>392</v>
      </c>
    </row>
    <row r="286" spans="1:11" x14ac:dyDescent="0.25">
      <c r="A286" s="70" t="str">
        <f t="shared" si="4"/>
        <v>0003-1005-0047</v>
      </c>
      <c r="B286" s="74" t="s">
        <v>200</v>
      </c>
      <c r="C286" s="75" t="s">
        <v>743</v>
      </c>
      <c r="D286" s="74" t="s">
        <v>563</v>
      </c>
      <c r="E286" s="75" t="s">
        <v>625</v>
      </c>
      <c r="F286" s="74" t="s">
        <v>359</v>
      </c>
      <c r="G286" s="75" t="s">
        <v>435</v>
      </c>
      <c r="H286" s="74" t="s">
        <v>653</v>
      </c>
      <c r="I286" s="75" t="s">
        <v>654</v>
      </c>
      <c r="J286" s="74" t="s">
        <v>391</v>
      </c>
      <c r="K286" s="74" t="s">
        <v>392</v>
      </c>
    </row>
    <row r="287" spans="1:11" x14ac:dyDescent="0.25">
      <c r="A287" s="70" t="str">
        <f t="shared" si="4"/>
        <v>0003-1003-0012</v>
      </c>
      <c r="B287" s="74" t="s">
        <v>204</v>
      </c>
      <c r="C287" s="75" t="s">
        <v>744</v>
      </c>
      <c r="D287" s="74" t="s">
        <v>563</v>
      </c>
      <c r="E287" s="75" t="s">
        <v>625</v>
      </c>
      <c r="F287" s="74" t="s">
        <v>361</v>
      </c>
      <c r="G287" s="75" t="s">
        <v>434</v>
      </c>
      <c r="H287" s="74" t="s">
        <v>344</v>
      </c>
      <c r="I287" s="75" t="s">
        <v>530</v>
      </c>
      <c r="J287" s="74" t="s">
        <v>463</v>
      </c>
      <c r="K287" s="74" t="s">
        <v>392</v>
      </c>
    </row>
    <row r="288" spans="1:11" x14ac:dyDescent="0.25">
      <c r="A288" s="70" t="str">
        <f t="shared" si="4"/>
        <v>0003-1003-0057</v>
      </c>
      <c r="B288" s="74" t="s">
        <v>204</v>
      </c>
      <c r="C288" s="75" t="s">
        <v>744</v>
      </c>
      <c r="D288" s="74" t="s">
        <v>563</v>
      </c>
      <c r="E288" s="75" t="s">
        <v>625</v>
      </c>
      <c r="F288" s="74" t="s">
        <v>361</v>
      </c>
      <c r="G288" s="75" t="s">
        <v>434</v>
      </c>
      <c r="H288" s="74" t="s">
        <v>626</v>
      </c>
      <c r="I288" s="75" t="s">
        <v>627</v>
      </c>
      <c r="J288" s="74" t="s">
        <v>463</v>
      </c>
      <c r="K288" s="74" t="s">
        <v>433</v>
      </c>
    </row>
    <row r="289" spans="1:11" x14ac:dyDescent="0.25">
      <c r="A289" s="70" t="str">
        <f t="shared" si="4"/>
        <v>0010-1005-0016</v>
      </c>
      <c r="B289" s="74" t="s">
        <v>330</v>
      </c>
      <c r="C289" s="75" t="s">
        <v>745</v>
      </c>
      <c r="D289" s="74" t="s">
        <v>735</v>
      </c>
      <c r="E289" s="75" t="s">
        <v>736</v>
      </c>
      <c r="F289" s="74" t="s">
        <v>359</v>
      </c>
      <c r="G289" s="75" t="s">
        <v>435</v>
      </c>
      <c r="H289" s="74" t="s">
        <v>746</v>
      </c>
      <c r="I289" s="75" t="s">
        <v>736</v>
      </c>
      <c r="J289" s="74" t="s">
        <v>391</v>
      </c>
      <c r="K289" s="74" t="s">
        <v>392</v>
      </c>
    </row>
    <row r="290" spans="1:11" x14ac:dyDescent="0.25">
      <c r="A290" s="70" t="str">
        <f t="shared" si="4"/>
        <v>0011-1008-0037</v>
      </c>
      <c r="B290" s="74" t="s">
        <v>73</v>
      </c>
      <c r="C290" s="75" t="s">
        <v>747</v>
      </c>
      <c r="D290" s="74" t="s">
        <v>345</v>
      </c>
      <c r="E290" s="75" t="s">
        <v>403</v>
      </c>
      <c r="F290" s="74" t="s">
        <v>362</v>
      </c>
      <c r="G290" s="75" t="s">
        <v>594</v>
      </c>
      <c r="H290" s="74" t="s">
        <v>364</v>
      </c>
      <c r="I290" s="75" t="s">
        <v>748</v>
      </c>
      <c r="J290" s="74" t="s">
        <v>391</v>
      </c>
      <c r="K290" s="74" t="s">
        <v>392</v>
      </c>
    </row>
    <row r="291" spans="1:11" x14ac:dyDescent="0.25">
      <c r="A291" s="70" t="str">
        <f t="shared" si="4"/>
        <v>0011-1008-0033</v>
      </c>
      <c r="B291" s="74" t="s">
        <v>74</v>
      </c>
      <c r="C291" s="75" t="s">
        <v>749</v>
      </c>
      <c r="D291" s="74" t="s">
        <v>345</v>
      </c>
      <c r="E291" s="75" t="s">
        <v>403</v>
      </c>
      <c r="F291" s="74" t="s">
        <v>362</v>
      </c>
      <c r="G291" s="75" t="s">
        <v>594</v>
      </c>
      <c r="H291" s="74" t="s">
        <v>371</v>
      </c>
      <c r="I291" s="75" t="s">
        <v>750</v>
      </c>
      <c r="J291" s="74" t="s">
        <v>391</v>
      </c>
      <c r="K291" s="74" t="s">
        <v>392</v>
      </c>
    </row>
    <row r="292" spans="1:11" x14ac:dyDescent="0.25">
      <c r="A292" s="70" t="str">
        <f t="shared" si="4"/>
        <v>0011-1008-0054</v>
      </c>
      <c r="B292" s="74" t="s">
        <v>75</v>
      </c>
      <c r="C292" s="75" t="s">
        <v>751</v>
      </c>
      <c r="D292" s="74" t="s">
        <v>345</v>
      </c>
      <c r="E292" s="75" t="s">
        <v>403</v>
      </c>
      <c r="F292" s="74" t="s">
        <v>362</v>
      </c>
      <c r="G292" s="75" t="s">
        <v>594</v>
      </c>
      <c r="H292" s="74" t="s">
        <v>363</v>
      </c>
      <c r="I292" s="75" t="s">
        <v>752</v>
      </c>
      <c r="J292" s="74" t="s">
        <v>391</v>
      </c>
      <c r="K292" s="74" t="s">
        <v>392</v>
      </c>
    </row>
    <row r="293" spans="1:11" x14ac:dyDescent="0.25">
      <c r="A293" s="70" t="str">
        <f t="shared" si="4"/>
        <v>0011-1008-0055</v>
      </c>
      <c r="B293" s="74" t="s">
        <v>76</v>
      </c>
      <c r="C293" s="75" t="s">
        <v>753</v>
      </c>
      <c r="D293" s="74" t="s">
        <v>345</v>
      </c>
      <c r="E293" s="75" t="s">
        <v>403</v>
      </c>
      <c r="F293" s="74" t="s">
        <v>362</v>
      </c>
      <c r="G293" s="75" t="s">
        <v>594</v>
      </c>
      <c r="H293" s="74" t="s">
        <v>370</v>
      </c>
      <c r="I293" s="75" t="s">
        <v>754</v>
      </c>
      <c r="J293" s="74" t="s">
        <v>391</v>
      </c>
      <c r="K293" s="74" t="s">
        <v>392</v>
      </c>
    </row>
    <row r="294" spans="1:11" x14ac:dyDescent="0.25">
      <c r="A294" s="70" t="str">
        <f t="shared" si="4"/>
        <v>0019-1008-0031</v>
      </c>
      <c r="B294" s="74" t="s">
        <v>218</v>
      </c>
      <c r="C294" s="75" t="s">
        <v>755</v>
      </c>
      <c r="D294" s="74" t="s">
        <v>405</v>
      </c>
      <c r="E294" s="75" t="s">
        <v>756</v>
      </c>
      <c r="F294" s="74" t="s">
        <v>362</v>
      </c>
      <c r="G294" s="75" t="s">
        <v>594</v>
      </c>
      <c r="H294" s="74" t="s">
        <v>342</v>
      </c>
      <c r="I294" s="75" t="s">
        <v>757</v>
      </c>
      <c r="J294" s="74" t="s">
        <v>391</v>
      </c>
      <c r="K294" s="74" t="s">
        <v>392</v>
      </c>
    </row>
    <row r="295" spans="1:11" x14ac:dyDescent="0.25">
      <c r="A295" s="70" t="str">
        <f t="shared" si="4"/>
        <v>0019-1008-0032</v>
      </c>
      <c r="B295" s="74" t="s">
        <v>181</v>
      </c>
      <c r="C295" s="75" t="s">
        <v>758</v>
      </c>
      <c r="D295" s="74" t="s">
        <v>405</v>
      </c>
      <c r="E295" s="75" t="s">
        <v>756</v>
      </c>
      <c r="F295" s="74" t="s">
        <v>362</v>
      </c>
      <c r="G295" s="75" t="s">
        <v>594</v>
      </c>
      <c r="H295" s="74" t="s">
        <v>759</v>
      </c>
      <c r="I295" s="75" t="s">
        <v>760</v>
      </c>
      <c r="J295" s="74" t="s">
        <v>391</v>
      </c>
      <c r="K295" s="74" t="s">
        <v>392</v>
      </c>
    </row>
    <row r="296" spans="1:11" x14ac:dyDescent="0.25">
      <c r="A296" s="70" t="str">
        <f t="shared" si="4"/>
        <v>0017-1009-0012</v>
      </c>
      <c r="B296" s="74" t="s">
        <v>156</v>
      </c>
      <c r="C296" s="75" t="s">
        <v>761</v>
      </c>
      <c r="D296" s="74" t="s">
        <v>349</v>
      </c>
      <c r="E296" s="75" t="s">
        <v>762</v>
      </c>
      <c r="F296" s="74" t="s">
        <v>369</v>
      </c>
      <c r="G296" s="75" t="s">
        <v>511</v>
      </c>
      <c r="H296" s="74" t="s">
        <v>344</v>
      </c>
      <c r="I296" s="75" t="s">
        <v>530</v>
      </c>
      <c r="J296" s="74" t="s">
        <v>391</v>
      </c>
      <c r="K296" s="74" t="s">
        <v>392</v>
      </c>
    </row>
    <row r="297" spans="1:11" x14ac:dyDescent="0.25">
      <c r="A297" s="70" t="str">
        <f t="shared" si="4"/>
        <v>0017-1009-0064</v>
      </c>
      <c r="B297" s="74" t="s">
        <v>84</v>
      </c>
      <c r="C297" s="75" t="s">
        <v>763</v>
      </c>
      <c r="D297" s="74" t="s">
        <v>349</v>
      </c>
      <c r="E297" s="75" t="s">
        <v>762</v>
      </c>
      <c r="F297" s="74" t="s">
        <v>369</v>
      </c>
      <c r="G297" s="75" t="s">
        <v>511</v>
      </c>
      <c r="H297" s="74" t="s">
        <v>764</v>
      </c>
      <c r="I297" s="75" t="s">
        <v>765</v>
      </c>
      <c r="J297" s="74" t="s">
        <v>391</v>
      </c>
      <c r="K297" s="74" t="s">
        <v>392</v>
      </c>
    </row>
    <row r="298" spans="1:11" x14ac:dyDescent="0.25">
      <c r="A298" s="70" t="str">
        <f t="shared" si="4"/>
        <v>0016-1008-0012</v>
      </c>
      <c r="B298" s="74" t="s">
        <v>160</v>
      </c>
      <c r="C298" s="75" t="s">
        <v>766</v>
      </c>
      <c r="D298" s="74" t="s">
        <v>746</v>
      </c>
      <c r="E298" s="75" t="s">
        <v>767</v>
      </c>
      <c r="F298" s="74" t="s">
        <v>362</v>
      </c>
      <c r="G298" s="75" t="s">
        <v>594</v>
      </c>
      <c r="H298" s="74" t="s">
        <v>344</v>
      </c>
      <c r="I298" s="75" t="s">
        <v>530</v>
      </c>
      <c r="J298" s="74" t="s">
        <v>391</v>
      </c>
      <c r="K298" s="74" t="s">
        <v>392</v>
      </c>
    </row>
    <row r="299" spans="1:11" x14ac:dyDescent="0.25">
      <c r="A299" s="70" t="str">
        <f t="shared" si="4"/>
        <v>0016-1002-0012</v>
      </c>
      <c r="B299" s="74" t="s">
        <v>162</v>
      </c>
      <c r="C299" s="75" t="s">
        <v>768</v>
      </c>
      <c r="D299" s="74" t="s">
        <v>746</v>
      </c>
      <c r="E299" s="75" t="s">
        <v>767</v>
      </c>
      <c r="F299" s="74" t="s">
        <v>356</v>
      </c>
      <c r="G299" s="75" t="s">
        <v>431</v>
      </c>
      <c r="H299" s="74" t="s">
        <v>344</v>
      </c>
      <c r="I299" s="75" t="s">
        <v>530</v>
      </c>
      <c r="J299" s="74" t="s">
        <v>463</v>
      </c>
      <c r="K299" s="74" t="s">
        <v>392</v>
      </c>
    </row>
    <row r="300" spans="1:11" x14ac:dyDescent="0.25">
      <c r="A300" s="70" t="str">
        <f t="shared" si="4"/>
        <v>0016-1003-0012</v>
      </c>
      <c r="B300" s="74" t="s">
        <v>162</v>
      </c>
      <c r="C300" s="75" t="s">
        <v>768</v>
      </c>
      <c r="D300" s="74" t="s">
        <v>746</v>
      </c>
      <c r="E300" s="75" t="s">
        <v>767</v>
      </c>
      <c r="F300" s="74" t="s">
        <v>361</v>
      </c>
      <c r="G300" s="75" t="s">
        <v>434</v>
      </c>
      <c r="H300" s="74" t="s">
        <v>344</v>
      </c>
      <c r="I300" s="75" t="s">
        <v>530</v>
      </c>
      <c r="J300" s="74" t="s">
        <v>463</v>
      </c>
      <c r="K300" s="74" t="s">
        <v>433</v>
      </c>
    </row>
    <row r="301" spans="1:11" x14ac:dyDescent="0.25">
      <c r="A301" s="70" t="str">
        <f t="shared" si="4"/>
        <v>0016-1012-0012</v>
      </c>
      <c r="B301" s="74" t="s">
        <v>163</v>
      </c>
      <c r="C301" s="75" t="s">
        <v>769</v>
      </c>
      <c r="D301" s="74" t="s">
        <v>746</v>
      </c>
      <c r="E301" s="75" t="s">
        <v>767</v>
      </c>
      <c r="F301" s="74" t="s">
        <v>350</v>
      </c>
      <c r="G301" s="75" t="s">
        <v>437</v>
      </c>
      <c r="H301" s="74" t="s">
        <v>344</v>
      </c>
      <c r="I301" s="75" t="s">
        <v>530</v>
      </c>
      <c r="J301" s="74" t="s">
        <v>463</v>
      </c>
      <c r="K301" s="74" t="s">
        <v>392</v>
      </c>
    </row>
    <row r="302" spans="1:11" x14ac:dyDescent="0.25">
      <c r="A302" s="70" t="str">
        <f t="shared" si="4"/>
        <v>0016-1013-0012</v>
      </c>
      <c r="B302" s="74" t="s">
        <v>163</v>
      </c>
      <c r="C302" s="75" t="s">
        <v>769</v>
      </c>
      <c r="D302" s="74" t="s">
        <v>746</v>
      </c>
      <c r="E302" s="75" t="s">
        <v>767</v>
      </c>
      <c r="F302" s="74" t="s">
        <v>354</v>
      </c>
      <c r="G302" s="75" t="s">
        <v>438</v>
      </c>
      <c r="H302" s="74" t="s">
        <v>344</v>
      </c>
      <c r="I302" s="75" t="s">
        <v>530</v>
      </c>
      <c r="J302" s="74" t="s">
        <v>463</v>
      </c>
      <c r="K302" s="74" t="s">
        <v>433</v>
      </c>
    </row>
    <row r="303" spans="1:11" x14ac:dyDescent="0.25">
      <c r="A303" s="70" t="str">
        <f t="shared" si="4"/>
        <v>0016-1004-0012</v>
      </c>
      <c r="B303" s="74" t="s">
        <v>164</v>
      </c>
      <c r="C303" s="75" t="s">
        <v>770</v>
      </c>
      <c r="D303" s="74" t="s">
        <v>746</v>
      </c>
      <c r="E303" s="75" t="s">
        <v>767</v>
      </c>
      <c r="F303" s="74" t="s">
        <v>352</v>
      </c>
      <c r="G303" s="75" t="s">
        <v>408</v>
      </c>
      <c r="H303" s="74" t="s">
        <v>344</v>
      </c>
      <c r="I303" s="75" t="s">
        <v>530</v>
      </c>
      <c r="J303" s="74" t="s">
        <v>463</v>
      </c>
      <c r="K303" s="74" t="s">
        <v>392</v>
      </c>
    </row>
    <row r="304" spans="1:11" x14ac:dyDescent="0.25">
      <c r="A304" s="70" t="str">
        <f t="shared" si="4"/>
        <v>0016-1005-0012</v>
      </c>
      <c r="B304" s="74" t="s">
        <v>164</v>
      </c>
      <c r="C304" s="75" t="s">
        <v>770</v>
      </c>
      <c r="D304" s="74" t="s">
        <v>746</v>
      </c>
      <c r="E304" s="75" t="s">
        <v>767</v>
      </c>
      <c r="F304" s="74" t="s">
        <v>359</v>
      </c>
      <c r="G304" s="75" t="s">
        <v>435</v>
      </c>
      <c r="H304" s="74" t="s">
        <v>344</v>
      </c>
      <c r="I304" s="75" t="s">
        <v>530</v>
      </c>
      <c r="J304" s="74" t="s">
        <v>463</v>
      </c>
      <c r="K304" s="74" t="s">
        <v>433</v>
      </c>
    </row>
    <row r="305" spans="1:11" x14ac:dyDescent="0.25">
      <c r="A305" s="70" t="str">
        <f t="shared" si="4"/>
        <v>0016-1006-0012</v>
      </c>
      <c r="B305" s="74" t="s">
        <v>165</v>
      </c>
      <c r="C305" s="75" t="s">
        <v>771</v>
      </c>
      <c r="D305" s="74" t="s">
        <v>746</v>
      </c>
      <c r="E305" s="75" t="s">
        <v>767</v>
      </c>
      <c r="F305" s="74" t="s">
        <v>355</v>
      </c>
      <c r="G305" s="75" t="s">
        <v>436</v>
      </c>
      <c r="H305" s="74" t="s">
        <v>344</v>
      </c>
      <c r="I305" s="75" t="s">
        <v>530</v>
      </c>
      <c r="J305" s="74" t="s">
        <v>463</v>
      </c>
      <c r="K305" s="74" t="s">
        <v>392</v>
      </c>
    </row>
    <row r="306" spans="1:11" x14ac:dyDescent="0.25">
      <c r="A306" s="70" t="str">
        <f t="shared" si="4"/>
        <v>0016-1007-0012</v>
      </c>
      <c r="B306" s="74" t="s">
        <v>165</v>
      </c>
      <c r="C306" s="75" t="s">
        <v>771</v>
      </c>
      <c r="D306" s="74" t="s">
        <v>746</v>
      </c>
      <c r="E306" s="75" t="s">
        <v>767</v>
      </c>
      <c r="F306" s="74" t="s">
        <v>772</v>
      </c>
      <c r="G306" s="75" t="s">
        <v>773</v>
      </c>
      <c r="H306" s="74" t="s">
        <v>344</v>
      </c>
      <c r="I306" s="75" t="s">
        <v>530</v>
      </c>
      <c r="J306" s="74" t="s">
        <v>463</v>
      </c>
      <c r="K306" s="74" t="s">
        <v>433</v>
      </c>
    </row>
    <row r="307" spans="1:11" x14ac:dyDescent="0.25">
      <c r="A307" s="70" t="str">
        <f t="shared" si="4"/>
        <v>0016-1008-0037</v>
      </c>
      <c r="B307" s="74" t="s">
        <v>161</v>
      </c>
      <c r="C307" s="75" t="s">
        <v>774</v>
      </c>
      <c r="D307" s="74" t="s">
        <v>746</v>
      </c>
      <c r="E307" s="75" t="s">
        <v>767</v>
      </c>
      <c r="F307" s="74" t="s">
        <v>362</v>
      </c>
      <c r="G307" s="75" t="s">
        <v>594</v>
      </c>
      <c r="H307" s="74" t="s">
        <v>364</v>
      </c>
      <c r="I307" s="75" t="s">
        <v>748</v>
      </c>
      <c r="J307" s="74" t="s">
        <v>391</v>
      </c>
      <c r="K307" s="74" t="s">
        <v>392</v>
      </c>
    </row>
    <row r="308" spans="1:11" x14ac:dyDescent="0.25">
      <c r="A308" s="70" t="str">
        <f t="shared" si="4"/>
        <v>0016-1002-0064</v>
      </c>
      <c r="B308" s="74" t="s">
        <v>85</v>
      </c>
      <c r="C308" s="75" t="s">
        <v>775</v>
      </c>
      <c r="D308" s="74" t="s">
        <v>746</v>
      </c>
      <c r="E308" s="75" t="s">
        <v>767</v>
      </c>
      <c r="F308" s="74" t="s">
        <v>356</v>
      </c>
      <c r="G308" s="75" t="s">
        <v>431</v>
      </c>
      <c r="H308" s="74" t="s">
        <v>764</v>
      </c>
      <c r="I308" s="75" t="s">
        <v>765</v>
      </c>
      <c r="J308" s="74" t="s">
        <v>463</v>
      </c>
      <c r="K308" s="74" t="s">
        <v>433</v>
      </c>
    </row>
    <row r="309" spans="1:11" x14ac:dyDescent="0.25">
      <c r="A309" s="70" t="str">
        <f t="shared" si="4"/>
        <v>0016-1012-0064</v>
      </c>
      <c r="B309" s="74" t="s">
        <v>85</v>
      </c>
      <c r="C309" s="75" t="s">
        <v>775</v>
      </c>
      <c r="D309" s="74" t="s">
        <v>746</v>
      </c>
      <c r="E309" s="75" t="s">
        <v>767</v>
      </c>
      <c r="F309" s="74" t="s">
        <v>350</v>
      </c>
      <c r="G309" s="75" t="s">
        <v>437</v>
      </c>
      <c r="H309" s="74" t="s">
        <v>764</v>
      </c>
      <c r="I309" s="75" t="s">
        <v>765</v>
      </c>
      <c r="J309" s="74" t="s">
        <v>463</v>
      </c>
      <c r="K309" s="74" t="s">
        <v>392</v>
      </c>
    </row>
    <row r="310" spans="1:11" x14ac:dyDescent="0.25">
      <c r="A310" s="70" t="str">
        <f t="shared" si="4"/>
        <v>0011-1010-0017</v>
      </c>
      <c r="B310" s="74" t="s">
        <v>77</v>
      </c>
      <c r="C310" s="75" t="s">
        <v>776</v>
      </c>
      <c r="D310" s="74" t="s">
        <v>345</v>
      </c>
      <c r="E310" s="75" t="s">
        <v>403</v>
      </c>
      <c r="F310" s="74" t="s">
        <v>348</v>
      </c>
      <c r="G310" s="75" t="s">
        <v>404</v>
      </c>
      <c r="H310" s="74" t="s">
        <v>349</v>
      </c>
      <c r="I310" s="75" t="s">
        <v>541</v>
      </c>
      <c r="J310" s="74" t="s">
        <v>391</v>
      </c>
      <c r="K310" s="74" t="s">
        <v>392</v>
      </c>
    </row>
    <row r="311" spans="1:11" x14ac:dyDescent="0.25">
      <c r="A311" s="70" t="str">
        <f t="shared" si="4"/>
        <v>0012-1010-0017</v>
      </c>
      <c r="B311" s="74" t="s">
        <v>169</v>
      </c>
      <c r="C311" s="75" t="s">
        <v>777</v>
      </c>
      <c r="D311" s="74" t="s">
        <v>344</v>
      </c>
      <c r="E311" s="75" t="s">
        <v>608</v>
      </c>
      <c r="F311" s="74" t="s">
        <v>348</v>
      </c>
      <c r="G311" s="75" t="s">
        <v>404</v>
      </c>
      <c r="H311" s="74" t="s">
        <v>349</v>
      </c>
      <c r="I311" s="75" t="s">
        <v>541</v>
      </c>
      <c r="J311" s="74" t="s">
        <v>391</v>
      </c>
      <c r="K311" s="74" t="s">
        <v>392</v>
      </c>
    </row>
    <row r="312" spans="1:11" x14ac:dyDescent="0.25">
      <c r="A312" s="70" t="str">
        <f t="shared" si="4"/>
        <v>0011-1010-0023</v>
      </c>
      <c r="B312" s="74" t="s">
        <v>78</v>
      </c>
      <c r="C312" s="75" t="s">
        <v>778</v>
      </c>
      <c r="D312" s="74" t="s">
        <v>345</v>
      </c>
      <c r="E312" s="75" t="s">
        <v>403</v>
      </c>
      <c r="F312" s="74" t="s">
        <v>348</v>
      </c>
      <c r="G312" s="75" t="s">
        <v>404</v>
      </c>
      <c r="H312" s="74" t="s">
        <v>353</v>
      </c>
      <c r="I312" s="75" t="s">
        <v>779</v>
      </c>
      <c r="J312" s="74" t="s">
        <v>391</v>
      </c>
      <c r="K312" s="74" t="s">
        <v>392</v>
      </c>
    </row>
    <row r="313" spans="1:11" x14ac:dyDescent="0.25">
      <c r="A313" s="70" t="str">
        <f t="shared" si="4"/>
        <v>0011-1010-0024</v>
      </c>
      <c r="B313" s="74" t="s">
        <v>79</v>
      </c>
      <c r="C313" s="75" t="s">
        <v>780</v>
      </c>
      <c r="D313" s="74" t="s">
        <v>345</v>
      </c>
      <c r="E313" s="75" t="s">
        <v>403</v>
      </c>
      <c r="F313" s="74" t="s">
        <v>348</v>
      </c>
      <c r="G313" s="75" t="s">
        <v>404</v>
      </c>
      <c r="H313" s="74" t="s">
        <v>358</v>
      </c>
      <c r="I313" s="75" t="s">
        <v>781</v>
      </c>
      <c r="J313" s="74" t="s">
        <v>391</v>
      </c>
      <c r="K313" s="74" t="s">
        <v>392</v>
      </c>
    </row>
    <row r="314" spans="1:11" x14ac:dyDescent="0.25">
      <c r="A314" s="70" t="str">
        <f t="shared" si="4"/>
        <v>0003-1010-0017</v>
      </c>
      <c r="B314" s="74" t="s">
        <v>222</v>
      </c>
      <c r="C314" s="75" t="s">
        <v>782</v>
      </c>
      <c r="D314" s="74" t="s">
        <v>563</v>
      </c>
      <c r="E314" s="75" t="s">
        <v>625</v>
      </c>
      <c r="F314" s="74" t="s">
        <v>348</v>
      </c>
      <c r="G314" s="75" t="s">
        <v>404</v>
      </c>
      <c r="H314" s="74" t="s">
        <v>349</v>
      </c>
      <c r="I314" s="75" t="s">
        <v>541</v>
      </c>
      <c r="J314" s="74" t="s">
        <v>391</v>
      </c>
      <c r="K314" s="74" t="s">
        <v>392</v>
      </c>
    </row>
    <row r="315" spans="1:11" x14ac:dyDescent="0.25">
      <c r="A315" s="70" t="str">
        <f t="shared" si="4"/>
        <v>0003-1010-0023</v>
      </c>
      <c r="B315" s="74" t="s">
        <v>225</v>
      </c>
      <c r="C315" s="75" t="s">
        <v>783</v>
      </c>
      <c r="D315" s="74" t="s">
        <v>563</v>
      </c>
      <c r="E315" s="75" t="s">
        <v>625</v>
      </c>
      <c r="F315" s="74" t="s">
        <v>348</v>
      </c>
      <c r="G315" s="75" t="s">
        <v>404</v>
      </c>
      <c r="H315" s="74" t="s">
        <v>353</v>
      </c>
      <c r="I315" s="75" t="s">
        <v>779</v>
      </c>
      <c r="J315" s="74" t="s">
        <v>391</v>
      </c>
      <c r="K315" s="74" t="s">
        <v>392</v>
      </c>
    </row>
    <row r="316" spans="1:11" x14ac:dyDescent="0.25">
      <c r="A316" s="70" t="str">
        <f t="shared" si="4"/>
        <v>0003-1010-0024</v>
      </c>
      <c r="B316" s="74" t="s">
        <v>226</v>
      </c>
      <c r="C316" s="75" t="s">
        <v>784</v>
      </c>
      <c r="D316" s="74" t="s">
        <v>563</v>
      </c>
      <c r="E316" s="75" t="s">
        <v>625</v>
      </c>
      <c r="F316" s="74" t="s">
        <v>348</v>
      </c>
      <c r="G316" s="75" t="s">
        <v>404</v>
      </c>
      <c r="H316" s="74" t="s">
        <v>358</v>
      </c>
      <c r="I316" s="75" t="s">
        <v>781</v>
      </c>
      <c r="J316" s="74" t="s">
        <v>391</v>
      </c>
      <c r="K316" s="74" t="s">
        <v>392</v>
      </c>
    </row>
    <row r="317" spans="1:11" x14ac:dyDescent="0.25">
      <c r="A317" s="70" t="str">
        <f t="shared" si="4"/>
        <v>0100-9000-0062</v>
      </c>
      <c r="B317" s="74" t="s">
        <v>785</v>
      </c>
      <c r="C317" s="75" t="s">
        <v>786</v>
      </c>
      <c r="D317" s="74" t="s">
        <v>474</v>
      </c>
      <c r="E317" s="75" t="s">
        <v>787</v>
      </c>
      <c r="F317" s="74" t="s">
        <v>387</v>
      </c>
      <c r="G317" s="75" t="s">
        <v>388</v>
      </c>
      <c r="H317" s="74" t="s">
        <v>788</v>
      </c>
      <c r="I317" s="75" t="s">
        <v>789</v>
      </c>
      <c r="J317" s="74" t="s">
        <v>391</v>
      </c>
      <c r="K317" s="74" t="s">
        <v>392</v>
      </c>
    </row>
    <row r="318" spans="1:11" x14ac:dyDescent="0.25">
      <c r="A318" s="70" t="str">
        <f t="shared" si="4"/>
        <v>0011-1001-0012</v>
      </c>
      <c r="B318" s="74" t="s">
        <v>80</v>
      </c>
      <c r="C318" s="75" t="s">
        <v>790</v>
      </c>
      <c r="D318" s="74" t="s">
        <v>345</v>
      </c>
      <c r="E318" s="75" t="s">
        <v>403</v>
      </c>
      <c r="F318" s="74" t="s">
        <v>365</v>
      </c>
      <c r="G318" s="75" t="s">
        <v>458</v>
      </c>
      <c r="H318" s="74" t="s">
        <v>344</v>
      </c>
      <c r="I318" s="75" t="s">
        <v>530</v>
      </c>
      <c r="J318" s="74" t="s">
        <v>391</v>
      </c>
      <c r="K318" s="74" t="s">
        <v>392</v>
      </c>
    </row>
    <row r="319" spans="1:11" x14ac:dyDescent="0.25">
      <c r="A319" s="70" t="str">
        <f t="shared" si="4"/>
        <v>0011-1001-0007</v>
      </c>
      <c r="B319" s="74" t="s">
        <v>147</v>
      </c>
      <c r="C319" s="75" t="s">
        <v>790</v>
      </c>
      <c r="D319" s="74" t="s">
        <v>345</v>
      </c>
      <c r="E319" s="75" t="s">
        <v>403</v>
      </c>
      <c r="F319" s="74" t="s">
        <v>365</v>
      </c>
      <c r="G319" s="75" t="s">
        <v>458</v>
      </c>
      <c r="H319" s="74" t="s">
        <v>411</v>
      </c>
      <c r="I319" s="75" t="s">
        <v>546</v>
      </c>
      <c r="J319" s="74" t="s">
        <v>391</v>
      </c>
      <c r="K319" s="74" t="s">
        <v>392</v>
      </c>
    </row>
    <row r="320" spans="1:11" x14ac:dyDescent="0.25">
      <c r="A320" s="70" t="str">
        <f t="shared" si="4"/>
        <v>0011-1001-0021</v>
      </c>
      <c r="B320" s="74" t="s">
        <v>89</v>
      </c>
      <c r="C320" s="75" t="s">
        <v>791</v>
      </c>
      <c r="D320" s="74" t="s">
        <v>345</v>
      </c>
      <c r="E320" s="75" t="s">
        <v>403</v>
      </c>
      <c r="F320" s="74" t="s">
        <v>365</v>
      </c>
      <c r="G320" s="75" t="s">
        <v>458</v>
      </c>
      <c r="H320" s="74" t="s">
        <v>366</v>
      </c>
      <c r="I320" s="75" t="s">
        <v>536</v>
      </c>
      <c r="J320" s="74" t="s">
        <v>391</v>
      </c>
      <c r="K320" s="74" t="s">
        <v>392</v>
      </c>
    </row>
    <row r="321" spans="1:11" x14ac:dyDescent="0.25">
      <c r="A321" s="70" t="str">
        <f t="shared" si="4"/>
        <v>0011-1001-0022</v>
      </c>
      <c r="B321" s="74" t="s">
        <v>90</v>
      </c>
      <c r="C321" s="75" t="s">
        <v>792</v>
      </c>
      <c r="D321" s="74" t="s">
        <v>345</v>
      </c>
      <c r="E321" s="75" t="s">
        <v>403</v>
      </c>
      <c r="F321" s="74" t="s">
        <v>365</v>
      </c>
      <c r="G321" s="75" t="s">
        <v>458</v>
      </c>
      <c r="H321" s="74" t="s">
        <v>367</v>
      </c>
      <c r="I321" s="75" t="s">
        <v>538</v>
      </c>
      <c r="J321" s="74" t="s">
        <v>391</v>
      </c>
      <c r="K321" s="74" t="s">
        <v>392</v>
      </c>
    </row>
    <row r="322" spans="1:11" x14ac:dyDescent="0.25">
      <c r="A322" s="70" t="str">
        <f t="shared" si="4"/>
        <v>0003-1001-0012</v>
      </c>
      <c r="B322" s="74" t="s">
        <v>186</v>
      </c>
      <c r="C322" s="75" t="s">
        <v>793</v>
      </c>
      <c r="D322" s="74" t="s">
        <v>563</v>
      </c>
      <c r="E322" s="75" t="s">
        <v>625</v>
      </c>
      <c r="F322" s="74" t="s">
        <v>365</v>
      </c>
      <c r="G322" s="75" t="s">
        <v>458</v>
      </c>
      <c r="H322" s="74" t="s">
        <v>344</v>
      </c>
      <c r="I322" s="75" t="s">
        <v>530</v>
      </c>
      <c r="J322" s="74" t="s">
        <v>391</v>
      </c>
      <c r="K322" s="74" t="s">
        <v>392</v>
      </c>
    </row>
    <row r="323" spans="1:11" x14ac:dyDescent="0.25">
      <c r="A323" s="70" t="str">
        <f t="shared" si="4"/>
        <v>0003-1001-0007</v>
      </c>
      <c r="B323" s="74" t="s">
        <v>187</v>
      </c>
      <c r="C323" s="75" t="s">
        <v>794</v>
      </c>
      <c r="D323" s="74" t="s">
        <v>563</v>
      </c>
      <c r="E323" s="75" t="s">
        <v>625</v>
      </c>
      <c r="F323" s="74" t="s">
        <v>365</v>
      </c>
      <c r="G323" s="75" t="s">
        <v>458</v>
      </c>
      <c r="H323" s="74" t="s">
        <v>411</v>
      </c>
      <c r="I323" s="75" t="s">
        <v>546</v>
      </c>
      <c r="J323" s="74" t="s">
        <v>391</v>
      </c>
      <c r="K323" s="74" t="s">
        <v>392</v>
      </c>
    </row>
    <row r="324" spans="1:11" x14ac:dyDescent="0.25">
      <c r="A324" s="70" t="str">
        <f t="shared" ref="A324:A337" si="5">D324&amp;"-"&amp;F324&amp;"-"&amp;H324</f>
        <v>0003-1001-0021</v>
      </c>
      <c r="B324" s="74" t="s">
        <v>188</v>
      </c>
      <c r="C324" s="75" t="s">
        <v>795</v>
      </c>
      <c r="D324" s="74" t="s">
        <v>563</v>
      </c>
      <c r="E324" s="75" t="s">
        <v>625</v>
      </c>
      <c r="F324" s="74" t="s">
        <v>365</v>
      </c>
      <c r="G324" s="75" t="s">
        <v>458</v>
      </c>
      <c r="H324" s="74" t="s">
        <v>366</v>
      </c>
      <c r="I324" s="75" t="s">
        <v>536</v>
      </c>
      <c r="J324" s="74" t="s">
        <v>391</v>
      </c>
      <c r="K324" s="74" t="s">
        <v>392</v>
      </c>
    </row>
    <row r="325" spans="1:11" x14ac:dyDescent="0.25">
      <c r="A325" s="70" t="str">
        <f t="shared" si="5"/>
        <v>0003-1001-0022</v>
      </c>
      <c r="B325" s="74" t="s">
        <v>189</v>
      </c>
      <c r="C325" s="75" t="s">
        <v>796</v>
      </c>
      <c r="D325" s="74" t="s">
        <v>563</v>
      </c>
      <c r="E325" s="75" t="s">
        <v>625</v>
      </c>
      <c r="F325" s="74" t="s">
        <v>365</v>
      </c>
      <c r="G325" s="75" t="s">
        <v>458</v>
      </c>
      <c r="H325" s="74" t="s">
        <v>367</v>
      </c>
      <c r="I325" s="75" t="s">
        <v>538</v>
      </c>
      <c r="J325" s="74" t="s">
        <v>391</v>
      </c>
      <c r="K325" s="74" t="s">
        <v>392</v>
      </c>
    </row>
    <row r="326" spans="1:11" x14ac:dyDescent="0.25">
      <c r="A326" s="70" t="str">
        <f t="shared" si="5"/>
        <v>0003-1001-0065</v>
      </c>
      <c r="B326" s="74" t="s">
        <v>331</v>
      </c>
      <c r="C326" s="75" t="s">
        <v>797</v>
      </c>
      <c r="D326" s="74" t="s">
        <v>563</v>
      </c>
      <c r="E326" s="75" t="s">
        <v>625</v>
      </c>
      <c r="F326" s="74" t="s">
        <v>365</v>
      </c>
      <c r="G326" s="75" t="s">
        <v>458</v>
      </c>
      <c r="H326" s="74" t="s">
        <v>798</v>
      </c>
      <c r="I326" s="75" t="s">
        <v>799</v>
      </c>
      <c r="J326" s="74" t="s">
        <v>391</v>
      </c>
      <c r="K326" s="74" t="s">
        <v>392</v>
      </c>
    </row>
    <row r="327" spans="1:11" x14ac:dyDescent="0.25">
      <c r="A327" s="70" t="str">
        <f t="shared" si="5"/>
        <v>0003-1009-0010</v>
      </c>
      <c r="B327" s="74" t="s">
        <v>216</v>
      </c>
      <c r="C327" s="75" t="s">
        <v>800</v>
      </c>
      <c r="D327" s="74" t="s">
        <v>563</v>
      </c>
      <c r="E327" s="75" t="s">
        <v>625</v>
      </c>
      <c r="F327" s="74" t="s">
        <v>369</v>
      </c>
      <c r="G327" s="75" t="s">
        <v>511</v>
      </c>
      <c r="H327" s="74" t="s">
        <v>735</v>
      </c>
      <c r="I327" s="75" t="s">
        <v>801</v>
      </c>
      <c r="J327" s="74" t="s">
        <v>463</v>
      </c>
      <c r="K327" s="74" t="s">
        <v>433</v>
      </c>
    </row>
    <row r="328" spans="1:11" x14ac:dyDescent="0.25">
      <c r="A328" s="70" t="str">
        <f t="shared" si="5"/>
        <v>0003-1009-0011</v>
      </c>
      <c r="B328" s="74" t="s">
        <v>216</v>
      </c>
      <c r="C328" s="75" t="s">
        <v>800</v>
      </c>
      <c r="D328" s="74" t="s">
        <v>563</v>
      </c>
      <c r="E328" s="75" t="s">
        <v>625</v>
      </c>
      <c r="F328" s="74" t="s">
        <v>369</v>
      </c>
      <c r="G328" s="75" t="s">
        <v>511</v>
      </c>
      <c r="H328" s="74" t="s">
        <v>345</v>
      </c>
      <c r="I328" s="75" t="s">
        <v>802</v>
      </c>
      <c r="J328" s="74" t="s">
        <v>463</v>
      </c>
      <c r="K328" s="74" t="s">
        <v>392</v>
      </c>
    </row>
    <row r="329" spans="1:11" x14ac:dyDescent="0.25">
      <c r="A329" s="70" t="str">
        <f t="shared" si="5"/>
        <v>0400-1020-0110</v>
      </c>
      <c r="B329" s="76" t="s">
        <v>803</v>
      </c>
      <c r="C329" s="77" t="s">
        <v>804</v>
      </c>
      <c r="D329" s="78" t="s">
        <v>805</v>
      </c>
      <c r="E329" s="79" t="s">
        <v>806</v>
      </c>
      <c r="F329" s="80" t="s">
        <v>807</v>
      </c>
      <c r="G329" s="79" t="s">
        <v>808</v>
      </c>
      <c r="H329" s="80" t="s">
        <v>809</v>
      </c>
      <c r="I329" s="79" t="s">
        <v>810</v>
      </c>
      <c r="J329" s="80" t="s">
        <v>391</v>
      </c>
      <c r="K329" s="80" t="s">
        <v>392</v>
      </c>
    </row>
    <row r="330" spans="1:11" x14ac:dyDescent="0.25">
      <c r="A330" s="70" t="str">
        <f t="shared" si="5"/>
        <v>0400-1020-0140</v>
      </c>
      <c r="B330" s="76" t="s">
        <v>811</v>
      </c>
      <c r="C330" s="77" t="s">
        <v>812</v>
      </c>
      <c r="D330" s="78" t="s">
        <v>805</v>
      </c>
      <c r="E330" s="79" t="s">
        <v>806</v>
      </c>
      <c r="F330" s="80" t="s">
        <v>807</v>
      </c>
      <c r="G330" s="79" t="s">
        <v>808</v>
      </c>
      <c r="H330" s="80" t="s">
        <v>813</v>
      </c>
      <c r="I330" s="79" t="s">
        <v>814</v>
      </c>
      <c r="J330" s="80" t="s">
        <v>391</v>
      </c>
      <c r="K330" s="80" t="s">
        <v>392</v>
      </c>
    </row>
    <row r="331" spans="1:11" x14ac:dyDescent="0.25">
      <c r="A331" s="70" t="str">
        <f t="shared" si="5"/>
        <v>0017-1009-0170</v>
      </c>
      <c r="B331" s="76" t="s">
        <v>815</v>
      </c>
      <c r="C331" s="77" t="s">
        <v>816</v>
      </c>
      <c r="D331" s="78" t="s">
        <v>349</v>
      </c>
      <c r="E331" s="79" t="s">
        <v>762</v>
      </c>
      <c r="F331" s="80" t="s">
        <v>369</v>
      </c>
      <c r="G331" s="79" t="s">
        <v>511</v>
      </c>
      <c r="H331" s="80" t="s">
        <v>817</v>
      </c>
      <c r="I331" s="79" t="s">
        <v>818</v>
      </c>
      <c r="J331" s="80" t="s">
        <v>391</v>
      </c>
      <c r="K331" s="80" t="s">
        <v>392</v>
      </c>
    </row>
    <row r="332" spans="1:11" x14ac:dyDescent="0.25">
      <c r="A332" s="70" t="str">
        <f t="shared" si="5"/>
        <v>0450-9003-0180</v>
      </c>
      <c r="B332" s="76" t="s">
        <v>819</v>
      </c>
      <c r="C332" s="77" t="s">
        <v>820</v>
      </c>
      <c r="D332" s="81" t="s">
        <v>821</v>
      </c>
      <c r="E332" s="79" t="s">
        <v>822</v>
      </c>
      <c r="F332" s="80" t="s">
        <v>823</v>
      </c>
      <c r="G332" s="79" t="s">
        <v>824</v>
      </c>
      <c r="H332" s="80" t="s">
        <v>825</v>
      </c>
      <c r="I332" s="79" t="s">
        <v>826</v>
      </c>
      <c r="J332" s="80" t="s">
        <v>391</v>
      </c>
      <c r="K332" s="80" t="s">
        <v>392</v>
      </c>
    </row>
    <row r="333" spans="1:11" x14ac:dyDescent="0.25">
      <c r="A333" s="70" t="str">
        <f t="shared" si="5"/>
        <v>0470-1022-0190</v>
      </c>
      <c r="B333" s="76" t="s">
        <v>827</v>
      </c>
      <c r="C333" s="77" t="s">
        <v>828</v>
      </c>
      <c r="D333" s="78" t="s">
        <v>829</v>
      </c>
      <c r="E333" s="79" t="s">
        <v>830</v>
      </c>
      <c r="F333" s="80" t="s">
        <v>831</v>
      </c>
      <c r="G333" s="79" t="s">
        <v>832</v>
      </c>
      <c r="H333" s="80" t="s">
        <v>833</v>
      </c>
      <c r="I333" s="79" t="s">
        <v>834</v>
      </c>
      <c r="J333" s="80" t="s">
        <v>391</v>
      </c>
      <c r="K333" s="80" t="s">
        <v>392</v>
      </c>
    </row>
    <row r="334" spans="1:11" x14ac:dyDescent="0.25">
      <c r="A334" s="70" t="str">
        <f t="shared" si="5"/>
        <v>0470-1022-0230</v>
      </c>
      <c r="B334" s="76" t="s">
        <v>835</v>
      </c>
      <c r="C334" s="77" t="s">
        <v>836</v>
      </c>
      <c r="D334" s="78" t="s">
        <v>829</v>
      </c>
      <c r="E334" s="79" t="s">
        <v>830</v>
      </c>
      <c r="F334" s="80" t="s">
        <v>831</v>
      </c>
      <c r="G334" s="79" t="s">
        <v>832</v>
      </c>
      <c r="H334" s="80" t="s">
        <v>837</v>
      </c>
      <c r="I334" s="79" t="s">
        <v>838</v>
      </c>
      <c r="J334" s="80" t="s">
        <v>391</v>
      </c>
      <c r="K334" s="80" t="s">
        <v>392</v>
      </c>
    </row>
    <row r="335" spans="1:11" x14ac:dyDescent="0.25">
      <c r="A335" s="70" t="str">
        <f t="shared" si="5"/>
        <v>0401-1021-0240</v>
      </c>
      <c r="B335" s="76" t="s">
        <v>839</v>
      </c>
      <c r="C335" s="77" t="s">
        <v>840</v>
      </c>
      <c r="D335" s="78" t="s">
        <v>841</v>
      </c>
      <c r="E335" s="79" t="s">
        <v>842</v>
      </c>
      <c r="F335" s="80" t="s">
        <v>843</v>
      </c>
      <c r="G335" s="79" t="s">
        <v>844</v>
      </c>
      <c r="H335" s="80" t="s">
        <v>845</v>
      </c>
      <c r="I335" s="79" t="s">
        <v>846</v>
      </c>
      <c r="J335" s="80" t="s">
        <v>391</v>
      </c>
      <c r="K335" s="80" t="s">
        <v>392</v>
      </c>
    </row>
    <row r="336" spans="1:11" x14ac:dyDescent="0.25">
      <c r="A336" s="70" t="str">
        <f t="shared" si="5"/>
        <v>0017-1009-0260</v>
      </c>
      <c r="B336" s="76" t="s">
        <v>847</v>
      </c>
      <c r="C336" s="77" t="s">
        <v>848</v>
      </c>
      <c r="D336" s="78" t="s">
        <v>349</v>
      </c>
      <c r="E336" s="79" t="s">
        <v>762</v>
      </c>
      <c r="F336" s="80" t="s">
        <v>369</v>
      </c>
      <c r="G336" s="79" t="s">
        <v>511</v>
      </c>
      <c r="H336" s="80" t="s">
        <v>849</v>
      </c>
      <c r="I336" s="79" t="s">
        <v>850</v>
      </c>
      <c r="J336" s="80" t="s">
        <v>391</v>
      </c>
      <c r="K336" s="80" t="s">
        <v>392</v>
      </c>
    </row>
    <row r="337" spans="1:11" x14ac:dyDescent="0.25">
      <c r="A337" s="70" t="str">
        <f t="shared" si="5"/>
        <v>0460-9002-0270</v>
      </c>
      <c r="B337" s="76" t="s">
        <v>851</v>
      </c>
      <c r="C337" s="77" t="s">
        <v>852</v>
      </c>
      <c r="D337" s="78" t="s">
        <v>853</v>
      </c>
      <c r="E337" s="79" t="s">
        <v>854</v>
      </c>
      <c r="F337" s="80" t="s">
        <v>855</v>
      </c>
      <c r="G337" s="79" t="s">
        <v>856</v>
      </c>
      <c r="H337" s="80" t="s">
        <v>857</v>
      </c>
      <c r="I337" s="79" t="s">
        <v>858</v>
      </c>
      <c r="J337" s="80" t="s">
        <v>391</v>
      </c>
      <c r="K337" s="80" t="s">
        <v>392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BIS-2</vt:lpstr>
      <vt:lpstr>Summary</vt:lpstr>
      <vt:lpstr>scexp</vt:lpstr>
      <vt:lpstr>SAMPLE CODE</vt:lpstr>
      <vt:lpstr>MCF</vt:lpstr>
      <vt:lpstr>TMR</vt:lpstr>
      <vt:lpstr>BIS</vt:lpstr>
      <vt:lpstr>CAC</vt:lpstr>
      <vt:lpstr>COA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Gee, Vince</dc:creator>
  <cp:lastModifiedBy>Gee, Vince</cp:lastModifiedBy>
  <dcterms:created xsi:type="dcterms:W3CDTF">2017-10-26T20:16:14Z</dcterms:created>
  <dcterms:modified xsi:type="dcterms:W3CDTF">2018-03-01T18:58:31Z</dcterms:modified>
</cp:coreProperties>
</file>